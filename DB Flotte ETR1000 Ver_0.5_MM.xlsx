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https://gruppofsitaliane.sharepoint.com/sites/IngegneriaETReMezziLeggeri-Trenitalia/Shared Documents/Prova Doc ETR1000/"/>
    </mc:Choice>
  </mc:AlternateContent>
  <xr:revisionPtr revIDLastSave="200" documentId="8_{41FDB85B-EBBD-485C-965C-7D7460F3940D}" xr6:coauthVersionLast="47" xr6:coauthVersionMax="47" xr10:uidLastSave="{CB34A79F-11B5-4933-885E-B9316FD1A87C}"/>
  <bookViews>
    <workbookView xWindow="-120" yWindow="-120" windowWidth="29040" windowHeight="15840" activeTab="2" xr2:uid="{00000000-000D-0000-FFFF-FFFF00000000}"/>
  </bookViews>
  <sheets>
    <sheet name="Tipologie di flotta" sheetId="5" r:id="rId1"/>
    <sheet name="Conf Sheet" sheetId="16" r:id="rId2"/>
    <sheet name="Funzioni" sheetId="14" r:id="rId3"/>
    <sheet name="PBS (TBD)" sheetId="6" r:id="rId4"/>
    <sheet name="Cartelle" sheetId="8" r:id="rId5"/>
    <sheet name="MR-CPR" sheetId="13" r:id="rId6"/>
    <sheet name="Struttura" sheetId="9" r:id="rId7"/>
    <sheet name="Modifiche progettuali" sheetId="1" r:id="rId8"/>
  </sheets>
  <definedNames>
    <definedName name="_xlnm._FilterDatabase" localSheetId="1" hidden="1">'Conf Sheet'!$A$3:$R$3</definedName>
    <definedName name="_xlnm._FilterDatabase" localSheetId="2" hidden="1">Funzioni!$B$1:$M$1</definedName>
    <definedName name="_xlnm._FilterDatabase" localSheetId="3" hidden="1">'PBS (TBD)'!$A$2:$T$92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14" l="1" a="1"/>
  <c r="M2" i="14" s="1"/>
  <c r="H7" i="14" a="1"/>
  <c r="H14" i="14" a="1"/>
  <c r="F14" i="14" a="1"/>
  <c r="F17" i="14" a="1"/>
  <c r="H7" i="14" l="1"/>
  <c r="F14" i="14"/>
  <c r="H14" i="14"/>
  <c r="F17" i="14"/>
  <c r="H17" i="14" a="1"/>
  <c r="H17" i="14"/>
  <c r="J11" i="8"/>
  <c r="C11" i="8"/>
  <c r="B11" i="8"/>
  <c r="J9" i="8"/>
  <c r="I11" i="8"/>
  <c r="A11" i="8"/>
  <c r="E24" i="13"/>
  <c r="E22" i="13"/>
  <c r="F11" i="14" a="1"/>
  <c r="H21" i="14" a="1"/>
  <c r="F21" i="14" a="1"/>
  <c r="H3" i="14" a="1"/>
  <c r="F19" i="14" a="1"/>
  <c r="F3" i="14" a="1"/>
  <c r="H19" i="14" a="1"/>
  <c r="H11" i="14" a="1"/>
  <c r="F7" i="14" a="1"/>
  <c r="F11" i="14" l="1"/>
  <c r="F19" i="14"/>
  <c r="F21" i="14"/>
  <c r="H21" i="14"/>
  <c r="H19" i="14"/>
  <c r="H11" i="14"/>
  <c r="F7" i="14"/>
  <c r="H3" i="14"/>
  <c r="F3" i="14"/>
  <c r="O56" i="6"/>
  <c r="E6" i="13"/>
  <c r="E18" i="13"/>
  <c r="E19" i="13"/>
  <c r="E20" i="13"/>
  <c r="E21" i="13"/>
  <c r="E23" i="13"/>
  <c r="E25" i="13"/>
  <c r="E26" i="13"/>
  <c r="E27" i="13"/>
  <c r="E28" i="13"/>
  <c r="E29" i="13"/>
  <c r="E30" i="13"/>
  <c r="E31" i="13"/>
  <c r="E32" i="13"/>
  <c r="E33" i="13"/>
  <c r="E34" i="13"/>
  <c r="E35" i="13"/>
  <c r="E36" i="13"/>
  <c r="E37" i="13"/>
  <c r="E38" i="13"/>
  <c r="E39" i="13"/>
  <c r="E40" i="13"/>
  <c r="E41" i="13"/>
  <c r="E42" i="13"/>
  <c r="E43" i="13"/>
  <c r="E44" i="13"/>
  <c r="E17" i="13"/>
  <c r="E4" i="13"/>
  <c r="E5" i="13"/>
  <c r="E7" i="13"/>
  <c r="E8" i="13"/>
  <c r="E9" i="13"/>
  <c r="E10" i="13"/>
  <c r="E11" i="13"/>
  <c r="E12" i="13"/>
  <c r="E13" i="13"/>
  <c r="E14" i="13"/>
  <c r="E15" i="13"/>
  <c r="E3" i="13"/>
  <c r="O42" i="6"/>
  <c r="R48" i="6"/>
  <c r="R37" i="6"/>
  <c r="R34" i="6"/>
  <c r="R33" i="6"/>
  <c r="R32" i="6"/>
  <c r="R29" i="6"/>
  <c r="R28" i="6"/>
  <c r="R20" i="6"/>
  <c r="R21" i="6"/>
  <c r="R19" i="6"/>
  <c r="R27" i="6"/>
  <c r="O27" i="6"/>
  <c r="R17" i="6"/>
  <c r="R14" i="6"/>
  <c r="O14" i="6"/>
  <c r="R18" i="6"/>
  <c r="R16" i="6"/>
  <c r="R15" i="6"/>
  <c r="O18" i="6"/>
  <c r="O16" i="6"/>
  <c r="R13" i="6"/>
  <c r="R12" i="6"/>
  <c r="O26" i="6"/>
  <c r="R26" i="6"/>
  <c r="R36" i="6"/>
  <c r="R35" i="6"/>
  <c r="O35" i="6"/>
  <c r="O34" i="6"/>
  <c r="R25" i="6"/>
  <c r="R24" i="6"/>
  <c r="O24" i="6"/>
  <c r="O22" i="6"/>
  <c r="O21" i="6"/>
  <c r="O20" i="6"/>
  <c r="O19" i="6"/>
  <c r="O13" i="6"/>
  <c r="O12" i="6"/>
  <c r="O11" i="6"/>
  <c r="O32" i="6"/>
  <c r="O30" i="6"/>
  <c r="O28" i="6"/>
  <c r="R31" i="6"/>
  <c r="R30" i="6"/>
  <c r="R23" i="6"/>
  <c r="R22" i="6"/>
  <c r="R11" i="6"/>
  <c r="R5" i="6" l="1"/>
  <c r="T8" i="6" l="1"/>
  <c r="J22" i="8"/>
  <c r="I22" i="8"/>
  <c r="J21" i="8"/>
  <c r="I21" i="8"/>
  <c r="R4" i="6"/>
  <c r="O4" i="6"/>
  <c r="O5" i="6"/>
  <c r="E3" i="5"/>
  <c r="E4" i="5"/>
  <c r="E5" i="5"/>
  <c r="E6" i="5"/>
  <c r="E7" i="5"/>
  <c r="E8" i="5"/>
  <c r="E2"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MORBIDI MAURIZIO</author>
  </authors>
  <commentList>
    <comment ref="I6" authorId="0" shapeId="0" xr:uid="{1C75F35F-F89C-456D-8A4F-9121A1B6EF31}">
      <text>
        <r>
          <rPr>
            <b/>
            <sz val="9"/>
            <color indexed="81"/>
            <rFont val="Tahoma"/>
            <family val="2"/>
          </rPr>
          <t>MORBIDI MAURIZIO:</t>
        </r>
        <r>
          <rPr>
            <sz val="9"/>
            <color indexed="81"/>
            <rFont val="Tahoma"/>
            <family val="2"/>
          </rPr>
          <t xml:space="preserve">
Le revisioni (non disponibili) in rosso sono relative alla BL 5.0</t>
        </r>
      </text>
    </comment>
    <comment ref="F35" authorId="0" shapeId="0" xr:uid="{52664DBF-0311-42EA-ACCC-0C515AD6A758}">
      <text>
        <r>
          <rPr>
            <b/>
            <sz val="9"/>
            <color indexed="81"/>
            <rFont val="Tahoma"/>
            <family val="2"/>
          </rPr>
          <t>MORBIDI MAURIZIO:</t>
        </r>
        <r>
          <rPr>
            <sz val="9"/>
            <color indexed="81"/>
            <rFont val="Tahoma"/>
            <family val="2"/>
          </rPr>
          <t xml:space="preserve">
Disponibile FA020013231</t>
        </r>
      </text>
    </comment>
    <comment ref="F58" authorId="0" shapeId="0" xr:uid="{CF2A71A9-8966-4C2B-B193-25CDF53D6F95}">
      <text>
        <r>
          <rPr>
            <b/>
            <sz val="9"/>
            <color indexed="81"/>
            <rFont val="Tahoma"/>
            <family val="2"/>
          </rPr>
          <t>MORBIDI MAURIZIO:</t>
        </r>
        <r>
          <rPr>
            <sz val="9"/>
            <color indexed="81"/>
            <rFont val="Tahoma"/>
            <family val="2"/>
          </rPr>
          <t xml:space="preserve">
Codice HRI = EC010008563</t>
        </r>
      </text>
    </comment>
    <comment ref="G64" authorId="0" shapeId="0" xr:uid="{AFB5C510-03B9-4CA2-99B9-5A4AD4383F7E}">
      <text>
        <r>
          <rPr>
            <b/>
            <sz val="9"/>
            <color indexed="81"/>
            <rFont val="Tahoma"/>
            <family val="2"/>
          </rPr>
          <t>MORBIDI MAURIZIO:</t>
        </r>
        <r>
          <rPr>
            <sz val="9"/>
            <color indexed="81"/>
            <rFont val="Tahoma"/>
            <family val="2"/>
          </rPr>
          <t xml:space="preserve">
Disponibile rev E che include BL3 SSB</t>
        </r>
      </text>
    </comment>
    <comment ref="G71" authorId="0" shapeId="0" xr:uid="{5CBB9115-0B7C-48F3-B574-82BE70336F39}">
      <text>
        <r>
          <rPr>
            <b/>
            <sz val="9"/>
            <color indexed="81"/>
            <rFont val="Tahoma"/>
            <family val="2"/>
          </rPr>
          <t>MORBIDI MAURIZIO:</t>
        </r>
        <r>
          <rPr>
            <sz val="9"/>
            <color indexed="81"/>
            <rFont val="Tahoma"/>
            <family val="2"/>
          </rPr>
          <t xml:space="preserve">
Disponibile rev F che include BL3 SSB</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<sst xmlns="http://schemas.openxmlformats.org/spreadsheetml/2006/main" count="2782" uniqueCount="1109">
  <si>
    <t>VZI-50</t>
  </si>
  <si>
    <t>VZI-51-58</t>
  </si>
  <si>
    <t>VZI-6</t>
  </si>
  <si>
    <t>VZI-4</t>
  </si>
  <si>
    <t>VZ-DAI</t>
  </si>
  <si>
    <t>VZ-ES</t>
  </si>
  <si>
    <t>VZ-FR</t>
  </si>
  <si>
    <t>INTERRUTTORI 220V SPOSTATI INTERNO CASSA</t>
  </si>
  <si>
    <t>COMPRESSORE ARIA (?)</t>
  </si>
  <si>
    <t>BY-PASS ADD PER MARCIA SOCCORSO</t>
  </si>
  <si>
    <t>ARREDI TOILET BAR BISTROT</t>
  </si>
  <si>
    <t>COMANDO DISACCOPPIAMENTO AUTOMATICO 
TESTE ELETTRICHE</t>
  </si>
  <si>
    <t>BY-PASS ALLARME APPLICAZIONE PARKING
BRAKE IN MOVIMENTO</t>
  </si>
  <si>
    <t>PANTOGRAFI</t>
  </si>
  <si>
    <t>RIDONDANZA LOOP DNRA-BMS</t>
  </si>
  <si>
    <t>PIANO DI MANUTENZIONE</t>
  </si>
  <si>
    <t>Tipo di flotta</t>
  </si>
  <si>
    <t xml:space="preserve">IPA (Indicazione Porte Aperte) </t>
  </si>
  <si>
    <t>SI</t>
  </si>
  <si>
    <t>BL SSB</t>
  </si>
  <si>
    <t>BL DIS</t>
  </si>
  <si>
    <t>ETCS HD (HW)</t>
  </si>
  <si>
    <t xml:space="preserve">ANTINCENDIO </t>
  </si>
  <si>
    <t xml:space="preserve">LAYOUT INTERNO </t>
  </si>
  <si>
    <t>VZI-4 / IT Full HRI</t>
  </si>
  <si>
    <t>TOT Treni</t>
  </si>
  <si>
    <t>VZI-51-58 / IT
(New 14)</t>
  </si>
  <si>
    <t>VZI-6 / IT Full HRI
(New 14)</t>
  </si>
  <si>
    <t>TCMS</t>
  </si>
  <si>
    <t>Descrizione</t>
  </si>
  <si>
    <t>Radice</t>
  </si>
  <si>
    <t>IT 50 treni (flotta base)</t>
  </si>
  <si>
    <t>IT 8 treni (51-58)</t>
  </si>
  <si>
    <t>IT 6+30 treni (101-136)</t>
  </si>
  <si>
    <t>I-FR 9 treni</t>
  </si>
  <si>
    <t>DAI 9 treni</t>
  </si>
  <si>
    <t>ES 20 treni</t>
  </si>
  <si>
    <t>Sottosistema</t>
  </si>
  <si>
    <t>P/N</t>
  </si>
  <si>
    <t>Id</t>
  </si>
  <si>
    <t>Carrelli</t>
  </si>
  <si>
    <t>Motori</t>
  </si>
  <si>
    <t>100360301
100360302
100360303
100360304</t>
  </si>
  <si>
    <t>Sala Montata</t>
  </si>
  <si>
    <t>100360402
100360403</t>
  </si>
  <si>
    <t>Sensoristica ERTMS-SCMT carrelli DM
Sala senza boccole: 100360064</t>
  </si>
  <si>
    <t>100360301
100360302
100360303
100360304
(EN45545)</t>
  </si>
  <si>
    <t>Sensoristica ERTMS-SCMT carrelli DM</t>
  </si>
  <si>
    <r>
      <rPr>
        <b/>
        <sz val="11"/>
        <color rgb="FF0070C0"/>
        <rFont val="Calibri"/>
        <family val="2"/>
        <scheme val="minor"/>
      </rPr>
      <t xml:space="preserve">100329688
100329689
</t>
    </r>
    <r>
      <rPr>
        <b/>
        <sz val="11"/>
        <color theme="1"/>
        <rFont val="Calibri"/>
        <family val="2"/>
        <scheme val="minor"/>
      </rPr>
      <t xml:space="preserve">
100360303
100360304</t>
    </r>
  </si>
  <si>
    <r>
      <rPr>
        <b/>
        <sz val="10"/>
        <color rgb="FF0070C0"/>
        <rFont val="Calibri"/>
        <family val="2"/>
        <scheme val="minor"/>
      </rPr>
      <t>Sensoristica ERTMS-SCMT, Memor brush, ETCS antenna su carrelli ant. DM1/8
Sensori Wiegand su post. DM1/8
Sensori Wiegand su ant. TT2/7</t>
    </r>
    <r>
      <rPr>
        <sz val="10"/>
        <color theme="1"/>
        <rFont val="Calibri"/>
        <family val="2"/>
        <scheme val="minor"/>
      </rPr>
      <t xml:space="preserve">
Sala senza boccole: 100360064</t>
    </r>
  </si>
  <si>
    <t>tbd sensori boccola DM</t>
  </si>
  <si>
    <t>DM: 100437987
100470644</t>
  </si>
  <si>
    <t>Sensoristica ETCS-ASFA-LZB carrelli DM</t>
  </si>
  <si>
    <t>Riduttore</t>
  </si>
  <si>
    <t>Motore</t>
  </si>
  <si>
    <t>3EST000224-9555</t>
  </si>
  <si>
    <t>Cil.Freno</t>
  </si>
  <si>
    <t>FT0011601-100
FT0011602-100
FT0011602-101</t>
  </si>
  <si>
    <t>Als</t>
  </si>
  <si>
    <t>6398B000-01</t>
  </si>
  <si>
    <t>BMS</t>
  </si>
  <si>
    <t>Ephimess fase 2</t>
  </si>
  <si>
    <t>Portanti</t>
  </si>
  <si>
    <t>100360311
100360312
100360313</t>
  </si>
  <si>
    <t>Sala</t>
  </si>
  <si>
    <t>100360411
100360412</t>
  </si>
  <si>
    <t>100360311
100360312
100360313
(EN45545)</t>
  </si>
  <si>
    <r>
      <t xml:space="preserve">100360311
</t>
    </r>
    <r>
      <rPr>
        <b/>
        <u/>
        <sz val="11"/>
        <color rgb="FF0070C0"/>
        <rFont val="Calibri"/>
        <family val="2"/>
        <scheme val="minor"/>
      </rPr>
      <t>100329690</t>
    </r>
    <r>
      <rPr>
        <b/>
        <sz val="11"/>
        <color theme="1"/>
        <rFont val="Calibri"/>
        <family val="2"/>
        <scheme val="minor"/>
      </rPr>
      <t xml:space="preserve">
100360313</t>
    </r>
  </si>
  <si>
    <t>Freno</t>
  </si>
  <si>
    <t>Pantografi</t>
  </si>
  <si>
    <t>3 kV</t>
  </si>
  <si>
    <t>Struttura</t>
  </si>
  <si>
    <t>Archetto</t>
  </si>
  <si>
    <t>Archetto 1.950 mm</t>
  </si>
  <si>
    <t>Strisciante</t>
  </si>
  <si>
    <t>SK1451</t>
  </si>
  <si>
    <t>PPU</t>
  </si>
  <si>
    <t>232C10395F</t>
  </si>
  <si>
    <t>Con isolamento ADD</t>
  </si>
  <si>
    <t>231C100036B</t>
  </si>
  <si>
    <t>232C10353E</t>
  </si>
  <si>
    <t>PPU DC Modificata per agg.panto 1.5</t>
  </si>
  <si>
    <t>PCU</t>
  </si>
  <si>
    <t>25 kV</t>
  </si>
  <si>
    <t>Vedi strisciante</t>
  </si>
  <si>
    <t>SK1630</t>
  </si>
  <si>
    <t>SK 2381</t>
  </si>
  <si>
    <t>Conforme a norma FR SAM E903</t>
  </si>
  <si>
    <t>1,5 kV</t>
  </si>
  <si>
    <t>n/a</t>
  </si>
  <si>
    <t>Larghezza 1.950 mm</t>
  </si>
  <si>
    <t>SK 2348</t>
  </si>
  <si>
    <t>PPU Modificata per agg.panto 1.5</t>
  </si>
  <si>
    <t>15 kV</t>
  </si>
  <si>
    <t>TCMS Hardware</t>
  </si>
  <si>
    <t>LV</t>
  </si>
  <si>
    <t>CCU-O</t>
  </si>
  <si>
    <t>3EST000225-5707</t>
  </si>
  <si>
    <t>Nuova architettura Full Ethernet</t>
  </si>
  <si>
    <t>3EST000236-6235</t>
  </si>
  <si>
    <t>Higher performances and longer spare parts support</t>
  </si>
  <si>
    <t>CCU-S</t>
  </si>
  <si>
    <t>3EST000221-6430</t>
  </si>
  <si>
    <t>3EST000232-1990</t>
  </si>
  <si>
    <t>MIO-S</t>
  </si>
  <si>
    <t>3EST000228-0629
3EST000228-3395
3EST000228-3394</t>
  </si>
  <si>
    <t>3EST000230-5830
3EST000230-5833
3EST000228-3394</t>
  </si>
  <si>
    <t>Sell no more supported for new projects due to internal component out of production (legacy only)</t>
  </si>
  <si>
    <t>Teledia</t>
  </si>
  <si>
    <t>MCG</t>
  </si>
  <si>
    <t>3EST000225-7169</t>
  </si>
  <si>
    <t>3EST000234-1560</t>
  </si>
  <si>
    <t>additional LTE connection</t>
  </si>
  <si>
    <t>Monitor</t>
  </si>
  <si>
    <t>IDU</t>
  </si>
  <si>
    <t>3EST000223-8802</t>
  </si>
  <si>
    <t>IDU/TOD</t>
  </si>
  <si>
    <t>Bus</t>
  </si>
  <si>
    <t>T Repeater</t>
  </si>
  <si>
    <t>3EST000212-3010</t>
  </si>
  <si>
    <t>3EST000236-6770</t>
  </si>
  <si>
    <t>T Switch</t>
  </si>
  <si>
    <t>3EST000212-3000</t>
  </si>
  <si>
    <t>3EST000236-6769</t>
  </si>
  <si>
    <t>R Switch</t>
  </si>
  <si>
    <t>3EST000225-7297</t>
  </si>
  <si>
    <t>3EST000234-7837</t>
  </si>
  <si>
    <t>Energy Meter</t>
  </si>
  <si>
    <t>Tipo</t>
  </si>
  <si>
    <t>EMS Microelettrica  integrato con TCMS</t>
  </si>
  <si>
    <t>EMS Microelettrica non integrato con TCMS</t>
  </si>
  <si>
    <t>EMS Alstom  integrato con TCMS</t>
  </si>
  <si>
    <t>Centraline</t>
  </si>
  <si>
    <t>BCU</t>
  </si>
  <si>
    <t>FT0024971-100 (DM)
FT0028492-100 (TT)</t>
  </si>
  <si>
    <t>WSP</t>
  </si>
  <si>
    <t xml:space="preserve">FT0024963-100 (DM)
FT0024967-100 (TT)
</t>
  </si>
  <si>
    <t>Pneumatica</t>
  </si>
  <si>
    <t>Distributore</t>
  </si>
  <si>
    <t>SW4 COD. 726 43V S1 10</t>
  </si>
  <si>
    <t>DBV</t>
  </si>
  <si>
    <t>FT0022875-100</t>
  </si>
  <si>
    <t>Dump V. WSP</t>
  </si>
  <si>
    <t>FT0023704-103</t>
  </si>
  <si>
    <t>DV-17</t>
  </si>
  <si>
    <t>FT0126050-100</t>
  </si>
  <si>
    <t>DV-12 Double Coil</t>
  </si>
  <si>
    <t>PRM</t>
  </si>
  <si>
    <t>Toilet</t>
  </si>
  <si>
    <t>Toilet Production HK standard flotta base</t>
  </si>
  <si>
    <t>Toilet Production HK - conf. NRD Spagna + STI PRM 2019</t>
  </si>
  <si>
    <t>Lift</t>
  </si>
  <si>
    <t>Lift HK standard flotta base azionamento idraulico</t>
  </si>
  <si>
    <t>Lift HK STI PRM 2019 (pedana più grande, azionamento elettrico)</t>
  </si>
  <si>
    <t>Lift HK STI PRM 2019 (pedana più grande) azionamento idraulico</t>
  </si>
  <si>
    <t>Porte Esterne</t>
  </si>
  <si>
    <t>Porte esterne IFE standard flotta base</t>
  </si>
  <si>
    <t>Porte esterne IFE TSI 2019
Centralina Ethernet</t>
  </si>
  <si>
    <t>Porte esterne IFE (TSI 2019)</t>
  </si>
  <si>
    <t>Antincendio</t>
  </si>
  <si>
    <t>Sensori
Elettronica</t>
  </si>
  <si>
    <t>SCU Saira</t>
  </si>
  <si>
    <t>FDU-1000 (fornitura ISE)</t>
  </si>
  <si>
    <t>FDU ISE</t>
  </si>
  <si>
    <t>Estinzione</t>
  </si>
  <si>
    <t>WaterMist Marioff - 2 gruppi MAU (DM1/8)</t>
  </si>
  <si>
    <t>WaterMist Acquasys - 1 gruppo MAU (DM1)</t>
  </si>
  <si>
    <t>Pantografo 25 kV</t>
  </si>
  <si>
    <t>Pantografo 3 kV</t>
  </si>
  <si>
    <t>Pantografo 1,5 kV</t>
  </si>
  <si>
    <t>X</t>
  </si>
  <si>
    <t>0102895</t>
  </si>
  <si>
    <t>aaa.pdf</t>
  </si>
  <si>
    <t>Manuale</t>
  </si>
  <si>
    <t>VZI-50_IT Flotta base</t>
  </si>
  <si>
    <t>VZI-51-58_IT
(New 14)</t>
  </si>
  <si>
    <t>VZI-6_IT Full HRI
(New 14)</t>
  </si>
  <si>
    <t>VZI-4_IT Full HRI</t>
  </si>
  <si>
    <t>VZ_IF</t>
  </si>
  <si>
    <t>VZ_ES</t>
  </si>
  <si>
    <t>VZ_DAI</t>
  </si>
  <si>
    <t>ID flotta</t>
  </si>
  <si>
    <t>01</t>
  </si>
  <si>
    <t>02</t>
  </si>
  <si>
    <t>03</t>
  </si>
  <si>
    <t>04</t>
  </si>
  <si>
    <t>05</t>
  </si>
  <si>
    <t>06</t>
  </si>
  <si>
    <t>07</t>
  </si>
  <si>
    <t>Pag</t>
  </si>
  <si>
    <t>Link</t>
  </si>
  <si>
    <t>ETR1000V300-MR1-04A-Equip elettrico ed elettropneumatico-06 - TOMO 1.pdf</t>
  </si>
  <si>
    <t>CPR</t>
  </si>
  <si>
    <t>MR</t>
  </si>
  <si>
    <t>MR/</t>
  </si>
  <si>
    <t>CPR/</t>
  </si>
  <si>
    <t>https://gruppofsitaliane.sharepoint.com/:f:/r/sites/IngegneriaETReMezziLeggeri-Trenitalia/Shared%20Documents/Prova%20Doc%20ETR1000/</t>
  </si>
  <si>
    <t>ETR1000-CPR_04C_2.05.1002_Pantografo_Mar21.pdf</t>
  </si>
  <si>
    <t>https://gruppofsitaliane.sharepoint.com/:f:/r/sites/IngegneriaETReMezziLeggeri-Trenitalia/Shared%20Documents/ETR700/</t>
  </si>
  <si>
    <t>bbb.pdf</t>
  </si>
  <si>
    <t>VZI-50_ IT
Flotta base</t>
  </si>
  <si>
    <t>VZI-6_IT
Full HRI (New 14)</t>
  </si>
  <si>
    <t>VZI-4_IT
Full HRI</t>
  </si>
  <si>
    <t>Hardware</t>
  </si>
  <si>
    <t>Software</t>
  </si>
  <si>
    <t>limite per documenti che descrivono più modifiche</t>
  </si>
  <si>
    <t>Impianto</t>
  </si>
  <si>
    <t>Componente</t>
  </si>
  <si>
    <t>File</t>
  </si>
  <si>
    <t>Cartella</t>
  </si>
  <si>
    <t>Schema elettrico</t>
  </si>
  <si>
    <t>Schema Pneumatico</t>
  </si>
  <si>
    <t>COMP/</t>
  </si>
  <si>
    <t>SPEC/</t>
  </si>
  <si>
    <t>Funzionali</t>
  </si>
  <si>
    <t>FUNZ/</t>
  </si>
  <si>
    <t>Doc modifica</t>
  </si>
  <si>
    <t>MOD/</t>
  </si>
  <si>
    <t>Specifiche</t>
  </si>
  <si>
    <t>Componenti</t>
  </si>
  <si>
    <t>MR1</t>
  </si>
  <si>
    <t>Oggetto di variante</t>
  </si>
  <si>
    <t>Isol_ADD</t>
  </si>
  <si>
    <t>Applicabilità flotte</t>
  </si>
  <si>
    <t>Raccolta doc</t>
  </si>
  <si>
    <t>Schemi elettrici</t>
  </si>
  <si>
    <t>xxx</t>
  </si>
  <si>
    <t>3EST000228-3395</t>
  </si>
  <si>
    <t>3EST000228-3394</t>
  </si>
  <si>
    <t>3EST000228-0629</t>
  </si>
  <si>
    <t>3EST000225-5711</t>
  </si>
  <si>
    <t>IP Train Switch</t>
  </si>
  <si>
    <t>IP Train Repeater</t>
  </si>
  <si>
    <t>3EST000209-5696</t>
  </si>
  <si>
    <t>MIO-DXH4 (DCX 2222A)</t>
  </si>
  <si>
    <t>3EST000209-5690</t>
  </si>
  <si>
    <t>MIO-DX1H (DCX 2000A)</t>
  </si>
  <si>
    <t>3EST000209-5694</t>
  </si>
  <si>
    <t>MCG (DCZ 2424B)</t>
  </si>
  <si>
    <t>3EST000212-2155</t>
  </si>
  <si>
    <t>3EH-232550R0005</t>
  </si>
  <si>
    <t>MCG Antenna WLAN/GSM GPS</t>
  </si>
  <si>
    <t xml:space="preserve"> MCG Antenna WLAN/GSM GPS</t>
  </si>
  <si>
    <t>Plug di configurazione ECP-USB</t>
  </si>
  <si>
    <t>3EST000212-3038</t>
  </si>
  <si>
    <t>3EST000235-5100</t>
  </si>
  <si>
    <t>ETR1000-CPR_05_2.05.1004_Logica di comando_Aprile2021.pdf</t>
  </si>
  <si>
    <t>3EST000235-7837</t>
  </si>
  <si>
    <t>IP Ring Switch</t>
  </si>
  <si>
    <t>ETR1000V300-MR1-05A-Logica di comando-03.pdf</t>
  </si>
  <si>
    <t>CCU-O Dual MVB (DCY1110B)</t>
  </si>
  <si>
    <t>CCU-C 2ETH (DCY1550A)</t>
  </si>
  <si>
    <t>CCU-S (DCY 1660A)</t>
  </si>
  <si>
    <t>BUS Coupler BCT 12KF04</t>
  </si>
  <si>
    <t>EGM032400R0001</t>
  </si>
  <si>
    <t>MIO-DX3H (DCX 2220A)</t>
  </si>
  <si>
    <t>MOBAD DCA 0030A</t>
  </si>
  <si>
    <t>3EST 92-492</t>
  </si>
  <si>
    <t>MIO-S (DCS 2222C)</t>
  </si>
  <si>
    <t>3EST000230-5830</t>
  </si>
  <si>
    <t>MIO-S (DCS 7222B)</t>
  </si>
  <si>
    <t>3EST000230-5833</t>
  </si>
  <si>
    <t>MIO-S-AI1+DXH2 (DCS 7220B)</t>
  </si>
  <si>
    <t>MIO-S-AI1+DXH3 (DCS 7222B)</t>
  </si>
  <si>
    <t>TCN GW-S DCY 1703A</t>
  </si>
  <si>
    <t>EST000221-6460</t>
  </si>
  <si>
    <t>ETR1000V300-MR1-05B-02- Logica di comando - Nodo TCN.pdf</t>
  </si>
  <si>
    <t>MIO-DXH4-S (DCS 2222B)</t>
  </si>
  <si>
    <t>?</t>
  </si>
  <si>
    <t>CENTRALINA XXX</t>
  </si>
  <si>
    <t>XXX</t>
  </si>
  <si>
    <t>YYY</t>
  </si>
  <si>
    <t>ZZZ</t>
  </si>
  <si>
    <t>CCS xxx</t>
  </si>
  <si>
    <t>CDU-H03</t>
  </si>
  <si>
    <t>HW01107958-00</t>
  </si>
  <si>
    <t>EC030021237P01</t>
  </si>
  <si>
    <t>DU-H03</t>
  </si>
  <si>
    <t>HW02298449-00</t>
  </si>
  <si>
    <t>HW01107911-00</t>
  </si>
  <si>
    <t>RIO-LP (CUSFE684-H05)</t>
  </si>
  <si>
    <t>RIO-C5/C6 (CUSFE684-H06)</t>
  </si>
  <si>
    <t>HW01107914-00</t>
  </si>
  <si>
    <t>RIO-EB-01 (CUSFE684-H01)</t>
  </si>
  <si>
    <t>HW01107901-00</t>
  </si>
  <si>
    <t>HW01107953-00</t>
  </si>
  <si>
    <t>RIO-C2-01 (CURSE32-H01)</t>
  </si>
  <si>
    <t>EC030021125P14C001</t>
  </si>
  <si>
    <t>EC030021126P14C001</t>
  </si>
  <si>
    <t>Switch CS 14P NoPoE 1ByPX (NODC14NC02)</t>
  </si>
  <si>
    <t>Switch ETBN 14P NoPoE 2ByPX (NODC14NI01)</t>
  </si>
  <si>
    <t>RIO-EB-02 (CUSFE684-H02)</t>
  </si>
  <si>
    <t>HW01107904-00</t>
  </si>
  <si>
    <t>RIO-EB-03 (CUSFE684-H03)</t>
  </si>
  <si>
    <t>HW01107905-00</t>
  </si>
  <si>
    <t>HW02298458-00</t>
  </si>
  <si>
    <t>HW02298473-00</t>
  </si>
  <si>
    <t>RIO-EB-04 (CUSFE684-H04)</t>
  </si>
  <si>
    <t>HW01107908-00</t>
  </si>
  <si>
    <t>RIO-C2-02 (CURSE32-H02)</t>
  </si>
  <si>
    <t>HW01107954-00</t>
  </si>
  <si>
    <t>ETR1000-V300ZEFIRO-R1_CPR-05A_2.05.1408_R02.pdf</t>
  </si>
  <si>
    <t>ETR1000-V300ZEFIRO-R1_MR1-05A_R03.pdf</t>
  </si>
  <si>
    <t>DU-H04 (OBS)</t>
  </si>
  <si>
    <t>DU-H05 (PIS-ALG)</t>
  </si>
  <si>
    <t>TRENO</t>
  </si>
  <si>
    <t>TIPO</t>
  </si>
  <si>
    <r>
      <t xml:space="preserve">VOLUME
</t>
    </r>
    <r>
      <rPr>
        <b/>
        <sz val="9"/>
        <color theme="1"/>
        <rFont val="Calibri"/>
        <family val="2"/>
      </rPr>
      <t>SUBVOLUME</t>
    </r>
  </si>
  <si>
    <t>REV</t>
  </si>
  <si>
    <t>DESCRIZIONE</t>
  </si>
  <si>
    <t>PBC</t>
  </si>
  <si>
    <t>MR2</t>
  </si>
  <si>
    <t>01A</t>
  </si>
  <si>
    <t>Cassa</t>
  </si>
  <si>
    <t>ETR1000V300</t>
  </si>
  <si>
    <t>2.05.1008</t>
  </si>
  <si>
    <t>2.05.1009</t>
  </si>
  <si>
    <t>2.05.1014</t>
  </si>
  <si>
    <t>2.05.994</t>
  </si>
  <si>
    <t>2.05.995</t>
  </si>
  <si>
    <t>2.05.996</t>
  </si>
  <si>
    <t>2.05.997</t>
  </si>
  <si>
    <t>2.05.998</t>
  </si>
  <si>
    <t>2.05.999</t>
  </si>
  <si>
    <t>2.05.1001</t>
  </si>
  <si>
    <t>2.05.1002</t>
  </si>
  <si>
    <t>2.05.1003</t>
  </si>
  <si>
    <t>2.05.1004</t>
  </si>
  <si>
    <t>2.05.1005</t>
  </si>
  <si>
    <t>2.05.1006</t>
  </si>
  <si>
    <t>2.05.1007</t>
  </si>
  <si>
    <t>2.05.1010</t>
  </si>
  <si>
    <t>2.05.1011</t>
  </si>
  <si>
    <t>2.05.1012</t>
  </si>
  <si>
    <t>2.05.1013</t>
  </si>
  <si>
    <t>2.05.1015</t>
  </si>
  <si>
    <t>2.05.1016</t>
  </si>
  <si>
    <t>2.05.1017</t>
  </si>
  <si>
    <t>2.05.1018</t>
  </si>
  <si>
    <t>2.05.1019</t>
  </si>
  <si>
    <t>02A</t>
  </si>
  <si>
    <t>Carrello</t>
  </si>
  <si>
    <t>Descrizione generale e funzionamento</t>
  </si>
  <si>
    <t>giu-21</t>
  </si>
  <si>
    <t>01B</t>
  </si>
  <si>
    <t>Norme d’Uso ed Interventi di Emergenza</t>
  </si>
  <si>
    <t>mag-21</t>
  </si>
  <si>
    <t>PBS</t>
  </si>
  <si>
    <t>Manuale per il Personale di Bordo addetto alla Scorta</t>
  </si>
  <si>
    <t>feb-21</t>
  </si>
  <si>
    <t>mar-21</t>
  </si>
  <si>
    <t>giu-20</t>
  </si>
  <si>
    <t>set-21</t>
  </si>
  <si>
    <t>03A</t>
  </si>
  <si>
    <t>Impianto pneumatico e freno</t>
  </si>
  <si>
    <t>04A</t>
  </si>
  <si>
    <t>Equipaggiamento elettrico ed elettropneumatico</t>
  </si>
  <si>
    <t>lug-21</t>
  </si>
  <si>
    <t>05A</t>
  </si>
  <si>
    <t>Logica di comando</t>
  </si>
  <si>
    <t>gen-21</t>
  </si>
  <si>
    <t>05B</t>
  </si>
  <si>
    <t>Logica di comando - Nodo TCN</t>
  </si>
  <si>
    <t>giu-17</t>
  </si>
  <si>
    <t>06A</t>
  </si>
  <si>
    <t>Azionamento di trazione</t>
  </si>
  <si>
    <t>07A</t>
  </si>
  <si>
    <t>Motore di trazione</t>
  </si>
  <si>
    <t>lug-20</t>
  </si>
  <si>
    <t>08A</t>
  </si>
  <si>
    <t>Passaggi esterni</t>
  </si>
  <si>
    <t>09A</t>
  </si>
  <si>
    <t>Sottosistema di climatizzazione</t>
  </si>
  <si>
    <t>10A</t>
  </si>
  <si>
    <t>Sottosistema di comunicazione</t>
  </si>
  <si>
    <t>mag-22</t>
  </si>
  <si>
    <t>11A</t>
  </si>
  <si>
    <t>Convertitore servizi ausiliari e caricabatterie</t>
  </si>
  <si>
    <t>13A</t>
  </si>
  <si>
    <t>Sottosistema diagnostica di bordo</t>
  </si>
  <si>
    <t>14A</t>
  </si>
  <si>
    <t>Allestimenti interni</t>
  </si>
  <si>
    <t>15A</t>
  </si>
  <si>
    <t>Servizi Generali di Bordo</t>
  </si>
  <si>
    <t>18A</t>
  </si>
  <si>
    <t>Telecomunicazioni TT</t>
  </si>
  <si>
    <t>gen-18</t>
  </si>
  <si>
    <t>20A</t>
  </si>
  <si>
    <t>Sottosistema di bordo ETCS generale</t>
  </si>
  <si>
    <t>20B</t>
  </si>
  <si>
    <t>Sottosistema di bordo ETCS specifico del treno</t>
  </si>
  <si>
    <t>lug-17</t>
  </si>
  <si>
    <t>31A</t>
  </si>
  <si>
    <t>Sistema informativo di condotta Generale (DIS)</t>
  </si>
  <si>
    <t>16A</t>
  </si>
  <si>
    <t>Emergenza e recupero</t>
  </si>
  <si>
    <t>mag-18</t>
  </si>
  <si>
    <t>nov-18</t>
  </si>
  <si>
    <t>30A</t>
  </si>
  <si>
    <t>Messa in servizio</t>
  </si>
  <si>
    <t>mag-16</t>
  </si>
  <si>
    <t>Cassa veicoli di estremità</t>
  </si>
  <si>
    <t>2.05.993</t>
  </si>
  <si>
    <t>Cassa veicoli intermedi</t>
  </si>
  <si>
    <t>01C</t>
  </si>
  <si>
    <t>Accoppiatore automatico-asta semipermanente</t>
  </si>
  <si>
    <t>01D</t>
  </si>
  <si>
    <t>Musetto mobile</t>
  </si>
  <si>
    <t>Impianto pneumatico e freno - sistemazioni</t>
  </si>
  <si>
    <t>03B</t>
  </si>
  <si>
    <t>Impianto pneumatico e freno - componenti</t>
  </si>
  <si>
    <t>Equipaggiamento elettrico ed elettropneumatico - sistemazioni</t>
  </si>
  <si>
    <t>2.05.1000</t>
  </si>
  <si>
    <t>apr-21</t>
  </si>
  <si>
    <t>04B</t>
  </si>
  <si>
    <t>Equipaggiamento elettrico ed elettropneumatico - componenti</t>
  </si>
  <si>
    <t>04C</t>
  </si>
  <si>
    <t>04D</t>
  </si>
  <si>
    <t>Quadri elettrici</t>
  </si>
  <si>
    <t>mag-17</t>
  </si>
  <si>
    <t>Porte di salita passeggeri</t>
  </si>
  <si>
    <t>08B</t>
  </si>
  <si>
    <t>Porte interne e intercomunicanti</t>
  </si>
  <si>
    <t>lug-15</t>
  </si>
  <si>
    <t>08C</t>
  </si>
  <si>
    <t>Sollevatore hk</t>
  </si>
  <si>
    <t>dic-15</t>
  </si>
  <si>
    <t>09</t>
  </si>
  <si>
    <t>10</t>
  </si>
  <si>
    <t>Allestimenti interni - dotazioni di bordo</t>
  </si>
  <si>
    <t>14B</t>
  </si>
  <si>
    <t>Sedili passeggeri e cabina guida</t>
  </si>
  <si>
    <t>14C</t>
  </si>
  <si>
    <t>Arredamento comparto</t>
  </si>
  <si>
    <t>14D</t>
  </si>
  <si>
    <t>Arredamento vestiboli</t>
  </si>
  <si>
    <t>Servizi Generali di Bordo - Toilet</t>
  </si>
  <si>
    <t>15B</t>
  </si>
  <si>
    <t>Servizi Generali di Bordo - Bar Bistrò</t>
  </si>
  <si>
    <t>Sistemi tecnologici di bordo</t>
  </si>
  <si>
    <t>NOTE</t>
  </si>
  <si>
    <t>SOTTOSISTEMA DI BORDO ERTMS/BL3 PIATTAFORMA ELO</t>
  </si>
  <si>
    <t>B60A.0100914.G00.01IT</t>
  </si>
  <si>
    <t>Sotto Sistema di Bordo ERTMS BL3 CON SCMT INTEGRATO</t>
  </si>
  <si>
    <t>COD</t>
  </si>
  <si>
    <t>B60A.0100914.G00.00IT</t>
  </si>
  <si>
    <t>FT11P035105GE03B</t>
  </si>
  <si>
    <t>MRx</t>
  </si>
  <si>
    <t>PGDJ DIS-JRU FTP - PRODOTTO GENERICO DIS-JRU</t>
  </si>
  <si>
    <t>SOTTOSISTEMA DI BORDO ERTMSSCMT Piattaforma ELO
MANUALE GENERICO USO E MANUTENZIONE</t>
  </si>
  <si>
    <t>\</t>
  </si>
  <si>
    <t>VZI-IT_FB/</t>
  </si>
  <si>
    <t>VZI-IT_R1/</t>
  </si>
  <si>
    <t>Schemi funzionali</t>
  </si>
  <si>
    <t>Specifiche FRS</t>
  </si>
  <si>
    <t>Sezione 4M</t>
  </si>
  <si>
    <t>Sezione LL</t>
  </si>
  <si>
    <t>Sezione CC</t>
  </si>
  <si>
    <t>Modulo convertitore MCM</t>
  </si>
  <si>
    <t>Modulo convertitore MCM (15/10 WM V02)</t>
  </si>
  <si>
    <t>3EST000222-0850</t>
  </si>
  <si>
    <t>Modulo convertitore LCM</t>
  </si>
  <si>
    <t>3EST000222-0610</t>
  </si>
  <si>
    <t>Sezione CS (Raffreddamento)</t>
  </si>
  <si>
    <t>Modulo convertitore LCM (15/15 WL V06)</t>
  </si>
  <si>
    <t>Modulo raffreddamento</t>
  </si>
  <si>
    <t>3EST000225-0304</t>
  </si>
  <si>
    <t>3EST000222-1010</t>
  </si>
  <si>
    <t>Modulo Convertitore CCM (30/07 WC V01)</t>
  </si>
  <si>
    <t>3EST000222-1018</t>
  </si>
  <si>
    <t>Centralina DCU/L</t>
  </si>
  <si>
    <t>Sezione AE</t>
  </si>
  <si>
    <t>Modulo convertitore ACM</t>
  </si>
  <si>
    <t>Modulo IGBT</t>
  </si>
  <si>
    <t>3EST000214-9948</t>
  </si>
  <si>
    <t>3EST000214-9825</t>
  </si>
  <si>
    <t>3EST000222-0910</t>
  </si>
  <si>
    <t>CONVERTITORE
TRAZIONE</t>
  </si>
  <si>
    <t>PANTOGRAFO</t>
  </si>
  <si>
    <t>HW02250828-00</t>
  </si>
  <si>
    <t>HW04821017-00</t>
  </si>
  <si>
    <t>EC030020031</t>
  </si>
  <si>
    <t>3EST000222-0610-HR</t>
  </si>
  <si>
    <t>Modulo convertitore CCM</t>
  </si>
  <si>
    <t>3EST000223-1474-HR</t>
  </si>
  <si>
    <t>3EST000299-9665-HR</t>
  </si>
  <si>
    <t>HW02250827-00</t>
  </si>
  <si>
    <t>HW05869752-00</t>
  </si>
  <si>
    <t>Centralina Assieme MOCU</t>
  </si>
  <si>
    <t>3EST000225-5173-HR</t>
  </si>
  <si>
    <t>Centralina DCU</t>
  </si>
  <si>
    <t>3EST000222-0910-HR</t>
  </si>
  <si>
    <t>3EST000222-0916-HR</t>
  </si>
  <si>
    <t>???</t>
  </si>
  <si>
    <t>PCU???????</t>
  </si>
  <si>
    <t>VZI-50_IT + 
VZI-51/58_IT</t>
  </si>
  <si>
    <t>DATA</t>
  </si>
  <si>
    <t>VZI-6_IT +
VZI-4_IT</t>
  </si>
  <si>
    <t>2.05.1397</t>
  </si>
  <si>
    <t>2.05.1398</t>
  </si>
  <si>
    <t>2.05.1400</t>
  </si>
  <si>
    <t>2.05.1401</t>
  </si>
  <si>
    <t>2.05.1402</t>
  </si>
  <si>
    <t>2.05.1403</t>
  </si>
  <si>
    <t>2.05.1404</t>
  </si>
  <si>
    <t>2.05.1405</t>
  </si>
  <si>
    <t>2.05.1406</t>
  </si>
  <si>
    <t>2.05.1408</t>
  </si>
  <si>
    <t>2.05.1409</t>
  </si>
  <si>
    <t>2.05.1410</t>
  </si>
  <si>
    <t>2.05.1411</t>
  </si>
  <si>
    <t>2.05.1412</t>
  </si>
  <si>
    <t>2.05.1413</t>
  </si>
  <si>
    <t>2.05.1415</t>
  </si>
  <si>
    <t>2.05.1416</t>
  </si>
  <si>
    <t>2.05.1420</t>
  </si>
  <si>
    <t>2.05.1423</t>
  </si>
  <si>
    <t>08</t>
  </si>
  <si>
    <t>Allestimenti interni - Arredi comparto e cabina di guida</t>
  </si>
  <si>
    <t>Servizi Generali di Bordo - Toilette</t>
  </si>
  <si>
    <t>Servizi Generali di Bordo - Bar Bistrot</t>
  </si>
  <si>
    <t>232C10455E ???</t>
  </si>
  <si>
    <t>ID</t>
  </si>
  <si>
    <t>Componenti circuito elettrico</t>
  </si>
  <si>
    <t>Comando isolamento FAM da banco di manovra</t>
  </si>
  <si>
    <t>GG-A024 = Pulsante parking
JE-K0005 = MIO-S-DX4</t>
  </si>
  <si>
    <t>GG-A024 = Pulsante parking
GC-K025 = Relè abilitazione cabina
GC-K018 = Relè temporizz
GC-K011 = Relè abilitazione cabina
JE-K005 = RIO-LP MASTER</t>
  </si>
  <si>
    <t>Descrizione circuitale</t>
  </si>
  <si>
    <t>ID_Pippo</t>
  </si>
  <si>
    <t>CENTRALINA CCU</t>
  </si>
  <si>
    <t>Doc Description</t>
  </si>
  <si>
    <t>Codice</t>
  </si>
  <si>
    <t>Rev</t>
  </si>
  <si>
    <t>3ECP410473-0001</t>
  </si>
  <si>
    <t>3ECP410474-0001</t>
  </si>
  <si>
    <t>3ECP410481-0001</t>
  </si>
  <si>
    <t>3ECP410483-0001</t>
  </si>
  <si>
    <t>3ECP410468-0001</t>
  </si>
  <si>
    <t>3ECP410466-0001</t>
  </si>
  <si>
    <t>3ECP410475-0001</t>
  </si>
  <si>
    <t>3ECP410477-0001</t>
  </si>
  <si>
    <t>3ECP410467-0001</t>
  </si>
  <si>
    <t>3ECP410480-0001</t>
  </si>
  <si>
    <t>3ECP410465-0001</t>
  </si>
  <si>
    <t>3ECP410463-0001</t>
  </si>
  <si>
    <t>3ECP410469-0001</t>
  </si>
  <si>
    <t>3ECP410478-0001</t>
  </si>
  <si>
    <t>3ECP410472-0001</t>
  </si>
  <si>
    <t>3ECP410484-0001</t>
  </si>
  <si>
    <t>B</t>
  </si>
  <si>
    <t>C</t>
  </si>
  <si>
    <t>3ECP410482-0001</t>
  </si>
  <si>
    <t>3ECP410476-0001</t>
  </si>
  <si>
    <t>3ECP410479-0001</t>
  </si>
  <si>
    <t>3ECP410462-0001</t>
  </si>
  <si>
    <t>3ECP410470-0001</t>
  </si>
  <si>
    <t>3ECP410471-0001</t>
  </si>
  <si>
    <t>3EST000225-7900</t>
  </si>
  <si>
    <t>3EST000225-7902</t>
  </si>
  <si>
    <t>3EST000225-7903</t>
  </si>
  <si>
    <t>3EST000225-7904</t>
  </si>
  <si>
    <t>3EST000225-7905</t>
  </si>
  <si>
    <t>3EST000225-7906</t>
  </si>
  <si>
    <t>3EST000225-7887</t>
  </si>
  <si>
    <t>3EST000225-7918</t>
  </si>
  <si>
    <t>3EST000225-7908</t>
  </si>
  <si>
    <t>3EST000225-7889</t>
  </si>
  <si>
    <t>3EST000225-7919</t>
  </si>
  <si>
    <t>3EST000225-7893</t>
  </si>
  <si>
    <t>3EST000225-7894</t>
  </si>
  <si>
    <t>3EST000225-7897</t>
  </si>
  <si>
    <t>3EST000225-7879</t>
  </si>
  <si>
    <t>3EST000225-7883</t>
  </si>
  <si>
    <t>3EST000225-7885</t>
  </si>
  <si>
    <t>3EST000225-7886</t>
  </si>
  <si>
    <t>3EST000225-7890</t>
  </si>
  <si>
    <t>3ECP413176-0001</t>
  </si>
  <si>
    <t>3EST000225-7891</t>
  </si>
  <si>
    <t>3EST000225-7910</t>
  </si>
  <si>
    <t>3EST000225-7915</t>
  </si>
  <si>
    <t>3EST000225-7882</t>
  </si>
  <si>
    <t>3EST000225-7917</t>
  </si>
  <si>
    <t>3EST000225-7909</t>
  </si>
  <si>
    <t>3EST000225-7907</t>
  </si>
  <si>
    <t>3EST000225-7914</t>
  </si>
  <si>
    <t>3EST000225-7916</t>
  </si>
  <si>
    <t>A</t>
  </si>
  <si>
    <t>_</t>
  </si>
  <si>
    <t>J</t>
  </si>
  <si>
    <t>D</t>
  </si>
  <si>
    <t>Functional schematics</t>
  </si>
  <si>
    <t>Functional schematics DM1</t>
  </si>
  <si>
    <t>Functional schematics TT2</t>
  </si>
  <si>
    <t>Functional schematics M3</t>
  </si>
  <si>
    <t>Functional schematics T4</t>
  </si>
  <si>
    <t>Functional schematics T5</t>
  </si>
  <si>
    <t>Functional schematics M6</t>
  </si>
  <si>
    <t>Functional schematics TT7</t>
  </si>
  <si>
    <t>Functional schematics DM8</t>
  </si>
  <si>
    <t>3ECP502128-0001</t>
  </si>
  <si>
    <t>3ECP502129-0001</t>
  </si>
  <si>
    <t>3ECP502130-0001</t>
  </si>
  <si>
    <t>3ECP502131-0001</t>
  </si>
  <si>
    <t>3ECP502132-0001</t>
  </si>
  <si>
    <t>3ECP502133-0001</t>
  </si>
  <si>
    <t>3ECP502134-0001</t>
  </si>
  <si>
    <t>3ECP502135-0001</t>
  </si>
  <si>
    <t>K</t>
  </si>
  <si>
    <t>H</t>
  </si>
  <si>
    <t>L</t>
  </si>
  <si>
    <t>Wiring table</t>
  </si>
  <si>
    <t>Wiring table DM1</t>
  </si>
  <si>
    <t>Wiring table TT2</t>
  </si>
  <si>
    <t>Wiring table M3</t>
  </si>
  <si>
    <t>Wiring table T4</t>
  </si>
  <si>
    <t>Wiring table T5</t>
  </si>
  <si>
    <t>Wiring table M6</t>
  </si>
  <si>
    <t>Wiring table TT7</t>
  </si>
  <si>
    <t>Wiring table DM8</t>
  </si>
  <si>
    <t>3ECP502136-0001</t>
  </si>
  <si>
    <t>3ECP502137-0001</t>
  </si>
  <si>
    <t>3ECP502138-0001</t>
  </si>
  <si>
    <t>3ECP502139-0001</t>
  </si>
  <si>
    <t>3ECP502140-0001</t>
  </si>
  <si>
    <t>3ECP502141-0001</t>
  </si>
  <si>
    <t>3ECP502142-0001</t>
  </si>
  <si>
    <t>3ECP502143-0001</t>
  </si>
  <si>
    <t>Electric Part lists</t>
  </si>
  <si>
    <t>Electric Part List DM1</t>
  </si>
  <si>
    <t>Electric Part List TT2</t>
  </si>
  <si>
    <t>Electric Part List M3</t>
  </si>
  <si>
    <t>Electric Part List T4</t>
  </si>
  <si>
    <t>Electric Part List T5</t>
  </si>
  <si>
    <t>Electric Part List M6</t>
  </si>
  <si>
    <t>Electric Part List TT7</t>
  </si>
  <si>
    <t>Electric Part List DM8</t>
  </si>
  <si>
    <t>3ECP502144-0001</t>
  </si>
  <si>
    <t>3ECP502145-0001</t>
  </si>
  <si>
    <t>3ECP502146-0001</t>
  </si>
  <si>
    <t>3ECP502147-0001</t>
  </si>
  <si>
    <t>3ECP502148-0001</t>
  </si>
  <si>
    <t>3ECP502149-0001</t>
  </si>
  <si>
    <t>3ECP502150-0001</t>
  </si>
  <si>
    <t>3ECP502151-0001</t>
  </si>
  <si>
    <t>SW Configuration</t>
  </si>
  <si>
    <t>SW Config. Matrix</t>
  </si>
  <si>
    <t>3ECP413651-0001</t>
  </si>
  <si>
    <t>3ECP413651-0002</t>
  </si>
  <si>
    <t>3ECP413651-0003</t>
  </si>
  <si>
    <t>3ECP413651-0004</t>
  </si>
  <si>
    <t>3ECP413651-0005</t>
  </si>
  <si>
    <t>3ECP413651-0006</t>
  </si>
  <si>
    <t>3ECP413651-0007</t>
  </si>
  <si>
    <t>3ECP413651-0008</t>
  </si>
  <si>
    <t>3ECP413651-0009</t>
  </si>
  <si>
    <t>3ECP413651-0010</t>
  </si>
  <si>
    <t>3ECP413651-0011</t>
  </si>
  <si>
    <t>3ECP413651-0012</t>
  </si>
  <si>
    <t>3ECP413651-0013</t>
  </si>
  <si>
    <t>3ECP413651-0014</t>
  </si>
  <si>
    <t>3ECP413651-0015</t>
  </si>
  <si>
    <t>3ECP413651-0016</t>
  </si>
  <si>
    <t>3ECP413651-0017</t>
  </si>
  <si>
    <t>3ECP413651-0018</t>
  </si>
  <si>
    <t>3ECP413651-0019</t>
  </si>
  <si>
    <t>3ECP413651-0020</t>
  </si>
  <si>
    <t>3ECP413651-0021</t>
  </si>
  <si>
    <t>3ECP413651-0022</t>
  </si>
  <si>
    <t>TCMS Architecture</t>
  </si>
  <si>
    <t>Wash Wiper</t>
  </si>
  <si>
    <t>Windscreen heater</t>
  </si>
  <si>
    <t>Automatic Coupler</t>
  </si>
  <si>
    <t>Exterior Lighting</t>
  </si>
  <si>
    <t>Horn</t>
  </si>
  <si>
    <t>Bogie</t>
  </si>
  <si>
    <t>Line Voltage</t>
  </si>
  <si>
    <t>Battery</t>
  </si>
  <si>
    <t>Drive Control</t>
  </si>
  <si>
    <t>Brake Control</t>
  </si>
  <si>
    <t>Auxiliary Electrical Supply</t>
  </si>
  <si>
    <t>Air Supply</t>
  </si>
  <si>
    <t>Interior Lighting</t>
  </si>
  <si>
    <t>Catering</t>
  </si>
  <si>
    <t>PIS CCTV</t>
  </si>
  <si>
    <t>Exterior and Interior Doors</t>
  </si>
  <si>
    <t>Cab HVAC</t>
  </si>
  <si>
    <t>Saloon HVAC</t>
  </si>
  <si>
    <t>Fire Protection and Extinguishing</t>
  </si>
  <si>
    <t>3ECP307255-0001</t>
  </si>
  <si>
    <t>3ECP413922-0604</t>
  </si>
  <si>
    <t>3EGH489028-2358</t>
  </si>
  <si>
    <t>3ECP413719-0300</t>
  </si>
  <si>
    <t>3ECP413922-0502</t>
  </si>
  <si>
    <t>3ECP413719-0603</t>
  </si>
  <si>
    <t>3ECP413922-1400</t>
  </si>
  <si>
    <t>3ECP413719-0802</t>
  </si>
  <si>
    <t>3ECP413922-0801</t>
  </si>
  <si>
    <t>3ECP413922-1100</t>
  </si>
  <si>
    <t>3ECP413922-0204</t>
  </si>
  <si>
    <t>3ECP413922-0903</t>
  </si>
  <si>
    <t>3ECP413922-0902</t>
  </si>
  <si>
    <t>3ECP413922-1001</t>
  </si>
  <si>
    <t>3ECP413922-1003</t>
  </si>
  <si>
    <t>3ECP413922-0904</t>
  </si>
  <si>
    <t>3ECP413719-1200</t>
  </si>
  <si>
    <t>Functional Vehicle Requirement Specification</t>
  </si>
  <si>
    <t>3ECP413839-0001</t>
  </si>
  <si>
    <t>3ECP307251-0008</t>
  </si>
  <si>
    <t>3ECP307252-0008</t>
  </si>
  <si>
    <t>3ECP307253-0008</t>
  </si>
  <si>
    <t>3ECP307251-0007</t>
  </si>
  <si>
    <t>3ECP307252-0007</t>
  </si>
  <si>
    <t>3ECP307253-0007</t>
  </si>
  <si>
    <t>3ECP307251-0006</t>
  </si>
  <si>
    <t>3ECP307252-0006</t>
  </si>
  <si>
    <t>3ECP307253-0006</t>
  </si>
  <si>
    <t>3ECP307251-0005</t>
  </si>
  <si>
    <t>3ECP307252-0005</t>
  </si>
  <si>
    <t>3ECP307253-0005</t>
  </si>
  <si>
    <t>3ECP307251-0004</t>
  </si>
  <si>
    <t>3ECP307252-0004</t>
  </si>
  <si>
    <t>3ECP307253-0004</t>
  </si>
  <si>
    <t>3ECP307251-0003</t>
  </si>
  <si>
    <t>3ECP307252-0003</t>
  </si>
  <si>
    <t>3ECP307251-0002</t>
  </si>
  <si>
    <t>3ECP307251-0001</t>
  </si>
  <si>
    <t>3ECP307252-0001</t>
  </si>
  <si>
    <t>3ECP307252-0002</t>
  </si>
  <si>
    <t>3ECP307253-0001</t>
  </si>
  <si>
    <t>3ECP307253-0002</t>
  </si>
  <si>
    <t>3ECP307253-0003</t>
  </si>
  <si>
    <t>FA010024089</t>
  </si>
  <si>
    <t>3ECP400500-0014</t>
  </si>
  <si>
    <t>FA010024090</t>
  </si>
  <si>
    <t>3ECP400500-0005</t>
  </si>
  <si>
    <t>FA010024096</t>
  </si>
  <si>
    <t>FA010024103</t>
  </si>
  <si>
    <t>FA020022675</t>
  </si>
  <si>
    <t>FA010024104</t>
  </si>
  <si>
    <t>FA020023107</t>
  </si>
  <si>
    <t>FA020023413</t>
  </si>
  <si>
    <t>Windscreen</t>
  </si>
  <si>
    <t>Coupler</t>
  </si>
  <si>
    <t>Bogies</t>
  </si>
  <si>
    <t>Wheelchair Lifts</t>
  </si>
  <si>
    <t>Diagnostics</t>
  </si>
  <si>
    <t>Exterior Door and Step Systems</t>
  </si>
  <si>
    <t>Fire Protection and Extinction</t>
  </si>
  <si>
    <t>Interior Doors</t>
  </si>
  <si>
    <t>CCTV</t>
  </si>
  <si>
    <t>TCMS - Operational</t>
  </si>
  <si>
    <t>Aux Electrical Supply</t>
  </si>
  <si>
    <t>Conventional Train Control</t>
  </si>
  <si>
    <t>FA020026278</t>
  </si>
  <si>
    <t>FA020022045</t>
  </si>
  <si>
    <t>FA020024537</t>
  </si>
  <si>
    <t>FA020024538</t>
  </si>
  <si>
    <t>FA020030729</t>
  </si>
  <si>
    <t>06.2</t>
  </si>
  <si>
    <t>03.2</t>
  </si>
  <si>
    <t>01.2</t>
  </si>
  <si>
    <t>00.4</t>
  </si>
  <si>
    <t>00.6</t>
  </si>
  <si>
    <t>02.2</t>
  </si>
  <si>
    <t>04.2</t>
  </si>
  <si>
    <t>02.3</t>
  </si>
  <si>
    <t>01.3</t>
  </si>
  <si>
    <t>04.3</t>
  </si>
  <si>
    <t>00.3</t>
  </si>
  <si>
    <t>00.1</t>
  </si>
  <si>
    <t>00.2</t>
  </si>
  <si>
    <t>06.3</t>
  </si>
  <si>
    <t>B.1</t>
  </si>
  <si>
    <t>05.2</t>
  </si>
  <si>
    <t>03.3</t>
  </si>
  <si>
    <t>00.5</t>
  </si>
  <si>
    <r>
      <t xml:space="preserve">03.2
</t>
    </r>
    <r>
      <rPr>
        <sz val="11"/>
        <color rgb="FFFF0000"/>
        <rFont val="Calibri"/>
        <family val="2"/>
        <scheme val="minor"/>
      </rPr>
      <t>4.0?</t>
    </r>
  </si>
  <si>
    <t>FA020026563</t>
  </si>
  <si>
    <t>FA020025252</t>
  </si>
  <si>
    <t>FA020023100</t>
  </si>
  <si>
    <t>FA020025419</t>
  </si>
  <si>
    <t>FA020026053</t>
  </si>
  <si>
    <t>Train to Wayside Communication (Teledia)</t>
  </si>
  <si>
    <t>FA020025863</t>
  </si>
  <si>
    <t>PIS 2.0</t>
  </si>
  <si>
    <t>FA020025354</t>
  </si>
  <si>
    <t>FA020047983</t>
  </si>
  <si>
    <t>FA020024531</t>
  </si>
  <si>
    <t>FA020027681</t>
  </si>
  <si>
    <t>FA020011254</t>
  </si>
  <si>
    <t>FA020026357</t>
  </si>
  <si>
    <t>FA020026562</t>
  </si>
  <si>
    <t>FA020025360</t>
  </si>
  <si>
    <t>FA020025254</t>
  </si>
  <si>
    <t>FA020025253</t>
  </si>
  <si>
    <t>FA020026338</t>
  </si>
  <si>
    <t>FA020026347</t>
  </si>
  <si>
    <t>FA020026344</t>
  </si>
  <si>
    <t>FA010024081</t>
  </si>
  <si>
    <t>FA010024082</t>
  </si>
  <si>
    <t>FA010024083</t>
  </si>
  <si>
    <t>FA010024084</t>
  </si>
  <si>
    <t>FA010024085</t>
  </si>
  <si>
    <t>FA010024086</t>
  </si>
  <si>
    <t>FA010024087</t>
  </si>
  <si>
    <t>FA010024088</t>
  </si>
  <si>
    <t>FA010024091</t>
  </si>
  <si>
    <t>FA010024092</t>
  </si>
  <si>
    <t>FA010024093</t>
  </si>
  <si>
    <t>FA010024094</t>
  </si>
  <si>
    <t>FA010024095</t>
  </si>
  <si>
    <t>FA010024097</t>
  </si>
  <si>
    <t>FA010024098</t>
  </si>
  <si>
    <t>FA010024099</t>
  </si>
  <si>
    <t>FA010024100</t>
  </si>
  <si>
    <t>FA010024101</t>
  </si>
  <si>
    <t>FA010024102</t>
  </si>
  <si>
    <t>FS020022117-001</t>
  </si>
  <si>
    <t>FS020022117-002</t>
  </si>
  <si>
    <t>FS020022117-003</t>
  </si>
  <si>
    <t>FS020022117-004</t>
  </si>
  <si>
    <t>FS020022117-005</t>
  </si>
  <si>
    <t>FS020022117-006</t>
  </si>
  <si>
    <t>FS020022117-007</t>
  </si>
  <si>
    <t>FS020022117-008</t>
  </si>
  <si>
    <t>FS020022117-009</t>
  </si>
  <si>
    <t>FS020036994-001</t>
  </si>
  <si>
    <t>FS020036994-002</t>
  </si>
  <si>
    <t>FS020036994-003</t>
  </si>
  <si>
    <t>FS020036994-004</t>
  </si>
  <si>
    <t>FS020036994-005</t>
  </si>
  <si>
    <t>FS020036994-006</t>
  </si>
  <si>
    <t>FS020036994-007</t>
  </si>
  <si>
    <t>FS020036994-008</t>
  </si>
  <si>
    <t>FS020036994-009</t>
  </si>
  <si>
    <t>Interface Control Document</t>
  </si>
  <si>
    <t>ICD Sistema TCMS</t>
  </si>
  <si>
    <t>ICD Sistema TCMS - Annex</t>
  </si>
  <si>
    <t>ICD GTW IPTCOM-TRDP</t>
  </si>
  <si>
    <t>ICD GTW IPTCOM-TRDP - Annex</t>
  </si>
  <si>
    <t>ICD Sistema Propulsion TCU</t>
  </si>
  <si>
    <t>ICD Sistema Propulsion TCU - Annex</t>
  </si>
  <si>
    <t>ICD Sistema Centraline Controllo Pantografo</t>
  </si>
  <si>
    <t>ICD Sistema Centraline Controllo Pantografo - Annex</t>
  </si>
  <si>
    <t>ICD Sistema BCU</t>
  </si>
  <si>
    <t>ICD Sistema BCU - Annex</t>
  </si>
  <si>
    <t>ICD Sistema Segnalamento</t>
  </si>
  <si>
    <t>ICD Sistema Segnalamento - Annex</t>
  </si>
  <si>
    <t>ICD Sistema PIS</t>
  </si>
  <si>
    <t>ICD Sistema PIS - Annex</t>
  </si>
  <si>
    <t>ICD Sistema Toilette</t>
  </si>
  <si>
    <t>ICD Sistema Toilette - Annex</t>
  </si>
  <si>
    <t>ICD Sistema Anticendio</t>
  </si>
  <si>
    <t>ICD Sistema Anticendio - Annex</t>
  </si>
  <si>
    <t>ICD Sistema Porte</t>
  </si>
  <si>
    <t>ICD Sistema Porte - Annex</t>
  </si>
  <si>
    <t>ICD Sistema HVSP</t>
  </si>
  <si>
    <t>ICD Sistema HVSP  - Annex</t>
  </si>
  <si>
    <t>ICD Sistema Carica Batterie</t>
  </si>
  <si>
    <t>ICD Sistema Carica Batterie - Annex</t>
  </si>
  <si>
    <t>ICD HVAC</t>
  </si>
  <si>
    <t>ICD HVAC - Annex</t>
  </si>
  <si>
    <t>ICD Energy Measurement System</t>
  </si>
  <si>
    <t>ICD Energy Measurement System - Annex</t>
  </si>
  <si>
    <t>EC130021271</t>
  </si>
  <si>
    <t>EC130021272</t>
  </si>
  <si>
    <t>EC130019965</t>
  </si>
  <si>
    <t>EC130019966</t>
  </si>
  <si>
    <t>EC130019102</t>
  </si>
  <si>
    <t>EC130019104</t>
  </si>
  <si>
    <t>EC130021259</t>
  </si>
  <si>
    <t>EC130021260</t>
  </si>
  <si>
    <t>EC130019100</t>
  </si>
  <si>
    <t>EC130019101</t>
  </si>
  <si>
    <t>EC130020522</t>
  </si>
  <si>
    <t>EC130020523</t>
  </si>
  <si>
    <t>EC130021261</t>
  </si>
  <si>
    <t>EC130021262</t>
  </si>
  <si>
    <t>EC130021264</t>
  </si>
  <si>
    <t>EC130021265</t>
  </si>
  <si>
    <t>EC130021300</t>
  </si>
  <si>
    <t>EC130021301</t>
  </si>
  <si>
    <t>EC130021266</t>
  </si>
  <si>
    <t>EC130021268</t>
  </si>
  <si>
    <t>EC130023723</t>
  </si>
  <si>
    <t>EC130023724</t>
  </si>
  <si>
    <t>EC130021254</t>
  </si>
  <si>
    <t>EC130021255</t>
  </si>
  <si>
    <t>EC130021304</t>
  </si>
  <si>
    <t>EC130021305</t>
  </si>
  <si>
    <t>EC130023132</t>
  </si>
  <si>
    <t>EC130023133</t>
  </si>
  <si>
    <t>General Vehicle Document</t>
  </si>
  <si>
    <t>Train Performances</t>
  </si>
  <si>
    <t>Train System Architecture</t>
  </si>
  <si>
    <t>Train Running Simulations</t>
  </si>
  <si>
    <t>SyFD Propulsion System</t>
  </si>
  <si>
    <t>SyFD Train Control and Management System</t>
  </si>
  <si>
    <t>SyFD Ethernet Train Communication Network</t>
  </si>
  <si>
    <t>ED040019912</t>
  </si>
  <si>
    <t>FF010020369</t>
  </si>
  <si>
    <t>ED180020963</t>
  </si>
  <si>
    <t>FE010020176</t>
  </si>
  <si>
    <t>FT170023207</t>
  </si>
  <si>
    <t>FE020026857</t>
  </si>
  <si>
    <t>Functional Requirement Specification (FRS)</t>
  </si>
  <si>
    <t>FT080031387</t>
  </si>
  <si>
    <t>4.3</t>
  </si>
  <si>
    <t xml:space="preserve"> archivio a BL 5.6</t>
  </si>
  <si>
    <t>3ECP414080-0001</t>
  </si>
  <si>
    <t>HW</t>
  </si>
  <si>
    <t>Doc ID</t>
  </si>
  <si>
    <t>Functional principle diagrams (VISIO)</t>
  </si>
  <si>
    <t>Train Protection - ATP</t>
  </si>
  <si>
    <t>Propulsion and Auxiliary</t>
  </si>
  <si>
    <t>Visualisation - MMI</t>
  </si>
  <si>
    <t>SW_Config</t>
  </si>
  <si>
    <t>FPD_Drive Control</t>
  </si>
  <si>
    <t>FPD_Conventional Train Control</t>
  </si>
  <si>
    <t>FPD_Train Protection - ATP</t>
  </si>
  <si>
    <t>FPD_TCMS Architecture</t>
  </si>
  <si>
    <t>FPD_Propulsion and Auxiliary</t>
  </si>
  <si>
    <t>FPD_Line Voltage</t>
  </si>
  <si>
    <t>FPD_Auxiliary Electrical Supply</t>
  </si>
  <si>
    <t>FPD_Battery</t>
  </si>
  <si>
    <t>FPD_Air Supply</t>
  </si>
  <si>
    <t>FPD_Brake Control</t>
  </si>
  <si>
    <t>FPD_Bogie</t>
  </si>
  <si>
    <t>FPD_Wash Wiper</t>
  </si>
  <si>
    <t>FPD_Windscreen heater</t>
  </si>
  <si>
    <t>FPD_Automatic Coupler</t>
  </si>
  <si>
    <t>FPD_Horn</t>
  </si>
  <si>
    <t>FPD_Exterior and Interior Doors</t>
  </si>
  <si>
    <t>FPD_Cab HVAC</t>
  </si>
  <si>
    <t>FPD_Saloon HVAC</t>
  </si>
  <si>
    <t>FPD_Fire Protection and Extinguishing</t>
  </si>
  <si>
    <t>FPD_Toilet</t>
  </si>
  <si>
    <t>FPD_Catering</t>
  </si>
  <si>
    <t>FPD_PIS CCTV</t>
  </si>
  <si>
    <t>FPD_Exterior Lighting</t>
  </si>
  <si>
    <t>FPD_Interior Lighting</t>
  </si>
  <si>
    <t>FRS_Vehicle</t>
  </si>
  <si>
    <t>FRS_Drive Control</t>
  </si>
  <si>
    <t>FRS_Conventional Train Control</t>
  </si>
  <si>
    <t>FRS_Train Protection - ATP</t>
  </si>
  <si>
    <t>FRS_Diagnostics</t>
  </si>
  <si>
    <t>FRS_Visualisation - MMI</t>
  </si>
  <si>
    <t>FRS_TCMS - Operational</t>
  </si>
  <si>
    <t>FRS_Line Voltage</t>
  </si>
  <si>
    <t>FRS_Aux Electrical Supply</t>
  </si>
  <si>
    <t>FRS_Battery</t>
  </si>
  <si>
    <t>FRS_Air Supply</t>
  </si>
  <si>
    <t>FRS_Brake Control</t>
  </si>
  <si>
    <t>FRS_Bogies</t>
  </si>
  <si>
    <t>FRS_Wash Wiper</t>
  </si>
  <si>
    <t>FRS_Windscreen</t>
  </si>
  <si>
    <t>FRS_Coupler</t>
  </si>
  <si>
    <t>FRS_Horn</t>
  </si>
  <si>
    <t>FRS_Wheelchair Lifts</t>
  </si>
  <si>
    <t>FRS_Exterior Door and Step Systems</t>
  </si>
  <si>
    <t>FRS_Interior Doors</t>
  </si>
  <si>
    <t>FRS_Cab HVAC</t>
  </si>
  <si>
    <t>FRS_Saloon HVAC</t>
  </si>
  <si>
    <t>FRS_Fire Protection and Extinction</t>
  </si>
  <si>
    <t>FRS_Toilet</t>
  </si>
  <si>
    <t>FRS_Catering</t>
  </si>
  <si>
    <t>FRS_PIS</t>
  </si>
  <si>
    <t>FRS_PIS 2.0</t>
  </si>
  <si>
    <t>FRS_CCTV</t>
  </si>
  <si>
    <t>FRS_Exterior Lighting</t>
  </si>
  <si>
    <t>FRS_Interior Lighting</t>
  </si>
  <si>
    <t>FRS_Teledia</t>
  </si>
  <si>
    <t>FS_DM1</t>
  </si>
  <si>
    <t>FS_TT2</t>
  </si>
  <si>
    <t>FS_M3</t>
  </si>
  <si>
    <t>FS_T4</t>
  </si>
  <si>
    <t>FS_T5</t>
  </si>
  <si>
    <t>FS_M6</t>
  </si>
  <si>
    <t>FS_TT7</t>
  </si>
  <si>
    <t>FS_DM8</t>
  </si>
  <si>
    <t>CONFIG/</t>
  </si>
  <si>
    <t>dimensione massima COLLEG.IPERTESTUALE() = 255 caratteri</t>
  </si>
  <si>
    <t>NOME FILE</t>
  </si>
  <si>
    <t>https://gruppofsitaliane.sharepoint.com/:f:/r/sites/IngegneriaETReMezziLeggeri-Trenitalia/Shared%20Documents/Prova%20Doc%20ETR1000/PROVA_CONFIG/</t>
  </si>
  <si>
    <t>VZI_IT_R1</t>
  </si>
  <si>
    <t>VZI_IT_Base</t>
  </si>
  <si>
    <r>
      <t xml:space="preserve">VZI_IT_Base
</t>
    </r>
    <r>
      <rPr>
        <sz val="11"/>
        <rFont val="Calibri"/>
        <family val="2"/>
        <scheme val="minor"/>
      </rPr>
      <t>VZI-50_ IT Flotta base</t>
    </r>
  </si>
  <si>
    <t>CONFIG</t>
  </si>
  <si>
    <t>Rif. Pagina</t>
  </si>
  <si>
    <t>VZI-6_IT_R1</t>
  </si>
  <si>
    <t>VZI-4_IT_R1</t>
  </si>
  <si>
    <r>
      <t xml:space="preserve">VZI-4_IT_R1
</t>
    </r>
    <r>
      <rPr>
        <sz val="11"/>
        <rFont val="Calibri"/>
        <family val="2"/>
        <scheme val="minor"/>
      </rPr>
      <t>Full HRI</t>
    </r>
  </si>
  <si>
    <r>
      <t xml:space="preserve">VZI-6_IT_R1
</t>
    </r>
    <r>
      <rPr>
        <sz val="11"/>
        <rFont val="Calibri"/>
        <family val="2"/>
        <scheme val="minor"/>
      </rPr>
      <t>VZI-6_IT Full HRI (New 14)</t>
    </r>
  </si>
  <si>
    <t>Isolam_FAM_01</t>
  </si>
  <si>
    <t>Funz_X_yy</t>
  </si>
  <si>
    <t>xxxxx</t>
  </si>
  <si>
    <t>HW  + SW</t>
  </si>
  <si>
    <t>FS_xx</t>
  </si>
  <si>
    <t>FRS_xx</t>
  </si>
  <si>
    <t>FPD_xx</t>
  </si>
  <si>
    <t>RACCOLTA ALTRA DOC ???</t>
  </si>
  <si>
    <t>VZI_IT_New14</t>
  </si>
  <si>
    <t>VZ_IF Francia</t>
  </si>
  <si>
    <t>VZ_ES Spagna</t>
  </si>
  <si>
    <t>Ultima BL installata</t>
  </si>
  <si>
    <t>5.9 ?</t>
  </si>
  <si>
    <t>3ECP414196-0001</t>
  </si>
  <si>
    <t>3ECP400500-0001</t>
  </si>
  <si>
    <t>3ECP400500-0002</t>
  </si>
  <si>
    <t>3ECP400500-0003</t>
  </si>
  <si>
    <t>3ECP400500-0004</t>
  </si>
  <si>
    <t>3ECP400500-0006</t>
  </si>
  <si>
    <t>3ECP400500-0007</t>
  </si>
  <si>
    <t>3ECP400500-0008</t>
  </si>
  <si>
    <t>3ECP400500-0009</t>
  </si>
  <si>
    <t>3ECP400500-0010</t>
  </si>
  <si>
    <t>3ECP400500-0011</t>
  </si>
  <si>
    <t>3ECP400500-0012</t>
  </si>
  <si>
    <t>3ECP400500-0013</t>
  </si>
  <si>
    <t>3ECP400500-0015</t>
  </si>
  <si>
    <t>3ECP400500-0016</t>
  </si>
  <si>
    <t>3ECP400500-0017</t>
  </si>
  <si>
    <t>3ECP400500-0018</t>
  </si>
  <si>
    <t>3ECP400500-0019</t>
  </si>
  <si>
    <t>3ECP400500-0020</t>
  </si>
  <si>
    <t>3ECP400500-0021</t>
  </si>
  <si>
    <t>3ECP400500-0022</t>
  </si>
  <si>
    <t>4.3_14
17/12/2025</t>
  </si>
  <si>
    <t>4.2_14
30/01/2025</t>
  </si>
  <si>
    <t>5.6
06/02/2020</t>
  </si>
  <si>
    <t>VZI-50_ IT Flotta base
BL 5.6</t>
  </si>
  <si>
    <t>VZI-51-58_IT New 14
BL 4.2</t>
  </si>
  <si>
    <t>3ECP413719-0204</t>
  </si>
  <si>
    <t>3ECP414246-0902</t>
  </si>
  <si>
    <t>3ECP413719-1400</t>
  </si>
  <si>
    <t>3ECP413719-1100</t>
  </si>
  <si>
    <t>PIES</t>
  </si>
  <si>
    <t>3ECP413719-0502</t>
  </si>
  <si>
    <t>3ECP413719-0401</t>
  </si>
  <si>
    <t>3ECP413719-0903</t>
  </si>
  <si>
    <t>3ECP307211-1401</t>
  </si>
  <si>
    <t>3ECP307211-0002</t>
  </si>
  <si>
    <t>3ECP307211-0003</t>
  </si>
  <si>
    <t>3ECP307211-0004</t>
  </si>
  <si>
    <t>3ECP307211-0005</t>
  </si>
  <si>
    <t>3ECP307211-0006</t>
  </si>
  <si>
    <t>3ECP307211-0007</t>
  </si>
  <si>
    <t>3ECP307211-1408</t>
  </si>
  <si>
    <t>3ECP307212-1401</t>
  </si>
  <si>
    <t>3ECP307212-0002</t>
  </si>
  <si>
    <t>3ECP307212-0003</t>
  </si>
  <si>
    <t>3ECP307212-0004</t>
  </si>
  <si>
    <t>3ECP307212-0005</t>
  </si>
  <si>
    <t>3ECP307212-0006</t>
  </si>
  <si>
    <t>3ECP307212-0007</t>
  </si>
  <si>
    <t>3ECP307212-1408</t>
  </si>
  <si>
    <t>3ECP307213-1401</t>
  </si>
  <si>
    <t>3ECP307213-0002</t>
  </si>
  <si>
    <t>3ECP307213-0003</t>
  </si>
  <si>
    <t>3ECP307213-0004</t>
  </si>
  <si>
    <t>3ECP307213-0005</t>
  </si>
  <si>
    <t>3ECP307213-0006</t>
  </si>
  <si>
    <t>3ECP307213-0007</t>
  </si>
  <si>
    <t>3ECP307213-1408</t>
  </si>
  <si>
    <t>mancanti</t>
  </si>
  <si>
    <t>5.0
15/04/2026</t>
  </si>
  <si>
    <t>1.0
15/04/2026</t>
  </si>
  <si>
    <t>4.0 ?
xx/07/2025</t>
  </si>
  <si>
    <t>VZI-6_IT [R1]
BL 4.0</t>
  </si>
  <si>
    <t>VZI-4_IT [R1]
BL 1.0</t>
  </si>
  <si>
    <t>NUMERI TRENO</t>
  </si>
  <si>
    <t>2.4
09/03/2023</t>
  </si>
  <si>
    <t>VZ-ES Spagna
BL 2.4</t>
  </si>
  <si>
    <t>Info DOC</t>
  </si>
  <si>
    <t>DOC ID</t>
  </si>
  <si>
    <t>FUNZIONE</t>
  </si>
  <si>
    <t>TIPO (TBD)</t>
  </si>
  <si>
    <t>Conf Sheet aggiornata a BL</t>
  </si>
  <si>
    <t>Info differenze</t>
  </si>
  <si>
    <t>2.8
16/04/2025</t>
  </si>
  <si>
    <t>3ECP414502-0001</t>
  </si>
  <si>
    <t>G</t>
  </si>
  <si>
    <t>Codice BB</t>
  </si>
  <si>
    <t>Codice HRI</t>
  </si>
  <si>
    <t>EC01P008880B</t>
  </si>
  <si>
    <t>00.8</t>
  </si>
  <si>
    <t>EC01P008884B</t>
  </si>
  <si>
    <t>File/Codice</t>
  </si>
  <si>
    <t>EC01P008890B</t>
  </si>
  <si>
    <t>Codice Config</t>
  </si>
  <si>
    <t>EC01P008888B</t>
  </si>
  <si>
    <t>EC01P008889B</t>
  </si>
  <si>
    <t>00</t>
  </si>
  <si>
    <t>EC01P008873B</t>
  </si>
  <si>
    <t>EC01P008999B</t>
  </si>
  <si>
    <t>EC01P009000B</t>
  </si>
  <si>
    <t>EC01P009001B</t>
  </si>
  <si>
    <t>EC01P008887B</t>
  </si>
  <si>
    <t>EC01P009028B</t>
  </si>
  <si>
    <t>La pressione di GG-A024 chiude 2 contatti interni (1 ordinario, 1 ridondato), collegando 2 linee 110V a 2 ingressi della MIO: BRA_PARK_COM
Le 2 linee 110 derivano direttamente dal bus  180, tramite due fusibili rispettivamente JE-F007 e JE-F009.</t>
  </si>
  <si>
    <t>La pressione di GG-A024 chiude 2 contatti interni (1 ordinario, 1 ridondato), collegando 2 linee 110V a 2 ingressi della RIO: BRA_PARK_COM_N e BRA_PARK_COM_R
Le 2 linee 110 derivano direttamente dal bus  180, tramite due fusibili rispettivamente JE-F007 e JE-F009.
Un contatto del pulsante inoltre alimenta un circuito che intercetta, sulle casse portanti con disponibilità del freno di parcheggio, il comando di rilascio del TCMS verso le valvole di attuazione del parking brake stesso. Tale circuito viene alimentato tramite i relè di banco GC-K011 e GC-K025 e attuato per mezzo del relè temporizzato GC-K018. Tutta questa catena alimenta un relè GG-K028 presenti sulle casse portanti con disponibilità di freno di parcheggio.</t>
  </si>
  <si>
    <t xml:space="preserve">Il segnale di rilascio del praking brake verso la EVFS1 viene fornito dalle RIO BRA-EVFS1_COM. Il comando verso EVFS1 è sezionato solamente da un relè GG-K016 chiamato RER che si abilita con un contatto relativo all'inserzione della chiave di banco </t>
  </si>
  <si>
    <t>EVFS1 = Valvola applicazione parking brake
JE-K009 = RIO
JE-K010 = RIO
GG-K016 = Relè RER</t>
  </si>
  <si>
    <t>GG-K016 = Relè RER
GG-K028 = Relè di taglio per il comando di rilascio del PB dato da TCMS attraverso BRA_EVFS1_COM
EVFS1 = Valvola applicazione parking brake
JE-K009 = RIO
JE-K010 = RIO</t>
  </si>
  <si>
    <t>Il comando di GG-K028 è dato dalla catena circuitale introdotta nelle DM che serve a evitare che il TCMS possa comandare impropriamente il circuito di rilascio del freno di stazionamento chiamato anche Parking brake oppure Freno a molla FAM. Il comando verso EVFS1 è sezionato pertanto da un relè GG-K016 chiamato RER che si abilita con un contatto relativo all'inserzione della chiave di banco e dal relè GG-K028 facente capo alla catena introdotta nelle DM rispetto al circuito della flotta base. Lo stato di quest'ultimo relè è diagnosticato tramite 2 ingressi RIO ridondati chiamati BRA_EVFS1-PRO_N e BRA_EVFS1-PRO_R</t>
  </si>
  <si>
    <t xml:space="preserve">Aggiunto requisiti .3980 e .TRS.343 per inibire elettricamente il TCMS in caso di comando di sblocco PB non dovuto. Tali requisiti sono stati implementati con il circuito di cui alle descrizioni circuitali di cui sopra, il quale utilizza gli ingressi di comando BRA_PARK_COM di comando e lo stato delle variabili BRA_EVFS1-PRO_N e BRA_EVFS1-PRO_R per verificare che sia stato comandato effettivamente un rilascio da pulsante e da macchinista, e che non sia stato rilasciato esclusivamente dal TCMS 
</t>
  </si>
  <si>
    <t>,</t>
  </si>
  <si>
    <t>Generale</t>
  </si>
  <si>
    <t>https://gruppofsitaliane.sharepoint.com/:f:/r/sites/IngegneriaETReMezziLeggeri-Trenitalia/Prova Doc ETR1000/GENERALE/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</si>
</sst>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theme="1"/>
      <name val="Calibri"/>
      <family val="2"/>
      <scheme val="minor"/>
    </font>
    <font>
      <strike/>
      <sz val="11"/>
      <color rgb="FFFF0000"/>
      <name val="Calibri"/>
      <family val="2"/>
      <scheme val="minor"/>
    </font>
    <font>
      <sz val="11"/>
      <color theme="4"/>
      <name val="Calibri"/>
      <family val="2"/>
      <scheme val="minor"/>
    </font>
    <font>
      <b/>
      <sz val="11"/>
      <color theme="1"/>
      <name val="Calibri"/>
      <family val="2"/>
      <scheme val="minor"/>
    </font>
    <font>
      <i/>
      <sz val="11"/>
      <color theme="1"/>
      <name val="Calibri"/>
      <family val="2"/>
      <scheme val="minor"/>
    </font>
    <font>
      <b/>
      <sz val="11"/>
      <color rgb="FF0070C0"/>
      <name val="Calibri"/>
      <family val="2"/>
      <scheme val="minor"/>
    </font>
    <font>
      <sz val="10"/>
      <color theme="1"/>
      <name val="Calibri"/>
      <family val="2"/>
      <scheme val="minor"/>
    </font>
    <font>
      <b/>
      <sz val="10"/>
      <color rgb="FF0070C0"/>
      <name val="Calibri"/>
      <family val="2"/>
      <scheme val="minor"/>
    </font>
    <font>
      <b/>
      <u/>
      <sz val="11"/>
      <color rgb="FF0070C0"/>
      <name val="Calibri"/>
      <family val="2"/>
      <scheme val="minor"/>
    </font>
    <font>
      <sz val="9"/>
      <color theme="1"/>
      <name val="Calibri"/>
      <family val="2"/>
      <scheme val="minor"/>
    </font>
    <font>
      <sz val="11"/>
      <name val="Calibri"/>
      <family val="2"/>
      <scheme val="minor"/>
    </font>
    <font>
      <b/>
      <sz val="11"/>
      <color rgb="FFFF0000"/>
      <name val="Calibri"/>
      <family val="2"/>
      <scheme val="minor"/>
    </font>
    <font>
      <sz val="11"/>
      <color rgb="FF002060"/>
      <name val="Calibri"/>
      <family val="2"/>
      <scheme val="minor"/>
    </font>
    <font>
      <sz val="8"/>
      <color theme="1"/>
      <name val="Calibri"/>
      <family val="2"/>
      <scheme val="minor"/>
    </font>
    <font>
      <b/>
      <sz val="10"/>
      <color theme="1"/>
      <name val="Calibri"/>
      <family val="2"/>
      <scheme val="minor"/>
    </font>
    <font>
      <b/>
      <sz val="9"/>
      <color theme="1"/>
      <name val="Calibri"/>
      <family val="2"/>
      <scheme val="minor"/>
    </font>
    <font>
      <u/>
      <sz val="11"/>
      <color theme="10"/>
      <name val="Calibri"/>
      <family val="2"/>
      <scheme val="minor"/>
    </font>
    <font>
      <sz val="8"/>
      <name val="Calibri"/>
      <family val="2"/>
      <scheme val="minor"/>
    </font>
    <font>
      <sz val="11"/>
      <color rgb="FFFF0000"/>
      <name val="Calibri"/>
      <family val="2"/>
      <scheme val="minor"/>
    </font>
    <font>
      <sz val="11"/>
      <color theme="4" tint="-0.249977111117893"/>
      <name val="Calibri"/>
      <family val="2"/>
      <scheme val="minor"/>
    </font>
    <font>
      <b/>
      <sz val="11"/>
      <name val="Calibri"/>
      <family val="2"/>
      <scheme val="minor"/>
    </font>
    <font>
      <b/>
      <sz val="11"/>
      <color theme="1"/>
      <name val="Calibri"/>
      <family val="2"/>
    </font>
    <font>
      <b/>
      <sz val="9"/>
      <color theme="1"/>
      <name val="Calibri"/>
      <family val="2"/>
    </font>
    <font>
      <b/>
      <u/>
      <sz val="11"/>
      <color theme="10"/>
      <name val="Calibri"/>
      <family val="2"/>
      <scheme val="minor"/>
    </font>
    <font>
      <sz val="9"/>
      <color indexed="81"/>
      <name val="Tahoma"/>
      <family val="2"/>
    </font>
    <font>
      <b/>
      <sz val="9"/>
      <color indexed="81"/>
      <name val="Tahoma"/>
      <family val="2"/>
    </font>
    <font>
      <b/>
      <sz val="11"/>
      <color theme="0"/>
      <name val="Calibri"/>
      <family val="2"/>
      <scheme val="minor"/>
    </font>
  </fonts>
  <fills count="19">
    <fill>
      <patternFill patternType="none"/>
    </fill>
    <fill>
      <patternFill patternType="gray125"/>
    </fill>
    <fill>
      <patternFill patternType="solid">
        <fgColor theme="0" tint="-0.14999847407452621"/>
        <bgColor indexed="64"/>
      </patternFill>
    </fill>
    <fill>
      <patternFill patternType="solid">
        <fgColor theme="3" tint="0.79998168889431442"/>
        <bgColor indexed="64"/>
      </patternFill>
    </fill>
    <fill>
      <patternFill patternType="solid">
        <fgColor theme="4" tint="0.59999389629810485"/>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theme="5" tint="0.59999389629810485"/>
        <bgColor indexed="64"/>
      </patternFill>
    </fill>
    <fill>
      <patternFill patternType="solid">
        <fgColor theme="0" tint="-4.9989318521683403E-2"/>
        <bgColor indexed="64"/>
      </patternFill>
    </fill>
    <fill>
      <patternFill patternType="solid">
        <fgColor theme="2" tint="-9.9978637043366805E-2"/>
        <bgColor indexed="64"/>
      </patternFill>
    </fill>
    <fill>
      <patternFill patternType="solid">
        <fgColor theme="8" tint="0.59999389629810485"/>
        <bgColor indexed="64"/>
      </patternFill>
    </fill>
    <fill>
      <patternFill patternType="solid">
        <fgColor theme="0" tint="-0.34998626667073579"/>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4" tint="0.39997558519241921"/>
        <bgColor indexed="64"/>
      </patternFill>
    </fill>
    <fill>
      <patternFill patternType="solid">
        <fgColor theme="0" tint="-0.249977111117893"/>
        <bgColor indexed="64"/>
      </patternFill>
    </fill>
    <fill>
      <patternFill patternType="solid">
        <fgColor theme="9" tint="-0.249977111117893"/>
        <bgColor indexed="64"/>
      </patternFill>
    </fill>
    <fill>
      <patternFill patternType="solid">
        <fgColor theme="5" tint="-0.249977111117893"/>
        <bgColor indexed="64"/>
      </patternFill>
    </fill>
  </fills>
  <borders count="69">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bottom style="medium">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medium">
        <color indexed="64"/>
      </left>
      <right style="medium">
        <color indexed="64"/>
      </right>
      <top style="medium">
        <color indexed="64"/>
      </top>
      <bottom style="thin">
        <color indexed="64"/>
      </bottom>
      <diagonal/>
    </border>
    <border>
      <left/>
      <right/>
      <top/>
      <bottom style="thin">
        <color indexed="64"/>
      </bottom>
      <diagonal/>
    </border>
    <border>
      <left style="medium">
        <color indexed="64"/>
      </left>
      <right style="thin">
        <color indexed="64"/>
      </right>
      <top/>
      <bottom/>
      <diagonal/>
    </border>
    <border>
      <left style="thin">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style="medium">
        <color indexed="64"/>
      </left>
      <right style="medium">
        <color indexed="64"/>
      </right>
      <top style="thin">
        <color indexed="64"/>
      </top>
      <bottom style="medium">
        <color indexed="64"/>
      </bottom>
      <diagonal/>
    </border>
    <border>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top style="medium">
        <color indexed="64"/>
      </top>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style="thin">
        <color indexed="64"/>
      </left>
      <right/>
      <top/>
      <bottom/>
      <diagonal/>
    </border>
    <border>
      <left/>
      <right style="medium">
        <color indexed="64"/>
      </right>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top style="medium">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right/>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top style="thin">
        <color indexed="64"/>
      </top>
      <bottom style="thin">
        <color indexed="64"/>
      </bottom>
      <diagonal/>
    </border>
    <border>
      <left style="thin">
        <color indexed="64"/>
      </left>
      <right style="thin">
        <color indexed="64"/>
      </right>
      <top style="medium">
        <color indexed="64"/>
      </top>
      <bottom/>
      <diagonal/>
    </border>
  </borders>
  <cellStyleXfs count="2">
    <xf numFmtId="0" fontId="0" fillId="0" borderId="0"/>
    <xf numFmtId="0" fontId="16" fillId="0" borderId="0" applyNumberFormat="0" applyFill="0" applyBorder="0" applyAlignment="0" applyProtection="0"/>
  </cellStyleXfs>
  <cellXfs count="414">
    <xf numFmtId="0" fontId="0" fillId="0" borderId="0" xfId="0"/>
    <xf numFmtId="0" fontId="0" fillId="0" borderId="1" xfId="0" applyBorder="1"/>
    <xf numFmtId="0" fontId="0" fillId="0" borderId="2" xfId="0" applyBorder="1"/>
    <xf numFmtId="0" fontId="0" fillId="0" borderId="3" xfId="0" applyBorder="1"/>
    <xf numFmtId="0" fontId="0" fillId="0" borderId="2" xfId="0" applyBorder="1" applyAlignment="1">
      <alignment wrapText="1"/>
    </xf>
    <xf numFmtId="0" fontId="0" fillId="0" borderId="5" xfId="0" applyBorder="1"/>
    <xf numFmtId="0" fontId="0" fillId="0" borderId="6" xfId="0" applyBorder="1"/>
    <xf numFmtId="0" fontId="0" fillId="0" borderId="1" xfId="0" applyBorder="1" applyAlignment="1">
      <alignment horizontal="center" vertical="center"/>
    </xf>
    <xf numFmtId="0" fontId="0" fillId="0" borderId="4" xfId="0" applyBorder="1" applyAlignment="1">
      <alignment horizontal="center" vertical="center"/>
    </xf>
    <xf numFmtId="0" fontId="0" fillId="0" borderId="7" xfId="0" applyBorder="1" applyAlignment="1">
      <alignment horizontal="center" vertical="center"/>
    </xf>
    <xf numFmtId="0" fontId="0" fillId="0" borderId="5" xfId="0" applyBorder="1" applyAlignment="1">
      <alignment horizontal="center" vertical="center"/>
    </xf>
    <xf numFmtId="0" fontId="0" fillId="0" borderId="8" xfId="0" applyBorder="1"/>
    <xf numFmtId="0" fontId="0" fillId="0" borderId="0" xfId="0" applyAlignment="1">
      <alignment horizontal="center"/>
    </xf>
    <xf numFmtId="0" fontId="0" fillId="0" borderId="0" xfId="0" applyAlignment="1">
      <alignment vertical="center"/>
    </xf>
    <xf numFmtId="0" fontId="3" fillId="0" borderId="1" xfId="0" applyFont="1" applyBorder="1" applyAlignment="1">
      <alignment vertical="center"/>
    </xf>
    <xf numFmtId="0" fontId="0" fillId="0" borderId="0" xfId="0" applyAlignment="1">
      <alignment horizontal="center" vertical="center"/>
    </xf>
    <xf numFmtId="0" fontId="1" fillId="0" borderId="1" xfId="0" applyFont="1" applyBorder="1" applyAlignment="1">
      <alignment horizontal="center" vertical="center"/>
    </xf>
    <xf numFmtId="0" fontId="3" fillId="0" borderId="1" xfId="0" applyFont="1" applyBorder="1" applyAlignment="1">
      <alignment vertical="center" wrapText="1"/>
    </xf>
    <xf numFmtId="0" fontId="0" fillId="0" borderId="0" xfId="0" applyAlignment="1">
      <alignment horizontal="center" vertical="center" wrapText="1"/>
    </xf>
    <xf numFmtId="0" fontId="3" fillId="0" borderId="8" xfId="0" applyFont="1" applyBorder="1" applyAlignment="1">
      <alignment horizontal="center" vertical="center"/>
    </xf>
    <xf numFmtId="0" fontId="3" fillId="0" borderId="9" xfId="0" applyFont="1" applyBorder="1" applyAlignment="1">
      <alignment horizontal="center" vertical="center"/>
    </xf>
    <xf numFmtId="0" fontId="3" fillId="0" borderId="12" xfId="0" applyFont="1" applyBorder="1" applyAlignment="1">
      <alignment horizontal="center" vertical="center"/>
    </xf>
    <xf numFmtId="0" fontId="3" fillId="0" borderId="13" xfId="0" applyFont="1" applyBorder="1" applyAlignment="1">
      <alignment horizontal="center" vertical="center"/>
    </xf>
    <xf numFmtId="0" fontId="3" fillId="0" borderId="14" xfId="0" applyFont="1" applyBorder="1" applyAlignment="1">
      <alignment horizontal="center" vertical="center"/>
    </xf>
    <xf numFmtId="0" fontId="3" fillId="0" borderId="16" xfId="0" applyFont="1" applyBorder="1" applyAlignment="1">
      <alignment horizontal="center" vertical="center"/>
    </xf>
    <xf numFmtId="0" fontId="4" fillId="0" borderId="4" xfId="0" applyFont="1" applyBorder="1"/>
    <xf numFmtId="0" fontId="0" fillId="0" borderId="18" xfId="0" applyBorder="1" applyAlignment="1">
      <alignment wrapText="1"/>
    </xf>
    <xf numFmtId="0" fontId="4" fillId="3" borderId="4" xfId="0" applyFont="1" applyFill="1" applyBorder="1"/>
    <xf numFmtId="0" fontId="0" fillId="3" borderId="0" xfId="0" applyFill="1" applyAlignment="1">
      <alignment horizontal="center" vertical="center" wrapText="1"/>
    </xf>
    <xf numFmtId="0" fontId="0" fillId="3" borderId="18" xfId="0" applyFill="1" applyBorder="1" applyAlignment="1">
      <alignment wrapText="1"/>
    </xf>
    <xf numFmtId="0" fontId="0" fillId="0" borderId="4" xfId="0" applyBorder="1"/>
    <xf numFmtId="0" fontId="6" fillId="0" borderId="18" xfId="0" applyFont="1" applyBorder="1" applyAlignment="1">
      <alignment wrapText="1"/>
    </xf>
    <xf numFmtId="0" fontId="4" fillId="2" borderId="4" xfId="0" applyFont="1" applyFill="1" applyBorder="1"/>
    <xf numFmtId="0" fontId="0" fillId="2" borderId="4" xfId="0" applyFill="1" applyBorder="1"/>
    <xf numFmtId="0" fontId="0" fillId="2" borderId="18" xfId="0" applyFill="1" applyBorder="1" applyAlignment="1">
      <alignment wrapText="1"/>
    </xf>
    <xf numFmtId="0" fontId="3" fillId="0" borderId="20" xfId="0" applyFont="1" applyBorder="1" applyAlignment="1">
      <alignment horizontal="center" vertical="center"/>
    </xf>
    <xf numFmtId="0" fontId="4" fillId="0" borderId="1" xfId="0" applyFont="1" applyBorder="1"/>
    <xf numFmtId="3" fontId="0" fillId="0" borderId="1" xfId="0" applyNumberFormat="1" applyBorder="1" applyAlignment="1">
      <alignment horizontal="left"/>
    </xf>
    <xf numFmtId="0" fontId="0" fillId="0" borderId="21" xfId="0" applyBorder="1"/>
    <xf numFmtId="0" fontId="4" fillId="3" borderId="1" xfId="0" applyFont="1" applyFill="1" applyBorder="1"/>
    <xf numFmtId="3" fontId="0" fillId="3" borderId="1" xfId="0" applyNumberFormat="1" applyFill="1" applyBorder="1" applyAlignment="1">
      <alignment horizontal="left"/>
    </xf>
    <xf numFmtId="0" fontId="0" fillId="3" borderId="21" xfId="0" applyFill="1" applyBorder="1"/>
    <xf numFmtId="3" fontId="0" fillId="0" borderId="1" xfId="0" applyNumberFormat="1" applyBorder="1" applyAlignment="1">
      <alignment horizontal="center"/>
    </xf>
    <xf numFmtId="0" fontId="4" fillId="2" borderId="1" xfId="0" applyFont="1" applyFill="1" applyBorder="1"/>
    <xf numFmtId="3" fontId="0" fillId="2" borderId="1" xfId="0" applyNumberFormat="1" applyFill="1" applyBorder="1" applyAlignment="1">
      <alignment horizontal="left"/>
    </xf>
    <xf numFmtId="0" fontId="0" fillId="2" borderId="21" xfId="0" applyFill="1" applyBorder="1"/>
    <xf numFmtId="0" fontId="0" fillId="3" borderId="1" xfId="0" applyFill="1" applyBorder="1"/>
    <xf numFmtId="0" fontId="0" fillId="0" borderId="1" xfId="0" applyBorder="1" applyAlignment="1">
      <alignment horizontal="center"/>
    </xf>
    <xf numFmtId="0" fontId="0" fillId="2" borderId="1" xfId="0" applyFill="1" applyBorder="1"/>
    <xf numFmtId="0" fontId="0" fillId="0" borderId="1" xfId="0" applyBorder="1" applyAlignment="1">
      <alignment wrapText="1"/>
    </xf>
    <xf numFmtId="0" fontId="0" fillId="3" borderId="1" xfId="0" applyFill="1" applyBorder="1" applyAlignment="1">
      <alignment wrapText="1"/>
    </xf>
    <xf numFmtId="0" fontId="0" fillId="0" borderId="1" xfId="0" applyBorder="1" applyAlignment="1">
      <alignment horizontal="center" wrapText="1"/>
    </xf>
    <xf numFmtId="0" fontId="0" fillId="2" borderId="1" xfId="0" applyFill="1" applyBorder="1" applyAlignment="1">
      <alignment wrapText="1"/>
    </xf>
    <xf numFmtId="0" fontId="0" fillId="0" borderId="1" xfId="0" applyBorder="1" applyAlignment="1">
      <alignment horizontal="center" vertical="center" wrapText="1"/>
    </xf>
    <xf numFmtId="0" fontId="0" fillId="3" borderId="1" xfId="0" applyFill="1" applyBorder="1" applyAlignment="1">
      <alignment horizontal="center" vertical="center" wrapText="1"/>
    </xf>
    <xf numFmtId="0" fontId="4" fillId="0" borderId="26" xfId="0" applyFont="1" applyBorder="1"/>
    <xf numFmtId="0" fontId="0" fillId="0" borderId="26" xfId="0" applyBorder="1"/>
    <xf numFmtId="0" fontId="0" fillId="0" borderId="27" xfId="0" applyBorder="1"/>
    <xf numFmtId="0" fontId="4" fillId="3" borderId="26" xfId="0" applyFont="1" applyFill="1" applyBorder="1"/>
    <xf numFmtId="0" fontId="0" fillId="3" borderId="26" xfId="0" applyFill="1" applyBorder="1"/>
    <xf numFmtId="0" fontId="0" fillId="3" borderId="27" xfId="0" applyFill="1" applyBorder="1"/>
    <xf numFmtId="0" fontId="4" fillId="2" borderId="26" xfId="0" applyFont="1" applyFill="1" applyBorder="1"/>
    <xf numFmtId="0" fontId="0" fillId="2" borderId="26" xfId="0" applyFill="1" applyBorder="1"/>
    <xf numFmtId="0" fontId="0" fillId="2" borderId="27" xfId="0" applyFill="1" applyBorder="1"/>
    <xf numFmtId="0" fontId="0" fillId="0" borderId="31" xfId="0" applyBorder="1"/>
    <xf numFmtId="0" fontId="0" fillId="0" borderId="31" xfId="0" applyBorder="1" applyAlignment="1">
      <alignment horizontal="center"/>
    </xf>
    <xf numFmtId="0" fontId="0" fillId="0" borderId="32" xfId="0" applyBorder="1"/>
    <xf numFmtId="0" fontId="0" fillId="2" borderId="31" xfId="0" applyFill="1" applyBorder="1"/>
    <xf numFmtId="0" fontId="0" fillId="2" borderId="32" xfId="0" applyFill="1" applyBorder="1"/>
    <xf numFmtId="0" fontId="3" fillId="0" borderId="34" xfId="0" applyFont="1" applyBorder="1" applyAlignment="1">
      <alignment horizontal="center" vertical="center"/>
    </xf>
    <xf numFmtId="0" fontId="5" fillId="0" borderId="1" xfId="0" applyFont="1" applyBorder="1" applyAlignment="1">
      <alignment horizontal="center"/>
    </xf>
    <xf numFmtId="0" fontId="7" fillId="0" borderId="21" xfId="0" applyFont="1" applyBorder="1"/>
    <xf numFmtId="0" fontId="9" fillId="0" borderId="21" xfId="0" applyFont="1" applyBorder="1"/>
    <xf numFmtId="0" fontId="0" fillId="0" borderId="4" xfId="0" applyBorder="1" applyAlignment="1">
      <alignment horizontal="center"/>
    </xf>
    <xf numFmtId="0" fontId="10" fillId="0" borderId="0" xfId="0" applyFont="1" applyAlignment="1">
      <alignment horizontal="center"/>
    </xf>
    <xf numFmtId="0" fontId="11" fillId="0" borderId="1" xfId="0" applyFont="1" applyBorder="1" applyAlignment="1">
      <alignment horizontal="center" vertical="center"/>
    </xf>
    <xf numFmtId="0" fontId="0" fillId="2" borderId="1" xfId="0" applyFill="1" applyBorder="1" applyAlignment="1">
      <alignment horizontal="center"/>
    </xf>
    <xf numFmtId="0" fontId="12" fillId="0" borderId="1" xfId="0" applyFont="1" applyBorder="1" applyAlignment="1">
      <alignment horizontal="center"/>
    </xf>
    <xf numFmtId="0" fontId="3" fillId="0" borderId="6" xfId="0" applyFont="1" applyBorder="1" applyAlignment="1">
      <alignment horizontal="center" vertical="center"/>
    </xf>
    <xf numFmtId="0" fontId="0" fillId="0" borderId="30" xfId="0" applyBorder="1"/>
    <xf numFmtId="0" fontId="4" fillId="0" borderId="29" xfId="0" applyFont="1" applyBorder="1"/>
    <xf numFmtId="0" fontId="0" fillId="0" borderId="38" xfId="0" applyBorder="1"/>
    <xf numFmtId="0" fontId="0" fillId="0" borderId="32" xfId="0" applyBorder="1" applyAlignment="1">
      <alignment wrapText="1"/>
    </xf>
    <xf numFmtId="0" fontId="0" fillId="0" borderId="35" xfId="0" applyBorder="1"/>
    <xf numFmtId="0" fontId="4" fillId="0" borderId="20" xfId="0" applyFont="1" applyBorder="1"/>
    <xf numFmtId="0" fontId="4" fillId="0" borderId="20" xfId="0" applyFont="1" applyBorder="1" applyAlignment="1">
      <alignment vertical="center"/>
    </xf>
    <xf numFmtId="0" fontId="5" fillId="0" borderId="1" xfId="0" applyFont="1" applyBorder="1" applyAlignment="1">
      <alignment vertical="center" wrapText="1"/>
    </xf>
    <xf numFmtId="0" fontId="9" fillId="0" borderId="21" xfId="0" applyFont="1" applyBorder="1" applyAlignment="1">
      <alignment wrapText="1"/>
    </xf>
    <xf numFmtId="0" fontId="0" fillId="0" borderId="1" xfId="0" applyBorder="1" applyAlignment="1">
      <alignment horizontal="left" vertical="center" wrapText="1"/>
    </xf>
    <xf numFmtId="0" fontId="0" fillId="0" borderId="1" xfId="0" applyBorder="1" applyAlignment="1">
      <alignment vertical="center" wrapText="1"/>
    </xf>
    <xf numFmtId="0" fontId="9" fillId="0" borderId="21" xfId="0" applyFont="1" applyBorder="1" applyAlignment="1">
      <alignment vertical="center" wrapText="1"/>
    </xf>
    <xf numFmtId="0" fontId="5" fillId="0" borderId="1" xfId="0" applyFont="1" applyBorder="1"/>
    <xf numFmtId="0" fontId="0" fillId="0" borderId="23" xfId="0" applyBorder="1"/>
    <xf numFmtId="0" fontId="4" fillId="0" borderId="45" xfId="0" applyFont="1" applyBorder="1"/>
    <xf numFmtId="0" fontId="0" fillId="0" borderId="46" xfId="0" applyBorder="1"/>
    <xf numFmtId="0" fontId="0" fillId="0" borderId="43" xfId="0" applyBorder="1"/>
    <xf numFmtId="0" fontId="5" fillId="0" borderId="46" xfId="0" applyFont="1" applyBorder="1"/>
    <xf numFmtId="0" fontId="0" fillId="0" borderId="49" xfId="0" applyBorder="1"/>
    <xf numFmtId="0" fontId="4" fillId="0" borderId="31" xfId="0" applyFont="1" applyBorder="1"/>
    <xf numFmtId="0" fontId="0" fillId="0" borderId="31" xfId="0" applyBorder="1" applyAlignment="1">
      <alignment wrapText="1"/>
    </xf>
    <xf numFmtId="0" fontId="6" fillId="0" borderId="1" xfId="0" applyFont="1" applyBorder="1"/>
    <xf numFmtId="0" fontId="4" fillId="0" borderId="46" xfId="0" applyFont="1" applyBorder="1"/>
    <xf numFmtId="0" fontId="0" fillId="0" borderId="53" xfId="0" applyBorder="1"/>
    <xf numFmtId="0" fontId="3" fillId="0" borderId="2" xfId="0" applyFont="1" applyBorder="1" applyAlignment="1">
      <alignment horizontal="center" vertical="center" wrapText="1"/>
    </xf>
    <xf numFmtId="0" fontId="14" fillId="0" borderId="2" xfId="0" applyFont="1" applyBorder="1" applyAlignment="1">
      <alignment horizontal="center" vertical="center"/>
    </xf>
    <xf numFmtId="0" fontId="15" fillId="0" borderId="15" xfId="0" applyFont="1" applyBorder="1" applyAlignment="1">
      <alignment horizontal="center" vertical="center" wrapText="1"/>
    </xf>
    <xf numFmtId="0" fontId="3" fillId="0" borderId="1" xfId="0" applyFont="1" applyBorder="1" applyAlignment="1">
      <alignment horizontal="center" vertical="center"/>
    </xf>
    <xf numFmtId="0" fontId="3" fillId="0" borderId="1" xfId="0" applyFont="1" applyBorder="1" applyAlignment="1">
      <alignment horizontal="center" vertical="center" wrapText="1"/>
    </xf>
    <xf numFmtId="0" fontId="16" fillId="0" borderId="0" xfId="1"/>
    <xf numFmtId="0" fontId="3" fillId="0" borderId="1" xfId="0" quotePrefix="1" applyFont="1" applyBorder="1" applyAlignment="1">
      <alignment horizontal="center" vertical="center"/>
    </xf>
    <xf numFmtId="0" fontId="0" fillId="0" borderId="0" xfId="0" applyAlignment="1">
      <alignment vertical="center" wrapText="1"/>
    </xf>
    <xf numFmtId="0" fontId="16" fillId="0" borderId="0" xfId="1" applyAlignment="1">
      <alignment horizontal="center"/>
    </xf>
    <xf numFmtId="0" fontId="0" fillId="0" borderId="0" xfId="0" applyAlignment="1">
      <alignment horizontal="left" vertical="center"/>
    </xf>
    <xf numFmtId="0" fontId="3" fillId="4" borderId="64" xfId="0" applyFont="1" applyFill="1" applyBorder="1" applyAlignment="1">
      <alignment horizontal="center" vertical="center" wrapText="1"/>
    </xf>
    <xf numFmtId="0" fontId="3" fillId="4" borderId="16" xfId="0" applyFont="1" applyFill="1" applyBorder="1" applyAlignment="1">
      <alignment horizontal="center" vertical="center" wrapText="1"/>
    </xf>
    <xf numFmtId="0" fontId="3" fillId="4" borderId="7" xfId="0" applyFont="1" applyFill="1" applyBorder="1" applyAlignment="1">
      <alignment horizontal="center" vertical="center" wrapText="1"/>
    </xf>
    <xf numFmtId="0" fontId="3" fillId="0" borderId="0" xfId="0" applyFont="1" applyAlignment="1">
      <alignment vertical="center" wrapText="1"/>
    </xf>
    <xf numFmtId="0" fontId="0" fillId="0" borderId="0" xfId="0" applyAlignment="1">
      <alignment horizontal="left" vertical="center" wrapText="1"/>
    </xf>
    <xf numFmtId="0" fontId="0" fillId="0" borderId="65" xfId="0" applyBorder="1" applyAlignment="1">
      <alignment horizontal="center" vertical="center" wrapText="1"/>
    </xf>
    <xf numFmtId="0" fontId="0" fillId="0" borderId="4" xfId="0" applyBorder="1" applyAlignment="1">
      <alignment horizontal="center" vertical="center" wrapText="1"/>
    </xf>
    <xf numFmtId="0" fontId="0" fillId="0" borderId="39" xfId="0" applyBorder="1" applyAlignment="1">
      <alignment horizontal="center" vertical="center" wrapText="1"/>
    </xf>
    <xf numFmtId="0" fontId="0" fillId="0" borderId="66" xfId="0" applyBorder="1" applyAlignment="1">
      <alignment horizontal="center" vertical="center" wrapText="1"/>
    </xf>
    <xf numFmtId="0" fontId="0" fillId="0" borderId="64" xfId="0" applyBorder="1" applyAlignment="1">
      <alignment horizontal="center" vertical="center" wrapText="1"/>
    </xf>
    <xf numFmtId="0" fontId="0" fillId="0" borderId="7" xfId="0" applyBorder="1" applyAlignment="1">
      <alignment horizontal="center" vertical="center" wrapText="1"/>
    </xf>
    <xf numFmtId="0" fontId="0" fillId="0" borderId="39" xfId="0" applyBorder="1" applyAlignment="1">
      <alignment horizontal="left" vertical="center"/>
    </xf>
    <xf numFmtId="0" fontId="0" fillId="0" borderId="66" xfId="0" applyBorder="1" applyAlignment="1">
      <alignment vertical="center" wrapText="1"/>
    </xf>
    <xf numFmtId="0" fontId="18" fillId="0" borderId="0" xfId="0" applyFont="1" applyAlignment="1">
      <alignment horizontal="left" vertical="center"/>
    </xf>
    <xf numFmtId="0" fontId="16" fillId="0" borderId="0" xfId="1" applyBorder="1" applyAlignment="1">
      <alignment horizontal="center" vertical="center" wrapText="1"/>
    </xf>
    <xf numFmtId="0" fontId="16" fillId="0" borderId="66" xfId="1" applyBorder="1" applyAlignment="1">
      <alignment horizontal="center" vertical="center" wrapText="1"/>
    </xf>
    <xf numFmtId="0" fontId="0" fillId="0" borderId="64" xfId="0" applyBorder="1" applyAlignment="1">
      <alignment horizontal="left" vertical="center"/>
    </xf>
    <xf numFmtId="0" fontId="0" fillId="0" borderId="16" xfId="0" applyBorder="1" applyAlignment="1">
      <alignment horizontal="center" vertical="center" wrapText="1"/>
    </xf>
    <xf numFmtId="0" fontId="0" fillId="0" borderId="16" xfId="0" applyBorder="1" applyAlignment="1">
      <alignment horizontal="left" vertical="center"/>
    </xf>
    <xf numFmtId="0" fontId="0" fillId="0" borderId="7" xfId="0" applyBorder="1" applyAlignment="1">
      <alignment vertical="center" wrapText="1"/>
    </xf>
    <xf numFmtId="0" fontId="0" fillId="0" borderId="39" xfId="0" applyBorder="1" applyAlignment="1">
      <alignment vertical="center" wrapText="1"/>
    </xf>
    <xf numFmtId="0" fontId="0" fillId="0" borderId="64" xfId="0" applyBorder="1" applyAlignment="1">
      <alignment vertical="center" wrapText="1"/>
    </xf>
    <xf numFmtId="0" fontId="3" fillId="7" borderId="64" xfId="0" applyFont="1" applyFill="1" applyBorder="1" applyAlignment="1">
      <alignment horizontal="center" vertical="center"/>
    </xf>
    <xf numFmtId="0" fontId="3" fillId="7" borderId="16" xfId="0" applyFont="1" applyFill="1" applyBorder="1" applyAlignment="1">
      <alignment horizontal="center" vertical="center" wrapText="1"/>
    </xf>
    <xf numFmtId="0" fontId="3" fillId="7" borderId="7" xfId="0" applyFont="1" applyFill="1" applyBorder="1" applyAlignment="1">
      <alignment horizontal="center" vertical="center" wrapText="1"/>
    </xf>
    <xf numFmtId="0" fontId="3" fillId="7" borderId="16" xfId="0" applyFont="1" applyFill="1" applyBorder="1" applyAlignment="1">
      <alignment horizontal="center" vertical="center"/>
    </xf>
    <xf numFmtId="0" fontId="0" fillId="8" borderId="0" xfId="0" applyFill="1" applyAlignment="1">
      <alignment horizontal="center" vertical="center" wrapText="1"/>
    </xf>
    <xf numFmtId="0" fontId="0" fillId="8" borderId="39" xfId="0" applyFill="1" applyBorder="1" applyAlignment="1">
      <alignment horizontal="center" vertical="center" wrapText="1"/>
    </xf>
    <xf numFmtId="0" fontId="0" fillId="8" borderId="66" xfId="0" applyFill="1" applyBorder="1" applyAlignment="1">
      <alignment horizontal="center" vertical="center" wrapText="1"/>
    </xf>
    <xf numFmtId="0" fontId="0" fillId="0" borderId="65" xfId="0" applyBorder="1" applyAlignment="1">
      <alignment horizontal="left" vertical="center" wrapText="1"/>
    </xf>
    <xf numFmtId="0" fontId="0" fillId="0" borderId="4" xfId="0" applyBorder="1" applyAlignment="1">
      <alignment horizontal="left" vertical="center" wrapText="1"/>
    </xf>
    <xf numFmtId="0" fontId="0" fillId="0" borderId="39" xfId="0" applyBorder="1" applyAlignment="1">
      <alignment horizontal="left" vertical="center" wrapText="1"/>
    </xf>
    <xf numFmtId="0" fontId="0" fillId="0" borderId="64" xfId="0" applyBorder="1" applyAlignment="1">
      <alignment horizontal="left" vertical="center" wrapText="1"/>
    </xf>
    <xf numFmtId="0" fontId="0" fillId="2" borderId="39" xfId="0" applyFill="1" applyBorder="1" applyAlignment="1">
      <alignment horizontal="center" vertical="center" wrapText="1"/>
    </xf>
    <xf numFmtId="0" fontId="0" fillId="2" borderId="66" xfId="0" applyFill="1" applyBorder="1" applyAlignment="1">
      <alignment horizontal="center" vertical="center" wrapText="1"/>
    </xf>
    <xf numFmtId="0" fontId="0" fillId="2" borderId="65" xfId="0" applyFill="1" applyBorder="1" applyAlignment="1">
      <alignment horizontal="center" vertical="center" wrapText="1"/>
    </xf>
    <xf numFmtId="0" fontId="0" fillId="2" borderId="0" xfId="0" applyFill="1" applyAlignment="1">
      <alignment horizontal="center" vertical="center" wrapText="1"/>
    </xf>
    <xf numFmtId="0" fontId="0" fillId="2" borderId="39" xfId="0" applyFill="1" applyBorder="1" applyAlignment="1">
      <alignment horizontal="left" vertical="center"/>
    </xf>
    <xf numFmtId="0" fontId="0" fillId="2" borderId="66" xfId="0" applyFill="1" applyBorder="1" applyAlignment="1">
      <alignment vertical="center" wrapText="1"/>
    </xf>
    <xf numFmtId="0" fontId="0" fillId="2" borderId="39" xfId="0" applyFill="1" applyBorder="1" applyAlignment="1">
      <alignment vertical="center" wrapText="1"/>
    </xf>
    <xf numFmtId="0" fontId="18" fillId="0" borderId="39" xfId="0" applyFont="1" applyBorder="1" applyAlignment="1">
      <alignment horizontal="center" vertical="center" wrapText="1"/>
    </xf>
    <xf numFmtId="0" fontId="18" fillId="0" borderId="65" xfId="0" applyFont="1" applyBorder="1" applyAlignment="1">
      <alignment horizontal="center" vertical="center" wrapText="1"/>
    </xf>
    <xf numFmtId="0" fontId="18" fillId="8" borderId="39" xfId="0" applyFont="1" applyFill="1" applyBorder="1" applyAlignment="1">
      <alignment horizontal="center" vertical="center" wrapText="1"/>
    </xf>
    <xf numFmtId="0" fontId="3" fillId="7" borderId="1" xfId="0" applyFont="1" applyFill="1" applyBorder="1" applyAlignment="1">
      <alignment horizontal="center" vertical="center" wrapText="1"/>
    </xf>
    <xf numFmtId="0" fontId="18" fillId="0" borderId="66" xfId="0" applyFont="1" applyBorder="1" applyAlignment="1">
      <alignment horizontal="center" vertical="center" wrapText="1"/>
    </xf>
    <xf numFmtId="0" fontId="18" fillId="0" borderId="65" xfId="0" quotePrefix="1" applyFont="1" applyBorder="1" applyAlignment="1">
      <alignment horizontal="center" vertical="center" wrapText="1"/>
    </xf>
    <xf numFmtId="0" fontId="11" fillId="7" borderId="64" xfId="0" applyFont="1" applyFill="1" applyBorder="1" applyAlignment="1">
      <alignment horizontal="center" vertical="center"/>
    </xf>
    <xf numFmtId="0" fontId="11" fillId="7" borderId="7" xfId="0" applyFont="1" applyFill="1" applyBorder="1" applyAlignment="1">
      <alignment horizontal="center" vertical="center" wrapText="1"/>
    </xf>
    <xf numFmtId="0" fontId="0" fillId="2" borderId="0" xfId="0" applyFill="1" applyAlignment="1">
      <alignment horizontal="left" vertical="center"/>
    </xf>
    <xf numFmtId="0" fontId="19" fillId="0" borderId="66" xfId="0" applyFont="1" applyBorder="1" applyAlignment="1">
      <alignment horizontal="center" vertical="center" wrapText="1"/>
    </xf>
    <xf numFmtId="0" fontId="19" fillId="0" borderId="65" xfId="0" applyFont="1" applyBorder="1" applyAlignment="1">
      <alignment horizontal="center" vertical="center" wrapText="1"/>
    </xf>
    <xf numFmtId="0" fontId="10" fillId="0" borderId="66" xfId="0" applyFont="1" applyBorder="1" applyAlignment="1">
      <alignment horizontal="center" vertical="center" wrapText="1"/>
    </xf>
    <xf numFmtId="0" fontId="10" fillId="0" borderId="65" xfId="0" applyFont="1" applyBorder="1" applyAlignment="1">
      <alignment horizontal="center" vertical="center" wrapText="1"/>
    </xf>
    <xf numFmtId="0" fontId="2" fillId="0" borderId="66" xfId="0" applyFont="1" applyBorder="1" applyAlignment="1">
      <alignment horizontal="center" vertical="center" wrapText="1"/>
    </xf>
    <xf numFmtId="0" fontId="2" fillId="0" borderId="65"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0" xfId="0" applyFont="1" applyAlignment="1">
      <alignment horizontal="center" vertical="center" wrapText="1"/>
    </xf>
    <xf numFmtId="0" fontId="10" fillId="0" borderId="39" xfId="0" applyFont="1" applyBorder="1" applyAlignment="1">
      <alignment horizontal="center" vertical="center" wrapText="1"/>
    </xf>
    <xf numFmtId="0" fontId="10" fillId="0" borderId="0" xfId="0" applyFont="1" applyAlignment="1">
      <alignment horizontal="center" vertical="center" wrapText="1"/>
    </xf>
    <xf numFmtId="0" fontId="18" fillId="0" borderId="0" xfId="0" applyFont="1" applyAlignment="1">
      <alignment horizontal="center" vertical="center" wrapText="1"/>
    </xf>
    <xf numFmtId="0" fontId="0" fillId="0" borderId="0" xfId="0" quotePrefix="1" applyAlignment="1">
      <alignment horizontal="center" vertical="center" wrapText="1"/>
    </xf>
    <xf numFmtId="0" fontId="20" fillId="4" borderId="64" xfId="0" applyFont="1" applyFill="1" applyBorder="1" applyAlignment="1">
      <alignment horizontal="center" vertical="center" wrapText="1"/>
    </xf>
    <xf numFmtId="0" fontId="20" fillId="4" borderId="16" xfId="0" applyFont="1" applyFill="1" applyBorder="1" applyAlignment="1">
      <alignment horizontal="center" vertical="center" wrapText="1"/>
    </xf>
    <xf numFmtId="0" fontId="20" fillId="4" borderId="7" xfId="0" applyFont="1" applyFill="1" applyBorder="1" applyAlignment="1">
      <alignment horizontal="center" vertical="center" wrapText="1"/>
    </xf>
    <xf numFmtId="0" fontId="18" fillId="0" borderId="0" xfId="0" applyFont="1" applyAlignment="1">
      <alignment vertical="center"/>
    </xf>
    <xf numFmtId="0" fontId="0" fillId="10" borderId="66" xfId="0" applyFill="1" applyBorder="1" applyAlignment="1">
      <alignment horizontal="center" vertical="center" wrapText="1"/>
    </xf>
    <xf numFmtId="0" fontId="0" fillId="10" borderId="65" xfId="0" applyFill="1" applyBorder="1" applyAlignment="1">
      <alignment horizontal="center" vertical="center" wrapText="1"/>
    </xf>
    <xf numFmtId="0" fontId="0" fillId="10" borderId="39" xfId="0" applyFill="1" applyBorder="1" applyAlignment="1">
      <alignment horizontal="center" vertical="center" wrapText="1"/>
    </xf>
    <xf numFmtId="0" fontId="0" fillId="10" borderId="0" xfId="0" applyFill="1" applyAlignment="1">
      <alignment horizontal="center" vertical="center" wrapText="1"/>
    </xf>
    <xf numFmtId="0" fontId="20" fillId="0" borderId="1" xfId="0" quotePrefix="1" applyFont="1" applyBorder="1" applyAlignment="1">
      <alignment horizontal="center" vertical="center"/>
    </xf>
    <xf numFmtId="0" fontId="20" fillId="0" borderId="1" xfId="0" applyFont="1" applyBorder="1" applyAlignment="1">
      <alignment vertical="center"/>
    </xf>
    <xf numFmtId="0" fontId="10" fillId="0" borderId="1" xfId="0" applyFont="1" applyBorder="1" applyAlignment="1">
      <alignment horizontal="center" vertical="center"/>
    </xf>
    <xf numFmtId="0" fontId="10" fillId="0" borderId="5" xfId="0" applyFont="1" applyBorder="1" applyAlignment="1">
      <alignment horizontal="center" vertical="center"/>
    </xf>
    <xf numFmtId="0" fontId="10" fillId="0" borderId="0" xfId="0" applyFont="1" applyAlignment="1">
      <alignment vertical="center"/>
    </xf>
    <xf numFmtId="0" fontId="16" fillId="2" borderId="66" xfId="1" applyFill="1" applyBorder="1" applyAlignment="1">
      <alignment horizontal="center" vertical="center" wrapText="1"/>
    </xf>
    <xf numFmtId="0" fontId="18" fillId="2" borderId="65" xfId="0" applyFont="1" applyFill="1" applyBorder="1" applyAlignment="1">
      <alignment horizontal="center" vertical="center" wrapText="1"/>
    </xf>
    <xf numFmtId="0" fontId="3" fillId="11" borderId="39" xfId="0" applyFont="1" applyFill="1" applyBorder="1" applyAlignment="1">
      <alignment horizontal="center" vertical="center" wrapText="1"/>
    </xf>
    <xf numFmtId="0" fontId="3" fillId="11" borderId="66" xfId="0" applyFont="1" applyFill="1" applyBorder="1" applyAlignment="1">
      <alignment horizontal="center" vertical="center" wrapText="1"/>
    </xf>
    <xf numFmtId="0" fontId="3" fillId="11" borderId="65" xfId="0" applyFont="1" applyFill="1" applyBorder="1" applyAlignment="1">
      <alignment horizontal="center" vertical="center" wrapText="1"/>
    </xf>
    <xf numFmtId="0" fontId="3" fillId="11" borderId="0" xfId="0" applyFont="1" applyFill="1" applyAlignment="1">
      <alignment horizontal="center" vertical="center" wrapText="1"/>
    </xf>
    <xf numFmtId="0" fontId="3" fillId="11" borderId="39" xfId="0" applyFont="1" applyFill="1" applyBorder="1" applyAlignment="1">
      <alignment horizontal="left" vertical="center"/>
    </xf>
    <xf numFmtId="0" fontId="11" fillId="11" borderId="0" xfId="0" applyFont="1" applyFill="1" applyAlignment="1">
      <alignment horizontal="left" vertical="center"/>
    </xf>
    <xf numFmtId="0" fontId="3" fillId="11" borderId="66" xfId="0" applyFont="1" applyFill="1" applyBorder="1" applyAlignment="1">
      <alignment vertical="center" wrapText="1"/>
    </xf>
    <xf numFmtId="0" fontId="3" fillId="11" borderId="39" xfId="0" applyFont="1" applyFill="1" applyBorder="1" applyAlignment="1">
      <alignment vertical="center" wrapText="1"/>
    </xf>
    <xf numFmtId="0" fontId="3" fillId="11" borderId="0" xfId="0" applyFont="1" applyFill="1" applyAlignment="1">
      <alignment horizontal="left" vertical="center"/>
    </xf>
    <xf numFmtId="0" fontId="23" fillId="11" borderId="0" xfId="1" applyFont="1" applyFill="1" applyBorder="1" applyAlignment="1">
      <alignment horizontal="center" vertical="center" wrapText="1"/>
    </xf>
    <xf numFmtId="0" fontId="23" fillId="11" borderId="66" xfId="1" applyFont="1" applyFill="1" applyBorder="1" applyAlignment="1">
      <alignment horizontal="center" vertical="center" wrapText="1"/>
    </xf>
    <xf numFmtId="0" fontId="0" fillId="0" borderId="1" xfId="0" applyBorder="1" applyAlignment="1">
      <alignment vertical="center"/>
    </xf>
    <xf numFmtId="0" fontId="0" fillId="4" borderId="1" xfId="0" applyFill="1" applyBorder="1" applyAlignment="1">
      <alignment horizontal="center" vertical="center"/>
    </xf>
    <xf numFmtId="0" fontId="0" fillId="4" borderId="1" xfId="0" applyFill="1" applyBorder="1" applyAlignment="1">
      <alignment vertical="center"/>
    </xf>
    <xf numFmtId="0" fontId="0" fillId="0" borderId="1" xfId="0" quotePrefix="1" applyBorder="1" applyAlignment="1">
      <alignment vertical="center"/>
    </xf>
    <xf numFmtId="0" fontId="18" fillId="0" borderId="1" xfId="0" applyFont="1" applyBorder="1" applyAlignment="1">
      <alignment horizontal="center" vertical="center"/>
    </xf>
    <xf numFmtId="0" fontId="18" fillId="0" borderId="1" xfId="0" applyFont="1" applyBorder="1" applyAlignment="1">
      <alignment vertical="center" wrapText="1"/>
    </xf>
    <xf numFmtId="0" fontId="18" fillId="4" borderId="1" xfId="0" applyFont="1" applyFill="1" applyBorder="1" applyAlignment="1">
      <alignment horizontal="center" vertical="center"/>
    </xf>
    <xf numFmtId="17" fontId="18" fillId="4" borderId="1" xfId="0" applyNumberFormat="1" applyFont="1" applyFill="1" applyBorder="1" applyAlignment="1">
      <alignment horizontal="center" vertical="center"/>
    </xf>
    <xf numFmtId="0" fontId="18" fillId="0" borderId="1" xfId="0" applyFont="1" applyBorder="1" applyAlignment="1">
      <alignment vertical="center"/>
    </xf>
    <xf numFmtId="0" fontId="18" fillId="4" borderId="1" xfId="0" applyFont="1" applyFill="1" applyBorder="1" applyAlignment="1">
      <alignment vertical="center"/>
    </xf>
    <xf numFmtId="0" fontId="0" fillId="4" borderId="1" xfId="0" quotePrefix="1" applyFill="1" applyBorder="1" applyAlignment="1">
      <alignment horizontal="center" vertical="center"/>
    </xf>
    <xf numFmtId="0" fontId="0" fillId="0" borderId="4" xfId="0" applyBorder="1" applyAlignment="1">
      <alignment vertical="center"/>
    </xf>
    <xf numFmtId="0" fontId="0" fillId="4" borderId="4" xfId="0" applyFill="1" applyBorder="1" applyAlignment="1">
      <alignment horizontal="center" vertical="center"/>
    </xf>
    <xf numFmtId="0" fontId="0" fillId="4" borderId="4" xfId="0" quotePrefix="1" applyFill="1" applyBorder="1" applyAlignment="1">
      <alignment horizontal="center" vertical="center"/>
    </xf>
    <xf numFmtId="0" fontId="0" fillId="4" borderId="4" xfId="0" applyFill="1" applyBorder="1" applyAlignment="1">
      <alignment vertical="center"/>
    </xf>
    <xf numFmtId="0" fontId="20" fillId="4" borderId="31" xfId="0" applyFont="1" applyFill="1" applyBorder="1" applyAlignment="1">
      <alignment horizontal="center" vertical="center" wrapText="1"/>
    </xf>
    <xf numFmtId="0" fontId="20" fillId="4" borderId="32" xfId="0" applyFont="1" applyFill="1" applyBorder="1" applyAlignment="1">
      <alignment horizontal="center" vertical="center" wrapText="1"/>
    </xf>
    <xf numFmtId="0" fontId="21" fillId="4" borderId="26" xfId="0" applyFont="1" applyFill="1" applyBorder="1" applyAlignment="1">
      <alignment horizontal="center" vertical="center" wrapText="1"/>
    </xf>
    <xf numFmtId="49" fontId="21" fillId="4" borderId="26" xfId="0" applyNumberFormat="1" applyFont="1" applyFill="1" applyBorder="1" applyAlignment="1">
      <alignment horizontal="center" vertical="center" wrapText="1"/>
    </xf>
    <xf numFmtId="0" fontId="20" fillId="4" borderId="26" xfId="0" applyFont="1" applyFill="1" applyBorder="1" applyAlignment="1">
      <alignment horizontal="center" vertical="center" wrapText="1"/>
    </xf>
    <xf numFmtId="0" fontId="20" fillId="4" borderId="27" xfId="0" applyFont="1" applyFill="1" applyBorder="1" applyAlignment="1">
      <alignment horizontal="center" vertical="center" wrapText="1"/>
    </xf>
    <xf numFmtId="0" fontId="0" fillId="0" borderId="66" xfId="0" applyBorder="1" applyAlignment="1">
      <alignment horizontal="left" vertical="center" wrapText="1"/>
    </xf>
    <xf numFmtId="0" fontId="0" fillId="0" borderId="7" xfId="0" applyBorder="1" applyAlignment="1">
      <alignment horizontal="left" vertical="center" wrapText="1"/>
    </xf>
    <xf numFmtId="0" fontId="3" fillId="8" borderId="65" xfId="0" applyFont="1" applyFill="1" applyBorder="1" applyAlignment="1">
      <alignment horizontal="left" vertical="center" wrapText="1"/>
    </xf>
    <xf numFmtId="0" fontId="3" fillId="8" borderId="46" xfId="0" applyFont="1" applyFill="1" applyBorder="1" applyAlignment="1">
      <alignment horizontal="left" vertical="center" wrapText="1"/>
    </xf>
    <xf numFmtId="0" fontId="20" fillId="8" borderId="63" xfId="0" applyFont="1" applyFill="1" applyBorder="1" applyAlignment="1">
      <alignment horizontal="center" vertical="center" wrapText="1"/>
    </xf>
    <xf numFmtId="0" fontId="20" fillId="8" borderId="49" xfId="0" applyFont="1" applyFill="1" applyBorder="1" applyAlignment="1">
      <alignment horizontal="center" vertical="center" wrapText="1"/>
    </xf>
    <xf numFmtId="0" fontId="20" fillId="8" borderId="45" xfId="0" applyFont="1" applyFill="1" applyBorder="1" applyAlignment="1">
      <alignment horizontal="center" vertical="center" wrapText="1"/>
    </xf>
    <xf numFmtId="0" fontId="10" fillId="0" borderId="0" xfId="0" quotePrefix="1" applyFont="1" applyAlignment="1">
      <alignment horizontal="center" vertical="center" wrapText="1"/>
    </xf>
    <xf numFmtId="0" fontId="18" fillId="0" borderId="0" xfId="0" quotePrefix="1" applyFont="1" applyAlignment="1">
      <alignment horizontal="center" vertical="center" wrapText="1"/>
    </xf>
    <xf numFmtId="0" fontId="18" fillId="8" borderId="0" xfId="0" applyFont="1" applyFill="1" applyAlignment="1">
      <alignment horizontal="center" vertical="center" wrapText="1"/>
    </xf>
    <xf numFmtId="0" fontId="18" fillId="0" borderId="16" xfId="0" applyFont="1" applyBorder="1" applyAlignment="1">
      <alignment horizontal="center" vertical="center" wrapText="1"/>
    </xf>
    <xf numFmtId="0" fontId="10" fillId="0" borderId="16" xfId="0" applyFont="1" applyBorder="1" applyAlignment="1">
      <alignment horizontal="center" vertical="center" wrapText="1"/>
    </xf>
    <xf numFmtId="0" fontId="3" fillId="0" borderId="0" xfId="0" applyFont="1" applyAlignment="1">
      <alignment vertical="center"/>
    </xf>
    <xf numFmtId="0" fontId="0" fillId="0" borderId="16" xfId="0" applyBorder="1" applyAlignment="1">
      <alignment horizontal="left" vertical="center" wrapText="1"/>
    </xf>
    <xf numFmtId="0" fontId="3" fillId="8" borderId="63" xfId="0" applyFont="1" applyFill="1" applyBorder="1" applyAlignment="1">
      <alignment horizontal="left" vertical="center" wrapText="1"/>
    </xf>
    <xf numFmtId="0" fontId="3" fillId="8" borderId="39" xfId="0" applyFont="1" applyFill="1" applyBorder="1" applyAlignment="1">
      <alignment horizontal="left" vertical="center" wrapText="1"/>
    </xf>
    <xf numFmtId="0" fontId="10" fillId="4" borderId="5" xfId="0" applyFont="1" applyFill="1" applyBorder="1" applyAlignment="1">
      <alignment horizontal="center" vertical="center" wrapText="1"/>
    </xf>
    <xf numFmtId="0" fontId="10" fillId="4" borderId="64" xfId="0" applyFont="1" applyFill="1" applyBorder="1" applyAlignment="1">
      <alignment horizontal="center" vertical="center" wrapText="1"/>
    </xf>
    <xf numFmtId="0" fontId="10" fillId="4" borderId="7" xfId="0" applyFont="1" applyFill="1" applyBorder="1" applyAlignment="1">
      <alignment horizontal="center" vertical="center" wrapText="1"/>
    </xf>
    <xf numFmtId="0" fontId="10" fillId="4" borderId="20" xfId="0" applyFont="1" applyFill="1" applyBorder="1" applyAlignment="1">
      <alignment horizontal="center" vertical="center" wrapText="1"/>
    </xf>
    <xf numFmtId="0" fontId="0" fillId="14" borderId="39" xfId="0" applyFill="1" applyBorder="1" applyAlignment="1">
      <alignment horizontal="center" vertical="center" wrapText="1"/>
    </xf>
    <xf numFmtId="0" fontId="11" fillId="0" borderId="1" xfId="0" applyFont="1" applyBorder="1" applyAlignment="1">
      <alignment horizontal="center" vertical="center" wrapText="1"/>
    </xf>
    <xf numFmtId="0" fontId="3" fillId="15" borderId="1" xfId="0" applyFont="1" applyFill="1" applyBorder="1" applyAlignment="1">
      <alignment horizontal="center" vertical="center"/>
    </xf>
    <xf numFmtId="0" fontId="3" fillId="15" borderId="1" xfId="0" applyFont="1" applyFill="1" applyBorder="1" applyAlignment="1">
      <alignment horizontal="center" vertical="center" wrapText="1"/>
    </xf>
    <xf numFmtId="0" fontId="0" fillId="16" borderId="0" xfId="0" applyFill="1" applyAlignment="1">
      <alignment horizontal="center" vertical="center"/>
    </xf>
    <xf numFmtId="0" fontId="3" fillId="16" borderId="1" xfId="0" applyFont="1" applyFill="1" applyBorder="1" applyAlignment="1">
      <alignment horizontal="center" vertical="center"/>
    </xf>
    <xf numFmtId="0" fontId="3" fillId="16" borderId="0" xfId="0" applyFont="1" applyFill="1" applyAlignment="1">
      <alignment horizontal="left" vertical="center"/>
    </xf>
    <xf numFmtId="0" fontId="20" fillId="0" borderId="1" xfId="0" applyFont="1" applyBorder="1" applyAlignment="1">
      <alignment horizontal="center" vertical="center" wrapText="1"/>
    </xf>
    <xf numFmtId="0" fontId="26" fillId="17" borderId="1" xfId="0" applyFont="1" applyFill="1" applyBorder="1" applyAlignment="1">
      <alignment horizontal="center" vertical="center" wrapText="1"/>
    </xf>
    <xf numFmtId="0" fontId="0" fillId="12" borderId="1" xfId="0" applyFill="1" applyBorder="1" applyAlignment="1">
      <alignment horizontal="left" vertical="center" wrapText="1"/>
    </xf>
    <xf numFmtId="0" fontId="0" fillId="12" borderId="1" xfId="0" applyFill="1" applyBorder="1" applyAlignment="1">
      <alignment horizontal="center" vertical="center" wrapText="1"/>
    </xf>
    <xf numFmtId="0" fontId="0" fillId="13" borderId="1" xfId="0" applyFill="1" applyBorder="1" applyAlignment="1">
      <alignment horizontal="left" vertical="center" wrapText="1"/>
    </xf>
    <xf numFmtId="0" fontId="16" fillId="13" borderId="1" xfId="1" applyFill="1" applyBorder="1" applyAlignment="1">
      <alignment horizontal="center"/>
    </xf>
    <xf numFmtId="0" fontId="0" fillId="13" borderId="1" xfId="0" applyFill="1" applyBorder="1" applyAlignment="1">
      <alignment horizontal="center" vertical="center" wrapText="1"/>
    </xf>
    <xf numFmtId="0" fontId="18" fillId="0" borderId="1" xfId="0" applyFont="1" applyBorder="1" applyAlignment="1">
      <alignment horizontal="center" vertical="center" wrapText="1"/>
    </xf>
    <xf numFmtId="0" fontId="18" fillId="13" borderId="1" xfId="0" applyFont="1" applyFill="1" applyBorder="1" applyAlignment="1">
      <alignment horizontal="left" vertical="center" wrapText="1"/>
    </xf>
    <xf numFmtId="0" fontId="0" fillId="13" borderId="67" xfId="0" applyFill="1" applyBorder="1" applyAlignment="1">
      <alignment horizontal="left" vertical="center" wrapText="1"/>
    </xf>
    <xf numFmtId="0" fontId="0" fillId="13" borderId="5" xfId="0" applyFill="1" applyBorder="1" applyAlignment="1">
      <alignment horizontal="left" vertical="center" wrapText="1"/>
    </xf>
    <xf numFmtId="0" fontId="0" fillId="12" borderId="67" xfId="0" applyFill="1" applyBorder="1" applyAlignment="1">
      <alignment horizontal="left" vertical="center" wrapText="1"/>
    </xf>
    <xf numFmtId="0" fontId="0" fillId="12" borderId="20" xfId="0" applyFill="1" applyBorder="1" applyAlignment="1">
      <alignment horizontal="left" vertical="center" wrapText="1"/>
    </xf>
    <xf numFmtId="0" fontId="0" fillId="12" borderId="20" xfId="0" applyFill="1" applyBorder="1" applyAlignment="1">
      <alignment horizontal="center" vertical="center" wrapText="1"/>
    </xf>
    <xf numFmtId="0" fontId="0" fillId="12" borderId="5" xfId="0" applyFill="1" applyBorder="1" applyAlignment="1">
      <alignment horizontal="center" vertical="center" wrapText="1"/>
    </xf>
    <xf numFmtId="0" fontId="18" fillId="14" borderId="0" xfId="0" applyFont="1" applyFill="1" applyAlignment="1">
      <alignment horizontal="center" vertical="center" wrapText="1"/>
    </xf>
    <xf numFmtId="0" fontId="18" fillId="12" borderId="1" xfId="0" applyFont="1" applyFill="1" applyBorder="1" applyAlignment="1">
      <alignment horizontal="left" vertical="center" wrapText="1"/>
    </xf>
    <xf numFmtId="0" fontId="18" fillId="12" borderId="1" xfId="0" applyFont="1" applyFill="1" applyBorder="1" applyAlignment="1">
      <alignment horizontal="center" vertical="center" wrapText="1"/>
    </xf>
    <xf numFmtId="0" fontId="0" fillId="0" borderId="46" xfId="0" applyBorder="1" applyAlignment="1">
      <alignment horizontal="left" vertical="center" wrapText="1"/>
    </xf>
    <xf numFmtId="0" fontId="19" fillId="0" borderId="39" xfId="0" applyFont="1" applyBorder="1" applyAlignment="1">
      <alignment horizontal="center" vertical="center" wrapText="1"/>
    </xf>
    <xf numFmtId="0" fontId="19" fillId="0" borderId="0" xfId="0" applyFont="1" applyAlignment="1">
      <alignment horizontal="center" vertical="center" wrapText="1"/>
    </xf>
    <xf numFmtId="0" fontId="0" fillId="0" borderId="66" xfId="0" quotePrefix="1" applyBorder="1" applyAlignment="1">
      <alignment horizontal="center" vertical="center" wrapText="1"/>
    </xf>
    <xf numFmtId="0" fontId="20" fillId="4" borderId="67" xfId="0" applyFont="1" applyFill="1" applyBorder="1" applyAlignment="1">
      <alignment horizontal="center" vertical="center" wrapText="1"/>
    </xf>
    <xf numFmtId="0" fontId="20" fillId="4" borderId="5" xfId="0" applyFont="1" applyFill="1" applyBorder="1" applyAlignment="1">
      <alignment horizontal="center" vertical="center" wrapText="1"/>
    </xf>
    <xf numFmtId="0" fontId="3" fillId="7" borderId="46" xfId="0" applyFont="1" applyFill="1" applyBorder="1" applyAlignment="1">
      <alignment horizontal="center" vertical="center" wrapText="1"/>
    </xf>
    <xf numFmtId="0" fontId="3" fillId="7" borderId="65" xfId="0" applyFont="1" applyFill="1" applyBorder="1" applyAlignment="1">
      <alignment horizontal="center" vertical="center" wrapText="1"/>
    </xf>
    <xf numFmtId="0" fontId="3" fillId="7" borderId="4" xfId="0" applyFont="1" applyFill="1" applyBorder="1" applyAlignment="1">
      <alignment horizontal="center" vertical="center" wrapText="1"/>
    </xf>
    <xf numFmtId="0" fontId="20" fillId="4" borderId="63" xfId="0" applyFont="1" applyFill="1" applyBorder="1" applyAlignment="1">
      <alignment horizontal="center" vertical="center" wrapText="1"/>
    </xf>
    <xf numFmtId="0" fontId="20" fillId="4" borderId="45" xfId="0" applyFont="1" applyFill="1" applyBorder="1" applyAlignment="1">
      <alignment horizontal="center" vertical="center" wrapText="1"/>
    </xf>
    <xf numFmtId="0" fontId="20" fillId="4" borderId="49" xfId="0" applyFont="1" applyFill="1" applyBorder="1" applyAlignment="1">
      <alignment horizontal="center" vertical="center" wrapText="1"/>
    </xf>
    <xf numFmtId="0" fontId="20" fillId="4" borderId="16" xfId="0" applyFont="1" applyFill="1" applyBorder="1" applyAlignment="1">
      <alignment horizontal="center" vertical="center" wrapText="1"/>
    </xf>
    <xf numFmtId="0" fontId="10" fillId="4" borderId="67" xfId="0" applyFont="1" applyFill="1" applyBorder="1" applyAlignment="1">
      <alignment horizontal="center" vertical="center" wrapText="1"/>
    </xf>
    <xf numFmtId="0" fontId="10" fillId="4" borderId="20" xfId="0" applyFont="1" applyFill="1" applyBorder="1" applyAlignment="1">
      <alignment horizontal="center" vertical="center" wrapText="1"/>
    </xf>
    <xf numFmtId="0" fontId="10" fillId="4" borderId="5" xfId="0" applyFont="1" applyFill="1" applyBorder="1" applyAlignment="1">
      <alignment horizontal="center" vertical="center" wrapText="1"/>
    </xf>
    <xf numFmtId="0" fontId="18" fillId="4" borderId="67" xfId="0" applyFont="1" applyFill="1" applyBorder="1" applyAlignment="1">
      <alignment horizontal="center" vertical="center" wrapText="1"/>
    </xf>
    <xf numFmtId="0" fontId="18" fillId="4" borderId="5" xfId="0" applyFont="1" applyFill="1" applyBorder="1" applyAlignment="1">
      <alignment horizontal="center" vertical="center" wrapText="1"/>
    </xf>
    <xf numFmtId="0" fontId="10" fillId="4" borderId="16" xfId="0" applyFont="1" applyFill="1" applyBorder="1" applyAlignment="1">
      <alignment horizontal="center" vertical="center" wrapText="1"/>
    </xf>
    <xf numFmtId="0" fontId="3" fillId="5" borderId="63" xfId="0" applyFont="1" applyFill="1" applyBorder="1" applyAlignment="1">
      <alignment horizontal="center" vertical="center" wrapText="1"/>
    </xf>
    <xf numFmtId="0" fontId="3" fillId="5" borderId="64" xfId="0" applyFont="1" applyFill="1" applyBorder="1" applyAlignment="1">
      <alignment horizontal="center" vertical="center" wrapText="1"/>
    </xf>
    <xf numFmtId="0" fontId="3" fillId="6" borderId="46" xfId="0" applyFont="1" applyFill="1" applyBorder="1" applyAlignment="1">
      <alignment horizontal="center" vertical="center" wrapText="1"/>
    </xf>
    <xf numFmtId="0" fontId="3" fillId="6" borderId="4" xfId="0" applyFont="1" applyFill="1" applyBorder="1" applyAlignment="1">
      <alignment horizontal="center" vertical="center" wrapText="1"/>
    </xf>
    <xf numFmtId="0" fontId="3" fillId="4" borderId="63" xfId="0" applyFont="1" applyFill="1" applyBorder="1" applyAlignment="1">
      <alignment horizontal="center" vertical="center" wrapText="1"/>
    </xf>
    <xf numFmtId="0" fontId="3" fillId="4" borderId="45" xfId="0" applyFont="1" applyFill="1" applyBorder="1" applyAlignment="1">
      <alignment horizontal="center" vertical="center" wrapText="1"/>
    </xf>
    <xf numFmtId="0" fontId="3" fillId="4" borderId="49" xfId="0" applyFont="1" applyFill="1" applyBorder="1" applyAlignment="1">
      <alignment horizontal="center" vertical="center" wrapText="1"/>
    </xf>
    <xf numFmtId="0" fontId="3" fillId="5" borderId="49" xfId="0" applyFont="1" applyFill="1" applyBorder="1" applyAlignment="1">
      <alignment horizontal="center" vertical="center" wrapText="1"/>
    </xf>
    <xf numFmtId="0" fontId="3" fillId="5" borderId="7" xfId="0" applyFont="1" applyFill="1" applyBorder="1" applyAlignment="1">
      <alignment horizontal="center" vertical="center" wrapText="1"/>
    </xf>
    <xf numFmtId="0" fontId="3" fillId="4" borderId="46" xfId="0" applyFont="1" applyFill="1" applyBorder="1" applyAlignment="1">
      <alignment horizontal="center" vertical="center" wrapText="1"/>
    </xf>
    <xf numFmtId="0" fontId="3" fillId="4" borderId="4" xfId="0" applyFont="1" applyFill="1" applyBorder="1" applyAlignment="1">
      <alignment horizontal="center" vertical="center" wrapText="1"/>
    </xf>
    <xf numFmtId="0" fontId="11" fillId="7" borderId="63" xfId="0" applyFont="1" applyFill="1" applyBorder="1" applyAlignment="1">
      <alignment horizontal="center" vertical="center" wrapText="1"/>
    </xf>
    <xf numFmtId="0" fontId="11" fillId="7" borderId="49" xfId="0" applyFont="1" applyFill="1" applyBorder="1" applyAlignment="1">
      <alignment horizontal="center" vertical="center" wrapText="1"/>
    </xf>
    <xf numFmtId="0" fontId="3" fillId="7" borderId="63" xfId="0" applyFont="1" applyFill="1" applyBorder="1" applyAlignment="1">
      <alignment horizontal="center" vertical="center" wrapText="1"/>
    </xf>
    <xf numFmtId="0" fontId="3" fillId="7" borderId="45" xfId="0" applyFont="1" applyFill="1" applyBorder="1" applyAlignment="1">
      <alignment horizontal="center" vertical="center" wrapText="1"/>
    </xf>
    <xf numFmtId="0" fontId="3" fillId="7" borderId="49" xfId="0" applyFont="1" applyFill="1" applyBorder="1" applyAlignment="1">
      <alignment horizontal="center" vertical="center" wrapText="1"/>
    </xf>
    <xf numFmtId="49" fontId="21" fillId="9" borderId="68" xfId="0" applyNumberFormat="1" applyFont="1" applyFill="1" applyBorder="1" applyAlignment="1">
      <alignment horizontal="center" vertical="center" wrapText="1"/>
    </xf>
    <xf numFmtId="49" fontId="21" fillId="9" borderId="12" xfId="0" applyNumberFormat="1" applyFont="1" applyFill="1" applyBorder="1" applyAlignment="1">
      <alignment horizontal="center" vertical="center" wrapText="1"/>
    </xf>
    <xf numFmtId="0" fontId="21" fillId="4" borderId="31" xfId="0" applyFont="1" applyFill="1" applyBorder="1" applyAlignment="1">
      <alignment horizontal="center" vertical="center" wrapText="1"/>
    </xf>
    <xf numFmtId="0" fontId="21" fillId="9" borderId="30" xfId="0" applyFont="1" applyFill="1" applyBorder="1" applyAlignment="1">
      <alignment horizontal="center" vertical="center" wrapText="1"/>
    </xf>
    <xf numFmtId="0" fontId="21" fillId="9" borderId="53" xfId="0" applyFont="1" applyFill="1" applyBorder="1" applyAlignment="1">
      <alignment horizontal="center" vertical="center" wrapText="1"/>
    </xf>
    <xf numFmtId="0" fontId="21" fillId="9" borderId="31" xfId="0" applyFont="1" applyFill="1" applyBorder="1" applyAlignment="1">
      <alignment horizontal="center" vertical="center" wrapText="1"/>
    </xf>
    <xf numFmtId="0" fontId="21" fillId="9" borderId="26" xfId="0" applyFont="1" applyFill="1" applyBorder="1" applyAlignment="1">
      <alignment horizontal="center" vertical="center" wrapText="1"/>
    </xf>
    <xf numFmtId="0" fontId="3" fillId="0" borderId="9" xfId="0" applyFont="1" applyBorder="1" applyAlignment="1">
      <alignment horizontal="center"/>
    </xf>
    <xf numFmtId="0" fontId="3" fillId="0" borderId="10" xfId="0" applyFont="1" applyBorder="1" applyAlignment="1">
      <alignment horizontal="center"/>
    </xf>
    <xf numFmtId="0" fontId="3" fillId="0" borderId="11" xfId="0" applyFont="1" applyBorder="1" applyAlignment="1">
      <alignment horizontal="center"/>
    </xf>
    <xf numFmtId="0" fontId="3" fillId="0" borderId="8" xfId="0" applyFont="1" applyBorder="1" applyAlignment="1">
      <alignment horizontal="center" vertical="center"/>
    </xf>
    <xf numFmtId="0" fontId="3" fillId="0" borderId="3" xfId="0" applyFont="1" applyBorder="1" applyAlignment="1">
      <alignment horizontal="center" vertical="center"/>
    </xf>
    <xf numFmtId="0" fontId="3" fillId="0" borderId="15" xfId="0" applyFont="1" applyBorder="1" applyAlignment="1">
      <alignment horizontal="center" vertical="center"/>
    </xf>
    <xf numFmtId="0" fontId="3" fillId="0" borderId="19" xfId="0" applyFont="1" applyBorder="1" applyAlignment="1">
      <alignment horizontal="center" vertical="center"/>
    </xf>
    <xf numFmtId="0" fontId="3" fillId="0" borderId="24" xfId="0" applyFont="1" applyBorder="1" applyAlignment="1">
      <alignment horizontal="center" vertical="center"/>
    </xf>
    <xf numFmtId="0" fontId="3" fillId="0" borderId="16" xfId="0" applyFont="1" applyBorder="1" applyAlignment="1">
      <alignment horizontal="center" vertical="center"/>
    </xf>
    <xf numFmtId="0" fontId="3" fillId="0" borderId="20" xfId="0" applyFont="1" applyBorder="1" applyAlignment="1">
      <alignment horizontal="center" vertical="center"/>
    </xf>
    <xf numFmtId="0" fontId="3" fillId="0" borderId="17" xfId="0" applyFont="1" applyBorder="1" applyAlignment="1">
      <alignment horizontal="center" vertical="center" wrapText="1"/>
    </xf>
    <xf numFmtId="0" fontId="3" fillId="0" borderId="17" xfId="0" applyFont="1" applyBorder="1" applyAlignment="1">
      <alignment horizontal="center" vertical="center"/>
    </xf>
    <xf numFmtId="0" fontId="3" fillId="0" borderId="22" xfId="0" applyFont="1" applyBorder="1" applyAlignment="1">
      <alignment horizontal="center" vertical="center"/>
    </xf>
    <xf numFmtId="0" fontId="3" fillId="2" borderId="17" xfId="0" applyFont="1" applyFill="1" applyBorder="1" applyAlignment="1">
      <alignment horizontal="center" vertical="center"/>
    </xf>
    <xf numFmtId="0" fontId="3" fillId="2" borderId="22" xfId="0" applyFont="1" applyFill="1" applyBorder="1" applyAlignment="1">
      <alignment horizontal="center" vertical="center"/>
    </xf>
    <xf numFmtId="0" fontId="3" fillId="0" borderId="25" xfId="0" applyFont="1" applyBorder="1" applyAlignment="1">
      <alignment horizontal="center" vertical="center"/>
    </xf>
    <xf numFmtId="0" fontId="3" fillId="0" borderId="23" xfId="0" applyFont="1" applyBorder="1" applyAlignment="1">
      <alignment horizontal="center" vertical="center" wrapText="1"/>
    </xf>
    <xf numFmtId="0" fontId="3" fillId="0" borderId="14" xfId="0" applyFont="1" applyBorder="1" applyAlignment="1">
      <alignment horizontal="center" vertical="center"/>
    </xf>
    <xf numFmtId="0" fontId="5" fillId="0" borderId="23" xfId="0" applyFont="1" applyBorder="1" applyAlignment="1">
      <alignment horizontal="center" vertical="center" wrapText="1"/>
    </xf>
    <xf numFmtId="0" fontId="5" fillId="0" borderId="17" xfId="0" applyFont="1" applyBorder="1" applyAlignment="1">
      <alignment horizontal="center" vertical="center"/>
    </xf>
    <xf numFmtId="0" fontId="5" fillId="0" borderId="14" xfId="0" applyFont="1" applyBorder="1" applyAlignment="1">
      <alignment horizontal="center" vertical="center"/>
    </xf>
    <xf numFmtId="0" fontId="3" fillId="2" borderId="23" xfId="0" applyFont="1" applyFill="1" applyBorder="1" applyAlignment="1">
      <alignment horizontal="center" vertical="center"/>
    </xf>
    <xf numFmtId="0" fontId="3" fillId="2" borderId="14" xfId="0" applyFont="1" applyFill="1" applyBorder="1" applyAlignment="1">
      <alignment horizontal="center" vertical="center"/>
    </xf>
    <xf numFmtId="0" fontId="3" fillId="0" borderId="23" xfId="0" applyFont="1" applyBorder="1" applyAlignment="1">
      <alignment horizontal="center" vertical="center"/>
    </xf>
    <xf numFmtId="0" fontId="5" fillId="0" borderId="17" xfId="0" applyFont="1" applyBorder="1" applyAlignment="1">
      <alignment horizontal="center" vertical="center" wrapText="1"/>
    </xf>
    <xf numFmtId="0" fontId="5" fillId="0" borderId="22" xfId="0" applyFont="1" applyBorder="1" applyAlignment="1">
      <alignment horizontal="center" vertical="center"/>
    </xf>
    <xf numFmtId="0" fontId="3" fillId="0" borderId="28" xfId="0" applyFont="1" applyBorder="1" applyAlignment="1">
      <alignment horizontal="center" vertical="center"/>
    </xf>
    <xf numFmtId="0" fontId="3" fillId="0" borderId="34" xfId="0" applyFont="1" applyBorder="1" applyAlignment="1">
      <alignment horizontal="center" vertical="center"/>
    </xf>
    <xf numFmtId="0" fontId="3" fillId="0" borderId="6" xfId="0" applyFont="1" applyBorder="1" applyAlignment="1">
      <alignment horizontal="center" vertical="center"/>
    </xf>
    <xf numFmtId="0" fontId="3" fillId="0" borderId="29" xfId="0" applyFont="1" applyBorder="1" applyAlignment="1">
      <alignment horizontal="center" vertical="center"/>
    </xf>
    <xf numFmtId="0" fontId="0" fillId="0" borderId="30" xfId="0" applyBorder="1" applyAlignment="1">
      <alignment horizontal="center" vertical="center"/>
    </xf>
    <xf numFmtId="0" fontId="0" fillId="0" borderId="35" xfId="0" applyBorder="1" applyAlignment="1">
      <alignment horizontal="center" vertical="center"/>
    </xf>
    <xf numFmtId="0" fontId="5" fillId="0" borderId="30" xfId="0" applyFont="1" applyBorder="1" applyAlignment="1">
      <alignment horizontal="center" vertical="center"/>
    </xf>
    <xf numFmtId="0" fontId="5" fillId="0" borderId="35" xfId="0" applyFont="1" applyBorder="1" applyAlignment="1">
      <alignment horizontal="center" vertical="center"/>
    </xf>
    <xf numFmtId="0" fontId="0" fillId="2" borderId="33" xfId="0" applyFill="1" applyBorder="1" applyAlignment="1">
      <alignment horizontal="center" vertical="center"/>
    </xf>
    <xf numFmtId="0" fontId="0" fillId="2" borderId="17" xfId="0" applyFill="1" applyBorder="1" applyAlignment="1">
      <alignment horizontal="center" vertical="center"/>
    </xf>
    <xf numFmtId="0" fontId="0" fillId="2" borderId="22" xfId="0" applyFill="1" applyBorder="1" applyAlignment="1">
      <alignment horizontal="center" vertical="center"/>
    </xf>
    <xf numFmtId="0" fontId="0" fillId="0" borderId="33" xfId="0" applyBorder="1" applyAlignment="1">
      <alignment horizontal="center" vertical="center"/>
    </xf>
    <xf numFmtId="0" fontId="0" fillId="0" borderId="17" xfId="0" applyBorder="1" applyAlignment="1">
      <alignment horizontal="center" vertical="center"/>
    </xf>
    <xf numFmtId="0" fontId="0" fillId="0" borderId="22" xfId="0" applyBorder="1" applyAlignment="1">
      <alignment horizontal="center" vertical="center"/>
    </xf>
    <xf numFmtId="0" fontId="0" fillId="2" borderId="23" xfId="0" applyFill="1" applyBorder="1" applyAlignment="1">
      <alignment horizontal="center" vertical="center"/>
    </xf>
    <xf numFmtId="0" fontId="0" fillId="0" borderId="23" xfId="0" applyBorder="1" applyAlignment="1">
      <alignment horizontal="center" vertical="center"/>
    </xf>
    <xf numFmtId="0" fontId="0" fillId="3" borderId="23" xfId="0" applyFill="1" applyBorder="1" applyAlignment="1">
      <alignment horizontal="center" vertical="center"/>
    </xf>
    <xf numFmtId="0" fontId="0" fillId="3" borderId="17" xfId="0" applyFill="1" applyBorder="1" applyAlignment="1">
      <alignment horizontal="center" vertical="center"/>
    </xf>
    <xf numFmtId="0" fontId="0" fillId="3" borderId="14" xfId="0" applyFill="1" applyBorder="1" applyAlignment="1">
      <alignment horizontal="center" vertical="center"/>
    </xf>
    <xf numFmtId="0" fontId="0" fillId="2" borderId="14" xfId="0" applyFill="1" applyBorder="1" applyAlignment="1">
      <alignment horizontal="center" vertical="center"/>
    </xf>
    <xf numFmtId="0" fontId="0" fillId="0" borderId="14" xfId="0" applyBorder="1" applyAlignment="1">
      <alignment horizontal="center" vertical="center"/>
    </xf>
    <xf numFmtId="0" fontId="5" fillId="0" borderId="8" xfId="0" applyFont="1" applyBorder="1" applyAlignment="1">
      <alignment horizontal="center"/>
    </xf>
    <xf numFmtId="0" fontId="5" fillId="0" borderId="50" xfId="0" applyFont="1" applyBorder="1" applyAlignment="1">
      <alignment horizontal="center"/>
    </xf>
    <xf numFmtId="0" fontId="5" fillId="0" borderId="3" xfId="0" applyFont="1" applyBorder="1" applyAlignment="1">
      <alignment horizontal="center"/>
    </xf>
    <xf numFmtId="0" fontId="3" fillId="0" borderId="41" xfId="0" applyFont="1" applyBorder="1" applyAlignment="1">
      <alignment horizontal="center" vertical="center"/>
    </xf>
    <xf numFmtId="0" fontId="0" fillId="0" borderId="36" xfId="0" applyBorder="1" applyAlignment="1">
      <alignment horizontal="center" vertical="center"/>
    </xf>
    <xf numFmtId="0" fontId="0" fillId="0" borderId="37" xfId="0" applyBorder="1" applyAlignment="1">
      <alignment horizontal="center" vertical="center"/>
    </xf>
    <xf numFmtId="0" fontId="0" fillId="0" borderId="39" xfId="0" applyBorder="1" applyAlignment="1">
      <alignment horizontal="center" vertical="center"/>
    </xf>
    <xf numFmtId="0" fontId="0" fillId="0" borderId="40" xfId="0" applyBorder="1" applyAlignment="1">
      <alignment horizontal="center" vertical="center"/>
    </xf>
    <xf numFmtId="0" fontId="0" fillId="0" borderId="47" xfId="0" applyBorder="1" applyAlignment="1">
      <alignment horizontal="center" vertical="center"/>
    </xf>
    <xf numFmtId="0" fontId="0" fillId="0" borderId="48" xfId="0" applyBorder="1" applyAlignment="1">
      <alignment horizontal="center" vertical="center"/>
    </xf>
    <xf numFmtId="0" fontId="3" fillId="0" borderId="42" xfId="0" applyFont="1" applyBorder="1" applyAlignment="1">
      <alignment horizontal="center" vertical="center"/>
    </xf>
    <xf numFmtId="0" fontId="13" fillId="0" borderId="43" xfId="0" applyFont="1" applyBorder="1" applyAlignment="1">
      <alignment horizontal="center" wrapText="1"/>
    </xf>
    <xf numFmtId="0" fontId="13" fillId="0" borderId="44" xfId="0" applyFont="1" applyBorder="1" applyAlignment="1">
      <alignment horizontal="center" wrapText="1"/>
    </xf>
    <xf numFmtId="0" fontId="0" fillId="0" borderId="8" xfId="0" applyBorder="1" applyAlignment="1">
      <alignment horizontal="center"/>
    </xf>
    <xf numFmtId="0" fontId="0" fillId="0" borderId="50" xfId="0" applyBorder="1" applyAlignment="1">
      <alignment horizontal="center"/>
    </xf>
    <xf numFmtId="0" fontId="0" fillId="0" borderId="3" xfId="0" applyBorder="1" applyAlignment="1">
      <alignment horizontal="center"/>
    </xf>
    <xf numFmtId="0" fontId="0" fillId="0" borderId="54" xfId="0" applyBorder="1" applyAlignment="1">
      <alignment horizontal="center" vertical="center"/>
    </xf>
    <xf numFmtId="0" fontId="0" fillId="0" borderId="55" xfId="0" applyBorder="1" applyAlignment="1">
      <alignment horizontal="center" vertical="center"/>
    </xf>
    <xf numFmtId="0" fontId="0" fillId="0" borderId="56" xfId="0" applyBorder="1" applyAlignment="1">
      <alignment horizontal="center" vertical="center"/>
    </xf>
    <xf numFmtId="0" fontId="0" fillId="0" borderId="16" xfId="0" applyBorder="1" applyAlignment="1">
      <alignment horizontal="center" vertical="center"/>
    </xf>
    <xf numFmtId="0" fontId="0" fillId="0" borderId="57" xfId="0" applyBorder="1" applyAlignment="1">
      <alignment horizontal="center" vertical="center"/>
    </xf>
    <xf numFmtId="0" fontId="3" fillId="0" borderId="51" xfId="0" applyFont="1" applyBorder="1" applyAlignment="1">
      <alignment horizontal="center" vertical="center"/>
    </xf>
    <xf numFmtId="0" fontId="3" fillId="0" borderId="52" xfId="0" applyFont="1" applyBorder="1" applyAlignment="1">
      <alignment horizontal="center" vertical="center"/>
    </xf>
    <xf numFmtId="0" fontId="0" fillId="0" borderId="58" xfId="0" applyBorder="1" applyAlignment="1">
      <alignment horizontal="center" vertical="center"/>
    </xf>
    <xf numFmtId="0" fontId="0" fillId="0" borderId="45" xfId="0" applyBorder="1" applyAlignment="1">
      <alignment horizontal="center" vertical="center"/>
    </xf>
    <xf numFmtId="0" fontId="0" fillId="0" borderId="59" xfId="0" applyBorder="1" applyAlignment="1">
      <alignment horizontal="center" vertical="center"/>
    </xf>
    <xf numFmtId="0" fontId="0" fillId="0" borderId="51" xfId="0" applyBorder="1" applyAlignment="1">
      <alignment horizontal="center" vertical="center"/>
    </xf>
    <xf numFmtId="0" fontId="0" fillId="0" borderId="0" xfId="0" applyAlignment="1">
      <alignment horizontal="center" vertical="center"/>
    </xf>
    <xf numFmtId="0" fontId="0" fillId="0" borderId="52" xfId="0" applyBorder="1" applyAlignment="1">
      <alignment horizontal="center" vertical="center"/>
    </xf>
    <xf numFmtId="0" fontId="0" fillId="0" borderId="60" xfId="0" applyBorder="1" applyAlignment="1">
      <alignment horizontal="center" vertical="center"/>
    </xf>
    <xf numFmtId="0" fontId="5" fillId="0" borderId="58" xfId="0" applyFont="1" applyBorder="1" applyAlignment="1">
      <alignment horizontal="center" vertical="center"/>
    </xf>
    <xf numFmtId="0" fontId="5" fillId="0" borderId="45" xfId="0" applyFont="1" applyBorder="1" applyAlignment="1">
      <alignment horizontal="center" vertical="center"/>
    </xf>
    <xf numFmtId="0" fontId="5" fillId="0" borderId="59" xfId="0" applyFont="1" applyBorder="1" applyAlignment="1">
      <alignment horizontal="center" vertical="center"/>
    </xf>
    <xf numFmtId="0" fontId="5" fillId="0" borderId="51" xfId="0" applyFont="1" applyBorder="1" applyAlignment="1">
      <alignment horizontal="center" vertical="center"/>
    </xf>
    <xf numFmtId="0" fontId="5" fillId="0" borderId="0" xfId="0" applyFont="1" applyAlignment="1">
      <alignment horizontal="center" vertical="center"/>
    </xf>
    <xf numFmtId="0" fontId="5" fillId="0" borderId="40" xfId="0" applyFont="1" applyBorder="1" applyAlignment="1">
      <alignment horizontal="center" vertical="center"/>
    </xf>
    <xf numFmtId="0" fontId="5" fillId="0" borderId="52" xfId="0" applyFont="1" applyBorder="1" applyAlignment="1">
      <alignment horizontal="center" vertical="center"/>
    </xf>
    <xf numFmtId="0" fontId="5" fillId="0" borderId="60" xfId="0" applyFont="1" applyBorder="1" applyAlignment="1">
      <alignment horizontal="center" vertical="center"/>
    </xf>
    <xf numFmtId="0" fontId="5" fillId="0" borderId="48" xfId="0" applyFont="1" applyBorder="1" applyAlignment="1">
      <alignment horizontal="center" vertical="center"/>
    </xf>
    <xf numFmtId="0" fontId="0" fillId="0" borderId="8" xfId="0" applyBorder="1" applyAlignment="1">
      <alignment horizontal="center" vertical="center"/>
    </xf>
    <xf numFmtId="0" fontId="0" fillId="0" borderId="50" xfId="0" applyBorder="1" applyAlignment="1">
      <alignment horizontal="center" vertical="center"/>
    </xf>
    <xf numFmtId="0" fontId="0" fillId="0" borderId="3" xfId="0" applyBorder="1" applyAlignment="1">
      <alignment horizontal="center" vertical="center"/>
    </xf>
    <xf numFmtId="0" fontId="0" fillId="0" borderId="8" xfId="0" applyBorder="1" applyAlignment="1">
      <alignment horizontal="center" vertical="center" wrapText="1"/>
    </xf>
    <xf numFmtId="0" fontId="5" fillId="0" borderId="8" xfId="0" applyFont="1" applyBorder="1" applyAlignment="1">
      <alignment horizontal="center" vertical="center"/>
    </xf>
    <xf numFmtId="0" fontId="5" fillId="0" borderId="50" xfId="0" applyFont="1" applyBorder="1" applyAlignment="1">
      <alignment horizontal="center" vertical="center"/>
    </xf>
    <xf numFmtId="0" fontId="5" fillId="0" borderId="3" xfId="0" applyFont="1" applyBorder="1" applyAlignment="1">
      <alignment horizontal="center" vertical="center"/>
    </xf>
    <xf numFmtId="0" fontId="0" fillId="0" borderId="61" xfId="0" applyBorder="1" applyAlignment="1">
      <alignment horizontal="center" vertical="center"/>
    </xf>
    <xf numFmtId="0" fontId="0" fillId="0" borderId="29" xfId="0" applyBorder="1" applyAlignment="1">
      <alignment horizontal="center" vertical="center"/>
    </xf>
    <xf numFmtId="0" fontId="0" fillId="0" borderId="62" xfId="0" applyBorder="1" applyAlignment="1">
      <alignment horizontal="center" vertical="center"/>
    </xf>
    <xf numFmtId="0" fontId="5" fillId="0" borderId="61" xfId="0" applyFont="1" applyBorder="1" applyAlignment="1">
      <alignment horizontal="center" vertical="center"/>
    </xf>
    <xf numFmtId="0" fontId="5" fillId="0" borderId="29" xfId="0" applyFont="1" applyBorder="1" applyAlignment="1">
      <alignment horizontal="center" vertical="center"/>
    </xf>
    <xf numFmtId="0" fontId="5" fillId="0" borderId="62" xfId="0" applyFont="1" applyBorder="1" applyAlignment="1">
      <alignment horizontal="center" vertical="center"/>
    </xf>
    <xf numFmtId="0" fontId="6" fillId="0" borderId="52" xfId="0" applyFont="1" applyBorder="1" applyAlignment="1">
      <alignment horizontal="center" vertical="center"/>
    </xf>
    <xf numFmtId="0" fontId="6" fillId="0" borderId="60" xfId="0" applyFont="1" applyBorder="1" applyAlignment="1">
      <alignment horizontal="center" vertical="center"/>
    </xf>
    <xf numFmtId="0" fontId="6" fillId="0" borderId="48" xfId="0" applyFont="1" applyBorder="1" applyAlignment="1">
      <alignment horizontal="center" vertical="center"/>
    </xf>
    <xf numFmtId="0" fontId="7" fillId="0" borderId="52" xfId="0" applyFont="1" applyBorder="1" applyAlignment="1">
      <alignment horizontal="center" vertical="center"/>
    </xf>
    <xf numFmtId="0" fontId="7" fillId="0" borderId="60" xfId="0" applyFont="1" applyBorder="1" applyAlignment="1">
      <alignment horizontal="center" vertical="center"/>
    </xf>
    <xf numFmtId="0" fontId="7" fillId="0" borderId="48" xfId="0" applyFont="1" applyBorder="1" applyAlignment="1">
      <alignment horizontal="center" vertical="center"/>
    </xf>
    <xf numFmtId="0" fontId="20" fillId="18" borderId="7" xfId="0" applyFont="1" applyFill="1" applyBorder="1" applyAlignment="1">
      <alignment horizontal="center" vertical="center" wrapText="1"/>
    </xf>
  </cellXfs>
  <cellStyles count="2">
    <cellStyle name="Collegamento ipertestuale" xfId="1" builtinId="8"/>
    <cellStyle name="Normale" xfId="0" builtinId="0"/>
  </cellStyles>
  <dxfs count="0"/>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hyperlink" Target="../../../../:f:/r/sites/IngegneriaETReMezziLeggeri-Trenitalia/Shared%20Documents/ETR700/" TargetMode="External"/><Relationship Id="rId2" Type="http://schemas.openxmlformats.org/officeDocument/2006/relationships/hyperlink" Target="../../../../:f:/r/sites/IngegneriaETReMezziLeggeri-Trenitalia/Shared%20Documents/Prova%20Doc%20ETR1000/PROVA_CONFIG/" TargetMode="External"/><Relationship Id="rId1" Type="http://schemas.openxmlformats.org/officeDocument/2006/relationships/hyperlink" Target="../../../../:f:/r/sites/IngegneriaETReMezziLeggeri-Trenitalia/Shared%20Documents/Prova%20Doc%20ETR1000/" TargetMode="External"/><Relationship Id="rId5" Type="http://schemas.openxmlformats.org/officeDocument/2006/relationships/printerSettings" Target="../printerSettings/printerSettings4.bin"/><Relationship Id="rId4" Type="http://schemas.openxmlformats.org/officeDocument/2006/relationships/hyperlink" Target="../../../../:f:/r/sites/IngegneriaETReMezziLeggeri-Trenitalia/Prova%20Doc%20ETR1000/GENERAL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B2288-9E1F-43CD-9603-01719AFAF4D8}">
  <sheetPr>
    <tabColor theme="4" tint="0.39997558519241921"/>
  </sheetPr>
  <dimension ref="A1:BV8"/>
  <sheetViews>
    <sheetView zoomScaleNormal="100" workbookViewId="0">
      <selection activeCell="D11" sqref="D11"/>
    </sheetView>
  </sheetViews>
  <sheetFormatPr defaultRowHeight="15" x14ac:dyDescent="0.25"/>
  <cols>
    <col min="1" max="1" width="19.42578125" bestFit="1" customWidth="1"/>
    <col min="2" max="2" width="17.5703125" customWidth="1"/>
    <col min="3" max="3" width="15.42578125" customWidth="1"/>
    <col min="4" max="4" width="15.140625" customWidth="1"/>
    <col min="5" max="5" width="11" style="12" customWidth="1"/>
    <col min="6" max="51" width="3.85546875" style="12" bestFit="1" customWidth="1"/>
    <col min="52" max="68" width="2.85546875" style="12" bestFit="1" customWidth="1"/>
    <col min="69" max="74" width="3.85546875" style="12" bestFit="1" customWidth="1"/>
  </cols>
  <sheetData>
    <row r="1" spans="1:74" s="13" customFormat="1" ht="30.95" customHeight="1" x14ac:dyDescent="0.25">
      <c r="A1" s="243" t="s">
        <v>16</v>
      </c>
      <c r="B1" s="243" t="s">
        <v>181</v>
      </c>
      <c r="C1" s="244" t="s">
        <v>1004</v>
      </c>
      <c r="D1" s="244" t="s">
        <v>1077</v>
      </c>
      <c r="E1" s="246" t="s">
        <v>25</v>
      </c>
      <c r="F1" s="247" t="s">
        <v>1070</v>
      </c>
      <c r="G1" s="245"/>
      <c r="H1" s="245"/>
      <c r="I1" s="245"/>
      <c r="J1" s="245"/>
      <c r="K1" s="245"/>
      <c r="L1" s="245"/>
      <c r="M1" s="245"/>
      <c r="N1" s="245"/>
      <c r="O1" s="245"/>
      <c r="P1" s="245"/>
      <c r="Q1" s="245"/>
      <c r="R1" s="245"/>
      <c r="S1" s="245"/>
      <c r="T1" s="245"/>
      <c r="U1" s="245"/>
      <c r="V1" s="245"/>
      <c r="W1" s="245"/>
      <c r="X1" s="245"/>
      <c r="Y1" s="245"/>
      <c r="Z1" s="245"/>
      <c r="AA1" s="245"/>
      <c r="AB1" s="245"/>
      <c r="AC1" s="245"/>
      <c r="AD1" s="245"/>
      <c r="AE1" s="245"/>
      <c r="AF1" s="245"/>
      <c r="AG1" s="245"/>
      <c r="AH1" s="245"/>
      <c r="AI1" s="245"/>
      <c r="AJ1" s="245"/>
      <c r="AK1" s="245"/>
      <c r="AL1" s="245"/>
      <c r="AM1" s="245"/>
      <c r="AN1" s="245"/>
      <c r="AO1" s="245"/>
      <c r="AP1" s="245"/>
      <c r="AQ1" s="245"/>
      <c r="AR1" s="245"/>
      <c r="AS1" s="245"/>
      <c r="AT1" s="245"/>
      <c r="AU1" s="245"/>
      <c r="AV1" s="245"/>
      <c r="AW1" s="245"/>
      <c r="AX1" s="245"/>
      <c r="AY1" s="245"/>
      <c r="AZ1" s="245"/>
      <c r="BA1" s="245"/>
      <c r="BB1" s="245"/>
      <c r="BC1" s="245"/>
      <c r="BD1" s="245"/>
      <c r="BE1" s="245"/>
      <c r="BF1" s="245"/>
      <c r="BG1" s="245"/>
      <c r="BH1" s="245"/>
      <c r="BI1" s="245"/>
      <c r="BJ1" s="245"/>
      <c r="BK1" s="245"/>
      <c r="BL1" s="245"/>
      <c r="BM1" s="245"/>
      <c r="BN1" s="245"/>
      <c r="BO1" s="245"/>
      <c r="BP1" s="245"/>
      <c r="BQ1" s="245"/>
      <c r="BR1" s="245"/>
      <c r="BS1" s="245"/>
      <c r="BT1" s="245"/>
      <c r="BU1" s="245"/>
      <c r="BV1" s="245"/>
    </row>
    <row r="2" spans="1:74" s="13" customFormat="1" ht="32.1" customHeight="1" x14ac:dyDescent="0.25">
      <c r="A2" s="14" t="s">
        <v>174</v>
      </c>
      <c r="B2" s="109" t="s">
        <v>985</v>
      </c>
      <c r="C2" s="75" t="s">
        <v>1005</v>
      </c>
      <c r="D2" s="107" t="s">
        <v>1029</v>
      </c>
      <c r="E2" s="7">
        <f>COUNTIF(F2:BV2,"&lt;&gt;")</f>
        <v>44</v>
      </c>
      <c r="F2" s="10">
        <v>1</v>
      </c>
      <c r="G2" s="7">
        <v>2</v>
      </c>
      <c r="H2" s="7">
        <v>3</v>
      </c>
      <c r="I2" s="7">
        <v>4</v>
      </c>
      <c r="J2" s="7">
        <v>5</v>
      </c>
      <c r="K2" s="7">
        <v>6</v>
      </c>
      <c r="L2" s="7">
        <v>7</v>
      </c>
      <c r="M2" s="7">
        <v>8</v>
      </c>
      <c r="N2" s="7">
        <v>9</v>
      </c>
      <c r="O2" s="7">
        <v>10</v>
      </c>
      <c r="P2" s="7">
        <v>11</v>
      </c>
      <c r="Q2" s="7">
        <v>12</v>
      </c>
      <c r="R2" s="7">
        <v>13</v>
      </c>
      <c r="S2" s="7">
        <v>14</v>
      </c>
      <c r="T2" s="7"/>
      <c r="U2" s="7">
        <v>16</v>
      </c>
      <c r="V2" s="7">
        <v>17</v>
      </c>
      <c r="W2" s="7">
        <v>18</v>
      </c>
      <c r="X2" s="7">
        <v>19</v>
      </c>
      <c r="Y2" s="7"/>
      <c r="Z2" s="16">
        <v>21</v>
      </c>
      <c r="AA2" s="7">
        <v>22</v>
      </c>
      <c r="AB2" s="7"/>
      <c r="AC2" s="7">
        <v>24</v>
      </c>
      <c r="AD2" s="7"/>
      <c r="AE2" s="7">
        <v>26</v>
      </c>
      <c r="AF2" s="7">
        <v>27</v>
      </c>
      <c r="AG2" s="7"/>
      <c r="AH2" s="7">
        <v>29</v>
      </c>
      <c r="AI2" s="7">
        <v>30</v>
      </c>
      <c r="AJ2" s="7"/>
      <c r="AK2" s="7">
        <v>32</v>
      </c>
      <c r="AL2" s="7">
        <v>33</v>
      </c>
      <c r="AM2" s="7">
        <v>34</v>
      </c>
      <c r="AN2" s="7"/>
      <c r="AO2" s="7">
        <v>36</v>
      </c>
      <c r="AP2" s="7">
        <v>37</v>
      </c>
      <c r="AQ2" s="7">
        <v>38</v>
      </c>
      <c r="AR2" s="7">
        <v>39</v>
      </c>
      <c r="AS2" s="7">
        <v>40</v>
      </c>
      <c r="AT2" s="7">
        <v>41</v>
      </c>
      <c r="AU2" s="7">
        <v>42</v>
      </c>
      <c r="AV2" s="7">
        <v>43</v>
      </c>
      <c r="AW2" s="7"/>
      <c r="AX2" s="7">
        <v>45</v>
      </c>
      <c r="AY2" s="7">
        <v>46</v>
      </c>
      <c r="AZ2" s="7"/>
      <c r="BA2" s="7">
        <v>48</v>
      </c>
      <c r="BB2" s="7"/>
      <c r="BC2" s="7"/>
      <c r="BD2" s="7">
        <v>46</v>
      </c>
      <c r="BE2" s="7">
        <v>47</v>
      </c>
      <c r="BF2" s="7">
        <v>48</v>
      </c>
      <c r="BG2" s="7">
        <v>49</v>
      </c>
      <c r="BH2" s="7">
        <v>50</v>
      </c>
      <c r="BI2" s="7"/>
      <c r="BJ2" s="7"/>
      <c r="BK2" s="7"/>
      <c r="BL2" s="7"/>
      <c r="BM2" s="7"/>
      <c r="BN2" s="7"/>
      <c r="BO2" s="7"/>
      <c r="BP2" s="7"/>
      <c r="BQ2" s="7"/>
      <c r="BR2" s="7"/>
      <c r="BS2" s="7"/>
      <c r="BT2" s="7"/>
      <c r="BU2" s="7"/>
      <c r="BV2" s="7"/>
    </row>
    <row r="3" spans="1:74" s="13" customFormat="1" ht="32.1" customHeight="1" x14ac:dyDescent="0.25">
      <c r="A3" s="17" t="s">
        <v>175</v>
      </c>
      <c r="B3" s="109" t="s">
        <v>1001</v>
      </c>
      <c r="C3" s="107" t="s">
        <v>1027</v>
      </c>
      <c r="D3" s="107" t="s">
        <v>1028</v>
      </c>
      <c r="E3" s="7">
        <f t="shared" ref="E3:E8" si="0">COUNTIF(F3:BV3,"&lt;&gt;")</f>
        <v>8</v>
      </c>
      <c r="F3" s="10"/>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v>51</v>
      </c>
      <c r="BJ3" s="7">
        <v>52</v>
      </c>
      <c r="BK3" s="7">
        <v>53</v>
      </c>
      <c r="BL3" s="7">
        <v>54</v>
      </c>
      <c r="BM3" s="7">
        <v>55</v>
      </c>
      <c r="BN3" s="7">
        <v>56</v>
      </c>
      <c r="BO3" s="7">
        <v>57</v>
      </c>
      <c r="BP3" s="7">
        <v>58</v>
      </c>
      <c r="BQ3" s="7"/>
      <c r="BR3" s="7"/>
      <c r="BS3" s="7"/>
      <c r="BT3" s="7"/>
      <c r="BU3" s="7"/>
      <c r="BV3" s="7"/>
    </row>
    <row r="4" spans="1:74" s="13" customFormat="1" ht="32.1" customHeight="1" x14ac:dyDescent="0.25">
      <c r="A4" s="17" t="s">
        <v>176</v>
      </c>
      <c r="B4" s="109" t="s">
        <v>989</v>
      </c>
      <c r="C4" s="107" t="s">
        <v>1065</v>
      </c>
      <c r="D4" s="242" t="s">
        <v>1067</v>
      </c>
      <c r="E4" s="7">
        <f t="shared" si="0"/>
        <v>6</v>
      </c>
      <c r="F4" s="10">
        <v>101</v>
      </c>
      <c r="G4" s="7">
        <v>102</v>
      </c>
      <c r="H4" s="7">
        <v>103</v>
      </c>
      <c r="I4" s="7">
        <v>104</v>
      </c>
      <c r="J4" s="7">
        <v>105</v>
      </c>
      <c r="K4" s="7">
        <v>106</v>
      </c>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row>
    <row r="5" spans="1:74" s="13" customFormat="1" ht="32.1" customHeight="1" x14ac:dyDescent="0.25">
      <c r="A5" s="14" t="s">
        <v>177</v>
      </c>
      <c r="B5" s="109" t="s">
        <v>990</v>
      </c>
      <c r="C5" s="107" t="s">
        <v>1066</v>
      </c>
      <c r="D5" s="106" t="s">
        <v>268</v>
      </c>
      <c r="E5" s="7">
        <f t="shared" si="0"/>
        <v>40</v>
      </c>
      <c r="F5" s="10"/>
      <c r="G5" s="7"/>
      <c r="H5" s="7"/>
      <c r="I5" s="7"/>
      <c r="J5" s="7"/>
      <c r="K5" s="7"/>
      <c r="L5" s="7">
        <v>107</v>
      </c>
      <c r="M5" s="7">
        <v>108</v>
      </c>
      <c r="N5" s="7">
        <v>109</v>
      </c>
      <c r="O5" s="7">
        <v>110</v>
      </c>
      <c r="P5" s="7">
        <v>111</v>
      </c>
      <c r="Q5" s="7">
        <v>112</v>
      </c>
      <c r="R5" s="7">
        <v>113</v>
      </c>
      <c r="S5" s="7">
        <v>114</v>
      </c>
      <c r="T5" s="7">
        <v>115</v>
      </c>
      <c r="U5" s="7">
        <v>116</v>
      </c>
      <c r="V5" s="7">
        <v>117</v>
      </c>
      <c r="W5" s="7">
        <v>118</v>
      </c>
      <c r="X5" s="7">
        <v>119</v>
      </c>
      <c r="Y5" s="7">
        <v>120</v>
      </c>
      <c r="Z5" s="7">
        <v>121</v>
      </c>
      <c r="AA5" s="7">
        <v>122</v>
      </c>
      <c r="AB5" s="7">
        <v>123</v>
      </c>
      <c r="AC5" s="7">
        <v>124</v>
      </c>
      <c r="AD5" s="7">
        <v>125</v>
      </c>
      <c r="AE5" s="7">
        <v>126</v>
      </c>
      <c r="AF5" s="7">
        <v>127</v>
      </c>
      <c r="AG5" s="7">
        <v>128</v>
      </c>
      <c r="AH5" s="7">
        <v>129</v>
      </c>
      <c r="AI5" s="7">
        <v>130</v>
      </c>
      <c r="AJ5" s="7">
        <v>131</v>
      </c>
      <c r="AK5" s="7">
        <v>132</v>
      </c>
      <c r="AL5" s="7">
        <v>133</v>
      </c>
      <c r="AM5" s="7">
        <v>134</v>
      </c>
      <c r="AN5" s="7">
        <v>135</v>
      </c>
      <c r="AO5" s="7">
        <v>136</v>
      </c>
      <c r="AP5" s="7">
        <v>137</v>
      </c>
      <c r="AQ5" s="7">
        <v>138</v>
      </c>
      <c r="AR5" s="7">
        <v>139</v>
      </c>
      <c r="AS5" s="7">
        <v>140</v>
      </c>
      <c r="AT5" s="7">
        <v>141</v>
      </c>
      <c r="AU5" s="7">
        <v>142</v>
      </c>
      <c r="AV5" s="7">
        <v>143</v>
      </c>
      <c r="AW5" s="7">
        <v>144</v>
      </c>
      <c r="AX5" s="7">
        <v>145</v>
      </c>
      <c r="AY5" s="7">
        <v>146</v>
      </c>
      <c r="AZ5" s="7"/>
      <c r="BA5" s="7"/>
      <c r="BB5" s="7"/>
      <c r="BC5" s="7"/>
      <c r="BD5" s="7"/>
      <c r="BE5" s="7"/>
      <c r="BF5" s="7"/>
      <c r="BG5" s="7"/>
      <c r="BH5" s="7"/>
      <c r="BI5" s="7"/>
      <c r="BJ5" s="7"/>
      <c r="BK5" s="7"/>
      <c r="BL5" s="7"/>
      <c r="BM5" s="7"/>
      <c r="BN5" s="7"/>
      <c r="BO5" s="7"/>
      <c r="BP5" s="7"/>
      <c r="BQ5" s="7"/>
      <c r="BR5" s="7"/>
      <c r="BS5" s="7"/>
      <c r="BT5" s="7"/>
      <c r="BU5" s="7"/>
      <c r="BV5" s="7"/>
    </row>
    <row r="6" spans="1:74" s="13" customFormat="1" ht="32.1" customHeight="1" x14ac:dyDescent="0.25">
      <c r="A6" s="14" t="s">
        <v>1002</v>
      </c>
      <c r="B6" s="109" t="s">
        <v>178</v>
      </c>
      <c r="C6" s="106"/>
      <c r="D6" s="106"/>
      <c r="E6" s="7">
        <f t="shared" si="0"/>
        <v>8</v>
      </c>
      <c r="F6" s="10"/>
      <c r="G6" s="7"/>
      <c r="H6" s="7"/>
      <c r="I6" s="7"/>
      <c r="J6" s="7"/>
      <c r="K6" s="7"/>
      <c r="L6" s="7"/>
      <c r="M6" s="7"/>
      <c r="N6" s="7"/>
      <c r="O6" s="7"/>
      <c r="P6" s="7"/>
      <c r="Q6" s="7"/>
      <c r="R6" s="7"/>
      <c r="S6" s="7"/>
      <c r="T6" s="7">
        <v>15</v>
      </c>
      <c r="U6" s="7"/>
      <c r="V6" s="7"/>
      <c r="W6" s="7"/>
      <c r="X6" s="7"/>
      <c r="Y6" s="7"/>
      <c r="Z6" s="7"/>
      <c r="AA6" s="7"/>
      <c r="AB6" s="7">
        <v>23</v>
      </c>
      <c r="AC6" s="7"/>
      <c r="AD6" s="7">
        <v>25</v>
      </c>
      <c r="AE6" s="7"/>
      <c r="AF6" s="7"/>
      <c r="AG6" s="7">
        <v>28</v>
      </c>
      <c r="AH6" s="7"/>
      <c r="AI6" s="7"/>
      <c r="AJ6" s="7">
        <v>31</v>
      </c>
      <c r="AK6" s="7"/>
      <c r="AL6" s="7"/>
      <c r="AM6" s="7"/>
      <c r="AN6" s="7"/>
      <c r="AO6" s="7"/>
      <c r="AP6" s="7"/>
      <c r="AQ6" s="7"/>
      <c r="AR6" s="7"/>
      <c r="AS6" s="7"/>
      <c r="AT6" s="7"/>
      <c r="AU6" s="7"/>
      <c r="AV6" s="7"/>
      <c r="AW6" s="7"/>
      <c r="AX6" s="7"/>
      <c r="AY6" s="7"/>
      <c r="AZ6" s="7">
        <v>47</v>
      </c>
      <c r="BA6" s="7"/>
      <c r="BB6" s="7">
        <v>49</v>
      </c>
      <c r="BC6" s="7">
        <v>50</v>
      </c>
      <c r="BD6" s="7"/>
      <c r="BE6" s="7"/>
      <c r="BF6" s="7"/>
      <c r="BG6" s="7"/>
      <c r="BH6" s="7"/>
      <c r="BI6" s="7"/>
      <c r="BJ6" s="7"/>
      <c r="BK6" s="7"/>
      <c r="BL6" s="7"/>
      <c r="BM6" s="7"/>
      <c r="BN6" s="7"/>
      <c r="BO6" s="7"/>
      <c r="BP6" s="7"/>
      <c r="BQ6" s="7"/>
      <c r="BR6" s="7"/>
      <c r="BS6" s="7"/>
      <c r="BT6" s="7"/>
      <c r="BU6" s="7"/>
      <c r="BV6" s="7"/>
    </row>
    <row r="7" spans="1:74" s="186" customFormat="1" ht="32.1" customHeight="1" x14ac:dyDescent="0.25">
      <c r="A7" s="183" t="s">
        <v>1003</v>
      </c>
      <c r="B7" s="182" t="s">
        <v>179</v>
      </c>
      <c r="C7" s="248" t="s">
        <v>1079</v>
      </c>
      <c r="D7" s="248" t="s">
        <v>1071</v>
      </c>
      <c r="E7" s="184">
        <f t="shared" si="0"/>
        <v>22</v>
      </c>
      <c r="F7" s="185">
        <v>1</v>
      </c>
      <c r="G7" s="184">
        <v>2</v>
      </c>
      <c r="H7" s="184">
        <v>3</v>
      </c>
      <c r="I7" s="184">
        <v>4</v>
      </c>
      <c r="J7" s="184">
        <v>5</v>
      </c>
      <c r="K7" s="184">
        <v>6</v>
      </c>
      <c r="L7" s="184">
        <v>7</v>
      </c>
      <c r="M7" s="184">
        <v>8</v>
      </c>
      <c r="N7" s="184">
        <v>9</v>
      </c>
      <c r="O7" s="184">
        <v>10</v>
      </c>
      <c r="P7" s="184">
        <v>11</v>
      </c>
      <c r="Q7" s="184">
        <v>12</v>
      </c>
      <c r="R7" s="184">
        <v>13</v>
      </c>
      <c r="S7" s="184">
        <v>14</v>
      </c>
      <c r="T7" s="184">
        <v>15</v>
      </c>
      <c r="U7" s="184">
        <v>16</v>
      </c>
      <c r="V7" s="184">
        <v>17</v>
      </c>
      <c r="W7" s="184">
        <v>18</v>
      </c>
      <c r="X7" s="184">
        <v>19</v>
      </c>
      <c r="Y7" s="184">
        <v>20</v>
      </c>
      <c r="Z7" s="204">
        <v>21</v>
      </c>
      <c r="AA7" s="204"/>
      <c r="AB7" s="204">
        <v>23</v>
      </c>
      <c r="AC7" s="184"/>
      <c r="AD7" s="184"/>
      <c r="AE7" s="184"/>
      <c r="AF7" s="184"/>
      <c r="AG7" s="184"/>
      <c r="AH7" s="184"/>
      <c r="AI7" s="184"/>
      <c r="AJ7" s="184"/>
      <c r="AK7" s="184"/>
      <c r="AL7" s="184"/>
      <c r="AM7" s="184"/>
      <c r="AN7" s="184"/>
      <c r="AO7" s="184"/>
      <c r="AP7" s="184"/>
      <c r="AQ7" s="184"/>
      <c r="AR7" s="184"/>
      <c r="AS7" s="184"/>
      <c r="AT7" s="184"/>
      <c r="AU7" s="184"/>
      <c r="AV7" s="184"/>
      <c r="AW7" s="184"/>
      <c r="AX7" s="184"/>
      <c r="AY7" s="184"/>
      <c r="AZ7" s="184"/>
      <c r="BA7" s="184"/>
      <c r="BB7" s="184"/>
      <c r="BC7" s="184"/>
      <c r="BD7" s="184"/>
      <c r="BE7" s="184"/>
      <c r="BF7" s="184"/>
      <c r="BG7" s="184"/>
      <c r="BH7" s="184"/>
      <c r="BI7" s="184"/>
      <c r="BJ7" s="184"/>
      <c r="BK7" s="184"/>
      <c r="BL7" s="184"/>
      <c r="BM7" s="184"/>
      <c r="BN7" s="184"/>
      <c r="BO7" s="184"/>
      <c r="BP7" s="184"/>
      <c r="BQ7" s="184"/>
      <c r="BR7" s="184"/>
      <c r="BS7" s="184"/>
      <c r="BT7" s="184"/>
      <c r="BU7" s="184"/>
      <c r="BV7" s="184"/>
    </row>
    <row r="8" spans="1:74" s="13" customFormat="1" ht="32.1" customHeight="1" x14ac:dyDescent="0.25">
      <c r="A8" s="14" t="s">
        <v>180</v>
      </c>
      <c r="B8" s="109" t="s">
        <v>180</v>
      </c>
      <c r="C8" s="106"/>
      <c r="D8" s="106"/>
      <c r="E8" s="7">
        <f t="shared" si="0"/>
        <v>3</v>
      </c>
      <c r="F8" s="10"/>
      <c r="G8" s="7"/>
      <c r="H8" s="7"/>
      <c r="I8" s="7"/>
      <c r="J8" s="7"/>
      <c r="K8" s="7"/>
      <c r="L8" s="7"/>
      <c r="M8" s="7"/>
      <c r="N8" s="7"/>
      <c r="O8" s="7"/>
      <c r="P8" s="7"/>
      <c r="Q8" s="7"/>
      <c r="R8" s="7"/>
      <c r="S8" s="7"/>
      <c r="T8" s="7"/>
      <c r="U8" s="7"/>
      <c r="V8" s="7"/>
      <c r="W8" s="7"/>
      <c r="X8" s="7"/>
      <c r="Y8" s="7">
        <v>20</v>
      </c>
      <c r="Z8" s="7"/>
      <c r="AA8" s="7"/>
      <c r="AB8" s="7"/>
      <c r="AC8" s="7"/>
      <c r="AD8" s="7"/>
      <c r="AE8" s="7"/>
      <c r="AF8" s="7"/>
      <c r="AG8" s="7"/>
      <c r="AH8" s="7"/>
      <c r="AI8" s="7"/>
      <c r="AJ8" s="7"/>
      <c r="AK8" s="7"/>
      <c r="AL8" s="7"/>
      <c r="AM8" s="7"/>
      <c r="AN8" s="7">
        <v>35</v>
      </c>
      <c r="AO8" s="7"/>
      <c r="AP8" s="7"/>
      <c r="AQ8" s="7"/>
      <c r="AR8" s="7"/>
      <c r="AS8" s="7"/>
      <c r="AT8" s="7"/>
      <c r="AU8" s="7"/>
      <c r="AV8" s="7"/>
      <c r="AW8" s="7">
        <v>44</v>
      </c>
      <c r="AX8" s="7"/>
      <c r="AY8" s="7"/>
      <c r="AZ8" s="7"/>
      <c r="BA8" s="7"/>
      <c r="BB8" s="7"/>
      <c r="BC8" s="7"/>
      <c r="BD8" s="7"/>
      <c r="BE8" s="7"/>
      <c r="BF8" s="7"/>
      <c r="BG8" s="7"/>
      <c r="BH8" s="7"/>
      <c r="BI8" s="7"/>
      <c r="BJ8" s="7"/>
      <c r="BK8" s="7"/>
      <c r="BL8" s="7"/>
      <c r="BM8" s="7"/>
      <c r="BN8" s="7"/>
      <c r="BO8" s="7"/>
      <c r="BP8" s="7"/>
      <c r="BQ8" s="7"/>
      <c r="BR8" s="7"/>
      <c r="BS8" s="7"/>
      <c r="BT8" s="7"/>
      <c r="BU8" s="7"/>
      <c r="BV8" s="7"/>
    </row>
  </sheetData>
  <phoneticPr fontId="17"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C3EF4F-E39F-465D-AD7C-E51F1005494B}">
  <sheetPr>
    <tabColor theme="5" tint="0.39997558519241921"/>
  </sheetPr>
  <dimension ref="A1:T125"/>
  <sheetViews>
    <sheetView topLeftCell="B1" zoomScaleNormal="100" workbookViewId="0">
      <pane xSplit="4" ySplit="3" topLeftCell="N44" activePane="bottomRight" state="frozen"/>
      <selection activeCell="B1" sqref="B1"/>
      <selection pane="topRight" activeCell="F1" sqref="F1"/>
      <selection pane="bottomLeft" activeCell="B4" sqref="B4"/>
      <selection pane="bottomRight" activeCell="B58" sqref="B58"/>
    </sheetView>
  </sheetViews>
  <sheetFormatPr defaultColWidth="8.7109375" defaultRowHeight="15" x14ac:dyDescent="0.25"/>
  <cols>
    <col min="1" max="1" width="45" style="117" hidden="1" customWidth="1"/>
    <col min="2" max="2" width="34.85546875" style="117" bestFit="1" customWidth="1"/>
    <col min="3" max="3" width="16.85546875" style="18" customWidth="1"/>
    <col min="4" max="4" width="4.42578125" style="18" bestFit="1" customWidth="1"/>
    <col min="5" max="5" width="15.85546875" style="18" bestFit="1" customWidth="1"/>
    <col min="6" max="6" width="16.5703125" style="18" hidden="1" customWidth="1"/>
    <col min="7" max="7" width="4.140625" style="18" hidden="1" customWidth="1"/>
    <col min="8" max="8" width="17.140625" style="18" hidden="1" customWidth="1"/>
    <col min="9" max="9" width="5.140625" style="18" hidden="1" customWidth="1"/>
    <col min="10" max="10" width="15.42578125" style="18" hidden="1" customWidth="1"/>
    <col min="11" max="11" width="4.42578125" style="18" hidden="1" customWidth="1"/>
    <col min="12" max="12" width="6.42578125" style="18" hidden="1" customWidth="1"/>
    <col min="13" max="13" width="9.28515625" style="18" hidden="1" customWidth="1"/>
    <col min="14" max="14" width="17" style="18" bestFit="1" customWidth="1"/>
    <col min="15" max="15" width="17" style="18" customWidth="1"/>
    <col min="16" max="16" width="4.7109375" style="18" bestFit="1" customWidth="1"/>
    <col min="17" max="17" width="6.5703125" style="18" bestFit="1" customWidth="1"/>
    <col min="18" max="18" width="6.5703125" style="18" customWidth="1"/>
    <col min="19" max="19" width="11.7109375" style="110" customWidth="1"/>
    <col min="20" max="20" width="8.7109375" style="13"/>
    <col min="21" max="16384" width="8.7109375" style="110"/>
  </cols>
  <sheetData>
    <row r="1" spans="1:20" s="116" customFormat="1" ht="31.5" customHeight="1" x14ac:dyDescent="0.25">
      <c r="A1" s="272" t="s">
        <v>530</v>
      </c>
      <c r="B1" s="272" t="s">
        <v>911</v>
      </c>
      <c r="C1" s="275" t="s">
        <v>985</v>
      </c>
      <c r="D1" s="276"/>
      <c r="E1" s="277"/>
      <c r="F1" s="270" t="s">
        <v>1001</v>
      </c>
      <c r="G1" s="271"/>
      <c r="H1" s="270" t="s">
        <v>989</v>
      </c>
      <c r="I1" s="271"/>
      <c r="J1" s="270" t="s">
        <v>990</v>
      </c>
      <c r="K1" s="271"/>
      <c r="L1" s="270" t="s">
        <v>6</v>
      </c>
      <c r="M1" s="271"/>
      <c r="N1" s="278" t="s">
        <v>5</v>
      </c>
      <c r="O1" s="278"/>
      <c r="P1" s="278"/>
      <c r="Q1" s="270" t="s">
        <v>4</v>
      </c>
      <c r="R1" s="271"/>
      <c r="T1" s="233"/>
    </row>
    <row r="2" spans="1:20" s="116" customFormat="1" ht="31.5" customHeight="1" x14ac:dyDescent="0.25">
      <c r="A2" s="273"/>
      <c r="B2" s="273"/>
      <c r="C2" s="279" t="s">
        <v>1030</v>
      </c>
      <c r="D2" s="280"/>
      <c r="E2" s="281"/>
      <c r="F2" s="279" t="s">
        <v>1031</v>
      </c>
      <c r="G2" s="281"/>
      <c r="H2" s="279" t="s">
        <v>1068</v>
      </c>
      <c r="I2" s="281"/>
      <c r="J2" s="282" t="s">
        <v>1069</v>
      </c>
      <c r="K2" s="283"/>
      <c r="L2" s="279" t="s">
        <v>6</v>
      </c>
      <c r="M2" s="281"/>
      <c r="N2" s="284" t="s">
        <v>1072</v>
      </c>
      <c r="O2" s="284"/>
      <c r="P2" s="284"/>
      <c r="Q2" s="279" t="s">
        <v>4</v>
      </c>
      <c r="R2" s="281"/>
      <c r="T2" s="233"/>
    </row>
    <row r="3" spans="1:20" s="116" customFormat="1" ht="30" x14ac:dyDescent="0.25">
      <c r="A3" s="274"/>
      <c r="B3" s="274"/>
      <c r="C3" s="240" t="s">
        <v>1087</v>
      </c>
      <c r="D3" s="240" t="s">
        <v>532</v>
      </c>
      <c r="E3" s="237" t="s">
        <v>1089</v>
      </c>
      <c r="F3" s="238" t="s">
        <v>531</v>
      </c>
      <c r="G3" s="239" t="s">
        <v>532</v>
      </c>
      <c r="H3" s="238" t="s">
        <v>531</v>
      </c>
      <c r="I3" s="239" t="s">
        <v>532</v>
      </c>
      <c r="J3" s="238" t="s">
        <v>531</v>
      </c>
      <c r="K3" s="239" t="s">
        <v>532</v>
      </c>
      <c r="L3" s="238" t="s">
        <v>531</v>
      </c>
      <c r="M3" s="239" t="s">
        <v>532</v>
      </c>
      <c r="N3" s="240" t="s">
        <v>1082</v>
      </c>
      <c r="O3" s="240" t="s">
        <v>1083</v>
      </c>
      <c r="P3" s="237" t="s">
        <v>532</v>
      </c>
      <c r="Q3" s="240" t="s">
        <v>531</v>
      </c>
      <c r="R3" s="237" t="s">
        <v>532</v>
      </c>
      <c r="T3" s="233"/>
    </row>
    <row r="4" spans="1:20" s="116" customFormat="1" x14ac:dyDescent="0.25">
      <c r="A4" s="224" t="s">
        <v>644</v>
      </c>
      <c r="B4" s="235"/>
      <c r="C4" s="225"/>
      <c r="D4" s="227"/>
      <c r="E4" s="226"/>
      <c r="F4" s="225"/>
      <c r="G4" s="226"/>
      <c r="H4" s="227"/>
      <c r="I4" s="227"/>
      <c r="J4" s="227"/>
      <c r="K4" s="227"/>
      <c r="L4" s="225"/>
      <c r="M4" s="226"/>
      <c r="N4" s="225"/>
      <c r="O4" s="227"/>
      <c r="P4" s="226"/>
      <c r="Q4" s="225"/>
      <c r="R4" s="226"/>
      <c r="T4" s="233"/>
    </row>
    <row r="5" spans="1:20" x14ac:dyDescent="0.25">
      <c r="A5" s="142" t="s">
        <v>645</v>
      </c>
      <c r="B5" s="144" t="s">
        <v>916</v>
      </c>
      <c r="C5" s="170" t="s">
        <v>909</v>
      </c>
      <c r="D5" s="18" t="s">
        <v>587</v>
      </c>
      <c r="E5" s="121"/>
      <c r="F5" s="170" t="s">
        <v>1006</v>
      </c>
      <c r="G5" s="121" t="s">
        <v>587</v>
      </c>
      <c r="H5" s="171" t="s">
        <v>906</v>
      </c>
      <c r="I5" s="171" t="s">
        <v>907</v>
      </c>
      <c r="J5" s="171" t="s">
        <v>906</v>
      </c>
      <c r="K5" s="171" t="s">
        <v>907</v>
      </c>
      <c r="L5" s="170"/>
      <c r="M5" s="164"/>
      <c r="N5" s="170" t="s">
        <v>1080</v>
      </c>
      <c r="O5" s="171"/>
      <c r="P5" s="164" t="s">
        <v>450</v>
      </c>
      <c r="Q5" s="170"/>
      <c r="R5" s="164"/>
    </row>
    <row r="6" spans="1:20" x14ac:dyDescent="0.25">
      <c r="A6" s="223" t="s">
        <v>912</v>
      </c>
      <c r="B6" s="236"/>
      <c r="C6" s="140"/>
      <c r="D6" s="139"/>
      <c r="E6" s="141"/>
      <c r="F6" s="140"/>
      <c r="G6" s="141"/>
      <c r="H6" s="139"/>
      <c r="I6" s="139"/>
      <c r="J6" s="139"/>
      <c r="K6" s="139"/>
      <c r="L6" s="140"/>
      <c r="M6" s="141"/>
      <c r="N6" s="140"/>
      <c r="O6" s="139"/>
      <c r="P6" s="141"/>
      <c r="Q6" s="140"/>
      <c r="R6" s="141"/>
    </row>
    <row r="7" spans="1:20" ht="30" x14ac:dyDescent="0.25">
      <c r="A7" s="142" t="s">
        <v>677</v>
      </c>
      <c r="B7" s="144" t="s">
        <v>917</v>
      </c>
      <c r="C7" s="170" t="s">
        <v>541</v>
      </c>
      <c r="D7" s="18" t="s">
        <v>549</v>
      </c>
      <c r="E7" s="121"/>
      <c r="F7" s="170" t="s">
        <v>734</v>
      </c>
      <c r="G7" s="164" t="s">
        <v>587</v>
      </c>
      <c r="H7" s="171" t="s">
        <v>733</v>
      </c>
      <c r="I7" s="172" t="s">
        <v>770</v>
      </c>
      <c r="J7" s="18" t="s">
        <v>733</v>
      </c>
      <c r="K7" s="172" t="s">
        <v>770</v>
      </c>
      <c r="L7" s="120"/>
      <c r="M7" s="121"/>
      <c r="N7" s="120" t="s">
        <v>650</v>
      </c>
      <c r="P7" s="121" t="s">
        <v>587</v>
      </c>
      <c r="Q7" s="120"/>
      <c r="R7" s="121"/>
    </row>
    <row r="8" spans="1:20" ht="30" x14ac:dyDescent="0.25">
      <c r="A8" s="142" t="s">
        <v>752</v>
      </c>
      <c r="B8" s="144" t="s">
        <v>918</v>
      </c>
      <c r="C8" s="170" t="s">
        <v>552</v>
      </c>
      <c r="D8" s="18" t="s">
        <v>550</v>
      </c>
      <c r="E8" s="121"/>
      <c r="F8" s="170" t="s">
        <v>732</v>
      </c>
      <c r="G8" s="164" t="s">
        <v>586</v>
      </c>
      <c r="H8" s="171" t="s">
        <v>731</v>
      </c>
      <c r="I8" s="172" t="s">
        <v>759</v>
      </c>
      <c r="J8" s="18" t="s">
        <v>731</v>
      </c>
      <c r="K8" s="172" t="s">
        <v>759</v>
      </c>
      <c r="L8" s="120"/>
      <c r="M8" s="121"/>
      <c r="N8" s="120" t="s">
        <v>659</v>
      </c>
      <c r="P8" s="121" t="s">
        <v>586</v>
      </c>
      <c r="Q8" s="120"/>
      <c r="R8" s="121"/>
    </row>
    <row r="9" spans="1:20" ht="30" x14ac:dyDescent="0.25">
      <c r="A9" s="142" t="s">
        <v>913</v>
      </c>
      <c r="B9" s="144" t="s">
        <v>919</v>
      </c>
      <c r="C9" s="170" t="s">
        <v>551</v>
      </c>
      <c r="D9" s="18" t="s">
        <v>550</v>
      </c>
      <c r="E9" s="164"/>
      <c r="F9" s="170" t="s">
        <v>1024</v>
      </c>
      <c r="G9" s="164" t="s">
        <v>586</v>
      </c>
      <c r="H9" s="171" t="s">
        <v>814</v>
      </c>
      <c r="I9" s="172" t="s">
        <v>759</v>
      </c>
      <c r="J9" s="18" t="s">
        <v>814</v>
      </c>
      <c r="K9" s="172" t="s">
        <v>759</v>
      </c>
      <c r="L9" s="120"/>
      <c r="M9" s="121"/>
      <c r="N9" s="120" t="s">
        <v>665</v>
      </c>
      <c r="P9" s="121" t="s">
        <v>589</v>
      </c>
      <c r="Q9" s="120"/>
      <c r="R9" s="121"/>
    </row>
    <row r="10" spans="1:20" ht="30" x14ac:dyDescent="0.25">
      <c r="A10" s="142" t="s">
        <v>668</v>
      </c>
      <c r="B10" s="144" t="s">
        <v>920</v>
      </c>
      <c r="C10" s="170" t="s">
        <v>450</v>
      </c>
      <c r="D10" s="18" t="s">
        <v>450</v>
      </c>
      <c r="E10" s="121"/>
      <c r="F10" s="170" t="s">
        <v>450</v>
      </c>
      <c r="G10" s="164" t="s">
        <v>450</v>
      </c>
      <c r="H10" s="171" t="s">
        <v>738</v>
      </c>
      <c r="I10" s="172" t="s">
        <v>770</v>
      </c>
      <c r="J10" s="18" t="s">
        <v>738</v>
      </c>
      <c r="K10" s="172" t="s">
        <v>770</v>
      </c>
      <c r="L10" s="120"/>
      <c r="M10" s="121"/>
      <c r="N10" s="120" t="s">
        <v>688</v>
      </c>
      <c r="P10" s="121" t="s">
        <v>589</v>
      </c>
      <c r="Q10" s="120"/>
      <c r="R10" s="121"/>
    </row>
    <row r="11" spans="1:20" ht="30" x14ac:dyDescent="0.25">
      <c r="A11" s="142" t="s">
        <v>914</v>
      </c>
      <c r="B11" s="144" t="s">
        <v>921</v>
      </c>
      <c r="C11" s="170" t="s">
        <v>450</v>
      </c>
      <c r="D11" s="18" t="s">
        <v>450</v>
      </c>
      <c r="E11" s="121"/>
      <c r="F11" s="170" t="s">
        <v>450</v>
      </c>
      <c r="G11" s="164" t="s">
        <v>450</v>
      </c>
      <c r="H11" s="171" t="s">
        <v>736</v>
      </c>
      <c r="I11" s="172" t="s">
        <v>760</v>
      </c>
      <c r="J11" s="18" t="s">
        <v>736</v>
      </c>
      <c r="K11" s="172" t="s">
        <v>760</v>
      </c>
      <c r="L11" s="120"/>
      <c r="M11" s="121"/>
      <c r="N11" s="120" t="s">
        <v>450</v>
      </c>
      <c r="P11" s="121" t="s">
        <v>450</v>
      </c>
      <c r="Q11" s="120"/>
      <c r="R11" s="121"/>
    </row>
    <row r="12" spans="1:20" ht="30" x14ac:dyDescent="0.25">
      <c r="A12" s="142" t="s">
        <v>675</v>
      </c>
      <c r="B12" s="144" t="s">
        <v>922</v>
      </c>
      <c r="C12" s="170" t="s">
        <v>539</v>
      </c>
      <c r="D12" s="18" t="s">
        <v>549</v>
      </c>
      <c r="E12" s="121"/>
      <c r="F12" s="170" t="s">
        <v>1018</v>
      </c>
      <c r="G12" s="164" t="s">
        <v>550</v>
      </c>
      <c r="H12" s="171" t="s">
        <v>735</v>
      </c>
      <c r="I12" s="172" t="s">
        <v>759</v>
      </c>
      <c r="J12" s="18" t="s">
        <v>735</v>
      </c>
      <c r="K12" s="172" t="s">
        <v>759</v>
      </c>
      <c r="L12" s="120"/>
      <c r="M12" s="121"/>
      <c r="N12" s="120" t="s">
        <v>658</v>
      </c>
      <c r="P12" s="121" t="s">
        <v>587</v>
      </c>
      <c r="Q12" s="120"/>
      <c r="R12" s="121"/>
    </row>
    <row r="13" spans="1:20" ht="30" x14ac:dyDescent="0.25">
      <c r="A13" s="142" t="s">
        <v>679</v>
      </c>
      <c r="B13" s="144" t="s">
        <v>923</v>
      </c>
      <c r="C13" s="170" t="s">
        <v>543</v>
      </c>
      <c r="D13" s="18" t="s">
        <v>549</v>
      </c>
      <c r="E13" s="121"/>
      <c r="F13" s="170" t="s">
        <v>1009</v>
      </c>
      <c r="G13" s="121" t="s">
        <v>550</v>
      </c>
      <c r="H13" s="171" t="s">
        <v>800</v>
      </c>
      <c r="I13" s="172" t="s">
        <v>760</v>
      </c>
      <c r="J13" s="18" t="s">
        <v>800</v>
      </c>
      <c r="K13" s="172" t="s">
        <v>760</v>
      </c>
      <c r="L13" s="120"/>
      <c r="M13" s="121"/>
      <c r="N13" s="120" t="s">
        <v>648</v>
      </c>
      <c r="P13" s="121" t="s">
        <v>586</v>
      </c>
      <c r="Q13" s="120"/>
      <c r="R13" s="121"/>
    </row>
    <row r="14" spans="1:20" ht="30" x14ac:dyDescent="0.25">
      <c r="A14" s="142" t="s">
        <v>676</v>
      </c>
      <c r="B14" s="144" t="s">
        <v>924</v>
      </c>
      <c r="C14" s="170" t="s">
        <v>540</v>
      </c>
      <c r="D14" s="18" t="s">
        <v>549</v>
      </c>
      <c r="E14" s="121"/>
      <c r="F14" s="170" t="s">
        <v>1019</v>
      </c>
      <c r="G14" s="164" t="s">
        <v>587</v>
      </c>
      <c r="H14" s="171" t="s">
        <v>801</v>
      </c>
      <c r="I14" s="172" t="s">
        <v>760</v>
      </c>
      <c r="J14" s="18" t="s">
        <v>801</v>
      </c>
      <c r="K14" s="172" t="s">
        <v>760</v>
      </c>
      <c r="L14" s="120"/>
      <c r="M14" s="121"/>
      <c r="N14" s="120" t="s">
        <v>660</v>
      </c>
      <c r="P14" s="121" t="s">
        <v>587</v>
      </c>
      <c r="Q14" s="120"/>
      <c r="R14" s="121"/>
    </row>
    <row r="15" spans="1:20" ht="30" x14ac:dyDescent="0.25">
      <c r="A15" s="142" t="s">
        <v>680</v>
      </c>
      <c r="B15" s="144" t="s">
        <v>925</v>
      </c>
      <c r="C15" s="170" t="s">
        <v>544</v>
      </c>
      <c r="D15" s="18" t="s">
        <v>549</v>
      </c>
      <c r="E15" s="121"/>
      <c r="F15" s="170" t="s">
        <v>1008</v>
      </c>
      <c r="G15" s="121" t="s">
        <v>586</v>
      </c>
      <c r="H15" s="171" t="s">
        <v>798</v>
      </c>
      <c r="I15" s="172" t="s">
        <v>760</v>
      </c>
      <c r="J15" s="18" t="s">
        <v>798</v>
      </c>
      <c r="K15" s="172" t="s">
        <v>760</v>
      </c>
      <c r="L15" s="120"/>
      <c r="M15" s="121"/>
      <c r="N15" s="120" t="s">
        <v>647</v>
      </c>
      <c r="P15" s="121" t="s">
        <v>586</v>
      </c>
      <c r="Q15" s="120"/>
      <c r="R15" s="121"/>
    </row>
    <row r="16" spans="1:20" ht="30" x14ac:dyDescent="0.25">
      <c r="A16" s="142" t="s">
        <v>678</v>
      </c>
      <c r="B16" s="144" t="s">
        <v>926</v>
      </c>
      <c r="C16" s="170" t="s">
        <v>542</v>
      </c>
      <c r="D16" s="18" t="s">
        <v>550</v>
      </c>
      <c r="E16" s="121"/>
      <c r="F16" s="170" t="s">
        <v>1022</v>
      </c>
      <c r="G16" s="121" t="s">
        <v>549</v>
      </c>
      <c r="H16" s="171" t="s">
        <v>803</v>
      </c>
      <c r="I16" s="172" t="s">
        <v>763</v>
      </c>
      <c r="J16" s="18" t="s">
        <v>803</v>
      </c>
      <c r="K16" s="172" t="s">
        <v>763</v>
      </c>
      <c r="L16" s="120"/>
      <c r="M16" s="121"/>
      <c r="N16" s="120" t="s">
        <v>663</v>
      </c>
      <c r="P16" s="121" t="s">
        <v>586</v>
      </c>
      <c r="Q16" s="120"/>
      <c r="R16" s="121"/>
    </row>
    <row r="17" spans="1:18" ht="30" x14ac:dyDescent="0.25">
      <c r="A17" s="142" t="s">
        <v>674</v>
      </c>
      <c r="B17" s="144" t="s">
        <v>927</v>
      </c>
      <c r="C17" s="170" t="s">
        <v>538</v>
      </c>
      <c r="D17" s="18" t="s">
        <v>550</v>
      </c>
      <c r="E17" s="121"/>
      <c r="F17" s="170" t="s">
        <v>1010</v>
      </c>
      <c r="G17" s="121" t="s">
        <v>549</v>
      </c>
      <c r="H17" s="171" t="s">
        <v>802</v>
      </c>
      <c r="I17" s="172" t="s">
        <v>760</v>
      </c>
      <c r="J17" s="18" t="s">
        <v>802</v>
      </c>
      <c r="K17" s="172" t="s">
        <v>760</v>
      </c>
      <c r="L17" s="120"/>
      <c r="M17" s="121"/>
      <c r="N17" s="120" t="s">
        <v>649</v>
      </c>
      <c r="P17" s="121" t="s">
        <v>587</v>
      </c>
      <c r="Q17" s="120"/>
      <c r="R17" s="121"/>
    </row>
    <row r="18" spans="1:18" ht="30" x14ac:dyDescent="0.25">
      <c r="A18" s="142" t="s">
        <v>669</v>
      </c>
      <c r="B18" s="144" t="s">
        <v>928</v>
      </c>
      <c r="C18" s="170" t="s">
        <v>533</v>
      </c>
      <c r="D18" s="18" t="s">
        <v>549</v>
      </c>
      <c r="E18" s="121"/>
      <c r="F18" s="170" t="s">
        <v>1016</v>
      </c>
      <c r="G18" s="121" t="s">
        <v>587</v>
      </c>
      <c r="H18" s="171" t="s">
        <v>815</v>
      </c>
      <c r="I18" s="172" t="s">
        <v>770</v>
      </c>
      <c r="J18" s="18" t="s">
        <v>815</v>
      </c>
      <c r="K18" s="172" t="s">
        <v>770</v>
      </c>
      <c r="L18" s="120"/>
      <c r="M18" s="121"/>
      <c r="N18" s="120" t="s">
        <v>656</v>
      </c>
      <c r="P18" s="121" t="s">
        <v>587</v>
      </c>
      <c r="Q18" s="120"/>
      <c r="R18" s="121"/>
    </row>
    <row r="19" spans="1:18" ht="30" x14ac:dyDescent="0.25">
      <c r="A19" s="142" t="s">
        <v>670</v>
      </c>
      <c r="B19" s="144" t="s">
        <v>929</v>
      </c>
      <c r="C19" s="170" t="s">
        <v>534</v>
      </c>
      <c r="D19" s="18" t="s">
        <v>549</v>
      </c>
      <c r="E19" s="121"/>
      <c r="F19" s="170" t="s">
        <v>1017</v>
      </c>
      <c r="G19" s="121" t="s">
        <v>587</v>
      </c>
      <c r="H19" s="171" t="s">
        <v>816</v>
      </c>
      <c r="I19" s="172" t="s">
        <v>770</v>
      </c>
      <c r="J19" s="18" t="s">
        <v>816</v>
      </c>
      <c r="K19" s="172" t="s">
        <v>770</v>
      </c>
      <c r="L19" s="120"/>
      <c r="M19" s="121"/>
      <c r="N19" s="120" t="s">
        <v>657</v>
      </c>
      <c r="P19" s="121" t="s">
        <v>587</v>
      </c>
      <c r="Q19" s="120"/>
      <c r="R19" s="121"/>
    </row>
    <row r="20" spans="1:18" ht="30" x14ac:dyDescent="0.25">
      <c r="A20" s="142" t="s">
        <v>671</v>
      </c>
      <c r="B20" s="144" t="s">
        <v>930</v>
      </c>
      <c r="C20" s="170" t="s">
        <v>535</v>
      </c>
      <c r="D20" s="18" t="s">
        <v>550</v>
      </c>
      <c r="E20" s="121"/>
      <c r="F20" s="170" t="s">
        <v>1023</v>
      </c>
      <c r="G20" s="121" t="s">
        <v>586</v>
      </c>
      <c r="H20" s="171" t="s">
        <v>799</v>
      </c>
      <c r="I20" s="172" t="s">
        <v>763</v>
      </c>
      <c r="J20" s="18" t="s">
        <v>799</v>
      </c>
      <c r="K20" s="172" t="s">
        <v>763</v>
      </c>
      <c r="L20" s="120"/>
      <c r="M20" s="121"/>
      <c r="N20" s="120" t="s">
        <v>664</v>
      </c>
      <c r="P20" s="121" t="s">
        <v>586</v>
      </c>
      <c r="Q20" s="120"/>
      <c r="R20" s="121"/>
    </row>
    <row r="21" spans="1:18" ht="30" x14ac:dyDescent="0.25">
      <c r="A21" s="142" t="s">
        <v>673</v>
      </c>
      <c r="B21" s="144" t="s">
        <v>931</v>
      </c>
      <c r="C21" s="170" t="s">
        <v>537</v>
      </c>
      <c r="D21" s="18" t="s">
        <v>549</v>
      </c>
      <c r="E21" s="121"/>
      <c r="F21" s="170" t="s">
        <v>1011</v>
      </c>
      <c r="G21" s="164" t="s">
        <v>587</v>
      </c>
      <c r="H21" s="171" t="s">
        <v>809</v>
      </c>
      <c r="I21" s="172" t="s">
        <v>770</v>
      </c>
      <c r="J21" s="18" t="s">
        <v>809</v>
      </c>
      <c r="K21" s="172" t="s">
        <v>770</v>
      </c>
      <c r="L21" s="120"/>
      <c r="M21" s="121"/>
      <c r="N21" s="120" t="s">
        <v>651</v>
      </c>
      <c r="P21" s="121" t="s">
        <v>587</v>
      </c>
      <c r="Q21" s="120"/>
      <c r="R21" s="121"/>
    </row>
    <row r="22" spans="1:18" ht="30" x14ac:dyDescent="0.25">
      <c r="A22" s="142" t="s">
        <v>684</v>
      </c>
      <c r="B22" s="144" t="s">
        <v>932</v>
      </c>
      <c r="C22" s="170" t="s">
        <v>554</v>
      </c>
      <c r="D22" s="18" t="s">
        <v>550</v>
      </c>
      <c r="E22" s="121"/>
      <c r="F22" s="170" t="s">
        <v>1007</v>
      </c>
      <c r="G22" s="121" t="s">
        <v>586</v>
      </c>
      <c r="H22" s="171" t="s">
        <v>806</v>
      </c>
      <c r="I22" s="172" t="s">
        <v>763</v>
      </c>
      <c r="J22" s="18" t="s">
        <v>806</v>
      </c>
      <c r="K22" s="172" t="s">
        <v>763</v>
      </c>
      <c r="L22" s="120"/>
      <c r="M22" s="121"/>
      <c r="N22" s="120" t="s">
        <v>646</v>
      </c>
      <c r="P22" s="121" t="s">
        <v>586</v>
      </c>
      <c r="Q22" s="120"/>
      <c r="R22" s="121"/>
    </row>
    <row r="23" spans="1:18" ht="30" x14ac:dyDescent="0.25">
      <c r="A23" s="142" t="s">
        <v>685</v>
      </c>
      <c r="B23" s="144" t="s">
        <v>933</v>
      </c>
      <c r="C23" s="170" t="s">
        <v>555</v>
      </c>
      <c r="D23" s="18" t="s">
        <v>549</v>
      </c>
      <c r="E23" s="121"/>
      <c r="F23" s="170" t="s">
        <v>1013</v>
      </c>
      <c r="G23" s="121" t="s">
        <v>586</v>
      </c>
      <c r="H23" s="171" t="s">
        <v>804</v>
      </c>
      <c r="I23" s="172" t="s">
        <v>770</v>
      </c>
      <c r="J23" s="18" t="s">
        <v>804</v>
      </c>
      <c r="K23" s="172" t="s">
        <v>770</v>
      </c>
      <c r="L23" s="120"/>
      <c r="M23" s="121"/>
      <c r="N23" s="120" t="s">
        <v>653</v>
      </c>
      <c r="P23" s="121" t="s">
        <v>587</v>
      </c>
      <c r="Q23" s="120"/>
      <c r="R23" s="121"/>
    </row>
    <row r="24" spans="1:18" ht="30" x14ac:dyDescent="0.25">
      <c r="A24" s="142" t="s">
        <v>686</v>
      </c>
      <c r="B24" s="144" t="s">
        <v>934</v>
      </c>
      <c r="C24" s="170" t="s">
        <v>556</v>
      </c>
      <c r="D24" s="18" t="s">
        <v>549</v>
      </c>
      <c r="E24" s="121"/>
      <c r="F24" s="170" t="s">
        <v>1014</v>
      </c>
      <c r="G24" s="121" t="s">
        <v>586</v>
      </c>
      <c r="H24" s="171" t="s">
        <v>812</v>
      </c>
      <c r="I24" s="172" t="s">
        <v>770</v>
      </c>
      <c r="J24" s="18" t="s">
        <v>812</v>
      </c>
      <c r="K24" s="172" t="s">
        <v>770</v>
      </c>
      <c r="L24" s="120"/>
      <c r="M24" s="121"/>
      <c r="N24" s="120" t="s">
        <v>654</v>
      </c>
      <c r="P24" s="121" t="s">
        <v>587</v>
      </c>
      <c r="Q24" s="120"/>
      <c r="R24" s="121"/>
    </row>
    <row r="25" spans="1:18" ht="30" x14ac:dyDescent="0.25">
      <c r="A25" s="142" t="s">
        <v>687</v>
      </c>
      <c r="B25" s="144" t="s">
        <v>935</v>
      </c>
      <c r="C25" s="170" t="s">
        <v>545</v>
      </c>
      <c r="D25" s="18" t="s">
        <v>549</v>
      </c>
      <c r="E25" s="121"/>
      <c r="F25" s="170" t="s">
        <v>1012</v>
      </c>
      <c r="G25" s="164" t="s">
        <v>587</v>
      </c>
      <c r="H25" s="171" t="s">
        <v>808</v>
      </c>
      <c r="I25" s="172" t="s">
        <v>763</v>
      </c>
      <c r="J25" s="18" t="s">
        <v>808</v>
      </c>
      <c r="K25" s="172" t="s">
        <v>763</v>
      </c>
      <c r="L25" s="120"/>
      <c r="M25" s="121"/>
      <c r="N25" s="120" t="s">
        <v>652</v>
      </c>
      <c r="P25" s="121" t="s">
        <v>587</v>
      </c>
      <c r="Q25" s="120"/>
      <c r="R25" s="121"/>
    </row>
    <row r="26" spans="1:18" ht="30" x14ac:dyDescent="0.25">
      <c r="A26" s="142" t="s">
        <v>148</v>
      </c>
      <c r="B26" s="144" t="s">
        <v>936</v>
      </c>
      <c r="C26" s="170" t="s">
        <v>547</v>
      </c>
      <c r="D26" s="18" t="s">
        <v>549</v>
      </c>
      <c r="E26" s="121"/>
      <c r="F26" s="170" t="s">
        <v>1015</v>
      </c>
      <c r="G26" s="121" t="s">
        <v>549</v>
      </c>
      <c r="H26" s="171" t="s">
        <v>813</v>
      </c>
      <c r="I26" s="172" t="s">
        <v>760</v>
      </c>
      <c r="J26" s="18" t="s">
        <v>813</v>
      </c>
      <c r="K26" s="172" t="s">
        <v>760</v>
      </c>
      <c r="L26" s="120"/>
      <c r="M26" s="121"/>
      <c r="N26" s="120" t="s">
        <v>655</v>
      </c>
      <c r="P26" s="121" t="s">
        <v>587</v>
      </c>
      <c r="Q26" s="120"/>
      <c r="R26" s="121"/>
    </row>
    <row r="27" spans="1:18" ht="30" x14ac:dyDescent="0.25">
      <c r="A27" s="142" t="s">
        <v>682</v>
      </c>
      <c r="B27" s="144" t="s">
        <v>937</v>
      </c>
      <c r="C27" s="170" t="s">
        <v>548</v>
      </c>
      <c r="D27" s="18" t="s">
        <v>549</v>
      </c>
      <c r="E27" s="121"/>
      <c r="F27" s="170" t="s">
        <v>1026</v>
      </c>
      <c r="G27" s="164" t="s">
        <v>587</v>
      </c>
      <c r="H27" s="171" t="s">
        <v>805</v>
      </c>
      <c r="I27" s="172" t="s">
        <v>760</v>
      </c>
      <c r="J27" s="18" t="s">
        <v>805</v>
      </c>
      <c r="K27" s="172" t="s">
        <v>760</v>
      </c>
      <c r="L27" s="120"/>
      <c r="M27" s="121"/>
      <c r="N27" s="120" t="s">
        <v>667</v>
      </c>
      <c r="P27" s="121" t="s">
        <v>549</v>
      </c>
      <c r="Q27" s="120"/>
      <c r="R27" s="121"/>
    </row>
    <row r="28" spans="1:18" ht="30" x14ac:dyDescent="0.25">
      <c r="A28" s="142" t="s">
        <v>683</v>
      </c>
      <c r="B28" s="144" t="s">
        <v>938</v>
      </c>
      <c r="C28" s="170" t="s">
        <v>553</v>
      </c>
      <c r="D28" s="18" t="s">
        <v>549</v>
      </c>
      <c r="E28" s="121"/>
      <c r="F28" s="170" t="s">
        <v>1021</v>
      </c>
      <c r="G28" s="121" t="s">
        <v>586</v>
      </c>
      <c r="H28" s="171" t="s">
        <v>811</v>
      </c>
      <c r="I28" s="172" t="s">
        <v>763</v>
      </c>
      <c r="J28" s="18" t="s">
        <v>811</v>
      </c>
      <c r="K28" s="172" t="s">
        <v>763</v>
      </c>
      <c r="L28" s="120"/>
      <c r="M28" s="121"/>
      <c r="N28" s="120" t="s">
        <v>662</v>
      </c>
      <c r="P28" s="121" t="s">
        <v>549</v>
      </c>
      <c r="Q28" s="120"/>
      <c r="R28" s="121"/>
    </row>
    <row r="29" spans="1:18" ht="30" x14ac:dyDescent="0.25">
      <c r="A29" s="142" t="s">
        <v>672</v>
      </c>
      <c r="B29" s="144" t="s">
        <v>939</v>
      </c>
      <c r="C29" s="170" t="s">
        <v>536</v>
      </c>
      <c r="D29" s="18" t="s">
        <v>550</v>
      </c>
      <c r="E29" s="121"/>
      <c r="F29" s="170" t="s">
        <v>1025</v>
      </c>
      <c r="G29" s="121" t="s">
        <v>549</v>
      </c>
      <c r="H29" s="171" t="s">
        <v>807</v>
      </c>
      <c r="I29" s="172" t="s">
        <v>770</v>
      </c>
      <c r="J29" s="18" t="s">
        <v>807</v>
      </c>
      <c r="K29" s="172" t="s">
        <v>770</v>
      </c>
      <c r="L29" s="120"/>
      <c r="M29" s="121"/>
      <c r="N29" s="120" t="s">
        <v>666</v>
      </c>
      <c r="P29" s="121" t="s">
        <v>587</v>
      </c>
      <c r="Q29" s="120"/>
      <c r="R29" s="121"/>
    </row>
    <row r="30" spans="1:18" ht="30" x14ac:dyDescent="0.25">
      <c r="A30" s="142" t="s">
        <v>681</v>
      </c>
      <c r="B30" s="144" t="s">
        <v>940</v>
      </c>
      <c r="C30" s="170" t="s">
        <v>546</v>
      </c>
      <c r="D30" s="18" t="s">
        <v>549</v>
      </c>
      <c r="E30" s="121"/>
      <c r="F30" s="170" t="s">
        <v>1020</v>
      </c>
      <c r="G30" s="164" t="s">
        <v>587</v>
      </c>
      <c r="H30" s="171" t="s">
        <v>810</v>
      </c>
      <c r="I30" s="172" t="s">
        <v>760</v>
      </c>
      <c r="J30" s="18" t="s">
        <v>810</v>
      </c>
      <c r="K30" s="172" t="s">
        <v>760</v>
      </c>
      <c r="L30" s="120"/>
      <c r="M30" s="121"/>
      <c r="N30" s="120" t="s">
        <v>661</v>
      </c>
      <c r="P30" s="121" t="s">
        <v>586</v>
      </c>
      <c r="Q30" s="120"/>
      <c r="R30" s="121"/>
    </row>
    <row r="31" spans="1:18" x14ac:dyDescent="0.25">
      <c r="A31" s="223" t="s">
        <v>905</v>
      </c>
      <c r="B31" s="236"/>
      <c r="C31" s="140"/>
      <c r="D31" s="139"/>
      <c r="E31" s="141"/>
      <c r="F31" s="140"/>
      <c r="G31" s="141"/>
      <c r="H31" s="139"/>
      <c r="I31" s="139"/>
      <c r="J31" s="139"/>
      <c r="K31" s="139"/>
      <c r="L31" s="140"/>
      <c r="M31" s="141"/>
      <c r="N31" s="140"/>
      <c r="O31" s="139"/>
      <c r="P31" s="141"/>
      <c r="Q31" s="140"/>
      <c r="R31" s="141"/>
    </row>
    <row r="32" spans="1:18" x14ac:dyDescent="0.25">
      <c r="A32" s="142" t="s">
        <v>705</v>
      </c>
      <c r="B32" s="144" t="s">
        <v>941</v>
      </c>
      <c r="C32" s="120" t="s">
        <v>450</v>
      </c>
      <c r="D32" s="18" t="s">
        <v>450</v>
      </c>
      <c r="E32" s="121"/>
      <c r="F32" s="241" t="s">
        <v>1064</v>
      </c>
      <c r="G32" s="121"/>
      <c r="H32" s="171" t="s">
        <v>450</v>
      </c>
      <c r="I32" s="173" t="s">
        <v>450</v>
      </c>
      <c r="K32" s="173" t="s">
        <v>450</v>
      </c>
      <c r="L32" s="120"/>
      <c r="M32" s="121"/>
      <c r="N32" s="267" t="s">
        <v>706</v>
      </c>
      <c r="O32" s="268"/>
      <c r="P32" s="121" t="s">
        <v>549</v>
      </c>
      <c r="Q32" s="120"/>
      <c r="R32" s="121"/>
    </row>
    <row r="33" spans="1:18" ht="60" x14ac:dyDescent="0.25">
      <c r="A33" s="142" t="s">
        <v>677</v>
      </c>
      <c r="B33" s="144" t="s">
        <v>942</v>
      </c>
      <c r="C33" s="170" t="s">
        <v>582</v>
      </c>
      <c r="D33" s="18" t="s">
        <v>586</v>
      </c>
      <c r="E33" s="170" t="s">
        <v>582</v>
      </c>
      <c r="F33" s="170" t="s">
        <v>582</v>
      </c>
      <c r="G33" s="121" t="s">
        <v>586</v>
      </c>
      <c r="H33" s="171" t="s">
        <v>737</v>
      </c>
      <c r="I33" s="228" t="s">
        <v>776</v>
      </c>
      <c r="J33" s="171" t="s">
        <v>737</v>
      </c>
      <c r="K33" s="228" t="s">
        <v>776</v>
      </c>
      <c r="L33" s="120"/>
      <c r="M33" s="121"/>
      <c r="N33" s="120" t="s">
        <v>582</v>
      </c>
      <c r="P33" s="121" t="s">
        <v>586</v>
      </c>
      <c r="R33" s="121"/>
    </row>
    <row r="34" spans="1:18" ht="30" x14ac:dyDescent="0.25">
      <c r="A34" s="142" t="s">
        <v>752</v>
      </c>
      <c r="B34" s="144" t="s">
        <v>943</v>
      </c>
      <c r="C34" s="170" t="s">
        <v>585</v>
      </c>
      <c r="D34" s="18" t="s">
        <v>586</v>
      </c>
      <c r="E34" s="170" t="s">
        <v>585</v>
      </c>
      <c r="F34" s="241" t="s">
        <v>1039</v>
      </c>
      <c r="G34" s="121" t="s">
        <v>587</v>
      </c>
      <c r="H34" s="171" t="s">
        <v>739</v>
      </c>
      <c r="I34" s="229" t="s">
        <v>771</v>
      </c>
      <c r="J34" s="18" t="s">
        <v>739</v>
      </c>
      <c r="K34" s="229" t="s">
        <v>771</v>
      </c>
      <c r="L34" s="120"/>
      <c r="M34" s="121"/>
      <c r="N34" s="267" t="s">
        <v>699</v>
      </c>
      <c r="O34" s="268"/>
      <c r="P34" s="121" t="s">
        <v>587</v>
      </c>
      <c r="R34" s="121"/>
    </row>
    <row r="35" spans="1:18" ht="30" x14ac:dyDescent="0.25">
      <c r="A35" s="142" t="s">
        <v>913</v>
      </c>
      <c r="B35" s="144" t="s">
        <v>944</v>
      </c>
      <c r="C35" s="170" t="s">
        <v>1094</v>
      </c>
      <c r="D35" s="173" t="s">
        <v>185</v>
      </c>
      <c r="E35" s="170" t="s">
        <v>566</v>
      </c>
      <c r="F35" s="153" t="s">
        <v>1033</v>
      </c>
      <c r="G35" s="121" t="s">
        <v>586</v>
      </c>
      <c r="H35" s="171" t="s">
        <v>783</v>
      </c>
      <c r="I35" s="18" t="s">
        <v>766</v>
      </c>
      <c r="J35" s="18" t="s">
        <v>783</v>
      </c>
      <c r="K35" s="18" t="s">
        <v>766</v>
      </c>
      <c r="L35" s="120"/>
      <c r="M35" s="121"/>
      <c r="N35" s="120" t="s">
        <v>700</v>
      </c>
      <c r="P35" s="121" t="s">
        <v>589</v>
      </c>
      <c r="R35" s="121"/>
    </row>
    <row r="36" spans="1:18" ht="30" x14ac:dyDescent="0.25">
      <c r="A36" s="142" t="s">
        <v>745</v>
      </c>
      <c r="B36" s="144" t="s">
        <v>945</v>
      </c>
      <c r="C36" s="170" t="s">
        <v>564</v>
      </c>
      <c r="D36" s="18" t="s">
        <v>549</v>
      </c>
      <c r="E36" s="170" t="s">
        <v>564</v>
      </c>
      <c r="F36" s="170" t="s">
        <v>564</v>
      </c>
      <c r="G36" s="121" t="s">
        <v>549</v>
      </c>
      <c r="H36" s="171" t="s">
        <v>740</v>
      </c>
      <c r="I36" s="229" t="s">
        <v>760</v>
      </c>
      <c r="J36" s="18" t="s">
        <v>740</v>
      </c>
      <c r="K36" s="229" t="s">
        <v>760</v>
      </c>
      <c r="L36" s="120"/>
      <c r="M36" s="121"/>
      <c r="N36" s="267" t="s">
        <v>701</v>
      </c>
      <c r="O36" s="268"/>
      <c r="P36" s="121" t="s">
        <v>587</v>
      </c>
      <c r="R36" s="121"/>
    </row>
    <row r="37" spans="1:18" ht="30" x14ac:dyDescent="0.25">
      <c r="A37" s="142" t="s">
        <v>915</v>
      </c>
      <c r="B37" s="144" t="s">
        <v>946</v>
      </c>
      <c r="C37" s="170" t="s">
        <v>567</v>
      </c>
      <c r="D37" s="18" t="s">
        <v>549</v>
      </c>
      <c r="E37" s="170" t="s">
        <v>567</v>
      </c>
      <c r="F37" s="170" t="s">
        <v>567</v>
      </c>
      <c r="G37" s="121" t="s">
        <v>549</v>
      </c>
      <c r="H37" s="171" t="s">
        <v>788</v>
      </c>
      <c r="I37" s="229" t="s">
        <v>759</v>
      </c>
      <c r="J37" s="18" t="s">
        <v>788</v>
      </c>
      <c r="K37" s="229" t="s">
        <v>759</v>
      </c>
      <c r="L37" s="120"/>
      <c r="M37" s="121"/>
      <c r="N37" s="267" t="s">
        <v>702</v>
      </c>
      <c r="O37" s="268"/>
      <c r="P37" s="121" t="s">
        <v>587</v>
      </c>
      <c r="R37" s="121"/>
    </row>
    <row r="38" spans="1:18" ht="30" x14ac:dyDescent="0.25">
      <c r="A38" s="142" t="s">
        <v>750</v>
      </c>
      <c r="B38" s="144" t="s">
        <v>947</v>
      </c>
      <c r="C38" s="170" t="s">
        <v>581</v>
      </c>
      <c r="D38" s="18" t="s">
        <v>549</v>
      </c>
      <c r="E38" s="170" t="s">
        <v>581</v>
      </c>
      <c r="F38" s="170" t="s">
        <v>581</v>
      </c>
      <c r="G38" s="121" t="s">
        <v>549</v>
      </c>
      <c r="H38" s="171" t="s">
        <v>753</v>
      </c>
      <c r="I38" s="229" t="s">
        <v>763</v>
      </c>
      <c r="J38" s="18" t="s">
        <v>753</v>
      </c>
      <c r="K38" s="229" t="s">
        <v>763</v>
      </c>
      <c r="L38" s="120"/>
      <c r="M38" s="121"/>
      <c r="N38" s="267" t="s">
        <v>703</v>
      </c>
      <c r="O38" s="268"/>
      <c r="P38" s="121" t="s">
        <v>587</v>
      </c>
      <c r="R38" s="121"/>
    </row>
    <row r="39" spans="1:18" ht="30" x14ac:dyDescent="0.25">
      <c r="A39" s="142" t="s">
        <v>782</v>
      </c>
      <c r="B39" s="144" t="s">
        <v>971</v>
      </c>
      <c r="C39" s="170" t="s">
        <v>576</v>
      </c>
      <c r="D39" s="18" t="s">
        <v>587</v>
      </c>
      <c r="E39" s="170" t="s">
        <v>576</v>
      </c>
      <c r="F39" s="241" t="s">
        <v>704</v>
      </c>
      <c r="G39" s="121" t="s">
        <v>587</v>
      </c>
      <c r="H39" s="171" t="s">
        <v>450</v>
      </c>
      <c r="I39" s="18" t="s">
        <v>450</v>
      </c>
      <c r="J39" s="18" t="s">
        <v>450</v>
      </c>
      <c r="K39" s="18" t="s">
        <v>450</v>
      </c>
      <c r="L39" s="120"/>
      <c r="M39" s="121"/>
      <c r="N39" s="267" t="s">
        <v>704</v>
      </c>
      <c r="O39" s="268"/>
      <c r="P39" s="121" t="s">
        <v>587</v>
      </c>
      <c r="R39" s="121"/>
    </row>
    <row r="40" spans="1:18" ht="30" x14ac:dyDescent="0.25">
      <c r="A40" s="142" t="s">
        <v>675</v>
      </c>
      <c r="B40" s="144" t="s">
        <v>948</v>
      </c>
      <c r="C40" s="170" t="s">
        <v>583</v>
      </c>
      <c r="D40" s="18" t="s">
        <v>550</v>
      </c>
      <c r="E40" s="170" t="s">
        <v>583</v>
      </c>
      <c r="F40" s="241" t="s">
        <v>1038</v>
      </c>
      <c r="G40" s="121" t="s">
        <v>587</v>
      </c>
      <c r="H40" s="171" t="s">
        <v>754</v>
      </c>
      <c r="I40" s="229" t="s">
        <v>758</v>
      </c>
      <c r="J40" s="18" t="s">
        <v>754</v>
      </c>
      <c r="K40" s="229" t="s">
        <v>758</v>
      </c>
      <c r="L40" s="120"/>
      <c r="M40" s="121"/>
      <c r="N40" s="267" t="s">
        <v>690</v>
      </c>
      <c r="O40" s="268"/>
      <c r="P40" s="121" t="s">
        <v>549</v>
      </c>
      <c r="R40" s="121"/>
    </row>
    <row r="41" spans="1:18" ht="30" x14ac:dyDescent="0.25">
      <c r="A41" s="142" t="s">
        <v>751</v>
      </c>
      <c r="B41" s="144" t="s">
        <v>949</v>
      </c>
      <c r="C41" s="170" t="s">
        <v>584</v>
      </c>
      <c r="D41" s="18" t="s">
        <v>549</v>
      </c>
      <c r="E41" s="170" t="s">
        <v>584</v>
      </c>
      <c r="F41" s="170" t="s">
        <v>584</v>
      </c>
      <c r="G41" s="121" t="s">
        <v>549</v>
      </c>
      <c r="H41" s="171" t="s">
        <v>755</v>
      </c>
      <c r="I41" s="229" t="s">
        <v>759</v>
      </c>
      <c r="J41" s="18" t="s">
        <v>755</v>
      </c>
      <c r="K41" s="229" t="s">
        <v>759</v>
      </c>
      <c r="L41" s="120"/>
      <c r="M41" s="121"/>
      <c r="N41" s="120" t="s">
        <v>584</v>
      </c>
      <c r="P41" s="121" t="s">
        <v>549</v>
      </c>
      <c r="R41" s="121"/>
    </row>
    <row r="42" spans="1:18" ht="30" x14ac:dyDescent="0.25">
      <c r="A42" s="142" t="s">
        <v>676</v>
      </c>
      <c r="B42" s="144" t="s">
        <v>950</v>
      </c>
      <c r="C42" s="170" t="s">
        <v>565</v>
      </c>
      <c r="D42" s="18" t="s">
        <v>549</v>
      </c>
      <c r="E42" s="170" t="s">
        <v>565</v>
      </c>
      <c r="F42" s="170" t="s">
        <v>565</v>
      </c>
      <c r="G42" s="121" t="s">
        <v>549</v>
      </c>
      <c r="H42" s="171" t="s">
        <v>756</v>
      </c>
      <c r="I42" s="229" t="s">
        <v>759</v>
      </c>
      <c r="J42" s="18" t="s">
        <v>756</v>
      </c>
      <c r="K42" s="229" t="s">
        <v>759</v>
      </c>
      <c r="L42" s="120"/>
      <c r="M42" s="121"/>
      <c r="N42" s="120" t="s">
        <v>565</v>
      </c>
      <c r="P42" s="121" t="s">
        <v>549</v>
      </c>
      <c r="R42" s="121"/>
    </row>
    <row r="43" spans="1:18" ht="30" x14ac:dyDescent="0.25">
      <c r="A43" s="142" t="s">
        <v>680</v>
      </c>
      <c r="B43" s="144" t="s">
        <v>951</v>
      </c>
      <c r="C43" s="170" t="s">
        <v>579</v>
      </c>
      <c r="D43" s="18" t="s">
        <v>589</v>
      </c>
      <c r="E43" s="170" t="s">
        <v>579</v>
      </c>
      <c r="F43" s="241" t="s">
        <v>693</v>
      </c>
      <c r="G43" s="121" t="s">
        <v>587</v>
      </c>
      <c r="H43" s="171" t="s">
        <v>787</v>
      </c>
      <c r="I43" s="229" t="s">
        <v>766</v>
      </c>
      <c r="J43" s="18" t="s">
        <v>787</v>
      </c>
      <c r="K43" s="229" t="s">
        <v>766</v>
      </c>
      <c r="L43" s="120"/>
      <c r="M43" s="121"/>
      <c r="N43" s="267" t="s">
        <v>693</v>
      </c>
      <c r="O43" s="268"/>
      <c r="P43" s="121" t="s">
        <v>587</v>
      </c>
      <c r="R43" s="121"/>
    </row>
    <row r="44" spans="1:18" ht="30" x14ac:dyDescent="0.25">
      <c r="A44" s="142" t="s">
        <v>678</v>
      </c>
      <c r="B44" s="144" t="s">
        <v>952</v>
      </c>
      <c r="C44" s="170" t="s">
        <v>578</v>
      </c>
      <c r="D44" s="18" t="s">
        <v>588</v>
      </c>
      <c r="E44" s="170" t="s">
        <v>578</v>
      </c>
      <c r="F44" s="241" t="s">
        <v>1037</v>
      </c>
      <c r="G44" s="121" t="s">
        <v>586</v>
      </c>
      <c r="H44" s="171" t="s">
        <v>779</v>
      </c>
      <c r="I44" s="229" t="s">
        <v>765</v>
      </c>
      <c r="J44" s="18" t="s">
        <v>779</v>
      </c>
      <c r="K44" s="229" t="s">
        <v>765</v>
      </c>
      <c r="L44" s="120"/>
      <c r="M44" s="121"/>
      <c r="N44" s="120" t="s">
        <v>692</v>
      </c>
      <c r="P44" s="157" t="s">
        <v>549</v>
      </c>
      <c r="R44" s="121"/>
    </row>
    <row r="45" spans="1:18" ht="30" x14ac:dyDescent="0.25">
      <c r="A45" s="142" t="s">
        <v>743</v>
      </c>
      <c r="B45" s="144" t="s">
        <v>953</v>
      </c>
      <c r="C45" s="170" t="s">
        <v>562</v>
      </c>
      <c r="D45" s="18" t="s">
        <v>550</v>
      </c>
      <c r="E45" s="170" t="s">
        <v>562</v>
      </c>
      <c r="F45" s="241" t="s">
        <v>691</v>
      </c>
      <c r="G45" s="121" t="s">
        <v>587</v>
      </c>
      <c r="H45" s="171" t="s">
        <v>757</v>
      </c>
      <c r="I45" s="229" t="s">
        <v>767</v>
      </c>
      <c r="J45" s="18" t="s">
        <v>757</v>
      </c>
      <c r="K45" s="229" t="s">
        <v>767</v>
      </c>
      <c r="L45" s="120"/>
      <c r="M45" s="121"/>
      <c r="N45" s="267" t="s">
        <v>691</v>
      </c>
      <c r="O45" s="268"/>
      <c r="P45" s="121" t="s">
        <v>587</v>
      </c>
      <c r="R45" s="121"/>
    </row>
    <row r="46" spans="1:18" ht="30" x14ac:dyDescent="0.25">
      <c r="A46" s="142" t="s">
        <v>669</v>
      </c>
      <c r="B46" s="144" t="s">
        <v>954</v>
      </c>
      <c r="C46" s="170" t="s">
        <v>557</v>
      </c>
      <c r="D46" s="18" t="s">
        <v>586</v>
      </c>
      <c r="E46" s="170" t="s">
        <v>557</v>
      </c>
      <c r="F46" s="170" t="s">
        <v>557</v>
      </c>
      <c r="G46" s="121" t="s">
        <v>586</v>
      </c>
      <c r="H46" s="171" t="s">
        <v>797</v>
      </c>
      <c r="I46" s="229" t="s">
        <v>768</v>
      </c>
      <c r="J46" s="18" t="s">
        <v>797</v>
      </c>
      <c r="K46" s="229" t="s">
        <v>768</v>
      </c>
      <c r="L46" s="120"/>
      <c r="M46" s="121"/>
      <c r="N46" s="120" t="s">
        <v>557</v>
      </c>
      <c r="P46" s="121" t="s">
        <v>586</v>
      </c>
      <c r="Q46" s="120"/>
      <c r="R46" s="121"/>
    </row>
    <row r="47" spans="1:18" ht="30" x14ac:dyDescent="0.25">
      <c r="A47" s="142" t="s">
        <v>741</v>
      </c>
      <c r="B47" s="144" t="s">
        <v>955</v>
      </c>
      <c r="C47" s="170" t="s">
        <v>558</v>
      </c>
      <c r="D47" s="18" t="s">
        <v>586</v>
      </c>
      <c r="E47" s="170" t="s">
        <v>558</v>
      </c>
      <c r="F47" s="170" t="s">
        <v>558</v>
      </c>
      <c r="G47" s="121" t="s">
        <v>586</v>
      </c>
      <c r="H47" s="171" t="s">
        <v>796</v>
      </c>
      <c r="I47" s="229" t="s">
        <v>768</v>
      </c>
      <c r="J47" s="18" t="s">
        <v>796</v>
      </c>
      <c r="K47" s="229" t="s">
        <v>768</v>
      </c>
      <c r="L47" s="120"/>
      <c r="M47" s="121"/>
      <c r="N47" s="120" t="s">
        <v>558</v>
      </c>
      <c r="P47" s="121" t="s">
        <v>586</v>
      </c>
      <c r="R47" s="121"/>
    </row>
    <row r="48" spans="1:18" ht="30" x14ac:dyDescent="0.25">
      <c r="A48" s="142" t="s">
        <v>742</v>
      </c>
      <c r="B48" s="144" t="s">
        <v>956</v>
      </c>
      <c r="C48" s="170" t="s">
        <v>559</v>
      </c>
      <c r="D48" s="18" t="s">
        <v>549</v>
      </c>
      <c r="E48" s="170" t="s">
        <v>559</v>
      </c>
      <c r="F48" s="241" t="s">
        <v>1032</v>
      </c>
      <c r="G48" s="121" t="s">
        <v>586</v>
      </c>
      <c r="H48" s="171" t="s">
        <v>790</v>
      </c>
      <c r="I48" s="229" t="s">
        <v>763</v>
      </c>
      <c r="J48" s="18" t="s">
        <v>790</v>
      </c>
      <c r="K48" s="229" t="s">
        <v>763</v>
      </c>
      <c r="L48" s="120"/>
      <c r="M48" s="121"/>
      <c r="N48" s="267" t="s">
        <v>698</v>
      </c>
      <c r="O48" s="268"/>
      <c r="P48" s="121" t="s">
        <v>587</v>
      </c>
      <c r="R48" s="121"/>
    </row>
    <row r="49" spans="1:18" ht="30" x14ac:dyDescent="0.25">
      <c r="A49" s="142" t="s">
        <v>673</v>
      </c>
      <c r="B49" s="144" t="s">
        <v>957</v>
      </c>
      <c r="C49" s="170" t="s">
        <v>561</v>
      </c>
      <c r="D49" s="18" t="s">
        <v>586</v>
      </c>
      <c r="E49" s="170" t="s">
        <v>561</v>
      </c>
      <c r="F49" s="170" t="s">
        <v>561</v>
      </c>
      <c r="G49" s="121" t="s">
        <v>586</v>
      </c>
      <c r="H49" s="171" t="s">
        <v>795</v>
      </c>
      <c r="I49" s="229" t="s">
        <v>768</v>
      </c>
      <c r="J49" s="18" t="s">
        <v>795</v>
      </c>
      <c r="K49" s="229" t="s">
        <v>768</v>
      </c>
      <c r="L49" s="120"/>
      <c r="M49" s="121"/>
      <c r="N49" s="120" t="s">
        <v>561</v>
      </c>
      <c r="P49" s="121" t="s">
        <v>586</v>
      </c>
      <c r="R49" s="121"/>
    </row>
    <row r="50" spans="1:18" ht="30" x14ac:dyDescent="0.25">
      <c r="A50" s="142" t="s">
        <v>744</v>
      </c>
      <c r="B50" s="144" t="s">
        <v>958</v>
      </c>
      <c r="C50" s="170" t="s">
        <v>563</v>
      </c>
      <c r="D50" s="18" t="s">
        <v>587</v>
      </c>
      <c r="E50" s="170" t="s">
        <v>563</v>
      </c>
      <c r="F50" s="170" t="s">
        <v>563</v>
      </c>
      <c r="G50" s="121" t="s">
        <v>587</v>
      </c>
      <c r="H50" s="171" t="s">
        <v>793</v>
      </c>
      <c r="I50" s="229" t="s">
        <v>763</v>
      </c>
      <c r="J50" s="18" t="s">
        <v>793</v>
      </c>
      <c r="K50" s="229" t="s">
        <v>763</v>
      </c>
      <c r="L50" s="120"/>
      <c r="M50" s="121"/>
      <c r="N50" s="120" t="s">
        <v>563</v>
      </c>
      <c r="P50" s="121" t="s">
        <v>587</v>
      </c>
      <c r="R50" s="121"/>
    </row>
    <row r="51" spans="1:18" ht="30" x14ac:dyDescent="0.25">
      <c r="A51" s="142" t="s">
        <v>746</v>
      </c>
      <c r="B51" s="144" t="s">
        <v>959</v>
      </c>
      <c r="C51" s="170" t="s">
        <v>1097</v>
      </c>
      <c r="D51" s="173" t="s">
        <v>188</v>
      </c>
      <c r="E51" s="170" t="s">
        <v>568</v>
      </c>
      <c r="F51" s="241" t="s">
        <v>1034</v>
      </c>
      <c r="G51" s="121" t="s">
        <v>587</v>
      </c>
      <c r="H51" s="171" t="s">
        <v>778</v>
      </c>
      <c r="I51" s="229" t="s">
        <v>764</v>
      </c>
      <c r="J51" s="18" t="s">
        <v>778</v>
      </c>
      <c r="K51" s="229" t="s">
        <v>764</v>
      </c>
      <c r="L51" s="120"/>
      <c r="M51" s="121"/>
      <c r="N51" s="120" t="s">
        <v>694</v>
      </c>
      <c r="P51" s="121" t="s">
        <v>587</v>
      </c>
      <c r="R51" s="121"/>
    </row>
    <row r="52" spans="1:18" ht="30" x14ac:dyDescent="0.25">
      <c r="A52" s="142" t="s">
        <v>748</v>
      </c>
      <c r="B52" s="144" t="s">
        <v>960</v>
      </c>
      <c r="C52" s="170" t="s">
        <v>1093</v>
      </c>
      <c r="D52" s="173" t="s">
        <v>182</v>
      </c>
      <c r="E52" s="170" t="s">
        <v>574</v>
      </c>
      <c r="F52" s="170" t="s">
        <v>574</v>
      </c>
      <c r="G52" s="121" t="s">
        <v>586</v>
      </c>
      <c r="H52" s="171" t="s">
        <v>794</v>
      </c>
      <c r="I52" s="229" t="s">
        <v>764</v>
      </c>
      <c r="J52" s="18" t="s">
        <v>794</v>
      </c>
      <c r="K52" s="229" t="s">
        <v>764</v>
      </c>
      <c r="L52" s="120"/>
      <c r="M52" s="121"/>
      <c r="N52" s="120" t="s">
        <v>574</v>
      </c>
      <c r="P52" s="121" t="s">
        <v>586</v>
      </c>
      <c r="R52" s="121"/>
    </row>
    <row r="53" spans="1:18" ht="30" x14ac:dyDescent="0.25">
      <c r="A53" s="142" t="s">
        <v>685</v>
      </c>
      <c r="B53" s="144" t="s">
        <v>961</v>
      </c>
      <c r="C53" s="170" t="s">
        <v>1098</v>
      </c>
      <c r="D53" s="18" t="s">
        <v>761</v>
      </c>
      <c r="E53" s="170" t="s">
        <v>569</v>
      </c>
      <c r="F53" s="170" t="s">
        <v>569</v>
      </c>
      <c r="G53" s="121" t="s">
        <v>586</v>
      </c>
      <c r="H53" s="171" t="s">
        <v>791</v>
      </c>
      <c r="I53" s="229" t="s">
        <v>770</v>
      </c>
      <c r="J53" s="18" t="s">
        <v>791</v>
      </c>
      <c r="K53" s="229" t="s">
        <v>770</v>
      </c>
      <c r="L53" s="120"/>
      <c r="M53" s="121"/>
      <c r="N53" s="120" t="s">
        <v>569</v>
      </c>
      <c r="P53" s="121" t="s">
        <v>586</v>
      </c>
      <c r="R53" s="121"/>
    </row>
    <row r="54" spans="1:18" ht="30" x14ac:dyDescent="0.25">
      <c r="A54" s="142" t="s">
        <v>686</v>
      </c>
      <c r="B54" s="144" t="s">
        <v>962</v>
      </c>
      <c r="C54" s="170" t="s">
        <v>1084</v>
      </c>
      <c r="D54" s="18" t="s">
        <v>1085</v>
      </c>
      <c r="E54" s="170" t="s">
        <v>570</v>
      </c>
      <c r="F54" s="170" t="s">
        <v>570</v>
      </c>
      <c r="G54" s="121" t="s">
        <v>586</v>
      </c>
      <c r="H54" s="171" t="s">
        <v>777</v>
      </c>
      <c r="I54" s="229" t="s">
        <v>763</v>
      </c>
      <c r="J54" s="18" t="s">
        <v>777</v>
      </c>
      <c r="K54" s="229" t="s">
        <v>763</v>
      </c>
      <c r="L54" s="120"/>
      <c r="M54" s="121"/>
      <c r="N54" s="120" t="s">
        <v>570</v>
      </c>
      <c r="O54" s="171" t="s">
        <v>1084</v>
      </c>
      <c r="P54" s="121" t="s">
        <v>1085</v>
      </c>
      <c r="R54" s="121"/>
    </row>
    <row r="55" spans="1:18" ht="30" x14ac:dyDescent="0.25">
      <c r="A55" s="142" t="s">
        <v>747</v>
      </c>
      <c r="B55" s="144" t="s">
        <v>963</v>
      </c>
      <c r="C55" s="170" t="s">
        <v>1086</v>
      </c>
      <c r="D55" s="173" t="s">
        <v>184</v>
      </c>
      <c r="E55" s="170" t="s">
        <v>571</v>
      </c>
      <c r="F55" s="170" t="s">
        <v>571</v>
      </c>
      <c r="G55" s="121" t="s">
        <v>586</v>
      </c>
      <c r="H55" s="171" t="s">
        <v>780</v>
      </c>
      <c r="I55" s="229" t="s">
        <v>759</v>
      </c>
      <c r="J55" s="18" t="s">
        <v>780</v>
      </c>
      <c r="K55" s="229" t="s">
        <v>759</v>
      </c>
      <c r="L55" s="120"/>
      <c r="M55" s="121"/>
      <c r="N55" s="120" t="s">
        <v>689</v>
      </c>
      <c r="O55" s="18" t="s">
        <v>1086</v>
      </c>
      <c r="P55" s="269" t="s">
        <v>185</v>
      </c>
      <c r="R55" s="121"/>
    </row>
    <row r="56" spans="1:18" ht="30" x14ac:dyDescent="0.25">
      <c r="A56" s="142" t="s">
        <v>148</v>
      </c>
      <c r="B56" s="144" t="s">
        <v>964</v>
      </c>
      <c r="C56" s="170" t="s">
        <v>1090</v>
      </c>
      <c r="D56" s="228" t="s">
        <v>183</v>
      </c>
      <c r="E56" s="170" t="s">
        <v>572</v>
      </c>
      <c r="F56" s="241" t="s">
        <v>695</v>
      </c>
      <c r="G56" s="121" t="s">
        <v>587</v>
      </c>
      <c r="H56" s="171" t="s">
        <v>781</v>
      </c>
      <c r="I56" s="229" t="s">
        <v>760</v>
      </c>
      <c r="J56" s="18" t="s">
        <v>781</v>
      </c>
      <c r="K56" s="229" t="s">
        <v>760</v>
      </c>
      <c r="L56" s="120"/>
      <c r="M56" s="121"/>
      <c r="N56" s="120" t="s">
        <v>695</v>
      </c>
      <c r="P56" s="121" t="s">
        <v>587</v>
      </c>
      <c r="R56" s="121"/>
    </row>
    <row r="57" spans="1:18" x14ac:dyDescent="0.25">
      <c r="A57" s="142" t="s">
        <v>682</v>
      </c>
      <c r="B57" s="144" t="s">
        <v>965</v>
      </c>
      <c r="C57" s="170" t="s">
        <v>1091</v>
      </c>
      <c r="D57" s="173" t="s">
        <v>1092</v>
      </c>
      <c r="E57" s="170" t="s">
        <v>573</v>
      </c>
      <c r="F57" s="170" t="s">
        <v>573</v>
      </c>
      <c r="G57" s="121" t="s">
        <v>586</v>
      </c>
      <c r="H57" s="171" t="s">
        <v>450</v>
      </c>
      <c r="I57" s="18" t="s">
        <v>450</v>
      </c>
      <c r="J57" s="18" t="s">
        <v>450</v>
      </c>
      <c r="K57" s="18" t="s">
        <v>450</v>
      </c>
      <c r="L57" s="120"/>
      <c r="M57" s="121"/>
      <c r="N57" s="120" t="s">
        <v>573</v>
      </c>
      <c r="P57" s="121" t="s">
        <v>586</v>
      </c>
      <c r="R57" s="121"/>
    </row>
    <row r="58" spans="1:18" ht="30" x14ac:dyDescent="0.25">
      <c r="A58" s="142" t="s">
        <v>1036</v>
      </c>
      <c r="B58" s="144" t="s">
        <v>966</v>
      </c>
      <c r="C58" s="170" t="s">
        <v>1095</v>
      </c>
      <c r="D58" s="173" t="s">
        <v>183</v>
      </c>
      <c r="E58" s="170" t="s">
        <v>575</v>
      </c>
      <c r="F58" s="170" t="s">
        <v>1035</v>
      </c>
      <c r="G58" s="121" t="s">
        <v>587</v>
      </c>
      <c r="H58" s="171" t="s">
        <v>785</v>
      </c>
      <c r="I58" s="229" t="s">
        <v>768</v>
      </c>
      <c r="J58" s="18" t="s">
        <v>785</v>
      </c>
      <c r="K58" s="229" t="s">
        <v>768</v>
      </c>
      <c r="L58" s="120"/>
      <c r="M58" s="121"/>
      <c r="N58" s="120" t="s">
        <v>697</v>
      </c>
      <c r="P58" s="121" t="s">
        <v>587</v>
      </c>
      <c r="R58" s="121"/>
    </row>
    <row r="59" spans="1:18" ht="30" x14ac:dyDescent="0.25">
      <c r="A59" s="142" t="s">
        <v>784</v>
      </c>
      <c r="B59" s="144" t="s">
        <v>967</v>
      </c>
      <c r="C59" s="170" t="s">
        <v>450</v>
      </c>
      <c r="D59" s="18" t="s">
        <v>450</v>
      </c>
      <c r="E59" s="121" t="s">
        <v>450</v>
      </c>
      <c r="F59" s="120"/>
      <c r="G59" s="121"/>
      <c r="H59" s="172" t="s">
        <v>786</v>
      </c>
      <c r="I59" s="18" t="s">
        <v>769</v>
      </c>
      <c r="J59" s="18" t="s">
        <v>786</v>
      </c>
      <c r="K59" s="18" t="s">
        <v>769</v>
      </c>
      <c r="L59" s="120"/>
      <c r="M59" s="121"/>
      <c r="N59" s="120" t="s">
        <v>450</v>
      </c>
      <c r="P59" s="121" t="s">
        <v>450</v>
      </c>
      <c r="R59" s="121"/>
    </row>
    <row r="60" spans="1:18" ht="30" x14ac:dyDescent="0.25">
      <c r="A60" s="142" t="s">
        <v>749</v>
      </c>
      <c r="B60" s="144" t="s">
        <v>968</v>
      </c>
      <c r="C60" s="170" t="s">
        <v>1096</v>
      </c>
      <c r="D60" s="173" t="s">
        <v>182</v>
      </c>
      <c r="E60" s="170" t="s">
        <v>577</v>
      </c>
      <c r="F60" s="170" t="s">
        <v>577</v>
      </c>
      <c r="G60" s="121" t="s">
        <v>586</v>
      </c>
      <c r="H60" s="171" t="s">
        <v>792</v>
      </c>
      <c r="I60" s="229" t="s">
        <v>760</v>
      </c>
      <c r="J60" s="18" t="s">
        <v>792</v>
      </c>
      <c r="K60" s="229" t="s">
        <v>760</v>
      </c>
      <c r="L60" s="120"/>
      <c r="M60" s="121"/>
      <c r="N60" s="120" t="s">
        <v>577</v>
      </c>
      <c r="P60" s="121" t="s">
        <v>586</v>
      </c>
      <c r="R60" s="121"/>
    </row>
    <row r="61" spans="1:18" ht="30" x14ac:dyDescent="0.25">
      <c r="A61" s="142" t="s">
        <v>672</v>
      </c>
      <c r="B61" s="144" t="s">
        <v>969</v>
      </c>
      <c r="C61" s="170" t="s">
        <v>560</v>
      </c>
      <c r="D61" s="18" t="s">
        <v>549</v>
      </c>
      <c r="E61" s="170" t="s">
        <v>560</v>
      </c>
      <c r="F61" s="170" t="s">
        <v>560</v>
      </c>
      <c r="G61" s="121" t="s">
        <v>549</v>
      </c>
      <c r="H61" s="171" t="s">
        <v>560</v>
      </c>
      <c r="I61" s="18" t="s">
        <v>772</v>
      </c>
      <c r="J61" s="18" t="s">
        <v>560</v>
      </c>
      <c r="K61" s="18" t="s">
        <v>772</v>
      </c>
      <c r="L61" s="120"/>
      <c r="M61" s="121"/>
      <c r="N61" s="120" t="s">
        <v>560</v>
      </c>
      <c r="P61" s="121" t="s">
        <v>549</v>
      </c>
      <c r="R61" s="121"/>
    </row>
    <row r="62" spans="1:18" ht="30" x14ac:dyDescent="0.25">
      <c r="A62" s="142" t="s">
        <v>681</v>
      </c>
      <c r="B62" s="144" t="s">
        <v>970</v>
      </c>
      <c r="C62" s="170" t="s">
        <v>1088</v>
      </c>
      <c r="D62" s="18" t="s">
        <v>766</v>
      </c>
      <c r="E62" s="170" t="s">
        <v>580</v>
      </c>
      <c r="F62" s="120" t="s">
        <v>580</v>
      </c>
      <c r="G62" s="121" t="s">
        <v>549</v>
      </c>
      <c r="H62" s="171" t="s">
        <v>789</v>
      </c>
      <c r="I62" s="229" t="s">
        <v>770</v>
      </c>
      <c r="J62" s="18" t="s">
        <v>789</v>
      </c>
      <c r="K62" s="229" t="s">
        <v>770</v>
      </c>
      <c r="L62" s="120"/>
      <c r="M62" s="121"/>
      <c r="N62" s="120" t="s">
        <v>696</v>
      </c>
      <c r="P62" s="121" t="s">
        <v>587</v>
      </c>
      <c r="R62" s="121"/>
    </row>
    <row r="63" spans="1:18" x14ac:dyDescent="0.25">
      <c r="A63" s="223" t="s">
        <v>590</v>
      </c>
      <c r="B63" s="236"/>
      <c r="C63" s="140"/>
      <c r="D63" s="139"/>
      <c r="E63" s="141"/>
      <c r="F63" s="140"/>
      <c r="G63" s="141"/>
      <c r="H63" s="139"/>
      <c r="I63" s="139"/>
      <c r="J63" s="241" t="s">
        <v>1064</v>
      </c>
      <c r="K63" s="139"/>
      <c r="L63" s="140"/>
      <c r="M63" s="141"/>
      <c r="N63" s="140"/>
      <c r="O63" s="139"/>
      <c r="P63" s="141"/>
      <c r="Q63" s="139"/>
      <c r="R63" s="141"/>
    </row>
    <row r="64" spans="1:18" ht="30" x14ac:dyDescent="0.25">
      <c r="A64" s="142" t="s">
        <v>591</v>
      </c>
      <c r="B64" s="144" t="s">
        <v>972</v>
      </c>
      <c r="C64" s="120" t="s">
        <v>599</v>
      </c>
      <c r="D64" s="18" t="s">
        <v>607</v>
      </c>
      <c r="E64" s="121"/>
      <c r="F64" s="120" t="s">
        <v>1040</v>
      </c>
      <c r="G64" s="157" t="s">
        <v>550</v>
      </c>
      <c r="H64" s="18" t="s">
        <v>817</v>
      </c>
      <c r="I64" s="172" t="s">
        <v>773</v>
      </c>
      <c r="J64" s="263" t="s">
        <v>826</v>
      </c>
      <c r="K64" s="171" t="s">
        <v>760</v>
      </c>
      <c r="L64" s="120"/>
      <c r="M64" s="121"/>
      <c r="N64" s="120" t="s">
        <v>725</v>
      </c>
      <c r="P64" s="157" t="s">
        <v>1081</v>
      </c>
      <c r="R64" s="121"/>
    </row>
    <row r="65" spans="1:18" ht="30" x14ac:dyDescent="0.25">
      <c r="A65" s="142" t="s">
        <v>592</v>
      </c>
      <c r="B65" s="144" t="s">
        <v>973</v>
      </c>
      <c r="C65" s="120" t="s">
        <v>600</v>
      </c>
      <c r="D65" s="18" t="s">
        <v>608</v>
      </c>
      <c r="E65" s="121"/>
      <c r="F65" s="120" t="s">
        <v>1041</v>
      </c>
      <c r="G65" s="121" t="s">
        <v>589</v>
      </c>
      <c r="H65" s="18" t="s">
        <v>818</v>
      </c>
      <c r="I65" s="172" t="s">
        <v>773</v>
      </c>
      <c r="J65" s="263" t="s">
        <v>827</v>
      </c>
      <c r="K65" s="171" t="s">
        <v>760</v>
      </c>
      <c r="L65" s="120"/>
      <c r="M65" s="121"/>
      <c r="N65" s="120" t="s">
        <v>724</v>
      </c>
      <c r="P65" s="157" t="s">
        <v>1081</v>
      </c>
      <c r="R65" s="121"/>
    </row>
    <row r="66" spans="1:18" ht="30" x14ac:dyDescent="0.25">
      <c r="A66" s="142" t="s">
        <v>593</v>
      </c>
      <c r="B66" s="144" t="s">
        <v>974</v>
      </c>
      <c r="C66" s="120" t="s">
        <v>601</v>
      </c>
      <c r="D66" s="18" t="s">
        <v>608</v>
      </c>
      <c r="E66" s="121"/>
      <c r="F66" s="120" t="s">
        <v>1042</v>
      </c>
      <c r="G66" s="121" t="s">
        <v>589</v>
      </c>
      <c r="H66" s="18" t="s">
        <v>819</v>
      </c>
      <c r="I66" s="172" t="s">
        <v>773</v>
      </c>
      <c r="J66" s="263" t="s">
        <v>828</v>
      </c>
      <c r="K66" s="171" t="s">
        <v>760</v>
      </c>
      <c r="L66" s="120"/>
      <c r="M66" s="121"/>
      <c r="N66" s="120" t="s">
        <v>722</v>
      </c>
      <c r="P66" s="157" t="s">
        <v>1081</v>
      </c>
      <c r="R66" s="121"/>
    </row>
    <row r="67" spans="1:18" ht="30" x14ac:dyDescent="0.25">
      <c r="A67" s="142" t="s">
        <v>594</v>
      </c>
      <c r="B67" s="144" t="s">
        <v>975</v>
      </c>
      <c r="C67" s="120" t="s">
        <v>602</v>
      </c>
      <c r="D67" s="18" t="s">
        <v>608</v>
      </c>
      <c r="E67" s="121"/>
      <c r="F67" s="120" t="s">
        <v>1043</v>
      </c>
      <c r="G67" s="121" t="s">
        <v>589</v>
      </c>
      <c r="H67" s="18" t="s">
        <v>820</v>
      </c>
      <c r="I67" s="172" t="s">
        <v>773</v>
      </c>
      <c r="J67" s="263" t="s">
        <v>829</v>
      </c>
      <c r="K67" s="171" t="s">
        <v>760</v>
      </c>
      <c r="L67" s="120"/>
      <c r="M67" s="121"/>
      <c r="N67" s="120" t="s">
        <v>719</v>
      </c>
      <c r="P67" s="157" t="s">
        <v>1081</v>
      </c>
      <c r="R67" s="121"/>
    </row>
    <row r="68" spans="1:18" ht="30" x14ac:dyDescent="0.25">
      <c r="A68" s="142" t="s">
        <v>595</v>
      </c>
      <c r="B68" s="144" t="s">
        <v>976</v>
      </c>
      <c r="C68" s="120" t="s">
        <v>603</v>
      </c>
      <c r="D68" s="18" t="s">
        <v>608</v>
      </c>
      <c r="E68" s="121"/>
      <c r="F68" s="120" t="s">
        <v>1044</v>
      </c>
      <c r="G68" s="121" t="s">
        <v>589</v>
      </c>
      <c r="H68" s="18" t="s">
        <v>821</v>
      </c>
      <c r="I68" s="172" t="s">
        <v>773</v>
      </c>
      <c r="J68" s="263" t="s">
        <v>830</v>
      </c>
      <c r="K68" s="171" t="s">
        <v>760</v>
      </c>
      <c r="L68" s="120"/>
      <c r="M68" s="121"/>
      <c r="N68" s="120" t="s">
        <v>716</v>
      </c>
      <c r="P68" s="157" t="s">
        <v>1081</v>
      </c>
      <c r="R68" s="121"/>
    </row>
    <row r="69" spans="1:18" ht="30" x14ac:dyDescent="0.25">
      <c r="A69" s="142" t="s">
        <v>596</v>
      </c>
      <c r="B69" s="144" t="s">
        <v>977</v>
      </c>
      <c r="C69" s="120" t="s">
        <v>604</v>
      </c>
      <c r="D69" s="18" t="s">
        <v>608</v>
      </c>
      <c r="E69" s="121"/>
      <c r="F69" s="120" t="s">
        <v>1045</v>
      </c>
      <c r="G69" s="121" t="s">
        <v>589</v>
      </c>
      <c r="H69" s="18" t="s">
        <v>822</v>
      </c>
      <c r="I69" s="172" t="s">
        <v>773</v>
      </c>
      <c r="J69" s="263" t="s">
        <v>831</v>
      </c>
      <c r="K69" s="171" t="s">
        <v>760</v>
      </c>
      <c r="L69" s="120"/>
      <c r="M69" s="121"/>
      <c r="N69" s="120" t="s">
        <v>713</v>
      </c>
      <c r="P69" s="157" t="s">
        <v>1081</v>
      </c>
      <c r="R69" s="121"/>
    </row>
    <row r="70" spans="1:18" ht="30" x14ac:dyDescent="0.25">
      <c r="A70" s="142" t="s">
        <v>597</v>
      </c>
      <c r="B70" s="144" t="s">
        <v>978</v>
      </c>
      <c r="C70" s="120" t="s">
        <v>605</v>
      </c>
      <c r="D70" s="18" t="s">
        <v>608</v>
      </c>
      <c r="E70" s="121"/>
      <c r="F70" s="120" t="s">
        <v>1046</v>
      </c>
      <c r="G70" s="121" t="s">
        <v>550</v>
      </c>
      <c r="H70" s="18" t="s">
        <v>823</v>
      </c>
      <c r="I70" s="172" t="s">
        <v>773</v>
      </c>
      <c r="J70" s="263" t="s">
        <v>832</v>
      </c>
      <c r="K70" s="171" t="s">
        <v>760</v>
      </c>
      <c r="L70" s="120"/>
      <c r="M70" s="121"/>
      <c r="N70" s="120" t="s">
        <v>710</v>
      </c>
      <c r="P70" s="157" t="s">
        <v>1081</v>
      </c>
      <c r="R70" s="121"/>
    </row>
    <row r="71" spans="1:18" ht="30" x14ac:dyDescent="0.25">
      <c r="A71" s="142" t="s">
        <v>598</v>
      </c>
      <c r="B71" s="144" t="s">
        <v>979</v>
      </c>
      <c r="C71" s="120" t="s">
        <v>606</v>
      </c>
      <c r="D71" s="18" t="s">
        <v>609</v>
      </c>
      <c r="E71" s="121"/>
      <c r="F71" s="120" t="s">
        <v>1047</v>
      </c>
      <c r="G71" s="157" t="s">
        <v>550</v>
      </c>
      <c r="H71" s="18" t="s">
        <v>824</v>
      </c>
      <c r="I71" s="172" t="s">
        <v>773</v>
      </c>
      <c r="J71" s="263" t="s">
        <v>833</v>
      </c>
      <c r="K71" s="171" t="s">
        <v>760</v>
      </c>
      <c r="L71" s="120"/>
      <c r="M71" s="121"/>
      <c r="N71" s="120" t="s">
        <v>707</v>
      </c>
      <c r="P71" s="157" t="s">
        <v>1081</v>
      </c>
      <c r="R71" s="121"/>
    </row>
    <row r="72" spans="1:18" ht="30" x14ac:dyDescent="0.25">
      <c r="A72" s="223" t="s">
        <v>610</v>
      </c>
      <c r="B72" s="236"/>
      <c r="C72" s="155" t="s">
        <v>908</v>
      </c>
      <c r="D72" s="139"/>
      <c r="E72" s="141"/>
      <c r="F72" s="140"/>
      <c r="G72" s="141"/>
      <c r="H72" s="139" t="s">
        <v>825</v>
      </c>
      <c r="I72" s="230" t="s">
        <v>773</v>
      </c>
      <c r="J72" s="263" t="s">
        <v>834</v>
      </c>
      <c r="K72" s="171" t="s">
        <v>760</v>
      </c>
      <c r="L72" s="140"/>
      <c r="M72" s="141"/>
      <c r="N72" s="140"/>
      <c r="O72" s="139"/>
      <c r="P72" s="141"/>
      <c r="Q72" s="139"/>
      <c r="R72" s="141"/>
    </row>
    <row r="73" spans="1:18" x14ac:dyDescent="0.25">
      <c r="A73" s="142" t="s">
        <v>611</v>
      </c>
      <c r="B73" s="144"/>
      <c r="C73" s="120" t="s">
        <v>619</v>
      </c>
      <c r="D73" s="172" t="s">
        <v>607</v>
      </c>
      <c r="E73" s="157"/>
      <c r="F73" s="120" t="s">
        <v>1048</v>
      </c>
      <c r="G73" s="121" t="s">
        <v>549</v>
      </c>
      <c r="L73" s="120"/>
      <c r="M73" s="121"/>
      <c r="N73" s="120" t="s">
        <v>726</v>
      </c>
      <c r="P73" s="157" t="s">
        <v>1081</v>
      </c>
      <c r="R73" s="121"/>
    </row>
    <row r="74" spans="1:18" x14ac:dyDescent="0.25">
      <c r="A74" s="142" t="s">
        <v>612</v>
      </c>
      <c r="B74" s="144"/>
      <c r="C74" s="120" t="s">
        <v>620</v>
      </c>
      <c r="D74" s="172" t="s">
        <v>608</v>
      </c>
      <c r="E74" s="157"/>
      <c r="F74" s="120" t="s">
        <v>1049</v>
      </c>
      <c r="G74" s="121" t="s">
        <v>589</v>
      </c>
      <c r="L74" s="120"/>
      <c r="M74" s="121"/>
      <c r="N74" s="120" t="s">
        <v>727</v>
      </c>
      <c r="P74" s="157" t="s">
        <v>1081</v>
      </c>
      <c r="R74" s="121"/>
    </row>
    <row r="75" spans="1:18" x14ac:dyDescent="0.25">
      <c r="A75" s="142" t="s">
        <v>613</v>
      </c>
      <c r="B75" s="144"/>
      <c r="C75" s="120" t="s">
        <v>621</v>
      </c>
      <c r="D75" s="172" t="s">
        <v>608</v>
      </c>
      <c r="E75" s="157"/>
      <c r="F75" s="120" t="s">
        <v>1050</v>
      </c>
      <c r="G75" s="121" t="s">
        <v>589</v>
      </c>
      <c r="L75" s="120"/>
      <c r="M75" s="121"/>
      <c r="N75" s="120" t="s">
        <v>723</v>
      </c>
      <c r="P75" s="157" t="s">
        <v>1081</v>
      </c>
      <c r="R75" s="121"/>
    </row>
    <row r="76" spans="1:18" x14ac:dyDescent="0.25">
      <c r="A76" s="142" t="s">
        <v>614</v>
      </c>
      <c r="B76" s="144"/>
      <c r="C76" s="120" t="s">
        <v>622</v>
      </c>
      <c r="D76" s="172" t="s">
        <v>608</v>
      </c>
      <c r="E76" s="157"/>
      <c r="F76" s="120" t="s">
        <v>1051</v>
      </c>
      <c r="G76" s="121" t="s">
        <v>589</v>
      </c>
      <c r="L76" s="120"/>
      <c r="M76" s="121"/>
      <c r="N76" s="120" t="s">
        <v>720</v>
      </c>
      <c r="P76" s="157" t="s">
        <v>1081</v>
      </c>
      <c r="R76" s="121"/>
    </row>
    <row r="77" spans="1:18" x14ac:dyDescent="0.25">
      <c r="A77" s="142" t="s">
        <v>615</v>
      </c>
      <c r="B77" s="144"/>
      <c r="C77" s="120" t="s">
        <v>623</v>
      </c>
      <c r="D77" s="172" t="s">
        <v>608</v>
      </c>
      <c r="E77" s="157"/>
      <c r="F77" s="120" t="s">
        <v>1052</v>
      </c>
      <c r="G77" s="121" t="s">
        <v>589</v>
      </c>
      <c r="L77" s="120"/>
      <c r="M77" s="121"/>
      <c r="N77" s="120" t="s">
        <v>717</v>
      </c>
      <c r="P77" s="157" t="s">
        <v>1081</v>
      </c>
      <c r="R77" s="121"/>
    </row>
    <row r="78" spans="1:18" x14ac:dyDescent="0.25">
      <c r="A78" s="142" t="s">
        <v>616</v>
      </c>
      <c r="B78" s="144"/>
      <c r="C78" s="120" t="s">
        <v>624</v>
      </c>
      <c r="D78" s="172" t="s">
        <v>608</v>
      </c>
      <c r="E78" s="157"/>
      <c r="F78" s="120" t="s">
        <v>1053</v>
      </c>
      <c r="G78" s="121" t="s">
        <v>589</v>
      </c>
      <c r="L78" s="120"/>
      <c r="M78" s="121"/>
      <c r="N78" s="120" t="s">
        <v>714</v>
      </c>
      <c r="P78" s="157" t="s">
        <v>1081</v>
      </c>
      <c r="R78" s="121"/>
    </row>
    <row r="79" spans="1:18" x14ac:dyDescent="0.25">
      <c r="A79" s="142" t="s">
        <v>617</v>
      </c>
      <c r="B79" s="144"/>
      <c r="C79" s="120" t="s">
        <v>625</v>
      </c>
      <c r="D79" s="172" t="s">
        <v>608</v>
      </c>
      <c r="E79" s="157"/>
      <c r="F79" s="120" t="s">
        <v>1054</v>
      </c>
      <c r="G79" s="121" t="s">
        <v>589</v>
      </c>
      <c r="L79" s="120"/>
      <c r="M79" s="121"/>
      <c r="N79" s="120" t="s">
        <v>711</v>
      </c>
      <c r="P79" s="157" t="s">
        <v>1081</v>
      </c>
      <c r="R79" s="121"/>
    </row>
    <row r="80" spans="1:18" x14ac:dyDescent="0.25">
      <c r="A80" s="142" t="s">
        <v>618</v>
      </c>
      <c r="B80" s="144"/>
      <c r="C80" s="120" t="s">
        <v>626</v>
      </c>
      <c r="D80" s="172" t="s">
        <v>609</v>
      </c>
      <c r="E80" s="157"/>
      <c r="F80" s="120" t="s">
        <v>1055</v>
      </c>
      <c r="G80" s="121" t="s">
        <v>550</v>
      </c>
      <c r="L80" s="120"/>
      <c r="M80" s="121"/>
      <c r="N80" s="120" t="s">
        <v>708</v>
      </c>
      <c r="P80" s="157" t="s">
        <v>1081</v>
      </c>
      <c r="R80" s="121"/>
    </row>
    <row r="81" spans="1:18" x14ac:dyDescent="0.25">
      <c r="A81" s="223" t="s">
        <v>627</v>
      </c>
      <c r="B81" s="236"/>
      <c r="C81" s="155" t="s">
        <v>908</v>
      </c>
      <c r="D81" s="139"/>
      <c r="E81" s="141"/>
      <c r="F81" s="140"/>
      <c r="G81" s="141"/>
      <c r="H81" s="139"/>
      <c r="I81" s="139"/>
      <c r="J81" s="139"/>
      <c r="K81" s="139"/>
      <c r="L81" s="140"/>
      <c r="M81" s="141"/>
      <c r="N81" s="140"/>
      <c r="O81" s="139"/>
      <c r="P81" s="141"/>
      <c r="Q81" s="139"/>
      <c r="R81" s="141"/>
    </row>
    <row r="82" spans="1:18" x14ac:dyDescent="0.25">
      <c r="A82" s="142" t="s">
        <v>628</v>
      </c>
      <c r="B82" s="144"/>
      <c r="C82" s="120" t="s">
        <v>636</v>
      </c>
      <c r="D82" s="172" t="s">
        <v>607</v>
      </c>
      <c r="E82" s="157"/>
      <c r="F82" s="120" t="s">
        <v>1056</v>
      </c>
      <c r="G82" s="121" t="s">
        <v>550</v>
      </c>
      <c r="L82" s="120"/>
      <c r="M82" s="121"/>
      <c r="N82" s="120" t="s">
        <v>728</v>
      </c>
      <c r="P82" s="157" t="s">
        <v>1081</v>
      </c>
      <c r="R82" s="121"/>
    </row>
    <row r="83" spans="1:18" x14ac:dyDescent="0.25">
      <c r="A83" s="142" t="s">
        <v>629</v>
      </c>
      <c r="B83" s="144"/>
      <c r="C83" s="120" t="s">
        <v>637</v>
      </c>
      <c r="D83" s="172" t="s">
        <v>608</v>
      </c>
      <c r="E83" s="157"/>
      <c r="F83" s="120" t="s">
        <v>1057</v>
      </c>
      <c r="G83" s="121" t="s">
        <v>589</v>
      </c>
      <c r="L83" s="120"/>
      <c r="M83" s="121"/>
      <c r="N83" s="120" t="s">
        <v>729</v>
      </c>
      <c r="P83" s="157" t="s">
        <v>1081</v>
      </c>
      <c r="R83" s="121"/>
    </row>
    <row r="84" spans="1:18" x14ac:dyDescent="0.25">
      <c r="A84" s="142" t="s">
        <v>630</v>
      </c>
      <c r="B84" s="144"/>
      <c r="C84" s="120" t="s">
        <v>638</v>
      </c>
      <c r="D84" s="172" t="s">
        <v>608</v>
      </c>
      <c r="E84" s="157"/>
      <c r="F84" s="120" t="s">
        <v>1058</v>
      </c>
      <c r="G84" s="121" t="s">
        <v>589</v>
      </c>
      <c r="L84" s="120"/>
      <c r="M84" s="121"/>
      <c r="N84" s="120" t="s">
        <v>730</v>
      </c>
      <c r="P84" s="157" t="s">
        <v>1081</v>
      </c>
      <c r="R84" s="121"/>
    </row>
    <row r="85" spans="1:18" x14ac:dyDescent="0.25">
      <c r="A85" s="142" t="s">
        <v>631</v>
      </c>
      <c r="B85" s="144"/>
      <c r="C85" s="120" t="s">
        <v>639</v>
      </c>
      <c r="D85" s="172" t="s">
        <v>608</v>
      </c>
      <c r="E85" s="157"/>
      <c r="F85" s="120" t="s">
        <v>1059</v>
      </c>
      <c r="G85" s="121" t="s">
        <v>589</v>
      </c>
      <c r="L85" s="120"/>
      <c r="M85" s="121"/>
      <c r="N85" s="120" t="s">
        <v>721</v>
      </c>
      <c r="P85" s="157" t="s">
        <v>1081</v>
      </c>
      <c r="R85" s="121"/>
    </row>
    <row r="86" spans="1:18" x14ac:dyDescent="0.25">
      <c r="A86" s="142" t="s">
        <v>632</v>
      </c>
      <c r="B86" s="144"/>
      <c r="C86" s="120" t="s">
        <v>640</v>
      </c>
      <c r="D86" s="172" t="s">
        <v>608</v>
      </c>
      <c r="E86" s="157"/>
      <c r="F86" s="120" t="s">
        <v>1060</v>
      </c>
      <c r="G86" s="121" t="s">
        <v>589</v>
      </c>
      <c r="L86" s="120"/>
      <c r="M86" s="121"/>
      <c r="N86" s="120" t="s">
        <v>718</v>
      </c>
      <c r="P86" s="157" t="s">
        <v>1081</v>
      </c>
      <c r="R86" s="121"/>
    </row>
    <row r="87" spans="1:18" x14ac:dyDescent="0.25">
      <c r="A87" s="142" t="s">
        <v>633</v>
      </c>
      <c r="B87" s="144"/>
      <c r="C87" s="120" t="s">
        <v>641</v>
      </c>
      <c r="D87" s="172" t="s">
        <v>608</v>
      </c>
      <c r="E87" s="157"/>
      <c r="F87" s="120" t="s">
        <v>1061</v>
      </c>
      <c r="G87" s="121" t="s">
        <v>589</v>
      </c>
      <c r="L87" s="120"/>
      <c r="M87" s="121"/>
      <c r="N87" s="120" t="s">
        <v>715</v>
      </c>
      <c r="P87" s="157" t="s">
        <v>1081</v>
      </c>
      <c r="R87" s="121"/>
    </row>
    <row r="88" spans="1:18" x14ac:dyDescent="0.25">
      <c r="A88" s="142" t="s">
        <v>634</v>
      </c>
      <c r="B88" s="144"/>
      <c r="C88" s="120" t="s">
        <v>642</v>
      </c>
      <c r="D88" s="172" t="s">
        <v>608</v>
      </c>
      <c r="E88" s="157"/>
      <c r="F88" s="120" t="s">
        <v>1062</v>
      </c>
      <c r="G88" s="121" t="s">
        <v>589</v>
      </c>
      <c r="L88" s="120"/>
      <c r="M88" s="121"/>
      <c r="N88" s="120" t="s">
        <v>712</v>
      </c>
      <c r="P88" s="157" t="s">
        <v>1081</v>
      </c>
      <c r="R88" s="121"/>
    </row>
    <row r="89" spans="1:18" x14ac:dyDescent="0.25">
      <c r="A89" s="142" t="s">
        <v>635</v>
      </c>
      <c r="B89" s="144"/>
      <c r="C89" s="120" t="s">
        <v>643</v>
      </c>
      <c r="D89" s="172" t="s">
        <v>609</v>
      </c>
      <c r="E89" s="157"/>
      <c r="F89" s="120" t="s">
        <v>1063</v>
      </c>
      <c r="G89" s="121" t="s">
        <v>550</v>
      </c>
      <c r="L89" s="120"/>
      <c r="M89" s="121"/>
      <c r="N89" s="120" t="s">
        <v>709</v>
      </c>
      <c r="P89" s="157" t="s">
        <v>1081</v>
      </c>
      <c r="R89" s="121"/>
    </row>
    <row r="90" spans="1:18" x14ac:dyDescent="0.25">
      <c r="A90" s="223" t="s">
        <v>835</v>
      </c>
      <c r="B90" s="236"/>
      <c r="C90" s="140"/>
      <c r="D90" s="139"/>
      <c r="E90" s="141"/>
      <c r="F90" s="140"/>
      <c r="G90" s="141"/>
      <c r="H90" s="139"/>
      <c r="I90" s="139"/>
      <c r="J90" s="139"/>
      <c r="K90" s="139"/>
      <c r="L90" s="140"/>
      <c r="M90" s="141"/>
      <c r="N90" s="140"/>
      <c r="O90" s="139"/>
      <c r="P90" s="141"/>
      <c r="Q90" s="139"/>
      <c r="R90" s="141"/>
    </row>
    <row r="91" spans="1:18" ht="30" x14ac:dyDescent="0.25">
      <c r="A91" s="142" t="s">
        <v>836</v>
      </c>
      <c r="B91" s="144"/>
      <c r="C91" s="120" t="s">
        <v>450</v>
      </c>
      <c r="E91" s="121" t="s">
        <v>450</v>
      </c>
      <c r="F91" s="120"/>
      <c r="G91" s="121"/>
      <c r="H91" s="172" t="s">
        <v>864</v>
      </c>
      <c r="I91" s="18" t="s">
        <v>760</v>
      </c>
      <c r="J91" s="172" t="s">
        <v>864</v>
      </c>
      <c r="K91" s="18" t="s">
        <v>760</v>
      </c>
      <c r="L91" s="120"/>
      <c r="M91" s="121"/>
      <c r="N91" s="120"/>
      <c r="P91" s="121"/>
      <c r="R91" s="121"/>
    </row>
    <row r="92" spans="1:18" ht="30" x14ac:dyDescent="0.25">
      <c r="A92" s="142" t="s">
        <v>837</v>
      </c>
      <c r="B92" s="144"/>
      <c r="C92" s="120" t="s">
        <v>450</v>
      </c>
      <c r="E92" s="121" t="s">
        <v>450</v>
      </c>
      <c r="F92" s="120"/>
      <c r="G92" s="121"/>
      <c r="H92" s="172" t="s">
        <v>865</v>
      </c>
      <c r="I92" s="18" t="s">
        <v>759</v>
      </c>
      <c r="J92" s="172" t="s">
        <v>865</v>
      </c>
      <c r="K92" s="18" t="s">
        <v>759</v>
      </c>
      <c r="L92" s="120"/>
      <c r="M92" s="121"/>
      <c r="N92" s="120"/>
      <c r="P92" s="121"/>
      <c r="R92" s="121"/>
    </row>
    <row r="93" spans="1:18" ht="30" x14ac:dyDescent="0.25">
      <c r="A93" s="142" t="s">
        <v>838</v>
      </c>
      <c r="B93" s="144"/>
      <c r="C93" s="120" t="s">
        <v>450</v>
      </c>
      <c r="E93" s="121" t="s">
        <v>450</v>
      </c>
      <c r="F93" s="120"/>
      <c r="G93" s="121"/>
      <c r="H93" s="172" t="s">
        <v>866</v>
      </c>
      <c r="I93" s="18" t="s">
        <v>759</v>
      </c>
      <c r="J93" s="172" t="s">
        <v>866</v>
      </c>
      <c r="K93" s="18" t="s">
        <v>759</v>
      </c>
      <c r="L93" s="120"/>
      <c r="M93" s="121"/>
      <c r="N93" s="120"/>
      <c r="P93" s="121"/>
      <c r="R93" s="121"/>
    </row>
    <row r="94" spans="1:18" ht="30" x14ac:dyDescent="0.25">
      <c r="A94" s="142" t="s">
        <v>839</v>
      </c>
      <c r="B94" s="144"/>
      <c r="C94" s="120" t="s">
        <v>450</v>
      </c>
      <c r="E94" s="121" t="s">
        <v>450</v>
      </c>
      <c r="F94" s="120"/>
      <c r="G94" s="121"/>
      <c r="H94" s="172" t="s">
        <v>867</v>
      </c>
      <c r="I94" s="18" t="s">
        <v>760</v>
      </c>
      <c r="J94" s="172" t="s">
        <v>867</v>
      </c>
      <c r="K94" s="18" t="s">
        <v>760</v>
      </c>
      <c r="L94" s="120"/>
      <c r="M94" s="121"/>
      <c r="N94" s="120"/>
      <c r="P94" s="121"/>
      <c r="R94" s="121"/>
    </row>
    <row r="95" spans="1:18" ht="30" x14ac:dyDescent="0.25">
      <c r="A95" s="142" t="s">
        <v>840</v>
      </c>
      <c r="B95" s="144"/>
      <c r="C95" s="120" t="s">
        <v>450</v>
      </c>
      <c r="E95" s="121" t="s">
        <v>450</v>
      </c>
      <c r="F95" s="120"/>
      <c r="G95" s="121"/>
      <c r="H95" s="172" t="s">
        <v>868</v>
      </c>
      <c r="I95" s="18" t="s">
        <v>763</v>
      </c>
      <c r="J95" s="172" t="s">
        <v>868</v>
      </c>
      <c r="K95" s="18" t="s">
        <v>763</v>
      </c>
      <c r="L95" s="120"/>
      <c r="M95" s="121"/>
      <c r="N95" s="120"/>
      <c r="P95" s="121"/>
      <c r="R95" s="121"/>
    </row>
    <row r="96" spans="1:18" ht="30" x14ac:dyDescent="0.25">
      <c r="A96" s="142" t="s">
        <v>841</v>
      </c>
      <c r="B96" s="144"/>
      <c r="C96" s="120" t="s">
        <v>450</v>
      </c>
      <c r="E96" s="121" t="s">
        <v>450</v>
      </c>
      <c r="F96" s="120"/>
      <c r="G96" s="121"/>
      <c r="H96" s="172" t="s">
        <v>869</v>
      </c>
      <c r="I96" s="18" t="s">
        <v>773</v>
      </c>
      <c r="J96" s="172" t="s">
        <v>869</v>
      </c>
      <c r="K96" s="18" t="s">
        <v>773</v>
      </c>
      <c r="L96" s="120"/>
      <c r="M96" s="121"/>
      <c r="N96" s="120"/>
      <c r="P96" s="121"/>
      <c r="R96" s="121"/>
    </row>
    <row r="97" spans="1:18" ht="30" x14ac:dyDescent="0.25">
      <c r="A97" s="142" t="s">
        <v>842</v>
      </c>
      <c r="B97" s="144"/>
      <c r="C97" s="120" t="s">
        <v>450</v>
      </c>
      <c r="E97" s="121" t="s">
        <v>450</v>
      </c>
      <c r="F97" s="120"/>
      <c r="G97" s="121"/>
      <c r="H97" s="172" t="s">
        <v>870</v>
      </c>
      <c r="I97" s="18" t="s">
        <v>768</v>
      </c>
      <c r="J97" s="172" t="s">
        <v>870</v>
      </c>
      <c r="K97" s="18" t="s">
        <v>768</v>
      </c>
      <c r="L97" s="120"/>
      <c r="M97" s="121"/>
      <c r="N97" s="120"/>
      <c r="P97" s="121"/>
      <c r="R97" s="121"/>
    </row>
    <row r="98" spans="1:18" ht="30" x14ac:dyDescent="0.25">
      <c r="A98" s="142" t="s">
        <v>843</v>
      </c>
      <c r="B98" s="144"/>
      <c r="C98" s="120" t="s">
        <v>450</v>
      </c>
      <c r="E98" s="121" t="s">
        <v>450</v>
      </c>
      <c r="F98" s="120"/>
      <c r="G98" s="121"/>
      <c r="H98" s="172" t="s">
        <v>871</v>
      </c>
      <c r="I98" s="18" t="s">
        <v>759</v>
      </c>
      <c r="J98" s="172" t="s">
        <v>871</v>
      </c>
      <c r="K98" s="18" t="s">
        <v>759</v>
      </c>
      <c r="L98" s="120"/>
      <c r="M98" s="121"/>
      <c r="N98" s="120"/>
      <c r="P98" s="121"/>
      <c r="R98" s="121"/>
    </row>
    <row r="99" spans="1:18" ht="30" x14ac:dyDescent="0.25">
      <c r="A99" s="142" t="s">
        <v>844</v>
      </c>
      <c r="B99" s="144"/>
      <c r="C99" s="120" t="s">
        <v>450</v>
      </c>
      <c r="E99" s="121" t="s">
        <v>450</v>
      </c>
      <c r="F99" s="120"/>
      <c r="G99" s="121"/>
      <c r="H99" s="172" t="s">
        <v>872</v>
      </c>
      <c r="I99" s="18" t="s">
        <v>763</v>
      </c>
      <c r="J99" s="172" t="s">
        <v>872</v>
      </c>
      <c r="K99" s="18" t="s">
        <v>763</v>
      </c>
      <c r="L99" s="120"/>
      <c r="M99" s="121"/>
      <c r="N99" s="120"/>
      <c r="P99" s="121"/>
      <c r="R99" s="121"/>
    </row>
    <row r="100" spans="1:18" ht="30" x14ac:dyDescent="0.25">
      <c r="A100" s="142" t="s">
        <v>845</v>
      </c>
      <c r="B100" s="144"/>
      <c r="C100" s="120" t="s">
        <v>450</v>
      </c>
      <c r="E100" s="121" t="s">
        <v>450</v>
      </c>
      <c r="F100" s="120"/>
      <c r="G100" s="121"/>
      <c r="H100" s="172" t="s">
        <v>873</v>
      </c>
      <c r="I100" s="18" t="s">
        <v>774</v>
      </c>
      <c r="J100" s="172" t="s">
        <v>873</v>
      </c>
      <c r="K100" s="18" t="s">
        <v>774</v>
      </c>
      <c r="L100" s="120"/>
      <c r="M100" s="121"/>
      <c r="N100" s="120"/>
      <c r="P100" s="121"/>
      <c r="R100" s="121"/>
    </row>
    <row r="101" spans="1:18" ht="30" x14ac:dyDescent="0.25">
      <c r="A101" s="142" t="s">
        <v>846</v>
      </c>
      <c r="B101" s="144"/>
      <c r="C101" s="120" t="s">
        <v>450</v>
      </c>
      <c r="E101" s="121" t="s">
        <v>450</v>
      </c>
      <c r="F101" s="120"/>
      <c r="G101" s="121"/>
      <c r="H101" s="172" t="s">
        <v>874</v>
      </c>
      <c r="I101" s="18" t="s">
        <v>766</v>
      </c>
      <c r="J101" s="172" t="s">
        <v>874</v>
      </c>
      <c r="K101" s="18" t="s">
        <v>766</v>
      </c>
      <c r="L101" s="120"/>
      <c r="M101" s="121"/>
      <c r="N101" s="120"/>
      <c r="P101" s="121"/>
      <c r="R101" s="121"/>
    </row>
    <row r="102" spans="1:18" ht="30" x14ac:dyDescent="0.25">
      <c r="A102" s="142" t="s">
        <v>847</v>
      </c>
      <c r="B102" s="144"/>
      <c r="C102" s="120" t="s">
        <v>450</v>
      </c>
      <c r="E102" s="121" t="s">
        <v>450</v>
      </c>
      <c r="F102" s="120"/>
      <c r="G102" s="121"/>
      <c r="H102" s="172" t="s">
        <v>875</v>
      </c>
      <c r="I102" s="18" t="s">
        <v>759</v>
      </c>
      <c r="J102" s="172" t="s">
        <v>875</v>
      </c>
      <c r="K102" s="18" t="s">
        <v>759</v>
      </c>
      <c r="L102" s="120"/>
      <c r="M102" s="121"/>
      <c r="N102" s="120"/>
      <c r="P102" s="121"/>
      <c r="R102" s="121"/>
    </row>
    <row r="103" spans="1:18" ht="30" x14ac:dyDescent="0.25">
      <c r="A103" s="142" t="s">
        <v>848</v>
      </c>
      <c r="B103" s="144"/>
      <c r="C103" s="120" t="s">
        <v>450</v>
      </c>
      <c r="E103" s="121" t="s">
        <v>450</v>
      </c>
      <c r="F103" s="120"/>
      <c r="G103" s="121"/>
      <c r="H103" s="172" t="s">
        <v>876</v>
      </c>
      <c r="I103" s="18" t="s">
        <v>768</v>
      </c>
      <c r="J103" s="172" t="s">
        <v>876</v>
      </c>
      <c r="K103" s="18" t="s">
        <v>768</v>
      </c>
      <c r="L103" s="120"/>
      <c r="M103" s="121"/>
      <c r="N103" s="120"/>
      <c r="P103" s="121"/>
      <c r="R103" s="121"/>
    </row>
    <row r="104" spans="1:18" ht="30" x14ac:dyDescent="0.25">
      <c r="A104" s="142" t="s">
        <v>849</v>
      </c>
      <c r="B104" s="144"/>
      <c r="C104" s="120" t="s">
        <v>450</v>
      </c>
      <c r="E104" s="121" t="s">
        <v>450</v>
      </c>
      <c r="F104" s="120"/>
      <c r="G104" s="121"/>
      <c r="H104" s="172" t="s">
        <v>877</v>
      </c>
      <c r="I104" s="18" t="s">
        <v>766</v>
      </c>
      <c r="J104" s="172" t="s">
        <v>877</v>
      </c>
      <c r="K104" s="18" t="s">
        <v>766</v>
      </c>
      <c r="L104" s="120"/>
      <c r="M104" s="121"/>
      <c r="N104" s="120"/>
      <c r="P104" s="121"/>
      <c r="R104" s="121"/>
    </row>
    <row r="105" spans="1:18" ht="30" x14ac:dyDescent="0.25">
      <c r="A105" s="142" t="s">
        <v>850</v>
      </c>
      <c r="B105" s="144"/>
      <c r="C105" s="120" t="s">
        <v>450</v>
      </c>
      <c r="E105" s="121" t="s">
        <v>450</v>
      </c>
      <c r="F105" s="120"/>
      <c r="G105" s="121"/>
      <c r="H105" s="172" t="s">
        <v>878</v>
      </c>
      <c r="I105" s="18" t="s">
        <v>768</v>
      </c>
      <c r="J105" s="172" t="s">
        <v>878</v>
      </c>
      <c r="K105" s="18" t="s">
        <v>768</v>
      </c>
      <c r="L105" s="120"/>
      <c r="M105" s="121"/>
      <c r="N105" s="120"/>
      <c r="P105" s="121"/>
      <c r="R105" s="121"/>
    </row>
    <row r="106" spans="1:18" ht="30" x14ac:dyDescent="0.25">
      <c r="A106" s="142" t="s">
        <v>851</v>
      </c>
      <c r="B106" s="144"/>
      <c r="C106" s="120" t="s">
        <v>450</v>
      </c>
      <c r="E106" s="121" t="s">
        <v>450</v>
      </c>
      <c r="F106" s="120"/>
      <c r="G106" s="121"/>
      <c r="H106" s="172" t="s">
        <v>879</v>
      </c>
      <c r="I106" s="18" t="s">
        <v>763</v>
      </c>
      <c r="J106" s="172" t="s">
        <v>879</v>
      </c>
      <c r="K106" s="18" t="s">
        <v>763</v>
      </c>
      <c r="L106" s="120"/>
      <c r="M106" s="121"/>
      <c r="N106" s="120"/>
      <c r="P106" s="121"/>
      <c r="R106" s="121"/>
    </row>
    <row r="107" spans="1:18" ht="30" x14ac:dyDescent="0.25">
      <c r="A107" s="142" t="s">
        <v>852</v>
      </c>
      <c r="B107" s="144"/>
      <c r="C107" s="120" t="s">
        <v>450</v>
      </c>
      <c r="E107" s="121" t="s">
        <v>450</v>
      </c>
      <c r="F107" s="120"/>
      <c r="G107" s="121"/>
      <c r="H107" s="172" t="s">
        <v>880</v>
      </c>
      <c r="I107" s="18" t="s">
        <v>775</v>
      </c>
      <c r="J107" s="172" t="s">
        <v>880</v>
      </c>
      <c r="K107" s="18" t="s">
        <v>775</v>
      </c>
      <c r="L107" s="120"/>
      <c r="M107" s="121"/>
      <c r="N107" s="120"/>
      <c r="P107" s="121"/>
      <c r="R107" s="121"/>
    </row>
    <row r="108" spans="1:18" ht="30" x14ac:dyDescent="0.25">
      <c r="A108" s="142" t="s">
        <v>853</v>
      </c>
      <c r="B108" s="144"/>
      <c r="C108" s="120" t="s">
        <v>450</v>
      </c>
      <c r="E108" s="121" t="s">
        <v>450</v>
      </c>
      <c r="F108" s="120"/>
      <c r="G108" s="121"/>
      <c r="H108" s="172" t="s">
        <v>881</v>
      </c>
      <c r="I108" s="18" t="s">
        <v>764</v>
      </c>
      <c r="J108" s="172" t="s">
        <v>881</v>
      </c>
      <c r="K108" s="18" t="s">
        <v>764</v>
      </c>
      <c r="L108" s="120"/>
      <c r="M108" s="121"/>
      <c r="N108" s="120"/>
      <c r="P108" s="121"/>
      <c r="R108" s="121"/>
    </row>
    <row r="109" spans="1:18" ht="30" x14ac:dyDescent="0.25">
      <c r="A109" s="142" t="s">
        <v>854</v>
      </c>
      <c r="B109" s="144"/>
      <c r="C109" s="120" t="s">
        <v>450</v>
      </c>
      <c r="E109" s="121" t="s">
        <v>450</v>
      </c>
      <c r="F109" s="120"/>
      <c r="G109" s="121"/>
      <c r="H109" s="172" t="s">
        <v>882</v>
      </c>
      <c r="I109" s="18" t="s">
        <v>768</v>
      </c>
      <c r="J109" s="172" t="s">
        <v>882</v>
      </c>
      <c r="K109" s="18" t="s">
        <v>768</v>
      </c>
      <c r="L109" s="120"/>
      <c r="M109" s="121"/>
      <c r="N109" s="120"/>
      <c r="P109" s="121"/>
      <c r="R109" s="121"/>
    </row>
    <row r="110" spans="1:18" ht="30" x14ac:dyDescent="0.25">
      <c r="A110" s="142" t="s">
        <v>855</v>
      </c>
      <c r="B110" s="144"/>
      <c r="C110" s="120" t="s">
        <v>450</v>
      </c>
      <c r="E110" s="121" t="s">
        <v>450</v>
      </c>
      <c r="F110" s="120"/>
      <c r="G110" s="121"/>
      <c r="H110" s="172" t="s">
        <v>883</v>
      </c>
      <c r="I110" s="18" t="s">
        <v>760</v>
      </c>
      <c r="J110" s="172" t="s">
        <v>883</v>
      </c>
      <c r="K110" s="18" t="s">
        <v>760</v>
      </c>
      <c r="L110" s="120"/>
      <c r="M110" s="121"/>
      <c r="N110" s="120"/>
      <c r="P110" s="121"/>
      <c r="R110" s="121"/>
    </row>
    <row r="111" spans="1:18" ht="30" x14ac:dyDescent="0.25">
      <c r="A111" s="142" t="s">
        <v>856</v>
      </c>
      <c r="B111" s="144"/>
      <c r="C111" s="120" t="s">
        <v>450</v>
      </c>
      <c r="E111" s="121" t="s">
        <v>450</v>
      </c>
      <c r="F111" s="120"/>
      <c r="G111" s="121"/>
      <c r="H111" s="172" t="s">
        <v>884</v>
      </c>
      <c r="I111" s="18" t="s">
        <v>760</v>
      </c>
      <c r="J111" s="172" t="s">
        <v>884</v>
      </c>
      <c r="K111" s="18" t="s">
        <v>760</v>
      </c>
      <c r="L111" s="120"/>
      <c r="M111" s="121"/>
      <c r="N111" s="120"/>
      <c r="P111" s="121"/>
      <c r="R111" s="121"/>
    </row>
    <row r="112" spans="1:18" ht="30" x14ac:dyDescent="0.25">
      <c r="A112" s="142" t="s">
        <v>857</v>
      </c>
      <c r="B112" s="144"/>
      <c r="C112" s="120" t="s">
        <v>450</v>
      </c>
      <c r="E112" s="121" t="s">
        <v>450</v>
      </c>
      <c r="F112" s="120"/>
      <c r="G112" s="121"/>
      <c r="H112" s="172" t="s">
        <v>885</v>
      </c>
      <c r="I112" s="18" t="s">
        <v>764</v>
      </c>
      <c r="J112" s="172" t="s">
        <v>885</v>
      </c>
      <c r="K112" s="18" t="s">
        <v>764</v>
      </c>
      <c r="L112" s="120"/>
      <c r="M112" s="121"/>
      <c r="N112" s="120"/>
      <c r="P112" s="121"/>
      <c r="R112" s="121"/>
    </row>
    <row r="113" spans="1:18" ht="30" x14ac:dyDescent="0.25">
      <c r="A113" s="142" t="s">
        <v>858</v>
      </c>
      <c r="B113" s="144"/>
      <c r="C113" s="120" t="s">
        <v>450</v>
      </c>
      <c r="E113" s="121" t="s">
        <v>450</v>
      </c>
      <c r="F113" s="120"/>
      <c r="G113" s="121"/>
      <c r="H113" s="172" t="s">
        <v>886</v>
      </c>
      <c r="I113" s="18" t="s">
        <v>761</v>
      </c>
      <c r="J113" s="172" t="s">
        <v>886</v>
      </c>
      <c r="K113" s="18" t="s">
        <v>761</v>
      </c>
      <c r="L113" s="120"/>
      <c r="M113" s="121"/>
      <c r="N113" s="120"/>
      <c r="P113" s="121"/>
      <c r="R113" s="121"/>
    </row>
    <row r="114" spans="1:18" ht="30" x14ac:dyDescent="0.25">
      <c r="A114" s="142" t="s">
        <v>859</v>
      </c>
      <c r="B114" s="144"/>
      <c r="C114" s="120" t="s">
        <v>450</v>
      </c>
      <c r="E114" s="121" t="s">
        <v>450</v>
      </c>
      <c r="F114" s="120"/>
      <c r="G114" s="121"/>
      <c r="H114" s="172" t="s">
        <v>887</v>
      </c>
      <c r="I114" s="18" t="s">
        <v>760</v>
      </c>
      <c r="J114" s="172" t="s">
        <v>887</v>
      </c>
      <c r="K114" s="18" t="s">
        <v>760</v>
      </c>
      <c r="L114" s="120"/>
      <c r="M114" s="121"/>
      <c r="N114" s="120"/>
      <c r="P114" s="121"/>
      <c r="R114" s="121"/>
    </row>
    <row r="115" spans="1:18" ht="30" x14ac:dyDescent="0.25">
      <c r="A115" s="142" t="s">
        <v>860</v>
      </c>
      <c r="B115" s="144"/>
      <c r="C115" s="120" t="s">
        <v>450</v>
      </c>
      <c r="E115" s="121" t="s">
        <v>450</v>
      </c>
      <c r="F115" s="120"/>
      <c r="G115" s="121"/>
      <c r="H115" s="172" t="s">
        <v>888</v>
      </c>
      <c r="I115" s="18" t="s">
        <v>761</v>
      </c>
      <c r="J115" s="172" t="s">
        <v>888</v>
      </c>
      <c r="K115" s="18" t="s">
        <v>761</v>
      </c>
      <c r="L115" s="120"/>
      <c r="M115" s="121"/>
      <c r="N115" s="120"/>
      <c r="P115" s="121"/>
      <c r="R115" s="121"/>
    </row>
    <row r="116" spans="1:18" ht="30" x14ac:dyDescent="0.25">
      <c r="A116" s="142" t="s">
        <v>861</v>
      </c>
      <c r="B116" s="144"/>
      <c r="C116" s="120" t="s">
        <v>450</v>
      </c>
      <c r="E116" s="121" t="s">
        <v>450</v>
      </c>
      <c r="F116" s="120"/>
      <c r="G116" s="121"/>
      <c r="H116" s="172" t="s">
        <v>889</v>
      </c>
      <c r="I116" s="18" t="s">
        <v>763</v>
      </c>
      <c r="J116" s="172" t="s">
        <v>889</v>
      </c>
      <c r="K116" s="18" t="s">
        <v>763</v>
      </c>
      <c r="L116" s="120"/>
      <c r="M116" s="121"/>
      <c r="N116" s="120"/>
      <c r="P116" s="121"/>
      <c r="R116" s="121"/>
    </row>
    <row r="117" spans="1:18" ht="30" x14ac:dyDescent="0.25">
      <c r="A117" s="142" t="s">
        <v>862</v>
      </c>
      <c r="B117" s="144"/>
      <c r="C117" s="120" t="s">
        <v>450</v>
      </c>
      <c r="E117" s="121" t="s">
        <v>450</v>
      </c>
      <c r="F117" s="120"/>
      <c r="G117" s="121"/>
      <c r="H117" s="172" t="s">
        <v>890</v>
      </c>
      <c r="I117" s="18" t="s">
        <v>760</v>
      </c>
      <c r="J117" s="172" t="s">
        <v>890</v>
      </c>
      <c r="K117" s="18" t="s">
        <v>760</v>
      </c>
      <c r="L117" s="120"/>
      <c r="M117" s="121"/>
      <c r="N117" s="120"/>
      <c r="P117" s="121"/>
      <c r="R117" s="121"/>
    </row>
    <row r="118" spans="1:18" ht="30" x14ac:dyDescent="0.25">
      <c r="A118" s="142" t="s">
        <v>863</v>
      </c>
      <c r="B118" s="144"/>
      <c r="C118" s="120" t="s">
        <v>450</v>
      </c>
      <c r="E118" s="121" t="s">
        <v>450</v>
      </c>
      <c r="F118" s="120"/>
      <c r="G118" s="121"/>
      <c r="H118" s="172" t="s">
        <v>891</v>
      </c>
      <c r="I118" s="18" t="s">
        <v>763</v>
      </c>
      <c r="J118" s="172" t="s">
        <v>891</v>
      </c>
      <c r="K118" s="18" t="s">
        <v>763</v>
      </c>
      <c r="L118" s="120"/>
      <c r="M118" s="121"/>
      <c r="N118" s="120"/>
      <c r="P118" s="121"/>
      <c r="R118" s="121"/>
    </row>
    <row r="119" spans="1:18" x14ac:dyDescent="0.25">
      <c r="A119" s="223" t="s">
        <v>892</v>
      </c>
      <c r="B119" s="236"/>
      <c r="C119" s="140"/>
      <c r="D119" s="139"/>
      <c r="E119" s="141"/>
      <c r="F119" s="140"/>
      <c r="G119" s="141"/>
      <c r="H119" s="139"/>
      <c r="I119" s="139"/>
      <c r="J119" s="139"/>
      <c r="K119" s="139"/>
      <c r="L119" s="140"/>
      <c r="M119" s="141"/>
      <c r="N119" s="140"/>
      <c r="O119" s="139"/>
      <c r="P119" s="141"/>
      <c r="Q119" s="139"/>
      <c r="R119" s="141"/>
    </row>
    <row r="120" spans="1:18" ht="30" x14ac:dyDescent="0.25">
      <c r="A120" s="142" t="s">
        <v>893</v>
      </c>
      <c r="B120" s="144"/>
      <c r="C120" s="120"/>
      <c r="E120" s="121"/>
      <c r="F120" s="120"/>
      <c r="G120" s="121"/>
      <c r="H120" s="171" t="s">
        <v>899</v>
      </c>
      <c r="I120" s="172" t="s">
        <v>759</v>
      </c>
      <c r="J120" s="18" t="s">
        <v>899</v>
      </c>
      <c r="K120" s="172" t="s">
        <v>759</v>
      </c>
      <c r="L120" s="120"/>
      <c r="M120" s="121"/>
      <c r="N120" s="120"/>
      <c r="P120" s="121"/>
      <c r="R120" s="121"/>
    </row>
    <row r="121" spans="1:18" ht="30" x14ac:dyDescent="0.25">
      <c r="A121" s="142" t="s">
        <v>894</v>
      </c>
      <c r="B121" s="144"/>
      <c r="C121" s="120"/>
      <c r="E121" s="121"/>
      <c r="F121" s="120"/>
      <c r="G121" s="121"/>
      <c r="H121" s="171" t="s">
        <v>900</v>
      </c>
      <c r="I121" s="172" t="s">
        <v>760</v>
      </c>
      <c r="J121" s="18" t="s">
        <v>900</v>
      </c>
      <c r="K121" s="172" t="s">
        <v>760</v>
      </c>
      <c r="L121" s="120"/>
      <c r="M121" s="121"/>
      <c r="N121" s="120"/>
      <c r="P121" s="121"/>
      <c r="R121" s="121"/>
    </row>
    <row r="122" spans="1:18" ht="30" x14ac:dyDescent="0.25">
      <c r="A122" s="142" t="s">
        <v>895</v>
      </c>
      <c r="B122" s="144"/>
      <c r="C122" s="120"/>
      <c r="E122" s="121"/>
      <c r="F122" s="120"/>
      <c r="G122" s="121"/>
      <c r="H122" s="171" t="s">
        <v>901</v>
      </c>
      <c r="I122" s="172" t="s">
        <v>760</v>
      </c>
      <c r="J122" s="18" t="s">
        <v>901</v>
      </c>
      <c r="K122" s="172" t="s">
        <v>760</v>
      </c>
      <c r="L122" s="120"/>
      <c r="M122" s="121"/>
      <c r="N122" s="120"/>
      <c r="P122" s="121"/>
      <c r="R122" s="121"/>
    </row>
    <row r="123" spans="1:18" ht="30" x14ac:dyDescent="0.25">
      <c r="A123" s="142" t="s">
        <v>896</v>
      </c>
      <c r="B123" s="144"/>
      <c r="C123" s="120"/>
      <c r="E123" s="121"/>
      <c r="F123" s="120"/>
      <c r="G123" s="121"/>
      <c r="H123" s="171" t="s">
        <v>902</v>
      </c>
      <c r="I123" s="172" t="s">
        <v>761</v>
      </c>
      <c r="J123" s="18" t="s">
        <v>902</v>
      </c>
      <c r="K123" s="172" t="s">
        <v>761</v>
      </c>
      <c r="L123" s="120"/>
      <c r="M123" s="121"/>
      <c r="N123" s="120"/>
      <c r="P123" s="121"/>
      <c r="R123" s="121"/>
    </row>
    <row r="124" spans="1:18" ht="30" x14ac:dyDescent="0.25">
      <c r="A124" s="142" t="s">
        <v>897</v>
      </c>
      <c r="B124" s="144"/>
      <c r="C124" s="120"/>
      <c r="E124" s="121"/>
      <c r="F124" s="120"/>
      <c r="G124" s="121"/>
      <c r="H124" s="171" t="s">
        <v>903</v>
      </c>
      <c r="I124" s="172" t="s">
        <v>762</v>
      </c>
      <c r="J124" s="18" t="s">
        <v>903</v>
      </c>
      <c r="K124" s="172" t="s">
        <v>762</v>
      </c>
      <c r="L124" s="120"/>
      <c r="M124" s="121"/>
      <c r="N124" s="120"/>
      <c r="P124" s="121"/>
      <c r="R124" s="121"/>
    </row>
    <row r="125" spans="1:18" ht="30" x14ac:dyDescent="0.25">
      <c r="A125" s="143" t="s">
        <v>898</v>
      </c>
      <c r="B125" s="145"/>
      <c r="C125" s="122"/>
      <c r="D125" s="130"/>
      <c r="E125" s="123"/>
      <c r="F125" s="122"/>
      <c r="G125" s="123"/>
      <c r="H125" s="232" t="s">
        <v>904</v>
      </c>
      <c r="I125" s="231" t="s">
        <v>763</v>
      </c>
      <c r="J125" s="130" t="s">
        <v>904</v>
      </c>
      <c r="K125" s="231" t="s">
        <v>763</v>
      </c>
      <c r="L125" s="122"/>
      <c r="M125" s="123"/>
      <c r="N125" s="122"/>
      <c r="O125" s="130"/>
      <c r="P125" s="123"/>
      <c r="Q125" s="130"/>
      <c r="R125" s="123"/>
    </row>
  </sheetData>
  <mergeCells count="16">
    <mergeCell ref="Q1:R1"/>
    <mergeCell ref="A1:A3"/>
    <mergeCell ref="C1:E1"/>
    <mergeCell ref="N1:P1"/>
    <mergeCell ref="J1:K1"/>
    <mergeCell ref="H1:I1"/>
    <mergeCell ref="F1:G1"/>
    <mergeCell ref="L1:M1"/>
    <mergeCell ref="B1:B3"/>
    <mergeCell ref="C2:E2"/>
    <mergeCell ref="F2:G2"/>
    <mergeCell ref="H2:I2"/>
    <mergeCell ref="J2:K2"/>
    <mergeCell ref="L2:M2"/>
    <mergeCell ref="N2:P2"/>
    <mergeCell ref="Q2:R2"/>
  </mergeCells>
  <phoneticPr fontId="17" type="noConversion"/>
  <pageMargins left="0.7" right="0.7" top="0.75" bottom="0.75" header="0.3" footer="0.3"/>
  <pageSetup paperSize="9" orientation="portrait" verticalDpi="120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DDC70-7CEC-4583-B3BF-C95AA5A64770}">
  <sheetPr>
    <tabColor theme="9" tint="0.39997558519241921"/>
  </sheetPr>
  <dimension ref="A1:M27"/>
  <sheetViews>
    <sheetView tabSelected="1" zoomScale="70" zoomScaleNormal="70" workbookViewId="0">
      <pane xSplit="2" ySplit="1" topLeftCell="C2" activePane="bottomRight" state="frozen"/>
      <selection pane="topRight" activeCell="F1" sqref="F1"/>
      <selection pane="bottomLeft" activeCell="A3" sqref="A3"/>
      <selection pane="bottomRight" activeCell="H3" sqref="H3"/>
    </sheetView>
  </sheetViews>
  <sheetFormatPr defaultColWidth="8.7109375" defaultRowHeight="15" outlineLevelRow="2" x14ac:dyDescent="0.25"/>
  <cols>
    <col min="1" max="1" width="14.5703125" style="117" bestFit="1" customWidth="1"/>
    <col min="2" max="2" width="27.42578125" style="117" bestFit="1" customWidth="1"/>
    <col min="3" max="3" width="27.42578125" style="117" customWidth="1"/>
    <col min="4" max="4" width="27.140625" style="117" bestFit="1" customWidth="1"/>
    <col min="5" max="5" width="21.42578125" style="117" customWidth="1"/>
    <col min="6" max="6" width="41.140625" style="18" bestFit="1" customWidth="1"/>
    <col min="7" max="7" width="27.85546875" style="18" customWidth="1"/>
    <col min="8" max="8" width="42" style="18" customWidth="1"/>
    <col min="9" max="13" width="14.85546875" style="18" customWidth="1"/>
    <col min="14" max="16384" width="8.7109375" style="110"/>
  </cols>
  <sheetData>
    <row r="1" spans="1:13" s="116" customFormat="1" ht="63" customHeight="1" x14ac:dyDescent="0.25">
      <c r="A1" s="249" t="s">
        <v>522</v>
      </c>
      <c r="B1" s="249" t="s">
        <v>1075</v>
      </c>
      <c r="C1" s="249" t="s">
        <v>1076</v>
      </c>
      <c r="D1" s="156" t="s">
        <v>1074</v>
      </c>
      <c r="E1" s="156" t="s">
        <v>1073</v>
      </c>
      <c r="F1" s="174" t="s">
        <v>986</v>
      </c>
      <c r="G1" s="174" t="s">
        <v>1001</v>
      </c>
      <c r="H1" s="175" t="s">
        <v>992</v>
      </c>
      <c r="I1" s="175" t="s">
        <v>991</v>
      </c>
      <c r="J1" s="175" t="s">
        <v>6</v>
      </c>
      <c r="K1" s="175" t="s">
        <v>5</v>
      </c>
      <c r="L1" s="176" t="s">
        <v>4</v>
      </c>
      <c r="M1" s="413" t="s">
        <v>1107</v>
      </c>
    </row>
    <row r="2" spans="1:13" ht="30" x14ac:dyDescent="0.25">
      <c r="A2" s="250" t="s">
        <v>993</v>
      </c>
      <c r="B2" s="250" t="s">
        <v>524</v>
      </c>
      <c r="C2" s="251" t="s">
        <v>910</v>
      </c>
      <c r="D2" s="259"/>
      <c r="E2" s="260"/>
      <c r="F2" s="261"/>
      <c r="G2" s="261"/>
      <c r="H2" s="261"/>
      <c r="I2" s="261"/>
      <c r="J2" s="261"/>
      <c r="K2" s="261"/>
      <c r="L2" s="262"/>
      <c r="M2" s="262" t="e" cm="1">
        <f t="array" ref="M2">COLLE</f>
        <v>#NAME?</v>
      </c>
    </row>
    <row r="3" spans="1:13" outlineLevel="1" x14ac:dyDescent="0.25">
      <c r="A3" s="257"/>
      <c r="B3" s="258"/>
      <c r="C3" s="258"/>
      <c r="D3" s="252" t="s">
        <v>972</v>
      </c>
      <c r="E3" s="252" t="s">
        <v>190</v>
      </c>
      <c r="F3" s="253" t="str" cm="1">
        <f t="array" aca="1" ref="F3" ca="1">HYPERLINK(CONCATENATE(Cartelle!$A$9,MID(F$1,1,FIND(CHAR(10),F$1)-1),"/CONFIG/",MID($D3,1,FIND("_",$D3)-1),"/",INDIRECT(CONCATENATE("'Conf Sheet'!",ADDRESS(MATCH($D3, 'Conf Sheet'!$B:$B, 0),MATCH(MID(F$1,1,FIND(CHAR(10),F$1)-1), 'Conf Sheet'!$1:$1, 0)))),".pdf#page=",F4),CONCATENATE("#Sharepoint//",$D3))</f>
        <v>#Sharepoint//FS_DM1</v>
      </c>
      <c r="G3" s="254"/>
      <c r="H3" s="253" t="str" cm="1">
        <f t="array" aca="1" ref="H3" ca="1">HYPERLINK(CONCATENATE(Cartelle!$A$9,MID(H$1,1,FIND(CHAR(10),H$1)-1),"/CONFIG/",MID($D3,1,FIND("_",$D3)-1),"/",INDIRECT(CONCATENATE("'Conf Sheet'!",ADDRESS(MATCH($D3, 'Conf Sheet'!$B:$B, 0),MATCH(MID(H$1,1,FIND(CHAR(10),H$1)-1), 'Conf Sheet'!$1:$1, 0)))),".pdf#page=",H4),CONCATENATE("#Sharepoint//",$D3))</f>
        <v>#Sharepoint//FS_DM1</v>
      </c>
      <c r="I3" s="252"/>
      <c r="J3" s="254"/>
      <c r="K3" s="254"/>
      <c r="L3" s="254"/>
      <c r="M3" s="254"/>
    </row>
    <row r="4" spans="1:13" outlineLevel="2" x14ac:dyDescent="0.25">
      <c r="A4" s="144"/>
      <c r="B4" s="221"/>
      <c r="D4" s="266"/>
      <c r="E4" s="88" t="s">
        <v>988</v>
      </c>
      <c r="F4" s="53">
        <v>243</v>
      </c>
      <c r="G4" s="53"/>
      <c r="H4" s="53">
        <v>144</v>
      </c>
      <c r="I4" s="88"/>
      <c r="J4" s="53"/>
      <c r="K4" s="53"/>
      <c r="L4" s="53"/>
      <c r="M4" s="53"/>
    </row>
    <row r="5" spans="1:13" ht="75" outlineLevel="2" x14ac:dyDescent="0.25">
      <c r="A5" s="144"/>
      <c r="B5" s="221"/>
      <c r="D5" s="142"/>
      <c r="E5" s="88" t="s">
        <v>523</v>
      </c>
      <c r="F5" s="88" t="s">
        <v>525</v>
      </c>
      <c r="G5" s="53"/>
      <c r="H5" s="88" t="s">
        <v>526</v>
      </c>
      <c r="I5" s="255"/>
      <c r="J5" s="53"/>
      <c r="K5" s="53"/>
      <c r="L5" s="53"/>
      <c r="M5" s="53"/>
    </row>
    <row r="6" spans="1:13" ht="270" outlineLevel="2" x14ac:dyDescent="0.25">
      <c r="A6" s="144"/>
      <c r="B6" s="221"/>
      <c r="D6" s="143" t="s">
        <v>1106</v>
      </c>
      <c r="E6" s="88" t="s">
        <v>527</v>
      </c>
      <c r="F6" s="88" t="s">
        <v>1099</v>
      </c>
      <c r="G6" s="53"/>
      <c r="H6" s="88" t="s">
        <v>1100</v>
      </c>
      <c r="I6" s="53"/>
      <c r="J6" s="53"/>
      <c r="K6" s="53"/>
      <c r="L6" s="53"/>
      <c r="M6" s="53"/>
    </row>
    <row r="7" spans="1:13" outlineLevel="1" x14ac:dyDescent="0.25">
      <c r="A7" s="257"/>
      <c r="B7" s="258"/>
      <c r="C7" s="258"/>
      <c r="D7" s="252" t="s">
        <v>973</v>
      </c>
      <c r="E7" s="252" t="s">
        <v>190</v>
      </c>
      <c r="F7" s="253" t="str" cm="1">
        <f t="array" aca="1" ref="F7" ca="1">HYPERLINK(CONCATENATE(Cartelle!$A$9,MID(F$1,1,FIND(CHAR(10),F$1)-1),"/CONFIG/",MID($D7,1,FIND("_",$D7)-1),"/",INDIRECT(CONCATENATE("'Conf Sheet'!",ADDRESS(MATCH($D7, 'Conf Sheet'!$B:$B, 0),MATCH(MID(F$1,1,FIND(CHAR(10),F$1)-1), 'Conf Sheet'!$1:$1, 0)))),".pdf#page=",F8),CONCATENATE("#Sharepoint//",$D7))</f>
        <v>#Sharepoint//FS_TT2</v>
      </c>
      <c r="G7" s="254"/>
      <c r="H7" s="253" t="str" cm="1">
        <f t="array" aca="1" ref="H7" ca="1">HYPERLINK(CONCATENATE(Cartelle!$A$9,MID(H$1,1,FIND(CHAR(10),H$1)-1),"/CONFIG/",MID($D7,1,FIND("_",$D7)-1),"/",INDIRECT(CONCATENATE("'Conf Sheet'!",ADDRESS(MATCH($D7, 'Conf Sheet'!$B:$B, 0),MATCH(MID(H$1,1,FIND(CHAR(10),H$1)-1), 'Conf Sheet'!$1:$1, 0)))),".pdf#page=",H8),CONCATENATE("#Sharepoint//",$D7))</f>
        <v>#Sharepoint//FS_TT2</v>
      </c>
      <c r="I7" s="252"/>
      <c r="J7" s="254"/>
      <c r="K7" s="254"/>
      <c r="L7" s="254"/>
      <c r="M7" s="254"/>
    </row>
    <row r="8" spans="1:13" hidden="1" outlineLevel="2" x14ac:dyDescent="0.25">
      <c r="A8" s="144"/>
      <c r="B8" s="221"/>
      <c r="D8" s="266"/>
      <c r="E8" s="88" t="s">
        <v>988</v>
      </c>
      <c r="F8" s="53">
        <v>171</v>
      </c>
      <c r="G8" s="53"/>
      <c r="H8" s="53">
        <v>131</v>
      </c>
      <c r="I8" s="88"/>
      <c r="J8" s="53"/>
      <c r="K8" s="53"/>
      <c r="L8" s="53"/>
      <c r="M8" s="53"/>
    </row>
    <row r="9" spans="1:13" ht="105" hidden="1" outlineLevel="2" x14ac:dyDescent="0.25">
      <c r="A9" s="144"/>
      <c r="B9" s="221"/>
      <c r="D9" s="142"/>
      <c r="E9" s="88" t="s">
        <v>523</v>
      </c>
      <c r="F9" s="88" t="s">
        <v>1102</v>
      </c>
      <c r="G9" s="53"/>
      <c r="H9" s="88" t="s">
        <v>1103</v>
      </c>
      <c r="I9" s="255"/>
      <c r="J9" s="53"/>
      <c r="K9" s="53"/>
      <c r="L9" s="53"/>
      <c r="M9" s="53"/>
    </row>
    <row r="10" spans="1:13" ht="225" hidden="1" outlineLevel="2" x14ac:dyDescent="0.25">
      <c r="A10" s="144"/>
      <c r="B10" s="221"/>
      <c r="D10" s="143"/>
      <c r="E10" s="88" t="s">
        <v>527</v>
      </c>
      <c r="F10" s="88" t="s">
        <v>1101</v>
      </c>
      <c r="G10" s="53"/>
      <c r="H10" s="88" t="s">
        <v>1104</v>
      </c>
      <c r="I10" s="53"/>
      <c r="J10" s="53"/>
      <c r="K10" s="53"/>
      <c r="L10" s="53"/>
      <c r="M10" s="53"/>
    </row>
    <row r="11" spans="1:13" outlineLevel="1" collapsed="1" x14ac:dyDescent="0.25">
      <c r="A11" s="257"/>
      <c r="B11" s="258"/>
      <c r="C11" s="258"/>
      <c r="D11" s="252" t="s">
        <v>952</v>
      </c>
      <c r="E11" s="252" t="s">
        <v>190</v>
      </c>
      <c r="F11" s="253" t="str" cm="1">
        <f t="array" aca="1" ref="F11" ca="1">HYPERLINK(CONCATENATE(Cartelle!$A$9,MID(F$1,1,FIND(CHAR(10),F$1)-1),"/CONFIG/",MID($D11,1,FIND("_",$D11)-1),"/",INDIRECT(CONCATENATE("'Conf Sheet'!",ADDRESS(MATCH($D11, 'Conf Sheet'!$B:$B, 0),MATCH(MID(F$1,1,FIND(CHAR(10),F$1)-1), 'Conf Sheet'!$1:$1, 0)))),".pdf#page=",F12),CONCATENATE("#Sharepoint//",$D11))</f>
        <v>#Sharepoint//FRS_Brake Control</v>
      </c>
      <c r="G11" s="254"/>
      <c r="H11" s="253" t="str" cm="1">
        <f t="array" aca="1" ref="H11" ca="1">HYPERLINK(CONCATENATE(Cartelle!$A$9,MID(H$1,1,FIND(CHAR(10),H$1)-1),"/CONFIG/",MID($D11,1,FIND("_",$D11)-1),"/",INDIRECT(CONCATENATE("'Conf Sheet'!",ADDRESS(MATCH($D11, 'Conf Sheet'!$B:$B, 0),MATCH(MID(H$1,1,FIND(CHAR(10),H$1)-1), 'Conf Sheet'!$1:$1, 0)))),".pdf#page=",H12),CONCATENATE("#Sharepoint//",$D11))</f>
        <v>#Sharepoint//FRS_Brake Control</v>
      </c>
      <c r="I11" s="254"/>
      <c r="J11" s="254"/>
      <c r="K11" s="254"/>
      <c r="L11" s="254"/>
      <c r="M11" s="254"/>
    </row>
    <row r="12" spans="1:13" hidden="1" outlineLevel="2" x14ac:dyDescent="0.25">
      <c r="A12" s="144"/>
      <c r="B12" s="221"/>
      <c r="D12" s="266"/>
      <c r="E12" s="88" t="s">
        <v>988</v>
      </c>
      <c r="F12" s="53">
        <v>117</v>
      </c>
      <c r="G12" s="53"/>
      <c r="H12" s="53">
        <v>154</v>
      </c>
      <c r="I12" s="53"/>
      <c r="J12" s="53"/>
      <c r="K12" s="53"/>
      <c r="L12" s="53"/>
      <c r="M12" s="53"/>
    </row>
    <row r="13" spans="1:13" ht="195" hidden="1" outlineLevel="2" x14ac:dyDescent="0.25">
      <c r="A13" s="144"/>
      <c r="B13" s="221"/>
      <c r="D13" s="143"/>
      <c r="E13" s="88" t="s">
        <v>1078</v>
      </c>
      <c r="F13" s="53" t="s">
        <v>450</v>
      </c>
      <c r="G13" s="53"/>
      <c r="H13" s="88" t="s">
        <v>1105</v>
      </c>
      <c r="I13" s="53"/>
      <c r="J13" s="53"/>
      <c r="K13" s="53"/>
      <c r="L13" s="53"/>
      <c r="M13" s="53"/>
    </row>
    <row r="14" spans="1:13" outlineLevel="1" collapsed="1" x14ac:dyDescent="0.25">
      <c r="A14" s="257"/>
      <c r="B14" s="258"/>
      <c r="C14" s="258"/>
      <c r="D14" s="252" t="s">
        <v>926</v>
      </c>
      <c r="E14" s="252" t="s">
        <v>190</v>
      </c>
      <c r="F14" s="253" t="str" cm="1">
        <f t="array" aca="1" ref="F14" ca="1">HYPERLINK(CONCATENATE(Cartelle!$A$9,MID(F$1,1,FIND(CHAR(10),F$1)-1),"/CONFIG/",MID($D14,1,FIND("_",$D14)-1),"/",INDIRECT(CONCATENATE("'Conf Sheet'!",ADDRESS(MATCH($D14, 'Conf Sheet'!$B:$B, 0),MATCH(MID(F$1,1,FIND(CHAR(10),F$1)-1), 'Conf Sheet'!$1:$1, 0)))),".pdf#page=",F15),CONCATENATE("#Sharepoint//",$D14))</f>
        <v>#Sharepoint//FPD_Brake Control</v>
      </c>
      <c r="G14" s="254"/>
      <c r="H14" s="253" t="str" cm="1">
        <f t="array" aca="1" ref="H14" ca="1">HYPERLINK(CONCATENATE(Cartelle!$A$9,MID(H$1,1,FIND(CHAR(10),H$1)-1),"/CONFIG/",MID($D14,1,FIND("_",$D14)-1),"/",INDIRECT(CONCATENATE("'Conf Sheet'!",ADDRESS(MATCH($D14, 'Conf Sheet'!$B:$B, 0),MATCH(MID(H$1,1,FIND(CHAR(10),H$1)-1), 'Conf Sheet'!$1:$1, 0)))),".pdf#page=",H15),CONCATENATE("#Sharepoint//",$D14))</f>
        <v>#Sharepoint//FPD_Brake Control</v>
      </c>
      <c r="I14" s="254"/>
      <c r="J14" s="254"/>
      <c r="K14" s="254"/>
      <c r="L14" s="254"/>
      <c r="M14" s="254"/>
    </row>
    <row r="15" spans="1:13" hidden="1" outlineLevel="2" x14ac:dyDescent="0.25">
      <c r="A15" s="144"/>
      <c r="B15" s="221"/>
      <c r="D15" s="88"/>
      <c r="E15" s="88" t="s">
        <v>988</v>
      </c>
      <c r="F15" s="53">
        <v>18</v>
      </c>
      <c r="G15" s="53"/>
      <c r="H15" s="53">
        <v>18</v>
      </c>
      <c r="I15" s="53"/>
      <c r="J15" s="53"/>
      <c r="K15" s="53"/>
      <c r="L15" s="53"/>
      <c r="M15" s="53"/>
    </row>
    <row r="16" spans="1:13" x14ac:dyDescent="0.25">
      <c r="A16" s="264" t="s">
        <v>994</v>
      </c>
      <c r="B16" s="264" t="s">
        <v>995</v>
      </c>
      <c r="C16" s="265" t="s">
        <v>996</v>
      </c>
      <c r="D16" s="259"/>
      <c r="E16" s="260"/>
      <c r="F16" s="261"/>
      <c r="G16" s="261"/>
      <c r="H16" s="261"/>
      <c r="I16" s="261"/>
      <c r="J16" s="261"/>
      <c r="K16" s="261"/>
      <c r="L16" s="262"/>
      <c r="M16" s="262"/>
    </row>
    <row r="17" spans="1:13" outlineLevel="1" x14ac:dyDescent="0.25">
      <c r="A17" s="257"/>
      <c r="B17" s="258"/>
      <c r="C17" s="258"/>
      <c r="D17" s="252" t="s">
        <v>997</v>
      </c>
      <c r="E17" s="252" t="s">
        <v>190</v>
      </c>
      <c r="F17" s="253" t="e" cm="1">
        <f t="array" aca="1" ref="F17" ca="1">HYPERLINK(CONCATENATE(Cartelle!$A$9,MID(F$1,1,FIND(CHAR(10),F$1)-1),"/CONFIG/",MID($D17,1,FIND("_",$D17)-1),"/",INDIRECT(CONCATENATE("'Conf Sheet'!",ADDRESS(MATCH($D17, 'Conf Sheet'!$B:$B, 0),MATCH(MID(F$1,1,FIND(CHAR(10),F$1)-1), 'Conf Sheet'!$1:$1, 0)))),".pdf#page=",F18),CONCATENATE("#Sharepoint//",$D17))</f>
        <v>#N/A</v>
      </c>
      <c r="G17" s="254"/>
      <c r="H17" s="253" t="e" cm="1">
        <f t="array" aca="1" ref="H17" ca="1">HYPERLINK(CONCATENATE(Cartelle!$A$9,MID(H$1,1,FIND(CHAR(10),H$1)-1),"/CONFIG/",MID($D17,1,FIND("_",$D17)-1),"/",INDIRECT(CONCATENATE("'Conf Sheet'!",ADDRESS(MATCH($D17, 'Conf Sheet'!$B:$B, 0),MATCH(MID(H$1,1,FIND(CHAR(10),H$1)-1), 'Conf Sheet'!$1:$1, 0)))),".pdf#page=",H18),CONCATENATE("#Sharepoint//",$D17))</f>
        <v>#N/A</v>
      </c>
      <c r="I17" s="252"/>
      <c r="J17" s="254"/>
      <c r="K17" s="254"/>
      <c r="L17" s="254"/>
      <c r="M17" s="254"/>
    </row>
    <row r="18" spans="1:13" hidden="1" outlineLevel="2" x14ac:dyDescent="0.25">
      <c r="A18" s="144"/>
      <c r="B18" s="221"/>
      <c r="D18" s="88"/>
      <c r="E18" s="88" t="s">
        <v>988</v>
      </c>
      <c r="F18" s="53">
        <v>1</v>
      </c>
      <c r="G18" s="53"/>
      <c r="H18" s="53">
        <v>1</v>
      </c>
      <c r="I18" s="88"/>
      <c r="J18" s="53"/>
      <c r="K18" s="53"/>
      <c r="L18" s="53"/>
      <c r="M18" s="53"/>
    </row>
    <row r="19" spans="1:13" outlineLevel="1" collapsed="1" x14ac:dyDescent="0.25">
      <c r="A19" s="257"/>
      <c r="B19" s="258"/>
      <c r="C19" s="258"/>
      <c r="D19" s="252" t="s">
        <v>998</v>
      </c>
      <c r="E19" s="252" t="s">
        <v>190</v>
      </c>
      <c r="F19" s="253" t="e" cm="1">
        <f t="array" aca="1" ref="F19" ca="1">HYPERLINK(CONCATENATE(Cartelle!$A$9,MID(F$1,1,FIND(CHAR(10),F$1)-1),"/CONFIG/",MID($D19,1,FIND("_",$D19)-1),"/",INDIRECT(CONCATENATE("'Conf Sheet'!",ADDRESS(MATCH($D19, 'Conf Sheet'!$B:$B, 0),MATCH(MID(F$1,1,FIND(CHAR(10),F$1)-1), 'Conf Sheet'!$1:$1, 0)))),".pdf#page=",F20),CONCATENATE("#Sharepoint//",$D19))</f>
        <v>#N/A</v>
      </c>
      <c r="G19" s="254"/>
      <c r="H19" s="253" t="e" cm="1">
        <f t="array" aca="1" ref="H19" ca="1">HYPERLINK(CONCATENATE(Cartelle!$A$9,MID(H$1,1,FIND(CHAR(10),H$1)-1),"/CONFIG/",MID($D19,1,FIND("_",$D19)-1),"/",INDIRECT(CONCATENATE("'Conf Sheet'!",ADDRESS(MATCH($D19, 'Conf Sheet'!$B:$B, 0),MATCH(MID(H$1,1,FIND(CHAR(10),H$1)-1), 'Conf Sheet'!$1:$1, 0)))),".pdf#page=",H20),CONCATENATE("#Sharepoint//",$D19))</f>
        <v>#N/A</v>
      </c>
      <c r="I19" s="254"/>
      <c r="J19" s="254"/>
      <c r="K19" s="254"/>
      <c r="L19" s="254"/>
      <c r="M19" s="254"/>
    </row>
    <row r="20" spans="1:13" hidden="1" outlineLevel="2" x14ac:dyDescent="0.25">
      <c r="A20" s="144"/>
      <c r="B20" s="221"/>
      <c r="D20" s="88"/>
      <c r="E20" s="88" t="s">
        <v>988</v>
      </c>
      <c r="F20" s="53">
        <v>1</v>
      </c>
      <c r="G20" s="53"/>
      <c r="H20" s="53">
        <v>1</v>
      </c>
      <c r="I20" s="53"/>
      <c r="J20" s="53"/>
      <c r="K20" s="53"/>
      <c r="L20" s="53"/>
      <c r="M20" s="53"/>
    </row>
    <row r="21" spans="1:13" outlineLevel="1" collapsed="1" x14ac:dyDescent="0.25">
      <c r="A21" s="257"/>
      <c r="B21" s="258"/>
      <c r="C21" s="258"/>
      <c r="D21" s="252" t="s">
        <v>999</v>
      </c>
      <c r="E21" s="252" t="s">
        <v>190</v>
      </c>
      <c r="F21" s="253" t="e" cm="1">
        <f t="array" aca="1" ref="F21" ca="1">HYPERLINK(CONCATENATE(Cartelle!$A$9,MID(F$1,1,FIND(CHAR(10),F$1)-1),"/CONFIG/",MID($D21,1,FIND("_",$D21)-1),"/",INDIRECT(CONCATENATE("'Conf Sheet'!",ADDRESS(MATCH($D21, 'Conf Sheet'!$B:$B, 0),MATCH(MID(F$1,1,FIND(CHAR(10),F$1)-1), 'Conf Sheet'!$1:$1, 0)))),".pdf#page=",F22),CONCATENATE("#Sharepoint//",$D21))</f>
        <v>#N/A</v>
      </c>
      <c r="G21" s="254"/>
      <c r="H21" s="253" t="e" cm="1">
        <f t="array" aca="1" ref="H21" ca="1">HYPERLINK(CONCATENATE(Cartelle!$A$9,MID(H$1,1,FIND(CHAR(10),H$1)-1),"/CONFIG/",MID($D21,1,FIND("_",$D21)-1),"/",INDIRECT(CONCATENATE("'Conf Sheet'!",ADDRESS(MATCH($D21, 'Conf Sheet'!$B:$B, 0),MATCH(MID(H$1,1,FIND(CHAR(10),H$1)-1), 'Conf Sheet'!$1:$1, 0)))),".pdf#page=",H22),CONCATENATE("#Sharepoint//",$D21))</f>
        <v>#N/A</v>
      </c>
      <c r="I21" s="254"/>
      <c r="J21" s="254"/>
      <c r="K21" s="254"/>
      <c r="L21" s="254"/>
      <c r="M21" s="254"/>
    </row>
    <row r="22" spans="1:13" hidden="1" outlineLevel="2" x14ac:dyDescent="0.25">
      <c r="A22" s="144"/>
      <c r="B22" s="221"/>
      <c r="D22" s="88"/>
      <c r="E22" s="88" t="s">
        <v>988</v>
      </c>
      <c r="F22" s="53">
        <v>1</v>
      </c>
      <c r="G22" s="53"/>
      <c r="H22" s="53">
        <v>1</v>
      </c>
      <c r="I22" s="53"/>
      <c r="J22" s="53"/>
      <c r="K22" s="53"/>
      <c r="L22" s="53"/>
      <c r="M22" s="53"/>
    </row>
    <row r="23" spans="1:13" outlineLevel="1" collapsed="1" x14ac:dyDescent="0.25">
      <c r="A23" s="257"/>
      <c r="B23" s="258"/>
      <c r="C23" s="258"/>
      <c r="D23" s="256" t="s">
        <v>1000</v>
      </c>
      <c r="E23" s="252" t="s">
        <v>190</v>
      </c>
      <c r="F23" s="253"/>
      <c r="G23" s="254"/>
      <c r="H23" s="253"/>
      <c r="I23" s="254"/>
      <c r="J23" s="254"/>
      <c r="K23" s="254"/>
      <c r="L23" s="254"/>
      <c r="M23" s="254"/>
    </row>
    <row r="24" spans="1:13" x14ac:dyDescent="0.25">
      <c r="A24" s="144"/>
      <c r="B24" s="221"/>
      <c r="D24" s="144"/>
      <c r="E24" s="144"/>
      <c r="F24" s="120"/>
      <c r="L24" s="121"/>
      <c r="M24" s="121"/>
    </row>
    <row r="25" spans="1:13" x14ac:dyDescent="0.25">
      <c r="A25" s="144"/>
      <c r="B25" s="221"/>
      <c r="D25" s="144"/>
      <c r="E25" s="144"/>
      <c r="F25" s="120"/>
      <c r="L25" s="121"/>
      <c r="M25" s="121"/>
    </row>
    <row r="26" spans="1:13" x14ac:dyDescent="0.25">
      <c r="A26" s="144"/>
      <c r="B26" s="221"/>
      <c r="D26" s="252"/>
      <c r="E26" s="144"/>
      <c r="F26" s="120"/>
      <c r="L26" s="121"/>
      <c r="M26" s="121"/>
    </row>
    <row r="27" spans="1:13" x14ac:dyDescent="0.25">
      <c r="A27" s="145"/>
      <c r="B27" s="222"/>
      <c r="C27" s="234"/>
      <c r="D27" s="145"/>
      <c r="E27" s="145"/>
      <c r="F27" s="122"/>
      <c r="G27" s="130"/>
      <c r="H27" s="130"/>
      <c r="I27" s="130"/>
      <c r="J27" s="130"/>
      <c r="K27" s="130"/>
      <c r="L27" s="123"/>
      <c r="M27" s="123"/>
    </row>
  </sheetData>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A7ABC1-012F-41C6-A9CE-AD6FAEBB3DE7}">
  <sheetPr>
    <tabColor rgb="FF7030A0"/>
  </sheetPr>
  <dimension ref="A1:X106"/>
  <sheetViews>
    <sheetView zoomScale="115" zoomScaleNormal="115" workbookViewId="0">
      <pane xSplit="3" ySplit="2" topLeftCell="E6" activePane="bottomRight" state="frozen"/>
      <selection pane="topRight" activeCell="F1" sqref="F1"/>
      <selection pane="bottomLeft" activeCell="A3" sqref="A3"/>
      <selection pane="bottomRight" activeCell="T8" sqref="T8"/>
    </sheetView>
  </sheetViews>
  <sheetFormatPr defaultColWidth="8.7109375" defaultRowHeight="15" outlineLevelRow="3" x14ac:dyDescent="0.25"/>
  <cols>
    <col min="1" max="1" width="13.85546875" style="18" bestFit="1" customWidth="1"/>
    <col min="2" max="2" width="39.5703125" style="18" bestFit="1" customWidth="1"/>
    <col min="3" max="3" width="17.42578125" style="18" bestFit="1" customWidth="1"/>
    <col min="4" max="4" width="20.28515625" style="18" customWidth="1"/>
    <col min="5" max="5" width="20.140625" style="18" customWidth="1"/>
    <col min="6" max="6" width="10.140625" style="18" bestFit="1" customWidth="1"/>
    <col min="7" max="7" width="11.42578125" style="18" bestFit="1" customWidth="1"/>
    <col min="8" max="8" width="15.42578125" style="18" bestFit="1" customWidth="1"/>
    <col min="9" max="9" width="7.7109375" style="18" bestFit="1" customWidth="1"/>
    <col min="10" max="10" width="5.85546875" style="18" bestFit="1" customWidth="1"/>
    <col min="11" max="11" width="5.7109375" style="18" bestFit="1" customWidth="1"/>
    <col min="12" max="12" width="6.5703125" style="18" bestFit="1" customWidth="1"/>
    <col min="13" max="13" width="12.140625" style="112" customWidth="1"/>
    <col min="14" max="14" width="4.140625" style="18" bestFit="1" customWidth="1"/>
    <col min="15" max="15" width="4.42578125" style="18" bestFit="1" customWidth="1"/>
    <col min="16" max="16" width="8.7109375" style="112"/>
    <col min="17" max="17" width="4.140625" style="18" bestFit="1" customWidth="1"/>
    <col min="18" max="18" width="4.42578125" style="18" bestFit="1" customWidth="1"/>
    <col min="19" max="19" width="11.5703125" style="112" bestFit="1" customWidth="1"/>
    <col min="20" max="20" width="4.42578125" style="110" bestFit="1" customWidth="1"/>
    <col min="21" max="21" width="6.5703125" style="110" customWidth="1"/>
    <col min="22" max="22" width="8.7109375" style="110"/>
    <col min="23" max="23" width="6.7109375" style="110" customWidth="1"/>
    <col min="24" max="16384" width="8.7109375" style="110"/>
  </cols>
  <sheetData>
    <row r="1" spans="1:24" s="116" customFormat="1" ht="31.5" customHeight="1" x14ac:dyDescent="0.25">
      <c r="A1" s="285" t="s">
        <v>206</v>
      </c>
      <c r="B1" s="292" t="s">
        <v>207</v>
      </c>
      <c r="C1" s="294" t="s">
        <v>221</v>
      </c>
      <c r="D1" s="287" t="s">
        <v>203</v>
      </c>
      <c r="E1" s="287" t="s">
        <v>204</v>
      </c>
      <c r="F1" s="289" t="s">
        <v>223</v>
      </c>
      <c r="G1" s="290"/>
      <c r="H1" s="290"/>
      <c r="I1" s="290"/>
      <c r="J1" s="290"/>
      <c r="K1" s="290"/>
      <c r="L1" s="291"/>
      <c r="M1" s="298" t="s">
        <v>173</v>
      </c>
      <c r="N1" s="299"/>
      <c r="O1" s="300"/>
      <c r="P1" s="298" t="s">
        <v>192</v>
      </c>
      <c r="Q1" s="299"/>
      <c r="R1" s="300"/>
      <c r="S1" s="298" t="s">
        <v>224</v>
      </c>
      <c r="T1" s="300"/>
      <c r="U1" s="296" t="s">
        <v>210</v>
      </c>
      <c r="V1" s="297"/>
      <c r="W1" s="296" t="s">
        <v>211</v>
      </c>
      <c r="X1" s="297"/>
    </row>
    <row r="2" spans="1:24" s="116" customFormat="1" ht="31.5" customHeight="1" x14ac:dyDescent="0.25">
      <c r="A2" s="286"/>
      <c r="B2" s="293"/>
      <c r="C2" s="295"/>
      <c r="D2" s="288"/>
      <c r="E2" s="288"/>
      <c r="F2" s="113" t="s">
        <v>200</v>
      </c>
      <c r="G2" s="114" t="s">
        <v>175</v>
      </c>
      <c r="H2" s="114" t="s">
        <v>201</v>
      </c>
      <c r="I2" s="114" t="s">
        <v>202</v>
      </c>
      <c r="J2" s="114" t="s">
        <v>6</v>
      </c>
      <c r="K2" s="114" t="s">
        <v>5</v>
      </c>
      <c r="L2" s="115" t="s">
        <v>4</v>
      </c>
      <c r="M2" s="135" t="s">
        <v>208</v>
      </c>
      <c r="N2" s="136" t="s">
        <v>189</v>
      </c>
      <c r="O2" s="136" t="s">
        <v>190</v>
      </c>
      <c r="P2" s="135" t="s">
        <v>208</v>
      </c>
      <c r="Q2" s="136" t="s">
        <v>189</v>
      </c>
      <c r="R2" s="137" t="s">
        <v>190</v>
      </c>
      <c r="S2" s="138" t="s">
        <v>209</v>
      </c>
      <c r="T2" s="137" t="s">
        <v>190</v>
      </c>
      <c r="U2" s="159" t="s">
        <v>189</v>
      </c>
      <c r="V2" s="160" t="s">
        <v>190</v>
      </c>
      <c r="W2" s="159" t="s">
        <v>189</v>
      </c>
      <c r="X2" s="160" t="s">
        <v>190</v>
      </c>
    </row>
    <row r="3" spans="1:24" x14ac:dyDescent="0.25">
      <c r="A3" s="189" t="s">
        <v>478</v>
      </c>
      <c r="B3" s="190"/>
      <c r="C3" s="191"/>
      <c r="D3" s="191"/>
      <c r="E3" s="191"/>
      <c r="F3" s="189" t="s">
        <v>170</v>
      </c>
      <c r="G3" s="192" t="s">
        <v>170</v>
      </c>
      <c r="H3" s="192" t="s">
        <v>170</v>
      </c>
      <c r="I3" s="192" t="s">
        <v>170</v>
      </c>
      <c r="J3" s="192" t="s">
        <v>170</v>
      </c>
      <c r="K3" s="192" t="s">
        <v>170</v>
      </c>
      <c r="L3" s="190" t="s">
        <v>170</v>
      </c>
      <c r="M3" s="193"/>
      <c r="N3" s="192"/>
      <c r="O3" s="192"/>
      <c r="P3" s="193"/>
      <c r="Q3" s="192"/>
      <c r="R3" s="190"/>
      <c r="S3" s="194"/>
      <c r="T3" s="195"/>
      <c r="U3" s="196"/>
      <c r="V3" s="195"/>
      <c r="W3" s="196"/>
      <c r="X3" s="195"/>
    </row>
    <row r="4" spans="1:24" outlineLevel="1" x14ac:dyDescent="0.25">
      <c r="A4" s="120"/>
      <c r="B4" s="121" t="s">
        <v>167</v>
      </c>
      <c r="C4" s="118"/>
      <c r="D4" s="118">
        <v>10574479</v>
      </c>
      <c r="E4" s="118"/>
      <c r="F4" s="120" t="s">
        <v>170</v>
      </c>
      <c r="G4" s="18" t="s">
        <v>170</v>
      </c>
      <c r="H4" s="18" t="s">
        <v>170</v>
      </c>
      <c r="L4" s="121"/>
      <c r="M4" s="124" t="s">
        <v>191</v>
      </c>
      <c r="N4" s="18">
        <v>161</v>
      </c>
      <c r="O4" s="127" t="str">
        <f>HYPERLINK(CONCATENATE(Cartelle!$A$2,Cartelle!$B$2,Cartelle!$I$2,'PBS (TBD)'!M4,"#page=",'PBS (TBD)'!N4),"#")</f>
        <v>#</v>
      </c>
      <c r="P4" s="124" t="s">
        <v>197</v>
      </c>
      <c r="Q4" s="18">
        <v>93</v>
      </c>
      <c r="R4" s="128" t="str">
        <f>HYPERLINK(CONCATENATE(Cartelle!$A$2,Cartelle!$C$2,Cartelle!$I$2,'PBS (TBD)'!P4,"#page=",'PBS (TBD)'!Q4),"#")</f>
        <v>#</v>
      </c>
      <c r="T4" s="125"/>
      <c r="U4" s="133"/>
      <c r="V4" s="125"/>
      <c r="W4" s="133"/>
      <c r="X4" s="125"/>
    </row>
    <row r="5" spans="1:24" outlineLevel="1" x14ac:dyDescent="0.25">
      <c r="A5" s="120"/>
      <c r="B5" s="121" t="s">
        <v>168</v>
      </c>
      <c r="C5" s="118"/>
      <c r="D5" s="118">
        <v>10542152</v>
      </c>
      <c r="E5" s="118"/>
      <c r="F5" s="120" t="s">
        <v>170</v>
      </c>
      <c r="G5" s="18" t="s">
        <v>170</v>
      </c>
      <c r="H5" s="18" t="s">
        <v>170</v>
      </c>
      <c r="L5" s="121"/>
      <c r="M5" s="124" t="s">
        <v>191</v>
      </c>
      <c r="N5" s="18">
        <v>180</v>
      </c>
      <c r="O5" s="127" t="str">
        <f>HYPERLINK(CONCATENATE(Cartelle!$A$2,Cartelle!$B$2,Cartelle!$I$2,'PBS (TBD)'!M5,"#page=",'PBS (TBD)'!N5),"#")</f>
        <v>#</v>
      </c>
      <c r="P5" s="124" t="s">
        <v>197</v>
      </c>
      <c r="Q5" s="18">
        <v>33</v>
      </c>
      <c r="R5" s="128" t="str">
        <f>HYPERLINK(CONCATENATE(Cartelle!$A$2,Cartelle!$C$2,Cartelle!$I$2,'PBS (TBD)'!P5,"#page=",'PBS (TBD)'!Q5),"#")</f>
        <v>#</v>
      </c>
      <c r="T5" s="125"/>
      <c r="U5" s="133"/>
      <c r="V5" s="125"/>
      <c r="W5" s="133"/>
      <c r="X5" s="125"/>
    </row>
    <row r="6" spans="1:24" outlineLevel="1" x14ac:dyDescent="0.25">
      <c r="A6" s="120"/>
      <c r="B6" s="121" t="s">
        <v>169</v>
      </c>
      <c r="C6" s="118"/>
      <c r="D6" s="118"/>
      <c r="E6" s="118"/>
      <c r="F6" s="120"/>
      <c r="J6" s="18" t="s">
        <v>170</v>
      </c>
      <c r="L6" s="121"/>
      <c r="M6" s="124"/>
      <c r="O6" s="127"/>
      <c r="P6" s="124"/>
      <c r="R6" s="128"/>
      <c r="T6" s="125"/>
      <c r="U6" s="133"/>
      <c r="V6" s="125"/>
      <c r="W6" s="133"/>
      <c r="X6" s="125"/>
    </row>
    <row r="7" spans="1:24" outlineLevel="1" x14ac:dyDescent="0.25">
      <c r="A7" s="120"/>
      <c r="B7" s="157" t="s">
        <v>76</v>
      </c>
      <c r="C7" s="154" t="s">
        <v>222</v>
      </c>
      <c r="D7" s="158" t="s">
        <v>171</v>
      </c>
      <c r="E7" s="118"/>
      <c r="F7" s="120" t="s">
        <v>170</v>
      </c>
      <c r="L7" s="121"/>
      <c r="M7" s="124"/>
      <c r="P7" s="124"/>
      <c r="R7" s="121"/>
      <c r="T7" s="125"/>
      <c r="U7" s="133"/>
      <c r="V7" s="125"/>
      <c r="W7" s="133"/>
      <c r="X7" s="125"/>
    </row>
    <row r="8" spans="1:24" outlineLevel="1" x14ac:dyDescent="0.25">
      <c r="A8" s="120"/>
      <c r="B8" s="121" t="s">
        <v>76</v>
      </c>
      <c r="C8" s="118"/>
      <c r="D8" s="118" t="s">
        <v>77</v>
      </c>
      <c r="E8" s="118"/>
      <c r="F8" s="153"/>
      <c r="G8" s="18" t="s">
        <v>170</v>
      </c>
      <c r="H8" s="18" t="s">
        <v>170</v>
      </c>
      <c r="L8" s="121"/>
      <c r="M8" s="124"/>
      <c r="P8" s="124"/>
      <c r="R8" s="121"/>
      <c r="S8" s="112" t="s">
        <v>77</v>
      </c>
      <c r="T8" s="128" t="str">
        <f>HYPERLINK(CONCATENATE(Cartelle!$A$2,Cartelle!$D$2,'PBS (TBD)'!S8),"#")</f>
        <v>#</v>
      </c>
      <c r="U8" s="133"/>
      <c r="V8" s="125"/>
      <c r="W8" s="133"/>
      <c r="X8" s="125"/>
    </row>
    <row r="9" spans="1:24" outlineLevel="1" x14ac:dyDescent="0.25">
      <c r="A9" s="120"/>
      <c r="B9" s="121" t="s">
        <v>76</v>
      </c>
      <c r="C9" s="118"/>
      <c r="D9" s="118" t="s">
        <v>80</v>
      </c>
      <c r="E9" s="118"/>
      <c r="F9" s="120"/>
      <c r="J9" s="18" t="s">
        <v>170</v>
      </c>
      <c r="L9" s="121"/>
      <c r="M9" s="124"/>
      <c r="P9" s="124"/>
      <c r="R9" s="121"/>
      <c r="T9" s="128"/>
      <c r="U9" s="133"/>
      <c r="V9" s="125"/>
      <c r="W9" s="133"/>
      <c r="X9" s="125"/>
    </row>
    <row r="10" spans="1:24" x14ac:dyDescent="0.25">
      <c r="A10" s="189" t="s">
        <v>28</v>
      </c>
      <c r="B10" s="190"/>
      <c r="C10" s="191"/>
      <c r="D10" s="191"/>
      <c r="E10" s="191"/>
      <c r="F10" s="189" t="s">
        <v>170</v>
      </c>
      <c r="G10" s="192" t="s">
        <v>170</v>
      </c>
      <c r="H10" s="192" t="s">
        <v>170</v>
      </c>
      <c r="I10" s="192" t="s">
        <v>170</v>
      </c>
      <c r="J10" s="192" t="s">
        <v>170</v>
      </c>
      <c r="K10" s="192" t="s">
        <v>170</v>
      </c>
      <c r="L10" s="190" t="s">
        <v>170</v>
      </c>
      <c r="M10" s="193"/>
      <c r="N10" s="192"/>
      <c r="O10" s="192"/>
      <c r="P10" s="193"/>
      <c r="Q10" s="192"/>
      <c r="R10" s="190"/>
      <c r="S10" s="197"/>
      <c r="T10" s="195"/>
      <c r="U10" s="196"/>
      <c r="V10" s="195"/>
      <c r="W10" s="196"/>
      <c r="X10" s="195"/>
    </row>
    <row r="11" spans="1:24" outlineLevel="1" x14ac:dyDescent="0.25">
      <c r="A11" s="120"/>
      <c r="B11" s="164" t="s">
        <v>250</v>
      </c>
      <c r="C11" s="165"/>
      <c r="D11" s="165" t="s">
        <v>97</v>
      </c>
      <c r="E11" s="154" t="s">
        <v>273</v>
      </c>
      <c r="F11" s="120" t="s">
        <v>170</v>
      </c>
      <c r="G11" s="18" t="s">
        <v>170</v>
      </c>
      <c r="L11" s="121"/>
      <c r="M11" s="124" t="s">
        <v>249</v>
      </c>
      <c r="N11" s="18">
        <v>113</v>
      </c>
      <c r="O11" s="127" t="str">
        <f>HYPERLINK(CONCATENATE(Cartelle!$A$2,Cartelle!$B$2,Cartelle!$I$2,'PBS (TBD)'!M11,"#page=",'PBS (TBD)'!N11),"#")</f>
        <v>#</v>
      </c>
      <c r="P11" s="124" t="s">
        <v>246</v>
      </c>
      <c r="Q11" s="18">
        <v>48</v>
      </c>
      <c r="R11" s="128" t="str">
        <f>HYPERLINK(CONCATENATE(Cartelle!$A$2,Cartelle!$C$2,Cartelle!$I$2,'PBS (TBD)'!P11,"#page=",'PBS (TBD)'!Q11),"#")</f>
        <v>#</v>
      </c>
      <c r="T11" s="125"/>
      <c r="U11" s="133"/>
      <c r="V11" s="125"/>
      <c r="W11" s="133"/>
      <c r="X11" s="125"/>
    </row>
    <row r="12" spans="1:24" outlineLevel="1" x14ac:dyDescent="0.25">
      <c r="A12" s="120"/>
      <c r="B12" s="164" t="s">
        <v>251</v>
      </c>
      <c r="C12" s="165"/>
      <c r="D12" s="165" t="s">
        <v>230</v>
      </c>
      <c r="E12" s="154" t="s">
        <v>273</v>
      </c>
      <c r="F12" s="120" t="s">
        <v>170</v>
      </c>
      <c r="G12" s="18" t="s">
        <v>170</v>
      </c>
      <c r="L12" s="121"/>
      <c r="M12" s="124" t="s">
        <v>249</v>
      </c>
      <c r="N12" s="18">
        <v>121</v>
      </c>
      <c r="O12" s="127" t="str">
        <f>HYPERLINK(CONCATENATE(Cartelle!$A$2,Cartelle!$B$2,Cartelle!$I$2,'PBS (TBD)'!M12,"#page=",'PBS (TBD)'!N12),"#")</f>
        <v>#</v>
      </c>
      <c r="P12" s="124" t="s">
        <v>246</v>
      </c>
      <c r="Q12" s="18">
        <v>52</v>
      </c>
      <c r="R12" s="128" t="str">
        <f>HYPERLINK(CONCATENATE(Cartelle!$A$2,Cartelle!$C$2,Cartelle!$I$2,'PBS (TBD)'!P12,"#page=",'PBS (TBD)'!Q12),"#")</f>
        <v>#</v>
      </c>
      <c r="T12" s="125"/>
      <c r="U12" s="133"/>
      <c r="V12" s="125"/>
      <c r="W12" s="133"/>
      <c r="X12" s="125"/>
    </row>
    <row r="13" spans="1:24" outlineLevel="1" x14ac:dyDescent="0.25">
      <c r="A13" s="120"/>
      <c r="B13" s="164" t="s">
        <v>252</v>
      </c>
      <c r="C13" s="165"/>
      <c r="D13" s="165" t="s">
        <v>102</v>
      </c>
      <c r="E13" s="154" t="s">
        <v>273</v>
      </c>
      <c r="F13" s="120" t="s">
        <v>170</v>
      </c>
      <c r="G13" s="18" t="s">
        <v>170</v>
      </c>
      <c r="L13" s="121"/>
      <c r="M13" s="124" t="s">
        <v>249</v>
      </c>
      <c r="N13" s="18">
        <v>124</v>
      </c>
      <c r="O13" s="127" t="str">
        <f>HYPERLINK(CONCATENATE(Cartelle!$A$2,Cartelle!$B$2,Cartelle!$I$2,'PBS (TBD)'!M13,"#page=",'PBS (TBD)'!N13),"#")</f>
        <v>#</v>
      </c>
      <c r="P13" s="124" t="s">
        <v>246</v>
      </c>
      <c r="Q13" s="18">
        <v>44</v>
      </c>
      <c r="R13" s="128" t="str">
        <f>HYPERLINK(CONCATENATE(Cartelle!$A$2,Cartelle!$C$2,Cartelle!$I$2,'PBS (TBD)'!P13,"#page=",'PBS (TBD)'!Q13),"#")</f>
        <v>#</v>
      </c>
      <c r="T13" s="125"/>
      <c r="U13" s="133"/>
      <c r="V13" s="125"/>
      <c r="W13" s="133"/>
      <c r="X13" s="125"/>
    </row>
    <row r="14" spans="1:24" outlineLevel="1" x14ac:dyDescent="0.25">
      <c r="A14" s="120"/>
      <c r="B14" s="164" t="s">
        <v>267</v>
      </c>
      <c r="C14" s="165"/>
      <c r="D14" s="165" t="s">
        <v>229</v>
      </c>
      <c r="E14" s="118"/>
      <c r="F14" s="120" t="s">
        <v>170</v>
      </c>
      <c r="L14" s="121"/>
      <c r="M14" s="124" t="s">
        <v>249</v>
      </c>
      <c r="N14" s="18">
        <v>175</v>
      </c>
      <c r="O14" s="127" t="str">
        <f>HYPERLINK(CONCATENATE(Cartelle!$A$2,Cartelle!$B$2,Cartelle!$I$2,'PBS (TBD)'!M14,"#page=",'PBS (TBD)'!N14),"#")</f>
        <v>#</v>
      </c>
      <c r="P14" s="124" t="s">
        <v>246</v>
      </c>
      <c r="Q14" s="18">
        <v>70</v>
      </c>
      <c r="R14" s="128" t="str">
        <f>HYPERLINK(CONCATENATE(Cartelle!$A$2,Cartelle!$C$2,Cartelle!$I$2,'PBS (TBD)'!P14,"#page=",'PBS (TBD)'!Q14),"#")</f>
        <v>#</v>
      </c>
      <c r="T14" s="125"/>
      <c r="U14" s="133"/>
      <c r="V14" s="125"/>
      <c r="W14" s="133"/>
      <c r="X14" s="125"/>
    </row>
    <row r="15" spans="1:24" outlineLevel="1" x14ac:dyDescent="0.25">
      <c r="A15" s="120"/>
      <c r="B15" s="166" t="s">
        <v>258</v>
      </c>
      <c r="C15" s="167"/>
      <c r="D15" s="167" t="s">
        <v>259</v>
      </c>
      <c r="E15" s="118"/>
      <c r="F15" s="120"/>
      <c r="G15" s="18" t="s">
        <v>170</v>
      </c>
      <c r="L15" s="121"/>
      <c r="M15" s="124"/>
      <c r="O15" s="127"/>
      <c r="P15" s="124" t="s">
        <v>246</v>
      </c>
      <c r="Q15" s="18">
        <v>28</v>
      </c>
      <c r="R15" s="128" t="str">
        <f>HYPERLINK(CONCATENATE(Cartelle!$A$2,Cartelle!$C$2,Cartelle!$I$2,'PBS (TBD)'!P15,"#page=",'PBS (TBD)'!Q15),"#")</f>
        <v>#</v>
      </c>
      <c r="T15" s="125"/>
      <c r="U15" s="133"/>
      <c r="V15" s="125"/>
      <c r="W15" s="133"/>
      <c r="X15" s="125"/>
    </row>
    <row r="16" spans="1:24" outlineLevel="1" x14ac:dyDescent="0.25">
      <c r="A16" s="120"/>
      <c r="B16" s="164" t="s">
        <v>263</v>
      </c>
      <c r="C16" s="165"/>
      <c r="D16" s="165" t="s">
        <v>227</v>
      </c>
      <c r="E16" s="118"/>
      <c r="F16" s="120" t="s">
        <v>170</v>
      </c>
      <c r="L16" s="121"/>
      <c r="M16" s="124" t="s">
        <v>249</v>
      </c>
      <c r="N16" s="18">
        <v>175</v>
      </c>
      <c r="O16" s="127" t="str">
        <f>HYPERLINK(CONCATENATE(Cartelle!$A$2,Cartelle!$B$2,Cartelle!$I$2,'PBS (TBD)'!M16,"#page=",'PBS (TBD)'!N16),"#")</f>
        <v>#</v>
      </c>
      <c r="P16" s="124" t="s">
        <v>246</v>
      </c>
      <c r="Q16" s="18">
        <v>74</v>
      </c>
      <c r="R16" s="128" t="str">
        <f>HYPERLINK(CONCATENATE(Cartelle!$A$2,Cartelle!$C$2,Cartelle!$I$2,'PBS (TBD)'!P16,"#page=",'PBS (TBD)'!Q16),"#")</f>
        <v>#</v>
      </c>
      <c r="T16" s="125"/>
      <c r="U16" s="133"/>
      <c r="V16" s="125"/>
      <c r="W16" s="133"/>
      <c r="X16" s="125"/>
    </row>
    <row r="17" spans="1:24" outlineLevel="1" x14ac:dyDescent="0.25">
      <c r="A17" s="120"/>
      <c r="B17" s="166" t="s">
        <v>260</v>
      </c>
      <c r="C17" s="167"/>
      <c r="D17" s="167" t="s">
        <v>261</v>
      </c>
      <c r="E17" s="118"/>
      <c r="F17" s="120"/>
      <c r="G17" s="18" t="s">
        <v>170</v>
      </c>
      <c r="L17" s="121"/>
      <c r="M17" s="124"/>
      <c r="O17" s="127"/>
      <c r="P17" s="124" t="s">
        <v>246</v>
      </c>
      <c r="Q17" s="18">
        <v>84</v>
      </c>
      <c r="R17" s="128" t="str">
        <f>HYPERLINK(CONCATENATE(Cartelle!$A$2,Cartelle!$C$2,Cartelle!$I$2,'PBS (TBD)'!P17,"#page=",'PBS (TBD)'!Q17),"#")</f>
        <v>#</v>
      </c>
      <c r="T17" s="125"/>
      <c r="U17" s="133"/>
      <c r="V17" s="125"/>
      <c r="W17" s="133"/>
      <c r="X17" s="125"/>
    </row>
    <row r="18" spans="1:24" outlineLevel="1" x14ac:dyDescent="0.25">
      <c r="A18" s="120"/>
      <c r="B18" s="164" t="s">
        <v>262</v>
      </c>
      <c r="C18" s="165"/>
      <c r="D18" s="165" t="s">
        <v>228</v>
      </c>
      <c r="E18" s="118"/>
      <c r="F18" s="120" t="s">
        <v>170</v>
      </c>
      <c r="G18" s="18" t="s">
        <v>170</v>
      </c>
      <c r="L18" s="121"/>
      <c r="M18" s="124" t="s">
        <v>249</v>
      </c>
      <c r="N18" s="18">
        <v>175</v>
      </c>
      <c r="O18" s="127" t="str">
        <f>HYPERLINK(CONCATENATE(Cartelle!$A$2,Cartelle!$B$2,Cartelle!$I$2,'PBS (TBD)'!M18,"#page=",'PBS (TBD)'!N18),"#")</f>
        <v>#</v>
      </c>
      <c r="P18" s="124" t="s">
        <v>246</v>
      </c>
      <c r="Q18" s="18">
        <v>76</v>
      </c>
      <c r="R18" s="128" t="str">
        <f>HYPERLINK(CONCATENATE(Cartelle!$A$2,Cartelle!$C$2,Cartelle!$I$2,'PBS (TBD)'!P18,"#page=",'PBS (TBD)'!Q18),"#")</f>
        <v>#</v>
      </c>
      <c r="T18" s="125"/>
      <c r="U18" s="133"/>
      <c r="V18" s="125"/>
      <c r="W18" s="133"/>
      <c r="X18" s="125"/>
    </row>
    <row r="19" spans="1:24" outlineLevel="1" x14ac:dyDescent="0.25">
      <c r="A19" s="120"/>
      <c r="B19" s="121" t="s">
        <v>234</v>
      </c>
      <c r="C19" s="118"/>
      <c r="D19" s="118" t="s">
        <v>233</v>
      </c>
      <c r="E19" s="118"/>
      <c r="F19" s="120" t="s">
        <v>170</v>
      </c>
      <c r="G19" s="172" t="s">
        <v>268</v>
      </c>
      <c r="L19" s="121"/>
      <c r="M19" s="124" t="s">
        <v>249</v>
      </c>
      <c r="N19" s="18">
        <v>150</v>
      </c>
      <c r="O19" s="127" t="str">
        <f>HYPERLINK(CONCATENATE(Cartelle!$A$2,Cartelle!$B$2,Cartelle!$I$2,'PBS (TBD)'!M19,"#page=",'PBS (TBD)'!N19),"#")</f>
        <v>#</v>
      </c>
      <c r="P19" s="124" t="s">
        <v>246</v>
      </c>
      <c r="Q19" s="18">
        <v>62</v>
      </c>
      <c r="R19" s="128" t="str">
        <f>HYPERLINK(CONCATENATE(Cartelle!$A$2,Cartelle!$C$2,Cartelle!$I$2,'PBS (TBD)'!P19,"#page=",'PBS (TBD)'!Q19),"#")</f>
        <v>#</v>
      </c>
      <c r="T19" s="125"/>
      <c r="U19" s="133"/>
      <c r="V19" s="125"/>
      <c r="W19" s="133"/>
      <c r="X19" s="125"/>
    </row>
    <row r="20" spans="1:24" outlineLevel="1" x14ac:dyDescent="0.25">
      <c r="A20" s="120"/>
      <c r="B20" s="121" t="s">
        <v>236</v>
      </c>
      <c r="C20" s="118"/>
      <c r="D20" s="118" t="s">
        <v>235</v>
      </c>
      <c r="E20" s="118"/>
      <c r="F20" s="120" t="s">
        <v>170</v>
      </c>
      <c r="G20" s="172" t="s">
        <v>268</v>
      </c>
      <c r="L20" s="121"/>
      <c r="M20" s="124" t="s">
        <v>249</v>
      </c>
      <c r="N20" s="18">
        <v>151</v>
      </c>
      <c r="O20" s="127" t="str">
        <f>HYPERLINK(CONCATENATE(Cartelle!$A$2,Cartelle!$B$2,Cartelle!$I$2,'PBS (TBD)'!M20,"#page=",'PBS (TBD)'!N20),"#")</f>
        <v>#</v>
      </c>
      <c r="P20" s="124" t="s">
        <v>246</v>
      </c>
      <c r="Q20" s="18">
        <v>82</v>
      </c>
      <c r="R20" s="128" t="str">
        <f>HYPERLINK(CONCATENATE(Cartelle!$A$2,Cartelle!$C$2,Cartelle!$I$2,'PBS (TBD)'!P20,"#page=",'PBS (TBD)'!Q20),"#")</f>
        <v>#</v>
      </c>
      <c r="T20" s="125"/>
      <c r="U20" s="133"/>
      <c r="V20" s="125"/>
      <c r="W20" s="133"/>
      <c r="X20" s="125"/>
    </row>
    <row r="21" spans="1:24" outlineLevel="1" x14ac:dyDescent="0.25">
      <c r="A21" s="120"/>
      <c r="B21" s="121" t="s">
        <v>255</v>
      </c>
      <c r="C21" s="118"/>
      <c r="D21" s="118" t="s">
        <v>237</v>
      </c>
      <c r="E21" s="118"/>
      <c r="F21" s="120" t="s">
        <v>170</v>
      </c>
      <c r="G21" s="172" t="s">
        <v>268</v>
      </c>
      <c r="L21" s="121"/>
      <c r="M21" s="124" t="s">
        <v>249</v>
      </c>
      <c r="N21" s="18">
        <v>151</v>
      </c>
      <c r="O21" s="127" t="str">
        <f>HYPERLINK(CONCATENATE(Cartelle!$A$2,Cartelle!$B$2,Cartelle!$I$2,'PBS (TBD)'!M21,"#page=",'PBS (TBD)'!N21),"#")</f>
        <v>#</v>
      </c>
      <c r="P21" s="124" t="s">
        <v>246</v>
      </c>
      <c r="Q21" s="18">
        <v>66</v>
      </c>
      <c r="R21" s="128" t="str">
        <f>HYPERLINK(CONCATENATE(Cartelle!$A$2,Cartelle!$C$2,Cartelle!$I$2,'PBS (TBD)'!P21,"#page=",'PBS (TBD)'!Q21),"#")</f>
        <v>#</v>
      </c>
      <c r="T21" s="125"/>
      <c r="U21" s="133"/>
      <c r="V21" s="125"/>
      <c r="W21" s="133"/>
      <c r="X21" s="125"/>
    </row>
    <row r="22" spans="1:24" outlineLevel="1" x14ac:dyDescent="0.25">
      <c r="A22" s="120"/>
      <c r="B22" s="164" t="s">
        <v>238</v>
      </c>
      <c r="C22" s="165"/>
      <c r="D22" s="165" t="s">
        <v>110</v>
      </c>
      <c r="E22" s="118"/>
      <c r="F22" s="120" t="s">
        <v>170</v>
      </c>
      <c r="L22" s="121"/>
      <c r="M22" s="124" t="s">
        <v>249</v>
      </c>
      <c r="N22" s="18">
        <v>152</v>
      </c>
      <c r="O22" s="127" t="str">
        <f>HYPERLINK(CONCATENATE(Cartelle!$A$2,Cartelle!$B$2,Cartelle!$I$2,'PBS (TBD)'!M22,"#page=",'PBS (TBD)'!N22),"#")</f>
        <v>#</v>
      </c>
      <c r="P22" s="124" t="s">
        <v>246</v>
      </c>
      <c r="Q22" s="18">
        <v>84</v>
      </c>
      <c r="R22" s="128" t="str">
        <f>HYPERLINK(CONCATENATE(Cartelle!$A$2,Cartelle!$C$2,Cartelle!$I$2,'PBS (TBD)'!P22,"#page=",'PBS (TBD)'!Q22),"#")</f>
        <v>#</v>
      </c>
      <c r="T22" s="125"/>
      <c r="U22" s="133"/>
      <c r="V22" s="125"/>
      <c r="W22" s="133"/>
      <c r="X22" s="125"/>
    </row>
    <row r="23" spans="1:24" outlineLevel="1" x14ac:dyDescent="0.25">
      <c r="A23" s="120"/>
      <c r="B23" s="166" t="s">
        <v>109</v>
      </c>
      <c r="C23" s="167"/>
      <c r="D23" s="167" t="s">
        <v>111</v>
      </c>
      <c r="E23" s="167"/>
      <c r="F23" s="168"/>
      <c r="G23" s="169" t="s">
        <v>170</v>
      </c>
      <c r="L23" s="121"/>
      <c r="M23" s="124"/>
      <c r="P23" s="124" t="s">
        <v>246</v>
      </c>
      <c r="Q23" s="18">
        <v>32</v>
      </c>
      <c r="R23" s="128" t="str">
        <f>HYPERLINK(CONCATENATE(Cartelle!$A$2,Cartelle!$C$2,Cartelle!$I$2,'PBS (TBD)'!P23,"#page=",'PBS (TBD)'!Q23),"#")</f>
        <v>#</v>
      </c>
      <c r="T23" s="125"/>
      <c r="U23" s="133"/>
      <c r="V23" s="125"/>
      <c r="W23" s="133"/>
      <c r="X23" s="125"/>
    </row>
    <row r="24" spans="1:24" outlineLevel="1" x14ac:dyDescent="0.25">
      <c r="A24" s="120"/>
      <c r="B24" s="121" t="s">
        <v>241</v>
      </c>
      <c r="C24" s="118"/>
      <c r="D24" s="118" t="s">
        <v>239</v>
      </c>
      <c r="E24" s="118"/>
      <c r="F24" s="120" t="s">
        <v>170</v>
      </c>
      <c r="L24" s="121"/>
      <c r="M24" s="124" t="s">
        <v>249</v>
      </c>
      <c r="N24" s="18">
        <v>163</v>
      </c>
      <c r="O24" s="127" t="str">
        <f>HYPERLINK(CONCATENATE(Cartelle!$A$2,Cartelle!$B$2,Cartelle!$I$2,'PBS (TBD)'!M24,"#page=",'PBS (TBD)'!N24),"#")</f>
        <v>#</v>
      </c>
      <c r="P24" s="124" t="s">
        <v>246</v>
      </c>
      <c r="Q24" s="18">
        <v>32</v>
      </c>
      <c r="R24" s="128" t="str">
        <f>HYPERLINK(CONCATENATE(Cartelle!$A$2,Cartelle!$C$2,Cartelle!$I$2,'PBS (TBD)'!P24,"#page=",'PBS (TBD)'!Q24),"#")</f>
        <v>#</v>
      </c>
      <c r="T24" s="125"/>
      <c r="U24" s="133"/>
      <c r="V24" s="125"/>
      <c r="W24" s="133"/>
      <c r="X24" s="125"/>
    </row>
    <row r="25" spans="1:24" outlineLevel="1" x14ac:dyDescent="0.25">
      <c r="A25" s="120"/>
      <c r="B25" s="121" t="s">
        <v>242</v>
      </c>
      <c r="C25" s="118"/>
      <c r="D25" s="118" t="s">
        <v>240</v>
      </c>
      <c r="E25" s="118"/>
      <c r="F25" s="120"/>
      <c r="G25" s="18" t="s">
        <v>170</v>
      </c>
      <c r="L25" s="121"/>
      <c r="M25" s="124"/>
      <c r="P25" s="124" t="s">
        <v>246</v>
      </c>
      <c r="Q25" s="18">
        <v>32</v>
      </c>
      <c r="R25" s="128" t="str">
        <f>HYPERLINK(CONCATENATE(Cartelle!$A$2,Cartelle!$C$2,Cartelle!$I$2,'PBS (TBD)'!P25,"#page=",'PBS (TBD)'!Q25),"#")</f>
        <v>#</v>
      </c>
      <c r="T25" s="125"/>
      <c r="U25" s="133"/>
      <c r="V25" s="125"/>
      <c r="W25" s="133"/>
      <c r="X25" s="125"/>
    </row>
    <row r="26" spans="1:24" outlineLevel="1" x14ac:dyDescent="0.25">
      <c r="A26" s="120"/>
      <c r="B26" s="121" t="s">
        <v>256</v>
      </c>
      <c r="C26" s="118"/>
      <c r="D26" s="118" t="s">
        <v>257</v>
      </c>
      <c r="E26" s="118"/>
      <c r="F26" s="120" t="s">
        <v>170</v>
      </c>
      <c r="G26" s="18" t="s">
        <v>170</v>
      </c>
      <c r="L26" s="121"/>
      <c r="M26" s="124" t="s">
        <v>249</v>
      </c>
      <c r="N26" s="18">
        <v>169</v>
      </c>
      <c r="O26" s="127" t="str">
        <f>HYPERLINK(CONCATENATE(Cartelle!$A$2,Cartelle!$B$2,Cartelle!$I$2,'PBS (TBD)'!M26,"#page=",'PBS (TBD)'!N26),"#")</f>
        <v>#</v>
      </c>
      <c r="P26" s="124" t="s">
        <v>246</v>
      </c>
      <c r="Q26" s="18">
        <v>56</v>
      </c>
      <c r="R26" s="128" t="str">
        <f>HYPERLINK(CONCATENATE(Cartelle!$A$2,Cartelle!$C$2,Cartelle!$I$2,'PBS (TBD)'!P26,"#page=",'PBS (TBD)'!Q26),"#")</f>
        <v>#</v>
      </c>
      <c r="T26" s="125"/>
      <c r="U26" s="133"/>
      <c r="V26" s="125"/>
      <c r="W26" s="133"/>
      <c r="X26" s="125"/>
    </row>
    <row r="27" spans="1:24" outlineLevel="1" x14ac:dyDescent="0.25">
      <c r="A27" s="120"/>
      <c r="B27" s="121" t="s">
        <v>264</v>
      </c>
      <c r="C27" s="118"/>
      <c r="D27" s="118" t="s">
        <v>265</v>
      </c>
      <c r="E27" s="118"/>
      <c r="F27" s="120" t="s">
        <v>170</v>
      </c>
      <c r="G27" s="18" t="s">
        <v>170</v>
      </c>
      <c r="L27" s="121"/>
      <c r="M27" s="124" t="s">
        <v>266</v>
      </c>
      <c r="N27" s="18">
        <v>113</v>
      </c>
      <c r="O27" s="127" t="str">
        <f>HYPERLINK(CONCATENATE(Cartelle!$A$2,Cartelle!$B$2,Cartelle!$I$2,'PBS (TBD)'!M27,"#page=",'PBS (TBD)'!N27),"#")</f>
        <v>#</v>
      </c>
      <c r="P27" s="124" t="s">
        <v>246</v>
      </c>
      <c r="Q27" s="18">
        <v>58</v>
      </c>
      <c r="R27" s="128" t="str">
        <f>HYPERLINK(CONCATENATE(Cartelle!$A$2,Cartelle!$C$2,Cartelle!$I$2,'PBS (TBD)'!P27,"#page=",'PBS (TBD)'!Q27),"#")</f>
        <v>#</v>
      </c>
      <c r="T27" s="125"/>
      <c r="U27" s="133"/>
      <c r="V27" s="125"/>
      <c r="W27" s="133"/>
      <c r="X27" s="125"/>
    </row>
    <row r="28" spans="1:24" outlineLevel="1" x14ac:dyDescent="0.25">
      <c r="A28" s="120"/>
      <c r="B28" s="164" t="s">
        <v>231</v>
      </c>
      <c r="C28" s="165"/>
      <c r="D28" s="165" t="s">
        <v>122</v>
      </c>
      <c r="E28" s="118"/>
      <c r="F28" s="120" t="s">
        <v>170</v>
      </c>
      <c r="L28" s="121"/>
      <c r="M28" s="124" t="s">
        <v>249</v>
      </c>
      <c r="N28" s="18">
        <v>128</v>
      </c>
      <c r="O28" s="127" t="str">
        <f>HYPERLINK(CONCATENATE(Cartelle!$A$2,Cartelle!$B$2,Cartelle!$I$2,'PBS (TBD)'!M28,"#page=",'PBS (TBD)'!N28),"#")</f>
        <v>#</v>
      </c>
      <c r="P28" s="124" t="s">
        <v>246</v>
      </c>
      <c r="Q28" s="18">
        <v>28</v>
      </c>
      <c r="R28" s="128" t="str">
        <f>HYPERLINK(CONCATENATE(Cartelle!$A$2,Cartelle!$C$2,Cartelle!$I$2,'PBS (TBD)'!P28,"#page=",'PBS (TBD)'!Q28),"#")</f>
        <v>#</v>
      </c>
      <c r="T28" s="125"/>
      <c r="U28" s="133"/>
      <c r="V28" s="125"/>
      <c r="W28" s="133"/>
      <c r="X28" s="125"/>
    </row>
    <row r="29" spans="1:24" outlineLevel="1" x14ac:dyDescent="0.25">
      <c r="A29" s="120"/>
      <c r="B29" s="166" t="s">
        <v>231</v>
      </c>
      <c r="C29" s="167"/>
      <c r="D29" s="167" t="s">
        <v>123</v>
      </c>
      <c r="E29" s="167"/>
      <c r="F29" s="168"/>
      <c r="G29" s="169" t="s">
        <v>170</v>
      </c>
      <c r="L29" s="121"/>
      <c r="M29" s="124"/>
      <c r="P29" s="124" t="s">
        <v>246</v>
      </c>
      <c r="Q29" s="18">
        <v>28</v>
      </c>
      <c r="R29" s="128" t="str">
        <f>HYPERLINK(CONCATENATE(Cartelle!$A$2,Cartelle!$C$2,Cartelle!$I$2,'PBS (TBD)'!P29,"#page=",'PBS (TBD)'!Q29),"#")</f>
        <v>#</v>
      </c>
      <c r="T29" s="125"/>
      <c r="U29" s="133"/>
      <c r="V29" s="125"/>
      <c r="W29" s="133"/>
      <c r="X29" s="125"/>
    </row>
    <row r="30" spans="1:24" outlineLevel="1" x14ac:dyDescent="0.25">
      <c r="A30" s="120"/>
      <c r="B30" s="164" t="s">
        <v>232</v>
      </c>
      <c r="C30" s="165"/>
      <c r="D30" s="165" t="s">
        <v>119</v>
      </c>
      <c r="E30" s="118"/>
      <c r="F30" s="120" t="s">
        <v>170</v>
      </c>
      <c r="L30" s="121"/>
      <c r="M30" s="124" t="s">
        <v>249</v>
      </c>
      <c r="N30" s="18">
        <v>132</v>
      </c>
      <c r="O30" s="127" t="str">
        <f>HYPERLINK(CONCATENATE(Cartelle!$A$2,Cartelle!$B$2,Cartelle!$I$2,'PBS (TBD)'!M30,"#page=",'PBS (TBD)'!N30),"#")</f>
        <v>#</v>
      </c>
      <c r="P30" s="124" t="s">
        <v>246</v>
      </c>
      <c r="Q30" s="18">
        <v>32</v>
      </c>
      <c r="R30" s="128" t="str">
        <f>HYPERLINK(CONCATENATE(Cartelle!$A$2,Cartelle!$C$2,Cartelle!$I$2,'PBS (TBD)'!P30,"#page=",'PBS (TBD)'!Q30),"#")</f>
        <v>#</v>
      </c>
      <c r="T30" s="125"/>
      <c r="U30" s="133"/>
      <c r="V30" s="125"/>
      <c r="W30" s="133"/>
      <c r="X30" s="125"/>
    </row>
    <row r="31" spans="1:24" outlineLevel="1" x14ac:dyDescent="0.25">
      <c r="A31" s="120"/>
      <c r="B31" s="162" t="s">
        <v>232</v>
      </c>
      <c r="C31" s="163"/>
      <c r="D31" s="163" t="s">
        <v>120</v>
      </c>
      <c r="E31" s="118"/>
      <c r="F31" s="120"/>
      <c r="G31" s="18" t="s">
        <v>170</v>
      </c>
      <c r="L31" s="121"/>
      <c r="M31" s="124"/>
      <c r="P31" s="124" t="s">
        <v>246</v>
      </c>
      <c r="Q31" s="18">
        <v>32</v>
      </c>
      <c r="R31" s="128" t="str">
        <f>HYPERLINK(CONCATENATE(Cartelle!$A$2,Cartelle!$C$2,Cartelle!$I$2,'PBS (TBD)'!P31,"#page=",'PBS (TBD)'!Q31),"#")</f>
        <v>#</v>
      </c>
      <c r="T31" s="125"/>
      <c r="U31" s="133"/>
      <c r="V31" s="125"/>
      <c r="W31" s="133"/>
      <c r="X31" s="125"/>
    </row>
    <row r="32" spans="1:24" outlineLevel="1" x14ac:dyDescent="0.25">
      <c r="A32" s="120"/>
      <c r="B32" s="164" t="s">
        <v>248</v>
      </c>
      <c r="C32" s="165"/>
      <c r="D32" s="165" t="s">
        <v>125</v>
      </c>
      <c r="E32" s="118"/>
      <c r="F32" s="120" t="s">
        <v>170</v>
      </c>
      <c r="L32" s="121"/>
      <c r="M32" s="124" t="s">
        <v>249</v>
      </c>
      <c r="N32" s="18">
        <v>136</v>
      </c>
      <c r="O32" s="127" t="str">
        <f>HYPERLINK(CONCATENATE(Cartelle!$A$2,Cartelle!$B$2,Cartelle!$I$2,'PBS (TBD)'!M32,"#page=",'PBS (TBD)'!N32),"#")</f>
        <v>#</v>
      </c>
      <c r="P32" s="124" t="s">
        <v>246</v>
      </c>
      <c r="Q32" s="18">
        <v>28</v>
      </c>
      <c r="R32" s="128" t="str">
        <f>HYPERLINK(CONCATENATE(Cartelle!$A$2,Cartelle!$C$2,Cartelle!$I$2,'PBS (TBD)'!P32,"#page=",'PBS (TBD)'!Q32),"#")</f>
        <v>#</v>
      </c>
      <c r="T32" s="125"/>
      <c r="U32" s="133"/>
      <c r="V32" s="125"/>
      <c r="W32" s="133"/>
      <c r="X32" s="125"/>
    </row>
    <row r="33" spans="1:24" outlineLevel="1" x14ac:dyDescent="0.25">
      <c r="A33" s="120"/>
      <c r="B33" s="166" t="s">
        <v>248</v>
      </c>
      <c r="C33" s="167"/>
      <c r="D33" s="167" t="s">
        <v>247</v>
      </c>
      <c r="E33" s="167"/>
      <c r="F33" s="168"/>
      <c r="G33" s="169" t="s">
        <v>170</v>
      </c>
      <c r="L33" s="121"/>
      <c r="M33" s="124"/>
      <c r="P33" s="124" t="s">
        <v>246</v>
      </c>
      <c r="Q33" s="18">
        <v>28</v>
      </c>
      <c r="R33" s="128" t="str">
        <f>HYPERLINK(CONCATENATE(Cartelle!$A$2,Cartelle!$C$2,Cartelle!$I$2,'PBS (TBD)'!P33,"#page=",'PBS (TBD)'!Q33),"#")</f>
        <v>#</v>
      </c>
      <c r="T33" s="125"/>
      <c r="U33" s="133"/>
      <c r="V33" s="125"/>
      <c r="W33" s="133"/>
      <c r="X33" s="125"/>
    </row>
    <row r="34" spans="1:24" outlineLevel="1" x14ac:dyDescent="0.25">
      <c r="A34" s="120"/>
      <c r="B34" s="121" t="s">
        <v>253</v>
      </c>
      <c r="C34" s="118"/>
      <c r="D34" s="118" t="s">
        <v>254</v>
      </c>
      <c r="E34" s="118"/>
      <c r="F34" s="120" t="s">
        <v>170</v>
      </c>
      <c r="G34" s="18" t="s">
        <v>170</v>
      </c>
      <c r="L34" s="121"/>
      <c r="M34" s="124" t="s">
        <v>249</v>
      </c>
      <c r="N34" s="18">
        <v>137</v>
      </c>
      <c r="O34" s="127" t="str">
        <f>HYPERLINK(CONCATENATE(Cartelle!$A$2,Cartelle!$B$2,Cartelle!$I$2,'PBS (TBD)'!M34,"#page=",'PBS (TBD)'!N34),"#")</f>
        <v>#</v>
      </c>
      <c r="P34" s="124" t="s">
        <v>246</v>
      </c>
      <c r="Q34" s="18">
        <v>30</v>
      </c>
      <c r="R34" s="128" t="str">
        <f>HYPERLINK(CONCATENATE(Cartelle!$A$2,Cartelle!$C$2,Cartelle!$I$2,'PBS (TBD)'!P34,"#page=",'PBS (TBD)'!Q34),"#")</f>
        <v>#</v>
      </c>
      <c r="T34" s="125"/>
      <c r="U34" s="133"/>
      <c r="V34" s="125"/>
      <c r="W34" s="133"/>
      <c r="X34" s="125"/>
    </row>
    <row r="35" spans="1:24" outlineLevel="1" x14ac:dyDescent="0.25">
      <c r="A35" s="120"/>
      <c r="B35" s="121" t="s">
        <v>243</v>
      </c>
      <c r="C35" s="118"/>
      <c r="D35" s="118" t="s">
        <v>244</v>
      </c>
      <c r="E35" s="118"/>
      <c r="F35" s="120" t="s">
        <v>170</v>
      </c>
      <c r="L35" s="121"/>
      <c r="M35" s="124" t="s">
        <v>249</v>
      </c>
      <c r="N35" s="18">
        <v>168</v>
      </c>
      <c r="O35" s="127" t="str">
        <f>HYPERLINK(CONCATENATE(Cartelle!$A$2,Cartelle!$B$2,Cartelle!$I$2,'PBS (TBD)'!M35,"#page=",'PBS (TBD)'!N35),"#")</f>
        <v>#</v>
      </c>
      <c r="P35" s="124" t="s">
        <v>246</v>
      </c>
      <c r="Q35" s="18">
        <v>32</v>
      </c>
      <c r="R35" s="128" t="str">
        <f>HYPERLINK(CONCATENATE(Cartelle!$A$2,Cartelle!$C$2,Cartelle!$I$2,'PBS (TBD)'!P35,"#page=",'PBS (TBD)'!Q35),"#")</f>
        <v>#</v>
      </c>
      <c r="T35" s="125"/>
      <c r="U35" s="133"/>
      <c r="V35" s="125"/>
      <c r="W35" s="133"/>
      <c r="X35" s="125"/>
    </row>
    <row r="36" spans="1:24" outlineLevel="1" x14ac:dyDescent="0.25">
      <c r="A36" s="120"/>
      <c r="B36" s="121" t="s">
        <v>243</v>
      </c>
      <c r="C36" s="118"/>
      <c r="D36" s="118" t="s">
        <v>245</v>
      </c>
      <c r="E36" s="118"/>
      <c r="F36" s="120"/>
      <c r="G36" s="18" t="s">
        <v>170</v>
      </c>
      <c r="L36" s="121"/>
      <c r="M36" s="124"/>
      <c r="P36" s="124" t="s">
        <v>246</v>
      </c>
      <c r="Q36" s="18">
        <v>32</v>
      </c>
      <c r="R36" s="128" t="str">
        <f>HYPERLINK(CONCATENATE(Cartelle!$A$2,Cartelle!$C$2,Cartelle!$I$2,'PBS (TBD)'!P36,"#page=",'PBS (TBD)'!Q36),"#")</f>
        <v>#</v>
      </c>
      <c r="T36" s="125"/>
      <c r="U36" s="133"/>
      <c r="V36" s="125"/>
      <c r="W36" s="133"/>
      <c r="X36" s="125"/>
    </row>
    <row r="37" spans="1:24" outlineLevel="1" x14ac:dyDescent="0.25">
      <c r="A37" s="120"/>
      <c r="B37" s="164" t="s">
        <v>114</v>
      </c>
      <c r="C37" s="165"/>
      <c r="D37" s="165" t="s">
        <v>115</v>
      </c>
      <c r="E37" s="165"/>
      <c r="F37" s="170" t="s">
        <v>170</v>
      </c>
      <c r="G37" s="171" t="s">
        <v>170</v>
      </c>
      <c r="L37" s="121"/>
      <c r="M37" s="124"/>
      <c r="P37" s="124" t="s">
        <v>246</v>
      </c>
      <c r="Q37" s="18">
        <v>32</v>
      </c>
      <c r="R37" s="128" t="str">
        <f>HYPERLINK(CONCATENATE(Cartelle!$A$2,Cartelle!$C$2,Cartelle!$I$2,'PBS (TBD)'!P37,"#page=",'PBS (TBD)'!Q37),"#")</f>
        <v>#</v>
      </c>
      <c r="T37" s="125"/>
      <c r="U37" s="133"/>
      <c r="V37" s="125"/>
      <c r="W37" s="133"/>
      <c r="X37" s="125"/>
    </row>
    <row r="38" spans="1:24" outlineLevel="1" x14ac:dyDescent="0.25">
      <c r="A38" s="120"/>
      <c r="B38" s="121" t="s">
        <v>226</v>
      </c>
      <c r="C38" s="118"/>
      <c r="D38" s="118"/>
      <c r="E38" s="118"/>
      <c r="F38" s="120"/>
      <c r="L38" s="121"/>
      <c r="M38" s="124"/>
      <c r="P38" s="124"/>
      <c r="R38" s="121"/>
      <c r="T38" s="125"/>
      <c r="U38" s="133"/>
      <c r="V38" s="125"/>
      <c r="W38" s="133"/>
      <c r="X38" s="125"/>
    </row>
    <row r="39" spans="1:24" outlineLevel="1" x14ac:dyDescent="0.25">
      <c r="A39" s="120"/>
      <c r="B39" s="178" t="s">
        <v>529</v>
      </c>
      <c r="C39" s="179" t="s">
        <v>528</v>
      </c>
      <c r="D39" s="179" t="s">
        <v>270</v>
      </c>
      <c r="E39" s="179" t="s">
        <v>271</v>
      </c>
      <c r="F39" s="180" t="s">
        <v>170</v>
      </c>
      <c r="G39" s="181"/>
      <c r="L39" s="121"/>
      <c r="M39" s="124"/>
      <c r="P39" s="124"/>
      <c r="R39" s="121"/>
      <c r="T39" s="125"/>
      <c r="U39" s="133"/>
      <c r="V39" s="125"/>
      <c r="W39" s="133"/>
      <c r="X39" s="125"/>
    </row>
    <row r="40" spans="1:24" outlineLevel="1" x14ac:dyDescent="0.25">
      <c r="A40" s="120"/>
      <c r="B40" s="178" t="s">
        <v>269</v>
      </c>
      <c r="C40" s="179"/>
      <c r="D40" s="179" t="s">
        <v>270</v>
      </c>
      <c r="E40" s="179" t="s">
        <v>272</v>
      </c>
      <c r="F40" s="180"/>
      <c r="G40" s="181" t="s">
        <v>170</v>
      </c>
      <c r="L40" s="121"/>
      <c r="M40" s="124"/>
      <c r="P40" s="124"/>
      <c r="R40" s="121"/>
      <c r="T40" s="125"/>
      <c r="U40" s="133"/>
      <c r="V40" s="125"/>
      <c r="W40" s="133"/>
      <c r="X40" s="125"/>
    </row>
    <row r="41" spans="1:24" outlineLevel="1" x14ac:dyDescent="0.25">
      <c r="A41" s="120"/>
      <c r="B41" s="121" t="s">
        <v>226</v>
      </c>
      <c r="C41" s="118"/>
      <c r="D41" s="118"/>
      <c r="E41" s="118"/>
      <c r="F41" s="120"/>
      <c r="L41" s="121"/>
      <c r="M41" s="124"/>
      <c r="P41" s="124"/>
      <c r="R41" s="121"/>
      <c r="T41" s="125"/>
      <c r="U41" s="133"/>
      <c r="V41" s="125"/>
      <c r="W41" s="133"/>
      <c r="X41" s="125"/>
    </row>
    <row r="42" spans="1:24" outlineLevel="1" x14ac:dyDescent="0.25">
      <c r="A42" s="120"/>
      <c r="B42" s="121" t="s">
        <v>274</v>
      </c>
      <c r="C42" s="118"/>
      <c r="D42" s="118" t="s">
        <v>275</v>
      </c>
      <c r="E42" s="118"/>
      <c r="F42" s="120"/>
      <c r="H42" s="18" t="s">
        <v>170</v>
      </c>
      <c r="I42" s="18" t="s">
        <v>170</v>
      </c>
      <c r="L42" s="121"/>
      <c r="M42" s="124" t="s">
        <v>302</v>
      </c>
      <c r="N42" s="18">
        <v>94</v>
      </c>
      <c r="O42" s="127" t="str">
        <f>HYPERLINK(CONCATENATE(Cartelle!$A$2,Cartelle!$B$2,Cartelle!$K$2,'PBS (TBD)'!M42,"#page=",'PBS (TBD)'!N42),"#")</f>
        <v>#</v>
      </c>
      <c r="P42" s="124"/>
      <c r="Q42" s="173"/>
      <c r="R42" s="128"/>
      <c r="T42" s="125"/>
      <c r="U42" s="133"/>
      <c r="V42" s="125"/>
      <c r="W42" s="133"/>
      <c r="X42" s="125"/>
    </row>
    <row r="43" spans="1:24" outlineLevel="1" x14ac:dyDescent="0.25">
      <c r="A43" s="120"/>
      <c r="B43" s="121" t="s">
        <v>277</v>
      </c>
      <c r="C43" s="118"/>
      <c r="D43" s="118" t="s">
        <v>278</v>
      </c>
      <c r="E43" s="118"/>
      <c r="F43" s="120"/>
      <c r="H43" s="18" t="s">
        <v>170</v>
      </c>
      <c r="I43" s="18" t="s">
        <v>170</v>
      </c>
      <c r="L43" s="121"/>
      <c r="M43" s="124"/>
      <c r="P43" s="124"/>
      <c r="R43" s="121"/>
      <c r="T43" s="125"/>
      <c r="U43" s="133"/>
      <c r="V43" s="125"/>
      <c r="W43" s="133"/>
      <c r="X43" s="125"/>
    </row>
    <row r="44" spans="1:24" outlineLevel="1" x14ac:dyDescent="0.25">
      <c r="A44" s="120"/>
      <c r="B44" s="121" t="s">
        <v>303</v>
      </c>
      <c r="C44" s="118"/>
      <c r="D44" s="118" t="s">
        <v>295</v>
      </c>
      <c r="E44" s="118"/>
      <c r="F44" s="120"/>
      <c r="H44" s="18" t="s">
        <v>170</v>
      </c>
      <c r="I44" s="18" t="s">
        <v>170</v>
      </c>
      <c r="L44" s="121"/>
      <c r="M44" s="124"/>
      <c r="P44" s="124"/>
      <c r="R44" s="121"/>
      <c r="T44" s="125"/>
      <c r="U44" s="133"/>
      <c r="V44" s="125"/>
      <c r="W44" s="133"/>
      <c r="X44" s="125"/>
    </row>
    <row r="45" spans="1:24" outlineLevel="1" x14ac:dyDescent="0.25">
      <c r="A45" s="120"/>
      <c r="B45" s="121" t="s">
        <v>304</v>
      </c>
      <c r="C45" s="118"/>
      <c r="D45" s="118" t="s">
        <v>296</v>
      </c>
      <c r="E45" s="118"/>
      <c r="F45" s="120"/>
      <c r="H45" s="18" t="s">
        <v>170</v>
      </c>
      <c r="I45" s="18" t="s">
        <v>170</v>
      </c>
      <c r="L45" s="121"/>
      <c r="M45" s="124"/>
      <c r="P45" s="124"/>
      <c r="R45" s="121"/>
      <c r="T45" s="125"/>
      <c r="U45" s="133"/>
      <c r="V45" s="125"/>
      <c r="W45" s="133"/>
      <c r="X45" s="125"/>
    </row>
    <row r="46" spans="1:24" outlineLevel="1" x14ac:dyDescent="0.25">
      <c r="A46" s="120"/>
      <c r="B46" s="121" t="s">
        <v>280</v>
      </c>
      <c r="C46" s="118"/>
      <c r="D46" s="118" t="s">
        <v>279</v>
      </c>
      <c r="E46" s="118"/>
      <c r="F46" s="120"/>
      <c r="H46" s="18" t="s">
        <v>170</v>
      </c>
      <c r="I46" s="18" t="s">
        <v>170</v>
      </c>
      <c r="L46" s="121"/>
      <c r="M46" s="124"/>
      <c r="P46" s="124"/>
      <c r="R46" s="121"/>
      <c r="T46" s="125"/>
      <c r="U46" s="133"/>
      <c r="V46" s="125"/>
      <c r="W46" s="133"/>
      <c r="X46" s="125"/>
    </row>
    <row r="47" spans="1:24" outlineLevel="1" x14ac:dyDescent="0.25">
      <c r="A47" s="120"/>
      <c r="B47" s="121" t="s">
        <v>281</v>
      </c>
      <c r="C47" s="118"/>
      <c r="D47" s="118" t="s">
        <v>282</v>
      </c>
      <c r="E47" s="118"/>
      <c r="F47" s="120"/>
      <c r="H47" s="18" t="s">
        <v>170</v>
      </c>
      <c r="I47" s="18" t="s">
        <v>170</v>
      </c>
      <c r="L47" s="121"/>
      <c r="M47" s="124"/>
      <c r="P47" s="124"/>
      <c r="R47" s="121"/>
      <c r="T47" s="125"/>
      <c r="U47" s="133"/>
      <c r="V47" s="125"/>
      <c r="W47" s="133"/>
      <c r="X47" s="125"/>
    </row>
    <row r="48" spans="1:24" outlineLevel="1" x14ac:dyDescent="0.25">
      <c r="A48" s="120"/>
      <c r="B48" s="121" t="s">
        <v>283</v>
      </c>
      <c r="C48" s="118"/>
      <c r="D48" s="118" t="s">
        <v>284</v>
      </c>
      <c r="E48" s="118"/>
      <c r="F48" s="120"/>
      <c r="H48" s="18" t="s">
        <v>170</v>
      </c>
      <c r="I48" s="18" t="s">
        <v>170</v>
      </c>
      <c r="L48" s="121"/>
      <c r="M48" s="124"/>
      <c r="P48" s="124" t="s">
        <v>301</v>
      </c>
      <c r="Q48" s="18">
        <v>40</v>
      </c>
      <c r="R48" s="128" t="str">
        <f>HYPERLINK(CONCATENATE(Cartelle!$A$2,Cartelle!$C$2,Cartelle!$K$2,'PBS (TBD)'!P48,"#page=",'PBS (TBD)'!Q48),"#")</f>
        <v>#</v>
      </c>
      <c r="T48" s="125"/>
      <c r="U48" s="133"/>
      <c r="V48" s="125"/>
      <c r="W48" s="133"/>
      <c r="X48" s="125"/>
    </row>
    <row r="49" spans="1:24" outlineLevel="1" x14ac:dyDescent="0.25">
      <c r="A49" s="120"/>
      <c r="B49" s="121" t="s">
        <v>291</v>
      </c>
      <c r="C49" s="118"/>
      <c r="D49" s="118" t="s">
        <v>292</v>
      </c>
      <c r="E49" s="118"/>
      <c r="F49" s="120"/>
      <c r="H49" s="18" t="s">
        <v>170</v>
      </c>
      <c r="I49" s="18" t="s">
        <v>170</v>
      </c>
      <c r="L49" s="121"/>
      <c r="M49" s="124"/>
      <c r="P49" s="124"/>
      <c r="R49" s="121"/>
      <c r="T49" s="125"/>
      <c r="U49" s="133"/>
      <c r="V49" s="125"/>
      <c r="W49" s="133"/>
      <c r="X49" s="125"/>
    </row>
    <row r="50" spans="1:24" outlineLevel="1" x14ac:dyDescent="0.25">
      <c r="A50" s="120"/>
      <c r="B50" s="121" t="s">
        <v>293</v>
      </c>
      <c r="C50" s="118"/>
      <c r="D50" s="118" t="s">
        <v>294</v>
      </c>
      <c r="E50" s="118"/>
      <c r="F50" s="120"/>
      <c r="H50" s="18" t="s">
        <v>170</v>
      </c>
      <c r="I50" s="18" t="s">
        <v>170</v>
      </c>
      <c r="L50" s="121"/>
      <c r="M50" s="124"/>
      <c r="P50" s="124"/>
      <c r="R50" s="121"/>
      <c r="T50" s="125"/>
      <c r="U50" s="133"/>
      <c r="V50" s="125"/>
      <c r="W50" s="133"/>
      <c r="X50" s="125"/>
    </row>
    <row r="51" spans="1:24" outlineLevel="1" x14ac:dyDescent="0.25">
      <c r="A51" s="120"/>
      <c r="B51" s="121" t="s">
        <v>297</v>
      </c>
      <c r="C51" s="118"/>
      <c r="D51" s="118" t="s">
        <v>298</v>
      </c>
      <c r="E51" s="118"/>
      <c r="F51" s="120"/>
      <c r="H51" s="18" t="s">
        <v>170</v>
      </c>
      <c r="I51" s="18" t="s">
        <v>170</v>
      </c>
      <c r="L51" s="121"/>
      <c r="M51" s="124"/>
      <c r="P51" s="124"/>
      <c r="R51" s="121"/>
      <c r="T51" s="125"/>
      <c r="U51" s="133"/>
      <c r="V51" s="125"/>
      <c r="W51" s="133"/>
      <c r="X51" s="125"/>
    </row>
    <row r="52" spans="1:24" outlineLevel="1" x14ac:dyDescent="0.25">
      <c r="A52" s="120"/>
      <c r="B52" s="121" t="s">
        <v>286</v>
      </c>
      <c r="C52" s="118"/>
      <c r="D52" s="118" t="s">
        <v>285</v>
      </c>
      <c r="E52" s="118"/>
      <c r="F52" s="120"/>
      <c r="H52" s="18" t="s">
        <v>170</v>
      </c>
      <c r="I52" s="18" t="s">
        <v>170</v>
      </c>
      <c r="L52" s="121"/>
      <c r="M52" s="124"/>
      <c r="P52" s="124"/>
      <c r="R52" s="121"/>
      <c r="T52" s="125"/>
      <c r="U52" s="133"/>
      <c r="V52" s="125"/>
      <c r="W52" s="133"/>
      <c r="X52" s="125"/>
    </row>
    <row r="53" spans="1:24" outlineLevel="1" x14ac:dyDescent="0.25">
      <c r="A53" s="120"/>
      <c r="B53" s="121" t="s">
        <v>299</v>
      </c>
      <c r="C53" s="118"/>
      <c r="D53" s="118" t="s">
        <v>300</v>
      </c>
      <c r="E53" s="118"/>
      <c r="F53" s="120"/>
      <c r="H53" s="18" t="s">
        <v>170</v>
      </c>
      <c r="I53" s="18" t="s">
        <v>170</v>
      </c>
      <c r="L53" s="121"/>
      <c r="M53" s="124"/>
      <c r="P53" s="124"/>
      <c r="R53" s="121"/>
      <c r="T53" s="125"/>
      <c r="U53" s="133"/>
      <c r="V53" s="125"/>
      <c r="W53" s="133"/>
      <c r="X53" s="125"/>
    </row>
    <row r="54" spans="1:24" ht="30" outlineLevel="1" x14ac:dyDescent="0.25">
      <c r="A54" s="120"/>
      <c r="B54" s="121" t="s">
        <v>289</v>
      </c>
      <c r="C54" s="118"/>
      <c r="D54" s="118" t="s">
        <v>287</v>
      </c>
      <c r="E54" s="118"/>
      <c r="F54" s="120"/>
      <c r="H54" s="18" t="s">
        <v>170</v>
      </c>
      <c r="I54" s="18" t="s">
        <v>170</v>
      </c>
      <c r="L54" s="121"/>
      <c r="M54" s="124"/>
      <c r="P54" s="124"/>
      <c r="R54" s="121"/>
      <c r="T54" s="125"/>
      <c r="U54" s="133"/>
      <c r="V54" s="125"/>
      <c r="W54" s="133"/>
      <c r="X54" s="125"/>
    </row>
    <row r="55" spans="1:24" ht="30" outlineLevel="1" x14ac:dyDescent="0.25">
      <c r="A55" s="120"/>
      <c r="B55" s="121" t="s">
        <v>290</v>
      </c>
      <c r="C55" s="118"/>
      <c r="D55" s="118" t="s">
        <v>288</v>
      </c>
      <c r="E55" s="118"/>
      <c r="F55" s="120"/>
      <c r="H55" s="18" t="s">
        <v>170</v>
      </c>
      <c r="I55" s="18" t="s">
        <v>170</v>
      </c>
      <c r="L55" s="121"/>
      <c r="M55" s="124"/>
      <c r="P55" s="124"/>
      <c r="R55" s="121"/>
      <c r="T55" s="125"/>
      <c r="U55" s="133"/>
      <c r="V55" s="125"/>
      <c r="W55" s="133"/>
      <c r="X55" s="125"/>
    </row>
    <row r="56" spans="1:24" outlineLevel="1" x14ac:dyDescent="0.25">
      <c r="A56" s="120"/>
      <c r="B56" s="121" t="s">
        <v>114</v>
      </c>
      <c r="C56" s="118"/>
      <c r="D56" s="118" t="s">
        <v>276</v>
      </c>
      <c r="E56" s="118"/>
      <c r="F56" s="120"/>
      <c r="H56" s="18" t="s">
        <v>170</v>
      </c>
      <c r="I56" s="18" t="s">
        <v>170</v>
      </c>
      <c r="L56" s="121"/>
      <c r="M56" s="124" t="s">
        <v>302</v>
      </c>
      <c r="N56" s="18">
        <v>98</v>
      </c>
      <c r="O56" s="127" t="str">
        <f>HYPERLINK(CONCATENATE(Cartelle!$A$2,Cartelle!$B$2,Cartelle!$K$2,'PBS (TBD)'!M56,"#page=",'PBS (TBD)'!N56),"#")</f>
        <v>#</v>
      </c>
      <c r="P56" s="124"/>
      <c r="R56" s="121"/>
      <c r="T56" s="125"/>
      <c r="U56" s="133"/>
      <c r="V56" s="125"/>
      <c r="W56" s="133"/>
      <c r="X56" s="125"/>
    </row>
    <row r="57" spans="1:24" outlineLevel="1" x14ac:dyDescent="0.25">
      <c r="A57" s="120"/>
      <c r="B57" s="121" t="s">
        <v>226</v>
      </c>
      <c r="C57" s="118"/>
      <c r="D57" s="118"/>
      <c r="E57" s="118"/>
      <c r="F57" s="120"/>
      <c r="L57" s="121"/>
      <c r="M57" s="124"/>
      <c r="P57" s="124"/>
      <c r="R57" s="121"/>
      <c r="T57" s="125"/>
      <c r="U57" s="133"/>
      <c r="V57" s="125"/>
      <c r="W57" s="133"/>
      <c r="X57" s="125"/>
    </row>
    <row r="58" spans="1:24" outlineLevel="1" x14ac:dyDescent="0.25">
      <c r="A58" s="120"/>
      <c r="B58" s="121" t="s">
        <v>226</v>
      </c>
      <c r="C58" s="118"/>
      <c r="D58" s="118"/>
      <c r="E58" s="118"/>
      <c r="F58" s="120"/>
      <c r="L58" s="121"/>
      <c r="M58" s="124"/>
      <c r="P58" s="124"/>
      <c r="R58" s="121"/>
      <c r="T58" s="125"/>
      <c r="U58" s="133"/>
      <c r="V58" s="125"/>
      <c r="W58" s="133"/>
      <c r="X58" s="125"/>
    </row>
    <row r="59" spans="1:24" ht="45" x14ac:dyDescent="0.25">
      <c r="A59" s="189" t="s">
        <v>477</v>
      </c>
      <c r="B59" s="190"/>
      <c r="C59" s="191"/>
      <c r="D59" s="191"/>
      <c r="E59" s="191"/>
      <c r="F59" s="189"/>
      <c r="G59" s="192"/>
      <c r="H59" s="192"/>
      <c r="I59" s="192"/>
      <c r="J59" s="192"/>
      <c r="K59" s="192"/>
      <c r="L59" s="190"/>
      <c r="M59" s="193"/>
      <c r="N59" s="192"/>
      <c r="O59" s="198"/>
      <c r="P59" s="193"/>
      <c r="Q59" s="192"/>
      <c r="R59" s="199"/>
      <c r="S59" s="197"/>
      <c r="T59" s="195"/>
      <c r="U59" s="196"/>
      <c r="V59" s="195"/>
      <c r="W59" s="196"/>
      <c r="X59" s="195"/>
    </row>
    <row r="60" spans="1:24" outlineLevel="1" x14ac:dyDescent="0.25">
      <c r="A60" s="146"/>
      <c r="B60" s="147" t="s">
        <v>455</v>
      </c>
      <c r="C60" s="148"/>
      <c r="D60" s="148"/>
      <c r="E60" s="148"/>
      <c r="F60" s="146" t="s">
        <v>170</v>
      </c>
      <c r="G60" s="149" t="s">
        <v>170</v>
      </c>
      <c r="H60" s="149" t="s">
        <v>170</v>
      </c>
      <c r="I60" s="149" t="s">
        <v>170</v>
      </c>
      <c r="J60" s="149"/>
      <c r="K60" s="149"/>
      <c r="L60" s="147"/>
      <c r="M60" s="150"/>
      <c r="N60" s="149"/>
      <c r="O60" s="149"/>
      <c r="P60" s="150"/>
      <c r="Q60" s="149"/>
      <c r="R60" s="187"/>
      <c r="S60" s="161"/>
      <c r="T60" s="151"/>
      <c r="U60" s="152"/>
      <c r="V60" s="151"/>
      <c r="W60" s="152"/>
      <c r="X60" s="151"/>
    </row>
    <row r="61" spans="1:24" ht="30" outlineLevel="2" x14ac:dyDescent="0.25">
      <c r="A61" s="120"/>
      <c r="B61" s="121" t="s">
        <v>459</v>
      </c>
      <c r="C61" s="118"/>
      <c r="D61" s="118" t="s">
        <v>460</v>
      </c>
      <c r="E61" s="118"/>
      <c r="F61" s="120" t="s">
        <v>170</v>
      </c>
      <c r="G61" s="18" t="s">
        <v>170</v>
      </c>
      <c r="L61" s="121"/>
      <c r="M61" s="124"/>
      <c r="O61" s="127"/>
      <c r="P61" s="124"/>
      <c r="R61" s="121"/>
      <c r="T61" s="125"/>
      <c r="U61" s="133"/>
      <c r="V61" s="125"/>
      <c r="W61" s="133"/>
      <c r="X61" s="125"/>
    </row>
    <row r="62" spans="1:24" outlineLevel="2" x14ac:dyDescent="0.25">
      <c r="A62" s="120"/>
      <c r="B62" s="166" t="s">
        <v>458</v>
      </c>
      <c r="C62" s="167"/>
      <c r="D62" s="167" t="s">
        <v>479</v>
      </c>
      <c r="E62" s="167"/>
      <c r="F62" s="168"/>
      <c r="G62" s="169"/>
      <c r="H62" s="169" t="s">
        <v>170</v>
      </c>
      <c r="I62" s="169" t="s">
        <v>170</v>
      </c>
      <c r="L62" s="121"/>
      <c r="M62" s="124"/>
      <c r="O62" s="127"/>
      <c r="P62" s="124"/>
      <c r="R62" s="121"/>
      <c r="T62" s="125"/>
      <c r="U62" s="133"/>
      <c r="V62" s="125"/>
      <c r="W62" s="133"/>
      <c r="X62" s="125"/>
    </row>
    <row r="63" spans="1:24" outlineLevel="3" x14ac:dyDescent="0.25">
      <c r="A63" s="120"/>
      <c r="B63" s="121" t="s">
        <v>490</v>
      </c>
      <c r="C63" s="118"/>
      <c r="D63" s="118" t="s">
        <v>469</v>
      </c>
      <c r="E63" s="154"/>
      <c r="F63" s="120" t="s">
        <v>170</v>
      </c>
      <c r="G63" s="18" t="s">
        <v>170</v>
      </c>
      <c r="L63" s="121"/>
      <c r="M63" s="124"/>
      <c r="O63" s="127"/>
      <c r="P63" s="124"/>
      <c r="R63" s="121"/>
      <c r="T63" s="125"/>
      <c r="U63" s="133"/>
      <c r="V63" s="125"/>
      <c r="W63" s="133"/>
      <c r="X63" s="125"/>
    </row>
    <row r="64" spans="1:24" outlineLevel="2" x14ac:dyDescent="0.25">
      <c r="A64" s="120"/>
      <c r="B64" s="166" t="s">
        <v>488</v>
      </c>
      <c r="C64" s="167"/>
      <c r="D64" s="167" t="s">
        <v>480</v>
      </c>
      <c r="E64" s="167"/>
      <c r="F64" s="168"/>
      <c r="G64" s="169"/>
      <c r="H64" s="169" t="s">
        <v>170</v>
      </c>
      <c r="I64" s="169" t="s">
        <v>170</v>
      </c>
      <c r="L64" s="121"/>
      <c r="M64" s="124"/>
      <c r="P64" s="124"/>
      <c r="R64" s="121"/>
      <c r="T64" s="125"/>
      <c r="U64" s="133"/>
      <c r="V64" s="125"/>
      <c r="W64" s="133"/>
      <c r="X64" s="125"/>
    </row>
    <row r="65" spans="1:24" outlineLevel="3" x14ac:dyDescent="0.25">
      <c r="A65" s="120"/>
      <c r="B65" s="121" t="s">
        <v>473</v>
      </c>
      <c r="C65" s="118"/>
      <c r="D65" s="118" t="s">
        <v>474</v>
      </c>
      <c r="E65" s="154"/>
      <c r="F65" s="120" t="s">
        <v>170</v>
      </c>
      <c r="G65" s="18" t="s">
        <v>170</v>
      </c>
      <c r="L65" s="121"/>
      <c r="M65" s="124"/>
      <c r="O65" s="127"/>
      <c r="P65" s="124"/>
      <c r="R65" s="121"/>
      <c r="T65" s="125"/>
      <c r="U65" s="133"/>
      <c r="V65" s="125"/>
      <c r="W65" s="133"/>
      <c r="X65" s="125"/>
    </row>
    <row r="66" spans="1:24" outlineLevel="2" x14ac:dyDescent="0.25">
      <c r="A66" s="120"/>
      <c r="B66" s="166" t="s">
        <v>473</v>
      </c>
      <c r="C66" s="167"/>
      <c r="D66" s="167" t="s">
        <v>481</v>
      </c>
      <c r="E66" s="167"/>
      <c r="F66" s="168"/>
      <c r="G66" s="169"/>
      <c r="H66" s="169" t="s">
        <v>170</v>
      </c>
      <c r="I66" s="169" t="s">
        <v>170</v>
      </c>
      <c r="L66" s="121"/>
      <c r="M66" s="124"/>
      <c r="P66" s="124"/>
      <c r="R66" s="121"/>
      <c r="T66" s="125"/>
      <c r="U66" s="133"/>
      <c r="V66" s="125"/>
      <c r="W66" s="133"/>
      <c r="X66" s="125"/>
    </row>
    <row r="67" spans="1:24" outlineLevel="1" x14ac:dyDescent="0.25">
      <c r="A67" s="146"/>
      <c r="B67" s="147" t="s">
        <v>456</v>
      </c>
      <c r="C67" s="148"/>
      <c r="D67" s="148"/>
      <c r="E67" s="188"/>
      <c r="F67" s="146" t="s">
        <v>170</v>
      </c>
      <c r="G67" s="149" t="s">
        <v>170</v>
      </c>
      <c r="H67" s="149" t="s">
        <v>170</v>
      </c>
      <c r="I67" s="149" t="s">
        <v>170</v>
      </c>
      <c r="J67" s="149"/>
      <c r="K67" s="149"/>
      <c r="L67" s="147"/>
      <c r="M67" s="150"/>
      <c r="N67" s="149"/>
      <c r="O67" s="149"/>
      <c r="P67" s="150"/>
      <c r="Q67" s="149"/>
      <c r="R67" s="147"/>
      <c r="S67" s="161"/>
      <c r="T67" s="151"/>
      <c r="U67" s="152"/>
      <c r="V67" s="151"/>
      <c r="W67" s="152"/>
      <c r="X67" s="151"/>
    </row>
    <row r="68" spans="1:24" outlineLevel="2" x14ac:dyDescent="0.25">
      <c r="A68" s="120"/>
      <c r="B68" s="121" t="s">
        <v>464</v>
      </c>
      <c r="C68" s="118"/>
      <c r="D68" s="118" t="s">
        <v>462</v>
      </c>
      <c r="E68" s="154"/>
      <c r="F68" s="120" t="s">
        <v>170</v>
      </c>
      <c r="G68" s="18" t="s">
        <v>170</v>
      </c>
      <c r="L68" s="121"/>
      <c r="M68" s="124"/>
      <c r="P68" s="124"/>
      <c r="R68" s="121"/>
      <c r="T68" s="125"/>
      <c r="U68" s="133"/>
      <c r="V68" s="125"/>
      <c r="W68" s="133"/>
      <c r="X68" s="125"/>
    </row>
    <row r="69" spans="1:24" outlineLevel="2" x14ac:dyDescent="0.25">
      <c r="A69" s="120"/>
      <c r="B69" s="166" t="s">
        <v>461</v>
      </c>
      <c r="C69" s="167"/>
      <c r="D69" s="167" t="s">
        <v>482</v>
      </c>
      <c r="E69" s="167"/>
      <c r="F69" s="168"/>
      <c r="G69" s="169"/>
      <c r="H69" s="169" t="s">
        <v>170</v>
      </c>
      <c r="I69" s="169" t="s">
        <v>170</v>
      </c>
      <c r="L69" s="121"/>
      <c r="M69" s="124"/>
      <c r="P69" s="124"/>
      <c r="R69" s="121"/>
      <c r="T69" s="125"/>
      <c r="U69" s="133"/>
      <c r="V69" s="125"/>
      <c r="W69" s="133"/>
      <c r="X69" s="125"/>
    </row>
    <row r="70" spans="1:24" outlineLevel="3" x14ac:dyDescent="0.25">
      <c r="A70" s="120"/>
      <c r="B70" s="121" t="s">
        <v>490</v>
      </c>
      <c r="C70" s="118"/>
      <c r="D70" s="118" t="s">
        <v>469</v>
      </c>
      <c r="E70" s="154"/>
      <c r="F70" s="120" t="s">
        <v>170</v>
      </c>
      <c r="G70" s="18" t="s">
        <v>170</v>
      </c>
      <c r="L70" s="121"/>
      <c r="M70" s="124"/>
      <c r="O70" s="127"/>
      <c r="P70" s="124"/>
      <c r="R70" s="121"/>
      <c r="T70" s="125"/>
      <c r="U70" s="133"/>
      <c r="V70" s="125"/>
      <c r="W70" s="133"/>
      <c r="X70" s="125"/>
    </row>
    <row r="71" spans="1:24" outlineLevel="2" x14ac:dyDescent="0.25">
      <c r="A71" s="120"/>
      <c r="B71" s="157" t="s">
        <v>470</v>
      </c>
      <c r="C71" s="154"/>
      <c r="D71" s="154" t="s">
        <v>485</v>
      </c>
      <c r="E71" s="154" t="s">
        <v>489</v>
      </c>
      <c r="F71" s="153"/>
      <c r="G71" s="172"/>
      <c r="H71" s="172" t="s">
        <v>170</v>
      </c>
      <c r="I71" s="172" t="s">
        <v>170</v>
      </c>
      <c r="L71" s="121"/>
      <c r="M71" s="124"/>
      <c r="P71" s="124"/>
      <c r="R71" s="121"/>
      <c r="T71" s="125"/>
      <c r="U71" s="133"/>
      <c r="V71" s="125"/>
      <c r="W71" s="133"/>
      <c r="X71" s="125"/>
    </row>
    <row r="72" spans="1:24" outlineLevel="3" x14ac:dyDescent="0.25">
      <c r="A72" s="120"/>
      <c r="B72" s="121" t="s">
        <v>473</v>
      </c>
      <c r="C72" s="118"/>
      <c r="D72" s="118" t="s">
        <v>475</v>
      </c>
      <c r="E72" s="154"/>
      <c r="F72" s="120" t="s">
        <v>170</v>
      </c>
      <c r="G72" s="18" t="s">
        <v>170</v>
      </c>
      <c r="L72" s="121"/>
      <c r="M72" s="124"/>
      <c r="O72" s="127"/>
      <c r="P72" s="124"/>
      <c r="R72" s="121"/>
      <c r="T72" s="125"/>
      <c r="U72" s="133"/>
      <c r="V72" s="125"/>
      <c r="W72" s="133"/>
      <c r="X72" s="125"/>
    </row>
    <row r="73" spans="1:24" outlineLevel="2" x14ac:dyDescent="0.25">
      <c r="A73" s="120"/>
      <c r="B73" s="166" t="s">
        <v>473</v>
      </c>
      <c r="C73" s="167"/>
      <c r="D73" s="167" t="s">
        <v>484</v>
      </c>
      <c r="E73" s="167"/>
      <c r="F73" s="168"/>
      <c r="G73" s="169"/>
      <c r="H73" s="169" t="s">
        <v>170</v>
      </c>
      <c r="I73" s="169" t="s">
        <v>170</v>
      </c>
      <c r="L73" s="121"/>
      <c r="M73" s="124"/>
      <c r="P73" s="124"/>
      <c r="R73" s="121"/>
      <c r="T73" s="125"/>
      <c r="U73" s="133"/>
      <c r="V73" s="125"/>
      <c r="W73" s="133"/>
      <c r="X73" s="125"/>
    </row>
    <row r="74" spans="1:24" outlineLevel="1" x14ac:dyDescent="0.25">
      <c r="A74" s="146"/>
      <c r="B74" s="147" t="s">
        <v>457</v>
      </c>
      <c r="C74" s="148"/>
      <c r="D74" s="148"/>
      <c r="E74" s="188"/>
      <c r="F74" s="146" t="s">
        <v>170</v>
      </c>
      <c r="G74" s="149" t="s">
        <v>170</v>
      </c>
      <c r="H74" s="149" t="s">
        <v>170</v>
      </c>
      <c r="I74" s="149" t="s">
        <v>170</v>
      </c>
      <c r="J74" s="149"/>
      <c r="K74" s="149"/>
      <c r="L74" s="147"/>
      <c r="M74" s="150"/>
      <c r="N74" s="149"/>
      <c r="O74" s="149"/>
      <c r="P74" s="150"/>
      <c r="Q74" s="149"/>
      <c r="R74" s="147"/>
      <c r="S74" s="161"/>
      <c r="T74" s="151"/>
      <c r="U74" s="152"/>
      <c r="V74" s="151"/>
      <c r="W74" s="152"/>
      <c r="X74" s="151"/>
    </row>
    <row r="75" spans="1:24" outlineLevel="2" x14ac:dyDescent="0.25">
      <c r="A75" s="120"/>
      <c r="B75" s="121" t="s">
        <v>468</v>
      </c>
      <c r="C75" s="118"/>
      <c r="D75" s="118" t="s">
        <v>467</v>
      </c>
      <c r="E75" s="154"/>
      <c r="F75" s="120" t="s">
        <v>170</v>
      </c>
      <c r="G75" s="18" t="s">
        <v>170</v>
      </c>
      <c r="L75" s="121"/>
      <c r="M75" s="124"/>
      <c r="P75" s="124"/>
      <c r="R75" s="121"/>
      <c r="T75" s="125"/>
      <c r="U75" s="133"/>
      <c r="V75" s="125"/>
      <c r="W75" s="133"/>
      <c r="X75" s="125"/>
    </row>
    <row r="76" spans="1:24" outlineLevel="2" x14ac:dyDescent="0.25">
      <c r="A76" s="120"/>
      <c r="B76" s="166" t="s">
        <v>483</v>
      </c>
      <c r="C76" s="167"/>
      <c r="D76" s="167" t="s">
        <v>486</v>
      </c>
      <c r="E76" s="167"/>
      <c r="F76" s="168"/>
      <c r="G76" s="169"/>
      <c r="H76" s="169" t="s">
        <v>170</v>
      </c>
      <c r="I76" s="169" t="s">
        <v>170</v>
      </c>
      <c r="L76" s="121"/>
      <c r="M76" s="124"/>
      <c r="P76" s="124"/>
      <c r="R76" s="121"/>
      <c r="T76" s="125"/>
      <c r="U76" s="133"/>
      <c r="V76" s="125"/>
      <c r="W76" s="133"/>
      <c r="X76" s="125"/>
    </row>
    <row r="77" spans="1:24" outlineLevel="3" x14ac:dyDescent="0.25">
      <c r="A77" s="120"/>
      <c r="B77" s="121" t="s">
        <v>490</v>
      </c>
      <c r="C77" s="118"/>
      <c r="D77" s="118" t="s">
        <v>469</v>
      </c>
      <c r="E77" s="154"/>
      <c r="F77" s="120" t="s">
        <v>170</v>
      </c>
      <c r="G77" s="18" t="s">
        <v>170</v>
      </c>
      <c r="L77" s="121"/>
      <c r="M77" s="124"/>
      <c r="O77" s="127"/>
      <c r="P77" s="124"/>
      <c r="R77" s="121"/>
      <c r="T77" s="125"/>
      <c r="U77" s="133"/>
      <c r="V77" s="125"/>
      <c r="W77" s="133"/>
      <c r="X77" s="125"/>
    </row>
    <row r="78" spans="1:24" outlineLevel="2" x14ac:dyDescent="0.25">
      <c r="A78" s="120"/>
      <c r="B78" s="166" t="s">
        <v>488</v>
      </c>
      <c r="C78" s="167"/>
      <c r="D78" s="167" t="s">
        <v>487</v>
      </c>
      <c r="E78" s="167"/>
      <c r="F78" s="168"/>
      <c r="G78" s="169"/>
      <c r="H78" s="169" t="s">
        <v>170</v>
      </c>
      <c r="I78" s="169" t="s">
        <v>170</v>
      </c>
      <c r="L78" s="121"/>
      <c r="M78" s="124"/>
      <c r="P78" s="124"/>
      <c r="R78" s="121"/>
      <c r="T78" s="125"/>
      <c r="U78" s="133"/>
      <c r="V78" s="125"/>
      <c r="W78" s="133"/>
      <c r="X78" s="125"/>
    </row>
    <row r="79" spans="1:24" outlineLevel="3" x14ac:dyDescent="0.25">
      <c r="A79" s="120"/>
      <c r="B79" s="121" t="s">
        <v>473</v>
      </c>
      <c r="C79" s="118"/>
      <c r="D79" s="118" t="s">
        <v>474</v>
      </c>
      <c r="E79" s="154"/>
      <c r="F79" s="120" t="s">
        <v>170</v>
      </c>
      <c r="G79" s="18" t="s">
        <v>170</v>
      </c>
      <c r="L79" s="121"/>
      <c r="M79" s="124"/>
      <c r="O79" s="127"/>
      <c r="P79" s="124"/>
      <c r="R79" s="121"/>
      <c r="T79" s="125"/>
      <c r="U79" s="133"/>
      <c r="V79" s="125"/>
      <c r="W79" s="133"/>
      <c r="X79" s="125"/>
    </row>
    <row r="80" spans="1:24" outlineLevel="2" x14ac:dyDescent="0.25">
      <c r="A80" s="120"/>
      <c r="B80" s="166" t="s">
        <v>473</v>
      </c>
      <c r="C80" s="167"/>
      <c r="D80" s="167" t="s">
        <v>481</v>
      </c>
      <c r="E80" s="167"/>
      <c r="F80" s="168"/>
      <c r="G80" s="169"/>
      <c r="H80" s="169" t="s">
        <v>170</v>
      </c>
      <c r="I80" s="169" t="s">
        <v>170</v>
      </c>
      <c r="L80" s="121"/>
      <c r="M80" s="124"/>
      <c r="P80" s="124"/>
      <c r="R80" s="121"/>
      <c r="T80" s="125"/>
      <c r="U80" s="133"/>
      <c r="V80" s="125"/>
      <c r="W80" s="133"/>
      <c r="X80" s="125"/>
    </row>
    <row r="81" spans="1:24" outlineLevel="1" x14ac:dyDescent="0.25">
      <c r="A81" s="146"/>
      <c r="B81" s="147" t="s">
        <v>463</v>
      </c>
      <c r="C81" s="148"/>
      <c r="D81" s="148"/>
      <c r="E81" s="148"/>
      <c r="F81" s="146" t="s">
        <v>170</v>
      </c>
      <c r="G81" s="149" t="s">
        <v>170</v>
      </c>
      <c r="H81" s="149" t="s">
        <v>170</v>
      </c>
      <c r="I81" s="149" t="s">
        <v>170</v>
      </c>
      <c r="J81" s="149"/>
      <c r="K81" s="149"/>
      <c r="L81" s="147"/>
      <c r="M81" s="150"/>
      <c r="N81" s="149"/>
      <c r="O81" s="149"/>
      <c r="P81" s="150"/>
      <c r="Q81" s="149"/>
      <c r="R81" s="147"/>
      <c r="S81" s="161"/>
      <c r="T81" s="151"/>
      <c r="U81" s="152"/>
      <c r="V81" s="151"/>
      <c r="W81" s="152"/>
      <c r="X81" s="151"/>
    </row>
    <row r="82" spans="1:24" outlineLevel="2" x14ac:dyDescent="0.25">
      <c r="A82" s="120"/>
      <c r="B82" s="121" t="s">
        <v>465</v>
      </c>
      <c r="C82" s="118"/>
      <c r="D82" s="118" t="s">
        <v>466</v>
      </c>
      <c r="E82" s="118"/>
      <c r="F82" s="120" t="s">
        <v>170</v>
      </c>
      <c r="G82" s="18" t="s">
        <v>170</v>
      </c>
      <c r="H82" s="18" t="s">
        <v>170</v>
      </c>
      <c r="I82" s="18" t="s">
        <v>170</v>
      </c>
      <c r="L82" s="121"/>
      <c r="M82" s="124"/>
      <c r="P82" s="124"/>
      <c r="R82" s="121"/>
      <c r="T82" s="125"/>
      <c r="U82" s="133"/>
      <c r="V82" s="125"/>
      <c r="W82" s="133"/>
      <c r="X82" s="125"/>
    </row>
    <row r="83" spans="1:24" outlineLevel="1" x14ac:dyDescent="0.25">
      <c r="A83" s="146"/>
      <c r="B83" s="147" t="s">
        <v>471</v>
      </c>
      <c r="C83" s="148"/>
      <c r="D83" s="148"/>
      <c r="E83" s="148"/>
      <c r="F83" s="146" t="s">
        <v>170</v>
      </c>
      <c r="G83" s="149" t="s">
        <v>170</v>
      </c>
      <c r="H83" s="149" t="s">
        <v>170</v>
      </c>
      <c r="I83" s="149" t="s">
        <v>170</v>
      </c>
      <c r="J83" s="149"/>
      <c r="K83" s="149"/>
      <c r="L83" s="147"/>
      <c r="M83" s="150"/>
      <c r="N83" s="149"/>
      <c r="O83" s="149"/>
      <c r="P83" s="150"/>
      <c r="Q83" s="149"/>
      <c r="R83" s="147"/>
      <c r="S83" s="161"/>
      <c r="T83" s="151"/>
      <c r="U83" s="152"/>
      <c r="V83" s="151"/>
      <c r="W83" s="152"/>
      <c r="X83" s="151"/>
    </row>
    <row r="84" spans="1:24" outlineLevel="2" x14ac:dyDescent="0.25">
      <c r="A84" s="120"/>
      <c r="B84" s="121" t="s">
        <v>472</v>
      </c>
      <c r="C84" s="118"/>
      <c r="D84" s="118" t="s">
        <v>476</v>
      </c>
      <c r="E84" s="118"/>
      <c r="F84" s="120" t="s">
        <v>170</v>
      </c>
      <c r="G84" s="18" t="s">
        <v>170</v>
      </c>
      <c r="L84" s="121"/>
      <c r="M84" s="124"/>
      <c r="P84" s="124"/>
      <c r="R84" s="121"/>
      <c r="T84" s="125"/>
      <c r="U84" s="133"/>
      <c r="V84" s="125"/>
      <c r="W84" s="133"/>
      <c r="X84" s="125"/>
    </row>
    <row r="85" spans="1:24" outlineLevel="2" x14ac:dyDescent="0.25">
      <c r="A85" s="120"/>
      <c r="B85" s="166" t="s">
        <v>472</v>
      </c>
      <c r="C85" s="167"/>
      <c r="D85" s="167" t="s">
        <v>491</v>
      </c>
      <c r="E85" s="167"/>
      <c r="F85" s="168"/>
      <c r="G85" s="169"/>
      <c r="H85" s="169" t="s">
        <v>170</v>
      </c>
      <c r="I85" s="169" t="s">
        <v>170</v>
      </c>
      <c r="L85" s="121"/>
      <c r="M85" s="124"/>
      <c r="P85" s="124"/>
      <c r="R85" s="121"/>
      <c r="T85" s="125"/>
      <c r="U85" s="133"/>
      <c r="V85" s="125"/>
      <c r="W85" s="133"/>
      <c r="X85" s="125"/>
    </row>
    <row r="86" spans="1:24" outlineLevel="3" x14ac:dyDescent="0.25">
      <c r="A86" s="120"/>
      <c r="B86" s="121" t="s">
        <v>490</v>
      </c>
      <c r="C86" s="118"/>
      <c r="D86" s="118" t="s">
        <v>469</v>
      </c>
      <c r="E86" s="154"/>
      <c r="F86" s="120" t="s">
        <v>170</v>
      </c>
      <c r="G86" s="18" t="s">
        <v>170</v>
      </c>
      <c r="L86" s="121"/>
      <c r="M86" s="124"/>
      <c r="P86" s="124"/>
      <c r="R86" s="121"/>
      <c r="T86" s="125"/>
      <c r="U86" s="133"/>
      <c r="V86" s="125"/>
      <c r="W86" s="133"/>
      <c r="X86" s="125"/>
    </row>
    <row r="87" spans="1:24" outlineLevel="2" x14ac:dyDescent="0.25">
      <c r="A87" s="120"/>
      <c r="B87" s="157" t="s">
        <v>490</v>
      </c>
      <c r="C87" s="154"/>
      <c r="D87" s="154" t="s">
        <v>493</v>
      </c>
      <c r="E87" s="154" t="s">
        <v>492</v>
      </c>
      <c r="F87" s="153"/>
      <c r="G87" s="172"/>
      <c r="H87" s="172" t="s">
        <v>170</v>
      </c>
      <c r="I87" s="172" t="s">
        <v>170</v>
      </c>
      <c r="L87" s="121"/>
      <c r="M87" s="124"/>
      <c r="P87" s="124"/>
      <c r="R87" s="121"/>
      <c r="T87" s="125"/>
      <c r="U87" s="133"/>
      <c r="V87" s="125"/>
      <c r="W87" s="133"/>
      <c r="X87" s="125"/>
    </row>
    <row r="88" spans="1:24" outlineLevel="3" x14ac:dyDescent="0.25">
      <c r="A88" s="120"/>
      <c r="B88" s="121" t="s">
        <v>473</v>
      </c>
      <c r="C88" s="118"/>
      <c r="D88" s="154" t="s">
        <v>474</v>
      </c>
      <c r="E88" s="118"/>
      <c r="F88" s="120" t="s">
        <v>170</v>
      </c>
      <c r="G88" s="18" t="s">
        <v>170</v>
      </c>
      <c r="L88" s="121"/>
      <c r="M88" s="124"/>
      <c r="P88" s="124"/>
      <c r="R88" s="121"/>
      <c r="T88" s="125"/>
      <c r="U88" s="133"/>
      <c r="V88" s="125"/>
      <c r="W88" s="133"/>
      <c r="X88" s="125"/>
    </row>
    <row r="89" spans="1:24" outlineLevel="2" x14ac:dyDescent="0.25">
      <c r="A89" s="120"/>
      <c r="B89" s="157" t="s">
        <v>473</v>
      </c>
      <c r="C89" s="154"/>
      <c r="D89" s="154" t="s">
        <v>493</v>
      </c>
      <c r="E89" s="154"/>
      <c r="F89" s="153"/>
      <c r="G89" s="172"/>
      <c r="H89" s="172" t="s">
        <v>170</v>
      </c>
      <c r="I89" s="172" t="s">
        <v>170</v>
      </c>
      <c r="L89" s="121"/>
      <c r="M89" s="124"/>
      <c r="P89" s="124"/>
      <c r="R89" s="121"/>
      <c r="T89" s="125"/>
      <c r="U89" s="133"/>
      <c r="V89" s="125"/>
      <c r="W89" s="133"/>
      <c r="X89" s="125"/>
    </row>
    <row r="90" spans="1:24" outlineLevel="1" x14ac:dyDescent="0.25">
      <c r="A90" s="120"/>
      <c r="B90" s="121" t="s">
        <v>226</v>
      </c>
      <c r="C90" s="118"/>
      <c r="D90" s="118"/>
      <c r="E90" s="118"/>
      <c r="F90" s="120"/>
      <c r="L90" s="121"/>
      <c r="M90" s="124"/>
      <c r="P90" s="124"/>
      <c r="R90" s="121"/>
      <c r="T90" s="125"/>
      <c r="U90" s="133"/>
      <c r="V90" s="125"/>
      <c r="W90" s="133"/>
      <c r="X90" s="125"/>
    </row>
    <row r="91" spans="1:24" outlineLevel="1" x14ac:dyDescent="0.25">
      <c r="A91" s="120"/>
      <c r="B91" s="178" t="s">
        <v>226</v>
      </c>
      <c r="C91" s="179"/>
      <c r="D91" s="179"/>
      <c r="E91" s="179"/>
      <c r="F91" s="120"/>
      <c r="L91" s="121"/>
      <c r="M91" s="124"/>
      <c r="P91" s="124"/>
      <c r="R91" s="121"/>
      <c r="T91" s="125"/>
      <c r="U91" s="133"/>
      <c r="V91" s="125"/>
      <c r="W91" s="133"/>
      <c r="X91" s="125"/>
    </row>
    <row r="92" spans="1:24" outlineLevel="1" x14ac:dyDescent="0.25">
      <c r="A92" s="120"/>
      <c r="B92" s="157" t="s">
        <v>494</v>
      </c>
      <c r="C92" s="118"/>
      <c r="D92" s="154" t="s">
        <v>521</v>
      </c>
      <c r="E92" s="118"/>
      <c r="F92" s="120"/>
      <c r="H92" s="172" t="s">
        <v>170</v>
      </c>
      <c r="I92" s="172" t="s">
        <v>170</v>
      </c>
      <c r="L92" s="121"/>
      <c r="M92" s="124"/>
      <c r="P92" s="124"/>
      <c r="R92" s="121"/>
      <c r="T92" s="125"/>
      <c r="U92" s="133"/>
      <c r="V92" s="125"/>
      <c r="W92" s="133"/>
      <c r="X92" s="125"/>
    </row>
    <row r="93" spans="1:24" x14ac:dyDescent="0.25">
      <c r="A93" s="120"/>
      <c r="B93" s="121"/>
      <c r="C93" s="118"/>
      <c r="D93" s="118"/>
      <c r="E93" s="118"/>
      <c r="F93" s="120"/>
      <c r="L93" s="121"/>
      <c r="M93" s="124"/>
      <c r="P93" s="124"/>
      <c r="R93" s="121"/>
      <c r="T93" s="125"/>
      <c r="U93" s="133"/>
      <c r="V93" s="125"/>
      <c r="W93" s="133"/>
      <c r="X93" s="125"/>
    </row>
    <row r="94" spans="1:24" x14ac:dyDescent="0.25">
      <c r="A94" s="120"/>
      <c r="B94" s="121"/>
      <c r="C94" s="118"/>
      <c r="D94" s="118"/>
      <c r="E94" s="118"/>
      <c r="F94" s="120"/>
      <c r="L94" s="121"/>
      <c r="M94" s="124"/>
      <c r="P94" s="124"/>
      <c r="R94" s="121"/>
      <c r="T94" s="125"/>
      <c r="U94" s="133"/>
      <c r="V94" s="125"/>
      <c r="W94" s="133"/>
      <c r="X94" s="125"/>
    </row>
    <row r="95" spans="1:24" x14ac:dyDescent="0.25">
      <c r="A95" s="120"/>
      <c r="B95" s="121"/>
      <c r="C95" s="118"/>
      <c r="D95" s="118"/>
      <c r="E95" s="118"/>
      <c r="F95" s="120"/>
      <c r="L95" s="121"/>
      <c r="M95" s="124"/>
      <c r="P95" s="124"/>
      <c r="R95" s="121"/>
      <c r="T95" s="125"/>
      <c r="U95" s="133"/>
      <c r="V95" s="125"/>
      <c r="W95" s="133"/>
      <c r="X95" s="125"/>
    </row>
    <row r="96" spans="1:24" x14ac:dyDescent="0.25">
      <c r="A96" s="120"/>
      <c r="B96" s="121"/>
      <c r="C96" s="118"/>
      <c r="D96" s="118"/>
      <c r="E96" s="118"/>
      <c r="F96" s="120"/>
      <c r="L96" s="121"/>
      <c r="M96" s="124"/>
      <c r="P96" s="124"/>
      <c r="R96" s="121"/>
      <c r="T96" s="125"/>
      <c r="U96" s="133"/>
      <c r="V96" s="125"/>
      <c r="W96" s="133"/>
      <c r="X96" s="125"/>
    </row>
    <row r="97" spans="1:24" x14ac:dyDescent="0.25">
      <c r="A97" s="120"/>
      <c r="B97" s="121"/>
      <c r="C97" s="118"/>
      <c r="D97" s="118"/>
      <c r="E97" s="118"/>
      <c r="F97" s="120"/>
      <c r="L97" s="121"/>
      <c r="M97" s="124"/>
      <c r="P97" s="124"/>
      <c r="R97" s="121"/>
      <c r="T97" s="125"/>
      <c r="U97" s="133"/>
      <c r="V97" s="125"/>
      <c r="W97" s="133"/>
      <c r="X97" s="125"/>
    </row>
    <row r="98" spans="1:24" x14ac:dyDescent="0.25">
      <c r="A98" s="120"/>
      <c r="B98" s="121"/>
      <c r="C98" s="118"/>
      <c r="D98" s="118"/>
      <c r="E98" s="118"/>
      <c r="F98" s="120"/>
      <c r="L98" s="121"/>
      <c r="M98" s="124"/>
      <c r="P98" s="124"/>
      <c r="R98" s="121"/>
      <c r="T98" s="125"/>
      <c r="U98" s="133"/>
      <c r="V98" s="125"/>
      <c r="W98" s="133"/>
      <c r="X98" s="125"/>
    </row>
    <row r="99" spans="1:24" x14ac:dyDescent="0.25">
      <c r="A99" s="120"/>
      <c r="B99" s="121"/>
      <c r="C99" s="118"/>
      <c r="D99" s="118"/>
      <c r="E99" s="118"/>
      <c r="F99" s="120"/>
      <c r="L99" s="121"/>
      <c r="M99" s="124"/>
      <c r="P99" s="124"/>
      <c r="R99" s="121"/>
      <c r="T99" s="125"/>
      <c r="U99" s="133"/>
      <c r="V99" s="125"/>
      <c r="W99" s="133"/>
      <c r="X99" s="125"/>
    </row>
    <row r="100" spans="1:24" x14ac:dyDescent="0.25">
      <c r="A100" s="120"/>
      <c r="B100" s="121"/>
      <c r="C100" s="118"/>
      <c r="D100" s="118"/>
      <c r="E100" s="118"/>
      <c r="F100" s="120"/>
      <c r="L100" s="121"/>
      <c r="M100" s="124"/>
      <c r="P100" s="124"/>
      <c r="R100" s="121"/>
      <c r="T100" s="125"/>
      <c r="U100" s="133"/>
      <c r="V100" s="125"/>
      <c r="W100" s="133"/>
      <c r="X100" s="125"/>
    </row>
    <row r="101" spans="1:24" x14ac:dyDescent="0.25">
      <c r="A101" s="120"/>
      <c r="B101" s="121"/>
      <c r="C101" s="118"/>
      <c r="D101" s="118"/>
      <c r="E101" s="118"/>
      <c r="F101" s="120"/>
      <c r="L101" s="121"/>
      <c r="M101" s="124"/>
      <c r="P101" s="124"/>
      <c r="R101" s="121"/>
      <c r="T101" s="125"/>
      <c r="U101" s="133"/>
      <c r="V101" s="125"/>
      <c r="W101" s="133"/>
      <c r="X101" s="125"/>
    </row>
    <row r="102" spans="1:24" x14ac:dyDescent="0.25">
      <c r="A102" s="120"/>
      <c r="B102" s="121"/>
      <c r="C102" s="118"/>
      <c r="D102" s="118"/>
      <c r="E102" s="118"/>
      <c r="F102" s="120"/>
      <c r="L102" s="121"/>
      <c r="M102" s="124"/>
      <c r="P102" s="124"/>
      <c r="R102" s="121"/>
      <c r="T102" s="125"/>
      <c r="U102" s="133"/>
      <c r="V102" s="125"/>
      <c r="W102" s="133"/>
      <c r="X102" s="125"/>
    </row>
    <row r="103" spans="1:24" x14ac:dyDescent="0.25">
      <c r="A103" s="120"/>
      <c r="B103" s="121"/>
      <c r="C103" s="118"/>
      <c r="D103" s="118"/>
      <c r="E103" s="118"/>
      <c r="F103" s="120"/>
      <c r="L103" s="121"/>
      <c r="M103" s="124"/>
      <c r="P103" s="124"/>
      <c r="R103" s="121"/>
      <c r="T103" s="125"/>
      <c r="U103" s="133"/>
      <c r="V103" s="125"/>
      <c r="W103" s="133"/>
      <c r="X103" s="125"/>
    </row>
    <row r="104" spans="1:24" x14ac:dyDescent="0.25">
      <c r="A104" s="120"/>
      <c r="B104" s="121"/>
      <c r="C104" s="118"/>
      <c r="D104" s="118"/>
      <c r="E104" s="118"/>
      <c r="F104" s="120"/>
      <c r="L104" s="121"/>
      <c r="M104" s="124"/>
      <c r="P104" s="124"/>
      <c r="R104" s="121"/>
      <c r="T104" s="125"/>
      <c r="U104" s="133"/>
      <c r="V104" s="125"/>
      <c r="W104" s="133"/>
      <c r="X104" s="125"/>
    </row>
    <row r="105" spans="1:24" x14ac:dyDescent="0.25">
      <c r="A105" s="120"/>
      <c r="B105" s="121"/>
      <c r="C105" s="118"/>
      <c r="D105" s="118"/>
      <c r="E105" s="118"/>
      <c r="F105" s="120"/>
      <c r="L105" s="121"/>
      <c r="M105" s="124"/>
      <c r="P105" s="124"/>
      <c r="R105" s="121"/>
      <c r="S105" s="126" t="s">
        <v>205</v>
      </c>
      <c r="T105" s="125"/>
      <c r="U105" s="133"/>
      <c r="V105" s="125"/>
      <c r="W105" s="133"/>
      <c r="X105" s="125"/>
    </row>
    <row r="106" spans="1:24" x14ac:dyDescent="0.25">
      <c r="A106" s="122"/>
      <c r="B106" s="123"/>
      <c r="C106" s="119"/>
      <c r="D106" s="119"/>
      <c r="E106" s="119"/>
      <c r="F106" s="122"/>
      <c r="G106" s="130"/>
      <c r="H106" s="130"/>
      <c r="I106" s="130"/>
      <c r="J106" s="130"/>
      <c r="K106" s="130"/>
      <c r="L106" s="123"/>
      <c r="M106" s="129"/>
      <c r="N106" s="130"/>
      <c r="O106" s="130"/>
      <c r="P106" s="129"/>
      <c r="Q106" s="130"/>
      <c r="R106" s="123"/>
      <c r="S106" s="131"/>
      <c r="T106" s="132"/>
      <c r="U106" s="134"/>
      <c r="V106" s="132"/>
      <c r="W106" s="134"/>
      <c r="X106" s="132"/>
    </row>
  </sheetData>
  <autoFilter ref="A2:T92" xr:uid="{D8A7ABC1-012F-41C6-A9CE-AD6FAEBB3DE7}"/>
  <mergeCells count="11">
    <mergeCell ref="U1:V1"/>
    <mergeCell ref="W1:X1"/>
    <mergeCell ref="M1:O1"/>
    <mergeCell ref="P1:R1"/>
    <mergeCell ref="S1:T1"/>
    <mergeCell ref="A1:A2"/>
    <mergeCell ref="E1:E2"/>
    <mergeCell ref="D1:D2"/>
    <mergeCell ref="F1:L1"/>
    <mergeCell ref="B1:B2"/>
    <mergeCell ref="C1:C2"/>
  </mergeCells>
  <phoneticPr fontId="17" type="noConversion"/>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8D4C4-F0F3-4CC9-920D-4C3E2BF00D39}">
  <dimension ref="A1:O24"/>
  <sheetViews>
    <sheetView workbookViewId="0">
      <selection activeCell="A26" sqref="A26"/>
    </sheetView>
  </sheetViews>
  <sheetFormatPr defaultRowHeight="15" x14ac:dyDescent="0.25"/>
  <cols>
    <col min="1" max="1" width="146" bestFit="1" customWidth="1"/>
    <col min="2" max="2" width="11" style="12" bestFit="1" customWidth="1"/>
    <col min="3" max="3" width="9.140625" style="12" bestFit="1" customWidth="1"/>
    <col min="4" max="4" width="11.42578125" style="12" bestFit="1" customWidth="1"/>
    <col min="5" max="5" width="11.85546875" style="12" bestFit="1" customWidth="1"/>
    <col min="6" max="7" width="9.5703125" style="12" bestFit="1" customWidth="1"/>
    <col min="8" max="8" width="9.5703125" style="12" customWidth="1"/>
    <col min="9" max="9" width="24.85546875" bestFit="1" customWidth="1"/>
    <col min="10" max="10" width="18.85546875" customWidth="1"/>
    <col min="11" max="15" width="15.140625" customWidth="1"/>
  </cols>
  <sheetData>
    <row r="1" spans="1:15" ht="45" x14ac:dyDescent="0.25">
      <c r="A1" s="15" t="s">
        <v>30</v>
      </c>
      <c r="B1" s="18" t="s">
        <v>193</v>
      </c>
      <c r="C1" s="18" t="s">
        <v>192</v>
      </c>
      <c r="D1" s="18" t="s">
        <v>219</v>
      </c>
      <c r="E1" s="18" t="s">
        <v>216</v>
      </c>
      <c r="F1" s="18" t="s">
        <v>218</v>
      </c>
      <c r="G1" s="18" t="s">
        <v>214</v>
      </c>
      <c r="H1" s="18"/>
      <c r="I1" s="18" t="s">
        <v>982</v>
      </c>
      <c r="J1" s="18" t="s">
        <v>26</v>
      </c>
      <c r="K1" s="18" t="s">
        <v>27</v>
      </c>
      <c r="L1" s="18" t="s">
        <v>24</v>
      </c>
      <c r="M1" s="18" t="s">
        <v>6</v>
      </c>
      <c r="N1" s="18" t="s">
        <v>5</v>
      </c>
      <c r="O1" s="18" t="s">
        <v>4</v>
      </c>
    </row>
    <row r="2" spans="1:15" x14ac:dyDescent="0.25">
      <c r="A2" s="108" t="s">
        <v>196</v>
      </c>
      <c r="B2" s="12" t="s">
        <v>194</v>
      </c>
      <c r="C2" s="12" t="s">
        <v>195</v>
      </c>
      <c r="D2" s="12" t="s">
        <v>212</v>
      </c>
      <c r="E2" s="12" t="s">
        <v>217</v>
      </c>
      <c r="F2" s="12" t="s">
        <v>213</v>
      </c>
      <c r="G2" s="12" t="s">
        <v>215</v>
      </c>
      <c r="H2" s="12" t="s">
        <v>980</v>
      </c>
      <c r="I2" s="12" t="s">
        <v>451</v>
      </c>
      <c r="K2" s="12" t="s">
        <v>452</v>
      </c>
    </row>
    <row r="3" spans="1:15" x14ac:dyDescent="0.25">
      <c r="A3" s="108"/>
      <c r="I3" s="12"/>
      <c r="K3" s="12"/>
    </row>
    <row r="4" spans="1:15" x14ac:dyDescent="0.25">
      <c r="A4" s="108"/>
      <c r="I4" s="12"/>
      <c r="K4" s="12"/>
    </row>
    <row r="5" spans="1:15" x14ac:dyDescent="0.25">
      <c r="A5" t="s">
        <v>981</v>
      </c>
      <c r="I5" s="12"/>
      <c r="K5" s="12"/>
    </row>
    <row r="6" spans="1:15" x14ac:dyDescent="0.25">
      <c r="A6" s="108"/>
      <c r="I6" s="12"/>
      <c r="K6" s="12"/>
    </row>
    <row r="7" spans="1:15" x14ac:dyDescent="0.25">
      <c r="A7" s="108"/>
      <c r="I7" s="12"/>
      <c r="K7" s="12"/>
    </row>
    <row r="8" spans="1:15" x14ac:dyDescent="0.25">
      <c r="A8" s="15" t="s">
        <v>30</v>
      </c>
      <c r="B8" s="12" t="s">
        <v>985</v>
      </c>
      <c r="C8" s="12" t="s">
        <v>984</v>
      </c>
    </row>
    <row r="9" spans="1:15" x14ac:dyDescent="0.25">
      <c r="A9" s="108" t="s">
        <v>983</v>
      </c>
      <c r="I9" t="s">
        <v>987</v>
      </c>
      <c r="J9" s="111" t="str">
        <f>HYPERLINK(CONCATENATE($A9,$I9),"solo pdf")</f>
        <v>solo pdf</v>
      </c>
    </row>
    <row r="11" spans="1:15" x14ac:dyDescent="0.25">
      <c r="A11">
        <f>LEN(A9)</f>
        <v>144</v>
      </c>
      <c r="B11">
        <f>LEN(B8)</f>
        <v>11</v>
      </c>
      <c r="C11">
        <f>LEN(C8)</f>
        <v>9</v>
      </c>
      <c r="I11">
        <f>LEN(I9)</f>
        <v>6</v>
      </c>
      <c r="J11">
        <f>A11+B11+I11</f>
        <v>161</v>
      </c>
    </row>
    <row r="19" spans="1:10" x14ac:dyDescent="0.25">
      <c r="A19" s="108" t="s">
        <v>198</v>
      </c>
    </row>
    <row r="21" spans="1:10" x14ac:dyDescent="0.25">
      <c r="A21" t="s">
        <v>172</v>
      </c>
      <c r="B21" s="12">
        <v>30</v>
      </c>
      <c r="C21" s="111"/>
      <c r="I21" s="111" t="str">
        <f>HYPERLINK(CONCATENATE($A$19,$A21),"solo pdf")</f>
        <v>solo pdf</v>
      </c>
      <c r="J21" s="111" t="str">
        <f>HYPERLINK(CONCATENATE($A$19,$A21,"#page=",$B21),"pdf+page")</f>
        <v>pdf+page</v>
      </c>
    </row>
    <row r="22" spans="1:10" x14ac:dyDescent="0.25">
      <c r="A22" t="s">
        <v>199</v>
      </c>
      <c r="B22" s="12">
        <v>91</v>
      </c>
      <c r="I22" s="111" t="str">
        <f>HYPERLINK(CONCATENATE($A$19,$A22),"solo pdf")</f>
        <v>solo pdf</v>
      </c>
      <c r="J22" s="111" t="str">
        <f>HYPERLINK(CONCATENATE($A$19,$A22,"#page=",$B22),"pdf+page")</f>
        <v>pdf+page</v>
      </c>
    </row>
    <row r="24" spans="1:10" x14ac:dyDescent="0.25">
      <c r="A24" s="108" t="s">
        <v>1108</v>
      </c>
    </row>
  </sheetData>
  <hyperlinks>
    <hyperlink ref="A2" r:id="rId1" xr:uid="{9E8246D8-D8CF-4A1F-8046-654F9CC01042}"/>
    <hyperlink ref="A9" r:id="rId2" xr:uid="{7D1F4C0F-48F8-4FF4-BD5D-F893FF2F88E3}"/>
    <hyperlink ref="A19" r:id="rId3" xr:uid="{26CDA4AA-5EEE-4386-9087-1BC27B1D0924}"/>
    <hyperlink ref="A24" r:id="rId4" xr:uid="{1D8C6AE4-5EF6-4D0C-9F8A-FB8A362ABAE6}"/>
  </hyperlinks>
  <pageMargins left="0.7" right="0.7" top="0.75" bottom="0.75" header="0.3" footer="0.3"/>
  <pageSetup paperSize="9" orientation="portrait" horizontalDpi="1200" verticalDpi="1200" r:id="rId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D6EF7-8D11-426F-9EAA-2E71ECBF0901}">
  <dimension ref="A1:N78"/>
  <sheetViews>
    <sheetView workbookViewId="0">
      <selection activeCell="D35" sqref="D35"/>
    </sheetView>
  </sheetViews>
  <sheetFormatPr defaultColWidth="8.7109375" defaultRowHeight="15" x14ac:dyDescent="0.25"/>
  <cols>
    <col min="1" max="1" width="12" style="15" bestFit="1" customWidth="1"/>
    <col min="2" max="2" width="4.85546875" style="15" bestFit="1" customWidth="1"/>
    <col min="3" max="3" width="9.85546875" style="15" bestFit="1" customWidth="1"/>
    <col min="4" max="4" width="56" style="13" bestFit="1" customWidth="1"/>
    <col min="5" max="5" width="20.7109375" style="15" bestFit="1" customWidth="1"/>
    <col min="6" max="7" width="12.85546875" style="15" customWidth="1"/>
    <col min="8" max="8" width="17.5703125" style="13" customWidth="1"/>
    <col min="9" max="9" width="16.140625" style="15" customWidth="1"/>
    <col min="10" max="10" width="16.140625" style="13" customWidth="1"/>
    <col min="11" max="11" width="17.5703125" style="13" customWidth="1"/>
    <col min="12" max="14" width="16.140625" style="13" customWidth="1"/>
    <col min="15" max="16384" width="8.7109375" style="13"/>
  </cols>
  <sheetData>
    <row r="1" spans="1:14" ht="29.45" customHeight="1" x14ac:dyDescent="0.25">
      <c r="A1" s="304" t="s">
        <v>305</v>
      </c>
      <c r="B1" s="306" t="s">
        <v>306</v>
      </c>
      <c r="C1" s="306" t="s">
        <v>307</v>
      </c>
      <c r="D1" s="306" t="s">
        <v>309</v>
      </c>
      <c r="E1" s="306" t="s">
        <v>444</v>
      </c>
      <c r="F1" s="303" t="s">
        <v>495</v>
      </c>
      <c r="G1" s="303"/>
      <c r="H1" s="301" t="s">
        <v>440</v>
      </c>
      <c r="I1" s="215" t="s">
        <v>497</v>
      </c>
      <c r="J1" s="215" t="s">
        <v>202</v>
      </c>
      <c r="K1" s="301" t="s">
        <v>440</v>
      </c>
      <c r="L1" s="215" t="s">
        <v>6</v>
      </c>
      <c r="M1" s="215" t="s">
        <v>5</v>
      </c>
      <c r="N1" s="216" t="s">
        <v>4</v>
      </c>
    </row>
    <row r="2" spans="1:14" ht="29.45" customHeight="1" thickBot="1" x14ac:dyDescent="0.3">
      <c r="A2" s="305"/>
      <c r="B2" s="307"/>
      <c r="C2" s="307"/>
      <c r="D2" s="307"/>
      <c r="E2" s="307"/>
      <c r="F2" s="217" t="s">
        <v>308</v>
      </c>
      <c r="G2" s="218" t="s">
        <v>496</v>
      </c>
      <c r="H2" s="302"/>
      <c r="I2" s="217" t="s">
        <v>308</v>
      </c>
      <c r="J2" s="218" t="s">
        <v>496</v>
      </c>
      <c r="K2" s="302"/>
      <c r="L2" s="219"/>
      <c r="M2" s="219"/>
      <c r="N2" s="220"/>
    </row>
    <row r="3" spans="1:14" x14ac:dyDescent="0.25">
      <c r="A3" s="8" t="s">
        <v>314</v>
      </c>
      <c r="B3" s="8" t="s">
        <v>310</v>
      </c>
      <c r="C3" s="8" t="s">
        <v>312</v>
      </c>
      <c r="D3" s="211" t="s">
        <v>342</v>
      </c>
      <c r="E3" s="8" t="str">
        <f>CONCATENATE(B3,"-",C3)</f>
        <v>PBC-01A</v>
      </c>
      <c r="F3" s="212">
        <v>12</v>
      </c>
      <c r="G3" s="212" t="s">
        <v>343</v>
      </c>
      <c r="H3" s="211"/>
      <c r="I3" s="213" t="s">
        <v>187</v>
      </c>
      <c r="J3" s="214"/>
      <c r="K3" s="211"/>
      <c r="L3" s="211"/>
      <c r="M3" s="211"/>
      <c r="N3" s="211"/>
    </row>
    <row r="4" spans="1:14" x14ac:dyDescent="0.25">
      <c r="A4" s="7" t="s">
        <v>314</v>
      </c>
      <c r="B4" s="7" t="s">
        <v>310</v>
      </c>
      <c r="C4" s="7" t="s">
        <v>344</v>
      </c>
      <c r="D4" s="203" t="s">
        <v>345</v>
      </c>
      <c r="E4" s="7" t="str">
        <f t="shared" ref="E4:E44" si="0">CONCATENATE(B4,"-",C4)</f>
        <v>PBC-01B</v>
      </c>
      <c r="F4" s="201">
        <v>12</v>
      </c>
      <c r="G4" s="201" t="s">
        <v>346</v>
      </c>
      <c r="H4" s="200"/>
      <c r="I4" s="210" t="s">
        <v>427</v>
      </c>
      <c r="J4" s="202"/>
      <c r="K4" s="200"/>
      <c r="L4" s="200"/>
      <c r="M4" s="200"/>
      <c r="N4" s="200"/>
    </row>
    <row r="5" spans="1:14" x14ac:dyDescent="0.25">
      <c r="A5" s="7" t="s">
        <v>314</v>
      </c>
      <c r="B5" s="7" t="s">
        <v>347</v>
      </c>
      <c r="C5" s="7" t="s">
        <v>312</v>
      </c>
      <c r="D5" s="200" t="s">
        <v>348</v>
      </c>
      <c r="E5" s="7" t="str">
        <f t="shared" si="0"/>
        <v>PBS-01A</v>
      </c>
      <c r="F5" s="210" t="s">
        <v>184</v>
      </c>
      <c r="G5" s="201" t="s">
        <v>349</v>
      </c>
      <c r="H5" s="200"/>
      <c r="I5" s="210" t="s">
        <v>184</v>
      </c>
      <c r="J5" s="202"/>
      <c r="K5" s="200"/>
      <c r="L5" s="200"/>
      <c r="M5" s="200"/>
      <c r="N5" s="200"/>
    </row>
    <row r="6" spans="1:14" s="177" customFormat="1" ht="30" x14ac:dyDescent="0.25">
      <c r="A6" s="204" t="s">
        <v>314</v>
      </c>
      <c r="B6" s="204" t="s">
        <v>447</v>
      </c>
      <c r="C6" s="204" t="s">
        <v>387</v>
      </c>
      <c r="D6" s="205" t="s">
        <v>449</v>
      </c>
      <c r="E6" s="204" t="str">
        <f t="shared" ref="E6" si="1">CONCATENATE(B6,"-",C6)</f>
        <v>MRx-20A</v>
      </c>
      <c r="F6" s="206">
        <v>0</v>
      </c>
      <c r="G6" s="207">
        <v>44866</v>
      </c>
      <c r="H6" s="208"/>
      <c r="I6" s="206"/>
      <c r="J6" s="209"/>
      <c r="K6" s="208"/>
      <c r="L6" s="208"/>
      <c r="M6" s="208"/>
      <c r="N6" s="208"/>
    </row>
    <row r="7" spans="1:14" x14ac:dyDescent="0.25">
      <c r="A7" s="7" t="s">
        <v>314</v>
      </c>
      <c r="B7" s="7" t="s">
        <v>220</v>
      </c>
      <c r="C7" s="7" t="s">
        <v>312</v>
      </c>
      <c r="D7" s="200" t="s">
        <v>313</v>
      </c>
      <c r="E7" s="7" t="str">
        <f t="shared" si="0"/>
        <v>MR1-01A</v>
      </c>
      <c r="F7" s="210" t="s">
        <v>184</v>
      </c>
      <c r="G7" s="201" t="s">
        <v>351</v>
      </c>
      <c r="H7" s="200"/>
      <c r="I7" s="210" t="s">
        <v>186</v>
      </c>
      <c r="J7" s="202"/>
      <c r="K7" s="200"/>
      <c r="L7" s="200"/>
      <c r="M7" s="200"/>
      <c r="N7" s="200"/>
    </row>
    <row r="8" spans="1:14" x14ac:dyDescent="0.25">
      <c r="A8" s="7" t="s">
        <v>314</v>
      </c>
      <c r="B8" s="7" t="s">
        <v>220</v>
      </c>
      <c r="C8" s="7" t="s">
        <v>340</v>
      </c>
      <c r="D8" s="200" t="s">
        <v>341</v>
      </c>
      <c r="E8" s="7" t="str">
        <f t="shared" si="0"/>
        <v>MR1-02A</v>
      </c>
      <c r="F8" s="201">
        <v>11</v>
      </c>
      <c r="G8" s="201" t="s">
        <v>352</v>
      </c>
      <c r="H8" s="200"/>
      <c r="I8" s="210" t="s">
        <v>517</v>
      </c>
      <c r="J8" s="202"/>
      <c r="K8" s="200"/>
      <c r="L8" s="200"/>
      <c r="M8" s="200"/>
      <c r="N8" s="200"/>
    </row>
    <row r="9" spans="1:14" x14ac:dyDescent="0.25">
      <c r="A9" s="7" t="s">
        <v>314</v>
      </c>
      <c r="B9" s="7" t="s">
        <v>220</v>
      </c>
      <c r="C9" s="7" t="s">
        <v>353</v>
      </c>
      <c r="D9" s="200" t="s">
        <v>354</v>
      </c>
      <c r="E9" s="7" t="str">
        <f t="shared" si="0"/>
        <v>MR1-03A</v>
      </c>
      <c r="F9" s="210" t="s">
        <v>517</v>
      </c>
      <c r="G9" s="201" t="s">
        <v>346</v>
      </c>
      <c r="H9" s="200"/>
      <c r="I9" s="210" t="s">
        <v>185</v>
      </c>
      <c r="J9" s="202"/>
      <c r="K9" s="200"/>
      <c r="L9" s="200"/>
      <c r="M9" s="200"/>
      <c r="N9" s="200"/>
    </row>
    <row r="10" spans="1:14" x14ac:dyDescent="0.25">
      <c r="A10" s="7" t="s">
        <v>314</v>
      </c>
      <c r="B10" s="7" t="s">
        <v>220</v>
      </c>
      <c r="C10" s="7" t="s">
        <v>355</v>
      </c>
      <c r="D10" s="200" t="s">
        <v>356</v>
      </c>
      <c r="E10" s="7" t="str">
        <f t="shared" si="0"/>
        <v>MR1-04A</v>
      </c>
      <c r="F10" s="201">
        <v>0</v>
      </c>
      <c r="G10" s="201" t="s">
        <v>357</v>
      </c>
      <c r="H10" s="200"/>
      <c r="I10" s="210" t="s">
        <v>186</v>
      </c>
      <c r="J10" s="202"/>
      <c r="K10" s="200"/>
      <c r="L10" s="200"/>
      <c r="M10" s="200"/>
      <c r="N10" s="200"/>
    </row>
    <row r="11" spans="1:14" x14ac:dyDescent="0.25">
      <c r="A11" s="7" t="s">
        <v>314</v>
      </c>
      <c r="B11" s="7" t="s">
        <v>220</v>
      </c>
      <c r="C11" s="7" t="s">
        <v>358</v>
      </c>
      <c r="D11" s="200" t="s">
        <v>359</v>
      </c>
      <c r="E11" s="7" t="str">
        <f t="shared" si="0"/>
        <v>MR1-05A</v>
      </c>
      <c r="F11" s="210" t="s">
        <v>184</v>
      </c>
      <c r="G11" s="201" t="s">
        <v>360</v>
      </c>
      <c r="H11" s="200"/>
      <c r="I11" s="210" t="s">
        <v>184</v>
      </c>
      <c r="J11" s="202"/>
      <c r="K11" s="200"/>
      <c r="L11" s="200"/>
      <c r="M11" s="200"/>
      <c r="N11" s="200"/>
    </row>
    <row r="12" spans="1:14" x14ac:dyDescent="0.25">
      <c r="A12" s="7" t="s">
        <v>314</v>
      </c>
      <c r="B12" s="7" t="s">
        <v>220</v>
      </c>
      <c r="C12" s="7" t="s">
        <v>361</v>
      </c>
      <c r="D12" s="200" t="s">
        <v>362</v>
      </c>
      <c r="E12" s="7" t="str">
        <f t="shared" si="0"/>
        <v>MR1-05B</v>
      </c>
      <c r="F12" s="210" t="s">
        <v>183</v>
      </c>
      <c r="G12" s="201" t="s">
        <v>363</v>
      </c>
      <c r="H12" s="200"/>
      <c r="I12" s="210" t="s">
        <v>185</v>
      </c>
      <c r="J12" s="202"/>
      <c r="K12" s="200"/>
      <c r="L12" s="200"/>
      <c r="M12" s="200"/>
      <c r="N12" s="200"/>
    </row>
    <row r="13" spans="1:14" x14ac:dyDescent="0.25">
      <c r="A13" s="7" t="s">
        <v>314</v>
      </c>
      <c r="B13" s="7" t="s">
        <v>220</v>
      </c>
      <c r="C13" s="7" t="s">
        <v>364</v>
      </c>
      <c r="D13" s="200" t="s">
        <v>365</v>
      </c>
      <c r="E13" s="7" t="str">
        <f t="shared" si="0"/>
        <v>MR1-06A</v>
      </c>
      <c r="F13" s="210" t="s">
        <v>184</v>
      </c>
      <c r="G13" s="201" t="s">
        <v>363</v>
      </c>
      <c r="H13" s="200"/>
      <c r="I13" s="210" t="s">
        <v>185</v>
      </c>
      <c r="J13" s="202"/>
      <c r="K13" s="200"/>
      <c r="L13" s="200"/>
      <c r="M13" s="200"/>
      <c r="N13" s="200"/>
    </row>
    <row r="14" spans="1:14" x14ac:dyDescent="0.25">
      <c r="A14" s="7" t="s">
        <v>314</v>
      </c>
      <c r="B14" s="7" t="s">
        <v>220</v>
      </c>
      <c r="C14" s="7" t="s">
        <v>366</v>
      </c>
      <c r="D14" s="200" t="s">
        <v>367</v>
      </c>
      <c r="E14" s="7" t="str">
        <f t="shared" si="0"/>
        <v>MR1-07A</v>
      </c>
      <c r="F14" s="210" t="s">
        <v>186</v>
      </c>
      <c r="G14" s="201" t="s">
        <v>368</v>
      </c>
      <c r="H14" s="200"/>
      <c r="I14" s="210" t="s">
        <v>185</v>
      </c>
      <c r="J14" s="202"/>
      <c r="K14" s="200"/>
      <c r="L14" s="200"/>
      <c r="M14" s="200"/>
      <c r="N14" s="200"/>
    </row>
    <row r="15" spans="1:14" x14ac:dyDescent="0.25">
      <c r="A15" s="7" t="s">
        <v>314</v>
      </c>
      <c r="B15" s="7" t="s">
        <v>220</v>
      </c>
      <c r="C15" s="7" t="s">
        <v>369</v>
      </c>
      <c r="D15" s="200" t="s">
        <v>370</v>
      </c>
      <c r="E15" s="7" t="str">
        <f t="shared" si="0"/>
        <v>MR1-08A</v>
      </c>
      <c r="F15" s="210" t="s">
        <v>184</v>
      </c>
      <c r="G15" s="201" t="s">
        <v>351</v>
      </c>
      <c r="H15" s="200"/>
      <c r="I15" s="210" t="s">
        <v>185</v>
      </c>
      <c r="J15" s="202"/>
      <c r="K15" s="200"/>
      <c r="L15" s="200"/>
      <c r="M15" s="200"/>
      <c r="N15" s="200"/>
    </row>
    <row r="16" spans="1:14" s="177" customFormat="1" x14ac:dyDescent="0.25">
      <c r="A16" s="204" t="s">
        <v>314</v>
      </c>
      <c r="B16" s="204" t="s">
        <v>220</v>
      </c>
      <c r="C16" s="204" t="s">
        <v>421</v>
      </c>
      <c r="D16" s="208" t="s">
        <v>443</v>
      </c>
      <c r="E16" s="204" t="s">
        <v>445</v>
      </c>
      <c r="F16" s="206">
        <v>0</v>
      </c>
      <c r="G16" s="207">
        <v>44986</v>
      </c>
      <c r="H16" s="208"/>
      <c r="I16" s="206"/>
      <c r="J16" s="209"/>
      <c r="K16" s="208"/>
      <c r="L16" s="208"/>
      <c r="M16" s="208"/>
      <c r="N16" s="208"/>
    </row>
    <row r="17" spans="1:14" x14ac:dyDescent="0.25">
      <c r="A17" s="7" t="s">
        <v>314</v>
      </c>
      <c r="B17" s="7" t="s">
        <v>220</v>
      </c>
      <c r="C17" s="7" t="s">
        <v>371</v>
      </c>
      <c r="D17" s="200" t="s">
        <v>372</v>
      </c>
      <c r="E17" s="7" t="str">
        <f t="shared" si="0"/>
        <v>MR1-09A</v>
      </c>
      <c r="F17" s="210" t="s">
        <v>184</v>
      </c>
      <c r="G17" s="201" t="s">
        <v>351</v>
      </c>
      <c r="H17" s="200"/>
      <c r="I17" s="210" t="s">
        <v>185</v>
      </c>
      <c r="J17" s="202"/>
      <c r="K17" s="200"/>
      <c r="L17" s="200"/>
      <c r="M17" s="200"/>
      <c r="N17" s="200"/>
    </row>
    <row r="18" spans="1:14" x14ac:dyDescent="0.25">
      <c r="A18" s="7" t="s">
        <v>314</v>
      </c>
      <c r="B18" s="7" t="s">
        <v>220</v>
      </c>
      <c r="C18" s="7" t="s">
        <v>373</v>
      </c>
      <c r="D18" s="200" t="s">
        <v>374</v>
      </c>
      <c r="E18" s="7" t="str">
        <f t="shared" si="0"/>
        <v>MR1-10A</v>
      </c>
      <c r="F18" s="210" t="s">
        <v>185</v>
      </c>
      <c r="G18" s="201" t="s">
        <v>375</v>
      </c>
      <c r="H18" s="200"/>
      <c r="I18" s="210" t="s">
        <v>184</v>
      </c>
      <c r="J18" s="202"/>
      <c r="K18" s="200"/>
      <c r="L18" s="200"/>
      <c r="M18" s="200"/>
      <c r="N18" s="200"/>
    </row>
    <row r="19" spans="1:14" x14ac:dyDescent="0.25">
      <c r="A19" s="7" t="s">
        <v>314</v>
      </c>
      <c r="B19" s="7" t="s">
        <v>220</v>
      </c>
      <c r="C19" s="7" t="s">
        <v>376</v>
      </c>
      <c r="D19" s="200" t="s">
        <v>377</v>
      </c>
      <c r="E19" s="7" t="str">
        <f t="shared" si="0"/>
        <v>MR1-11A</v>
      </c>
      <c r="F19" s="210" t="s">
        <v>182</v>
      </c>
      <c r="G19" s="201" t="s">
        <v>363</v>
      </c>
      <c r="H19" s="200"/>
      <c r="I19" s="210" t="s">
        <v>184</v>
      </c>
      <c r="J19" s="202"/>
      <c r="K19" s="200"/>
      <c r="L19" s="200"/>
      <c r="M19" s="200"/>
      <c r="N19" s="200"/>
    </row>
    <row r="20" spans="1:14" x14ac:dyDescent="0.25">
      <c r="A20" s="7" t="s">
        <v>314</v>
      </c>
      <c r="B20" s="7" t="s">
        <v>220</v>
      </c>
      <c r="C20" s="7" t="s">
        <v>378</v>
      </c>
      <c r="D20" s="200" t="s">
        <v>379</v>
      </c>
      <c r="E20" s="7" t="str">
        <f t="shared" si="0"/>
        <v>MR1-13A</v>
      </c>
      <c r="F20" s="210" t="s">
        <v>183</v>
      </c>
      <c r="G20" s="201" t="s">
        <v>363</v>
      </c>
      <c r="H20" s="200"/>
      <c r="I20" s="210" t="s">
        <v>184</v>
      </c>
      <c r="J20" s="202"/>
      <c r="K20" s="200"/>
      <c r="L20" s="200"/>
      <c r="M20" s="200"/>
      <c r="N20" s="200"/>
    </row>
    <row r="21" spans="1:14" x14ac:dyDescent="0.25">
      <c r="A21" s="7" t="s">
        <v>314</v>
      </c>
      <c r="B21" s="7" t="s">
        <v>220</v>
      </c>
      <c r="C21" s="7" t="s">
        <v>380</v>
      </c>
      <c r="D21" s="200" t="s">
        <v>381</v>
      </c>
      <c r="E21" s="7" t="str">
        <f t="shared" si="0"/>
        <v>MR1-14A</v>
      </c>
      <c r="F21" s="210" t="s">
        <v>185</v>
      </c>
      <c r="G21" s="201" t="s">
        <v>375</v>
      </c>
      <c r="H21" s="200"/>
      <c r="I21" s="201"/>
      <c r="J21" s="202"/>
      <c r="K21" s="200"/>
      <c r="L21" s="200"/>
      <c r="M21" s="200"/>
      <c r="N21" s="200"/>
    </row>
    <row r="22" spans="1:14" x14ac:dyDescent="0.25">
      <c r="A22" s="7" t="s">
        <v>314</v>
      </c>
      <c r="B22" s="7" t="s">
        <v>220</v>
      </c>
      <c r="C22" s="7" t="s">
        <v>430</v>
      </c>
      <c r="D22" s="200" t="s">
        <v>518</v>
      </c>
      <c r="E22" s="7" t="str">
        <f t="shared" ref="E22" si="2">CONCATENATE(B22,"-",C22)</f>
        <v>MR1-14B</v>
      </c>
      <c r="F22" s="201" t="s">
        <v>450</v>
      </c>
      <c r="G22" s="201" t="s">
        <v>450</v>
      </c>
      <c r="H22" s="200"/>
      <c r="I22" s="210" t="s">
        <v>184</v>
      </c>
      <c r="J22" s="202"/>
      <c r="K22" s="200"/>
      <c r="L22" s="200"/>
      <c r="M22" s="200"/>
      <c r="N22" s="200"/>
    </row>
    <row r="23" spans="1:14" x14ac:dyDescent="0.25">
      <c r="A23" s="7" t="s">
        <v>314</v>
      </c>
      <c r="B23" s="7" t="s">
        <v>220</v>
      </c>
      <c r="C23" s="7" t="s">
        <v>382</v>
      </c>
      <c r="D23" s="200" t="s">
        <v>519</v>
      </c>
      <c r="E23" s="7" t="str">
        <f t="shared" si="0"/>
        <v>MR1-15A</v>
      </c>
      <c r="F23" s="210" t="s">
        <v>185</v>
      </c>
      <c r="G23" s="201" t="s">
        <v>375</v>
      </c>
      <c r="H23" s="200"/>
      <c r="I23" s="210" t="s">
        <v>184</v>
      </c>
      <c r="J23" s="202"/>
      <c r="K23" s="200"/>
      <c r="L23" s="200"/>
      <c r="M23" s="200"/>
      <c r="N23" s="200"/>
    </row>
    <row r="24" spans="1:14" x14ac:dyDescent="0.25">
      <c r="A24" s="7" t="s">
        <v>314</v>
      </c>
      <c r="B24" s="7" t="s">
        <v>220</v>
      </c>
      <c r="C24" s="7" t="s">
        <v>437</v>
      </c>
      <c r="D24" s="200" t="s">
        <v>520</v>
      </c>
      <c r="E24" s="7" t="str">
        <f t="shared" ref="E24" si="3">CONCATENATE(B24,"-",C24)</f>
        <v>MR1-15B</v>
      </c>
      <c r="F24" s="201" t="s">
        <v>450</v>
      </c>
      <c r="G24" s="201" t="s">
        <v>450</v>
      </c>
      <c r="H24" s="200"/>
      <c r="I24" s="210" t="s">
        <v>184</v>
      </c>
      <c r="J24" s="202"/>
      <c r="K24" s="200"/>
      <c r="L24" s="200"/>
      <c r="M24" s="200"/>
      <c r="N24" s="200"/>
    </row>
    <row r="25" spans="1:14" x14ac:dyDescent="0.25">
      <c r="A25" s="7" t="s">
        <v>314</v>
      </c>
      <c r="B25" s="7" t="s">
        <v>220</v>
      </c>
      <c r="C25" s="7" t="s">
        <v>384</v>
      </c>
      <c r="D25" s="200" t="s">
        <v>385</v>
      </c>
      <c r="E25" s="7" t="str">
        <f t="shared" si="0"/>
        <v>MR1-18A</v>
      </c>
      <c r="F25" s="210" t="s">
        <v>183</v>
      </c>
      <c r="G25" s="201" t="s">
        <v>386</v>
      </c>
      <c r="H25" s="200"/>
      <c r="I25" s="210" t="s">
        <v>184</v>
      </c>
      <c r="J25" s="202"/>
      <c r="K25" s="200"/>
      <c r="L25" s="200"/>
      <c r="M25" s="200"/>
      <c r="N25" s="200"/>
    </row>
    <row r="26" spans="1:14" x14ac:dyDescent="0.25">
      <c r="A26" s="7" t="s">
        <v>314</v>
      </c>
      <c r="B26" s="7" t="s">
        <v>220</v>
      </c>
      <c r="C26" s="7" t="s">
        <v>387</v>
      </c>
      <c r="D26" s="200" t="s">
        <v>388</v>
      </c>
      <c r="E26" s="7" t="str">
        <f t="shared" si="0"/>
        <v>MR1-20A</v>
      </c>
      <c r="F26" s="210" t="s">
        <v>184</v>
      </c>
      <c r="G26" s="201" t="s">
        <v>351</v>
      </c>
      <c r="H26" s="200"/>
      <c r="I26" s="210" t="s">
        <v>186</v>
      </c>
      <c r="J26" s="202"/>
      <c r="K26" s="200"/>
      <c r="L26" s="200"/>
      <c r="M26" s="200"/>
      <c r="N26" s="200"/>
    </row>
    <row r="27" spans="1:14" x14ac:dyDescent="0.25">
      <c r="A27" s="7" t="s">
        <v>314</v>
      </c>
      <c r="B27" s="7" t="s">
        <v>220</v>
      </c>
      <c r="C27" s="7" t="s">
        <v>389</v>
      </c>
      <c r="D27" s="200" t="s">
        <v>390</v>
      </c>
      <c r="E27" s="7" t="str">
        <f t="shared" si="0"/>
        <v>MR1-20B</v>
      </c>
      <c r="F27" s="210" t="s">
        <v>182</v>
      </c>
      <c r="G27" s="201" t="s">
        <v>391</v>
      </c>
      <c r="H27" s="200"/>
      <c r="I27" s="210" t="s">
        <v>183</v>
      </c>
      <c r="J27" s="202"/>
      <c r="K27" s="200"/>
      <c r="L27" s="200"/>
      <c r="M27" s="200"/>
      <c r="N27" s="200"/>
    </row>
    <row r="28" spans="1:14" x14ac:dyDescent="0.25">
      <c r="A28" s="7" t="s">
        <v>314</v>
      </c>
      <c r="B28" s="7" t="s">
        <v>220</v>
      </c>
      <c r="C28" s="7" t="s">
        <v>392</v>
      </c>
      <c r="D28" s="200" t="s">
        <v>393</v>
      </c>
      <c r="E28" s="7" t="str">
        <f t="shared" si="0"/>
        <v>MR1-31A</v>
      </c>
      <c r="F28" s="210" t="s">
        <v>183</v>
      </c>
      <c r="G28" s="201" t="s">
        <v>386</v>
      </c>
      <c r="H28" s="200"/>
      <c r="I28" s="210" t="s">
        <v>185</v>
      </c>
      <c r="J28" s="202"/>
      <c r="K28" s="200"/>
      <c r="L28" s="200"/>
      <c r="M28" s="200"/>
      <c r="N28" s="200"/>
    </row>
    <row r="29" spans="1:14" x14ac:dyDescent="0.25">
      <c r="A29" s="7" t="s">
        <v>314</v>
      </c>
      <c r="B29" s="7" t="s">
        <v>220</v>
      </c>
      <c r="C29" s="7" t="s">
        <v>394</v>
      </c>
      <c r="D29" s="200" t="s">
        <v>395</v>
      </c>
      <c r="E29" s="7" t="str">
        <f t="shared" si="0"/>
        <v>MR1-16A</v>
      </c>
      <c r="F29" s="210" t="s">
        <v>188</v>
      </c>
      <c r="G29" s="201" t="s">
        <v>349</v>
      </c>
      <c r="H29" s="200"/>
      <c r="I29" s="201"/>
      <c r="J29" s="202"/>
      <c r="K29" s="200"/>
      <c r="L29" s="200"/>
      <c r="M29" s="200"/>
      <c r="N29" s="200"/>
    </row>
    <row r="30" spans="1:14" x14ac:dyDescent="0.25">
      <c r="A30" s="7" t="s">
        <v>314</v>
      </c>
      <c r="B30" s="7" t="s">
        <v>311</v>
      </c>
      <c r="C30" s="7" t="s">
        <v>312</v>
      </c>
      <c r="D30" s="200" t="s">
        <v>313</v>
      </c>
      <c r="E30" s="7" t="str">
        <f t="shared" si="0"/>
        <v>MR2-01A</v>
      </c>
      <c r="F30" s="210" t="s">
        <v>185</v>
      </c>
      <c r="G30" s="201" t="s">
        <v>349</v>
      </c>
      <c r="H30" s="200"/>
      <c r="I30" s="201"/>
      <c r="J30" s="202"/>
      <c r="K30" s="200"/>
      <c r="L30" s="200"/>
      <c r="M30" s="200"/>
      <c r="N30" s="200"/>
    </row>
    <row r="31" spans="1:14" x14ac:dyDescent="0.25">
      <c r="A31" s="7" t="s">
        <v>314</v>
      </c>
      <c r="B31" s="7" t="s">
        <v>311</v>
      </c>
      <c r="C31" s="7" t="s">
        <v>340</v>
      </c>
      <c r="D31" s="200" t="s">
        <v>341</v>
      </c>
      <c r="E31" s="7" t="str">
        <f t="shared" si="0"/>
        <v>MR2-02A</v>
      </c>
      <c r="F31" s="201">
        <v>10</v>
      </c>
      <c r="G31" s="201" t="s">
        <v>352</v>
      </c>
      <c r="H31" s="200"/>
      <c r="I31" s="201"/>
      <c r="J31" s="202"/>
      <c r="K31" s="200"/>
      <c r="L31" s="200"/>
      <c r="M31" s="200"/>
      <c r="N31" s="200"/>
    </row>
    <row r="32" spans="1:14" x14ac:dyDescent="0.25">
      <c r="A32" s="7" t="s">
        <v>314</v>
      </c>
      <c r="B32" s="7" t="s">
        <v>311</v>
      </c>
      <c r="C32" s="7" t="s">
        <v>353</v>
      </c>
      <c r="D32" s="200" t="s">
        <v>354</v>
      </c>
      <c r="E32" s="7" t="str">
        <f t="shared" si="0"/>
        <v>MR2-03A</v>
      </c>
      <c r="F32" s="210" t="s">
        <v>185</v>
      </c>
      <c r="G32" s="201" t="s">
        <v>346</v>
      </c>
      <c r="H32" s="200"/>
      <c r="I32" s="201"/>
      <c r="J32" s="202"/>
      <c r="K32" s="200"/>
      <c r="L32" s="200"/>
      <c r="M32" s="200"/>
      <c r="N32" s="200"/>
    </row>
    <row r="33" spans="1:14" x14ac:dyDescent="0.25">
      <c r="A33" s="7" t="s">
        <v>314</v>
      </c>
      <c r="B33" s="7" t="s">
        <v>311</v>
      </c>
      <c r="C33" s="7" t="s">
        <v>355</v>
      </c>
      <c r="D33" s="200" t="s">
        <v>356</v>
      </c>
      <c r="E33" s="7" t="str">
        <f t="shared" si="0"/>
        <v>MR2-04A</v>
      </c>
      <c r="F33" s="210" t="s">
        <v>187</v>
      </c>
      <c r="G33" s="201" t="s">
        <v>357</v>
      </c>
      <c r="H33" s="200"/>
      <c r="I33" s="201"/>
      <c r="J33" s="202"/>
      <c r="K33" s="200"/>
      <c r="L33" s="200"/>
      <c r="M33" s="200"/>
      <c r="N33" s="200"/>
    </row>
    <row r="34" spans="1:14" x14ac:dyDescent="0.25">
      <c r="A34" s="7" t="s">
        <v>314</v>
      </c>
      <c r="B34" s="7" t="s">
        <v>311</v>
      </c>
      <c r="C34" s="7" t="s">
        <v>358</v>
      </c>
      <c r="D34" s="200" t="s">
        <v>359</v>
      </c>
      <c r="E34" s="7" t="str">
        <f t="shared" si="0"/>
        <v>MR2-05A</v>
      </c>
      <c r="F34" s="210" t="s">
        <v>183</v>
      </c>
      <c r="G34" s="201" t="s">
        <v>363</v>
      </c>
      <c r="H34" s="200"/>
      <c r="I34" s="201"/>
      <c r="J34" s="202"/>
      <c r="K34" s="200"/>
      <c r="L34" s="200"/>
      <c r="M34" s="200"/>
      <c r="N34" s="200"/>
    </row>
    <row r="35" spans="1:14" x14ac:dyDescent="0.25">
      <c r="A35" s="7" t="s">
        <v>314</v>
      </c>
      <c r="B35" s="7" t="s">
        <v>311</v>
      </c>
      <c r="C35" s="7" t="s">
        <v>361</v>
      </c>
      <c r="D35" s="200" t="s">
        <v>362</v>
      </c>
      <c r="E35" s="7" t="str">
        <f t="shared" si="0"/>
        <v>MR2-05B</v>
      </c>
      <c r="F35" s="210" t="s">
        <v>183</v>
      </c>
      <c r="G35" s="201" t="s">
        <v>363</v>
      </c>
      <c r="H35" s="200"/>
      <c r="I35" s="201"/>
      <c r="J35" s="202"/>
      <c r="K35" s="200"/>
      <c r="L35" s="200"/>
      <c r="M35" s="200"/>
      <c r="N35" s="200"/>
    </row>
    <row r="36" spans="1:14" x14ac:dyDescent="0.25">
      <c r="A36" s="7" t="s">
        <v>314</v>
      </c>
      <c r="B36" s="7" t="s">
        <v>311</v>
      </c>
      <c r="C36" s="7" t="s">
        <v>364</v>
      </c>
      <c r="D36" s="200" t="s">
        <v>365</v>
      </c>
      <c r="E36" s="7" t="str">
        <f t="shared" si="0"/>
        <v>MR2-06A</v>
      </c>
      <c r="F36" s="210" t="s">
        <v>184</v>
      </c>
      <c r="G36" s="201" t="s">
        <v>396</v>
      </c>
      <c r="H36" s="200"/>
      <c r="I36" s="201"/>
      <c r="J36" s="202"/>
      <c r="K36" s="200"/>
      <c r="L36" s="200"/>
      <c r="M36" s="200"/>
      <c r="N36" s="200"/>
    </row>
    <row r="37" spans="1:14" x14ac:dyDescent="0.25">
      <c r="A37" s="7" t="s">
        <v>314</v>
      </c>
      <c r="B37" s="7" t="s">
        <v>311</v>
      </c>
      <c r="C37" s="7" t="s">
        <v>366</v>
      </c>
      <c r="D37" s="200" t="s">
        <v>367</v>
      </c>
      <c r="E37" s="7" t="str">
        <f t="shared" si="0"/>
        <v>MR2-07A</v>
      </c>
      <c r="F37" s="210" t="s">
        <v>183</v>
      </c>
      <c r="G37" s="201" t="s">
        <v>397</v>
      </c>
      <c r="H37" s="200"/>
      <c r="I37" s="201"/>
      <c r="J37" s="202"/>
      <c r="K37" s="200"/>
      <c r="L37" s="200"/>
      <c r="M37" s="200"/>
      <c r="N37" s="200"/>
    </row>
    <row r="38" spans="1:14" x14ac:dyDescent="0.25">
      <c r="A38" s="7" t="s">
        <v>314</v>
      </c>
      <c r="B38" s="7" t="s">
        <v>311</v>
      </c>
      <c r="C38" s="7" t="s">
        <v>369</v>
      </c>
      <c r="D38" s="200" t="s">
        <v>370</v>
      </c>
      <c r="E38" s="7" t="str">
        <f t="shared" si="0"/>
        <v>MR2-08A</v>
      </c>
      <c r="F38" s="210" t="s">
        <v>184</v>
      </c>
      <c r="G38" s="201" t="s">
        <v>351</v>
      </c>
      <c r="H38" s="200"/>
      <c r="I38" s="201"/>
      <c r="J38" s="202"/>
      <c r="K38" s="200"/>
      <c r="L38" s="200"/>
      <c r="M38" s="200"/>
      <c r="N38" s="200"/>
    </row>
    <row r="39" spans="1:14" x14ac:dyDescent="0.25">
      <c r="A39" s="7" t="s">
        <v>314</v>
      </c>
      <c r="B39" s="7" t="s">
        <v>311</v>
      </c>
      <c r="C39" s="7" t="s">
        <v>371</v>
      </c>
      <c r="D39" s="200" t="s">
        <v>372</v>
      </c>
      <c r="E39" s="7" t="str">
        <f t="shared" si="0"/>
        <v>MR2-09A</v>
      </c>
      <c r="F39" s="210" t="s">
        <v>184</v>
      </c>
      <c r="G39" s="201" t="s">
        <v>351</v>
      </c>
      <c r="H39" s="200"/>
      <c r="I39" s="201"/>
      <c r="J39" s="202"/>
      <c r="K39" s="200"/>
      <c r="L39" s="200"/>
      <c r="M39" s="200"/>
      <c r="N39" s="200"/>
    </row>
    <row r="40" spans="1:14" x14ac:dyDescent="0.25">
      <c r="A40" s="7" t="s">
        <v>314</v>
      </c>
      <c r="B40" s="7" t="s">
        <v>311</v>
      </c>
      <c r="C40" s="7" t="s">
        <v>376</v>
      </c>
      <c r="D40" s="200" t="s">
        <v>377</v>
      </c>
      <c r="E40" s="7" t="str">
        <f t="shared" si="0"/>
        <v>MR2-11A</v>
      </c>
      <c r="F40" s="210" t="s">
        <v>182</v>
      </c>
      <c r="G40" s="201" t="s">
        <v>363</v>
      </c>
      <c r="H40" s="200"/>
      <c r="I40" s="201"/>
      <c r="J40" s="202"/>
      <c r="K40" s="200"/>
      <c r="L40" s="200"/>
      <c r="M40" s="200"/>
      <c r="N40" s="200"/>
    </row>
    <row r="41" spans="1:14" x14ac:dyDescent="0.25">
      <c r="A41" s="7" t="s">
        <v>314</v>
      </c>
      <c r="B41" s="7" t="s">
        <v>311</v>
      </c>
      <c r="C41" s="7" t="s">
        <v>378</v>
      </c>
      <c r="D41" s="200" t="s">
        <v>379</v>
      </c>
      <c r="E41" s="7" t="str">
        <f t="shared" si="0"/>
        <v>MR2-13A</v>
      </c>
      <c r="F41" s="210" t="s">
        <v>183</v>
      </c>
      <c r="G41" s="201" t="s">
        <v>363</v>
      </c>
      <c r="H41" s="200"/>
      <c r="I41" s="201"/>
      <c r="J41" s="202"/>
      <c r="K41" s="200"/>
      <c r="L41" s="200"/>
      <c r="M41" s="200"/>
      <c r="N41" s="200"/>
    </row>
    <row r="42" spans="1:14" x14ac:dyDescent="0.25">
      <c r="A42" s="7" t="s">
        <v>314</v>
      </c>
      <c r="B42" s="7" t="s">
        <v>311</v>
      </c>
      <c r="C42" s="7" t="s">
        <v>380</v>
      </c>
      <c r="D42" s="200" t="s">
        <v>381</v>
      </c>
      <c r="E42" s="7" t="str">
        <f t="shared" si="0"/>
        <v>MR2-14A</v>
      </c>
      <c r="F42" s="210" t="s">
        <v>185</v>
      </c>
      <c r="G42" s="201" t="s">
        <v>375</v>
      </c>
      <c r="H42" s="200"/>
      <c r="I42" s="201"/>
      <c r="J42" s="202"/>
      <c r="K42" s="200"/>
      <c r="L42" s="200"/>
      <c r="M42" s="200"/>
      <c r="N42" s="200"/>
    </row>
    <row r="43" spans="1:14" x14ac:dyDescent="0.25">
      <c r="A43" s="7" t="s">
        <v>314</v>
      </c>
      <c r="B43" s="7" t="s">
        <v>311</v>
      </c>
      <c r="C43" s="7" t="s">
        <v>382</v>
      </c>
      <c r="D43" s="200" t="s">
        <v>383</v>
      </c>
      <c r="E43" s="7" t="str">
        <f t="shared" si="0"/>
        <v>MR2-15A</v>
      </c>
      <c r="F43" s="210" t="s">
        <v>185</v>
      </c>
      <c r="G43" s="201" t="s">
        <v>375</v>
      </c>
      <c r="H43" s="200"/>
      <c r="I43" s="201"/>
      <c r="J43" s="202"/>
      <c r="K43" s="200"/>
      <c r="L43" s="200"/>
      <c r="M43" s="200"/>
      <c r="N43" s="200"/>
    </row>
    <row r="44" spans="1:14" x14ac:dyDescent="0.25">
      <c r="A44" s="7" t="s">
        <v>314</v>
      </c>
      <c r="B44" s="7" t="s">
        <v>311</v>
      </c>
      <c r="C44" s="7" t="s">
        <v>398</v>
      </c>
      <c r="D44" s="200" t="s">
        <v>399</v>
      </c>
      <c r="E44" s="7" t="str">
        <f t="shared" si="0"/>
        <v>MR2-30A</v>
      </c>
      <c r="F44" s="210" t="s">
        <v>182</v>
      </c>
      <c r="G44" s="201" t="s">
        <v>400</v>
      </c>
      <c r="H44" s="200"/>
      <c r="I44" s="201"/>
      <c r="J44" s="202"/>
      <c r="K44" s="200"/>
      <c r="L44" s="200"/>
      <c r="M44" s="200"/>
      <c r="N44" s="200"/>
    </row>
    <row r="45" spans="1:14" s="177" customFormat="1" x14ac:dyDescent="0.25">
      <c r="A45" s="204" t="s">
        <v>314</v>
      </c>
      <c r="B45" s="204" t="s">
        <v>447</v>
      </c>
      <c r="C45" s="204" t="s">
        <v>450</v>
      </c>
      <c r="D45" s="208" t="s">
        <v>448</v>
      </c>
      <c r="E45" s="204" t="s">
        <v>446</v>
      </c>
      <c r="F45" s="206" t="s">
        <v>450</v>
      </c>
      <c r="G45" s="207">
        <v>44256</v>
      </c>
      <c r="H45" s="208"/>
      <c r="I45" s="206"/>
      <c r="J45" s="209"/>
      <c r="K45" s="208"/>
      <c r="L45" s="208"/>
      <c r="M45" s="208"/>
      <c r="N45" s="208"/>
    </row>
    <row r="46" spans="1:14" x14ac:dyDescent="0.25">
      <c r="A46" s="7" t="s">
        <v>314</v>
      </c>
      <c r="B46" s="7" t="s">
        <v>192</v>
      </c>
      <c r="C46" s="7" t="s">
        <v>312</v>
      </c>
      <c r="D46" s="200" t="s">
        <v>401</v>
      </c>
      <c r="E46" s="7" t="s">
        <v>402</v>
      </c>
      <c r="F46" s="201" t="s">
        <v>450</v>
      </c>
      <c r="G46" s="201" t="s">
        <v>375</v>
      </c>
      <c r="H46" s="200"/>
      <c r="I46" s="210" t="s">
        <v>182</v>
      </c>
      <c r="J46" s="201" t="s">
        <v>498</v>
      </c>
      <c r="K46" s="200"/>
      <c r="L46" s="200"/>
      <c r="M46" s="200"/>
      <c r="N46" s="200"/>
    </row>
    <row r="47" spans="1:14" x14ac:dyDescent="0.25">
      <c r="A47" s="7" t="s">
        <v>314</v>
      </c>
      <c r="B47" s="7" t="s">
        <v>192</v>
      </c>
      <c r="C47" s="7" t="s">
        <v>344</v>
      </c>
      <c r="D47" s="200" t="s">
        <v>403</v>
      </c>
      <c r="E47" s="7" t="s">
        <v>318</v>
      </c>
      <c r="F47" s="201" t="s">
        <v>450</v>
      </c>
      <c r="G47" s="201" t="s">
        <v>375</v>
      </c>
      <c r="H47" s="200"/>
      <c r="I47" s="210" t="s">
        <v>182</v>
      </c>
      <c r="J47" s="201" t="s">
        <v>499</v>
      </c>
      <c r="K47" s="200"/>
      <c r="L47" s="200"/>
      <c r="M47" s="200"/>
      <c r="N47" s="200"/>
    </row>
    <row r="48" spans="1:14" x14ac:dyDescent="0.25">
      <c r="A48" s="7" t="s">
        <v>314</v>
      </c>
      <c r="B48" s="7" t="s">
        <v>192</v>
      </c>
      <c r="C48" s="7" t="s">
        <v>404</v>
      </c>
      <c r="D48" s="200" t="s">
        <v>405</v>
      </c>
      <c r="E48" s="7" t="s">
        <v>319</v>
      </c>
      <c r="F48" s="201" t="s">
        <v>450</v>
      </c>
      <c r="G48" s="201" t="s">
        <v>375</v>
      </c>
      <c r="H48" s="200"/>
      <c r="I48" s="201"/>
      <c r="J48" s="201"/>
      <c r="K48" s="200"/>
      <c r="L48" s="200"/>
      <c r="M48" s="200"/>
      <c r="N48" s="200"/>
    </row>
    <row r="49" spans="1:14" x14ac:dyDescent="0.25">
      <c r="A49" s="7" t="s">
        <v>314</v>
      </c>
      <c r="B49" s="7" t="s">
        <v>192</v>
      </c>
      <c r="C49" s="7" t="s">
        <v>406</v>
      </c>
      <c r="D49" s="200" t="s">
        <v>407</v>
      </c>
      <c r="E49" s="7" t="s">
        <v>320</v>
      </c>
      <c r="F49" s="201" t="s">
        <v>450</v>
      </c>
      <c r="G49" s="201" t="s">
        <v>375</v>
      </c>
      <c r="H49" s="200"/>
      <c r="I49" s="210" t="s">
        <v>182</v>
      </c>
      <c r="J49" s="201" t="s">
        <v>500</v>
      </c>
      <c r="K49" s="200"/>
      <c r="L49" s="200"/>
      <c r="M49" s="200"/>
      <c r="N49" s="200"/>
    </row>
    <row r="50" spans="1:14" x14ac:dyDescent="0.25">
      <c r="A50" s="7" t="s">
        <v>314</v>
      </c>
      <c r="B50" s="7" t="s">
        <v>192</v>
      </c>
      <c r="C50" s="7" t="s">
        <v>340</v>
      </c>
      <c r="D50" s="200" t="s">
        <v>341</v>
      </c>
      <c r="E50" s="7" t="s">
        <v>321</v>
      </c>
      <c r="F50" s="201" t="s">
        <v>450</v>
      </c>
      <c r="G50" s="201" t="s">
        <v>350</v>
      </c>
      <c r="H50" s="200"/>
      <c r="I50" s="210" t="s">
        <v>183</v>
      </c>
      <c r="J50" s="201" t="s">
        <v>501</v>
      </c>
      <c r="K50" s="200"/>
      <c r="L50" s="200"/>
      <c r="M50" s="200"/>
      <c r="N50" s="200"/>
    </row>
    <row r="51" spans="1:14" x14ac:dyDescent="0.25">
      <c r="A51" s="7" t="s">
        <v>314</v>
      </c>
      <c r="B51" s="7" t="s">
        <v>192</v>
      </c>
      <c r="C51" s="7" t="s">
        <v>353</v>
      </c>
      <c r="D51" s="200" t="s">
        <v>408</v>
      </c>
      <c r="E51" s="7" t="s">
        <v>322</v>
      </c>
      <c r="F51" s="201" t="s">
        <v>450</v>
      </c>
      <c r="G51" s="201" t="s">
        <v>391</v>
      </c>
      <c r="H51" s="200"/>
      <c r="I51" s="210" t="s">
        <v>183</v>
      </c>
      <c r="J51" s="201" t="s">
        <v>502</v>
      </c>
      <c r="K51" s="200"/>
      <c r="L51" s="200"/>
      <c r="M51" s="200"/>
      <c r="N51" s="200"/>
    </row>
    <row r="52" spans="1:14" x14ac:dyDescent="0.25">
      <c r="A52" s="7" t="s">
        <v>314</v>
      </c>
      <c r="B52" s="7" t="s">
        <v>192</v>
      </c>
      <c r="C52" s="7" t="s">
        <v>409</v>
      </c>
      <c r="D52" s="200" t="s">
        <v>410</v>
      </c>
      <c r="E52" s="7" t="s">
        <v>323</v>
      </c>
      <c r="F52" s="201" t="s">
        <v>450</v>
      </c>
      <c r="G52" s="201" t="s">
        <v>346</v>
      </c>
      <c r="H52" s="200"/>
      <c r="I52" s="210" t="s">
        <v>183</v>
      </c>
      <c r="J52" s="201" t="s">
        <v>503</v>
      </c>
      <c r="K52" s="200"/>
      <c r="L52" s="200"/>
      <c r="M52" s="200"/>
      <c r="N52" s="200"/>
    </row>
    <row r="53" spans="1:14" x14ac:dyDescent="0.25">
      <c r="A53" s="7" t="s">
        <v>314</v>
      </c>
      <c r="B53" s="7" t="s">
        <v>192</v>
      </c>
      <c r="C53" s="7" t="s">
        <v>355</v>
      </c>
      <c r="D53" s="200" t="s">
        <v>411</v>
      </c>
      <c r="E53" s="7" t="s">
        <v>412</v>
      </c>
      <c r="F53" s="201" t="s">
        <v>450</v>
      </c>
      <c r="G53" s="201" t="s">
        <v>413</v>
      </c>
      <c r="H53" s="200"/>
      <c r="I53" s="210" t="s">
        <v>182</v>
      </c>
      <c r="J53" s="201" t="s">
        <v>504</v>
      </c>
      <c r="K53" s="200"/>
      <c r="L53" s="200"/>
      <c r="M53" s="200"/>
      <c r="N53" s="200"/>
    </row>
    <row r="54" spans="1:14" x14ac:dyDescent="0.25">
      <c r="A54" s="7" t="s">
        <v>314</v>
      </c>
      <c r="B54" s="7" t="s">
        <v>192</v>
      </c>
      <c r="C54" s="7" t="s">
        <v>414</v>
      </c>
      <c r="D54" s="200" t="s">
        <v>415</v>
      </c>
      <c r="E54" s="7" t="s">
        <v>324</v>
      </c>
      <c r="F54" s="201" t="s">
        <v>450</v>
      </c>
      <c r="G54" s="201" t="s">
        <v>413</v>
      </c>
      <c r="H54" s="200"/>
      <c r="I54" s="210" t="s">
        <v>182</v>
      </c>
      <c r="J54" s="201" t="s">
        <v>505</v>
      </c>
      <c r="K54" s="200"/>
      <c r="L54" s="200"/>
      <c r="M54" s="200"/>
      <c r="N54" s="200"/>
    </row>
    <row r="55" spans="1:14" x14ac:dyDescent="0.25">
      <c r="A55" s="7" t="s">
        <v>314</v>
      </c>
      <c r="B55" s="7" t="s">
        <v>192</v>
      </c>
      <c r="C55" s="7" t="s">
        <v>416</v>
      </c>
      <c r="D55" s="200" t="s">
        <v>69</v>
      </c>
      <c r="E55" s="7" t="s">
        <v>325</v>
      </c>
      <c r="F55" s="201" t="s">
        <v>450</v>
      </c>
      <c r="G55" s="201" t="s">
        <v>350</v>
      </c>
      <c r="H55" s="200"/>
      <c r="I55" s="210" t="s">
        <v>182</v>
      </c>
      <c r="J55" s="201" t="s">
        <v>506</v>
      </c>
      <c r="K55" s="200"/>
      <c r="L55" s="200"/>
      <c r="M55" s="200"/>
      <c r="N55" s="200"/>
    </row>
    <row r="56" spans="1:14" x14ac:dyDescent="0.25">
      <c r="A56" s="7" t="s">
        <v>314</v>
      </c>
      <c r="B56" s="7" t="s">
        <v>192</v>
      </c>
      <c r="C56" s="7" t="s">
        <v>417</v>
      </c>
      <c r="D56" s="200" t="s">
        <v>418</v>
      </c>
      <c r="E56" s="7" t="s">
        <v>326</v>
      </c>
      <c r="F56" s="201" t="s">
        <v>450</v>
      </c>
      <c r="G56" s="201" t="s">
        <v>413</v>
      </c>
      <c r="H56" s="200"/>
      <c r="I56" s="201"/>
      <c r="J56" s="201"/>
      <c r="K56" s="200"/>
      <c r="L56" s="200"/>
      <c r="M56" s="200"/>
      <c r="N56" s="200"/>
    </row>
    <row r="57" spans="1:14" x14ac:dyDescent="0.25">
      <c r="A57" s="7" t="s">
        <v>314</v>
      </c>
      <c r="B57" s="7" t="s">
        <v>192</v>
      </c>
      <c r="C57" s="7" t="s">
        <v>358</v>
      </c>
      <c r="D57" s="200" t="s">
        <v>359</v>
      </c>
      <c r="E57" s="7" t="s">
        <v>327</v>
      </c>
      <c r="F57" s="201" t="s">
        <v>450</v>
      </c>
      <c r="G57" s="201" t="s">
        <v>363</v>
      </c>
      <c r="H57" s="200"/>
      <c r="I57" s="210" t="s">
        <v>183</v>
      </c>
      <c r="J57" s="201" t="s">
        <v>507</v>
      </c>
      <c r="K57" s="200"/>
      <c r="L57" s="200"/>
      <c r="M57" s="200"/>
      <c r="N57" s="200"/>
    </row>
    <row r="58" spans="1:14" x14ac:dyDescent="0.25">
      <c r="A58" s="7" t="s">
        <v>314</v>
      </c>
      <c r="B58" s="7" t="s">
        <v>192</v>
      </c>
      <c r="C58" s="7" t="s">
        <v>364</v>
      </c>
      <c r="D58" s="200" t="s">
        <v>365</v>
      </c>
      <c r="E58" s="7" t="s">
        <v>328</v>
      </c>
      <c r="F58" s="201" t="s">
        <v>450</v>
      </c>
      <c r="G58" s="201" t="s">
        <v>419</v>
      </c>
      <c r="H58" s="200"/>
      <c r="I58" s="210" t="s">
        <v>183</v>
      </c>
      <c r="J58" s="201" t="s">
        <v>508</v>
      </c>
      <c r="K58" s="200"/>
      <c r="L58" s="200"/>
      <c r="M58" s="200"/>
      <c r="N58" s="200"/>
    </row>
    <row r="59" spans="1:14" x14ac:dyDescent="0.25">
      <c r="A59" s="7" t="s">
        <v>314</v>
      </c>
      <c r="B59" s="7" t="s">
        <v>192</v>
      </c>
      <c r="C59" s="7" t="s">
        <v>366</v>
      </c>
      <c r="D59" s="200" t="s">
        <v>367</v>
      </c>
      <c r="E59" s="7" t="s">
        <v>329</v>
      </c>
      <c r="F59" s="201" t="s">
        <v>450</v>
      </c>
      <c r="G59" s="201" t="s">
        <v>419</v>
      </c>
      <c r="H59" s="200"/>
      <c r="I59" s="201"/>
      <c r="J59" s="201" t="s">
        <v>509</v>
      </c>
      <c r="K59" s="200"/>
      <c r="L59" s="200"/>
      <c r="M59" s="200"/>
      <c r="N59" s="200"/>
    </row>
    <row r="60" spans="1:14" x14ac:dyDescent="0.25">
      <c r="A60" s="7" t="s">
        <v>314</v>
      </c>
      <c r="B60" s="7" t="s">
        <v>192</v>
      </c>
      <c r="C60" s="7" t="s">
        <v>369</v>
      </c>
      <c r="D60" s="200" t="s">
        <v>420</v>
      </c>
      <c r="E60" s="7" t="s">
        <v>330</v>
      </c>
      <c r="F60" s="201" t="s">
        <v>450</v>
      </c>
      <c r="G60" s="201" t="s">
        <v>391</v>
      </c>
      <c r="H60" s="200"/>
      <c r="I60" s="210" t="s">
        <v>183</v>
      </c>
      <c r="J60" s="201" t="s">
        <v>510</v>
      </c>
      <c r="K60" s="200"/>
      <c r="L60" s="200"/>
      <c r="M60" s="200"/>
      <c r="N60" s="200"/>
    </row>
    <row r="61" spans="1:14" x14ac:dyDescent="0.25">
      <c r="A61" s="7" t="s">
        <v>314</v>
      </c>
      <c r="B61" s="7" t="s">
        <v>192</v>
      </c>
      <c r="C61" s="7" t="s">
        <v>421</v>
      </c>
      <c r="D61" s="200" t="s">
        <v>422</v>
      </c>
      <c r="E61" s="7" t="s">
        <v>315</v>
      </c>
      <c r="F61" s="201" t="s">
        <v>450</v>
      </c>
      <c r="G61" s="201" t="s">
        <v>423</v>
      </c>
      <c r="H61" s="200"/>
      <c r="I61" s="210" t="s">
        <v>183</v>
      </c>
      <c r="J61" s="201" t="s">
        <v>511</v>
      </c>
      <c r="K61" s="200"/>
      <c r="L61" s="200"/>
      <c r="M61" s="200"/>
      <c r="N61" s="200"/>
    </row>
    <row r="62" spans="1:14" x14ac:dyDescent="0.25">
      <c r="A62" s="7" t="s">
        <v>314</v>
      </c>
      <c r="B62" s="7" t="s">
        <v>192</v>
      </c>
      <c r="C62" s="7" t="s">
        <v>424</v>
      </c>
      <c r="D62" s="200" t="s">
        <v>425</v>
      </c>
      <c r="E62" s="7" t="s">
        <v>316</v>
      </c>
      <c r="F62" s="201" t="s">
        <v>450</v>
      </c>
      <c r="G62" s="201" t="s">
        <v>426</v>
      </c>
      <c r="H62" s="200"/>
      <c r="I62" s="210" t="s">
        <v>183</v>
      </c>
      <c r="J62" s="201" t="s">
        <v>512</v>
      </c>
      <c r="K62" s="200"/>
      <c r="L62" s="200"/>
      <c r="M62" s="200"/>
      <c r="N62" s="200"/>
    </row>
    <row r="63" spans="1:14" x14ac:dyDescent="0.25">
      <c r="A63" s="7" t="s">
        <v>314</v>
      </c>
      <c r="B63" s="7" t="s">
        <v>192</v>
      </c>
      <c r="C63" s="7" t="s">
        <v>427</v>
      </c>
      <c r="D63" s="200" t="s">
        <v>372</v>
      </c>
      <c r="E63" s="7" t="s">
        <v>331</v>
      </c>
      <c r="F63" s="201" t="s">
        <v>450</v>
      </c>
      <c r="G63" s="201" t="s">
        <v>349</v>
      </c>
      <c r="H63" s="200"/>
      <c r="I63" s="201"/>
      <c r="J63" s="201"/>
      <c r="K63" s="200"/>
      <c r="L63" s="200"/>
      <c r="M63" s="200"/>
      <c r="N63" s="200"/>
    </row>
    <row r="64" spans="1:14" x14ac:dyDescent="0.25">
      <c r="A64" s="7" t="s">
        <v>314</v>
      </c>
      <c r="B64" s="7" t="s">
        <v>192</v>
      </c>
      <c r="C64" s="7" t="s">
        <v>428</v>
      </c>
      <c r="D64" s="200" t="s">
        <v>374</v>
      </c>
      <c r="E64" s="7" t="s">
        <v>332</v>
      </c>
      <c r="F64" s="201" t="s">
        <v>450</v>
      </c>
      <c r="G64" s="201" t="s">
        <v>375</v>
      </c>
      <c r="H64" s="200"/>
      <c r="I64" s="210" t="s">
        <v>183</v>
      </c>
      <c r="J64" s="201" t="s">
        <v>513</v>
      </c>
      <c r="K64" s="200"/>
      <c r="L64" s="200"/>
      <c r="M64" s="200"/>
      <c r="N64" s="200"/>
    </row>
    <row r="65" spans="1:14" x14ac:dyDescent="0.25">
      <c r="A65" s="7" t="s">
        <v>314</v>
      </c>
      <c r="B65" s="7" t="s">
        <v>192</v>
      </c>
      <c r="C65" s="7" t="s">
        <v>376</v>
      </c>
      <c r="D65" s="200" t="s">
        <v>377</v>
      </c>
      <c r="E65" s="7" t="s">
        <v>333</v>
      </c>
      <c r="F65" s="201" t="s">
        <v>450</v>
      </c>
      <c r="G65" s="201" t="s">
        <v>419</v>
      </c>
      <c r="H65" s="200"/>
      <c r="I65" s="210" t="s">
        <v>183</v>
      </c>
      <c r="J65" s="201" t="s">
        <v>514</v>
      </c>
      <c r="K65" s="200"/>
      <c r="L65" s="200"/>
      <c r="M65" s="200"/>
      <c r="N65" s="200"/>
    </row>
    <row r="66" spans="1:14" x14ac:dyDescent="0.25">
      <c r="A66" s="7" t="s">
        <v>314</v>
      </c>
      <c r="B66" s="7" t="s">
        <v>192</v>
      </c>
      <c r="C66" s="7" t="s">
        <v>380</v>
      </c>
      <c r="D66" s="200" t="s">
        <v>429</v>
      </c>
      <c r="E66" s="7" t="s">
        <v>334</v>
      </c>
      <c r="F66" s="201" t="s">
        <v>450</v>
      </c>
      <c r="G66" s="201" t="s">
        <v>375</v>
      </c>
      <c r="H66" s="200"/>
      <c r="I66" s="201"/>
      <c r="J66" s="201"/>
      <c r="K66" s="200"/>
      <c r="L66" s="200"/>
      <c r="M66" s="200"/>
      <c r="N66" s="200"/>
    </row>
    <row r="67" spans="1:14" x14ac:dyDescent="0.25">
      <c r="A67" s="7" t="s">
        <v>314</v>
      </c>
      <c r="B67" s="7" t="s">
        <v>192</v>
      </c>
      <c r="C67" s="7" t="s">
        <v>430</v>
      </c>
      <c r="D67" s="200" t="s">
        <v>431</v>
      </c>
      <c r="E67" s="7" t="s">
        <v>317</v>
      </c>
      <c r="F67" s="201" t="s">
        <v>450</v>
      </c>
      <c r="G67" s="201" t="s">
        <v>426</v>
      </c>
      <c r="H67" s="200"/>
      <c r="I67" s="201"/>
      <c r="J67" s="201"/>
      <c r="K67" s="200"/>
      <c r="L67" s="200"/>
      <c r="M67" s="200"/>
      <c r="N67" s="200"/>
    </row>
    <row r="68" spans="1:14" x14ac:dyDescent="0.25">
      <c r="A68" s="7" t="s">
        <v>314</v>
      </c>
      <c r="B68" s="7" t="s">
        <v>192</v>
      </c>
      <c r="C68" s="7" t="s">
        <v>432</v>
      </c>
      <c r="D68" s="200" t="s">
        <v>433</v>
      </c>
      <c r="E68" s="7" t="s">
        <v>335</v>
      </c>
      <c r="F68" s="201" t="s">
        <v>450</v>
      </c>
      <c r="G68" s="201" t="s">
        <v>375</v>
      </c>
      <c r="H68" s="200"/>
      <c r="I68" s="201"/>
      <c r="J68" s="201"/>
      <c r="K68" s="200"/>
      <c r="L68" s="200"/>
      <c r="M68" s="200"/>
      <c r="N68" s="200"/>
    </row>
    <row r="69" spans="1:14" x14ac:dyDescent="0.25">
      <c r="A69" s="7" t="s">
        <v>314</v>
      </c>
      <c r="B69" s="7" t="s">
        <v>192</v>
      </c>
      <c r="C69" s="7" t="s">
        <v>434</v>
      </c>
      <c r="D69" s="200" t="s">
        <v>435</v>
      </c>
      <c r="E69" s="7" t="s">
        <v>336</v>
      </c>
      <c r="F69" s="201" t="s">
        <v>450</v>
      </c>
      <c r="G69" s="201" t="s">
        <v>375</v>
      </c>
      <c r="H69" s="200"/>
      <c r="I69" s="201"/>
      <c r="J69" s="201" t="s">
        <v>515</v>
      </c>
      <c r="K69" s="200"/>
      <c r="L69" s="200"/>
      <c r="M69" s="200"/>
      <c r="N69" s="200"/>
    </row>
    <row r="70" spans="1:14" x14ac:dyDescent="0.25">
      <c r="A70" s="7" t="s">
        <v>314</v>
      </c>
      <c r="B70" s="7" t="s">
        <v>192</v>
      </c>
      <c r="C70" s="7" t="s">
        <v>382</v>
      </c>
      <c r="D70" s="200" t="s">
        <v>436</v>
      </c>
      <c r="E70" s="7" t="s">
        <v>337</v>
      </c>
      <c r="F70" s="201" t="s">
        <v>450</v>
      </c>
      <c r="G70" s="201" t="s">
        <v>375</v>
      </c>
      <c r="H70" s="200"/>
      <c r="I70" s="201"/>
      <c r="J70" s="201"/>
      <c r="K70" s="200"/>
      <c r="L70" s="200"/>
      <c r="M70" s="200"/>
      <c r="N70" s="200"/>
    </row>
    <row r="71" spans="1:14" x14ac:dyDescent="0.25">
      <c r="A71" s="7" t="s">
        <v>314</v>
      </c>
      <c r="B71" s="7" t="s">
        <v>192</v>
      </c>
      <c r="C71" s="7" t="s">
        <v>437</v>
      </c>
      <c r="D71" s="200" t="s">
        <v>438</v>
      </c>
      <c r="E71" s="7" t="s">
        <v>338</v>
      </c>
      <c r="F71" s="201" t="s">
        <v>450</v>
      </c>
      <c r="G71" s="201" t="s">
        <v>375</v>
      </c>
      <c r="H71" s="200"/>
      <c r="I71" s="201"/>
      <c r="J71" s="201"/>
      <c r="K71" s="200"/>
      <c r="L71" s="200"/>
      <c r="M71" s="200"/>
      <c r="N71" s="200"/>
    </row>
    <row r="72" spans="1:14" x14ac:dyDescent="0.25">
      <c r="A72" s="7" t="s">
        <v>314</v>
      </c>
      <c r="B72" s="7" t="s">
        <v>192</v>
      </c>
      <c r="C72" s="7" t="s">
        <v>392</v>
      </c>
      <c r="D72" s="200" t="s">
        <v>439</v>
      </c>
      <c r="E72" s="7" t="s">
        <v>339</v>
      </c>
      <c r="F72" s="201" t="s">
        <v>450</v>
      </c>
      <c r="G72" s="201" t="s">
        <v>375</v>
      </c>
      <c r="H72" s="200"/>
      <c r="I72" s="210" t="s">
        <v>183</v>
      </c>
      <c r="J72" s="201" t="s">
        <v>516</v>
      </c>
      <c r="K72" s="200"/>
      <c r="L72" s="200"/>
      <c r="M72" s="200"/>
      <c r="N72" s="200"/>
    </row>
    <row r="73" spans="1:14" s="177" customFormat="1" x14ac:dyDescent="0.25">
      <c r="A73" s="204" t="s">
        <v>314</v>
      </c>
      <c r="B73" s="204" t="s">
        <v>192</v>
      </c>
      <c r="C73" s="204" t="s">
        <v>387</v>
      </c>
      <c r="D73" s="205" t="s">
        <v>441</v>
      </c>
      <c r="E73" s="204" t="s">
        <v>442</v>
      </c>
      <c r="F73" s="206" t="s">
        <v>450</v>
      </c>
      <c r="G73" s="207">
        <v>45017</v>
      </c>
      <c r="H73" s="208"/>
      <c r="I73" s="206"/>
      <c r="J73" s="209"/>
      <c r="K73" s="208"/>
      <c r="L73" s="208"/>
      <c r="M73" s="208"/>
      <c r="N73" s="208"/>
    </row>
    <row r="76" spans="1:14" x14ac:dyDescent="0.25">
      <c r="D76" s="13" t="s">
        <v>225</v>
      </c>
    </row>
    <row r="77" spans="1:14" x14ac:dyDescent="0.25">
      <c r="D77" s="13" t="s">
        <v>453</v>
      </c>
    </row>
    <row r="78" spans="1:14" x14ac:dyDescent="0.25">
      <c r="D78" s="13" t="s">
        <v>454</v>
      </c>
    </row>
  </sheetData>
  <mergeCells count="8">
    <mergeCell ref="H1:H2"/>
    <mergeCell ref="K1:K2"/>
    <mergeCell ref="F1:G1"/>
    <mergeCell ref="A1:A2"/>
    <mergeCell ref="B1:B2"/>
    <mergeCell ref="C1:C2"/>
    <mergeCell ref="D1:D2"/>
    <mergeCell ref="E1:E2"/>
  </mergeCells>
  <phoneticPr fontId="17"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C4A74-6665-4AF5-B6EE-774778303C3B}">
  <dimension ref="A1:Z50"/>
  <sheetViews>
    <sheetView zoomScale="85" zoomScaleNormal="85" workbookViewId="0">
      <pane xSplit="2" ySplit="1" topLeftCell="C25" activePane="bottomRight" state="frozen"/>
      <selection pane="topRight" activeCell="C1" sqref="C1"/>
      <selection pane="bottomLeft" activeCell="A2" sqref="A2"/>
      <selection pane="bottomRight" activeCell="D29" sqref="D29:D32"/>
    </sheetView>
  </sheetViews>
  <sheetFormatPr defaultRowHeight="15" x14ac:dyDescent="0.25"/>
  <cols>
    <col min="1" max="1" width="17.85546875" customWidth="1"/>
    <col min="2" max="2" width="14.42578125" customWidth="1"/>
    <col min="3" max="3" width="18.42578125" customWidth="1"/>
    <col min="4" max="4" width="15.85546875" customWidth="1"/>
    <col min="5" max="6" width="19.42578125" customWidth="1"/>
    <col min="7" max="7" width="14.42578125" customWidth="1"/>
    <col min="8" max="8" width="16.42578125" customWidth="1"/>
    <col min="9" max="9" width="23.85546875" customWidth="1"/>
    <col min="10" max="10" width="21.85546875" customWidth="1"/>
    <col min="11" max="11" width="11.42578125" customWidth="1"/>
    <col min="12" max="12" width="15.5703125" customWidth="1"/>
    <col min="13" max="13" width="19.85546875" customWidth="1"/>
    <col min="14" max="14" width="21.5703125" customWidth="1"/>
    <col min="15" max="15" width="12.140625" customWidth="1"/>
    <col min="16" max="16" width="15.5703125" customWidth="1"/>
    <col min="17" max="17" width="24.5703125" customWidth="1"/>
    <col min="18" max="18" width="26.85546875" customWidth="1"/>
    <col min="20" max="20" width="15.140625" customWidth="1"/>
    <col min="21" max="21" width="25.140625" customWidth="1"/>
    <col min="22" max="22" width="20.140625" customWidth="1"/>
    <col min="23" max="23" width="10" bestFit="1" customWidth="1"/>
    <col min="24" max="24" width="15.42578125" customWidth="1"/>
    <col min="25" max="25" width="20.42578125" customWidth="1"/>
    <col min="26" max="26" width="25.85546875" customWidth="1"/>
  </cols>
  <sheetData>
    <row r="1" spans="1:26" ht="15.75" thickBot="1" x14ac:dyDescent="0.3">
      <c r="C1" s="308" t="s">
        <v>31</v>
      </c>
      <c r="D1" s="309"/>
      <c r="E1" s="309"/>
      <c r="F1" s="310"/>
      <c r="G1" s="308" t="s">
        <v>32</v>
      </c>
      <c r="H1" s="309"/>
      <c r="I1" s="309"/>
      <c r="J1" s="310"/>
      <c r="K1" s="308" t="s">
        <v>33</v>
      </c>
      <c r="L1" s="309"/>
      <c r="M1" s="309"/>
      <c r="N1" s="310"/>
      <c r="O1" s="308" t="s">
        <v>34</v>
      </c>
      <c r="P1" s="309"/>
      <c r="Q1" s="309"/>
      <c r="R1" s="310"/>
      <c r="S1" s="308" t="s">
        <v>35</v>
      </c>
      <c r="T1" s="309"/>
      <c r="U1" s="309"/>
      <c r="V1" s="310"/>
      <c r="W1" s="308" t="s">
        <v>36</v>
      </c>
      <c r="X1" s="309"/>
      <c r="Y1" s="309"/>
      <c r="Z1" s="310"/>
    </row>
    <row r="2" spans="1:26" ht="15.75" thickBot="1" x14ac:dyDescent="0.3">
      <c r="A2" s="311" t="s">
        <v>37</v>
      </c>
      <c r="B2" s="312"/>
      <c r="C2" s="20" t="s">
        <v>38</v>
      </c>
      <c r="D2" s="21" t="s">
        <v>39</v>
      </c>
      <c r="E2" s="21" t="s">
        <v>38</v>
      </c>
      <c r="F2" s="22" t="s">
        <v>29</v>
      </c>
      <c r="G2" s="23" t="s">
        <v>38</v>
      </c>
      <c r="H2" s="21" t="s">
        <v>39</v>
      </c>
      <c r="I2" s="21" t="s">
        <v>38</v>
      </c>
      <c r="J2" s="22" t="s">
        <v>29</v>
      </c>
      <c r="K2" s="23" t="s">
        <v>38</v>
      </c>
      <c r="L2" s="21" t="s">
        <v>39</v>
      </c>
      <c r="M2" s="21" t="s">
        <v>38</v>
      </c>
      <c r="N2" s="22" t="s">
        <v>29</v>
      </c>
      <c r="O2" s="23" t="s">
        <v>38</v>
      </c>
      <c r="P2" s="21" t="s">
        <v>39</v>
      </c>
      <c r="Q2" s="21" t="s">
        <v>38</v>
      </c>
      <c r="R2" s="22" t="s">
        <v>29</v>
      </c>
      <c r="S2" s="23" t="s">
        <v>38</v>
      </c>
      <c r="T2" s="21" t="s">
        <v>39</v>
      </c>
      <c r="U2" s="21" t="s">
        <v>38</v>
      </c>
      <c r="V2" s="22" t="s">
        <v>29</v>
      </c>
      <c r="W2" s="23" t="s">
        <v>38</v>
      </c>
      <c r="X2" s="21" t="s">
        <v>39</v>
      </c>
      <c r="Y2" s="21" t="s">
        <v>38</v>
      </c>
      <c r="Z2" s="22" t="s">
        <v>29</v>
      </c>
    </row>
    <row r="3" spans="1:26" ht="286.5" customHeight="1" x14ac:dyDescent="0.25">
      <c r="A3" s="313" t="s">
        <v>40</v>
      </c>
      <c r="B3" s="316" t="s">
        <v>41</v>
      </c>
      <c r="C3" s="318" t="s">
        <v>42</v>
      </c>
      <c r="D3" s="25" t="s">
        <v>43</v>
      </c>
      <c r="E3" s="18" t="s">
        <v>44</v>
      </c>
      <c r="F3" s="26" t="s">
        <v>45</v>
      </c>
      <c r="G3" s="318" t="s">
        <v>42</v>
      </c>
      <c r="H3" s="25" t="s">
        <v>43</v>
      </c>
      <c r="I3" s="18" t="s">
        <v>44</v>
      </c>
      <c r="J3" s="26" t="s">
        <v>45</v>
      </c>
      <c r="K3" s="332" t="s">
        <v>46</v>
      </c>
      <c r="L3" s="27" t="s">
        <v>43</v>
      </c>
      <c r="M3" s="28" t="s">
        <v>44</v>
      </c>
      <c r="N3" s="29" t="s">
        <v>47</v>
      </c>
      <c r="O3" s="318" t="s">
        <v>48</v>
      </c>
      <c r="P3" s="25" t="s">
        <v>43</v>
      </c>
      <c r="Q3" s="30"/>
      <c r="R3" s="31" t="s">
        <v>49</v>
      </c>
      <c r="S3" s="321"/>
      <c r="T3" s="32" t="s">
        <v>43</v>
      </c>
      <c r="U3" s="33"/>
      <c r="V3" s="34" t="s">
        <v>50</v>
      </c>
      <c r="W3" s="318" t="s">
        <v>51</v>
      </c>
      <c r="X3" s="25" t="s">
        <v>43</v>
      </c>
      <c r="Y3" s="30"/>
      <c r="Z3" s="26" t="s">
        <v>52</v>
      </c>
    </row>
    <row r="4" spans="1:26" x14ac:dyDescent="0.25">
      <c r="A4" s="314"/>
      <c r="B4" s="317"/>
      <c r="C4" s="319"/>
      <c r="D4" s="36" t="s">
        <v>53</v>
      </c>
      <c r="E4" s="37">
        <v>13900244911</v>
      </c>
      <c r="F4" s="38"/>
      <c r="G4" s="319"/>
      <c r="H4" s="36" t="s">
        <v>53</v>
      </c>
      <c r="I4" s="37">
        <v>13900244911</v>
      </c>
      <c r="J4" s="38"/>
      <c r="K4" s="327"/>
      <c r="L4" s="39" t="s">
        <v>53</v>
      </c>
      <c r="M4" s="40">
        <v>13900244911</v>
      </c>
      <c r="N4" s="41"/>
      <c r="O4" s="319"/>
      <c r="P4" s="36" t="s">
        <v>53</v>
      </c>
      <c r="Q4" s="42">
        <v>13900244911</v>
      </c>
      <c r="R4" s="38"/>
      <c r="S4" s="321"/>
      <c r="T4" s="43" t="s">
        <v>53</v>
      </c>
      <c r="U4" s="44">
        <v>13900244911</v>
      </c>
      <c r="V4" s="45"/>
      <c r="W4" s="319"/>
      <c r="X4" s="36" t="s">
        <v>53</v>
      </c>
      <c r="Y4" s="1"/>
      <c r="Z4" s="38"/>
    </row>
    <row r="5" spans="1:26" x14ac:dyDescent="0.25">
      <c r="A5" s="314"/>
      <c r="B5" s="317"/>
      <c r="C5" s="319"/>
      <c r="D5" s="36" t="s">
        <v>54</v>
      </c>
      <c r="E5" s="1" t="s">
        <v>55</v>
      </c>
      <c r="F5" s="38"/>
      <c r="G5" s="319"/>
      <c r="H5" s="36" t="s">
        <v>54</v>
      </c>
      <c r="I5" s="1" t="s">
        <v>55</v>
      </c>
      <c r="J5" s="38"/>
      <c r="K5" s="327"/>
      <c r="L5" s="39" t="s">
        <v>54</v>
      </c>
      <c r="M5" s="46" t="s">
        <v>55</v>
      </c>
      <c r="N5" s="41"/>
      <c r="O5" s="319"/>
      <c r="P5" s="36" t="s">
        <v>54</v>
      </c>
      <c r="Q5" s="47" t="s">
        <v>55</v>
      </c>
      <c r="R5" s="38"/>
      <c r="S5" s="321"/>
      <c r="T5" s="43" t="s">
        <v>54</v>
      </c>
      <c r="U5" s="48" t="s">
        <v>55</v>
      </c>
      <c r="V5" s="45"/>
      <c r="W5" s="319"/>
      <c r="X5" s="36" t="s">
        <v>54</v>
      </c>
      <c r="Y5" s="1"/>
      <c r="Z5" s="38"/>
    </row>
    <row r="6" spans="1:26" ht="87" customHeight="1" x14ac:dyDescent="0.25">
      <c r="A6" s="314"/>
      <c r="B6" s="317"/>
      <c r="C6" s="319"/>
      <c r="D6" s="36" t="s">
        <v>56</v>
      </c>
      <c r="E6" s="49" t="s">
        <v>57</v>
      </c>
      <c r="F6" s="38"/>
      <c r="G6" s="319"/>
      <c r="H6" s="36" t="s">
        <v>56</v>
      </c>
      <c r="I6" s="49" t="s">
        <v>57</v>
      </c>
      <c r="J6" s="38"/>
      <c r="K6" s="327"/>
      <c r="L6" s="39" t="s">
        <v>56</v>
      </c>
      <c r="M6" s="50" t="s">
        <v>57</v>
      </c>
      <c r="N6" s="41"/>
      <c r="O6" s="319"/>
      <c r="P6" s="36" t="s">
        <v>56</v>
      </c>
      <c r="Q6" s="51" t="s">
        <v>57</v>
      </c>
      <c r="R6" s="38"/>
      <c r="S6" s="321"/>
      <c r="T6" s="43" t="s">
        <v>56</v>
      </c>
      <c r="U6" s="52" t="s">
        <v>57</v>
      </c>
      <c r="V6" s="45"/>
      <c r="W6" s="319"/>
      <c r="X6" s="36" t="s">
        <v>56</v>
      </c>
      <c r="Y6" s="49" t="s">
        <v>57</v>
      </c>
      <c r="Z6" s="38"/>
    </row>
    <row r="7" spans="1:26" x14ac:dyDescent="0.25">
      <c r="A7" s="314"/>
      <c r="B7" s="317"/>
      <c r="C7" s="319"/>
      <c r="D7" s="36" t="s">
        <v>58</v>
      </c>
      <c r="E7" s="1" t="s">
        <v>59</v>
      </c>
      <c r="F7" s="38"/>
      <c r="G7" s="319"/>
      <c r="H7" s="36" t="s">
        <v>58</v>
      </c>
      <c r="I7" s="1" t="s">
        <v>59</v>
      </c>
      <c r="J7" s="38"/>
      <c r="K7" s="327"/>
      <c r="L7" s="39" t="s">
        <v>58</v>
      </c>
      <c r="M7" s="46" t="s">
        <v>59</v>
      </c>
      <c r="N7" s="41"/>
      <c r="O7" s="319"/>
      <c r="P7" s="36" t="s">
        <v>58</v>
      </c>
      <c r="Q7" s="47" t="s">
        <v>59</v>
      </c>
      <c r="R7" s="38"/>
      <c r="S7" s="321"/>
      <c r="T7" s="43" t="s">
        <v>58</v>
      </c>
      <c r="U7" s="48" t="s">
        <v>59</v>
      </c>
      <c r="V7" s="45"/>
      <c r="W7" s="319"/>
      <c r="X7" s="36" t="s">
        <v>58</v>
      </c>
      <c r="Y7" s="1"/>
      <c r="Z7" s="38"/>
    </row>
    <row r="8" spans="1:26" x14ac:dyDescent="0.25">
      <c r="A8" s="314"/>
      <c r="B8" s="317"/>
      <c r="C8" s="320"/>
      <c r="D8" s="36" t="s">
        <v>60</v>
      </c>
      <c r="E8" s="1"/>
      <c r="F8" s="38" t="s">
        <v>61</v>
      </c>
      <c r="G8" s="320"/>
      <c r="H8" s="36" t="s">
        <v>60</v>
      </c>
      <c r="I8" s="1"/>
      <c r="J8" s="38" t="s">
        <v>61</v>
      </c>
      <c r="K8" s="333"/>
      <c r="L8" s="39" t="s">
        <v>60</v>
      </c>
      <c r="M8" s="46"/>
      <c r="N8" s="41"/>
      <c r="O8" s="320"/>
      <c r="P8" s="36" t="s">
        <v>60</v>
      </c>
      <c r="Q8" s="47"/>
      <c r="R8" s="38"/>
      <c r="S8" s="322"/>
      <c r="T8" s="43" t="s">
        <v>60</v>
      </c>
      <c r="U8" s="48"/>
      <c r="V8" s="45"/>
      <c r="W8" s="320"/>
      <c r="X8" s="36" t="s">
        <v>60</v>
      </c>
      <c r="Y8" s="1"/>
      <c r="Z8" s="38"/>
    </row>
    <row r="9" spans="1:26" ht="30" x14ac:dyDescent="0.25">
      <c r="A9" s="314"/>
      <c r="B9" s="317" t="s">
        <v>62</v>
      </c>
      <c r="C9" s="324" t="s">
        <v>63</v>
      </c>
      <c r="D9" s="36" t="s">
        <v>64</v>
      </c>
      <c r="E9" s="53" t="s">
        <v>65</v>
      </c>
      <c r="F9" s="38"/>
      <c r="G9" s="324" t="s">
        <v>63</v>
      </c>
      <c r="H9" s="36" t="s">
        <v>64</v>
      </c>
      <c r="I9" s="53" t="s">
        <v>65</v>
      </c>
      <c r="J9" s="38"/>
      <c r="K9" s="326" t="s">
        <v>66</v>
      </c>
      <c r="L9" s="39" t="s">
        <v>64</v>
      </c>
      <c r="M9" s="54" t="s">
        <v>65</v>
      </c>
      <c r="N9" s="41"/>
      <c r="O9" s="324" t="s">
        <v>67</v>
      </c>
      <c r="P9" s="36" t="s">
        <v>64</v>
      </c>
      <c r="Q9" s="53" t="s">
        <v>65</v>
      </c>
      <c r="R9" s="38"/>
      <c r="S9" s="329"/>
      <c r="T9" s="43" t="s">
        <v>64</v>
      </c>
      <c r="U9" s="48"/>
      <c r="V9" s="45"/>
      <c r="W9" s="331"/>
      <c r="X9" s="36" t="s">
        <v>64</v>
      </c>
      <c r="Y9" s="1"/>
      <c r="Z9" s="38"/>
    </row>
    <row r="10" spans="1:26" x14ac:dyDescent="0.25">
      <c r="A10" s="314"/>
      <c r="B10" s="317"/>
      <c r="C10" s="319"/>
      <c r="D10" s="36" t="s">
        <v>68</v>
      </c>
      <c r="E10" s="1"/>
      <c r="F10" s="38"/>
      <c r="G10" s="319"/>
      <c r="H10" s="36" t="s">
        <v>68</v>
      </c>
      <c r="I10" s="1"/>
      <c r="J10" s="38"/>
      <c r="K10" s="327"/>
      <c r="L10" s="39" t="s">
        <v>68</v>
      </c>
      <c r="M10" s="46"/>
      <c r="N10" s="41"/>
      <c r="O10" s="319"/>
      <c r="P10" s="36" t="s">
        <v>68</v>
      </c>
      <c r="Q10" s="1"/>
      <c r="R10" s="38"/>
      <c r="S10" s="321"/>
      <c r="T10" s="43" t="s">
        <v>68</v>
      </c>
      <c r="U10" s="48"/>
      <c r="V10" s="45"/>
      <c r="W10" s="319"/>
      <c r="X10" s="36" t="s">
        <v>68</v>
      </c>
      <c r="Y10" s="1"/>
      <c r="Z10" s="38"/>
    </row>
    <row r="11" spans="1:26" x14ac:dyDescent="0.25">
      <c r="A11" s="314"/>
      <c r="B11" s="317"/>
      <c r="C11" s="319"/>
      <c r="D11" s="36" t="s">
        <v>58</v>
      </c>
      <c r="E11" s="1"/>
      <c r="F11" s="38"/>
      <c r="G11" s="319"/>
      <c r="H11" s="36" t="s">
        <v>58</v>
      </c>
      <c r="I11" s="1"/>
      <c r="J11" s="38"/>
      <c r="K11" s="327"/>
      <c r="L11" s="39" t="s">
        <v>58</v>
      </c>
      <c r="M11" s="46"/>
      <c r="N11" s="41"/>
      <c r="O11" s="319"/>
      <c r="P11" s="36" t="s">
        <v>58</v>
      </c>
      <c r="Q11" s="1"/>
      <c r="R11" s="38"/>
      <c r="S11" s="321"/>
      <c r="T11" s="43" t="s">
        <v>58</v>
      </c>
      <c r="U11" s="48"/>
      <c r="V11" s="45"/>
      <c r="W11" s="319"/>
      <c r="X11" s="36" t="s">
        <v>58</v>
      </c>
      <c r="Y11" s="1"/>
      <c r="Z11" s="38"/>
    </row>
    <row r="12" spans="1:26" ht="15.75" thickBot="1" x14ac:dyDescent="0.3">
      <c r="A12" s="315"/>
      <c r="B12" s="323"/>
      <c r="C12" s="325"/>
      <c r="D12" s="55" t="s">
        <v>60</v>
      </c>
      <c r="E12" s="56"/>
      <c r="F12" s="57"/>
      <c r="G12" s="325"/>
      <c r="H12" s="55" t="s">
        <v>60</v>
      </c>
      <c r="I12" s="56"/>
      <c r="J12" s="57"/>
      <c r="K12" s="328"/>
      <c r="L12" s="58" t="s">
        <v>60</v>
      </c>
      <c r="M12" s="59"/>
      <c r="N12" s="60"/>
      <c r="O12" s="325"/>
      <c r="P12" s="55" t="s">
        <v>60</v>
      </c>
      <c r="Q12" s="56"/>
      <c r="R12" s="57"/>
      <c r="S12" s="330"/>
      <c r="T12" s="61" t="s">
        <v>60</v>
      </c>
      <c r="U12" s="62"/>
      <c r="V12" s="63"/>
      <c r="W12" s="325"/>
      <c r="X12" s="55" t="s">
        <v>60</v>
      </c>
      <c r="Y12" s="56"/>
      <c r="Z12" s="57"/>
    </row>
    <row r="13" spans="1:26" x14ac:dyDescent="0.25">
      <c r="A13" s="334" t="s">
        <v>69</v>
      </c>
      <c r="B13" s="337" t="s">
        <v>70</v>
      </c>
      <c r="C13" s="338">
        <v>100170460</v>
      </c>
      <c r="D13" s="64" t="s">
        <v>71</v>
      </c>
      <c r="E13" s="65">
        <v>10573076</v>
      </c>
      <c r="F13" s="66"/>
      <c r="G13" s="340">
        <v>10949272</v>
      </c>
      <c r="H13" s="64" t="s">
        <v>71</v>
      </c>
      <c r="I13" s="65">
        <v>10573076</v>
      </c>
      <c r="J13" s="66"/>
      <c r="K13" s="340">
        <v>10949272</v>
      </c>
      <c r="L13" s="64" t="s">
        <v>71</v>
      </c>
      <c r="M13" s="65">
        <v>10573076</v>
      </c>
      <c r="N13" s="66"/>
      <c r="O13" s="338">
        <v>100170460</v>
      </c>
      <c r="P13" s="64" t="s">
        <v>71</v>
      </c>
      <c r="Q13" s="65">
        <v>10573076</v>
      </c>
      <c r="R13" s="66"/>
      <c r="S13" s="342"/>
      <c r="T13" s="67" t="s">
        <v>71</v>
      </c>
      <c r="U13" s="67"/>
      <c r="V13" s="68"/>
      <c r="W13" s="345"/>
      <c r="X13" s="64" t="s">
        <v>71</v>
      </c>
      <c r="Y13" s="64"/>
      <c r="Z13" s="66"/>
    </row>
    <row r="14" spans="1:26" x14ac:dyDescent="0.25">
      <c r="A14" s="335"/>
      <c r="B14" s="317"/>
      <c r="C14" s="339"/>
      <c r="D14" s="1" t="s">
        <v>72</v>
      </c>
      <c r="E14" s="12">
        <v>10561136</v>
      </c>
      <c r="F14" s="38"/>
      <c r="G14" s="341"/>
      <c r="H14" s="1" t="s">
        <v>72</v>
      </c>
      <c r="I14" s="12">
        <v>10561136</v>
      </c>
      <c r="J14" s="38"/>
      <c r="K14" s="341"/>
      <c r="L14" s="1" t="s">
        <v>72</v>
      </c>
      <c r="M14" s="12">
        <v>10561136</v>
      </c>
      <c r="N14" s="38"/>
      <c r="O14" s="339"/>
      <c r="P14" s="1" t="s">
        <v>72</v>
      </c>
      <c r="Q14" s="47">
        <v>10561136</v>
      </c>
      <c r="R14" s="38"/>
      <c r="S14" s="343"/>
      <c r="T14" s="48" t="s">
        <v>72</v>
      </c>
      <c r="U14" s="48"/>
      <c r="V14" s="45"/>
      <c r="W14" s="346"/>
      <c r="X14" s="1" t="s">
        <v>72</v>
      </c>
      <c r="Y14" s="1"/>
      <c r="Z14" s="38" t="s">
        <v>73</v>
      </c>
    </row>
    <row r="15" spans="1:26" x14ac:dyDescent="0.25">
      <c r="A15" s="335"/>
      <c r="B15" s="317"/>
      <c r="C15" s="339"/>
      <c r="D15" s="1" t="s">
        <v>74</v>
      </c>
      <c r="E15" s="47" t="s">
        <v>75</v>
      </c>
      <c r="F15" s="38"/>
      <c r="G15" s="341"/>
      <c r="H15" s="1" t="s">
        <v>74</v>
      </c>
      <c r="I15" s="47" t="s">
        <v>75</v>
      </c>
      <c r="J15" s="38"/>
      <c r="K15" s="341"/>
      <c r="L15" s="1" t="s">
        <v>74</v>
      </c>
      <c r="M15" s="47" t="s">
        <v>75</v>
      </c>
      <c r="N15" s="38"/>
      <c r="O15" s="339"/>
      <c r="P15" s="1" t="s">
        <v>74</v>
      </c>
      <c r="Q15" s="12" t="s">
        <v>75</v>
      </c>
      <c r="R15" s="38"/>
      <c r="S15" s="343"/>
      <c r="T15" s="48" t="s">
        <v>74</v>
      </c>
      <c r="U15" s="48"/>
      <c r="V15" s="45"/>
      <c r="W15" s="346"/>
      <c r="X15" s="1" t="s">
        <v>74</v>
      </c>
      <c r="Y15" s="1"/>
      <c r="Z15" s="38"/>
    </row>
    <row r="16" spans="1:26" x14ac:dyDescent="0.25">
      <c r="A16" s="335"/>
      <c r="B16" s="317"/>
      <c r="C16" s="339"/>
      <c r="D16" s="1" t="s">
        <v>76</v>
      </c>
      <c r="E16" s="47">
        <v>102895</v>
      </c>
      <c r="F16" s="38"/>
      <c r="G16" s="341"/>
      <c r="H16" s="1" t="s">
        <v>76</v>
      </c>
      <c r="I16" s="70" t="s">
        <v>77</v>
      </c>
      <c r="J16" s="71" t="s">
        <v>78</v>
      </c>
      <c r="K16" s="341"/>
      <c r="L16" s="1" t="s">
        <v>76</v>
      </c>
      <c r="M16" s="70" t="s">
        <v>79</v>
      </c>
      <c r="N16" s="71" t="s">
        <v>78</v>
      </c>
      <c r="O16" s="339"/>
      <c r="P16" s="1" t="s">
        <v>76</v>
      </c>
      <c r="Q16" s="70" t="s">
        <v>80</v>
      </c>
      <c r="R16" s="72" t="s">
        <v>81</v>
      </c>
      <c r="S16" s="344"/>
      <c r="T16" s="48" t="s">
        <v>82</v>
      </c>
      <c r="U16" s="48"/>
      <c r="V16" s="45"/>
      <c r="W16" s="347"/>
      <c r="X16" s="1" t="s">
        <v>76</v>
      </c>
      <c r="Y16" s="1"/>
      <c r="Z16" s="71" t="s">
        <v>78</v>
      </c>
    </row>
    <row r="17" spans="1:26" x14ac:dyDescent="0.25">
      <c r="A17" s="335"/>
      <c r="B17" s="317" t="s">
        <v>83</v>
      </c>
      <c r="C17" s="339">
        <v>100170464</v>
      </c>
      <c r="D17" s="36" t="s">
        <v>71</v>
      </c>
      <c r="E17" s="73">
        <v>10573076</v>
      </c>
      <c r="F17" s="38"/>
      <c r="G17" s="341">
        <v>10949356</v>
      </c>
      <c r="H17" s="1" t="s">
        <v>71</v>
      </c>
      <c r="I17" s="73">
        <v>10573076</v>
      </c>
      <c r="J17" s="38"/>
      <c r="K17" s="341">
        <v>10949356</v>
      </c>
      <c r="L17" s="1" t="s">
        <v>71</v>
      </c>
      <c r="M17" s="73">
        <v>10573076</v>
      </c>
      <c r="N17" s="38"/>
      <c r="O17" s="339">
        <v>100170464</v>
      </c>
      <c r="P17" s="1" t="s">
        <v>71</v>
      </c>
      <c r="Q17" s="15">
        <v>10573076</v>
      </c>
      <c r="R17" s="38"/>
      <c r="S17" s="348"/>
      <c r="T17" s="48" t="s">
        <v>71</v>
      </c>
      <c r="U17" s="48"/>
      <c r="V17" s="45"/>
      <c r="W17" s="349"/>
      <c r="X17" s="1" t="s">
        <v>71</v>
      </c>
      <c r="Y17" s="1"/>
      <c r="Z17" s="38"/>
    </row>
    <row r="18" spans="1:26" x14ac:dyDescent="0.25">
      <c r="A18" s="335"/>
      <c r="B18" s="317"/>
      <c r="C18" s="339"/>
      <c r="D18" s="36" t="s">
        <v>72</v>
      </c>
      <c r="E18" s="74">
        <v>10572700</v>
      </c>
      <c r="F18" s="38"/>
      <c r="G18" s="341"/>
      <c r="H18" s="1" t="s">
        <v>72</v>
      </c>
      <c r="I18" s="74">
        <v>10572700</v>
      </c>
      <c r="J18" s="38"/>
      <c r="K18" s="341"/>
      <c r="L18" s="1" t="s">
        <v>72</v>
      </c>
      <c r="M18" s="74">
        <v>10572700</v>
      </c>
      <c r="N18" s="38"/>
      <c r="O18" s="339"/>
      <c r="P18" s="1" t="s">
        <v>72</v>
      </c>
      <c r="Q18" s="75">
        <v>10572700</v>
      </c>
      <c r="R18" s="38" t="s">
        <v>84</v>
      </c>
      <c r="S18" s="343"/>
      <c r="T18" s="48" t="s">
        <v>72</v>
      </c>
      <c r="U18" s="48"/>
      <c r="V18" s="45"/>
      <c r="W18" s="346"/>
      <c r="X18" s="1" t="s">
        <v>72</v>
      </c>
      <c r="Y18" s="1"/>
      <c r="Z18" s="38"/>
    </row>
    <row r="19" spans="1:26" x14ac:dyDescent="0.25">
      <c r="A19" s="335"/>
      <c r="B19" s="317"/>
      <c r="C19" s="339"/>
      <c r="D19" s="36" t="s">
        <v>74</v>
      </c>
      <c r="E19" s="47" t="s">
        <v>85</v>
      </c>
      <c r="F19" s="38"/>
      <c r="G19" s="341"/>
      <c r="H19" s="1" t="s">
        <v>74</v>
      </c>
      <c r="I19" s="47" t="s">
        <v>85</v>
      </c>
      <c r="J19" s="38"/>
      <c r="K19" s="341"/>
      <c r="L19" s="1" t="s">
        <v>74</v>
      </c>
      <c r="M19" s="47" t="s">
        <v>85</v>
      </c>
      <c r="N19" s="38"/>
      <c r="O19" s="339"/>
      <c r="P19" s="1" t="s">
        <v>74</v>
      </c>
      <c r="Q19" s="70" t="s">
        <v>86</v>
      </c>
      <c r="R19" s="38" t="s">
        <v>87</v>
      </c>
      <c r="S19" s="343"/>
      <c r="T19" s="48" t="s">
        <v>74</v>
      </c>
      <c r="U19" s="76" t="s">
        <v>85</v>
      </c>
      <c r="V19" s="45"/>
      <c r="W19" s="346"/>
      <c r="X19" s="1" t="s">
        <v>74</v>
      </c>
      <c r="Y19" s="47" t="s">
        <v>85</v>
      </c>
      <c r="Z19" s="38"/>
    </row>
    <row r="20" spans="1:26" x14ac:dyDescent="0.25">
      <c r="A20" s="335"/>
      <c r="B20" s="317"/>
      <c r="C20" s="339"/>
      <c r="D20" s="1" t="s">
        <v>76</v>
      </c>
      <c r="E20" s="12">
        <v>102895</v>
      </c>
      <c r="F20" s="38"/>
      <c r="G20" s="341"/>
      <c r="H20" s="1" t="s">
        <v>76</v>
      </c>
      <c r="I20" s="70" t="s">
        <v>77</v>
      </c>
      <c r="J20" s="71" t="s">
        <v>78</v>
      </c>
      <c r="K20" s="341"/>
      <c r="L20" s="1" t="s">
        <v>76</v>
      </c>
      <c r="M20" s="70" t="s">
        <v>79</v>
      </c>
      <c r="N20" s="71" t="s">
        <v>78</v>
      </c>
      <c r="O20" s="339"/>
      <c r="P20" s="1" t="s">
        <v>76</v>
      </c>
      <c r="Q20" s="77">
        <v>102895</v>
      </c>
      <c r="R20" s="38"/>
      <c r="S20" s="344"/>
      <c r="T20" s="48" t="s">
        <v>76</v>
      </c>
      <c r="U20" s="48"/>
      <c r="V20" s="45"/>
      <c r="W20" s="347"/>
      <c r="X20" s="1" t="s">
        <v>76</v>
      </c>
      <c r="Y20" s="1"/>
      <c r="Z20" s="71" t="s">
        <v>78</v>
      </c>
    </row>
    <row r="21" spans="1:26" x14ac:dyDescent="0.25">
      <c r="A21" s="335"/>
      <c r="B21" s="317" t="s">
        <v>88</v>
      </c>
      <c r="C21" s="339" t="s">
        <v>89</v>
      </c>
      <c r="D21" s="36" t="s">
        <v>71</v>
      </c>
      <c r="E21" s="46"/>
      <c r="F21" s="41"/>
      <c r="G21" s="339" t="s">
        <v>89</v>
      </c>
      <c r="H21" s="1" t="s">
        <v>71</v>
      </c>
      <c r="I21" s="46"/>
      <c r="J21" s="41"/>
      <c r="K21" s="339" t="s">
        <v>89</v>
      </c>
      <c r="L21" s="1" t="s">
        <v>71</v>
      </c>
      <c r="M21" s="46"/>
      <c r="N21" s="41"/>
      <c r="O21" s="341">
        <v>10851208</v>
      </c>
      <c r="P21" s="1" t="s">
        <v>71</v>
      </c>
      <c r="Q21" s="47">
        <v>10573076</v>
      </c>
      <c r="R21" s="38"/>
      <c r="S21" s="348"/>
      <c r="T21" s="48" t="s">
        <v>71</v>
      </c>
      <c r="U21" s="48"/>
      <c r="V21" s="45"/>
      <c r="W21" s="349"/>
      <c r="X21" s="1" t="s">
        <v>71</v>
      </c>
      <c r="Y21" s="46"/>
      <c r="Z21" s="41"/>
    </row>
    <row r="22" spans="1:26" x14ac:dyDescent="0.25">
      <c r="A22" s="335"/>
      <c r="B22" s="317"/>
      <c r="C22" s="339"/>
      <c r="D22" s="36" t="s">
        <v>72</v>
      </c>
      <c r="E22" s="46"/>
      <c r="F22" s="41"/>
      <c r="G22" s="339"/>
      <c r="H22" s="1" t="s">
        <v>72</v>
      </c>
      <c r="I22" s="46"/>
      <c r="J22" s="41"/>
      <c r="K22" s="339"/>
      <c r="L22" s="1" t="s">
        <v>72</v>
      </c>
      <c r="M22" s="46"/>
      <c r="N22" s="41"/>
      <c r="O22" s="341"/>
      <c r="P22" s="1" t="s">
        <v>72</v>
      </c>
      <c r="Q22" s="47">
        <v>10882275</v>
      </c>
      <c r="R22" s="38" t="s">
        <v>90</v>
      </c>
      <c r="S22" s="343"/>
      <c r="T22" s="48" t="s">
        <v>72</v>
      </c>
      <c r="U22" s="48"/>
      <c r="V22" s="45"/>
      <c r="W22" s="346"/>
      <c r="X22" s="1" t="s">
        <v>72</v>
      </c>
      <c r="Y22" s="46"/>
      <c r="Z22" s="41"/>
    </row>
    <row r="23" spans="1:26" x14ac:dyDescent="0.25">
      <c r="A23" s="335"/>
      <c r="B23" s="317"/>
      <c r="C23" s="339"/>
      <c r="D23" s="36" t="s">
        <v>74</v>
      </c>
      <c r="E23" s="46"/>
      <c r="F23" s="41"/>
      <c r="G23" s="339"/>
      <c r="H23" s="1" t="s">
        <v>74</v>
      </c>
      <c r="I23" s="46"/>
      <c r="J23" s="41"/>
      <c r="K23" s="339"/>
      <c r="L23" s="1" t="s">
        <v>74</v>
      </c>
      <c r="M23" s="46"/>
      <c r="N23" s="41"/>
      <c r="O23" s="341"/>
      <c r="P23" s="1" t="s">
        <v>74</v>
      </c>
      <c r="Q23" s="47" t="s">
        <v>91</v>
      </c>
      <c r="R23" s="38"/>
      <c r="S23" s="343"/>
      <c r="T23" s="48" t="s">
        <v>74</v>
      </c>
      <c r="U23" s="48"/>
      <c r="V23" s="45"/>
      <c r="W23" s="346"/>
      <c r="X23" s="1" t="s">
        <v>74</v>
      </c>
      <c r="Y23" s="46"/>
      <c r="Z23" s="41"/>
    </row>
    <row r="24" spans="1:26" x14ac:dyDescent="0.25">
      <c r="A24" s="335"/>
      <c r="B24" s="317"/>
      <c r="C24" s="339"/>
      <c r="D24" s="36" t="s">
        <v>82</v>
      </c>
      <c r="E24" s="46"/>
      <c r="F24" s="41"/>
      <c r="G24" s="339"/>
      <c r="H24" s="1" t="s">
        <v>82</v>
      </c>
      <c r="I24" s="46"/>
      <c r="J24" s="41"/>
      <c r="K24" s="339"/>
      <c r="L24" s="1" t="s">
        <v>82</v>
      </c>
      <c r="M24" s="46"/>
      <c r="N24" s="41"/>
      <c r="O24" s="341"/>
      <c r="P24" s="1" t="s">
        <v>76</v>
      </c>
      <c r="Q24" s="70" t="s">
        <v>80</v>
      </c>
      <c r="R24" s="72" t="s">
        <v>92</v>
      </c>
      <c r="S24" s="344"/>
      <c r="T24" s="48" t="s">
        <v>82</v>
      </c>
      <c r="U24" s="48"/>
      <c r="V24" s="45"/>
      <c r="W24" s="347"/>
      <c r="X24" s="1" t="s">
        <v>82</v>
      </c>
      <c r="Y24" s="46"/>
      <c r="Z24" s="41"/>
    </row>
    <row r="25" spans="1:26" x14ac:dyDescent="0.25">
      <c r="A25" s="335"/>
      <c r="B25" s="317" t="s">
        <v>93</v>
      </c>
      <c r="C25" s="339" t="s">
        <v>89</v>
      </c>
      <c r="D25" s="36" t="s">
        <v>71</v>
      </c>
      <c r="E25" s="46"/>
      <c r="F25" s="41"/>
      <c r="G25" s="339" t="s">
        <v>89</v>
      </c>
      <c r="H25" s="1" t="s">
        <v>71</v>
      </c>
      <c r="I25" s="46"/>
      <c r="J25" s="41"/>
      <c r="K25" s="339" t="s">
        <v>89</v>
      </c>
      <c r="L25" s="1" t="s">
        <v>71</v>
      </c>
      <c r="M25" s="46"/>
      <c r="N25" s="41"/>
      <c r="O25" s="350"/>
      <c r="P25" s="46" t="s">
        <v>71</v>
      </c>
      <c r="Q25" s="46"/>
      <c r="R25" s="41"/>
      <c r="S25" s="348"/>
      <c r="T25" s="48" t="s">
        <v>71</v>
      </c>
      <c r="U25" s="48"/>
      <c r="V25" s="45"/>
      <c r="W25" s="349"/>
      <c r="X25" s="1" t="s">
        <v>71</v>
      </c>
      <c r="Y25" s="46"/>
      <c r="Z25" s="41"/>
    </row>
    <row r="26" spans="1:26" x14ac:dyDescent="0.25">
      <c r="A26" s="335"/>
      <c r="B26" s="317"/>
      <c r="C26" s="339"/>
      <c r="D26" s="36" t="s">
        <v>72</v>
      </c>
      <c r="E26" s="46"/>
      <c r="F26" s="41"/>
      <c r="G26" s="339"/>
      <c r="H26" s="1" t="s">
        <v>72</v>
      </c>
      <c r="I26" s="46"/>
      <c r="J26" s="41"/>
      <c r="K26" s="339"/>
      <c r="L26" s="1" t="s">
        <v>72</v>
      </c>
      <c r="M26" s="46"/>
      <c r="N26" s="41"/>
      <c r="O26" s="351"/>
      <c r="P26" s="46" t="s">
        <v>72</v>
      </c>
      <c r="Q26" s="46"/>
      <c r="R26" s="41"/>
      <c r="S26" s="343"/>
      <c r="T26" s="48" t="s">
        <v>72</v>
      </c>
      <c r="U26" s="48"/>
      <c r="V26" s="45"/>
      <c r="W26" s="346"/>
      <c r="X26" s="1" t="s">
        <v>72</v>
      </c>
      <c r="Y26" s="46"/>
      <c r="Z26" s="41"/>
    </row>
    <row r="27" spans="1:26" x14ac:dyDescent="0.25">
      <c r="A27" s="335"/>
      <c r="B27" s="317"/>
      <c r="C27" s="339"/>
      <c r="D27" s="36" t="s">
        <v>74</v>
      </c>
      <c r="E27" s="46"/>
      <c r="F27" s="41"/>
      <c r="G27" s="339"/>
      <c r="H27" s="1" t="s">
        <v>74</v>
      </c>
      <c r="I27" s="46"/>
      <c r="J27" s="41"/>
      <c r="K27" s="339"/>
      <c r="L27" s="1" t="s">
        <v>74</v>
      </c>
      <c r="M27" s="46"/>
      <c r="N27" s="41"/>
      <c r="O27" s="351"/>
      <c r="P27" s="46" t="s">
        <v>74</v>
      </c>
      <c r="Q27" s="46"/>
      <c r="R27" s="41"/>
      <c r="S27" s="343"/>
      <c r="T27" s="48" t="s">
        <v>74</v>
      </c>
      <c r="U27" s="48"/>
      <c r="V27" s="45"/>
      <c r="W27" s="346"/>
      <c r="X27" s="1" t="s">
        <v>74</v>
      </c>
      <c r="Y27" s="46"/>
      <c r="Z27" s="41"/>
    </row>
    <row r="28" spans="1:26" ht="15.75" thickBot="1" x14ac:dyDescent="0.3">
      <c r="A28" s="336"/>
      <c r="B28" s="323"/>
      <c r="C28" s="339"/>
      <c r="D28" s="55" t="s">
        <v>82</v>
      </c>
      <c r="E28" s="59"/>
      <c r="F28" s="60"/>
      <c r="G28" s="339"/>
      <c r="H28" s="56" t="s">
        <v>82</v>
      </c>
      <c r="I28" s="59"/>
      <c r="J28" s="60"/>
      <c r="K28" s="339"/>
      <c r="L28" s="56" t="s">
        <v>82</v>
      </c>
      <c r="M28" s="59"/>
      <c r="N28" s="60"/>
      <c r="O28" s="352"/>
      <c r="P28" s="59" t="s">
        <v>76</v>
      </c>
      <c r="Q28" s="59"/>
      <c r="R28" s="60"/>
      <c r="S28" s="353"/>
      <c r="T28" s="62" t="s">
        <v>82</v>
      </c>
      <c r="U28" s="62"/>
      <c r="V28" s="63"/>
      <c r="W28" s="354"/>
      <c r="X28" s="56" t="s">
        <v>82</v>
      </c>
      <c r="Y28" s="59"/>
      <c r="Z28" s="60"/>
    </row>
    <row r="29" spans="1:26" ht="101.45" customHeight="1" x14ac:dyDescent="0.25">
      <c r="A29" s="313" t="s">
        <v>94</v>
      </c>
      <c r="B29" s="334" t="s">
        <v>95</v>
      </c>
      <c r="C29" s="79"/>
      <c r="D29" s="80" t="s">
        <v>96</v>
      </c>
      <c r="E29" s="64" t="s">
        <v>97</v>
      </c>
      <c r="F29" s="66"/>
      <c r="G29" s="79"/>
      <c r="H29" s="80" t="s">
        <v>96</v>
      </c>
      <c r="I29" s="64" t="s">
        <v>97</v>
      </c>
      <c r="J29" s="66"/>
      <c r="K29" s="79"/>
      <c r="L29" s="80" t="s">
        <v>96</v>
      </c>
      <c r="M29" s="359" t="s">
        <v>98</v>
      </c>
      <c r="N29" s="360"/>
      <c r="O29" s="79"/>
      <c r="P29" s="80" t="s">
        <v>96</v>
      </c>
      <c r="Q29" s="64" t="s">
        <v>97</v>
      </c>
      <c r="R29" s="66"/>
      <c r="S29" s="79"/>
      <c r="T29" s="80" t="s">
        <v>96</v>
      </c>
      <c r="U29" s="64" t="s">
        <v>97</v>
      </c>
      <c r="V29" s="66"/>
      <c r="W29" s="81"/>
      <c r="X29" s="80" t="s">
        <v>96</v>
      </c>
      <c r="Y29" s="64" t="s">
        <v>99</v>
      </c>
      <c r="Z29" s="82" t="s">
        <v>100</v>
      </c>
    </row>
    <row r="30" spans="1:26" x14ac:dyDescent="0.25">
      <c r="A30" s="314"/>
      <c r="B30" s="335"/>
      <c r="C30" s="83"/>
      <c r="D30" s="84" t="s">
        <v>101</v>
      </c>
      <c r="E30" s="1" t="s">
        <v>102</v>
      </c>
      <c r="F30" s="38"/>
      <c r="G30" s="83"/>
      <c r="H30" s="84" t="s">
        <v>101</v>
      </c>
      <c r="I30" s="1" t="s">
        <v>102</v>
      </c>
      <c r="J30" s="38"/>
      <c r="K30" s="83"/>
      <c r="L30" s="84" t="s">
        <v>101</v>
      </c>
      <c r="M30" s="361"/>
      <c r="N30" s="362"/>
      <c r="O30" s="83"/>
      <c r="P30" s="84" t="s">
        <v>101</v>
      </c>
      <c r="Q30" s="1" t="s">
        <v>102</v>
      </c>
      <c r="R30" s="38"/>
      <c r="S30" s="83"/>
      <c r="T30" s="84" t="s">
        <v>101</v>
      </c>
      <c r="U30" s="1" t="s">
        <v>102</v>
      </c>
      <c r="V30" s="38"/>
      <c r="W30" s="5"/>
      <c r="X30" s="84" t="s">
        <v>101</v>
      </c>
      <c r="Y30" s="1" t="s">
        <v>103</v>
      </c>
      <c r="Z30" s="38"/>
    </row>
    <row r="31" spans="1:26" ht="144.6" customHeight="1" x14ac:dyDescent="0.25">
      <c r="A31" s="314"/>
      <c r="B31" s="358"/>
      <c r="C31" s="83"/>
      <c r="D31" s="85" t="s">
        <v>104</v>
      </c>
      <c r="E31" s="49" t="s">
        <v>105</v>
      </c>
      <c r="F31" s="38"/>
      <c r="G31" s="83"/>
      <c r="H31" s="85" t="s">
        <v>104</v>
      </c>
      <c r="I31" s="86" t="s">
        <v>106</v>
      </c>
      <c r="J31" s="87" t="s">
        <v>107</v>
      </c>
      <c r="K31" s="83"/>
      <c r="L31" s="85" t="s">
        <v>104</v>
      </c>
      <c r="M31" s="361"/>
      <c r="N31" s="362"/>
      <c r="O31" s="83"/>
      <c r="P31" s="85" t="s">
        <v>104</v>
      </c>
      <c r="Q31" s="88" t="s">
        <v>105</v>
      </c>
      <c r="R31" s="38"/>
      <c r="S31" s="83"/>
      <c r="T31" s="85" t="s">
        <v>104</v>
      </c>
      <c r="U31" s="88" t="s">
        <v>105</v>
      </c>
      <c r="V31" s="38"/>
      <c r="W31" s="5"/>
      <c r="X31" s="85" t="s">
        <v>104</v>
      </c>
      <c r="Y31" s="89" t="s">
        <v>106</v>
      </c>
      <c r="Z31" s="90" t="s">
        <v>107</v>
      </c>
    </row>
    <row r="32" spans="1:26" ht="29.1" customHeight="1" x14ac:dyDescent="0.25">
      <c r="A32" s="314"/>
      <c r="B32" s="24" t="s">
        <v>108</v>
      </c>
      <c r="C32" s="83"/>
      <c r="D32" s="85" t="s">
        <v>109</v>
      </c>
      <c r="E32" s="49" t="s">
        <v>110</v>
      </c>
      <c r="F32" s="38"/>
      <c r="G32" s="83"/>
      <c r="H32" s="85" t="s">
        <v>109</v>
      </c>
      <c r="I32" s="91" t="s">
        <v>111</v>
      </c>
      <c r="J32" s="72" t="s">
        <v>112</v>
      </c>
      <c r="K32" s="83"/>
      <c r="L32" s="85" t="s">
        <v>109</v>
      </c>
      <c r="M32" s="361"/>
      <c r="N32" s="362"/>
      <c r="O32" s="83"/>
      <c r="P32" s="85" t="s">
        <v>109</v>
      </c>
      <c r="Q32" s="49" t="s">
        <v>110</v>
      </c>
      <c r="R32" s="38"/>
      <c r="S32" s="83"/>
      <c r="T32" s="85" t="s">
        <v>109</v>
      </c>
      <c r="U32" s="49" t="s">
        <v>110</v>
      </c>
      <c r="V32" s="38"/>
      <c r="W32" s="5"/>
      <c r="X32" s="85" t="s">
        <v>109</v>
      </c>
      <c r="Y32" s="1" t="s">
        <v>111</v>
      </c>
      <c r="Z32" s="72" t="s">
        <v>112</v>
      </c>
    </row>
    <row r="33" spans="1:26" x14ac:dyDescent="0.25">
      <c r="A33" s="314"/>
      <c r="B33" s="35" t="s">
        <v>113</v>
      </c>
      <c r="C33" s="83"/>
      <c r="D33" s="84" t="s">
        <v>114</v>
      </c>
      <c r="E33" s="1" t="s">
        <v>115</v>
      </c>
      <c r="F33" s="38"/>
      <c r="G33" s="83"/>
      <c r="H33" s="84" t="s">
        <v>114</v>
      </c>
      <c r="I33" s="1" t="s">
        <v>115</v>
      </c>
      <c r="J33" s="38"/>
      <c r="K33" s="83"/>
      <c r="L33" s="84" t="s">
        <v>116</v>
      </c>
      <c r="M33" s="361"/>
      <c r="N33" s="362"/>
      <c r="O33" s="83"/>
      <c r="P33" s="84" t="s">
        <v>114</v>
      </c>
      <c r="Q33" s="1" t="s">
        <v>115</v>
      </c>
      <c r="R33" s="38"/>
      <c r="S33" s="83"/>
      <c r="T33" s="84" t="s">
        <v>114</v>
      </c>
      <c r="U33" s="1" t="s">
        <v>115</v>
      </c>
      <c r="V33" s="38"/>
      <c r="W33" s="5"/>
      <c r="X33" s="84" t="s">
        <v>114</v>
      </c>
      <c r="Y33" s="1" t="s">
        <v>115</v>
      </c>
      <c r="Z33" s="38"/>
    </row>
    <row r="34" spans="1:26" ht="14.45" customHeight="1" x14ac:dyDescent="0.25">
      <c r="A34" s="314"/>
      <c r="B34" s="365" t="s">
        <v>117</v>
      </c>
      <c r="C34" s="83"/>
      <c r="D34" s="84" t="s">
        <v>118</v>
      </c>
      <c r="E34" s="1" t="s">
        <v>119</v>
      </c>
      <c r="F34" s="38"/>
      <c r="G34" s="83"/>
      <c r="H34" s="84" t="s">
        <v>118</v>
      </c>
      <c r="I34" s="91" t="s">
        <v>120</v>
      </c>
      <c r="J34" s="366" t="s">
        <v>107</v>
      </c>
      <c r="K34" s="83"/>
      <c r="L34" s="84" t="s">
        <v>118</v>
      </c>
      <c r="M34" s="361"/>
      <c r="N34" s="362"/>
      <c r="O34" s="83"/>
      <c r="P34" s="84" t="s">
        <v>118</v>
      </c>
      <c r="Q34" s="1" t="s">
        <v>119</v>
      </c>
      <c r="R34" s="38"/>
      <c r="S34" s="83"/>
      <c r="T34" s="84" t="s">
        <v>118</v>
      </c>
      <c r="U34" s="1" t="s">
        <v>119</v>
      </c>
      <c r="V34" s="38"/>
      <c r="W34" s="5"/>
      <c r="X34" s="84" t="s">
        <v>118</v>
      </c>
      <c r="Y34" s="1" t="s">
        <v>120</v>
      </c>
      <c r="Z34" s="366" t="s">
        <v>107</v>
      </c>
    </row>
    <row r="35" spans="1:26" x14ac:dyDescent="0.25">
      <c r="A35" s="314"/>
      <c r="B35" s="335"/>
      <c r="C35" s="83"/>
      <c r="D35" s="84" t="s">
        <v>121</v>
      </c>
      <c r="E35" s="1" t="s">
        <v>122</v>
      </c>
      <c r="F35" s="38"/>
      <c r="G35" s="83"/>
      <c r="H35" s="84" t="s">
        <v>121</v>
      </c>
      <c r="I35" s="91" t="s">
        <v>123</v>
      </c>
      <c r="J35" s="367"/>
      <c r="K35" s="83"/>
      <c r="L35" s="84" t="s">
        <v>121</v>
      </c>
      <c r="M35" s="361"/>
      <c r="N35" s="362"/>
      <c r="O35" s="83"/>
      <c r="P35" s="84" t="s">
        <v>121</v>
      </c>
      <c r="Q35" s="1" t="s">
        <v>122</v>
      </c>
      <c r="R35" s="38"/>
      <c r="S35" s="83"/>
      <c r="T35" s="84" t="s">
        <v>121</v>
      </c>
      <c r="U35" s="1" t="s">
        <v>122</v>
      </c>
      <c r="V35" s="38"/>
      <c r="W35" s="5"/>
      <c r="X35" s="84" t="s">
        <v>121</v>
      </c>
      <c r="Y35" s="1" t="s">
        <v>123</v>
      </c>
      <c r="Z35" s="367"/>
    </row>
    <row r="36" spans="1:26" ht="15.75" thickBot="1" x14ac:dyDescent="0.3">
      <c r="A36" s="315"/>
      <c r="B36" s="335"/>
      <c r="C36" s="92"/>
      <c r="D36" s="93" t="s">
        <v>124</v>
      </c>
      <c r="E36" s="94" t="s">
        <v>125</v>
      </c>
      <c r="F36" s="95"/>
      <c r="G36" s="92"/>
      <c r="H36" s="93" t="s">
        <v>124</v>
      </c>
      <c r="I36" s="96" t="s">
        <v>126</v>
      </c>
      <c r="J36" s="367"/>
      <c r="K36" s="92"/>
      <c r="L36" s="93" t="s">
        <v>124</v>
      </c>
      <c r="M36" s="363"/>
      <c r="N36" s="364"/>
      <c r="O36" s="92"/>
      <c r="P36" s="93" t="s">
        <v>124</v>
      </c>
      <c r="Q36" s="94" t="s">
        <v>125</v>
      </c>
      <c r="R36" s="95"/>
      <c r="S36" s="92"/>
      <c r="T36" s="93" t="s">
        <v>124</v>
      </c>
      <c r="U36" s="94" t="s">
        <v>125</v>
      </c>
      <c r="V36" s="95"/>
      <c r="W36" s="97"/>
      <c r="X36" s="93" t="s">
        <v>124</v>
      </c>
      <c r="Y36" s="94" t="s">
        <v>126</v>
      </c>
      <c r="Z36" s="367"/>
    </row>
    <row r="37" spans="1:26" ht="15.75" thickBot="1" x14ac:dyDescent="0.3">
      <c r="A37" s="69" t="s">
        <v>127</v>
      </c>
      <c r="B37" s="19" t="s">
        <v>128</v>
      </c>
      <c r="C37" s="368" t="s">
        <v>89</v>
      </c>
      <c r="D37" s="369"/>
      <c r="E37" s="369"/>
      <c r="F37" s="370"/>
      <c r="G37" s="368" t="s">
        <v>89</v>
      </c>
      <c r="H37" s="369"/>
      <c r="I37" s="369"/>
      <c r="J37" s="370"/>
      <c r="K37" s="355" t="s">
        <v>129</v>
      </c>
      <c r="L37" s="356"/>
      <c r="M37" s="356"/>
      <c r="N37" s="357"/>
      <c r="O37" s="355" t="s">
        <v>130</v>
      </c>
      <c r="P37" s="356"/>
      <c r="Q37" s="356"/>
      <c r="R37" s="357"/>
      <c r="S37" s="355" t="s">
        <v>131</v>
      </c>
      <c r="T37" s="356"/>
      <c r="U37" s="356"/>
      <c r="V37" s="357"/>
      <c r="W37" s="355" t="s">
        <v>131</v>
      </c>
      <c r="X37" s="356"/>
      <c r="Y37" s="356"/>
      <c r="Z37" s="357"/>
    </row>
    <row r="38" spans="1:26" ht="87" customHeight="1" x14ac:dyDescent="0.25">
      <c r="A38" s="313" t="s">
        <v>68</v>
      </c>
      <c r="B38" s="337" t="s">
        <v>132</v>
      </c>
      <c r="C38" s="79"/>
      <c r="D38" s="98" t="s">
        <v>133</v>
      </c>
      <c r="E38" s="99" t="s">
        <v>134</v>
      </c>
      <c r="F38" s="66"/>
      <c r="G38" s="79"/>
      <c r="H38" s="98" t="s">
        <v>133</v>
      </c>
      <c r="I38" s="99" t="s">
        <v>134</v>
      </c>
      <c r="J38" s="66"/>
      <c r="K38" s="79"/>
      <c r="L38" s="98" t="s">
        <v>133</v>
      </c>
      <c r="M38" s="64"/>
      <c r="N38" s="66"/>
      <c r="O38" s="79"/>
      <c r="P38" s="98" t="s">
        <v>133</v>
      </c>
      <c r="Q38" s="99" t="s">
        <v>134</v>
      </c>
      <c r="R38" s="66"/>
      <c r="S38" s="79"/>
      <c r="T38" s="98" t="s">
        <v>133</v>
      </c>
      <c r="U38" s="99" t="s">
        <v>134</v>
      </c>
      <c r="V38" s="66"/>
      <c r="W38" s="79"/>
      <c r="X38" s="98" t="s">
        <v>133</v>
      </c>
      <c r="Y38" s="64"/>
      <c r="Z38" s="66"/>
    </row>
    <row r="39" spans="1:26" ht="101.45" customHeight="1" x14ac:dyDescent="0.25">
      <c r="A39" s="314"/>
      <c r="B39" s="317"/>
      <c r="C39" s="83"/>
      <c r="D39" s="36" t="s">
        <v>135</v>
      </c>
      <c r="E39" s="49" t="s">
        <v>136</v>
      </c>
      <c r="F39" s="38"/>
      <c r="G39" s="83"/>
      <c r="H39" s="36" t="s">
        <v>135</v>
      </c>
      <c r="I39" s="49" t="s">
        <v>136</v>
      </c>
      <c r="J39" s="38"/>
      <c r="K39" s="83"/>
      <c r="L39" s="36" t="s">
        <v>135</v>
      </c>
      <c r="M39" s="1"/>
      <c r="N39" s="38"/>
      <c r="O39" s="83"/>
      <c r="P39" s="36" t="s">
        <v>135</v>
      </c>
      <c r="Q39" s="49" t="s">
        <v>136</v>
      </c>
      <c r="R39" s="38"/>
      <c r="S39" s="83"/>
      <c r="T39" s="36" t="s">
        <v>135</v>
      </c>
      <c r="U39" s="49" t="s">
        <v>136</v>
      </c>
      <c r="V39" s="38"/>
      <c r="W39" s="83"/>
      <c r="X39" s="36" t="s">
        <v>135</v>
      </c>
      <c r="Y39" s="1"/>
      <c r="Z39" s="38"/>
    </row>
    <row r="40" spans="1:26" x14ac:dyDescent="0.25">
      <c r="A40" s="314"/>
      <c r="B40" s="376" t="s">
        <v>137</v>
      </c>
      <c r="C40" s="83"/>
      <c r="D40" s="36" t="s">
        <v>138</v>
      </c>
      <c r="E40" s="100" t="s">
        <v>139</v>
      </c>
      <c r="F40" s="38"/>
      <c r="G40" s="83"/>
      <c r="H40" s="36" t="s">
        <v>138</v>
      </c>
      <c r="I40" s="100" t="s">
        <v>139</v>
      </c>
      <c r="J40" s="38"/>
      <c r="K40" s="83"/>
      <c r="L40" s="36" t="s">
        <v>138</v>
      </c>
      <c r="M40" s="1"/>
      <c r="N40" s="38"/>
      <c r="O40" s="83"/>
      <c r="P40" s="36" t="s">
        <v>138</v>
      </c>
      <c r="Q40" s="100" t="s">
        <v>139</v>
      </c>
      <c r="R40" s="38"/>
      <c r="S40" s="83"/>
      <c r="T40" s="36" t="s">
        <v>138</v>
      </c>
      <c r="U40" s="100" t="s">
        <v>139</v>
      </c>
      <c r="V40" s="38"/>
      <c r="W40" s="83"/>
      <c r="X40" s="36" t="s">
        <v>138</v>
      </c>
      <c r="Y40" s="1"/>
      <c r="Z40" s="38"/>
    </row>
    <row r="41" spans="1:26" x14ac:dyDescent="0.25">
      <c r="A41" s="314"/>
      <c r="B41" s="376"/>
      <c r="C41" s="83"/>
      <c r="D41" s="36" t="s">
        <v>140</v>
      </c>
      <c r="E41" s="1" t="s">
        <v>141</v>
      </c>
      <c r="F41" s="38"/>
      <c r="G41" s="83"/>
      <c r="H41" s="36" t="s">
        <v>140</v>
      </c>
      <c r="I41" s="1" t="s">
        <v>141</v>
      </c>
      <c r="J41" s="38"/>
      <c r="K41" s="83"/>
      <c r="L41" s="36" t="s">
        <v>140</v>
      </c>
      <c r="M41" s="1"/>
      <c r="N41" s="38"/>
      <c r="O41" s="83"/>
      <c r="P41" s="36" t="s">
        <v>140</v>
      </c>
      <c r="Q41" s="1" t="s">
        <v>141</v>
      </c>
      <c r="R41" s="38"/>
      <c r="S41" s="83"/>
      <c r="T41" s="36" t="s">
        <v>140</v>
      </c>
      <c r="U41" s="1" t="s">
        <v>141</v>
      </c>
      <c r="V41" s="38"/>
      <c r="W41" s="83"/>
      <c r="X41" s="36" t="s">
        <v>140</v>
      </c>
      <c r="Y41" s="1"/>
      <c r="Z41" s="38"/>
    </row>
    <row r="42" spans="1:26" ht="15.75" thickBot="1" x14ac:dyDescent="0.3">
      <c r="A42" s="315"/>
      <c r="B42" s="377"/>
      <c r="C42" s="92"/>
      <c r="D42" s="101" t="s">
        <v>142</v>
      </c>
      <c r="E42" s="94" t="s">
        <v>143</v>
      </c>
      <c r="F42" s="57" t="s">
        <v>144</v>
      </c>
      <c r="G42" s="102"/>
      <c r="H42" s="55" t="s">
        <v>142</v>
      </c>
      <c r="I42" s="94" t="s">
        <v>143</v>
      </c>
      <c r="J42" s="57" t="s">
        <v>144</v>
      </c>
      <c r="K42" s="102"/>
      <c r="L42" s="55" t="s">
        <v>142</v>
      </c>
      <c r="M42" s="56" t="s">
        <v>145</v>
      </c>
      <c r="N42" s="57" t="s">
        <v>146</v>
      </c>
      <c r="O42" s="102"/>
      <c r="P42" s="55" t="s">
        <v>142</v>
      </c>
      <c r="Q42" s="94" t="s">
        <v>143</v>
      </c>
      <c r="R42" s="57" t="s">
        <v>144</v>
      </c>
      <c r="S42" s="102"/>
      <c r="T42" s="55" t="s">
        <v>142</v>
      </c>
      <c r="U42" s="56" t="s">
        <v>145</v>
      </c>
      <c r="V42" s="57" t="s">
        <v>146</v>
      </c>
      <c r="W42" s="102"/>
      <c r="X42" s="55" t="s">
        <v>142</v>
      </c>
      <c r="Y42" s="56" t="s">
        <v>145</v>
      </c>
      <c r="Z42" s="57" t="s">
        <v>146</v>
      </c>
    </row>
    <row r="43" spans="1:26" x14ac:dyDescent="0.25">
      <c r="A43" s="313" t="s">
        <v>147</v>
      </c>
      <c r="B43" s="337" t="s">
        <v>148</v>
      </c>
      <c r="C43" s="371" t="s">
        <v>149</v>
      </c>
      <c r="D43" s="372"/>
      <c r="E43" s="372"/>
      <c r="F43" s="360"/>
      <c r="G43" s="371" t="s">
        <v>149</v>
      </c>
      <c r="H43" s="372"/>
      <c r="I43" s="372"/>
      <c r="J43" s="360"/>
      <c r="K43" s="371" t="s">
        <v>150</v>
      </c>
      <c r="L43" s="372"/>
      <c r="M43" s="372"/>
      <c r="N43" s="360"/>
      <c r="O43" s="371" t="s">
        <v>149</v>
      </c>
      <c r="P43" s="372"/>
      <c r="Q43" s="372"/>
      <c r="R43" s="360"/>
      <c r="S43" s="371" t="s">
        <v>149</v>
      </c>
      <c r="T43" s="372"/>
      <c r="U43" s="372"/>
      <c r="V43" s="360"/>
      <c r="W43" s="371" t="s">
        <v>150</v>
      </c>
      <c r="X43" s="372"/>
      <c r="Y43" s="372"/>
      <c r="Z43" s="360"/>
    </row>
    <row r="44" spans="1:26" x14ac:dyDescent="0.25">
      <c r="A44" s="314"/>
      <c r="B44" s="317"/>
      <c r="C44" s="373"/>
      <c r="D44" s="374"/>
      <c r="E44" s="374"/>
      <c r="F44" s="375"/>
      <c r="G44" s="373"/>
      <c r="H44" s="374"/>
      <c r="I44" s="374"/>
      <c r="J44" s="375"/>
      <c r="K44" s="373"/>
      <c r="L44" s="374"/>
      <c r="M44" s="374"/>
      <c r="N44" s="375"/>
      <c r="O44" s="373"/>
      <c r="P44" s="374"/>
      <c r="Q44" s="374"/>
      <c r="R44" s="375"/>
      <c r="S44" s="373"/>
      <c r="T44" s="374"/>
      <c r="U44" s="374"/>
      <c r="V44" s="375"/>
      <c r="W44" s="373"/>
      <c r="X44" s="374"/>
      <c r="Y44" s="374"/>
      <c r="Z44" s="375"/>
    </row>
    <row r="45" spans="1:26" x14ac:dyDescent="0.25">
      <c r="A45" s="314"/>
      <c r="B45" s="376" t="s">
        <v>151</v>
      </c>
      <c r="C45" s="378" t="s">
        <v>152</v>
      </c>
      <c r="D45" s="379"/>
      <c r="E45" s="379"/>
      <c r="F45" s="380"/>
      <c r="G45" s="378" t="s">
        <v>152</v>
      </c>
      <c r="H45" s="379"/>
      <c r="I45" s="379"/>
      <c r="J45" s="380"/>
      <c r="K45" s="385" t="s">
        <v>153</v>
      </c>
      <c r="L45" s="386"/>
      <c r="M45" s="386"/>
      <c r="N45" s="387"/>
      <c r="O45" s="378" t="s">
        <v>152</v>
      </c>
      <c r="P45" s="379"/>
      <c r="Q45" s="379"/>
      <c r="R45" s="380"/>
      <c r="S45" s="378" t="s">
        <v>152</v>
      </c>
      <c r="T45" s="379"/>
      <c r="U45" s="379"/>
      <c r="V45" s="380"/>
      <c r="W45" s="385" t="s">
        <v>154</v>
      </c>
      <c r="X45" s="386"/>
      <c r="Y45" s="386"/>
      <c r="Z45" s="387"/>
    </row>
    <row r="46" spans="1:26" x14ac:dyDescent="0.25">
      <c r="A46" s="314"/>
      <c r="B46" s="376"/>
      <c r="C46" s="381"/>
      <c r="D46" s="382"/>
      <c r="E46" s="382"/>
      <c r="F46" s="362"/>
      <c r="G46" s="381"/>
      <c r="H46" s="382"/>
      <c r="I46" s="382"/>
      <c r="J46" s="362"/>
      <c r="K46" s="388"/>
      <c r="L46" s="389"/>
      <c r="M46" s="389"/>
      <c r="N46" s="390"/>
      <c r="O46" s="381"/>
      <c r="P46" s="382"/>
      <c r="Q46" s="382"/>
      <c r="R46" s="362"/>
      <c r="S46" s="381"/>
      <c r="T46" s="382"/>
      <c r="U46" s="382"/>
      <c r="V46" s="362"/>
      <c r="W46" s="388"/>
      <c r="X46" s="389"/>
      <c r="Y46" s="389"/>
      <c r="Z46" s="390"/>
    </row>
    <row r="47" spans="1:26" ht="15.75" thickBot="1" x14ac:dyDescent="0.3">
      <c r="A47" s="315"/>
      <c r="B47" s="377"/>
      <c r="C47" s="383"/>
      <c r="D47" s="384"/>
      <c r="E47" s="384"/>
      <c r="F47" s="364"/>
      <c r="G47" s="383"/>
      <c r="H47" s="384"/>
      <c r="I47" s="384"/>
      <c r="J47" s="364"/>
      <c r="K47" s="391"/>
      <c r="L47" s="392"/>
      <c r="M47" s="392"/>
      <c r="N47" s="393"/>
      <c r="O47" s="383"/>
      <c r="P47" s="384"/>
      <c r="Q47" s="384"/>
      <c r="R47" s="364"/>
      <c r="S47" s="383"/>
      <c r="T47" s="384"/>
      <c r="U47" s="384"/>
      <c r="V47" s="364"/>
      <c r="W47" s="391"/>
      <c r="X47" s="392"/>
      <c r="Y47" s="392"/>
      <c r="Z47" s="393"/>
    </row>
    <row r="48" spans="1:26" ht="29.45" customHeight="1" thickBot="1" x14ac:dyDescent="0.3">
      <c r="A48" s="103" t="s">
        <v>155</v>
      </c>
      <c r="B48" s="104" t="s">
        <v>128</v>
      </c>
      <c r="C48" s="394" t="s">
        <v>156</v>
      </c>
      <c r="D48" s="395"/>
      <c r="E48" s="395"/>
      <c r="F48" s="396"/>
      <c r="G48" s="394" t="s">
        <v>156</v>
      </c>
      <c r="H48" s="395"/>
      <c r="I48" s="395"/>
      <c r="J48" s="396"/>
      <c r="K48" s="397" t="s">
        <v>157</v>
      </c>
      <c r="L48" s="395"/>
      <c r="M48" s="395"/>
      <c r="N48" s="396"/>
      <c r="O48" s="394" t="s">
        <v>156</v>
      </c>
      <c r="P48" s="395"/>
      <c r="Q48" s="395"/>
      <c r="R48" s="396"/>
      <c r="S48" s="394" t="s">
        <v>156</v>
      </c>
      <c r="T48" s="395"/>
      <c r="U48" s="395"/>
      <c r="V48" s="396"/>
      <c r="W48" s="398" t="s">
        <v>158</v>
      </c>
      <c r="X48" s="399"/>
      <c r="Y48" s="399"/>
      <c r="Z48" s="400"/>
    </row>
    <row r="49" spans="1:26" ht="24" x14ac:dyDescent="0.25">
      <c r="A49" s="334" t="s">
        <v>159</v>
      </c>
      <c r="B49" s="105" t="s">
        <v>160</v>
      </c>
      <c r="C49" s="401" t="s">
        <v>161</v>
      </c>
      <c r="D49" s="402"/>
      <c r="E49" s="402"/>
      <c r="F49" s="403"/>
      <c r="G49" s="404" t="s">
        <v>162</v>
      </c>
      <c r="H49" s="405"/>
      <c r="I49" s="405"/>
      <c r="J49" s="406"/>
      <c r="K49" s="404" t="s">
        <v>163</v>
      </c>
      <c r="L49" s="405"/>
      <c r="M49" s="405"/>
      <c r="N49" s="406"/>
      <c r="O49" s="401" t="s">
        <v>161</v>
      </c>
      <c r="P49" s="402"/>
      <c r="Q49" s="402"/>
      <c r="R49" s="403"/>
      <c r="S49" s="401" t="s">
        <v>161</v>
      </c>
      <c r="T49" s="402"/>
      <c r="U49" s="402"/>
      <c r="V49" s="403"/>
      <c r="W49" s="404" t="s">
        <v>162</v>
      </c>
      <c r="X49" s="405"/>
      <c r="Y49" s="405"/>
      <c r="Z49" s="406"/>
    </row>
    <row r="50" spans="1:26" ht="15.75" thickBot="1" x14ac:dyDescent="0.3">
      <c r="A50" s="336"/>
      <c r="B50" s="78" t="s">
        <v>164</v>
      </c>
      <c r="C50" s="407" t="s">
        <v>165</v>
      </c>
      <c r="D50" s="408"/>
      <c r="E50" s="408"/>
      <c r="F50" s="409"/>
      <c r="G50" s="410" t="s">
        <v>165</v>
      </c>
      <c r="H50" s="411"/>
      <c r="I50" s="411"/>
      <c r="J50" s="412"/>
      <c r="K50" s="410" t="s">
        <v>166</v>
      </c>
      <c r="L50" s="411"/>
      <c r="M50" s="411"/>
      <c r="N50" s="412"/>
      <c r="O50" s="407" t="s">
        <v>165</v>
      </c>
      <c r="P50" s="408"/>
      <c r="Q50" s="408"/>
      <c r="R50" s="409"/>
      <c r="S50" s="407" t="s">
        <v>165</v>
      </c>
      <c r="T50" s="408"/>
      <c r="U50" s="408"/>
      <c r="V50" s="409"/>
      <c r="W50" s="407" t="s">
        <v>89</v>
      </c>
      <c r="X50" s="408"/>
      <c r="Y50" s="408"/>
      <c r="Z50" s="409"/>
    </row>
  </sheetData>
  <mergeCells count="100">
    <mergeCell ref="W49:Z49"/>
    <mergeCell ref="C50:F50"/>
    <mergeCell ref="G50:J50"/>
    <mergeCell ref="K50:N50"/>
    <mergeCell ref="O50:R50"/>
    <mergeCell ref="S50:V50"/>
    <mergeCell ref="W50:Z50"/>
    <mergeCell ref="S49:V49"/>
    <mergeCell ref="A49:A50"/>
    <mergeCell ref="C49:F49"/>
    <mergeCell ref="G49:J49"/>
    <mergeCell ref="K49:N49"/>
    <mergeCell ref="O49:R49"/>
    <mergeCell ref="S43:V44"/>
    <mergeCell ref="W43:Z44"/>
    <mergeCell ref="S45:V47"/>
    <mergeCell ref="W45:Z47"/>
    <mergeCell ref="C48:F48"/>
    <mergeCell ref="G48:J48"/>
    <mergeCell ref="K48:N48"/>
    <mergeCell ref="O48:R48"/>
    <mergeCell ref="S48:V48"/>
    <mergeCell ref="W48:Z48"/>
    <mergeCell ref="C45:F47"/>
    <mergeCell ref="G45:J47"/>
    <mergeCell ref="K45:N47"/>
    <mergeCell ref="O45:R47"/>
    <mergeCell ref="G43:J44"/>
    <mergeCell ref="K43:N44"/>
    <mergeCell ref="O43:R44"/>
    <mergeCell ref="A38:A42"/>
    <mergeCell ref="B38:B39"/>
    <mergeCell ref="B40:B42"/>
    <mergeCell ref="A43:A47"/>
    <mergeCell ref="B43:B44"/>
    <mergeCell ref="B45:B47"/>
    <mergeCell ref="C43:F44"/>
    <mergeCell ref="W37:Z37"/>
    <mergeCell ref="A29:A36"/>
    <mergeCell ref="B29:B31"/>
    <mergeCell ref="M29:N36"/>
    <mergeCell ref="B34:B36"/>
    <mergeCell ref="J34:J36"/>
    <mergeCell ref="Z34:Z36"/>
    <mergeCell ref="C37:F37"/>
    <mergeCell ref="G37:J37"/>
    <mergeCell ref="K37:N37"/>
    <mergeCell ref="O37:R37"/>
    <mergeCell ref="S37:V37"/>
    <mergeCell ref="O21:O24"/>
    <mergeCell ref="S21:S24"/>
    <mergeCell ref="W21:W24"/>
    <mergeCell ref="B25:B28"/>
    <mergeCell ref="C25:C28"/>
    <mergeCell ref="G25:G28"/>
    <mergeCell ref="K25:K28"/>
    <mergeCell ref="O25:O28"/>
    <mergeCell ref="S25:S28"/>
    <mergeCell ref="W25:W28"/>
    <mergeCell ref="S13:S16"/>
    <mergeCell ref="W13:W16"/>
    <mergeCell ref="B17:B20"/>
    <mergeCell ref="C17:C20"/>
    <mergeCell ref="G17:G20"/>
    <mergeCell ref="K17:K20"/>
    <mergeCell ref="O17:O20"/>
    <mergeCell ref="S17:S20"/>
    <mergeCell ref="W17:W20"/>
    <mergeCell ref="O13:O16"/>
    <mergeCell ref="A13:A28"/>
    <mergeCell ref="B13:B16"/>
    <mergeCell ref="C13:C16"/>
    <mergeCell ref="G13:G16"/>
    <mergeCell ref="K13:K16"/>
    <mergeCell ref="B21:B24"/>
    <mergeCell ref="C21:C24"/>
    <mergeCell ref="G21:G24"/>
    <mergeCell ref="K21:K24"/>
    <mergeCell ref="O3:O8"/>
    <mergeCell ref="S3:S8"/>
    <mergeCell ref="W3:W8"/>
    <mergeCell ref="B9:B12"/>
    <mergeCell ref="C9:C12"/>
    <mergeCell ref="G9:G12"/>
    <mergeCell ref="K9:K12"/>
    <mergeCell ref="O9:O12"/>
    <mergeCell ref="S9:S12"/>
    <mergeCell ref="W9:W12"/>
    <mergeCell ref="K3:K8"/>
    <mergeCell ref="A2:B2"/>
    <mergeCell ref="A3:A12"/>
    <mergeCell ref="B3:B8"/>
    <mergeCell ref="C3:C8"/>
    <mergeCell ref="G3:G8"/>
    <mergeCell ref="W1:Z1"/>
    <mergeCell ref="C1:F1"/>
    <mergeCell ref="G1:J1"/>
    <mergeCell ref="K1:N1"/>
    <mergeCell ref="O1:R1"/>
    <mergeCell ref="S1:V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17"/>
  <sheetViews>
    <sheetView workbookViewId="0">
      <selection activeCell="F28" sqref="F28"/>
    </sheetView>
  </sheetViews>
  <sheetFormatPr defaultRowHeight="15" x14ac:dyDescent="0.25"/>
  <cols>
    <col min="2" max="2" width="41.85546875" customWidth="1"/>
    <col min="7" max="7" width="6.140625" bestFit="1" customWidth="1"/>
  </cols>
  <sheetData>
    <row r="1" spans="2:9" ht="15.75" thickBot="1" x14ac:dyDescent="0.3"/>
    <row r="2" spans="2:9" ht="15.75" thickBot="1" x14ac:dyDescent="0.3">
      <c r="C2" s="2" t="s">
        <v>0</v>
      </c>
      <c r="D2" s="2" t="s">
        <v>1</v>
      </c>
      <c r="E2" s="2" t="s">
        <v>2</v>
      </c>
      <c r="F2" s="2" t="s">
        <v>3</v>
      </c>
      <c r="G2" s="2" t="s">
        <v>6</v>
      </c>
      <c r="H2" s="2" t="s">
        <v>5</v>
      </c>
      <c r="I2" s="3" t="s">
        <v>4</v>
      </c>
    </row>
    <row r="3" spans="2:9" ht="15.75" thickBot="1" x14ac:dyDescent="0.3">
      <c r="B3" s="2" t="s">
        <v>17</v>
      </c>
      <c r="C3" s="9"/>
      <c r="D3" s="8" t="s">
        <v>18</v>
      </c>
      <c r="E3" s="8" t="s">
        <v>18</v>
      </c>
      <c r="F3" s="8" t="s">
        <v>18</v>
      </c>
      <c r="G3" s="8"/>
      <c r="H3" s="8" t="s">
        <v>18</v>
      </c>
      <c r="I3" s="8" t="s">
        <v>18</v>
      </c>
    </row>
    <row r="4" spans="2:9" ht="30.75" thickBot="1" x14ac:dyDescent="0.3">
      <c r="B4" s="4" t="s">
        <v>12</v>
      </c>
      <c r="C4" s="10"/>
      <c r="D4" s="7" t="s">
        <v>18</v>
      </c>
      <c r="E4" s="7" t="s">
        <v>18</v>
      </c>
      <c r="F4" s="7" t="s">
        <v>18</v>
      </c>
      <c r="G4" s="7"/>
      <c r="H4" s="7" t="s">
        <v>18</v>
      </c>
      <c r="I4" s="7" t="s">
        <v>18</v>
      </c>
    </row>
    <row r="5" spans="2:9" ht="15.75" thickBot="1" x14ac:dyDescent="0.3">
      <c r="B5" s="2" t="s">
        <v>14</v>
      </c>
      <c r="C5" s="10"/>
      <c r="D5" s="7" t="s">
        <v>18</v>
      </c>
      <c r="E5" s="7" t="s">
        <v>18</v>
      </c>
      <c r="F5" s="7" t="s">
        <v>18</v>
      </c>
      <c r="G5" s="7"/>
      <c r="H5" s="7" t="s">
        <v>18</v>
      </c>
      <c r="I5" s="7" t="s">
        <v>18</v>
      </c>
    </row>
    <row r="6" spans="2:9" ht="15.75" thickBot="1" x14ac:dyDescent="0.3">
      <c r="B6" s="2" t="s">
        <v>7</v>
      </c>
      <c r="C6" s="10"/>
      <c r="D6" s="7" t="s">
        <v>18</v>
      </c>
      <c r="E6" s="7" t="s">
        <v>18</v>
      </c>
      <c r="F6" s="7" t="s">
        <v>18</v>
      </c>
      <c r="G6" s="7"/>
      <c r="H6" s="7" t="s">
        <v>18</v>
      </c>
      <c r="I6" s="7" t="s">
        <v>18</v>
      </c>
    </row>
    <row r="7" spans="2:9" ht="15.75" thickBot="1" x14ac:dyDescent="0.3">
      <c r="B7" s="2" t="s">
        <v>8</v>
      </c>
      <c r="C7" s="10"/>
      <c r="D7" s="7"/>
      <c r="E7" s="7"/>
      <c r="F7" s="7"/>
      <c r="G7" s="7"/>
      <c r="H7" s="7"/>
      <c r="I7" s="7"/>
    </row>
    <row r="8" spans="2:9" ht="15.75" thickBot="1" x14ac:dyDescent="0.3">
      <c r="B8" s="2" t="s">
        <v>9</v>
      </c>
      <c r="C8" s="10"/>
      <c r="D8" s="7" t="s">
        <v>18</v>
      </c>
      <c r="E8" s="7" t="s">
        <v>18</v>
      </c>
      <c r="F8" s="7" t="s">
        <v>18</v>
      </c>
      <c r="G8" s="7"/>
      <c r="H8" s="7" t="s">
        <v>18</v>
      </c>
      <c r="I8" s="7" t="s">
        <v>18</v>
      </c>
    </row>
    <row r="9" spans="2:9" ht="15.75" thickBot="1" x14ac:dyDescent="0.3">
      <c r="B9" s="2" t="s">
        <v>10</v>
      </c>
      <c r="C9" s="10"/>
      <c r="D9" s="7"/>
      <c r="E9" s="7"/>
      <c r="F9" s="7"/>
      <c r="G9" s="7"/>
      <c r="H9" s="7"/>
      <c r="I9" s="7"/>
    </row>
    <row r="10" spans="2:9" ht="45.75" thickBot="1" x14ac:dyDescent="0.3">
      <c r="B10" s="4" t="s">
        <v>11</v>
      </c>
      <c r="C10" s="10"/>
      <c r="D10" s="7" t="s">
        <v>18</v>
      </c>
      <c r="E10" s="7" t="s">
        <v>18</v>
      </c>
      <c r="F10" s="7" t="s">
        <v>18</v>
      </c>
      <c r="G10" s="7"/>
      <c r="H10" s="7" t="s">
        <v>18</v>
      </c>
      <c r="I10" s="7" t="s">
        <v>18</v>
      </c>
    </row>
    <row r="11" spans="2:9" ht="15.75" thickBot="1" x14ac:dyDescent="0.3">
      <c r="B11" s="2" t="s">
        <v>13</v>
      </c>
      <c r="C11" s="10"/>
      <c r="D11" s="7"/>
      <c r="E11" s="7"/>
      <c r="F11" s="7"/>
      <c r="G11" s="7"/>
      <c r="H11" s="7"/>
      <c r="I11" s="7"/>
    </row>
    <row r="12" spans="2:9" ht="15.75" thickBot="1" x14ac:dyDescent="0.3">
      <c r="B12" s="2" t="s">
        <v>15</v>
      </c>
      <c r="C12" s="5"/>
      <c r="D12" s="1"/>
      <c r="E12" s="1"/>
      <c r="F12" s="1"/>
      <c r="G12" s="1"/>
      <c r="H12" s="1"/>
      <c r="I12" s="1"/>
    </row>
    <row r="13" spans="2:9" ht="15.75" thickBot="1" x14ac:dyDescent="0.3">
      <c r="B13" s="2" t="s">
        <v>19</v>
      </c>
      <c r="C13" s="5"/>
      <c r="D13" s="1"/>
      <c r="E13" s="1"/>
      <c r="F13" s="1"/>
      <c r="G13" s="1"/>
      <c r="H13" s="1"/>
      <c r="I13" s="1"/>
    </row>
    <row r="14" spans="2:9" ht="15.75" thickBot="1" x14ac:dyDescent="0.3">
      <c r="B14" s="6" t="s">
        <v>20</v>
      </c>
      <c r="C14" s="5"/>
      <c r="D14" s="1"/>
      <c r="E14" s="1"/>
      <c r="F14" s="1"/>
      <c r="G14" s="1"/>
      <c r="H14" s="1"/>
      <c r="I14" s="1"/>
    </row>
    <row r="15" spans="2:9" ht="15.75" thickBot="1" x14ac:dyDescent="0.3">
      <c r="B15" s="2" t="s">
        <v>21</v>
      </c>
      <c r="C15" s="5"/>
      <c r="D15" s="1"/>
      <c r="E15" s="1"/>
      <c r="F15" s="1"/>
      <c r="G15" s="1"/>
      <c r="H15" s="1"/>
      <c r="I15" s="1"/>
    </row>
    <row r="16" spans="2:9" ht="15.75" thickBot="1" x14ac:dyDescent="0.3">
      <c r="B16" s="2" t="s">
        <v>22</v>
      </c>
      <c r="C16" s="5"/>
      <c r="D16" s="1"/>
      <c r="E16" s="1"/>
      <c r="F16" s="1"/>
      <c r="G16" s="1"/>
      <c r="H16" s="1"/>
      <c r="I16" s="1"/>
    </row>
    <row r="17" spans="2:9" ht="15.75" thickBot="1" x14ac:dyDescent="0.3">
      <c r="B17" s="11" t="s">
        <v>23</v>
      </c>
      <c r="C17" s="1"/>
      <c r="D17" s="1"/>
      <c r="E17" s="1"/>
      <c r="F17" s="1"/>
      <c r="G17" s="1"/>
      <c r="H17" s="1"/>
      <c r="I17" s="1"/>
    </row>
  </sheetData>
  <pageMargins left="0.7" right="0.7" top="0.75" bottom="0.75" header="0.3" footer="0.3"/>
  <headerFooter>
    <oddFooter>&amp;C_x000D_&amp;1#&amp;"Aptos"&amp;10&amp;K000000 Informazione ad uso interno - Internal use information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ba670469-b113-4afe-9231-513d1d646cf5" xsi:nil="true"/>
    <lcf76f155ced4ddcb4097134ff3c332f xmlns="a7fd5df9-8cc8-484c-8e4e-6d3331b1adbb">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13C8E1CBF8C9C478FBCA521FF5AE747" ma:contentTypeVersion="18" ma:contentTypeDescription="Create a new document." ma:contentTypeScope="" ma:versionID="fa256d81c7796cbdbdeb7d61d404839b">
  <xsd:schema xmlns:xsd="http://www.w3.org/2001/XMLSchema" xmlns:xs="http://www.w3.org/2001/XMLSchema" xmlns:p="http://schemas.microsoft.com/office/2006/metadata/properties" xmlns:ns2="a7fd5df9-8cc8-484c-8e4e-6d3331b1adbb" xmlns:ns3="ba670469-b113-4afe-9231-513d1d646cf5" targetNamespace="http://schemas.microsoft.com/office/2006/metadata/properties" ma:root="true" ma:fieldsID="4f0b336da0c679e0628bd374b11834b9" ns2:_="" ns3:_="">
    <xsd:import namespace="a7fd5df9-8cc8-484c-8e4e-6d3331b1adbb"/>
    <xsd:import namespace="ba670469-b113-4afe-9231-513d1d646cf5"/>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2:MediaServiceDateTaken" minOccurs="0"/>
                <xsd:element ref="ns2:MediaLengthInSeconds" minOccurs="0"/>
                <xsd:element ref="ns2:MediaServiceOCR"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3:TaxCatchAll"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7fd5df9-8cc8-484c-8e4e-6d3331b1adb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DateTaken" ma:index="13" nillable="true" ma:displayName="MediaServiceDateTaken" ma:hidden="true" ma:internalName="MediaServiceDateTaken"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2f0c148f-5ca2-4a38-b716-16d776545e11" ma:termSetId="09814cd3-568e-fe90-9814-8d621ff8fb84" ma:anchorId="fba54fb3-c3e1-fe81-a776-ca4b69148c4d" ma:open="true" ma:isKeyword="false">
      <xsd:complexType>
        <xsd:sequence>
          <xsd:element ref="pc:Terms" minOccurs="0" maxOccurs="1"/>
        </xsd:sequence>
      </xsd:complexType>
    </xsd:element>
    <xsd:element name="MediaServiceLocation" ma:index="23" nillable="true" ma:displayName="Location" ma:internalName="MediaServiceLocation" ma:readOnly="true">
      <xsd:simpleType>
        <xsd:restriction base="dms:Text"/>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a670469-b113-4afe-9231-513d1d646cf5"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9b1030cb-f256-4ffa-b115-390def373344}" ma:internalName="TaxCatchAll" ma:showField="CatchAllData" ma:web="ba670469-b113-4afe-9231-513d1d646cf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D16C878-BD2D-4BED-B504-4F80AC0BB5A8}">
  <ds:schemaRefs>
    <ds:schemaRef ds:uri="http://schemas.microsoft.com/office/2006/metadata/properties"/>
    <ds:schemaRef ds:uri="http://schemas.microsoft.com/office/infopath/2007/PartnerControls"/>
    <ds:schemaRef ds:uri="ba670469-b113-4afe-9231-513d1d646cf5"/>
    <ds:schemaRef ds:uri="a7fd5df9-8cc8-484c-8e4e-6d3331b1adbb"/>
  </ds:schemaRefs>
</ds:datastoreItem>
</file>

<file path=customXml/itemProps2.xml><?xml version="1.0" encoding="utf-8"?>
<ds:datastoreItem xmlns:ds="http://schemas.openxmlformats.org/officeDocument/2006/customXml" ds:itemID="{C1BE3643-FB90-49F4-B691-9602075732A5}">
  <ds:schemaRefs>
    <ds:schemaRef ds:uri="http://schemas.microsoft.com/sharepoint/v3/contenttype/forms"/>
  </ds:schemaRefs>
</ds:datastoreItem>
</file>

<file path=customXml/itemProps3.xml><?xml version="1.0" encoding="utf-8"?>
<ds:datastoreItem xmlns:ds="http://schemas.openxmlformats.org/officeDocument/2006/customXml" ds:itemID="{23DE10EA-F73F-40A3-8E2B-FED07A97C67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8</vt:i4>
      </vt:variant>
    </vt:vector>
  </HeadingPairs>
  <TitlesOfParts>
    <vt:vector size="8" baseType="lpstr">
      <vt:lpstr>Tipologie di flotta</vt:lpstr>
      <vt:lpstr>Conf Sheet</vt:lpstr>
      <vt:lpstr>Funzioni</vt:lpstr>
      <vt:lpstr>PBS (TBD)</vt:lpstr>
      <vt:lpstr>Cartelle</vt:lpstr>
      <vt:lpstr>MR-CPR</vt:lpstr>
      <vt:lpstr>Struttura</vt:lpstr>
      <vt:lpstr>Modifiche progettuali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MIRANDA SIMONA</dc:creator>
  <cp:lastModifiedBy>CASINI GABRIELE</cp:lastModifiedBy>
  <dcterms:created xsi:type="dcterms:W3CDTF">2015-06-05T18:19:34Z</dcterms:created>
  <dcterms:modified xsi:type="dcterms:W3CDTF">2026-06-11T14:53:44Z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0x010100713C8E1CBF8C9C478FBCA521FF5AE747</vt:lpwstr>
  </property>
  <property fmtid="{D5CDD505-2E9C-101B-9397-08002B2CF9AE}" pid="3" name="MSIP_Label_886719c9-282b-4f1b-a005-55ab1b897fee_Enabled">
    <vt:lpwstr>true</vt:lpwstr>
  </property>
  <property fmtid="{D5CDD505-2E9C-101B-9397-08002B2CF9AE}" pid="4" name="MSIP_Label_886719c9-282b-4f1b-a005-55ab1b897fee_SetDate">
    <vt:lpwstr>2025-11-06T16:11:52Z</vt:lpwstr>
  </property>
  <property fmtid="{D5CDD505-2E9C-101B-9397-08002B2CF9AE}" pid="5" name="MSIP_Label_886719c9-282b-4f1b-a005-55ab1b897fee_Method">
    <vt:lpwstr>Standard</vt:lpwstr>
  </property>
  <property fmtid="{D5CDD505-2E9C-101B-9397-08002B2CF9AE}" pid="6" name="MSIP_Label_886719c9-282b-4f1b-a005-55ab1b897fee_Name">
    <vt:lpwstr>Internal use without protection</vt:lpwstr>
  </property>
  <property fmtid="{D5CDD505-2E9C-101B-9397-08002B2CF9AE}" pid="7" name="MSIP_Label_886719c9-282b-4f1b-a005-55ab1b897fee_SiteId">
    <vt:lpwstr>4c8a6547-459a-4b75-a3dc-f66efe3e9c4e</vt:lpwstr>
  </property>
  <property fmtid="{D5CDD505-2E9C-101B-9397-08002B2CF9AE}" pid="8" name="MSIP_Label_886719c9-282b-4f1b-a005-55ab1b897fee_ActionId">
    <vt:lpwstr>b7d0f9bc-0f68-4257-8c97-866d80925a8c</vt:lpwstr>
  </property>
  <property fmtid="{D5CDD505-2E9C-101B-9397-08002B2CF9AE}" pid="9" name="MSIP_Label_886719c9-282b-4f1b-a005-55ab1b897fee_ContentBits">
    <vt:lpwstr>2</vt:lpwstr>
  </property>
  <property fmtid="{D5CDD505-2E9C-101B-9397-08002B2CF9AE}" pid="10" name="MSIP_Label_886719c9-282b-4f1b-a005-55ab1b897fee_Tag">
    <vt:lpwstr>10, 3, 0, 1</vt:lpwstr>
  </property>
  <property fmtid="{D5CDD505-2E9C-101B-9397-08002B2CF9AE}" pid="11" name="MediaServiceImageTags">
    <vt:lpwstr/>
  </property>
</Properties>
</file>