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Questa_cartella_di_lavoro"/>
  <mc:AlternateContent xmlns:mc="http://schemas.openxmlformats.org/markup-compatibility/2006">
    <mc:Choice Requires="x15">
      <x15ac:absPath xmlns:x15ac="http://schemas.microsoft.com/office/spreadsheetml/2010/11/ac" url="https://gruppofsitaliane.sharepoint.com/sites/IngegneriaETReMezziLeggeri-Trenitalia/Shared Documents/DB_ETR1000/"/>
    </mc:Choice>
  </mc:AlternateContent>
  <xr:revisionPtr revIDLastSave="147" documentId="8_{BB79A973-C7B7-49E8-9E5D-D0658A7D67F5}" xr6:coauthVersionLast="47" xr6:coauthVersionMax="47" xr10:uidLastSave="{CC1CAFB3-5DD8-473C-9CFF-D18FC7C2C3F3}"/>
  <bookViews>
    <workbookView xWindow="-120" yWindow="-120" windowWidth="29040" windowHeight="15840" firstSheet="2" activeTab="8" xr2:uid="{00000000-000D-0000-FFFF-FFFF00000000}"/>
  </bookViews>
  <sheets>
    <sheet name="Issue" sheetId="17" r:id="rId1"/>
    <sheet name="ToDo" sheetId="19" r:id="rId2"/>
    <sheet name="Cartelle" sheetId="8" r:id="rId3"/>
    <sheet name="Flotte" sheetId="5" r:id="rId4"/>
    <sheet name="CONFIG" sheetId="16" r:id="rId5"/>
    <sheet name="GENERAL" sheetId="20" r:id="rId6"/>
    <sheet name="MAN_CPR" sheetId="13" r:id="rId7"/>
    <sheet name="DIAGNOSTIC" sheetId="21" r:id="rId8"/>
    <sheet name="Funzioni" sheetId="14" r:id="rId9"/>
    <sheet name="PBS (TBD)" sheetId="18" r:id="rId10"/>
    <sheet name="Struttura" sheetId="9" r:id="rId11"/>
    <sheet name="Modifiche progettuali" sheetId="1" r:id="rId12"/>
  </sheets>
  <definedNames>
    <definedName name="_xlnm._FilterDatabase" localSheetId="4" hidden="1">CONFIG!$A$3:$T$3</definedName>
    <definedName name="_xlnm._FilterDatabase" localSheetId="7" hidden="1">DIAGNOSTIC!$A$2:$Q$2</definedName>
    <definedName name="_xlnm._FilterDatabase" localSheetId="8" hidden="1">Funzioni!$A$1:$L$1</definedName>
    <definedName name="_xlnm._FilterDatabase" localSheetId="5" hidden="1">GENERAL!$A$2:$Q$2</definedName>
    <definedName name="_xlnm._FilterDatabase" localSheetId="9" hidden="1">'PBS (TBD)'!$A$2:$R$86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6" l="1"/>
  <c r="B124" i="16"/>
  <c r="B125" i="16"/>
  <c r="B126" i="16"/>
  <c r="B127" i="16"/>
  <c r="B123" i="16"/>
  <c r="I79" i="13" l="1"/>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52" i="13"/>
  <c r="E51" i="13"/>
  <c r="F51" i="13" s="1"/>
  <c r="E50" i="13"/>
  <c r="F50" i="13" s="1"/>
  <c r="E49" i="13"/>
  <c r="F49" i="13" s="1"/>
  <c r="E48" i="13"/>
  <c r="F48" i="13" s="1"/>
  <c r="E30" i="13"/>
  <c r="I30" i="13" s="1"/>
  <c r="E28" i="13"/>
  <c r="E27" i="13"/>
  <c r="F27" i="13" s="1"/>
  <c r="E29" i="13"/>
  <c r="E23" i="13"/>
  <c r="I23" i="13" s="1"/>
  <c r="E24" i="13"/>
  <c r="F24" i="13" s="1"/>
  <c r="P52" i="18"/>
  <c r="P40" i="18"/>
  <c r="M41" i="18"/>
  <c r="P31" i="18"/>
  <c r="M25" i="18"/>
  <c r="P53" i="18"/>
  <c r="M53" i="18"/>
  <c r="P51" i="18"/>
  <c r="P50" i="18"/>
  <c r="M50" i="18"/>
  <c r="P49" i="18"/>
  <c r="P48" i="18"/>
  <c r="M48" i="18"/>
  <c r="P47" i="18"/>
  <c r="P46" i="18"/>
  <c r="M46" i="18"/>
  <c r="P45" i="18"/>
  <c r="M45" i="18"/>
  <c r="P44" i="18"/>
  <c r="P43" i="18"/>
  <c r="M43" i="18"/>
  <c r="P39" i="18"/>
  <c r="P38" i="18"/>
  <c r="M38" i="18"/>
  <c r="P24" i="18"/>
  <c r="M24" i="18"/>
  <c r="P23" i="18"/>
  <c r="M23" i="18"/>
  <c r="P22" i="18"/>
  <c r="M22" i="18"/>
  <c r="P21" i="18"/>
  <c r="M21" i="18"/>
  <c r="P20" i="18"/>
  <c r="P19" i="18"/>
  <c r="M19" i="18"/>
  <c r="P18" i="18"/>
  <c r="P17" i="18"/>
  <c r="M17" i="18"/>
  <c r="P16" i="18"/>
  <c r="M16" i="18"/>
  <c r="P15" i="18"/>
  <c r="M15" i="18"/>
  <c r="P14" i="18"/>
  <c r="M14" i="18"/>
  <c r="R10" i="18"/>
  <c r="P6" i="18"/>
  <c r="M6" i="18"/>
  <c r="P5" i="18"/>
  <c r="M5" i="18"/>
  <c r="E3" i="8"/>
  <c r="E2" i="8"/>
  <c r="I97" i="14" a="1"/>
  <c r="J64" i="14" a="1"/>
  <c r="J142" i="14"/>
  <c r="G220" i="14"/>
  <c r="G124" i="14" a="1"/>
  <c r="H199" i="14"/>
  <c r="F109" i="14" a="1"/>
  <c r="J70" i="14" a="1"/>
  <c r="F103" i="14" a="1"/>
  <c r="F73" i="14" a="1"/>
  <c r="F142" i="14"/>
  <c r="F196" i="14"/>
  <c r="J103" i="14" a="1"/>
  <c r="H136" i="14" a="1"/>
  <c r="I136" i="14" a="1"/>
  <c r="F166" i="14"/>
  <c r="H160" i="14"/>
  <c r="H76" i="14" a="1"/>
  <c r="I184" i="14"/>
  <c r="J52" i="14" a="1"/>
  <c r="I202" i="14"/>
  <c r="I67" i="14" a="1"/>
  <c r="H55" i="14" a="1"/>
  <c r="I115" i="14" a="1"/>
  <c r="F49" i="14" a="1"/>
  <c r="H193" i="14"/>
  <c r="J46" i="14" a="1"/>
  <c r="J202" i="14"/>
  <c r="J73" i="14" a="1"/>
  <c r="I199" i="14"/>
  <c r="J118" i="14" a="1"/>
  <c r="J154" i="14"/>
  <c r="H106" i="14" a="1"/>
  <c r="J181" i="14"/>
  <c r="F24" i="14" a="1"/>
  <c r="F229" i="14"/>
  <c r="I211" i="14"/>
  <c r="H211" i="14"/>
  <c r="I124" i="14" a="1"/>
  <c r="I55" i="14" a="1"/>
  <c r="I130" i="14" a="1"/>
  <c r="H208" i="14"/>
  <c r="I220" i="14"/>
  <c r="F27" i="14" a="1"/>
  <c r="J226" i="14"/>
  <c r="G139" i="14" a="1"/>
  <c r="F163" i="14"/>
  <c r="F226" i="14"/>
  <c r="F121" i="14" a="1"/>
  <c r="F169" i="14"/>
  <c r="H52" i="14" a="1"/>
  <c r="F67" i="14" a="1"/>
  <c r="H157" i="14"/>
  <c r="F14" i="14" a="1"/>
  <c r="H112" i="14" a="1"/>
  <c r="H67" i="14" a="1"/>
  <c r="F145" i="14"/>
  <c r="J49" i="14" a="1"/>
  <c r="I76" i="14" a="1"/>
  <c r="H184" i="14"/>
  <c r="F11" i="14" a="1"/>
  <c r="F52" i="14" a="1"/>
  <c r="J133" i="14"/>
  <c r="H124" i="14" a="1"/>
  <c r="F211" i="14"/>
  <c r="F217" i="14"/>
  <c r="H205" i="14"/>
  <c r="J7" i="14" a="1"/>
  <c r="J172" i="14"/>
  <c r="F118" i="14" a="1"/>
  <c r="I100" i="14" a="1"/>
  <c r="F160" i="14"/>
  <c r="J79" i="14" a="1"/>
  <c r="H64" i="14" a="1"/>
  <c r="J85" i="14" a="1"/>
  <c r="G226" i="14"/>
  <c r="G133" i="14" a="1"/>
  <c r="I70" i="14" a="1"/>
  <c r="J82" i="14" a="1"/>
  <c r="I49" i="14" a="1"/>
  <c r="I46" i="14" a="1"/>
  <c r="I169" i="14"/>
  <c r="I226" i="14"/>
  <c r="H61" i="14" a="1"/>
  <c r="I79" i="14" a="1"/>
  <c r="J223" i="14"/>
  <c r="I139" i="14" a="1"/>
  <c r="I148" i="14" a="1"/>
  <c r="F79" i="14" a="1"/>
  <c r="I118" i="14" a="1"/>
  <c r="J130" i="14" a="1"/>
  <c r="F151" i="14"/>
  <c r="F85" i="14" a="1"/>
  <c r="H73" i="14" a="1"/>
  <c r="I154" i="14"/>
  <c r="F202" i="14"/>
  <c r="J208" i="14"/>
  <c r="F148" i="14"/>
  <c r="J94" i="14" a="1"/>
  <c r="I43" i="14" a="1"/>
  <c r="G169" i="14" a="1"/>
  <c r="H151" i="14"/>
  <c r="H187" i="14"/>
  <c r="I73" i="14" a="1"/>
  <c r="J124" i="14" a="1"/>
  <c r="G145" i="14" a="1"/>
  <c r="H178" i="14"/>
  <c r="J196" i="14"/>
  <c r="J151" i="14"/>
  <c r="H97" i="14" a="1"/>
  <c r="J166" i="14"/>
  <c r="F184" i="14"/>
  <c r="F190" i="14"/>
  <c r="F106" i="14" a="1"/>
  <c r="H148" i="14" a="1"/>
  <c r="H169" i="14"/>
  <c r="F130" i="14" a="1"/>
  <c r="H43" i="14" a="1"/>
  <c r="H40" i="14" a="1"/>
  <c r="F172" i="14"/>
  <c r="F70" i="14" a="1"/>
  <c r="F97" i="14" a="1"/>
  <c r="F214" i="14"/>
  <c r="J157" i="14"/>
  <c r="H163" i="14"/>
  <c r="I58" i="14" a="1"/>
  <c r="I94" i="14" a="1"/>
  <c r="H121" i="14" a="1"/>
  <c r="I229" i="14"/>
  <c r="F205" i="14"/>
  <c r="I208" i="14"/>
  <c r="J112" i="14" a="1"/>
  <c r="F223" i="14"/>
  <c r="H49" i="14" a="1"/>
  <c r="H58" i="14" a="1"/>
  <c r="H196" i="14"/>
  <c r="I40" i="14" a="1"/>
  <c r="H166" i="14"/>
  <c r="J190" i="14"/>
  <c r="J97" i="14" a="1"/>
  <c r="I145" i="14" a="1"/>
  <c r="J175" i="14"/>
  <c r="I82" i="14" a="1"/>
  <c r="F175" i="14"/>
  <c r="I52" i="14" a="1"/>
  <c r="F43" i="14" a="1"/>
  <c r="J109" i="14" a="1"/>
  <c r="F133" i="14"/>
  <c r="J24" i="14" a="1"/>
  <c r="G148" i="14" a="1"/>
  <c r="H142" i="14" a="1"/>
  <c r="H109" i="14" a="1"/>
  <c r="F208" i="14"/>
  <c r="J148" i="14"/>
  <c r="I109" i="14" a="1"/>
  <c r="H202" i="14"/>
  <c r="H118" i="14" a="1"/>
  <c r="J205" i="14"/>
  <c r="I181" i="14"/>
  <c r="I190" i="14"/>
  <c r="I157" i="14"/>
  <c r="H127" i="14" a="1"/>
  <c r="J145" i="14"/>
  <c r="F40" i="14" a="1"/>
  <c r="J91" i="14" a="1"/>
  <c r="F112" i="14" a="1"/>
  <c r="J17" i="14" a="1"/>
  <c r="F154" i="14"/>
  <c r="J127" i="14" a="1"/>
  <c r="G163" i="14" a="1"/>
  <c r="J136" i="14"/>
  <c r="J27" i="14" a="1"/>
  <c r="H85" i="14" a="1"/>
  <c r="F157" i="14"/>
  <c r="G217" i="14"/>
  <c r="G115" i="14" a="1"/>
  <c r="J178" i="14"/>
  <c r="G121" i="14" a="1"/>
  <c r="F187" i="14"/>
  <c r="H94" i="14" a="1"/>
  <c r="F199" i="14"/>
  <c r="F55" i="14" a="1"/>
  <c r="J169" i="14"/>
  <c r="I163" i="14"/>
  <c r="J55" i="14" a="1"/>
  <c r="H172" i="14"/>
  <c r="I217" i="14"/>
  <c r="J217" i="14"/>
  <c r="J199" i="14"/>
  <c r="I112" i="14" a="1"/>
  <c r="G130" i="14" a="1"/>
  <c r="J163" i="14"/>
  <c r="I151" i="14"/>
  <c r="G112" i="14" a="1"/>
  <c r="J3" i="14" a="1"/>
  <c r="H133" i="14" a="1"/>
  <c r="J115" i="14" a="1"/>
  <c r="I187" i="14"/>
  <c r="J106" i="14" a="1"/>
  <c r="F31" i="14" a="1"/>
  <c r="G127" i="14" a="1"/>
  <c r="J14" i="14" a="1"/>
  <c r="I205" i="14"/>
  <c r="I133" i="14" a="1"/>
  <c r="F82" i="14" a="1"/>
  <c r="I85" i="14" a="1"/>
  <c r="J76" i="14" a="1"/>
  <c r="F115" i="14" a="1"/>
  <c r="F220" i="14"/>
  <c r="F46" i="14" a="1"/>
  <c r="H130" i="14" a="1"/>
  <c r="G223" i="14"/>
  <c r="G172" i="14" a="1"/>
  <c r="G109" i="14" a="1"/>
  <c r="I61" i="14" a="1"/>
  <c r="F178" i="14"/>
  <c r="J29" i="14" a="1"/>
  <c r="G229" i="14"/>
  <c r="F17" i="14" a="1"/>
  <c r="H154" i="14"/>
  <c r="J187" i="14"/>
  <c r="I106" i="14" a="1"/>
  <c r="H103" i="14" a="1"/>
  <c r="G142" i="14" a="1"/>
  <c r="H82" i="14" a="1"/>
  <c r="G118" i="14" a="1"/>
  <c r="J220" i="14"/>
  <c r="J121" i="14" a="1"/>
  <c r="H214" i="14"/>
  <c r="I175" i="14"/>
  <c r="J21" i="14" a="1"/>
  <c r="I127" i="14" a="1"/>
  <c r="H181" i="14"/>
  <c r="F139" i="14"/>
  <c r="F21" i="14" a="1"/>
  <c r="H70" i="14" a="1"/>
  <c r="J31" i="14" a="1"/>
  <c r="I142" i="14" a="1"/>
  <c r="J61" i="14" a="1"/>
  <c r="G166" i="14" a="1"/>
  <c r="F76" i="14" a="1"/>
  <c r="H145" i="14" a="1"/>
  <c r="J100" i="14" a="1"/>
  <c r="F58" i="14" a="1"/>
  <c r="F136" i="14"/>
  <c r="G160" i="14" a="1"/>
  <c r="F64" i="14" a="1"/>
  <c r="J88" i="14" a="1"/>
  <c r="G154" i="14" a="1"/>
  <c r="F193" i="14"/>
  <c r="J229" i="14"/>
  <c r="F3" i="14" a="1"/>
  <c r="J211" i="14"/>
  <c r="J58" i="14" a="1"/>
  <c r="I64" i="14" a="1"/>
  <c r="I103" i="14" a="1"/>
  <c r="F181" i="14"/>
  <c r="J160" i="14"/>
  <c r="J139" i="14"/>
  <c r="J11" i="14" a="1"/>
  <c r="F124" i="14" a="1"/>
  <c r="I178" i="14"/>
  <c r="I196" i="14"/>
  <c r="J67" i="14" a="1"/>
  <c r="F61" i="14" a="1"/>
  <c r="J43" i="14" a="1"/>
  <c r="I172" i="14"/>
  <c r="H100" i="14" a="1"/>
  <c r="J193" i="14"/>
  <c r="H46" i="14" a="1"/>
  <c r="H139" i="14" a="1"/>
  <c r="G157" i="14" a="1"/>
  <c r="H115" i="14" a="1"/>
  <c r="F127" i="14" a="1"/>
  <c r="G151" i="14" a="1"/>
  <c r="G21" i="14" a="1"/>
  <c r="G136" i="14" a="1"/>
  <c r="J184" i="14"/>
  <c r="H190" i="14"/>
  <c r="I121" i="14" a="1"/>
  <c r="I166" i="14"/>
  <c r="I160" i="14"/>
  <c r="H175" i="14"/>
  <c r="I223" i="14"/>
  <c r="J40" i="14" a="1"/>
  <c r="I193" i="14"/>
  <c r="F7" i="14" a="1"/>
  <c r="H79" i="14" a="1"/>
  <c r="F100" i="14" a="1"/>
  <c r="F29" i="14" a="1"/>
  <c r="G148" i="14" l="1"/>
  <c r="I148" i="14"/>
  <c r="H148" i="14"/>
  <c r="G145" i="14"/>
  <c r="I145" i="14"/>
  <c r="H145" i="14"/>
  <c r="G142" i="14"/>
  <c r="H142" i="14"/>
  <c r="I142" i="14"/>
  <c r="G139" i="14"/>
  <c r="H139" i="14"/>
  <c r="I139" i="14"/>
  <c r="H136" i="14"/>
  <c r="G136" i="14"/>
  <c r="I136" i="14"/>
  <c r="I133" i="14"/>
  <c r="H133" i="14"/>
  <c r="H40" i="14"/>
  <c r="F67" i="14"/>
  <c r="J88" i="14"/>
  <c r="H112" i="14"/>
  <c r="H46" i="14"/>
  <c r="J76" i="14"/>
  <c r="F118" i="14"/>
  <c r="I124" i="14"/>
  <c r="J27" i="14"/>
  <c r="I40" i="14"/>
  <c r="I61" i="14"/>
  <c r="I82" i="14"/>
  <c r="G109" i="14"/>
  <c r="G130" i="14"/>
  <c r="F27" i="14"/>
  <c r="I55" i="14"/>
  <c r="I76" i="14"/>
  <c r="H103" i="14"/>
  <c r="G121" i="14"/>
  <c r="F7" i="14"/>
  <c r="F52" i="14"/>
  <c r="H67" i="14"/>
  <c r="J97" i="14"/>
  <c r="J124" i="14"/>
  <c r="J7" i="14"/>
  <c r="J40" i="14"/>
  <c r="I46" i="14"/>
  <c r="H52" i="14"/>
  <c r="F58" i="14"/>
  <c r="J61" i="14"/>
  <c r="I67" i="14"/>
  <c r="H73" i="14"/>
  <c r="F79" i="14"/>
  <c r="J82" i="14"/>
  <c r="H94" i="14"/>
  <c r="F100" i="14"/>
  <c r="J103" i="14"/>
  <c r="H109" i="14"/>
  <c r="J112" i="14"/>
  <c r="G118" i="14"/>
  <c r="I121" i="14"/>
  <c r="F127" i="14"/>
  <c r="H130" i="14"/>
  <c r="G151" i="14"/>
  <c r="G172" i="14"/>
  <c r="F17" i="14"/>
  <c r="J49" i="14"/>
  <c r="J70" i="14"/>
  <c r="I97" i="14"/>
  <c r="J115" i="14"/>
  <c r="J17" i="14"/>
  <c r="J55" i="14"/>
  <c r="F73" i="14"/>
  <c r="I103" i="14"/>
  <c r="H121" i="14"/>
  <c r="F21" i="14"/>
  <c r="F11" i="14"/>
  <c r="F43" i="14"/>
  <c r="F64" i="14"/>
  <c r="J67" i="14"/>
  <c r="I73" i="14"/>
  <c r="H79" i="14"/>
  <c r="F85" i="14"/>
  <c r="I94" i="14"/>
  <c r="H100" i="14"/>
  <c r="F106" i="14"/>
  <c r="I109" i="14"/>
  <c r="F115" i="14"/>
  <c r="H118" i="14"/>
  <c r="J121" i="14"/>
  <c r="G127" i="14"/>
  <c r="I130" i="14"/>
  <c r="J91" i="14"/>
  <c r="I112" i="14"/>
  <c r="G157" i="14"/>
  <c r="F29" i="14"/>
  <c r="G21" i="14"/>
  <c r="I52" i="14"/>
  <c r="G166" i="14"/>
  <c r="J3" i="14"/>
  <c r="F46" i="14"/>
  <c r="H61" i="14"/>
  <c r="H82" i="14"/>
  <c r="F109" i="14"/>
  <c r="F130" i="14"/>
  <c r="G163" i="14"/>
  <c r="F31" i="14"/>
  <c r="H43" i="14"/>
  <c r="F49" i="14"/>
  <c r="J52" i="14"/>
  <c r="I58" i="14"/>
  <c r="H64" i="14"/>
  <c r="F70" i="14"/>
  <c r="J73" i="14"/>
  <c r="I79" i="14"/>
  <c r="H85" i="14"/>
  <c r="J94" i="14"/>
  <c r="I100" i="14"/>
  <c r="H106" i="14"/>
  <c r="J109" i="14"/>
  <c r="G115" i="14"/>
  <c r="I118" i="14"/>
  <c r="F124" i="14"/>
  <c r="H127" i="14"/>
  <c r="J130" i="14"/>
  <c r="G160" i="14"/>
  <c r="J29" i="14"/>
  <c r="H58" i="14"/>
  <c r="J21" i="14"/>
  <c r="F14" i="14"/>
  <c r="I43" i="14"/>
  <c r="J58" i="14"/>
  <c r="F76" i="14"/>
  <c r="J100" i="14"/>
  <c r="H115" i="14"/>
  <c r="I127" i="14"/>
  <c r="J46" i="14"/>
  <c r="J11" i="14"/>
  <c r="J31" i="14"/>
  <c r="F55" i="14"/>
  <c r="H70" i="14"/>
  <c r="I85" i="14"/>
  <c r="I106" i="14"/>
  <c r="J118" i="14"/>
  <c r="G133" i="14"/>
  <c r="G154" i="14"/>
  <c r="F24" i="14"/>
  <c r="H49" i="14"/>
  <c r="I64" i="14"/>
  <c r="J79" i="14"/>
  <c r="F97" i="14"/>
  <c r="F112" i="14"/>
  <c r="G124" i="14"/>
  <c r="F3" i="14"/>
  <c r="J14" i="14"/>
  <c r="F40" i="14"/>
  <c r="I49" i="14"/>
  <c r="F61" i="14"/>
  <c r="I70" i="14"/>
  <c r="F82" i="14"/>
  <c r="H97" i="14"/>
  <c r="F103" i="14"/>
  <c r="G112" i="14"/>
  <c r="I115" i="14"/>
  <c r="F121" i="14"/>
  <c r="H124" i="14"/>
  <c r="J127" i="14"/>
  <c r="J24" i="14"/>
  <c r="J43" i="14"/>
  <c r="H55" i="14"/>
  <c r="J64" i="14"/>
  <c r="H76" i="14"/>
  <c r="J85" i="14"/>
  <c r="J106" i="14"/>
  <c r="G169" i="14"/>
  <c r="I29" i="13"/>
  <c r="F29" i="13"/>
  <c r="I28" i="13"/>
  <c r="F28" i="13"/>
  <c r="F30" i="13"/>
  <c r="I50" i="13"/>
  <c r="I48" i="13"/>
  <c r="I49" i="13"/>
  <c r="I51" i="13"/>
  <c r="I24" i="13"/>
  <c r="F23" i="13"/>
  <c r="D3" i="8" l="1"/>
  <c r="D4" i="8" s="1"/>
  <c r="F8" i="5"/>
  <c r="E22" i="13"/>
  <c r="I22" i="13" s="1"/>
  <c r="E20" i="13"/>
  <c r="I20" i="13" s="1"/>
  <c r="E4" i="8" l="1"/>
  <c r="D7" i="8"/>
  <c r="E7" i="8" s="1"/>
  <c r="F20" i="13"/>
  <c r="F22" i="13"/>
  <c r="D6" i="8"/>
  <c r="D5" i="8"/>
  <c r="E16" i="13"/>
  <c r="I16" i="13" s="1"/>
  <c r="E17" i="13"/>
  <c r="I17" i="13" s="1"/>
  <c r="E18" i="13"/>
  <c r="I18" i="13" s="1"/>
  <c r="E19" i="13"/>
  <c r="I19" i="13" s="1"/>
  <c r="E21" i="13"/>
  <c r="I21" i="13" s="1"/>
  <c r="E46" i="13"/>
  <c r="I46" i="13" s="1"/>
  <c r="E25" i="13"/>
  <c r="I25" i="13" s="1"/>
  <c r="E26" i="13"/>
  <c r="I26" i="13" s="1"/>
  <c r="E31" i="13"/>
  <c r="I31" i="13" s="1"/>
  <c r="E32" i="13"/>
  <c r="I32" i="13" s="1"/>
  <c r="E33" i="13"/>
  <c r="I33" i="13" s="1"/>
  <c r="E34" i="13"/>
  <c r="I34" i="13" s="1"/>
  <c r="E35" i="13"/>
  <c r="I35" i="13" s="1"/>
  <c r="E36" i="13"/>
  <c r="I36" i="13" s="1"/>
  <c r="E37" i="13"/>
  <c r="I37" i="13" s="1"/>
  <c r="E38" i="13"/>
  <c r="I38" i="13" s="1"/>
  <c r="E39" i="13"/>
  <c r="I39" i="13" s="1"/>
  <c r="E40" i="13"/>
  <c r="I40" i="13" s="1"/>
  <c r="E41" i="13"/>
  <c r="I41" i="13" s="1"/>
  <c r="E42" i="13"/>
  <c r="I42" i="13" s="1"/>
  <c r="E43" i="13"/>
  <c r="I43" i="13" s="1"/>
  <c r="E44" i="13"/>
  <c r="I44" i="13" s="1"/>
  <c r="E45" i="13"/>
  <c r="I45" i="13" s="1"/>
  <c r="E47" i="13"/>
  <c r="I47" i="13" s="1"/>
  <c r="E15" i="13"/>
  <c r="I15" i="13" s="1"/>
  <c r="E4" i="13"/>
  <c r="I4" i="13" s="1"/>
  <c r="E5" i="13"/>
  <c r="I5" i="13" s="1"/>
  <c r="E6" i="13"/>
  <c r="I6" i="13" s="1"/>
  <c r="E7" i="13"/>
  <c r="I7" i="13" s="1"/>
  <c r="E8" i="13"/>
  <c r="I8" i="13" s="1"/>
  <c r="E9" i="13"/>
  <c r="I9" i="13" s="1"/>
  <c r="E10" i="13"/>
  <c r="I10" i="13" s="1"/>
  <c r="E11" i="13"/>
  <c r="I11" i="13" s="1"/>
  <c r="E12" i="13"/>
  <c r="I12" i="13" s="1"/>
  <c r="E13" i="13"/>
  <c r="I13" i="13" s="1"/>
  <c r="E14" i="13"/>
  <c r="I14" i="13" s="1"/>
  <c r="E3" i="13"/>
  <c r="I3" i="13" l="1"/>
  <c r="E5" i="8"/>
  <c r="E6" i="8"/>
  <c r="D16" i="14"/>
  <c r="D2" i="14"/>
  <c r="F17" i="13"/>
  <c r="F5" i="13"/>
  <c r="F35" i="13"/>
  <c r="F4" i="13"/>
  <c r="F34" i="13"/>
  <c r="F33" i="13"/>
  <c r="F37" i="13"/>
  <c r="F3" i="13"/>
  <c r="F7" i="13"/>
  <c r="F16" i="13"/>
  <c r="F45" i="13"/>
  <c r="F44" i="13"/>
  <c r="F43" i="13"/>
  <c r="F26" i="13"/>
  <c r="F36" i="13"/>
  <c r="F32" i="13"/>
  <c r="F14" i="13"/>
  <c r="F13" i="13"/>
  <c r="F12" i="13"/>
  <c r="F25" i="13"/>
  <c r="F46" i="13"/>
  <c r="F15" i="13"/>
  <c r="F47" i="13"/>
  <c r="F31" i="13"/>
  <c r="F42" i="13"/>
  <c r="F11" i="13"/>
  <c r="F41" i="13"/>
  <c r="F10" i="13"/>
  <c r="F40" i="13"/>
  <c r="F21" i="13"/>
  <c r="F9" i="13"/>
  <c r="F39" i="13"/>
  <c r="F19" i="13"/>
  <c r="F8" i="13"/>
  <c r="F38" i="13"/>
  <c r="F18" i="13"/>
  <c r="F6" i="13"/>
  <c r="G33" i="14" a="1"/>
  <c r="F33" i="14" a="1"/>
  <c r="F33" i="14" l="1"/>
  <c r="G33" i="14"/>
  <c r="F3" i="5"/>
  <c r="F6" i="5"/>
  <c r="F7" i="5"/>
  <c r="F4" i="5"/>
  <c r="F5" i="5"/>
  <c r="F9" i="5"/>
  <c r="F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5" authorId="0" shapeId="0" xr:uid="{B79D5A47-EAFC-40DF-9BD7-638F0B8473FE}">
      <text>
        <r>
          <rPr>
            <b/>
            <sz val="9"/>
            <color indexed="81"/>
            <rFont val="Tahoma"/>
            <family val="2"/>
          </rPr>
          <t>MORBIDI MAURIZIO:</t>
        </r>
        <r>
          <rPr>
            <sz val="9"/>
            <color indexed="81"/>
            <rFont val="Tahoma"/>
            <family val="2"/>
          </rPr>
          <t xml:space="preserve">
Disponibile anche codice BD140045210  relativo a BL 6.2</t>
        </r>
      </text>
    </comment>
    <comment ref="I5" authorId="0" shapeId="0" xr:uid="{1C8A92C6-86AA-43D0-9863-2DDE2F6C154A}">
      <text>
        <r>
          <rPr>
            <b/>
            <sz val="9"/>
            <color indexed="81"/>
            <rFont val="Tahoma"/>
            <family val="2"/>
          </rPr>
          <t>MORBIDI MAURIZIO:</t>
        </r>
        <r>
          <rPr>
            <sz val="9"/>
            <color indexed="81"/>
            <rFont val="Tahoma"/>
            <family val="2"/>
          </rPr>
          <t xml:space="preserve">
Disponibile anche codice BD140038737 di BL 4.3</t>
        </r>
      </text>
    </comment>
    <comment ref="P6" authorId="0" shapeId="0" xr:uid="{1C75F35F-F89C-456D-8A4F-9121A1B6EF31}">
      <text>
        <r>
          <rPr>
            <b/>
            <sz val="9"/>
            <color indexed="81"/>
            <rFont val="Tahoma"/>
            <family val="2"/>
          </rPr>
          <t>MORBIDI MAURIZIO:</t>
        </r>
        <r>
          <rPr>
            <sz val="9"/>
            <color indexed="81"/>
            <rFont val="Tahoma"/>
            <family val="2"/>
          </rPr>
          <t xml:space="preserve">
Le revisioni (non disponibili) in rosso sono relative alla BL 5.0</t>
        </r>
      </text>
    </comment>
    <comment ref="I10" authorId="0" shapeId="0" xr:uid="{A587411E-CA39-48ED-A728-66A58F4EDF4C}">
      <text>
        <r>
          <rPr>
            <b/>
            <sz val="9"/>
            <color indexed="81"/>
            <rFont val="Tahoma"/>
            <family val="2"/>
          </rPr>
          <t>MORBIDI MAURIZIO:</t>
        </r>
        <r>
          <rPr>
            <sz val="9"/>
            <color indexed="81"/>
            <rFont val="Tahoma"/>
            <family val="2"/>
          </rPr>
          <t xml:space="preserve">
Non indicato nel file di configurazione, ma presente tra i documenti</t>
        </r>
      </text>
    </comment>
    <comment ref="M13" authorId="0" shapeId="0" xr:uid="{AB6990C6-89B8-47F8-B728-3D4168C14C03}">
      <text>
        <r>
          <rPr>
            <b/>
            <sz val="9"/>
            <color indexed="81"/>
            <rFont val="Tahoma"/>
            <family val="2"/>
          </rPr>
          <t>MORBIDI MAURIZIO:</t>
        </r>
        <r>
          <rPr>
            <sz val="9"/>
            <color indexed="81"/>
            <rFont val="Tahoma"/>
            <family val="2"/>
          </rPr>
          <t xml:space="preserve">
Rev A più aggiornata della BL corrente</t>
        </r>
      </text>
    </comment>
    <comment ref="J16" authorId="0" shapeId="0" xr:uid="{88FD6F92-A448-41C8-B393-57D4673BAAED}">
      <text>
        <r>
          <rPr>
            <b/>
            <sz val="9"/>
            <color indexed="81"/>
            <rFont val="Tahoma"/>
            <family val="2"/>
          </rPr>
          <t>MORBIDI MAURIZIO:</t>
        </r>
        <r>
          <rPr>
            <sz val="9"/>
            <color indexed="81"/>
            <rFont val="Tahoma"/>
            <family val="2"/>
          </rPr>
          <t xml:space="preserve">
Disponibile rev D</t>
        </r>
      </text>
    </comment>
    <comment ref="D17" authorId="0" shapeId="0" xr:uid="{C29B5173-F0F6-4A2F-85D3-9577A7964657}">
      <text>
        <r>
          <rPr>
            <b/>
            <sz val="9"/>
            <color indexed="81"/>
            <rFont val="Tahoma"/>
            <family val="2"/>
          </rPr>
          <t>MORBIDI MAURIZIO:</t>
        </r>
        <r>
          <rPr>
            <sz val="9"/>
            <color indexed="81"/>
            <rFont val="Tahoma"/>
            <family val="2"/>
          </rPr>
          <t xml:space="preserve">
Disponibile rev C</t>
        </r>
      </text>
    </comment>
    <comment ref="J17" authorId="0" shapeId="0" xr:uid="{CF457C21-AAF5-44B8-B4C7-E653BBEE2F4B}">
      <text>
        <r>
          <rPr>
            <b/>
            <sz val="9"/>
            <color indexed="81"/>
            <rFont val="Tahoma"/>
            <family val="2"/>
          </rPr>
          <t>MORBIDI MAURIZIO:</t>
        </r>
        <r>
          <rPr>
            <sz val="9"/>
            <color indexed="81"/>
            <rFont val="Tahoma"/>
            <family val="2"/>
          </rPr>
          <t xml:space="preserve">
Disponibile rev _</t>
        </r>
      </text>
    </comment>
    <comment ref="J20" authorId="0" shapeId="0" xr:uid="{B66CB948-81F1-4935-A855-074491FABE2C}">
      <text>
        <r>
          <rPr>
            <b/>
            <sz val="9"/>
            <color indexed="81"/>
            <rFont val="Tahoma"/>
            <family val="2"/>
          </rPr>
          <t>MORBIDI MAURIZIO:</t>
        </r>
        <r>
          <rPr>
            <sz val="9"/>
            <color indexed="81"/>
            <rFont val="Tahoma"/>
            <family val="2"/>
          </rPr>
          <t xml:space="preserve">
Disponibile rev _</t>
        </r>
      </text>
    </comment>
    <comment ref="J22" authorId="0" shapeId="0" xr:uid="{1FF08F8F-4D30-48D2-BEF9-21194E9D2649}">
      <text>
        <r>
          <rPr>
            <b/>
            <sz val="9"/>
            <color indexed="81"/>
            <rFont val="Tahoma"/>
            <family val="2"/>
          </rPr>
          <t>MORBIDI MAURIZIO:</t>
        </r>
        <r>
          <rPr>
            <sz val="9"/>
            <color indexed="81"/>
            <rFont val="Tahoma"/>
            <family val="2"/>
          </rPr>
          <t xml:space="preserve">
Disponibile rev C</t>
        </r>
      </text>
    </comment>
    <comment ref="M23" authorId="0" shapeId="0" xr:uid="{B4FC8291-3A2A-4990-941D-57F1072C238B}">
      <text>
        <r>
          <rPr>
            <b/>
            <sz val="9"/>
            <color indexed="81"/>
            <rFont val="Tahoma"/>
            <family val="2"/>
          </rPr>
          <t>MORBIDI MAURIZIO:</t>
        </r>
        <r>
          <rPr>
            <sz val="9"/>
            <color indexed="81"/>
            <rFont val="Tahoma"/>
            <family val="2"/>
          </rPr>
          <t xml:space="preserve">
Rev A più aggiornata della BL corrente</t>
        </r>
      </text>
    </comment>
    <comment ref="M25" authorId="0" shapeId="0" xr:uid="{45179BD9-6CE1-425F-8DF7-79F171CFD9DD}">
      <text>
        <r>
          <rPr>
            <b/>
            <sz val="9"/>
            <color indexed="81"/>
            <rFont val="Tahoma"/>
            <family val="2"/>
          </rPr>
          <t>MORBIDI MAURIZIO:</t>
        </r>
        <r>
          <rPr>
            <sz val="9"/>
            <color indexed="81"/>
            <rFont val="Tahoma"/>
            <family val="2"/>
          </rPr>
          <t xml:space="preserve">
Rev A più aggiornata della BL corrente</t>
        </r>
      </text>
    </comment>
    <comment ref="M28" authorId="0" shapeId="0" xr:uid="{6D8C32F6-92F7-41BD-AD1A-E47F4F6F0EB4}">
      <text>
        <r>
          <rPr>
            <b/>
            <sz val="9"/>
            <color indexed="81"/>
            <rFont val="Tahoma"/>
            <family val="2"/>
          </rPr>
          <t>MORBIDI MAURIZIO:</t>
        </r>
        <r>
          <rPr>
            <sz val="9"/>
            <color indexed="81"/>
            <rFont val="Tahoma"/>
            <family val="2"/>
          </rPr>
          <t xml:space="preserve">
Dispoinibile ver A non B</t>
        </r>
      </text>
    </comment>
    <comment ref="C34" authorId="0" shapeId="0" xr:uid="{0AA21555-4C77-48B8-AF6D-A2FBE15B5076}">
      <text>
        <r>
          <rPr>
            <b/>
            <sz val="9"/>
            <color indexed="81"/>
            <rFont val="Tahoma"/>
            <family val="2"/>
          </rPr>
          <t>MORBIDI MAURIZIO:</t>
        </r>
        <r>
          <rPr>
            <sz val="9"/>
            <color indexed="81"/>
            <rFont val="Tahoma"/>
            <family val="2"/>
          </rPr>
          <t xml:space="preserve">
Non presente in BL ma inserita comunque tra le  FRS</t>
        </r>
      </text>
    </comment>
    <comment ref="K36" authorId="0" shapeId="0" xr:uid="{F035968B-3B3E-4B4D-831B-CAC4F278755F}">
      <text>
        <r>
          <rPr>
            <b/>
            <sz val="9"/>
            <color indexed="81"/>
            <rFont val="Tahoma"/>
            <family val="2"/>
          </rPr>
          <t>MORBIDI MAURIZIO:</t>
        </r>
        <r>
          <rPr>
            <sz val="9"/>
            <color indexed="81"/>
            <rFont val="Tahoma"/>
            <family val="2"/>
          </rPr>
          <t xml:space="preserve">
Vecchia versione non più applicabile?</t>
        </r>
      </text>
    </comment>
    <comment ref="E37" authorId="0" shapeId="0" xr:uid="{975B45F5-31B7-4735-89AF-13D04D1D550D}">
      <text>
        <r>
          <rPr>
            <b/>
            <sz val="9"/>
            <color indexed="81"/>
            <rFont val="Tahoma"/>
            <family val="2"/>
          </rPr>
          <t>MORBIDI MAURIZIO:</t>
        </r>
        <r>
          <rPr>
            <sz val="9"/>
            <color indexed="81"/>
            <rFont val="Tahoma"/>
            <family val="2"/>
          </rPr>
          <t xml:space="preserve">
EC01P008999B vecchia versione?</t>
        </r>
      </text>
    </comment>
    <comment ref="H37" authorId="0" shapeId="0" xr:uid="{ED1B293E-2539-4FFB-B061-BD5A2A05752E}">
      <text>
        <r>
          <rPr>
            <b/>
            <sz val="9"/>
            <color indexed="81"/>
            <rFont val="Tahoma"/>
            <family val="2"/>
          </rPr>
          <t>MORBIDI MAURIZIO:</t>
        </r>
        <r>
          <rPr>
            <sz val="9"/>
            <color indexed="81"/>
            <rFont val="Tahoma"/>
            <family val="2"/>
          </rPr>
          <t xml:space="preserve">
Vecchio codice antecedente BL3 non più applicabile?</t>
        </r>
      </text>
    </comment>
    <comment ref="K37" authorId="0" shapeId="0" xr:uid="{72066D7C-5982-4AAA-9C58-A94E08C0DE5E}">
      <text>
        <r>
          <rPr>
            <b/>
            <sz val="9"/>
            <color indexed="81"/>
            <rFont val="Tahoma"/>
            <family val="2"/>
          </rPr>
          <t>MORBIDI MAURIZIO:</t>
        </r>
        <r>
          <rPr>
            <sz val="9"/>
            <color indexed="81"/>
            <rFont val="Tahoma"/>
            <family val="2"/>
          </rPr>
          <t xml:space="preserve">
EC01P008999B vecchia versione?</t>
        </r>
      </text>
    </comment>
    <comment ref="N37" authorId="0" shapeId="0" xr:uid="{57730167-7D83-4054-8B69-330DCC194BFC}">
      <text>
        <r>
          <rPr>
            <b/>
            <sz val="9"/>
            <color indexed="81"/>
            <rFont val="Tahoma"/>
            <family val="2"/>
          </rPr>
          <t>MORBIDI MAURIZIO:</t>
        </r>
        <r>
          <rPr>
            <sz val="9"/>
            <color indexed="81"/>
            <rFont val="Tahoma"/>
            <family val="2"/>
          </rPr>
          <t xml:space="preserve">
Non più applicabile?</t>
        </r>
      </text>
    </comment>
    <comment ref="D46" authorId="0" shapeId="0" xr:uid="{49F1ADE9-DA01-4D5D-B5DD-593F671FDFDA}">
      <text>
        <r>
          <rPr>
            <b/>
            <sz val="9"/>
            <color indexed="81"/>
            <rFont val="Tahoma"/>
            <family val="2"/>
          </rPr>
          <t>MORBIDI MAURIZIO:</t>
        </r>
        <r>
          <rPr>
            <sz val="9"/>
            <color indexed="81"/>
            <rFont val="Tahoma"/>
            <family val="2"/>
          </rPr>
          <t xml:space="preserve">
Disponibile rev J</t>
        </r>
      </text>
    </comment>
    <comment ref="J46" authorId="0" shapeId="0" xr:uid="{5B5B0E8B-860D-4C1A-987E-933A731109A6}">
      <text>
        <r>
          <rPr>
            <b/>
            <sz val="9"/>
            <color indexed="81"/>
            <rFont val="Tahoma"/>
            <family val="2"/>
          </rPr>
          <t>MORBIDI MAURIZIO:</t>
        </r>
        <r>
          <rPr>
            <sz val="9"/>
            <color indexed="81"/>
            <rFont val="Tahoma"/>
            <family val="2"/>
          </rPr>
          <t xml:space="preserve">
Disponibile rev A</t>
        </r>
      </text>
    </comment>
    <comment ref="D47" authorId="0" shapeId="0" xr:uid="{D09C43B4-2249-4C2D-B438-6A339ED10AFE}">
      <text>
        <r>
          <rPr>
            <b/>
            <sz val="9"/>
            <color indexed="81"/>
            <rFont val="Tahoma"/>
            <family val="2"/>
          </rPr>
          <t>MORBIDI MAURIZIO:</t>
        </r>
        <r>
          <rPr>
            <sz val="9"/>
            <color indexed="81"/>
            <rFont val="Tahoma"/>
            <family val="2"/>
          </rPr>
          <t xml:space="preserve">
Disponibile rev C</t>
        </r>
      </text>
    </comment>
    <comment ref="D50" authorId="0" shapeId="0" xr:uid="{43F133AE-ADA4-40AA-B6AF-298074BB4E3C}">
      <text>
        <r>
          <rPr>
            <b/>
            <sz val="9"/>
            <color indexed="81"/>
            <rFont val="Tahoma"/>
            <family val="2"/>
          </rPr>
          <t>MORBIDI MAURIZIO:</t>
        </r>
        <r>
          <rPr>
            <sz val="9"/>
            <color indexed="81"/>
            <rFont val="Tahoma"/>
            <family val="2"/>
          </rPr>
          <t xml:space="preserve">
Disponibile rev B</t>
        </r>
      </text>
    </comment>
    <comment ref="D53" authorId="0" shapeId="0" xr:uid="{6C4CC117-E832-40E3-9347-7203E265212A}">
      <text>
        <r>
          <rPr>
            <b/>
            <sz val="9"/>
            <color indexed="81"/>
            <rFont val="Tahoma"/>
            <family val="2"/>
          </rPr>
          <t>MORBIDI MAURIZIO:</t>
        </r>
        <r>
          <rPr>
            <sz val="9"/>
            <color indexed="81"/>
            <rFont val="Tahoma"/>
            <family val="2"/>
          </rPr>
          <t xml:space="preserve">
Rev 09 + aggiornata di BL corrente.
08 x VZ_IT_New14
09 x VZ_ES</t>
        </r>
      </text>
    </comment>
    <comment ref="G53" authorId="0" shapeId="0" xr:uid="{42B06553-B581-4BE7-9A7E-46BF2947DC70}">
      <text>
        <r>
          <rPr>
            <b/>
            <sz val="9"/>
            <color indexed="81"/>
            <rFont val="Tahoma"/>
            <family val="2"/>
          </rPr>
          <t>MORBIDI MAURIZIO:</t>
        </r>
        <r>
          <rPr>
            <sz val="9"/>
            <color indexed="81"/>
            <rFont val="Tahoma"/>
            <family val="2"/>
          </rPr>
          <t xml:space="preserve">
Rev 09 + aggiornata di BL corrente.
09 x VZ_ES</t>
        </r>
      </text>
    </comment>
    <comment ref="D57" authorId="0" shapeId="0" xr:uid="{283F471C-15B2-4F08-B7C0-C3A52F068EAC}">
      <text>
        <r>
          <rPr>
            <b/>
            <sz val="9"/>
            <color indexed="81"/>
            <rFont val="Tahoma"/>
            <family val="2"/>
          </rPr>
          <t>MORBIDI MAURIZIO:</t>
        </r>
        <r>
          <rPr>
            <sz val="9"/>
            <color indexed="81"/>
            <rFont val="Tahoma"/>
            <family val="2"/>
          </rPr>
          <t xml:space="preserve">
Rev 04 + aggiornata di BL corrente.
04 x VZ_ES
</t>
        </r>
      </text>
    </comment>
    <comment ref="J57" authorId="0" shapeId="0" xr:uid="{E0DF4BBC-5FAF-4B39-90C6-1DCA84FB7ACC}">
      <text>
        <r>
          <rPr>
            <b/>
            <sz val="9"/>
            <color indexed="81"/>
            <rFont val="Tahoma"/>
            <family val="2"/>
          </rPr>
          <t>MORBIDI MAURIZIO:</t>
        </r>
        <r>
          <rPr>
            <sz val="9"/>
            <color indexed="81"/>
            <rFont val="Tahoma"/>
            <family val="2"/>
          </rPr>
          <t xml:space="preserve">
Rev 04 + aggiornata di BL corrente.
04 x VZ_ES
</t>
        </r>
      </text>
    </comment>
    <comment ref="H60" authorId="0" shapeId="0" xr:uid="{301F0AC3-1187-4229-9182-5148BA8DC229}">
      <text>
        <r>
          <rPr>
            <b/>
            <sz val="9"/>
            <color indexed="81"/>
            <rFont val="Tahoma"/>
            <family val="2"/>
          </rPr>
          <t>MORBIDI MAURIZIO:</t>
        </r>
        <r>
          <rPr>
            <sz val="9"/>
            <color indexed="81"/>
            <rFont val="Tahoma"/>
            <family val="2"/>
          </rPr>
          <t xml:space="preserve">
Codice HRI = EC010008563</t>
        </r>
      </text>
    </comment>
    <comment ref="G67" authorId="0" shapeId="0" xr:uid="{FBC14455-59B2-4C87-9F62-81E086E4AE80}">
      <text>
        <r>
          <rPr>
            <b/>
            <sz val="9"/>
            <color indexed="81"/>
            <rFont val="Tahoma"/>
            <family val="2"/>
          </rPr>
          <t>MORBIDI MAURIZIO:</t>
        </r>
        <r>
          <rPr>
            <sz val="9"/>
            <color indexed="81"/>
            <rFont val="Tahoma"/>
            <family val="2"/>
          </rPr>
          <t xml:space="preserve">
Disponibile rev E che include BL3 SSB</t>
        </r>
      </text>
    </comment>
    <comment ref="D68" authorId="0" shapeId="0" xr:uid="{400D3E4A-DC40-4E0F-B8D2-83B9BF78D319}">
      <text>
        <r>
          <rPr>
            <b/>
            <sz val="9"/>
            <color indexed="81"/>
            <rFont val="Tahoma"/>
            <family val="2"/>
          </rPr>
          <t>MORBIDI MAURIZIO:</t>
        </r>
        <r>
          <rPr>
            <sz val="9"/>
            <color indexed="81"/>
            <rFont val="Tahoma"/>
            <family val="2"/>
          </rPr>
          <t xml:space="preserve">
Rev J non trovata
Disponibile rev H</t>
        </r>
      </text>
    </comment>
    <comment ref="D69" authorId="0" shapeId="0" xr:uid="{82B7638F-803E-45D1-A3F9-46A973894597}">
      <text>
        <r>
          <rPr>
            <b/>
            <sz val="9"/>
            <color indexed="81"/>
            <rFont val="Tahoma"/>
            <family val="2"/>
          </rPr>
          <t>MORBIDI MAURIZIO:</t>
        </r>
        <r>
          <rPr>
            <sz val="9"/>
            <color indexed="81"/>
            <rFont val="Tahoma"/>
            <family val="2"/>
          </rPr>
          <t xml:space="preserve">
Rev J non trovata
Disponibile rev H</t>
        </r>
      </text>
    </comment>
    <comment ref="D70" authorId="0" shapeId="0" xr:uid="{C386A529-7B87-4D7A-949F-21EC56F82968}">
      <text>
        <r>
          <rPr>
            <b/>
            <sz val="9"/>
            <color indexed="81"/>
            <rFont val="Tahoma"/>
            <family val="2"/>
          </rPr>
          <t>MORBIDI MAURIZIO:</t>
        </r>
        <r>
          <rPr>
            <sz val="9"/>
            <color indexed="81"/>
            <rFont val="Tahoma"/>
            <family val="2"/>
          </rPr>
          <t xml:space="preserve">
Rev J non trovata
Disponibile rev H</t>
        </r>
      </text>
    </comment>
    <comment ref="D71" authorId="0" shapeId="0" xr:uid="{FF537AA3-5EBC-4A03-BDDD-52D015798F70}">
      <text>
        <r>
          <rPr>
            <b/>
            <sz val="9"/>
            <color indexed="81"/>
            <rFont val="Tahoma"/>
            <family val="2"/>
          </rPr>
          <t>MORBIDI MAURIZIO:</t>
        </r>
        <r>
          <rPr>
            <sz val="9"/>
            <color indexed="81"/>
            <rFont val="Tahoma"/>
            <family val="2"/>
          </rPr>
          <t xml:space="preserve">
Rev J non trovata
Disponibile rev H</t>
        </r>
      </text>
    </comment>
    <comment ref="D72" authorId="0" shapeId="0" xr:uid="{2ED1633D-BE94-4192-BAB5-C0CB6C8C9C9E}">
      <text>
        <r>
          <rPr>
            <b/>
            <sz val="9"/>
            <color indexed="81"/>
            <rFont val="Tahoma"/>
            <family val="2"/>
          </rPr>
          <t>MORBIDI MAURIZIO:</t>
        </r>
        <r>
          <rPr>
            <sz val="9"/>
            <color indexed="81"/>
            <rFont val="Tahoma"/>
            <family val="2"/>
          </rPr>
          <t xml:space="preserve">
Rev J non trovata
Disponibile rev H</t>
        </r>
      </text>
    </comment>
    <comment ref="D73" authorId="0" shapeId="0" xr:uid="{2B2B4200-27EE-4559-8DB6-E3932343696D}">
      <text>
        <r>
          <rPr>
            <b/>
            <sz val="9"/>
            <color indexed="81"/>
            <rFont val="Tahoma"/>
            <family val="2"/>
          </rPr>
          <t>MORBIDI MAURIZIO:</t>
        </r>
        <r>
          <rPr>
            <sz val="9"/>
            <color indexed="81"/>
            <rFont val="Tahoma"/>
            <family val="2"/>
          </rPr>
          <t xml:space="preserve">
Rev J non trovata
Disponibile rev H</t>
        </r>
      </text>
    </comment>
    <comment ref="G74" authorId="0" shapeId="0" xr:uid="{68428F22-168C-4445-B310-D7F84329FB42}">
      <text>
        <r>
          <rPr>
            <b/>
            <sz val="9"/>
            <color indexed="81"/>
            <rFont val="Tahoma"/>
            <family val="2"/>
          </rPr>
          <t>MORBIDI MAURIZIO:</t>
        </r>
        <r>
          <rPr>
            <sz val="9"/>
            <color indexed="81"/>
            <rFont val="Tahoma"/>
            <family val="2"/>
          </rPr>
          <t xml:space="preserve">
Disponibile rev F che include BL3 SSB</t>
        </r>
      </text>
    </comment>
    <comment ref="G76" authorId="0" shapeId="0" xr:uid="{AB6F62B7-E88F-409E-9751-46F279272E3A}">
      <text>
        <r>
          <rPr>
            <b/>
            <sz val="9"/>
            <color indexed="81"/>
            <rFont val="Tahoma"/>
            <family val="2"/>
          </rPr>
          <t>MORBIDI MAURIZIO:</t>
        </r>
        <r>
          <rPr>
            <sz val="9"/>
            <color indexed="81"/>
            <rFont val="Tahoma"/>
            <family val="2"/>
          </rPr>
          <t xml:space="preserve">
Disponibile rev E</t>
        </r>
      </text>
    </comment>
    <comment ref="D77" authorId="0" shapeId="0" xr:uid="{35FF7917-0EF9-4AB7-9CAA-1FA57EA33D10}">
      <text>
        <r>
          <rPr>
            <b/>
            <sz val="9"/>
            <color indexed="81"/>
            <rFont val="Tahoma"/>
            <family val="2"/>
          </rPr>
          <t>MORBIDI MAURIZIO:</t>
        </r>
        <r>
          <rPr>
            <sz val="9"/>
            <color indexed="81"/>
            <rFont val="Tahoma"/>
            <family val="2"/>
          </rPr>
          <t xml:space="preserve">
Rev J non trovata
Disponibile rev H</t>
        </r>
      </text>
    </comment>
    <comment ref="G77" authorId="0" shapeId="0" xr:uid="{1D9F3F45-B8D0-4904-B94C-FDA8EE7E7534}">
      <text>
        <r>
          <rPr>
            <b/>
            <sz val="9"/>
            <color indexed="81"/>
            <rFont val="Tahoma"/>
            <family val="2"/>
          </rPr>
          <t>MORBIDI MAURIZIO:</t>
        </r>
        <r>
          <rPr>
            <sz val="9"/>
            <color indexed="81"/>
            <rFont val="Tahoma"/>
            <family val="2"/>
          </rPr>
          <t xml:space="preserve">
Rev D mancante, disponibile rev C</t>
        </r>
      </text>
    </comment>
    <comment ref="D78" authorId="0" shapeId="0" xr:uid="{368BE82C-6CFD-435A-8A61-34661C95EA8A}">
      <text>
        <r>
          <rPr>
            <b/>
            <sz val="9"/>
            <color indexed="81"/>
            <rFont val="Tahoma"/>
            <family val="2"/>
          </rPr>
          <t>MORBIDI MAURIZIO:</t>
        </r>
        <r>
          <rPr>
            <sz val="9"/>
            <color indexed="81"/>
            <rFont val="Tahoma"/>
            <family val="2"/>
          </rPr>
          <t xml:space="preserve">
Rev J non trovata
Disponibile rev H</t>
        </r>
      </text>
    </comment>
    <comment ref="G78" authorId="0" shapeId="0" xr:uid="{43920DEA-5D5C-4ED2-A09A-B64E82892AA9}">
      <text>
        <r>
          <rPr>
            <b/>
            <sz val="9"/>
            <color indexed="81"/>
            <rFont val="Tahoma"/>
            <family val="2"/>
          </rPr>
          <t>MORBIDI MAURIZIO:</t>
        </r>
        <r>
          <rPr>
            <sz val="9"/>
            <color indexed="81"/>
            <rFont val="Tahoma"/>
            <family val="2"/>
          </rPr>
          <t xml:space="preserve">
Rev D mancante, disponibile rev C</t>
        </r>
      </text>
    </comment>
    <comment ref="D79" authorId="0" shapeId="0" xr:uid="{87DCBD88-BECA-4967-9B23-551D9D7B0F54}">
      <text>
        <r>
          <rPr>
            <b/>
            <sz val="9"/>
            <color indexed="81"/>
            <rFont val="Tahoma"/>
            <family val="2"/>
          </rPr>
          <t>MORBIDI MAURIZIO:</t>
        </r>
        <r>
          <rPr>
            <sz val="9"/>
            <color indexed="81"/>
            <rFont val="Tahoma"/>
            <family val="2"/>
          </rPr>
          <t xml:space="preserve">
Rev J non trovata
Disponibile rev H</t>
        </r>
      </text>
    </comment>
    <comment ref="G79" authorId="0" shapeId="0" xr:uid="{FB13EEB9-E51C-412B-B500-EB07D8929FA0}">
      <text>
        <r>
          <rPr>
            <b/>
            <sz val="9"/>
            <color indexed="81"/>
            <rFont val="Tahoma"/>
            <family val="2"/>
          </rPr>
          <t>MORBIDI MAURIZIO:</t>
        </r>
        <r>
          <rPr>
            <sz val="9"/>
            <color indexed="81"/>
            <rFont val="Tahoma"/>
            <family val="2"/>
          </rPr>
          <t xml:space="preserve">
Rev D mancante, disponibile rev C</t>
        </r>
      </text>
    </comment>
    <comment ref="D80" authorId="0" shapeId="0" xr:uid="{1C2D9441-4A7F-42A5-A102-BBFAD42EA20C}">
      <text>
        <r>
          <rPr>
            <b/>
            <sz val="9"/>
            <color indexed="81"/>
            <rFont val="Tahoma"/>
            <family val="2"/>
          </rPr>
          <t>MORBIDI MAURIZIO:</t>
        </r>
        <r>
          <rPr>
            <sz val="9"/>
            <color indexed="81"/>
            <rFont val="Tahoma"/>
            <family val="2"/>
          </rPr>
          <t xml:space="preserve">
Rev J non trovata
Disponibile rev H</t>
        </r>
      </text>
    </comment>
    <comment ref="G80" authorId="0" shapeId="0" xr:uid="{8168BD72-F433-4688-B4C6-3B24E91716F9}">
      <text>
        <r>
          <rPr>
            <b/>
            <sz val="9"/>
            <color indexed="81"/>
            <rFont val="Tahoma"/>
            <family val="2"/>
          </rPr>
          <t>MORBIDI MAURIZIO:</t>
        </r>
        <r>
          <rPr>
            <sz val="9"/>
            <color indexed="81"/>
            <rFont val="Tahoma"/>
            <family val="2"/>
          </rPr>
          <t xml:space="preserve">
Rev D mancante, disponibile rev C</t>
        </r>
      </text>
    </comment>
    <comment ref="D81" authorId="0" shapeId="0" xr:uid="{F2838305-1063-4992-893E-1C506F6FD3E8}">
      <text>
        <r>
          <rPr>
            <b/>
            <sz val="9"/>
            <color indexed="81"/>
            <rFont val="Tahoma"/>
            <family val="2"/>
          </rPr>
          <t>MORBIDI MAURIZIO:</t>
        </r>
        <r>
          <rPr>
            <sz val="9"/>
            <color indexed="81"/>
            <rFont val="Tahoma"/>
            <family val="2"/>
          </rPr>
          <t xml:space="preserve">
Rev J non trovata
Disponibile rev H</t>
        </r>
      </text>
    </comment>
    <comment ref="G81" authorId="0" shapeId="0" xr:uid="{E8560D4B-8FDA-41AE-B6FC-1C9F2E1C2270}">
      <text>
        <r>
          <rPr>
            <b/>
            <sz val="9"/>
            <color indexed="81"/>
            <rFont val="Tahoma"/>
            <family val="2"/>
          </rPr>
          <t>MORBIDI MAURIZIO:</t>
        </r>
        <r>
          <rPr>
            <sz val="9"/>
            <color indexed="81"/>
            <rFont val="Tahoma"/>
            <family val="2"/>
          </rPr>
          <t xml:space="preserve">
Rev D mancante, disponibile rev C</t>
        </r>
      </text>
    </comment>
    <comment ref="D82" authorId="0" shapeId="0" xr:uid="{4994201A-1566-43AB-873D-E099089B7CF7}">
      <text>
        <r>
          <rPr>
            <b/>
            <sz val="9"/>
            <color indexed="81"/>
            <rFont val="Tahoma"/>
            <family val="2"/>
          </rPr>
          <t>MORBIDI MAURIZIO:</t>
        </r>
        <r>
          <rPr>
            <sz val="9"/>
            <color indexed="81"/>
            <rFont val="Tahoma"/>
            <family val="2"/>
          </rPr>
          <t xml:space="preserve">
Rev J non trovata
Disponibile rev H</t>
        </r>
      </text>
    </comment>
    <comment ref="G82" authorId="0" shapeId="0" xr:uid="{208C0B59-5F1D-49E6-8689-5C70AA6C4D23}">
      <text>
        <r>
          <rPr>
            <b/>
            <sz val="9"/>
            <color indexed="81"/>
            <rFont val="Tahoma"/>
            <family val="2"/>
          </rPr>
          <t>MORBIDI MAURIZIO:</t>
        </r>
        <r>
          <rPr>
            <sz val="9"/>
            <color indexed="81"/>
            <rFont val="Tahoma"/>
            <family val="2"/>
          </rPr>
          <t xml:space="preserve">
Rev D mancante, disponibile rev C</t>
        </r>
      </text>
    </comment>
    <comment ref="G83" authorId="0" shapeId="0" xr:uid="{98CAC10B-4A3F-4D64-B241-AA42C8B5F587}">
      <text>
        <r>
          <rPr>
            <b/>
            <sz val="9"/>
            <color indexed="81"/>
            <rFont val="Tahoma"/>
            <family val="2"/>
          </rPr>
          <t>MORBIDI MAURIZIO:</t>
        </r>
        <r>
          <rPr>
            <sz val="9"/>
            <color indexed="81"/>
            <rFont val="Tahoma"/>
            <family val="2"/>
          </rPr>
          <t xml:space="preserve">
Disponibile rev F</t>
        </r>
      </text>
    </comment>
    <comment ref="G85" authorId="0" shapeId="0" xr:uid="{5A67949E-337D-4821-9DA8-C7AE54656A96}">
      <text>
        <r>
          <rPr>
            <b/>
            <sz val="9"/>
            <color indexed="81"/>
            <rFont val="Tahoma"/>
            <family val="2"/>
          </rPr>
          <t>MORBIDI MAURIZIO:</t>
        </r>
        <r>
          <rPr>
            <sz val="9"/>
            <color indexed="81"/>
            <rFont val="Tahoma"/>
            <family val="2"/>
          </rPr>
          <t xml:space="preserve">
Disponibile rev E</t>
        </r>
      </text>
    </comment>
    <comment ref="D86" authorId="0" shapeId="0" xr:uid="{265F4DCA-CC11-4D35-BF6E-445284AB60F2}">
      <text>
        <r>
          <rPr>
            <b/>
            <sz val="9"/>
            <color indexed="81"/>
            <rFont val="Tahoma"/>
            <family val="2"/>
          </rPr>
          <t>MORBIDI MAURIZIO:</t>
        </r>
        <r>
          <rPr>
            <sz val="9"/>
            <color indexed="81"/>
            <rFont val="Tahoma"/>
            <family val="2"/>
          </rPr>
          <t xml:space="preserve">
Rev J non trovata
Disponibile rev H</t>
        </r>
      </text>
    </comment>
    <comment ref="G86" authorId="0" shapeId="0" xr:uid="{BE09B397-A474-4A32-90DE-E9616DBF016E}">
      <text>
        <r>
          <rPr>
            <b/>
            <sz val="9"/>
            <color indexed="81"/>
            <rFont val="Tahoma"/>
            <family val="2"/>
          </rPr>
          <t>MORBIDI MAURIZIO:</t>
        </r>
        <r>
          <rPr>
            <sz val="9"/>
            <color indexed="81"/>
            <rFont val="Tahoma"/>
            <family val="2"/>
          </rPr>
          <t xml:space="preserve">
Rev D mancante, disponibile rev C</t>
        </r>
      </text>
    </comment>
    <comment ref="D87" authorId="0" shapeId="0" xr:uid="{D5A67EFF-BF0C-401B-B3EE-EE69327EE5F3}">
      <text>
        <r>
          <rPr>
            <b/>
            <sz val="9"/>
            <color indexed="81"/>
            <rFont val="Tahoma"/>
            <family val="2"/>
          </rPr>
          <t>MORBIDI MAURIZIO:</t>
        </r>
        <r>
          <rPr>
            <sz val="9"/>
            <color indexed="81"/>
            <rFont val="Tahoma"/>
            <family val="2"/>
          </rPr>
          <t xml:space="preserve">
Rev J non trovata
Disponibile rev H</t>
        </r>
      </text>
    </comment>
    <comment ref="G87" authorId="0" shapeId="0" xr:uid="{E38B3D67-9216-4D79-B4EF-929CB7C8D076}">
      <text>
        <r>
          <rPr>
            <b/>
            <sz val="9"/>
            <color indexed="81"/>
            <rFont val="Tahoma"/>
            <family val="2"/>
          </rPr>
          <t>MORBIDI MAURIZIO:</t>
        </r>
        <r>
          <rPr>
            <sz val="9"/>
            <color indexed="81"/>
            <rFont val="Tahoma"/>
            <family val="2"/>
          </rPr>
          <t xml:space="preserve">
Rev D mancante, disponibile rev C</t>
        </r>
      </text>
    </comment>
    <comment ref="D88" authorId="0" shapeId="0" xr:uid="{62A33DAB-EA0E-4A88-A43F-8A985EF6CEE8}">
      <text>
        <r>
          <rPr>
            <b/>
            <sz val="9"/>
            <color indexed="81"/>
            <rFont val="Tahoma"/>
            <family val="2"/>
          </rPr>
          <t>MORBIDI MAURIZIO:</t>
        </r>
        <r>
          <rPr>
            <sz val="9"/>
            <color indexed="81"/>
            <rFont val="Tahoma"/>
            <family val="2"/>
          </rPr>
          <t xml:space="preserve">
Rev J non trovata
Disponibile rev H</t>
        </r>
      </text>
    </comment>
    <comment ref="G88" authorId="0" shapeId="0" xr:uid="{49DF5AD8-870F-4700-91C8-4AC66E5E7091}">
      <text>
        <r>
          <rPr>
            <b/>
            <sz val="9"/>
            <color indexed="81"/>
            <rFont val="Tahoma"/>
            <family val="2"/>
          </rPr>
          <t>MORBIDI MAURIZIO:</t>
        </r>
        <r>
          <rPr>
            <sz val="9"/>
            <color indexed="81"/>
            <rFont val="Tahoma"/>
            <family val="2"/>
          </rPr>
          <t xml:space="preserve">
Rev D mancante, disponibile rev C</t>
        </r>
      </text>
    </comment>
    <comment ref="D89" authorId="0" shapeId="0" xr:uid="{9BAFD117-722E-449F-9BB7-015C2DDFAC3A}">
      <text>
        <r>
          <rPr>
            <b/>
            <sz val="9"/>
            <color indexed="81"/>
            <rFont val="Tahoma"/>
            <family val="2"/>
          </rPr>
          <t>MORBIDI MAURIZIO:</t>
        </r>
        <r>
          <rPr>
            <sz val="9"/>
            <color indexed="81"/>
            <rFont val="Tahoma"/>
            <family val="2"/>
          </rPr>
          <t xml:space="preserve">
Rev J non trovata
Disponibile rev H</t>
        </r>
      </text>
    </comment>
    <comment ref="G89" authorId="0" shapeId="0" xr:uid="{2B355D20-71D2-454A-8430-33D7E5C34346}">
      <text>
        <r>
          <rPr>
            <b/>
            <sz val="9"/>
            <color indexed="81"/>
            <rFont val="Tahoma"/>
            <family val="2"/>
          </rPr>
          <t>MORBIDI MAURIZIO:</t>
        </r>
        <r>
          <rPr>
            <sz val="9"/>
            <color indexed="81"/>
            <rFont val="Tahoma"/>
            <family val="2"/>
          </rPr>
          <t xml:space="preserve">
Rev D mancante, disponibile rev C</t>
        </r>
      </text>
    </comment>
    <comment ref="D90" authorId="0" shapeId="0" xr:uid="{FD06C2DA-E085-40E6-B3F6-F40D19312432}">
      <text>
        <r>
          <rPr>
            <b/>
            <sz val="9"/>
            <color indexed="81"/>
            <rFont val="Tahoma"/>
            <family val="2"/>
          </rPr>
          <t>MORBIDI MAURIZIO:</t>
        </r>
        <r>
          <rPr>
            <sz val="9"/>
            <color indexed="81"/>
            <rFont val="Tahoma"/>
            <family val="2"/>
          </rPr>
          <t xml:space="preserve">
Rev J non trovata
Disponibile rev H</t>
        </r>
      </text>
    </comment>
    <comment ref="G90" authorId="0" shapeId="0" xr:uid="{9EDA8CAD-495F-495A-B7CF-AE6574C853B8}">
      <text>
        <r>
          <rPr>
            <b/>
            <sz val="9"/>
            <color indexed="81"/>
            <rFont val="Tahoma"/>
            <family val="2"/>
          </rPr>
          <t>MORBIDI MAURIZIO:</t>
        </r>
        <r>
          <rPr>
            <sz val="9"/>
            <color indexed="81"/>
            <rFont val="Tahoma"/>
            <family val="2"/>
          </rPr>
          <t xml:space="preserve">
Rev D mancante, disponibile rev C</t>
        </r>
      </text>
    </comment>
    <comment ref="D91" authorId="0" shapeId="0" xr:uid="{0A98439E-AEB1-4102-854F-83F29B0E35B9}">
      <text>
        <r>
          <rPr>
            <b/>
            <sz val="9"/>
            <color indexed="81"/>
            <rFont val="Tahoma"/>
            <family val="2"/>
          </rPr>
          <t>MORBIDI MAURIZIO:</t>
        </r>
        <r>
          <rPr>
            <sz val="9"/>
            <color indexed="81"/>
            <rFont val="Tahoma"/>
            <family val="2"/>
          </rPr>
          <t xml:space="preserve">
Rev J non trovata
Disponibile rev H</t>
        </r>
      </text>
    </comment>
    <comment ref="G91" authorId="0" shapeId="0" xr:uid="{A0F56332-6360-47D1-B14E-319FAE5F3B3E}">
      <text>
        <r>
          <rPr>
            <b/>
            <sz val="9"/>
            <color indexed="81"/>
            <rFont val="Tahoma"/>
            <family val="2"/>
          </rPr>
          <t>MORBIDI MAURIZIO:</t>
        </r>
        <r>
          <rPr>
            <sz val="9"/>
            <color indexed="81"/>
            <rFont val="Tahoma"/>
            <family val="2"/>
          </rPr>
          <t xml:space="preserve">
Rev D mancante, disponibile rev C</t>
        </r>
      </text>
    </comment>
    <comment ref="G92" authorId="0" shapeId="0" xr:uid="{4EBE4743-93B8-42DF-9170-554C0B78456F}">
      <text>
        <r>
          <rPr>
            <b/>
            <sz val="9"/>
            <color indexed="81"/>
            <rFont val="Tahoma"/>
            <family val="2"/>
          </rPr>
          <t>MORBIDI MAURIZIO:</t>
        </r>
        <r>
          <rPr>
            <sz val="9"/>
            <color indexed="81"/>
            <rFont val="Tahoma"/>
            <family val="2"/>
          </rPr>
          <t xml:space="preserve">
Disponibile rev F</t>
        </r>
      </text>
    </comment>
    <comment ref="B93" authorId="0" shapeId="0" xr:uid="{E1142940-C003-4DC6-8788-05DB93617164}">
      <text>
        <r>
          <rPr>
            <b/>
            <sz val="9"/>
            <color indexed="81"/>
            <rFont val="Tahoma"/>
            <family val="2"/>
          </rPr>
          <t>MORBIDI MAURIZIO:</t>
        </r>
        <r>
          <rPr>
            <sz val="9"/>
            <color indexed="81"/>
            <rFont val="Tahoma"/>
            <family val="2"/>
          </rPr>
          <t xml:space="preserve">
I doc ICD sono presenti sono in BL delle flotte R1. Laddove è stato possibile recuperarli, si inseriscono anche per le altre flotte ma non se ne conosce la BL associata e lo stato di aggiornamento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6" authorId="0" shapeId="0" xr:uid="{F23291F1-303F-4C8D-86C7-5EC45E95AA10}">
      <text>
        <r>
          <rPr>
            <b/>
            <sz val="9"/>
            <color indexed="81"/>
            <rFont val="Tahoma"/>
            <charset val="1"/>
          </rPr>
          <t>MORBIDI MAURIZIO:</t>
        </r>
        <r>
          <rPr>
            <sz val="9"/>
            <color indexed="81"/>
            <rFont val="Tahoma"/>
            <charset val="1"/>
          </rPr>
          <t xml:space="preserve">
3 volumi uniti in un unico PDF</t>
        </r>
      </text>
    </comment>
    <comment ref="C9" authorId="0" shapeId="0" xr:uid="{189115D9-846B-4D25-BB03-49BD017D6572}">
      <text>
        <r>
          <rPr>
            <b/>
            <sz val="9"/>
            <color indexed="81"/>
            <rFont val="Tahoma"/>
            <family val="2"/>
          </rPr>
          <t>MORBIDI MAURIZIO:</t>
        </r>
        <r>
          <rPr>
            <sz val="9"/>
            <color indexed="81"/>
            <rFont val="Tahoma"/>
            <family val="2"/>
          </rPr>
          <t xml:space="preserve">
4 volumi uniti in un unico pdf</t>
        </r>
      </text>
    </comment>
    <comment ref="C14" authorId="0" shapeId="0" xr:uid="{5429A4B8-355D-4DBB-9F8E-BBA1C89D69FC}">
      <text>
        <r>
          <rPr>
            <b/>
            <sz val="9"/>
            <color indexed="81"/>
            <rFont val="Tahoma"/>
            <charset val="1"/>
          </rPr>
          <t>MORBIDI MAURIZIO:</t>
        </r>
        <r>
          <rPr>
            <sz val="9"/>
            <color indexed="81"/>
            <rFont val="Tahoma"/>
            <charset val="1"/>
          </rPr>
          <t xml:space="preserve">
3 volumi uniti in un unico PDF</t>
        </r>
      </text>
    </comment>
    <comment ref="D25" authorId="0" shapeId="0" xr:uid="{ED8CC923-84B6-411D-89CA-2EB6ABE18C3D}">
      <text>
        <r>
          <rPr>
            <b/>
            <sz val="9"/>
            <color indexed="81"/>
            <rFont val="Tahoma"/>
            <charset val="1"/>
          </rPr>
          <t>MORBIDI MAURIZIO:</t>
        </r>
        <r>
          <rPr>
            <sz val="9"/>
            <color indexed="81"/>
            <rFont val="Tahoma"/>
            <charset val="1"/>
          </rPr>
          <t xml:space="preserve">
N/A</t>
        </r>
      </text>
    </comment>
    <comment ref="D26" authorId="0" shapeId="0" xr:uid="{88672DF4-F02D-4170-88F4-DAF98E8A9879}">
      <text>
        <r>
          <rPr>
            <b/>
            <sz val="9"/>
            <color indexed="81"/>
            <rFont val="Tahoma"/>
            <family val="2"/>
          </rPr>
          <t>MORBIDI MAURIZIO:</t>
        </r>
        <r>
          <rPr>
            <sz val="9"/>
            <color indexed="81"/>
            <rFont val="Tahoma"/>
            <family val="2"/>
          </rPr>
          <t xml:space="preserve">
Manuale legato al vecchio 20A "ETCS generale". Ancora applicabile??</t>
        </r>
      </text>
    </comment>
    <comment ref="D27" authorId="0" shapeId="0" xr:uid="{5F6F9194-BAA0-427E-99F5-DEC1FD978767}">
      <text>
        <r>
          <rPr>
            <b/>
            <sz val="9"/>
            <color indexed="81"/>
            <rFont val="Tahoma"/>
            <family val="2"/>
          </rPr>
          <t>MORBIDI MAURIZIO:</t>
        </r>
        <r>
          <rPr>
            <sz val="9"/>
            <color indexed="81"/>
            <rFont val="Tahoma"/>
            <family val="2"/>
          </rPr>
          <t xml:space="preserve">
N/A ???</t>
        </r>
      </text>
    </comment>
    <comment ref="D28" authorId="0" shapeId="0" xr:uid="{F7BEBE9B-F100-48EE-AB58-8960522F994D}">
      <text>
        <r>
          <rPr>
            <b/>
            <sz val="9"/>
            <color indexed="81"/>
            <rFont val="Tahoma"/>
            <family val="2"/>
          </rPr>
          <t>MORBIDI MAURIZIO:</t>
        </r>
        <r>
          <rPr>
            <sz val="9"/>
            <color indexed="81"/>
            <rFont val="Tahoma"/>
            <family val="2"/>
          </rPr>
          <t xml:space="preserve">
Manuale SSB di applicazione generica</t>
        </r>
      </text>
    </comment>
    <comment ref="D29" authorId="0" shapeId="0" xr:uid="{2A9A299B-7E62-40B2-A0D2-E890D293593C}">
      <text>
        <r>
          <rPr>
            <b/>
            <sz val="9"/>
            <color indexed="81"/>
            <rFont val="Tahoma"/>
            <family val="2"/>
          </rPr>
          <t>MORBIDI MAURIZIO:</t>
        </r>
        <r>
          <rPr>
            <sz val="9"/>
            <color indexed="81"/>
            <rFont val="Tahoma"/>
            <family val="2"/>
          </rPr>
          <t xml:space="preserve">
Manuale SSB spacciato per applicazione specifica correlato al 20A, in realtà è una raccolta di foto e disegni in allegato</t>
        </r>
      </text>
    </comment>
    <comment ref="D31" authorId="0" shapeId="0" xr:uid="{0E2BFDAB-61BE-46E7-A180-B1DBAD08FDE6}">
      <text>
        <r>
          <rPr>
            <b/>
            <sz val="9"/>
            <color indexed="81"/>
            <rFont val="Tahoma"/>
            <family val="2"/>
          </rPr>
          <t>MORBIDI MAURIZIO:</t>
        </r>
        <r>
          <rPr>
            <sz val="9"/>
            <color indexed="81"/>
            <rFont val="Tahoma"/>
            <family val="2"/>
          </rPr>
          <t xml:space="preserve">
Ancora applicabile ??</t>
        </r>
      </text>
    </comment>
    <comment ref="C35" authorId="0" shapeId="0" xr:uid="{160EEE1B-B7B3-4960-8314-46578089B5F4}">
      <text>
        <r>
          <rPr>
            <b/>
            <sz val="9"/>
            <color indexed="81"/>
            <rFont val="Tahoma"/>
            <family val="2"/>
          </rPr>
          <t>MORBIDI MAURIZIO:</t>
        </r>
        <r>
          <rPr>
            <sz val="9"/>
            <color indexed="81"/>
            <rFont val="Tahoma"/>
            <family val="2"/>
          </rPr>
          <t xml:space="preserve">
4 volumi uniti in un unico 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5" authorId="0" shapeId="0" xr:uid="{A9443866-EC39-4A57-AF68-123BE4035E8F}">
      <text>
        <r>
          <rPr>
            <b/>
            <sz val="9"/>
            <color indexed="81"/>
            <rFont val="Tahoma"/>
            <family val="2"/>
          </rPr>
          <t>MORBIDI MAURIZIO:</t>
        </r>
        <r>
          <rPr>
            <sz val="9"/>
            <color indexed="81"/>
            <rFont val="Tahoma"/>
            <family val="2"/>
          </rPr>
          <t xml:space="preserve">
VZI_Base ha formato xlsb</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<sst xmlns="http://schemas.openxmlformats.org/spreadsheetml/2006/main" count="3991" uniqueCount="1480">
  <si>
    <t>VZI-50</t>
  </si>
  <si>
    <t>VZI-51-58</t>
  </si>
  <si>
    <t>VZI-6</t>
  </si>
  <si>
    <t>VZI-4</t>
  </si>
  <si>
    <t>VZ-DAI</t>
  </si>
  <si>
    <t>VZ-ES</t>
  </si>
  <si>
    <t>VZ-FR</t>
  </si>
  <si>
    <t>INTERRUTTORI 220V SPOSTATI INTERNO CASSA</t>
  </si>
  <si>
    <t>COMPRESSORE ARIA (?)</t>
  </si>
  <si>
    <t>BY-PASS ADD PER MARCIA SOCCORSO</t>
  </si>
  <si>
    <t>ARREDI TOILET BAR BISTROT</t>
  </si>
  <si>
    <t>COMANDO DISACCOPPIAMENTO AUTOMATICO 
TESTE ELETTRICHE</t>
  </si>
  <si>
    <t>BY-PASS ALLARME APPLICAZIONE PARKING
BRAKE IN MOVIMENTO</t>
  </si>
  <si>
    <t>PANTOGRAFI</t>
  </si>
  <si>
    <t>RIDONDANZA LOOP DNRA-BMS</t>
  </si>
  <si>
    <t>PIANO DI MANUTENZIONE</t>
  </si>
  <si>
    <t xml:space="preserve">IPA (Indicazione Porte Aperte) </t>
  </si>
  <si>
    <t>SI</t>
  </si>
  <si>
    <t>BL SSB</t>
  </si>
  <si>
    <t>BL DIS</t>
  </si>
  <si>
    <t>ETCS HD (HW)</t>
  </si>
  <si>
    <t xml:space="preserve">ANTINCENDIO </t>
  </si>
  <si>
    <t xml:space="preserve">LAYOUT INTERNO </t>
  </si>
  <si>
    <t>TOT Treni</t>
  </si>
  <si>
    <t>TCMS</t>
  </si>
  <si>
    <t>Descrizione</t>
  </si>
  <si>
    <t>IT 50 treni (flotta base)</t>
  </si>
  <si>
    <t>IT 8 treni (51-58)</t>
  </si>
  <si>
    <t>IT 6+30 treni (101-136)</t>
  </si>
  <si>
    <t>I-FR 9 treni</t>
  </si>
  <si>
    <t>DAI 9 treni</t>
  </si>
  <si>
    <t>ES 20 treni</t>
  </si>
  <si>
    <t>Sottosistema</t>
  </si>
  <si>
    <t>P/N</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</si>
  <si>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</si>
  <si>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</si>
  <si>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</si>
  <si>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</si>
  <si>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</si>
  <si>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</si>
  <si>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</si>
  <si>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</si>
  <si>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</si>
  <si>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r>
      <rPr>
        <b/>
        <sz val="11"/>
        <color rgb="FF0070C0"/>
        <rFont val="Calibri"/>
        <family val="2"/>
        <scheme val="minor"/>
      </rPr>
      <t xml:space="preserve">100329688
100329689
</t>
    </r>
    <r>
      <rPr>
        <b/>
        <sz val="11"/>
        <color theme="1"/>
        <rFont val="Calibri"/>
        <family val="2"/>
        <scheme val="minor"/>
      </rPr>
      <t xml:space="preserve">
100360303
100360304</t>
    </r>
  </si>
  <si>
    <r>
      <rPr>
        <b/>
        <sz val="10"/>
        <color rgb="FF0070C0"/>
        <rFont val="Calibri"/>
        <family val="2"/>
        <scheme val="minor"/>
      </rPr>
      <t>Sensoristica ERTMS-SCMT, Memor brush, ETCS antenna su carrelli ant. DM1/8
Sensori Wiegand su post. DM1/8
Sensori Wiegand su ant. TT2/7</t>
    </r>
    <r>
      <rPr>
        <sz val="10"/>
        <color theme="1"/>
        <rFont val="Calibri"/>
        <family val="2"/>
        <scheme val="minor"/>
      </rPr>
      <t xml:space="preserve">
Sala senza boccole: 100360064</t>
    </r>
  </si>
  <si>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</si>
  <si>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</si>
  <si>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</si>
  <si>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</si>
  <si>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</si>
  <si>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</si>
  <si>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</si>
  <si>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</si>
  <si>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</si>
  <si>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</si>
  <si>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</si>
  <si>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</si>
  <si>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</si>
  <si>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</si>
  <si>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</si>
  <si>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</si>
  <si>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</si>
  <si>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r>
      <t xml:space="preserve">100360311
</t>
    </r>
    <r>
      <rPr>
        <b/>
        <u/>
        <sz val="11"/>
        <color rgb="FF0070C0"/>
        <rFont val="Calibri"/>
        <family val="2"/>
        <scheme val="minor"/>
      </rPr>
      <t>100329690</t>
    </r>
    <r>
      <rPr>
        <b/>
        <sz val="11"/>
        <color theme="1"/>
        <rFont val="Calibri"/>
        <family val="2"/>
        <scheme val="minor"/>
      </rPr>
      <t xml:space="preserve">
100360313</t>
    </r>
  </si>
  <si>
    <t>Freno</t>
  </si>
  <si>
    <t>Pantografi</t>
  </si>
  <si>
    <t>3 kV</t>
  </si>
  <si>
    <t>Struttura</t>
  </si>
  <si>
    <t>Archetto</t>
  </si>
  <si>
    <t>Archetto 1.950 mm</t>
  </si>
  <si>
    <t>Strisciante</t>
  </si>
  <si>
    <t>SK1451</t>
  </si>
  <si>
    <t>PPU</t>
  </si>
  <si>
    <t>232C10395F</t>
  </si>
  <si>
    <t>Con isolamento ADD</t>
  </si>
  <si>
    <t>231C100036B</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</si>
  <si>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</si>
  <si>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</si>
  <si>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</si>
  <si>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</si>
  <si>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</si>
  <si>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</si>
  <si>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</si>
  <si>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</si>
  <si>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</si>
  <si>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</si>
  <si>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</si>
  <si>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</si>
  <si>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</si>
  <si>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</si>
  <si>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</si>
  <si>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</si>
  <si>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</si>
  <si>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3EST000225-5707</t>
  </si>
  <si>
    <t>Nuova architettura Full Ethernet</t>
  </si>
  <si>
    <t>3EST000236-6235</t>
  </si>
  <si>
    <t>Higher performances and longer spare parts support</t>
  </si>
  <si>
    <t>CCU-S</t>
  </si>
  <si>
    <t>3EST000221-6430</t>
  </si>
  <si>
    <t>3EST000232-1990</t>
  </si>
  <si>
    <t>MIO-S</t>
  </si>
  <si>
    <t>3EST000228-0629
3EST000228-3395
3EST000228-3394</t>
  </si>
  <si>
    <t>3EST000230-5830
3EST000230-5833
3EST000228-3394</t>
  </si>
  <si>
    <t>Sell no more supported for new projects due to internal component out of production (legacy only)</t>
  </si>
  <si>
    <t>Teledia</t>
  </si>
  <si>
    <t>MCG</t>
  </si>
  <si>
    <t>3EST000225-7169</t>
  </si>
  <si>
    <t>3EST000234-1560</t>
  </si>
  <si>
    <t>additional LTE connection</t>
  </si>
  <si>
    <t>Monitor</t>
  </si>
  <si>
    <t>IDU</t>
  </si>
  <si>
    <t>3EST000223-8802</t>
  </si>
  <si>
    <t>IDU/TOD</t>
  </si>
  <si>
    <t>Bus</t>
  </si>
  <si>
    <t>T Repeater</t>
  </si>
  <si>
    <t>3EST000212-3010</t>
  </si>
  <si>
    <t>3EST000236-6770</t>
  </si>
  <si>
    <t>T Switch</t>
  </si>
  <si>
    <t>3EST000212-3000</t>
  </si>
  <si>
    <t>3EST000236-6769</t>
  </si>
  <si>
    <t>R Switch</t>
  </si>
  <si>
    <t>3EST000225-7297</t>
  </si>
  <si>
    <t>3EST000234-7837</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</si>
  <si>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</si>
  <si>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</si>
  <si>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</si>
  <si>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</si>
  <si>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</si>
  <si>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</si>
  <si>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</si>
  <si>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</si>
  <si>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</si>
  <si>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</si>
  <si>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</si>
  <si>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</si>
  <si>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</si>
  <si>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</si>
  <si>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</si>
  <si>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</si>
  <si>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</si>
  <si>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</si>
  <si>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</si>
  <si>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</si>
  <si>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</si>
  <si>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</si>
  <si>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</si>
  <si>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</si>
  <si>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</si>
  <si>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</si>
  <si>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</si>
  <si>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</si>
  <si>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</si>
  <si>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</si>
  <si>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</si>
  <si>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</si>
  <si>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</si>
  <si>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</si>
  <si>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</si>
  <si>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</si>
  <si>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</si>
  <si>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</si>
  <si>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</si>
  <si>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</si>
  <si>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Pantografo 25 kV</t>
  </si>
  <si>
    <t>Pantografo 3 kV</t>
  </si>
  <si>
    <t>Pantografo 1,5 kV</t>
  </si>
  <si>
    <t>X</t>
  </si>
  <si>
    <t>0102895</t>
  </si>
  <si>
    <t>Manuale</t>
  </si>
  <si>
    <t>VZI-50_IT Flotta base</t>
  </si>
  <si>
    <t>VZI-51-58_IT
(New 14)</t>
  </si>
  <si>
    <t>VZI-6_IT Full HRI
(New 14)</t>
  </si>
  <si>
    <t>VZI-4_IT Full HRI</t>
  </si>
  <si>
    <t>VZ_IF</t>
  </si>
  <si>
    <t>VZ_ES</t>
  </si>
  <si>
    <t>VZ_DAI</t>
  </si>
  <si>
    <t>ID flotta</t>
  </si>
  <si>
    <t>01</t>
  </si>
  <si>
    <t>02</t>
  </si>
  <si>
    <t>03</t>
  </si>
  <si>
    <t>04</t>
  </si>
  <si>
    <t>05</t>
  </si>
  <si>
    <t>06</t>
  </si>
  <si>
    <t>07</t>
  </si>
  <si>
    <t>Pag</t>
  </si>
  <si>
    <t>Link</t>
  </si>
  <si>
    <t>ETR1000V300-MR1-04A-Equip elettrico ed elettropneumatico-06 - TOMO 1.pdf</t>
  </si>
  <si>
    <t>CPR</t>
  </si>
  <si>
    <t>ETR1000-CPR_04C_2.05.1002_Pantografo_Mar21.pdf</t>
  </si>
  <si>
    <t>Impianto</t>
  </si>
  <si>
    <t>File</t>
  </si>
  <si>
    <t>Cartella</t>
  </si>
  <si>
    <t>Schema elettrico</t>
  </si>
  <si>
    <t>Schema Pneumatico</t>
  </si>
  <si>
    <t>MR1</t>
  </si>
  <si>
    <t>Applicabilità flotte</t>
  </si>
  <si>
    <t>Raccolta doc</t>
  </si>
  <si>
    <t>3EST000228-3395</t>
  </si>
  <si>
    <t>3EST000228-3394</t>
  </si>
  <si>
    <t>3EST000228-0629</t>
  </si>
  <si>
    <t>3EST000225-5711</t>
  </si>
  <si>
    <t>IP Train Switch</t>
  </si>
  <si>
    <t>IP Train Repeater</t>
  </si>
  <si>
    <t>3EST000209-5696</t>
  </si>
  <si>
    <t>MIO-DXH4 (DCX 2222A)</t>
  </si>
  <si>
    <t>3EST000209-5690</t>
  </si>
  <si>
    <t>MIO-DX1H (DCX 2000A)</t>
  </si>
  <si>
    <t>3EST000209-5694</t>
  </si>
  <si>
    <t>MCG (DCZ 2424B)</t>
  </si>
  <si>
    <t>3EST000212-2155</t>
  </si>
  <si>
    <t>3EH-232550R0005</t>
  </si>
  <si>
    <t>MCG Antenna WLAN/GSM GPS</t>
  </si>
  <si>
    <t xml:space="preserve"> MCG Antenna WLAN/GSM GPS</t>
  </si>
  <si>
    <t>ETR1000-CPR_05_2.05.1004_Logica di comando_Aprile2021.pdf</t>
  </si>
  <si>
    <t>3EST000235-7837</t>
  </si>
  <si>
    <t>IP Ring Switch</t>
  </si>
  <si>
    <t>ETR1000V300-MR1-05A-Logica di comando-03.pdf</t>
  </si>
  <si>
    <t>CCU-O Dual MVB (DCY1110B)</t>
  </si>
  <si>
    <t>CCU-C 2ETH (DCY1550A)</t>
  </si>
  <si>
    <t>CCU-S (DCY 1660A)</t>
  </si>
  <si>
    <t>BUS Coupler BCT 12KF04</t>
  </si>
  <si>
    <t>EGM032400R0001</t>
  </si>
  <si>
    <t>MIO-DX3H (DCX 2220A)</t>
  </si>
  <si>
    <t>MIO-S (DCS 2222C)</t>
  </si>
  <si>
    <t>3EST000230-5830</t>
  </si>
  <si>
    <t>MIO-S (DCS 7222B)</t>
  </si>
  <si>
    <t>3EST000230-5833</t>
  </si>
  <si>
    <t>MIO-S-AI1+DXH2 (DCS 7220B)</t>
  </si>
  <si>
    <t>MIO-S-AI1+DXH3 (DCS 7222B)</t>
  </si>
  <si>
    <t>TCN GW-S DCY 1703A</t>
  </si>
  <si>
    <t>EST000221-6460</t>
  </si>
  <si>
    <t>ETR1000V300-MR1-05B-02- Logica di comando - Nodo TCN.pdf</t>
  </si>
  <si>
    <t>MIO-DXH4-S (DCS 2222B)</t>
  </si>
  <si>
    <t>?</t>
  </si>
  <si>
    <t>CDU-H03</t>
  </si>
  <si>
    <t>HW01107958-00</t>
  </si>
  <si>
    <t>EC030021237P01</t>
  </si>
  <si>
    <t>DU-H03</t>
  </si>
  <si>
    <t>HW02298449-00</t>
  </si>
  <si>
    <t>HW01107911-00</t>
  </si>
  <si>
    <t>RIO-LP (CUSFE684-H05)</t>
  </si>
  <si>
    <t>RIO-C5/C6 (CUSFE684-H06)</t>
  </si>
  <si>
    <t>HW01107914-00</t>
  </si>
  <si>
    <t>RIO-EB-01 (CUSFE684-H01)</t>
  </si>
  <si>
    <t>HW01107901-00</t>
  </si>
  <si>
    <t>HW01107953-00</t>
  </si>
  <si>
    <t>RIO-C2-01 (CURSE32-H01)</t>
  </si>
  <si>
    <t>EC030021125P14C001</t>
  </si>
  <si>
    <t>EC030021126P14C001</t>
  </si>
  <si>
    <t>Switch CS 14P NoPoE 1ByPX (NODC14NC02)</t>
  </si>
  <si>
    <t>Switch ETBN 14P NoPoE 2ByPX (NODC14NI01)</t>
  </si>
  <si>
    <t>RIO-EB-02 (CUSFE684-H02)</t>
  </si>
  <si>
    <t>HW01107904-00</t>
  </si>
  <si>
    <t>RIO-EB-03 (CUSFE684-H03)</t>
  </si>
  <si>
    <t>HW01107905-00</t>
  </si>
  <si>
    <t>HW02298458-00</t>
  </si>
  <si>
    <t>HW02298473-00</t>
  </si>
  <si>
    <t>RIO-EB-04 (CUSFE684-H04)</t>
  </si>
  <si>
    <t>HW01107908-00</t>
  </si>
  <si>
    <t>RIO-C2-02 (CURSE32-H02)</t>
  </si>
  <si>
    <t>HW01107954-00</t>
  </si>
  <si>
    <t>ETR1000-V300ZEFIRO-R1_CPR-05A_2.05.1408_R02.pdf</t>
  </si>
  <si>
    <t>ETR1000-V300ZEFIRO-R1_MR1-05A_R03.pdf</t>
  </si>
  <si>
    <t>DU-H04 (OBS)</t>
  </si>
  <si>
    <t>DU-H05 (PIS-ALG)</t>
  </si>
  <si>
    <t>TRENO</t>
  </si>
  <si>
    <t>TIPO</t>
  </si>
  <si>
    <t>REV</t>
  </si>
  <si>
    <t>DESCRIZIONE</t>
  </si>
  <si>
    <t>PBC</t>
  </si>
  <si>
    <t>MR2</t>
  </si>
  <si>
    <t>01A</t>
  </si>
  <si>
    <t>Cassa</t>
  </si>
  <si>
    <t>ETR1000V300</t>
  </si>
  <si>
    <t>2.05.1008</t>
  </si>
  <si>
    <t>2.05.1009</t>
  </si>
  <si>
    <t>2.05.1014</t>
  </si>
  <si>
    <t>2.05.994</t>
  </si>
  <si>
    <t>2.05.995</t>
  </si>
  <si>
    <t>2.05.996</t>
  </si>
  <si>
    <t>2.05.997</t>
  </si>
  <si>
    <t>2.05.998</t>
  </si>
  <si>
    <t>2.05.999</t>
  </si>
  <si>
    <t>2.05.1001</t>
  </si>
  <si>
    <t>2.05.1002</t>
  </si>
  <si>
    <t>2.05.1003</t>
  </si>
  <si>
    <t>2.05.1004</t>
  </si>
  <si>
    <t>2.05.1005</t>
  </si>
  <si>
    <t>2.05.1006</t>
  </si>
  <si>
    <t>2.05.1007</t>
  </si>
  <si>
    <t>2.05.1010</t>
  </si>
  <si>
    <t>2.05.1011</t>
  </si>
  <si>
    <t>2.05.1012</t>
  </si>
  <si>
    <t>2.05.1013</t>
  </si>
  <si>
    <t>2.05.1015</t>
  </si>
  <si>
    <t>2.05.1016</t>
  </si>
  <si>
    <t>2.05.1017</t>
  </si>
  <si>
    <t>2.05.1018</t>
  </si>
  <si>
    <t>2.05.1019</t>
  </si>
  <si>
    <t>02A</t>
  </si>
  <si>
    <t>Carrello</t>
  </si>
  <si>
    <t>Descrizione generale e funzionamento</t>
  </si>
  <si>
    <t>01B</t>
  </si>
  <si>
    <t>Norme d’Uso ed Interventi di Emergenza</t>
  </si>
  <si>
    <t>PBS</t>
  </si>
  <si>
    <t>feb-21</t>
  </si>
  <si>
    <t>mar-21</t>
  </si>
  <si>
    <t>giu-20</t>
  </si>
  <si>
    <t>03A</t>
  </si>
  <si>
    <t>Impianto pneumatico e freno</t>
  </si>
  <si>
    <t>04A</t>
  </si>
  <si>
    <t>05A</t>
  </si>
  <si>
    <t>Logica di comando</t>
  </si>
  <si>
    <t>05B</t>
  </si>
  <si>
    <t>Logica di comando - Nodo TCN</t>
  </si>
  <si>
    <t>giu-17</t>
  </si>
  <si>
    <t>06A</t>
  </si>
  <si>
    <t>Azionamento di trazione</t>
  </si>
  <si>
    <t>07A</t>
  </si>
  <si>
    <t>Motore di trazione</t>
  </si>
  <si>
    <t>08A</t>
  </si>
  <si>
    <t>Passaggi esterni</t>
  </si>
  <si>
    <t>09A</t>
  </si>
  <si>
    <t>Sottosistema di climatizzazione</t>
  </si>
  <si>
    <t>10A</t>
  </si>
  <si>
    <t>Sottosistema di comunicazione</t>
  </si>
  <si>
    <t>mag-22</t>
  </si>
  <si>
    <t>11A</t>
  </si>
  <si>
    <t>Convertitore servizi ausiliari e caricabatterie</t>
  </si>
  <si>
    <t>13A</t>
  </si>
  <si>
    <t>Sottosistema diagnostica di bordo</t>
  </si>
  <si>
    <t>14A</t>
  </si>
  <si>
    <t>Allestimenti interni</t>
  </si>
  <si>
    <t>15A</t>
  </si>
  <si>
    <t>Servizi Generali di Bordo</t>
  </si>
  <si>
    <t>18A</t>
  </si>
  <si>
    <t>Telecomunicazioni TT</t>
  </si>
  <si>
    <t>gen-18</t>
  </si>
  <si>
    <t>20A</t>
  </si>
  <si>
    <t>20B</t>
  </si>
  <si>
    <t>Sottosistema di bordo ETCS specifico del treno</t>
  </si>
  <si>
    <t>lug-17</t>
  </si>
  <si>
    <t>31A</t>
  </si>
  <si>
    <t>Sistema informativo di condotta Generale (DIS)</t>
  </si>
  <si>
    <t>16A</t>
  </si>
  <si>
    <t>Emergenza e recupero</t>
  </si>
  <si>
    <t>mag-16</t>
  </si>
  <si>
    <t>Cassa veicoli di estremità</t>
  </si>
  <si>
    <t>2.05.993</t>
  </si>
  <si>
    <t>Cassa veicoli intermedi</t>
  </si>
  <si>
    <t>01C</t>
  </si>
  <si>
    <t>Accoppiatore automatico-asta semipermanente</t>
  </si>
  <si>
    <t>01D</t>
  </si>
  <si>
    <t>Musetto mobile</t>
  </si>
  <si>
    <t>Impianto pneumatico e freno - sistemazioni</t>
  </si>
  <si>
    <t>03B</t>
  </si>
  <si>
    <t>Impianto pneumatico e freno - componenti</t>
  </si>
  <si>
    <t>Equipaggiamento elettrico ed elettropneumatico - sistemazioni</t>
  </si>
  <si>
    <t>2.05.1000</t>
  </si>
  <si>
    <t>04B</t>
  </si>
  <si>
    <t>Equipaggiamento elettrico ed elettropneumatico - componenti</t>
  </si>
  <si>
    <t>04C</t>
  </si>
  <si>
    <t>04D</t>
  </si>
  <si>
    <t>Quadri elettrici</t>
  </si>
  <si>
    <t>mag-17</t>
  </si>
  <si>
    <t>Porte di salita passeggeri</t>
  </si>
  <si>
    <t>08B</t>
  </si>
  <si>
    <t>Porte interne e intercomunicanti</t>
  </si>
  <si>
    <t>lug-15</t>
  </si>
  <si>
    <t>08C</t>
  </si>
  <si>
    <t>Sollevatore hk</t>
  </si>
  <si>
    <t>dic-15</t>
  </si>
  <si>
    <t>09</t>
  </si>
  <si>
    <t>10</t>
  </si>
  <si>
    <t>Allestimenti interni - dotazioni di bordo</t>
  </si>
  <si>
    <t>14B</t>
  </si>
  <si>
    <t>Sedili passeggeri e cabina guida</t>
  </si>
  <si>
    <t>14C</t>
  </si>
  <si>
    <t>Arredamento comparto</t>
  </si>
  <si>
    <t>14D</t>
  </si>
  <si>
    <t>Arredamento vestiboli</t>
  </si>
  <si>
    <t>Servizi Generali di Bordo - Toilet</t>
  </si>
  <si>
    <t>15B</t>
  </si>
  <si>
    <t>Servizi Generali di Bordo - Bar Bistrò</t>
  </si>
  <si>
    <t>Sistemi tecnologici di bordo</t>
  </si>
  <si>
    <t>SOTTOSISTEMA DI BORDO ERTMS/BL3 PIATTAFORMA ELO</t>
  </si>
  <si>
    <t>B60A.0100914.G00.01IT</t>
  </si>
  <si>
    <t>\</t>
  </si>
  <si>
    <t>Modulo convertitore MCM</t>
  </si>
  <si>
    <t>Modulo convertitore MCM (15/10 WM V02)</t>
  </si>
  <si>
    <t>3EST000222-0850</t>
  </si>
  <si>
    <t>Modulo convertitore LCM</t>
  </si>
  <si>
    <t>3EST000222-0610</t>
  </si>
  <si>
    <t>Modulo convertitore LCM (15/15 WL V06)</t>
  </si>
  <si>
    <t>Modulo raffreddamento</t>
  </si>
  <si>
    <t>3EST000225-0304</t>
  </si>
  <si>
    <t>3EST000222-1010</t>
  </si>
  <si>
    <t>Modulo Convertitore CCM (30/07 WC V01)</t>
  </si>
  <si>
    <t>3EST000222-1018</t>
  </si>
  <si>
    <t>Centralina DCU/L</t>
  </si>
  <si>
    <t>Modulo convertitore ACM</t>
  </si>
  <si>
    <t>Modulo IGBT</t>
  </si>
  <si>
    <t>3EST000214-9948</t>
  </si>
  <si>
    <t>3EST000214-9825</t>
  </si>
  <si>
    <t>3EST000222-0910</t>
  </si>
  <si>
    <t>PANTOGRAFO</t>
  </si>
  <si>
    <t>HW02250828-00</t>
  </si>
  <si>
    <t>HW04821017-00</t>
  </si>
  <si>
    <t>EC030020031</t>
  </si>
  <si>
    <t>3EST000222-0610-HR</t>
  </si>
  <si>
    <t>Modulo convertitore CCM</t>
  </si>
  <si>
    <t>3EST000223-1474-HR</t>
  </si>
  <si>
    <t>3EST000299-9665-HR</t>
  </si>
  <si>
    <t>HW02250827-00</t>
  </si>
  <si>
    <t>HW05869752-00</t>
  </si>
  <si>
    <t>Centralina Assieme MOCU</t>
  </si>
  <si>
    <t>Centralina DCU</t>
  </si>
  <si>
    <t>3EST000222-0910-HR</t>
  </si>
  <si>
    <t>???</t>
  </si>
  <si>
    <t>DATA</t>
  </si>
  <si>
    <t>08</t>
  </si>
  <si>
    <t>Allestimenti interni - Arredi comparto e cabina di guida</t>
  </si>
  <si>
    <t>Servizi Generali di Bordo - Toilette</t>
  </si>
  <si>
    <t>Servizi Generali di Bordo - Bar Bistrot</t>
  </si>
  <si>
    <t>Componenti circuito elettrico</t>
  </si>
  <si>
    <t>GG-A024 = Pulsante parking
JE-K0005 = MIO-S-DX4</t>
  </si>
  <si>
    <t>GG-A024 = Pulsante parking
GC-K025 = Relè abilitazione cabina
GC-K018 = Relè temporizz
GC-K011 = Relè abilitazione cabina
JE-K005 = RIO-LP MASTER</t>
  </si>
  <si>
    <t>Descrizione circuitale</t>
  </si>
  <si>
    <t>Doc Description</t>
  </si>
  <si>
    <t>Codice</t>
  </si>
  <si>
    <t>Rev</t>
  </si>
  <si>
    <t>3ECP410473-0001</t>
  </si>
  <si>
    <t>3ECP410474-0001</t>
  </si>
  <si>
    <t>3ECP410481-0001</t>
  </si>
  <si>
    <t>3ECP410483-0001</t>
  </si>
  <si>
    <t>3ECP410468-0001</t>
  </si>
  <si>
    <t>3ECP410466-0001</t>
  </si>
  <si>
    <t>3ECP410475-0001</t>
  </si>
  <si>
    <t>3ECP410477-0001</t>
  </si>
  <si>
    <t>3ECP410467-0001</t>
  </si>
  <si>
    <t>3ECP410480-0001</t>
  </si>
  <si>
    <t>3ECP410465-0001</t>
  </si>
  <si>
    <t>3ECP410463-0001</t>
  </si>
  <si>
    <t>3ECP410469-0001</t>
  </si>
  <si>
    <t>3ECP410478-0001</t>
  </si>
  <si>
    <t>3ECP410472-0001</t>
  </si>
  <si>
    <t>3ECP410484-0001</t>
  </si>
  <si>
    <t>B</t>
  </si>
  <si>
    <t>C</t>
  </si>
  <si>
    <t>3ECP410482-0001</t>
  </si>
  <si>
    <t>3ECP410476-0001</t>
  </si>
  <si>
    <t>3ECP410479-0001</t>
  </si>
  <si>
    <t>3ECP410462-0001</t>
  </si>
  <si>
    <t>3ECP410470-0001</t>
  </si>
  <si>
    <t>3ECP410471-0001</t>
  </si>
  <si>
    <t>3EST000225-7900</t>
  </si>
  <si>
    <t>3EST000225-7902</t>
  </si>
  <si>
    <t>3EST000225-7903</t>
  </si>
  <si>
    <t>3EST000225-7904</t>
  </si>
  <si>
    <t>3EST000225-7905</t>
  </si>
  <si>
    <t>3EST000225-7906</t>
  </si>
  <si>
    <t>3EST000225-7887</t>
  </si>
  <si>
    <t>3EST000225-7918</t>
  </si>
  <si>
    <t>3EST000225-7908</t>
  </si>
  <si>
    <t>3EST000225-7919</t>
  </si>
  <si>
    <t>3EST000225-7893</t>
  </si>
  <si>
    <t>3EST000225-7894</t>
  </si>
  <si>
    <t>3EST000225-7897</t>
  </si>
  <si>
    <t>3EST000225-7879</t>
  </si>
  <si>
    <t>3EST000225-7883</t>
  </si>
  <si>
    <t>3EST000225-7885</t>
  </si>
  <si>
    <t>3EST000225-7886</t>
  </si>
  <si>
    <t>3EST000225-7890</t>
  </si>
  <si>
    <t>3ECP413176-0001</t>
  </si>
  <si>
    <t>3EST000225-7891</t>
  </si>
  <si>
    <t>3EST000225-7910</t>
  </si>
  <si>
    <t>3EST000225-7915</t>
  </si>
  <si>
    <t>3EST000225-7882</t>
  </si>
  <si>
    <t>3EST000225-7917</t>
  </si>
  <si>
    <t>3EST000225-7909</t>
  </si>
  <si>
    <t>3EST000225-7907</t>
  </si>
  <si>
    <t>3EST000225-7914</t>
  </si>
  <si>
    <t>3EST000225-7916</t>
  </si>
  <si>
    <t>A</t>
  </si>
  <si>
    <t>_</t>
  </si>
  <si>
    <t>J</t>
  </si>
  <si>
    <t>D</t>
  </si>
  <si>
    <t>Functional schematics</t>
  </si>
  <si>
    <t>Functional schematics DM1</t>
  </si>
  <si>
    <t>Functional schematics TT2</t>
  </si>
  <si>
    <t>Functional schematics M3</t>
  </si>
  <si>
    <t>Functional schematics T4</t>
  </si>
  <si>
    <t>Functional schematics T5</t>
  </si>
  <si>
    <t>Functional schematics M6</t>
  </si>
  <si>
    <t>Functional schematics TT7</t>
  </si>
  <si>
    <t>Functional schematics DM8</t>
  </si>
  <si>
    <t>3ECP502128-0001</t>
  </si>
  <si>
    <t>3ECP502129-0001</t>
  </si>
  <si>
    <t>3ECP502130-0001</t>
  </si>
  <si>
    <t>3ECP502131-0001</t>
  </si>
  <si>
    <t>3ECP502132-0001</t>
  </si>
  <si>
    <t>3ECP502133-0001</t>
  </si>
  <si>
    <t>3ECP502134-0001</t>
  </si>
  <si>
    <t>3ECP502135-0001</t>
  </si>
  <si>
    <t>L</t>
  </si>
  <si>
    <t>Wiring table</t>
  </si>
  <si>
    <t>Wiring table DM1</t>
  </si>
  <si>
    <t>Wiring table TT2</t>
  </si>
  <si>
    <t>Wiring table M3</t>
  </si>
  <si>
    <t>Wiring table T4</t>
  </si>
  <si>
    <t>Wiring table T5</t>
  </si>
  <si>
    <t>Wiring table M6</t>
  </si>
  <si>
    <t>Wiring table TT7</t>
  </si>
  <si>
    <t>Wiring table DM8</t>
  </si>
  <si>
    <t>3ECP502136-0001</t>
  </si>
  <si>
    <t>3ECP502137-0001</t>
  </si>
  <si>
    <t>3ECP502138-0001</t>
  </si>
  <si>
    <t>3ECP502139-0001</t>
  </si>
  <si>
    <t>3ECP502140-0001</t>
  </si>
  <si>
    <t>3ECP502141-0001</t>
  </si>
  <si>
    <t>3ECP502142-0001</t>
  </si>
  <si>
    <t>3ECP502143-0001</t>
  </si>
  <si>
    <t>Electric Part lists</t>
  </si>
  <si>
    <t>Electric Part List DM1</t>
  </si>
  <si>
    <t>Electric Part List TT2</t>
  </si>
  <si>
    <t>Electric Part List M3</t>
  </si>
  <si>
    <t>Electric Part List T4</t>
  </si>
  <si>
    <t>Electric Part List T5</t>
  </si>
  <si>
    <t>Electric Part List M6</t>
  </si>
  <si>
    <t>Electric Part List TT7</t>
  </si>
  <si>
    <t>Electric Part List DM8</t>
  </si>
  <si>
    <t>3ECP502144-0001</t>
  </si>
  <si>
    <t>3ECP502145-0001</t>
  </si>
  <si>
    <t>3ECP502146-0001</t>
  </si>
  <si>
    <t>3ECP502147-0001</t>
  </si>
  <si>
    <t>3ECP502148-0001</t>
  </si>
  <si>
    <t>3ECP502149-0001</t>
  </si>
  <si>
    <t>3ECP502150-0001</t>
  </si>
  <si>
    <t>3ECP502151-0001</t>
  </si>
  <si>
    <t>SW Configuration</t>
  </si>
  <si>
    <t>SW Config. Matrix</t>
  </si>
  <si>
    <t>3ECP413651-0001</t>
  </si>
  <si>
    <t>3ECP413651-0002</t>
  </si>
  <si>
    <t>3ECP413651-0003</t>
  </si>
  <si>
    <t>3ECP413651-0004</t>
  </si>
  <si>
    <t>3ECP413651-0005</t>
  </si>
  <si>
    <t>3ECP413651-0006</t>
  </si>
  <si>
    <t>3ECP413651-0007</t>
  </si>
  <si>
    <t>3ECP413651-0008</t>
  </si>
  <si>
    <t>3ECP413651-0009</t>
  </si>
  <si>
    <t>3ECP413651-0010</t>
  </si>
  <si>
    <t>3ECP413651-0011</t>
  </si>
  <si>
    <t>3ECP413651-0012</t>
  </si>
  <si>
    <t>3ECP413651-0013</t>
  </si>
  <si>
    <t>3ECP413651-0014</t>
  </si>
  <si>
    <t>3ECP413651-0015</t>
  </si>
  <si>
    <t>3ECP413651-0016</t>
  </si>
  <si>
    <t>3ECP413651-0017</t>
  </si>
  <si>
    <t>3ECP413651-0018</t>
  </si>
  <si>
    <t>3ECP413651-0019</t>
  </si>
  <si>
    <t>3ECP413651-0020</t>
  </si>
  <si>
    <t>3ECP413651-0021</t>
  </si>
  <si>
    <t>3ECP413651-0022</t>
  </si>
  <si>
    <t>TCMS Architecture</t>
  </si>
  <si>
    <t>Wash Wiper</t>
  </si>
  <si>
    <t>Windscreen heater</t>
  </si>
  <si>
    <t>Automatic Coupler</t>
  </si>
  <si>
    <t>Exterior Lighting</t>
  </si>
  <si>
    <t>Horn</t>
  </si>
  <si>
    <t>Bogie</t>
  </si>
  <si>
    <t>Line Voltage</t>
  </si>
  <si>
    <t>Battery</t>
  </si>
  <si>
    <t>Drive Control</t>
  </si>
  <si>
    <t>Brake Control</t>
  </si>
  <si>
    <t>Auxiliary Electrical Supply</t>
  </si>
  <si>
    <t>Air Supply</t>
  </si>
  <si>
    <t>Interior Lighting</t>
  </si>
  <si>
    <t>Catering</t>
  </si>
  <si>
    <t>PIS CCTV</t>
  </si>
  <si>
    <t>Exterior and Interior Doors</t>
  </si>
  <si>
    <t>Cab HVAC</t>
  </si>
  <si>
    <t>Saloon HVAC</t>
  </si>
  <si>
    <t>Fire Protection and Extinguishing</t>
  </si>
  <si>
    <t>3ECP307255-0001</t>
  </si>
  <si>
    <t>3ECP413922-0604</t>
  </si>
  <si>
    <t>3EGH489028-2358</t>
  </si>
  <si>
    <t>3ECP413719-0300</t>
  </si>
  <si>
    <t>3ECP413922-0502</t>
  </si>
  <si>
    <t>3ECP413719-0603</t>
  </si>
  <si>
    <t>3ECP413922-1400</t>
  </si>
  <si>
    <t>3ECP413719-0802</t>
  </si>
  <si>
    <t>3ECP413922-0801</t>
  </si>
  <si>
    <t>3ECP413922-1100</t>
  </si>
  <si>
    <t>3ECP413922-0204</t>
  </si>
  <si>
    <t>3ECP413922-0903</t>
  </si>
  <si>
    <t>3ECP413922-0902</t>
  </si>
  <si>
    <t>3ECP413922-1001</t>
  </si>
  <si>
    <t>3ECP413922-1003</t>
  </si>
  <si>
    <t>3ECP413922-0904</t>
  </si>
  <si>
    <t>3ECP413719-1200</t>
  </si>
  <si>
    <t>Functional Vehicle Requirement Specification</t>
  </si>
  <si>
    <t>3ECP413839-0001</t>
  </si>
  <si>
    <t>3ECP307251-0008</t>
  </si>
  <si>
    <t>3ECP307252-0008</t>
  </si>
  <si>
    <t>3ECP307253-0008</t>
  </si>
  <si>
    <t>3ECP307251-0007</t>
  </si>
  <si>
    <t>3ECP307252-0007</t>
  </si>
  <si>
    <t>3ECP307253-0007</t>
  </si>
  <si>
    <t>3ECP307251-0006</t>
  </si>
  <si>
    <t>3ECP307252-0006</t>
  </si>
  <si>
    <t>3ECP307253-0006</t>
  </si>
  <si>
    <t>3ECP307251-0005</t>
  </si>
  <si>
    <t>3ECP307252-0005</t>
  </si>
  <si>
    <t>3ECP307253-0005</t>
  </si>
  <si>
    <t>3ECP307251-0004</t>
  </si>
  <si>
    <t>3ECP307252-0004</t>
  </si>
  <si>
    <t>3ECP307253-0004</t>
  </si>
  <si>
    <t>3ECP307251-0003</t>
  </si>
  <si>
    <t>3ECP307252-0003</t>
  </si>
  <si>
    <t>3ECP307251-0002</t>
  </si>
  <si>
    <t>3ECP307251-0001</t>
  </si>
  <si>
    <t>3ECP307252-0001</t>
  </si>
  <si>
    <t>3ECP307252-0002</t>
  </si>
  <si>
    <t>3ECP307253-0001</t>
  </si>
  <si>
    <t>3ECP307253-0002</t>
  </si>
  <si>
    <t>3ECP307253-0003</t>
  </si>
  <si>
    <t>FA010024089</t>
  </si>
  <si>
    <t>3ECP400500-0014</t>
  </si>
  <si>
    <t>FA010024090</t>
  </si>
  <si>
    <t>3ECP400500-0005</t>
  </si>
  <si>
    <t>FA010024096</t>
  </si>
  <si>
    <t>FA010024103</t>
  </si>
  <si>
    <t>FA020022675</t>
  </si>
  <si>
    <t>FA010024104</t>
  </si>
  <si>
    <t>FA020023107</t>
  </si>
  <si>
    <t>FA020023413</t>
  </si>
  <si>
    <t>Windscreen</t>
  </si>
  <si>
    <t>Coupler</t>
  </si>
  <si>
    <t>Bogies</t>
  </si>
  <si>
    <t>Wheelchair Lifts</t>
  </si>
  <si>
    <t>Diagnostics</t>
  </si>
  <si>
    <t>Exterior Door and Step Systems</t>
  </si>
  <si>
    <t>Fire Protection and Extinction</t>
  </si>
  <si>
    <t>Interior Doors</t>
  </si>
  <si>
    <t>CCTV</t>
  </si>
  <si>
    <t>TCMS - Operational</t>
  </si>
  <si>
    <t>Aux Electrical Supply</t>
  </si>
  <si>
    <t>Conventional Train Control</t>
  </si>
  <si>
    <t>FA020026278</t>
  </si>
  <si>
    <t>FA020022045</t>
  </si>
  <si>
    <t>FA020024537</t>
  </si>
  <si>
    <t>FA020024538</t>
  </si>
  <si>
    <t>FA020030729</t>
  </si>
  <si>
    <t>06.2</t>
  </si>
  <si>
    <t>03.2</t>
  </si>
  <si>
    <t>01.2</t>
  </si>
  <si>
    <t>00.4</t>
  </si>
  <si>
    <t>00.6</t>
  </si>
  <si>
    <t>02.2</t>
  </si>
  <si>
    <t>04.2</t>
  </si>
  <si>
    <t>02.3</t>
  </si>
  <si>
    <t>01.3</t>
  </si>
  <si>
    <t>04.3</t>
  </si>
  <si>
    <t>00.3</t>
  </si>
  <si>
    <t>00.1</t>
  </si>
  <si>
    <t>00.2</t>
  </si>
  <si>
    <t>06.3</t>
  </si>
  <si>
    <t>B.1</t>
  </si>
  <si>
    <t>05.2</t>
  </si>
  <si>
    <t>03.3</t>
  </si>
  <si>
    <t>00.5</t>
  </si>
  <si>
    <r>
      <t xml:space="preserve">03.2
</t>
    </r>
    <r>
      <rPr>
        <sz val="11"/>
        <color rgb="FFFF0000"/>
        <rFont val="Calibri"/>
        <family val="2"/>
        <scheme val="minor"/>
      </rPr>
      <t>4.0?</t>
    </r>
  </si>
  <si>
    <t>FA020026563</t>
  </si>
  <si>
    <t>FA020025252</t>
  </si>
  <si>
    <t>FA020023100</t>
  </si>
  <si>
    <t>FA020025419</t>
  </si>
  <si>
    <t>FA020026053</t>
  </si>
  <si>
    <t>Train to Wayside Communication (Teledia)</t>
  </si>
  <si>
    <t>FA020025863</t>
  </si>
  <si>
    <t>PIS 2.0</t>
  </si>
  <si>
    <t>FA020025354</t>
  </si>
  <si>
    <t>FA020047983</t>
  </si>
  <si>
    <t>FA020024531</t>
  </si>
  <si>
    <t>FA020027681</t>
  </si>
  <si>
    <t>FA020011254</t>
  </si>
  <si>
    <t>FA020026357</t>
  </si>
  <si>
    <t>FA020026562</t>
  </si>
  <si>
    <t>FA020025360</t>
  </si>
  <si>
    <t>FA020025254</t>
  </si>
  <si>
    <t>FA020025253</t>
  </si>
  <si>
    <t>FA020026338</t>
  </si>
  <si>
    <t>FA020026347</t>
  </si>
  <si>
    <t>FA020026344</t>
  </si>
  <si>
    <t>FA010024081</t>
  </si>
  <si>
    <t>FA010024082</t>
  </si>
  <si>
    <t>FA010024083</t>
  </si>
  <si>
    <t>FA010024084</t>
  </si>
  <si>
    <t>FA010024085</t>
  </si>
  <si>
    <t>FA010024086</t>
  </si>
  <si>
    <t>FA010024087</t>
  </si>
  <si>
    <t>FA010024088</t>
  </si>
  <si>
    <t>FA010024091</t>
  </si>
  <si>
    <t>FA010024092</t>
  </si>
  <si>
    <t>FA010024093</t>
  </si>
  <si>
    <t>FA010024094</t>
  </si>
  <si>
    <t>FA010024095</t>
  </si>
  <si>
    <t>FA010024097</t>
  </si>
  <si>
    <t>FA010024098</t>
  </si>
  <si>
    <t>FA010024099</t>
  </si>
  <si>
    <t>FA010024100</t>
  </si>
  <si>
    <t>FA010024101</t>
  </si>
  <si>
    <t>FA010024102</t>
  </si>
  <si>
    <t>FS020022117-001</t>
  </si>
  <si>
    <t>FS020022117-002</t>
  </si>
  <si>
    <t>FS020022117-003</t>
  </si>
  <si>
    <t>FS020022117-004</t>
  </si>
  <si>
    <t>FS020022117-005</t>
  </si>
  <si>
    <t>FS020022117-006</t>
  </si>
  <si>
    <t>FS020022117-007</t>
  </si>
  <si>
    <t>FS020022117-008</t>
  </si>
  <si>
    <t>FS020022117-009</t>
  </si>
  <si>
    <t>FS020036994-001</t>
  </si>
  <si>
    <t>FS020036994-002</t>
  </si>
  <si>
    <t>FS020036994-003</t>
  </si>
  <si>
    <t>FS020036994-004</t>
  </si>
  <si>
    <t>FS020036994-005</t>
  </si>
  <si>
    <t>FS020036994-006</t>
  </si>
  <si>
    <t>FS020036994-007</t>
  </si>
  <si>
    <t>FS020036994-008</t>
  </si>
  <si>
    <t>FS020036994-009</t>
  </si>
  <si>
    <t>Interface Control Document</t>
  </si>
  <si>
    <t>ICD Sistema TCMS</t>
  </si>
  <si>
    <t>ICD Sistema TCMS - Annex</t>
  </si>
  <si>
    <t>ICD GTW IPTCOM-TRDP</t>
  </si>
  <si>
    <t>ICD GTW IPTCOM-TRDP - Annex</t>
  </si>
  <si>
    <t>ICD Sistema Propulsion TCU</t>
  </si>
  <si>
    <t>ICD Sistema Propulsion TCU - Annex</t>
  </si>
  <si>
    <t>ICD Sistema BCU</t>
  </si>
  <si>
    <t>ICD Sistema BCU - Annex</t>
  </si>
  <si>
    <t>ICD Sistema Segnalamento</t>
  </si>
  <si>
    <t>ICD Sistema Segnalamento - Annex</t>
  </si>
  <si>
    <t>ICD Sistema PIS</t>
  </si>
  <si>
    <t>ICD Sistema PIS - Annex</t>
  </si>
  <si>
    <t>ICD Sistema Toilette</t>
  </si>
  <si>
    <t>ICD Sistema Toilette - Annex</t>
  </si>
  <si>
    <t>ICD Sistema Anticendio</t>
  </si>
  <si>
    <t>ICD Sistema Anticendio - Annex</t>
  </si>
  <si>
    <t>ICD Sistema Porte</t>
  </si>
  <si>
    <t>ICD Sistema Porte - Annex</t>
  </si>
  <si>
    <t>ICD Sistema HVSP</t>
  </si>
  <si>
    <t>ICD Sistema HVSP  - Annex</t>
  </si>
  <si>
    <t>ICD Sistema Carica Batterie</t>
  </si>
  <si>
    <t>ICD Sistema Carica Batterie - Annex</t>
  </si>
  <si>
    <t>ICD HVAC</t>
  </si>
  <si>
    <t>ICD HVAC - Annex</t>
  </si>
  <si>
    <t>ICD Energy Measurement System</t>
  </si>
  <si>
    <t>ICD Energy Measurement System - Annex</t>
  </si>
  <si>
    <t>EC130021271</t>
  </si>
  <si>
    <t>EC130021272</t>
  </si>
  <si>
    <t>EC130019965</t>
  </si>
  <si>
    <t>EC130019966</t>
  </si>
  <si>
    <t>EC130019102</t>
  </si>
  <si>
    <t>EC130019104</t>
  </si>
  <si>
    <t>EC130021259</t>
  </si>
  <si>
    <t>EC130021260</t>
  </si>
  <si>
    <t>EC130019100</t>
  </si>
  <si>
    <t>EC130019101</t>
  </si>
  <si>
    <t>EC130020522</t>
  </si>
  <si>
    <t>EC130020523</t>
  </si>
  <si>
    <t>EC130021261</t>
  </si>
  <si>
    <t>EC130021262</t>
  </si>
  <si>
    <t>EC130021264</t>
  </si>
  <si>
    <t>EC130021265</t>
  </si>
  <si>
    <t>EC130021300</t>
  </si>
  <si>
    <t>EC130021301</t>
  </si>
  <si>
    <t>EC130021266</t>
  </si>
  <si>
    <t>EC130021268</t>
  </si>
  <si>
    <t>EC130023723</t>
  </si>
  <si>
    <t>EC130023724</t>
  </si>
  <si>
    <t>EC130021254</t>
  </si>
  <si>
    <t>EC130021255</t>
  </si>
  <si>
    <t>EC130021304</t>
  </si>
  <si>
    <t>EC130021305</t>
  </si>
  <si>
    <t>EC130023132</t>
  </si>
  <si>
    <t>EC130023133</t>
  </si>
  <si>
    <t>General Vehicle Document</t>
  </si>
  <si>
    <t>Train Performances</t>
  </si>
  <si>
    <t>Train System Architecture</t>
  </si>
  <si>
    <t>Train Running Simulations</t>
  </si>
  <si>
    <t>SyFD Propulsion System</t>
  </si>
  <si>
    <t>SyFD Train Control and Management System</t>
  </si>
  <si>
    <t>SyFD Ethernet Train Communication Network</t>
  </si>
  <si>
    <t>ED040019912</t>
  </si>
  <si>
    <t>FF010020369</t>
  </si>
  <si>
    <t>ED180020963</t>
  </si>
  <si>
    <t>FE010020176</t>
  </si>
  <si>
    <t>FT170023207</t>
  </si>
  <si>
    <t>FE020026857</t>
  </si>
  <si>
    <t>Functional Requirement Specification (FRS)</t>
  </si>
  <si>
    <t>FT080031387</t>
  </si>
  <si>
    <t>4.3</t>
  </si>
  <si>
    <t>HW</t>
  </si>
  <si>
    <t>Doc ID</t>
  </si>
  <si>
    <t>Functional principle diagrams (VISIO)</t>
  </si>
  <si>
    <t>Train Protection - ATP</t>
  </si>
  <si>
    <t>Propulsion and Auxiliary</t>
  </si>
  <si>
    <t>Visualisation - MMI</t>
  </si>
  <si>
    <t>SW_Config</t>
  </si>
  <si>
    <t>FPD_Drive Control</t>
  </si>
  <si>
    <t>FPD_Conventional Train Control</t>
  </si>
  <si>
    <t>FPD_Train Protection - ATP</t>
  </si>
  <si>
    <t>FPD_TCMS Architecture</t>
  </si>
  <si>
    <t>FPD_Propulsion and Auxiliary</t>
  </si>
  <si>
    <t>FPD_Line Voltage</t>
  </si>
  <si>
    <t>FPD_Auxiliary Electrical Supply</t>
  </si>
  <si>
    <t>FPD_Battery</t>
  </si>
  <si>
    <t>FPD_Air Supply</t>
  </si>
  <si>
    <t>FPD_Brake Control</t>
  </si>
  <si>
    <t>FPD_Bogie</t>
  </si>
  <si>
    <t>FPD_Wash Wiper</t>
  </si>
  <si>
    <t>FPD_Windscreen heater</t>
  </si>
  <si>
    <t>FPD_Automatic Coupler</t>
  </si>
  <si>
    <t>FPD_Horn</t>
  </si>
  <si>
    <t>FPD_Exterior and Interior Doors</t>
  </si>
  <si>
    <t>FPD_Cab HVAC</t>
  </si>
  <si>
    <t>FPD_Saloon HVAC</t>
  </si>
  <si>
    <t>FPD_Toilet</t>
  </si>
  <si>
    <t>FPD_Catering</t>
  </si>
  <si>
    <t>FPD_PIS CCTV</t>
  </si>
  <si>
    <t>FPD_Exterior Lighting</t>
  </si>
  <si>
    <t>FPD_Interior Lighting</t>
  </si>
  <si>
    <t>FRS_Vehicle</t>
  </si>
  <si>
    <t>FRS_Drive Control</t>
  </si>
  <si>
    <t>FRS_Conventional Train Control</t>
  </si>
  <si>
    <t>FRS_Train Protection - ATP</t>
  </si>
  <si>
    <t>FRS_Diagnostics</t>
  </si>
  <si>
    <t>FRS_Visualisation - MMI</t>
  </si>
  <si>
    <t>FRS_TCMS - Operational</t>
  </si>
  <si>
    <t>FRS_Line Voltage</t>
  </si>
  <si>
    <t>FRS_Aux Electrical Supply</t>
  </si>
  <si>
    <t>FRS_Battery</t>
  </si>
  <si>
    <t>FRS_Air Supply</t>
  </si>
  <si>
    <t>FRS_Brake Control</t>
  </si>
  <si>
    <t>FRS_Bogies</t>
  </si>
  <si>
    <t>FRS_Wash Wiper</t>
  </si>
  <si>
    <t>FRS_Windscreen</t>
  </si>
  <si>
    <t>FRS_Coupler</t>
  </si>
  <si>
    <t>FRS_Horn</t>
  </si>
  <si>
    <t>FRS_Wheelchair Lifts</t>
  </si>
  <si>
    <t>FRS_Exterior Door and Step Systems</t>
  </si>
  <si>
    <t>FRS_Interior Doors</t>
  </si>
  <si>
    <t>FRS_Cab HVAC</t>
  </si>
  <si>
    <t>FRS_Saloon HVAC</t>
  </si>
  <si>
    <t>FRS_Toilet</t>
  </si>
  <si>
    <t>FRS_Catering</t>
  </si>
  <si>
    <t>FRS_PIS</t>
  </si>
  <si>
    <t>FRS_PIS 2.0</t>
  </si>
  <si>
    <t>FRS_CCTV</t>
  </si>
  <si>
    <t>FRS_Exterior Lighting</t>
  </si>
  <si>
    <t>FRS_Interior Lighting</t>
  </si>
  <si>
    <t>FRS_Teledia</t>
  </si>
  <si>
    <t>FS_DM1</t>
  </si>
  <si>
    <t>FS_TT2</t>
  </si>
  <si>
    <t>FS_M3</t>
  </si>
  <si>
    <t>FS_T4</t>
  </si>
  <si>
    <t>FS_T5</t>
  </si>
  <si>
    <t>FS_M6</t>
  </si>
  <si>
    <t>FS_TT7</t>
  </si>
  <si>
    <t>FS_DM8</t>
  </si>
  <si>
    <t>Rif. Pagina</t>
  </si>
  <si>
    <t>xxxxx</t>
  </si>
  <si>
    <t>HW  + SW</t>
  </si>
  <si>
    <t>FS_xx</t>
  </si>
  <si>
    <t>FRS_xx</t>
  </si>
  <si>
    <t>FPD_xx</t>
  </si>
  <si>
    <t>VZ_IF Francia</t>
  </si>
  <si>
    <t>VZ_ES Spagna</t>
  </si>
  <si>
    <t>3ECP414196-0001</t>
  </si>
  <si>
    <t>3ECP400500-0001</t>
  </si>
  <si>
    <t>3ECP400500-0002</t>
  </si>
  <si>
    <t>3ECP400500-0003</t>
  </si>
  <si>
    <t>3ECP400500-0004</t>
  </si>
  <si>
    <t>3ECP400500-0006</t>
  </si>
  <si>
    <t>3ECP400500-0007</t>
  </si>
  <si>
    <t>3ECP400500-0008</t>
  </si>
  <si>
    <t>3ECP400500-0009</t>
  </si>
  <si>
    <t>3ECP400500-0010</t>
  </si>
  <si>
    <t>3ECP400500-0011</t>
  </si>
  <si>
    <t>3ECP400500-0012</t>
  </si>
  <si>
    <t>3ECP400500-0013</t>
  </si>
  <si>
    <t>3ECP400500-0015</t>
  </si>
  <si>
    <t>3ECP400500-0016</t>
  </si>
  <si>
    <t>3ECP400500-0017</t>
  </si>
  <si>
    <t>3ECP400500-0018</t>
  </si>
  <si>
    <t>3ECP400500-0019</t>
  </si>
  <si>
    <t>3ECP400500-0020</t>
  </si>
  <si>
    <t>3ECP400500-0021</t>
  </si>
  <si>
    <t>3ECP400500-0022</t>
  </si>
  <si>
    <t>4.3_14
17/12/2025</t>
  </si>
  <si>
    <t>4.2_14
30/01/2025</t>
  </si>
  <si>
    <t>3ECP413719-0204</t>
  </si>
  <si>
    <t>3ECP414246-0902</t>
  </si>
  <si>
    <t>3ECP413719-1400</t>
  </si>
  <si>
    <t>3ECP413719-1100</t>
  </si>
  <si>
    <t>PIES</t>
  </si>
  <si>
    <t>3ECP413719-0502</t>
  </si>
  <si>
    <t>3ECP413719-0401</t>
  </si>
  <si>
    <t>3ECP413719-0903</t>
  </si>
  <si>
    <t>3ECP307211-1401</t>
  </si>
  <si>
    <t>3ECP307211-0002</t>
  </si>
  <si>
    <t>3ECP307211-0003</t>
  </si>
  <si>
    <t>3ECP307211-0004</t>
  </si>
  <si>
    <t>3ECP307211-0005</t>
  </si>
  <si>
    <t>3ECP307211-0006</t>
  </si>
  <si>
    <t>3ECP307211-0007</t>
  </si>
  <si>
    <t>3ECP307211-1408</t>
  </si>
  <si>
    <t>3ECP307212-1401</t>
  </si>
  <si>
    <t>3ECP307212-0002</t>
  </si>
  <si>
    <t>3ECP307212-0003</t>
  </si>
  <si>
    <t>3ECP307212-0004</t>
  </si>
  <si>
    <t>3ECP307212-0005</t>
  </si>
  <si>
    <t>3ECP307212-0006</t>
  </si>
  <si>
    <t>3ECP307212-0007</t>
  </si>
  <si>
    <t>3ECP307212-1408</t>
  </si>
  <si>
    <t>3ECP307213-1401</t>
  </si>
  <si>
    <t>3ECP307213-0002</t>
  </si>
  <si>
    <t>3ECP307213-0003</t>
  </si>
  <si>
    <t>3ECP307213-0004</t>
  </si>
  <si>
    <t>3ECP307213-0005</t>
  </si>
  <si>
    <t>3ECP307213-0006</t>
  </si>
  <si>
    <t>3ECP307213-0007</t>
  </si>
  <si>
    <t>3ECP307213-1408</t>
  </si>
  <si>
    <t>mancanti</t>
  </si>
  <si>
    <t>5.0
15/04/2026</t>
  </si>
  <si>
    <t>1.0
15/04/2026</t>
  </si>
  <si>
    <t>4.0 ?
xx/07/2025</t>
  </si>
  <si>
    <t>VZI-6_IT [R1]
BL 4.0</t>
  </si>
  <si>
    <t>VZI-4_IT [R1]
BL 1.0</t>
  </si>
  <si>
    <t>NUMERI TRENO</t>
  </si>
  <si>
    <t>2.4
09/03/2023</t>
  </si>
  <si>
    <t>VZ-ES Spagna
BL 2.4</t>
  </si>
  <si>
    <t>Info DOC</t>
  </si>
  <si>
    <t>DOC ID</t>
  </si>
  <si>
    <t>Conf Sheet aggiornata a BL</t>
  </si>
  <si>
    <t>2.8
16/04/2025</t>
  </si>
  <si>
    <t>3ECP414502-0001</t>
  </si>
  <si>
    <t>G</t>
  </si>
  <si>
    <t>EC01P008880B</t>
  </si>
  <si>
    <t>00.8</t>
  </si>
  <si>
    <t>EC01P008884B</t>
  </si>
  <si>
    <t>File/Codice</t>
  </si>
  <si>
    <t>EC01P008890B</t>
  </si>
  <si>
    <t>Codice Config</t>
  </si>
  <si>
    <t>EC01P008888B</t>
  </si>
  <si>
    <t>EC01P008889B</t>
  </si>
  <si>
    <t>00</t>
  </si>
  <si>
    <t>EC01P008873B</t>
  </si>
  <si>
    <t>EC01P009000B</t>
  </si>
  <si>
    <t>EC01P009001B</t>
  </si>
  <si>
    <t>EC01P008887B</t>
  </si>
  <si>
    <t>EC01P009028B</t>
  </si>
  <si>
    <t>VZ_FR</t>
  </si>
  <si>
    <t>EC010008563</t>
  </si>
  <si>
    <t>EC010008581</t>
  </si>
  <si>
    <t>FA020007630</t>
  </si>
  <si>
    <t>FA020013231</t>
  </si>
  <si>
    <t>VZ_ES Spagna Full HRI</t>
  </si>
  <si>
    <t>VZ_Esxx</t>
  </si>
  <si>
    <t>VZ_ESxx</t>
  </si>
  <si>
    <t>INDIRIZZO</t>
  </si>
  <si>
    <t>Root Sharepoint</t>
  </si>
  <si>
    <t>Documenti di configurazione</t>
  </si>
  <si>
    <t>Raccolta documentazione Funzioni</t>
  </si>
  <si>
    <t>Livello</t>
  </si>
  <si>
    <t>NOME</t>
  </si>
  <si>
    <t>Sharepoint</t>
  </si>
  <si>
    <t>Shared%20Documents/</t>
  </si>
  <si>
    <t>https://gruppofsitaliane.sharepoint.com/:f:/r/sites/IngegneriaETReMezziLeggeri-Trenitalia/</t>
  </si>
  <si>
    <t>Cartella Archiviazione doc ETR1000</t>
  </si>
  <si>
    <t>Cartella Documenti Ingegneria</t>
  </si>
  <si>
    <t>VZ_ES Full HRI
BL xxx</t>
  </si>
  <si>
    <t>VZ-DAI
BL xxx</t>
  </si>
  <si>
    <t>6.3 ?</t>
  </si>
  <si>
    <t>Catering - Bistrot</t>
  </si>
  <si>
    <t>M</t>
  </si>
  <si>
    <t>N</t>
  </si>
  <si>
    <t>3ECP413571-0502</t>
  </si>
  <si>
    <t>3ECP413571-0300</t>
  </si>
  <si>
    <t>3ECP413571-0204</t>
  </si>
  <si>
    <t>FA020000711</t>
  </si>
  <si>
    <t>3ECP413571-0601</t>
  </si>
  <si>
    <t>6.0
27/09/24</t>
  </si>
  <si>
    <t>4.3_IF
04/04/2025</t>
  </si>
  <si>
    <t>3ECP307082-0001</t>
  </si>
  <si>
    <t>3ECP307077-0001</t>
  </si>
  <si>
    <t>3ECP307075-0001</t>
  </si>
  <si>
    <t>3ECP307081-0001</t>
  </si>
  <si>
    <t>3ECP307079-0001</t>
  </si>
  <si>
    <t>3ECP307074-0001</t>
  </si>
  <si>
    <t>E</t>
  </si>
  <si>
    <t>3ECP307083-0001</t>
  </si>
  <si>
    <t>3ECP307072-0001</t>
  </si>
  <si>
    <t>3ECP307073-0001</t>
  </si>
  <si>
    <t>3ECP307084-0001</t>
  </si>
  <si>
    <t>3ECP307080-0001</t>
  </si>
  <si>
    <t>3ECP307076-0001</t>
  </si>
  <si>
    <t>Train Control Design System</t>
  </si>
  <si>
    <t>FPD_Train Control</t>
  </si>
  <si>
    <t>Schematic diagram for French ATP MU</t>
  </si>
  <si>
    <t>FPD_ATP-MU</t>
  </si>
  <si>
    <t>90000056.D04</t>
  </si>
  <si>
    <t>5.0</t>
  </si>
  <si>
    <t>3ECP413571-0206</t>
  </si>
  <si>
    <t>Train Protection - ATP (France)</t>
  </si>
  <si>
    <t>FRS_Train Protection_France</t>
  </si>
  <si>
    <t>3ECP413571-0902</t>
  </si>
  <si>
    <t>3ECP413571-1400</t>
  </si>
  <si>
    <t>3ECP413571-0501</t>
  </si>
  <si>
    <t>3ECP307051-0001</t>
  </si>
  <si>
    <t>3ECP307059-0001</t>
  </si>
  <si>
    <t>3ECP307157-0001</t>
  </si>
  <si>
    <t>3ECP307158-0001</t>
  </si>
  <si>
    <t>3ECP307159-0001</t>
  </si>
  <si>
    <t>3ECP307160-0001</t>
  </si>
  <si>
    <t>3ECP307060-0001</t>
  </si>
  <si>
    <t>3ECP307052-0001</t>
  </si>
  <si>
    <t>3ECP307053-0001</t>
  </si>
  <si>
    <t>3ECP307061-0001</t>
  </si>
  <si>
    <t>3ECP307153-0001</t>
  </si>
  <si>
    <t>3ECP307154-0001</t>
  </si>
  <si>
    <t>3ECP307155-0001</t>
  </si>
  <si>
    <t>3ECP307156-0001</t>
  </si>
  <si>
    <t>3ECP307062-0001</t>
  </si>
  <si>
    <t>3ECP307054-0001</t>
  </si>
  <si>
    <t>3ECP307055-0001</t>
  </si>
  <si>
    <t>3ECP307063-0001</t>
  </si>
  <si>
    <t>3ECP307161-0001</t>
  </si>
  <si>
    <t>3ECP307162-0001</t>
  </si>
  <si>
    <t>3ECP307163-0001</t>
  </si>
  <si>
    <t>3ECP307164-0001</t>
  </si>
  <si>
    <t>3ECP307056-0001</t>
  </si>
  <si>
    <t>manca</t>
  </si>
  <si>
    <t>FA02P021958B</t>
  </si>
  <si>
    <t>2.0</t>
  </si>
  <si>
    <t>3EST000225-7889
EC01P008999B</t>
  </si>
  <si>
    <t>Doc BD130033980 - BL 6.0</t>
  </si>
  <si>
    <t>BD130033981</t>
  </si>
  <si>
    <t>BD140036813 - BL 4.2</t>
  </si>
  <si>
    <t>4.0_F
10/04/2024</t>
  </si>
  <si>
    <t>3ECP414415-0001 - BL 4.0</t>
  </si>
  <si>
    <t>3ECP414332-0001</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</si>
  <si>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</si>
  <si>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</si>
  <si>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EVFS1 = Valvola applicazione parking brake
JE-K009 = RIO
JE-K010 = RIO
GG-K016 = Relè RER</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</si>
  <si>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</si>
  <si>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GG-K016 = Relè RER
GG-K028 = Relè di taglio per il comando di rilascio del PB dato da TCMS attraverso BRA_EVFS1_COM
EVFS1 = Valvola applicazione parking brake
JE-K009 = RIO
JE-K010 = RIO</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</si>
  <si>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</si>
  <si>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Park_Brake_01</t>
  </si>
  <si>
    <t>Comando applicazione/rilascio FAM da banco di manovra</t>
  </si>
  <si>
    <t>Funzione di monitoraggio Hot Axle Box Detection (HABD)</t>
  </si>
  <si>
    <t>Hot_Axle_Box_01</t>
  </si>
  <si>
    <t>Europe.CONCEPT.392: in caso di bypass DNRA, limite velocità a 200 km/h
Europe.CONCEPT.355: evento di warning se Temp gearbox &gt;= 145 °C</t>
  </si>
  <si>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</si>
  <si>
    <t>TBD</t>
  </si>
  <si>
    <t>FUNC ID</t>
  </si>
  <si>
    <t>Lista Eventi</t>
  </si>
  <si>
    <t>Lista AWO</t>
  </si>
  <si>
    <t>Data</t>
  </si>
  <si>
    <t>Rivedere/Completare PBS</t>
  </si>
  <si>
    <t>Definire struttura codice FUNC ID</t>
  </si>
  <si>
    <t>Sviluppo_Regole_TI_rev1.1</t>
  </si>
  <si>
    <t>SVILUPPO REGOLE_ 14_FR_SP_Rev_0.1</t>
  </si>
  <si>
    <t>DIAGNOSTICA</t>
  </si>
  <si>
    <t>DIAGNOSTICA/</t>
  </si>
  <si>
    <t>Raccolta file diagnostica</t>
  </si>
  <si>
    <t>LINK</t>
  </si>
  <si>
    <t>Diagnostica:
- Reperire documentazione diagnostica EVENTI + AWO per flotta
- Definire modalità archiviazione file diagnostici per flotta e referenziazione in FUNZIONI</t>
  </si>
  <si>
    <t>Nome flotta</t>
  </si>
  <si>
    <t>ID flotta "nativa"</t>
  </si>
  <si>
    <t>Requisiti specifici</t>
  </si>
  <si>
    <t>CAPTAZIONE</t>
  </si>
  <si>
    <t>CONTROLLO</t>
  </si>
  <si>
    <t>SEZIONE CS (RAFFREDDAMENTO)</t>
  </si>
  <si>
    <t>SEZIONE AE (AUSILIARI)</t>
  </si>
  <si>
    <t>SEZIONE 4M / MCM (MOTORI)</t>
  </si>
  <si>
    <t>SEZIONE LCM (LINEA AC)</t>
  </si>
  <si>
    <t>SEZIONE CCM (LINEA DC)</t>
  </si>
  <si>
    <t>RETE / COMUNICAZIONE</t>
  </si>
  <si>
    <t>TRAZIONE</t>
  </si>
  <si>
    <t>Centralina DCU/M</t>
  </si>
  <si>
    <t>Centralina DCU/C</t>
  </si>
  <si>
    <t>3ECP502022-0001</t>
  </si>
  <si>
    <t>Antincendio DM1</t>
  </si>
  <si>
    <t>SISTEMA DI RILEVAMENTO</t>
  </si>
  <si>
    <t>3EGH489009-5958</t>
  </si>
  <si>
    <t>Antincendio DM8</t>
  </si>
  <si>
    <t>UNITA' MAU 150/80</t>
  </si>
  <si>
    <t>3ECP502624-0001</t>
  </si>
  <si>
    <t>SISTEMA AEROSOL</t>
  </si>
  <si>
    <t>985-MCO72318</t>
  </si>
  <si>
    <t>000203-UMN002-0001.1.A-DM1</t>
  </si>
  <si>
    <t>000203-UMN002-0001.1.A-DM8</t>
  </si>
  <si>
    <t>TT2-TT7</t>
  </si>
  <si>
    <t>T4-T5</t>
  </si>
  <si>
    <t>TT2-T4-T5-TT7</t>
  </si>
  <si>
    <t>DM1</t>
  </si>
  <si>
    <t>M3</t>
  </si>
  <si>
    <t>Tutte</t>
  </si>
  <si>
    <t>M3-T4-T5</t>
  </si>
  <si>
    <t>TT2-T5-TT7</t>
  </si>
  <si>
    <t>DM1-DM8</t>
  </si>
  <si>
    <t>DM1-M3-DM8</t>
  </si>
  <si>
    <t>DM8</t>
  </si>
  <si>
    <t>.</t>
  </si>
  <si>
    <t>..</t>
  </si>
  <si>
    <t>DM1-M3-M6-DM8</t>
  </si>
  <si>
    <t>Gruppo/Componente</t>
  </si>
  <si>
    <t>M3-M6</t>
  </si>
  <si>
    <t>DM1-TT2-M3-M6-TT7-DM8</t>
  </si>
  <si>
    <t>Legare FUNZIONI a PBS ???</t>
  </si>
  <si>
    <t>GC-Q024 = Relè abilitazione cabina LCA
GC-Q026 = Relè abilitazione cabina LCA
SB-K018 = Relè accoppiamento
JB-K003 = Relè apertura Loop HABD
JB-K004 = Relè apertura Loop HABD
GG-K016 = Relè apertura Loop DNRA
GG-K017 = Relè apertura Loop DNRA
GC-A018 H2B = spia Locked Axle</t>
  </si>
  <si>
    <t>JB-K003 = Relè apertura Loop HABD
JB-K004 = Relè apertura Loop HABD
JE-K009 = RIO OTC_FUSE_LOOP
JE-K010 = RIO OTC_FUSE LOOP
GC-A018 H2B = spia HABD Alarm</t>
  </si>
  <si>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</si>
  <si>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</si>
  <si>
    <t>Ultima BL rilasciata</t>
  </si>
  <si>
    <t>protezione azionamenti</t>
  </si>
  <si>
    <t>ricerca doc propulsion</t>
  </si>
  <si>
    <t>provare integrazione copilot</t>
  </si>
  <si>
    <t>legare manuali e CPR a documenti CONF</t>
  </si>
  <si>
    <t>REF</t>
  </si>
  <si>
    <t>1.0</t>
  </si>
  <si>
    <t>17A</t>
  </si>
  <si>
    <t>Documentazione circuiti elettronici</t>
  </si>
  <si>
    <t>Sottosistema di bordo generale</t>
  </si>
  <si>
    <r>
      <t xml:space="preserve">VOLUME
</t>
    </r>
    <r>
      <rPr>
        <b/>
        <sz val="9"/>
        <color theme="1"/>
        <rFont val="Calibri"/>
        <family val="2"/>
      </rPr>
      <t>SUBVOLUME</t>
    </r>
    <r>
      <rPr>
        <b/>
        <sz val="11"/>
        <color theme="1"/>
        <rFont val="Calibri"/>
        <family val="2"/>
      </rPr>
      <t xml:space="preserve">
</t>
    </r>
    <r>
      <rPr>
        <b/>
        <sz val="9"/>
        <color theme="1"/>
        <rFont val="Calibri"/>
        <family val="2"/>
      </rPr>
      <t>_TOMO</t>
    </r>
  </si>
  <si>
    <t>Sotto Sistema di Bordo ERTMS BL3 CON SCMT INTEGRATO (B60A.0100914.G00.00IT)</t>
  </si>
  <si>
    <t>20A_ALA</t>
  </si>
  <si>
    <t>20A_ELO</t>
  </si>
  <si>
    <t>SSB ERTMS/SCMT (ALA) - MANUALE GENERICO USO E
MANUTENZIONE (B60A.000012.640.06I)</t>
  </si>
  <si>
    <t>20B_ELO</t>
  </si>
  <si>
    <t>31A_JRU</t>
  </si>
  <si>
    <t>PGDJ DIS-JRU FTP - PRODOTTO GENERICO DIS-JRU (FT11P035105GE03B)</t>
  </si>
  <si>
    <t>30A_1</t>
  </si>
  <si>
    <t>30A_2</t>
  </si>
  <si>
    <t>30A_3</t>
  </si>
  <si>
    <t>30A_4</t>
  </si>
  <si>
    <t>30A_5</t>
  </si>
  <si>
    <t>Messa in servizio (tomo 1 di 5)</t>
  </si>
  <si>
    <t>Messa in servizio (tomo 2 di 5)</t>
  </si>
  <si>
    <t>Messa in servizio (tomo 3 di 5)</t>
  </si>
  <si>
    <t>Messa in servizio (tomo 4 di 5)</t>
  </si>
  <si>
    <t>Messa in servizio (tomo 5 di 5)</t>
  </si>
  <si>
    <t>WT_DM1</t>
  </si>
  <si>
    <t>WT_TT2</t>
  </si>
  <si>
    <t>WT_M3</t>
  </si>
  <si>
    <t>WT_T4</t>
  </si>
  <si>
    <t>WT_T5</t>
  </si>
  <si>
    <t>WT_M6</t>
  </si>
  <si>
    <t>WT_TT7</t>
  </si>
  <si>
    <t>WT_DM8</t>
  </si>
  <si>
    <t>EPL_DM1</t>
  </si>
  <si>
    <t>EPL_TT2</t>
  </si>
  <si>
    <t>EPL_M3</t>
  </si>
  <si>
    <t>EPL_T4</t>
  </si>
  <si>
    <t>EPL_T5</t>
  </si>
  <si>
    <t>EPL_M6</t>
  </si>
  <si>
    <t>EPL_TT7</t>
  </si>
  <si>
    <t>EPL_DM8</t>
  </si>
  <si>
    <t>PBC-01A</t>
  </si>
  <si>
    <t>Chi</t>
  </si>
  <si>
    <t>Priorità</t>
  </si>
  <si>
    <t>Federico</t>
  </si>
  <si>
    <t>Maurizio</t>
  </si>
  <si>
    <t>Pensare a come gestire in Funzioni, l'aggiornamento dei documenti richiamati. ES aggiungere campo data???</t>
  </si>
  <si>
    <t>3ECP413571-0401</t>
  </si>
  <si>
    <t>3EST000225-7432</t>
  </si>
  <si>
    <t>Selezione su IDU del paese corrente, per informare la PCU sui pantografi selezionabili</t>
  </si>
  <si>
    <t>Comando di alzamento pantografo 1 o 2 sulla base di tensione di linea (switch) e paese (IDU) selezionati</t>
  </si>
  <si>
    <t>Comando di abbassamento pantografo manuale/automatico</t>
  </si>
  <si>
    <t>DB_ETR1000/</t>
  </si>
  <si>
    <t>DOC_FLOTTE/</t>
  </si>
  <si>
    <t>DOC_FUNC/</t>
  </si>
  <si>
    <t>Presentazione bozza</t>
  </si>
  <si>
    <t>Func_XXX</t>
  </si>
  <si>
    <t>LV_Automatic_Dropping_Device_(ADD)</t>
  </si>
  <si>
    <t>LV_Pantograph_Interlock</t>
  </si>
  <si>
    <t>LV_Pantograph_Selection</t>
  </si>
  <si>
    <t>LV_Pantograph_Control_of_Static_Contact_Force</t>
  </si>
  <si>
    <t>LV_Line_Voltage_Supervision</t>
  </si>
  <si>
    <t>LV_Line_Current_Supervision</t>
  </si>
  <si>
    <t>LV_Line_Interference_Monitor</t>
  </si>
  <si>
    <t>LV_LIM_50Hz_protection_bypass</t>
  </si>
  <si>
    <t>LV_Neutral_Section_Passing</t>
  </si>
  <si>
    <t>LV_System_Selection</t>
  </si>
  <si>
    <t>LV_Line_Circuit_Breaker_Closing</t>
  </si>
  <si>
    <t>LV_Line_Circuit_Breaker_Opening</t>
  </si>
  <si>
    <t>LV_Isolate_High_Voltage</t>
  </si>
  <si>
    <t>LV_Main_Transformer_cooling_control</t>
  </si>
  <si>
    <t>LV_Main_Transformer_Supervision</t>
  </si>
  <si>
    <t>LV_Energy_Meter</t>
  </si>
  <si>
    <t>LV_Key_interlocking</t>
  </si>
  <si>
    <t>LV_Function_Earthing_of_High_Voltage_Supply</t>
  </si>
  <si>
    <t>LV_Function_Earthing_of_Converter_boxes</t>
  </si>
  <si>
    <t>LV_HVAC_pre-conditioning_on_DC_line</t>
  </si>
  <si>
    <t>LV_Country_code_selection</t>
  </si>
  <si>
    <t>LV_Pantograph_Lifting</t>
  </si>
  <si>
    <t>LV_Pantograph_Lowering</t>
  </si>
  <si>
    <t>DESCRIZIONE FUNZIONE</t>
  </si>
  <si>
    <t>Interblocco automatico dei pantografi in caso di guasto rilevato. Il Pdc può bloccare anche manualmente un pantografo per impedirne la selezione</t>
  </si>
  <si>
    <t>Selezione del pantografo in base al paese (tipologia/dimensioni pantografo) e al sistema di alimentazione (AC/DC) selezionato</t>
  </si>
  <si>
    <t>Controllo della forza statica/pressione del pantografo alzato in funzione del sistema di tensione, della velocità, della direzione di marcia e della posizione del pantografo stesso</t>
  </si>
  <si>
    <t>Gestione del passaggio in sezione neutra:
- automatica da ATP in caso di tratto neutro al cambio fase
- inizializzata da ATP con selezione manuale deò PdC della tensione di linea, in caso di tratto neutro al cambio tensione</t>
  </si>
  <si>
    <t>Interblocco tramite giro chiavi del sistema alta tensione</t>
  </si>
  <si>
    <t>BAT_Failure_cases_battery_system</t>
  </si>
  <si>
    <t>BAT_Function_Battery_Isolation</t>
  </si>
  <si>
    <t>BAT_Battery_Contactors</t>
  </si>
  <si>
    <t>BAT_Load_Shed_Contactors</t>
  </si>
  <si>
    <t>BAT_DC_Busline_Distribution</t>
  </si>
  <si>
    <t>BAT_Battery_Charging</t>
  </si>
  <si>
    <t>AIR_Control_of_Main_Compressor</t>
  </si>
  <si>
    <t>AIR_Monitoring_of_Main_Compressor</t>
  </si>
  <si>
    <t>AIR_Forcing_of_Main_compressor</t>
  </si>
  <si>
    <t>AIR_Air_Dryer</t>
  </si>
  <si>
    <t>AIR_External_Air_Supply</t>
  </si>
  <si>
    <t>AIR_Control_of_Auxiliary_Compressor</t>
  </si>
  <si>
    <t>AIR_Suspension_Supervision</t>
  </si>
  <si>
    <t>AIR_Provision_for_Tilt_system</t>
  </si>
  <si>
    <t>AUX_Function_General</t>
  </si>
  <si>
    <t>AUX_Activation_and_Synchronisation_of_ACM</t>
  </si>
  <si>
    <t>AUX_ACM_reset</t>
  </si>
  <si>
    <t>AUX_AC_on_Board_Supply_System</t>
  </si>
  <si>
    <t>AUX_External_Power_Supply</t>
  </si>
  <si>
    <t>AUX_Earthing_switch</t>
  </si>
  <si>
    <t>AUX_230V,_50Hz_Sockets</t>
  </si>
  <si>
    <t>AUX_Mini_Circuit_Breaker_Supervision</t>
  </si>
  <si>
    <t>Dispositivo di abbassamento automatico del pantografo in caso di guasto</t>
  </si>
  <si>
    <t>Controllo della tensione di linea tramite sensori di tensione letti dal sistema di propulsione</t>
  </si>
  <si>
    <t>Controllo della corrente di linea</t>
  </si>
  <si>
    <t>Controllo correnti/interferenze indesiderate di linea</t>
  </si>
  <si>
    <t>Selezione tramite commutatore a 4 posizioni della tensione di linea (25 kV AC, 15 kV AC, 3 kV DC o 1,5 kV DC)</t>
  </si>
  <si>
    <t>Chiusura dell’interruttore di linea (LCB) per collegare la tensione di linea al treno</t>
  </si>
  <si>
    <t>Messa a terra dell'alta tensione per consentire la manutenzione in sicurezza</t>
  </si>
  <si>
    <t>Messa a terra dei box convertitori per consentire l’accesso e la manutenzione in sicurezza</t>
  </si>
  <si>
    <t>Funzione per alimentare gli HVAC senza superare i limiti di corrente</t>
  </si>
  <si>
    <t>BRK_Service_Brake_Direct_Electro-Pneumatic_Brake</t>
  </si>
  <si>
    <t>BRK_Service_Brake_Indirect_Brake</t>
  </si>
  <si>
    <t>BRK_Holding_Brake</t>
  </si>
  <si>
    <t>BRK_Urgency_Brake_(Optional)</t>
  </si>
  <si>
    <t>BRK_Emergency_Brake</t>
  </si>
  <si>
    <t>BRK_Parking_Brake</t>
  </si>
  <si>
    <t>BRK_Wheel_Slide_Protection</t>
  </si>
  <si>
    <t>BRK_Detection_of_Non-Rotating_Axle_(DNRA)</t>
  </si>
  <si>
    <t>BRK_Passenger_Emergency_Brake</t>
  </si>
  <si>
    <t>BRK_Sanding</t>
  </si>
  <si>
    <t>BRK_Brake_Test</t>
  </si>
  <si>
    <t>BRK_Towing</t>
  </si>
  <si>
    <t>BRK_Fire_Safety_&amp;_Running_Capability</t>
  </si>
  <si>
    <t>BRK_Magnetic_Track_Brake_Optional</t>
  </si>
  <si>
    <t>Bypass della protezione LIM 50 Hz</t>
  </si>
  <si>
    <t>BOG_Flange_Lubrication</t>
  </si>
  <si>
    <t>BOG_Hotbox_Detection</t>
  </si>
  <si>
    <t>BOG_Instability_Monitoring</t>
  </si>
  <si>
    <t>BOG_Active_Lateral_Suspension_(ALS)</t>
  </si>
  <si>
    <t>BOG_Diagnostics_&amp;_CBM</t>
  </si>
  <si>
    <t>Controllo da parte della PCU della velocità delle ventole del circuito di raffreddamento ad olio</t>
  </si>
  <si>
    <t>Controllo da parte della PCU della temperatura del trasformatore e degli induttori linea</t>
  </si>
  <si>
    <t>Sistema di lettura dell'evergia assorbita dal treno e invio a terra dei dati</t>
  </si>
  <si>
    <t>FA010031914</t>
  </si>
  <si>
    <t>FPD_EMS</t>
  </si>
  <si>
    <t>/ ETR1000 I-F</t>
  </si>
  <si>
    <t>/ Manualistica Corridoio I/F</t>
  </si>
  <si>
    <t>esiste collana completa Giugno 2022 in</t>
  </si>
  <si>
    <t>Telediagnostica</t>
  </si>
  <si>
    <t>AD_Regole</t>
  </si>
  <si>
    <t>DOC Type</t>
  </si>
  <si>
    <t>CONFIG</t>
  </si>
  <si>
    <t>(TBD) Destinazione cartella link sulla base del DOC Type</t>
  </si>
  <si>
    <t>AD_Flotte</t>
  </si>
  <si>
    <t>File type</t>
  </si>
  <si>
    <t>xlsx</t>
  </si>
  <si>
    <t>EMS ICD diagnostic event</t>
  </si>
  <si>
    <t>Event_EMS</t>
  </si>
  <si>
    <t>EC130034365</t>
  </si>
  <si>
    <t>pdf</t>
  </si>
  <si>
    <t>Energy</t>
  </si>
  <si>
    <t>FRS_EMS</t>
  </si>
  <si>
    <t>EC010029076</t>
  </si>
  <si>
    <t>MR_CPR</t>
  </si>
  <si>
    <t>GENERAL</t>
  </si>
  <si>
    <t>EC010019484</t>
  </si>
  <si>
    <t>3ECP410429-0001</t>
  </si>
  <si>
    <t>3EGH489013-3044</t>
  </si>
  <si>
    <t>3EGH489013-4928</t>
  </si>
  <si>
    <t>3EST000224-9984</t>
  </si>
  <si>
    <t>NOTA</t>
  </si>
  <si>
    <t>3EST000225-5108</t>
  </si>
  <si>
    <t>3EST000225-7435</t>
  </si>
  <si>
    <t>3EST000225-7431</t>
  </si>
  <si>
    <t>gli annex sono excel?</t>
  </si>
  <si>
    <t>3EST000225-7437</t>
  </si>
  <si>
    <t>3EST000225-7440</t>
  </si>
  <si>
    <t>3EST000225-7436</t>
  </si>
  <si>
    <t>3EST000225-7439</t>
  </si>
  <si>
    <t>3EST000225-7438</t>
  </si>
  <si>
    <t>Progetto concettuale</t>
  </si>
  <si>
    <t>PRG_Teledia</t>
  </si>
  <si>
    <t>3ECP409852-0001</t>
  </si>
  <si>
    <t>ICD_TCMS</t>
  </si>
  <si>
    <t>ICD_PIS</t>
  </si>
  <si>
    <t>ICD_GTW</t>
  </si>
  <si>
    <t>ICD_Propulsion</t>
  </si>
  <si>
    <t>ICD_Panto</t>
  </si>
  <si>
    <t>ICD_Brake</t>
  </si>
  <si>
    <t>ICD_ATP</t>
  </si>
  <si>
    <t>ICD_HVSP</t>
  </si>
  <si>
    <t>ICD_Toilet</t>
  </si>
  <si>
    <t>FRS_FPS</t>
  </si>
  <si>
    <t>ICD_FPS</t>
  </si>
  <si>
    <t>ICD_Doors</t>
  </si>
  <si>
    <t>ICD_HVAC</t>
  </si>
  <si>
    <t>ICD_Battery charger</t>
  </si>
  <si>
    <t>ICD_EMS</t>
  </si>
  <si>
    <t>FPD_FPS</t>
  </si>
  <si>
    <t>3EGH489007-6600</t>
  </si>
  <si>
    <t>H</t>
  </si>
  <si>
    <t>3EST000226-1993</t>
  </si>
  <si>
    <t>3EST000226-1995</t>
  </si>
  <si>
    <t>3EST000226-1994</t>
  </si>
  <si>
    <t>3EST000226-1992</t>
  </si>
  <si>
    <t>SGF Base/ Documentazione Tecnica</t>
  </si>
  <si>
    <t>Equipaggiamento elettrico ed elettropneumatico</t>
  </si>
  <si>
    <t>SSB ERTMS/SCMT (ELO) - MANUALE GENERICO USO E
MANUTENZIONE (B60X.0100506.G00.00IT rev.02.00)</t>
  </si>
  <si>
    <t>Architettura di Controllo Treno ed Interfacce di Comando</t>
  </si>
  <si>
    <t>Brake System</t>
  </si>
  <si>
    <t>DF_TCMS</t>
  </si>
  <si>
    <t>DF_Brake</t>
  </si>
  <si>
    <t>DF_Air Supply</t>
  </si>
  <si>
    <t>Product Description</t>
  </si>
  <si>
    <t>PDES_Auxiliary module</t>
  </si>
  <si>
    <t>PDES_Chopper module</t>
  </si>
  <si>
    <t>PDES_Line Module</t>
  </si>
  <si>
    <t>PDES_Motor Module</t>
  </si>
  <si>
    <t>Auxiliary converter module, CM-C S 15/10 WA V02</t>
  </si>
  <si>
    <t>Chopper converter module, CM-C L 30/07 WC V01</t>
  </si>
  <si>
    <t>Line converter module, CM-C M 15/15 WL V06</t>
  </si>
  <si>
    <t>Motor converter module, CM-C S 15/10 WM V02</t>
  </si>
  <si>
    <t>Manuale per il Personale di Bordo addetto alla Scorta</t>
  </si>
  <si>
    <t>Propulsion and Auxiliary Supply</t>
  </si>
  <si>
    <t>TRD_Propulsion and Auxiliary</t>
  </si>
  <si>
    <t>3EGH489007-6593</t>
  </si>
  <si>
    <t>Pantograph</t>
  </si>
  <si>
    <t>TRD_Pantograph</t>
  </si>
  <si>
    <t>3EKD000000-0417</t>
  </si>
  <si>
    <t>Line Circuit Breaker with Earthing
Switch</t>
  </si>
  <si>
    <t>TRD_LCB</t>
  </si>
  <si>
    <t>3EKD000000-0419</t>
  </si>
  <si>
    <t>Roof Line Disconnector</t>
  </si>
  <si>
    <t>TRD_Roof Line Disconnector</t>
  </si>
  <si>
    <t>3EKD000000-0416</t>
  </si>
  <si>
    <t>Surge Arrester</t>
  </si>
  <si>
    <t>TRD_Surge Arrester</t>
  </si>
  <si>
    <t>3EKD000000-0427</t>
  </si>
  <si>
    <t>DC System Disconnector</t>
  </si>
  <si>
    <t>TRD_DC System Disconnector</t>
  </si>
  <si>
    <t>3EKD000000-0428</t>
  </si>
  <si>
    <t>DC System Isolation Switch</t>
  </si>
  <si>
    <t>TRD_DC System Isolation Switch</t>
  </si>
  <si>
    <t>3EKD000000-0460</t>
  </si>
  <si>
    <t>AC Charging resistor</t>
  </si>
  <si>
    <t>TRD_AC Charging resistor</t>
  </si>
  <si>
    <t>3EST000225-0599</t>
  </si>
  <si>
    <t>DF_High Voltage</t>
  </si>
  <si>
    <t>High Voltage System</t>
  </si>
  <si>
    <t>3EST000225-5674</t>
  </si>
  <si>
    <t>ISS/LIM</t>
  </si>
  <si>
    <t>TRD_ISS/LIM</t>
  </si>
  <si>
    <t>3EST000225-7144</t>
  </si>
  <si>
    <t>Main transformer</t>
  </si>
  <si>
    <t>TRD_Main transformer</t>
  </si>
  <si>
    <t>Isolamento di sezioni HV guaste per mantenere disponibile parte della trazione</t>
  </si>
  <si>
    <t>Apertura LCB su comando o per intervento protezione</t>
  </si>
  <si>
    <t>3EST000225-1983</t>
  </si>
  <si>
    <t>Requirements Document</t>
  </si>
  <si>
    <t>SS_Propulsion and Auxiliary</t>
  </si>
  <si>
    <t>Sistema di controllo propulsione</t>
  </si>
  <si>
    <t>ST_Propulsion</t>
  </si>
  <si>
    <t>3ECP507757-0001</t>
  </si>
  <si>
    <t>Functional Doc &amp; Specification</t>
  </si>
  <si>
    <t>3EST000225-0120</t>
  </si>
  <si>
    <t>Converter interface</t>
  </si>
  <si>
    <t>ICD_Converter</t>
  </si>
  <si>
    <t>ETR1000 HW Functionality Overview</t>
  </si>
  <si>
    <t>HWFO_ETR1000</t>
  </si>
  <si>
    <t>3EST000225-6040</t>
  </si>
  <si>
    <t>3EST000225-5113</t>
  </si>
  <si>
    <t>SDS_High Voltage</t>
  </si>
  <si>
    <t>3EST000225-5115</t>
  </si>
  <si>
    <t>SDS_Propulsion</t>
  </si>
  <si>
    <t>3EST000225-5117</t>
  </si>
  <si>
    <t>Descrizione SW Alta Tensione</t>
  </si>
  <si>
    <t>Descrizione SW Propulsione</t>
  </si>
  <si>
    <t>3EST000225-5120</t>
  </si>
  <si>
    <t>Descrizione SW DCU/L</t>
  </si>
  <si>
    <t>Descrizione SW DCU/C</t>
  </si>
  <si>
    <t>SDS_DCU/L</t>
  </si>
  <si>
    <t>SDS_DCU/C</t>
  </si>
  <si>
    <t>3EST000225-5132</t>
  </si>
  <si>
    <t>Descrizione SW LIM</t>
  </si>
  <si>
    <t>SDS_LIM</t>
  </si>
  <si>
    <t>3EST000225-5119</t>
  </si>
  <si>
    <t>Descrizione SW ACM</t>
  </si>
  <si>
    <t>SDS_ACM</t>
  </si>
  <si>
    <t>ICD Pantografo</t>
  </si>
  <si>
    <t>ICD Pantografo - Annex</t>
  </si>
  <si>
    <t>Valutare se inserire colonna File Type in Conf Sheet per poter referenziare anche documenti diversi da pdf (es. file excel degli annex ICD)
In tal caso modificare la costruzione del link in Funzioni</t>
  </si>
  <si>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</si>
  <si>
    <t>Note</t>
  </si>
  <si>
    <t>da ricercare all'interno dei documenti, una volta collezionati tutti i doc disponibili sulla trazione</t>
  </si>
  <si>
    <t>in corso sui vari SGF</t>
  </si>
  <si>
    <t>eseguito manualmente, TBD legame automatico (vedi pt sotto)</t>
  </si>
  <si>
    <t>Eseguita prova su FRS_Line_Voltage con compilazione automatica colonna B di Funzioni. Riutilizzabile per prossime FUNC ID</t>
  </si>
  <si>
    <t>Valutare se necessario</t>
  </si>
  <si>
    <t>Alcuni doc già recuperati, da definire criterio di archiviazione</t>
  </si>
  <si>
    <t>la diversa tipologia di doc a disposizione potrebbe generare problemi nel referenziare i doc tramite link. Agganciare i link ad una colonna che indica il tipo di documento bypassa il problema del formato</t>
  </si>
  <si>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</si>
  <si>
    <t>ICD_Brake_Annex</t>
  </si>
  <si>
    <t>3EST000225-7431_Annex</t>
  </si>
  <si>
    <t>3EST000225-4855</t>
  </si>
  <si>
    <t>TCMS Tech Description</t>
  </si>
  <si>
    <t>PDES_TCMS</t>
  </si>
  <si>
    <t>3ECP413973-0001</t>
  </si>
  <si>
    <t>F</t>
  </si>
  <si>
    <t>Brake Tech Description</t>
  </si>
  <si>
    <t>PDES_Brake</t>
  </si>
  <si>
    <t>F00</t>
  </si>
  <si>
    <t>FTIT10002-I01TDE</t>
  </si>
  <si>
    <t>3EST000225-5111</t>
  </si>
  <si>
    <t>Descrizione SW PCU</t>
  </si>
  <si>
    <t>SDS_PCU</t>
  </si>
  <si>
    <t>3EST000225-5118</t>
  </si>
  <si>
    <t>Descrizione SW DCU/M</t>
  </si>
  <si>
    <t>SDS_DCU/M</t>
  </si>
  <si>
    <t>Brake SW Req</t>
  </si>
  <si>
    <t>SRS_Brake</t>
  </si>
  <si>
    <t>3EST000227-7526</t>
  </si>
  <si>
    <t>Converter unit TC1120</t>
  </si>
  <si>
    <t>PDES_Converter</t>
  </si>
  <si>
    <t>3EST000228-5653</t>
  </si>
  <si>
    <t>3EGH489008-2879</t>
  </si>
  <si>
    <t>Traction motor Cooling</t>
  </si>
  <si>
    <t>TRD_Traction motor Cooling</t>
  </si>
  <si>
    <t>Alta</t>
  </si>
  <si>
    <t>Bassa</t>
  </si>
  <si>
    <t>Media</t>
  </si>
  <si>
    <t>Pensare a come esportare il file in formato di HTML per poter essere navigabile via broswer</t>
  </si>
  <si>
    <t>Potrebbe essere utile in caso sia necessario reperire informazioni quando siamo a bordo treno anche da Telefono</t>
  </si>
  <si>
    <t>EMS Schemi Visio</t>
  </si>
  <si>
    <t>EMS Func Req</t>
  </si>
  <si>
    <t>FP010036055</t>
  </si>
  <si>
    <t>3.32</t>
  </si>
  <si>
    <t>Diagnostic Event List</t>
  </si>
  <si>
    <t>FP020046917</t>
  </si>
  <si>
    <t>Teledia Signal List</t>
  </si>
  <si>
    <t>00.12</t>
  </si>
  <si>
    <t>PropulsionDiagnosticDataset</t>
  </si>
  <si>
    <t>Event_VZI-6</t>
  </si>
  <si>
    <t>Signal_VZI-6</t>
  </si>
  <si>
    <t>Dataset_Propulsion</t>
  </si>
  <si>
    <t>Event Report</t>
  </si>
  <si>
    <t>Event_Report</t>
  </si>
  <si>
    <t>EventReport_VZI_3.9.0.3</t>
  </si>
  <si>
    <t>EventReport_VZI14_BL3_5.1.0.3 2</t>
  </si>
  <si>
    <t>xlsm</t>
  </si>
  <si>
    <t>VZI_Base</t>
  </si>
  <si>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</si>
  <si>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VZI_New14</t>
  </si>
  <si>
    <t>VZI-6_R1</t>
  </si>
  <si>
    <t>VZI-4_R1</t>
  </si>
  <si>
    <t>EventReport VZIF 11.4.0</t>
  </si>
  <si>
    <t>EventReport_VZS 21.2.0.3</t>
  </si>
  <si>
    <t>Sviluppo regole (Algoritmi Diagnostici)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</si>
</sst>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b/>
      <u/>
      <sz val="11"/>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8"/>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9"/>
      <color theme="1"/>
      <name val="Calibri"/>
      <family val="2"/>
    </font>
    <font>
      <sz val="9"/>
      <color indexed="81"/>
      <name val="Tahoma"/>
      <family val="2"/>
    </font>
    <font>
      <b/>
      <sz val="9"/>
      <color indexed="81"/>
      <name val="Tahoma"/>
      <family val="2"/>
    </font>
    <font>
      <b/>
      <sz val="11"/>
      <color theme="0"/>
      <name val="Calibri"/>
      <family val="2"/>
      <scheme val="minor"/>
    </font>
    <font>
      <sz val="11"/>
      <color theme="7" tint="-0.249977111117893"/>
      <name val="Calibri"/>
      <family val="2"/>
      <scheme val="minor"/>
    </font>
    <font>
      <b/>
      <strike/>
      <sz val="11"/>
      <color theme="1"/>
      <name val="Calibri"/>
      <family val="2"/>
      <scheme val="minor"/>
    </font>
    <font>
      <b/>
      <strike/>
      <sz val="11"/>
      <color rgb="FFFF0000"/>
      <name val="Calibri"/>
      <family val="2"/>
      <scheme val="minor"/>
    </font>
    <font>
      <strike/>
      <sz val="11"/>
      <color theme="1"/>
      <name val="Calibri"/>
      <family val="2"/>
      <scheme val="minor"/>
    </font>
    <font>
      <strike/>
      <u/>
      <sz val="11"/>
      <color theme="10"/>
      <name val="Calibri"/>
      <family val="2"/>
      <scheme val="minor"/>
    </font>
    <font>
      <strike/>
      <sz val="11"/>
      <name val="Calibri"/>
      <family val="2"/>
      <scheme val="minor"/>
    </font>
    <font>
      <strike/>
      <u/>
      <sz val="11"/>
      <name val="Calibri"/>
      <family val="2"/>
      <scheme val="minor"/>
    </font>
    <font>
      <b/>
      <strike/>
      <u/>
      <sz val="11"/>
      <color theme="10"/>
      <name val="Calibri"/>
      <family val="2"/>
      <scheme val="minor"/>
    </font>
    <font>
      <sz val="9"/>
      <color indexed="81"/>
      <name val="Tahoma"/>
      <charset val="1"/>
    </font>
    <font>
      <b/>
      <sz val="9"/>
      <color indexed="81"/>
      <name val="Tahoma"/>
      <charset val="1"/>
    </font>
    <font>
      <i/>
      <sz val="11"/>
      <color rgb="FFFF0000"/>
      <name val="Calibri"/>
      <family val="2"/>
      <scheme val="minor"/>
    </font>
  </fonts>
  <fills count="22">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5"/>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5" tint="0.79998168889431442"/>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auto="1"/>
      </top>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theme="0" tint="-0.34998626667073579"/>
      </right>
      <top style="medium">
        <color indexed="64"/>
      </top>
      <bottom style="thin">
        <color indexed="64"/>
      </bottom>
      <diagonal/>
    </border>
    <border>
      <left style="thin">
        <color theme="0" tint="-0.34998626667073579"/>
      </left>
      <right style="thin">
        <color theme="0" tint="-0.34998626667073579"/>
      </right>
      <top style="medium">
        <color indexed="64"/>
      </top>
      <bottom style="thin">
        <color indexed="64"/>
      </bottom>
      <diagonal/>
    </border>
    <border>
      <left style="thin">
        <color theme="0" tint="-0.34998626667073579"/>
      </left>
      <right style="thin">
        <color indexed="64"/>
      </right>
      <top style="medium">
        <color indexed="64"/>
      </top>
      <bottom style="thin">
        <color indexed="64"/>
      </bottom>
      <diagonal/>
    </border>
    <border>
      <left style="thin">
        <color indexed="64"/>
      </left>
      <right style="thin">
        <color theme="0" tint="-0.34998626667073579"/>
      </right>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indexed="64"/>
      </right>
      <top style="thin">
        <color auto="1"/>
      </top>
      <bottom style="thin">
        <color auto="1"/>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style="thin">
        <color indexed="64"/>
      </right>
      <top style="thin">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621">
    <xf numFmtId="0" fontId="0" fillId="0" borderId="0" xfId="0"/>
    <xf numFmtId="0" fontId="0" fillId="0" borderId="1" xfId="0" applyBorder="1"/>
    <xf numFmtId="0" fontId="0" fillId="0" borderId="2" xfId="0" applyBorder="1"/>
    <xf numFmtId="0" fontId="0" fillId="0" borderId="3" xfId="0" applyBorder="1"/>
    <xf numFmtId="0" fontId="0" fillId="0" borderId="2" xfId="0" applyBorder="1" applyAlignment="1">
      <alignment wrapText="1"/>
    </xf>
    <xf numFmtId="0" fontId="0" fillId="0" borderId="5" xfId="0" applyBorder="1"/>
    <xf numFmtId="0" fontId="0" fillId="0" borderId="6" xfId="0"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4" fillId="0" borderId="4" xfId="0" applyFont="1" applyBorder="1"/>
    <xf numFmtId="0" fontId="0" fillId="0" borderId="18" xfId="0" applyBorder="1" applyAlignment="1">
      <alignment wrapText="1"/>
    </xf>
    <xf numFmtId="0" fontId="4" fillId="3" borderId="4" xfId="0" applyFont="1" applyFill="1" applyBorder="1"/>
    <xf numFmtId="0" fontId="0" fillId="3" borderId="0" xfId="0" applyFill="1" applyAlignment="1">
      <alignment horizontal="center" vertical="center" wrapText="1"/>
    </xf>
    <xf numFmtId="0" fontId="0" fillId="3" borderId="18" xfId="0" applyFill="1" applyBorder="1" applyAlignment="1">
      <alignment wrapText="1"/>
    </xf>
    <xf numFmtId="0" fontId="0" fillId="0" borderId="4" xfId="0" applyBorder="1"/>
    <xf numFmtId="0" fontId="6" fillId="0" borderId="18" xfId="0" applyFont="1" applyBorder="1" applyAlignment="1">
      <alignment wrapText="1"/>
    </xf>
    <xf numFmtId="0" fontId="4" fillId="2" borderId="4" xfId="0" applyFont="1" applyFill="1" applyBorder="1"/>
    <xf numFmtId="0" fontId="0" fillId="2" borderId="4" xfId="0" applyFill="1" applyBorder="1"/>
    <xf numFmtId="0" fontId="0" fillId="2" borderId="18" xfId="0" applyFill="1" applyBorder="1" applyAlignment="1">
      <alignment wrapText="1"/>
    </xf>
    <xf numFmtId="0" fontId="3" fillId="0" borderId="20" xfId="0" applyFont="1" applyBorder="1" applyAlignment="1">
      <alignment horizontal="center" vertical="center"/>
    </xf>
    <xf numFmtId="0" fontId="4" fillId="0" borderId="1" xfId="0" applyFont="1" applyBorder="1"/>
    <xf numFmtId="3" fontId="0" fillId="0" borderId="1" xfId="0" applyNumberFormat="1" applyBorder="1" applyAlignment="1">
      <alignment horizontal="left"/>
    </xf>
    <xf numFmtId="0" fontId="0" fillId="0" borderId="21" xfId="0" applyBorder="1"/>
    <xf numFmtId="0" fontId="4" fillId="3" borderId="1" xfId="0" applyFont="1" applyFill="1" applyBorder="1"/>
    <xf numFmtId="3" fontId="0" fillId="3" borderId="1" xfId="0" applyNumberFormat="1" applyFill="1" applyBorder="1" applyAlignment="1">
      <alignment horizontal="left"/>
    </xf>
    <xf numFmtId="0" fontId="0" fillId="3" borderId="21" xfId="0" applyFill="1" applyBorder="1"/>
    <xf numFmtId="3" fontId="0" fillId="0" borderId="1" xfId="0" applyNumberFormat="1" applyBorder="1" applyAlignment="1">
      <alignment horizontal="center"/>
    </xf>
    <xf numFmtId="0" fontId="4" fillId="2" borderId="1" xfId="0" applyFont="1" applyFill="1" applyBorder="1"/>
    <xf numFmtId="3" fontId="0" fillId="2" borderId="1" xfId="0" applyNumberFormat="1" applyFill="1" applyBorder="1" applyAlignment="1">
      <alignment horizontal="left"/>
    </xf>
    <xf numFmtId="0" fontId="0" fillId="2" borderId="21" xfId="0" applyFill="1" applyBorder="1"/>
    <xf numFmtId="0" fontId="0" fillId="3" borderId="1" xfId="0" applyFill="1" applyBorder="1"/>
    <xf numFmtId="0" fontId="0" fillId="0" borderId="1" xfId="0" applyBorder="1" applyAlignment="1">
      <alignment horizontal="center"/>
    </xf>
    <xf numFmtId="0" fontId="0" fillId="2" borderId="1" xfId="0" applyFill="1" applyBorder="1"/>
    <xf numFmtId="0" fontId="0" fillId="0" borderId="1" xfId="0" applyBorder="1" applyAlignment="1">
      <alignment wrapText="1"/>
    </xf>
    <xf numFmtId="0" fontId="0" fillId="3" borderId="1" xfId="0" applyFill="1" applyBorder="1" applyAlignment="1">
      <alignment wrapText="1"/>
    </xf>
    <xf numFmtId="0" fontId="0" fillId="0" borderId="1" xfId="0" applyBorder="1" applyAlignment="1">
      <alignment horizontal="center" wrapText="1"/>
    </xf>
    <xf numFmtId="0" fontId="0" fillId="2" borderId="1" xfId="0" applyFill="1" applyBorder="1" applyAlignment="1">
      <alignment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4" fillId="0" borderId="26" xfId="0" applyFont="1" applyBorder="1"/>
    <xf numFmtId="0" fontId="0" fillId="0" borderId="26" xfId="0" applyBorder="1"/>
    <xf numFmtId="0" fontId="0" fillId="0" borderId="27" xfId="0" applyBorder="1"/>
    <xf numFmtId="0" fontId="4" fillId="3" borderId="26" xfId="0" applyFont="1" applyFill="1" applyBorder="1"/>
    <xf numFmtId="0" fontId="0" fillId="3" borderId="26" xfId="0" applyFill="1" applyBorder="1"/>
    <xf numFmtId="0" fontId="0" fillId="3" borderId="27" xfId="0" applyFill="1" applyBorder="1"/>
    <xf numFmtId="0" fontId="4" fillId="2" borderId="26" xfId="0" applyFont="1" applyFill="1" applyBorder="1"/>
    <xf numFmtId="0" fontId="0" fillId="2" borderId="26" xfId="0" applyFill="1" applyBorder="1"/>
    <xf numFmtId="0" fontId="0" fillId="2" borderId="27" xfId="0" applyFill="1" applyBorder="1"/>
    <xf numFmtId="0" fontId="0" fillId="0" borderId="31" xfId="0" applyBorder="1"/>
    <xf numFmtId="0" fontId="0" fillId="0" borderId="31" xfId="0" applyBorder="1" applyAlignment="1">
      <alignment horizontal="center"/>
    </xf>
    <xf numFmtId="0" fontId="0" fillId="0" borderId="32" xfId="0" applyBorder="1"/>
    <xf numFmtId="0" fontId="0" fillId="2" borderId="31" xfId="0" applyFill="1" applyBorder="1"/>
    <xf numFmtId="0" fontId="0" fillId="2" borderId="32" xfId="0" applyFill="1" applyBorder="1"/>
    <xf numFmtId="0" fontId="3" fillId="0" borderId="34" xfId="0" applyFont="1" applyBorder="1" applyAlignment="1">
      <alignment horizontal="center" vertical="center"/>
    </xf>
    <xf numFmtId="0" fontId="5" fillId="0" borderId="1" xfId="0" applyFont="1" applyBorder="1" applyAlignment="1">
      <alignment horizontal="center"/>
    </xf>
    <xf numFmtId="0" fontId="7" fillId="0" borderId="21" xfId="0" applyFont="1" applyBorder="1"/>
    <xf numFmtId="0" fontId="9" fillId="0" borderId="21" xfId="0" applyFont="1" applyBorder="1"/>
    <xf numFmtId="0" fontId="0" fillId="0" borderId="4" xfId="0" applyBorder="1" applyAlignment="1">
      <alignment horizontal="center"/>
    </xf>
    <xf numFmtId="0" fontId="10" fillId="0" borderId="0" xfId="0" applyFont="1" applyAlignment="1">
      <alignment horizontal="center"/>
    </xf>
    <xf numFmtId="0" fontId="11" fillId="0" borderId="1" xfId="0" applyFont="1" applyBorder="1" applyAlignment="1">
      <alignment horizontal="center" vertical="center"/>
    </xf>
    <xf numFmtId="0" fontId="0" fillId="2" borderId="1" xfId="0" applyFill="1" applyBorder="1" applyAlignment="1">
      <alignment horizontal="center"/>
    </xf>
    <xf numFmtId="0" fontId="12" fillId="0" borderId="1" xfId="0" applyFont="1" applyBorder="1" applyAlignment="1">
      <alignment horizontal="center"/>
    </xf>
    <xf numFmtId="0" fontId="3" fillId="0" borderId="6" xfId="0" applyFont="1" applyBorder="1" applyAlignment="1">
      <alignment horizontal="center" vertical="center"/>
    </xf>
    <xf numFmtId="0" fontId="0" fillId="0" borderId="30" xfId="0" applyBorder="1"/>
    <xf numFmtId="0" fontId="4" fillId="0" borderId="29" xfId="0" applyFont="1" applyBorder="1"/>
    <xf numFmtId="0" fontId="0" fillId="0" borderId="38" xfId="0" applyBorder="1"/>
    <xf numFmtId="0" fontId="0" fillId="0" borderId="32" xfId="0" applyBorder="1" applyAlignment="1">
      <alignment wrapText="1"/>
    </xf>
    <xf numFmtId="0" fontId="0" fillId="0" borderId="35" xfId="0" applyBorder="1"/>
    <xf numFmtId="0" fontId="4" fillId="0" borderId="20" xfId="0" applyFont="1" applyBorder="1"/>
    <xf numFmtId="0" fontId="4" fillId="0" borderId="20" xfId="0" applyFont="1" applyBorder="1" applyAlignment="1">
      <alignment vertical="center"/>
    </xf>
    <xf numFmtId="0" fontId="5" fillId="0" borderId="1" xfId="0" applyFont="1" applyBorder="1" applyAlignment="1">
      <alignment vertical="center" wrapText="1"/>
    </xf>
    <xf numFmtId="0" fontId="9" fillId="0" borderId="2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9" fillId="0" borderId="21" xfId="0" applyFont="1" applyBorder="1" applyAlignment="1">
      <alignment vertical="center" wrapText="1"/>
    </xf>
    <xf numFmtId="0" fontId="5" fillId="0" borderId="1" xfId="0" applyFont="1" applyBorder="1"/>
    <xf numFmtId="0" fontId="0" fillId="0" borderId="23" xfId="0" applyBorder="1"/>
    <xf numFmtId="0" fontId="4" fillId="0" borderId="45" xfId="0" applyFont="1" applyBorder="1"/>
    <xf numFmtId="0" fontId="0" fillId="0" borderId="46" xfId="0" applyBorder="1"/>
    <xf numFmtId="0" fontId="0" fillId="0" borderId="43" xfId="0" applyBorder="1"/>
    <xf numFmtId="0" fontId="5" fillId="0" borderId="46" xfId="0" applyFont="1" applyBorder="1"/>
    <xf numFmtId="0" fontId="0" fillId="0" borderId="49" xfId="0" applyBorder="1"/>
    <xf numFmtId="0" fontId="4" fillId="0" borderId="31" xfId="0" applyFont="1" applyBorder="1"/>
    <xf numFmtId="0" fontId="0" fillId="0" borderId="31" xfId="0" applyBorder="1" applyAlignment="1">
      <alignment wrapText="1"/>
    </xf>
    <xf numFmtId="0" fontId="6" fillId="0" borderId="1" xfId="0" applyFont="1" applyBorder="1"/>
    <xf numFmtId="0" fontId="4" fillId="0" borderId="46" xfId="0" applyFont="1" applyBorder="1"/>
    <xf numFmtId="0" fontId="0" fillId="0" borderId="53" xfId="0" applyBorder="1"/>
    <xf numFmtId="0" fontId="3" fillId="0" borderId="2" xfId="0" applyFont="1" applyBorder="1" applyAlignment="1">
      <alignment horizontal="center" vertical="center" wrapText="1"/>
    </xf>
    <xf numFmtId="0" fontId="14" fillId="0" borderId="2" xfId="0" applyFont="1" applyBorder="1" applyAlignment="1">
      <alignment horizontal="center" vertical="center"/>
    </xf>
    <xf numFmtId="0" fontId="15" fillId="0" borderId="15"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65" xfId="0" applyBorder="1" applyAlignment="1">
      <alignment horizontal="center" vertical="center" wrapText="1"/>
    </xf>
    <xf numFmtId="0" fontId="0" fillId="0" borderId="4" xfId="0" applyBorder="1" applyAlignment="1">
      <alignment horizontal="center" vertical="center" wrapText="1"/>
    </xf>
    <xf numFmtId="0" fontId="0" fillId="0" borderId="39" xfId="0" applyBorder="1" applyAlignment="1">
      <alignment horizontal="center" vertical="center" wrapText="1"/>
    </xf>
    <xf numFmtId="0" fontId="0" fillId="0" borderId="66" xfId="0" applyBorder="1" applyAlignment="1">
      <alignment horizontal="center" vertical="center" wrapText="1"/>
    </xf>
    <xf numFmtId="0" fontId="0" fillId="0" borderId="64" xfId="0" applyBorder="1" applyAlignment="1">
      <alignment horizontal="center" vertical="center" wrapText="1"/>
    </xf>
    <xf numFmtId="0" fontId="0" fillId="0" borderId="7" xfId="0" applyBorder="1" applyAlignment="1">
      <alignment horizontal="center" vertical="center" wrapText="1"/>
    </xf>
    <xf numFmtId="0" fontId="0" fillId="0" borderId="16" xfId="0" applyBorder="1" applyAlignment="1">
      <alignment horizontal="center" vertical="center" wrapText="1"/>
    </xf>
    <xf numFmtId="0" fontId="0" fillId="6" borderId="0" xfId="0" applyFill="1" applyAlignment="1">
      <alignment horizontal="center" vertical="center" wrapText="1"/>
    </xf>
    <xf numFmtId="0" fontId="0" fillId="6" borderId="39" xfId="0" applyFill="1" applyBorder="1" applyAlignment="1">
      <alignment horizontal="center" vertical="center" wrapText="1"/>
    </xf>
    <xf numFmtId="0" fontId="0" fillId="6" borderId="66" xfId="0" applyFill="1" applyBorder="1" applyAlignment="1">
      <alignment horizontal="center" vertical="center" wrapText="1"/>
    </xf>
    <xf numFmtId="0" fontId="0" fillId="0" borderId="65" xfId="0" applyBorder="1" applyAlignment="1">
      <alignment horizontal="left" vertical="center" wrapText="1"/>
    </xf>
    <xf numFmtId="0" fontId="0" fillId="0" borderId="4" xfId="0" applyBorder="1" applyAlignment="1">
      <alignment horizontal="left" vertical="center" wrapText="1"/>
    </xf>
    <xf numFmtId="0" fontId="0" fillId="0" borderId="39" xfId="0" applyBorder="1" applyAlignment="1">
      <alignment horizontal="left" vertical="center" wrapText="1"/>
    </xf>
    <xf numFmtId="0" fontId="0" fillId="0" borderId="64" xfId="0" applyBorder="1" applyAlignment="1">
      <alignment horizontal="left" vertical="center" wrapText="1"/>
    </xf>
    <xf numFmtId="0" fontId="0" fillId="2" borderId="39" xfId="0" applyFill="1" applyBorder="1" applyAlignment="1">
      <alignment horizontal="center" vertical="center" wrapText="1"/>
    </xf>
    <xf numFmtId="0" fontId="0" fillId="2" borderId="66" xfId="0" applyFill="1" applyBorder="1" applyAlignment="1">
      <alignment horizontal="center" vertical="center" wrapText="1"/>
    </xf>
    <xf numFmtId="0" fontId="0" fillId="2" borderId="65" xfId="0" applyFill="1" applyBorder="1" applyAlignment="1">
      <alignment horizontal="center" vertical="center" wrapText="1"/>
    </xf>
    <xf numFmtId="0" fontId="18" fillId="0" borderId="39" xfId="0" applyFont="1" applyBorder="1" applyAlignment="1">
      <alignment horizontal="center" vertical="center" wrapText="1"/>
    </xf>
    <xf numFmtId="0" fontId="18" fillId="0" borderId="65" xfId="0" applyFont="1" applyBorder="1" applyAlignment="1">
      <alignment horizontal="center" vertical="center" wrapText="1"/>
    </xf>
    <xf numFmtId="0" fontId="18" fillId="6" borderId="39"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8" fillId="0" borderId="66"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65" xfId="0" applyFont="1" applyBorder="1" applyAlignment="1">
      <alignment horizontal="center" vertical="center" wrapText="1"/>
    </xf>
    <xf numFmtId="0" fontId="10" fillId="0" borderId="66" xfId="0" applyFont="1" applyBorder="1" applyAlignment="1">
      <alignment horizontal="center" vertical="center" wrapText="1"/>
    </xf>
    <xf numFmtId="0" fontId="10" fillId="0" borderId="65" xfId="0" applyFont="1" applyBorder="1" applyAlignment="1">
      <alignment horizontal="center" vertical="center" wrapText="1"/>
    </xf>
    <xf numFmtId="0" fontId="2" fillId="0" borderId="66" xfId="0" applyFont="1" applyBorder="1" applyAlignment="1">
      <alignment horizontal="center" vertical="center" wrapText="1"/>
    </xf>
    <xf numFmtId="0" fontId="2" fillId="0" borderId="6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0" xfId="0" applyFont="1" applyAlignment="1">
      <alignment horizontal="center" vertical="center" wrapText="1"/>
    </xf>
    <xf numFmtId="0" fontId="10" fillId="0" borderId="39" xfId="0" applyFont="1" applyBorder="1" applyAlignment="1">
      <alignment horizontal="center" vertical="center" wrapText="1"/>
    </xf>
    <xf numFmtId="0" fontId="10" fillId="0" borderId="0" xfId="0" applyFont="1" applyAlignment="1">
      <alignment horizontal="center" vertical="center" wrapText="1"/>
    </xf>
    <xf numFmtId="0" fontId="18" fillId="0" borderId="0" xfId="0" applyFont="1" applyAlignment="1">
      <alignment horizontal="center" vertical="center" wrapText="1"/>
    </xf>
    <xf numFmtId="0" fontId="0" fillId="0" borderId="0" xfId="0" quotePrefix="1" applyAlignment="1">
      <alignment horizontal="center" vertical="center" wrapText="1"/>
    </xf>
    <xf numFmtId="0" fontId="20" fillId="4" borderId="64"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18" fillId="0" borderId="0" xfId="0" applyFont="1" applyAlignment="1">
      <alignment vertical="center"/>
    </xf>
    <xf numFmtId="0" fontId="0" fillId="0" borderId="1" xfId="0" applyBorder="1" applyAlignment="1">
      <alignment vertical="center"/>
    </xf>
    <xf numFmtId="0" fontId="0" fillId="4" borderId="1" xfId="0" applyFill="1" applyBorder="1" applyAlignment="1">
      <alignment horizontal="center" vertical="center"/>
    </xf>
    <xf numFmtId="0" fontId="0" fillId="0" borderId="1" xfId="0" quotePrefix="1" applyBorder="1" applyAlignment="1">
      <alignment vertical="center"/>
    </xf>
    <xf numFmtId="0" fontId="18" fillId="0" borderId="1" xfId="0" applyFont="1" applyBorder="1" applyAlignment="1">
      <alignment horizontal="center" vertical="center"/>
    </xf>
    <xf numFmtId="0" fontId="18" fillId="0" borderId="1" xfId="0" applyFont="1" applyBorder="1" applyAlignment="1">
      <alignment vertical="center" wrapText="1"/>
    </xf>
    <xf numFmtId="0" fontId="18" fillId="4" borderId="1" xfId="0" applyFont="1" applyFill="1" applyBorder="1" applyAlignment="1">
      <alignment horizontal="center" vertical="center"/>
    </xf>
    <xf numFmtId="0" fontId="18" fillId="0" borderId="1" xfId="0" applyFont="1" applyBorder="1" applyAlignment="1">
      <alignment vertical="center"/>
    </xf>
    <xf numFmtId="0" fontId="0" fillId="4" borderId="1" xfId="0" quotePrefix="1" applyFill="1" applyBorder="1" applyAlignment="1">
      <alignment horizontal="center" vertical="center"/>
    </xf>
    <xf numFmtId="0" fontId="0" fillId="0" borderId="4" xfId="0" applyBorder="1" applyAlignment="1">
      <alignment vertical="center"/>
    </xf>
    <xf numFmtId="0" fontId="0" fillId="4" borderId="4" xfId="0" quotePrefix="1" applyFill="1" applyBorder="1" applyAlignment="1">
      <alignment horizontal="center" vertical="center"/>
    </xf>
    <xf numFmtId="0" fontId="21" fillId="4" borderId="26" xfId="0" applyFont="1" applyFill="1" applyBorder="1" applyAlignment="1">
      <alignment horizontal="center" vertical="center" wrapText="1"/>
    </xf>
    <xf numFmtId="49" fontId="21" fillId="4" borderId="26" xfId="0" applyNumberFormat="1" applyFont="1" applyFill="1" applyBorder="1" applyAlignment="1">
      <alignment horizontal="center" vertical="center" wrapText="1"/>
    </xf>
    <xf numFmtId="0" fontId="0" fillId="0" borderId="66" xfId="0" applyBorder="1" applyAlignment="1">
      <alignment horizontal="left" vertical="center" wrapText="1"/>
    </xf>
    <xf numFmtId="0" fontId="3" fillId="6" borderId="65" xfId="0" applyFont="1" applyFill="1" applyBorder="1" applyAlignment="1">
      <alignment horizontal="left" vertical="center" wrapText="1"/>
    </xf>
    <xf numFmtId="0" fontId="3" fillId="6" borderId="46" xfId="0" applyFont="1" applyFill="1" applyBorder="1" applyAlignment="1">
      <alignment horizontal="left" vertical="center" wrapText="1"/>
    </xf>
    <xf numFmtId="0" fontId="20" fillId="6" borderId="63" xfId="0" applyFont="1" applyFill="1" applyBorder="1" applyAlignment="1">
      <alignment horizontal="center" vertical="center" wrapText="1"/>
    </xf>
    <xf numFmtId="0" fontId="20" fillId="6" borderId="49" xfId="0" applyFont="1" applyFill="1" applyBorder="1" applyAlignment="1">
      <alignment horizontal="center" vertical="center" wrapText="1"/>
    </xf>
    <xf numFmtId="0" fontId="20" fillId="6" borderId="45" xfId="0" applyFont="1" applyFill="1" applyBorder="1" applyAlignment="1">
      <alignment horizontal="center" vertical="center" wrapText="1"/>
    </xf>
    <xf numFmtId="0" fontId="10" fillId="0" borderId="0" xfId="0" quotePrefix="1" applyFont="1" applyAlignment="1">
      <alignment horizontal="center" vertical="center" wrapText="1"/>
    </xf>
    <xf numFmtId="0" fontId="18" fillId="0" borderId="0" xfId="0" quotePrefix="1" applyFont="1" applyAlignment="1">
      <alignment horizontal="center" vertical="center" wrapText="1"/>
    </xf>
    <xf numFmtId="0" fontId="18" fillId="6" borderId="0" xfId="0" applyFont="1" applyFill="1" applyAlignment="1">
      <alignment horizontal="center" vertical="center" wrapText="1"/>
    </xf>
    <xf numFmtId="0" fontId="18"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3" fillId="6" borderId="63" xfId="0" applyFont="1" applyFill="1" applyBorder="1" applyAlignment="1">
      <alignment horizontal="left" vertical="center" wrapText="1"/>
    </xf>
    <xf numFmtId="0" fontId="3" fillId="6" borderId="39" xfId="0" applyFont="1" applyFill="1" applyBorder="1" applyAlignment="1">
      <alignment horizontal="left" vertical="center" wrapText="1"/>
    </xf>
    <xf numFmtId="0" fontId="10" fillId="4" borderId="5" xfId="0" applyFont="1" applyFill="1" applyBorder="1" applyAlignment="1">
      <alignment horizontal="center" vertical="center" wrapText="1"/>
    </xf>
    <xf numFmtId="0" fontId="10" fillId="4" borderId="64"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67" xfId="0" applyFont="1" applyFill="1" applyBorder="1" applyAlignment="1">
      <alignment horizontal="center" vertical="center" wrapText="1"/>
    </xf>
    <xf numFmtId="0" fontId="0" fillId="9" borderId="39" xfId="0" applyFill="1" applyBorder="1" applyAlignment="1">
      <alignment horizontal="center" vertical="center" wrapText="1"/>
    </xf>
    <xf numFmtId="0" fontId="3" fillId="11" borderId="1" xfId="0" applyFont="1" applyFill="1" applyBorder="1" applyAlignment="1">
      <alignment horizontal="center" vertical="center"/>
    </xf>
    <xf numFmtId="0" fontId="25" fillId="12" borderId="1" xfId="0" applyFont="1" applyFill="1" applyBorder="1" applyAlignment="1">
      <alignment horizontal="center" vertical="center" wrapText="1"/>
    </xf>
    <xf numFmtId="0" fontId="0" fillId="8" borderId="1" xfId="0" applyFill="1" applyBorder="1" applyAlignment="1">
      <alignment horizontal="left" vertical="center" wrapText="1"/>
    </xf>
    <xf numFmtId="0" fontId="0" fillId="8" borderId="1" xfId="0" applyFill="1" applyBorder="1" applyAlignment="1">
      <alignment horizontal="center" vertical="center" wrapText="1"/>
    </xf>
    <xf numFmtId="0" fontId="18" fillId="0" borderId="1" xfId="0" applyFont="1" applyBorder="1" applyAlignment="1">
      <alignment horizontal="center" vertical="center" wrapText="1"/>
    </xf>
    <xf numFmtId="0" fontId="0" fillId="7" borderId="20" xfId="0" applyFill="1" applyBorder="1" applyAlignment="1">
      <alignment horizontal="left" vertical="center" wrapText="1"/>
    </xf>
    <xf numFmtId="0" fontId="0" fillId="7" borderId="20" xfId="0" applyFill="1" applyBorder="1" applyAlignment="1">
      <alignment horizontal="center" vertical="center" wrapText="1"/>
    </xf>
    <xf numFmtId="0" fontId="0" fillId="7" borderId="5" xfId="0" applyFill="1" applyBorder="1" applyAlignment="1">
      <alignment horizontal="center" vertical="center" wrapText="1"/>
    </xf>
    <xf numFmtId="0" fontId="18" fillId="7" borderId="1" xfId="0" applyFont="1" applyFill="1" applyBorder="1" applyAlignment="1">
      <alignment horizontal="left" vertical="center" wrapText="1"/>
    </xf>
    <xf numFmtId="0" fontId="0" fillId="9" borderId="66" xfId="0" applyFill="1" applyBorder="1" applyAlignment="1">
      <alignment horizontal="center" vertical="center" wrapText="1"/>
    </xf>
    <xf numFmtId="0" fontId="0" fillId="13" borderId="1" xfId="0" applyFill="1" applyBorder="1" applyAlignment="1">
      <alignment horizontal="center" vertical="center" wrapText="1"/>
    </xf>
    <xf numFmtId="0" fontId="0" fillId="0" borderId="66" xfId="0" quotePrefix="1" applyBorder="1" applyAlignment="1">
      <alignment horizontal="center" vertical="center" wrapText="1"/>
    </xf>
    <xf numFmtId="0" fontId="10" fillId="0" borderId="66" xfId="0" quotePrefix="1" applyFont="1" applyBorder="1" applyAlignment="1">
      <alignment horizontal="center" vertical="center" wrapText="1"/>
    </xf>
    <xf numFmtId="0" fontId="18" fillId="0" borderId="66" xfId="0" quotePrefix="1" applyFont="1" applyBorder="1" applyAlignment="1">
      <alignment horizontal="center" vertical="center" wrapText="1"/>
    </xf>
    <xf numFmtId="0" fontId="18" fillId="9" borderId="39" xfId="0" applyFont="1" applyFill="1" applyBorder="1" applyAlignment="1">
      <alignment horizontal="center" vertical="center" wrapText="1"/>
    </xf>
    <xf numFmtId="0" fontId="18" fillId="0" borderId="7" xfId="0" applyFont="1" applyBorder="1" applyAlignment="1">
      <alignment horizontal="center" vertical="center" wrapText="1"/>
    </xf>
    <xf numFmtId="0" fontId="16" fillId="0" borderId="0" xfId="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9" borderId="0" xfId="0" applyFill="1" applyAlignment="1">
      <alignment horizontal="center" vertical="center" wrapText="1"/>
    </xf>
    <xf numFmtId="0" fontId="0" fillId="7" borderId="46" xfId="0" applyFill="1" applyBorder="1" applyAlignment="1">
      <alignment horizontal="left" vertical="center" wrapText="1"/>
    </xf>
    <xf numFmtId="0" fontId="16" fillId="7" borderId="1" xfId="1" applyFill="1" applyBorder="1" applyAlignment="1">
      <alignment horizontal="center" vertical="center"/>
    </xf>
    <xf numFmtId="0" fontId="10" fillId="7" borderId="1" xfId="0" applyFont="1" applyFill="1" applyBorder="1" applyAlignment="1">
      <alignment horizontal="left" vertical="center" wrapText="1"/>
    </xf>
    <xf numFmtId="0" fontId="10" fillId="0" borderId="63" xfId="0" applyFont="1" applyBorder="1" applyAlignment="1">
      <alignment horizontal="left" vertical="center" wrapText="1"/>
    </xf>
    <xf numFmtId="0" fontId="10" fillId="0" borderId="49" xfId="0" applyFont="1" applyBorder="1" applyAlignment="1">
      <alignment horizontal="left" vertical="center" wrapText="1"/>
    </xf>
    <xf numFmtId="0" fontId="10" fillId="0" borderId="39" xfId="0" applyFont="1" applyBorder="1" applyAlignment="1">
      <alignment horizontal="left" vertical="center" wrapText="1"/>
    </xf>
    <xf numFmtId="0" fontId="10" fillId="0" borderId="66" xfId="0" applyFont="1" applyBorder="1" applyAlignment="1">
      <alignment horizontal="left" vertical="center" wrapText="1"/>
    </xf>
    <xf numFmtId="0" fontId="18" fillId="0" borderId="63" xfId="0" applyFont="1" applyBorder="1" applyAlignment="1">
      <alignment horizontal="left" vertical="center" wrapText="1"/>
    </xf>
    <xf numFmtId="0" fontId="18" fillId="0" borderId="49" xfId="0" applyFont="1" applyBorder="1" applyAlignment="1">
      <alignment horizontal="left" vertical="center" wrapText="1"/>
    </xf>
    <xf numFmtId="0" fontId="18" fillId="0" borderId="39" xfId="0" applyFont="1" applyBorder="1" applyAlignment="1">
      <alignment horizontal="left" vertical="center" wrapText="1"/>
    </xf>
    <xf numFmtId="0" fontId="18" fillId="0" borderId="66" xfId="0" applyFont="1" applyBorder="1" applyAlignment="1">
      <alignment horizontal="left" vertical="center" wrapText="1"/>
    </xf>
    <xf numFmtId="0" fontId="0" fillId="8" borderId="5" xfId="0" applyFill="1" applyBorder="1" applyAlignment="1">
      <alignment horizontal="left" vertical="center" wrapText="1"/>
    </xf>
    <xf numFmtId="0" fontId="0" fillId="0" borderId="5" xfId="0" applyBorder="1" applyAlignment="1">
      <alignment horizontal="left" vertical="center" wrapText="1"/>
    </xf>
    <xf numFmtId="0" fontId="0" fillId="7" borderId="1" xfId="0" applyFill="1" applyBorder="1" applyAlignment="1">
      <alignment horizontal="center" vertical="center" wrapText="1"/>
    </xf>
    <xf numFmtId="0" fontId="3" fillId="0" borderId="0" xfId="0" applyFont="1" applyAlignment="1">
      <alignment horizontal="center" vertical="center"/>
    </xf>
    <xf numFmtId="14" fontId="0" fillId="0" borderId="1" xfId="0" applyNumberFormat="1" applyBorder="1" applyAlignment="1">
      <alignment horizontal="center" vertical="center"/>
    </xf>
    <xf numFmtId="0" fontId="16" fillId="0" borderId="0" xfId="1" applyAlignment="1">
      <alignment horizontal="center" vertical="center"/>
    </xf>
    <xf numFmtId="0" fontId="0" fillId="13" borderId="1" xfId="0" applyFill="1" applyBorder="1" applyAlignment="1">
      <alignment horizontal="left" vertical="center" wrapText="1"/>
    </xf>
    <xf numFmtId="0" fontId="3" fillId="0" borderId="0" xfId="0" applyFont="1" applyAlignment="1">
      <alignment vertical="center"/>
    </xf>
    <xf numFmtId="0" fontId="0" fillId="13" borderId="0" xfId="0" applyFill="1" applyAlignment="1">
      <alignment horizontal="center" vertical="center"/>
    </xf>
    <xf numFmtId="0" fontId="3" fillId="2" borderId="1" xfId="0" applyFont="1" applyFill="1" applyBorder="1" applyAlignment="1">
      <alignment horizontal="left" vertical="center" wrapText="1"/>
    </xf>
    <xf numFmtId="0" fontId="0" fillId="2" borderId="20" xfId="0" applyFill="1" applyBorder="1" applyAlignment="1">
      <alignment horizontal="center" vertical="center" wrapText="1"/>
    </xf>
    <xf numFmtId="0" fontId="3" fillId="11" borderId="39" xfId="0" applyFont="1" applyFill="1" applyBorder="1" applyAlignment="1">
      <alignment horizontal="center" vertical="center" wrapText="1"/>
    </xf>
    <xf numFmtId="0" fontId="3" fillId="11" borderId="66" xfId="0" applyFont="1" applyFill="1" applyBorder="1" applyAlignment="1">
      <alignment horizontal="center" vertical="center" wrapText="1"/>
    </xf>
    <xf numFmtId="0" fontId="3" fillId="11" borderId="65" xfId="0" applyFont="1" applyFill="1" applyBorder="1" applyAlignment="1">
      <alignment horizontal="center" vertical="center" wrapText="1"/>
    </xf>
    <xf numFmtId="0" fontId="3" fillId="11" borderId="0" xfId="0" applyFont="1" applyFill="1" applyAlignment="1">
      <alignment horizontal="center" vertical="center" wrapText="1"/>
    </xf>
    <xf numFmtId="0" fontId="3" fillId="2" borderId="39" xfId="0" applyFont="1" applyFill="1" applyBorder="1" applyAlignment="1">
      <alignment horizontal="center" vertical="center" wrapText="1"/>
    </xf>
    <xf numFmtId="0" fontId="3" fillId="2" borderId="66" xfId="0" applyFont="1" applyFill="1" applyBorder="1" applyAlignment="1">
      <alignment horizontal="center" vertical="center" wrapText="1"/>
    </xf>
    <xf numFmtId="0" fontId="3" fillId="2" borderId="65" xfId="0" applyFont="1" applyFill="1" applyBorder="1" applyAlignment="1">
      <alignment horizontal="center" vertical="center" wrapText="1"/>
    </xf>
    <xf numFmtId="0" fontId="26" fillId="0" borderId="66" xfId="0" applyFont="1" applyBorder="1" applyAlignment="1">
      <alignment horizontal="center" vertical="center" wrapText="1"/>
    </xf>
    <xf numFmtId="0" fontId="26" fillId="0" borderId="65" xfId="0" applyFont="1" applyBorder="1" applyAlignment="1">
      <alignment horizontal="center" vertical="center" wrapText="1"/>
    </xf>
    <xf numFmtId="0" fontId="26" fillId="0" borderId="0" xfId="0" applyFont="1" applyAlignment="1">
      <alignment horizontal="center" vertical="center" wrapText="1"/>
    </xf>
    <xf numFmtId="0" fontId="0" fillId="11" borderId="66" xfId="0" applyFill="1" applyBorder="1" applyAlignment="1">
      <alignment horizontal="center" vertical="center" wrapText="1"/>
    </xf>
    <xf numFmtId="0" fontId="10" fillId="0" borderId="65" xfId="0" quotePrefix="1" applyFont="1" applyBorder="1" applyAlignment="1">
      <alignment horizontal="center" vertical="center" wrapText="1"/>
    </xf>
    <xf numFmtId="0" fontId="10" fillId="0" borderId="0" xfId="0" applyFont="1" applyAlignment="1">
      <alignment vertical="center" wrapText="1"/>
    </xf>
    <xf numFmtId="0" fontId="26" fillId="0" borderId="39" xfId="0" applyFont="1" applyBorder="1" applyAlignment="1">
      <alignment horizontal="center" vertical="center" wrapText="1"/>
    </xf>
    <xf numFmtId="0" fontId="27" fillId="5" borderId="64" xfId="0" applyFont="1" applyFill="1" applyBorder="1" applyAlignment="1">
      <alignment horizontal="center" vertical="center"/>
    </xf>
    <xf numFmtId="0" fontId="27" fillId="5" borderId="16" xfId="0" applyFont="1" applyFill="1" applyBorder="1" applyAlignment="1">
      <alignment horizontal="center" vertical="center" wrapText="1"/>
    </xf>
    <xf numFmtId="0" fontId="27" fillId="5" borderId="7" xfId="0" applyFont="1" applyFill="1" applyBorder="1" applyAlignment="1">
      <alignment horizontal="center" vertical="center" wrapText="1"/>
    </xf>
    <xf numFmtId="0" fontId="27" fillId="5" borderId="16" xfId="0" applyFont="1" applyFill="1" applyBorder="1" applyAlignment="1">
      <alignment horizontal="center" vertical="center"/>
    </xf>
    <xf numFmtId="0" fontId="28" fillId="5" borderId="64" xfId="0" applyFont="1" applyFill="1" applyBorder="1" applyAlignment="1">
      <alignment horizontal="center" vertical="center"/>
    </xf>
    <xf numFmtId="0" fontId="28" fillId="5" borderId="7" xfId="0" applyFont="1" applyFill="1" applyBorder="1" applyAlignment="1">
      <alignment horizontal="center" vertical="center" wrapText="1"/>
    </xf>
    <xf numFmtId="0" fontId="27" fillId="11" borderId="39" xfId="0" applyFont="1" applyFill="1" applyBorder="1" applyAlignment="1">
      <alignment horizontal="left" vertical="center"/>
    </xf>
    <xf numFmtId="0" fontId="27" fillId="11" borderId="0" xfId="0" applyFont="1" applyFill="1" applyAlignment="1">
      <alignment horizontal="center" vertical="center" wrapText="1"/>
    </xf>
    <xf numFmtId="0" fontId="27" fillId="11" borderId="66" xfId="0" applyFont="1" applyFill="1" applyBorder="1" applyAlignment="1">
      <alignment horizontal="center" vertical="center" wrapText="1"/>
    </xf>
    <xf numFmtId="0" fontId="28" fillId="11" borderId="0" xfId="0" applyFont="1" applyFill="1" applyAlignment="1">
      <alignment horizontal="left" vertical="center"/>
    </xf>
    <xf numFmtId="0" fontId="27" fillId="11" borderId="66" xfId="0" applyFont="1" applyFill="1" applyBorder="1" applyAlignment="1">
      <alignment vertical="center" wrapText="1"/>
    </xf>
    <xf numFmtId="0" fontId="27" fillId="11" borderId="39" xfId="0" applyFont="1" applyFill="1" applyBorder="1" applyAlignment="1">
      <alignment vertical="center" wrapText="1"/>
    </xf>
    <xf numFmtId="0" fontId="27" fillId="2" borderId="39" xfId="0" applyFont="1" applyFill="1" applyBorder="1" applyAlignment="1">
      <alignment horizontal="left" vertical="center"/>
    </xf>
    <xf numFmtId="0" fontId="27" fillId="2" borderId="0" xfId="0" applyFont="1" applyFill="1" applyAlignment="1">
      <alignment horizontal="center" vertical="center" wrapText="1"/>
    </xf>
    <xf numFmtId="0" fontId="27" fillId="2" borderId="66" xfId="0" applyFont="1" applyFill="1" applyBorder="1" applyAlignment="1">
      <alignment horizontal="center" vertical="center" wrapText="1"/>
    </xf>
    <xf numFmtId="0" fontId="28" fillId="2" borderId="0" xfId="0" applyFont="1" applyFill="1" applyAlignment="1">
      <alignment horizontal="left" vertical="center"/>
    </xf>
    <xf numFmtId="0" fontId="27" fillId="2" borderId="66" xfId="0" applyFont="1" applyFill="1" applyBorder="1" applyAlignment="1">
      <alignment vertical="center" wrapText="1"/>
    </xf>
    <xf numFmtId="0" fontId="27" fillId="2" borderId="39" xfId="0" applyFont="1" applyFill="1" applyBorder="1" applyAlignment="1">
      <alignment vertical="center" wrapText="1"/>
    </xf>
    <xf numFmtId="0" fontId="29" fillId="0" borderId="39" xfId="0" applyFont="1" applyBorder="1" applyAlignment="1">
      <alignment horizontal="left" vertical="center"/>
    </xf>
    <xf numFmtId="0" fontId="29" fillId="0" borderId="0" xfId="0" applyFont="1" applyAlignment="1">
      <alignment horizontal="center" vertical="center" wrapText="1"/>
    </xf>
    <xf numFmtId="0" fontId="30" fillId="0" borderId="0" xfId="1" applyFont="1" applyBorder="1" applyAlignment="1">
      <alignment horizontal="center" vertical="center" wrapText="1"/>
    </xf>
    <xf numFmtId="0" fontId="30" fillId="0" borderId="66" xfId="1" applyFont="1" applyBorder="1" applyAlignment="1">
      <alignment horizontal="center" vertical="center" wrapText="1"/>
    </xf>
    <xf numFmtId="0" fontId="29" fillId="0" borderId="0" xfId="0" applyFont="1" applyAlignment="1">
      <alignment horizontal="left" vertical="center"/>
    </xf>
    <xf numFmtId="0" fontId="29" fillId="0" borderId="66" xfId="0" applyFont="1" applyBorder="1" applyAlignment="1">
      <alignment vertical="center" wrapText="1"/>
    </xf>
    <xf numFmtId="0" fontId="29" fillId="0" borderId="39" xfId="0" applyFont="1" applyBorder="1" applyAlignment="1">
      <alignment vertical="center" wrapText="1"/>
    </xf>
    <xf numFmtId="0" fontId="29" fillId="0" borderId="66" xfId="0" applyFont="1" applyBorder="1" applyAlignment="1">
      <alignment horizontal="center" vertical="center" wrapText="1"/>
    </xf>
    <xf numFmtId="0" fontId="31" fillId="0" borderId="39" xfId="0" applyFont="1" applyBorder="1" applyAlignment="1">
      <alignment horizontal="left" vertical="center"/>
    </xf>
    <xf numFmtId="0" fontId="31" fillId="0" borderId="0" xfId="0" applyFont="1" applyAlignment="1">
      <alignment horizontal="center" vertical="center" wrapText="1"/>
    </xf>
    <xf numFmtId="0" fontId="31" fillId="0" borderId="66" xfId="0" applyFont="1" applyBorder="1" applyAlignment="1">
      <alignment horizontal="center" vertical="center" wrapText="1"/>
    </xf>
    <xf numFmtId="0" fontId="31" fillId="0" borderId="0" xfId="0" applyFont="1" applyAlignment="1">
      <alignment horizontal="left" vertical="center"/>
    </xf>
    <xf numFmtId="0" fontId="32" fillId="0" borderId="66" xfId="1" applyFont="1" applyBorder="1" applyAlignment="1">
      <alignment horizontal="center" vertical="center" wrapText="1"/>
    </xf>
    <xf numFmtId="0" fontId="31" fillId="0" borderId="39" xfId="0" applyFont="1" applyBorder="1" applyAlignment="1">
      <alignment vertical="center" wrapText="1"/>
    </xf>
    <xf numFmtId="0" fontId="31" fillId="0" borderId="66" xfId="0" applyFont="1" applyBorder="1" applyAlignment="1">
      <alignment vertical="center" wrapText="1"/>
    </xf>
    <xf numFmtId="0" fontId="27" fillId="11" borderId="0" xfId="0" applyFont="1" applyFill="1" applyAlignment="1">
      <alignment horizontal="left" vertical="center"/>
    </xf>
    <xf numFmtId="0" fontId="29" fillId="0" borderId="0" xfId="0" quotePrefix="1" applyFont="1" applyAlignment="1">
      <alignment horizontal="center" vertical="center" wrapText="1"/>
    </xf>
    <xf numFmtId="0" fontId="33" fillId="11" borderId="0" xfId="1" applyFont="1" applyFill="1" applyBorder="1" applyAlignment="1">
      <alignment horizontal="center" vertical="center" wrapText="1"/>
    </xf>
    <xf numFmtId="0" fontId="33" fillId="11" borderId="66" xfId="1" applyFont="1" applyFill="1" applyBorder="1" applyAlignment="1">
      <alignment horizontal="center" vertical="center" wrapText="1"/>
    </xf>
    <xf numFmtId="0" fontId="29" fillId="2" borderId="39" xfId="0" applyFont="1" applyFill="1" applyBorder="1" applyAlignment="1">
      <alignment horizontal="left" vertical="center"/>
    </xf>
    <xf numFmtId="0" fontId="29" fillId="2" borderId="0" xfId="0" applyFont="1" applyFill="1" applyAlignment="1">
      <alignment horizontal="center" vertical="center" wrapText="1"/>
    </xf>
    <xf numFmtId="0" fontId="30" fillId="2" borderId="66" xfId="1" applyFont="1" applyFill="1" applyBorder="1" applyAlignment="1">
      <alignment horizontal="center" vertical="center" wrapText="1"/>
    </xf>
    <xf numFmtId="0" fontId="29" fillId="2" borderId="0" xfId="0" applyFont="1" applyFill="1" applyAlignment="1">
      <alignment horizontal="left" vertical="center"/>
    </xf>
    <xf numFmtId="0" fontId="29" fillId="2" borderId="66" xfId="0" applyFont="1" applyFill="1" applyBorder="1" applyAlignment="1">
      <alignment vertical="center" wrapText="1"/>
    </xf>
    <xf numFmtId="0" fontId="29" fillId="2" borderId="39" xfId="0" applyFont="1" applyFill="1" applyBorder="1" applyAlignment="1">
      <alignment vertical="center" wrapText="1"/>
    </xf>
    <xf numFmtId="0" fontId="29" fillId="2" borderId="66" xfId="0" applyFont="1" applyFill="1" applyBorder="1" applyAlignment="1">
      <alignment horizontal="center" vertical="center" wrapText="1"/>
    </xf>
    <xf numFmtId="0" fontId="1" fillId="0" borderId="0" xfId="0" applyFont="1" applyAlignment="1">
      <alignment horizontal="left" vertical="center"/>
    </xf>
    <xf numFmtId="0" fontId="29" fillId="0" borderId="64" xfId="0" applyFont="1" applyBorder="1" applyAlignment="1">
      <alignment horizontal="left" vertical="center"/>
    </xf>
    <xf numFmtId="0" fontId="29" fillId="0" borderId="16"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16" xfId="0" applyFont="1" applyBorder="1" applyAlignment="1">
      <alignment horizontal="left" vertical="center"/>
    </xf>
    <xf numFmtId="0" fontId="29" fillId="0" borderId="7" xfId="0" applyFont="1" applyBorder="1" applyAlignment="1">
      <alignment vertical="center" wrapText="1"/>
    </xf>
    <xf numFmtId="0" fontId="29" fillId="0" borderId="64" xfId="0" applyFont="1" applyBorder="1" applyAlignment="1">
      <alignment vertical="center" wrapText="1"/>
    </xf>
    <xf numFmtId="0" fontId="29" fillId="0" borderId="0" xfId="0" applyFont="1" applyAlignment="1">
      <alignment vertical="center" wrapText="1"/>
    </xf>
    <xf numFmtId="0" fontId="3" fillId="10" borderId="9" xfId="0" applyFont="1" applyFill="1" applyBorder="1" applyAlignment="1">
      <alignment horizontal="center" vertical="center"/>
    </xf>
    <xf numFmtId="0" fontId="3" fillId="10" borderId="10" xfId="0" applyFont="1" applyFill="1" applyBorder="1" applyAlignment="1">
      <alignment horizontal="center" vertical="center"/>
    </xf>
    <xf numFmtId="0" fontId="3" fillId="4" borderId="11" xfId="0" applyFont="1" applyFill="1" applyBorder="1" applyAlignment="1">
      <alignment horizontal="center" vertical="center" wrapText="1"/>
    </xf>
    <xf numFmtId="0" fontId="3" fillId="11" borderId="2" xfId="0" applyFont="1" applyFill="1" applyBorder="1" applyAlignment="1">
      <alignment horizontal="center" vertical="center"/>
    </xf>
    <xf numFmtId="0" fontId="3" fillId="11" borderId="50" xfId="0" applyFont="1" applyFill="1" applyBorder="1" applyAlignment="1">
      <alignment horizontal="left" vertical="center"/>
    </xf>
    <xf numFmtId="0" fontId="0" fillId="11" borderId="50" xfId="0" applyFill="1" applyBorder="1" applyAlignment="1">
      <alignment horizontal="center" vertical="center"/>
    </xf>
    <xf numFmtId="0" fontId="0" fillId="11" borderId="3" xfId="0" applyFill="1" applyBorder="1" applyAlignment="1">
      <alignment horizontal="center" vertical="center"/>
    </xf>
    <xf numFmtId="0" fontId="3" fillId="4" borderId="69" xfId="0" applyFont="1" applyFill="1" applyBorder="1" applyAlignment="1">
      <alignment horizontal="center" vertical="center" wrapText="1"/>
    </xf>
    <xf numFmtId="0" fontId="3" fillId="4" borderId="11" xfId="0" applyFont="1" applyFill="1" applyBorder="1" applyAlignment="1">
      <alignment horizontal="center" vertical="center"/>
    </xf>
    <xf numFmtId="0" fontId="3" fillId="0" borderId="22" xfId="0" applyFont="1" applyBorder="1" applyAlignment="1">
      <alignment vertical="center"/>
    </xf>
    <xf numFmtId="0" fontId="3" fillId="0" borderId="4" xfId="0" quotePrefix="1" applyFont="1" applyBorder="1" applyAlignment="1">
      <alignment horizontal="center" vertical="center"/>
    </xf>
    <xf numFmtId="0" fontId="3" fillId="0" borderId="18" xfId="0" quotePrefix="1" applyFont="1" applyBorder="1" applyAlignment="1">
      <alignment horizontal="center" vertical="center"/>
    </xf>
    <xf numFmtId="0" fontId="11" fillId="0" borderId="7" xfId="0" applyFont="1" applyBorder="1" applyAlignment="1">
      <alignment horizontal="center" vertical="center"/>
    </xf>
    <xf numFmtId="0" fontId="3" fillId="0" borderId="18" xfId="0" applyFont="1" applyBorder="1" applyAlignment="1">
      <alignment horizontal="center" vertical="center" wrapText="1"/>
    </xf>
    <xf numFmtId="0" fontId="0" fillId="0" borderId="41" xfId="0" applyBorder="1" applyAlignment="1">
      <alignment horizontal="center" vertical="center"/>
    </xf>
    <xf numFmtId="0" fontId="1" fillId="0" borderId="4" xfId="0" applyFont="1" applyBorder="1" applyAlignment="1">
      <alignment horizontal="center" vertical="center"/>
    </xf>
    <xf numFmtId="0" fontId="0" fillId="0" borderId="18" xfId="0" applyBorder="1" applyAlignment="1">
      <alignment horizontal="center" vertical="center"/>
    </xf>
    <xf numFmtId="0" fontId="3" fillId="0" borderId="35" xfId="0" applyFont="1" applyBorder="1" applyAlignment="1">
      <alignment vertical="center" wrapText="1"/>
    </xf>
    <xf numFmtId="0" fontId="3" fillId="0" borderId="1" xfId="0" quotePrefix="1" applyFont="1" applyBorder="1" applyAlignment="1">
      <alignment horizontal="center" vertical="center"/>
    </xf>
    <xf numFmtId="0" fontId="3" fillId="0" borderId="21" xfId="0" quotePrefix="1" applyFont="1" applyBorder="1" applyAlignment="1">
      <alignment horizontal="center" vertical="center"/>
    </xf>
    <xf numFmtId="0" fontId="3" fillId="0" borderId="5" xfId="0" applyFont="1" applyBorder="1" applyAlignment="1">
      <alignment horizontal="center" vertical="center" wrapText="1"/>
    </xf>
    <xf numFmtId="0" fontId="3" fillId="0" borderId="21" xfId="0" applyFont="1" applyBorder="1" applyAlignment="1">
      <alignment horizontal="center"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3" fillId="0" borderId="35" xfId="0" applyFont="1" applyBorder="1" applyAlignment="1">
      <alignment vertical="center"/>
    </xf>
    <xf numFmtId="0" fontId="20" fillId="0" borderId="35" xfId="0" applyFont="1" applyBorder="1" applyAlignment="1">
      <alignment vertical="center"/>
    </xf>
    <xf numFmtId="0" fontId="20" fillId="0" borderId="1" xfId="0" quotePrefix="1" applyFont="1" applyBorder="1" applyAlignment="1">
      <alignment horizontal="center" vertical="center"/>
    </xf>
    <xf numFmtId="0" fontId="20" fillId="0" borderId="5" xfId="0" applyFont="1" applyBorder="1" applyAlignment="1">
      <alignment horizontal="center" vertical="center" wrapText="1"/>
    </xf>
    <xf numFmtId="0" fontId="20" fillId="0" borderId="21" xfId="0" applyFont="1" applyBorder="1" applyAlignment="1">
      <alignment horizontal="center" vertical="center" wrapText="1"/>
    </xf>
    <xf numFmtId="0" fontId="10" fillId="0" borderId="19" xfId="0" applyFont="1" applyBorder="1" applyAlignment="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xf numFmtId="0" fontId="10" fillId="0" borderId="0" xfId="0" applyFont="1" applyAlignment="1">
      <alignment vertical="center"/>
    </xf>
    <xf numFmtId="0" fontId="11" fillId="0" borderId="21" xfId="0" applyFont="1" applyBorder="1" applyAlignment="1">
      <alignment horizontal="center" vertical="center" wrapText="1"/>
    </xf>
    <xf numFmtId="0" fontId="3" fillId="0" borderId="21" xfId="0" applyFont="1" applyBorder="1" applyAlignment="1">
      <alignment horizontal="center" vertical="center"/>
    </xf>
    <xf numFmtId="0" fontId="11" fillId="0" borderId="1" xfId="0" quotePrefix="1" applyFont="1" applyBorder="1" applyAlignment="1">
      <alignment horizontal="center" vertical="center"/>
    </xf>
    <xf numFmtId="0" fontId="11" fillId="0" borderId="21" xfId="0" quotePrefix="1" applyFont="1" applyBorder="1" applyAlignment="1">
      <alignment horizontal="center" vertical="center"/>
    </xf>
    <xf numFmtId="0" fontId="3" fillId="0" borderId="53" xfId="0" applyFont="1" applyBorder="1" applyAlignment="1">
      <alignment vertical="center"/>
    </xf>
    <xf numFmtId="0" fontId="3" fillId="0" borderId="26" xfId="0" quotePrefix="1" applyFont="1" applyBorder="1" applyAlignment="1">
      <alignment horizontal="center" vertical="center"/>
    </xf>
    <xf numFmtId="0" fontId="11" fillId="0" borderId="27" xfId="0" quotePrefix="1" applyFont="1" applyBorder="1" applyAlignment="1">
      <alignment horizontal="center" vertical="center"/>
    </xf>
    <xf numFmtId="0" fontId="3" fillId="0" borderId="68" xfId="0" applyFont="1" applyBorder="1" applyAlignment="1">
      <alignment horizontal="center" vertical="center"/>
    </xf>
    <xf numFmtId="0" fontId="3" fillId="0" borderId="27" xfId="0" applyFont="1" applyBorder="1" applyAlignment="1">
      <alignment horizontal="center" vertical="center"/>
    </xf>
    <xf numFmtId="0" fontId="0" fillId="0" borderId="24" xfId="0" applyBorder="1" applyAlignment="1">
      <alignment horizontal="center" vertical="center"/>
    </xf>
    <xf numFmtId="0" fontId="0" fillId="0" borderId="68"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horizontal="left" vertical="center" wrapText="1"/>
    </xf>
    <xf numFmtId="14" fontId="0" fillId="0" borderId="0" xfId="0" applyNumberFormat="1" applyAlignment="1">
      <alignment horizontal="center" vertical="center"/>
    </xf>
    <xf numFmtId="0" fontId="10" fillId="9" borderId="39" xfId="0" applyFont="1" applyFill="1" applyBorder="1" applyAlignment="1">
      <alignment horizontal="center" vertical="center" wrapText="1"/>
    </xf>
    <xf numFmtId="0" fontId="16" fillId="17" borderId="72" xfId="1" applyFill="1" applyBorder="1" applyAlignment="1">
      <alignment horizontal="center" vertical="center"/>
    </xf>
    <xf numFmtId="0" fontId="0" fillId="17" borderId="72" xfId="0" applyFill="1" applyBorder="1" applyAlignment="1">
      <alignment horizontal="center" vertical="center" wrapText="1"/>
    </xf>
    <xf numFmtId="0" fontId="0" fillId="17" borderId="84" xfId="0" applyFill="1" applyBorder="1" applyAlignment="1">
      <alignment horizontal="center" vertical="center" wrapText="1"/>
    </xf>
    <xf numFmtId="0" fontId="0" fillId="8" borderId="39" xfId="0" applyFill="1" applyBorder="1" applyAlignment="1">
      <alignment horizontal="left" vertical="center" wrapText="1"/>
    </xf>
    <xf numFmtId="0" fontId="0" fillId="16" borderId="73" xfId="0" applyFill="1" applyBorder="1" applyAlignment="1">
      <alignment vertical="top" wrapText="1"/>
    </xf>
    <xf numFmtId="0" fontId="16" fillId="8" borderId="1" xfId="1" applyFill="1" applyBorder="1" applyAlignment="1">
      <alignment horizontal="center" vertical="center"/>
    </xf>
    <xf numFmtId="0" fontId="0" fillId="16" borderId="73" xfId="0" applyFill="1" applyBorder="1" applyAlignment="1">
      <alignment vertical="center"/>
    </xf>
    <xf numFmtId="0" fontId="0" fillId="7" borderId="73" xfId="0" applyFill="1" applyBorder="1" applyAlignment="1">
      <alignment vertical="center" wrapText="1"/>
    </xf>
    <xf numFmtId="0" fontId="0" fillId="16" borderId="74" xfId="0" applyFill="1" applyBorder="1" applyAlignment="1">
      <alignment vertical="center"/>
    </xf>
    <xf numFmtId="0" fontId="0" fillId="16" borderId="75" xfId="0" applyFill="1" applyBorder="1" applyAlignment="1">
      <alignment vertical="center"/>
    </xf>
    <xf numFmtId="0" fontId="0" fillId="16" borderId="76" xfId="0" applyFill="1" applyBorder="1" applyAlignment="1">
      <alignment vertical="center"/>
    </xf>
    <xf numFmtId="0" fontId="0" fillId="17" borderId="72" xfId="0" applyFill="1" applyBorder="1" applyAlignment="1">
      <alignment vertical="center"/>
    </xf>
    <xf numFmtId="0" fontId="0" fillId="0" borderId="72" xfId="0" applyBorder="1" applyAlignment="1">
      <alignment vertical="center"/>
    </xf>
    <xf numFmtId="0" fontId="0" fillId="0" borderId="72" xfId="0" applyBorder="1" applyAlignment="1">
      <alignment horizontal="center" vertical="center"/>
    </xf>
    <xf numFmtId="0" fontId="0" fillId="16" borderId="73" xfId="0" applyFill="1" applyBorder="1" applyAlignment="1">
      <alignment vertical="center" wrapText="1"/>
    </xf>
    <xf numFmtId="0" fontId="0" fillId="0" borderId="78" xfId="0" applyBorder="1" applyAlignment="1">
      <alignment vertical="center"/>
    </xf>
    <xf numFmtId="0" fontId="0" fillId="0" borderId="78" xfId="0" applyBorder="1" applyAlignment="1">
      <alignment horizontal="center" vertical="center"/>
    </xf>
    <xf numFmtId="0" fontId="0" fillId="16" borderId="79" xfId="0" applyFill="1" applyBorder="1" applyAlignment="1">
      <alignment vertical="center"/>
    </xf>
    <xf numFmtId="0" fontId="0" fillId="16" borderId="80" xfId="0" applyFill="1" applyBorder="1" applyAlignment="1">
      <alignment vertical="center"/>
    </xf>
    <xf numFmtId="0" fontId="0" fillId="16" borderId="81" xfId="0" applyFill="1" applyBorder="1" applyAlignment="1">
      <alignment vertical="center"/>
    </xf>
    <xf numFmtId="0" fontId="0" fillId="16" borderId="82" xfId="0" applyFill="1" applyBorder="1" applyAlignment="1">
      <alignment vertical="center"/>
    </xf>
    <xf numFmtId="0" fontId="0" fillId="17" borderId="84" xfId="0" applyFill="1" applyBorder="1" applyAlignment="1">
      <alignment vertical="center"/>
    </xf>
    <xf numFmtId="0" fontId="0" fillId="0" borderId="86" xfId="0" applyBorder="1" applyAlignment="1">
      <alignment vertical="center"/>
    </xf>
    <xf numFmtId="0" fontId="0" fillId="0" borderId="86" xfId="0" applyBorder="1" applyAlignment="1">
      <alignment horizontal="center" vertical="center"/>
    </xf>
    <xf numFmtId="0" fontId="0" fillId="16" borderId="87" xfId="0" applyFill="1" applyBorder="1" applyAlignment="1">
      <alignment vertical="center"/>
    </xf>
    <xf numFmtId="0" fontId="0" fillId="16" borderId="88" xfId="0" applyFill="1" applyBorder="1" applyAlignment="1">
      <alignment vertical="center"/>
    </xf>
    <xf numFmtId="0" fontId="0" fillId="16" borderId="89" xfId="0" applyFill="1" applyBorder="1" applyAlignment="1">
      <alignment vertical="center"/>
    </xf>
    <xf numFmtId="0" fontId="0" fillId="16" borderId="90" xfId="0" applyFill="1" applyBorder="1" applyAlignment="1">
      <alignment vertical="center"/>
    </xf>
    <xf numFmtId="0" fontId="0" fillId="0" borderId="92" xfId="0" applyBorder="1" applyAlignment="1">
      <alignment vertical="center"/>
    </xf>
    <xf numFmtId="0" fontId="0" fillId="0" borderId="92" xfId="0" applyBorder="1" applyAlignment="1">
      <alignment horizontal="center" vertical="center"/>
    </xf>
    <xf numFmtId="0" fontId="0" fillId="0" borderId="39" xfId="0" applyBorder="1"/>
    <xf numFmtId="0" fontId="0" fillId="16" borderId="93" xfId="0" applyFill="1" applyBorder="1"/>
    <xf numFmtId="0" fontId="0" fillId="16" borderId="94" xfId="0" applyFill="1" applyBorder="1"/>
    <xf numFmtId="0" fontId="0" fillId="16" borderId="95" xfId="0" applyFill="1" applyBorder="1"/>
    <xf numFmtId="0" fontId="0" fillId="16" borderId="96" xfId="0" applyFill="1" applyBorder="1"/>
    <xf numFmtId="0" fontId="0" fillId="0" borderId="97" xfId="0" applyBorder="1"/>
    <xf numFmtId="0" fontId="0" fillId="17" borderId="99" xfId="0" applyFill="1" applyBorder="1"/>
    <xf numFmtId="0" fontId="16" fillId="17" borderId="99" xfId="1" applyFill="1" applyBorder="1" applyAlignment="1">
      <alignment horizontal="center" vertical="center"/>
    </xf>
    <xf numFmtId="0" fontId="0" fillId="17" borderId="99" xfId="0" applyFill="1" applyBorder="1" applyAlignment="1">
      <alignment horizontal="center" vertical="center" wrapText="1"/>
    </xf>
    <xf numFmtId="0" fontId="0" fillId="0" borderId="100" xfId="0" applyBorder="1"/>
    <xf numFmtId="0" fontId="0" fillId="0" borderId="99" xfId="0" applyBorder="1"/>
    <xf numFmtId="0" fontId="0" fillId="0" borderId="99" xfId="0" applyBorder="1" applyAlignment="1">
      <alignment horizontal="center"/>
    </xf>
    <xf numFmtId="0" fontId="0" fillId="16" borderId="101" xfId="0" applyFill="1" applyBorder="1"/>
    <xf numFmtId="0" fontId="0" fillId="16" borderId="102" xfId="0" applyFill="1" applyBorder="1"/>
    <xf numFmtId="0" fontId="0" fillId="16" borderId="103" xfId="0" applyFill="1" applyBorder="1"/>
    <xf numFmtId="0" fontId="0" fillId="16" borderId="104" xfId="0" applyFill="1" applyBorder="1"/>
    <xf numFmtId="0" fontId="0" fillId="0" borderId="106" xfId="0" applyBorder="1"/>
    <xf numFmtId="0" fontId="0" fillId="0" borderId="106" xfId="0" applyBorder="1" applyAlignment="1">
      <alignment horizontal="center"/>
    </xf>
    <xf numFmtId="0" fontId="0" fillId="0" borderId="108" xfId="0" applyBorder="1"/>
    <xf numFmtId="0" fontId="0" fillId="0" borderId="108" xfId="0" applyBorder="1" applyAlignment="1">
      <alignment horizontal="center"/>
    </xf>
    <xf numFmtId="0" fontId="0" fillId="0" borderId="46" xfId="0" applyBorder="1" applyAlignment="1">
      <alignment horizontal="center" vertical="center" wrapText="1"/>
    </xf>
    <xf numFmtId="0" fontId="0" fillId="16" borderId="73" xfId="0" applyFill="1" applyBorder="1" applyAlignment="1">
      <alignment horizontal="center" vertical="center"/>
    </xf>
    <xf numFmtId="0" fontId="0" fillId="17" borderId="71" xfId="0" applyFill="1" applyBorder="1" applyAlignment="1">
      <alignment horizontal="center" vertical="center"/>
    </xf>
    <xf numFmtId="0" fontId="0" fillId="0" borderId="71" xfId="0" applyBorder="1" applyAlignment="1">
      <alignment horizontal="center" vertical="center"/>
    </xf>
    <xf numFmtId="0" fontId="0" fillId="0" borderId="77" xfId="0" applyBorder="1" applyAlignment="1">
      <alignment horizontal="center" vertical="center"/>
    </xf>
    <xf numFmtId="0" fontId="0" fillId="16" borderId="79" xfId="0" applyFill="1" applyBorder="1" applyAlignment="1">
      <alignment horizontal="center" vertical="center"/>
    </xf>
    <xf numFmtId="0" fontId="0" fillId="17" borderId="83" xfId="0" applyFill="1" applyBorder="1" applyAlignment="1">
      <alignment horizontal="center" vertical="center"/>
    </xf>
    <xf numFmtId="0" fontId="0" fillId="0" borderId="85" xfId="0" applyBorder="1" applyAlignment="1">
      <alignment horizontal="center" vertical="center"/>
    </xf>
    <xf numFmtId="0" fontId="0" fillId="16" borderId="87" xfId="0" applyFill="1" applyBorder="1" applyAlignment="1">
      <alignment horizontal="center" vertical="center"/>
    </xf>
    <xf numFmtId="0" fontId="0" fillId="0" borderId="91" xfId="0" applyBorder="1" applyAlignment="1">
      <alignment horizontal="center" vertical="center"/>
    </xf>
    <xf numFmtId="0" fontId="0" fillId="16" borderId="93" xfId="0" applyFill="1" applyBorder="1" applyAlignment="1">
      <alignment horizontal="center"/>
    </xf>
    <xf numFmtId="0" fontId="0" fillId="17" borderId="98" xfId="0" applyFill="1" applyBorder="1" applyAlignment="1">
      <alignment horizontal="center"/>
    </xf>
    <xf numFmtId="0" fontId="0" fillId="0" borderId="98" xfId="0" applyBorder="1" applyAlignment="1">
      <alignment horizontal="center"/>
    </xf>
    <xf numFmtId="0" fontId="0" fillId="16" borderId="101" xfId="0" applyFill="1" applyBorder="1" applyAlignment="1">
      <alignment horizontal="center"/>
    </xf>
    <xf numFmtId="0" fontId="0" fillId="0" borderId="105" xfId="0" applyBorder="1" applyAlignment="1">
      <alignment horizontal="center"/>
    </xf>
    <xf numFmtId="0" fontId="0" fillId="0" borderId="107" xfId="0" applyBorder="1" applyAlignment="1">
      <alignment horizontal="center"/>
    </xf>
    <xf numFmtId="0" fontId="0" fillId="16" borderId="79" xfId="0" applyFill="1" applyBorder="1" applyAlignment="1">
      <alignment vertical="center" wrapText="1"/>
    </xf>
    <xf numFmtId="0" fontId="0" fillId="16" borderId="93" xfId="0" applyFill="1" applyBorder="1" applyAlignment="1">
      <alignment wrapText="1"/>
    </xf>
    <xf numFmtId="0" fontId="0" fillId="0" borderId="0" xfId="0" applyAlignment="1">
      <alignment wrapText="1"/>
    </xf>
    <xf numFmtId="0" fontId="0" fillId="16" borderId="101" xfId="0" applyFill="1" applyBorder="1" applyAlignment="1">
      <alignment wrapText="1"/>
    </xf>
    <xf numFmtId="0" fontId="16" fillId="9" borderId="99" xfId="1" applyFill="1" applyBorder="1" applyAlignment="1">
      <alignment horizontal="center" vertical="center"/>
    </xf>
    <xf numFmtId="0" fontId="16" fillId="9" borderId="1" xfId="1" applyFill="1" applyBorder="1" applyAlignment="1">
      <alignment horizontal="center" vertical="center"/>
    </xf>
    <xf numFmtId="0" fontId="10" fillId="4" borderId="16" xfId="0" applyFont="1" applyFill="1" applyBorder="1" applyAlignment="1">
      <alignment horizontal="center" vertical="center" wrapText="1"/>
    </xf>
    <xf numFmtId="0" fontId="0" fillId="13" borderId="39" xfId="0" applyFill="1" applyBorder="1" applyAlignment="1">
      <alignment horizontal="left" vertical="center" wrapText="1"/>
    </xf>
    <xf numFmtId="0" fontId="0" fillId="13" borderId="1" xfId="0" applyFill="1" applyBorder="1" applyAlignment="1">
      <alignment vertical="center"/>
    </xf>
    <xf numFmtId="0" fontId="0" fillId="5" borderId="112" xfId="0" applyFill="1" applyBorder="1" applyAlignment="1">
      <alignment horizontal="center" vertical="center"/>
    </xf>
    <xf numFmtId="0" fontId="21" fillId="4" borderId="115" xfId="0" applyFont="1" applyFill="1" applyBorder="1" applyAlignment="1">
      <alignment horizontal="center" vertical="center" wrapText="1"/>
    </xf>
    <xf numFmtId="0" fontId="21" fillId="4" borderId="116" xfId="0" applyFont="1" applyFill="1" applyBorder="1" applyAlignment="1">
      <alignment horizontal="center" vertical="center" wrapText="1"/>
    </xf>
    <xf numFmtId="49" fontId="21" fillId="4" borderId="117" xfId="0" applyNumberFormat="1" applyFont="1" applyFill="1" applyBorder="1" applyAlignment="1">
      <alignment horizontal="center" vertical="center" wrapText="1"/>
    </xf>
    <xf numFmtId="0" fontId="10" fillId="0" borderId="45" xfId="0" applyFont="1" applyBorder="1" applyAlignment="1">
      <alignment horizontal="left" vertical="center" wrapText="1"/>
    </xf>
    <xf numFmtId="0" fontId="10" fillId="0" borderId="0" xfId="0" applyFont="1" applyAlignment="1">
      <alignment horizontal="left" vertical="center" wrapText="1"/>
    </xf>
    <xf numFmtId="0" fontId="0" fillId="13" borderId="66" xfId="0" applyFill="1" applyBorder="1" applyAlignment="1">
      <alignment horizontal="left" vertical="center" wrapText="1"/>
    </xf>
    <xf numFmtId="0" fontId="0" fillId="2" borderId="103" xfId="0" applyFill="1" applyBorder="1" applyAlignment="1">
      <alignment horizontal="left" vertical="center" wrapText="1"/>
    </xf>
    <xf numFmtId="0" fontId="0" fillId="2" borderId="103" xfId="0" applyFill="1" applyBorder="1" applyAlignment="1">
      <alignment horizontal="center" vertical="center" wrapText="1"/>
    </xf>
    <xf numFmtId="0" fontId="0" fillId="7" borderId="108" xfId="0" applyFill="1" applyBorder="1" applyAlignment="1">
      <alignment horizontal="center" vertical="center" wrapText="1"/>
    </xf>
    <xf numFmtId="0" fontId="10" fillId="7" borderId="106" xfId="0" applyFont="1" applyFill="1" applyBorder="1" applyAlignment="1">
      <alignment horizontal="center" vertical="center" wrapText="1"/>
    </xf>
    <xf numFmtId="0" fontId="18" fillId="7" borderId="106" xfId="0" applyFont="1" applyFill="1" applyBorder="1" applyAlignment="1">
      <alignment horizontal="center" vertical="center" wrapText="1"/>
    </xf>
    <xf numFmtId="0" fontId="0" fillId="16" borderId="106" xfId="0" applyFill="1" applyBorder="1"/>
    <xf numFmtId="0" fontId="16" fillId="13" borderId="1" xfId="1" applyFill="1" applyBorder="1" applyAlignment="1">
      <alignment horizontal="center" vertical="center" wrapText="1"/>
    </xf>
    <xf numFmtId="0" fontId="16" fillId="13" borderId="1" xfId="1" applyFill="1" applyBorder="1" applyAlignment="1">
      <alignment horizontal="center" vertical="center"/>
    </xf>
    <xf numFmtId="0" fontId="0" fillId="0" borderId="108" xfId="0" applyBorder="1" applyAlignment="1">
      <alignment horizontal="left" vertical="center" wrapText="1"/>
    </xf>
    <xf numFmtId="0" fontId="0" fillId="0" borderId="45" xfId="0" applyBorder="1" applyAlignment="1">
      <alignment horizontal="center" vertical="center" wrapText="1"/>
    </xf>
    <xf numFmtId="0" fontId="0" fillId="0" borderId="97" xfId="0" applyBorder="1" applyAlignment="1">
      <alignment horizontal="center" vertical="center" wrapText="1"/>
    </xf>
    <xf numFmtId="0" fontId="0" fillId="0" borderId="100" xfId="0" applyBorder="1" applyAlignment="1">
      <alignment horizontal="center" vertical="center" wrapText="1"/>
    </xf>
    <xf numFmtId="0" fontId="0" fillId="0" borderId="16" xfId="0" quotePrefix="1" applyBorder="1" applyAlignment="1">
      <alignment horizontal="center" vertical="center" wrapText="1"/>
    </xf>
    <xf numFmtId="0" fontId="0" fillId="0" borderId="97" xfId="0" applyBorder="1" applyAlignment="1">
      <alignment horizontal="left" vertical="center" wrapText="1"/>
    </xf>
    <xf numFmtId="0" fontId="0" fillId="0" borderId="16" xfId="0" applyBorder="1" applyAlignment="1">
      <alignment horizontal="left" vertical="center" wrapText="1"/>
    </xf>
    <xf numFmtId="0" fontId="0" fillId="6" borderId="39" xfId="0" applyFill="1" applyBorder="1" applyAlignment="1">
      <alignment horizontal="left" vertical="center" wrapText="1"/>
    </xf>
    <xf numFmtId="0" fontId="36" fillId="6" borderId="39" xfId="0" applyFont="1" applyFill="1" applyBorder="1" applyAlignment="1">
      <alignment horizontal="left" vertical="center" wrapText="1"/>
    </xf>
    <xf numFmtId="0" fontId="0" fillId="0" borderId="45" xfId="0" applyBorder="1" applyAlignment="1">
      <alignment horizontal="left" vertical="center" wrapText="1"/>
    </xf>
    <xf numFmtId="0" fontId="10" fillId="4" borderId="103" xfId="0" applyFont="1" applyFill="1" applyBorder="1" applyAlignment="1">
      <alignment horizontal="center" vertical="center" wrapText="1"/>
    </xf>
    <xf numFmtId="0" fontId="0" fillId="2" borderId="106" xfId="0" applyFill="1" applyBorder="1" applyAlignment="1">
      <alignment horizontal="center" vertical="center" wrapText="1"/>
    </xf>
    <xf numFmtId="0" fontId="0" fillId="0" borderId="108" xfId="0" applyBorder="1" applyAlignment="1">
      <alignment horizontal="center" vertical="center" wrapText="1"/>
    </xf>
    <xf numFmtId="0" fontId="10" fillId="4" borderId="102" xfId="0" applyFont="1" applyFill="1" applyBorder="1" applyAlignment="1">
      <alignment horizontal="center" vertical="center" wrapText="1"/>
    </xf>
    <xf numFmtId="0" fontId="10" fillId="4" borderId="104" xfId="0" applyFont="1" applyFill="1" applyBorder="1" applyAlignment="1">
      <alignment horizontal="center" vertical="center" wrapText="1"/>
    </xf>
    <xf numFmtId="0" fontId="0" fillId="2" borderId="102" xfId="0" applyFill="1" applyBorder="1" applyAlignment="1">
      <alignment horizontal="center" vertical="center" wrapText="1"/>
    </xf>
    <xf numFmtId="0" fontId="0" fillId="2" borderId="104" xfId="0" applyFill="1" applyBorder="1" applyAlignment="1">
      <alignment horizontal="center" vertical="center" wrapText="1"/>
    </xf>
    <xf numFmtId="0" fontId="0" fillId="0" borderId="49" xfId="0" applyBorder="1" applyAlignment="1">
      <alignment horizontal="center" vertical="center" wrapText="1"/>
    </xf>
    <xf numFmtId="0" fontId="10" fillId="4" borderId="100" xfId="0" applyFont="1" applyFill="1" applyBorder="1" applyAlignment="1">
      <alignment horizontal="center" vertical="center" wrapText="1"/>
    </xf>
    <xf numFmtId="0" fontId="0" fillId="0" borderId="109" xfId="0" applyBorder="1" applyAlignment="1">
      <alignment horizontal="center" vertical="center"/>
    </xf>
    <xf numFmtId="0" fontId="0" fillId="0" borderId="110" xfId="0" applyBorder="1" applyAlignment="1">
      <alignment horizontal="center" vertical="center"/>
    </xf>
    <xf numFmtId="17" fontId="0" fillId="0" borderId="111" xfId="0" applyNumberFormat="1" applyBorder="1" applyAlignment="1">
      <alignment horizontal="center" vertical="center"/>
    </xf>
    <xf numFmtId="0" fontId="0" fillId="0" borderId="112" xfId="0" applyBorder="1" applyAlignment="1">
      <alignment horizontal="center" vertical="center"/>
    </xf>
    <xf numFmtId="0" fontId="0" fillId="0" borderId="113" xfId="0" applyBorder="1" applyAlignment="1">
      <alignment horizontal="center" vertical="center"/>
    </xf>
    <xf numFmtId="17" fontId="0" fillId="0" borderId="114" xfId="0" applyNumberFormat="1" applyBorder="1" applyAlignment="1">
      <alignment horizontal="center" vertical="center"/>
    </xf>
    <xf numFmtId="0" fontId="0" fillId="0" borderId="114" xfId="0" applyBorder="1" applyAlignment="1">
      <alignment horizontal="center" vertical="center"/>
    </xf>
    <xf numFmtId="0" fontId="0" fillId="0" borderId="113" xfId="0" quotePrefix="1" applyBorder="1" applyAlignment="1">
      <alignment horizontal="center" vertical="center"/>
    </xf>
    <xf numFmtId="0" fontId="10" fillId="0" borderId="113" xfId="0" quotePrefix="1" applyFont="1" applyBorder="1" applyAlignment="1">
      <alignment horizontal="center" vertical="center"/>
    </xf>
    <xf numFmtId="0" fontId="10" fillId="0" borderId="112" xfId="0" applyFont="1" applyBorder="1" applyAlignment="1">
      <alignment horizontal="center" vertical="center"/>
    </xf>
    <xf numFmtId="0" fontId="10" fillId="0" borderId="113" xfId="0" applyFont="1" applyBorder="1" applyAlignment="1">
      <alignment horizontal="center" vertical="center"/>
    </xf>
    <xf numFmtId="0" fontId="18" fillId="0" borderId="113" xfId="0" quotePrefix="1" applyFont="1" applyBorder="1" applyAlignment="1">
      <alignment horizontal="center" vertical="center"/>
    </xf>
    <xf numFmtId="17" fontId="18" fillId="0" borderId="114" xfId="0" applyNumberFormat="1" applyFont="1" applyBorder="1" applyAlignment="1">
      <alignment horizontal="center" vertical="center"/>
    </xf>
    <xf numFmtId="0" fontId="18" fillId="0" borderId="113" xfId="0" applyFont="1" applyBorder="1" applyAlignment="1">
      <alignment horizontal="center" vertical="center"/>
    </xf>
    <xf numFmtId="0" fontId="10" fillId="18" borderId="113" xfId="0" quotePrefix="1" applyFont="1" applyFill="1" applyBorder="1" applyAlignment="1">
      <alignment horizontal="center" vertical="center"/>
    </xf>
    <xf numFmtId="17" fontId="10" fillId="18" borderId="114" xfId="0" applyNumberFormat="1" applyFont="1" applyFill="1" applyBorder="1" applyAlignment="1">
      <alignment horizontal="center" vertical="center"/>
    </xf>
    <xf numFmtId="0" fontId="0" fillId="18" borderId="113" xfId="0" applyFill="1" applyBorder="1" applyAlignment="1">
      <alignment horizontal="center" vertical="center"/>
    </xf>
    <xf numFmtId="17" fontId="0" fillId="18" borderId="114" xfId="0" applyNumberFormat="1" applyFill="1" applyBorder="1" applyAlignment="1">
      <alignment horizontal="center" vertical="center"/>
    </xf>
    <xf numFmtId="0" fontId="0" fillId="19" borderId="112" xfId="0" applyFill="1" applyBorder="1" applyAlignment="1">
      <alignment horizontal="center" vertical="center"/>
    </xf>
    <xf numFmtId="0" fontId="0" fillId="18" borderId="113" xfId="0" quotePrefix="1" applyFill="1" applyBorder="1" applyAlignment="1">
      <alignment horizontal="center" vertical="center"/>
    </xf>
    <xf numFmtId="0" fontId="20" fillId="13" borderId="106" xfId="0" applyFont="1" applyFill="1" applyBorder="1" applyAlignment="1">
      <alignment horizontal="center" vertical="center" wrapText="1"/>
    </xf>
    <xf numFmtId="0" fontId="0" fillId="20" borderId="0" xfId="0" applyFill="1" applyAlignment="1">
      <alignment horizontal="left" vertical="center" wrapText="1"/>
    </xf>
    <xf numFmtId="0" fontId="3" fillId="11" borderId="1" xfId="0" applyFont="1" applyFill="1" applyBorder="1" applyAlignment="1">
      <alignment horizontal="center" vertical="center" wrapText="1"/>
    </xf>
    <xf numFmtId="0" fontId="0" fillId="20" borderId="0" xfId="0" applyFill="1" applyAlignment="1">
      <alignment vertical="center" wrapText="1"/>
    </xf>
    <xf numFmtId="0" fontId="0" fillId="21" borderId="39" xfId="0" applyFill="1" applyBorder="1" applyAlignment="1">
      <alignment horizontal="center" vertical="center" wrapText="1"/>
    </xf>
    <xf numFmtId="0" fontId="0" fillId="0" borderId="45" xfId="0" quotePrefix="1" applyBorder="1" applyAlignment="1">
      <alignment horizontal="center" vertical="center" wrapText="1"/>
    </xf>
    <xf numFmtId="0" fontId="3" fillId="5" borderId="46" xfId="0" applyFont="1" applyFill="1" applyBorder="1" applyAlignment="1">
      <alignment horizontal="center" vertical="center" wrapText="1"/>
    </xf>
    <xf numFmtId="0" fontId="3" fillId="5" borderId="65"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20" fillId="4" borderId="67"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4" borderId="20" xfId="0" applyFont="1" applyFill="1" applyBorder="1" applyAlignment="1">
      <alignment horizontal="center" vertical="center" wrapText="1"/>
    </xf>
    <xf numFmtId="0" fontId="10" fillId="4" borderId="67"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8" fillId="4" borderId="67"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20" fillId="4" borderId="103" xfId="0" applyFont="1" applyFill="1" applyBorder="1" applyAlignment="1">
      <alignment horizontal="center" vertical="center" wrapText="1"/>
    </xf>
    <xf numFmtId="0" fontId="20" fillId="4" borderId="102" xfId="0" applyFont="1" applyFill="1" applyBorder="1" applyAlignment="1">
      <alignment horizontal="center" vertical="center" wrapText="1"/>
    </xf>
    <xf numFmtId="0" fontId="20" fillId="4" borderId="104" xfId="0" applyFont="1" applyFill="1" applyBorder="1" applyAlignment="1">
      <alignment horizontal="center" vertical="center" wrapText="1"/>
    </xf>
    <xf numFmtId="0" fontId="3" fillId="5" borderId="97" xfId="0" applyFont="1" applyFill="1" applyBorder="1" applyAlignment="1">
      <alignment horizontal="center" vertical="center" wrapText="1"/>
    </xf>
    <xf numFmtId="0" fontId="3" fillId="5" borderId="100" xfId="0" applyFont="1" applyFill="1" applyBorder="1" applyAlignment="1">
      <alignment horizontal="center" vertical="center" wrapText="1"/>
    </xf>
    <xf numFmtId="0" fontId="3" fillId="5" borderId="108" xfId="0" applyFont="1" applyFill="1" applyBorder="1" applyAlignment="1">
      <alignment horizontal="center" vertical="center" wrapText="1"/>
    </xf>
    <xf numFmtId="0" fontId="21" fillId="15" borderId="30" xfId="0" applyFont="1" applyFill="1" applyBorder="1" applyAlignment="1">
      <alignment horizontal="center" vertical="center" wrapText="1"/>
    </xf>
    <xf numFmtId="0" fontId="21" fillId="15" borderId="53" xfId="0" applyFont="1" applyFill="1" applyBorder="1" applyAlignment="1">
      <alignment horizontal="center" vertical="center" wrapText="1"/>
    </xf>
    <xf numFmtId="0" fontId="21" fillId="15" borderId="31" xfId="0" applyFont="1" applyFill="1" applyBorder="1" applyAlignment="1">
      <alignment horizontal="center" vertical="center" wrapText="1"/>
    </xf>
    <xf numFmtId="0" fontId="21" fillId="15" borderId="26" xfId="0" applyFont="1" applyFill="1" applyBorder="1" applyAlignment="1">
      <alignment horizontal="center" vertical="center" wrapText="1"/>
    </xf>
    <xf numFmtId="0" fontId="20" fillId="4" borderId="70" xfId="0" quotePrefix="1" applyFont="1" applyFill="1" applyBorder="1" applyAlignment="1">
      <alignment horizontal="center" vertical="center" wrapText="1"/>
    </xf>
    <xf numFmtId="0" fontId="20" fillId="4" borderId="29" xfId="0" quotePrefix="1" applyFont="1" applyFill="1" applyBorder="1" applyAlignment="1">
      <alignment horizontal="center" vertical="center" wrapText="1"/>
    </xf>
    <xf numFmtId="0" fontId="20" fillId="4" borderId="38" xfId="0" quotePrefix="1" applyFont="1" applyFill="1" applyBorder="1" applyAlignment="1">
      <alignment horizontal="center" vertical="center" wrapText="1"/>
    </xf>
    <xf numFmtId="0" fontId="21" fillId="4" borderId="70" xfId="0" applyFont="1" applyFill="1" applyBorder="1" applyAlignment="1">
      <alignment horizontal="center" vertical="center" wrapText="1"/>
    </xf>
    <xf numFmtId="0" fontId="21" fillId="4" borderId="29" xfId="0" applyFont="1" applyFill="1" applyBorder="1" applyAlignment="1">
      <alignment horizontal="center" vertical="center" wrapText="1"/>
    </xf>
    <xf numFmtId="0" fontId="21" fillId="4" borderId="38" xfId="0" applyFont="1" applyFill="1" applyBorder="1" applyAlignment="1">
      <alignment horizontal="center" vertical="center" wrapText="1"/>
    </xf>
    <xf numFmtId="0" fontId="20" fillId="4" borderId="70" xfId="0" applyFont="1" applyFill="1" applyBorder="1" applyAlignment="1">
      <alignment horizontal="center" vertical="center" wrapText="1"/>
    </xf>
    <xf numFmtId="0" fontId="20" fillId="4" borderId="29" xfId="0" applyFont="1" applyFill="1" applyBorder="1" applyAlignment="1">
      <alignment horizontal="center" vertical="center" wrapText="1"/>
    </xf>
    <xf numFmtId="0" fontId="20" fillId="4" borderId="38" xfId="0" applyFont="1" applyFill="1" applyBorder="1" applyAlignment="1">
      <alignment horizontal="center" vertical="center" wrapText="1"/>
    </xf>
    <xf numFmtId="0" fontId="27" fillId="5" borderId="63" xfId="0" applyFont="1" applyFill="1" applyBorder="1" applyAlignment="1">
      <alignment horizontal="center" vertical="center" wrapText="1"/>
    </xf>
    <xf numFmtId="0" fontId="27" fillId="5" borderId="49" xfId="0" applyFont="1" applyFill="1" applyBorder="1" applyAlignment="1">
      <alignment horizontal="center" vertical="center" wrapText="1"/>
    </xf>
    <xf numFmtId="0" fontId="28" fillId="5" borderId="63" xfId="0" applyFont="1" applyFill="1" applyBorder="1" applyAlignment="1">
      <alignment horizontal="center" vertical="center" wrapText="1"/>
    </xf>
    <xf numFmtId="0" fontId="28" fillId="5" borderId="49" xfId="0" applyFont="1" applyFill="1" applyBorder="1" applyAlignment="1">
      <alignment horizontal="center" vertical="center" wrapText="1"/>
    </xf>
    <xf numFmtId="0" fontId="3" fillId="4" borderId="63" xfId="0" applyFont="1" applyFill="1" applyBorder="1" applyAlignment="1">
      <alignment horizontal="center" vertical="center" wrapText="1"/>
    </xf>
    <xf numFmtId="0" fontId="3" fillId="4" borderId="45" xfId="0" applyFont="1" applyFill="1" applyBorder="1" applyAlignment="1">
      <alignment horizontal="center" vertical="center" wrapText="1"/>
    </xf>
    <xf numFmtId="0" fontId="3" fillId="4" borderId="49" xfId="0" applyFont="1" applyFill="1" applyBorder="1" applyAlignment="1">
      <alignment horizontal="center" vertical="center" wrapText="1"/>
    </xf>
    <xf numFmtId="0" fontId="3" fillId="14" borderId="63" xfId="0" applyFont="1" applyFill="1" applyBorder="1" applyAlignment="1">
      <alignment horizontal="center" vertical="center" wrapText="1"/>
    </xf>
    <xf numFmtId="0" fontId="3" fillId="14" borderId="64" xfId="0" applyFont="1" applyFill="1" applyBorder="1" applyAlignment="1">
      <alignment horizontal="center" vertical="center" wrapText="1"/>
    </xf>
    <xf numFmtId="0" fontId="3" fillId="14" borderId="49" xfId="0" applyFont="1" applyFill="1" applyBorder="1" applyAlignment="1">
      <alignment horizontal="center" vertical="center" wrapText="1"/>
    </xf>
    <xf numFmtId="0" fontId="3" fillId="14" borderId="7" xfId="0" applyFont="1" applyFill="1" applyBorder="1" applyAlignment="1">
      <alignment horizontal="center" vertical="center" wrapText="1"/>
    </xf>
    <xf numFmtId="0" fontId="3" fillId="14" borderId="46"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27" fillId="5" borderId="45" xfId="0" applyFont="1" applyFill="1" applyBorder="1"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3" fillId="0" borderId="19" xfId="0" applyFont="1" applyBorder="1" applyAlignment="1">
      <alignment horizontal="center" vertical="center"/>
    </xf>
    <xf numFmtId="0" fontId="3" fillId="0" borderId="24" xfId="0" applyFont="1" applyBorder="1" applyAlignment="1">
      <alignment horizontal="center" vertical="center"/>
    </xf>
    <xf numFmtId="0" fontId="3" fillId="0" borderId="16" xfId="0" applyFont="1" applyBorder="1" applyAlignment="1">
      <alignment horizontal="center" vertical="center"/>
    </xf>
    <xf numFmtId="0" fontId="3" fillId="0" borderId="20" xfId="0" applyFont="1" applyBorder="1" applyAlignment="1">
      <alignment horizontal="center" vertical="center"/>
    </xf>
    <xf numFmtId="0" fontId="3" fillId="0" borderId="17" xfId="0" applyFont="1" applyBorder="1" applyAlignment="1">
      <alignment horizontal="center" vertical="center" wrapText="1"/>
    </xf>
    <xf numFmtId="0" fontId="3" fillId="0" borderId="17" xfId="0" applyFont="1" applyBorder="1" applyAlignment="1">
      <alignment horizontal="center" vertical="center"/>
    </xf>
    <xf numFmtId="0" fontId="3" fillId="0" borderId="22" xfId="0" applyFont="1" applyBorder="1" applyAlignment="1">
      <alignment horizontal="center" vertical="center"/>
    </xf>
    <xf numFmtId="0" fontId="3" fillId="2" borderId="17" xfId="0" applyFont="1" applyFill="1" applyBorder="1" applyAlignment="1">
      <alignment horizontal="center" vertical="center"/>
    </xf>
    <xf numFmtId="0" fontId="3" fillId="2" borderId="22" xfId="0" applyFont="1" applyFill="1" applyBorder="1" applyAlignment="1">
      <alignment horizontal="center" vertical="center"/>
    </xf>
    <xf numFmtId="0" fontId="3" fillId="0" borderId="25" xfId="0" applyFont="1" applyBorder="1" applyAlignment="1">
      <alignment horizontal="center" vertical="center"/>
    </xf>
    <xf numFmtId="0" fontId="3" fillId="0" borderId="23" xfId="0" applyFont="1" applyBorder="1" applyAlignment="1">
      <alignment horizontal="center" vertical="center" wrapText="1"/>
    </xf>
    <xf numFmtId="0" fontId="3" fillId="0" borderId="14" xfId="0" applyFont="1" applyBorder="1" applyAlignment="1">
      <alignment horizontal="center" vertical="center"/>
    </xf>
    <xf numFmtId="0" fontId="5" fillId="0" borderId="23" xfId="0" applyFont="1" applyBorder="1" applyAlignment="1">
      <alignment horizontal="center" vertical="center" wrapText="1"/>
    </xf>
    <xf numFmtId="0" fontId="5" fillId="0" borderId="17" xfId="0" applyFont="1" applyBorder="1" applyAlignment="1">
      <alignment horizontal="center" vertical="center"/>
    </xf>
    <xf numFmtId="0" fontId="5" fillId="0" borderId="14" xfId="0" applyFont="1" applyBorder="1" applyAlignment="1">
      <alignment horizontal="center" vertical="center"/>
    </xf>
    <xf numFmtId="0" fontId="3" fillId="2" borderId="23" xfId="0" applyFont="1" applyFill="1" applyBorder="1" applyAlignment="1">
      <alignment horizontal="center" vertical="center"/>
    </xf>
    <xf numFmtId="0" fontId="3" fillId="2" borderId="14" xfId="0" applyFont="1" applyFill="1" applyBorder="1" applyAlignment="1">
      <alignment horizontal="center" vertical="center"/>
    </xf>
    <xf numFmtId="0" fontId="3" fillId="0" borderId="23" xfId="0" applyFont="1" applyBorder="1" applyAlignment="1">
      <alignment horizontal="center" vertical="center"/>
    </xf>
    <xf numFmtId="0" fontId="5" fillId="0" borderId="17" xfId="0" applyFont="1" applyBorder="1" applyAlignment="1">
      <alignment horizontal="center" vertical="center" wrapText="1"/>
    </xf>
    <xf numFmtId="0" fontId="5" fillId="0" borderId="22" xfId="0" applyFont="1" applyBorder="1" applyAlignment="1">
      <alignment horizontal="center" vertical="center"/>
    </xf>
    <xf numFmtId="0" fontId="3" fillId="0" borderId="28" xfId="0" applyFont="1" applyBorder="1" applyAlignment="1">
      <alignment horizontal="center" vertical="center"/>
    </xf>
    <xf numFmtId="0" fontId="3" fillId="0" borderId="34" xfId="0" applyFont="1" applyBorder="1" applyAlignment="1">
      <alignment horizontal="center" vertical="center"/>
    </xf>
    <xf numFmtId="0" fontId="3" fillId="0" borderId="6" xfId="0" applyFont="1" applyBorder="1" applyAlignment="1">
      <alignment horizontal="center" vertical="center"/>
    </xf>
    <xf numFmtId="0" fontId="3" fillId="0" borderId="29" xfId="0" applyFont="1"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5" fillId="0" borderId="30" xfId="0" applyFont="1" applyBorder="1" applyAlignment="1">
      <alignment horizontal="center" vertical="center"/>
    </xf>
    <xf numFmtId="0" fontId="5" fillId="0" borderId="35" xfId="0" applyFont="1" applyBorder="1" applyAlignment="1">
      <alignment horizontal="center" vertical="center"/>
    </xf>
    <xf numFmtId="0" fontId="0" fillId="2" borderId="33" xfId="0" applyFill="1" applyBorder="1" applyAlignment="1">
      <alignment horizontal="center" vertical="center"/>
    </xf>
    <xf numFmtId="0" fontId="0" fillId="2" borderId="17" xfId="0" applyFill="1" applyBorder="1" applyAlignment="1">
      <alignment horizontal="center" vertical="center"/>
    </xf>
    <xf numFmtId="0" fontId="0" fillId="2" borderId="22" xfId="0" applyFill="1" applyBorder="1" applyAlignment="1">
      <alignment horizontal="center" vertical="center"/>
    </xf>
    <xf numFmtId="0" fontId="0" fillId="0" borderId="33" xfId="0" applyBorder="1" applyAlignment="1">
      <alignment horizontal="center" vertical="center"/>
    </xf>
    <xf numFmtId="0" fontId="0" fillId="0" borderId="17" xfId="0" applyBorder="1" applyAlignment="1">
      <alignment horizontal="center" vertical="center"/>
    </xf>
    <xf numFmtId="0" fontId="0" fillId="0" borderId="22" xfId="0" applyBorder="1" applyAlignment="1">
      <alignment horizontal="center" vertical="center"/>
    </xf>
    <xf numFmtId="0" fontId="0" fillId="2" borderId="23" xfId="0" applyFill="1" applyBorder="1" applyAlignment="1">
      <alignment horizontal="center" vertical="center"/>
    </xf>
    <xf numFmtId="0" fontId="0" fillId="0" borderId="23" xfId="0" applyBorder="1" applyAlignment="1">
      <alignment horizontal="center" vertical="center"/>
    </xf>
    <xf numFmtId="0" fontId="0" fillId="3" borderId="23" xfId="0" applyFill="1" applyBorder="1" applyAlignment="1">
      <alignment horizontal="center" vertical="center"/>
    </xf>
    <xf numFmtId="0" fontId="0" fillId="3" borderId="17" xfId="0" applyFill="1" applyBorder="1" applyAlignment="1">
      <alignment horizontal="center" vertical="center"/>
    </xf>
    <xf numFmtId="0" fontId="0" fillId="3" borderId="14" xfId="0" applyFill="1" applyBorder="1" applyAlignment="1">
      <alignment horizontal="center" vertical="center"/>
    </xf>
    <xf numFmtId="0" fontId="0" fillId="2" borderId="14" xfId="0" applyFill="1" applyBorder="1" applyAlignment="1">
      <alignment horizontal="center" vertical="center"/>
    </xf>
    <xf numFmtId="0" fontId="0" fillId="0" borderId="14" xfId="0" applyBorder="1" applyAlignment="1">
      <alignment horizontal="center" vertical="center"/>
    </xf>
    <xf numFmtId="0" fontId="5" fillId="0" borderId="8" xfId="0" applyFont="1" applyBorder="1" applyAlignment="1">
      <alignment horizontal="center"/>
    </xf>
    <xf numFmtId="0" fontId="5" fillId="0" borderId="50" xfId="0" applyFont="1" applyBorder="1" applyAlignment="1">
      <alignment horizontal="center"/>
    </xf>
    <xf numFmtId="0" fontId="5" fillId="0" borderId="3" xfId="0" applyFont="1" applyBorder="1" applyAlignment="1">
      <alignment horizontal="center"/>
    </xf>
    <xf numFmtId="0" fontId="3" fillId="0" borderId="41" xfId="0" applyFont="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3" fillId="0" borderId="42" xfId="0" applyFont="1" applyBorder="1" applyAlignment="1">
      <alignment horizontal="center" vertical="center"/>
    </xf>
    <xf numFmtId="0" fontId="13" fillId="0" borderId="43" xfId="0" applyFont="1" applyBorder="1" applyAlignment="1">
      <alignment horizontal="center" wrapText="1"/>
    </xf>
    <xf numFmtId="0" fontId="13" fillId="0" borderId="44" xfId="0" applyFont="1" applyBorder="1" applyAlignment="1">
      <alignment horizontal="center" wrapText="1"/>
    </xf>
    <xf numFmtId="0" fontId="0" fillId="0" borderId="8" xfId="0" applyBorder="1" applyAlignment="1">
      <alignment horizontal="center"/>
    </xf>
    <xf numFmtId="0" fontId="0" fillId="0" borderId="50" xfId="0" applyBorder="1" applyAlignment="1">
      <alignment horizontal="center"/>
    </xf>
    <xf numFmtId="0" fontId="0" fillId="0" borderId="3" xfId="0" applyBorder="1" applyAlignment="1">
      <alignment horizont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16" xfId="0" applyBorder="1" applyAlignment="1">
      <alignment horizontal="center" vertical="center"/>
    </xf>
    <xf numFmtId="0" fontId="0" fillId="0" borderId="57" xfId="0" applyBorder="1" applyAlignment="1">
      <alignment horizontal="center" vertical="center"/>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0" fillId="0" borderId="58" xfId="0" applyBorder="1" applyAlignment="1">
      <alignment horizontal="center" vertical="center"/>
    </xf>
    <xf numFmtId="0" fontId="0" fillId="0" borderId="45" xfId="0" applyBorder="1" applyAlignment="1">
      <alignment horizontal="center" vertical="center"/>
    </xf>
    <xf numFmtId="0" fontId="0" fillId="0" borderId="59" xfId="0" applyBorder="1" applyAlignment="1">
      <alignment horizontal="center" vertical="center"/>
    </xf>
    <xf numFmtId="0" fontId="0" fillId="0" borderId="51" xfId="0" applyBorder="1" applyAlignment="1">
      <alignment horizontal="center" vertical="center"/>
    </xf>
    <xf numFmtId="0" fontId="0" fillId="0" borderId="0" xfId="0" applyAlignment="1">
      <alignment horizontal="center" vertical="center"/>
    </xf>
    <xf numFmtId="0" fontId="0" fillId="0" borderId="52" xfId="0" applyBorder="1" applyAlignment="1">
      <alignment horizontal="center" vertical="center"/>
    </xf>
    <xf numFmtId="0" fontId="0" fillId="0" borderId="60" xfId="0" applyBorder="1" applyAlignment="1">
      <alignment horizontal="center" vertical="center"/>
    </xf>
    <xf numFmtId="0" fontId="5" fillId="0" borderId="58" xfId="0" applyFont="1" applyBorder="1" applyAlignment="1">
      <alignment horizontal="center" vertical="center"/>
    </xf>
    <xf numFmtId="0" fontId="5" fillId="0" borderId="45" xfId="0" applyFont="1" applyBorder="1" applyAlignment="1">
      <alignment horizontal="center" vertical="center"/>
    </xf>
    <xf numFmtId="0" fontId="5" fillId="0" borderId="59" xfId="0" applyFont="1" applyBorder="1" applyAlignment="1">
      <alignment horizontal="center" vertical="center"/>
    </xf>
    <xf numFmtId="0" fontId="5" fillId="0" borderId="51" xfId="0" applyFont="1" applyBorder="1" applyAlignment="1">
      <alignment horizontal="center" vertical="center"/>
    </xf>
    <xf numFmtId="0" fontId="5" fillId="0" borderId="0" xfId="0" applyFont="1" applyAlignment="1">
      <alignment horizontal="center" vertical="center"/>
    </xf>
    <xf numFmtId="0" fontId="5" fillId="0" borderId="40" xfId="0" applyFont="1" applyBorder="1" applyAlignment="1">
      <alignment horizontal="center" vertical="center"/>
    </xf>
    <xf numFmtId="0" fontId="5" fillId="0" borderId="52" xfId="0" applyFont="1" applyBorder="1" applyAlignment="1">
      <alignment horizontal="center" vertical="center"/>
    </xf>
    <xf numFmtId="0" fontId="5" fillId="0" borderId="60" xfId="0" applyFont="1" applyBorder="1" applyAlignment="1">
      <alignment horizontal="center" vertical="center"/>
    </xf>
    <xf numFmtId="0" fontId="5" fillId="0" borderId="48" xfId="0" applyFont="1" applyBorder="1" applyAlignment="1">
      <alignment horizontal="center" vertical="center"/>
    </xf>
    <xf numFmtId="0" fontId="0" fillId="0" borderId="8" xfId="0" applyBorder="1" applyAlignment="1">
      <alignment horizontal="center" vertical="center"/>
    </xf>
    <xf numFmtId="0" fontId="0" fillId="0" borderId="50"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wrapText="1"/>
    </xf>
    <xf numFmtId="0" fontId="5" fillId="0" borderId="8" xfId="0" applyFont="1" applyBorder="1" applyAlignment="1">
      <alignment horizontal="center" vertical="center"/>
    </xf>
    <xf numFmtId="0" fontId="5" fillId="0" borderId="50" xfId="0" applyFont="1" applyBorder="1" applyAlignment="1">
      <alignment horizontal="center" vertical="center"/>
    </xf>
    <xf numFmtId="0" fontId="5" fillId="0" borderId="3" xfId="0" applyFont="1" applyBorder="1" applyAlignment="1">
      <alignment horizontal="center" vertical="center"/>
    </xf>
    <xf numFmtId="0" fontId="0" fillId="0" borderId="61" xfId="0" applyBorder="1" applyAlignment="1">
      <alignment horizontal="center" vertical="center"/>
    </xf>
    <xf numFmtId="0" fontId="0" fillId="0" borderId="29" xfId="0" applyBorder="1" applyAlignment="1">
      <alignment horizontal="center" vertical="center"/>
    </xf>
    <xf numFmtId="0" fontId="0" fillId="0" borderId="62" xfId="0" applyBorder="1" applyAlignment="1">
      <alignment horizontal="center" vertical="center"/>
    </xf>
    <xf numFmtId="0" fontId="5" fillId="0" borderId="61" xfId="0" applyFont="1" applyBorder="1" applyAlignment="1">
      <alignment horizontal="center" vertical="center"/>
    </xf>
    <xf numFmtId="0" fontId="5" fillId="0" borderId="29" xfId="0" applyFont="1" applyBorder="1" applyAlignment="1">
      <alignment horizontal="center" vertical="center"/>
    </xf>
    <xf numFmtId="0" fontId="5" fillId="0" borderId="62" xfId="0" applyFont="1" applyBorder="1" applyAlignment="1">
      <alignment horizontal="center" vertical="center"/>
    </xf>
    <xf numFmtId="0" fontId="6" fillId="0" borderId="52" xfId="0" applyFont="1" applyBorder="1" applyAlignment="1">
      <alignment horizontal="center" vertical="center"/>
    </xf>
    <xf numFmtId="0" fontId="6" fillId="0" borderId="60" xfId="0" applyFont="1" applyBorder="1" applyAlignment="1">
      <alignment horizontal="center" vertical="center"/>
    </xf>
    <xf numFmtId="0" fontId="6" fillId="0" borderId="48" xfId="0" applyFont="1" applyBorder="1" applyAlignment="1">
      <alignment horizontal="center" vertical="center"/>
    </xf>
    <xf numFmtId="0" fontId="7" fillId="0" borderId="52" xfId="0" applyFont="1" applyBorder="1" applyAlignment="1">
      <alignment horizontal="center" vertical="center"/>
    </xf>
    <xf numFmtId="0" fontId="7" fillId="0" borderId="60" xfId="0" applyFont="1" applyBorder="1" applyAlignment="1">
      <alignment horizontal="center" vertical="center"/>
    </xf>
    <xf numFmtId="0" fontId="7" fillId="0" borderId="48" xfId="0" applyFont="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colors>
    <mruColors>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r/sites/IngegneriaETReMezziLeggeri-Trenitalia/"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5F947-8F7B-433A-AEFF-8EA3AC35E8C7}">
  <sheetPr codeName="Foglio1"/>
  <dimension ref="A1:C5"/>
  <sheetViews>
    <sheetView workbookViewId="0">
      <selection activeCell="C17" sqref="C17"/>
    </sheetView>
  </sheetViews>
  <sheetFormatPr defaultColWidth="8.7109375" defaultRowHeight="15" x14ac:dyDescent="0.25"/>
  <cols>
    <col min="1" max="2" width="10.85546875" style="13" customWidth="1"/>
    <col min="3" max="3" width="59" style="13" customWidth="1"/>
    <col min="4" max="16384" width="8.7109375" style="13"/>
  </cols>
  <sheetData>
    <row r="1" spans="1:3" s="210" customFormat="1" x14ac:dyDescent="0.25">
      <c r="A1" s="176" t="s">
        <v>429</v>
      </c>
      <c r="B1" s="176" t="s">
        <v>1066</v>
      </c>
      <c r="C1" s="176" t="s">
        <v>25</v>
      </c>
    </row>
    <row r="2" spans="1:3" x14ac:dyDescent="0.25">
      <c r="A2" s="7" t="s">
        <v>1129</v>
      </c>
      <c r="B2" s="211">
        <v>46190</v>
      </c>
      <c r="C2" s="145" t="s">
        <v>1181</v>
      </c>
    </row>
    <row r="3" spans="1:3" x14ac:dyDescent="0.25">
      <c r="A3" s="145"/>
      <c r="B3" s="145"/>
      <c r="C3" s="145"/>
    </row>
    <row r="4" spans="1:3" x14ac:dyDescent="0.25">
      <c r="A4" s="145"/>
      <c r="B4" s="145"/>
      <c r="C4" s="145"/>
    </row>
    <row r="5" spans="1:3" x14ac:dyDescent="0.25">
      <c r="A5" s="145"/>
      <c r="B5" s="145"/>
      <c r="C5" s="1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F844-61EF-4367-B123-1E805B2B9368}">
  <sheetPr codeName="Foglio2"/>
  <dimension ref="A1:E13"/>
  <sheetViews>
    <sheetView topLeftCell="A11" workbookViewId="0">
      <selection activeCell="D12" sqref="D12"/>
    </sheetView>
  </sheetViews>
  <sheetFormatPr defaultColWidth="8.7109375" defaultRowHeight="15" x14ac:dyDescent="0.25"/>
  <cols>
    <col min="1" max="1" width="15.5703125" style="14" customWidth="1"/>
    <col min="2" max="2" width="13.85546875" style="14" customWidth="1"/>
    <col min="3" max="3" width="8.7109375" style="14"/>
    <col min="4" max="4" width="120.7109375" style="103" customWidth="1"/>
    <col min="5" max="5" width="60.140625" style="103" customWidth="1"/>
    <col min="6" max="16384" width="8.7109375" style="13"/>
  </cols>
  <sheetData>
    <row r="1" spans="1:5" s="214" customFormat="1" ht="23.45" customHeight="1" x14ac:dyDescent="0.25">
      <c r="A1" s="176" t="s">
        <v>1066</v>
      </c>
      <c r="B1" s="176" t="s">
        <v>1168</v>
      </c>
      <c r="C1" s="176" t="s">
        <v>1169</v>
      </c>
      <c r="D1" s="466" t="s">
        <v>25</v>
      </c>
      <c r="E1" s="466" t="s">
        <v>1415</v>
      </c>
    </row>
    <row r="2" spans="1:5" ht="30" x14ac:dyDescent="0.25">
      <c r="A2" s="333">
        <v>46190</v>
      </c>
      <c r="B2" s="14" t="s">
        <v>1170</v>
      </c>
      <c r="C2" s="14" t="s">
        <v>1450</v>
      </c>
      <c r="D2" s="103" t="s">
        <v>1124</v>
      </c>
      <c r="E2" s="103" t="s">
        <v>1416</v>
      </c>
    </row>
    <row r="3" spans="1:5" x14ac:dyDescent="0.25">
      <c r="A3" s="333">
        <v>46190</v>
      </c>
      <c r="B3" s="14" t="s">
        <v>1170</v>
      </c>
      <c r="C3" s="14" t="s">
        <v>1450</v>
      </c>
      <c r="D3" s="103" t="s">
        <v>1125</v>
      </c>
      <c r="E3" s="103" t="s">
        <v>1417</v>
      </c>
    </row>
    <row r="4" spans="1:5" x14ac:dyDescent="0.25">
      <c r="A4" s="333">
        <v>46190</v>
      </c>
      <c r="B4" s="14" t="s">
        <v>1171</v>
      </c>
      <c r="C4" s="14" t="s">
        <v>1450</v>
      </c>
      <c r="D4" s="103" t="s">
        <v>1127</v>
      </c>
      <c r="E4" s="103" t="s">
        <v>1418</v>
      </c>
    </row>
    <row r="5" spans="1:5" ht="45" x14ac:dyDescent="0.25">
      <c r="A5" s="333">
        <v>46190</v>
      </c>
      <c r="B5" s="14" t="s">
        <v>1170</v>
      </c>
      <c r="C5" s="14" t="s">
        <v>1450</v>
      </c>
      <c r="D5" s="103" t="s">
        <v>1126</v>
      </c>
      <c r="E5" s="103" t="s">
        <v>1419</v>
      </c>
    </row>
    <row r="6" spans="1:5" x14ac:dyDescent="0.25">
      <c r="A6" s="333">
        <v>46189</v>
      </c>
      <c r="B6" s="14" t="s">
        <v>1171</v>
      </c>
      <c r="C6" s="14" t="s">
        <v>1451</v>
      </c>
      <c r="D6" s="103" t="s">
        <v>1068</v>
      </c>
      <c r="E6" s="103" t="s">
        <v>1420</v>
      </c>
    </row>
    <row r="7" spans="1:5" ht="45" x14ac:dyDescent="0.25">
      <c r="A7" s="333">
        <v>46189</v>
      </c>
      <c r="B7" s="14" t="s">
        <v>1171</v>
      </c>
      <c r="C7" s="14" t="s">
        <v>1452</v>
      </c>
      <c r="D7" s="103" t="s">
        <v>1075</v>
      </c>
      <c r="E7" s="103" t="s">
        <v>1421</v>
      </c>
    </row>
    <row r="8" spans="1:5" x14ac:dyDescent="0.25">
      <c r="A8" s="333">
        <v>46189</v>
      </c>
      <c r="B8" s="14" t="s">
        <v>1171</v>
      </c>
      <c r="C8" s="14" t="s">
        <v>1451</v>
      </c>
      <c r="D8" s="103" t="s">
        <v>1067</v>
      </c>
      <c r="E8" s="103" t="s">
        <v>1062</v>
      </c>
    </row>
    <row r="9" spans="1:5" x14ac:dyDescent="0.25">
      <c r="A9" s="333">
        <v>46189</v>
      </c>
      <c r="B9" s="14" t="s">
        <v>1171</v>
      </c>
      <c r="C9" s="14" t="s">
        <v>1451</v>
      </c>
      <c r="D9" s="106" t="s">
        <v>1118</v>
      </c>
      <c r="E9" s="103" t="s">
        <v>1062</v>
      </c>
    </row>
    <row r="10" spans="1:5" x14ac:dyDescent="0.25">
      <c r="A10" s="333">
        <v>46189</v>
      </c>
      <c r="B10" s="14" t="s">
        <v>1171</v>
      </c>
      <c r="C10" s="14" t="s">
        <v>1451</v>
      </c>
      <c r="D10" s="103" t="s">
        <v>1172</v>
      </c>
      <c r="E10" s="103" t="s">
        <v>1062</v>
      </c>
    </row>
    <row r="11" spans="1:5" ht="60" x14ac:dyDescent="0.25">
      <c r="A11" s="333">
        <v>46196</v>
      </c>
      <c r="B11" s="14" t="s">
        <v>1171</v>
      </c>
      <c r="C11" s="14" t="s">
        <v>1450</v>
      </c>
      <c r="D11" s="467" t="s">
        <v>1413</v>
      </c>
      <c r="E11" s="103" t="s">
        <v>1422</v>
      </c>
    </row>
    <row r="12" spans="1:5" ht="105" x14ac:dyDescent="0.25">
      <c r="A12" s="333">
        <v>46196</v>
      </c>
      <c r="B12" s="14" t="s">
        <v>1171</v>
      </c>
      <c r="C12" s="14" t="s">
        <v>1450</v>
      </c>
      <c r="D12" s="467" t="s">
        <v>1414</v>
      </c>
      <c r="E12" s="103" t="s">
        <v>1423</v>
      </c>
    </row>
    <row r="13" spans="1:5" ht="30" x14ac:dyDescent="0.25">
      <c r="A13" s="333">
        <v>46197</v>
      </c>
      <c r="B13" s="14" t="s">
        <v>1170</v>
      </c>
      <c r="C13" s="14" t="s">
        <v>1452</v>
      </c>
      <c r="D13" s="103" t="s">
        <v>1453</v>
      </c>
      <c r="E13" s="103" t="s">
        <v>1454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D4C4-F0F3-4CC9-920D-4C3E2BF00D39}">
  <sheetPr codeName="Foglio7"/>
  <dimension ref="A1:E13"/>
  <sheetViews>
    <sheetView workbookViewId="0">
      <selection activeCell="D20" sqref="D20"/>
    </sheetView>
  </sheetViews>
  <sheetFormatPr defaultColWidth="8.7109375" defaultRowHeight="15" x14ac:dyDescent="0.25"/>
  <cols>
    <col min="1" max="1" width="30.85546875" style="13" bestFit="1" customWidth="1"/>
    <col min="2" max="2" width="23.85546875" style="13" bestFit="1" customWidth="1"/>
    <col min="3" max="3" width="6.5703125" style="13" bestFit="1" customWidth="1"/>
    <col min="4" max="4" width="139.42578125" style="104" bestFit="1" customWidth="1"/>
    <col min="5" max="5" width="8.7109375" style="14"/>
    <col min="6" max="16384" width="8.7109375" style="13"/>
  </cols>
  <sheetData>
    <row r="1" spans="1:5" ht="21.6" customHeight="1" x14ac:dyDescent="0.25">
      <c r="A1" s="193" t="s">
        <v>267</v>
      </c>
      <c r="B1" s="193" t="s">
        <v>973</v>
      </c>
      <c r="C1" s="193" t="s">
        <v>972</v>
      </c>
      <c r="D1" s="194" t="s">
        <v>968</v>
      </c>
      <c r="E1" s="194" t="s">
        <v>1074</v>
      </c>
    </row>
    <row r="2" spans="1:5" ht="21.6" customHeight="1" x14ac:dyDescent="0.25">
      <c r="A2" s="14" t="s">
        <v>969</v>
      </c>
      <c r="B2" s="14" t="s">
        <v>974</v>
      </c>
      <c r="C2" s="14">
        <v>0</v>
      </c>
      <c r="D2" s="192" t="s">
        <v>976</v>
      </c>
      <c r="E2" s="212" t="str">
        <f>HYPERLINK(D2,"🔗")</f>
        <v>🔗</v>
      </c>
    </row>
    <row r="3" spans="1:5" ht="21.6" customHeight="1" x14ac:dyDescent="0.25">
      <c r="A3" s="14" t="s">
        <v>978</v>
      </c>
      <c r="B3" s="14" t="s">
        <v>975</v>
      </c>
      <c r="C3" s="14">
        <v>1</v>
      </c>
      <c r="D3" s="192" t="str">
        <f>CONCATENATE($D$2,B3)</f>
        <v>https://gruppofsitaliane.sharepoint.com/:f:/r/sites/IngegneriaETReMezziLeggeri-Trenitalia/Shared%20Documents/</v>
      </c>
      <c r="E3" s="212" t="str">
        <f t="shared" ref="E3:E7" si="0">HYPERLINK(D3,"🔗")</f>
        <v>🔗</v>
      </c>
    </row>
    <row r="4" spans="1:5" ht="21.6" customHeight="1" x14ac:dyDescent="0.25">
      <c r="A4" s="14" t="s">
        <v>977</v>
      </c>
      <c r="B4" s="14" t="s">
        <v>1178</v>
      </c>
      <c r="C4" s="14">
        <v>2</v>
      </c>
      <c r="D4" s="192" t="str">
        <f>CONCATENATE($D$3,B4)</f>
        <v>https://gruppofsitaliane.sharepoint.com/:f:/r/sites/IngegneriaETReMezziLeggeri-Trenitalia/Shared%20Documents/DB_ETR1000/</v>
      </c>
      <c r="E4" s="212" t="str">
        <f t="shared" si="0"/>
        <v>🔗</v>
      </c>
    </row>
    <row r="5" spans="1:5" ht="21.6" customHeight="1" x14ac:dyDescent="0.25">
      <c r="A5" s="14" t="s">
        <v>970</v>
      </c>
      <c r="B5" s="14" t="s">
        <v>1179</v>
      </c>
      <c r="C5" s="14">
        <v>3</v>
      </c>
      <c r="D5" s="192" t="str">
        <f>CONCATENATE($D$4,B5)</f>
        <v>https://gruppofsitaliane.sharepoint.com/:f:/r/sites/IngegneriaETReMezziLeggeri-Trenitalia/Shared%20Documents/DB_ETR1000/DOC_FLOTTE/</v>
      </c>
      <c r="E5" s="212" t="str">
        <f t="shared" si="0"/>
        <v>🔗</v>
      </c>
    </row>
    <row r="6" spans="1:5" ht="21.6" customHeight="1" x14ac:dyDescent="0.25">
      <c r="A6" s="14" t="s">
        <v>971</v>
      </c>
      <c r="B6" s="14" t="s">
        <v>1180</v>
      </c>
      <c r="C6" s="14">
        <v>3</v>
      </c>
      <c r="D6" s="192" t="str">
        <f>CONCATENATE($D$4,B6)</f>
        <v>https://gruppofsitaliane.sharepoint.com/:f:/r/sites/IngegneriaETReMezziLeggeri-Trenitalia/Shared%20Documents/DB_ETR1000/DOC_FUNC/</v>
      </c>
      <c r="E6" s="212" t="str">
        <f t="shared" si="0"/>
        <v>🔗</v>
      </c>
    </row>
    <row r="7" spans="1:5" ht="21.95" customHeight="1" x14ac:dyDescent="0.25">
      <c r="A7" s="215" t="s">
        <v>1073</v>
      </c>
      <c r="B7" s="215" t="s">
        <v>1072</v>
      </c>
      <c r="C7" s="14">
        <v>3</v>
      </c>
      <c r="D7" s="192" t="str">
        <f>CONCATENATE($D$4,B7)</f>
        <v>https://gruppofsitaliane.sharepoint.com/:f:/r/sites/IngegneriaETReMezziLeggeri-Trenitalia/Shared%20Documents/DB_ETR1000/DIAGNOSTICA/</v>
      </c>
      <c r="E7" s="212" t="str">
        <f t="shared" si="0"/>
        <v>🔗</v>
      </c>
    </row>
    <row r="8" spans="1:5" ht="21.95" customHeight="1" x14ac:dyDescent="0.25"/>
    <row r="9" spans="1:5" ht="21.95" customHeight="1" x14ac:dyDescent="0.25"/>
    <row r="10" spans="1:5" ht="21.95" customHeight="1" x14ac:dyDescent="0.25"/>
    <row r="11" spans="1:5" ht="21.95" customHeight="1" x14ac:dyDescent="0.25"/>
    <row r="12" spans="1:5" ht="21.95" customHeight="1" x14ac:dyDescent="0.25"/>
    <row r="13" spans="1:5" ht="21.95" customHeight="1" x14ac:dyDescent="0.25"/>
  </sheetData>
  <hyperlinks>
    <hyperlink ref="D2" r:id="rId1" xr:uid="{81BB372C-C1CD-4816-BEAF-554A3A5E46C9}"/>
  </hyperlinks>
  <pageMargins left="0.7" right="0.7" top="0.75" bottom="0.75" header="0.3" footer="0.3"/>
  <pageSetup paperSize="9"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2288-9E1F-43CD-9603-01719AFAF4D8}">
  <sheetPr codeName="Foglio3">
    <tabColor theme="4" tint="0.39997558519241921"/>
  </sheetPr>
  <dimension ref="A1:BW9"/>
  <sheetViews>
    <sheetView zoomScaleNormal="100" workbookViewId="0">
      <selection activeCell="J16" sqref="J16"/>
    </sheetView>
  </sheetViews>
  <sheetFormatPr defaultRowHeight="15" x14ac:dyDescent="0.25"/>
  <cols>
    <col min="1" max="1" width="19.42578125" bestFit="1" customWidth="1"/>
    <col min="2" max="3" width="17.5703125" customWidth="1"/>
    <col min="4" max="4" width="15.42578125" customWidth="1"/>
    <col min="5" max="5" width="15.140625" customWidth="1"/>
    <col min="6" max="6" width="11" style="12" customWidth="1"/>
    <col min="7" max="52" width="3.85546875" style="12" bestFit="1" customWidth="1"/>
    <col min="53" max="69" width="2.85546875" style="12" bestFit="1" customWidth="1"/>
    <col min="70" max="75" width="3.85546875" style="12" bestFit="1" customWidth="1"/>
  </cols>
  <sheetData>
    <row r="1" spans="1:75" s="13" customFormat="1" ht="30.95" customHeight="1" thickBot="1" x14ac:dyDescent="0.3">
      <c r="A1" s="284" t="s">
        <v>1076</v>
      </c>
      <c r="B1" s="285" t="s">
        <v>175</v>
      </c>
      <c r="C1" s="292" t="s">
        <v>1077</v>
      </c>
      <c r="D1" s="291" t="s">
        <v>1123</v>
      </c>
      <c r="E1" s="286" t="s">
        <v>942</v>
      </c>
      <c r="F1" s="287" t="s">
        <v>23</v>
      </c>
      <c r="G1" s="288" t="s">
        <v>937</v>
      </c>
      <c r="H1" s="289"/>
      <c r="I1" s="289"/>
      <c r="J1" s="289"/>
      <c r="K1" s="289"/>
      <c r="L1" s="289"/>
      <c r="M1" s="289"/>
      <c r="N1" s="289"/>
      <c r="O1" s="289"/>
      <c r="P1" s="289"/>
      <c r="Q1" s="289"/>
      <c r="R1" s="289"/>
      <c r="S1" s="289"/>
      <c r="T1" s="289"/>
      <c r="U1" s="289"/>
      <c r="V1" s="289"/>
      <c r="W1" s="289"/>
      <c r="X1" s="289"/>
      <c r="Y1" s="289"/>
      <c r="Z1" s="289"/>
      <c r="AA1" s="289"/>
      <c r="AB1" s="289"/>
      <c r="AC1" s="289"/>
      <c r="AD1" s="289"/>
      <c r="AE1" s="289"/>
      <c r="AF1" s="289"/>
      <c r="AG1" s="289"/>
      <c r="AH1" s="289"/>
      <c r="AI1" s="289"/>
      <c r="AJ1" s="289"/>
      <c r="AK1" s="289"/>
      <c r="AL1" s="289"/>
      <c r="AM1" s="289"/>
      <c r="AN1" s="289"/>
      <c r="AO1" s="289"/>
      <c r="AP1" s="289"/>
      <c r="AQ1" s="289"/>
      <c r="AR1" s="289"/>
      <c r="AS1" s="289"/>
      <c r="AT1" s="289"/>
      <c r="AU1" s="289"/>
      <c r="AV1" s="289"/>
      <c r="AW1" s="289"/>
      <c r="AX1" s="289"/>
      <c r="AY1" s="289"/>
      <c r="AZ1" s="289"/>
      <c r="BA1" s="289"/>
      <c r="BB1" s="289"/>
      <c r="BC1" s="289"/>
      <c r="BD1" s="289"/>
      <c r="BE1" s="289"/>
      <c r="BF1" s="289"/>
      <c r="BG1" s="289"/>
      <c r="BH1" s="289"/>
      <c r="BI1" s="289"/>
      <c r="BJ1" s="289"/>
      <c r="BK1" s="289"/>
      <c r="BL1" s="289"/>
      <c r="BM1" s="289"/>
      <c r="BN1" s="289"/>
      <c r="BO1" s="289"/>
      <c r="BP1" s="289"/>
      <c r="BQ1" s="289"/>
      <c r="BR1" s="289"/>
      <c r="BS1" s="289"/>
      <c r="BT1" s="289"/>
      <c r="BU1" s="289"/>
      <c r="BV1" s="289"/>
      <c r="BW1" s="290"/>
    </row>
    <row r="2" spans="1:75" s="13" customFormat="1" ht="32.1" customHeight="1" x14ac:dyDescent="0.25">
      <c r="A2" s="293" t="s">
        <v>168</v>
      </c>
      <c r="B2" s="294" t="s">
        <v>1472</v>
      </c>
      <c r="C2" s="295" t="s">
        <v>1472</v>
      </c>
      <c r="D2" s="296" t="s">
        <v>981</v>
      </c>
      <c r="E2" s="297" t="s">
        <v>990</v>
      </c>
      <c r="F2" s="298">
        <f>COUNTIF(G2:BW2,"&lt;&gt;")</f>
        <v>44</v>
      </c>
      <c r="G2" s="9">
        <v>1</v>
      </c>
      <c r="H2" s="8">
        <v>2</v>
      </c>
      <c r="I2" s="8">
        <v>3</v>
      </c>
      <c r="J2" s="8">
        <v>4</v>
      </c>
      <c r="K2" s="8">
        <v>5</v>
      </c>
      <c r="L2" s="8">
        <v>6</v>
      </c>
      <c r="M2" s="8">
        <v>7</v>
      </c>
      <c r="N2" s="8">
        <v>8</v>
      </c>
      <c r="O2" s="8">
        <v>9</v>
      </c>
      <c r="P2" s="8">
        <v>10</v>
      </c>
      <c r="Q2" s="8">
        <v>11</v>
      </c>
      <c r="R2" s="8">
        <v>12</v>
      </c>
      <c r="S2" s="8">
        <v>13</v>
      </c>
      <c r="T2" s="8">
        <v>14</v>
      </c>
      <c r="U2" s="8"/>
      <c r="V2" s="8">
        <v>16</v>
      </c>
      <c r="W2" s="8">
        <v>17</v>
      </c>
      <c r="X2" s="8">
        <v>18</v>
      </c>
      <c r="Y2" s="8">
        <v>19</v>
      </c>
      <c r="Z2" s="8"/>
      <c r="AA2" s="299">
        <v>21</v>
      </c>
      <c r="AB2" s="8">
        <v>22</v>
      </c>
      <c r="AC2" s="8"/>
      <c r="AD2" s="8">
        <v>24</v>
      </c>
      <c r="AE2" s="8"/>
      <c r="AF2" s="8">
        <v>26</v>
      </c>
      <c r="AG2" s="8">
        <v>27</v>
      </c>
      <c r="AH2" s="8"/>
      <c r="AI2" s="8">
        <v>29</v>
      </c>
      <c r="AJ2" s="8">
        <v>30</v>
      </c>
      <c r="AK2" s="8"/>
      <c r="AL2" s="8">
        <v>32</v>
      </c>
      <c r="AM2" s="8">
        <v>33</v>
      </c>
      <c r="AN2" s="8">
        <v>34</v>
      </c>
      <c r="AO2" s="8"/>
      <c r="AP2" s="8">
        <v>36</v>
      </c>
      <c r="AQ2" s="8">
        <v>37</v>
      </c>
      <c r="AR2" s="8">
        <v>38</v>
      </c>
      <c r="AS2" s="8">
        <v>39</v>
      </c>
      <c r="AT2" s="8">
        <v>40</v>
      </c>
      <c r="AU2" s="8">
        <v>41</v>
      </c>
      <c r="AV2" s="8">
        <v>42</v>
      </c>
      <c r="AW2" s="8">
        <v>43</v>
      </c>
      <c r="AX2" s="8"/>
      <c r="AY2" s="8">
        <v>45</v>
      </c>
      <c r="AZ2" s="8">
        <v>46</v>
      </c>
      <c r="BA2" s="8"/>
      <c r="BB2" s="8">
        <v>48</v>
      </c>
      <c r="BC2" s="8"/>
      <c r="BD2" s="8"/>
      <c r="BE2" s="8">
        <v>46</v>
      </c>
      <c r="BF2" s="8">
        <v>47</v>
      </c>
      <c r="BG2" s="8">
        <v>48</v>
      </c>
      <c r="BH2" s="8">
        <v>49</v>
      </c>
      <c r="BI2" s="8">
        <v>50</v>
      </c>
      <c r="BJ2" s="8"/>
      <c r="BK2" s="8"/>
      <c r="BL2" s="8"/>
      <c r="BM2" s="8"/>
      <c r="BN2" s="8"/>
      <c r="BO2" s="8"/>
      <c r="BP2" s="8"/>
      <c r="BQ2" s="8"/>
      <c r="BR2" s="8"/>
      <c r="BS2" s="8"/>
      <c r="BT2" s="8"/>
      <c r="BU2" s="8"/>
      <c r="BV2" s="8"/>
      <c r="BW2" s="300"/>
    </row>
    <row r="3" spans="1:75" s="13" customFormat="1" ht="32.1" customHeight="1" x14ac:dyDescent="0.25">
      <c r="A3" s="301" t="s">
        <v>169</v>
      </c>
      <c r="B3" s="302" t="s">
        <v>1474</v>
      </c>
      <c r="C3" s="303" t="s">
        <v>1472</v>
      </c>
      <c r="D3" s="304" t="s">
        <v>897</v>
      </c>
      <c r="E3" s="305" t="s">
        <v>898</v>
      </c>
      <c r="F3" s="306">
        <f t="shared" ref="F3:F9" si="0">COUNTIF(G3:BW3,"&lt;&gt;")</f>
        <v>8</v>
      </c>
      <c r="G3" s="10"/>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v>51</v>
      </c>
      <c r="BK3" s="7">
        <v>52</v>
      </c>
      <c r="BL3" s="7">
        <v>53</v>
      </c>
      <c r="BM3" s="7">
        <v>54</v>
      </c>
      <c r="BN3" s="7">
        <v>55</v>
      </c>
      <c r="BO3" s="7">
        <v>56</v>
      </c>
      <c r="BP3" s="7">
        <v>57</v>
      </c>
      <c r="BQ3" s="7">
        <v>58</v>
      </c>
      <c r="BR3" s="7"/>
      <c r="BS3" s="7"/>
      <c r="BT3" s="7"/>
      <c r="BU3" s="7"/>
      <c r="BV3" s="7"/>
      <c r="BW3" s="307"/>
    </row>
    <row r="4" spans="1:75" s="13" customFormat="1" ht="32.1" customHeight="1" x14ac:dyDescent="0.25">
      <c r="A4" s="308" t="s">
        <v>874</v>
      </c>
      <c r="B4" s="302" t="s">
        <v>172</v>
      </c>
      <c r="C4" s="303" t="s">
        <v>1472</v>
      </c>
      <c r="D4" s="304" t="s">
        <v>991</v>
      </c>
      <c r="E4" s="305" t="s">
        <v>1047</v>
      </c>
      <c r="F4" s="306">
        <f>COUNTIF(G4:BW4,"&lt;&gt;")</f>
        <v>8</v>
      </c>
      <c r="G4" s="10"/>
      <c r="H4" s="7"/>
      <c r="I4" s="7"/>
      <c r="J4" s="7"/>
      <c r="K4" s="7"/>
      <c r="L4" s="7"/>
      <c r="M4" s="7"/>
      <c r="N4" s="7"/>
      <c r="O4" s="7"/>
      <c r="P4" s="7"/>
      <c r="Q4" s="7"/>
      <c r="R4" s="7"/>
      <c r="S4" s="7"/>
      <c r="T4" s="7"/>
      <c r="U4" s="7">
        <v>15</v>
      </c>
      <c r="V4" s="7"/>
      <c r="W4" s="7"/>
      <c r="X4" s="7"/>
      <c r="Y4" s="7"/>
      <c r="Z4" s="7"/>
      <c r="AA4" s="7"/>
      <c r="AB4" s="7"/>
      <c r="AC4" s="7">
        <v>23</v>
      </c>
      <c r="AD4" s="7"/>
      <c r="AE4" s="7">
        <v>25</v>
      </c>
      <c r="AF4" s="7"/>
      <c r="AG4" s="7"/>
      <c r="AH4" s="7">
        <v>28</v>
      </c>
      <c r="AI4" s="7"/>
      <c r="AJ4" s="7"/>
      <c r="AK4" s="7">
        <v>31</v>
      </c>
      <c r="AL4" s="7"/>
      <c r="AM4" s="7"/>
      <c r="AN4" s="7"/>
      <c r="AO4" s="7"/>
      <c r="AP4" s="7"/>
      <c r="AQ4" s="7"/>
      <c r="AR4" s="7"/>
      <c r="AS4" s="7"/>
      <c r="AT4" s="7"/>
      <c r="AU4" s="7"/>
      <c r="AV4" s="7"/>
      <c r="AW4" s="7"/>
      <c r="AX4" s="7"/>
      <c r="AY4" s="7"/>
      <c r="AZ4" s="7"/>
      <c r="BA4" s="7">
        <v>47</v>
      </c>
      <c r="BB4" s="7"/>
      <c r="BC4" s="7">
        <v>49</v>
      </c>
      <c r="BD4" s="7">
        <v>50</v>
      </c>
      <c r="BE4" s="7"/>
      <c r="BF4" s="7"/>
      <c r="BG4" s="7"/>
      <c r="BH4" s="7"/>
      <c r="BI4" s="7"/>
      <c r="BJ4" s="7"/>
      <c r="BK4" s="7"/>
      <c r="BL4" s="7"/>
      <c r="BM4" s="7"/>
      <c r="BN4" s="7"/>
      <c r="BO4" s="7"/>
      <c r="BP4" s="7"/>
      <c r="BQ4" s="7"/>
      <c r="BR4" s="7"/>
      <c r="BS4" s="7"/>
      <c r="BT4" s="7"/>
      <c r="BU4" s="7"/>
      <c r="BV4" s="7"/>
      <c r="BW4" s="307"/>
    </row>
    <row r="5" spans="1:75" s="317" customFormat="1" ht="32.1" customHeight="1" x14ac:dyDescent="0.25">
      <c r="A5" s="309" t="s">
        <v>875</v>
      </c>
      <c r="B5" s="310" t="s">
        <v>173</v>
      </c>
      <c r="C5" s="302" t="s">
        <v>1474</v>
      </c>
      <c r="D5" s="311" t="s">
        <v>943</v>
      </c>
      <c r="E5" s="312" t="s">
        <v>938</v>
      </c>
      <c r="F5" s="313">
        <f>COUNTIF(G5:BW5,"&lt;&gt;")</f>
        <v>20</v>
      </c>
      <c r="G5" s="314">
        <v>1</v>
      </c>
      <c r="H5" s="315">
        <v>2</v>
      </c>
      <c r="I5" s="315">
        <v>3</v>
      </c>
      <c r="J5" s="315">
        <v>4</v>
      </c>
      <c r="K5" s="315">
        <v>5</v>
      </c>
      <c r="L5" s="315">
        <v>6</v>
      </c>
      <c r="M5" s="315">
        <v>7</v>
      </c>
      <c r="N5" s="315">
        <v>8</v>
      </c>
      <c r="O5" s="315">
        <v>9</v>
      </c>
      <c r="P5" s="315">
        <v>10</v>
      </c>
      <c r="Q5" s="315">
        <v>11</v>
      </c>
      <c r="R5" s="315">
        <v>12</v>
      </c>
      <c r="S5" s="315">
        <v>13</v>
      </c>
      <c r="T5" s="315">
        <v>14</v>
      </c>
      <c r="U5" s="315">
        <v>15</v>
      </c>
      <c r="V5" s="315">
        <v>16</v>
      </c>
      <c r="W5" s="315">
        <v>17</v>
      </c>
      <c r="X5" s="315">
        <v>18</v>
      </c>
      <c r="Y5" s="315">
        <v>19</v>
      </c>
      <c r="Z5" s="315">
        <v>20</v>
      </c>
      <c r="AA5" s="148"/>
      <c r="AB5" s="148"/>
      <c r="AC5" s="148"/>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15"/>
      <c r="BL5" s="315"/>
      <c r="BM5" s="315"/>
      <c r="BN5" s="315"/>
      <c r="BO5" s="315"/>
      <c r="BP5" s="315"/>
      <c r="BQ5" s="315"/>
      <c r="BR5" s="315"/>
      <c r="BS5" s="315"/>
      <c r="BT5" s="315"/>
      <c r="BU5" s="315"/>
      <c r="BV5" s="315"/>
      <c r="BW5" s="316"/>
    </row>
    <row r="6" spans="1:75" s="13" customFormat="1" ht="32.1" customHeight="1" x14ac:dyDescent="0.25">
      <c r="A6" s="301" t="s">
        <v>170</v>
      </c>
      <c r="B6" s="302" t="s">
        <v>1475</v>
      </c>
      <c r="C6" s="303" t="s">
        <v>1475</v>
      </c>
      <c r="D6" s="304" t="s">
        <v>932</v>
      </c>
      <c r="E6" s="318" t="s">
        <v>934</v>
      </c>
      <c r="F6" s="306">
        <f t="shared" si="0"/>
        <v>6</v>
      </c>
      <c r="G6" s="10">
        <v>101</v>
      </c>
      <c r="H6" s="7">
        <v>102</v>
      </c>
      <c r="I6" s="7">
        <v>103</v>
      </c>
      <c r="J6" s="7">
        <v>104</v>
      </c>
      <c r="K6" s="7">
        <v>105</v>
      </c>
      <c r="L6" s="7">
        <v>106</v>
      </c>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307"/>
    </row>
    <row r="7" spans="1:75" s="13" customFormat="1" ht="32.1" customHeight="1" x14ac:dyDescent="0.25">
      <c r="A7" s="308" t="s">
        <v>171</v>
      </c>
      <c r="B7" s="302" t="s">
        <v>1476</v>
      </c>
      <c r="C7" s="303" t="s">
        <v>1475</v>
      </c>
      <c r="D7" s="304" t="s">
        <v>933</v>
      </c>
      <c r="E7" s="319" t="s">
        <v>232</v>
      </c>
      <c r="F7" s="306">
        <f t="shared" si="0"/>
        <v>40</v>
      </c>
      <c r="G7" s="10"/>
      <c r="H7" s="7"/>
      <c r="I7" s="7"/>
      <c r="J7" s="7"/>
      <c r="K7" s="7"/>
      <c r="L7" s="7"/>
      <c r="M7" s="7">
        <v>107</v>
      </c>
      <c r="N7" s="7">
        <v>108</v>
      </c>
      <c r="O7" s="7">
        <v>109</v>
      </c>
      <c r="P7" s="7">
        <v>110</v>
      </c>
      <c r="Q7" s="7">
        <v>111</v>
      </c>
      <c r="R7" s="7">
        <v>112</v>
      </c>
      <c r="S7" s="7">
        <v>113</v>
      </c>
      <c r="T7" s="7">
        <v>114</v>
      </c>
      <c r="U7" s="7">
        <v>115</v>
      </c>
      <c r="V7" s="7">
        <v>116</v>
      </c>
      <c r="W7" s="7">
        <v>117</v>
      </c>
      <c r="X7" s="7">
        <v>118</v>
      </c>
      <c r="Y7" s="7">
        <v>119</v>
      </c>
      <c r="Z7" s="7">
        <v>120</v>
      </c>
      <c r="AA7" s="7">
        <v>121</v>
      </c>
      <c r="AB7" s="7">
        <v>122</v>
      </c>
      <c r="AC7" s="7">
        <v>123</v>
      </c>
      <c r="AD7" s="7">
        <v>124</v>
      </c>
      <c r="AE7" s="7">
        <v>125</v>
      </c>
      <c r="AF7" s="7">
        <v>126</v>
      </c>
      <c r="AG7" s="7">
        <v>127</v>
      </c>
      <c r="AH7" s="7">
        <v>128</v>
      </c>
      <c r="AI7" s="7">
        <v>129</v>
      </c>
      <c r="AJ7" s="7">
        <v>130</v>
      </c>
      <c r="AK7" s="7">
        <v>131</v>
      </c>
      <c r="AL7" s="7">
        <v>132</v>
      </c>
      <c r="AM7" s="7">
        <v>133</v>
      </c>
      <c r="AN7" s="7">
        <v>134</v>
      </c>
      <c r="AO7" s="7">
        <v>135</v>
      </c>
      <c r="AP7" s="7">
        <v>136</v>
      </c>
      <c r="AQ7" s="7">
        <v>137</v>
      </c>
      <c r="AR7" s="7">
        <v>138</v>
      </c>
      <c r="AS7" s="7">
        <v>139</v>
      </c>
      <c r="AT7" s="7">
        <v>140</v>
      </c>
      <c r="AU7" s="7">
        <v>141</v>
      </c>
      <c r="AV7" s="7">
        <v>142</v>
      </c>
      <c r="AW7" s="7">
        <v>143</v>
      </c>
      <c r="AX7" s="7">
        <v>144</v>
      </c>
      <c r="AY7" s="7">
        <v>145</v>
      </c>
      <c r="AZ7" s="7">
        <v>146</v>
      </c>
      <c r="BA7" s="7"/>
      <c r="BB7" s="7"/>
      <c r="BC7" s="7"/>
      <c r="BD7" s="7"/>
      <c r="BE7" s="7"/>
      <c r="BF7" s="7"/>
      <c r="BG7" s="7"/>
      <c r="BH7" s="7"/>
      <c r="BI7" s="7"/>
      <c r="BJ7" s="7"/>
      <c r="BK7" s="7"/>
      <c r="BL7" s="7"/>
      <c r="BM7" s="7"/>
      <c r="BN7" s="7"/>
      <c r="BO7" s="7"/>
      <c r="BP7" s="7"/>
      <c r="BQ7" s="7"/>
      <c r="BR7" s="7"/>
      <c r="BS7" s="7"/>
      <c r="BT7" s="7"/>
      <c r="BU7" s="7"/>
      <c r="BV7" s="7"/>
      <c r="BW7" s="307"/>
    </row>
    <row r="8" spans="1:75" s="317" customFormat="1" ht="32.1" customHeight="1" x14ac:dyDescent="0.25">
      <c r="A8" s="309" t="s">
        <v>965</v>
      </c>
      <c r="B8" s="320" t="s">
        <v>967</v>
      </c>
      <c r="C8" s="321" t="s">
        <v>1475</v>
      </c>
      <c r="D8" s="311"/>
      <c r="E8" s="312"/>
      <c r="F8" s="313">
        <f t="shared" ref="F8" si="1">COUNTIF(G8:BW8,"&lt;&gt;")</f>
        <v>3</v>
      </c>
      <c r="G8" s="314"/>
      <c r="H8" s="315"/>
      <c r="I8" s="315"/>
      <c r="J8" s="315"/>
      <c r="K8" s="315"/>
      <c r="L8" s="315"/>
      <c r="M8" s="315"/>
      <c r="N8" s="315"/>
      <c r="O8" s="315"/>
      <c r="P8" s="315"/>
      <c r="Q8" s="315"/>
      <c r="R8" s="315"/>
      <c r="S8" s="315"/>
      <c r="T8" s="315"/>
      <c r="U8" s="315"/>
      <c r="V8" s="315"/>
      <c r="W8" s="315"/>
      <c r="X8" s="315"/>
      <c r="Y8" s="315"/>
      <c r="Z8" s="315"/>
      <c r="AA8" s="148">
        <v>21</v>
      </c>
      <c r="AB8" s="148">
        <v>22</v>
      </c>
      <c r="AC8" s="148">
        <v>23</v>
      </c>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5"/>
      <c r="BK8" s="315"/>
      <c r="BL8" s="315"/>
      <c r="BM8" s="315"/>
      <c r="BN8" s="315"/>
      <c r="BO8" s="315"/>
      <c r="BP8" s="315"/>
      <c r="BQ8" s="315"/>
      <c r="BR8" s="315"/>
      <c r="BS8" s="315"/>
      <c r="BT8" s="315"/>
      <c r="BU8" s="315"/>
      <c r="BV8" s="315"/>
      <c r="BW8" s="316"/>
    </row>
    <row r="9" spans="1:75" s="13" customFormat="1" ht="32.1" customHeight="1" thickBot="1" x14ac:dyDescent="0.3">
      <c r="A9" s="322" t="s">
        <v>174</v>
      </c>
      <c r="B9" s="323" t="s">
        <v>174</v>
      </c>
      <c r="C9" s="324" t="s">
        <v>1475</v>
      </c>
      <c r="D9" s="325"/>
      <c r="E9" s="326"/>
      <c r="F9" s="327">
        <f t="shared" si="0"/>
        <v>3</v>
      </c>
      <c r="G9" s="328"/>
      <c r="H9" s="329"/>
      <c r="I9" s="329"/>
      <c r="J9" s="329"/>
      <c r="K9" s="329"/>
      <c r="L9" s="329"/>
      <c r="M9" s="329"/>
      <c r="N9" s="329"/>
      <c r="O9" s="329"/>
      <c r="P9" s="329"/>
      <c r="Q9" s="329"/>
      <c r="R9" s="329"/>
      <c r="S9" s="329"/>
      <c r="T9" s="329"/>
      <c r="U9" s="329"/>
      <c r="V9" s="329"/>
      <c r="W9" s="329"/>
      <c r="X9" s="329"/>
      <c r="Y9" s="329"/>
      <c r="Z9" s="329">
        <v>20</v>
      </c>
      <c r="AA9" s="329"/>
      <c r="AB9" s="329"/>
      <c r="AC9" s="329"/>
      <c r="AD9" s="329"/>
      <c r="AE9" s="329"/>
      <c r="AF9" s="329"/>
      <c r="AG9" s="329"/>
      <c r="AH9" s="329"/>
      <c r="AI9" s="329"/>
      <c r="AJ9" s="329"/>
      <c r="AK9" s="329"/>
      <c r="AL9" s="329"/>
      <c r="AM9" s="329"/>
      <c r="AN9" s="329"/>
      <c r="AO9" s="329">
        <v>35</v>
      </c>
      <c r="AP9" s="329"/>
      <c r="AQ9" s="329"/>
      <c r="AR9" s="329"/>
      <c r="AS9" s="329"/>
      <c r="AT9" s="329"/>
      <c r="AU9" s="329"/>
      <c r="AV9" s="329"/>
      <c r="AW9" s="329"/>
      <c r="AX9" s="329">
        <v>44</v>
      </c>
      <c r="AY9" s="329"/>
      <c r="AZ9" s="329"/>
      <c r="BA9" s="329"/>
      <c r="BB9" s="329"/>
      <c r="BC9" s="329"/>
      <c r="BD9" s="329"/>
      <c r="BE9" s="329"/>
      <c r="BF9" s="329"/>
      <c r="BG9" s="329"/>
      <c r="BH9" s="329"/>
      <c r="BI9" s="329"/>
      <c r="BJ9" s="329"/>
      <c r="BK9" s="329"/>
      <c r="BL9" s="329"/>
      <c r="BM9" s="329"/>
      <c r="BN9" s="329"/>
      <c r="BO9" s="329"/>
      <c r="BP9" s="329"/>
      <c r="BQ9" s="329"/>
      <c r="BR9" s="329"/>
      <c r="BS9" s="329"/>
      <c r="BT9" s="329"/>
      <c r="BU9" s="329"/>
      <c r="BV9" s="329"/>
      <c r="BW9" s="330"/>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EF4F-E39F-465D-AD7C-E51F1005494B}">
  <sheetPr codeName="Foglio4">
    <tabColor theme="5" tint="0.39997558519241921"/>
    <outlinePr summaryBelow="0"/>
  </sheetPr>
  <dimension ref="A1:V128"/>
  <sheetViews>
    <sheetView zoomScale="87" zoomScaleNormal="87" workbookViewId="0">
      <pane xSplit="5" ySplit="3" topLeftCell="F48" activePane="bottomRight" state="frozen"/>
      <selection activeCell="B1" sqref="B1"/>
      <selection pane="topRight" activeCell="F1" sqref="F1"/>
      <selection pane="bottomLeft" activeCell="B4" sqref="B4"/>
      <selection pane="bottomRight" activeCell="I76" sqref="I76"/>
    </sheetView>
  </sheetViews>
  <sheetFormatPr defaultColWidth="8.7109375" defaultRowHeight="15" outlineLevelRow="1" x14ac:dyDescent="0.25"/>
  <cols>
    <col min="1" max="1" width="34.5703125" style="106" bestFit="1" customWidth="1"/>
    <col min="2" max="2" width="34.85546875" style="106" bestFit="1" customWidth="1"/>
    <col min="3" max="3" width="17.5703125" style="15" customWidth="1"/>
    <col min="4" max="4" width="4.42578125" style="15" bestFit="1" customWidth="1"/>
    <col min="5" max="5" width="18.42578125" style="15" customWidth="1"/>
    <col min="6" max="6" width="17.5703125" style="15" customWidth="1"/>
    <col min="7" max="7" width="4.7109375" style="15" bestFit="1" customWidth="1"/>
    <col min="8" max="8" width="17" style="15" bestFit="1" customWidth="1"/>
    <col min="9" max="9" width="17.5703125" style="15" customWidth="1"/>
    <col min="10" max="10" width="4.7109375" style="15" bestFit="1" customWidth="1"/>
    <col min="11" max="11" width="17" style="15" bestFit="1" customWidth="1"/>
    <col min="12" max="12" width="17.5703125" style="15" customWidth="1"/>
    <col min="13" max="13" width="4.42578125" style="15" bestFit="1" customWidth="1"/>
    <col min="14" max="14" width="17" style="15" customWidth="1"/>
    <col min="15" max="15" width="17.140625" style="15" customWidth="1"/>
    <col min="16" max="16" width="5.140625" style="15" customWidth="1"/>
    <col min="17" max="17" width="15.42578125" style="15" customWidth="1"/>
    <col min="18" max="18" width="4.42578125" style="15" customWidth="1"/>
    <col min="19" max="19" width="6.5703125" style="15" bestFit="1" customWidth="1"/>
    <col min="20" max="20" width="6.5703125" style="15" customWidth="1"/>
    <col min="21" max="21" width="6.5703125" style="15" bestFit="1" customWidth="1"/>
    <col min="22" max="22" width="6.5703125" style="15" customWidth="1"/>
    <col min="23" max="16384" width="8.7109375" style="103"/>
  </cols>
  <sheetData>
    <row r="1" spans="1:22" s="105" customFormat="1" x14ac:dyDescent="0.25">
      <c r="A1" s="470" t="s">
        <v>427</v>
      </c>
      <c r="B1" s="470" t="s">
        <v>801</v>
      </c>
      <c r="C1" s="474" t="s">
        <v>1472</v>
      </c>
      <c r="D1" s="476"/>
      <c r="E1" s="475"/>
      <c r="F1" s="474" t="s">
        <v>1474</v>
      </c>
      <c r="G1" s="476"/>
      <c r="H1" s="476"/>
      <c r="I1" s="474" t="s">
        <v>960</v>
      </c>
      <c r="J1" s="476"/>
      <c r="K1" s="475"/>
      <c r="L1" s="473" t="s">
        <v>173</v>
      </c>
      <c r="M1" s="473"/>
      <c r="N1" s="473"/>
      <c r="O1" s="474" t="s">
        <v>1475</v>
      </c>
      <c r="P1" s="475"/>
      <c r="Q1" s="474" t="s">
        <v>1476</v>
      </c>
      <c r="R1" s="475"/>
      <c r="S1" s="474" t="s">
        <v>174</v>
      </c>
      <c r="T1" s="475"/>
      <c r="U1" s="474" t="s">
        <v>966</v>
      </c>
      <c r="V1" s="475"/>
    </row>
    <row r="2" spans="1:22" s="105" customFormat="1" ht="41.1" customHeight="1" x14ac:dyDescent="0.25">
      <c r="A2" s="471"/>
      <c r="B2" s="471"/>
      <c r="C2" s="477" t="s">
        <v>1044</v>
      </c>
      <c r="D2" s="478"/>
      <c r="E2" s="479"/>
      <c r="F2" s="477" t="s">
        <v>1046</v>
      </c>
      <c r="G2" s="478"/>
      <c r="H2" s="478"/>
      <c r="I2" s="477" t="s">
        <v>1048</v>
      </c>
      <c r="J2" s="478"/>
      <c r="K2" s="479"/>
      <c r="L2" s="482" t="s">
        <v>939</v>
      </c>
      <c r="M2" s="482"/>
      <c r="N2" s="482"/>
      <c r="O2" s="477" t="s">
        <v>935</v>
      </c>
      <c r="P2" s="479"/>
      <c r="Q2" s="480" t="s">
        <v>936</v>
      </c>
      <c r="R2" s="481"/>
      <c r="S2" s="477" t="s">
        <v>980</v>
      </c>
      <c r="T2" s="479"/>
      <c r="U2" s="477" t="s">
        <v>979</v>
      </c>
      <c r="V2" s="479"/>
    </row>
    <row r="3" spans="1:22" s="105" customFormat="1" ht="30" x14ac:dyDescent="0.25">
      <c r="A3" s="472"/>
      <c r="B3" s="472"/>
      <c r="C3" s="173" t="s">
        <v>949</v>
      </c>
      <c r="D3" s="173" t="s">
        <v>429</v>
      </c>
      <c r="E3" s="170" t="s">
        <v>951</v>
      </c>
      <c r="F3" s="173" t="s">
        <v>949</v>
      </c>
      <c r="G3" s="173" t="s">
        <v>429</v>
      </c>
      <c r="H3" s="170" t="s">
        <v>951</v>
      </c>
      <c r="I3" s="173" t="s">
        <v>949</v>
      </c>
      <c r="J3" s="173" t="s">
        <v>429</v>
      </c>
      <c r="K3" s="170" t="s">
        <v>951</v>
      </c>
      <c r="L3" s="174" t="s">
        <v>949</v>
      </c>
      <c r="M3" s="173" t="s">
        <v>429</v>
      </c>
      <c r="N3" s="170" t="s">
        <v>951</v>
      </c>
      <c r="O3" s="171" t="s">
        <v>428</v>
      </c>
      <c r="P3" s="172" t="s">
        <v>429</v>
      </c>
      <c r="Q3" s="171" t="s">
        <v>428</v>
      </c>
      <c r="R3" s="172" t="s">
        <v>429</v>
      </c>
      <c r="S3" s="173" t="s">
        <v>428</v>
      </c>
      <c r="T3" s="170" t="s">
        <v>429</v>
      </c>
      <c r="U3" s="173" t="s">
        <v>428</v>
      </c>
      <c r="V3" s="170" t="s">
        <v>429</v>
      </c>
    </row>
    <row r="4" spans="1:22" s="105" customFormat="1" x14ac:dyDescent="0.25">
      <c r="A4" s="159" t="s">
        <v>538</v>
      </c>
      <c r="B4" s="168"/>
      <c r="C4" s="160"/>
      <c r="D4" s="162"/>
      <c r="E4" s="161"/>
      <c r="F4" s="160"/>
      <c r="G4" s="162"/>
      <c r="H4" s="161"/>
      <c r="I4" s="160"/>
      <c r="J4" s="162"/>
      <c r="K4" s="161"/>
      <c r="L4" s="160"/>
      <c r="M4" s="162"/>
      <c r="N4" s="161"/>
      <c r="O4" s="162"/>
      <c r="P4" s="162"/>
      <c r="Q4" s="160"/>
      <c r="R4" s="161"/>
      <c r="S4" s="162"/>
      <c r="T4" s="161"/>
      <c r="U4" s="162"/>
      <c r="V4" s="161"/>
    </row>
    <row r="5" spans="1:22" outlineLevel="1" x14ac:dyDescent="0.25">
      <c r="A5" s="117" t="s">
        <v>539</v>
      </c>
      <c r="B5" s="119" t="s">
        <v>806</v>
      </c>
      <c r="C5" s="137" t="s">
        <v>1045</v>
      </c>
      <c r="D5" s="15" t="s">
        <v>483</v>
      </c>
      <c r="E5" s="110"/>
      <c r="F5" s="137" t="s">
        <v>876</v>
      </c>
      <c r="G5" s="15" t="s">
        <v>483</v>
      </c>
      <c r="H5" s="131"/>
      <c r="I5" s="137" t="s">
        <v>1049</v>
      </c>
      <c r="J5" s="138" t="s">
        <v>483</v>
      </c>
      <c r="K5" s="131"/>
      <c r="L5" s="137" t="s">
        <v>944</v>
      </c>
      <c r="M5" s="138" t="s">
        <v>386</v>
      </c>
      <c r="N5" s="131"/>
      <c r="O5" s="138" t="s">
        <v>798</v>
      </c>
      <c r="P5" s="138" t="s">
        <v>799</v>
      </c>
      <c r="Q5" s="137" t="s">
        <v>798</v>
      </c>
      <c r="R5" s="131" t="s">
        <v>799</v>
      </c>
      <c r="S5" s="138"/>
      <c r="T5" s="131"/>
      <c r="U5" s="138"/>
      <c r="V5" s="131"/>
    </row>
    <row r="6" spans="1:22" x14ac:dyDescent="0.25">
      <c r="A6" s="158" t="s">
        <v>802</v>
      </c>
      <c r="B6" s="169"/>
      <c r="C6" s="115"/>
      <c r="D6" s="114"/>
      <c r="E6" s="116"/>
      <c r="F6" s="115"/>
      <c r="G6" s="114"/>
      <c r="H6" s="116"/>
      <c r="I6" s="115"/>
      <c r="J6" s="114"/>
      <c r="K6" s="116"/>
      <c r="L6" s="115"/>
      <c r="M6" s="114"/>
      <c r="N6" s="116"/>
      <c r="O6" s="114"/>
      <c r="P6" s="114"/>
      <c r="Q6" s="115"/>
      <c r="R6" s="116"/>
      <c r="S6" s="114"/>
      <c r="T6" s="116"/>
      <c r="U6" s="114"/>
      <c r="V6" s="116"/>
    </row>
    <row r="7" spans="1:22" ht="30" outlineLevel="1" x14ac:dyDescent="0.25">
      <c r="A7" s="117" t="s">
        <v>571</v>
      </c>
      <c r="B7" s="119" t="s">
        <v>807</v>
      </c>
      <c r="C7" s="137" t="s">
        <v>438</v>
      </c>
      <c r="D7" s="15" t="s">
        <v>446</v>
      </c>
      <c r="E7" s="110"/>
      <c r="F7" s="137" t="s">
        <v>628</v>
      </c>
      <c r="G7" s="138" t="s">
        <v>483</v>
      </c>
      <c r="H7" s="131"/>
      <c r="I7" s="137" t="s">
        <v>438</v>
      </c>
      <c r="J7" s="15" t="s">
        <v>446</v>
      </c>
      <c r="K7" s="110"/>
      <c r="L7" s="137" t="s">
        <v>544</v>
      </c>
      <c r="M7" s="15" t="s">
        <v>483</v>
      </c>
      <c r="N7" s="110"/>
      <c r="O7" s="138" t="s">
        <v>627</v>
      </c>
      <c r="P7" s="139" t="s">
        <v>664</v>
      </c>
      <c r="Q7" s="109" t="s">
        <v>627</v>
      </c>
      <c r="R7" s="128" t="s">
        <v>664</v>
      </c>
      <c r="T7" s="110"/>
      <c r="V7" s="110"/>
    </row>
    <row r="8" spans="1:22" ht="30" outlineLevel="1" x14ac:dyDescent="0.25">
      <c r="A8" s="117" t="s">
        <v>646</v>
      </c>
      <c r="B8" s="119" t="s">
        <v>808</v>
      </c>
      <c r="C8" s="137" t="s">
        <v>449</v>
      </c>
      <c r="D8" s="15" t="s">
        <v>447</v>
      </c>
      <c r="E8" s="110"/>
      <c r="F8" s="137" t="s">
        <v>626</v>
      </c>
      <c r="G8" s="138" t="s">
        <v>482</v>
      </c>
      <c r="H8" s="131"/>
      <c r="I8" s="137" t="s">
        <v>1000</v>
      </c>
      <c r="J8" s="15" t="s">
        <v>447</v>
      </c>
      <c r="K8" s="110"/>
      <c r="L8" s="137" t="s">
        <v>553</v>
      </c>
      <c r="M8" s="15" t="s">
        <v>482</v>
      </c>
      <c r="N8" s="110"/>
      <c r="O8" s="138" t="s">
        <v>625</v>
      </c>
      <c r="P8" s="139" t="s">
        <v>653</v>
      </c>
      <c r="Q8" s="109" t="s">
        <v>625</v>
      </c>
      <c r="R8" s="128" t="s">
        <v>653</v>
      </c>
      <c r="T8" s="110"/>
      <c r="V8" s="110"/>
    </row>
    <row r="9" spans="1:22" ht="30" outlineLevel="1" x14ac:dyDescent="0.25">
      <c r="A9" s="117" t="s">
        <v>803</v>
      </c>
      <c r="B9" s="119" t="s">
        <v>809</v>
      </c>
      <c r="C9" s="137" t="s">
        <v>448</v>
      </c>
      <c r="D9" s="15" t="s">
        <v>447</v>
      </c>
      <c r="E9" s="131"/>
      <c r="F9" s="137" t="s">
        <v>894</v>
      </c>
      <c r="G9" s="138" t="s">
        <v>482</v>
      </c>
      <c r="H9" s="131"/>
      <c r="I9" s="137" t="s">
        <v>448</v>
      </c>
      <c r="J9" s="15" t="s">
        <v>447</v>
      </c>
      <c r="K9" s="110"/>
      <c r="L9" s="137" t="s">
        <v>559</v>
      </c>
      <c r="M9" s="15" t="s">
        <v>485</v>
      </c>
      <c r="N9" s="110"/>
      <c r="O9" s="138" t="s">
        <v>708</v>
      </c>
      <c r="P9" s="139" t="s">
        <v>653</v>
      </c>
      <c r="Q9" s="109" t="s">
        <v>708</v>
      </c>
      <c r="R9" s="128" t="s">
        <v>653</v>
      </c>
      <c r="T9" s="110"/>
      <c r="V9" s="110"/>
    </row>
    <row r="10" spans="1:22" ht="30" outlineLevel="1" x14ac:dyDescent="0.25">
      <c r="A10" s="117" t="s">
        <v>562</v>
      </c>
      <c r="B10" s="119" t="s">
        <v>810</v>
      </c>
      <c r="C10" s="137" t="s">
        <v>386</v>
      </c>
      <c r="D10" s="15" t="s">
        <v>386</v>
      </c>
      <c r="E10" s="110"/>
      <c r="F10" s="137" t="s">
        <v>386</v>
      </c>
      <c r="G10" s="138" t="s">
        <v>386</v>
      </c>
      <c r="H10" s="131"/>
      <c r="I10" s="137" t="s">
        <v>1004</v>
      </c>
      <c r="J10" s="15" t="s">
        <v>483</v>
      </c>
      <c r="K10" s="110"/>
      <c r="L10" s="137" t="s">
        <v>582</v>
      </c>
      <c r="M10" s="15" t="s">
        <v>485</v>
      </c>
      <c r="N10" s="110"/>
      <c r="O10" s="138" t="s">
        <v>632</v>
      </c>
      <c r="P10" s="139" t="s">
        <v>664</v>
      </c>
      <c r="Q10" s="109" t="s">
        <v>632</v>
      </c>
      <c r="R10" s="128" t="s">
        <v>664</v>
      </c>
      <c r="T10" s="110"/>
      <c r="V10" s="110"/>
    </row>
    <row r="11" spans="1:22" ht="30" outlineLevel="1" x14ac:dyDescent="0.25">
      <c r="A11" s="117" t="s">
        <v>804</v>
      </c>
      <c r="B11" s="119" t="s">
        <v>811</v>
      </c>
      <c r="C11" s="137" t="s">
        <v>386</v>
      </c>
      <c r="D11" s="15" t="s">
        <v>386</v>
      </c>
      <c r="E11" s="110"/>
      <c r="F11" s="137" t="s">
        <v>386</v>
      </c>
      <c r="G11" s="138" t="s">
        <v>386</v>
      </c>
      <c r="H11" s="131"/>
      <c r="I11" s="137"/>
      <c r="K11" s="110"/>
      <c r="L11" s="137" t="s">
        <v>386</v>
      </c>
      <c r="M11" s="15" t="s">
        <v>386</v>
      </c>
      <c r="N11" s="110"/>
      <c r="O11" s="138" t="s">
        <v>630</v>
      </c>
      <c r="P11" s="139" t="s">
        <v>654</v>
      </c>
      <c r="Q11" s="109" t="s">
        <v>630</v>
      </c>
      <c r="R11" s="128" t="s">
        <v>654</v>
      </c>
      <c r="T11" s="110"/>
      <c r="V11" s="110"/>
    </row>
    <row r="12" spans="1:22" ht="30" outlineLevel="1" x14ac:dyDescent="0.25">
      <c r="A12" s="117" t="s">
        <v>569</v>
      </c>
      <c r="B12" s="119" t="s">
        <v>812</v>
      </c>
      <c r="C12" s="137" t="s">
        <v>436</v>
      </c>
      <c r="D12" s="15" t="s">
        <v>446</v>
      </c>
      <c r="E12" s="110"/>
      <c r="F12" s="137" t="s">
        <v>888</v>
      </c>
      <c r="G12" s="138" t="s">
        <v>447</v>
      </c>
      <c r="H12" s="131"/>
      <c r="I12" s="137" t="s">
        <v>996</v>
      </c>
      <c r="J12" s="15" t="s">
        <v>482</v>
      </c>
      <c r="K12" s="110"/>
      <c r="L12" s="137" t="s">
        <v>552</v>
      </c>
      <c r="M12" s="15" t="s">
        <v>483</v>
      </c>
      <c r="N12" s="110"/>
      <c r="O12" s="138" t="s">
        <v>629</v>
      </c>
      <c r="P12" s="139" t="s">
        <v>653</v>
      </c>
      <c r="Q12" s="109" t="s">
        <v>629</v>
      </c>
      <c r="R12" s="128" t="s">
        <v>653</v>
      </c>
      <c r="T12" s="110"/>
      <c r="V12" s="110"/>
    </row>
    <row r="13" spans="1:22" ht="30" outlineLevel="1" x14ac:dyDescent="0.25">
      <c r="A13" s="117" t="s">
        <v>573</v>
      </c>
      <c r="B13" s="119" t="s">
        <v>813</v>
      </c>
      <c r="C13" s="137" t="s">
        <v>440</v>
      </c>
      <c r="D13" s="15" t="s">
        <v>446</v>
      </c>
      <c r="E13" s="110"/>
      <c r="F13" s="137" t="s">
        <v>879</v>
      </c>
      <c r="G13" s="15" t="s">
        <v>447</v>
      </c>
      <c r="H13" s="131"/>
      <c r="I13" s="137" t="s">
        <v>440</v>
      </c>
      <c r="J13" s="15" t="s">
        <v>446</v>
      </c>
      <c r="K13" s="110"/>
      <c r="L13" s="137" t="s">
        <v>542</v>
      </c>
      <c r="M13" s="139" t="s">
        <v>482</v>
      </c>
      <c r="N13" s="110"/>
      <c r="O13" s="138" t="s">
        <v>694</v>
      </c>
      <c r="P13" s="139" t="s">
        <v>654</v>
      </c>
      <c r="Q13" s="109" t="s">
        <v>694</v>
      </c>
      <c r="R13" s="128" t="s">
        <v>654</v>
      </c>
      <c r="T13" s="110"/>
      <c r="V13" s="110"/>
    </row>
    <row r="14" spans="1:22" ht="30" outlineLevel="1" x14ac:dyDescent="0.25">
      <c r="A14" s="117" t="s">
        <v>570</v>
      </c>
      <c r="B14" s="119" t="s">
        <v>814</v>
      </c>
      <c r="C14" s="137" t="s">
        <v>437</v>
      </c>
      <c r="D14" s="15" t="s">
        <v>446</v>
      </c>
      <c r="E14" s="110"/>
      <c r="F14" s="137" t="s">
        <v>889</v>
      </c>
      <c r="G14" s="138" t="s">
        <v>483</v>
      </c>
      <c r="H14" s="131"/>
      <c r="I14" s="137" t="s">
        <v>437</v>
      </c>
      <c r="J14" s="15" t="s">
        <v>446</v>
      </c>
      <c r="K14" s="110"/>
      <c r="L14" s="137" t="s">
        <v>554</v>
      </c>
      <c r="M14" s="15" t="s">
        <v>483</v>
      </c>
      <c r="N14" s="110"/>
      <c r="O14" s="138" t="s">
        <v>695</v>
      </c>
      <c r="P14" s="139" t="s">
        <v>654</v>
      </c>
      <c r="Q14" s="109" t="s">
        <v>695</v>
      </c>
      <c r="R14" s="128" t="s">
        <v>654</v>
      </c>
      <c r="T14" s="110"/>
      <c r="V14" s="110"/>
    </row>
    <row r="15" spans="1:22" ht="30" outlineLevel="1" x14ac:dyDescent="0.25">
      <c r="A15" s="117" t="s">
        <v>574</v>
      </c>
      <c r="B15" s="119" t="s">
        <v>815</v>
      </c>
      <c r="C15" s="137" t="s">
        <v>441</v>
      </c>
      <c r="D15" s="15" t="s">
        <v>446</v>
      </c>
      <c r="E15" s="110"/>
      <c r="F15" s="137" t="s">
        <v>878</v>
      </c>
      <c r="G15" s="15" t="s">
        <v>482</v>
      </c>
      <c r="H15" s="131"/>
      <c r="I15" s="137" t="s">
        <v>441</v>
      </c>
      <c r="J15" s="15" t="s">
        <v>446</v>
      </c>
      <c r="K15" s="110"/>
      <c r="L15" s="137" t="s">
        <v>541</v>
      </c>
      <c r="M15" s="15" t="s">
        <v>482</v>
      </c>
      <c r="N15" s="110"/>
      <c r="O15" s="138" t="s">
        <v>692</v>
      </c>
      <c r="P15" s="139" t="s">
        <v>654</v>
      </c>
      <c r="Q15" s="109" t="s">
        <v>692</v>
      </c>
      <c r="R15" s="128" t="s">
        <v>654</v>
      </c>
      <c r="T15" s="110"/>
      <c r="V15" s="110"/>
    </row>
    <row r="16" spans="1:22" ht="30" outlineLevel="1" x14ac:dyDescent="0.25">
      <c r="A16" s="117" t="s">
        <v>572</v>
      </c>
      <c r="B16" s="119" t="s">
        <v>816</v>
      </c>
      <c r="C16" s="137" t="s">
        <v>439</v>
      </c>
      <c r="D16" s="15" t="s">
        <v>447</v>
      </c>
      <c r="E16" s="110"/>
      <c r="F16" s="137" t="s">
        <v>892</v>
      </c>
      <c r="G16" s="15" t="s">
        <v>446</v>
      </c>
      <c r="H16" s="131"/>
      <c r="I16" s="137" t="s">
        <v>997</v>
      </c>
      <c r="J16" s="139" t="s">
        <v>998</v>
      </c>
      <c r="K16" s="110"/>
      <c r="L16" s="137" t="s">
        <v>557</v>
      </c>
      <c r="M16" s="15" t="s">
        <v>482</v>
      </c>
      <c r="N16" s="110"/>
      <c r="O16" s="138" t="s">
        <v>697</v>
      </c>
      <c r="P16" s="139" t="s">
        <v>657</v>
      </c>
      <c r="Q16" s="109" t="s">
        <v>697</v>
      </c>
      <c r="R16" s="128" t="s">
        <v>657</v>
      </c>
      <c r="T16" s="110"/>
      <c r="V16" s="110"/>
    </row>
    <row r="17" spans="1:22" ht="30" outlineLevel="1" x14ac:dyDescent="0.25">
      <c r="A17" s="117" t="s">
        <v>568</v>
      </c>
      <c r="B17" s="119" t="s">
        <v>817</v>
      </c>
      <c r="C17" s="137" t="s">
        <v>435</v>
      </c>
      <c r="D17" s="139" t="s">
        <v>485</v>
      </c>
      <c r="E17" s="110"/>
      <c r="F17" s="137" t="s">
        <v>880</v>
      </c>
      <c r="G17" s="15" t="s">
        <v>446</v>
      </c>
      <c r="H17" s="131"/>
      <c r="I17" s="137" t="s">
        <v>995</v>
      </c>
      <c r="J17" s="139" t="s">
        <v>446</v>
      </c>
      <c r="K17" s="110"/>
      <c r="L17" s="137" t="s">
        <v>543</v>
      </c>
      <c r="M17" s="15" t="s">
        <v>483</v>
      </c>
      <c r="N17" s="110"/>
      <c r="O17" s="138" t="s">
        <v>696</v>
      </c>
      <c r="P17" s="139" t="s">
        <v>654</v>
      </c>
      <c r="Q17" s="109" t="s">
        <v>696</v>
      </c>
      <c r="R17" s="128" t="s">
        <v>654</v>
      </c>
      <c r="T17" s="110"/>
      <c r="V17" s="110"/>
    </row>
    <row r="18" spans="1:22" ht="30" outlineLevel="1" x14ac:dyDescent="0.25">
      <c r="A18" s="117" t="s">
        <v>563</v>
      </c>
      <c r="B18" s="119" t="s">
        <v>818</v>
      </c>
      <c r="C18" s="137" t="s">
        <v>430</v>
      </c>
      <c r="D18" s="15" t="s">
        <v>446</v>
      </c>
      <c r="E18" s="110"/>
      <c r="F18" s="137" t="s">
        <v>886</v>
      </c>
      <c r="G18" s="15" t="s">
        <v>483</v>
      </c>
      <c r="H18" s="131"/>
      <c r="I18" s="137" t="s">
        <v>992</v>
      </c>
      <c r="J18" s="15" t="s">
        <v>483</v>
      </c>
      <c r="K18" s="110"/>
      <c r="L18" s="137" t="s">
        <v>550</v>
      </c>
      <c r="M18" s="15" t="s">
        <v>483</v>
      </c>
      <c r="N18" s="110"/>
      <c r="O18" s="138" t="s">
        <v>709</v>
      </c>
      <c r="P18" s="139" t="s">
        <v>664</v>
      </c>
      <c r="Q18" s="109" t="s">
        <v>709</v>
      </c>
      <c r="R18" s="128" t="s">
        <v>664</v>
      </c>
      <c r="T18" s="110"/>
      <c r="V18" s="110"/>
    </row>
    <row r="19" spans="1:22" ht="30" outlineLevel="1" x14ac:dyDescent="0.25">
      <c r="A19" s="117" t="s">
        <v>564</v>
      </c>
      <c r="B19" s="119" t="s">
        <v>819</v>
      </c>
      <c r="C19" s="137" t="s">
        <v>431</v>
      </c>
      <c r="D19" s="15" t="s">
        <v>446</v>
      </c>
      <c r="E19" s="110"/>
      <c r="F19" s="137" t="s">
        <v>887</v>
      </c>
      <c r="G19" s="15" t="s">
        <v>483</v>
      </c>
      <c r="H19" s="131"/>
      <c r="I19" s="137" t="s">
        <v>431</v>
      </c>
      <c r="J19" s="15" t="s">
        <v>446</v>
      </c>
      <c r="K19" s="110"/>
      <c r="L19" s="137" t="s">
        <v>551</v>
      </c>
      <c r="M19" s="15" t="s">
        <v>483</v>
      </c>
      <c r="N19" s="110"/>
      <c r="O19" s="138" t="s">
        <v>710</v>
      </c>
      <c r="P19" s="139" t="s">
        <v>664</v>
      </c>
      <c r="Q19" s="109" t="s">
        <v>710</v>
      </c>
      <c r="R19" s="128" t="s">
        <v>664</v>
      </c>
      <c r="T19" s="110"/>
      <c r="V19" s="110"/>
    </row>
    <row r="20" spans="1:22" ht="30" outlineLevel="1" x14ac:dyDescent="0.25">
      <c r="A20" s="117" t="s">
        <v>565</v>
      </c>
      <c r="B20" s="119" t="s">
        <v>820</v>
      </c>
      <c r="C20" s="137" t="s">
        <v>432</v>
      </c>
      <c r="D20" s="15" t="s">
        <v>447</v>
      </c>
      <c r="E20" s="110"/>
      <c r="F20" s="137" t="s">
        <v>893</v>
      </c>
      <c r="G20" s="15" t="s">
        <v>482</v>
      </c>
      <c r="H20" s="131"/>
      <c r="I20" s="137" t="s">
        <v>993</v>
      </c>
      <c r="J20" s="139" t="s">
        <v>446</v>
      </c>
      <c r="K20" s="110"/>
      <c r="L20" s="137" t="s">
        <v>558</v>
      </c>
      <c r="M20" s="15" t="s">
        <v>482</v>
      </c>
      <c r="N20" s="110"/>
      <c r="O20" s="138" t="s">
        <v>693</v>
      </c>
      <c r="P20" s="139" t="s">
        <v>657</v>
      </c>
      <c r="Q20" s="109" t="s">
        <v>693</v>
      </c>
      <c r="R20" s="128" t="s">
        <v>657</v>
      </c>
      <c r="T20" s="110"/>
      <c r="V20" s="110"/>
    </row>
    <row r="21" spans="1:22" ht="30" outlineLevel="1" x14ac:dyDescent="0.25">
      <c r="A21" s="117" t="s">
        <v>567</v>
      </c>
      <c r="B21" s="119" t="s">
        <v>821</v>
      </c>
      <c r="C21" s="137" t="s">
        <v>434</v>
      </c>
      <c r="D21" s="15" t="s">
        <v>446</v>
      </c>
      <c r="E21" s="110"/>
      <c r="F21" s="137" t="s">
        <v>881</v>
      </c>
      <c r="G21" s="138" t="s">
        <v>483</v>
      </c>
      <c r="H21" s="131"/>
      <c r="I21" s="137" t="s">
        <v>434</v>
      </c>
      <c r="J21" s="15" t="s">
        <v>446</v>
      </c>
      <c r="K21" s="110"/>
      <c r="L21" s="137" t="s">
        <v>545</v>
      </c>
      <c r="M21" s="15" t="s">
        <v>483</v>
      </c>
      <c r="N21" s="110"/>
      <c r="O21" s="138" t="s">
        <v>703</v>
      </c>
      <c r="P21" s="139" t="s">
        <v>664</v>
      </c>
      <c r="Q21" s="109" t="s">
        <v>703</v>
      </c>
      <c r="R21" s="128" t="s">
        <v>664</v>
      </c>
      <c r="T21" s="110"/>
      <c r="V21" s="110"/>
    </row>
    <row r="22" spans="1:22" ht="30" outlineLevel="1" x14ac:dyDescent="0.25">
      <c r="A22" s="117" t="s">
        <v>578</v>
      </c>
      <c r="B22" s="119" t="s">
        <v>822</v>
      </c>
      <c r="C22" s="137" t="s">
        <v>451</v>
      </c>
      <c r="D22" s="15" t="s">
        <v>447</v>
      </c>
      <c r="E22" s="110"/>
      <c r="F22" s="137" t="s">
        <v>877</v>
      </c>
      <c r="G22" s="15" t="s">
        <v>482</v>
      </c>
      <c r="H22" s="131"/>
      <c r="I22" s="137" t="s">
        <v>1001</v>
      </c>
      <c r="J22" s="139" t="s">
        <v>485</v>
      </c>
      <c r="K22" s="110"/>
      <c r="L22" s="137" t="s">
        <v>540</v>
      </c>
      <c r="M22" s="15" t="s">
        <v>482</v>
      </c>
      <c r="N22" s="110"/>
      <c r="O22" s="138" t="s">
        <v>700</v>
      </c>
      <c r="P22" s="139" t="s">
        <v>657</v>
      </c>
      <c r="Q22" s="109" t="s">
        <v>700</v>
      </c>
      <c r="R22" s="128" t="s">
        <v>657</v>
      </c>
      <c r="T22" s="110"/>
      <c r="V22" s="110"/>
    </row>
    <row r="23" spans="1:22" ht="30" outlineLevel="1" x14ac:dyDescent="0.25">
      <c r="A23" s="117" t="s">
        <v>579</v>
      </c>
      <c r="B23" s="119" t="s">
        <v>823</v>
      </c>
      <c r="C23" s="137" t="s">
        <v>452</v>
      </c>
      <c r="D23" s="15" t="s">
        <v>446</v>
      </c>
      <c r="E23" s="110"/>
      <c r="F23" s="137" t="s">
        <v>883</v>
      </c>
      <c r="G23" s="15" t="s">
        <v>482</v>
      </c>
      <c r="H23" s="131"/>
      <c r="I23" s="137" t="s">
        <v>1002</v>
      </c>
      <c r="J23" s="15" t="s">
        <v>483</v>
      </c>
      <c r="K23" s="110"/>
      <c r="L23" s="137" t="s">
        <v>547</v>
      </c>
      <c r="M23" s="139" t="s">
        <v>482</v>
      </c>
      <c r="N23" s="110"/>
      <c r="O23" s="138" t="s">
        <v>698</v>
      </c>
      <c r="P23" s="139" t="s">
        <v>664</v>
      </c>
      <c r="Q23" s="109" t="s">
        <v>698</v>
      </c>
      <c r="R23" s="128" t="s">
        <v>664</v>
      </c>
      <c r="T23" s="110"/>
      <c r="V23" s="110"/>
    </row>
    <row r="24" spans="1:22" ht="30" outlineLevel="1" x14ac:dyDescent="0.25">
      <c r="A24" s="117" t="s">
        <v>580</v>
      </c>
      <c r="B24" s="119" t="s">
        <v>824</v>
      </c>
      <c r="C24" s="137" t="s">
        <v>453</v>
      </c>
      <c r="D24" s="15" t="s">
        <v>446</v>
      </c>
      <c r="E24" s="110"/>
      <c r="F24" s="137" t="s">
        <v>884</v>
      </c>
      <c r="G24" s="15" t="s">
        <v>482</v>
      </c>
      <c r="H24" s="131"/>
      <c r="I24" s="137" t="s">
        <v>1003</v>
      </c>
      <c r="J24" s="15" t="s">
        <v>483</v>
      </c>
      <c r="K24" s="110"/>
      <c r="L24" s="137" t="s">
        <v>548</v>
      </c>
      <c r="M24" s="15" t="s">
        <v>483</v>
      </c>
      <c r="N24" s="110"/>
      <c r="O24" s="138" t="s">
        <v>706</v>
      </c>
      <c r="P24" s="139" t="s">
        <v>664</v>
      </c>
      <c r="Q24" s="109" t="s">
        <v>706</v>
      </c>
      <c r="R24" s="128" t="s">
        <v>664</v>
      </c>
      <c r="T24" s="110"/>
      <c r="V24" s="110"/>
    </row>
    <row r="25" spans="1:22" ht="30" outlineLevel="1" x14ac:dyDescent="0.25">
      <c r="A25" s="117" t="s">
        <v>581</v>
      </c>
      <c r="B25" s="119" t="s">
        <v>1321</v>
      </c>
      <c r="C25" s="137" t="s">
        <v>442</v>
      </c>
      <c r="D25" s="15" t="s">
        <v>446</v>
      </c>
      <c r="E25" s="110"/>
      <c r="F25" s="137" t="s">
        <v>882</v>
      </c>
      <c r="G25" s="138" t="s">
        <v>483</v>
      </c>
      <c r="H25" s="131"/>
      <c r="I25" s="137" t="s">
        <v>999</v>
      </c>
      <c r="J25" s="15" t="s">
        <v>483</v>
      </c>
      <c r="K25" s="110"/>
      <c r="L25" s="137" t="s">
        <v>546</v>
      </c>
      <c r="M25" s="139" t="s">
        <v>482</v>
      </c>
      <c r="N25" s="110"/>
      <c r="O25" s="138" t="s">
        <v>702</v>
      </c>
      <c r="P25" s="139" t="s">
        <v>657</v>
      </c>
      <c r="Q25" s="109" t="s">
        <v>702</v>
      </c>
      <c r="R25" s="128" t="s">
        <v>657</v>
      </c>
      <c r="T25" s="110"/>
      <c r="V25" s="110"/>
    </row>
    <row r="26" spans="1:22" ht="30" outlineLevel="1" x14ac:dyDescent="0.25">
      <c r="A26" s="117" t="s">
        <v>143</v>
      </c>
      <c r="B26" s="119" t="s">
        <v>825</v>
      </c>
      <c r="C26" s="137" t="s">
        <v>444</v>
      </c>
      <c r="D26" s="15" t="s">
        <v>446</v>
      </c>
      <c r="E26" s="110"/>
      <c r="F26" s="137" t="s">
        <v>885</v>
      </c>
      <c r="G26" s="15" t="s">
        <v>446</v>
      </c>
      <c r="H26" s="131"/>
      <c r="I26" s="137" t="s">
        <v>444</v>
      </c>
      <c r="J26" s="15" t="s">
        <v>446</v>
      </c>
      <c r="K26" s="110"/>
      <c r="L26" s="137" t="s">
        <v>549</v>
      </c>
      <c r="M26" s="15" t="s">
        <v>483</v>
      </c>
      <c r="N26" s="110"/>
      <c r="O26" s="138" t="s">
        <v>707</v>
      </c>
      <c r="P26" s="139" t="s">
        <v>654</v>
      </c>
      <c r="Q26" s="109" t="s">
        <v>707</v>
      </c>
      <c r="R26" s="128" t="s">
        <v>654</v>
      </c>
      <c r="T26" s="110"/>
      <c r="V26" s="110"/>
    </row>
    <row r="27" spans="1:22" ht="30" outlineLevel="1" x14ac:dyDescent="0.25">
      <c r="A27" s="117" t="s">
        <v>576</v>
      </c>
      <c r="B27" s="119" t="s">
        <v>826</v>
      </c>
      <c r="C27" s="137" t="s">
        <v>445</v>
      </c>
      <c r="D27" s="15" t="s">
        <v>446</v>
      </c>
      <c r="E27" s="110"/>
      <c r="F27" s="137" t="s">
        <v>896</v>
      </c>
      <c r="G27" s="138" t="s">
        <v>483</v>
      </c>
      <c r="H27" s="131"/>
      <c r="I27" s="137" t="s">
        <v>445</v>
      </c>
      <c r="J27" s="15" t="s">
        <v>446</v>
      </c>
      <c r="K27" s="110"/>
      <c r="L27" s="137" t="s">
        <v>561</v>
      </c>
      <c r="M27" s="15" t="s">
        <v>446</v>
      </c>
      <c r="N27" s="110"/>
      <c r="O27" s="138" t="s">
        <v>699</v>
      </c>
      <c r="P27" s="139" t="s">
        <v>654</v>
      </c>
      <c r="Q27" s="109" t="s">
        <v>699</v>
      </c>
      <c r="R27" s="128" t="s">
        <v>654</v>
      </c>
      <c r="T27" s="110"/>
      <c r="V27" s="110"/>
    </row>
    <row r="28" spans="1:22" ht="30" outlineLevel="1" x14ac:dyDescent="0.25">
      <c r="A28" s="117" t="s">
        <v>577</v>
      </c>
      <c r="B28" s="119" t="s">
        <v>827</v>
      </c>
      <c r="C28" s="137" t="s">
        <v>450</v>
      </c>
      <c r="D28" s="15" t="s">
        <v>446</v>
      </c>
      <c r="E28" s="110"/>
      <c r="F28" s="137" t="s">
        <v>891</v>
      </c>
      <c r="G28" s="15" t="s">
        <v>482</v>
      </c>
      <c r="H28" s="131"/>
      <c r="I28" s="137" t="s">
        <v>450</v>
      </c>
      <c r="J28" s="15" t="s">
        <v>446</v>
      </c>
      <c r="K28" s="110"/>
      <c r="L28" s="137" t="s">
        <v>556</v>
      </c>
      <c r="M28" s="139" t="s">
        <v>446</v>
      </c>
      <c r="N28" s="110"/>
      <c r="O28" s="138" t="s">
        <v>705</v>
      </c>
      <c r="P28" s="139" t="s">
        <v>657</v>
      </c>
      <c r="Q28" s="109" t="s">
        <v>705</v>
      </c>
      <c r="R28" s="128" t="s">
        <v>657</v>
      </c>
      <c r="T28" s="110"/>
      <c r="V28" s="110"/>
    </row>
    <row r="29" spans="1:22" ht="30" outlineLevel="1" x14ac:dyDescent="0.25">
      <c r="A29" s="117" t="s">
        <v>566</v>
      </c>
      <c r="B29" s="119" t="s">
        <v>828</v>
      </c>
      <c r="C29" s="137" t="s">
        <v>433</v>
      </c>
      <c r="D29" s="15" t="s">
        <v>447</v>
      </c>
      <c r="E29" s="110"/>
      <c r="F29" s="137" t="s">
        <v>895</v>
      </c>
      <c r="G29" s="15" t="s">
        <v>446</v>
      </c>
      <c r="H29" s="131"/>
      <c r="I29" s="137" t="s">
        <v>994</v>
      </c>
      <c r="J29" s="15" t="s">
        <v>446</v>
      </c>
      <c r="K29" s="110"/>
      <c r="L29" s="137" t="s">
        <v>560</v>
      </c>
      <c r="M29" s="15" t="s">
        <v>483</v>
      </c>
      <c r="N29" s="110"/>
      <c r="O29" s="138" t="s">
        <v>701</v>
      </c>
      <c r="P29" s="139" t="s">
        <v>664</v>
      </c>
      <c r="Q29" s="109" t="s">
        <v>701</v>
      </c>
      <c r="R29" s="128" t="s">
        <v>664</v>
      </c>
      <c r="T29" s="110"/>
      <c r="V29" s="110"/>
    </row>
    <row r="30" spans="1:22" ht="30" outlineLevel="1" x14ac:dyDescent="0.25">
      <c r="A30" s="117" t="s">
        <v>575</v>
      </c>
      <c r="B30" s="119" t="s">
        <v>829</v>
      </c>
      <c r="C30" s="137" t="s">
        <v>443</v>
      </c>
      <c r="D30" s="15" t="s">
        <v>446</v>
      </c>
      <c r="E30" s="110"/>
      <c r="F30" s="137" t="s">
        <v>890</v>
      </c>
      <c r="G30" s="138" t="s">
        <v>483</v>
      </c>
      <c r="H30" s="131"/>
      <c r="I30" s="137" t="s">
        <v>443</v>
      </c>
      <c r="J30" s="15" t="s">
        <v>446</v>
      </c>
      <c r="K30" s="110"/>
      <c r="L30" s="137" t="s">
        <v>555</v>
      </c>
      <c r="M30" s="15" t="s">
        <v>482</v>
      </c>
      <c r="N30" s="110"/>
      <c r="O30" s="138" t="s">
        <v>704</v>
      </c>
      <c r="P30" s="139" t="s">
        <v>654</v>
      </c>
      <c r="Q30" s="109" t="s">
        <v>704</v>
      </c>
      <c r="R30" s="128" t="s">
        <v>654</v>
      </c>
      <c r="T30" s="110"/>
      <c r="V30" s="110"/>
    </row>
    <row r="31" spans="1:22" outlineLevel="1" x14ac:dyDescent="0.25">
      <c r="A31" s="117" t="s">
        <v>1005</v>
      </c>
      <c r="B31" s="119" t="s">
        <v>1006</v>
      </c>
      <c r="C31" s="137" t="s">
        <v>386</v>
      </c>
      <c r="D31" s="15" t="s">
        <v>386</v>
      </c>
      <c r="E31" s="110"/>
      <c r="F31" s="137"/>
      <c r="G31" s="138"/>
      <c r="H31" s="131"/>
      <c r="I31" s="175" t="s">
        <v>1004</v>
      </c>
      <c r="J31" s="15" t="s">
        <v>482</v>
      </c>
      <c r="K31" s="185" t="s">
        <v>1040</v>
      </c>
      <c r="L31" s="137"/>
      <c r="N31" s="110"/>
      <c r="O31" s="138"/>
      <c r="P31" s="139"/>
      <c r="Q31" s="109"/>
      <c r="R31" s="128"/>
      <c r="T31" s="110"/>
      <c r="V31" s="110"/>
    </row>
    <row r="32" spans="1:22" ht="30" outlineLevel="1" x14ac:dyDescent="0.25">
      <c r="A32" s="117" t="s">
        <v>1007</v>
      </c>
      <c r="B32" s="119" t="s">
        <v>1008</v>
      </c>
      <c r="C32" s="137"/>
      <c r="E32" s="110"/>
      <c r="F32" s="137"/>
      <c r="G32" s="138"/>
      <c r="H32" s="131"/>
      <c r="I32" s="175" t="s">
        <v>1009</v>
      </c>
      <c r="J32" s="15" t="s">
        <v>1010</v>
      </c>
      <c r="K32" s="185" t="s">
        <v>1040</v>
      </c>
      <c r="L32" s="137"/>
      <c r="N32" s="110"/>
      <c r="O32" s="138"/>
      <c r="P32" s="139"/>
      <c r="Q32" s="109"/>
      <c r="R32" s="128"/>
      <c r="T32" s="110"/>
      <c r="V32" s="110"/>
    </row>
    <row r="33" spans="1:22" ht="30" x14ac:dyDescent="0.25">
      <c r="A33" s="158" t="s">
        <v>797</v>
      </c>
      <c r="B33" s="169"/>
      <c r="C33" s="115"/>
      <c r="D33" s="114"/>
      <c r="E33" s="116"/>
      <c r="F33" s="115"/>
      <c r="G33" s="114"/>
      <c r="H33" s="116"/>
      <c r="I33" s="115"/>
      <c r="J33" s="114"/>
      <c r="K33" s="116"/>
      <c r="L33" s="115"/>
      <c r="M33" s="114"/>
      <c r="N33" s="116"/>
      <c r="O33" s="114"/>
      <c r="P33" s="114"/>
      <c r="Q33" s="115"/>
      <c r="R33" s="116"/>
      <c r="S33" s="114"/>
      <c r="T33" s="116"/>
      <c r="U33" s="114"/>
      <c r="V33" s="116"/>
    </row>
    <row r="34" spans="1:22" ht="30" outlineLevel="1" x14ac:dyDescent="0.25">
      <c r="A34" s="117" t="s">
        <v>599</v>
      </c>
      <c r="B34" s="119" t="s">
        <v>830</v>
      </c>
      <c r="C34" s="109" t="s">
        <v>1292</v>
      </c>
      <c r="D34" s="15" t="s">
        <v>447</v>
      </c>
      <c r="E34" s="110" t="s">
        <v>1292</v>
      </c>
      <c r="F34" s="109"/>
      <c r="H34" s="110"/>
      <c r="I34" s="109"/>
      <c r="K34" s="110"/>
      <c r="L34" s="137" t="s">
        <v>600</v>
      </c>
      <c r="M34" s="138" t="s">
        <v>446</v>
      </c>
      <c r="N34" s="131" t="s">
        <v>600</v>
      </c>
      <c r="O34" s="138" t="s">
        <v>386</v>
      </c>
      <c r="P34" s="140" t="s">
        <v>386</v>
      </c>
      <c r="Q34" s="109"/>
      <c r="R34" s="187" t="s">
        <v>386</v>
      </c>
      <c r="T34" s="110"/>
      <c r="V34" s="110"/>
    </row>
    <row r="35" spans="1:22" ht="60" outlineLevel="1" x14ac:dyDescent="0.25">
      <c r="A35" s="117" t="s">
        <v>571</v>
      </c>
      <c r="B35" s="119" t="s">
        <v>831</v>
      </c>
      <c r="C35" s="137" t="s">
        <v>478</v>
      </c>
      <c r="D35" s="15" t="s">
        <v>482</v>
      </c>
      <c r="E35" s="131" t="s">
        <v>478</v>
      </c>
      <c r="F35" s="137" t="s">
        <v>478</v>
      </c>
      <c r="G35" s="15" t="s">
        <v>482</v>
      </c>
      <c r="H35" s="131"/>
      <c r="I35" s="137" t="s">
        <v>1016</v>
      </c>
      <c r="J35" s="15" t="s">
        <v>483</v>
      </c>
      <c r="K35" s="110"/>
      <c r="L35" s="137" t="s">
        <v>478</v>
      </c>
      <c r="M35" s="138" t="s">
        <v>482</v>
      </c>
      <c r="N35" s="131" t="s">
        <v>478</v>
      </c>
      <c r="O35" s="138" t="s">
        <v>631</v>
      </c>
      <c r="P35" s="163" t="s">
        <v>670</v>
      </c>
      <c r="Q35" s="137" t="s">
        <v>631</v>
      </c>
      <c r="R35" s="188" t="s">
        <v>670</v>
      </c>
      <c r="T35" s="110"/>
      <c r="V35" s="110"/>
    </row>
    <row r="36" spans="1:22" ht="30" outlineLevel="1" x14ac:dyDescent="0.25">
      <c r="A36" s="117" t="s">
        <v>646</v>
      </c>
      <c r="B36" s="119" t="s">
        <v>832</v>
      </c>
      <c r="C36" s="137" t="s">
        <v>481</v>
      </c>
      <c r="D36" s="15" t="s">
        <v>482</v>
      </c>
      <c r="E36" s="131" t="s">
        <v>481</v>
      </c>
      <c r="F36" s="175" t="s">
        <v>906</v>
      </c>
      <c r="G36" s="15" t="s">
        <v>483</v>
      </c>
      <c r="H36" s="185" t="s">
        <v>1040</v>
      </c>
      <c r="I36" s="137" t="s">
        <v>1041</v>
      </c>
      <c r="J36" s="138" t="s">
        <v>1042</v>
      </c>
      <c r="K36" s="110" t="s">
        <v>906</v>
      </c>
      <c r="L36" s="137" t="s">
        <v>593</v>
      </c>
      <c r="M36" s="138" t="s">
        <v>483</v>
      </c>
      <c r="N36" s="138" t="s">
        <v>593</v>
      </c>
      <c r="O36" s="138" t="s">
        <v>633</v>
      </c>
      <c r="P36" s="164" t="s">
        <v>665</v>
      </c>
      <c r="Q36" s="109" t="s">
        <v>633</v>
      </c>
      <c r="R36" s="189" t="s">
        <v>665</v>
      </c>
      <c r="T36" s="110"/>
      <c r="V36" s="110"/>
    </row>
    <row r="37" spans="1:22" ht="30" outlineLevel="1" x14ac:dyDescent="0.25">
      <c r="A37" s="117" t="s">
        <v>803</v>
      </c>
      <c r="B37" s="119" t="s">
        <v>833</v>
      </c>
      <c r="C37" s="137" t="s">
        <v>964</v>
      </c>
      <c r="D37" s="140" t="s">
        <v>176</v>
      </c>
      <c r="E37" s="131" t="s">
        <v>1043</v>
      </c>
      <c r="F37" s="137" t="s">
        <v>964</v>
      </c>
      <c r="G37" s="140" t="s">
        <v>176</v>
      </c>
      <c r="H37" s="128" t="s">
        <v>900</v>
      </c>
      <c r="I37" s="137" t="s">
        <v>964</v>
      </c>
      <c r="J37" s="140" t="s">
        <v>176</v>
      </c>
      <c r="K37" s="131" t="s">
        <v>1043</v>
      </c>
      <c r="L37" s="109" t="s">
        <v>963</v>
      </c>
      <c r="M37" s="140" t="s">
        <v>179</v>
      </c>
      <c r="N37" s="128" t="s">
        <v>594</v>
      </c>
      <c r="O37" s="138" t="s">
        <v>677</v>
      </c>
      <c r="P37" s="15" t="s">
        <v>660</v>
      </c>
      <c r="Q37" s="109" t="s">
        <v>677</v>
      </c>
      <c r="R37" s="110" t="s">
        <v>660</v>
      </c>
      <c r="T37" s="110"/>
      <c r="V37" s="110"/>
    </row>
    <row r="38" spans="1:22" ht="30" outlineLevel="1" x14ac:dyDescent="0.25">
      <c r="A38" s="117" t="s">
        <v>639</v>
      </c>
      <c r="B38" s="119" t="s">
        <v>834</v>
      </c>
      <c r="C38" s="137" t="s">
        <v>461</v>
      </c>
      <c r="D38" s="15" t="s">
        <v>446</v>
      </c>
      <c r="E38" s="131" t="s">
        <v>461</v>
      </c>
      <c r="F38" s="137" t="s">
        <v>461</v>
      </c>
      <c r="G38" s="15" t="s">
        <v>446</v>
      </c>
      <c r="H38" s="131" t="s">
        <v>461</v>
      </c>
      <c r="I38" s="137" t="s">
        <v>461</v>
      </c>
      <c r="J38" s="15" t="s">
        <v>446</v>
      </c>
      <c r="K38" s="131" t="s">
        <v>461</v>
      </c>
      <c r="L38" s="137" t="s">
        <v>595</v>
      </c>
      <c r="M38" s="138" t="s">
        <v>483</v>
      </c>
      <c r="N38" s="131" t="s">
        <v>595</v>
      </c>
      <c r="O38" s="138" t="s">
        <v>634</v>
      </c>
      <c r="P38" s="164" t="s">
        <v>654</v>
      </c>
      <c r="Q38" s="109" t="s">
        <v>634</v>
      </c>
      <c r="R38" s="189" t="s">
        <v>654</v>
      </c>
      <c r="T38" s="110"/>
      <c r="V38" s="110"/>
    </row>
    <row r="39" spans="1:22" ht="30" outlineLevel="1" x14ac:dyDescent="0.25">
      <c r="A39" s="117" t="s">
        <v>805</v>
      </c>
      <c r="B39" s="119" t="s">
        <v>835</v>
      </c>
      <c r="C39" s="137" t="s">
        <v>463</v>
      </c>
      <c r="D39" s="15" t="s">
        <v>446</v>
      </c>
      <c r="E39" s="131" t="s">
        <v>463</v>
      </c>
      <c r="F39" s="137" t="s">
        <v>463</v>
      </c>
      <c r="G39" s="15" t="s">
        <v>446</v>
      </c>
      <c r="H39" s="131" t="s">
        <v>463</v>
      </c>
      <c r="I39" s="137" t="s">
        <v>463</v>
      </c>
      <c r="J39" s="15" t="s">
        <v>446</v>
      </c>
      <c r="K39" s="131" t="s">
        <v>463</v>
      </c>
      <c r="L39" s="137" t="s">
        <v>596</v>
      </c>
      <c r="M39" s="138" t="s">
        <v>483</v>
      </c>
      <c r="N39" s="131" t="s">
        <v>596</v>
      </c>
      <c r="O39" s="138" t="s">
        <v>682</v>
      </c>
      <c r="P39" s="164" t="s">
        <v>653</v>
      </c>
      <c r="Q39" s="109" t="s">
        <v>682</v>
      </c>
      <c r="R39" s="189" t="s">
        <v>653</v>
      </c>
      <c r="T39" s="110"/>
      <c r="V39" s="110"/>
    </row>
    <row r="40" spans="1:22" ht="30" outlineLevel="1" x14ac:dyDescent="0.25">
      <c r="A40" s="117" t="s">
        <v>644</v>
      </c>
      <c r="B40" s="119" t="s">
        <v>836</v>
      </c>
      <c r="C40" s="137" t="s">
        <v>477</v>
      </c>
      <c r="D40" s="15" t="s">
        <v>446</v>
      </c>
      <c r="E40" s="131" t="s">
        <v>477</v>
      </c>
      <c r="F40" s="137" t="s">
        <v>477</v>
      </c>
      <c r="G40" s="15" t="s">
        <v>446</v>
      </c>
      <c r="H40" s="131" t="s">
        <v>477</v>
      </c>
      <c r="I40" s="137" t="s">
        <v>477</v>
      </c>
      <c r="J40" s="15" t="s">
        <v>446</v>
      </c>
      <c r="K40" s="131" t="s">
        <v>477</v>
      </c>
      <c r="L40" s="137" t="s">
        <v>597</v>
      </c>
      <c r="M40" s="138" t="s">
        <v>483</v>
      </c>
      <c r="N40" s="131" t="s">
        <v>597</v>
      </c>
      <c r="O40" s="138" t="s">
        <v>647</v>
      </c>
      <c r="P40" s="164" t="s">
        <v>657</v>
      </c>
      <c r="Q40" s="109" t="s">
        <v>647</v>
      </c>
      <c r="R40" s="189" t="s">
        <v>657</v>
      </c>
      <c r="T40" s="110"/>
      <c r="V40" s="110"/>
    </row>
    <row r="41" spans="1:22" ht="30" outlineLevel="1" x14ac:dyDescent="0.25">
      <c r="A41" s="117" t="s">
        <v>676</v>
      </c>
      <c r="B41" s="119" t="s">
        <v>859</v>
      </c>
      <c r="C41" s="137" t="s">
        <v>472</v>
      </c>
      <c r="D41" s="15" t="s">
        <v>483</v>
      </c>
      <c r="E41" s="131" t="s">
        <v>472</v>
      </c>
      <c r="F41" s="137" t="s">
        <v>598</v>
      </c>
      <c r="G41" s="138" t="s">
        <v>483</v>
      </c>
      <c r="H41" s="131" t="s">
        <v>598</v>
      </c>
      <c r="I41" s="137" t="s">
        <v>472</v>
      </c>
      <c r="J41" s="15" t="s">
        <v>483</v>
      </c>
      <c r="K41" s="131" t="s">
        <v>472</v>
      </c>
      <c r="L41" s="137" t="s">
        <v>598</v>
      </c>
      <c r="M41" s="138" t="s">
        <v>483</v>
      </c>
      <c r="N41" s="131" t="s">
        <v>598</v>
      </c>
      <c r="O41" s="138" t="s">
        <v>386</v>
      </c>
      <c r="P41" s="15" t="s">
        <v>386</v>
      </c>
      <c r="Q41" s="109" t="s">
        <v>386</v>
      </c>
      <c r="R41" s="110" t="s">
        <v>386</v>
      </c>
      <c r="T41" s="110"/>
      <c r="V41" s="110"/>
    </row>
    <row r="42" spans="1:22" ht="30" outlineLevel="1" x14ac:dyDescent="0.25">
      <c r="A42" s="117" t="s">
        <v>569</v>
      </c>
      <c r="B42" s="338" t="s">
        <v>837</v>
      </c>
      <c r="C42" s="137" t="s">
        <v>479</v>
      </c>
      <c r="D42" s="15" t="s">
        <v>447</v>
      </c>
      <c r="E42" s="131" t="s">
        <v>479</v>
      </c>
      <c r="F42" s="334" t="s">
        <v>905</v>
      </c>
      <c r="G42" s="138" t="s">
        <v>483</v>
      </c>
      <c r="H42" s="185" t="s">
        <v>1040</v>
      </c>
      <c r="I42" s="137" t="s">
        <v>1173</v>
      </c>
      <c r="J42" s="138" t="s">
        <v>482</v>
      </c>
      <c r="K42" s="110"/>
      <c r="L42" s="137" t="s">
        <v>584</v>
      </c>
      <c r="M42" s="138" t="s">
        <v>446</v>
      </c>
      <c r="N42" s="131" t="s">
        <v>584</v>
      </c>
      <c r="O42" s="138" t="s">
        <v>648</v>
      </c>
      <c r="P42" s="164" t="s">
        <v>652</v>
      </c>
      <c r="Q42" s="109" t="s">
        <v>648</v>
      </c>
      <c r="R42" s="189" t="s">
        <v>652</v>
      </c>
      <c r="T42" s="110"/>
      <c r="V42" s="110"/>
    </row>
    <row r="43" spans="1:22" ht="30" outlineLevel="1" x14ac:dyDescent="0.25">
      <c r="A43" s="117" t="s">
        <v>645</v>
      </c>
      <c r="B43" s="338" t="s">
        <v>838</v>
      </c>
      <c r="C43" s="137" t="s">
        <v>480</v>
      </c>
      <c r="D43" s="15" t="s">
        <v>446</v>
      </c>
      <c r="E43" s="131" t="s">
        <v>480</v>
      </c>
      <c r="F43" s="137" t="s">
        <v>480</v>
      </c>
      <c r="G43" s="15" t="s">
        <v>446</v>
      </c>
      <c r="H43" s="131" t="s">
        <v>480</v>
      </c>
      <c r="I43" s="137" t="s">
        <v>989</v>
      </c>
      <c r="J43" s="15" t="s">
        <v>483</v>
      </c>
      <c r="K43" s="110"/>
      <c r="L43" s="137" t="s">
        <v>480</v>
      </c>
      <c r="M43" s="138" t="s">
        <v>446</v>
      </c>
      <c r="N43" s="131" t="s">
        <v>480</v>
      </c>
      <c r="O43" s="138" t="s">
        <v>649</v>
      </c>
      <c r="P43" s="164" t="s">
        <v>653</v>
      </c>
      <c r="Q43" s="109" t="s">
        <v>649</v>
      </c>
      <c r="R43" s="189" t="s">
        <v>653</v>
      </c>
      <c r="T43" s="110"/>
      <c r="V43" s="110"/>
    </row>
    <row r="44" spans="1:22" ht="30" outlineLevel="1" x14ac:dyDescent="0.25">
      <c r="A44" s="117" t="s">
        <v>570</v>
      </c>
      <c r="B44" s="338" t="s">
        <v>839</v>
      </c>
      <c r="C44" s="137" t="s">
        <v>462</v>
      </c>
      <c r="D44" s="15" t="s">
        <v>446</v>
      </c>
      <c r="E44" s="131" t="s">
        <v>462</v>
      </c>
      <c r="F44" s="137" t="s">
        <v>462</v>
      </c>
      <c r="G44" s="15" t="s">
        <v>446</v>
      </c>
      <c r="H44" s="131" t="s">
        <v>462</v>
      </c>
      <c r="I44" s="137" t="s">
        <v>462</v>
      </c>
      <c r="J44" s="15" t="s">
        <v>446</v>
      </c>
      <c r="K44" s="131" t="s">
        <v>462</v>
      </c>
      <c r="L44" s="137" t="s">
        <v>462</v>
      </c>
      <c r="M44" s="138" t="s">
        <v>446</v>
      </c>
      <c r="N44" s="131" t="s">
        <v>462</v>
      </c>
      <c r="O44" s="138" t="s">
        <v>650</v>
      </c>
      <c r="P44" s="164" t="s">
        <v>653</v>
      </c>
      <c r="Q44" s="109" t="s">
        <v>650</v>
      </c>
      <c r="R44" s="189" t="s">
        <v>653</v>
      </c>
      <c r="T44" s="110"/>
      <c r="V44" s="110"/>
    </row>
    <row r="45" spans="1:22" ht="30" outlineLevel="1" x14ac:dyDescent="0.25">
      <c r="A45" s="117" t="s">
        <v>574</v>
      </c>
      <c r="B45" s="338" t="s">
        <v>840</v>
      </c>
      <c r="C45" s="137" t="s">
        <v>475</v>
      </c>
      <c r="D45" s="15" t="s">
        <v>485</v>
      </c>
      <c r="E45" s="131" t="s">
        <v>475</v>
      </c>
      <c r="F45" s="137" t="s">
        <v>587</v>
      </c>
      <c r="G45" s="138" t="s">
        <v>483</v>
      </c>
      <c r="H45" s="131" t="s">
        <v>587</v>
      </c>
      <c r="I45" s="137" t="s">
        <v>475</v>
      </c>
      <c r="J45" s="15" t="s">
        <v>485</v>
      </c>
      <c r="K45" s="131" t="s">
        <v>475</v>
      </c>
      <c r="L45" s="137" t="s">
        <v>587</v>
      </c>
      <c r="M45" s="138" t="s">
        <v>483</v>
      </c>
      <c r="N45" s="131" t="s">
        <v>587</v>
      </c>
      <c r="O45" s="138" t="s">
        <v>681</v>
      </c>
      <c r="P45" s="164" t="s">
        <v>660</v>
      </c>
      <c r="Q45" s="109" t="s">
        <v>681</v>
      </c>
      <c r="R45" s="189" t="s">
        <v>660</v>
      </c>
      <c r="T45" s="110"/>
      <c r="V45" s="110"/>
    </row>
    <row r="46" spans="1:22" ht="30" outlineLevel="1" x14ac:dyDescent="0.25">
      <c r="A46" s="117" t="s">
        <v>572</v>
      </c>
      <c r="B46" s="338" t="s">
        <v>841</v>
      </c>
      <c r="C46" s="137" t="s">
        <v>474</v>
      </c>
      <c r="D46" s="139" t="s">
        <v>503</v>
      </c>
      <c r="E46" s="131" t="s">
        <v>474</v>
      </c>
      <c r="F46" s="175" t="s">
        <v>904</v>
      </c>
      <c r="G46" s="15" t="s">
        <v>482</v>
      </c>
      <c r="H46" s="185" t="s">
        <v>1040</v>
      </c>
      <c r="I46" s="137" t="s">
        <v>985</v>
      </c>
      <c r="J46" s="139" t="s">
        <v>447</v>
      </c>
      <c r="K46" s="110"/>
      <c r="L46" s="109" t="s">
        <v>586</v>
      </c>
      <c r="M46" s="138" t="s">
        <v>482</v>
      </c>
      <c r="N46" s="110" t="s">
        <v>586</v>
      </c>
      <c r="O46" s="138" t="s">
        <v>673</v>
      </c>
      <c r="P46" s="164" t="s">
        <v>659</v>
      </c>
      <c r="Q46" s="109" t="s">
        <v>673</v>
      </c>
      <c r="R46" s="189" t="s">
        <v>659</v>
      </c>
      <c r="T46" s="110"/>
      <c r="V46" s="110"/>
    </row>
    <row r="47" spans="1:22" ht="30" outlineLevel="1" x14ac:dyDescent="0.25">
      <c r="A47" s="117" t="s">
        <v>637</v>
      </c>
      <c r="B47" s="338" t="s">
        <v>842</v>
      </c>
      <c r="C47" s="137" t="s">
        <v>459</v>
      </c>
      <c r="D47" s="139" t="s">
        <v>485</v>
      </c>
      <c r="E47" s="131" t="s">
        <v>459</v>
      </c>
      <c r="F47" s="137" t="s">
        <v>585</v>
      </c>
      <c r="G47" s="138" t="s">
        <v>483</v>
      </c>
      <c r="H47" s="131" t="s">
        <v>585</v>
      </c>
      <c r="I47" s="334" t="s">
        <v>986</v>
      </c>
      <c r="J47" s="195" t="s">
        <v>482</v>
      </c>
      <c r="K47" s="185" t="s">
        <v>1040</v>
      </c>
      <c r="L47" s="137" t="s">
        <v>585</v>
      </c>
      <c r="M47" s="138" t="s">
        <v>483</v>
      </c>
      <c r="N47" s="131" t="s">
        <v>585</v>
      </c>
      <c r="O47" s="138" t="s">
        <v>651</v>
      </c>
      <c r="P47" s="164" t="s">
        <v>661</v>
      </c>
      <c r="Q47" s="109" t="s">
        <v>651</v>
      </c>
      <c r="R47" s="189" t="s">
        <v>661</v>
      </c>
      <c r="T47" s="110"/>
      <c r="V47" s="110"/>
    </row>
    <row r="48" spans="1:22" ht="30" outlineLevel="1" x14ac:dyDescent="0.25">
      <c r="A48" s="117" t="s">
        <v>563</v>
      </c>
      <c r="B48" s="119" t="s">
        <v>843</v>
      </c>
      <c r="C48" s="137" t="s">
        <v>454</v>
      </c>
      <c r="D48" s="15" t="s">
        <v>482</v>
      </c>
      <c r="E48" s="131" t="s">
        <v>454</v>
      </c>
      <c r="F48" s="137" t="s">
        <v>454</v>
      </c>
      <c r="G48" s="15" t="s">
        <v>482</v>
      </c>
      <c r="H48" s="131" t="s">
        <v>454</v>
      </c>
      <c r="I48" s="137" t="s">
        <v>454</v>
      </c>
      <c r="J48" s="15" t="s">
        <v>482</v>
      </c>
      <c r="K48" s="131" t="s">
        <v>454</v>
      </c>
      <c r="L48" s="137" t="s">
        <v>454</v>
      </c>
      <c r="M48" s="138" t="s">
        <v>482</v>
      </c>
      <c r="N48" s="131" t="s">
        <v>454</v>
      </c>
      <c r="O48" s="138" t="s">
        <v>691</v>
      </c>
      <c r="P48" s="164" t="s">
        <v>662</v>
      </c>
      <c r="Q48" s="109" t="s">
        <v>691</v>
      </c>
      <c r="R48" s="189" t="s">
        <v>662</v>
      </c>
      <c r="T48" s="110"/>
      <c r="V48" s="110"/>
    </row>
    <row r="49" spans="1:22" ht="30" outlineLevel="1" x14ac:dyDescent="0.25">
      <c r="A49" s="117" t="s">
        <v>635</v>
      </c>
      <c r="B49" s="119" t="s">
        <v>844</v>
      </c>
      <c r="C49" s="137" t="s">
        <v>455</v>
      </c>
      <c r="D49" s="15" t="s">
        <v>482</v>
      </c>
      <c r="E49" s="131" t="s">
        <v>455</v>
      </c>
      <c r="F49" s="137" t="s">
        <v>455</v>
      </c>
      <c r="G49" s="15" t="s">
        <v>482</v>
      </c>
      <c r="H49" s="131" t="s">
        <v>455</v>
      </c>
      <c r="I49" s="137" t="s">
        <v>455</v>
      </c>
      <c r="J49" s="15" t="s">
        <v>482</v>
      </c>
      <c r="K49" s="131" t="s">
        <v>455</v>
      </c>
      <c r="L49" s="137" t="s">
        <v>455</v>
      </c>
      <c r="M49" s="138" t="s">
        <v>482</v>
      </c>
      <c r="N49" s="131" t="s">
        <v>455</v>
      </c>
      <c r="O49" s="138" t="s">
        <v>690</v>
      </c>
      <c r="P49" s="164" t="s">
        <v>662</v>
      </c>
      <c r="Q49" s="109" t="s">
        <v>690</v>
      </c>
      <c r="R49" s="189" t="s">
        <v>662</v>
      </c>
      <c r="T49" s="110"/>
      <c r="V49" s="110"/>
    </row>
    <row r="50" spans="1:22" ht="30" outlineLevel="1" x14ac:dyDescent="0.25">
      <c r="A50" s="117" t="s">
        <v>636</v>
      </c>
      <c r="B50" s="119" t="s">
        <v>845</v>
      </c>
      <c r="C50" s="137" t="s">
        <v>456</v>
      </c>
      <c r="D50" s="139" t="s">
        <v>447</v>
      </c>
      <c r="E50" s="131" t="s">
        <v>456</v>
      </c>
      <c r="F50" s="175" t="s">
        <v>899</v>
      </c>
      <c r="G50" s="15" t="s">
        <v>482</v>
      </c>
      <c r="H50" s="185" t="s">
        <v>1040</v>
      </c>
      <c r="I50" s="334" t="s">
        <v>987</v>
      </c>
      <c r="J50" s="195" t="s">
        <v>483</v>
      </c>
      <c r="K50" s="185" t="s">
        <v>1040</v>
      </c>
      <c r="L50" s="137" t="s">
        <v>592</v>
      </c>
      <c r="M50" s="138" t="s">
        <v>483</v>
      </c>
      <c r="N50" s="131" t="s">
        <v>592</v>
      </c>
      <c r="O50" s="138" t="s">
        <v>684</v>
      </c>
      <c r="P50" s="164" t="s">
        <v>657</v>
      </c>
      <c r="Q50" s="109" t="s">
        <v>684</v>
      </c>
      <c r="R50" s="189" t="s">
        <v>657</v>
      </c>
      <c r="T50" s="110"/>
      <c r="V50" s="110"/>
    </row>
    <row r="51" spans="1:22" ht="30" outlineLevel="1" x14ac:dyDescent="0.25">
      <c r="A51" s="117" t="s">
        <v>567</v>
      </c>
      <c r="B51" s="119" t="s">
        <v>846</v>
      </c>
      <c r="C51" s="137" t="s">
        <v>458</v>
      </c>
      <c r="D51" s="15" t="s">
        <v>482</v>
      </c>
      <c r="E51" s="131" t="s">
        <v>458</v>
      </c>
      <c r="F51" s="137" t="s">
        <v>458</v>
      </c>
      <c r="G51" s="15" t="s">
        <v>482</v>
      </c>
      <c r="H51" s="131" t="s">
        <v>458</v>
      </c>
      <c r="I51" s="137" t="s">
        <v>458</v>
      </c>
      <c r="J51" s="15" t="s">
        <v>482</v>
      </c>
      <c r="K51" s="131" t="s">
        <v>458</v>
      </c>
      <c r="L51" s="137" t="s">
        <v>458</v>
      </c>
      <c r="M51" s="138" t="s">
        <v>482</v>
      </c>
      <c r="N51" s="131" t="s">
        <v>458</v>
      </c>
      <c r="O51" s="138" t="s">
        <v>689</v>
      </c>
      <c r="P51" s="164" t="s">
        <v>662</v>
      </c>
      <c r="Q51" s="109" t="s">
        <v>689</v>
      </c>
      <c r="R51" s="189" t="s">
        <v>662</v>
      </c>
      <c r="T51" s="110"/>
      <c r="V51" s="110"/>
    </row>
    <row r="52" spans="1:22" ht="30" outlineLevel="1" x14ac:dyDescent="0.25">
      <c r="A52" s="117" t="s">
        <v>638</v>
      </c>
      <c r="B52" s="119" t="s">
        <v>847</v>
      </c>
      <c r="C52" s="137" t="s">
        <v>460</v>
      </c>
      <c r="D52" s="15" t="s">
        <v>483</v>
      </c>
      <c r="E52" s="131" t="s">
        <v>460</v>
      </c>
      <c r="F52" s="137" t="s">
        <v>460</v>
      </c>
      <c r="G52" s="15" t="s">
        <v>483</v>
      </c>
      <c r="H52" s="131" t="s">
        <v>460</v>
      </c>
      <c r="I52" s="137" t="s">
        <v>460</v>
      </c>
      <c r="J52" s="15" t="s">
        <v>483</v>
      </c>
      <c r="K52" s="131" t="s">
        <v>460</v>
      </c>
      <c r="L52" s="137" t="s">
        <v>460</v>
      </c>
      <c r="M52" s="138" t="s">
        <v>483</v>
      </c>
      <c r="N52" s="131" t="s">
        <v>460</v>
      </c>
      <c r="O52" s="138" t="s">
        <v>687</v>
      </c>
      <c r="P52" s="164" t="s">
        <v>657</v>
      </c>
      <c r="Q52" s="109" t="s">
        <v>687</v>
      </c>
      <c r="R52" s="189" t="s">
        <v>657</v>
      </c>
      <c r="T52" s="110"/>
      <c r="V52" s="110"/>
    </row>
    <row r="53" spans="1:22" ht="30" outlineLevel="1" x14ac:dyDescent="0.25">
      <c r="A53" s="117" t="s">
        <v>640</v>
      </c>
      <c r="B53" s="119" t="s">
        <v>848</v>
      </c>
      <c r="C53" s="137" t="s">
        <v>958</v>
      </c>
      <c r="D53" s="140" t="s">
        <v>371</v>
      </c>
      <c r="E53" s="131" t="s">
        <v>464</v>
      </c>
      <c r="F53" s="137" t="s">
        <v>958</v>
      </c>
      <c r="G53" s="140" t="s">
        <v>371</v>
      </c>
      <c r="H53" s="110" t="s">
        <v>901</v>
      </c>
      <c r="I53" s="137" t="s">
        <v>988</v>
      </c>
      <c r="J53" s="140" t="s">
        <v>954</v>
      </c>
      <c r="K53" s="110" t="s">
        <v>1015</v>
      </c>
      <c r="L53" s="137" t="s">
        <v>958</v>
      </c>
      <c r="M53" s="140" t="s">
        <v>371</v>
      </c>
      <c r="N53" s="110" t="s">
        <v>588</v>
      </c>
      <c r="O53" s="138" t="s">
        <v>672</v>
      </c>
      <c r="P53" s="164" t="s">
        <v>658</v>
      </c>
      <c r="Q53" s="109" t="s">
        <v>672</v>
      </c>
      <c r="R53" s="189" t="s">
        <v>658</v>
      </c>
      <c r="T53" s="110"/>
      <c r="V53" s="110"/>
    </row>
    <row r="54" spans="1:22" ht="30" outlineLevel="1" x14ac:dyDescent="0.25">
      <c r="A54" s="117" t="s">
        <v>642</v>
      </c>
      <c r="B54" s="119" t="s">
        <v>849</v>
      </c>
      <c r="C54" s="137" t="s">
        <v>955</v>
      </c>
      <c r="D54" s="140" t="s">
        <v>176</v>
      </c>
      <c r="E54" s="131" t="s">
        <v>470</v>
      </c>
      <c r="F54" s="137" t="s">
        <v>955</v>
      </c>
      <c r="G54" s="140" t="s">
        <v>176</v>
      </c>
      <c r="H54" s="131" t="s">
        <v>470</v>
      </c>
      <c r="I54" s="137" t="s">
        <v>955</v>
      </c>
      <c r="J54" s="140" t="s">
        <v>176</v>
      </c>
      <c r="K54" s="138" t="s">
        <v>470</v>
      </c>
      <c r="L54" s="137" t="s">
        <v>955</v>
      </c>
      <c r="M54" s="140" t="s">
        <v>176</v>
      </c>
      <c r="N54" s="131" t="s">
        <v>470</v>
      </c>
      <c r="O54" s="138" t="s">
        <v>688</v>
      </c>
      <c r="P54" s="164" t="s">
        <v>658</v>
      </c>
      <c r="Q54" s="109" t="s">
        <v>688</v>
      </c>
      <c r="R54" s="189" t="s">
        <v>658</v>
      </c>
      <c r="T54" s="110"/>
      <c r="V54" s="110"/>
    </row>
    <row r="55" spans="1:22" ht="30" outlineLevel="1" x14ac:dyDescent="0.25">
      <c r="A55" s="117" t="s">
        <v>579</v>
      </c>
      <c r="B55" s="119" t="s">
        <v>850</v>
      </c>
      <c r="C55" s="137" t="s">
        <v>959</v>
      </c>
      <c r="D55" s="15" t="s">
        <v>655</v>
      </c>
      <c r="E55" s="131" t="s">
        <v>465</v>
      </c>
      <c r="F55" s="137" t="s">
        <v>959</v>
      </c>
      <c r="G55" s="15" t="s">
        <v>655</v>
      </c>
      <c r="H55" s="131" t="s">
        <v>465</v>
      </c>
      <c r="I55" s="137" t="s">
        <v>959</v>
      </c>
      <c r="J55" s="15" t="s">
        <v>655</v>
      </c>
      <c r="K55" s="138" t="s">
        <v>465</v>
      </c>
      <c r="L55" s="137" t="s">
        <v>959</v>
      </c>
      <c r="M55" s="15" t="s">
        <v>655</v>
      </c>
      <c r="N55" s="131" t="s">
        <v>465</v>
      </c>
      <c r="O55" s="138" t="s">
        <v>685</v>
      </c>
      <c r="P55" s="164" t="s">
        <v>664</v>
      </c>
      <c r="Q55" s="109" t="s">
        <v>685</v>
      </c>
      <c r="R55" s="189" t="s">
        <v>664</v>
      </c>
      <c r="T55" s="110"/>
      <c r="V55" s="110"/>
    </row>
    <row r="56" spans="1:22" ht="30" outlineLevel="1" x14ac:dyDescent="0.25">
      <c r="A56" s="117" t="s">
        <v>580</v>
      </c>
      <c r="B56" s="119" t="s">
        <v>851</v>
      </c>
      <c r="C56" s="137" t="s">
        <v>946</v>
      </c>
      <c r="D56" s="15" t="s">
        <v>947</v>
      </c>
      <c r="E56" s="131" t="s">
        <v>466</v>
      </c>
      <c r="F56" s="137" t="s">
        <v>466</v>
      </c>
      <c r="G56" s="15" t="s">
        <v>482</v>
      </c>
      <c r="H56" s="131" t="s">
        <v>466</v>
      </c>
      <c r="I56" s="137" t="s">
        <v>946</v>
      </c>
      <c r="J56" s="15" t="s">
        <v>947</v>
      </c>
      <c r="K56" s="138" t="s">
        <v>466</v>
      </c>
      <c r="L56" s="109" t="s">
        <v>466</v>
      </c>
      <c r="M56" s="15" t="s">
        <v>947</v>
      </c>
      <c r="N56" s="131" t="s">
        <v>946</v>
      </c>
      <c r="O56" s="138" t="s">
        <v>671</v>
      </c>
      <c r="P56" s="164" t="s">
        <v>657</v>
      </c>
      <c r="Q56" s="109" t="s">
        <v>671</v>
      </c>
      <c r="R56" s="189" t="s">
        <v>657</v>
      </c>
      <c r="T56" s="110"/>
      <c r="V56" s="110"/>
    </row>
    <row r="57" spans="1:22" ht="30" outlineLevel="1" x14ac:dyDescent="0.25">
      <c r="A57" s="117" t="s">
        <v>641</v>
      </c>
      <c r="B57" s="119" t="s">
        <v>1315</v>
      </c>
      <c r="C57" s="137" t="s">
        <v>948</v>
      </c>
      <c r="D57" s="140" t="s">
        <v>179</v>
      </c>
      <c r="E57" s="131" t="s">
        <v>467</v>
      </c>
      <c r="F57" s="137" t="s">
        <v>467</v>
      </c>
      <c r="G57" s="15" t="s">
        <v>482</v>
      </c>
      <c r="H57" s="131" t="s">
        <v>467</v>
      </c>
      <c r="I57" s="137" t="s">
        <v>948</v>
      </c>
      <c r="J57" s="140" t="s">
        <v>179</v>
      </c>
      <c r="K57" s="138" t="s">
        <v>467</v>
      </c>
      <c r="L57" s="109" t="s">
        <v>583</v>
      </c>
      <c r="M57" s="140" t="s">
        <v>179</v>
      </c>
      <c r="N57" s="110" t="s">
        <v>948</v>
      </c>
      <c r="O57" s="138" t="s">
        <v>674</v>
      </c>
      <c r="P57" s="164" t="s">
        <v>653</v>
      </c>
      <c r="Q57" s="109" t="s">
        <v>674</v>
      </c>
      <c r="R57" s="189" t="s">
        <v>653</v>
      </c>
      <c r="T57" s="110"/>
      <c r="V57" s="110"/>
    </row>
    <row r="58" spans="1:22" ht="30" outlineLevel="1" x14ac:dyDescent="0.25">
      <c r="A58" s="117" t="s">
        <v>143</v>
      </c>
      <c r="B58" s="119" t="s">
        <v>852</v>
      </c>
      <c r="C58" s="137" t="s">
        <v>952</v>
      </c>
      <c r="D58" s="163" t="s">
        <v>177</v>
      </c>
      <c r="E58" s="131" t="s">
        <v>468</v>
      </c>
      <c r="F58" s="137" t="s">
        <v>952</v>
      </c>
      <c r="G58" s="163" t="s">
        <v>177</v>
      </c>
      <c r="H58" s="110" t="s">
        <v>589</v>
      </c>
      <c r="I58" s="137" t="s">
        <v>952</v>
      </c>
      <c r="J58" s="163" t="s">
        <v>177</v>
      </c>
      <c r="K58" s="138" t="s">
        <v>468</v>
      </c>
      <c r="L58" s="137" t="s">
        <v>952</v>
      </c>
      <c r="M58" s="163" t="s">
        <v>177</v>
      </c>
      <c r="N58" s="110" t="s">
        <v>589</v>
      </c>
      <c r="O58" s="138" t="s">
        <v>675</v>
      </c>
      <c r="P58" s="164" t="s">
        <v>654</v>
      </c>
      <c r="Q58" s="109" t="s">
        <v>675</v>
      </c>
      <c r="R58" s="189" t="s">
        <v>654</v>
      </c>
      <c r="T58" s="110"/>
      <c r="V58" s="110"/>
    </row>
    <row r="59" spans="1:22" outlineLevel="1" x14ac:dyDescent="0.25">
      <c r="A59" s="117" t="s">
        <v>982</v>
      </c>
      <c r="B59" s="119" t="s">
        <v>853</v>
      </c>
      <c r="C59" s="137" t="s">
        <v>953</v>
      </c>
      <c r="D59" s="140" t="s">
        <v>178</v>
      </c>
      <c r="E59" s="131" t="s">
        <v>469</v>
      </c>
      <c r="F59" s="137" t="s">
        <v>953</v>
      </c>
      <c r="G59" s="140" t="s">
        <v>178</v>
      </c>
      <c r="H59" s="131" t="s">
        <v>469</v>
      </c>
      <c r="I59" s="137" t="s">
        <v>953</v>
      </c>
      <c r="J59" s="140" t="s">
        <v>178</v>
      </c>
      <c r="K59" s="138" t="s">
        <v>469</v>
      </c>
      <c r="L59" s="137" t="s">
        <v>953</v>
      </c>
      <c r="M59" s="140" t="s">
        <v>178</v>
      </c>
      <c r="N59" s="131" t="s">
        <v>469</v>
      </c>
      <c r="O59" s="138" t="s">
        <v>386</v>
      </c>
      <c r="P59" s="15" t="s">
        <v>386</v>
      </c>
      <c r="Q59" s="109" t="s">
        <v>386</v>
      </c>
      <c r="R59" s="110" t="s">
        <v>386</v>
      </c>
      <c r="T59" s="110"/>
      <c r="V59" s="110"/>
    </row>
    <row r="60" spans="1:22" ht="30" outlineLevel="1" x14ac:dyDescent="0.25">
      <c r="A60" s="117" t="s">
        <v>903</v>
      </c>
      <c r="B60" s="119" t="s">
        <v>854</v>
      </c>
      <c r="C60" s="137" t="s">
        <v>956</v>
      </c>
      <c r="D60" s="140" t="s">
        <v>177</v>
      </c>
      <c r="E60" s="131" t="s">
        <v>471</v>
      </c>
      <c r="F60" s="137" t="s">
        <v>961</v>
      </c>
      <c r="G60" s="140" t="s">
        <v>954</v>
      </c>
      <c r="H60" s="131" t="s">
        <v>902</v>
      </c>
      <c r="I60" s="137" t="s">
        <v>956</v>
      </c>
      <c r="J60" s="140" t="s">
        <v>177</v>
      </c>
      <c r="K60" s="138" t="s">
        <v>471</v>
      </c>
      <c r="L60" s="109" t="s">
        <v>962</v>
      </c>
      <c r="M60" s="140" t="s">
        <v>954</v>
      </c>
      <c r="N60" s="110" t="s">
        <v>591</v>
      </c>
      <c r="O60" s="138" t="s">
        <v>679</v>
      </c>
      <c r="P60" s="164" t="s">
        <v>662</v>
      </c>
      <c r="Q60" s="109" t="s">
        <v>679</v>
      </c>
      <c r="R60" s="189" t="s">
        <v>662</v>
      </c>
      <c r="T60" s="110"/>
      <c r="V60" s="110"/>
    </row>
    <row r="61" spans="1:22" ht="30" outlineLevel="1" x14ac:dyDescent="0.25">
      <c r="A61" s="117" t="s">
        <v>678</v>
      </c>
      <c r="B61" s="119" t="s">
        <v>855</v>
      </c>
      <c r="C61" s="137" t="s">
        <v>386</v>
      </c>
      <c r="D61" s="15" t="s">
        <v>386</v>
      </c>
      <c r="E61" s="110" t="s">
        <v>386</v>
      </c>
      <c r="F61" s="109" t="s">
        <v>386</v>
      </c>
      <c r="G61" s="15" t="s">
        <v>386</v>
      </c>
      <c r="H61" s="110" t="s">
        <v>386</v>
      </c>
      <c r="I61" s="137"/>
      <c r="K61" s="110"/>
      <c r="L61" s="109" t="s">
        <v>386</v>
      </c>
      <c r="M61" s="15" t="s">
        <v>386</v>
      </c>
      <c r="N61" s="110" t="s">
        <v>386</v>
      </c>
      <c r="O61" s="139" t="s">
        <v>680</v>
      </c>
      <c r="P61" s="15" t="s">
        <v>663</v>
      </c>
      <c r="Q61" s="109" t="s">
        <v>680</v>
      </c>
      <c r="R61" s="110" t="s">
        <v>663</v>
      </c>
      <c r="T61" s="110"/>
      <c r="V61" s="110"/>
    </row>
    <row r="62" spans="1:22" ht="30" outlineLevel="1" x14ac:dyDescent="0.25">
      <c r="A62" s="117" t="s">
        <v>643</v>
      </c>
      <c r="B62" s="119" t="s">
        <v>856</v>
      </c>
      <c r="C62" s="137" t="s">
        <v>957</v>
      </c>
      <c r="D62" s="140" t="s">
        <v>176</v>
      </c>
      <c r="E62" s="131" t="s">
        <v>473</v>
      </c>
      <c r="F62" s="137" t="s">
        <v>957</v>
      </c>
      <c r="G62" s="140" t="s">
        <v>176</v>
      </c>
      <c r="H62" s="131" t="s">
        <v>473</v>
      </c>
      <c r="I62" s="137" t="s">
        <v>473</v>
      </c>
      <c r="J62" s="15" t="s">
        <v>482</v>
      </c>
      <c r="K62" s="110"/>
      <c r="L62" s="137" t="s">
        <v>957</v>
      </c>
      <c r="M62" s="140" t="s">
        <v>176</v>
      </c>
      <c r="N62" s="131" t="s">
        <v>473</v>
      </c>
      <c r="O62" s="138" t="s">
        <v>686</v>
      </c>
      <c r="P62" s="164" t="s">
        <v>654</v>
      </c>
      <c r="Q62" s="109" t="s">
        <v>686</v>
      </c>
      <c r="R62" s="189" t="s">
        <v>654</v>
      </c>
      <c r="T62" s="110"/>
      <c r="V62" s="110"/>
    </row>
    <row r="63" spans="1:22" ht="30" outlineLevel="1" x14ac:dyDescent="0.25">
      <c r="A63" s="117" t="s">
        <v>566</v>
      </c>
      <c r="B63" s="119" t="s">
        <v>857</v>
      </c>
      <c r="C63" s="137" t="s">
        <v>457</v>
      </c>
      <c r="D63" s="15" t="s">
        <v>446</v>
      </c>
      <c r="E63" s="131" t="s">
        <v>457</v>
      </c>
      <c r="F63" s="137" t="s">
        <v>457</v>
      </c>
      <c r="G63" s="15" t="s">
        <v>446</v>
      </c>
      <c r="H63" s="131" t="s">
        <v>457</v>
      </c>
      <c r="I63" s="137" t="s">
        <v>1011</v>
      </c>
      <c r="J63" s="15" t="s">
        <v>483</v>
      </c>
      <c r="K63" s="110"/>
      <c r="L63" s="109" t="s">
        <v>457</v>
      </c>
      <c r="M63" s="15" t="s">
        <v>446</v>
      </c>
      <c r="N63" s="110" t="s">
        <v>457</v>
      </c>
      <c r="O63" s="138" t="s">
        <v>457</v>
      </c>
      <c r="P63" s="15" t="s">
        <v>666</v>
      </c>
      <c r="Q63" s="109" t="s">
        <v>457</v>
      </c>
      <c r="R63" s="110" t="s">
        <v>666</v>
      </c>
      <c r="T63" s="110"/>
      <c r="V63" s="110"/>
    </row>
    <row r="64" spans="1:22" ht="30" outlineLevel="1" x14ac:dyDescent="0.25">
      <c r="A64" s="117" t="s">
        <v>575</v>
      </c>
      <c r="B64" s="119" t="s">
        <v>858</v>
      </c>
      <c r="C64" s="137" t="s">
        <v>950</v>
      </c>
      <c r="D64" s="15" t="s">
        <v>660</v>
      </c>
      <c r="E64" s="131" t="s">
        <v>476</v>
      </c>
      <c r="F64" s="137" t="s">
        <v>950</v>
      </c>
      <c r="G64" s="15" t="s">
        <v>660</v>
      </c>
      <c r="H64" s="131" t="s">
        <v>476</v>
      </c>
      <c r="I64" s="109" t="s">
        <v>476</v>
      </c>
      <c r="J64" s="15" t="s">
        <v>446</v>
      </c>
      <c r="K64" s="110"/>
      <c r="L64" s="109" t="s">
        <v>683</v>
      </c>
      <c r="M64" s="140" t="s">
        <v>954</v>
      </c>
      <c r="N64" s="110" t="s">
        <v>590</v>
      </c>
      <c r="O64" s="138" t="s">
        <v>683</v>
      </c>
      <c r="P64" s="164" t="s">
        <v>664</v>
      </c>
      <c r="Q64" s="109" t="s">
        <v>683</v>
      </c>
      <c r="R64" s="189" t="s">
        <v>664</v>
      </c>
      <c r="T64" s="110"/>
      <c r="V64" s="110"/>
    </row>
    <row r="65" spans="1:22" outlineLevel="1" x14ac:dyDescent="0.25">
      <c r="A65" s="117" t="s">
        <v>1012</v>
      </c>
      <c r="B65" s="119" t="s">
        <v>1013</v>
      </c>
      <c r="C65" s="137"/>
      <c r="D65" s="140"/>
      <c r="E65" s="131"/>
      <c r="F65" s="137"/>
      <c r="H65" s="128"/>
      <c r="I65" s="109" t="s">
        <v>1014</v>
      </c>
      <c r="J65" s="15" t="s">
        <v>446</v>
      </c>
      <c r="K65" s="110"/>
      <c r="L65" s="109"/>
      <c r="M65" s="140"/>
      <c r="N65" s="128"/>
      <c r="O65" s="138"/>
      <c r="Q65" s="109"/>
      <c r="R65" s="110"/>
      <c r="T65" s="110"/>
      <c r="V65" s="110"/>
    </row>
    <row r="66" spans="1:22" x14ac:dyDescent="0.25">
      <c r="A66" s="158" t="s">
        <v>486</v>
      </c>
      <c r="B66" s="169"/>
      <c r="C66" s="115"/>
      <c r="D66" s="114"/>
      <c r="E66" s="116"/>
      <c r="F66" s="115"/>
      <c r="G66" s="114"/>
      <c r="H66" s="116"/>
      <c r="I66" s="115"/>
      <c r="J66" s="114"/>
      <c r="K66" s="116"/>
      <c r="L66" s="115"/>
      <c r="M66" s="114"/>
      <c r="N66" s="116"/>
      <c r="O66" s="114"/>
      <c r="P66" s="114"/>
      <c r="Q66" s="175" t="s">
        <v>931</v>
      </c>
      <c r="R66" s="116"/>
      <c r="S66" s="114"/>
      <c r="T66" s="116"/>
      <c r="U66" s="114"/>
      <c r="V66" s="116"/>
    </row>
    <row r="67" spans="1:22" ht="30" outlineLevel="1" x14ac:dyDescent="0.25">
      <c r="A67" s="117" t="s">
        <v>487</v>
      </c>
      <c r="B67" s="119" t="s">
        <v>860</v>
      </c>
      <c r="C67" s="109" t="s">
        <v>495</v>
      </c>
      <c r="D67" s="15" t="s">
        <v>983</v>
      </c>
      <c r="E67" s="110"/>
      <c r="F67" s="109" t="s">
        <v>907</v>
      </c>
      <c r="G67" s="139" t="s">
        <v>447</v>
      </c>
      <c r="H67" s="110"/>
      <c r="I67" s="109" t="s">
        <v>1017</v>
      </c>
      <c r="J67" s="15" t="s">
        <v>998</v>
      </c>
      <c r="K67" s="110"/>
      <c r="L67" s="109" t="s">
        <v>619</v>
      </c>
      <c r="M67" s="139" t="s">
        <v>945</v>
      </c>
      <c r="N67" s="110"/>
      <c r="O67" s="15" t="s">
        <v>711</v>
      </c>
      <c r="P67" s="139" t="s">
        <v>667</v>
      </c>
      <c r="Q67" s="190" t="s">
        <v>720</v>
      </c>
      <c r="R67" s="131" t="s">
        <v>654</v>
      </c>
      <c r="T67" s="110"/>
      <c r="V67" s="110"/>
    </row>
    <row r="68" spans="1:22" ht="30" outlineLevel="1" x14ac:dyDescent="0.25">
      <c r="A68" s="117" t="s">
        <v>488</v>
      </c>
      <c r="B68" s="119" t="s">
        <v>861</v>
      </c>
      <c r="C68" s="109" t="s">
        <v>496</v>
      </c>
      <c r="D68" s="139" t="s">
        <v>484</v>
      </c>
      <c r="E68" s="110"/>
      <c r="F68" s="109" t="s">
        <v>908</v>
      </c>
      <c r="G68" s="15" t="s">
        <v>485</v>
      </c>
      <c r="H68" s="110"/>
      <c r="I68" s="109" t="s">
        <v>1018</v>
      </c>
      <c r="J68" s="15" t="s">
        <v>485</v>
      </c>
      <c r="K68" s="110"/>
      <c r="L68" s="109" t="s">
        <v>618</v>
      </c>
      <c r="M68" s="139" t="s">
        <v>945</v>
      </c>
      <c r="N68" s="110"/>
      <c r="O68" s="15" t="s">
        <v>712</v>
      </c>
      <c r="P68" s="139" t="s">
        <v>667</v>
      </c>
      <c r="Q68" s="190" t="s">
        <v>721</v>
      </c>
      <c r="R68" s="131" t="s">
        <v>654</v>
      </c>
      <c r="T68" s="110"/>
      <c r="V68" s="110"/>
    </row>
    <row r="69" spans="1:22" ht="30" outlineLevel="1" x14ac:dyDescent="0.25">
      <c r="A69" s="117" t="s">
        <v>489</v>
      </c>
      <c r="B69" s="119" t="s">
        <v>862</v>
      </c>
      <c r="C69" s="109" t="s">
        <v>497</v>
      </c>
      <c r="D69" s="139" t="s">
        <v>484</v>
      </c>
      <c r="E69" s="110"/>
      <c r="F69" s="109" t="s">
        <v>909</v>
      </c>
      <c r="G69" s="15" t="s">
        <v>485</v>
      </c>
      <c r="H69" s="110"/>
      <c r="I69" s="109" t="s">
        <v>1019</v>
      </c>
      <c r="J69" s="15" t="s">
        <v>447</v>
      </c>
      <c r="K69" s="110"/>
      <c r="L69" s="109" t="s">
        <v>616</v>
      </c>
      <c r="M69" s="139" t="s">
        <v>945</v>
      </c>
      <c r="N69" s="110"/>
      <c r="O69" s="15" t="s">
        <v>713</v>
      </c>
      <c r="P69" s="139" t="s">
        <v>667</v>
      </c>
      <c r="Q69" s="190" t="s">
        <v>722</v>
      </c>
      <c r="R69" s="131" t="s">
        <v>654</v>
      </c>
      <c r="T69" s="110"/>
      <c r="V69" s="110"/>
    </row>
    <row r="70" spans="1:22" ht="30" outlineLevel="1" x14ac:dyDescent="0.25">
      <c r="A70" s="117" t="s">
        <v>490</v>
      </c>
      <c r="B70" s="119" t="s">
        <v>863</v>
      </c>
      <c r="C70" s="109" t="s">
        <v>498</v>
      </c>
      <c r="D70" s="139" t="s">
        <v>484</v>
      </c>
      <c r="E70" s="110"/>
      <c r="F70" s="109" t="s">
        <v>910</v>
      </c>
      <c r="G70" s="15" t="s">
        <v>485</v>
      </c>
      <c r="H70" s="110"/>
      <c r="I70" s="109" t="s">
        <v>1020</v>
      </c>
      <c r="J70" s="15" t="s">
        <v>447</v>
      </c>
      <c r="K70" s="110"/>
      <c r="L70" s="109" t="s">
        <v>613</v>
      </c>
      <c r="M70" s="139" t="s">
        <v>945</v>
      </c>
      <c r="N70" s="110"/>
      <c r="O70" s="15" t="s">
        <v>714</v>
      </c>
      <c r="P70" s="139" t="s">
        <v>667</v>
      </c>
      <c r="Q70" s="190" t="s">
        <v>723</v>
      </c>
      <c r="R70" s="131" t="s">
        <v>654</v>
      </c>
      <c r="T70" s="110"/>
      <c r="V70" s="110"/>
    </row>
    <row r="71" spans="1:22" ht="30" outlineLevel="1" x14ac:dyDescent="0.25">
      <c r="A71" s="117" t="s">
        <v>491</v>
      </c>
      <c r="B71" s="119" t="s">
        <v>864</v>
      </c>
      <c r="C71" s="109" t="s">
        <v>499</v>
      </c>
      <c r="D71" s="139" t="s">
        <v>484</v>
      </c>
      <c r="E71" s="110"/>
      <c r="F71" s="109" t="s">
        <v>911</v>
      </c>
      <c r="G71" s="15" t="s">
        <v>485</v>
      </c>
      <c r="H71" s="110"/>
      <c r="I71" s="109" t="s">
        <v>1021</v>
      </c>
      <c r="J71" s="15" t="s">
        <v>447</v>
      </c>
      <c r="K71" s="110"/>
      <c r="L71" s="109" t="s">
        <v>610</v>
      </c>
      <c r="M71" s="139" t="s">
        <v>945</v>
      </c>
      <c r="N71" s="110"/>
      <c r="O71" s="15" t="s">
        <v>715</v>
      </c>
      <c r="P71" s="139" t="s">
        <v>667</v>
      </c>
      <c r="Q71" s="190" t="s">
        <v>724</v>
      </c>
      <c r="R71" s="131" t="s">
        <v>654</v>
      </c>
      <c r="T71" s="110"/>
      <c r="V71" s="110"/>
    </row>
    <row r="72" spans="1:22" ht="30" outlineLevel="1" x14ac:dyDescent="0.25">
      <c r="A72" s="117" t="s">
        <v>492</v>
      </c>
      <c r="B72" s="119" t="s">
        <v>865</v>
      </c>
      <c r="C72" s="109" t="s">
        <v>500</v>
      </c>
      <c r="D72" s="139" t="s">
        <v>484</v>
      </c>
      <c r="E72" s="110"/>
      <c r="F72" s="109" t="s">
        <v>912</v>
      </c>
      <c r="G72" s="15" t="s">
        <v>485</v>
      </c>
      <c r="H72" s="110"/>
      <c r="I72" s="109" t="s">
        <v>1022</v>
      </c>
      <c r="J72" s="15" t="s">
        <v>447</v>
      </c>
      <c r="K72" s="110"/>
      <c r="L72" s="109" t="s">
        <v>607</v>
      </c>
      <c r="M72" s="139" t="s">
        <v>945</v>
      </c>
      <c r="N72" s="110"/>
      <c r="O72" s="15" t="s">
        <v>716</v>
      </c>
      <c r="P72" s="139" t="s">
        <v>667</v>
      </c>
      <c r="Q72" s="190" t="s">
        <v>725</v>
      </c>
      <c r="R72" s="131" t="s">
        <v>654</v>
      </c>
      <c r="T72" s="110"/>
      <c r="V72" s="110"/>
    </row>
    <row r="73" spans="1:22" ht="30" outlineLevel="1" x14ac:dyDescent="0.25">
      <c r="A73" s="117" t="s">
        <v>493</v>
      </c>
      <c r="B73" s="119" t="s">
        <v>866</v>
      </c>
      <c r="C73" s="109" t="s">
        <v>501</v>
      </c>
      <c r="D73" s="139" t="s">
        <v>484</v>
      </c>
      <c r="E73" s="110"/>
      <c r="F73" s="109" t="s">
        <v>913</v>
      </c>
      <c r="G73" s="15" t="s">
        <v>447</v>
      </c>
      <c r="H73" s="110"/>
      <c r="I73" s="109" t="s">
        <v>1023</v>
      </c>
      <c r="J73" s="15" t="s">
        <v>485</v>
      </c>
      <c r="K73" s="110"/>
      <c r="L73" s="109" t="s">
        <v>604</v>
      </c>
      <c r="M73" s="139" t="s">
        <v>945</v>
      </c>
      <c r="N73" s="110"/>
      <c r="O73" s="15" t="s">
        <v>717</v>
      </c>
      <c r="P73" s="139" t="s">
        <v>667</v>
      </c>
      <c r="Q73" s="190" t="s">
        <v>726</v>
      </c>
      <c r="R73" s="131" t="s">
        <v>654</v>
      </c>
      <c r="T73" s="110"/>
      <c r="V73" s="110"/>
    </row>
    <row r="74" spans="1:22" ht="30" outlineLevel="1" x14ac:dyDescent="0.25">
      <c r="A74" s="117" t="s">
        <v>494</v>
      </c>
      <c r="B74" s="119" t="s">
        <v>867</v>
      </c>
      <c r="C74" s="109" t="s">
        <v>502</v>
      </c>
      <c r="D74" s="15" t="s">
        <v>984</v>
      </c>
      <c r="E74" s="110"/>
      <c r="F74" s="109" t="s">
        <v>914</v>
      </c>
      <c r="G74" s="139" t="s">
        <v>447</v>
      </c>
      <c r="H74" s="110"/>
      <c r="I74" s="109" t="s">
        <v>1024</v>
      </c>
      <c r="J74" s="15" t="s">
        <v>945</v>
      </c>
      <c r="K74" s="110"/>
      <c r="L74" s="109" t="s">
        <v>601</v>
      </c>
      <c r="M74" s="139" t="s">
        <v>945</v>
      </c>
      <c r="N74" s="110"/>
      <c r="O74" s="15" t="s">
        <v>718</v>
      </c>
      <c r="P74" s="139" t="s">
        <v>667</v>
      </c>
      <c r="Q74" s="190" t="s">
        <v>727</v>
      </c>
      <c r="R74" s="131" t="s">
        <v>654</v>
      </c>
      <c r="T74" s="110"/>
      <c r="V74" s="110"/>
    </row>
    <row r="75" spans="1:22" ht="30" x14ac:dyDescent="0.25">
      <c r="A75" s="158" t="s">
        <v>504</v>
      </c>
      <c r="B75" s="169"/>
      <c r="C75" s="126"/>
      <c r="D75" s="114"/>
      <c r="E75" s="116"/>
      <c r="F75" s="115"/>
      <c r="G75" s="114"/>
      <c r="H75" s="116"/>
      <c r="I75" s="115"/>
      <c r="J75" s="114"/>
      <c r="K75" s="116"/>
      <c r="L75" s="115"/>
      <c r="M75" s="114"/>
      <c r="N75" s="116"/>
      <c r="O75" s="114" t="s">
        <v>719</v>
      </c>
      <c r="P75" s="165" t="s">
        <v>667</v>
      </c>
      <c r="Q75" s="190" t="s">
        <v>728</v>
      </c>
      <c r="R75" s="131" t="s">
        <v>654</v>
      </c>
      <c r="S75" s="114"/>
      <c r="T75" s="116"/>
      <c r="U75" s="114"/>
      <c r="V75" s="116"/>
    </row>
    <row r="76" spans="1:22" outlineLevel="1" x14ac:dyDescent="0.25">
      <c r="A76" s="117" t="s">
        <v>505</v>
      </c>
      <c r="B76" s="119" t="s">
        <v>1151</v>
      </c>
      <c r="C76" s="109" t="s">
        <v>513</v>
      </c>
      <c r="D76" s="15" t="s">
        <v>983</v>
      </c>
      <c r="E76" s="128"/>
      <c r="F76" s="109" t="s">
        <v>915</v>
      </c>
      <c r="G76" s="139" t="s">
        <v>446</v>
      </c>
      <c r="H76" s="110"/>
      <c r="I76" s="109" t="s">
        <v>1025</v>
      </c>
      <c r="J76" s="15" t="s">
        <v>998</v>
      </c>
      <c r="K76" s="110"/>
      <c r="L76" s="109" t="s">
        <v>620</v>
      </c>
      <c r="M76" s="139" t="s">
        <v>945</v>
      </c>
      <c r="N76" s="110"/>
      <c r="Q76" s="109"/>
      <c r="R76" s="110"/>
      <c r="T76" s="110"/>
      <c r="V76" s="110"/>
    </row>
    <row r="77" spans="1:22" outlineLevel="1" x14ac:dyDescent="0.25">
      <c r="A77" s="117" t="s">
        <v>506</v>
      </c>
      <c r="B77" s="119" t="s">
        <v>1152</v>
      </c>
      <c r="C77" s="109" t="s">
        <v>514</v>
      </c>
      <c r="D77" s="139" t="s">
        <v>484</v>
      </c>
      <c r="E77" s="128"/>
      <c r="F77" s="109" t="s">
        <v>916</v>
      </c>
      <c r="G77" s="139" t="s">
        <v>485</v>
      </c>
      <c r="H77" s="110"/>
      <c r="I77" s="109" t="s">
        <v>1026</v>
      </c>
      <c r="J77" s="15" t="s">
        <v>485</v>
      </c>
      <c r="K77" s="110"/>
      <c r="L77" s="109" t="s">
        <v>621</v>
      </c>
      <c r="M77" s="139" t="s">
        <v>945</v>
      </c>
      <c r="N77" s="110"/>
      <c r="Q77" s="109"/>
      <c r="R77" s="110"/>
      <c r="T77" s="110"/>
      <c r="V77" s="110"/>
    </row>
    <row r="78" spans="1:22" outlineLevel="1" x14ac:dyDescent="0.25">
      <c r="A78" s="117" t="s">
        <v>507</v>
      </c>
      <c r="B78" s="119" t="s">
        <v>1153</v>
      </c>
      <c r="C78" s="109" t="s">
        <v>515</v>
      </c>
      <c r="D78" s="139" t="s">
        <v>484</v>
      </c>
      <c r="E78" s="128"/>
      <c r="F78" s="109" t="s">
        <v>917</v>
      </c>
      <c r="G78" s="139" t="s">
        <v>485</v>
      </c>
      <c r="H78" s="110"/>
      <c r="I78" s="109" t="s">
        <v>1027</v>
      </c>
      <c r="J78" s="15" t="s">
        <v>447</v>
      </c>
      <c r="K78" s="110"/>
      <c r="L78" s="109" t="s">
        <v>617</v>
      </c>
      <c r="M78" s="139" t="s">
        <v>945</v>
      </c>
      <c r="N78" s="110"/>
      <c r="Q78" s="109"/>
      <c r="R78" s="110"/>
      <c r="T78" s="110"/>
      <c r="V78" s="110"/>
    </row>
    <row r="79" spans="1:22" outlineLevel="1" x14ac:dyDescent="0.25">
      <c r="A79" s="117" t="s">
        <v>508</v>
      </c>
      <c r="B79" s="119" t="s">
        <v>1154</v>
      </c>
      <c r="C79" s="109" t="s">
        <v>516</v>
      </c>
      <c r="D79" s="139" t="s">
        <v>484</v>
      </c>
      <c r="E79" s="128"/>
      <c r="F79" s="109" t="s">
        <v>918</v>
      </c>
      <c r="G79" s="139" t="s">
        <v>485</v>
      </c>
      <c r="H79" s="110"/>
      <c r="I79" s="109" t="s">
        <v>1028</v>
      </c>
      <c r="J79" s="15" t="s">
        <v>447</v>
      </c>
      <c r="K79" s="110"/>
      <c r="L79" s="109" t="s">
        <v>614</v>
      </c>
      <c r="M79" s="139" t="s">
        <v>945</v>
      </c>
      <c r="N79" s="110"/>
      <c r="Q79" s="109"/>
      <c r="R79" s="110"/>
      <c r="T79" s="110"/>
      <c r="V79" s="110"/>
    </row>
    <row r="80" spans="1:22" outlineLevel="1" x14ac:dyDescent="0.25">
      <c r="A80" s="117" t="s">
        <v>509</v>
      </c>
      <c r="B80" s="119" t="s">
        <v>1155</v>
      </c>
      <c r="C80" s="109" t="s">
        <v>517</v>
      </c>
      <c r="D80" s="139" t="s">
        <v>484</v>
      </c>
      <c r="E80" s="128"/>
      <c r="F80" s="109" t="s">
        <v>919</v>
      </c>
      <c r="G80" s="139" t="s">
        <v>485</v>
      </c>
      <c r="H80" s="110"/>
      <c r="I80" s="109" t="s">
        <v>1029</v>
      </c>
      <c r="J80" s="15" t="s">
        <v>447</v>
      </c>
      <c r="K80" s="110"/>
      <c r="L80" s="109" t="s">
        <v>611</v>
      </c>
      <c r="M80" s="139" t="s">
        <v>945</v>
      </c>
      <c r="N80" s="110"/>
      <c r="Q80" s="109"/>
      <c r="R80" s="110"/>
      <c r="T80" s="110"/>
      <c r="V80" s="110"/>
    </row>
    <row r="81" spans="1:22" outlineLevel="1" x14ac:dyDescent="0.25">
      <c r="A81" s="117" t="s">
        <v>510</v>
      </c>
      <c r="B81" s="119" t="s">
        <v>1156</v>
      </c>
      <c r="C81" s="109" t="s">
        <v>518</v>
      </c>
      <c r="D81" s="139" t="s">
        <v>484</v>
      </c>
      <c r="E81" s="128"/>
      <c r="F81" s="109" t="s">
        <v>920</v>
      </c>
      <c r="G81" s="139" t="s">
        <v>485</v>
      </c>
      <c r="H81" s="110"/>
      <c r="I81" s="109" t="s">
        <v>1030</v>
      </c>
      <c r="J81" s="15" t="s">
        <v>447</v>
      </c>
      <c r="K81" s="110"/>
      <c r="L81" s="109" t="s">
        <v>608</v>
      </c>
      <c r="M81" s="139" t="s">
        <v>945</v>
      </c>
      <c r="N81" s="110"/>
      <c r="Q81" s="109"/>
      <c r="R81" s="110"/>
      <c r="T81" s="110"/>
      <c r="V81" s="110"/>
    </row>
    <row r="82" spans="1:22" outlineLevel="1" x14ac:dyDescent="0.25">
      <c r="A82" s="117" t="s">
        <v>511</v>
      </c>
      <c r="B82" s="119" t="s">
        <v>1157</v>
      </c>
      <c r="C82" s="109" t="s">
        <v>519</v>
      </c>
      <c r="D82" s="139" t="s">
        <v>484</v>
      </c>
      <c r="E82" s="128"/>
      <c r="F82" s="109" t="s">
        <v>921</v>
      </c>
      <c r="G82" s="139" t="s">
        <v>485</v>
      </c>
      <c r="H82" s="110"/>
      <c r="I82" s="109" t="s">
        <v>1031</v>
      </c>
      <c r="J82" s="15" t="s">
        <v>485</v>
      </c>
      <c r="K82" s="110"/>
      <c r="L82" s="109" t="s">
        <v>605</v>
      </c>
      <c r="M82" s="139" t="s">
        <v>945</v>
      </c>
      <c r="N82" s="110"/>
      <c r="Q82" s="109"/>
      <c r="R82" s="110"/>
      <c r="T82" s="110"/>
      <c r="V82" s="110"/>
    </row>
    <row r="83" spans="1:22" outlineLevel="1" x14ac:dyDescent="0.25">
      <c r="A83" s="117" t="s">
        <v>512</v>
      </c>
      <c r="B83" s="119" t="s">
        <v>1158</v>
      </c>
      <c r="C83" s="109" t="s">
        <v>520</v>
      </c>
      <c r="D83" s="15" t="s">
        <v>984</v>
      </c>
      <c r="E83" s="128"/>
      <c r="F83" s="109" t="s">
        <v>922</v>
      </c>
      <c r="G83" s="139" t="s">
        <v>447</v>
      </c>
      <c r="H83" s="110"/>
      <c r="I83" s="109" t="s">
        <v>1032</v>
      </c>
      <c r="J83" s="15" t="s">
        <v>945</v>
      </c>
      <c r="K83" s="110"/>
      <c r="L83" s="109" t="s">
        <v>602</v>
      </c>
      <c r="M83" s="139" t="s">
        <v>945</v>
      </c>
      <c r="N83" s="110"/>
      <c r="Q83" s="109"/>
      <c r="R83" s="110"/>
      <c r="T83" s="110"/>
      <c r="V83" s="110"/>
    </row>
    <row r="84" spans="1:22" x14ac:dyDescent="0.25">
      <c r="A84" s="158" t="s">
        <v>521</v>
      </c>
      <c r="B84" s="169"/>
      <c r="C84" s="126"/>
      <c r="D84" s="114"/>
      <c r="E84" s="116"/>
      <c r="F84" s="115"/>
      <c r="G84" s="114"/>
      <c r="H84" s="116"/>
      <c r="I84" s="115"/>
      <c r="J84" s="114"/>
      <c r="K84" s="116"/>
      <c r="L84" s="115"/>
      <c r="M84" s="114"/>
      <c r="N84" s="116"/>
      <c r="O84" s="114"/>
      <c r="P84" s="114"/>
      <c r="Q84" s="115"/>
      <c r="R84" s="116"/>
      <c r="S84" s="114"/>
      <c r="T84" s="116"/>
      <c r="U84" s="114"/>
      <c r="V84" s="116"/>
    </row>
    <row r="85" spans="1:22" outlineLevel="1" x14ac:dyDescent="0.25">
      <c r="A85" s="117" t="s">
        <v>522</v>
      </c>
      <c r="B85" s="119" t="s">
        <v>1159</v>
      </c>
      <c r="C85" s="109" t="s">
        <v>530</v>
      </c>
      <c r="D85" s="15" t="s">
        <v>983</v>
      </c>
      <c r="E85" s="128"/>
      <c r="F85" s="109" t="s">
        <v>923</v>
      </c>
      <c r="G85" s="139" t="s">
        <v>447</v>
      </c>
      <c r="H85" s="110"/>
      <c r="I85" s="109" t="s">
        <v>1033</v>
      </c>
      <c r="J85" s="15" t="s">
        <v>998</v>
      </c>
      <c r="K85" s="110"/>
      <c r="L85" s="109" t="s">
        <v>622</v>
      </c>
      <c r="M85" s="139" t="s">
        <v>945</v>
      </c>
      <c r="N85" s="110"/>
      <c r="Q85" s="109"/>
      <c r="R85" s="110"/>
      <c r="T85" s="110"/>
      <c r="V85" s="110"/>
    </row>
    <row r="86" spans="1:22" outlineLevel="1" x14ac:dyDescent="0.25">
      <c r="A86" s="117" t="s">
        <v>523</v>
      </c>
      <c r="B86" s="119" t="s">
        <v>1160</v>
      </c>
      <c r="C86" s="109" t="s">
        <v>531</v>
      </c>
      <c r="D86" s="139" t="s">
        <v>484</v>
      </c>
      <c r="E86" s="128"/>
      <c r="F86" s="109" t="s">
        <v>924</v>
      </c>
      <c r="G86" s="139" t="s">
        <v>485</v>
      </c>
      <c r="H86" s="110"/>
      <c r="I86" s="109" t="s">
        <v>1034</v>
      </c>
      <c r="J86" s="15" t="s">
        <v>485</v>
      </c>
      <c r="K86" s="110"/>
      <c r="L86" s="109" t="s">
        <v>623</v>
      </c>
      <c r="M86" s="139" t="s">
        <v>945</v>
      </c>
      <c r="N86" s="110"/>
      <c r="Q86" s="109"/>
      <c r="R86" s="110"/>
      <c r="T86" s="110"/>
      <c r="V86" s="110"/>
    </row>
    <row r="87" spans="1:22" outlineLevel="1" x14ac:dyDescent="0.25">
      <c r="A87" s="117" t="s">
        <v>524</v>
      </c>
      <c r="B87" s="119" t="s">
        <v>1161</v>
      </c>
      <c r="C87" s="109" t="s">
        <v>532</v>
      </c>
      <c r="D87" s="139" t="s">
        <v>484</v>
      </c>
      <c r="E87" s="128"/>
      <c r="F87" s="109" t="s">
        <v>925</v>
      </c>
      <c r="G87" s="139" t="s">
        <v>485</v>
      </c>
      <c r="H87" s="110"/>
      <c r="I87" s="109" t="s">
        <v>1035</v>
      </c>
      <c r="J87" s="15" t="s">
        <v>447</v>
      </c>
      <c r="K87" s="110"/>
      <c r="L87" s="109" t="s">
        <v>624</v>
      </c>
      <c r="M87" s="139" t="s">
        <v>945</v>
      </c>
      <c r="N87" s="110"/>
      <c r="Q87" s="109"/>
      <c r="R87" s="110"/>
      <c r="T87" s="110"/>
      <c r="V87" s="110"/>
    </row>
    <row r="88" spans="1:22" outlineLevel="1" x14ac:dyDescent="0.25">
      <c r="A88" s="117" t="s">
        <v>525</v>
      </c>
      <c r="B88" s="119" t="s">
        <v>1162</v>
      </c>
      <c r="C88" s="109" t="s">
        <v>533</v>
      </c>
      <c r="D88" s="139" t="s">
        <v>484</v>
      </c>
      <c r="E88" s="128"/>
      <c r="F88" s="109" t="s">
        <v>926</v>
      </c>
      <c r="G88" s="139" t="s">
        <v>485</v>
      </c>
      <c r="H88" s="110"/>
      <c r="I88" s="109" t="s">
        <v>1036</v>
      </c>
      <c r="J88" s="15" t="s">
        <v>447</v>
      </c>
      <c r="K88" s="110"/>
      <c r="L88" s="109" t="s">
        <v>615</v>
      </c>
      <c r="M88" s="139" t="s">
        <v>945</v>
      </c>
      <c r="N88" s="110"/>
      <c r="Q88" s="109"/>
      <c r="R88" s="110"/>
      <c r="T88" s="110"/>
      <c r="V88" s="110"/>
    </row>
    <row r="89" spans="1:22" outlineLevel="1" x14ac:dyDescent="0.25">
      <c r="A89" s="117" t="s">
        <v>526</v>
      </c>
      <c r="B89" s="119" t="s">
        <v>1163</v>
      </c>
      <c r="C89" s="109" t="s">
        <v>534</v>
      </c>
      <c r="D89" s="139" t="s">
        <v>484</v>
      </c>
      <c r="E89" s="128"/>
      <c r="F89" s="109" t="s">
        <v>927</v>
      </c>
      <c r="G89" s="139" t="s">
        <v>485</v>
      </c>
      <c r="H89" s="110"/>
      <c r="I89" s="109" t="s">
        <v>1037</v>
      </c>
      <c r="J89" s="15" t="s">
        <v>447</v>
      </c>
      <c r="K89" s="110"/>
      <c r="L89" s="109" t="s">
        <v>612</v>
      </c>
      <c r="M89" s="139" t="s">
        <v>945</v>
      </c>
      <c r="N89" s="110"/>
      <c r="Q89" s="109"/>
      <c r="R89" s="110"/>
      <c r="T89" s="110"/>
      <c r="V89" s="110"/>
    </row>
    <row r="90" spans="1:22" outlineLevel="1" x14ac:dyDescent="0.25">
      <c r="A90" s="117" t="s">
        <v>527</v>
      </c>
      <c r="B90" s="119" t="s">
        <v>1164</v>
      </c>
      <c r="C90" s="109" t="s">
        <v>535</v>
      </c>
      <c r="D90" s="139" t="s">
        <v>484</v>
      </c>
      <c r="E90" s="128"/>
      <c r="F90" s="109" t="s">
        <v>928</v>
      </c>
      <c r="G90" s="139" t="s">
        <v>485</v>
      </c>
      <c r="H90" s="110"/>
      <c r="I90" s="109" t="s">
        <v>1038</v>
      </c>
      <c r="J90" s="15" t="s">
        <v>447</v>
      </c>
      <c r="K90" s="110"/>
      <c r="L90" s="109" t="s">
        <v>609</v>
      </c>
      <c r="M90" s="139" t="s">
        <v>945</v>
      </c>
      <c r="N90" s="110"/>
      <c r="Q90" s="109"/>
      <c r="R90" s="110"/>
      <c r="T90" s="110"/>
      <c r="V90" s="110"/>
    </row>
    <row r="91" spans="1:22" outlineLevel="1" x14ac:dyDescent="0.25">
      <c r="A91" s="117" t="s">
        <v>528</v>
      </c>
      <c r="B91" s="119" t="s">
        <v>1165</v>
      </c>
      <c r="C91" s="109" t="s">
        <v>536</v>
      </c>
      <c r="D91" s="139" t="s">
        <v>484</v>
      </c>
      <c r="E91" s="128"/>
      <c r="F91" s="109" t="s">
        <v>929</v>
      </c>
      <c r="G91" s="139" t="s">
        <v>485</v>
      </c>
      <c r="H91" s="110"/>
      <c r="I91" s="109" t="s">
        <v>1038</v>
      </c>
      <c r="J91" s="15" t="s">
        <v>485</v>
      </c>
      <c r="K91" s="110"/>
      <c r="L91" s="109" t="s">
        <v>606</v>
      </c>
      <c r="M91" s="139" t="s">
        <v>945</v>
      </c>
      <c r="N91" s="110"/>
      <c r="Q91" s="109"/>
      <c r="R91" s="110"/>
      <c r="T91" s="110"/>
      <c r="V91" s="110"/>
    </row>
    <row r="92" spans="1:22" outlineLevel="1" x14ac:dyDescent="0.25">
      <c r="A92" s="117" t="s">
        <v>529</v>
      </c>
      <c r="B92" s="119" t="s">
        <v>1166</v>
      </c>
      <c r="C92" s="109" t="s">
        <v>537</v>
      </c>
      <c r="D92" s="15" t="s">
        <v>984</v>
      </c>
      <c r="E92" s="128"/>
      <c r="F92" s="109" t="s">
        <v>930</v>
      </c>
      <c r="G92" s="139" t="s">
        <v>447</v>
      </c>
      <c r="H92" s="110"/>
      <c r="I92" s="109" t="s">
        <v>1039</v>
      </c>
      <c r="J92" s="15" t="s">
        <v>945</v>
      </c>
      <c r="K92" s="110"/>
      <c r="L92" s="109" t="s">
        <v>603</v>
      </c>
      <c r="M92" s="139" t="s">
        <v>945</v>
      </c>
      <c r="N92" s="110"/>
      <c r="Q92" s="109"/>
      <c r="R92" s="110"/>
      <c r="T92" s="110"/>
      <c r="V92" s="110"/>
    </row>
    <row r="93" spans="1:22" x14ac:dyDescent="0.25">
      <c r="A93" s="158" t="s">
        <v>729</v>
      </c>
      <c r="B93" s="433" t="s">
        <v>1293</v>
      </c>
      <c r="C93" s="432"/>
      <c r="D93" s="114"/>
      <c r="E93" s="116"/>
      <c r="F93" s="115"/>
      <c r="G93" s="114"/>
      <c r="H93" s="116"/>
      <c r="I93" s="115"/>
      <c r="J93" s="114"/>
      <c r="K93" s="116"/>
      <c r="L93" s="115"/>
      <c r="M93" s="114"/>
      <c r="N93" s="116"/>
      <c r="O93" s="114"/>
      <c r="P93" s="114"/>
      <c r="Q93" s="115"/>
      <c r="R93" s="116"/>
      <c r="S93" s="114"/>
      <c r="T93" s="116"/>
      <c r="U93" s="114"/>
      <c r="V93" s="116"/>
    </row>
    <row r="94" spans="1:22" ht="30" outlineLevel="1" x14ac:dyDescent="0.25">
      <c r="A94" s="117" t="s">
        <v>730</v>
      </c>
      <c r="B94" s="119" t="s">
        <v>1306</v>
      </c>
      <c r="C94" s="109" t="s">
        <v>386</v>
      </c>
      <c r="E94" s="110" t="s">
        <v>386</v>
      </c>
      <c r="F94" s="109"/>
      <c r="H94" s="110"/>
      <c r="I94" s="109"/>
      <c r="K94" s="110"/>
      <c r="L94" s="109"/>
      <c r="N94" s="110"/>
      <c r="O94" s="139" t="s">
        <v>756</v>
      </c>
      <c r="P94" s="15" t="s">
        <v>654</v>
      </c>
      <c r="Q94" s="124" t="s">
        <v>756</v>
      </c>
      <c r="R94" s="110" t="s">
        <v>654</v>
      </c>
      <c r="T94" s="110"/>
      <c r="V94" s="110"/>
    </row>
    <row r="95" spans="1:22" ht="30" outlineLevel="1" x14ac:dyDescent="0.25">
      <c r="A95" s="117" t="s">
        <v>731</v>
      </c>
      <c r="B95" s="408" t="s">
        <v>1297</v>
      </c>
      <c r="C95" s="109" t="s">
        <v>386</v>
      </c>
      <c r="E95" s="110" t="s">
        <v>386</v>
      </c>
      <c r="F95" s="109"/>
      <c r="H95" s="110"/>
      <c r="I95" s="109"/>
      <c r="K95" s="110"/>
      <c r="L95" s="109"/>
      <c r="N95" s="110"/>
      <c r="O95" s="139" t="s">
        <v>757</v>
      </c>
      <c r="P95" s="15" t="s">
        <v>653</v>
      </c>
      <c r="Q95" s="124" t="s">
        <v>757</v>
      </c>
      <c r="R95" s="110" t="s">
        <v>653</v>
      </c>
      <c r="T95" s="110"/>
      <c r="V95" s="110"/>
    </row>
    <row r="96" spans="1:22" ht="30" outlineLevel="1" x14ac:dyDescent="0.25">
      <c r="A96" s="117" t="s">
        <v>732</v>
      </c>
      <c r="B96" s="119" t="s">
        <v>1308</v>
      </c>
      <c r="C96" s="109" t="s">
        <v>386</v>
      </c>
      <c r="E96" s="110" t="s">
        <v>386</v>
      </c>
      <c r="F96" s="109"/>
      <c r="H96" s="110"/>
      <c r="I96" s="109"/>
      <c r="K96" s="110"/>
      <c r="L96" s="109"/>
      <c r="N96" s="110"/>
      <c r="O96" s="139" t="s">
        <v>758</v>
      </c>
      <c r="P96" s="15" t="s">
        <v>653</v>
      </c>
      <c r="Q96" s="124" t="s">
        <v>758</v>
      </c>
      <c r="R96" s="110" t="s">
        <v>653</v>
      </c>
      <c r="T96" s="110"/>
      <c r="V96" s="110"/>
    </row>
    <row r="97" spans="1:22" ht="30" outlineLevel="1" x14ac:dyDescent="0.25">
      <c r="A97" s="117" t="s">
        <v>733</v>
      </c>
      <c r="B97" s="119"/>
      <c r="C97" s="109" t="s">
        <v>386</v>
      </c>
      <c r="E97" s="110" t="s">
        <v>386</v>
      </c>
      <c r="F97" s="109"/>
      <c r="H97" s="110"/>
      <c r="I97" s="109"/>
      <c r="K97" s="110"/>
      <c r="L97" s="109"/>
      <c r="N97" s="110"/>
      <c r="O97" s="139" t="s">
        <v>759</v>
      </c>
      <c r="P97" s="15" t="s">
        <v>654</v>
      </c>
      <c r="Q97" s="124" t="s">
        <v>759</v>
      </c>
      <c r="R97" s="110" t="s">
        <v>654</v>
      </c>
      <c r="T97" s="110"/>
      <c r="V97" s="110"/>
    </row>
    <row r="98" spans="1:22" ht="30" outlineLevel="1" x14ac:dyDescent="0.25">
      <c r="A98" s="117" t="s">
        <v>734</v>
      </c>
      <c r="B98" s="119" t="s">
        <v>1309</v>
      </c>
      <c r="C98" s="109" t="s">
        <v>1294</v>
      </c>
      <c r="D98" s="15" t="s">
        <v>998</v>
      </c>
      <c r="E98" s="110" t="s">
        <v>386</v>
      </c>
      <c r="F98" s="109"/>
      <c r="H98" s="110"/>
      <c r="I98" s="109"/>
      <c r="K98" s="110"/>
      <c r="L98" s="109"/>
      <c r="N98" s="110"/>
      <c r="O98" s="139" t="s">
        <v>760</v>
      </c>
      <c r="P98" s="15" t="s">
        <v>657</v>
      </c>
      <c r="Q98" s="124" t="s">
        <v>760</v>
      </c>
      <c r="R98" s="110" t="s">
        <v>657</v>
      </c>
      <c r="T98" s="110"/>
      <c r="V98" s="110"/>
    </row>
    <row r="99" spans="1:22" ht="30" outlineLevel="1" x14ac:dyDescent="0.25">
      <c r="A99" s="117" t="s">
        <v>735</v>
      </c>
      <c r="B99" s="119"/>
      <c r="C99" s="109" t="s">
        <v>386</v>
      </c>
      <c r="E99" s="110" t="s">
        <v>386</v>
      </c>
      <c r="F99" s="109"/>
      <c r="H99" s="110"/>
      <c r="I99" s="109"/>
      <c r="K99" s="110"/>
      <c r="L99" s="109"/>
      <c r="N99" s="110"/>
      <c r="O99" s="139" t="s">
        <v>761</v>
      </c>
      <c r="P99" s="15" t="s">
        <v>667</v>
      </c>
      <c r="Q99" s="124" t="s">
        <v>761</v>
      </c>
      <c r="R99" s="110" t="s">
        <v>667</v>
      </c>
      <c r="T99" s="110"/>
      <c r="V99" s="110"/>
    </row>
    <row r="100" spans="1:22" ht="30" outlineLevel="1" x14ac:dyDescent="0.25">
      <c r="A100" s="117" t="s">
        <v>1411</v>
      </c>
      <c r="B100" s="119" t="s">
        <v>1310</v>
      </c>
      <c r="C100" s="109" t="s">
        <v>1174</v>
      </c>
      <c r="D100" s="15" t="s">
        <v>447</v>
      </c>
      <c r="E100" s="110" t="s">
        <v>386</v>
      </c>
      <c r="F100" s="109"/>
      <c r="H100" s="110"/>
      <c r="I100" s="109"/>
      <c r="K100" s="110"/>
      <c r="L100" s="109"/>
      <c r="N100" s="110"/>
      <c r="O100" s="139" t="s">
        <v>762</v>
      </c>
      <c r="P100" s="15" t="s">
        <v>662</v>
      </c>
      <c r="Q100" s="124" t="s">
        <v>762</v>
      </c>
      <c r="R100" s="110" t="s">
        <v>662</v>
      </c>
      <c r="T100" s="110"/>
      <c r="V100" s="110"/>
    </row>
    <row r="101" spans="1:22" ht="30" outlineLevel="1" x14ac:dyDescent="0.25">
      <c r="A101" s="117" t="s">
        <v>1412</v>
      </c>
      <c r="B101" s="119"/>
      <c r="C101" s="109" t="s">
        <v>386</v>
      </c>
      <c r="E101" s="110" t="s">
        <v>386</v>
      </c>
      <c r="F101" s="109"/>
      <c r="H101" s="110"/>
      <c r="I101" s="109"/>
      <c r="K101" s="110"/>
      <c r="L101" s="109"/>
      <c r="N101" s="110"/>
      <c r="O101" s="139" t="s">
        <v>763</v>
      </c>
      <c r="P101" s="15" t="s">
        <v>653</v>
      </c>
      <c r="Q101" s="124" t="s">
        <v>763</v>
      </c>
      <c r="R101" s="110" t="s">
        <v>653</v>
      </c>
      <c r="T101" s="110"/>
      <c r="V101" s="110"/>
    </row>
    <row r="102" spans="1:22" ht="30" outlineLevel="1" x14ac:dyDescent="0.25">
      <c r="A102" s="117" t="s">
        <v>736</v>
      </c>
      <c r="B102" s="119" t="s">
        <v>1311</v>
      </c>
      <c r="C102" s="109" t="s">
        <v>1296</v>
      </c>
      <c r="D102" s="15" t="s">
        <v>485</v>
      </c>
      <c r="E102" s="110" t="s">
        <v>386</v>
      </c>
      <c r="F102" s="109"/>
      <c r="H102" s="110"/>
      <c r="I102" s="109"/>
      <c r="K102" s="110"/>
      <c r="L102" s="109"/>
      <c r="N102" s="110"/>
      <c r="O102" s="139" t="s">
        <v>764</v>
      </c>
      <c r="P102" s="15" t="s">
        <v>657</v>
      </c>
      <c r="Q102" s="124" t="s">
        <v>764</v>
      </c>
      <c r="R102" s="110" t="s">
        <v>657</v>
      </c>
      <c r="T102" s="110"/>
      <c r="V102" s="110"/>
    </row>
    <row r="103" spans="1:22" ht="30" outlineLevel="1" x14ac:dyDescent="0.25">
      <c r="A103" s="117" t="s">
        <v>737</v>
      </c>
      <c r="B103" s="119" t="s">
        <v>1424</v>
      </c>
      <c r="C103" s="468" t="s">
        <v>1425</v>
      </c>
      <c r="E103" s="110" t="s">
        <v>386</v>
      </c>
      <c r="F103" s="109"/>
      <c r="H103" s="110"/>
      <c r="I103" s="109"/>
      <c r="K103" s="110"/>
      <c r="L103" s="109"/>
      <c r="N103" s="110"/>
      <c r="O103" s="139" t="s">
        <v>765</v>
      </c>
      <c r="P103" s="15" t="s">
        <v>668</v>
      </c>
      <c r="Q103" s="124" t="s">
        <v>765</v>
      </c>
      <c r="R103" s="110" t="s">
        <v>668</v>
      </c>
      <c r="T103" s="110"/>
      <c r="V103" s="110"/>
    </row>
    <row r="104" spans="1:22" ht="30" outlineLevel="1" x14ac:dyDescent="0.25">
      <c r="A104" s="117" t="s">
        <v>738</v>
      </c>
      <c r="B104" s="119" t="s">
        <v>1312</v>
      </c>
      <c r="C104" s="109" t="s">
        <v>386</v>
      </c>
      <c r="E104" s="110" t="s">
        <v>386</v>
      </c>
      <c r="F104" s="109"/>
      <c r="H104" s="110"/>
      <c r="I104" s="109"/>
      <c r="K104" s="110"/>
      <c r="L104" s="109"/>
      <c r="N104" s="110"/>
      <c r="O104" s="139" t="s">
        <v>766</v>
      </c>
      <c r="P104" s="15" t="s">
        <v>660</v>
      </c>
      <c r="Q104" s="124" t="s">
        <v>766</v>
      </c>
      <c r="R104" s="110" t="s">
        <v>660</v>
      </c>
      <c r="T104" s="110"/>
      <c r="V104" s="110"/>
    </row>
    <row r="105" spans="1:22" ht="30" outlineLevel="1" x14ac:dyDescent="0.25">
      <c r="A105" s="117" t="s">
        <v>739</v>
      </c>
      <c r="B105" s="119"/>
      <c r="C105" s="109" t="s">
        <v>386</v>
      </c>
      <c r="E105" s="110" t="s">
        <v>386</v>
      </c>
      <c r="F105" s="109"/>
      <c r="H105" s="110"/>
      <c r="I105" s="109"/>
      <c r="K105" s="110"/>
      <c r="L105" s="109"/>
      <c r="N105" s="110"/>
      <c r="O105" s="139" t="s">
        <v>767</v>
      </c>
      <c r="P105" s="15" t="s">
        <v>653</v>
      </c>
      <c r="Q105" s="124" t="s">
        <v>767</v>
      </c>
      <c r="R105" s="110" t="s">
        <v>653</v>
      </c>
      <c r="T105" s="110"/>
      <c r="V105" s="110"/>
    </row>
    <row r="106" spans="1:22" ht="30" outlineLevel="1" x14ac:dyDescent="0.25">
      <c r="A106" s="117" t="s">
        <v>740</v>
      </c>
      <c r="B106" s="119" t="s">
        <v>1307</v>
      </c>
      <c r="C106" s="109" t="s">
        <v>1301</v>
      </c>
      <c r="D106" s="15" t="s">
        <v>446</v>
      </c>
      <c r="E106" s="110" t="s">
        <v>386</v>
      </c>
      <c r="F106" s="109"/>
      <c r="H106" s="110"/>
      <c r="I106" s="109"/>
      <c r="K106" s="110"/>
      <c r="L106" s="109"/>
      <c r="N106" s="110"/>
      <c r="O106" s="139" t="s">
        <v>768</v>
      </c>
      <c r="P106" s="15" t="s">
        <v>662</v>
      </c>
      <c r="Q106" s="124" t="s">
        <v>768</v>
      </c>
      <c r="R106" s="110" t="s">
        <v>662</v>
      </c>
      <c r="T106" s="110"/>
      <c r="V106" s="110"/>
    </row>
    <row r="107" spans="1:22" ht="30" outlineLevel="1" x14ac:dyDescent="0.25">
      <c r="A107" s="117" t="s">
        <v>741</v>
      </c>
      <c r="B107" s="119"/>
      <c r="C107" s="109" t="s">
        <v>386</v>
      </c>
      <c r="E107" s="110" t="s">
        <v>386</v>
      </c>
      <c r="F107" s="109"/>
      <c r="H107" s="110"/>
      <c r="I107" s="109"/>
      <c r="K107" s="110"/>
      <c r="L107" s="109"/>
      <c r="N107" s="110"/>
      <c r="O107" s="139" t="s">
        <v>769</v>
      </c>
      <c r="P107" s="15" t="s">
        <v>660</v>
      </c>
      <c r="Q107" s="124" t="s">
        <v>769</v>
      </c>
      <c r="R107" s="110" t="s">
        <v>660</v>
      </c>
      <c r="T107" s="110"/>
      <c r="V107" s="110"/>
    </row>
    <row r="108" spans="1:22" ht="30" outlineLevel="1" x14ac:dyDescent="0.25">
      <c r="A108" s="117" t="s">
        <v>742</v>
      </c>
      <c r="B108" s="119" t="s">
        <v>1314</v>
      </c>
      <c r="C108" s="109" t="s">
        <v>1302</v>
      </c>
      <c r="D108" s="15" t="s">
        <v>998</v>
      </c>
      <c r="E108" s="110" t="s">
        <v>386</v>
      </c>
      <c r="F108" s="109"/>
      <c r="H108" s="110"/>
      <c r="I108" s="109"/>
      <c r="K108" s="110"/>
      <c r="L108" s="109"/>
      <c r="N108" s="110"/>
      <c r="O108" s="139" t="s">
        <v>770</v>
      </c>
      <c r="P108" s="15" t="s">
        <v>662</v>
      </c>
      <c r="Q108" s="124" t="s">
        <v>770</v>
      </c>
      <c r="R108" s="110" t="s">
        <v>662</v>
      </c>
      <c r="T108" s="110"/>
      <c r="V108" s="110"/>
    </row>
    <row r="109" spans="1:22" ht="30" outlineLevel="1" x14ac:dyDescent="0.25">
      <c r="A109" s="117" t="s">
        <v>743</v>
      </c>
      <c r="B109" s="119"/>
      <c r="C109" s="109" t="s">
        <v>386</v>
      </c>
      <c r="E109" s="110" t="s">
        <v>386</v>
      </c>
      <c r="F109" s="109"/>
      <c r="H109" s="110"/>
      <c r="I109" s="109"/>
      <c r="K109" s="110"/>
      <c r="L109" s="109"/>
      <c r="N109" s="110"/>
      <c r="O109" s="139" t="s">
        <v>771</v>
      </c>
      <c r="P109" s="15" t="s">
        <v>657</v>
      </c>
      <c r="Q109" s="124" t="s">
        <v>771</v>
      </c>
      <c r="R109" s="110" t="s">
        <v>657</v>
      </c>
      <c r="T109" s="110"/>
      <c r="V109" s="110"/>
    </row>
    <row r="110" spans="1:22" ht="30" outlineLevel="1" x14ac:dyDescent="0.25">
      <c r="A110" s="117" t="s">
        <v>744</v>
      </c>
      <c r="B110" s="119" t="s">
        <v>1316</v>
      </c>
      <c r="C110" s="109" t="s">
        <v>1299</v>
      </c>
      <c r="D110" s="15" t="s">
        <v>998</v>
      </c>
      <c r="E110" s="110" t="s">
        <v>386</v>
      </c>
      <c r="F110" s="109"/>
      <c r="H110" s="110"/>
      <c r="I110" s="109"/>
      <c r="K110" s="110"/>
      <c r="L110" s="109"/>
      <c r="N110" s="110"/>
      <c r="O110" s="139" t="s">
        <v>772</v>
      </c>
      <c r="P110" s="15" t="s">
        <v>669</v>
      </c>
      <c r="Q110" s="124" t="s">
        <v>772</v>
      </c>
      <c r="R110" s="110" t="s">
        <v>669</v>
      </c>
      <c r="T110" s="110"/>
      <c r="V110" s="110"/>
    </row>
    <row r="111" spans="1:22" ht="30" outlineLevel="1" x14ac:dyDescent="0.25">
      <c r="A111" s="117" t="s">
        <v>745</v>
      </c>
      <c r="B111" s="119"/>
      <c r="C111" s="109" t="s">
        <v>386</v>
      </c>
      <c r="E111" s="110" t="s">
        <v>386</v>
      </c>
      <c r="F111" s="109"/>
      <c r="H111" s="110"/>
      <c r="I111" s="109"/>
      <c r="K111" s="110"/>
      <c r="L111" s="109"/>
      <c r="N111" s="110"/>
      <c r="O111" s="139" t="s">
        <v>773</v>
      </c>
      <c r="P111" s="15" t="s">
        <v>658</v>
      </c>
      <c r="Q111" s="124" t="s">
        <v>773</v>
      </c>
      <c r="R111" s="110" t="s">
        <v>658</v>
      </c>
      <c r="T111" s="110"/>
      <c r="V111" s="110"/>
    </row>
    <row r="112" spans="1:22" ht="30" outlineLevel="1" x14ac:dyDescent="0.25">
      <c r="A112" s="117" t="s">
        <v>746</v>
      </c>
      <c r="B112" s="119" t="s">
        <v>1317</v>
      </c>
      <c r="C112" s="109" t="s">
        <v>1298</v>
      </c>
      <c r="D112" s="15" t="s">
        <v>447</v>
      </c>
      <c r="E112" s="110" t="s">
        <v>386</v>
      </c>
      <c r="F112" s="109"/>
      <c r="H112" s="110"/>
      <c r="I112" s="109"/>
      <c r="K112" s="110"/>
      <c r="L112" s="109"/>
      <c r="N112" s="110"/>
      <c r="O112" s="139" t="s">
        <v>774</v>
      </c>
      <c r="P112" s="15" t="s">
        <v>662</v>
      </c>
      <c r="Q112" s="124" t="s">
        <v>774</v>
      </c>
      <c r="R112" s="110" t="s">
        <v>662</v>
      </c>
      <c r="T112" s="110"/>
      <c r="V112" s="110"/>
    </row>
    <row r="113" spans="1:22" ht="30" outlineLevel="1" x14ac:dyDescent="0.25">
      <c r="A113" s="117" t="s">
        <v>747</v>
      </c>
      <c r="B113" s="119"/>
      <c r="C113" s="109" t="s">
        <v>386</v>
      </c>
      <c r="E113" s="110" t="s">
        <v>386</v>
      </c>
      <c r="F113" s="109"/>
      <c r="H113" s="110"/>
      <c r="I113" s="109"/>
      <c r="K113" s="110"/>
      <c r="L113" s="109"/>
      <c r="N113" s="110"/>
      <c r="O113" s="139" t="s">
        <v>775</v>
      </c>
      <c r="P113" s="15" t="s">
        <v>654</v>
      </c>
      <c r="Q113" s="124" t="s">
        <v>775</v>
      </c>
      <c r="R113" s="110" t="s">
        <v>654</v>
      </c>
      <c r="T113" s="110"/>
      <c r="V113" s="110"/>
    </row>
    <row r="114" spans="1:22" ht="30" outlineLevel="1" x14ac:dyDescent="0.25">
      <c r="A114" s="117" t="s">
        <v>748</v>
      </c>
      <c r="B114" s="119" t="s">
        <v>1313</v>
      </c>
      <c r="C114" s="109" t="s">
        <v>386</v>
      </c>
      <c r="E114" s="110" t="s">
        <v>386</v>
      </c>
      <c r="F114" s="109"/>
      <c r="H114" s="110"/>
      <c r="I114" s="109"/>
      <c r="K114" s="110"/>
      <c r="L114" s="109"/>
      <c r="N114" s="110"/>
      <c r="O114" s="139" t="s">
        <v>776</v>
      </c>
      <c r="P114" s="15" t="s">
        <v>654</v>
      </c>
      <c r="Q114" s="124" t="s">
        <v>776</v>
      </c>
      <c r="R114" s="110" t="s">
        <v>654</v>
      </c>
      <c r="T114" s="110"/>
      <c r="V114" s="110"/>
    </row>
    <row r="115" spans="1:22" ht="30" outlineLevel="1" x14ac:dyDescent="0.25">
      <c r="A115" s="117" t="s">
        <v>749</v>
      </c>
      <c r="B115" s="119"/>
      <c r="C115" s="109" t="s">
        <v>386</v>
      </c>
      <c r="E115" s="110" t="s">
        <v>386</v>
      </c>
      <c r="F115" s="109"/>
      <c r="H115" s="110"/>
      <c r="I115" s="109"/>
      <c r="K115" s="110"/>
      <c r="L115" s="109"/>
      <c r="N115" s="110"/>
      <c r="O115" s="139" t="s">
        <v>777</v>
      </c>
      <c r="P115" s="15" t="s">
        <v>658</v>
      </c>
      <c r="Q115" s="124" t="s">
        <v>777</v>
      </c>
      <c r="R115" s="110" t="s">
        <v>658</v>
      </c>
      <c r="T115" s="110"/>
      <c r="V115" s="110"/>
    </row>
    <row r="116" spans="1:22" ht="30" outlineLevel="1" x14ac:dyDescent="0.25">
      <c r="A116" s="117" t="s">
        <v>750</v>
      </c>
      <c r="B116" s="119" t="s">
        <v>1319</v>
      </c>
      <c r="C116" s="109" t="s">
        <v>1295</v>
      </c>
      <c r="D116" s="15" t="s">
        <v>447</v>
      </c>
      <c r="E116" s="110" t="s">
        <v>386</v>
      </c>
      <c r="F116" s="109"/>
      <c r="H116" s="110"/>
      <c r="I116" s="109"/>
      <c r="K116" s="110"/>
      <c r="L116" s="109"/>
      <c r="N116" s="110"/>
      <c r="O116" s="139" t="s">
        <v>778</v>
      </c>
      <c r="P116" s="15" t="s">
        <v>655</v>
      </c>
      <c r="Q116" s="124" t="s">
        <v>778</v>
      </c>
      <c r="R116" s="110" t="s">
        <v>655</v>
      </c>
      <c r="T116" s="110"/>
      <c r="V116" s="110"/>
    </row>
    <row r="117" spans="1:22" ht="30" outlineLevel="1" x14ac:dyDescent="0.25">
      <c r="A117" s="117" t="s">
        <v>751</v>
      </c>
      <c r="B117" s="119"/>
      <c r="C117" s="109" t="s">
        <v>386</v>
      </c>
      <c r="E117" s="110" t="s">
        <v>386</v>
      </c>
      <c r="F117" s="109"/>
      <c r="H117" s="110"/>
      <c r="I117" s="109"/>
      <c r="K117" s="110"/>
      <c r="L117" s="109"/>
      <c r="N117" s="110"/>
      <c r="O117" s="139" t="s">
        <v>779</v>
      </c>
      <c r="P117" s="15" t="s">
        <v>654</v>
      </c>
      <c r="Q117" s="124" t="s">
        <v>779</v>
      </c>
      <c r="R117" s="110" t="s">
        <v>654</v>
      </c>
      <c r="T117" s="110"/>
      <c r="V117" s="110"/>
    </row>
    <row r="118" spans="1:22" ht="30" outlineLevel="1" x14ac:dyDescent="0.25">
      <c r="A118" s="117" t="s">
        <v>752</v>
      </c>
      <c r="B118" s="119" t="s">
        <v>1318</v>
      </c>
      <c r="C118" s="109" t="s">
        <v>1300</v>
      </c>
      <c r="D118" s="15" t="s">
        <v>447</v>
      </c>
      <c r="E118" s="110" t="s">
        <v>386</v>
      </c>
      <c r="F118" s="109"/>
      <c r="H118" s="110"/>
      <c r="I118" s="109"/>
      <c r="K118" s="110"/>
      <c r="L118" s="109"/>
      <c r="N118" s="110"/>
      <c r="O118" s="139" t="s">
        <v>780</v>
      </c>
      <c r="P118" s="15" t="s">
        <v>655</v>
      </c>
      <c r="Q118" s="124" t="s">
        <v>780</v>
      </c>
      <c r="R118" s="110" t="s">
        <v>655</v>
      </c>
      <c r="T118" s="110"/>
      <c r="V118" s="110"/>
    </row>
    <row r="119" spans="1:22" ht="30" outlineLevel="1" x14ac:dyDescent="0.25">
      <c r="A119" s="117" t="s">
        <v>753</v>
      </c>
      <c r="B119" s="119"/>
      <c r="C119" s="109" t="s">
        <v>386</v>
      </c>
      <c r="E119" s="110" t="s">
        <v>386</v>
      </c>
      <c r="F119" s="109"/>
      <c r="H119" s="110"/>
      <c r="I119" s="109"/>
      <c r="K119" s="110"/>
      <c r="L119" s="109"/>
      <c r="N119" s="110"/>
      <c r="O119" s="139" t="s">
        <v>781</v>
      </c>
      <c r="P119" s="15" t="s">
        <v>657</v>
      </c>
      <c r="Q119" s="124" t="s">
        <v>781</v>
      </c>
      <c r="R119" s="110" t="s">
        <v>657</v>
      </c>
      <c r="T119" s="110"/>
      <c r="V119" s="110"/>
    </row>
    <row r="120" spans="1:22" ht="30" outlineLevel="1" x14ac:dyDescent="0.25">
      <c r="A120" s="117" t="s">
        <v>754</v>
      </c>
      <c r="B120" s="119" t="s">
        <v>1320</v>
      </c>
      <c r="C120" s="109" t="s">
        <v>386</v>
      </c>
      <c r="E120" s="110" t="s">
        <v>386</v>
      </c>
      <c r="F120" s="109"/>
      <c r="H120" s="110"/>
      <c r="I120" s="109"/>
      <c r="K120" s="110"/>
      <c r="L120" s="109"/>
      <c r="N120" s="110"/>
      <c r="O120" s="139" t="s">
        <v>782</v>
      </c>
      <c r="P120" s="15" t="s">
        <v>654</v>
      </c>
      <c r="Q120" s="124" t="s">
        <v>782</v>
      </c>
      <c r="R120" s="110" t="s">
        <v>654</v>
      </c>
      <c r="T120" s="110"/>
      <c r="V120" s="110"/>
    </row>
    <row r="121" spans="1:22" ht="30" outlineLevel="1" x14ac:dyDescent="0.25">
      <c r="A121" s="117" t="s">
        <v>755</v>
      </c>
      <c r="B121" s="119"/>
      <c r="C121" s="109" t="s">
        <v>386</v>
      </c>
      <c r="E121" s="110" t="s">
        <v>386</v>
      </c>
      <c r="F121" s="109"/>
      <c r="H121" s="110"/>
      <c r="I121" s="109"/>
      <c r="K121" s="110"/>
      <c r="L121" s="109"/>
      <c r="N121" s="110"/>
      <c r="O121" s="139" t="s">
        <v>783</v>
      </c>
      <c r="P121" s="15" t="s">
        <v>657</v>
      </c>
      <c r="Q121" s="124" t="s">
        <v>783</v>
      </c>
      <c r="R121" s="110" t="s">
        <v>657</v>
      </c>
      <c r="T121" s="110"/>
      <c r="V121" s="110"/>
    </row>
    <row r="122" spans="1:22" x14ac:dyDescent="0.25">
      <c r="A122" s="158" t="s">
        <v>784</v>
      </c>
      <c r="B122" s="169"/>
      <c r="C122" s="115"/>
      <c r="D122" s="114"/>
      <c r="E122" s="116"/>
      <c r="F122" s="115"/>
      <c r="G122" s="114"/>
      <c r="H122" s="116"/>
      <c r="I122" s="115"/>
      <c r="J122" s="114"/>
      <c r="K122" s="116"/>
      <c r="L122" s="115"/>
      <c r="M122" s="114"/>
      <c r="N122" s="116"/>
      <c r="O122" s="114"/>
      <c r="P122" s="114"/>
      <c r="Q122" s="115"/>
      <c r="R122" s="116"/>
      <c r="S122" s="114"/>
      <c r="T122" s="116"/>
      <c r="U122" s="114"/>
      <c r="V122" s="116"/>
    </row>
    <row r="123" spans="1:22" ht="30" outlineLevel="1" x14ac:dyDescent="0.25">
      <c r="A123" s="117" t="s">
        <v>785</v>
      </c>
      <c r="B123" s="119" t="str">
        <f>CONCATENATE("GEN_",A123)</f>
        <v>GEN_Train Performances</v>
      </c>
      <c r="C123" s="109"/>
      <c r="E123" s="110"/>
      <c r="F123" s="109"/>
      <c r="H123" s="110"/>
      <c r="I123" s="109"/>
      <c r="K123" s="110"/>
      <c r="L123" s="109"/>
      <c r="N123" s="110"/>
      <c r="O123" s="138" t="s">
        <v>791</v>
      </c>
      <c r="P123" s="139" t="s">
        <v>653</v>
      </c>
      <c r="Q123" s="109" t="s">
        <v>791</v>
      </c>
      <c r="R123" s="128" t="s">
        <v>653</v>
      </c>
      <c r="T123" s="110"/>
      <c r="V123" s="110"/>
    </row>
    <row r="124" spans="1:22" ht="30" outlineLevel="1" x14ac:dyDescent="0.25">
      <c r="A124" s="117" t="s">
        <v>786</v>
      </c>
      <c r="B124" s="119" t="str">
        <f t="shared" ref="B124:B128" si="0">CONCATENATE("GEN_",A124)</f>
        <v>GEN_Train System Architecture</v>
      </c>
      <c r="C124" s="109"/>
      <c r="E124" s="110"/>
      <c r="F124" s="109"/>
      <c r="H124" s="110"/>
      <c r="I124" s="109"/>
      <c r="K124" s="110"/>
      <c r="L124" s="109"/>
      <c r="N124" s="110"/>
      <c r="O124" s="138" t="s">
        <v>792</v>
      </c>
      <c r="P124" s="139" t="s">
        <v>654</v>
      </c>
      <c r="Q124" s="109" t="s">
        <v>792</v>
      </c>
      <c r="R124" s="128" t="s">
        <v>654</v>
      </c>
      <c r="T124" s="110"/>
      <c r="V124" s="110"/>
    </row>
    <row r="125" spans="1:22" ht="30" outlineLevel="1" x14ac:dyDescent="0.25">
      <c r="A125" s="117" t="s">
        <v>787</v>
      </c>
      <c r="B125" s="119" t="str">
        <f t="shared" si="0"/>
        <v>GEN_Train Running Simulations</v>
      </c>
      <c r="C125" s="109"/>
      <c r="E125" s="110"/>
      <c r="F125" s="109"/>
      <c r="H125" s="110"/>
      <c r="I125" s="109"/>
      <c r="K125" s="110"/>
      <c r="L125" s="109"/>
      <c r="N125" s="110"/>
      <c r="O125" s="138" t="s">
        <v>793</v>
      </c>
      <c r="P125" s="139" t="s">
        <v>654</v>
      </c>
      <c r="Q125" s="109" t="s">
        <v>793</v>
      </c>
      <c r="R125" s="128" t="s">
        <v>654</v>
      </c>
      <c r="T125" s="110"/>
      <c r="V125" s="110"/>
    </row>
    <row r="126" spans="1:22" ht="30" outlineLevel="1" x14ac:dyDescent="0.25">
      <c r="A126" s="117" t="s">
        <v>788</v>
      </c>
      <c r="B126" s="119" t="str">
        <f t="shared" si="0"/>
        <v>GEN_SyFD Propulsion System</v>
      </c>
      <c r="C126" s="109"/>
      <c r="E126" s="110"/>
      <c r="F126" s="109"/>
      <c r="H126" s="110"/>
      <c r="I126" s="109"/>
      <c r="K126" s="110"/>
      <c r="L126" s="109"/>
      <c r="N126" s="110"/>
      <c r="O126" s="138" t="s">
        <v>794</v>
      </c>
      <c r="P126" s="139" t="s">
        <v>655</v>
      </c>
      <c r="Q126" s="109" t="s">
        <v>794</v>
      </c>
      <c r="R126" s="128" t="s">
        <v>655</v>
      </c>
      <c r="T126" s="110"/>
      <c r="V126" s="110"/>
    </row>
    <row r="127" spans="1:22" ht="30" outlineLevel="1" x14ac:dyDescent="0.25">
      <c r="A127" s="117" t="s">
        <v>789</v>
      </c>
      <c r="B127" s="119" t="str">
        <f t="shared" si="0"/>
        <v>GEN_SyFD Train Control and Management System</v>
      </c>
      <c r="C127" s="109"/>
      <c r="E127" s="110"/>
      <c r="F127" s="109"/>
      <c r="H127" s="110"/>
      <c r="I127" s="109"/>
      <c r="K127" s="110"/>
      <c r="L127" s="109"/>
      <c r="N127" s="110"/>
      <c r="O127" s="138" t="s">
        <v>795</v>
      </c>
      <c r="P127" s="139" t="s">
        <v>656</v>
      </c>
      <c r="Q127" s="109" t="s">
        <v>795</v>
      </c>
      <c r="R127" s="128" t="s">
        <v>656</v>
      </c>
      <c r="T127" s="110"/>
      <c r="V127" s="110"/>
    </row>
    <row r="128" spans="1:22" ht="30" outlineLevel="1" x14ac:dyDescent="0.25">
      <c r="A128" s="118" t="s">
        <v>790</v>
      </c>
      <c r="B128" s="120" t="str">
        <f t="shared" si="0"/>
        <v>GEN_SyFD Ethernet Train Communication Network</v>
      </c>
      <c r="C128" s="111"/>
      <c r="D128" s="113"/>
      <c r="E128" s="112"/>
      <c r="F128" s="111"/>
      <c r="G128" s="113"/>
      <c r="H128" s="112"/>
      <c r="I128" s="111"/>
      <c r="J128" s="113"/>
      <c r="K128" s="112"/>
      <c r="L128" s="111"/>
      <c r="M128" s="113"/>
      <c r="N128" s="112"/>
      <c r="O128" s="167" t="s">
        <v>796</v>
      </c>
      <c r="P128" s="166" t="s">
        <v>657</v>
      </c>
      <c r="Q128" s="111" t="s">
        <v>796</v>
      </c>
      <c r="R128" s="191" t="s">
        <v>657</v>
      </c>
      <c r="S128" s="113"/>
      <c r="T128" s="112"/>
      <c r="U128" s="113"/>
      <c r="V128" s="112"/>
    </row>
  </sheetData>
  <mergeCells count="18">
    <mergeCell ref="S2:T2"/>
    <mergeCell ref="C1:E1"/>
    <mergeCell ref="U1:V1"/>
    <mergeCell ref="U2:V2"/>
    <mergeCell ref="S1:T1"/>
    <mergeCell ref="A1:A3"/>
    <mergeCell ref="L1:N1"/>
    <mergeCell ref="Q1:R1"/>
    <mergeCell ref="O1:P1"/>
    <mergeCell ref="F1:H1"/>
    <mergeCell ref="I1:K1"/>
    <mergeCell ref="B1:B3"/>
    <mergeCell ref="C2:E2"/>
    <mergeCell ref="F2:H2"/>
    <mergeCell ref="O2:P2"/>
    <mergeCell ref="Q2:R2"/>
    <mergeCell ref="I2:K2"/>
    <mergeCell ref="L2:N2"/>
  </mergeCells>
  <phoneticPr fontId="17" type="noConversion"/>
  <pageMargins left="0.7" right="0.7" top="0.75" bottom="0.75" header="0.3" footer="0.3"/>
  <pageSetup paperSize="9" orientation="portrait"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8135-197F-40C0-AAAE-5CA3C82DEA28}">
  <sheetPr>
    <tabColor theme="5" tint="0.39997558519241921"/>
  </sheetPr>
  <dimension ref="A1:S54"/>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B12" sqref="B12"/>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17.5703125" style="15" customWidth="1"/>
    <col min="5" max="5" width="4.42578125" style="15" bestFit="1" customWidth="1"/>
    <col min="6" max="6" width="17.5703125" style="15" customWidth="1"/>
    <col min="7" max="7" width="4.7109375" style="15" bestFit="1" customWidth="1"/>
    <col min="8" max="8" width="17.5703125" style="15" customWidth="1"/>
    <col min="9" max="9" width="4.7109375" style="15" bestFit="1" customWidth="1"/>
    <col min="10" max="10" width="17.5703125" style="15" customWidth="1"/>
    <col min="11" max="11" width="4.42578125" style="15" bestFit="1" customWidth="1"/>
    <col min="12" max="12" width="17.140625" style="15" customWidth="1"/>
    <col min="13" max="13" width="5.140625" style="15"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16384" width="8.7109375" style="103"/>
  </cols>
  <sheetData>
    <row r="1" spans="1:19" s="105" customFormat="1" x14ac:dyDescent="0.25">
      <c r="A1" s="470" t="s">
        <v>427</v>
      </c>
      <c r="B1" s="486" t="s">
        <v>801</v>
      </c>
      <c r="C1" s="488" t="s">
        <v>1277</v>
      </c>
      <c r="D1" s="483" t="s">
        <v>1472</v>
      </c>
      <c r="E1" s="476"/>
      <c r="F1" s="484" t="s">
        <v>1474</v>
      </c>
      <c r="G1" s="485"/>
      <c r="H1" s="483" t="s">
        <v>960</v>
      </c>
      <c r="I1" s="476"/>
      <c r="J1" s="484" t="s">
        <v>173</v>
      </c>
      <c r="K1" s="485"/>
      <c r="L1" s="483" t="s">
        <v>1475</v>
      </c>
      <c r="M1" s="483"/>
      <c r="N1" s="484" t="s">
        <v>1476</v>
      </c>
      <c r="O1" s="485"/>
      <c r="P1" s="483" t="s">
        <v>174</v>
      </c>
      <c r="Q1" s="483"/>
      <c r="R1" s="484" t="s">
        <v>966</v>
      </c>
      <c r="S1" s="485"/>
    </row>
    <row r="2" spans="1:19" s="105" customFormat="1" ht="30" x14ac:dyDescent="0.25">
      <c r="A2" s="472"/>
      <c r="B2" s="487"/>
      <c r="C2" s="472"/>
      <c r="D2" s="435" t="s">
        <v>949</v>
      </c>
      <c r="E2" s="173" t="s">
        <v>429</v>
      </c>
      <c r="F2" s="438" t="s">
        <v>949</v>
      </c>
      <c r="G2" s="439" t="s">
        <v>429</v>
      </c>
      <c r="H2" s="435" t="s">
        <v>949</v>
      </c>
      <c r="I2" s="173" t="s">
        <v>429</v>
      </c>
      <c r="J2" s="438" t="s">
        <v>949</v>
      </c>
      <c r="K2" s="439" t="s">
        <v>429</v>
      </c>
      <c r="L2" s="407" t="s">
        <v>428</v>
      </c>
      <c r="M2" s="407" t="s">
        <v>429</v>
      </c>
      <c r="N2" s="443" t="s">
        <v>428</v>
      </c>
      <c r="O2" s="172" t="s">
        <v>429</v>
      </c>
      <c r="P2" s="435" t="s">
        <v>428</v>
      </c>
      <c r="Q2" s="435" t="s">
        <v>429</v>
      </c>
      <c r="R2" s="438" t="s">
        <v>428</v>
      </c>
      <c r="S2" s="439" t="s">
        <v>429</v>
      </c>
    </row>
    <row r="3" spans="1:19" x14ac:dyDescent="0.25">
      <c r="A3" s="216" t="s">
        <v>1283</v>
      </c>
      <c r="B3" s="417"/>
      <c r="C3" s="436"/>
      <c r="D3" s="418"/>
      <c r="E3" s="217"/>
      <c r="F3" s="440"/>
      <c r="G3" s="441"/>
      <c r="H3" s="418"/>
      <c r="I3" s="217"/>
      <c r="J3" s="440"/>
      <c r="K3" s="441"/>
      <c r="L3" s="418"/>
      <c r="M3" s="418"/>
      <c r="N3" s="440"/>
      <c r="O3" s="441"/>
      <c r="P3" s="418"/>
      <c r="Q3" s="418"/>
      <c r="R3" s="440"/>
      <c r="S3" s="441"/>
    </row>
    <row r="4" spans="1:19" x14ac:dyDescent="0.25">
      <c r="A4" s="425" t="s">
        <v>1455</v>
      </c>
      <c r="B4" s="430" t="s">
        <v>1267</v>
      </c>
      <c r="C4" s="437" t="s">
        <v>1282</v>
      </c>
      <c r="D4" s="426"/>
      <c r="E4" s="426"/>
      <c r="F4" s="427"/>
      <c r="G4" s="442"/>
      <c r="H4" s="426" t="s">
        <v>1266</v>
      </c>
      <c r="I4" s="426" t="s">
        <v>663</v>
      </c>
      <c r="J4" s="427"/>
      <c r="K4" s="442"/>
      <c r="L4" s="426"/>
      <c r="M4" s="426"/>
      <c r="N4" s="427"/>
      <c r="O4" s="442"/>
      <c r="P4" s="426"/>
      <c r="Q4" s="426"/>
      <c r="R4" s="427"/>
      <c r="S4" s="442"/>
    </row>
    <row r="5" spans="1:19" x14ac:dyDescent="0.25">
      <c r="A5" s="118" t="s">
        <v>1456</v>
      </c>
      <c r="B5" s="431" t="s">
        <v>1284</v>
      </c>
      <c r="C5" s="108" t="s">
        <v>1282</v>
      </c>
      <c r="D5" s="113"/>
      <c r="E5" s="113"/>
      <c r="F5" s="428"/>
      <c r="G5" s="112"/>
      <c r="H5" s="113" t="s">
        <v>1285</v>
      </c>
      <c r="I5" s="113" t="s">
        <v>663</v>
      </c>
      <c r="J5" s="428"/>
      <c r="K5" s="112"/>
      <c r="L5" s="113" t="s">
        <v>1288</v>
      </c>
      <c r="M5" s="429" t="s">
        <v>176</v>
      </c>
      <c r="N5" s="428"/>
      <c r="O5" s="112"/>
      <c r="P5" s="113"/>
      <c r="Q5" s="113"/>
      <c r="R5" s="428"/>
      <c r="S5" s="112"/>
    </row>
    <row r="6" spans="1:19" x14ac:dyDescent="0.25">
      <c r="A6" s="216" t="s">
        <v>1386</v>
      </c>
      <c r="B6" s="417"/>
      <c r="C6" s="436"/>
      <c r="D6" s="418"/>
      <c r="E6" s="217"/>
      <c r="F6" s="440"/>
      <c r="G6" s="441"/>
      <c r="H6" s="418"/>
      <c r="I6" s="217"/>
      <c r="J6" s="440"/>
      <c r="K6" s="441"/>
      <c r="L6" s="418"/>
      <c r="M6" s="418"/>
      <c r="N6" s="440"/>
      <c r="O6" s="441"/>
      <c r="P6" s="418"/>
      <c r="Q6" s="418"/>
      <c r="R6" s="440"/>
      <c r="S6" s="441"/>
    </row>
    <row r="7" spans="1:19" ht="30" x14ac:dyDescent="0.25">
      <c r="A7" s="106" t="s">
        <v>1331</v>
      </c>
      <c r="B7" s="106" t="s">
        <v>1333</v>
      </c>
      <c r="C7" s="107" t="s">
        <v>1282</v>
      </c>
      <c r="D7" s="15" t="s">
        <v>1289</v>
      </c>
      <c r="E7" s="15" t="s">
        <v>503</v>
      </c>
      <c r="F7" s="109" t="s">
        <v>1429</v>
      </c>
      <c r="G7" s="110" t="s">
        <v>482</v>
      </c>
      <c r="J7" s="109"/>
      <c r="K7" s="110"/>
      <c r="N7" s="109"/>
      <c r="O7" s="110"/>
      <c r="R7" s="109"/>
      <c r="S7" s="110"/>
    </row>
    <row r="8" spans="1:19" x14ac:dyDescent="0.25">
      <c r="A8" s="106" t="s">
        <v>1332</v>
      </c>
      <c r="B8" s="106" t="s">
        <v>1334</v>
      </c>
      <c r="C8" s="107" t="s">
        <v>1282</v>
      </c>
      <c r="D8" s="15" t="s">
        <v>1290</v>
      </c>
      <c r="E8" s="15" t="s">
        <v>1430</v>
      </c>
      <c r="F8" s="109"/>
      <c r="G8" s="110"/>
      <c r="J8" s="109"/>
      <c r="K8" s="110"/>
      <c r="N8" s="109"/>
      <c r="O8" s="110"/>
      <c r="R8" s="109"/>
      <c r="S8" s="110"/>
    </row>
    <row r="9" spans="1:19" x14ac:dyDescent="0.25">
      <c r="A9" s="106" t="s">
        <v>574</v>
      </c>
      <c r="B9" s="106" t="s">
        <v>1335</v>
      </c>
      <c r="C9" s="107" t="s">
        <v>1282</v>
      </c>
      <c r="D9" s="15" t="s">
        <v>1291</v>
      </c>
      <c r="E9" s="15" t="s">
        <v>482</v>
      </c>
      <c r="F9" s="109"/>
      <c r="G9" s="110"/>
      <c r="J9" s="109"/>
      <c r="K9" s="110"/>
      <c r="N9" s="109"/>
      <c r="O9" s="110"/>
      <c r="R9" s="109"/>
      <c r="S9" s="110"/>
    </row>
    <row r="10" spans="1:19" x14ac:dyDescent="0.25">
      <c r="A10" s="106" t="s">
        <v>1371</v>
      </c>
      <c r="B10" s="106" t="s">
        <v>1370</v>
      </c>
      <c r="C10" s="107" t="s">
        <v>1282</v>
      </c>
      <c r="D10" s="15" t="s">
        <v>1369</v>
      </c>
      <c r="E10" s="15" t="s">
        <v>446</v>
      </c>
      <c r="F10" s="109"/>
      <c r="G10" s="110"/>
      <c r="J10" s="109"/>
      <c r="K10" s="110"/>
      <c r="N10" s="109"/>
      <c r="O10" s="110"/>
      <c r="R10" s="109"/>
      <c r="S10" s="110"/>
    </row>
    <row r="11" spans="1:19" x14ac:dyDescent="0.25">
      <c r="A11" s="106" t="s">
        <v>1383</v>
      </c>
      <c r="B11" s="106" t="s">
        <v>1384</v>
      </c>
      <c r="C11" s="107" t="s">
        <v>1282</v>
      </c>
      <c r="D11" s="15" t="s">
        <v>1385</v>
      </c>
      <c r="E11" s="15" t="s">
        <v>483</v>
      </c>
      <c r="F11" s="109"/>
      <c r="G11" s="110"/>
      <c r="J11" s="109"/>
      <c r="K11" s="110"/>
      <c r="N11" s="109"/>
      <c r="O11" s="110"/>
      <c r="R11" s="109"/>
      <c r="S11" s="110"/>
    </row>
    <row r="12" spans="1:19" x14ac:dyDescent="0.25">
      <c r="A12" s="106" t="s">
        <v>1390</v>
      </c>
      <c r="B12" s="465" t="s">
        <v>1391</v>
      </c>
      <c r="C12" s="107" t="s">
        <v>1282</v>
      </c>
      <c r="D12" s="15" t="s">
        <v>1392</v>
      </c>
      <c r="E12" s="15" t="s">
        <v>484</v>
      </c>
      <c r="F12" s="109"/>
      <c r="G12" s="110"/>
      <c r="J12" s="109"/>
      <c r="K12" s="110"/>
      <c r="N12" s="109"/>
      <c r="O12" s="110"/>
      <c r="R12" s="109"/>
      <c r="S12" s="110"/>
    </row>
    <row r="13" spans="1:19" x14ac:dyDescent="0.25">
      <c r="A13" s="106" t="s">
        <v>1398</v>
      </c>
      <c r="B13" s="465" t="s">
        <v>1394</v>
      </c>
      <c r="C13" s="107" t="s">
        <v>1282</v>
      </c>
      <c r="D13" s="15" t="s">
        <v>1393</v>
      </c>
      <c r="E13" s="15" t="s">
        <v>447</v>
      </c>
      <c r="F13" s="109"/>
      <c r="G13" s="110"/>
      <c r="J13" s="109"/>
      <c r="K13" s="110"/>
      <c r="N13" s="109"/>
      <c r="O13" s="110"/>
      <c r="R13" s="109"/>
      <c r="S13" s="110"/>
    </row>
    <row r="14" spans="1:19" x14ac:dyDescent="0.25">
      <c r="A14" s="106" t="s">
        <v>1399</v>
      </c>
      <c r="B14" s="465" t="s">
        <v>1396</v>
      </c>
      <c r="C14" s="107" t="s">
        <v>1282</v>
      </c>
      <c r="D14" s="15" t="s">
        <v>1395</v>
      </c>
      <c r="E14" s="15" t="s">
        <v>447</v>
      </c>
      <c r="F14" s="109"/>
      <c r="G14" s="110"/>
      <c r="J14" s="109"/>
      <c r="K14" s="110"/>
      <c r="N14" s="109"/>
      <c r="O14" s="110"/>
      <c r="R14" s="109"/>
      <c r="S14" s="110"/>
    </row>
    <row r="15" spans="1:19" x14ac:dyDescent="0.25">
      <c r="A15" s="106" t="s">
        <v>1401</v>
      </c>
      <c r="B15" s="465" t="s">
        <v>1403</v>
      </c>
      <c r="C15" s="107" t="s">
        <v>1282</v>
      </c>
      <c r="D15" s="15" t="s">
        <v>1397</v>
      </c>
      <c r="E15" s="15" t="s">
        <v>446</v>
      </c>
      <c r="F15" s="109"/>
      <c r="G15" s="110"/>
      <c r="J15" s="109"/>
      <c r="K15" s="110"/>
      <c r="N15" s="109"/>
      <c r="O15" s="110"/>
      <c r="R15" s="109"/>
      <c r="S15" s="110"/>
    </row>
    <row r="16" spans="1:19" x14ac:dyDescent="0.25">
      <c r="A16" s="106" t="s">
        <v>1402</v>
      </c>
      <c r="B16" s="465" t="s">
        <v>1404</v>
      </c>
      <c r="C16" s="107" t="s">
        <v>1282</v>
      </c>
      <c r="D16" s="15" t="s">
        <v>1400</v>
      </c>
      <c r="E16" s="15" t="s">
        <v>447</v>
      </c>
      <c r="F16" s="109"/>
      <c r="G16" s="110"/>
      <c r="J16" s="109"/>
      <c r="K16" s="110"/>
      <c r="N16" s="109"/>
      <c r="O16" s="110"/>
      <c r="R16" s="109"/>
      <c r="S16" s="110"/>
    </row>
    <row r="17" spans="1:19" x14ac:dyDescent="0.25">
      <c r="A17" s="106" t="s">
        <v>1406</v>
      </c>
      <c r="B17" s="465" t="s">
        <v>1407</v>
      </c>
      <c r="C17" s="107" t="s">
        <v>1282</v>
      </c>
      <c r="D17" s="15" t="s">
        <v>1405</v>
      </c>
      <c r="E17" s="15" t="s">
        <v>483</v>
      </c>
      <c r="F17" s="109"/>
      <c r="G17" s="110"/>
      <c r="J17" s="109"/>
      <c r="K17" s="110"/>
      <c r="N17" s="109"/>
      <c r="O17" s="110"/>
      <c r="R17" s="109"/>
      <c r="S17" s="110"/>
    </row>
    <row r="18" spans="1:19" x14ac:dyDescent="0.25">
      <c r="A18" s="106" t="s">
        <v>1409</v>
      </c>
      <c r="B18" s="465" t="s">
        <v>1410</v>
      </c>
      <c r="C18" s="107" t="s">
        <v>1282</v>
      </c>
      <c r="D18" s="15" t="s">
        <v>1408</v>
      </c>
      <c r="E18" s="15" t="s">
        <v>998</v>
      </c>
      <c r="F18" s="109"/>
      <c r="G18" s="110"/>
      <c r="J18" s="109"/>
      <c r="K18" s="110"/>
      <c r="N18" s="109"/>
      <c r="O18" s="110"/>
      <c r="R18" s="109"/>
      <c r="S18" s="110"/>
    </row>
    <row r="19" spans="1:19" x14ac:dyDescent="0.25">
      <c r="A19" s="106" t="s">
        <v>1436</v>
      </c>
      <c r="B19" s="465" t="s">
        <v>1437</v>
      </c>
      <c r="C19" s="107" t="s">
        <v>1282</v>
      </c>
      <c r="D19" s="15" t="s">
        <v>1435</v>
      </c>
      <c r="E19" s="15" t="s">
        <v>447</v>
      </c>
      <c r="F19" s="109"/>
      <c r="G19" s="110"/>
      <c r="J19" s="109"/>
      <c r="K19" s="110"/>
      <c r="N19" s="109"/>
      <c r="O19" s="110"/>
      <c r="R19" s="109"/>
      <c r="S19" s="110"/>
    </row>
    <row r="20" spans="1:19" x14ac:dyDescent="0.25">
      <c r="A20" s="106" t="s">
        <v>1439</v>
      </c>
      <c r="B20" s="465" t="s">
        <v>1440</v>
      </c>
      <c r="C20" s="107" t="s">
        <v>1282</v>
      </c>
      <c r="D20" s="15" t="s">
        <v>1438</v>
      </c>
      <c r="E20" s="15" t="s">
        <v>945</v>
      </c>
      <c r="F20" s="109"/>
      <c r="G20" s="110"/>
      <c r="J20" s="109"/>
      <c r="K20" s="110"/>
      <c r="N20" s="109"/>
      <c r="O20" s="110"/>
      <c r="R20" s="109"/>
      <c r="S20" s="110"/>
    </row>
    <row r="21" spans="1:19" x14ac:dyDescent="0.25">
      <c r="C21" s="107"/>
      <c r="F21" s="109"/>
      <c r="G21" s="110"/>
      <c r="J21" s="109"/>
      <c r="K21" s="110"/>
      <c r="N21" s="109"/>
      <c r="O21" s="110"/>
      <c r="R21" s="109"/>
      <c r="S21" s="110"/>
    </row>
    <row r="22" spans="1:19" x14ac:dyDescent="0.25">
      <c r="C22" s="107"/>
      <c r="F22" s="109"/>
      <c r="G22" s="110"/>
      <c r="J22" s="109"/>
      <c r="K22" s="110"/>
      <c r="N22" s="109"/>
      <c r="O22" s="110"/>
      <c r="R22" s="109"/>
      <c r="S22" s="110"/>
    </row>
    <row r="23" spans="1:19" x14ac:dyDescent="0.25">
      <c r="C23" s="107"/>
      <c r="F23" s="109"/>
      <c r="G23" s="110"/>
      <c r="J23" s="109"/>
      <c r="K23" s="110"/>
      <c r="N23" s="109"/>
      <c r="O23" s="110"/>
      <c r="R23" s="109"/>
      <c r="S23" s="110"/>
    </row>
    <row r="24" spans="1:19" x14ac:dyDescent="0.25">
      <c r="C24" s="107"/>
      <c r="F24" s="109"/>
      <c r="G24" s="110"/>
      <c r="J24" s="109"/>
      <c r="K24" s="110"/>
      <c r="N24" s="109"/>
      <c r="O24" s="110"/>
      <c r="R24" s="109"/>
      <c r="S24" s="110"/>
    </row>
    <row r="25" spans="1:19" x14ac:dyDescent="0.25">
      <c r="A25" s="216" t="s">
        <v>1336</v>
      </c>
      <c r="B25" s="417"/>
      <c r="C25" s="436"/>
      <c r="D25" s="418"/>
      <c r="E25" s="217"/>
      <c r="F25" s="440"/>
      <c r="G25" s="441"/>
      <c r="H25" s="418"/>
      <c r="I25" s="217"/>
      <c r="J25" s="440"/>
      <c r="K25" s="441"/>
      <c r="L25" s="418"/>
      <c r="M25" s="418"/>
      <c r="N25" s="440"/>
      <c r="O25" s="441"/>
      <c r="P25" s="418"/>
      <c r="Q25" s="418"/>
      <c r="R25" s="440"/>
      <c r="S25" s="441"/>
    </row>
    <row r="26" spans="1:19" x14ac:dyDescent="0.25">
      <c r="A26" s="106" t="s">
        <v>1444</v>
      </c>
      <c r="B26" s="106" t="s">
        <v>1445</v>
      </c>
      <c r="C26" s="107" t="s">
        <v>1282</v>
      </c>
      <c r="D26" s="15" t="s">
        <v>1446</v>
      </c>
      <c r="E26" s="15" t="s">
        <v>446</v>
      </c>
      <c r="F26" s="109"/>
      <c r="G26" s="110"/>
      <c r="J26" s="109"/>
      <c r="K26" s="110"/>
      <c r="N26" s="109"/>
      <c r="O26" s="110"/>
      <c r="R26" s="109"/>
      <c r="S26" s="110"/>
    </row>
    <row r="27" spans="1:19" ht="30" x14ac:dyDescent="0.25">
      <c r="A27" s="106" t="s">
        <v>1341</v>
      </c>
      <c r="B27" s="106" t="s">
        <v>1337</v>
      </c>
      <c r="C27" s="107" t="s">
        <v>1282</v>
      </c>
      <c r="D27" s="15" t="s">
        <v>1324</v>
      </c>
      <c r="E27" s="15" t="s">
        <v>482</v>
      </c>
      <c r="F27" s="109"/>
      <c r="G27" s="110"/>
      <c r="J27" s="109"/>
      <c r="K27" s="110"/>
      <c r="N27" s="109"/>
      <c r="O27" s="110"/>
      <c r="R27" s="109"/>
      <c r="S27" s="110"/>
    </row>
    <row r="28" spans="1:19" ht="30" x14ac:dyDescent="0.25">
      <c r="A28" s="106" t="s">
        <v>1342</v>
      </c>
      <c r="B28" s="106" t="s">
        <v>1338</v>
      </c>
      <c r="C28" s="107" t="s">
        <v>1282</v>
      </c>
      <c r="D28" s="15" t="s">
        <v>1325</v>
      </c>
      <c r="E28" s="15" t="s">
        <v>446</v>
      </c>
      <c r="F28" s="109"/>
      <c r="G28" s="110"/>
      <c r="J28" s="109"/>
      <c r="K28" s="110"/>
      <c r="N28" s="109"/>
      <c r="O28" s="110"/>
      <c r="R28" s="109"/>
      <c r="S28" s="110"/>
    </row>
    <row r="29" spans="1:19" ht="30" x14ac:dyDescent="0.25">
      <c r="A29" s="106" t="s">
        <v>1343</v>
      </c>
      <c r="B29" s="106" t="s">
        <v>1339</v>
      </c>
      <c r="C29" s="107" t="s">
        <v>1282</v>
      </c>
      <c r="D29" s="15" t="s">
        <v>1326</v>
      </c>
      <c r="E29" s="15" t="s">
        <v>446</v>
      </c>
      <c r="F29" s="109"/>
      <c r="G29" s="110"/>
      <c r="J29" s="109"/>
      <c r="K29" s="110"/>
      <c r="N29" s="109"/>
      <c r="O29" s="110"/>
      <c r="R29" s="109"/>
      <c r="S29" s="110"/>
    </row>
    <row r="30" spans="1:19" ht="30" x14ac:dyDescent="0.25">
      <c r="A30" s="106" t="s">
        <v>1344</v>
      </c>
      <c r="B30" s="106" t="s">
        <v>1340</v>
      </c>
      <c r="C30" s="107" t="s">
        <v>1282</v>
      </c>
      <c r="D30" s="15" t="s">
        <v>1327</v>
      </c>
      <c r="E30" s="15" t="s">
        <v>446</v>
      </c>
      <c r="F30" s="109"/>
      <c r="G30" s="110"/>
      <c r="J30" s="109"/>
      <c r="K30" s="110"/>
      <c r="N30" s="109"/>
      <c r="O30" s="110"/>
      <c r="R30" s="109"/>
      <c r="S30" s="110"/>
    </row>
    <row r="31" spans="1:19" x14ac:dyDescent="0.25">
      <c r="A31" s="106" t="s">
        <v>1388</v>
      </c>
      <c r="B31" s="106" t="s">
        <v>1389</v>
      </c>
      <c r="C31" s="107" t="s">
        <v>1282</v>
      </c>
      <c r="D31" s="15" t="s">
        <v>1387</v>
      </c>
      <c r="E31" s="15" t="s">
        <v>485</v>
      </c>
      <c r="F31" s="109"/>
      <c r="G31" s="110"/>
      <c r="J31" s="109"/>
      <c r="K31" s="110"/>
      <c r="N31" s="109"/>
      <c r="O31" s="110"/>
      <c r="R31" s="109"/>
      <c r="S31" s="110"/>
    </row>
    <row r="32" spans="1:19" x14ac:dyDescent="0.25">
      <c r="A32" s="106" t="s">
        <v>1427</v>
      </c>
      <c r="B32" s="106" t="s">
        <v>1428</v>
      </c>
      <c r="C32" s="107" t="s">
        <v>1282</v>
      </c>
      <c r="D32" s="15" t="s">
        <v>1426</v>
      </c>
      <c r="E32" s="15" t="s">
        <v>998</v>
      </c>
      <c r="F32" s="109"/>
      <c r="G32" s="110"/>
      <c r="J32" s="109"/>
      <c r="K32" s="110"/>
      <c r="N32" s="109"/>
      <c r="O32" s="110"/>
      <c r="R32" s="109"/>
      <c r="S32" s="110"/>
    </row>
    <row r="33" spans="1:19" x14ac:dyDescent="0.25">
      <c r="A33" s="106" t="s">
        <v>1431</v>
      </c>
      <c r="B33" s="106" t="s">
        <v>1432</v>
      </c>
      <c r="C33" s="107" t="s">
        <v>1282</v>
      </c>
      <c r="D33" s="15" t="s">
        <v>1434</v>
      </c>
      <c r="E33" s="15" t="s">
        <v>1433</v>
      </c>
      <c r="F33" s="109"/>
      <c r="G33" s="110"/>
      <c r="J33" s="109"/>
      <c r="K33" s="110"/>
      <c r="N33" s="109"/>
      <c r="O33" s="110"/>
      <c r="R33" s="109"/>
      <c r="S33" s="110"/>
    </row>
    <row r="34" spans="1:19" x14ac:dyDescent="0.25">
      <c r="C34" s="107"/>
      <c r="F34" s="109"/>
      <c r="G34" s="110"/>
      <c r="J34" s="109"/>
      <c r="K34" s="110"/>
      <c r="N34" s="109"/>
      <c r="O34" s="110"/>
      <c r="R34" s="109"/>
      <c r="S34" s="110"/>
    </row>
    <row r="35" spans="1:19" x14ac:dyDescent="0.25">
      <c r="C35" s="107"/>
      <c r="F35" s="109"/>
      <c r="G35" s="110"/>
      <c r="J35" s="109"/>
      <c r="K35" s="110"/>
      <c r="N35" s="109"/>
      <c r="O35" s="110"/>
      <c r="R35" s="109"/>
      <c r="S35" s="110"/>
    </row>
    <row r="36" spans="1:19" x14ac:dyDescent="0.25">
      <c r="A36" s="216" t="s">
        <v>1381</v>
      </c>
      <c r="B36" s="417"/>
      <c r="C36" s="436"/>
      <c r="D36" s="418"/>
      <c r="E36" s="217"/>
      <c r="F36" s="440"/>
      <c r="G36" s="441"/>
      <c r="H36" s="418"/>
      <c r="I36" s="217"/>
      <c r="J36" s="440"/>
      <c r="K36" s="441"/>
      <c r="L36" s="418"/>
      <c r="M36" s="418"/>
      <c r="N36" s="440"/>
      <c r="O36" s="441"/>
      <c r="P36" s="418"/>
      <c r="Q36" s="418"/>
      <c r="R36" s="440"/>
      <c r="S36" s="441"/>
    </row>
    <row r="37" spans="1:19" x14ac:dyDescent="0.25">
      <c r="A37" s="106" t="s">
        <v>1346</v>
      </c>
      <c r="B37" s="106" t="s">
        <v>1382</v>
      </c>
      <c r="C37" s="107" t="s">
        <v>1282</v>
      </c>
      <c r="D37" s="15" t="s">
        <v>1380</v>
      </c>
      <c r="E37" s="15" t="s">
        <v>482</v>
      </c>
      <c r="F37" s="109"/>
      <c r="G37" s="110"/>
      <c r="J37" s="109"/>
      <c r="K37" s="110"/>
      <c r="N37" s="109"/>
      <c r="O37" s="110"/>
      <c r="R37" s="109"/>
      <c r="S37" s="110"/>
    </row>
    <row r="38" spans="1:19" x14ac:dyDescent="0.25">
      <c r="A38" s="106" t="s">
        <v>1441</v>
      </c>
      <c r="B38" s="106" t="s">
        <v>1442</v>
      </c>
      <c r="C38" s="107" t="s">
        <v>1282</v>
      </c>
      <c r="D38" s="15" t="s">
        <v>1443</v>
      </c>
      <c r="E38" s="15" t="s">
        <v>983</v>
      </c>
      <c r="F38" s="109"/>
      <c r="G38" s="110"/>
      <c r="J38" s="109"/>
      <c r="K38" s="110"/>
      <c r="N38" s="109"/>
      <c r="O38" s="110"/>
      <c r="R38" s="109"/>
      <c r="S38" s="110"/>
    </row>
    <row r="39" spans="1:19" x14ac:dyDescent="0.25">
      <c r="A39" s="106" t="s">
        <v>1346</v>
      </c>
      <c r="B39" s="106" t="s">
        <v>1347</v>
      </c>
      <c r="C39" s="107" t="s">
        <v>1282</v>
      </c>
      <c r="D39" s="15" t="s">
        <v>1322</v>
      </c>
      <c r="E39" s="15" t="s">
        <v>1323</v>
      </c>
      <c r="F39" s="109"/>
      <c r="G39" s="110"/>
      <c r="J39" s="109"/>
      <c r="K39" s="110"/>
      <c r="N39" s="109"/>
      <c r="O39" s="110"/>
      <c r="R39" s="109"/>
      <c r="S39" s="110"/>
    </row>
    <row r="40" spans="1:19" x14ac:dyDescent="0.25">
      <c r="A40" s="106" t="s">
        <v>1349</v>
      </c>
      <c r="B40" s="106" t="s">
        <v>1350</v>
      </c>
      <c r="C40" s="107" t="s">
        <v>1282</v>
      </c>
      <c r="D40" s="15" t="s">
        <v>1348</v>
      </c>
      <c r="E40" s="15" t="s">
        <v>945</v>
      </c>
      <c r="F40" s="109"/>
      <c r="G40" s="110"/>
      <c r="J40" s="109"/>
      <c r="K40" s="110"/>
      <c r="N40" s="109"/>
      <c r="O40" s="110"/>
      <c r="R40" s="109"/>
      <c r="S40" s="110"/>
    </row>
    <row r="41" spans="1:19" ht="30" x14ac:dyDescent="0.25">
      <c r="A41" s="106" t="s">
        <v>1352</v>
      </c>
      <c r="B41" s="106" t="s">
        <v>1353</v>
      </c>
      <c r="C41" s="107" t="s">
        <v>1282</v>
      </c>
      <c r="D41" s="15" t="s">
        <v>1351</v>
      </c>
      <c r="E41" s="15" t="s">
        <v>447</v>
      </c>
      <c r="F41" s="109"/>
      <c r="G41" s="110"/>
      <c r="J41" s="109"/>
      <c r="K41" s="110"/>
      <c r="N41" s="109"/>
      <c r="O41" s="110"/>
      <c r="R41" s="109"/>
      <c r="S41" s="110"/>
    </row>
    <row r="42" spans="1:19" x14ac:dyDescent="0.25">
      <c r="A42" s="106" t="s">
        <v>1355</v>
      </c>
      <c r="B42" s="106" t="s">
        <v>1356</v>
      </c>
      <c r="C42" s="107" t="s">
        <v>1282</v>
      </c>
      <c r="D42" s="15" t="s">
        <v>1354</v>
      </c>
      <c r="E42" s="15" t="s">
        <v>446</v>
      </c>
      <c r="F42" s="109"/>
      <c r="G42" s="110"/>
      <c r="J42" s="109"/>
      <c r="K42" s="110"/>
      <c r="N42" s="109"/>
      <c r="O42" s="110"/>
      <c r="R42" s="109"/>
      <c r="S42" s="110"/>
    </row>
    <row r="43" spans="1:19" x14ac:dyDescent="0.25">
      <c r="A43" s="106" t="s">
        <v>1358</v>
      </c>
      <c r="B43" s="106" t="s">
        <v>1359</v>
      </c>
      <c r="C43" s="107" t="s">
        <v>1282</v>
      </c>
      <c r="D43" s="15" t="s">
        <v>1357</v>
      </c>
      <c r="F43" s="109"/>
      <c r="G43" s="110"/>
      <c r="J43" s="109"/>
      <c r="K43" s="110"/>
      <c r="N43" s="109"/>
      <c r="O43" s="110"/>
      <c r="R43" s="109"/>
      <c r="S43" s="110"/>
    </row>
    <row r="44" spans="1:19" x14ac:dyDescent="0.25">
      <c r="A44" s="106" t="s">
        <v>1361</v>
      </c>
      <c r="B44" s="106" t="s">
        <v>1362</v>
      </c>
      <c r="C44" s="107" t="s">
        <v>1282</v>
      </c>
      <c r="D44" s="15" t="s">
        <v>1360</v>
      </c>
      <c r="E44" s="15" t="s">
        <v>998</v>
      </c>
      <c r="F44" s="109"/>
      <c r="G44" s="110"/>
      <c r="J44" s="109"/>
      <c r="K44" s="110"/>
      <c r="N44" s="109"/>
      <c r="O44" s="110"/>
      <c r="R44" s="109"/>
      <c r="S44" s="110"/>
    </row>
    <row r="45" spans="1:19" x14ac:dyDescent="0.25">
      <c r="A45" s="106" t="s">
        <v>1364</v>
      </c>
      <c r="B45" s="106" t="s">
        <v>1365</v>
      </c>
      <c r="C45" s="107" t="s">
        <v>1282</v>
      </c>
      <c r="D45" s="15" t="s">
        <v>1363</v>
      </c>
      <c r="E45" s="15" t="s">
        <v>446</v>
      </c>
      <c r="F45" s="109"/>
      <c r="G45" s="110"/>
      <c r="J45" s="109"/>
      <c r="K45" s="110"/>
      <c r="N45" s="109"/>
      <c r="O45" s="110"/>
      <c r="R45" s="109"/>
      <c r="S45" s="110"/>
    </row>
    <row r="46" spans="1:19" x14ac:dyDescent="0.25">
      <c r="A46" s="106" t="s">
        <v>1367</v>
      </c>
      <c r="B46" s="106" t="s">
        <v>1368</v>
      </c>
      <c r="C46" s="107" t="s">
        <v>1282</v>
      </c>
      <c r="D46" s="15" t="s">
        <v>1366</v>
      </c>
      <c r="E46" s="15" t="s">
        <v>482</v>
      </c>
      <c r="F46" s="109"/>
      <c r="G46" s="110"/>
      <c r="J46" s="109"/>
      <c r="K46" s="110"/>
      <c r="N46" s="109"/>
      <c r="O46" s="110"/>
      <c r="R46" s="109"/>
      <c r="S46" s="110"/>
    </row>
    <row r="47" spans="1:19" x14ac:dyDescent="0.25">
      <c r="A47" s="106" t="s">
        <v>1373</v>
      </c>
      <c r="B47" s="106" t="s">
        <v>1374</v>
      </c>
      <c r="C47" s="107" t="s">
        <v>1282</v>
      </c>
      <c r="D47" s="15" t="s">
        <v>1372</v>
      </c>
      <c r="E47" s="15" t="s">
        <v>483</v>
      </c>
      <c r="F47" s="109"/>
      <c r="G47" s="110"/>
      <c r="J47" s="109"/>
      <c r="K47" s="110"/>
      <c r="N47" s="109"/>
      <c r="O47" s="110"/>
      <c r="R47" s="109"/>
      <c r="S47" s="110"/>
    </row>
    <row r="48" spans="1:19" x14ac:dyDescent="0.25">
      <c r="A48" s="106" t="s">
        <v>1376</v>
      </c>
      <c r="B48" s="106" t="s">
        <v>1377</v>
      </c>
      <c r="C48" s="107" t="s">
        <v>1282</v>
      </c>
      <c r="D48" s="15" t="s">
        <v>1375</v>
      </c>
      <c r="E48" s="15" t="s">
        <v>998</v>
      </c>
      <c r="F48" s="109"/>
      <c r="G48" s="110"/>
      <c r="J48" s="109"/>
      <c r="K48" s="110"/>
      <c r="N48" s="109"/>
      <c r="O48" s="110"/>
      <c r="R48" s="109"/>
      <c r="S48" s="110"/>
    </row>
    <row r="49" spans="1:19" x14ac:dyDescent="0.25">
      <c r="A49" s="106" t="s">
        <v>1448</v>
      </c>
      <c r="B49" s="106" t="s">
        <v>1449</v>
      </c>
      <c r="C49" s="107" t="s">
        <v>1282</v>
      </c>
      <c r="D49" s="15" t="s">
        <v>1447</v>
      </c>
      <c r="E49" s="15" t="s">
        <v>945</v>
      </c>
      <c r="F49" s="109"/>
      <c r="G49" s="110"/>
      <c r="J49" s="109"/>
      <c r="K49" s="110"/>
      <c r="N49" s="109"/>
      <c r="O49" s="110"/>
      <c r="R49" s="109"/>
      <c r="S49" s="110"/>
    </row>
    <row r="50" spans="1:19" x14ac:dyDescent="0.25">
      <c r="C50" s="107"/>
      <c r="F50" s="109"/>
      <c r="G50" s="110"/>
      <c r="J50" s="109"/>
      <c r="K50" s="110"/>
      <c r="N50" s="109"/>
      <c r="O50" s="110"/>
      <c r="R50" s="109"/>
      <c r="S50" s="110"/>
    </row>
    <row r="51" spans="1:19" x14ac:dyDescent="0.25">
      <c r="C51" s="107"/>
      <c r="F51" s="109"/>
      <c r="G51" s="110"/>
      <c r="J51" s="109"/>
      <c r="K51" s="110"/>
      <c r="N51" s="109"/>
      <c r="O51" s="110"/>
      <c r="R51" s="109"/>
      <c r="S51" s="110"/>
    </row>
    <row r="52" spans="1:19" x14ac:dyDescent="0.25">
      <c r="C52" s="107"/>
      <c r="F52" s="109"/>
      <c r="G52" s="110"/>
      <c r="J52" s="109"/>
      <c r="K52" s="110"/>
      <c r="N52" s="109"/>
      <c r="O52" s="110"/>
      <c r="R52" s="109"/>
      <c r="S52" s="110"/>
    </row>
    <row r="53" spans="1:19" x14ac:dyDescent="0.25">
      <c r="C53" s="107"/>
      <c r="F53" s="109"/>
      <c r="G53" s="110"/>
      <c r="J53" s="109"/>
      <c r="K53" s="110"/>
      <c r="N53" s="109"/>
      <c r="O53" s="110"/>
      <c r="R53" s="109"/>
      <c r="S53" s="110"/>
    </row>
    <row r="54" spans="1:19" x14ac:dyDescent="0.25">
      <c r="C54" s="107"/>
      <c r="F54" s="109"/>
      <c r="G54" s="110"/>
      <c r="J54" s="109"/>
      <c r="K54" s="110"/>
    </row>
  </sheetData>
  <mergeCells count="11">
    <mergeCell ref="A1:A2"/>
    <mergeCell ref="B1:B2"/>
    <mergeCell ref="D1:E1"/>
    <mergeCell ref="F1:G1"/>
    <mergeCell ref="H1:I1"/>
    <mergeCell ref="C1:C2"/>
    <mergeCell ref="L1:M1"/>
    <mergeCell ref="N1:O1"/>
    <mergeCell ref="P1:Q1"/>
    <mergeCell ref="R1:S1"/>
    <mergeCell ref="J1:K1"/>
  </mergeCells>
  <pageMargins left="0.7" right="0.7" top="0.75" bottom="0.75" header="0.3" footer="0.3"/>
  <pageSetup paperSize="9" orientation="portrait"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6EF7-8D11-426F-9EAA-2E71ECBF0901}">
  <sheetPr codeName="Foglio6">
    <tabColor theme="5" tint="0.39997558519241921"/>
  </sheetPr>
  <dimension ref="A1:W79"/>
  <sheetViews>
    <sheetView topLeftCell="F46" zoomScale="85" zoomScaleNormal="85" workbookViewId="0">
      <selection activeCell="I3" sqref="I3"/>
    </sheetView>
  </sheetViews>
  <sheetFormatPr defaultColWidth="8.7109375" defaultRowHeight="15" x14ac:dyDescent="0.25"/>
  <cols>
    <col min="1" max="1" width="12" style="14" bestFit="1" customWidth="1"/>
    <col min="2" max="2" width="4.85546875" style="14" bestFit="1" customWidth="1"/>
    <col min="3" max="3" width="9.85546875" style="14" bestFit="1" customWidth="1"/>
    <col min="4" max="4" width="58.140625" style="13" bestFit="1" customWidth="1"/>
    <col min="5" max="5" width="20.7109375" style="14" bestFit="1" customWidth="1"/>
    <col min="6" max="6" width="32" style="14" bestFit="1" customWidth="1"/>
    <col min="7" max="7" width="4.140625" style="14" bestFit="1" customWidth="1"/>
    <col min="8" max="8" width="7.140625" style="14" bestFit="1" customWidth="1"/>
    <col min="9" max="9" width="32" style="14" bestFit="1" customWidth="1"/>
    <col min="10" max="10" width="4.140625" style="14" bestFit="1" customWidth="1"/>
    <col min="11" max="11" width="7.140625" style="14" bestFit="1" customWidth="1"/>
    <col min="12" max="17" width="16.140625" style="13" customWidth="1"/>
    <col min="18" max="23" width="16.140625" style="14" customWidth="1"/>
    <col min="24" max="16384" width="8.7109375" style="13"/>
  </cols>
  <sheetData>
    <row r="1" spans="1:23" ht="29.45" customHeight="1" x14ac:dyDescent="0.25">
      <c r="A1" s="489" t="s">
        <v>264</v>
      </c>
      <c r="B1" s="491" t="s">
        <v>265</v>
      </c>
      <c r="C1" s="491" t="s">
        <v>1133</v>
      </c>
      <c r="D1" s="491" t="s">
        <v>267</v>
      </c>
      <c r="E1" s="491" t="s">
        <v>941</v>
      </c>
      <c r="F1" s="496" t="s">
        <v>1472</v>
      </c>
      <c r="G1" s="497"/>
      <c r="H1" s="498"/>
      <c r="I1" s="496" t="s">
        <v>1474</v>
      </c>
      <c r="J1" s="497"/>
      <c r="K1" s="498"/>
      <c r="L1" s="499" t="s">
        <v>960</v>
      </c>
      <c r="M1" s="500"/>
      <c r="N1" s="501"/>
      <c r="O1" s="499" t="s">
        <v>5</v>
      </c>
      <c r="P1" s="500"/>
      <c r="Q1" s="501"/>
      <c r="R1" s="493" t="s">
        <v>1475</v>
      </c>
      <c r="S1" s="494"/>
      <c r="T1" s="495"/>
      <c r="U1" s="493" t="s">
        <v>1476</v>
      </c>
      <c r="V1" s="494"/>
      <c r="W1" s="495"/>
    </row>
    <row r="2" spans="1:23" ht="29.45" customHeight="1" thickBot="1" x14ac:dyDescent="0.3">
      <c r="A2" s="490"/>
      <c r="B2" s="492"/>
      <c r="C2" s="492"/>
      <c r="D2" s="492"/>
      <c r="E2" s="492"/>
      <c r="F2" s="411" t="s">
        <v>1128</v>
      </c>
      <c r="G2" s="412" t="s">
        <v>266</v>
      </c>
      <c r="H2" s="413" t="s">
        <v>418</v>
      </c>
      <c r="I2" s="411" t="s">
        <v>1128</v>
      </c>
      <c r="J2" s="412" t="s">
        <v>266</v>
      </c>
      <c r="K2" s="413" t="s">
        <v>418</v>
      </c>
      <c r="L2" s="155" t="s">
        <v>1128</v>
      </c>
      <c r="M2" s="155" t="s">
        <v>266</v>
      </c>
      <c r="N2" s="156" t="s">
        <v>418</v>
      </c>
      <c r="O2" s="155" t="s">
        <v>1128</v>
      </c>
      <c r="P2" s="155" t="s">
        <v>266</v>
      </c>
      <c r="Q2" s="156" t="s">
        <v>418</v>
      </c>
      <c r="R2" s="155" t="s">
        <v>266</v>
      </c>
      <c r="S2" s="155"/>
      <c r="T2" s="155"/>
      <c r="U2" s="155" t="s">
        <v>266</v>
      </c>
      <c r="V2" s="155"/>
      <c r="W2" s="155"/>
    </row>
    <row r="3" spans="1:23" x14ac:dyDescent="0.25">
      <c r="A3" s="8" t="s">
        <v>272</v>
      </c>
      <c r="B3" s="8" t="s">
        <v>268</v>
      </c>
      <c r="C3" s="8" t="s">
        <v>270</v>
      </c>
      <c r="D3" s="153" t="s">
        <v>300</v>
      </c>
      <c r="E3" s="8" t="str">
        <f>CONCATENATE(B3,"-",C3)</f>
        <v>PBC-01A</v>
      </c>
      <c r="F3" s="444" t="str">
        <f>CONCATENATE("ETR1000V300-",$E3)</f>
        <v>ETR1000V300-PBC-01A</v>
      </c>
      <c r="G3" s="445">
        <v>14</v>
      </c>
      <c r="H3" s="446">
        <v>46113</v>
      </c>
      <c r="I3" s="444" t="str">
        <f>CONCATENATE("ETR1000V300-",$E3)</f>
        <v>ETR1000V300-PBC-01A</v>
      </c>
      <c r="J3" s="445">
        <v>14</v>
      </c>
      <c r="K3" s="446">
        <v>46113</v>
      </c>
      <c r="L3" s="153"/>
      <c r="M3" s="153"/>
      <c r="N3" s="153"/>
      <c r="O3" s="153"/>
      <c r="P3" s="153"/>
      <c r="Q3" s="153"/>
      <c r="R3" s="154" t="s">
        <v>181</v>
      </c>
      <c r="S3" s="154"/>
      <c r="T3" s="154"/>
      <c r="U3" s="154" t="s">
        <v>181</v>
      </c>
      <c r="V3" s="154"/>
      <c r="W3" s="154"/>
    </row>
    <row r="4" spans="1:23" x14ac:dyDescent="0.25">
      <c r="A4" s="7" t="s">
        <v>272</v>
      </c>
      <c r="B4" s="7" t="s">
        <v>268</v>
      </c>
      <c r="C4" s="7" t="s">
        <v>301</v>
      </c>
      <c r="D4" s="147" t="s">
        <v>302</v>
      </c>
      <c r="E4" s="7" t="str">
        <f t="shared" ref="E4:E47" si="0">CONCATENATE(B4,"-",C4)</f>
        <v>PBC-01B</v>
      </c>
      <c r="F4" s="447" t="str">
        <f t="shared" ref="F4:F51" si="1">CONCATENATE("ETR1000V300-",$E4)</f>
        <v>ETR1000V300-PBC-01B</v>
      </c>
      <c r="G4" s="448">
        <v>14</v>
      </c>
      <c r="H4" s="449">
        <v>45748</v>
      </c>
      <c r="I4" s="447" t="str">
        <f t="shared" ref="I4:I26" si="2">CONCATENATE("ETR1000V300-",$E4)</f>
        <v>ETR1000V300-PBC-01B</v>
      </c>
      <c r="J4" s="448">
        <v>14</v>
      </c>
      <c r="K4" s="449">
        <v>45748</v>
      </c>
      <c r="L4" s="409" t="s">
        <v>1062</v>
      </c>
      <c r="M4" s="409" t="s">
        <v>1062</v>
      </c>
      <c r="N4" s="409" t="s">
        <v>1062</v>
      </c>
      <c r="O4" s="409" t="s">
        <v>1062</v>
      </c>
      <c r="P4" s="409" t="s">
        <v>1062</v>
      </c>
      <c r="Q4" s="409" t="s">
        <v>1062</v>
      </c>
      <c r="R4" s="152" t="s">
        <v>371</v>
      </c>
      <c r="S4" s="152"/>
      <c r="T4" s="152"/>
      <c r="U4" s="152" t="s">
        <v>371</v>
      </c>
      <c r="V4" s="152"/>
      <c r="W4" s="152"/>
    </row>
    <row r="5" spans="1:23" x14ac:dyDescent="0.25">
      <c r="A5" s="7" t="s">
        <v>272</v>
      </c>
      <c r="B5" s="7" t="s">
        <v>303</v>
      </c>
      <c r="C5" s="7" t="s">
        <v>270</v>
      </c>
      <c r="D5" s="145" t="s">
        <v>1345</v>
      </c>
      <c r="E5" s="7" t="str">
        <f t="shared" si="0"/>
        <v>PBS-01A</v>
      </c>
      <c r="F5" s="447" t="str">
        <f t="shared" si="1"/>
        <v>ETR1000V300-PBS-01A</v>
      </c>
      <c r="G5" s="451" t="s">
        <v>179</v>
      </c>
      <c r="H5" s="449">
        <v>45748</v>
      </c>
      <c r="I5" s="447" t="str">
        <f t="shared" si="2"/>
        <v>ETR1000V300-PBS-01A</v>
      </c>
      <c r="J5" s="451" t="s">
        <v>179</v>
      </c>
      <c r="K5" s="449">
        <v>45748</v>
      </c>
      <c r="L5" s="409" t="s">
        <v>1270</v>
      </c>
      <c r="M5" s="145"/>
      <c r="N5" s="145"/>
      <c r="O5" s="145"/>
      <c r="P5" s="145"/>
      <c r="Q5" s="145"/>
      <c r="R5" s="152" t="s">
        <v>178</v>
      </c>
      <c r="S5" s="152"/>
      <c r="T5" s="152"/>
      <c r="U5" s="152" t="s">
        <v>178</v>
      </c>
      <c r="V5" s="152"/>
      <c r="W5" s="152"/>
    </row>
    <row r="6" spans="1:23" x14ac:dyDescent="0.25">
      <c r="A6" s="7" t="s">
        <v>272</v>
      </c>
      <c r="B6" s="7" t="s">
        <v>193</v>
      </c>
      <c r="C6" s="148" t="s">
        <v>270</v>
      </c>
      <c r="D6" s="145" t="s">
        <v>271</v>
      </c>
      <c r="E6" s="7" t="str">
        <f t="shared" si="0"/>
        <v>MR1-01A</v>
      </c>
      <c r="F6" s="447" t="str">
        <f t="shared" si="1"/>
        <v>ETR1000V300-MR1-01A</v>
      </c>
      <c r="G6" s="458" t="s">
        <v>419</v>
      </c>
      <c r="H6" s="459">
        <v>46113</v>
      </c>
      <c r="I6" s="447" t="str">
        <f t="shared" si="2"/>
        <v>ETR1000V300-MR1-01A</v>
      </c>
      <c r="J6" s="458" t="s">
        <v>419</v>
      </c>
      <c r="K6" s="459">
        <v>46113</v>
      </c>
      <c r="L6" s="409" t="s">
        <v>1328</v>
      </c>
      <c r="M6" s="145"/>
      <c r="N6" s="145"/>
      <c r="O6" s="145"/>
      <c r="P6" s="145"/>
      <c r="Q6" s="145"/>
      <c r="R6" s="152" t="s">
        <v>180</v>
      </c>
      <c r="S6" s="152"/>
      <c r="T6" s="152"/>
      <c r="U6" s="152" t="s">
        <v>180</v>
      </c>
      <c r="V6" s="152"/>
      <c r="W6" s="152"/>
    </row>
    <row r="7" spans="1:23" x14ac:dyDescent="0.25">
      <c r="A7" s="7" t="s">
        <v>272</v>
      </c>
      <c r="B7" s="7" t="s">
        <v>193</v>
      </c>
      <c r="C7" s="7" t="s">
        <v>298</v>
      </c>
      <c r="D7" s="145" t="s">
        <v>299</v>
      </c>
      <c r="E7" s="7" t="str">
        <f t="shared" si="0"/>
        <v>MR1-02A</v>
      </c>
      <c r="F7" s="447" t="str">
        <f t="shared" si="1"/>
        <v>ETR1000V300-MR1-02A</v>
      </c>
      <c r="G7" s="460">
        <v>14</v>
      </c>
      <c r="H7" s="459">
        <v>46113</v>
      </c>
      <c r="I7" s="447" t="str">
        <f t="shared" si="2"/>
        <v>ETR1000V300-MR1-02A</v>
      </c>
      <c r="J7" s="460">
        <v>14</v>
      </c>
      <c r="K7" s="459">
        <v>46113</v>
      </c>
      <c r="L7" s="409" t="s">
        <v>1268</v>
      </c>
      <c r="M7" s="145"/>
      <c r="N7" s="145"/>
      <c r="O7" s="145"/>
      <c r="P7" s="145"/>
      <c r="Q7" s="145"/>
      <c r="R7" s="152" t="s">
        <v>419</v>
      </c>
      <c r="S7" s="152"/>
      <c r="T7" s="152"/>
      <c r="U7" s="152" t="s">
        <v>419</v>
      </c>
      <c r="V7" s="152"/>
      <c r="W7" s="152"/>
    </row>
    <row r="8" spans="1:23" x14ac:dyDescent="0.25">
      <c r="A8" s="7" t="s">
        <v>272</v>
      </c>
      <c r="B8" s="7" t="s">
        <v>193</v>
      </c>
      <c r="C8" s="7" t="s">
        <v>307</v>
      </c>
      <c r="D8" s="145" t="s">
        <v>308</v>
      </c>
      <c r="E8" s="7" t="str">
        <f t="shared" si="0"/>
        <v>MR1-03A</v>
      </c>
      <c r="F8" s="447" t="str">
        <f t="shared" si="1"/>
        <v>ETR1000V300-MR1-03A</v>
      </c>
      <c r="G8" s="458" t="s">
        <v>371</v>
      </c>
      <c r="H8" s="459">
        <v>46113</v>
      </c>
      <c r="I8" s="447" t="str">
        <f t="shared" si="2"/>
        <v>ETR1000V300-MR1-03A</v>
      </c>
      <c r="J8" s="458" t="s">
        <v>371</v>
      </c>
      <c r="K8" s="459">
        <v>46113</v>
      </c>
      <c r="L8" s="409" t="s">
        <v>1269</v>
      </c>
      <c r="M8" s="145"/>
      <c r="N8" s="145"/>
      <c r="O8" s="145"/>
      <c r="P8" s="145"/>
      <c r="Q8" s="145"/>
      <c r="R8" s="152" t="s">
        <v>179</v>
      </c>
      <c r="S8" s="152"/>
      <c r="T8" s="152"/>
      <c r="U8" s="152" t="s">
        <v>179</v>
      </c>
      <c r="V8" s="152"/>
      <c r="W8" s="152"/>
    </row>
    <row r="9" spans="1:23" x14ac:dyDescent="0.25">
      <c r="A9" s="7" t="s">
        <v>272</v>
      </c>
      <c r="B9" s="7" t="s">
        <v>193</v>
      </c>
      <c r="C9" s="148" t="s">
        <v>309</v>
      </c>
      <c r="D9" s="145" t="s">
        <v>1329</v>
      </c>
      <c r="E9" s="7" t="str">
        <f t="shared" si="0"/>
        <v>MR1-04A</v>
      </c>
      <c r="F9" s="447" t="str">
        <f t="shared" si="1"/>
        <v>ETR1000V300-MR1-04A</v>
      </c>
      <c r="G9" s="458">
        <v>10</v>
      </c>
      <c r="H9" s="459">
        <v>46113</v>
      </c>
      <c r="I9" s="447" t="str">
        <f t="shared" si="2"/>
        <v>ETR1000V300-MR1-04A</v>
      </c>
      <c r="J9" s="458">
        <v>10</v>
      </c>
      <c r="K9" s="459">
        <v>46113</v>
      </c>
      <c r="L9" s="145"/>
      <c r="M9" s="145"/>
      <c r="N9" s="145"/>
      <c r="O9" s="145"/>
      <c r="P9" s="145"/>
      <c r="Q9" s="145"/>
      <c r="R9" s="152" t="s">
        <v>180</v>
      </c>
      <c r="S9" s="152"/>
      <c r="T9" s="152"/>
      <c r="U9" s="152" t="s">
        <v>180</v>
      </c>
      <c r="V9" s="152"/>
      <c r="W9" s="152"/>
    </row>
    <row r="10" spans="1:23" x14ac:dyDescent="0.25">
      <c r="A10" s="7" t="s">
        <v>272</v>
      </c>
      <c r="B10" s="7" t="s">
        <v>193</v>
      </c>
      <c r="C10" s="7" t="s">
        <v>310</v>
      </c>
      <c r="D10" s="145" t="s">
        <v>311</v>
      </c>
      <c r="E10" s="7" t="str">
        <f t="shared" si="0"/>
        <v>MR1-05A</v>
      </c>
      <c r="F10" s="447" t="str">
        <f t="shared" si="1"/>
        <v>ETR1000V300-MR1-05A</v>
      </c>
      <c r="G10" s="458" t="s">
        <v>179</v>
      </c>
      <c r="H10" s="459">
        <v>46113</v>
      </c>
      <c r="I10" s="447" t="str">
        <f t="shared" si="2"/>
        <v>ETR1000V300-MR1-05A</v>
      </c>
      <c r="J10" s="458" t="s">
        <v>179</v>
      </c>
      <c r="K10" s="459">
        <v>46113</v>
      </c>
      <c r="L10" s="145"/>
      <c r="M10" s="145"/>
      <c r="N10" s="145"/>
      <c r="O10" s="145"/>
      <c r="P10" s="145"/>
      <c r="Q10" s="145"/>
      <c r="R10" s="152" t="s">
        <v>178</v>
      </c>
      <c r="S10" s="152"/>
      <c r="T10" s="152"/>
      <c r="U10" s="152" t="s">
        <v>178</v>
      </c>
      <c r="V10" s="152"/>
      <c r="W10" s="152"/>
    </row>
    <row r="11" spans="1:23" x14ac:dyDescent="0.25">
      <c r="A11" s="7" t="s">
        <v>272</v>
      </c>
      <c r="B11" s="7" t="s">
        <v>193</v>
      </c>
      <c r="C11" s="7" t="s">
        <v>312</v>
      </c>
      <c r="D11" s="145" t="s">
        <v>313</v>
      </c>
      <c r="E11" s="7" t="str">
        <f t="shared" si="0"/>
        <v>MR1-05B</v>
      </c>
      <c r="F11" s="447" t="str">
        <f t="shared" si="1"/>
        <v>ETR1000V300-MR1-05B</v>
      </c>
      <c r="G11" s="451" t="s">
        <v>177</v>
      </c>
      <c r="H11" s="450" t="s">
        <v>314</v>
      </c>
      <c r="I11" s="447" t="str">
        <f t="shared" si="2"/>
        <v>ETR1000V300-MR1-05B</v>
      </c>
      <c r="J11" s="451" t="s">
        <v>177</v>
      </c>
      <c r="K11" s="450" t="s">
        <v>314</v>
      </c>
      <c r="L11" s="145"/>
      <c r="M11" s="145"/>
      <c r="N11" s="145"/>
      <c r="O11" s="145"/>
      <c r="P11" s="145"/>
      <c r="Q11" s="145"/>
      <c r="R11" s="152" t="s">
        <v>179</v>
      </c>
      <c r="S11" s="152"/>
      <c r="T11" s="152"/>
      <c r="U11" s="152" t="s">
        <v>179</v>
      </c>
      <c r="V11" s="152"/>
      <c r="W11" s="152"/>
    </row>
    <row r="12" spans="1:23" x14ac:dyDescent="0.25">
      <c r="A12" s="7" t="s">
        <v>272</v>
      </c>
      <c r="B12" s="7" t="s">
        <v>193</v>
      </c>
      <c r="C12" s="7" t="s">
        <v>315</v>
      </c>
      <c r="D12" s="145" t="s">
        <v>316</v>
      </c>
      <c r="E12" s="7" t="str">
        <f t="shared" si="0"/>
        <v>MR1-06A</v>
      </c>
      <c r="F12" s="447" t="str">
        <f t="shared" si="1"/>
        <v>ETR1000V300-MR1-06A</v>
      </c>
      <c r="G12" s="458" t="s">
        <v>180</v>
      </c>
      <c r="H12" s="459">
        <v>46113</v>
      </c>
      <c r="I12" s="447" t="str">
        <f t="shared" si="2"/>
        <v>ETR1000V300-MR1-06A</v>
      </c>
      <c r="J12" s="458" t="s">
        <v>180</v>
      </c>
      <c r="K12" s="459">
        <v>46113</v>
      </c>
      <c r="L12" s="145"/>
      <c r="M12" s="145"/>
      <c r="N12" s="145"/>
      <c r="O12" s="145"/>
      <c r="P12" s="145"/>
      <c r="Q12" s="145"/>
      <c r="R12" s="152" t="s">
        <v>179</v>
      </c>
      <c r="S12" s="152"/>
      <c r="T12" s="152"/>
      <c r="U12" s="152" t="s">
        <v>179</v>
      </c>
      <c r="V12" s="152"/>
      <c r="W12" s="152"/>
    </row>
    <row r="13" spans="1:23" x14ac:dyDescent="0.25">
      <c r="A13" s="7" t="s">
        <v>272</v>
      </c>
      <c r="B13" s="7" t="s">
        <v>193</v>
      </c>
      <c r="C13" s="7" t="s">
        <v>317</v>
      </c>
      <c r="D13" s="145" t="s">
        <v>318</v>
      </c>
      <c r="E13" s="7" t="str">
        <f t="shared" si="0"/>
        <v>MR1-07A</v>
      </c>
      <c r="F13" s="447" t="str">
        <f t="shared" si="1"/>
        <v>ETR1000V300-MR1-07A</v>
      </c>
      <c r="G13" s="458" t="s">
        <v>182</v>
      </c>
      <c r="H13" s="459">
        <v>46113</v>
      </c>
      <c r="I13" s="447" t="str">
        <f t="shared" si="2"/>
        <v>ETR1000V300-MR1-07A</v>
      </c>
      <c r="J13" s="458" t="s">
        <v>182</v>
      </c>
      <c r="K13" s="459">
        <v>46113</v>
      </c>
      <c r="L13" s="145"/>
      <c r="M13" s="145"/>
      <c r="N13" s="145"/>
      <c r="O13" s="145"/>
      <c r="P13" s="145"/>
      <c r="Q13" s="145"/>
      <c r="R13" s="152" t="s">
        <v>179</v>
      </c>
      <c r="S13" s="152"/>
      <c r="T13" s="152"/>
      <c r="U13" s="152" t="s">
        <v>179</v>
      </c>
      <c r="V13" s="152"/>
      <c r="W13" s="152"/>
    </row>
    <row r="14" spans="1:23" x14ac:dyDescent="0.25">
      <c r="A14" s="7" t="s">
        <v>272</v>
      </c>
      <c r="B14" s="7" t="s">
        <v>193</v>
      </c>
      <c r="C14" s="148" t="s">
        <v>319</v>
      </c>
      <c r="D14" s="145" t="s">
        <v>320</v>
      </c>
      <c r="E14" s="7" t="str">
        <f t="shared" si="0"/>
        <v>MR1-08A</v>
      </c>
      <c r="F14" s="447" t="str">
        <f t="shared" si="1"/>
        <v>ETR1000V300-MR1-08A</v>
      </c>
      <c r="G14" s="458" t="s">
        <v>180</v>
      </c>
      <c r="H14" s="459">
        <v>46113</v>
      </c>
      <c r="I14" s="447" t="str">
        <f t="shared" si="2"/>
        <v>ETR1000V300-MR1-08A</v>
      </c>
      <c r="J14" s="458" t="s">
        <v>180</v>
      </c>
      <c r="K14" s="459">
        <v>46113</v>
      </c>
      <c r="L14" s="145"/>
      <c r="M14" s="145"/>
      <c r="N14" s="145"/>
      <c r="O14" s="145"/>
      <c r="P14" s="145"/>
      <c r="Q14" s="145"/>
      <c r="R14" s="152" t="s">
        <v>179</v>
      </c>
      <c r="S14" s="152"/>
      <c r="T14" s="152"/>
      <c r="U14" s="152" t="s">
        <v>179</v>
      </c>
      <c r="V14" s="152"/>
      <c r="W14" s="152"/>
    </row>
    <row r="15" spans="1:23" x14ac:dyDescent="0.25">
      <c r="A15" s="7" t="s">
        <v>272</v>
      </c>
      <c r="B15" s="7" t="s">
        <v>193</v>
      </c>
      <c r="C15" s="7" t="s">
        <v>321</v>
      </c>
      <c r="D15" s="145" t="s">
        <v>322</v>
      </c>
      <c r="E15" s="7" t="str">
        <f t="shared" si="0"/>
        <v>MR1-09A</v>
      </c>
      <c r="F15" s="447" t="str">
        <f t="shared" si="1"/>
        <v>ETR1000V300-MR1-09A</v>
      </c>
      <c r="G15" s="458" t="s">
        <v>180</v>
      </c>
      <c r="H15" s="459">
        <v>46113</v>
      </c>
      <c r="I15" s="447" t="str">
        <f t="shared" si="2"/>
        <v>ETR1000V300-MR1-09A</v>
      </c>
      <c r="J15" s="458" t="s">
        <v>180</v>
      </c>
      <c r="K15" s="459">
        <v>46113</v>
      </c>
      <c r="L15" s="145"/>
      <c r="M15" s="145"/>
      <c r="N15" s="145"/>
      <c r="O15" s="145"/>
      <c r="P15" s="145"/>
      <c r="Q15" s="145"/>
      <c r="R15" s="152" t="s">
        <v>179</v>
      </c>
      <c r="S15" s="152"/>
      <c r="T15" s="152"/>
      <c r="U15" s="152" t="s">
        <v>179</v>
      </c>
      <c r="V15" s="152"/>
      <c r="W15" s="152"/>
    </row>
    <row r="16" spans="1:23" x14ac:dyDescent="0.25">
      <c r="A16" s="7" t="s">
        <v>272</v>
      </c>
      <c r="B16" s="7" t="s">
        <v>193</v>
      </c>
      <c r="C16" s="7" t="s">
        <v>323</v>
      </c>
      <c r="D16" s="145" t="s">
        <v>324</v>
      </c>
      <c r="E16" s="7" t="str">
        <f t="shared" si="0"/>
        <v>MR1-10A</v>
      </c>
      <c r="F16" s="447" t="str">
        <f t="shared" si="1"/>
        <v>ETR1000V300-MR1-10A</v>
      </c>
      <c r="G16" s="458" t="s">
        <v>180</v>
      </c>
      <c r="H16" s="459">
        <v>46113</v>
      </c>
      <c r="I16" s="447" t="str">
        <f t="shared" si="2"/>
        <v>ETR1000V300-MR1-10A</v>
      </c>
      <c r="J16" s="458" t="s">
        <v>180</v>
      </c>
      <c r="K16" s="459">
        <v>46113</v>
      </c>
      <c r="L16" s="145"/>
      <c r="M16" s="145"/>
      <c r="N16" s="145"/>
      <c r="O16" s="145"/>
      <c r="P16" s="145"/>
      <c r="Q16" s="145"/>
      <c r="R16" s="152" t="s">
        <v>178</v>
      </c>
      <c r="S16" s="152"/>
      <c r="T16" s="152"/>
      <c r="U16" s="152" t="s">
        <v>178</v>
      </c>
      <c r="V16" s="152"/>
      <c r="W16" s="152"/>
    </row>
    <row r="17" spans="1:23" x14ac:dyDescent="0.25">
      <c r="A17" s="7" t="s">
        <v>272</v>
      </c>
      <c r="B17" s="7" t="s">
        <v>193</v>
      </c>
      <c r="C17" s="7" t="s">
        <v>326</v>
      </c>
      <c r="D17" s="145" t="s">
        <v>327</v>
      </c>
      <c r="E17" s="7" t="str">
        <f t="shared" si="0"/>
        <v>MR1-11A</v>
      </c>
      <c r="F17" s="447" t="str">
        <f t="shared" si="1"/>
        <v>ETR1000V300-MR1-11A</v>
      </c>
      <c r="G17" s="458" t="s">
        <v>178</v>
      </c>
      <c r="H17" s="459">
        <v>46113</v>
      </c>
      <c r="I17" s="447" t="str">
        <f t="shared" si="2"/>
        <v>ETR1000V300-MR1-11A</v>
      </c>
      <c r="J17" s="458" t="s">
        <v>178</v>
      </c>
      <c r="K17" s="459">
        <v>46113</v>
      </c>
      <c r="L17" s="145"/>
      <c r="M17" s="145"/>
      <c r="N17" s="145"/>
      <c r="O17" s="145"/>
      <c r="P17" s="145"/>
      <c r="Q17" s="145"/>
      <c r="R17" s="152" t="s">
        <v>178</v>
      </c>
      <c r="S17" s="152"/>
      <c r="T17" s="152"/>
      <c r="U17" s="152" t="s">
        <v>178</v>
      </c>
      <c r="V17" s="152"/>
      <c r="W17" s="152"/>
    </row>
    <row r="18" spans="1:23" x14ac:dyDescent="0.25">
      <c r="A18" s="7" t="s">
        <v>272</v>
      </c>
      <c r="B18" s="7" t="s">
        <v>193</v>
      </c>
      <c r="C18" s="7" t="s">
        <v>328</v>
      </c>
      <c r="D18" s="145" t="s">
        <v>329</v>
      </c>
      <c r="E18" s="7" t="str">
        <f t="shared" si="0"/>
        <v>MR1-13A</v>
      </c>
      <c r="F18" s="447" t="str">
        <f t="shared" si="1"/>
        <v>ETR1000V300-MR1-13A</v>
      </c>
      <c r="G18" s="458" t="s">
        <v>178</v>
      </c>
      <c r="H18" s="459">
        <v>46113</v>
      </c>
      <c r="I18" s="447" t="str">
        <f t="shared" si="2"/>
        <v>ETR1000V300-MR1-13A</v>
      </c>
      <c r="J18" s="458" t="s">
        <v>178</v>
      </c>
      <c r="K18" s="459">
        <v>46113</v>
      </c>
      <c r="L18" s="145"/>
      <c r="M18" s="145"/>
      <c r="N18" s="145"/>
      <c r="O18" s="145"/>
      <c r="P18" s="145"/>
      <c r="Q18" s="145"/>
      <c r="R18" s="152" t="s">
        <v>178</v>
      </c>
      <c r="S18" s="152"/>
      <c r="T18" s="152"/>
      <c r="U18" s="152" t="s">
        <v>178</v>
      </c>
      <c r="V18" s="152"/>
      <c r="W18" s="152"/>
    </row>
    <row r="19" spans="1:23" x14ac:dyDescent="0.25">
      <c r="A19" s="7" t="s">
        <v>272</v>
      </c>
      <c r="B19" s="7" t="s">
        <v>193</v>
      </c>
      <c r="C19" s="7" t="s">
        <v>330</v>
      </c>
      <c r="D19" s="145" t="s">
        <v>331</v>
      </c>
      <c r="E19" s="7" t="str">
        <f t="shared" si="0"/>
        <v>MR1-14A</v>
      </c>
      <c r="F19" s="453" t="str">
        <f t="shared" si="1"/>
        <v>ETR1000V300-MR1-14A</v>
      </c>
      <c r="G19" s="458" t="s">
        <v>181</v>
      </c>
      <c r="H19" s="459">
        <v>46113</v>
      </c>
      <c r="I19" s="453" t="str">
        <f t="shared" si="2"/>
        <v>ETR1000V300-MR1-14A</v>
      </c>
      <c r="J19" s="458" t="s">
        <v>181</v>
      </c>
      <c r="K19" s="459">
        <v>46113</v>
      </c>
      <c r="L19" s="145"/>
      <c r="M19" s="145"/>
      <c r="N19" s="145"/>
      <c r="O19" s="145"/>
      <c r="P19" s="145"/>
      <c r="Q19" s="145"/>
      <c r="R19" s="146"/>
      <c r="S19" s="146"/>
      <c r="T19" s="146"/>
      <c r="U19" s="146"/>
      <c r="V19" s="146"/>
      <c r="W19" s="146"/>
    </row>
    <row r="20" spans="1:23" x14ac:dyDescent="0.25">
      <c r="A20" s="7" t="s">
        <v>272</v>
      </c>
      <c r="B20" s="7" t="s">
        <v>193</v>
      </c>
      <c r="C20" s="7" t="s">
        <v>374</v>
      </c>
      <c r="D20" s="145" t="s">
        <v>420</v>
      </c>
      <c r="E20" s="7" t="str">
        <f t="shared" ref="E20" si="3">CONCATENATE(B20,"-",C20)</f>
        <v>MR1-14B</v>
      </c>
      <c r="F20" s="447" t="str">
        <f t="shared" si="1"/>
        <v>ETR1000V300-MR1-14B</v>
      </c>
      <c r="G20" s="454" t="s">
        <v>386</v>
      </c>
      <c r="H20" s="450" t="s">
        <v>386</v>
      </c>
      <c r="I20" s="447" t="str">
        <f t="shared" si="2"/>
        <v>ETR1000V300-MR1-14B</v>
      </c>
      <c r="J20" s="454" t="s">
        <v>386</v>
      </c>
      <c r="K20" s="450" t="s">
        <v>386</v>
      </c>
      <c r="L20" s="145"/>
      <c r="M20" s="145"/>
      <c r="N20" s="145"/>
      <c r="O20" s="145"/>
      <c r="P20" s="145"/>
      <c r="Q20" s="145"/>
      <c r="R20" s="152" t="s">
        <v>178</v>
      </c>
      <c r="S20" s="152"/>
      <c r="T20" s="152"/>
      <c r="U20" s="152" t="s">
        <v>178</v>
      </c>
      <c r="V20" s="152"/>
      <c r="W20" s="152"/>
    </row>
    <row r="21" spans="1:23" x14ac:dyDescent="0.25">
      <c r="A21" s="7" t="s">
        <v>272</v>
      </c>
      <c r="B21" s="7" t="s">
        <v>193</v>
      </c>
      <c r="C21" s="7" t="s">
        <v>332</v>
      </c>
      <c r="D21" s="145" t="s">
        <v>421</v>
      </c>
      <c r="E21" s="7" t="str">
        <f t="shared" si="0"/>
        <v>MR1-15A</v>
      </c>
      <c r="F21" s="447" t="str">
        <f t="shared" si="1"/>
        <v>ETR1000V300-MR1-15A</v>
      </c>
      <c r="G21" s="458" t="s">
        <v>181</v>
      </c>
      <c r="H21" s="459">
        <v>46113</v>
      </c>
      <c r="I21" s="447" t="str">
        <f t="shared" si="2"/>
        <v>ETR1000V300-MR1-15A</v>
      </c>
      <c r="J21" s="458" t="s">
        <v>181</v>
      </c>
      <c r="K21" s="459">
        <v>46113</v>
      </c>
      <c r="L21" s="145"/>
      <c r="M21" s="145"/>
      <c r="N21" s="145"/>
      <c r="O21" s="145"/>
      <c r="P21" s="145"/>
      <c r="Q21" s="145"/>
      <c r="R21" s="152" t="s">
        <v>178</v>
      </c>
      <c r="S21" s="152"/>
      <c r="T21" s="152"/>
      <c r="U21" s="152" t="s">
        <v>178</v>
      </c>
      <c r="V21" s="152"/>
      <c r="W21" s="152"/>
    </row>
    <row r="22" spans="1:23" x14ac:dyDescent="0.25">
      <c r="A22" s="7" t="s">
        <v>272</v>
      </c>
      <c r="B22" s="7" t="s">
        <v>193</v>
      </c>
      <c r="C22" s="7" t="s">
        <v>381</v>
      </c>
      <c r="D22" s="145" t="s">
        <v>422</v>
      </c>
      <c r="E22" s="7" t="str">
        <f t="shared" ref="E22:E23" si="4">CONCATENATE(B22,"-",C22)</f>
        <v>MR1-15B</v>
      </c>
      <c r="F22" s="447" t="str">
        <f t="shared" si="1"/>
        <v>ETR1000V300-MR1-15B</v>
      </c>
      <c r="G22" s="448" t="s">
        <v>386</v>
      </c>
      <c r="H22" s="450" t="s">
        <v>386</v>
      </c>
      <c r="I22" s="447" t="str">
        <f t="shared" si="2"/>
        <v>ETR1000V300-MR1-15B</v>
      </c>
      <c r="J22" s="448" t="s">
        <v>386</v>
      </c>
      <c r="K22" s="450" t="s">
        <v>386</v>
      </c>
      <c r="L22" s="145"/>
      <c r="M22" s="145"/>
      <c r="N22" s="145"/>
      <c r="O22" s="145"/>
      <c r="P22" s="145"/>
      <c r="Q22" s="145"/>
      <c r="R22" s="152" t="s">
        <v>178</v>
      </c>
      <c r="S22" s="152"/>
      <c r="T22" s="152"/>
      <c r="U22" s="152" t="s">
        <v>178</v>
      </c>
      <c r="V22" s="152"/>
      <c r="W22" s="152"/>
    </row>
    <row r="23" spans="1:23" x14ac:dyDescent="0.25">
      <c r="A23" s="7" t="s">
        <v>272</v>
      </c>
      <c r="B23" s="7" t="s">
        <v>193</v>
      </c>
      <c r="C23" s="7" t="s">
        <v>343</v>
      </c>
      <c r="D23" s="145" t="s">
        <v>344</v>
      </c>
      <c r="E23" s="7" t="str">
        <f t="shared" si="4"/>
        <v>MR1-16A</v>
      </c>
      <c r="F23" s="447" t="str">
        <f t="shared" si="1"/>
        <v>ETR1000V300-MR1-16A</v>
      </c>
      <c r="G23" s="452" t="s">
        <v>182</v>
      </c>
      <c r="H23" s="449">
        <v>44228</v>
      </c>
      <c r="I23" s="447" t="str">
        <f t="shared" si="2"/>
        <v>ETR1000V300-MR1-16A</v>
      </c>
      <c r="J23" s="452" t="s">
        <v>182</v>
      </c>
      <c r="K23" s="449">
        <v>44228</v>
      </c>
      <c r="L23" s="145"/>
      <c r="M23" s="145"/>
      <c r="N23" s="145"/>
      <c r="O23" s="145"/>
      <c r="P23" s="145"/>
      <c r="Q23" s="145"/>
      <c r="R23" s="152" t="s">
        <v>178</v>
      </c>
      <c r="S23" s="152"/>
      <c r="T23" s="152"/>
      <c r="U23" s="152" t="s">
        <v>178</v>
      </c>
      <c r="V23" s="152"/>
      <c r="W23" s="152"/>
    </row>
    <row r="24" spans="1:23" x14ac:dyDescent="0.25">
      <c r="A24" s="7" t="s">
        <v>272</v>
      </c>
      <c r="B24" s="7" t="s">
        <v>193</v>
      </c>
      <c r="C24" s="7" t="s">
        <v>334</v>
      </c>
      <c r="D24" s="145" t="s">
        <v>335</v>
      </c>
      <c r="E24" s="7" t="str">
        <f t="shared" ref="E24" si="5">CONCATENATE(B24,"-",C24)</f>
        <v>MR1-18A</v>
      </c>
      <c r="F24" s="447" t="str">
        <f t="shared" si="1"/>
        <v>ETR1000V300-MR1-18A</v>
      </c>
      <c r="G24" s="458" t="s">
        <v>180</v>
      </c>
      <c r="H24" s="459">
        <v>46113</v>
      </c>
      <c r="I24" s="447" t="str">
        <f t="shared" si="2"/>
        <v>ETR1000V300-MR1-18A</v>
      </c>
      <c r="J24" s="458" t="s">
        <v>180</v>
      </c>
      <c r="K24" s="459">
        <v>46113</v>
      </c>
      <c r="L24" s="145"/>
      <c r="M24" s="145"/>
      <c r="N24" s="145"/>
      <c r="O24" s="145"/>
      <c r="P24" s="145"/>
      <c r="Q24" s="145"/>
      <c r="R24" s="152" t="s">
        <v>178</v>
      </c>
      <c r="S24" s="152"/>
      <c r="T24" s="152"/>
      <c r="U24" s="152" t="s">
        <v>178</v>
      </c>
      <c r="V24" s="152"/>
      <c r="W24" s="152"/>
    </row>
    <row r="25" spans="1:23" x14ac:dyDescent="0.25">
      <c r="A25" s="7" t="s">
        <v>272</v>
      </c>
      <c r="B25" s="7" t="s">
        <v>193</v>
      </c>
      <c r="C25" s="7" t="s">
        <v>337</v>
      </c>
      <c r="D25" s="145" t="s">
        <v>1132</v>
      </c>
      <c r="E25" s="7" t="str">
        <f t="shared" si="0"/>
        <v>MR1-20A</v>
      </c>
      <c r="F25" s="462" t="str">
        <f t="shared" si="1"/>
        <v>ETR1000V300-MR1-20A</v>
      </c>
      <c r="G25" s="451" t="s">
        <v>178</v>
      </c>
      <c r="H25" s="450" t="s">
        <v>306</v>
      </c>
      <c r="I25" s="462" t="str">
        <f t="shared" si="2"/>
        <v>ETR1000V300-MR1-20A</v>
      </c>
      <c r="J25" s="451" t="s">
        <v>178</v>
      </c>
      <c r="K25" s="450" t="s">
        <v>306</v>
      </c>
      <c r="L25" s="145"/>
      <c r="M25" s="145"/>
      <c r="N25" s="145"/>
      <c r="O25" s="145"/>
      <c r="P25" s="145"/>
      <c r="Q25" s="145"/>
      <c r="R25" s="152" t="s">
        <v>180</v>
      </c>
      <c r="S25" s="152"/>
      <c r="T25" s="152"/>
      <c r="U25" s="152" t="s">
        <v>180</v>
      </c>
      <c r="V25" s="152"/>
      <c r="W25" s="152"/>
    </row>
    <row r="26" spans="1:23" x14ac:dyDescent="0.25">
      <c r="A26" s="7" t="s">
        <v>272</v>
      </c>
      <c r="B26" s="7" t="s">
        <v>193</v>
      </c>
      <c r="C26" s="7" t="s">
        <v>338</v>
      </c>
      <c r="D26" s="145" t="s">
        <v>339</v>
      </c>
      <c r="E26" s="7" t="str">
        <f t="shared" si="0"/>
        <v>MR1-20B</v>
      </c>
      <c r="F26" s="462" t="str">
        <f t="shared" si="1"/>
        <v>ETR1000V300-MR1-20B</v>
      </c>
      <c r="G26" s="451" t="s">
        <v>176</v>
      </c>
      <c r="H26" s="450" t="s">
        <v>340</v>
      </c>
      <c r="I26" s="462" t="str">
        <f t="shared" si="2"/>
        <v>ETR1000V300-MR1-20B</v>
      </c>
      <c r="J26" s="451" t="s">
        <v>176</v>
      </c>
      <c r="K26" s="450" t="s">
        <v>340</v>
      </c>
      <c r="L26" s="145"/>
      <c r="M26" s="145"/>
      <c r="N26" s="145"/>
      <c r="O26" s="145"/>
      <c r="P26" s="145"/>
      <c r="Q26" s="145"/>
      <c r="R26" s="152" t="s">
        <v>177</v>
      </c>
      <c r="S26" s="152"/>
      <c r="T26" s="152"/>
      <c r="U26" s="152" t="s">
        <v>177</v>
      </c>
      <c r="V26" s="152"/>
      <c r="W26" s="152"/>
    </row>
    <row r="27" spans="1:23" s="144" customFormat="1" ht="30" x14ac:dyDescent="0.25">
      <c r="A27" s="315" t="s">
        <v>272</v>
      </c>
      <c r="B27" s="315" t="s">
        <v>193</v>
      </c>
      <c r="C27" s="148" t="s">
        <v>1135</v>
      </c>
      <c r="D27" s="331" t="s">
        <v>1137</v>
      </c>
      <c r="E27" s="315" t="str">
        <f t="shared" si="0"/>
        <v>MR1-20A_ALA</v>
      </c>
      <c r="F27" s="410" t="str">
        <f t="shared" si="1"/>
        <v>ETR1000V300-MR1-20A_ALA</v>
      </c>
      <c r="G27" s="455" t="s">
        <v>419</v>
      </c>
      <c r="H27" s="456">
        <v>43966</v>
      </c>
      <c r="I27" s="447" t="s">
        <v>386</v>
      </c>
      <c r="J27" s="451" t="s">
        <v>386</v>
      </c>
      <c r="K27" s="450" t="s">
        <v>386</v>
      </c>
      <c r="L27" s="151"/>
      <c r="M27" s="151"/>
      <c r="N27" s="151"/>
      <c r="O27" s="151"/>
      <c r="P27" s="151"/>
      <c r="Q27" s="151"/>
      <c r="R27" s="150"/>
      <c r="S27" s="150"/>
      <c r="T27" s="150"/>
      <c r="U27" s="150"/>
      <c r="V27" s="150"/>
      <c r="W27" s="150"/>
    </row>
    <row r="28" spans="1:23" s="144" customFormat="1" ht="30" x14ac:dyDescent="0.25">
      <c r="A28" s="315" t="s">
        <v>272</v>
      </c>
      <c r="B28" s="315" t="s">
        <v>193</v>
      </c>
      <c r="C28" s="148" t="s">
        <v>1136</v>
      </c>
      <c r="D28" s="331" t="s">
        <v>1330</v>
      </c>
      <c r="E28" s="315" t="str">
        <f t="shared" ref="E28" si="6">CONCATENATE(B28,"-",C28)</f>
        <v>MR1-20A_ELO</v>
      </c>
      <c r="F28" s="447" t="str">
        <f t="shared" si="1"/>
        <v>ETR1000V300-MR1-20A_ELO</v>
      </c>
      <c r="G28" s="458" t="s">
        <v>180</v>
      </c>
      <c r="H28" s="459">
        <v>46113</v>
      </c>
      <c r="I28" s="447" t="str">
        <f t="shared" ref="I28:I29" si="7">CONCATENATE("ETR1000V300-",$E28)</f>
        <v>ETR1000V300-MR1-20A_ELO</v>
      </c>
      <c r="J28" s="458" t="s">
        <v>180</v>
      </c>
      <c r="K28" s="459">
        <v>46113</v>
      </c>
      <c r="L28" s="151"/>
      <c r="M28" s="151"/>
      <c r="N28" s="151"/>
      <c r="O28" s="151"/>
      <c r="P28" s="151"/>
      <c r="Q28" s="151"/>
      <c r="R28" s="150"/>
      <c r="S28" s="150"/>
      <c r="T28" s="150"/>
      <c r="U28" s="150"/>
      <c r="V28" s="150"/>
      <c r="W28" s="150"/>
    </row>
    <row r="29" spans="1:23" s="144" customFormat="1" ht="30" x14ac:dyDescent="0.25">
      <c r="A29" s="315" t="s">
        <v>272</v>
      </c>
      <c r="B29" s="315" t="s">
        <v>193</v>
      </c>
      <c r="C29" s="148" t="s">
        <v>1138</v>
      </c>
      <c r="D29" s="331" t="s">
        <v>1134</v>
      </c>
      <c r="E29" s="315" t="str">
        <f>CONCATENATE(B29,"-",C29)</f>
        <v>MR1-20B_ELO</v>
      </c>
      <c r="F29" s="447" t="str">
        <f t="shared" si="1"/>
        <v>ETR1000V300-MR1-20B_ELO</v>
      </c>
      <c r="G29" s="458" t="s">
        <v>177</v>
      </c>
      <c r="H29" s="459">
        <v>45717</v>
      </c>
      <c r="I29" s="447" t="str">
        <f t="shared" si="7"/>
        <v>ETR1000V300-MR1-20B_ELO</v>
      </c>
      <c r="J29" s="458" t="s">
        <v>177</v>
      </c>
      <c r="K29" s="459">
        <v>45717</v>
      </c>
      <c r="L29" s="151"/>
      <c r="M29" s="151"/>
      <c r="N29" s="151"/>
      <c r="O29" s="151"/>
      <c r="P29" s="151"/>
      <c r="Q29" s="151"/>
      <c r="R29" s="150"/>
      <c r="S29" s="150"/>
      <c r="T29" s="150"/>
      <c r="U29" s="150"/>
      <c r="V29" s="150"/>
      <c r="W29" s="150"/>
    </row>
    <row r="30" spans="1:23" s="144" customFormat="1" ht="30" x14ac:dyDescent="0.25">
      <c r="A30" s="315" t="s">
        <v>272</v>
      </c>
      <c r="B30" s="315" t="s">
        <v>193</v>
      </c>
      <c r="C30" s="148" t="s">
        <v>1139</v>
      </c>
      <c r="D30" s="332" t="s">
        <v>1140</v>
      </c>
      <c r="E30" s="315" t="str">
        <f>CONCATENATE(B30,"-",C30)</f>
        <v>MR1-31A_JRU</v>
      </c>
      <c r="F30" s="410" t="str">
        <f t="shared" ref="F30" si="8">CONCATENATE("ETR1000V300-",$E30)</f>
        <v>ETR1000V300-MR1-31A_JRU</v>
      </c>
      <c r="G30" s="457" t="s">
        <v>386</v>
      </c>
      <c r="H30" s="456">
        <v>44256</v>
      </c>
      <c r="I30" s="410" t="str">
        <f t="shared" ref="I30:I51" si="9">CONCATENATE("ETR1000V300-",$E30)</f>
        <v>ETR1000V300-MR1-31A_JRU</v>
      </c>
      <c r="J30" s="457" t="s">
        <v>386</v>
      </c>
      <c r="K30" s="456">
        <v>44256</v>
      </c>
      <c r="L30" s="151"/>
      <c r="M30" s="151"/>
      <c r="N30" s="151"/>
      <c r="O30" s="151"/>
      <c r="P30" s="151"/>
      <c r="Q30" s="151"/>
      <c r="R30" s="150"/>
      <c r="S30" s="150"/>
      <c r="T30" s="150"/>
      <c r="U30" s="150"/>
      <c r="V30" s="150"/>
      <c r="W30" s="150"/>
    </row>
    <row r="31" spans="1:23" x14ac:dyDescent="0.25">
      <c r="A31" s="7" t="s">
        <v>272</v>
      </c>
      <c r="B31" s="7" t="s">
        <v>193</v>
      </c>
      <c r="C31" s="7" t="s">
        <v>341</v>
      </c>
      <c r="D31" s="145" t="s">
        <v>342</v>
      </c>
      <c r="E31" s="7" t="str">
        <f t="shared" si="0"/>
        <v>MR1-31A</v>
      </c>
      <c r="F31" s="447" t="str">
        <f t="shared" si="1"/>
        <v>ETR1000V300-MR1-31A</v>
      </c>
      <c r="G31" s="451" t="s">
        <v>177</v>
      </c>
      <c r="H31" s="450" t="s">
        <v>336</v>
      </c>
      <c r="I31" s="447" t="str">
        <f t="shared" si="9"/>
        <v>ETR1000V300-MR1-31A</v>
      </c>
      <c r="J31" s="451" t="s">
        <v>177</v>
      </c>
      <c r="K31" s="450" t="s">
        <v>336</v>
      </c>
      <c r="L31" s="145"/>
      <c r="M31" s="145"/>
      <c r="N31" s="145"/>
      <c r="O31" s="145"/>
      <c r="P31" s="145"/>
      <c r="Q31" s="145"/>
      <c r="R31" s="152" t="s">
        <v>179</v>
      </c>
      <c r="S31" s="152"/>
      <c r="T31" s="152"/>
      <c r="U31" s="152" t="s">
        <v>179</v>
      </c>
      <c r="V31" s="152"/>
      <c r="W31" s="152"/>
    </row>
    <row r="32" spans="1:23" x14ac:dyDescent="0.25">
      <c r="A32" s="7" t="s">
        <v>272</v>
      </c>
      <c r="B32" s="7" t="s">
        <v>269</v>
      </c>
      <c r="C32" s="7" t="s">
        <v>270</v>
      </c>
      <c r="D32" s="145" t="s">
        <v>271</v>
      </c>
      <c r="E32" s="7" t="str">
        <f t="shared" si="0"/>
        <v>MR2-01A</v>
      </c>
      <c r="F32" s="447" t="str">
        <f t="shared" si="1"/>
        <v>ETR1000V300-MR2-01A</v>
      </c>
      <c r="G32" s="463" t="s">
        <v>182</v>
      </c>
      <c r="H32" s="459">
        <v>46113</v>
      </c>
      <c r="I32" s="447" t="str">
        <f t="shared" si="9"/>
        <v>ETR1000V300-MR2-01A</v>
      </c>
      <c r="J32" s="463" t="s">
        <v>182</v>
      </c>
      <c r="K32" s="459">
        <v>46113</v>
      </c>
      <c r="L32" s="145"/>
      <c r="M32" s="145"/>
      <c r="N32" s="145"/>
      <c r="O32" s="145"/>
      <c r="P32" s="145"/>
      <c r="Q32" s="145"/>
      <c r="R32" s="146"/>
      <c r="S32" s="146"/>
      <c r="T32" s="146"/>
      <c r="U32" s="146"/>
      <c r="V32" s="146"/>
      <c r="W32" s="146"/>
    </row>
    <row r="33" spans="1:23" x14ac:dyDescent="0.25">
      <c r="A33" s="7" t="s">
        <v>272</v>
      </c>
      <c r="B33" s="7" t="s">
        <v>269</v>
      </c>
      <c r="C33" s="7" t="s">
        <v>298</v>
      </c>
      <c r="D33" s="145" t="s">
        <v>299</v>
      </c>
      <c r="E33" s="7" t="str">
        <f t="shared" si="0"/>
        <v>MR2-02A</v>
      </c>
      <c r="F33" s="447" t="str">
        <f t="shared" si="1"/>
        <v>ETR1000V300-MR2-02A</v>
      </c>
      <c r="G33" s="463">
        <v>13</v>
      </c>
      <c r="H33" s="459">
        <v>46113</v>
      </c>
      <c r="I33" s="447" t="str">
        <f t="shared" si="9"/>
        <v>ETR1000V300-MR2-02A</v>
      </c>
      <c r="J33" s="463">
        <v>13</v>
      </c>
      <c r="K33" s="459">
        <v>46113</v>
      </c>
      <c r="L33" s="145"/>
      <c r="M33" s="145"/>
      <c r="N33" s="145"/>
      <c r="O33" s="145"/>
      <c r="P33" s="145"/>
      <c r="Q33" s="145"/>
      <c r="R33" s="146"/>
      <c r="S33" s="146"/>
      <c r="T33" s="146"/>
      <c r="U33" s="146"/>
      <c r="V33" s="146"/>
      <c r="W33" s="146"/>
    </row>
    <row r="34" spans="1:23" x14ac:dyDescent="0.25">
      <c r="A34" s="7" t="s">
        <v>272</v>
      </c>
      <c r="B34" s="7" t="s">
        <v>269</v>
      </c>
      <c r="C34" s="7" t="s">
        <v>307</v>
      </c>
      <c r="D34" s="145" t="s">
        <v>308</v>
      </c>
      <c r="E34" s="7" t="str">
        <f t="shared" si="0"/>
        <v>MR2-03A</v>
      </c>
      <c r="F34" s="447" t="str">
        <f t="shared" si="1"/>
        <v>ETR1000V300-MR2-03A</v>
      </c>
      <c r="G34" s="463" t="s">
        <v>181</v>
      </c>
      <c r="H34" s="459">
        <v>46113</v>
      </c>
      <c r="I34" s="447" t="str">
        <f t="shared" si="9"/>
        <v>ETR1000V300-MR2-03A</v>
      </c>
      <c r="J34" s="463" t="s">
        <v>181</v>
      </c>
      <c r="K34" s="459">
        <v>46113</v>
      </c>
      <c r="L34" s="145"/>
      <c r="M34" s="145"/>
      <c r="N34" s="145"/>
      <c r="O34" s="145"/>
      <c r="P34" s="145"/>
      <c r="Q34" s="145"/>
      <c r="R34" s="146"/>
      <c r="S34" s="146"/>
      <c r="T34" s="146"/>
      <c r="U34" s="146"/>
      <c r="V34" s="146"/>
      <c r="W34" s="146"/>
    </row>
    <row r="35" spans="1:23" x14ac:dyDescent="0.25">
      <c r="A35" s="7" t="s">
        <v>272</v>
      </c>
      <c r="B35" s="7" t="s">
        <v>269</v>
      </c>
      <c r="C35" s="148" t="s">
        <v>309</v>
      </c>
      <c r="D35" s="145" t="s">
        <v>1329</v>
      </c>
      <c r="E35" s="7" t="str">
        <f t="shared" si="0"/>
        <v>MR2-04A</v>
      </c>
      <c r="F35" s="447" t="str">
        <f t="shared" si="1"/>
        <v>ETR1000V300-MR2-04A</v>
      </c>
      <c r="G35" s="463">
        <v>10</v>
      </c>
      <c r="H35" s="459">
        <v>46113</v>
      </c>
      <c r="I35" s="447" t="str">
        <f t="shared" si="9"/>
        <v>ETR1000V300-MR2-04A</v>
      </c>
      <c r="J35" s="463">
        <v>10</v>
      </c>
      <c r="K35" s="459">
        <v>46113</v>
      </c>
      <c r="L35" s="145"/>
      <c r="M35" s="145"/>
      <c r="N35" s="145"/>
      <c r="O35" s="145"/>
      <c r="P35" s="145"/>
      <c r="Q35" s="145"/>
      <c r="R35" s="146"/>
      <c r="S35" s="146"/>
      <c r="T35" s="146"/>
      <c r="U35" s="146"/>
      <c r="V35" s="146"/>
      <c r="W35" s="146"/>
    </row>
    <row r="36" spans="1:23" x14ac:dyDescent="0.25">
      <c r="A36" s="7" t="s">
        <v>272</v>
      </c>
      <c r="B36" s="7" t="s">
        <v>269</v>
      </c>
      <c r="C36" s="7" t="s">
        <v>310</v>
      </c>
      <c r="D36" s="145" t="s">
        <v>311</v>
      </c>
      <c r="E36" s="7" t="str">
        <f t="shared" si="0"/>
        <v>MR2-05A</v>
      </c>
      <c r="F36" s="447" t="str">
        <f t="shared" si="1"/>
        <v>ETR1000V300-MR2-05A</v>
      </c>
      <c r="G36" s="463" t="s">
        <v>178</v>
      </c>
      <c r="H36" s="459">
        <v>46113</v>
      </c>
      <c r="I36" s="447" t="str">
        <f t="shared" si="9"/>
        <v>ETR1000V300-MR2-05A</v>
      </c>
      <c r="J36" s="463" t="s">
        <v>178</v>
      </c>
      <c r="K36" s="459">
        <v>46113</v>
      </c>
      <c r="L36" s="145"/>
      <c r="M36" s="145"/>
      <c r="N36" s="145"/>
      <c r="O36" s="145"/>
      <c r="P36" s="145"/>
      <c r="Q36" s="145"/>
      <c r="R36" s="146"/>
      <c r="S36" s="146"/>
      <c r="T36" s="146"/>
      <c r="U36" s="146"/>
      <c r="V36" s="146"/>
      <c r="W36" s="146"/>
    </row>
    <row r="37" spans="1:23" x14ac:dyDescent="0.25">
      <c r="A37" s="7" t="s">
        <v>272</v>
      </c>
      <c r="B37" s="7" t="s">
        <v>269</v>
      </c>
      <c r="C37" s="7" t="s">
        <v>312</v>
      </c>
      <c r="D37" s="145" t="s">
        <v>313</v>
      </c>
      <c r="E37" s="7" t="str">
        <f t="shared" si="0"/>
        <v>MR2-05B</v>
      </c>
      <c r="F37" s="447" t="str">
        <f t="shared" si="1"/>
        <v>ETR1000V300-MR2-05B</v>
      </c>
      <c r="G37" s="451" t="s">
        <v>177</v>
      </c>
      <c r="H37" s="450" t="s">
        <v>314</v>
      </c>
      <c r="I37" s="447" t="str">
        <f t="shared" si="9"/>
        <v>ETR1000V300-MR2-05B</v>
      </c>
      <c r="J37" s="451" t="s">
        <v>177</v>
      </c>
      <c r="K37" s="450" t="s">
        <v>314</v>
      </c>
      <c r="L37" s="145"/>
      <c r="M37" s="145"/>
      <c r="N37" s="145"/>
      <c r="O37" s="145"/>
      <c r="P37" s="145"/>
      <c r="Q37" s="145"/>
      <c r="R37" s="146"/>
      <c r="S37" s="146"/>
      <c r="T37" s="146"/>
      <c r="U37" s="146"/>
      <c r="V37" s="146"/>
      <c r="W37" s="146"/>
    </row>
    <row r="38" spans="1:23" x14ac:dyDescent="0.25">
      <c r="A38" s="7" t="s">
        <v>272</v>
      </c>
      <c r="B38" s="7" t="s">
        <v>269</v>
      </c>
      <c r="C38" s="7" t="s">
        <v>315</v>
      </c>
      <c r="D38" s="145" t="s">
        <v>316</v>
      </c>
      <c r="E38" s="7" t="str">
        <f t="shared" si="0"/>
        <v>MR2-06A</v>
      </c>
      <c r="F38" s="447" t="str">
        <f t="shared" si="1"/>
        <v>ETR1000V300-MR2-06A</v>
      </c>
      <c r="G38" s="463" t="s">
        <v>179</v>
      </c>
      <c r="H38" s="459">
        <v>46113</v>
      </c>
      <c r="I38" s="447" t="str">
        <f t="shared" si="9"/>
        <v>ETR1000V300-MR2-06A</v>
      </c>
      <c r="J38" s="463" t="s">
        <v>179</v>
      </c>
      <c r="K38" s="459">
        <v>46113</v>
      </c>
      <c r="L38" s="145"/>
      <c r="M38" s="145"/>
      <c r="N38" s="145"/>
      <c r="O38" s="145"/>
      <c r="P38" s="145"/>
      <c r="Q38" s="145"/>
      <c r="R38" s="146"/>
      <c r="S38" s="146"/>
      <c r="T38" s="146"/>
      <c r="U38" s="146"/>
      <c r="V38" s="146"/>
      <c r="W38" s="146"/>
    </row>
    <row r="39" spans="1:23" x14ac:dyDescent="0.25">
      <c r="A39" s="7" t="s">
        <v>272</v>
      </c>
      <c r="B39" s="7" t="s">
        <v>269</v>
      </c>
      <c r="C39" s="7" t="s">
        <v>317</v>
      </c>
      <c r="D39" s="145" t="s">
        <v>318</v>
      </c>
      <c r="E39" s="7" t="str">
        <f t="shared" si="0"/>
        <v>MR2-07A</v>
      </c>
      <c r="F39" s="447" t="str">
        <f t="shared" si="1"/>
        <v>ETR1000V300-MR2-07A</v>
      </c>
      <c r="G39" s="463" t="s">
        <v>180</v>
      </c>
      <c r="H39" s="459">
        <v>46113</v>
      </c>
      <c r="I39" s="447" t="str">
        <f t="shared" si="9"/>
        <v>ETR1000V300-MR2-07A</v>
      </c>
      <c r="J39" s="463" t="s">
        <v>180</v>
      </c>
      <c r="K39" s="459">
        <v>46113</v>
      </c>
      <c r="L39" s="145"/>
      <c r="M39" s="145"/>
      <c r="N39" s="145"/>
      <c r="O39" s="145"/>
      <c r="P39" s="145"/>
      <c r="Q39" s="145"/>
      <c r="R39" s="146"/>
      <c r="S39" s="146"/>
      <c r="T39" s="146"/>
      <c r="U39" s="146"/>
      <c r="V39" s="146"/>
      <c r="W39" s="146"/>
    </row>
    <row r="40" spans="1:23" x14ac:dyDescent="0.25">
      <c r="A40" s="7" t="s">
        <v>272</v>
      </c>
      <c r="B40" s="7" t="s">
        <v>269</v>
      </c>
      <c r="C40" s="7" t="s">
        <v>319</v>
      </c>
      <c r="D40" s="145" t="s">
        <v>320</v>
      </c>
      <c r="E40" s="7" t="str">
        <f t="shared" si="0"/>
        <v>MR2-08A</v>
      </c>
      <c r="F40" s="447" t="str">
        <f t="shared" si="1"/>
        <v>ETR1000V300-MR2-08A</v>
      </c>
      <c r="G40" s="463" t="s">
        <v>179</v>
      </c>
      <c r="H40" s="459">
        <v>46113</v>
      </c>
      <c r="I40" s="447" t="str">
        <f t="shared" si="9"/>
        <v>ETR1000V300-MR2-08A</v>
      </c>
      <c r="J40" s="463" t="s">
        <v>179</v>
      </c>
      <c r="K40" s="459">
        <v>46113</v>
      </c>
      <c r="L40" s="145"/>
      <c r="M40" s="145"/>
      <c r="N40" s="145"/>
      <c r="O40" s="145"/>
      <c r="P40" s="145"/>
      <c r="Q40" s="145"/>
      <c r="R40" s="146"/>
      <c r="S40" s="146"/>
      <c r="T40" s="146"/>
      <c r="U40" s="146"/>
      <c r="V40" s="146"/>
      <c r="W40" s="146"/>
    </row>
    <row r="41" spans="1:23" x14ac:dyDescent="0.25">
      <c r="A41" s="7" t="s">
        <v>272</v>
      </c>
      <c r="B41" s="7" t="s">
        <v>269</v>
      </c>
      <c r="C41" s="7" t="s">
        <v>321</v>
      </c>
      <c r="D41" s="145" t="s">
        <v>322</v>
      </c>
      <c r="E41" s="7" t="str">
        <f t="shared" si="0"/>
        <v>MR2-09A</v>
      </c>
      <c r="F41" s="447" t="str">
        <f t="shared" si="1"/>
        <v>ETR1000V300-MR2-09A</v>
      </c>
      <c r="G41" s="463" t="s">
        <v>179</v>
      </c>
      <c r="H41" s="459">
        <v>46113</v>
      </c>
      <c r="I41" s="447" t="str">
        <f t="shared" si="9"/>
        <v>ETR1000V300-MR2-09A</v>
      </c>
      <c r="J41" s="463" t="s">
        <v>179</v>
      </c>
      <c r="K41" s="459">
        <v>46113</v>
      </c>
      <c r="L41" s="145"/>
      <c r="M41" s="145"/>
      <c r="N41" s="145"/>
      <c r="O41" s="145"/>
      <c r="P41" s="145"/>
      <c r="Q41" s="145"/>
      <c r="R41" s="146"/>
      <c r="S41" s="146"/>
      <c r="T41" s="146"/>
      <c r="U41" s="146"/>
      <c r="V41" s="146"/>
      <c r="W41" s="146"/>
    </row>
    <row r="42" spans="1:23" x14ac:dyDescent="0.25">
      <c r="A42" s="7" t="s">
        <v>272</v>
      </c>
      <c r="B42" s="7" t="s">
        <v>269</v>
      </c>
      <c r="C42" s="7" t="s">
        <v>326</v>
      </c>
      <c r="D42" s="145" t="s">
        <v>327</v>
      </c>
      <c r="E42" s="7" t="str">
        <f t="shared" si="0"/>
        <v>MR2-11A</v>
      </c>
      <c r="F42" s="447" t="str">
        <f t="shared" si="1"/>
        <v>ETR1000V300-MR2-11A</v>
      </c>
      <c r="G42" s="463" t="s">
        <v>178</v>
      </c>
      <c r="H42" s="459">
        <v>46113</v>
      </c>
      <c r="I42" s="447" t="str">
        <f t="shared" si="9"/>
        <v>ETR1000V300-MR2-11A</v>
      </c>
      <c r="J42" s="463" t="s">
        <v>178</v>
      </c>
      <c r="K42" s="459">
        <v>46113</v>
      </c>
      <c r="L42" s="145"/>
      <c r="M42" s="145"/>
      <c r="N42" s="145"/>
      <c r="O42" s="145"/>
      <c r="P42" s="145"/>
      <c r="Q42" s="145"/>
      <c r="R42" s="146"/>
      <c r="S42" s="146"/>
      <c r="T42" s="146"/>
      <c r="U42" s="146"/>
      <c r="V42" s="146"/>
      <c r="W42" s="146"/>
    </row>
    <row r="43" spans="1:23" x14ac:dyDescent="0.25">
      <c r="A43" s="7" t="s">
        <v>272</v>
      </c>
      <c r="B43" s="7" t="s">
        <v>269</v>
      </c>
      <c r="C43" s="7" t="s">
        <v>328</v>
      </c>
      <c r="D43" s="145" t="s">
        <v>329</v>
      </c>
      <c r="E43" s="7" t="str">
        <f t="shared" si="0"/>
        <v>MR2-13A</v>
      </c>
      <c r="F43" s="447" t="str">
        <f t="shared" si="1"/>
        <v>ETR1000V300-MR2-13A</v>
      </c>
      <c r="G43" s="463" t="s">
        <v>178</v>
      </c>
      <c r="H43" s="459">
        <v>46113</v>
      </c>
      <c r="I43" s="447" t="str">
        <f t="shared" si="9"/>
        <v>ETR1000V300-MR2-13A</v>
      </c>
      <c r="J43" s="463" t="s">
        <v>178</v>
      </c>
      <c r="K43" s="459">
        <v>46113</v>
      </c>
      <c r="L43" s="145"/>
      <c r="M43" s="145"/>
      <c r="N43" s="145"/>
      <c r="O43" s="145"/>
      <c r="P43" s="145"/>
      <c r="Q43" s="145"/>
      <c r="R43" s="146"/>
      <c r="S43" s="146"/>
      <c r="T43" s="146"/>
      <c r="U43" s="146"/>
      <c r="V43" s="146"/>
      <c r="W43" s="146"/>
    </row>
    <row r="44" spans="1:23" x14ac:dyDescent="0.25">
      <c r="A44" s="7" t="s">
        <v>272</v>
      </c>
      <c r="B44" s="7" t="s">
        <v>269</v>
      </c>
      <c r="C44" s="7" t="s">
        <v>330</v>
      </c>
      <c r="D44" s="145" t="s">
        <v>331</v>
      </c>
      <c r="E44" s="7" t="str">
        <f t="shared" si="0"/>
        <v>MR2-14A</v>
      </c>
      <c r="F44" s="447" t="str">
        <f t="shared" si="1"/>
        <v>ETR1000V300-MR2-14A</v>
      </c>
      <c r="G44" s="463" t="s">
        <v>180</v>
      </c>
      <c r="H44" s="459">
        <v>46113</v>
      </c>
      <c r="I44" s="447" t="str">
        <f t="shared" si="9"/>
        <v>ETR1000V300-MR2-14A</v>
      </c>
      <c r="J44" s="463" t="s">
        <v>180</v>
      </c>
      <c r="K44" s="459">
        <v>46113</v>
      </c>
      <c r="L44" s="145"/>
      <c r="M44" s="145"/>
      <c r="N44" s="145"/>
      <c r="O44" s="145"/>
      <c r="P44" s="145"/>
      <c r="Q44" s="145"/>
      <c r="R44" s="146"/>
      <c r="S44" s="146"/>
      <c r="T44" s="146"/>
      <c r="U44" s="146"/>
      <c r="V44" s="146"/>
      <c r="W44" s="146"/>
    </row>
    <row r="45" spans="1:23" x14ac:dyDescent="0.25">
      <c r="A45" s="7" t="s">
        <v>272</v>
      </c>
      <c r="B45" s="7" t="s">
        <v>269</v>
      </c>
      <c r="C45" s="7" t="s">
        <v>332</v>
      </c>
      <c r="D45" s="145" t="s">
        <v>333</v>
      </c>
      <c r="E45" s="7" t="str">
        <f t="shared" si="0"/>
        <v>MR2-15A</v>
      </c>
      <c r="F45" s="447" t="str">
        <f t="shared" si="1"/>
        <v>ETR1000V300-MR2-15A</v>
      </c>
      <c r="G45" s="463" t="s">
        <v>180</v>
      </c>
      <c r="H45" s="459">
        <v>46113</v>
      </c>
      <c r="I45" s="447" t="str">
        <f t="shared" si="9"/>
        <v>ETR1000V300-MR2-15A</v>
      </c>
      <c r="J45" s="463" t="s">
        <v>180</v>
      </c>
      <c r="K45" s="459">
        <v>46113</v>
      </c>
      <c r="L45" s="145"/>
      <c r="M45" s="145"/>
      <c r="N45" s="145"/>
      <c r="O45" s="145"/>
      <c r="P45" s="145"/>
      <c r="Q45" s="145"/>
      <c r="R45" s="146"/>
      <c r="S45" s="146"/>
      <c r="T45" s="146"/>
      <c r="U45" s="146"/>
      <c r="V45" s="146"/>
      <c r="W45" s="146"/>
    </row>
    <row r="46" spans="1:23" x14ac:dyDescent="0.25">
      <c r="A46" s="7" t="s">
        <v>272</v>
      </c>
      <c r="B46" s="7" t="s">
        <v>269</v>
      </c>
      <c r="C46" s="7" t="s">
        <v>1130</v>
      </c>
      <c r="D46" s="145" t="s">
        <v>1131</v>
      </c>
      <c r="E46" s="7" t="str">
        <f>CONCATENATE(B46,"-",C46)</f>
        <v>MR2-17A</v>
      </c>
      <c r="F46" s="447" t="str">
        <f>CONCATENATE("ETR1000V300-",$E46)</f>
        <v>ETR1000V300-MR2-17A</v>
      </c>
      <c r="G46" s="451" t="s">
        <v>954</v>
      </c>
      <c r="H46" s="449">
        <v>41913</v>
      </c>
      <c r="I46" s="447" t="str">
        <f>CONCATENATE("ETR1000V300-",$E46)</f>
        <v>ETR1000V300-MR2-17A</v>
      </c>
      <c r="J46" s="451" t="s">
        <v>954</v>
      </c>
      <c r="K46" s="449">
        <v>41913</v>
      </c>
      <c r="L46" s="145"/>
      <c r="M46" s="145"/>
      <c r="N46" s="145"/>
      <c r="O46" s="145"/>
      <c r="P46" s="145"/>
      <c r="Q46" s="145"/>
      <c r="R46" s="152" t="s">
        <v>178</v>
      </c>
      <c r="S46" s="152"/>
      <c r="T46" s="152"/>
      <c r="U46" s="152" t="s">
        <v>178</v>
      </c>
      <c r="V46" s="152"/>
      <c r="W46" s="152"/>
    </row>
    <row r="47" spans="1:23" x14ac:dyDescent="0.25">
      <c r="A47" s="7" t="s">
        <v>272</v>
      </c>
      <c r="B47" s="7" t="s">
        <v>269</v>
      </c>
      <c r="C47" s="7" t="s">
        <v>1141</v>
      </c>
      <c r="D47" s="145" t="s">
        <v>1146</v>
      </c>
      <c r="E47" s="7" t="str">
        <f t="shared" si="0"/>
        <v>MR2-30A_1</v>
      </c>
      <c r="F47" s="447" t="str">
        <f t="shared" si="1"/>
        <v>ETR1000V300-MR2-30A_1</v>
      </c>
      <c r="G47" s="451" t="s">
        <v>176</v>
      </c>
      <c r="H47" s="450" t="s">
        <v>345</v>
      </c>
      <c r="I47" s="447" t="str">
        <f t="shared" si="9"/>
        <v>ETR1000V300-MR2-30A_1</v>
      </c>
      <c r="J47" s="451" t="s">
        <v>176</v>
      </c>
      <c r="K47" s="450" t="s">
        <v>345</v>
      </c>
      <c r="L47" s="145"/>
      <c r="M47" s="145"/>
      <c r="N47" s="145"/>
      <c r="O47" s="145"/>
      <c r="P47" s="145"/>
      <c r="Q47" s="145"/>
      <c r="R47" s="146"/>
      <c r="S47" s="146"/>
      <c r="T47" s="146"/>
      <c r="U47" s="146"/>
      <c r="V47" s="146"/>
      <c r="W47" s="146"/>
    </row>
    <row r="48" spans="1:23" x14ac:dyDescent="0.25">
      <c r="A48" s="7" t="s">
        <v>272</v>
      </c>
      <c r="B48" s="7" t="s">
        <v>269</v>
      </c>
      <c r="C48" s="7" t="s">
        <v>1142</v>
      </c>
      <c r="D48" s="145" t="s">
        <v>1147</v>
      </c>
      <c r="E48" s="7" t="str">
        <f t="shared" ref="E48:E49" si="10">CONCATENATE(B48,"-",C48)</f>
        <v>MR2-30A_2</v>
      </c>
      <c r="F48" s="447" t="str">
        <f t="shared" si="1"/>
        <v>ETR1000V300-MR2-30A_2</v>
      </c>
      <c r="G48" s="451" t="s">
        <v>176</v>
      </c>
      <c r="H48" s="450" t="s">
        <v>345</v>
      </c>
      <c r="I48" s="447" t="str">
        <f t="shared" si="9"/>
        <v>ETR1000V300-MR2-30A_2</v>
      </c>
      <c r="J48" s="451" t="s">
        <v>176</v>
      </c>
      <c r="K48" s="450" t="s">
        <v>345</v>
      </c>
      <c r="L48" s="145"/>
      <c r="M48" s="145"/>
      <c r="N48" s="145"/>
      <c r="O48" s="145"/>
      <c r="P48" s="145"/>
      <c r="Q48" s="145"/>
      <c r="R48" s="146"/>
      <c r="S48" s="146"/>
      <c r="T48" s="146"/>
      <c r="U48" s="146"/>
      <c r="V48" s="146"/>
      <c r="W48" s="146"/>
    </row>
    <row r="49" spans="1:23" x14ac:dyDescent="0.25">
      <c r="A49" s="7" t="s">
        <v>272</v>
      </c>
      <c r="B49" s="7" t="s">
        <v>269</v>
      </c>
      <c r="C49" s="7" t="s">
        <v>1143</v>
      </c>
      <c r="D49" s="145" t="s">
        <v>1148</v>
      </c>
      <c r="E49" s="7" t="str">
        <f t="shared" si="10"/>
        <v>MR2-30A_3</v>
      </c>
      <c r="F49" s="447" t="str">
        <f t="shared" si="1"/>
        <v>ETR1000V300-MR2-30A_3</v>
      </c>
      <c r="G49" s="451" t="s">
        <v>176</v>
      </c>
      <c r="H49" s="450" t="s">
        <v>345</v>
      </c>
      <c r="I49" s="447" t="str">
        <f t="shared" si="9"/>
        <v>ETR1000V300-MR2-30A_3</v>
      </c>
      <c r="J49" s="451" t="s">
        <v>176</v>
      </c>
      <c r="K49" s="450" t="s">
        <v>345</v>
      </c>
      <c r="L49" s="145"/>
      <c r="M49" s="145"/>
      <c r="N49" s="145"/>
      <c r="O49" s="145"/>
      <c r="P49" s="145"/>
      <c r="Q49" s="145"/>
      <c r="R49" s="146"/>
      <c r="S49" s="146"/>
      <c r="T49" s="146"/>
      <c r="U49" s="146"/>
      <c r="V49" s="146"/>
      <c r="W49" s="146"/>
    </row>
    <row r="50" spans="1:23" x14ac:dyDescent="0.25">
      <c r="A50" s="7" t="s">
        <v>272</v>
      </c>
      <c r="B50" s="7" t="s">
        <v>269</v>
      </c>
      <c r="C50" s="7" t="s">
        <v>1144</v>
      </c>
      <c r="D50" s="145" t="s">
        <v>1149</v>
      </c>
      <c r="E50" s="7" t="str">
        <f t="shared" ref="E50" si="11">CONCATENATE(B50,"-",C50)</f>
        <v>MR2-30A_4</v>
      </c>
      <c r="F50" s="447" t="str">
        <f t="shared" si="1"/>
        <v>ETR1000V300-MR2-30A_4</v>
      </c>
      <c r="G50" s="451" t="s">
        <v>176</v>
      </c>
      <c r="H50" s="450" t="s">
        <v>345</v>
      </c>
      <c r="I50" s="447" t="str">
        <f t="shared" si="9"/>
        <v>ETR1000V300-MR2-30A_4</v>
      </c>
      <c r="J50" s="451" t="s">
        <v>176</v>
      </c>
      <c r="K50" s="450" t="s">
        <v>345</v>
      </c>
      <c r="L50" s="145"/>
      <c r="M50" s="145"/>
      <c r="N50" s="145"/>
      <c r="O50" s="145"/>
      <c r="P50" s="145"/>
      <c r="Q50" s="145"/>
      <c r="R50" s="146"/>
      <c r="S50" s="146"/>
      <c r="T50" s="146"/>
      <c r="U50" s="146"/>
      <c r="V50" s="146"/>
      <c r="W50" s="146"/>
    </row>
    <row r="51" spans="1:23" x14ac:dyDescent="0.25">
      <c r="A51" s="7" t="s">
        <v>272</v>
      </c>
      <c r="B51" s="7" t="s">
        <v>269</v>
      </c>
      <c r="C51" s="7" t="s">
        <v>1145</v>
      </c>
      <c r="D51" s="145" t="s">
        <v>1150</v>
      </c>
      <c r="E51" s="7" t="str">
        <f t="shared" ref="E51" si="12">CONCATENATE(B51,"-",C51)</f>
        <v>MR2-30A_5</v>
      </c>
      <c r="F51" s="447" t="str">
        <f t="shared" si="1"/>
        <v>ETR1000V300-MR2-30A_5</v>
      </c>
      <c r="G51" s="451" t="s">
        <v>176</v>
      </c>
      <c r="H51" s="450" t="s">
        <v>345</v>
      </c>
      <c r="I51" s="447" t="str">
        <f t="shared" si="9"/>
        <v>ETR1000V300-MR2-30A_5</v>
      </c>
      <c r="J51" s="451" t="s">
        <v>176</v>
      </c>
      <c r="K51" s="450" t="s">
        <v>345</v>
      </c>
      <c r="L51" s="145"/>
      <c r="M51" s="145"/>
      <c r="N51" s="145"/>
      <c r="O51" s="145"/>
      <c r="P51" s="145"/>
      <c r="Q51" s="145"/>
      <c r="R51" s="146"/>
      <c r="S51" s="146"/>
      <c r="T51" s="146"/>
      <c r="U51" s="146"/>
      <c r="V51" s="146"/>
      <c r="W51" s="146"/>
    </row>
    <row r="52" spans="1:23" x14ac:dyDescent="0.25">
      <c r="A52" s="7" t="s">
        <v>272</v>
      </c>
      <c r="B52" s="7" t="s">
        <v>186</v>
      </c>
      <c r="C52" s="7" t="s">
        <v>270</v>
      </c>
      <c r="D52" s="145" t="s">
        <v>346</v>
      </c>
      <c r="E52" s="7" t="s">
        <v>347</v>
      </c>
      <c r="F52" s="447" t="str">
        <f>CONCATENATE("ETR1000V300-",$B52,"-",$C52)</f>
        <v>ETR1000V300-CPR-01A</v>
      </c>
      <c r="G52" s="448" t="s">
        <v>386</v>
      </c>
      <c r="H52" s="450" t="s">
        <v>325</v>
      </c>
      <c r="I52" s="447" t="str">
        <f>CONCATENATE("ETR1000V300-",$B52,"-",$C52)</f>
        <v>ETR1000V300-CPR-01A</v>
      </c>
      <c r="J52" s="448" t="s">
        <v>386</v>
      </c>
      <c r="K52" s="450" t="s">
        <v>325</v>
      </c>
      <c r="L52" s="145"/>
      <c r="M52" s="145"/>
      <c r="N52" s="145"/>
      <c r="O52" s="145"/>
      <c r="P52" s="145"/>
      <c r="Q52" s="145"/>
      <c r="R52" s="152" t="s">
        <v>176</v>
      </c>
      <c r="S52" s="152"/>
      <c r="T52" s="152"/>
      <c r="U52" s="152" t="s">
        <v>176</v>
      </c>
      <c r="V52" s="152"/>
      <c r="W52" s="152"/>
    </row>
    <row r="53" spans="1:23" x14ac:dyDescent="0.25">
      <c r="A53" s="7" t="s">
        <v>272</v>
      </c>
      <c r="B53" s="7" t="s">
        <v>186</v>
      </c>
      <c r="C53" s="7" t="s">
        <v>301</v>
      </c>
      <c r="D53" s="145" t="s">
        <v>348</v>
      </c>
      <c r="E53" s="7" t="s">
        <v>276</v>
      </c>
      <c r="F53" s="447" t="str">
        <f t="shared" ref="F53:F79" si="13">CONCATENATE("ETR1000V300-",$B53,"-",$C53)</f>
        <v>ETR1000V300-CPR-01B</v>
      </c>
      <c r="G53" s="448" t="s">
        <v>386</v>
      </c>
      <c r="H53" s="450" t="s">
        <v>325</v>
      </c>
      <c r="I53" s="447" t="str">
        <f t="shared" ref="I53:I79" si="14">CONCATENATE("ETR1000V300-",$B53,"-",$C53)</f>
        <v>ETR1000V300-CPR-01B</v>
      </c>
      <c r="J53" s="448" t="s">
        <v>386</v>
      </c>
      <c r="K53" s="450" t="s">
        <v>325</v>
      </c>
      <c r="L53" s="145"/>
      <c r="M53" s="145"/>
      <c r="N53" s="145"/>
      <c r="O53" s="145"/>
      <c r="P53" s="145"/>
      <c r="Q53" s="145"/>
      <c r="R53" s="152" t="s">
        <v>176</v>
      </c>
      <c r="S53" s="152"/>
      <c r="T53" s="152"/>
      <c r="U53" s="152" t="s">
        <v>176</v>
      </c>
      <c r="V53" s="152"/>
      <c r="W53" s="152"/>
    </row>
    <row r="54" spans="1:23" x14ac:dyDescent="0.25">
      <c r="A54" s="7" t="s">
        <v>272</v>
      </c>
      <c r="B54" s="7" t="s">
        <v>186</v>
      </c>
      <c r="C54" s="7" t="s">
        <v>349</v>
      </c>
      <c r="D54" s="145" t="s">
        <v>350</v>
      </c>
      <c r="E54" s="7" t="s">
        <v>277</v>
      </c>
      <c r="F54" s="447" t="str">
        <f t="shared" si="13"/>
        <v>ETR1000V300-CPR-01C</v>
      </c>
      <c r="G54" s="448" t="s">
        <v>386</v>
      </c>
      <c r="H54" s="450" t="s">
        <v>325</v>
      </c>
      <c r="I54" s="447" t="str">
        <f t="shared" si="14"/>
        <v>ETR1000V300-CPR-01C</v>
      </c>
      <c r="J54" s="448" t="s">
        <v>386</v>
      </c>
      <c r="K54" s="450" t="s">
        <v>325</v>
      </c>
      <c r="L54" s="145"/>
      <c r="M54" s="145"/>
      <c r="N54" s="145"/>
      <c r="O54" s="145"/>
      <c r="P54" s="145"/>
      <c r="Q54" s="145"/>
      <c r="R54" s="146"/>
      <c r="S54" s="146"/>
      <c r="T54" s="146"/>
      <c r="U54" s="146"/>
      <c r="V54" s="146"/>
      <c r="W54" s="146"/>
    </row>
    <row r="55" spans="1:23" x14ac:dyDescent="0.25">
      <c r="A55" s="7" t="s">
        <v>272</v>
      </c>
      <c r="B55" s="7" t="s">
        <v>186</v>
      </c>
      <c r="C55" s="7" t="s">
        <v>351</v>
      </c>
      <c r="D55" s="145" t="s">
        <v>352</v>
      </c>
      <c r="E55" s="7" t="s">
        <v>278</v>
      </c>
      <c r="F55" s="447" t="str">
        <f t="shared" si="13"/>
        <v>ETR1000V300-CPR-01D</v>
      </c>
      <c r="G55" s="448" t="s">
        <v>386</v>
      </c>
      <c r="H55" s="450" t="s">
        <v>325</v>
      </c>
      <c r="I55" s="447" t="str">
        <f t="shared" si="14"/>
        <v>ETR1000V300-CPR-01D</v>
      </c>
      <c r="J55" s="448" t="s">
        <v>386</v>
      </c>
      <c r="K55" s="450" t="s">
        <v>325</v>
      </c>
      <c r="L55" s="145"/>
      <c r="M55" s="145"/>
      <c r="N55" s="145"/>
      <c r="O55" s="145"/>
      <c r="P55" s="145"/>
      <c r="Q55" s="145"/>
      <c r="R55" s="152" t="s">
        <v>176</v>
      </c>
      <c r="S55" s="152"/>
      <c r="T55" s="152"/>
      <c r="U55" s="152" t="s">
        <v>176</v>
      </c>
      <c r="V55" s="152"/>
      <c r="W55" s="152"/>
    </row>
    <row r="56" spans="1:23" x14ac:dyDescent="0.25">
      <c r="A56" s="7" t="s">
        <v>272</v>
      </c>
      <c r="B56" s="7" t="s">
        <v>186</v>
      </c>
      <c r="C56" s="7" t="s">
        <v>298</v>
      </c>
      <c r="D56" s="145" t="s">
        <v>299</v>
      </c>
      <c r="E56" s="7" t="s">
        <v>279</v>
      </c>
      <c r="F56" s="447" t="str">
        <f t="shared" si="13"/>
        <v>ETR1000V300-CPR-02A</v>
      </c>
      <c r="G56" s="448" t="s">
        <v>386</v>
      </c>
      <c r="H56" s="450" t="s">
        <v>305</v>
      </c>
      <c r="I56" s="447" t="str">
        <f t="shared" si="14"/>
        <v>ETR1000V300-CPR-02A</v>
      </c>
      <c r="J56" s="448" t="s">
        <v>386</v>
      </c>
      <c r="K56" s="450" t="s">
        <v>305</v>
      </c>
      <c r="L56" s="145"/>
      <c r="M56" s="145"/>
      <c r="N56" s="145"/>
      <c r="O56" s="145"/>
      <c r="P56" s="145"/>
      <c r="Q56" s="145"/>
      <c r="R56" s="152" t="s">
        <v>177</v>
      </c>
      <c r="S56" s="152"/>
      <c r="T56" s="152"/>
      <c r="U56" s="152" t="s">
        <v>177</v>
      </c>
      <c r="V56" s="152"/>
      <c r="W56" s="152"/>
    </row>
    <row r="57" spans="1:23" x14ac:dyDescent="0.25">
      <c r="A57" s="7" t="s">
        <v>272</v>
      </c>
      <c r="B57" s="7" t="s">
        <v>186</v>
      </c>
      <c r="C57" s="7" t="s">
        <v>307</v>
      </c>
      <c r="D57" s="145" t="s">
        <v>353</v>
      </c>
      <c r="E57" s="7" t="s">
        <v>280</v>
      </c>
      <c r="F57" s="447" t="str">
        <f t="shared" si="13"/>
        <v>ETR1000V300-CPR-03A</v>
      </c>
      <c r="G57" s="448" t="s">
        <v>386</v>
      </c>
      <c r="H57" s="450" t="s">
        <v>340</v>
      </c>
      <c r="I57" s="447" t="str">
        <f t="shared" si="14"/>
        <v>ETR1000V300-CPR-03A</v>
      </c>
      <c r="J57" s="448" t="s">
        <v>386</v>
      </c>
      <c r="K57" s="450" t="s">
        <v>340</v>
      </c>
      <c r="L57" s="145"/>
      <c r="M57" s="145"/>
      <c r="N57" s="145"/>
      <c r="O57" s="145"/>
      <c r="P57" s="145"/>
      <c r="Q57" s="145"/>
      <c r="R57" s="152" t="s">
        <v>177</v>
      </c>
      <c r="S57" s="152"/>
      <c r="T57" s="152"/>
      <c r="U57" s="152" t="s">
        <v>177</v>
      </c>
      <c r="V57" s="152"/>
      <c r="W57" s="152"/>
    </row>
    <row r="58" spans="1:23" x14ac:dyDescent="0.25">
      <c r="A58" s="7" t="s">
        <v>272</v>
      </c>
      <c r="B58" s="7" t="s">
        <v>186</v>
      </c>
      <c r="C58" s="7" t="s">
        <v>354</v>
      </c>
      <c r="D58" s="145" t="s">
        <v>355</v>
      </c>
      <c r="E58" s="7" t="s">
        <v>281</v>
      </c>
      <c r="F58" s="447" t="str">
        <f t="shared" si="13"/>
        <v>ETR1000V300-CPR-03B</v>
      </c>
      <c r="G58" s="448" t="s">
        <v>386</v>
      </c>
      <c r="H58" s="461">
        <v>46113</v>
      </c>
      <c r="I58" s="447" t="str">
        <f t="shared" si="14"/>
        <v>ETR1000V300-CPR-03B</v>
      </c>
      <c r="J58" s="448" t="s">
        <v>386</v>
      </c>
      <c r="K58" s="461">
        <v>46113</v>
      </c>
      <c r="L58" s="145"/>
      <c r="M58" s="145"/>
      <c r="N58" s="145"/>
      <c r="O58" s="145"/>
      <c r="P58" s="145"/>
      <c r="Q58" s="145"/>
      <c r="R58" s="152" t="s">
        <v>177</v>
      </c>
      <c r="S58" s="152"/>
      <c r="T58" s="152"/>
      <c r="U58" s="152" t="s">
        <v>177</v>
      </c>
      <c r="V58" s="152"/>
      <c r="W58" s="152"/>
    </row>
    <row r="59" spans="1:23" x14ac:dyDescent="0.25">
      <c r="A59" s="7" t="s">
        <v>272</v>
      </c>
      <c r="B59" s="7" t="s">
        <v>186</v>
      </c>
      <c r="C59" s="7" t="s">
        <v>309</v>
      </c>
      <c r="D59" s="145" t="s">
        <v>356</v>
      </c>
      <c r="E59" s="7" t="s">
        <v>357</v>
      </c>
      <c r="F59" s="447" t="str">
        <f t="shared" si="13"/>
        <v>ETR1000V300-CPR-04A</v>
      </c>
      <c r="G59" s="448" t="s">
        <v>386</v>
      </c>
      <c r="H59" s="461">
        <v>45748</v>
      </c>
      <c r="I59" s="447" t="str">
        <f t="shared" si="14"/>
        <v>ETR1000V300-CPR-04A</v>
      </c>
      <c r="J59" s="448" t="s">
        <v>386</v>
      </c>
      <c r="K59" s="461">
        <v>45748</v>
      </c>
      <c r="L59" s="145"/>
      <c r="M59" s="145"/>
      <c r="N59" s="145"/>
      <c r="O59" s="145"/>
      <c r="P59" s="145"/>
      <c r="Q59" s="145"/>
      <c r="R59" s="152" t="s">
        <v>176</v>
      </c>
      <c r="S59" s="152"/>
      <c r="T59" s="152"/>
      <c r="U59" s="152" t="s">
        <v>176</v>
      </c>
      <c r="V59" s="152"/>
      <c r="W59" s="152"/>
    </row>
    <row r="60" spans="1:23" x14ac:dyDescent="0.25">
      <c r="A60" s="7" t="s">
        <v>272</v>
      </c>
      <c r="B60" s="7" t="s">
        <v>186</v>
      </c>
      <c r="C60" s="7" t="s">
        <v>358</v>
      </c>
      <c r="D60" s="145" t="s">
        <v>359</v>
      </c>
      <c r="E60" s="7" t="s">
        <v>282</v>
      </c>
      <c r="F60" s="447" t="str">
        <f t="shared" si="13"/>
        <v>ETR1000V300-CPR-04B</v>
      </c>
      <c r="G60" s="448" t="s">
        <v>386</v>
      </c>
      <c r="H60" s="461">
        <v>46082</v>
      </c>
      <c r="I60" s="447" t="str">
        <f t="shared" si="14"/>
        <v>ETR1000V300-CPR-04B</v>
      </c>
      <c r="J60" s="448" t="s">
        <v>386</v>
      </c>
      <c r="K60" s="461">
        <v>46082</v>
      </c>
      <c r="L60" s="145"/>
      <c r="M60" s="145"/>
      <c r="N60" s="145"/>
      <c r="O60" s="145"/>
      <c r="P60" s="145"/>
      <c r="Q60" s="145"/>
      <c r="R60" s="152" t="s">
        <v>176</v>
      </c>
      <c r="S60" s="152"/>
      <c r="T60" s="152"/>
      <c r="U60" s="152" t="s">
        <v>176</v>
      </c>
      <c r="V60" s="152"/>
      <c r="W60" s="152"/>
    </row>
    <row r="61" spans="1:23" x14ac:dyDescent="0.25">
      <c r="A61" s="7" t="s">
        <v>272</v>
      </c>
      <c r="B61" s="7" t="s">
        <v>186</v>
      </c>
      <c r="C61" s="7" t="s">
        <v>360</v>
      </c>
      <c r="D61" s="145" t="s">
        <v>64</v>
      </c>
      <c r="E61" s="7" t="s">
        <v>283</v>
      </c>
      <c r="F61" s="447" t="str">
        <f t="shared" si="13"/>
        <v>ETR1000V300-CPR-04C</v>
      </c>
      <c r="G61" s="448" t="s">
        <v>386</v>
      </c>
      <c r="H61" s="450" t="s">
        <v>305</v>
      </c>
      <c r="I61" s="447" t="str">
        <f t="shared" si="14"/>
        <v>ETR1000V300-CPR-04C</v>
      </c>
      <c r="J61" s="448" t="s">
        <v>386</v>
      </c>
      <c r="K61" s="450" t="s">
        <v>305</v>
      </c>
      <c r="L61" s="145"/>
      <c r="M61" s="145"/>
      <c r="N61" s="145"/>
      <c r="O61" s="145"/>
      <c r="P61" s="145"/>
      <c r="Q61" s="145"/>
      <c r="R61" s="152" t="s">
        <v>176</v>
      </c>
      <c r="S61" s="152"/>
      <c r="T61" s="152"/>
      <c r="U61" s="152" t="s">
        <v>176</v>
      </c>
      <c r="V61" s="152"/>
      <c r="W61" s="152"/>
    </row>
    <row r="62" spans="1:23" x14ac:dyDescent="0.25">
      <c r="A62" s="7" t="s">
        <v>272</v>
      </c>
      <c r="B62" s="7" t="s">
        <v>186</v>
      </c>
      <c r="C62" s="7" t="s">
        <v>361</v>
      </c>
      <c r="D62" s="145" t="s">
        <v>362</v>
      </c>
      <c r="E62" s="7" t="s">
        <v>284</v>
      </c>
      <c r="F62" s="447" t="str">
        <f t="shared" si="13"/>
        <v>ETR1000V300-CPR-04D</v>
      </c>
      <c r="G62" s="448" t="s">
        <v>386</v>
      </c>
      <c r="H62" s="461">
        <v>45748</v>
      </c>
      <c r="I62" s="447" t="str">
        <f t="shared" si="14"/>
        <v>ETR1000V300-CPR-04D</v>
      </c>
      <c r="J62" s="448" t="s">
        <v>386</v>
      </c>
      <c r="K62" s="461">
        <v>45748</v>
      </c>
      <c r="L62" s="145"/>
      <c r="M62" s="145"/>
      <c r="N62" s="145"/>
      <c r="O62" s="145"/>
      <c r="P62" s="145"/>
      <c r="Q62" s="145"/>
      <c r="R62" s="146"/>
      <c r="S62" s="146"/>
      <c r="T62" s="146"/>
      <c r="U62" s="146"/>
      <c r="V62" s="146"/>
      <c r="W62" s="146"/>
    </row>
    <row r="63" spans="1:23" x14ac:dyDescent="0.25">
      <c r="A63" s="7" t="s">
        <v>272</v>
      </c>
      <c r="B63" s="7" t="s">
        <v>186</v>
      </c>
      <c r="C63" s="7" t="s">
        <v>310</v>
      </c>
      <c r="D63" s="145" t="s">
        <v>311</v>
      </c>
      <c r="E63" s="7" t="s">
        <v>285</v>
      </c>
      <c r="F63" s="447" t="str">
        <f t="shared" si="13"/>
        <v>ETR1000V300-CPR-05A</v>
      </c>
      <c r="G63" s="448" t="s">
        <v>386</v>
      </c>
      <c r="H63" s="450" t="s">
        <v>314</v>
      </c>
      <c r="I63" s="447" t="str">
        <f t="shared" si="14"/>
        <v>ETR1000V300-CPR-05A</v>
      </c>
      <c r="J63" s="448" t="s">
        <v>386</v>
      </c>
      <c r="K63" s="450" t="s">
        <v>314</v>
      </c>
      <c r="L63" s="145"/>
      <c r="M63" s="145"/>
      <c r="N63" s="145"/>
      <c r="O63" s="145"/>
      <c r="P63" s="145"/>
      <c r="Q63" s="145"/>
      <c r="R63" s="152" t="s">
        <v>177</v>
      </c>
      <c r="S63" s="152"/>
      <c r="T63" s="152"/>
      <c r="U63" s="152" t="s">
        <v>177</v>
      </c>
      <c r="V63" s="152"/>
      <c r="W63" s="152"/>
    </row>
    <row r="64" spans="1:23" x14ac:dyDescent="0.25">
      <c r="A64" s="7" t="s">
        <v>272</v>
      </c>
      <c r="B64" s="7" t="s">
        <v>186</v>
      </c>
      <c r="C64" s="7" t="s">
        <v>315</v>
      </c>
      <c r="D64" s="145" t="s">
        <v>316</v>
      </c>
      <c r="E64" s="7" t="s">
        <v>286</v>
      </c>
      <c r="F64" s="447" t="str">
        <f t="shared" si="13"/>
        <v>ETR1000V300-CPR-06A</v>
      </c>
      <c r="G64" s="448" t="s">
        <v>386</v>
      </c>
      <c r="H64" s="450" t="s">
        <v>363</v>
      </c>
      <c r="I64" s="447" t="str">
        <f t="shared" si="14"/>
        <v>ETR1000V300-CPR-06A</v>
      </c>
      <c r="J64" s="448" t="s">
        <v>386</v>
      </c>
      <c r="K64" s="450" t="s">
        <v>363</v>
      </c>
      <c r="L64" s="145"/>
      <c r="M64" s="145"/>
      <c r="N64" s="145"/>
      <c r="O64" s="145"/>
      <c r="P64" s="145"/>
      <c r="Q64" s="145"/>
      <c r="R64" s="152" t="s">
        <v>177</v>
      </c>
      <c r="S64" s="152"/>
      <c r="T64" s="152"/>
      <c r="U64" s="152" t="s">
        <v>177</v>
      </c>
      <c r="V64" s="152"/>
      <c r="W64" s="152"/>
    </row>
    <row r="65" spans="1:23" x14ac:dyDescent="0.25">
      <c r="A65" s="7" t="s">
        <v>272</v>
      </c>
      <c r="B65" s="7" t="s">
        <v>186</v>
      </c>
      <c r="C65" s="7" t="s">
        <v>317</v>
      </c>
      <c r="D65" s="145" t="s">
        <v>318</v>
      </c>
      <c r="E65" s="7" t="s">
        <v>287</v>
      </c>
      <c r="F65" s="447" t="str">
        <f t="shared" si="13"/>
        <v>ETR1000V300-CPR-07A</v>
      </c>
      <c r="G65" s="448" t="s">
        <v>386</v>
      </c>
      <c r="H65" s="450" t="s">
        <v>363</v>
      </c>
      <c r="I65" s="447" t="str">
        <f t="shared" si="14"/>
        <v>ETR1000V300-CPR-07A</v>
      </c>
      <c r="J65" s="448" t="s">
        <v>386</v>
      </c>
      <c r="K65" s="450" t="s">
        <v>363</v>
      </c>
      <c r="L65" s="145"/>
      <c r="M65" s="145"/>
      <c r="N65" s="145"/>
      <c r="O65" s="145"/>
      <c r="P65" s="145"/>
      <c r="Q65" s="145"/>
      <c r="R65" s="146"/>
      <c r="S65" s="146"/>
      <c r="T65" s="146"/>
      <c r="U65" s="146"/>
      <c r="V65" s="146"/>
      <c r="W65" s="146"/>
    </row>
    <row r="66" spans="1:23" x14ac:dyDescent="0.25">
      <c r="A66" s="7" t="s">
        <v>272</v>
      </c>
      <c r="B66" s="7" t="s">
        <v>186</v>
      </c>
      <c r="C66" s="7" t="s">
        <v>319</v>
      </c>
      <c r="D66" s="145" t="s">
        <v>364</v>
      </c>
      <c r="E66" s="7" t="s">
        <v>288</v>
      </c>
      <c r="F66" s="447" t="str">
        <f t="shared" si="13"/>
        <v>ETR1000V300-CPR-08A</v>
      </c>
      <c r="G66" s="448" t="s">
        <v>386</v>
      </c>
      <c r="H66" s="450" t="s">
        <v>340</v>
      </c>
      <c r="I66" s="447" t="str">
        <f t="shared" si="14"/>
        <v>ETR1000V300-CPR-08A</v>
      </c>
      <c r="J66" s="448" t="s">
        <v>386</v>
      </c>
      <c r="K66" s="450" t="s">
        <v>340</v>
      </c>
      <c r="L66" s="145"/>
      <c r="M66" s="145"/>
      <c r="N66" s="145"/>
      <c r="O66" s="145"/>
      <c r="P66" s="145"/>
      <c r="Q66" s="145"/>
      <c r="R66" s="152" t="s">
        <v>177</v>
      </c>
      <c r="S66" s="152"/>
      <c r="T66" s="152"/>
      <c r="U66" s="152" t="s">
        <v>177</v>
      </c>
      <c r="V66" s="152"/>
      <c r="W66" s="152"/>
    </row>
    <row r="67" spans="1:23" x14ac:dyDescent="0.25">
      <c r="A67" s="7" t="s">
        <v>272</v>
      </c>
      <c r="B67" s="7" t="s">
        <v>186</v>
      </c>
      <c r="C67" s="7" t="s">
        <v>365</v>
      </c>
      <c r="D67" s="145" t="s">
        <v>366</v>
      </c>
      <c r="E67" s="7" t="s">
        <v>273</v>
      </c>
      <c r="F67" s="447" t="str">
        <f t="shared" si="13"/>
        <v>ETR1000V300-CPR-08B</v>
      </c>
      <c r="G67" s="448" t="s">
        <v>386</v>
      </c>
      <c r="H67" s="450" t="s">
        <v>367</v>
      </c>
      <c r="I67" s="447" t="str">
        <f t="shared" si="14"/>
        <v>ETR1000V300-CPR-08B</v>
      </c>
      <c r="J67" s="448" t="s">
        <v>386</v>
      </c>
      <c r="K67" s="450" t="s">
        <v>367</v>
      </c>
      <c r="L67" s="145"/>
      <c r="M67" s="145"/>
      <c r="N67" s="145"/>
      <c r="O67" s="145"/>
      <c r="P67" s="145"/>
      <c r="Q67" s="145"/>
      <c r="R67" s="152" t="s">
        <v>177</v>
      </c>
      <c r="S67" s="152"/>
      <c r="T67" s="152"/>
      <c r="U67" s="152" t="s">
        <v>177</v>
      </c>
      <c r="V67" s="152"/>
      <c r="W67" s="152"/>
    </row>
    <row r="68" spans="1:23" x14ac:dyDescent="0.25">
      <c r="A68" s="7" t="s">
        <v>272</v>
      </c>
      <c r="B68" s="7" t="s">
        <v>186</v>
      </c>
      <c r="C68" s="7" t="s">
        <v>368</v>
      </c>
      <c r="D68" s="145" t="s">
        <v>369</v>
      </c>
      <c r="E68" s="7" t="s">
        <v>274</v>
      </c>
      <c r="F68" s="447" t="str">
        <f t="shared" si="13"/>
        <v>ETR1000V300-CPR-08C</v>
      </c>
      <c r="G68" s="448" t="s">
        <v>386</v>
      </c>
      <c r="H68" s="450" t="s">
        <v>370</v>
      </c>
      <c r="I68" s="447" t="str">
        <f t="shared" si="14"/>
        <v>ETR1000V300-CPR-08C</v>
      </c>
      <c r="J68" s="448" t="s">
        <v>386</v>
      </c>
      <c r="K68" s="450" t="s">
        <v>370</v>
      </c>
      <c r="L68" s="145"/>
      <c r="M68" s="145"/>
      <c r="N68" s="145"/>
      <c r="O68" s="145"/>
      <c r="P68" s="145"/>
      <c r="Q68" s="145"/>
      <c r="R68" s="152" t="s">
        <v>177</v>
      </c>
      <c r="S68" s="152"/>
      <c r="T68" s="152"/>
      <c r="U68" s="152" t="s">
        <v>177</v>
      </c>
      <c r="V68" s="152"/>
      <c r="W68" s="152"/>
    </row>
    <row r="69" spans="1:23" x14ac:dyDescent="0.25">
      <c r="A69" s="7" t="s">
        <v>272</v>
      </c>
      <c r="B69" s="7" t="s">
        <v>186</v>
      </c>
      <c r="C69" s="7" t="s">
        <v>371</v>
      </c>
      <c r="D69" s="145" t="s">
        <v>322</v>
      </c>
      <c r="E69" s="7" t="s">
        <v>289</v>
      </c>
      <c r="F69" s="447" t="str">
        <f t="shared" si="13"/>
        <v>ETR1000V300-CPR-09</v>
      </c>
      <c r="G69" s="448" t="s">
        <v>386</v>
      </c>
      <c r="H69" s="450" t="s">
        <v>304</v>
      </c>
      <c r="I69" s="447" t="str">
        <f t="shared" si="14"/>
        <v>ETR1000V300-CPR-09</v>
      </c>
      <c r="J69" s="448" t="s">
        <v>386</v>
      </c>
      <c r="K69" s="450" t="s">
        <v>304</v>
      </c>
      <c r="L69" s="145"/>
      <c r="M69" s="145"/>
      <c r="N69" s="145"/>
      <c r="O69" s="145"/>
      <c r="P69" s="145"/>
      <c r="Q69" s="145"/>
      <c r="R69" s="146"/>
      <c r="S69" s="146"/>
      <c r="T69" s="146"/>
      <c r="U69" s="146"/>
      <c r="V69" s="146"/>
      <c r="W69" s="146"/>
    </row>
    <row r="70" spans="1:23" x14ac:dyDescent="0.25">
      <c r="A70" s="7" t="s">
        <v>272</v>
      </c>
      <c r="B70" s="7" t="s">
        <v>186</v>
      </c>
      <c r="C70" s="7" t="s">
        <v>372</v>
      </c>
      <c r="D70" s="145" t="s">
        <v>324</v>
      </c>
      <c r="E70" s="7" t="s">
        <v>290</v>
      </c>
      <c r="F70" s="447" t="str">
        <f t="shared" si="13"/>
        <v>ETR1000V300-CPR-10</v>
      </c>
      <c r="G70" s="448" t="s">
        <v>386</v>
      </c>
      <c r="H70" s="450" t="s">
        <v>325</v>
      </c>
      <c r="I70" s="447" t="str">
        <f t="shared" si="14"/>
        <v>ETR1000V300-CPR-10</v>
      </c>
      <c r="J70" s="448" t="s">
        <v>386</v>
      </c>
      <c r="K70" s="450" t="s">
        <v>325</v>
      </c>
      <c r="L70" s="145"/>
      <c r="M70" s="145"/>
      <c r="N70" s="145"/>
      <c r="O70" s="145"/>
      <c r="P70" s="145"/>
      <c r="Q70" s="145"/>
      <c r="R70" s="152" t="s">
        <v>177</v>
      </c>
      <c r="S70" s="152"/>
      <c r="T70" s="152"/>
      <c r="U70" s="152" t="s">
        <v>177</v>
      </c>
      <c r="V70" s="152"/>
      <c r="W70" s="152"/>
    </row>
    <row r="71" spans="1:23" x14ac:dyDescent="0.25">
      <c r="A71" s="7" t="s">
        <v>272</v>
      </c>
      <c r="B71" s="7" t="s">
        <v>186</v>
      </c>
      <c r="C71" s="7" t="s">
        <v>326</v>
      </c>
      <c r="D71" s="145" t="s">
        <v>327</v>
      </c>
      <c r="E71" s="7" t="s">
        <v>291</v>
      </c>
      <c r="F71" s="447" t="str">
        <f t="shared" si="13"/>
        <v>ETR1000V300-CPR-11A</v>
      </c>
      <c r="G71" s="448" t="s">
        <v>386</v>
      </c>
      <c r="H71" s="450" t="s">
        <v>363</v>
      </c>
      <c r="I71" s="447" t="str">
        <f t="shared" si="14"/>
        <v>ETR1000V300-CPR-11A</v>
      </c>
      <c r="J71" s="448" t="s">
        <v>386</v>
      </c>
      <c r="K71" s="450" t="s">
        <v>363</v>
      </c>
      <c r="L71" s="145"/>
      <c r="M71" s="145"/>
      <c r="N71" s="145"/>
      <c r="O71" s="145"/>
      <c r="P71" s="145"/>
      <c r="Q71" s="145"/>
      <c r="R71" s="152" t="s">
        <v>177</v>
      </c>
      <c r="S71" s="152"/>
      <c r="T71" s="152"/>
      <c r="U71" s="152" t="s">
        <v>177</v>
      </c>
      <c r="V71" s="152"/>
      <c r="W71" s="152"/>
    </row>
    <row r="72" spans="1:23" x14ac:dyDescent="0.25">
      <c r="A72" s="7" t="s">
        <v>272</v>
      </c>
      <c r="B72" s="7" t="s">
        <v>186</v>
      </c>
      <c r="C72" s="7" t="s">
        <v>330</v>
      </c>
      <c r="D72" s="145" t="s">
        <v>373</v>
      </c>
      <c r="E72" s="7" t="s">
        <v>292</v>
      </c>
      <c r="F72" s="447" t="str">
        <f t="shared" si="13"/>
        <v>ETR1000V300-CPR-14A</v>
      </c>
      <c r="G72" s="448" t="s">
        <v>386</v>
      </c>
      <c r="H72" s="450" t="s">
        <v>325</v>
      </c>
      <c r="I72" s="447" t="str">
        <f t="shared" si="14"/>
        <v>ETR1000V300-CPR-14A</v>
      </c>
      <c r="J72" s="448" t="s">
        <v>386</v>
      </c>
      <c r="K72" s="450" t="s">
        <v>325</v>
      </c>
      <c r="L72" s="145"/>
      <c r="M72" s="145"/>
      <c r="N72" s="145"/>
      <c r="O72" s="145"/>
      <c r="P72" s="145"/>
      <c r="Q72" s="145"/>
      <c r="R72" s="146"/>
      <c r="S72" s="146"/>
      <c r="T72" s="146"/>
      <c r="U72" s="146"/>
      <c r="V72" s="146"/>
      <c r="W72" s="146"/>
    </row>
    <row r="73" spans="1:23" x14ac:dyDescent="0.25">
      <c r="A73" s="7" t="s">
        <v>272</v>
      </c>
      <c r="B73" s="7" t="s">
        <v>186</v>
      </c>
      <c r="C73" s="7" t="s">
        <v>374</v>
      </c>
      <c r="D73" s="145" t="s">
        <v>375</v>
      </c>
      <c r="E73" s="7" t="s">
        <v>275</v>
      </c>
      <c r="F73" s="447" t="str">
        <f t="shared" si="13"/>
        <v>ETR1000V300-CPR-14B</v>
      </c>
      <c r="G73" s="448" t="s">
        <v>386</v>
      </c>
      <c r="H73" s="461">
        <v>46174</v>
      </c>
      <c r="I73" s="447" t="str">
        <f t="shared" si="14"/>
        <v>ETR1000V300-CPR-14B</v>
      </c>
      <c r="J73" s="448" t="s">
        <v>386</v>
      </c>
      <c r="K73" s="461">
        <v>46174</v>
      </c>
      <c r="L73" s="145"/>
      <c r="M73" s="145"/>
      <c r="N73" s="145"/>
      <c r="O73" s="145"/>
      <c r="P73" s="145"/>
      <c r="Q73" s="145"/>
      <c r="R73" s="146"/>
      <c r="S73" s="146"/>
      <c r="T73" s="146"/>
      <c r="U73" s="146"/>
      <c r="V73" s="146"/>
      <c r="W73" s="146"/>
    </row>
    <row r="74" spans="1:23" x14ac:dyDescent="0.25">
      <c r="A74" s="7" t="s">
        <v>272</v>
      </c>
      <c r="B74" s="7" t="s">
        <v>186</v>
      </c>
      <c r="C74" s="7" t="s">
        <v>376</v>
      </c>
      <c r="D74" s="145" t="s">
        <v>377</v>
      </c>
      <c r="E74" s="7" t="s">
        <v>293</v>
      </c>
      <c r="F74" s="447" t="str">
        <f t="shared" si="13"/>
        <v>ETR1000V300-CPR-14C</v>
      </c>
      <c r="G74" s="448" t="s">
        <v>386</v>
      </c>
      <c r="H74" s="450" t="s">
        <v>325</v>
      </c>
      <c r="I74" s="447" t="str">
        <f t="shared" si="14"/>
        <v>ETR1000V300-CPR-14C</v>
      </c>
      <c r="J74" s="448" t="s">
        <v>386</v>
      </c>
      <c r="K74" s="450" t="s">
        <v>325</v>
      </c>
      <c r="L74" s="145"/>
      <c r="M74" s="145"/>
      <c r="N74" s="145"/>
      <c r="O74" s="145"/>
      <c r="P74" s="145"/>
      <c r="Q74" s="145"/>
      <c r="R74" s="146"/>
      <c r="S74" s="146"/>
      <c r="T74" s="146"/>
      <c r="U74" s="146"/>
      <c r="V74" s="146"/>
      <c r="W74" s="146"/>
    </row>
    <row r="75" spans="1:23" x14ac:dyDescent="0.25">
      <c r="A75" s="7" t="s">
        <v>272</v>
      </c>
      <c r="B75" s="7" t="s">
        <v>186</v>
      </c>
      <c r="C75" s="7" t="s">
        <v>378</v>
      </c>
      <c r="D75" s="145" t="s">
        <v>379</v>
      </c>
      <c r="E75" s="7" t="s">
        <v>294</v>
      </c>
      <c r="F75" s="447" t="str">
        <f t="shared" si="13"/>
        <v>ETR1000V300-CPR-14D</v>
      </c>
      <c r="G75" s="448" t="s">
        <v>386</v>
      </c>
      <c r="H75" s="450" t="s">
        <v>325</v>
      </c>
      <c r="I75" s="447" t="str">
        <f t="shared" si="14"/>
        <v>ETR1000V300-CPR-14D</v>
      </c>
      <c r="J75" s="448" t="s">
        <v>386</v>
      </c>
      <c r="K75" s="450" t="s">
        <v>325</v>
      </c>
      <c r="L75" s="145"/>
      <c r="M75" s="145"/>
      <c r="N75" s="145"/>
      <c r="O75" s="145"/>
      <c r="P75" s="145"/>
      <c r="Q75" s="145"/>
      <c r="R75" s="146"/>
      <c r="S75" s="146"/>
      <c r="T75" s="146"/>
      <c r="U75" s="146"/>
      <c r="V75" s="146"/>
      <c r="W75" s="146"/>
    </row>
    <row r="76" spans="1:23" x14ac:dyDescent="0.25">
      <c r="A76" s="7" t="s">
        <v>272</v>
      </c>
      <c r="B76" s="7" t="s">
        <v>186</v>
      </c>
      <c r="C76" s="7" t="s">
        <v>332</v>
      </c>
      <c r="D76" s="145" t="s">
        <v>380</v>
      </c>
      <c r="E76" s="7" t="s">
        <v>295</v>
      </c>
      <c r="F76" s="447" t="str">
        <f t="shared" si="13"/>
        <v>ETR1000V300-CPR-15A</v>
      </c>
      <c r="G76" s="448" t="s">
        <v>386</v>
      </c>
      <c r="H76" s="450" t="s">
        <v>325</v>
      </c>
      <c r="I76" s="447" t="str">
        <f t="shared" si="14"/>
        <v>ETR1000V300-CPR-15A</v>
      </c>
      <c r="J76" s="448" t="s">
        <v>386</v>
      </c>
      <c r="K76" s="450" t="s">
        <v>325</v>
      </c>
      <c r="L76" s="145"/>
      <c r="M76" s="145"/>
      <c r="N76" s="145"/>
      <c r="O76" s="145"/>
      <c r="P76" s="145"/>
      <c r="Q76" s="145"/>
      <c r="R76" s="146"/>
      <c r="S76" s="146"/>
      <c r="T76" s="146"/>
      <c r="U76" s="146"/>
      <c r="V76" s="146"/>
      <c r="W76" s="146"/>
    </row>
    <row r="77" spans="1:23" x14ac:dyDescent="0.25">
      <c r="A77" s="7" t="s">
        <v>272</v>
      </c>
      <c r="B77" s="7" t="s">
        <v>186</v>
      </c>
      <c r="C77" s="7" t="s">
        <v>381</v>
      </c>
      <c r="D77" s="145" t="s">
        <v>382</v>
      </c>
      <c r="E77" s="7" t="s">
        <v>296</v>
      </c>
      <c r="F77" s="447" t="str">
        <f t="shared" si="13"/>
        <v>ETR1000V300-CPR-15B</v>
      </c>
      <c r="G77" s="448" t="s">
        <v>386</v>
      </c>
      <c r="H77" s="450" t="s">
        <v>325</v>
      </c>
      <c r="I77" s="447" t="str">
        <f t="shared" si="14"/>
        <v>ETR1000V300-CPR-15B</v>
      </c>
      <c r="J77" s="448" t="s">
        <v>386</v>
      </c>
      <c r="K77" s="450" t="s">
        <v>325</v>
      </c>
      <c r="L77" s="145"/>
      <c r="M77" s="145"/>
      <c r="N77" s="145"/>
      <c r="O77" s="145"/>
      <c r="P77" s="145"/>
      <c r="Q77" s="145"/>
      <c r="R77" s="146"/>
      <c r="S77" s="146"/>
      <c r="T77" s="146"/>
      <c r="U77" s="146"/>
      <c r="V77" s="146"/>
      <c r="W77" s="146"/>
    </row>
    <row r="78" spans="1:23" x14ac:dyDescent="0.25">
      <c r="A78" s="7" t="s">
        <v>272</v>
      </c>
      <c r="B78" s="7" t="s">
        <v>186</v>
      </c>
      <c r="C78" s="7" t="s">
        <v>341</v>
      </c>
      <c r="D78" s="145" t="s">
        <v>383</v>
      </c>
      <c r="E78" s="7" t="s">
        <v>297</v>
      </c>
      <c r="F78" s="447" t="str">
        <f t="shared" si="13"/>
        <v>ETR1000V300-CPR-31A</v>
      </c>
      <c r="G78" s="448" t="s">
        <v>386</v>
      </c>
      <c r="H78" s="461">
        <v>45717</v>
      </c>
      <c r="I78" s="447" t="str">
        <f t="shared" si="14"/>
        <v>ETR1000V300-CPR-31A</v>
      </c>
      <c r="J78" s="448" t="s">
        <v>386</v>
      </c>
      <c r="K78" s="461">
        <v>45717</v>
      </c>
      <c r="L78" s="145"/>
      <c r="M78" s="145"/>
      <c r="N78" s="145"/>
      <c r="O78" s="145"/>
      <c r="P78" s="145"/>
      <c r="Q78" s="145"/>
      <c r="R78" s="152" t="s">
        <v>177</v>
      </c>
      <c r="S78" s="152"/>
      <c r="T78" s="152"/>
      <c r="U78" s="152" t="s">
        <v>177</v>
      </c>
      <c r="V78" s="152"/>
      <c r="W78" s="152"/>
    </row>
    <row r="79" spans="1:23" s="144" customFormat="1" x14ac:dyDescent="0.25">
      <c r="A79" s="148" t="s">
        <v>272</v>
      </c>
      <c r="B79" s="148" t="s">
        <v>186</v>
      </c>
      <c r="C79" s="148" t="s">
        <v>337</v>
      </c>
      <c r="D79" s="149" t="s">
        <v>384</v>
      </c>
      <c r="E79" s="148" t="s">
        <v>385</v>
      </c>
      <c r="F79" s="447" t="str">
        <f t="shared" si="13"/>
        <v>ETR1000V300-CPR-20A</v>
      </c>
      <c r="G79" s="457" t="s">
        <v>386</v>
      </c>
      <c r="H79" s="456">
        <v>45017</v>
      </c>
      <c r="I79" s="447" t="str">
        <f t="shared" si="14"/>
        <v>ETR1000V300-CPR-20A</v>
      </c>
      <c r="J79" s="457" t="s">
        <v>386</v>
      </c>
      <c r="K79" s="456">
        <v>45017</v>
      </c>
      <c r="L79" s="151"/>
      <c r="M79" s="151"/>
      <c r="N79" s="151"/>
      <c r="O79" s="151"/>
      <c r="P79" s="151"/>
      <c r="Q79" s="151"/>
      <c r="R79" s="150"/>
      <c r="S79" s="150"/>
      <c r="T79" s="150"/>
      <c r="U79" s="150"/>
      <c r="V79" s="150"/>
      <c r="W79" s="150"/>
    </row>
  </sheetData>
  <mergeCells count="11">
    <mergeCell ref="U1:W1"/>
    <mergeCell ref="F1:H1"/>
    <mergeCell ref="I1:K1"/>
    <mergeCell ref="L1:N1"/>
    <mergeCell ref="O1:Q1"/>
    <mergeCell ref="R1:T1"/>
    <mergeCell ref="A1:A2"/>
    <mergeCell ref="B1:B2"/>
    <mergeCell ref="C1:C2"/>
    <mergeCell ref="D1:D2"/>
    <mergeCell ref="E1:E2"/>
  </mergeCells>
  <phoneticPr fontId="17" type="noConversion"/>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0055-5BFD-4E1B-9E56-55963F699F23}">
  <sheetPr>
    <tabColor theme="5" tint="0.39997558519241921"/>
  </sheetPr>
  <dimension ref="A1:S23"/>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C8" sqref="C8:C11"/>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24.85546875" style="15" bestFit="1" customWidth="1"/>
    <col min="5" max="5" width="6.42578125" style="15" bestFit="1" customWidth="1"/>
    <col min="6" max="6" width="33.5703125" style="15" bestFit="1" customWidth="1"/>
    <col min="7" max="7" width="4.7109375" style="15" bestFit="1" customWidth="1"/>
    <col min="8" max="8" width="33.5703125" style="15" bestFit="1" customWidth="1"/>
    <col min="9" max="9" width="4.7109375" style="15" bestFit="1" customWidth="1"/>
    <col min="10" max="10" width="33.5703125" style="15" bestFit="1" customWidth="1"/>
    <col min="11" max="11" width="4.42578125" style="15" bestFit="1" customWidth="1"/>
    <col min="12" max="12" width="27.42578125" style="15" bestFit="1" customWidth="1"/>
    <col min="13" max="13" width="5.42578125" style="15" bestFit="1"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16384" width="8.7109375" style="103"/>
  </cols>
  <sheetData>
    <row r="1" spans="1:19" s="105" customFormat="1" x14ac:dyDescent="0.25">
      <c r="A1" s="470" t="s">
        <v>427</v>
      </c>
      <c r="B1" s="486" t="s">
        <v>801</v>
      </c>
      <c r="C1" s="488" t="s">
        <v>1277</v>
      </c>
      <c r="D1" s="483" t="s">
        <v>1472</v>
      </c>
      <c r="E1" s="476"/>
      <c r="F1" s="484" t="s">
        <v>1474</v>
      </c>
      <c r="G1" s="485"/>
      <c r="H1" s="483" t="s">
        <v>960</v>
      </c>
      <c r="I1" s="476"/>
      <c r="J1" s="484" t="s">
        <v>173</v>
      </c>
      <c r="K1" s="485"/>
      <c r="L1" s="483" t="s">
        <v>1475</v>
      </c>
      <c r="M1" s="483"/>
      <c r="N1" s="484" t="s">
        <v>1476</v>
      </c>
      <c r="O1" s="485"/>
      <c r="P1" s="483" t="s">
        <v>174</v>
      </c>
      <c r="Q1" s="483"/>
      <c r="R1" s="484" t="s">
        <v>966</v>
      </c>
      <c r="S1" s="485"/>
    </row>
    <row r="2" spans="1:19" s="105" customFormat="1" ht="30" x14ac:dyDescent="0.25">
      <c r="A2" s="472"/>
      <c r="B2" s="487"/>
      <c r="C2" s="472"/>
      <c r="D2" s="435" t="s">
        <v>949</v>
      </c>
      <c r="E2" s="173" t="s">
        <v>429</v>
      </c>
      <c r="F2" s="438" t="s">
        <v>949</v>
      </c>
      <c r="G2" s="439" t="s">
        <v>429</v>
      </c>
      <c r="H2" s="435" t="s">
        <v>949</v>
      </c>
      <c r="I2" s="173" t="s">
        <v>429</v>
      </c>
      <c r="J2" s="438" t="s">
        <v>949</v>
      </c>
      <c r="K2" s="439" t="s">
        <v>429</v>
      </c>
      <c r="L2" s="407" t="s">
        <v>428</v>
      </c>
      <c r="M2" s="407" t="s">
        <v>429</v>
      </c>
      <c r="N2" s="443" t="s">
        <v>428</v>
      </c>
      <c r="O2" s="172" t="s">
        <v>429</v>
      </c>
      <c r="P2" s="435" t="s">
        <v>428</v>
      </c>
      <c r="Q2" s="435" t="s">
        <v>429</v>
      </c>
      <c r="R2" s="438" t="s">
        <v>428</v>
      </c>
      <c r="S2" s="439" t="s">
        <v>429</v>
      </c>
    </row>
    <row r="3" spans="1:19" x14ac:dyDescent="0.25">
      <c r="A3" s="216" t="s">
        <v>1271</v>
      </c>
      <c r="B3" s="436"/>
      <c r="C3" s="436"/>
      <c r="D3" s="418"/>
      <c r="E3" s="217"/>
      <c r="F3" s="440"/>
      <c r="G3" s="441"/>
      <c r="H3" s="418"/>
      <c r="I3" s="217"/>
      <c r="J3" s="440"/>
      <c r="K3" s="441"/>
      <c r="L3" s="418"/>
      <c r="M3" s="418"/>
      <c r="N3" s="440"/>
      <c r="O3" s="441"/>
      <c r="P3" s="418"/>
      <c r="Q3" s="418"/>
      <c r="R3" s="440"/>
      <c r="S3" s="441"/>
    </row>
    <row r="4" spans="1:19" x14ac:dyDescent="0.25">
      <c r="A4" s="425" t="s">
        <v>1303</v>
      </c>
      <c r="B4" s="434" t="s">
        <v>1304</v>
      </c>
      <c r="C4" s="437" t="s">
        <v>1282</v>
      </c>
      <c r="D4" s="426" t="s">
        <v>1305</v>
      </c>
      <c r="E4" s="426" t="s">
        <v>386</v>
      </c>
      <c r="F4" s="427"/>
      <c r="G4" s="442"/>
      <c r="H4" s="426"/>
      <c r="I4" s="469"/>
      <c r="J4" s="427"/>
      <c r="K4" s="442"/>
      <c r="L4" s="426"/>
      <c r="M4" s="426"/>
      <c r="N4" s="427"/>
      <c r="O4" s="442"/>
      <c r="P4" s="426"/>
      <c r="Q4" s="426"/>
      <c r="R4" s="427"/>
      <c r="S4" s="442"/>
    </row>
    <row r="5" spans="1:19" ht="30" x14ac:dyDescent="0.25">
      <c r="A5" s="117" t="s">
        <v>1479</v>
      </c>
      <c r="B5" s="106" t="s">
        <v>1276</v>
      </c>
      <c r="C5" s="107" t="s">
        <v>1471</v>
      </c>
      <c r="D5" s="15" t="s">
        <v>1069</v>
      </c>
      <c r="E5" s="15" t="s">
        <v>386</v>
      </c>
      <c r="F5" s="109" t="s">
        <v>1070</v>
      </c>
      <c r="G5" s="110" t="s">
        <v>386</v>
      </c>
      <c r="H5" s="15" t="s">
        <v>1070</v>
      </c>
      <c r="I5" s="110" t="s">
        <v>386</v>
      </c>
      <c r="J5" s="109" t="s">
        <v>1070</v>
      </c>
      <c r="K5" s="110" t="s">
        <v>386</v>
      </c>
      <c r="N5" s="109"/>
      <c r="O5" s="110"/>
      <c r="R5" s="109"/>
      <c r="S5" s="110"/>
    </row>
    <row r="6" spans="1:19" x14ac:dyDescent="0.25">
      <c r="A6" s="117" t="s">
        <v>1467</v>
      </c>
      <c r="B6" s="106" t="s">
        <v>1468</v>
      </c>
      <c r="C6" s="107" t="s">
        <v>1278</v>
      </c>
      <c r="D6" s="15" t="s">
        <v>1469</v>
      </c>
      <c r="E6" s="15" t="s">
        <v>386</v>
      </c>
      <c r="F6" s="109" t="s">
        <v>1470</v>
      </c>
      <c r="G6" s="110" t="s">
        <v>386</v>
      </c>
      <c r="H6" s="15" t="s">
        <v>1477</v>
      </c>
      <c r="I6" s="15" t="s">
        <v>386</v>
      </c>
      <c r="J6" s="109" t="s">
        <v>1478</v>
      </c>
      <c r="K6" s="110"/>
      <c r="N6" s="109"/>
      <c r="O6" s="110"/>
      <c r="R6" s="109"/>
      <c r="S6" s="110"/>
    </row>
    <row r="7" spans="1:19" x14ac:dyDescent="0.25">
      <c r="A7" s="117" t="s">
        <v>1303</v>
      </c>
      <c r="B7" s="106" t="s">
        <v>1304</v>
      </c>
      <c r="C7" s="107" t="s">
        <v>1282</v>
      </c>
      <c r="D7" s="15" t="s">
        <v>1305</v>
      </c>
      <c r="E7" s="15" t="s">
        <v>386</v>
      </c>
      <c r="F7" s="109"/>
      <c r="G7" s="110"/>
      <c r="I7" s="140"/>
      <c r="J7" s="109"/>
      <c r="K7" s="110"/>
      <c r="N7" s="109"/>
      <c r="O7" s="110"/>
      <c r="R7" s="109"/>
      <c r="S7" s="110"/>
    </row>
    <row r="8" spans="1:19" x14ac:dyDescent="0.25">
      <c r="A8" s="117" t="s">
        <v>1459</v>
      </c>
      <c r="B8" s="106" t="s">
        <v>1464</v>
      </c>
      <c r="C8" s="107" t="s">
        <v>1278</v>
      </c>
      <c r="F8" s="109"/>
      <c r="G8" s="110"/>
      <c r="I8" s="140"/>
      <c r="J8" s="109"/>
      <c r="K8" s="110"/>
      <c r="L8" s="15" t="s">
        <v>1457</v>
      </c>
      <c r="M8" s="15" t="s">
        <v>1458</v>
      </c>
      <c r="N8" s="109"/>
      <c r="O8" s="110"/>
      <c r="R8" s="109"/>
      <c r="S8" s="110"/>
    </row>
    <row r="9" spans="1:19" x14ac:dyDescent="0.25">
      <c r="A9" s="117" t="s">
        <v>1461</v>
      </c>
      <c r="B9" s="106" t="s">
        <v>1465</v>
      </c>
      <c r="C9" s="107" t="s">
        <v>1278</v>
      </c>
      <c r="F9" s="109"/>
      <c r="G9" s="110"/>
      <c r="I9" s="140"/>
      <c r="J9" s="109"/>
      <c r="K9" s="110"/>
      <c r="L9" s="15" t="s">
        <v>1460</v>
      </c>
      <c r="M9" s="15" t="s">
        <v>1458</v>
      </c>
      <c r="N9" s="109"/>
      <c r="O9" s="110"/>
      <c r="R9" s="109"/>
      <c r="S9" s="110"/>
    </row>
    <row r="10" spans="1:19" ht="30" x14ac:dyDescent="0.25">
      <c r="A10" s="117" t="s">
        <v>1463</v>
      </c>
      <c r="B10" s="106" t="s">
        <v>1466</v>
      </c>
      <c r="C10" s="107" t="s">
        <v>1278</v>
      </c>
      <c r="F10" s="109"/>
      <c r="G10" s="110"/>
      <c r="I10" s="140"/>
      <c r="J10" s="109"/>
      <c r="K10" s="110"/>
      <c r="L10" s="15" t="s">
        <v>1463</v>
      </c>
      <c r="M10" s="140" t="s">
        <v>1462</v>
      </c>
      <c r="N10" s="109"/>
      <c r="O10" s="110"/>
      <c r="R10" s="109"/>
      <c r="S10" s="110"/>
    </row>
    <row r="11" spans="1:19" x14ac:dyDescent="0.25">
      <c r="A11" s="117" t="s">
        <v>1279</v>
      </c>
      <c r="B11" s="106" t="s">
        <v>1280</v>
      </c>
      <c r="C11" s="107" t="s">
        <v>1278</v>
      </c>
      <c r="F11" s="109"/>
      <c r="G11" s="110"/>
      <c r="H11" s="15" t="s">
        <v>1281</v>
      </c>
      <c r="I11" s="140" t="s">
        <v>954</v>
      </c>
      <c r="J11" s="109"/>
      <c r="K11" s="110"/>
      <c r="N11" s="109"/>
      <c r="O11" s="110"/>
      <c r="R11" s="109"/>
      <c r="S11" s="110"/>
    </row>
    <row r="12" spans="1:19" x14ac:dyDescent="0.25">
      <c r="A12" s="117"/>
      <c r="C12" s="107"/>
      <c r="F12" s="109"/>
      <c r="G12" s="110"/>
      <c r="I12" s="140"/>
      <c r="J12" s="109"/>
      <c r="K12" s="110"/>
      <c r="N12" s="109"/>
      <c r="O12" s="110"/>
      <c r="R12" s="109"/>
      <c r="S12" s="110"/>
    </row>
    <row r="13" spans="1:19" x14ac:dyDescent="0.25">
      <c r="A13" s="117"/>
      <c r="C13" s="107"/>
      <c r="F13" s="109"/>
      <c r="G13" s="110"/>
      <c r="I13" s="140"/>
      <c r="J13" s="109"/>
      <c r="K13" s="110"/>
      <c r="N13" s="109"/>
      <c r="O13" s="110"/>
      <c r="R13" s="109"/>
      <c r="S13" s="110"/>
    </row>
    <row r="14" spans="1:19" x14ac:dyDescent="0.25">
      <c r="A14" s="117"/>
      <c r="C14" s="107"/>
      <c r="F14" s="109"/>
      <c r="G14" s="110"/>
      <c r="I14" s="140"/>
      <c r="J14" s="109"/>
      <c r="K14" s="110"/>
      <c r="N14" s="109"/>
      <c r="O14" s="110"/>
      <c r="R14" s="109"/>
      <c r="S14" s="110"/>
    </row>
    <row r="15" spans="1:19" x14ac:dyDescent="0.25">
      <c r="A15" s="117"/>
      <c r="C15" s="107"/>
      <c r="F15" s="109"/>
      <c r="G15" s="110"/>
      <c r="I15" s="140"/>
      <c r="J15" s="109"/>
      <c r="K15" s="110"/>
      <c r="N15" s="109"/>
      <c r="O15" s="110"/>
      <c r="R15" s="109"/>
      <c r="S15" s="110"/>
    </row>
    <row r="16" spans="1:19" x14ac:dyDescent="0.25">
      <c r="A16" s="117"/>
      <c r="C16" s="107"/>
      <c r="F16" s="109"/>
      <c r="G16" s="110"/>
      <c r="I16" s="140"/>
      <c r="J16" s="109"/>
      <c r="K16" s="110"/>
      <c r="N16" s="109"/>
      <c r="O16" s="110"/>
      <c r="R16" s="109"/>
      <c r="S16" s="110"/>
    </row>
    <row r="17" spans="1:19" x14ac:dyDescent="0.25">
      <c r="A17" s="117"/>
      <c r="C17" s="107"/>
      <c r="F17" s="109"/>
      <c r="G17" s="110"/>
      <c r="I17" s="140"/>
      <c r="J17" s="109"/>
      <c r="K17" s="110"/>
      <c r="N17" s="109"/>
      <c r="O17" s="110"/>
      <c r="R17" s="109"/>
      <c r="S17" s="110"/>
    </row>
    <row r="18" spans="1:19" x14ac:dyDescent="0.25">
      <c r="A18" s="117"/>
      <c r="C18" s="107"/>
      <c r="F18" s="109"/>
      <c r="G18" s="110"/>
      <c r="I18" s="140"/>
      <c r="J18" s="109"/>
      <c r="K18" s="110"/>
      <c r="N18" s="109"/>
      <c r="O18" s="110"/>
      <c r="R18" s="109"/>
      <c r="S18" s="110"/>
    </row>
    <row r="19" spans="1:19" x14ac:dyDescent="0.25">
      <c r="A19" s="117"/>
      <c r="C19" s="107"/>
      <c r="F19" s="109"/>
      <c r="G19" s="110"/>
      <c r="I19" s="140"/>
      <c r="J19" s="109"/>
      <c r="K19" s="110"/>
      <c r="N19" s="109"/>
      <c r="O19" s="110"/>
      <c r="R19" s="109"/>
      <c r="S19" s="110"/>
    </row>
    <row r="20" spans="1:19" x14ac:dyDescent="0.25">
      <c r="A20" s="117"/>
      <c r="C20" s="107"/>
      <c r="F20" s="109"/>
      <c r="G20" s="110"/>
      <c r="I20" s="140"/>
      <c r="J20" s="109"/>
      <c r="K20" s="110"/>
      <c r="N20" s="109"/>
      <c r="O20" s="110"/>
      <c r="R20" s="109"/>
      <c r="S20" s="110"/>
    </row>
    <row r="21" spans="1:19" x14ac:dyDescent="0.25">
      <c r="A21" s="117"/>
      <c r="C21" s="107"/>
      <c r="F21" s="109"/>
      <c r="G21" s="110"/>
      <c r="I21" s="140"/>
      <c r="J21" s="109"/>
      <c r="K21" s="110"/>
      <c r="N21" s="109"/>
      <c r="O21" s="110"/>
      <c r="R21" s="109"/>
      <c r="S21" s="110"/>
    </row>
    <row r="22" spans="1:19" x14ac:dyDescent="0.25">
      <c r="A22" s="117"/>
      <c r="C22" s="107"/>
      <c r="F22" s="109"/>
      <c r="G22" s="110"/>
      <c r="I22" s="140"/>
      <c r="J22" s="109"/>
      <c r="K22" s="110"/>
      <c r="N22" s="109"/>
      <c r="O22" s="110"/>
      <c r="R22" s="109"/>
      <c r="S22" s="110"/>
    </row>
    <row r="23" spans="1:19" x14ac:dyDescent="0.25">
      <c r="A23" s="117"/>
      <c r="C23" s="107"/>
      <c r="F23" s="109"/>
      <c r="G23" s="110"/>
      <c r="I23" s="140"/>
      <c r="J23" s="109"/>
      <c r="K23" s="110"/>
      <c r="N23" s="109"/>
      <c r="O23" s="110"/>
      <c r="R23" s="109"/>
      <c r="S23" s="110"/>
    </row>
  </sheetData>
  <mergeCells count="11">
    <mergeCell ref="J1:K1"/>
    <mergeCell ref="L1:M1"/>
    <mergeCell ref="N1:O1"/>
    <mergeCell ref="P1:Q1"/>
    <mergeCell ref="R1:S1"/>
    <mergeCell ref="H1:I1"/>
    <mergeCell ref="A1:A2"/>
    <mergeCell ref="B1:B2"/>
    <mergeCell ref="C1:C2"/>
    <mergeCell ref="D1:E1"/>
    <mergeCell ref="F1:G1"/>
  </mergeCells>
  <pageMargins left="0.7" right="0.7" top="0.75" bottom="0.75" header="0.3" footer="0.3"/>
  <pageSetup paperSize="9" orientation="portrait" verticalDpi="1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DC70-7CEC-4583-B3BF-C95AA5A64770}">
  <sheetPr codeName="Foglio5">
    <tabColor theme="9" tint="0.39997558519241921"/>
    <outlinePr summaryBelow="0"/>
  </sheetPr>
  <dimension ref="A1:L230"/>
  <sheetViews>
    <sheetView tabSelected="1" zoomScale="85" zoomScaleNormal="85" workbookViewId="0">
      <pane xSplit="2" ySplit="1" topLeftCell="C14" activePane="bottomRight" state="frozen"/>
      <selection pane="topRight" activeCell="F1" sqref="F1"/>
      <selection pane="bottomLeft" activeCell="A3" sqref="A3"/>
      <selection pane="bottomRight" activeCell="D41" sqref="D41"/>
    </sheetView>
  </sheetViews>
  <sheetFormatPr defaultColWidth="8.7109375" defaultRowHeight="15" outlineLevelRow="2" x14ac:dyDescent="0.25"/>
  <cols>
    <col min="1" max="1" width="49.7109375" style="106" bestFit="1" customWidth="1"/>
    <col min="2" max="2" width="65.42578125" style="106" customWidth="1"/>
    <col min="3" max="3" width="10" style="106" bestFit="1" customWidth="1"/>
    <col min="4" max="4" width="28.42578125" style="15" bestFit="1" customWidth="1"/>
    <col min="5" max="5" width="21.42578125" style="106" customWidth="1"/>
    <col min="6" max="10" width="35.5703125" style="15" customWidth="1"/>
    <col min="11" max="12" width="14.85546875" style="15" customWidth="1"/>
    <col min="13" max="13" width="8.7109375" style="103"/>
    <col min="14" max="14" width="33.140625" style="103" customWidth="1"/>
    <col min="15" max="16384" width="8.7109375" style="103"/>
  </cols>
  <sheetData>
    <row r="1" spans="1:12" s="105" customFormat="1" ht="31.5" customHeight="1" x14ac:dyDescent="0.25">
      <c r="A1" s="177" t="s">
        <v>1063</v>
      </c>
      <c r="B1" s="177" t="s">
        <v>1206</v>
      </c>
      <c r="C1" s="464" t="s">
        <v>1273</v>
      </c>
      <c r="D1" s="127" t="s">
        <v>941</v>
      </c>
      <c r="E1" s="127" t="s">
        <v>940</v>
      </c>
      <c r="F1" s="141" t="s">
        <v>1472</v>
      </c>
      <c r="G1" s="141" t="s">
        <v>1474</v>
      </c>
      <c r="H1" s="142" t="s">
        <v>960</v>
      </c>
      <c r="I1" s="142" t="s">
        <v>173</v>
      </c>
      <c r="J1" s="142" t="s">
        <v>1475</v>
      </c>
      <c r="K1" s="142" t="s">
        <v>1476</v>
      </c>
      <c r="L1" s="143" t="s">
        <v>174</v>
      </c>
    </row>
    <row r="2" spans="1:12" ht="41.1" customHeight="1" x14ac:dyDescent="0.25">
      <c r="A2" s="196" t="s">
        <v>1056</v>
      </c>
      <c r="B2" s="196" t="s">
        <v>1057</v>
      </c>
      <c r="C2" s="419" t="s">
        <v>800</v>
      </c>
      <c r="D2" s="197" t="str">
        <f>IF($A2="","",HYPERLINK(CONCATENATE(Cartelle!$D$6,$A2),CONCATENATE("#Sharepoint//",$A2)))</f>
        <v>#Sharepoint//Park_Brake_01</v>
      </c>
      <c r="E2" s="181"/>
      <c r="F2" s="182"/>
      <c r="G2" s="182"/>
      <c r="H2" s="182"/>
      <c r="I2" s="182"/>
      <c r="J2" s="182"/>
      <c r="K2" s="182"/>
      <c r="L2" s="183"/>
    </row>
    <row r="3" spans="1:12" outlineLevel="1" collapsed="1" x14ac:dyDescent="0.25">
      <c r="B3" s="157"/>
      <c r="D3" s="179" t="s">
        <v>860</v>
      </c>
      <c r="E3" s="207" t="s">
        <v>184</v>
      </c>
      <c r="F3" s="340" t="str" cm="1">
        <f t="array" aca="1" ref="F3" ca="1">HYPERLINK(CONCATENATE(Cartelle!$D$5,F$1,"/CONFIG/",MID($D3,1,FIND("_",$D3)-1),"/",INDIRECT(CONCATENATE("'CONFIG'!",ADDRESS(MATCH($D3, CONFIG!$B:$B, 0),MATCH(F$1, CONFIG!$1:$1, 0)))),".pdf#page=",F4),CONCATENATE("#Sharepoint//",$D3))</f>
        <v>#Sharepoint//FS_DM1</v>
      </c>
      <c r="G3" s="340"/>
      <c r="H3" s="179"/>
      <c r="I3" s="179"/>
      <c r="J3" s="340" t="str" cm="1">
        <f t="array" aca="1" ref="J3" ca="1">HYPERLINK(CONCATENATE(Cartelle!$D$5,J$1,"/CONFIG/",MID($D3,1,FIND("_",$D3)-1),"/",INDIRECT(CONCATENATE("'CONFIG'!",ADDRESS(MATCH($D3, CONFIG!$B:$B, 0),MATCH(J$1, CONFIG!$1:$1, 0)))),".pdf#page=",J4),CONCATENATE("#Sharepoint//",$D3))</f>
        <v>#Sharepoint//FS_DM1</v>
      </c>
      <c r="K3" s="178"/>
      <c r="L3" s="179"/>
    </row>
    <row r="4" spans="1:12" hidden="1" outlineLevel="2" x14ac:dyDescent="0.25">
      <c r="B4" s="157"/>
      <c r="D4" s="385"/>
      <c r="E4" s="208" t="s">
        <v>868</v>
      </c>
      <c r="F4" s="50">
        <v>276</v>
      </c>
      <c r="G4" s="186">
        <v>243</v>
      </c>
      <c r="H4" s="50"/>
      <c r="I4" s="50"/>
      <c r="J4" s="50">
        <v>144</v>
      </c>
      <c r="K4" s="85"/>
      <c r="L4" s="50"/>
    </row>
    <row r="5" spans="1:12" ht="75" hidden="1" outlineLevel="2" x14ac:dyDescent="0.25">
      <c r="B5" s="157"/>
      <c r="D5" s="107"/>
      <c r="E5" s="208" t="s">
        <v>423</v>
      </c>
      <c r="F5" s="85" t="s">
        <v>424</v>
      </c>
      <c r="G5" s="50"/>
      <c r="H5" s="50"/>
      <c r="I5" s="50"/>
      <c r="J5" s="85" t="s">
        <v>425</v>
      </c>
      <c r="K5" s="180"/>
      <c r="L5" s="50"/>
    </row>
    <row r="6" spans="1:12" ht="330" hidden="1" outlineLevel="2" x14ac:dyDescent="0.25">
      <c r="B6" s="157"/>
      <c r="D6" s="108"/>
      <c r="E6" s="208" t="s">
        <v>426</v>
      </c>
      <c r="F6" s="85" t="s">
        <v>1050</v>
      </c>
      <c r="G6" s="50"/>
      <c r="H6" s="50"/>
      <c r="I6" s="50"/>
      <c r="J6" s="85" t="s">
        <v>1051</v>
      </c>
      <c r="K6" s="50"/>
      <c r="L6" s="50"/>
    </row>
    <row r="7" spans="1:12" outlineLevel="1" collapsed="1" x14ac:dyDescent="0.25">
      <c r="B7" s="157"/>
      <c r="D7" s="179" t="s">
        <v>861</v>
      </c>
      <c r="E7" s="207" t="s">
        <v>184</v>
      </c>
      <c r="F7" s="340" t="str" cm="1">
        <f t="array" aca="1" ref="F7" ca="1">HYPERLINK(CONCATENATE(Cartelle!$D$5,F$1,"/CONFIG/",MID($D7,1,FIND("_",$D7)-1),"/",INDIRECT(CONCATENATE("'CONFIG'!",ADDRESS(MATCH($D7, CONFIG!$B:$B, 0),MATCH(F$1, CONFIG!$1:$1, 0)))),".pdf#page=",F8),CONCATENATE("#Sharepoint//",$D7))</f>
        <v>#Sharepoint//FS_TT2</v>
      </c>
      <c r="G7" s="179"/>
      <c r="H7" s="179"/>
      <c r="I7" s="179"/>
      <c r="J7" s="340" t="str" cm="1">
        <f t="array" aca="1" ref="J7" ca="1">HYPERLINK(CONCATENATE(Cartelle!$D$5,J$1,"/CONFIG/",MID($D7,1,FIND("_",$D7)-1),"/",INDIRECT(CONCATENATE("'CONFIG'!",ADDRESS(MATCH($D7, CONFIG!$B:$B, 0),MATCH(J$1, CONFIG!$1:$1, 0)))),".pdf#page=",J8),CONCATENATE("#Sharepoint//",$D7))</f>
        <v>#Sharepoint//FS_TT2</v>
      </c>
      <c r="K7" s="178"/>
      <c r="L7" s="179"/>
    </row>
    <row r="8" spans="1:12" hidden="1" outlineLevel="2" x14ac:dyDescent="0.25">
      <c r="B8" s="157"/>
      <c r="D8" s="385"/>
      <c r="E8" s="208" t="s">
        <v>868</v>
      </c>
      <c r="F8" s="50">
        <v>171</v>
      </c>
      <c r="G8" s="50"/>
      <c r="H8" s="50"/>
      <c r="I8" s="50"/>
      <c r="J8" s="50">
        <v>131</v>
      </c>
      <c r="K8" s="85"/>
      <c r="L8" s="50"/>
    </row>
    <row r="9" spans="1:12" ht="120" hidden="1" outlineLevel="2" x14ac:dyDescent="0.25">
      <c r="B9" s="157"/>
      <c r="D9" s="107"/>
      <c r="E9" s="208" t="s">
        <v>423</v>
      </c>
      <c r="F9" s="85" t="s">
        <v>1052</v>
      </c>
      <c r="G9" s="50"/>
      <c r="H9" s="50"/>
      <c r="I9" s="50"/>
      <c r="J9" s="85" t="s">
        <v>1054</v>
      </c>
      <c r="K9" s="180"/>
      <c r="L9" s="50"/>
    </row>
    <row r="10" spans="1:12" ht="270" hidden="1" outlineLevel="2" x14ac:dyDescent="0.25">
      <c r="B10" s="157"/>
      <c r="D10" s="108"/>
      <c r="E10" s="208" t="s">
        <v>426</v>
      </c>
      <c r="F10" s="85" t="s">
        <v>1053</v>
      </c>
      <c r="G10" s="50"/>
      <c r="H10" s="50"/>
      <c r="I10" s="50"/>
      <c r="J10" s="85" t="s">
        <v>1055</v>
      </c>
      <c r="K10" s="50"/>
      <c r="L10" s="50"/>
    </row>
    <row r="11" spans="1:12" outlineLevel="1" collapsed="1" x14ac:dyDescent="0.25">
      <c r="B11" s="157"/>
      <c r="D11" s="179" t="s">
        <v>841</v>
      </c>
      <c r="E11" s="207" t="s">
        <v>184</v>
      </c>
      <c r="F11" s="340" t="str" cm="1">
        <f t="array" aca="1" ref="F11" ca="1">HYPERLINK(CONCATENATE(Cartelle!$D$5,F$1,"/CONFIG/",MID($D11,1,FIND("_",$D11)-1),"/",INDIRECT(CONCATENATE("'CONFIG'!",ADDRESS(MATCH($D11, CONFIG!$B:$B, 0),MATCH(F$1, CONFIG!$1:$1, 0)))),".pdf#page=",F12),CONCATENATE("#Sharepoint//",$D11))</f>
        <v>#Sharepoint//FRS_Brake Control</v>
      </c>
      <c r="G11" s="179"/>
      <c r="H11" s="179"/>
      <c r="I11" s="179"/>
      <c r="J11" s="340" t="str" cm="1">
        <f t="array" aca="1" ref="J11" ca="1">HYPERLINK(CONCATENATE(Cartelle!$D$5,J$1,"/CONFIG/",MID($D11,1,FIND("_",$D11)-1),"/",INDIRECT(CONCATENATE("'CONFIG'!",ADDRESS(MATCH($D11, CONFIG!$B:$B, 0),MATCH(J$1, CONFIG!$1:$1, 0)))),".pdf#page=",J12),CONCATENATE("#Sharepoint//",$D11))</f>
        <v>#Sharepoint//FRS_Brake Control</v>
      </c>
      <c r="K11" s="179"/>
      <c r="L11" s="179"/>
    </row>
    <row r="12" spans="1:12" hidden="1" outlineLevel="2" x14ac:dyDescent="0.25">
      <c r="B12" s="157"/>
      <c r="D12" s="385"/>
      <c r="E12" s="208" t="s">
        <v>868</v>
      </c>
      <c r="F12" s="50">
        <v>117</v>
      </c>
      <c r="G12" s="50"/>
      <c r="H12" s="50"/>
      <c r="I12" s="50"/>
      <c r="J12" s="50">
        <v>154</v>
      </c>
      <c r="K12" s="50"/>
      <c r="L12" s="50"/>
    </row>
    <row r="13" spans="1:12" ht="240" hidden="1" outlineLevel="2" x14ac:dyDescent="0.25">
      <c r="B13" s="157"/>
      <c r="D13" s="108"/>
      <c r="E13" s="208" t="s">
        <v>1078</v>
      </c>
      <c r="F13" s="50" t="s">
        <v>386</v>
      </c>
      <c r="G13" s="50"/>
      <c r="H13" s="50"/>
      <c r="I13" s="50"/>
      <c r="J13" s="85" t="s">
        <v>1473</v>
      </c>
      <c r="K13" s="50"/>
      <c r="L13" s="50"/>
    </row>
    <row r="14" spans="1:12" outlineLevel="1" collapsed="1" x14ac:dyDescent="0.25">
      <c r="B14" s="157"/>
      <c r="D14" s="179" t="s">
        <v>816</v>
      </c>
      <c r="E14" s="207" t="s">
        <v>184</v>
      </c>
      <c r="F14" s="340" t="str" cm="1">
        <f t="array" aca="1" ref="F14" ca="1">HYPERLINK(CONCATENATE(Cartelle!$D$5,F$1,"/CONFIG/",MID($D14,1,FIND("_",$D14)-1),"/",INDIRECT(CONCATENATE("'CONFIG'!",ADDRESS(MATCH($D14, CONFIG!$B:$B, 0),MATCH(F$1, CONFIG!$1:$1, 0)))),".pdf#page=",F15),CONCATENATE("#Sharepoint//",$D14))</f>
        <v>#Sharepoint//FPD_Brake Control</v>
      </c>
      <c r="G14" s="179"/>
      <c r="H14" s="179"/>
      <c r="I14" s="179"/>
      <c r="J14" s="340" t="str" cm="1">
        <f t="array" aca="1" ref="J14" ca="1">HYPERLINK(CONCATENATE(Cartelle!$D$5,J$1,"/CONFIG/",MID($D14,1,FIND("_",$D14)-1),"/",INDIRECT(CONCATENATE("'CONFIG'!",ADDRESS(MATCH($D14, CONFIG!$B:$B, 0),MATCH(J$1, CONFIG!$1:$1, 0)))),".pdf#page=",J15),CONCATENATE("#Sharepoint//",$D14))</f>
        <v>#Sharepoint//FPD_Brake Control</v>
      </c>
      <c r="K14" s="179"/>
      <c r="L14" s="179"/>
    </row>
    <row r="15" spans="1:12" hidden="1" outlineLevel="2" x14ac:dyDescent="0.25">
      <c r="A15" s="119"/>
      <c r="B15" s="157"/>
      <c r="D15" s="50"/>
      <c r="E15" s="208" t="s">
        <v>868</v>
      </c>
      <c r="F15" s="50">
        <v>18</v>
      </c>
      <c r="G15" s="50"/>
      <c r="H15" s="50"/>
      <c r="I15" s="50"/>
      <c r="J15" s="50">
        <v>18</v>
      </c>
      <c r="K15" s="50"/>
      <c r="L15" s="50"/>
    </row>
    <row r="16" spans="1:12" x14ac:dyDescent="0.25">
      <c r="A16" s="198" t="s">
        <v>1059</v>
      </c>
      <c r="B16" s="198" t="s">
        <v>1058</v>
      </c>
      <c r="C16" s="420" t="s">
        <v>870</v>
      </c>
      <c r="D16" s="197" t="str">
        <f>IF($A16="","",HYPERLINK(CONCATENATE(Cartelle!$D$6,$A16),CONCATENATE("#Sharepoint//",$A16)))</f>
        <v>#Sharepoint//Hot_Axle_Box_01</v>
      </c>
      <c r="E16" s="181"/>
      <c r="F16" s="182"/>
      <c r="G16" s="182"/>
      <c r="H16" s="182"/>
      <c r="I16" s="182"/>
      <c r="J16" s="182"/>
      <c r="K16" s="182"/>
      <c r="L16" s="183"/>
    </row>
    <row r="17" spans="1:12" outlineLevel="1" collapsed="1" x14ac:dyDescent="0.25">
      <c r="A17" s="199"/>
      <c r="B17" s="414"/>
      <c r="C17" s="200"/>
      <c r="D17" s="179" t="s">
        <v>860</v>
      </c>
      <c r="E17" s="207" t="s">
        <v>184</v>
      </c>
      <c r="F17" s="340" t="str" cm="1">
        <f t="array" aca="1" ref="F17" ca="1">HYPERLINK(CONCATENATE(Cartelle!$D$5,F$1,"/CONFIG/",MID($D17,1,FIND("_",$D17)-1),"/",INDIRECT(CONCATENATE("'CONFIG'!",ADDRESS(MATCH($D17, CONFIG!$B:$B, 0),MATCH(F$1, CONFIG!$1:$1, 0)))),".pdf#page=",F18),CONCATENATE("#Sharepoint//",$D17))</f>
        <v>#Sharepoint//FS_DM1</v>
      </c>
      <c r="G17" s="179"/>
      <c r="H17" s="179"/>
      <c r="I17" s="179"/>
      <c r="J17" s="340" t="str" cm="1">
        <f t="array" aca="1" ref="J17" ca="1">HYPERLINK(CONCATENATE(Cartelle!$D$5,J$1,"/CONFIG/",MID($D17,1,FIND("_",$D17)-1),"/",INDIRECT(CONCATENATE("'CONFIG'!",ADDRESS(MATCH($D17, CONFIG!$B:$B, 0),MATCH(J$1, CONFIG!$1:$1, 0)))),".pdf#page=",J18),CONCATENATE("#Sharepoint//",$D17))</f>
        <v>#Sharepoint//FS_DM1</v>
      </c>
      <c r="K17" s="178"/>
      <c r="L17" s="179"/>
    </row>
    <row r="18" spans="1:12" hidden="1" outlineLevel="2" x14ac:dyDescent="0.25">
      <c r="A18" s="201"/>
      <c r="B18" s="415"/>
      <c r="C18" s="202"/>
      <c r="D18" s="50"/>
      <c r="E18" s="208" t="s">
        <v>868</v>
      </c>
      <c r="F18" s="50">
        <v>388</v>
      </c>
      <c r="G18" s="50"/>
      <c r="H18" s="50"/>
      <c r="I18" s="50"/>
      <c r="J18" s="50">
        <v>264</v>
      </c>
      <c r="K18" s="85"/>
      <c r="L18" s="50"/>
    </row>
    <row r="19" spans="1:12" ht="150" hidden="1" outlineLevel="2" x14ac:dyDescent="0.25">
      <c r="A19" s="201"/>
      <c r="B19" s="415"/>
      <c r="C19" s="202"/>
      <c r="D19" s="50"/>
      <c r="E19" s="208" t="s">
        <v>423</v>
      </c>
      <c r="F19" s="85" t="s">
        <v>1119</v>
      </c>
      <c r="G19" s="50"/>
      <c r="H19" s="50"/>
      <c r="I19" s="50"/>
      <c r="J19" s="85" t="s">
        <v>1120</v>
      </c>
      <c r="K19" s="85"/>
      <c r="L19" s="50"/>
    </row>
    <row r="20" spans="1:12" ht="345" hidden="1" outlineLevel="2" x14ac:dyDescent="0.25">
      <c r="A20" s="201"/>
      <c r="B20" s="415"/>
      <c r="C20" s="202"/>
      <c r="D20" s="50"/>
      <c r="E20" s="208" t="s">
        <v>426</v>
      </c>
      <c r="F20" s="85" t="s">
        <v>1121</v>
      </c>
      <c r="G20" s="50"/>
      <c r="H20" s="50"/>
      <c r="I20" s="50"/>
      <c r="J20" s="85" t="s">
        <v>1122</v>
      </c>
      <c r="K20" s="85"/>
      <c r="L20" s="50"/>
    </row>
    <row r="21" spans="1:12" outlineLevel="1" collapsed="1" x14ac:dyDescent="0.25">
      <c r="A21" s="201"/>
      <c r="B21" s="415"/>
      <c r="C21" s="202"/>
      <c r="D21" s="179" t="s">
        <v>842</v>
      </c>
      <c r="E21" s="207" t="s">
        <v>184</v>
      </c>
      <c r="F21" s="340" t="str" cm="1">
        <f t="array" aca="1" ref="F21" ca="1">HYPERLINK(CONCATENATE(Cartelle!$D$5,F$1,"/CONFIG/",MID($D21,1,FIND("_",$D21)-1),"/",INDIRECT(CONCATENATE("'CONFIG'!",ADDRESS(MATCH($D21, CONFIG!$B:$B, 0),MATCH(F$1, CONFIG!$1:$1, 0)))),".pdf#page=",F22),CONCATENATE("#Sharepoint//",$D21))</f>
        <v>#Sharepoint//FRS_Bogies</v>
      </c>
      <c r="G21" s="340" t="str" cm="1">
        <f t="array" aca="1" ref="G21" ca="1">HYPERLINK(CONCATENATE(Cartelle!$D$5,G$1,"/CONFIG/",MID($D21,1,FIND("_",$D21)-1),"/",INDIRECT(CONCATENATE("'CONFIG'!",ADDRESS(MATCH($D21, CONFIG!$B:$B, 0),MATCH(G$1, CONFIG!$1:$1, 0)))),".pdf#page=",G22),CONCATENATE("#Sharepoint//",$D21))</f>
        <v>#Sharepoint//FRS_Bogies</v>
      </c>
      <c r="H21" s="179"/>
      <c r="I21" s="179"/>
      <c r="J21" s="340" t="str" cm="1">
        <f t="array" aca="1" ref="J21" ca="1">HYPERLINK(CONCATENATE(Cartelle!$D$5,J$1,"/CONFIG/",MID($D21,1,FIND("_",$D21)-1),"/",INDIRECT(CONCATENATE("'CONFIG'!",ADDRESS(MATCH($D21, CONFIG!$B:$B, 0),MATCH(J$1, CONFIG!$1:$1, 0)))),".pdf#page=",J22),CONCATENATE("#Sharepoint//",$D21))</f>
        <v>#Sharepoint//FRS_Bogies</v>
      </c>
      <c r="K21" s="179"/>
      <c r="L21" s="179"/>
    </row>
    <row r="22" spans="1:12" hidden="1" outlineLevel="2" x14ac:dyDescent="0.25">
      <c r="A22" s="201"/>
      <c r="C22" s="202"/>
      <c r="D22" s="385"/>
      <c r="E22" s="208" t="s">
        <v>868</v>
      </c>
      <c r="F22" s="50">
        <v>14</v>
      </c>
      <c r="G22" s="50">
        <v>12</v>
      </c>
      <c r="H22" s="50"/>
      <c r="I22" s="50"/>
      <c r="J22" s="50">
        <v>1</v>
      </c>
      <c r="K22" s="50"/>
      <c r="L22" s="50"/>
    </row>
    <row r="23" spans="1:12" ht="409.5" hidden="1" outlineLevel="2" x14ac:dyDescent="0.25">
      <c r="A23" s="201"/>
      <c r="B23" s="415"/>
      <c r="C23" s="202"/>
      <c r="D23" s="108"/>
      <c r="E23" s="208" t="s">
        <v>1078</v>
      </c>
      <c r="F23" s="85" t="s">
        <v>1060</v>
      </c>
      <c r="G23" s="85" t="s">
        <v>1061</v>
      </c>
      <c r="H23" s="50"/>
      <c r="I23" s="50"/>
      <c r="J23" s="50" t="s">
        <v>1062</v>
      </c>
      <c r="K23" s="50"/>
      <c r="L23" s="50"/>
    </row>
    <row r="24" spans="1:12" outlineLevel="1" collapsed="1" x14ac:dyDescent="0.25">
      <c r="A24" s="201"/>
      <c r="B24" s="415"/>
      <c r="C24" s="202"/>
      <c r="D24" s="179" t="s">
        <v>873</v>
      </c>
      <c r="E24" s="207" t="s">
        <v>184</v>
      </c>
      <c r="F24" s="340" t="e" cm="1">
        <f t="array" aca="1" ref="F24" ca="1">HYPERLINK(CONCATENATE(Cartelle!$D$5,F$1,"/CONFIG/",MID($D24,1,FIND("_",$D24)-1),"/",INDIRECT(CONCATENATE("'CONFIG'!",ADDRESS(MATCH($D24, CONFIG!$B:$B, 0),MATCH(F$1, CONFIG!$1:$1, 0)))),".pdf#page=",F25),CONCATENATE("#Sharepoint//",$D24))</f>
        <v>#N/A</v>
      </c>
      <c r="G24" s="179"/>
      <c r="H24" s="179"/>
      <c r="I24" s="179"/>
      <c r="J24" s="340" t="e" cm="1">
        <f t="array" aca="1" ref="J24" ca="1">HYPERLINK(CONCATENATE(Cartelle!$D$5,J$1,"/CONFIG/",MID($D24,1,FIND("_",$D24)-1),"/",INDIRECT(CONCATENATE("'CONFIG'!",ADDRESS(MATCH($D24, CONFIG!$B:$B, 0),MATCH(J$1, CONFIG!$1:$1, 0)))),".pdf#page=",J25),CONCATENATE("#Sharepoint//",$D24))</f>
        <v>#N/A</v>
      </c>
      <c r="K24" s="179"/>
      <c r="L24" s="179"/>
    </row>
    <row r="25" spans="1:12" hidden="1" outlineLevel="2" x14ac:dyDescent="0.25">
      <c r="A25" s="201"/>
      <c r="B25" s="202"/>
      <c r="C25" s="202"/>
      <c r="D25" s="50"/>
      <c r="E25" s="208" t="s">
        <v>868</v>
      </c>
      <c r="F25" s="50">
        <v>1</v>
      </c>
      <c r="G25" s="50"/>
      <c r="H25" s="50"/>
      <c r="I25" s="50"/>
      <c r="J25" s="50">
        <v>1</v>
      </c>
      <c r="K25" s="50"/>
      <c r="L25" s="50"/>
    </row>
    <row r="26" spans="1:12" x14ac:dyDescent="0.25">
      <c r="A26" s="184" t="s">
        <v>1182</v>
      </c>
      <c r="B26" s="184" t="s">
        <v>869</v>
      </c>
      <c r="C26" s="421" t="s">
        <v>870</v>
      </c>
      <c r="D26" s="209" t="s">
        <v>386</v>
      </c>
      <c r="E26" s="181"/>
      <c r="F26" s="182"/>
      <c r="G26" s="182"/>
      <c r="H26" s="182"/>
      <c r="I26" s="182"/>
      <c r="J26" s="182"/>
      <c r="K26" s="182"/>
      <c r="L26" s="183"/>
    </row>
    <row r="27" spans="1:12" outlineLevel="1" collapsed="1" x14ac:dyDescent="0.25">
      <c r="A27" s="203"/>
      <c r="B27" s="204"/>
      <c r="C27" s="200" t="s">
        <v>1274</v>
      </c>
      <c r="D27" s="179" t="s">
        <v>871</v>
      </c>
      <c r="E27" s="207" t="s">
        <v>184</v>
      </c>
      <c r="F27" s="340" t="e" cm="1">
        <f t="array" aca="1" ref="F27" ca="1">HYPERLINK(CONCATENATE(Cartelle!$D$5,F$1,"/CONFIG/",MID($D27,1,FIND("_",$D27)-1),"/",INDIRECT(CONCATENATE("'CONFIG'!",ADDRESS(MATCH($D27, CONFIG!$B:$B, 0),MATCH(F$1, CONFIG!$1:$1, 0)))),".pdf#page=",F28),CONCATENATE("#Sharepoint//",$D27))</f>
        <v>#N/A</v>
      </c>
      <c r="G27" s="179"/>
      <c r="H27" s="179"/>
      <c r="I27" s="179"/>
      <c r="J27" s="340" t="e" cm="1">
        <f t="array" aca="1" ref="J27" ca="1">HYPERLINK(CONCATENATE(Cartelle!$D$5,J$1,"/CONFIG/",MID($D27,1,FIND("_",$D27)-1),"/",INDIRECT(CONCATENATE("'CONFIG'!",ADDRESS(MATCH($D27, CONFIG!$B:$B, 0),MATCH(J$1, CONFIG!$1:$1, 0)))),".pdf#page=",J28),CONCATENATE("#Sharepoint//",$D27))</f>
        <v>#N/A</v>
      </c>
      <c r="K27" s="178"/>
      <c r="L27" s="179"/>
    </row>
    <row r="28" spans="1:12" hidden="1" outlineLevel="2" x14ac:dyDescent="0.25">
      <c r="A28" s="205"/>
      <c r="B28" s="206"/>
      <c r="C28" s="200" t="s">
        <v>1274</v>
      </c>
      <c r="D28" s="50"/>
      <c r="E28" s="208" t="s">
        <v>868</v>
      </c>
      <c r="F28" s="50">
        <v>1</v>
      </c>
      <c r="G28" s="50"/>
      <c r="H28" s="50"/>
      <c r="I28" s="50"/>
      <c r="J28" s="50">
        <v>1</v>
      </c>
      <c r="K28" s="85"/>
      <c r="L28" s="50"/>
    </row>
    <row r="29" spans="1:12" outlineLevel="1" collapsed="1" x14ac:dyDescent="0.25">
      <c r="A29" s="205"/>
      <c r="B29" s="206"/>
      <c r="C29" s="200" t="s">
        <v>1274</v>
      </c>
      <c r="D29" s="179" t="s">
        <v>872</v>
      </c>
      <c r="E29" s="207" t="s">
        <v>184</v>
      </c>
      <c r="F29" s="340" t="e" cm="1">
        <f t="array" aca="1" ref="F29" ca="1">HYPERLINK(CONCATENATE(Cartelle!$D$5,F$1,"/CONFIG/",MID($D29,1,FIND("_",$D29)-1),"/",INDIRECT(CONCATENATE("'CONFIG'!",ADDRESS(MATCH($D29, CONFIG!$B:$B, 0),MATCH(F$1, CONFIG!$1:$1, 0)))),".pdf#page=",F30),CONCATENATE("#Sharepoint//",$D29))</f>
        <v>#N/A</v>
      </c>
      <c r="G29" s="179"/>
      <c r="H29" s="179"/>
      <c r="I29" s="179"/>
      <c r="J29" s="340" t="e" cm="1">
        <f t="array" aca="1" ref="J29" ca="1">HYPERLINK(CONCATENATE(Cartelle!$D$5,J$1,"/CONFIG/",MID($D29,1,FIND("_",$D29)-1),"/",INDIRECT(CONCATENATE("'CONFIG'!",ADDRESS(MATCH($D29, CONFIG!$B:$B, 0),MATCH(J$1, CONFIG!$1:$1, 0)))),".pdf#page=",J30),CONCATENATE("#Sharepoint//",$D29))</f>
        <v>#N/A</v>
      </c>
      <c r="K29" s="179"/>
      <c r="L29" s="179"/>
    </row>
    <row r="30" spans="1:12" hidden="1" outlineLevel="2" x14ac:dyDescent="0.25">
      <c r="A30" s="205"/>
      <c r="B30" s="206"/>
      <c r="C30" s="200" t="s">
        <v>1274</v>
      </c>
      <c r="D30" s="50"/>
      <c r="E30" s="208" t="s">
        <v>868</v>
      </c>
      <c r="F30" s="50">
        <v>1</v>
      </c>
      <c r="G30" s="50"/>
      <c r="H30" s="50"/>
      <c r="I30" s="50"/>
      <c r="J30" s="50">
        <v>1</v>
      </c>
      <c r="K30" s="50"/>
      <c r="L30" s="50"/>
    </row>
    <row r="31" spans="1:12" outlineLevel="1" collapsed="1" x14ac:dyDescent="0.25">
      <c r="A31" s="205"/>
      <c r="B31" s="206"/>
      <c r="C31" s="200" t="s">
        <v>1274</v>
      </c>
      <c r="D31" s="179" t="s">
        <v>873</v>
      </c>
      <c r="E31" s="207" t="s">
        <v>184</v>
      </c>
      <c r="F31" s="340" t="e" cm="1">
        <f t="array" aca="1" ref="F31" ca="1">HYPERLINK(CONCATENATE(Cartelle!$D$5,F$1,"/CONFIG/",MID($D31,1,FIND("_",$D31)-1),"/",INDIRECT(CONCATENATE("'CONFIG'!",ADDRESS(MATCH($D31, CONFIG!$B:$B, 0),MATCH(F$1, CONFIG!$1:$1, 0)))),".pdf#page=",F32),CONCATENATE("#Sharepoint//",$D31))</f>
        <v>#N/A</v>
      </c>
      <c r="G31" s="179"/>
      <c r="H31" s="179"/>
      <c r="I31" s="179"/>
      <c r="J31" s="340" t="e" cm="1">
        <f t="array" aca="1" ref="J31" ca="1">HYPERLINK(CONCATENATE(Cartelle!$D$5,J$1,"/CONFIG/",MID($D31,1,FIND("_",$D31)-1),"/",INDIRECT(CONCATENATE("'CONFIG'!",ADDRESS(MATCH($D31, CONFIG!$B:$B, 0),MATCH(J$1, CONFIG!$1:$1, 0)))),".pdf#page=",J32),CONCATENATE("#Sharepoint//",$D31))</f>
        <v>#N/A</v>
      </c>
      <c r="K31" s="179"/>
      <c r="L31" s="179"/>
    </row>
    <row r="32" spans="1:12" hidden="1" outlineLevel="2" x14ac:dyDescent="0.25">
      <c r="A32" s="205"/>
      <c r="B32" s="206"/>
      <c r="C32" s="206"/>
      <c r="D32" s="50"/>
      <c r="E32" s="208" t="s">
        <v>868</v>
      </c>
      <c r="F32" s="50">
        <v>1</v>
      </c>
      <c r="G32" s="50"/>
      <c r="H32" s="50"/>
      <c r="I32" s="50"/>
      <c r="J32" s="50">
        <v>1</v>
      </c>
      <c r="K32" s="50"/>
      <c r="L32" s="50"/>
    </row>
    <row r="33" spans="1:12" outlineLevel="1" collapsed="1" x14ac:dyDescent="0.25">
      <c r="A33" s="119"/>
      <c r="B33" s="416" t="s">
        <v>1275</v>
      </c>
      <c r="C33" s="106" t="s">
        <v>1286</v>
      </c>
      <c r="D33" s="186" t="s">
        <v>1167</v>
      </c>
      <c r="E33" s="213" t="s">
        <v>184</v>
      </c>
      <c r="F33" s="423" t="str" cm="1">
        <f t="array" aca="1" ref="F33" ca="1">HYPERLINK(CONCATENATE(Cartelle!$D$5,F$1,"/MAN_CPR/","/",INDIRECT(CONCATENATE("'MAN_CPR'!",ADDRESS(MATCH($D33, MAN_CPR!$E:$E, 0),MATCH(F$1, MAN_CPR!$1:$1, 0)))),".pdf#page=",F34),CONCATENATE("#Sharepoint//",$D33))</f>
        <v>#Sharepoint//PBC-01A</v>
      </c>
      <c r="G33" s="424" t="str" cm="1">
        <f t="array" aca="1" ref="G33" ca="1">HYPERLINK(CONCATENATE(Cartelle!$D$5,INDEX(MAN_CPR!$1:$1, 1, MATCH(INDIRECT(CONCATENATE("'MAN_CPR'!",ADDRESS(MATCH($D33, MAN_CPR!$E:$E, 0),MATCH(G$1, MAN_CPR!$1:$1, 0)))),INDIRECT(CONCATENATE("'MAN_CPR'!",MATCH($D33, MAN_CPR!$E:$E, 0),":",MATCH($D33, MAN_CPR!$E:$E, 0))),0)),"/MAN_CPR/","/",INDIRECT(CONCATENATE("'MAN_CPR'!",ADDRESS(MATCH($D33, MAN_CPR!$E:$E, 0),MATCH(G$1, MAN_CPR!$1:$1, 0)))),".pdf#page=",G34),CONCATENATE("#Sharepoint//",$D33))</f>
        <v>#Sharepoint//PBC-01A</v>
      </c>
      <c r="H33" s="179"/>
      <c r="I33" s="179"/>
      <c r="J33" s="179"/>
      <c r="K33" s="179"/>
      <c r="L33" s="179"/>
    </row>
    <row r="34" spans="1:12" hidden="1" outlineLevel="2" x14ac:dyDescent="0.25">
      <c r="A34" s="119"/>
      <c r="B34" s="157"/>
      <c r="D34" s="385"/>
      <c r="E34" s="208" t="s">
        <v>868</v>
      </c>
      <c r="F34" s="50">
        <v>1</v>
      </c>
      <c r="G34" s="50">
        <v>1</v>
      </c>
      <c r="H34" s="50"/>
      <c r="I34" s="50"/>
      <c r="J34" s="50"/>
      <c r="K34" s="50"/>
      <c r="L34" s="50"/>
    </row>
    <row r="35" spans="1:12" hidden="1" outlineLevel="2" x14ac:dyDescent="0.25">
      <c r="A35" s="119"/>
      <c r="B35" s="157"/>
      <c r="D35" s="108"/>
      <c r="E35" s="85" t="s">
        <v>25</v>
      </c>
      <c r="F35" s="50"/>
      <c r="G35" s="50"/>
      <c r="H35" s="50"/>
      <c r="I35" s="50"/>
      <c r="J35" s="50"/>
      <c r="K35" s="50"/>
      <c r="L35" s="50"/>
    </row>
    <row r="36" spans="1:12" outlineLevel="1" collapsed="1" x14ac:dyDescent="0.25">
      <c r="A36" s="119"/>
      <c r="B36" s="157"/>
      <c r="C36" s="106" t="s">
        <v>1287</v>
      </c>
      <c r="D36" s="186" t="s">
        <v>1272</v>
      </c>
      <c r="E36" s="213" t="s">
        <v>1062</v>
      </c>
      <c r="F36" s="179"/>
      <c r="G36" s="179"/>
      <c r="H36" s="179"/>
      <c r="I36" s="179"/>
      <c r="J36" s="179"/>
      <c r="K36" s="179"/>
      <c r="L36" s="179"/>
    </row>
    <row r="37" spans="1:12" hidden="1" outlineLevel="2" x14ac:dyDescent="0.25">
      <c r="A37" s="119"/>
      <c r="B37" s="157"/>
      <c r="D37" s="385"/>
      <c r="E37" s="85" t="s">
        <v>1064</v>
      </c>
      <c r="F37" s="50"/>
      <c r="G37" s="50"/>
      <c r="H37" s="50"/>
      <c r="I37" s="50"/>
      <c r="J37" s="50"/>
      <c r="K37" s="50"/>
      <c r="L37" s="50"/>
    </row>
    <row r="38" spans="1:12" hidden="1" outlineLevel="2" x14ac:dyDescent="0.25">
      <c r="A38" s="119"/>
      <c r="B38" s="157"/>
      <c r="D38" s="108"/>
      <c r="E38" s="85" t="s">
        <v>1065</v>
      </c>
      <c r="F38" s="50"/>
      <c r="G38" s="50"/>
      <c r="H38" s="50"/>
      <c r="I38" s="50"/>
      <c r="J38" s="50"/>
      <c r="K38" s="50"/>
      <c r="L38" s="50"/>
    </row>
    <row r="39" spans="1:12" ht="30" x14ac:dyDescent="0.25">
      <c r="A39" s="198" t="s">
        <v>1203</v>
      </c>
      <c r="B39" s="198" t="s">
        <v>1175</v>
      </c>
      <c r="C39" s="421"/>
      <c r="D39" s="209" t="s">
        <v>386</v>
      </c>
      <c r="E39" s="181"/>
      <c r="F39" s="182"/>
      <c r="G39" s="182"/>
      <c r="H39" s="182"/>
      <c r="I39" s="182"/>
      <c r="J39" s="182"/>
      <c r="K39" s="182"/>
      <c r="L39" s="183"/>
    </row>
    <row r="40" spans="1:12" outlineLevel="1" x14ac:dyDescent="0.25">
      <c r="A40" s="203"/>
      <c r="B40" s="204"/>
      <c r="C40" s="204"/>
      <c r="D40" s="179" t="s">
        <v>837</v>
      </c>
      <c r="E40" s="207" t="s">
        <v>184</v>
      </c>
      <c r="F40" s="340" t="str" cm="1">
        <f t="array" aca="1" ref="F40" ca="1">HYPERLINK(CONCATENATE(Cartelle!$D$5,F$1,"/CONFIG/",MID($D40,1,FIND("_",$D40)-1),"/",INDIRECT(CONCATENATE("'CONFIG'!",ADDRESS(MATCH($D40, CONFIG!$B:$B, 0),MATCH(F$1, CONFIG!$1:$1, 0)))),".pdf#page=",F41),CONCATENATE("#Sharepoint//",$D40))</f>
        <v>#Sharepoint//FRS_Line Voltage</v>
      </c>
      <c r="G40" s="406"/>
      <c r="H40" s="340" t="str" cm="1">
        <f t="array" aca="1" ref="H40" ca="1">HYPERLINK(CONCATENATE(Cartelle!$D$5,INDEX(CONFIG!$1:$1, 1, MATCH(INDIRECT(CONCATENATE("'CONFIG'!",ADDRESS(MATCH($D40, CONFIG!$B:$B, 0),MATCH(H$1, CONFIG!$1:$1, 0)))),INDIRECT(CONCATENATE("'CONFIG'!",MATCH($D40, CONFIG!$B:$B, 0),":",MATCH($D40, CONFIG!$B:$B, 0))),0)),"/CONFIG/",MID($D40,1,FIND("_",$D40)-1),"/",INDIRECT(CONCATENATE("'CONFIG'!",ADDRESS(MATCH($D40, CONFIG!$B:$B, 0),MATCH(H$1, CONFIG!$1:$1, 0)))),".pdf#page=",H41),CONCATENATE("#Sharepoint//",$D40))</f>
        <v>#Sharepoint//FRS_Line Voltage</v>
      </c>
      <c r="I40" s="340" t="str" cm="1">
        <f t="array" aca="1" ref="I40" ca="1">HYPERLINK(CONCATENATE(Cartelle!$D$5,INDEX(CONFIG!$1:$1, 1, MATCH(INDIRECT(CONCATENATE("'CONFIG'!",ADDRESS(MATCH($D40, CONFIG!$B:$B, 0),MATCH(I$1, CONFIG!$1:$1, 0)))),INDIRECT(CONCATENATE("'CONFIG'!",MATCH($D40, CONFIG!$B:$B, 0),":",MATCH($D40, CONFIG!$B:$B, 0))),0)),"/CONFIG/",MID($D40,1,FIND("_",$D40)-1),"/",INDIRECT(CONCATENATE("'CONFIG'!",ADDRESS(MATCH($D40, CONFIG!$B:$B, 0),MATCH(I$1, CONFIG!$1:$1, 0)))),".pdf#page=",I41),CONCATENATE("#Sharepoint//",$D40))</f>
        <v>#Sharepoint//FRS_Line Voltage</v>
      </c>
      <c r="J40" s="340" t="str" cm="1">
        <f t="array" aca="1" ref="J40" ca="1">HYPERLINK(CONCATENATE(Cartelle!$D$5,J$1,"/CONFIG/",MID($D40,1,FIND("_",$D40)-1),"/",INDIRECT(CONCATENATE("'CONFIG'!",ADDRESS(MATCH($D40, CONFIG!$B:$B, 0),MATCH(J$1, CONFIG!$1:$1, 0)))),".pdf#page=",J41),CONCATENATE("#Sharepoint//",$D40))</f>
        <v>#Sharepoint//FRS_Line Voltage</v>
      </c>
      <c r="K40" s="178"/>
      <c r="L40" s="179"/>
    </row>
    <row r="41" spans="1:12" outlineLevel="2" x14ac:dyDescent="0.25">
      <c r="A41" s="205"/>
      <c r="B41" s="206"/>
      <c r="C41" s="206"/>
      <c r="D41" s="50"/>
      <c r="E41" s="208" t="s">
        <v>868</v>
      </c>
      <c r="F41" s="50">
        <v>7</v>
      </c>
      <c r="G41" s="50"/>
      <c r="H41" s="50">
        <v>7</v>
      </c>
      <c r="I41" s="50">
        <v>7</v>
      </c>
      <c r="J41" s="50">
        <v>12</v>
      </c>
      <c r="K41" s="85"/>
      <c r="L41" s="50"/>
    </row>
    <row r="42" spans="1:12" ht="30" x14ac:dyDescent="0.25">
      <c r="A42" s="198" t="s">
        <v>1204</v>
      </c>
      <c r="B42" s="198" t="s">
        <v>1176</v>
      </c>
      <c r="C42" s="421"/>
      <c r="D42" s="209" t="s">
        <v>386</v>
      </c>
      <c r="E42" s="181"/>
      <c r="F42" s="182"/>
      <c r="G42" s="182"/>
      <c r="H42" s="182"/>
      <c r="I42" s="182"/>
      <c r="J42" s="182"/>
      <c r="K42" s="182"/>
      <c r="L42" s="183"/>
    </row>
    <row r="43" spans="1:12" outlineLevel="1" collapsed="1" x14ac:dyDescent="0.25">
      <c r="A43" s="203"/>
      <c r="B43" s="204"/>
      <c r="C43" s="204"/>
      <c r="D43" s="179" t="s">
        <v>837</v>
      </c>
      <c r="E43" s="207" t="s">
        <v>184</v>
      </c>
      <c r="F43" s="340" t="str" cm="1">
        <f t="array" aca="1" ref="F43" ca="1">HYPERLINK(CONCATENATE(Cartelle!$D$5,F$1,"/CONFIG/",MID($D43,1,FIND("_",$D43)-1),"/",INDIRECT(CONCATENATE("'CONFIG'!",ADDRESS(MATCH($D43, CONFIG!$B:$B, 0),MATCH(F$1, CONFIG!$1:$1, 0)))),".pdf#page=",F44),CONCATENATE("#Sharepoint//",$D43))</f>
        <v>#Sharepoint//FRS_Line Voltage</v>
      </c>
      <c r="G43" s="406"/>
      <c r="H43" s="340" t="str" cm="1">
        <f t="array" aca="1" ref="H43" ca="1">HYPERLINK(CONCATENATE(Cartelle!$D$5,INDEX(CONFIG!$1:$1, 1, MATCH(INDIRECT(CONCATENATE("'CONFIG'!",ADDRESS(MATCH($D43, CONFIG!$B:$B, 0),MATCH(H$1, CONFIG!$1:$1, 0)))),INDIRECT(CONCATENATE("'CONFIG'!",MATCH($D43, CONFIG!$B:$B, 0),":",MATCH($D43, CONFIG!$B:$B, 0))),0)),"/CONFIG/",MID($D43,1,FIND("_",$D43)-1),"/",INDIRECT(CONCATENATE("'CONFIG'!",ADDRESS(MATCH($D43, CONFIG!$B:$B, 0),MATCH(H$1, CONFIG!$1:$1, 0)))),".pdf#page=",H44),CONCATENATE("#Sharepoint//",$D43))</f>
        <v>#Sharepoint//FRS_Line Voltage</v>
      </c>
      <c r="I43" s="340" t="str" cm="1">
        <f t="array" aca="1" ref="I43" ca="1">HYPERLINK(CONCATENATE(Cartelle!$D$5,INDEX(CONFIG!$1:$1, 1, MATCH(INDIRECT(CONCATENATE("'CONFIG'!",ADDRESS(MATCH($D43, CONFIG!$B:$B, 0),MATCH(I$1, CONFIG!$1:$1, 0)))),INDIRECT(CONCATENATE("'CONFIG'!",MATCH($D43, CONFIG!$B:$B, 0),":",MATCH($D43, CONFIG!$B:$B, 0))),0)),"/CONFIG/",MID($D43,1,FIND("_",$D43)-1),"/",INDIRECT(CONCATENATE("'CONFIG'!",ADDRESS(MATCH($D43, CONFIG!$B:$B, 0),MATCH(I$1, CONFIG!$1:$1, 0)))),".pdf#page=",I44),CONCATENATE("#Sharepoint//",$D43))</f>
        <v>#Sharepoint//FRS_Line Voltage</v>
      </c>
      <c r="J43" s="340" t="str" cm="1">
        <f t="array" aca="1" ref="J43" ca="1">HYPERLINK(CONCATENATE(Cartelle!$D$5,J$1,"/CONFIG/",MID($D43,1,FIND("_",$D43)-1),"/",INDIRECT(CONCATENATE("'CONFIG'!",ADDRESS(MATCH($D43, CONFIG!$B:$B, 0),MATCH(J$1, CONFIG!$1:$1, 0)))),".pdf#page=",J44),CONCATENATE("#Sharepoint//",$D43))</f>
        <v>#Sharepoint//FRS_Line Voltage</v>
      </c>
      <c r="K43" s="178"/>
      <c r="L43" s="179"/>
    </row>
    <row r="44" spans="1:12" hidden="1" outlineLevel="2" x14ac:dyDescent="0.25">
      <c r="A44" s="205"/>
      <c r="B44" s="206"/>
      <c r="C44" s="206"/>
      <c r="D44" s="50"/>
      <c r="E44" s="208" t="s">
        <v>868</v>
      </c>
      <c r="F44" s="50">
        <v>8</v>
      </c>
      <c r="G44" s="50"/>
      <c r="H44" s="50">
        <v>8</v>
      </c>
      <c r="I44" s="50">
        <v>8</v>
      </c>
      <c r="J44" s="50">
        <v>13</v>
      </c>
      <c r="K44" s="85"/>
      <c r="L44" s="50"/>
    </row>
    <row r="45" spans="1:12" ht="30" x14ac:dyDescent="0.25">
      <c r="A45" s="198" t="s">
        <v>1205</v>
      </c>
      <c r="B45" s="198" t="s">
        <v>1177</v>
      </c>
      <c r="C45" s="421"/>
      <c r="D45" s="209" t="s">
        <v>386</v>
      </c>
      <c r="E45" s="181"/>
      <c r="F45" s="182"/>
      <c r="G45" s="182"/>
      <c r="H45" s="182"/>
      <c r="I45" s="182"/>
      <c r="J45" s="182"/>
      <c r="K45" s="182"/>
      <c r="L45" s="183"/>
    </row>
    <row r="46" spans="1:12" outlineLevel="1" collapsed="1" x14ac:dyDescent="0.25">
      <c r="A46" s="203"/>
      <c r="B46" s="204"/>
      <c r="C46" s="204"/>
      <c r="D46" s="179" t="s">
        <v>837</v>
      </c>
      <c r="E46" s="207" t="s">
        <v>184</v>
      </c>
      <c r="F46" s="340" t="str" cm="1">
        <f t="array" aca="1" ref="F46" ca="1">HYPERLINK(CONCATENATE(Cartelle!$D$5,F$1,"/CONFIG/",MID($D46,1,FIND("_",$D46)-1),"/",INDIRECT(CONCATENATE("'CONFIG'!",ADDRESS(MATCH($D46, CONFIG!$B:$B, 0),MATCH(F$1, CONFIG!$1:$1, 0)))),".pdf#page=",F47),CONCATENATE("#Sharepoint//",$D46))</f>
        <v>#Sharepoint//FRS_Line Voltage</v>
      </c>
      <c r="G46" s="406"/>
      <c r="H46" s="340" t="str" cm="1">
        <f t="array" aca="1" ref="H46" ca="1">HYPERLINK(CONCATENATE(Cartelle!$D$5,INDEX(CONFIG!$1:$1, 1, MATCH(INDIRECT(CONCATENATE("'CONFIG'!",ADDRESS(MATCH($D46, CONFIG!$B:$B, 0),MATCH(H$1, CONFIG!$1:$1, 0)))),INDIRECT(CONCATENATE("'CONFIG'!",MATCH($D46, CONFIG!$B:$B, 0),":",MATCH($D46, CONFIG!$B:$B, 0))),0)),"/CONFIG/",MID($D46,1,FIND("_",$D46)-1),"/",INDIRECT(CONCATENATE("'CONFIG'!",ADDRESS(MATCH($D46, CONFIG!$B:$B, 0),MATCH(H$1, CONFIG!$1:$1, 0)))),".pdf#page=",H47),CONCATENATE("#Sharepoint//",$D46))</f>
        <v>#Sharepoint//FRS_Line Voltage</v>
      </c>
      <c r="I46" s="340" t="str" cm="1">
        <f t="array" aca="1" ref="I46" ca="1">HYPERLINK(CONCATENATE(Cartelle!$D$5,INDEX(CONFIG!$1:$1, 1, MATCH(INDIRECT(CONCATENATE("'CONFIG'!",ADDRESS(MATCH($D46, CONFIG!$B:$B, 0),MATCH(I$1, CONFIG!$1:$1, 0)))),INDIRECT(CONCATENATE("'CONFIG'!",MATCH($D46, CONFIG!$B:$B, 0),":",MATCH($D46, CONFIG!$B:$B, 0))),0)),"/CONFIG/",MID($D46,1,FIND("_",$D46)-1),"/",INDIRECT(CONCATENATE("'CONFIG'!",ADDRESS(MATCH($D46, CONFIG!$B:$B, 0),MATCH(I$1, CONFIG!$1:$1, 0)))),".pdf#page=",I47),CONCATENATE("#Sharepoint//",$D46))</f>
        <v>#Sharepoint//FRS_Line Voltage</v>
      </c>
      <c r="J46" s="340" t="str" cm="1">
        <f t="array" aca="1" ref="J46" ca="1">HYPERLINK(CONCATENATE(Cartelle!$D$5,J$1,"/CONFIG/",MID($D46,1,FIND("_",$D46)-1),"/",INDIRECT(CONCATENATE("'CONFIG'!",ADDRESS(MATCH($D46, CONFIG!$B:$B, 0),MATCH(J$1, CONFIG!$1:$1, 0)))),".pdf#page=",J47),CONCATENATE("#Sharepoint//",$D46))</f>
        <v>#Sharepoint//FRS_Line Voltage</v>
      </c>
      <c r="K46" s="178"/>
      <c r="L46" s="179"/>
    </row>
    <row r="47" spans="1:12" hidden="1" outlineLevel="2" x14ac:dyDescent="0.25">
      <c r="A47" s="205"/>
      <c r="B47" s="206"/>
      <c r="C47" s="206"/>
      <c r="D47" s="50"/>
      <c r="E47" s="208" t="s">
        <v>868</v>
      </c>
      <c r="F47" s="50">
        <v>14</v>
      </c>
      <c r="G47" s="50"/>
      <c r="H47" s="50">
        <v>16</v>
      </c>
      <c r="I47" s="50">
        <v>14</v>
      </c>
      <c r="J47" s="50">
        <v>19</v>
      </c>
      <c r="K47" s="85"/>
      <c r="L47" s="50"/>
    </row>
    <row r="48" spans="1:12" s="13" customFormat="1" ht="30" x14ac:dyDescent="0.25">
      <c r="A48" s="341" t="s">
        <v>1183</v>
      </c>
      <c r="B48" s="342" t="s">
        <v>1234</v>
      </c>
      <c r="C48" s="422"/>
      <c r="D48" s="386" t="s">
        <v>386</v>
      </c>
      <c r="E48" s="343"/>
      <c r="F48" s="344"/>
      <c r="G48" s="344"/>
      <c r="H48" s="344"/>
      <c r="I48" s="344"/>
      <c r="J48" s="344"/>
      <c r="K48" s="344"/>
      <c r="L48" s="345"/>
    </row>
    <row r="49" spans="1:12" s="13" customFormat="1" outlineLevel="1" collapsed="1" x14ac:dyDescent="0.25">
      <c r="B49" s="103"/>
      <c r="C49" s="370"/>
      <c r="D49" s="387" t="s">
        <v>837</v>
      </c>
      <c r="E49" s="346" t="s">
        <v>184</v>
      </c>
      <c r="F49" s="340" t="str" cm="1">
        <f t="array" aca="1" ref="F49" ca="1">HYPERLINK(CONCATENATE(Cartelle!$D$5,F$1,"/CONFIG/",MID($D49,1,FIND("_",$D49)-1),"/",INDIRECT(CONCATENATE("'CONFIG'!",ADDRESS(MATCH($D49, CONFIG!$B:$B, 0),MATCH(F$1, CONFIG!$1:$1, 0)))),".pdf#page=",F50),CONCATENATE("#Sharepoint//",$D49))</f>
        <v>#Sharepoint//FRS_Line Voltage</v>
      </c>
      <c r="G49" s="406"/>
      <c r="H49" s="340" t="str" cm="1">
        <f t="array" aca="1" ref="H49" ca="1">HYPERLINK(CONCATENATE(Cartelle!$D$5,INDEX(CONFIG!$1:$1, 1, MATCH(INDIRECT(CONCATENATE("'CONFIG'!",ADDRESS(MATCH($D49, CONFIG!$B:$B, 0),MATCH(H$1, CONFIG!$1:$1, 0)))),INDIRECT(CONCATENATE("'CONFIG'!",MATCH($D49, CONFIG!$B:$B, 0),":",MATCH($D49, CONFIG!$B:$B, 0))),0)),"/CONFIG/",MID($D49,1,FIND("_",$D49)-1),"/",INDIRECT(CONCATENATE("'CONFIG'!",ADDRESS(MATCH($D49, CONFIG!$B:$B, 0),MATCH(H$1, CONFIG!$1:$1, 0)))),".pdf#page=",H50),CONCATENATE("#Sharepoint//",$D49))</f>
        <v>#Sharepoint//FRS_Line Voltage</v>
      </c>
      <c r="I49" s="340" t="str" cm="1">
        <f t="array" aca="1" ref="I49" ca="1">HYPERLINK(CONCATENATE(Cartelle!$D$5,INDEX(CONFIG!$1:$1, 1, MATCH(INDIRECT(CONCATENATE("'CONFIG'!",ADDRESS(MATCH($D49, CONFIG!$B:$B, 0),MATCH(I$1, CONFIG!$1:$1, 0)))),INDIRECT(CONCATENATE("'CONFIG'!",MATCH($D49, CONFIG!$B:$B, 0),":",MATCH($D49, CONFIG!$B:$B, 0))),0)),"/CONFIG/",MID($D49,1,FIND("_",$D49)-1),"/",INDIRECT(CONCATENATE("'CONFIG'!",ADDRESS(MATCH($D49, CONFIG!$B:$B, 0),MATCH(I$1, CONFIG!$1:$1, 0)))),".pdf#page=",I50),CONCATENATE("#Sharepoint//",$D49))</f>
        <v>#Sharepoint//FRS_Line Voltage</v>
      </c>
      <c r="J49" s="340" t="str" cm="1">
        <f t="array" aca="1" ref="J49" ca="1">HYPERLINK(CONCATENATE(Cartelle!$D$5,J$1,"/CONFIG/",MID($D49,1,FIND("_",$D49)-1),"/",INDIRECT(CONCATENATE("'CONFIG'!",ADDRESS(MATCH($D49, CONFIG!$B:$B, 0),MATCH(J$1, CONFIG!$1:$1, 0)))),".pdf#page=",J50),CONCATENATE("#Sharepoint//",$D49))</f>
        <v>#Sharepoint//FRS_Line Voltage</v>
      </c>
      <c r="K49" s="336"/>
      <c r="L49" s="336"/>
    </row>
    <row r="50" spans="1:12" s="13" customFormat="1" hidden="1" outlineLevel="2" x14ac:dyDescent="0.25">
      <c r="B50" s="103"/>
      <c r="C50" s="374"/>
      <c r="D50" s="388"/>
      <c r="E50" s="347" t="s">
        <v>868</v>
      </c>
      <c r="F50" s="348">
        <v>16</v>
      </c>
      <c r="G50" s="348"/>
      <c r="H50" s="348">
        <v>18</v>
      </c>
      <c r="I50" s="348">
        <v>16</v>
      </c>
      <c r="J50" s="348">
        <v>22</v>
      </c>
      <c r="K50" s="348"/>
      <c r="L50" s="348"/>
    </row>
    <row r="51" spans="1:12" s="13" customFormat="1" ht="45" x14ac:dyDescent="0.25">
      <c r="A51" s="341" t="s">
        <v>1184</v>
      </c>
      <c r="B51" s="349" t="s">
        <v>1207</v>
      </c>
      <c r="C51" s="422"/>
      <c r="D51" s="386" t="s">
        <v>386</v>
      </c>
      <c r="E51" s="343"/>
      <c r="F51" s="344"/>
      <c r="G51" s="344"/>
      <c r="H51" s="344"/>
      <c r="I51" s="344"/>
      <c r="J51" s="344"/>
      <c r="K51" s="344"/>
      <c r="L51" s="345"/>
    </row>
    <row r="52" spans="1:12" s="13" customFormat="1" outlineLevel="1" collapsed="1" x14ac:dyDescent="0.25">
      <c r="B52" s="103"/>
      <c r="C52" s="370"/>
      <c r="D52" s="387" t="s">
        <v>837</v>
      </c>
      <c r="E52" s="346" t="s">
        <v>184</v>
      </c>
      <c r="F52" s="340" t="str" cm="1">
        <f t="array" aca="1" ref="F52" ca="1">HYPERLINK(CONCATENATE(Cartelle!$D$5,F$1,"/CONFIG/",MID($D52,1,FIND("_",$D52)-1),"/",INDIRECT(CONCATENATE("'CONFIG'!",ADDRESS(MATCH($D52, CONFIG!$B:$B, 0),MATCH(F$1, CONFIG!$1:$1, 0)))),".pdf#page=",F53),CONCATENATE("#Sharepoint//",$D52))</f>
        <v>#Sharepoint//FRS_Line Voltage</v>
      </c>
      <c r="G52" s="406"/>
      <c r="H52" s="340" t="str" cm="1">
        <f t="array" aca="1" ref="H52" ca="1">HYPERLINK(CONCATENATE(Cartelle!$D$5,INDEX(CONFIG!$1:$1, 1, MATCH(INDIRECT(CONCATENATE("'CONFIG'!",ADDRESS(MATCH($D52, CONFIG!$B:$B, 0),MATCH(H$1, CONFIG!$1:$1, 0)))),INDIRECT(CONCATENATE("'CONFIG'!",MATCH($D52, CONFIG!$B:$B, 0),":",MATCH($D52, CONFIG!$B:$B, 0))),0)),"/CONFIG/",MID($D52,1,FIND("_",$D52)-1),"/",INDIRECT(CONCATENATE("'CONFIG'!",ADDRESS(MATCH($D52, CONFIG!$B:$B, 0),MATCH(H$1, CONFIG!$1:$1, 0)))),".pdf#page=",H53),CONCATENATE("#Sharepoint//",$D52))</f>
        <v>#Sharepoint//FRS_Line Voltage</v>
      </c>
      <c r="I52" s="340" t="str" cm="1">
        <f t="array" aca="1" ref="I52" ca="1">HYPERLINK(CONCATENATE(Cartelle!$D$5,INDEX(CONFIG!$1:$1, 1, MATCH(INDIRECT(CONCATENATE("'CONFIG'!",ADDRESS(MATCH($D52, CONFIG!$B:$B, 0),MATCH(I$1, CONFIG!$1:$1, 0)))),INDIRECT(CONCATENATE("'CONFIG'!",MATCH($D52, CONFIG!$B:$B, 0),":",MATCH($D52, CONFIG!$B:$B, 0))),0)),"/CONFIG/",MID($D52,1,FIND("_",$D52)-1),"/",INDIRECT(CONCATENATE("'CONFIG'!",ADDRESS(MATCH($D52, CONFIG!$B:$B, 0),MATCH(I$1, CONFIG!$1:$1, 0)))),".pdf#page=",I53),CONCATENATE("#Sharepoint//",$D52))</f>
        <v>#Sharepoint//FRS_Line Voltage</v>
      </c>
      <c r="J52" s="340" t="str" cm="1">
        <f t="array" aca="1" ref="J52" ca="1">HYPERLINK(CONCATENATE(Cartelle!$D$5,J$1,"/CONFIG/",MID($D52,1,FIND("_",$D52)-1),"/",INDIRECT(CONCATENATE("'CONFIG'!",ADDRESS(MATCH($D52, CONFIG!$B:$B, 0),MATCH(J$1, CONFIG!$1:$1, 0)))),".pdf#page=",J53),CONCATENATE("#Sharepoint//",$D52))</f>
        <v>#Sharepoint//FRS_Line Voltage</v>
      </c>
      <c r="K52" s="336"/>
      <c r="L52" s="336"/>
    </row>
    <row r="53" spans="1:12" s="13" customFormat="1" hidden="1" outlineLevel="2" x14ac:dyDescent="0.25">
      <c r="B53" s="103"/>
      <c r="C53" s="374"/>
      <c r="D53" s="388"/>
      <c r="E53" s="347" t="s">
        <v>868</v>
      </c>
      <c r="F53" s="348">
        <v>18</v>
      </c>
      <c r="G53" s="348"/>
      <c r="H53" s="348">
        <v>21</v>
      </c>
      <c r="I53" s="348">
        <v>21</v>
      </c>
      <c r="J53" s="348">
        <v>26</v>
      </c>
      <c r="K53" s="348"/>
      <c r="L53" s="348"/>
    </row>
    <row r="54" spans="1:12" s="13" customFormat="1" ht="30" x14ac:dyDescent="0.25">
      <c r="A54" s="341" t="s">
        <v>1185</v>
      </c>
      <c r="B54" s="349" t="s">
        <v>1208</v>
      </c>
      <c r="C54" s="422"/>
      <c r="D54" s="386" t="s">
        <v>386</v>
      </c>
      <c r="E54" s="343"/>
      <c r="F54" s="344"/>
      <c r="G54" s="344"/>
      <c r="H54" s="344"/>
      <c r="I54" s="344"/>
      <c r="J54" s="344"/>
      <c r="K54" s="344"/>
      <c r="L54" s="345"/>
    </row>
    <row r="55" spans="1:12" s="13" customFormat="1" outlineLevel="1" collapsed="1" x14ac:dyDescent="0.25">
      <c r="B55" s="103"/>
      <c r="C55" s="370"/>
      <c r="D55" s="387" t="s">
        <v>837</v>
      </c>
      <c r="E55" s="346" t="s">
        <v>184</v>
      </c>
      <c r="F55" s="340" t="str" cm="1">
        <f t="array" aca="1" ref="F55" ca="1">HYPERLINK(CONCATENATE(Cartelle!$D$5,F$1,"/CONFIG/",MID($D55,1,FIND("_",$D55)-1),"/",INDIRECT(CONCATENATE("'CONFIG'!",ADDRESS(MATCH($D55, CONFIG!$B:$B, 0),MATCH(F$1, CONFIG!$1:$1, 0)))),".pdf#page=",F56),CONCATENATE("#Sharepoint//",$D55))</f>
        <v>#Sharepoint//FRS_Line Voltage</v>
      </c>
      <c r="G55" s="406"/>
      <c r="H55" s="340" t="str" cm="1">
        <f t="array" aca="1" ref="H55" ca="1">HYPERLINK(CONCATENATE(Cartelle!$D$5,INDEX(CONFIG!$1:$1, 1, MATCH(INDIRECT(CONCATENATE("'CONFIG'!",ADDRESS(MATCH($D55, CONFIG!$B:$B, 0),MATCH(H$1, CONFIG!$1:$1, 0)))),INDIRECT(CONCATENATE("'CONFIG'!",MATCH($D55, CONFIG!$B:$B, 0),":",MATCH($D55, CONFIG!$B:$B, 0))),0)),"/CONFIG/",MID($D55,1,FIND("_",$D55)-1),"/",INDIRECT(CONCATENATE("'CONFIG'!",ADDRESS(MATCH($D55, CONFIG!$B:$B, 0),MATCH(H$1, CONFIG!$1:$1, 0)))),".pdf#page=",H56),CONCATENATE("#Sharepoint//",$D55))</f>
        <v>#Sharepoint//FRS_Line Voltage</v>
      </c>
      <c r="I55" s="340" t="str" cm="1">
        <f t="array" aca="1" ref="I55" ca="1">HYPERLINK(CONCATENATE(Cartelle!$D$5,INDEX(CONFIG!$1:$1, 1, MATCH(INDIRECT(CONCATENATE("'CONFIG'!",ADDRESS(MATCH($D55, CONFIG!$B:$B, 0),MATCH(I$1, CONFIG!$1:$1, 0)))),INDIRECT(CONCATENATE("'CONFIG'!",MATCH($D55, CONFIG!$B:$B, 0),":",MATCH($D55, CONFIG!$B:$B, 0))),0)),"/CONFIG/",MID($D55,1,FIND("_",$D55)-1),"/",INDIRECT(CONCATENATE("'CONFIG'!",ADDRESS(MATCH($D55, CONFIG!$B:$B, 0),MATCH(I$1, CONFIG!$1:$1, 0)))),".pdf#page=",I56),CONCATENATE("#Sharepoint//",$D55))</f>
        <v>#Sharepoint//FRS_Line Voltage</v>
      </c>
      <c r="J55" s="340" t="str" cm="1">
        <f t="array" aca="1" ref="J55" ca="1">HYPERLINK(CONCATENATE(Cartelle!$D$5,J$1,"/CONFIG/",MID($D55,1,FIND("_",$D55)-1),"/",INDIRECT(CONCATENATE("'CONFIG'!",ADDRESS(MATCH($D55, CONFIG!$B:$B, 0),MATCH(J$1, CONFIG!$1:$1, 0)))),".pdf#page=",J56),CONCATENATE("#Sharepoint//",$D55))</f>
        <v>#Sharepoint//FRS_Line Voltage</v>
      </c>
      <c r="K55" s="336"/>
      <c r="L55" s="336"/>
    </row>
    <row r="56" spans="1:12" s="13" customFormat="1" hidden="1" outlineLevel="2" x14ac:dyDescent="0.25">
      <c r="B56" s="103"/>
      <c r="C56" s="374"/>
      <c r="D56" s="388"/>
      <c r="E56" s="347" t="s">
        <v>868</v>
      </c>
      <c r="F56" s="348">
        <v>20</v>
      </c>
      <c r="G56" s="348"/>
      <c r="H56" s="348">
        <v>22</v>
      </c>
      <c r="I56" s="348">
        <v>22</v>
      </c>
      <c r="J56" s="348">
        <v>28</v>
      </c>
      <c r="K56" s="348"/>
      <c r="L56" s="348"/>
    </row>
    <row r="57" spans="1:12" s="13" customFormat="1" ht="45" x14ac:dyDescent="0.25">
      <c r="A57" s="341" t="s">
        <v>1186</v>
      </c>
      <c r="B57" s="349" t="s">
        <v>1209</v>
      </c>
      <c r="C57" s="422"/>
      <c r="D57" s="386" t="s">
        <v>386</v>
      </c>
      <c r="E57" s="343"/>
      <c r="F57" s="344"/>
      <c r="G57" s="344"/>
      <c r="H57" s="344"/>
      <c r="I57" s="344"/>
      <c r="J57" s="344"/>
      <c r="K57" s="344"/>
      <c r="L57" s="345"/>
    </row>
    <row r="58" spans="1:12" s="13" customFormat="1" outlineLevel="1" x14ac:dyDescent="0.25">
      <c r="B58" s="103"/>
      <c r="C58" s="370"/>
      <c r="D58" s="387" t="s">
        <v>837</v>
      </c>
      <c r="E58" s="346" t="s">
        <v>184</v>
      </c>
      <c r="F58" s="340" t="str" cm="1">
        <f t="array" aca="1" ref="F58" ca="1">HYPERLINK(CONCATENATE(Cartelle!$D$5,F$1,"/CONFIG/",MID($D58,1,FIND("_",$D58)-1),"/",INDIRECT(CONCATENATE("'CONFIG'!",ADDRESS(MATCH($D58, CONFIG!$B:$B, 0),MATCH(F$1, CONFIG!$1:$1, 0)))),".pdf#page=",F59),CONCATENATE("#Sharepoint//",$D58))</f>
        <v>#Sharepoint//FRS_Line Voltage</v>
      </c>
      <c r="G58" s="406"/>
      <c r="H58" s="340" t="str" cm="1">
        <f t="array" aca="1" ref="H58" ca="1">HYPERLINK(CONCATENATE(Cartelle!$D$5,INDEX(CONFIG!$1:$1, 1, MATCH(INDIRECT(CONCATENATE("'CONFIG'!",ADDRESS(MATCH($D58, CONFIG!$B:$B, 0),MATCH(H$1, CONFIG!$1:$1, 0)))),INDIRECT(CONCATENATE("'CONFIG'!",MATCH($D58, CONFIG!$B:$B, 0),":",MATCH($D58, CONFIG!$B:$B, 0))),0)),"/CONFIG/",MID($D58,1,FIND("_",$D58)-1),"/",INDIRECT(CONCATENATE("'CONFIG'!",ADDRESS(MATCH($D58, CONFIG!$B:$B, 0),MATCH(H$1, CONFIG!$1:$1, 0)))),".pdf#page=",H59),CONCATENATE("#Sharepoint//",$D58))</f>
        <v>#Sharepoint//FRS_Line Voltage</v>
      </c>
      <c r="I58" s="340" t="str" cm="1">
        <f t="array" aca="1" ref="I58" ca="1">HYPERLINK(CONCATENATE(Cartelle!$D$5,INDEX(CONFIG!$1:$1, 1, MATCH(INDIRECT(CONCATENATE("'CONFIG'!",ADDRESS(MATCH($D58, CONFIG!$B:$B, 0),MATCH(I$1, CONFIG!$1:$1, 0)))),INDIRECT(CONCATENATE("'CONFIG'!",MATCH($D58, CONFIG!$B:$B, 0),":",MATCH($D58, CONFIG!$B:$B, 0))),0)),"/CONFIG/",MID($D58,1,FIND("_",$D58)-1),"/",INDIRECT(CONCATENATE("'CONFIG'!",ADDRESS(MATCH($D58, CONFIG!$B:$B, 0),MATCH(I$1, CONFIG!$1:$1, 0)))),".pdf#page=",I59),CONCATENATE("#Sharepoint//",$D58))</f>
        <v>#Sharepoint//FRS_Line Voltage</v>
      </c>
      <c r="J58" s="340" t="str" cm="1">
        <f t="array" aca="1" ref="J58" ca="1">HYPERLINK(CONCATENATE(Cartelle!$D$5,J$1,"/CONFIG/",MID($D58,1,FIND("_",$D58)-1),"/",INDIRECT(CONCATENATE("'CONFIG'!",ADDRESS(MATCH($D58, CONFIG!$B:$B, 0),MATCH(J$1, CONFIG!$1:$1, 0)))),".pdf#page=",J59),CONCATENATE("#Sharepoint//",$D58))</f>
        <v>#Sharepoint//FRS_Line Voltage</v>
      </c>
      <c r="K58" s="336"/>
      <c r="L58" s="336"/>
    </row>
    <row r="59" spans="1:12" s="13" customFormat="1" outlineLevel="2" x14ac:dyDescent="0.25">
      <c r="B59" s="103"/>
      <c r="C59" s="374"/>
      <c r="D59" s="388"/>
      <c r="E59" s="347" t="s">
        <v>868</v>
      </c>
      <c r="F59" s="348">
        <v>21</v>
      </c>
      <c r="G59" s="348"/>
      <c r="H59" s="348">
        <v>24</v>
      </c>
      <c r="I59" s="348">
        <v>23</v>
      </c>
      <c r="J59" s="348">
        <v>29</v>
      </c>
      <c r="K59" s="348"/>
      <c r="L59" s="348"/>
    </row>
    <row r="60" spans="1:12" s="13" customFormat="1" ht="30" x14ac:dyDescent="0.25">
      <c r="A60" s="341" t="s">
        <v>1187</v>
      </c>
      <c r="B60" s="349" t="s">
        <v>1235</v>
      </c>
      <c r="C60" s="422"/>
      <c r="D60" s="386" t="s">
        <v>386</v>
      </c>
      <c r="E60" s="343"/>
      <c r="F60" s="344"/>
      <c r="G60" s="344"/>
      <c r="H60" s="344"/>
      <c r="I60" s="344"/>
      <c r="J60" s="344"/>
      <c r="K60" s="344"/>
      <c r="L60" s="345"/>
    </row>
    <row r="61" spans="1:12" s="13" customFormat="1" outlineLevel="1" collapsed="1" x14ac:dyDescent="0.25">
      <c r="B61" s="103"/>
      <c r="C61" s="370"/>
      <c r="D61" s="387" t="s">
        <v>837</v>
      </c>
      <c r="E61" s="346" t="s">
        <v>184</v>
      </c>
      <c r="F61" s="340" t="str" cm="1">
        <f t="array" aca="1" ref="F61" ca="1">HYPERLINK(CONCATENATE(Cartelle!$D$5,F$1,"/CONFIG/",MID($D61,1,FIND("_",$D61)-1),"/",INDIRECT(CONCATENATE("'CONFIG'!",ADDRESS(MATCH($D61, CONFIG!$B:$B, 0),MATCH(F$1, CONFIG!$1:$1, 0)))),".pdf#page=",F62),CONCATENATE("#Sharepoint//",$D61))</f>
        <v>#Sharepoint//FRS_Line Voltage</v>
      </c>
      <c r="G61" s="406"/>
      <c r="H61" s="340" t="str" cm="1">
        <f t="array" aca="1" ref="H61" ca="1">HYPERLINK(CONCATENATE(Cartelle!$D$5,INDEX(CONFIG!$1:$1, 1, MATCH(INDIRECT(CONCATENATE("'CONFIG'!",ADDRESS(MATCH($D61, CONFIG!$B:$B, 0),MATCH(H$1, CONFIG!$1:$1, 0)))),INDIRECT(CONCATENATE("'CONFIG'!",MATCH($D61, CONFIG!$B:$B, 0),":",MATCH($D61, CONFIG!$B:$B, 0))),0)),"/CONFIG/",MID($D61,1,FIND("_",$D61)-1),"/",INDIRECT(CONCATENATE("'CONFIG'!",ADDRESS(MATCH($D61, CONFIG!$B:$B, 0),MATCH(H$1, CONFIG!$1:$1, 0)))),".pdf#page=",H62),CONCATENATE("#Sharepoint//",$D61))</f>
        <v>#Sharepoint//FRS_Line Voltage</v>
      </c>
      <c r="I61" s="340" t="str" cm="1">
        <f t="array" aca="1" ref="I61" ca="1">HYPERLINK(CONCATENATE(Cartelle!$D$5,INDEX(CONFIG!$1:$1, 1, MATCH(INDIRECT(CONCATENATE("'CONFIG'!",ADDRESS(MATCH($D61, CONFIG!$B:$B, 0),MATCH(I$1, CONFIG!$1:$1, 0)))),INDIRECT(CONCATENATE("'CONFIG'!",MATCH($D61, CONFIG!$B:$B, 0),":",MATCH($D61, CONFIG!$B:$B, 0))),0)),"/CONFIG/",MID($D61,1,FIND("_",$D61)-1),"/",INDIRECT(CONCATENATE("'CONFIG'!",ADDRESS(MATCH($D61, CONFIG!$B:$B, 0),MATCH(I$1, CONFIG!$1:$1, 0)))),".pdf#page=",I62),CONCATENATE("#Sharepoint//",$D61))</f>
        <v>#Sharepoint//FRS_Line Voltage</v>
      </c>
      <c r="J61" s="340" t="str" cm="1">
        <f t="array" aca="1" ref="J61" ca="1">HYPERLINK(CONCATENATE(Cartelle!$D$5,J$1,"/CONFIG/",MID($D61,1,FIND("_",$D61)-1),"/",INDIRECT(CONCATENATE("'CONFIG'!",ADDRESS(MATCH($D61, CONFIG!$B:$B, 0),MATCH(J$1, CONFIG!$1:$1, 0)))),".pdf#page=",J62),CONCATENATE("#Sharepoint//",$D61))</f>
        <v>#Sharepoint//FRS_Line Voltage</v>
      </c>
      <c r="K61" s="336"/>
      <c r="L61" s="336"/>
    </row>
    <row r="62" spans="1:12" s="13" customFormat="1" hidden="1" outlineLevel="2" x14ac:dyDescent="0.25">
      <c r="B62" s="103"/>
      <c r="C62" s="374"/>
      <c r="D62" s="388"/>
      <c r="E62" s="347" t="s">
        <v>868</v>
      </c>
      <c r="F62" s="348">
        <v>23</v>
      </c>
      <c r="G62" s="348"/>
      <c r="H62" s="348">
        <v>25</v>
      </c>
      <c r="I62" s="348">
        <v>24</v>
      </c>
      <c r="J62" s="348">
        <v>30</v>
      </c>
      <c r="K62" s="348"/>
      <c r="L62" s="348"/>
    </row>
    <row r="63" spans="1:12" s="13" customFormat="1" x14ac:dyDescent="0.25">
      <c r="A63" s="341" t="s">
        <v>1188</v>
      </c>
      <c r="B63" s="349" t="s">
        <v>1236</v>
      </c>
      <c r="C63" s="422"/>
      <c r="D63" s="386" t="s">
        <v>386</v>
      </c>
      <c r="E63" s="343"/>
      <c r="F63" s="344"/>
      <c r="G63" s="344"/>
      <c r="H63" s="344"/>
      <c r="I63" s="344"/>
      <c r="J63" s="344"/>
      <c r="K63" s="344"/>
      <c r="L63" s="345"/>
    </row>
    <row r="64" spans="1:12" s="13" customFormat="1" outlineLevel="1" collapsed="1" x14ac:dyDescent="0.25">
      <c r="B64" s="103"/>
      <c r="C64" s="370"/>
      <c r="D64" s="387" t="s">
        <v>837</v>
      </c>
      <c r="E64" s="346" t="s">
        <v>184</v>
      </c>
      <c r="F64" s="340" t="str" cm="1">
        <f t="array" aca="1" ref="F64" ca="1">HYPERLINK(CONCATENATE(Cartelle!$D$5,F$1,"/CONFIG/",MID($D64,1,FIND("_",$D64)-1),"/",INDIRECT(CONCATENATE("'CONFIG'!",ADDRESS(MATCH($D64, CONFIG!$B:$B, 0),MATCH(F$1, CONFIG!$1:$1, 0)))),".pdf#page=",F65),CONCATENATE("#Sharepoint//",$D64))</f>
        <v>#Sharepoint//FRS_Line Voltage</v>
      </c>
      <c r="G64" s="406"/>
      <c r="H64" s="340" t="str" cm="1">
        <f t="array" aca="1" ref="H64" ca="1">HYPERLINK(CONCATENATE(Cartelle!$D$5,INDEX(CONFIG!$1:$1, 1, MATCH(INDIRECT(CONCATENATE("'CONFIG'!",ADDRESS(MATCH($D64, CONFIG!$B:$B, 0),MATCH(H$1, CONFIG!$1:$1, 0)))),INDIRECT(CONCATENATE("'CONFIG'!",MATCH($D64, CONFIG!$B:$B, 0),":",MATCH($D64, CONFIG!$B:$B, 0))),0)),"/CONFIG/",MID($D64,1,FIND("_",$D64)-1),"/",INDIRECT(CONCATENATE("'CONFIG'!",ADDRESS(MATCH($D64, CONFIG!$B:$B, 0),MATCH(H$1, CONFIG!$1:$1, 0)))),".pdf#page=",H65),CONCATENATE("#Sharepoint//",$D64))</f>
        <v>#Sharepoint//FRS_Line Voltage</v>
      </c>
      <c r="I64" s="340" t="str" cm="1">
        <f t="array" aca="1" ref="I64" ca="1">HYPERLINK(CONCATENATE(Cartelle!$D$5,INDEX(CONFIG!$1:$1, 1, MATCH(INDIRECT(CONCATENATE("'CONFIG'!",ADDRESS(MATCH($D64, CONFIG!$B:$B, 0),MATCH(I$1, CONFIG!$1:$1, 0)))),INDIRECT(CONCATENATE("'CONFIG'!",MATCH($D64, CONFIG!$B:$B, 0),":",MATCH($D64, CONFIG!$B:$B, 0))),0)),"/CONFIG/",MID($D64,1,FIND("_",$D64)-1),"/",INDIRECT(CONCATENATE("'CONFIG'!",ADDRESS(MATCH($D64, CONFIG!$B:$B, 0),MATCH(I$1, CONFIG!$1:$1, 0)))),".pdf#page=",I65),CONCATENATE("#Sharepoint//",$D64))</f>
        <v>#Sharepoint//FRS_Line Voltage</v>
      </c>
      <c r="J64" s="340" t="str" cm="1">
        <f t="array" aca="1" ref="J64" ca="1">HYPERLINK(CONCATENATE(Cartelle!$D$5,J$1,"/CONFIG/",MID($D64,1,FIND("_",$D64)-1),"/",INDIRECT(CONCATENATE("'CONFIG'!",ADDRESS(MATCH($D64, CONFIG!$B:$B, 0),MATCH(J$1, CONFIG!$1:$1, 0)))),".pdf#page=",J65),CONCATENATE("#Sharepoint//",$D64))</f>
        <v>#Sharepoint//FRS_Line Voltage</v>
      </c>
      <c r="K64" s="336"/>
      <c r="L64" s="336"/>
    </row>
    <row r="65" spans="1:12" s="13" customFormat="1" hidden="1" outlineLevel="2" x14ac:dyDescent="0.25">
      <c r="B65" s="103"/>
      <c r="C65" s="374"/>
      <c r="D65" s="388"/>
      <c r="E65" s="347" t="s">
        <v>868</v>
      </c>
      <c r="F65" s="348">
        <v>25</v>
      </c>
      <c r="G65" s="348"/>
      <c r="H65" s="348">
        <v>29</v>
      </c>
      <c r="I65" s="348">
        <v>27</v>
      </c>
      <c r="J65" s="348">
        <v>36</v>
      </c>
      <c r="K65" s="348"/>
      <c r="L65" s="348"/>
    </row>
    <row r="66" spans="1:12" s="13" customFormat="1" x14ac:dyDescent="0.25">
      <c r="A66" s="341" t="s">
        <v>1189</v>
      </c>
      <c r="B66" s="349" t="s">
        <v>1237</v>
      </c>
      <c r="C66" s="422"/>
      <c r="D66" s="386" t="s">
        <v>386</v>
      </c>
      <c r="E66" s="343"/>
      <c r="F66" s="344"/>
      <c r="G66" s="344"/>
      <c r="H66" s="344"/>
      <c r="I66" s="344"/>
      <c r="J66" s="344"/>
      <c r="K66" s="344"/>
      <c r="L66" s="345"/>
    </row>
    <row r="67" spans="1:12" s="13" customFormat="1" outlineLevel="1" collapsed="1" x14ac:dyDescent="0.25">
      <c r="B67" s="103"/>
      <c r="C67" s="370"/>
      <c r="D67" s="387" t="s">
        <v>837</v>
      </c>
      <c r="E67" s="346" t="s">
        <v>184</v>
      </c>
      <c r="F67" s="340" t="str" cm="1">
        <f t="array" aca="1" ref="F67" ca="1">HYPERLINK(CONCATENATE(Cartelle!$D$5,F$1,"/CONFIG/",MID($D67,1,FIND("_",$D67)-1),"/",INDIRECT(CONCATENATE("'CONFIG'!",ADDRESS(MATCH($D67, CONFIG!$B:$B, 0),MATCH(F$1, CONFIG!$1:$1, 0)))),".pdf#page=",F68),CONCATENATE("#Sharepoint//",$D67))</f>
        <v>#Sharepoint//FRS_Line Voltage</v>
      </c>
      <c r="G67" s="406"/>
      <c r="H67" s="340" t="str" cm="1">
        <f t="array" aca="1" ref="H67" ca="1">HYPERLINK(CONCATENATE(Cartelle!$D$5,INDEX(CONFIG!$1:$1, 1, MATCH(INDIRECT(CONCATENATE("'CONFIG'!",ADDRESS(MATCH($D67, CONFIG!$B:$B, 0),MATCH(H$1, CONFIG!$1:$1, 0)))),INDIRECT(CONCATENATE("'CONFIG'!",MATCH($D67, CONFIG!$B:$B, 0),":",MATCH($D67, CONFIG!$B:$B, 0))),0)),"/CONFIG/",MID($D67,1,FIND("_",$D67)-1),"/",INDIRECT(CONCATENATE("'CONFIG'!",ADDRESS(MATCH($D67, CONFIG!$B:$B, 0),MATCH(H$1, CONFIG!$1:$1, 0)))),".pdf#page=",H68),CONCATENATE("#Sharepoint//",$D67))</f>
        <v>#Sharepoint//FRS_Line Voltage</v>
      </c>
      <c r="I67" s="340" t="str" cm="1">
        <f t="array" aca="1" ref="I67" ca="1">HYPERLINK(CONCATENATE(Cartelle!$D$5,INDEX(CONFIG!$1:$1, 1, MATCH(INDIRECT(CONCATENATE("'CONFIG'!",ADDRESS(MATCH($D67, CONFIG!$B:$B, 0),MATCH(I$1, CONFIG!$1:$1, 0)))),INDIRECT(CONCATENATE("'CONFIG'!",MATCH($D67, CONFIG!$B:$B, 0),":",MATCH($D67, CONFIG!$B:$B, 0))),0)),"/CONFIG/",MID($D67,1,FIND("_",$D67)-1),"/",INDIRECT(CONCATENATE("'CONFIG'!",ADDRESS(MATCH($D67, CONFIG!$B:$B, 0),MATCH(I$1, CONFIG!$1:$1, 0)))),".pdf#page=",I68),CONCATENATE("#Sharepoint//",$D67))</f>
        <v>#Sharepoint//FRS_Line Voltage</v>
      </c>
      <c r="J67" s="340" t="str" cm="1">
        <f t="array" aca="1" ref="J67" ca="1">HYPERLINK(CONCATENATE(Cartelle!$D$5,J$1,"/CONFIG/",MID($D67,1,FIND("_",$D67)-1),"/",INDIRECT(CONCATENATE("'CONFIG'!",ADDRESS(MATCH($D67, CONFIG!$B:$B, 0),MATCH(J$1, CONFIG!$1:$1, 0)))),".pdf#page=",J68),CONCATENATE("#Sharepoint//",$D67))</f>
        <v>#Sharepoint//FRS_Line Voltage</v>
      </c>
      <c r="K67" s="336"/>
      <c r="L67" s="336"/>
    </row>
    <row r="68" spans="1:12" s="13" customFormat="1" hidden="1" outlineLevel="2" x14ac:dyDescent="0.25">
      <c r="B68" s="103"/>
      <c r="C68" s="374"/>
      <c r="D68" s="388"/>
      <c r="E68" s="347" t="s">
        <v>868</v>
      </c>
      <c r="F68" s="348">
        <v>27</v>
      </c>
      <c r="G68" s="348"/>
      <c r="H68" s="348">
        <v>31</v>
      </c>
      <c r="I68" s="348">
        <v>29</v>
      </c>
      <c r="J68" s="348">
        <v>39</v>
      </c>
      <c r="K68" s="348"/>
      <c r="L68" s="348"/>
    </row>
    <row r="69" spans="1:12" s="13" customFormat="1" x14ac:dyDescent="0.25">
      <c r="A69" s="341" t="s">
        <v>1190</v>
      </c>
      <c r="B69" s="349" t="s">
        <v>1257</v>
      </c>
      <c r="C69" s="422"/>
      <c r="D69" s="386" t="s">
        <v>386</v>
      </c>
      <c r="E69" s="343"/>
      <c r="F69" s="344"/>
      <c r="G69" s="344"/>
      <c r="H69" s="344"/>
      <c r="I69" s="344"/>
      <c r="J69" s="344"/>
      <c r="K69" s="344"/>
      <c r="L69" s="345"/>
    </row>
    <row r="70" spans="1:12" s="13" customFormat="1" outlineLevel="1" collapsed="1" x14ac:dyDescent="0.25">
      <c r="B70" s="103"/>
      <c r="C70" s="370"/>
      <c r="D70" s="387" t="s">
        <v>837</v>
      </c>
      <c r="E70" s="346" t="s">
        <v>184</v>
      </c>
      <c r="F70" s="340" t="str" cm="1">
        <f t="array" aca="1" ref="F70" ca="1">HYPERLINK(CONCATENATE(Cartelle!$D$5,F$1,"/CONFIG/",MID($D70,1,FIND("_",$D70)-1),"/",INDIRECT(CONCATENATE("'CONFIG'!",ADDRESS(MATCH($D70, CONFIG!$B:$B, 0),MATCH(F$1, CONFIG!$1:$1, 0)))),".pdf#page=",F71),CONCATENATE("#Sharepoint//",$D70))</f>
        <v>#Sharepoint//FRS_Line Voltage</v>
      </c>
      <c r="G70" s="406"/>
      <c r="H70" s="340" t="str" cm="1">
        <f t="array" aca="1" ref="H70" ca="1">HYPERLINK(CONCATENATE(Cartelle!$D$5,INDEX(CONFIG!$1:$1, 1, MATCH(INDIRECT(CONCATENATE("'CONFIG'!",ADDRESS(MATCH($D70, CONFIG!$B:$B, 0),MATCH(H$1, CONFIG!$1:$1, 0)))),INDIRECT(CONCATENATE("'CONFIG'!",MATCH($D70, CONFIG!$B:$B, 0),":",MATCH($D70, CONFIG!$B:$B, 0))),0)),"/CONFIG/",MID($D70,1,FIND("_",$D70)-1),"/",INDIRECT(CONCATENATE("'CONFIG'!",ADDRESS(MATCH($D70, CONFIG!$B:$B, 0),MATCH(H$1, CONFIG!$1:$1, 0)))),".pdf#page=",H71),CONCATENATE("#Sharepoint//",$D70))</f>
        <v>#Sharepoint//FRS_Line Voltage</v>
      </c>
      <c r="I70" s="340" t="str" cm="1">
        <f t="array" aca="1" ref="I70" ca="1">HYPERLINK(CONCATENATE(Cartelle!$D$5,INDEX(CONFIG!$1:$1, 1, MATCH(INDIRECT(CONCATENATE("'CONFIG'!",ADDRESS(MATCH($D70, CONFIG!$B:$B, 0),MATCH(I$1, CONFIG!$1:$1, 0)))),INDIRECT(CONCATENATE("'CONFIG'!",MATCH($D70, CONFIG!$B:$B, 0),":",MATCH($D70, CONFIG!$B:$B, 0))),0)),"/CONFIG/",MID($D70,1,FIND("_",$D70)-1),"/",INDIRECT(CONCATENATE("'CONFIG'!",ADDRESS(MATCH($D70, CONFIG!$B:$B, 0),MATCH(I$1, CONFIG!$1:$1, 0)))),".pdf#page=",I71),CONCATENATE("#Sharepoint//",$D70))</f>
        <v>#Sharepoint//FRS_Line Voltage</v>
      </c>
      <c r="J70" s="340" t="str" cm="1">
        <f t="array" aca="1" ref="J70" ca="1">HYPERLINK(CONCATENATE(Cartelle!$D$5,J$1,"/CONFIG/",MID($D70,1,FIND("_",$D70)-1),"/",INDIRECT(CONCATENATE("'CONFIG'!",ADDRESS(MATCH($D70, CONFIG!$B:$B, 0),MATCH(J$1, CONFIG!$1:$1, 0)))),".pdf#page=",J71),CONCATENATE("#Sharepoint//",$D70))</f>
        <v>#Sharepoint//FRS_Line Voltage</v>
      </c>
      <c r="K70" s="336"/>
      <c r="L70" s="336"/>
    </row>
    <row r="71" spans="1:12" s="13" customFormat="1" hidden="1" outlineLevel="2" x14ac:dyDescent="0.25">
      <c r="B71" s="103"/>
      <c r="C71" s="374"/>
      <c r="D71" s="388"/>
      <c r="E71" s="347" t="s">
        <v>868</v>
      </c>
      <c r="F71" s="348">
        <v>29</v>
      </c>
      <c r="G71" s="348"/>
      <c r="H71" s="348">
        <v>34</v>
      </c>
      <c r="I71" s="348">
        <v>31</v>
      </c>
      <c r="J71" s="348">
        <v>42</v>
      </c>
      <c r="K71" s="348"/>
      <c r="L71" s="348"/>
    </row>
    <row r="72" spans="1:12" s="13" customFormat="1" ht="60" x14ac:dyDescent="0.25">
      <c r="A72" s="341" t="s">
        <v>1191</v>
      </c>
      <c r="B72" s="349" t="s">
        <v>1210</v>
      </c>
      <c r="C72" s="422"/>
      <c r="D72" s="386" t="s">
        <v>386</v>
      </c>
      <c r="E72" s="343"/>
      <c r="F72" s="344"/>
      <c r="G72" s="344"/>
      <c r="H72" s="344"/>
      <c r="I72" s="344"/>
      <c r="J72" s="344"/>
      <c r="K72" s="344"/>
      <c r="L72" s="345"/>
    </row>
    <row r="73" spans="1:12" s="13" customFormat="1" outlineLevel="1" collapsed="1" x14ac:dyDescent="0.25">
      <c r="B73" s="103"/>
      <c r="C73" s="370"/>
      <c r="D73" s="387" t="s">
        <v>837</v>
      </c>
      <c r="E73" s="346" t="s">
        <v>184</v>
      </c>
      <c r="F73" s="340" t="str" cm="1">
        <f t="array" aca="1" ref="F73" ca="1">HYPERLINK(CONCATENATE(Cartelle!$D$5,F$1,"/CONFIG/",MID($D73,1,FIND("_",$D73)-1),"/",INDIRECT(CONCATENATE("'CONFIG'!",ADDRESS(MATCH($D73, CONFIG!$B:$B, 0),MATCH(F$1, CONFIG!$1:$1, 0)))),".pdf#page=",F74),CONCATENATE("#Sharepoint//",$D73))</f>
        <v>#Sharepoint//FRS_Line Voltage</v>
      </c>
      <c r="G73" s="406"/>
      <c r="H73" s="340" t="str" cm="1">
        <f t="array" aca="1" ref="H73" ca="1">HYPERLINK(CONCATENATE(Cartelle!$D$5,INDEX(CONFIG!$1:$1, 1, MATCH(INDIRECT(CONCATENATE("'CONFIG'!",ADDRESS(MATCH($D73, CONFIG!$B:$B, 0),MATCH(H$1, CONFIG!$1:$1, 0)))),INDIRECT(CONCATENATE("'CONFIG'!",MATCH($D73, CONFIG!$B:$B, 0),":",MATCH($D73, CONFIG!$B:$B, 0))),0)),"/CONFIG/",MID($D73,1,FIND("_",$D73)-1),"/",INDIRECT(CONCATENATE("'CONFIG'!",ADDRESS(MATCH($D73, CONFIG!$B:$B, 0),MATCH(H$1, CONFIG!$1:$1, 0)))),".pdf#page=",H74),CONCATENATE("#Sharepoint//",$D73))</f>
        <v>#Sharepoint//FRS_Line Voltage</v>
      </c>
      <c r="I73" s="340" t="str" cm="1">
        <f t="array" aca="1" ref="I73" ca="1">HYPERLINK(CONCATENATE(Cartelle!$D$5,INDEX(CONFIG!$1:$1, 1, MATCH(INDIRECT(CONCATENATE("'CONFIG'!",ADDRESS(MATCH($D73, CONFIG!$B:$B, 0),MATCH(I$1, CONFIG!$1:$1, 0)))),INDIRECT(CONCATENATE("'CONFIG'!",MATCH($D73, CONFIG!$B:$B, 0),":",MATCH($D73, CONFIG!$B:$B, 0))),0)),"/CONFIG/",MID($D73,1,FIND("_",$D73)-1),"/",INDIRECT(CONCATENATE("'CONFIG'!",ADDRESS(MATCH($D73, CONFIG!$B:$B, 0),MATCH(I$1, CONFIG!$1:$1, 0)))),".pdf#page=",I74),CONCATENATE("#Sharepoint//",$D73))</f>
        <v>#Sharepoint//FRS_Line Voltage</v>
      </c>
      <c r="J73" s="340" t="str" cm="1">
        <f t="array" aca="1" ref="J73" ca="1">HYPERLINK(CONCATENATE(Cartelle!$D$5,J$1,"/CONFIG/",MID($D73,1,FIND("_",$D73)-1),"/",INDIRECT(CONCATENATE("'CONFIG'!",ADDRESS(MATCH($D73, CONFIG!$B:$B, 0),MATCH(J$1, CONFIG!$1:$1, 0)))),".pdf#page=",J74),CONCATENATE("#Sharepoint//",$D73))</f>
        <v>#Sharepoint//FRS_Line Voltage</v>
      </c>
      <c r="K73" s="336"/>
      <c r="L73" s="336"/>
    </row>
    <row r="74" spans="1:12" s="13" customFormat="1" hidden="1" outlineLevel="2" x14ac:dyDescent="0.25">
      <c r="B74" s="103"/>
      <c r="C74" s="374"/>
      <c r="D74" s="388"/>
      <c r="E74" s="347" t="s">
        <v>868</v>
      </c>
      <c r="F74" s="348">
        <v>30</v>
      </c>
      <c r="G74" s="348"/>
      <c r="H74" s="348">
        <v>35</v>
      </c>
      <c r="I74" s="348">
        <v>32</v>
      </c>
      <c r="J74" s="348">
        <v>43</v>
      </c>
      <c r="K74" s="348"/>
      <c r="L74" s="348"/>
    </row>
    <row r="75" spans="1:12" s="13" customFormat="1" ht="30" x14ac:dyDescent="0.25">
      <c r="A75" s="341" t="s">
        <v>1192</v>
      </c>
      <c r="B75" s="349" t="s">
        <v>1238</v>
      </c>
      <c r="C75" s="422"/>
      <c r="D75" s="386" t="s">
        <v>386</v>
      </c>
      <c r="E75" s="343"/>
      <c r="F75" s="344"/>
      <c r="G75" s="344"/>
      <c r="H75" s="344"/>
      <c r="I75" s="344"/>
      <c r="J75" s="344"/>
      <c r="K75" s="344"/>
      <c r="L75" s="345"/>
    </row>
    <row r="76" spans="1:12" s="13" customFormat="1" outlineLevel="1" collapsed="1" x14ac:dyDescent="0.25">
      <c r="B76" s="103"/>
      <c r="C76" s="370"/>
      <c r="D76" s="387" t="s">
        <v>837</v>
      </c>
      <c r="E76" s="346" t="s">
        <v>184</v>
      </c>
      <c r="F76" s="340" t="str" cm="1">
        <f t="array" aca="1" ref="F76" ca="1">HYPERLINK(CONCATENATE(Cartelle!$D$5,F$1,"/CONFIG/",MID($D76,1,FIND("_",$D76)-1),"/",INDIRECT(CONCATENATE("'CONFIG'!",ADDRESS(MATCH($D76, CONFIG!$B:$B, 0),MATCH(F$1, CONFIG!$1:$1, 0)))),".pdf#page=",F77),CONCATENATE("#Sharepoint//",$D76))</f>
        <v>#Sharepoint//FRS_Line Voltage</v>
      </c>
      <c r="G76" s="406"/>
      <c r="H76" s="340" t="str" cm="1">
        <f t="array" aca="1" ref="H76" ca="1">HYPERLINK(CONCATENATE(Cartelle!$D$5,INDEX(CONFIG!$1:$1, 1, MATCH(INDIRECT(CONCATENATE("'CONFIG'!",ADDRESS(MATCH($D76, CONFIG!$B:$B, 0),MATCH(H$1, CONFIG!$1:$1, 0)))),INDIRECT(CONCATENATE("'CONFIG'!",MATCH($D76, CONFIG!$B:$B, 0),":",MATCH($D76, CONFIG!$B:$B, 0))),0)),"/CONFIG/",MID($D76,1,FIND("_",$D76)-1),"/",INDIRECT(CONCATENATE("'CONFIG'!",ADDRESS(MATCH($D76, CONFIG!$B:$B, 0),MATCH(H$1, CONFIG!$1:$1, 0)))),".pdf#page=",H77),CONCATENATE("#Sharepoint//",$D76))</f>
        <v>#Sharepoint//FRS_Line Voltage</v>
      </c>
      <c r="I76" s="340" t="str" cm="1">
        <f t="array" aca="1" ref="I76" ca="1">HYPERLINK(CONCATENATE(Cartelle!$D$5,INDEX(CONFIG!$1:$1, 1, MATCH(INDIRECT(CONCATENATE("'CONFIG'!",ADDRESS(MATCH($D76, CONFIG!$B:$B, 0),MATCH(I$1, CONFIG!$1:$1, 0)))),INDIRECT(CONCATENATE("'CONFIG'!",MATCH($D76, CONFIG!$B:$B, 0),":",MATCH($D76, CONFIG!$B:$B, 0))),0)),"/CONFIG/",MID($D76,1,FIND("_",$D76)-1),"/",INDIRECT(CONCATENATE("'CONFIG'!",ADDRESS(MATCH($D76, CONFIG!$B:$B, 0),MATCH(I$1, CONFIG!$1:$1, 0)))),".pdf#page=",I77),CONCATENATE("#Sharepoint//",$D76))</f>
        <v>#Sharepoint//FRS_Line Voltage</v>
      </c>
      <c r="J76" s="340" t="str" cm="1">
        <f t="array" aca="1" ref="J76" ca="1">HYPERLINK(CONCATENATE(Cartelle!$D$5,J$1,"/CONFIG/",MID($D76,1,FIND("_",$D76)-1),"/",INDIRECT(CONCATENATE("'CONFIG'!",ADDRESS(MATCH($D76, CONFIG!$B:$B, 0),MATCH(J$1, CONFIG!$1:$1, 0)))),".pdf#page=",J77),CONCATENATE("#Sharepoint//",$D76))</f>
        <v>#Sharepoint//FRS_Line Voltage</v>
      </c>
      <c r="K76" s="336"/>
      <c r="L76" s="336"/>
    </row>
    <row r="77" spans="1:12" s="13" customFormat="1" hidden="1" outlineLevel="2" x14ac:dyDescent="0.25">
      <c r="B77" s="103"/>
      <c r="C77" s="374"/>
      <c r="D77" s="388"/>
      <c r="E77" s="347" t="s">
        <v>868</v>
      </c>
      <c r="F77" s="348">
        <v>34</v>
      </c>
      <c r="G77" s="348"/>
      <c r="H77" s="348">
        <v>39</v>
      </c>
      <c r="I77" s="348">
        <v>35</v>
      </c>
      <c r="J77" s="348">
        <v>47</v>
      </c>
      <c r="K77" s="348"/>
      <c r="L77" s="348"/>
    </row>
    <row r="78" spans="1:12" s="13" customFormat="1" ht="30" x14ac:dyDescent="0.25">
      <c r="A78" s="341" t="s">
        <v>1193</v>
      </c>
      <c r="B78" s="349" t="s">
        <v>1239</v>
      </c>
      <c r="C78" s="422"/>
      <c r="D78" s="386" t="s">
        <v>386</v>
      </c>
      <c r="E78" s="343"/>
      <c r="F78" s="344"/>
      <c r="G78" s="344"/>
      <c r="H78" s="344"/>
      <c r="I78" s="344"/>
      <c r="J78" s="344"/>
      <c r="K78" s="344"/>
      <c r="L78" s="345"/>
    </row>
    <row r="79" spans="1:12" s="13" customFormat="1" outlineLevel="1" collapsed="1" x14ac:dyDescent="0.25">
      <c r="B79" s="103"/>
      <c r="C79" s="370"/>
      <c r="D79" s="387" t="s">
        <v>837</v>
      </c>
      <c r="E79" s="346" t="s">
        <v>184</v>
      </c>
      <c r="F79" s="340" t="str" cm="1">
        <f t="array" aca="1" ref="F79" ca="1">HYPERLINK(CONCATENATE(Cartelle!$D$5,F$1,"/CONFIG/",MID($D79,1,FIND("_",$D79)-1),"/",INDIRECT(CONCATENATE("'CONFIG'!",ADDRESS(MATCH($D79, CONFIG!$B:$B, 0),MATCH(F$1, CONFIG!$1:$1, 0)))),".pdf#page=",F80),CONCATENATE("#Sharepoint//",$D79))</f>
        <v>#Sharepoint//FRS_Line Voltage</v>
      </c>
      <c r="G79" s="406"/>
      <c r="H79" s="340" t="str" cm="1">
        <f t="array" aca="1" ref="H79" ca="1">HYPERLINK(CONCATENATE(Cartelle!$D$5,INDEX(CONFIG!$1:$1, 1, MATCH(INDIRECT(CONCATENATE("'CONFIG'!",ADDRESS(MATCH($D79, CONFIG!$B:$B, 0),MATCH(H$1, CONFIG!$1:$1, 0)))),INDIRECT(CONCATENATE("'CONFIG'!",MATCH($D79, CONFIG!$B:$B, 0),":",MATCH($D79, CONFIG!$B:$B, 0))),0)),"/CONFIG/",MID($D79,1,FIND("_",$D79)-1),"/",INDIRECT(CONCATENATE("'CONFIG'!",ADDRESS(MATCH($D79, CONFIG!$B:$B, 0),MATCH(H$1, CONFIG!$1:$1, 0)))),".pdf#page=",H80),CONCATENATE("#Sharepoint//",$D79))</f>
        <v>#Sharepoint//FRS_Line Voltage</v>
      </c>
      <c r="I79" s="340" t="str" cm="1">
        <f t="array" aca="1" ref="I79" ca="1">HYPERLINK(CONCATENATE(Cartelle!$D$5,INDEX(CONFIG!$1:$1, 1, MATCH(INDIRECT(CONCATENATE("'CONFIG'!",ADDRESS(MATCH($D79, CONFIG!$B:$B, 0),MATCH(I$1, CONFIG!$1:$1, 0)))),INDIRECT(CONCATENATE("'CONFIG'!",MATCH($D79, CONFIG!$B:$B, 0),":",MATCH($D79, CONFIG!$B:$B, 0))),0)),"/CONFIG/",MID($D79,1,FIND("_",$D79)-1),"/",INDIRECT(CONCATENATE("'CONFIG'!",ADDRESS(MATCH($D79, CONFIG!$B:$B, 0),MATCH(I$1, CONFIG!$1:$1, 0)))),".pdf#page=",I80),CONCATENATE("#Sharepoint//",$D79))</f>
        <v>#Sharepoint//FRS_Line Voltage</v>
      </c>
      <c r="J79" s="340" t="str" cm="1">
        <f t="array" aca="1" ref="J79" ca="1">HYPERLINK(CONCATENATE(Cartelle!$D$5,J$1,"/CONFIG/",MID($D79,1,FIND("_",$D79)-1),"/",INDIRECT(CONCATENATE("'CONFIG'!",ADDRESS(MATCH($D79, CONFIG!$B:$B, 0),MATCH(J$1, CONFIG!$1:$1, 0)))),".pdf#page=",J80),CONCATENATE("#Sharepoint//",$D79))</f>
        <v>#Sharepoint//FRS_Line Voltage</v>
      </c>
      <c r="K79" s="336"/>
      <c r="L79" s="336"/>
    </row>
    <row r="80" spans="1:12" s="13" customFormat="1" hidden="1" outlineLevel="2" x14ac:dyDescent="0.25">
      <c r="B80" s="103"/>
      <c r="C80" s="374"/>
      <c r="D80" s="388"/>
      <c r="E80" s="347" t="s">
        <v>868</v>
      </c>
      <c r="F80" s="348">
        <v>37</v>
      </c>
      <c r="G80" s="348"/>
      <c r="H80" s="348">
        <v>42</v>
      </c>
      <c r="I80" s="348">
        <v>38</v>
      </c>
      <c r="J80" s="348">
        <v>50</v>
      </c>
      <c r="K80" s="348"/>
      <c r="L80" s="348"/>
    </row>
    <row r="81" spans="1:12" s="13" customFormat="1" x14ac:dyDescent="0.25">
      <c r="A81" s="341" t="s">
        <v>1194</v>
      </c>
      <c r="B81" s="349" t="s">
        <v>1379</v>
      </c>
      <c r="C81" s="422"/>
      <c r="D81" s="386" t="s">
        <v>386</v>
      </c>
      <c r="E81" s="343"/>
      <c r="F81" s="344"/>
      <c r="G81" s="344"/>
      <c r="H81" s="344"/>
      <c r="I81" s="344"/>
      <c r="J81" s="344"/>
      <c r="K81" s="344"/>
      <c r="L81" s="345"/>
    </row>
    <row r="82" spans="1:12" s="13" customFormat="1" outlineLevel="1" collapsed="1" x14ac:dyDescent="0.25">
      <c r="B82" s="103"/>
      <c r="C82" s="370"/>
      <c r="D82" s="387" t="s">
        <v>837</v>
      </c>
      <c r="E82" s="346" t="s">
        <v>184</v>
      </c>
      <c r="F82" s="340" t="str" cm="1">
        <f t="array" aca="1" ref="F82" ca="1">HYPERLINK(CONCATENATE(Cartelle!$D$5,F$1,"/CONFIG/",MID($D82,1,FIND("_",$D82)-1),"/",INDIRECT(CONCATENATE("'CONFIG'!",ADDRESS(MATCH($D82, CONFIG!$B:$B, 0),MATCH(F$1, CONFIG!$1:$1, 0)))),".pdf#page=",F83),CONCATENATE("#Sharepoint//",$D82))</f>
        <v>#Sharepoint//FRS_Line Voltage</v>
      </c>
      <c r="G82" s="406"/>
      <c r="H82" s="340" t="str" cm="1">
        <f t="array" aca="1" ref="H82" ca="1">HYPERLINK(CONCATENATE(Cartelle!$D$5,INDEX(CONFIG!$1:$1, 1, MATCH(INDIRECT(CONCATENATE("'CONFIG'!",ADDRESS(MATCH($D82, CONFIG!$B:$B, 0),MATCH(H$1, CONFIG!$1:$1, 0)))),INDIRECT(CONCATENATE("'CONFIG'!",MATCH($D82, CONFIG!$B:$B, 0),":",MATCH($D82, CONFIG!$B:$B, 0))),0)),"/CONFIG/",MID($D82,1,FIND("_",$D82)-1),"/",INDIRECT(CONCATENATE("'CONFIG'!",ADDRESS(MATCH($D82, CONFIG!$B:$B, 0),MATCH(H$1, CONFIG!$1:$1, 0)))),".pdf#page=",H83),CONCATENATE("#Sharepoint//",$D82))</f>
        <v>#Sharepoint//FRS_Line Voltage</v>
      </c>
      <c r="I82" s="340" t="str" cm="1">
        <f t="array" aca="1" ref="I82" ca="1">HYPERLINK(CONCATENATE(Cartelle!$D$5,INDEX(CONFIG!$1:$1, 1, MATCH(INDIRECT(CONCATENATE("'CONFIG'!",ADDRESS(MATCH($D82, CONFIG!$B:$B, 0),MATCH(I$1, CONFIG!$1:$1, 0)))),INDIRECT(CONCATENATE("'CONFIG'!",MATCH($D82, CONFIG!$B:$B, 0),":",MATCH($D82, CONFIG!$B:$B, 0))),0)),"/CONFIG/",MID($D82,1,FIND("_",$D82)-1),"/",INDIRECT(CONCATENATE("'CONFIG'!",ADDRESS(MATCH($D82, CONFIG!$B:$B, 0),MATCH(I$1, CONFIG!$1:$1, 0)))),".pdf#page=",I83),CONCATENATE("#Sharepoint//",$D82))</f>
        <v>#Sharepoint//FRS_Line Voltage</v>
      </c>
      <c r="J82" s="340" t="str" cm="1">
        <f t="array" aca="1" ref="J82" ca="1">HYPERLINK(CONCATENATE(Cartelle!$D$5,J$1,"/CONFIG/",MID($D82,1,FIND("_",$D82)-1),"/",INDIRECT(CONCATENATE("'CONFIG'!",ADDRESS(MATCH($D82, CONFIG!$B:$B, 0),MATCH(J$1, CONFIG!$1:$1, 0)))),".pdf#page=",J83),CONCATENATE("#Sharepoint//",$D82))</f>
        <v>#Sharepoint//FRS_Line Voltage</v>
      </c>
      <c r="K82" s="336"/>
      <c r="L82" s="336"/>
    </row>
    <row r="83" spans="1:12" s="13" customFormat="1" hidden="1" outlineLevel="2" x14ac:dyDescent="0.25">
      <c r="B83" s="103"/>
      <c r="C83" s="374"/>
      <c r="D83" s="388"/>
      <c r="E83" s="347" t="s">
        <v>868</v>
      </c>
      <c r="F83" s="348">
        <v>40</v>
      </c>
      <c r="G83" s="348"/>
      <c r="H83" s="348">
        <v>46</v>
      </c>
      <c r="I83" s="348">
        <v>42</v>
      </c>
      <c r="J83" s="348">
        <v>56</v>
      </c>
      <c r="K83" s="348"/>
      <c r="L83" s="348"/>
    </row>
    <row r="84" spans="1:12" s="13" customFormat="1" ht="30" x14ac:dyDescent="0.25">
      <c r="A84" s="341" t="s">
        <v>1195</v>
      </c>
      <c r="B84" s="349" t="s">
        <v>1378</v>
      </c>
      <c r="C84" s="422"/>
      <c r="D84" s="386" t="s">
        <v>386</v>
      </c>
      <c r="E84" s="343"/>
      <c r="F84" s="344"/>
      <c r="G84" s="344"/>
      <c r="H84" s="344"/>
      <c r="I84" s="344"/>
      <c r="J84" s="344"/>
      <c r="K84" s="344"/>
      <c r="L84" s="345"/>
    </row>
    <row r="85" spans="1:12" s="13" customFormat="1" outlineLevel="1" collapsed="1" x14ac:dyDescent="0.25">
      <c r="B85" s="103"/>
      <c r="C85" s="370"/>
      <c r="D85" s="387" t="s">
        <v>837</v>
      </c>
      <c r="E85" s="346" t="s">
        <v>184</v>
      </c>
      <c r="F85" s="340" t="str" cm="1">
        <f t="array" aca="1" ref="F85" ca="1">HYPERLINK(CONCATENATE(Cartelle!$D$5,F$1,"/CONFIG/",MID($D85,1,FIND("_",$D85)-1),"/",INDIRECT(CONCATENATE("'CONFIG'!",ADDRESS(MATCH($D85, CONFIG!$B:$B, 0),MATCH(F$1, CONFIG!$1:$1, 0)))),".pdf#page=",F86),CONCATENATE("#Sharepoint//",$D85))</f>
        <v>#Sharepoint//FRS_Line Voltage</v>
      </c>
      <c r="G85" s="406"/>
      <c r="H85" s="340" t="str" cm="1">
        <f t="array" aca="1" ref="H85" ca="1">HYPERLINK(CONCATENATE(Cartelle!$D$5,INDEX(CONFIG!$1:$1, 1, MATCH(INDIRECT(CONCATENATE("'CONFIG'!",ADDRESS(MATCH($D85, CONFIG!$B:$B, 0),MATCH(H$1, CONFIG!$1:$1, 0)))),INDIRECT(CONCATENATE("'CONFIG'!",MATCH($D85, CONFIG!$B:$B, 0),":",MATCH($D85, CONFIG!$B:$B, 0))),0)),"/CONFIG/",MID($D85,1,FIND("_",$D85)-1),"/",INDIRECT(CONCATENATE("'CONFIG'!",ADDRESS(MATCH($D85, CONFIG!$B:$B, 0),MATCH(H$1, CONFIG!$1:$1, 0)))),".pdf#page=",H86),CONCATENATE("#Sharepoint//",$D85))</f>
        <v>#Sharepoint//FRS_Line Voltage</v>
      </c>
      <c r="I85" s="340" t="str" cm="1">
        <f t="array" aca="1" ref="I85" ca="1">HYPERLINK(CONCATENATE(Cartelle!$D$5,INDEX(CONFIG!$1:$1, 1, MATCH(INDIRECT(CONCATENATE("'CONFIG'!",ADDRESS(MATCH($D85, CONFIG!$B:$B, 0),MATCH(I$1, CONFIG!$1:$1, 0)))),INDIRECT(CONCATENATE("'CONFIG'!",MATCH($D85, CONFIG!$B:$B, 0),":",MATCH($D85, CONFIG!$B:$B, 0))),0)),"/CONFIG/",MID($D85,1,FIND("_",$D85)-1),"/",INDIRECT(CONCATENATE("'CONFIG'!",ADDRESS(MATCH($D85, CONFIG!$B:$B, 0),MATCH(I$1, CONFIG!$1:$1, 0)))),".pdf#page=",I86),CONCATENATE("#Sharepoint//",$D85))</f>
        <v>#Sharepoint//FRS_Line Voltage</v>
      </c>
      <c r="J85" s="340" t="str" cm="1">
        <f t="array" aca="1" ref="J85" ca="1">HYPERLINK(CONCATENATE(Cartelle!$D$5,J$1,"/CONFIG/",MID($D85,1,FIND("_",$D85)-1),"/",INDIRECT(CONCATENATE("'CONFIG'!",ADDRESS(MATCH($D85, CONFIG!$B:$B, 0),MATCH(J$1, CONFIG!$1:$1, 0)))),".pdf#page=",J86),CONCATENATE("#Sharepoint//",$D85))</f>
        <v>#Sharepoint//FRS_Line Voltage</v>
      </c>
      <c r="K85" s="336"/>
      <c r="L85" s="336"/>
    </row>
    <row r="86" spans="1:12" s="13" customFormat="1" hidden="1" outlineLevel="2" x14ac:dyDescent="0.25">
      <c r="B86" s="103"/>
      <c r="C86" s="374"/>
      <c r="D86" s="388"/>
      <c r="E86" s="347" t="s">
        <v>868</v>
      </c>
      <c r="F86" s="348">
        <v>45</v>
      </c>
      <c r="G86" s="348"/>
      <c r="H86" s="348">
        <v>52</v>
      </c>
      <c r="I86" s="348">
        <v>47</v>
      </c>
      <c r="J86" s="348">
        <v>61</v>
      </c>
      <c r="K86" s="348"/>
      <c r="L86" s="348"/>
    </row>
    <row r="87" spans="1:12" s="13" customFormat="1" ht="30" x14ac:dyDescent="0.25">
      <c r="A87" s="341" t="s">
        <v>1196</v>
      </c>
      <c r="B87" s="349" t="s">
        <v>1263</v>
      </c>
      <c r="C87" s="422"/>
      <c r="D87" s="386" t="s">
        <v>386</v>
      </c>
      <c r="E87" s="343"/>
      <c r="F87" s="344"/>
      <c r="G87" s="344"/>
      <c r="H87" s="344"/>
      <c r="I87" s="344"/>
      <c r="J87" s="344"/>
      <c r="K87" s="344"/>
      <c r="L87" s="345"/>
    </row>
    <row r="88" spans="1:12" s="13" customFormat="1" outlineLevel="1" collapsed="1" x14ac:dyDescent="0.25">
      <c r="B88" s="103"/>
      <c r="C88" s="370"/>
      <c r="D88" s="387" t="s">
        <v>837</v>
      </c>
      <c r="E88" s="346" t="s">
        <v>184</v>
      </c>
      <c r="F88" s="335"/>
      <c r="G88" s="335"/>
      <c r="H88" s="335"/>
      <c r="I88" s="335"/>
      <c r="J88" s="340" t="str" cm="1">
        <f t="array" aca="1" ref="J88" ca="1">HYPERLINK(CONCATENATE(Cartelle!$D$5,J$1,"/CONFIG/",MID($D88,1,FIND("_",$D88)-1),"/",INDIRECT(CONCATENATE("'CONFIG'!",ADDRESS(MATCH($D88, CONFIG!$B:$B, 0),MATCH(J$1, CONFIG!$1:$1, 0)))),".pdf#page=",J89),CONCATENATE("#Sharepoint//",$D88))</f>
        <v>#Sharepoint//FRS_Line Voltage</v>
      </c>
      <c r="K88" s="336"/>
      <c r="L88" s="336"/>
    </row>
    <row r="89" spans="1:12" s="13" customFormat="1" hidden="1" outlineLevel="2" x14ac:dyDescent="0.25">
      <c r="B89" s="103"/>
      <c r="C89" s="374"/>
      <c r="D89" s="388"/>
      <c r="E89" s="347" t="s">
        <v>868</v>
      </c>
      <c r="F89" s="348"/>
      <c r="G89" s="348"/>
      <c r="H89" s="348"/>
      <c r="I89" s="348"/>
      <c r="J89" s="348">
        <v>65</v>
      </c>
      <c r="K89" s="348"/>
      <c r="L89" s="348"/>
    </row>
    <row r="90" spans="1:12" s="13" customFormat="1" ht="30" x14ac:dyDescent="0.25">
      <c r="A90" s="341" t="s">
        <v>1197</v>
      </c>
      <c r="B90" s="349" t="s">
        <v>1264</v>
      </c>
      <c r="C90" s="422"/>
      <c r="D90" s="386" t="s">
        <v>386</v>
      </c>
      <c r="E90" s="343"/>
      <c r="F90" s="344"/>
      <c r="G90" s="344"/>
      <c r="H90" s="344"/>
      <c r="I90" s="344"/>
      <c r="J90" s="344"/>
      <c r="K90" s="344"/>
      <c r="L90" s="345"/>
    </row>
    <row r="91" spans="1:12" s="13" customFormat="1" outlineLevel="1" collapsed="1" x14ac:dyDescent="0.25">
      <c r="B91" s="103"/>
      <c r="C91" s="370"/>
      <c r="D91" s="387" t="s">
        <v>837</v>
      </c>
      <c r="E91" s="346" t="s">
        <v>184</v>
      </c>
      <c r="F91" s="335"/>
      <c r="G91" s="335"/>
      <c r="H91" s="335"/>
      <c r="I91" s="335"/>
      <c r="J91" s="340" t="str" cm="1">
        <f t="array" aca="1" ref="J91" ca="1">HYPERLINK(CONCATENATE(Cartelle!$D$5,J$1,"/CONFIG/",MID($D91,1,FIND("_",$D91)-1),"/",INDIRECT(CONCATENATE("'CONFIG'!",ADDRESS(MATCH($D91, CONFIG!$B:$B, 0),MATCH(J$1, CONFIG!$1:$1, 0)))),".pdf#page=",J92),CONCATENATE("#Sharepoint//",$D91))</f>
        <v>#Sharepoint//FRS_Line Voltage</v>
      </c>
      <c r="K91" s="336"/>
      <c r="L91" s="336"/>
    </row>
    <row r="92" spans="1:12" s="13" customFormat="1" hidden="1" outlineLevel="2" x14ac:dyDescent="0.25">
      <c r="B92" s="103"/>
      <c r="C92" s="374"/>
      <c r="D92" s="388"/>
      <c r="E92" s="347" t="s">
        <v>868</v>
      </c>
      <c r="F92" s="348"/>
      <c r="G92" s="348"/>
      <c r="H92" s="348"/>
      <c r="I92" s="348"/>
      <c r="J92" s="348">
        <v>68</v>
      </c>
      <c r="K92" s="348"/>
      <c r="L92" s="348"/>
    </row>
    <row r="93" spans="1:12" s="13" customFormat="1" ht="30" x14ac:dyDescent="0.25">
      <c r="A93" s="341" t="s">
        <v>1198</v>
      </c>
      <c r="B93" s="349" t="s">
        <v>1265</v>
      </c>
      <c r="C93" s="422"/>
      <c r="D93" s="386" t="s">
        <v>386</v>
      </c>
      <c r="E93" s="343"/>
      <c r="F93" s="344"/>
      <c r="G93" s="344"/>
      <c r="H93" s="344"/>
      <c r="I93" s="344"/>
      <c r="J93" s="344"/>
      <c r="K93" s="344"/>
      <c r="L93" s="345"/>
    </row>
    <row r="94" spans="1:12" s="13" customFormat="1" outlineLevel="1" collapsed="1" x14ac:dyDescent="0.25">
      <c r="B94" s="103"/>
      <c r="C94" s="370"/>
      <c r="D94" s="387" t="s">
        <v>837</v>
      </c>
      <c r="E94" s="346" t="s">
        <v>184</v>
      </c>
      <c r="F94" s="335"/>
      <c r="G94" s="335"/>
      <c r="H94" s="340" t="str" cm="1">
        <f t="array" aca="1" ref="H94" ca="1">HYPERLINK(CONCATENATE(Cartelle!$D$5,INDEX(CONFIG!$1:$1, 1, MATCH(INDIRECT(CONCATENATE("'CONFIG'!",ADDRESS(MATCH($D94, CONFIG!$B:$B, 0),MATCH(H$1, CONFIG!$1:$1, 0)))),INDIRECT(CONCATENATE("'CONFIG'!",MATCH($D94, CONFIG!$B:$B, 0),":",MATCH($D94, CONFIG!$B:$B, 0))),0)),"/CONFIG/",MID($D94,1,FIND("_",$D94)-1),"/",INDIRECT(CONCATENATE("'CONFIG'!",ADDRESS(MATCH($D94, CONFIG!$B:$B, 0),MATCH(H$1, CONFIG!$1:$1, 0)))),".pdf#page=",H95),CONCATENATE("#Sharepoint//",$D94))</f>
        <v>#Sharepoint//FRS_Line Voltage</v>
      </c>
      <c r="I94" s="340" t="str" cm="1">
        <f t="array" aca="1" ref="I94" ca="1">HYPERLINK(CONCATENATE(Cartelle!$D$5,INDEX(CONFIG!$1:$1, 1, MATCH(INDIRECT(CONCATENATE("'CONFIG'!",ADDRESS(MATCH($D94, CONFIG!$B:$B, 0),MATCH(I$1, CONFIG!$1:$1, 0)))),INDIRECT(CONCATENATE("'CONFIG'!",MATCH($D94, CONFIG!$B:$B, 0),":",MATCH($D94, CONFIG!$B:$B, 0))),0)),"/CONFIG/",MID($D94,1,FIND("_",$D94)-1),"/",INDIRECT(CONCATENATE("'CONFIG'!",ADDRESS(MATCH($D94, CONFIG!$B:$B, 0),MATCH(I$1, CONFIG!$1:$1, 0)))),".pdf#page=",I95),CONCATENATE("#Sharepoint//",$D94))</f>
        <v>#Sharepoint//FRS_Line Voltage</v>
      </c>
      <c r="J94" s="340" t="str" cm="1">
        <f t="array" aca="1" ref="J94" ca="1">HYPERLINK(CONCATENATE(Cartelle!$D$5,J$1,"/CONFIG/",MID($D94,1,FIND("_",$D94)-1),"/",INDIRECT(CONCATENATE("'CONFIG'!",ADDRESS(MATCH($D94, CONFIG!$B:$B, 0),MATCH(J$1, CONFIG!$1:$1, 0)))),".pdf#page=",J95),CONCATENATE("#Sharepoint//",$D94))</f>
        <v>#Sharepoint//FRS_Line Voltage</v>
      </c>
      <c r="K94" s="336"/>
      <c r="L94" s="336"/>
    </row>
    <row r="95" spans="1:12" s="13" customFormat="1" hidden="1" outlineLevel="2" x14ac:dyDescent="0.25">
      <c r="B95" s="103"/>
      <c r="C95" s="374"/>
      <c r="D95" s="388"/>
      <c r="E95" s="347" t="s">
        <v>868</v>
      </c>
      <c r="F95" s="348"/>
      <c r="G95" s="348"/>
      <c r="H95" s="348">
        <v>54</v>
      </c>
      <c r="I95" s="348">
        <v>49</v>
      </c>
      <c r="J95" s="348">
        <v>71</v>
      </c>
      <c r="K95" s="348"/>
      <c r="L95" s="348"/>
    </row>
    <row r="96" spans="1:12" s="13" customFormat="1" x14ac:dyDescent="0.25">
      <c r="A96" s="341" t="s">
        <v>1199</v>
      </c>
      <c r="B96" s="339" t="s">
        <v>1211</v>
      </c>
      <c r="C96" s="422"/>
      <c r="D96" s="386" t="s">
        <v>386</v>
      </c>
      <c r="E96" s="343"/>
      <c r="F96" s="344"/>
      <c r="G96" s="344"/>
      <c r="H96" s="344"/>
      <c r="I96" s="344"/>
      <c r="J96" s="344"/>
      <c r="K96" s="344"/>
      <c r="L96" s="345"/>
    </row>
    <row r="97" spans="1:12" s="13" customFormat="1" outlineLevel="1" collapsed="1" x14ac:dyDescent="0.25">
      <c r="B97" s="103"/>
      <c r="C97" s="370"/>
      <c r="D97" s="387" t="s">
        <v>837</v>
      </c>
      <c r="E97" s="346" t="s">
        <v>184</v>
      </c>
      <c r="F97" s="340" t="str" cm="1">
        <f t="array" aca="1" ref="F97" ca="1">HYPERLINK(CONCATENATE(Cartelle!$D$5,F$1,"/CONFIG/",MID($D97,1,FIND("_",$D97)-1),"/",INDIRECT(CONCATENATE("'CONFIG'!",ADDRESS(MATCH($D97, CONFIG!$B:$B, 0),MATCH(F$1, CONFIG!$1:$1, 0)))),".pdf#page=",F98),CONCATENATE("#Sharepoint//",$D97))</f>
        <v>#Sharepoint//FRS_Line Voltage</v>
      </c>
      <c r="G97" s="406"/>
      <c r="H97" s="340" t="str" cm="1">
        <f t="array" aca="1" ref="H97" ca="1">HYPERLINK(CONCATENATE(Cartelle!$D$5,INDEX(CONFIG!$1:$1, 1, MATCH(INDIRECT(CONCATENATE("'CONFIG'!",ADDRESS(MATCH($D97, CONFIG!$B:$B, 0),MATCH(H$1, CONFIG!$1:$1, 0)))),INDIRECT(CONCATENATE("'CONFIG'!",MATCH($D97, CONFIG!$B:$B, 0),":",MATCH($D97, CONFIG!$B:$B, 0))),0)),"/CONFIG/",MID($D97,1,FIND("_",$D97)-1),"/",INDIRECT(CONCATENATE("'CONFIG'!",ADDRESS(MATCH($D97, CONFIG!$B:$B, 0),MATCH(H$1, CONFIG!$1:$1, 0)))),".pdf#page=",H98),CONCATENATE("#Sharepoint//",$D97))</f>
        <v>#Sharepoint//FRS_Line Voltage</v>
      </c>
      <c r="I97" s="340" t="str" cm="1">
        <f t="array" aca="1" ref="I97" ca="1">HYPERLINK(CONCATENATE(Cartelle!$D$5,INDEX(CONFIG!$1:$1, 1, MATCH(INDIRECT(CONCATENATE("'CONFIG'!",ADDRESS(MATCH($D97, CONFIG!$B:$B, 0),MATCH(I$1, CONFIG!$1:$1, 0)))),INDIRECT(CONCATENATE("'CONFIG'!",MATCH($D97, CONFIG!$B:$B, 0),":",MATCH($D97, CONFIG!$B:$B, 0))),0)),"/CONFIG/",MID($D97,1,FIND("_",$D97)-1),"/",INDIRECT(CONCATENATE("'CONFIG'!",ADDRESS(MATCH($D97, CONFIG!$B:$B, 0),MATCH(I$1, CONFIG!$1:$1, 0)))),".pdf#page=",I98),CONCATENATE("#Sharepoint//",$D97))</f>
        <v>#Sharepoint//FRS_Line Voltage</v>
      </c>
      <c r="J97" s="340" t="str" cm="1">
        <f t="array" aca="1" ref="J97" ca="1">HYPERLINK(CONCATENATE(Cartelle!$D$5,J$1,"/CONFIG/",MID($D97,1,FIND("_",$D97)-1),"/",INDIRECT(CONCATENATE("'CONFIG'!",ADDRESS(MATCH($D97, CONFIG!$B:$B, 0),MATCH(J$1, CONFIG!$1:$1, 0)))),".pdf#page=",J98),CONCATENATE("#Sharepoint//",$D97))</f>
        <v>#Sharepoint//FRS_Line Voltage</v>
      </c>
      <c r="K97" s="336"/>
      <c r="L97" s="336"/>
    </row>
    <row r="98" spans="1:12" s="13" customFormat="1" hidden="1" outlineLevel="2" x14ac:dyDescent="0.25">
      <c r="B98" s="103"/>
      <c r="C98" s="374"/>
      <c r="D98" s="388"/>
      <c r="E98" s="347" t="s">
        <v>868</v>
      </c>
      <c r="F98" s="348">
        <v>48</v>
      </c>
      <c r="G98" s="348"/>
      <c r="H98" s="348">
        <v>55</v>
      </c>
      <c r="I98" s="348">
        <v>51</v>
      </c>
      <c r="J98" s="348">
        <v>73</v>
      </c>
      <c r="K98" s="348"/>
      <c r="L98" s="348"/>
    </row>
    <row r="99" spans="1:12" s="13" customFormat="1" ht="30" x14ac:dyDescent="0.25">
      <c r="A99" s="341" t="s">
        <v>1200</v>
      </c>
      <c r="B99" s="339" t="s">
        <v>1240</v>
      </c>
      <c r="C99" s="422"/>
      <c r="D99" s="386" t="s">
        <v>386</v>
      </c>
      <c r="E99" s="343"/>
      <c r="F99" s="344"/>
      <c r="G99" s="344"/>
      <c r="H99" s="344"/>
      <c r="I99" s="344"/>
      <c r="J99" s="344"/>
      <c r="K99" s="344"/>
      <c r="L99" s="345"/>
    </row>
    <row r="100" spans="1:12" s="13" customFormat="1" outlineLevel="1" collapsed="1" x14ac:dyDescent="0.25">
      <c r="B100" s="103"/>
      <c r="C100" s="370"/>
      <c r="D100" s="387" t="s">
        <v>837</v>
      </c>
      <c r="E100" s="346" t="s">
        <v>184</v>
      </c>
      <c r="F100" s="340" t="str" cm="1">
        <f t="array" aca="1" ref="F100" ca="1">HYPERLINK(CONCATENATE(Cartelle!$D$5,F$1,"/CONFIG/",MID($D100,1,FIND("_",$D100)-1),"/",INDIRECT(CONCATENATE("'CONFIG'!",ADDRESS(MATCH($D100, CONFIG!$B:$B, 0),MATCH(F$1, CONFIG!$1:$1, 0)))),".pdf#page=",F101),CONCATENATE("#Sharepoint//",$D100))</f>
        <v>#Sharepoint//FRS_Line Voltage</v>
      </c>
      <c r="G100" s="406"/>
      <c r="H100" s="340" t="str" cm="1">
        <f t="array" aca="1" ref="H100" ca="1">HYPERLINK(CONCATENATE(Cartelle!$D$5,INDEX(CONFIG!$1:$1, 1, MATCH(INDIRECT(CONCATENATE("'CONFIG'!",ADDRESS(MATCH($D100, CONFIG!$B:$B, 0),MATCH(H$1, CONFIG!$1:$1, 0)))),INDIRECT(CONCATENATE("'CONFIG'!",MATCH($D100, CONFIG!$B:$B, 0),":",MATCH($D100, CONFIG!$B:$B, 0))),0)),"/CONFIG/",MID($D100,1,FIND("_",$D100)-1),"/",INDIRECT(CONCATENATE("'CONFIG'!",ADDRESS(MATCH($D100, CONFIG!$B:$B, 0),MATCH(H$1, CONFIG!$1:$1, 0)))),".pdf#page=",H101),CONCATENATE("#Sharepoint//",$D100))</f>
        <v>#Sharepoint//FRS_Line Voltage</v>
      </c>
      <c r="I100" s="340" t="str" cm="1">
        <f t="array" aca="1" ref="I100" ca="1">HYPERLINK(CONCATENATE(Cartelle!$D$5,INDEX(CONFIG!$1:$1, 1, MATCH(INDIRECT(CONCATENATE("'CONFIG'!",ADDRESS(MATCH($D100, CONFIG!$B:$B, 0),MATCH(I$1, CONFIG!$1:$1, 0)))),INDIRECT(CONCATENATE("'CONFIG'!",MATCH($D100, CONFIG!$B:$B, 0),":",MATCH($D100, CONFIG!$B:$B, 0))),0)),"/CONFIG/",MID($D100,1,FIND("_",$D100)-1),"/",INDIRECT(CONCATENATE("'CONFIG'!",ADDRESS(MATCH($D100, CONFIG!$B:$B, 0),MATCH(I$1, CONFIG!$1:$1, 0)))),".pdf#page=",I101),CONCATENATE("#Sharepoint//",$D100))</f>
        <v>#Sharepoint//FRS_Line Voltage</v>
      </c>
      <c r="J100" s="340" t="str" cm="1">
        <f t="array" aca="1" ref="J100" ca="1">HYPERLINK(CONCATENATE(Cartelle!$D$5,J$1,"/CONFIG/",MID($D100,1,FIND("_",$D100)-1),"/",INDIRECT(CONCATENATE("'CONFIG'!",ADDRESS(MATCH($D100, CONFIG!$B:$B, 0),MATCH(J$1, CONFIG!$1:$1, 0)))),".pdf#page=",J101),CONCATENATE("#Sharepoint//",$D100))</f>
        <v>#Sharepoint//FRS_Line Voltage</v>
      </c>
      <c r="K100" s="336"/>
      <c r="L100" s="336"/>
    </row>
    <row r="101" spans="1:12" s="13" customFormat="1" hidden="1" outlineLevel="2" x14ac:dyDescent="0.25">
      <c r="B101" s="103"/>
      <c r="C101" s="374"/>
      <c r="D101" s="388"/>
      <c r="E101" s="347" t="s">
        <v>868</v>
      </c>
      <c r="F101" s="348">
        <v>49</v>
      </c>
      <c r="G101" s="348"/>
      <c r="H101" s="348">
        <v>56</v>
      </c>
      <c r="I101" s="348">
        <v>52</v>
      </c>
      <c r="J101" s="348">
        <v>74</v>
      </c>
      <c r="K101" s="348"/>
      <c r="L101" s="348"/>
    </row>
    <row r="102" spans="1:12" s="13" customFormat="1" ht="30" x14ac:dyDescent="0.25">
      <c r="A102" s="341" t="s">
        <v>1201</v>
      </c>
      <c r="B102" s="339" t="s">
        <v>1241</v>
      </c>
      <c r="C102" s="422"/>
      <c r="D102" s="386" t="s">
        <v>386</v>
      </c>
      <c r="E102" s="343"/>
      <c r="F102" s="344"/>
      <c r="G102" s="344"/>
      <c r="H102" s="344"/>
      <c r="I102" s="344"/>
      <c r="J102" s="344"/>
      <c r="K102" s="344"/>
      <c r="L102" s="345"/>
    </row>
    <row r="103" spans="1:12" s="13" customFormat="1" outlineLevel="1" collapsed="1" x14ac:dyDescent="0.25">
      <c r="B103" s="103"/>
      <c r="C103" s="370"/>
      <c r="D103" s="387" t="s">
        <v>837</v>
      </c>
      <c r="E103" s="346" t="s">
        <v>184</v>
      </c>
      <c r="F103" s="340" t="str" cm="1">
        <f t="array" aca="1" ref="F103" ca="1">HYPERLINK(CONCATENATE(Cartelle!$D$5,F$1,"/CONFIG/",MID($D103,1,FIND("_",$D103)-1),"/",INDIRECT(CONCATENATE("'CONFIG'!",ADDRESS(MATCH($D103, CONFIG!$B:$B, 0),MATCH(F$1, CONFIG!$1:$1, 0)))),".pdf#page=",F104),CONCATENATE("#Sharepoint//",$D103))</f>
        <v>#Sharepoint//FRS_Line Voltage</v>
      </c>
      <c r="G103" s="406"/>
      <c r="H103" s="340" t="str" cm="1">
        <f t="array" aca="1" ref="H103" ca="1">HYPERLINK(CONCATENATE(Cartelle!$D$5,INDEX(CONFIG!$1:$1, 1, MATCH(INDIRECT(CONCATENATE("'CONFIG'!",ADDRESS(MATCH($D103, CONFIG!$B:$B, 0),MATCH(H$1, CONFIG!$1:$1, 0)))),INDIRECT(CONCATENATE("'CONFIG'!",MATCH($D103, CONFIG!$B:$B, 0),":",MATCH($D103, CONFIG!$B:$B, 0))),0)),"/CONFIG/",MID($D103,1,FIND("_",$D103)-1),"/",INDIRECT(CONCATENATE("'CONFIG'!",ADDRESS(MATCH($D103, CONFIG!$B:$B, 0),MATCH(H$1, CONFIG!$1:$1, 0)))),".pdf#page=",H104),CONCATENATE("#Sharepoint//",$D103))</f>
        <v>#Sharepoint//FRS_Line Voltage</v>
      </c>
      <c r="I103" s="340" t="str" cm="1">
        <f t="array" aca="1" ref="I103" ca="1">HYPERLINK(CONCATENATE(Cartelle!$D$5,INDEX(CONFIG!$1:$1, 1, MATCH(INDIRECT(CONCATENATE("'CONFIG'!",ADDRESS(MATCH($D103, CONFIG!$B:$B, 0),MATCH(I$1, CONFIG!$1:$1, 0)))),INDIRECT(CONCATENATE("'CONFIG'!",MATCH($D103, CONFIG!$B:$B, 0),":",MATCH($D103, CONFIG!$B:$B, 0))),0)),"/CONFIG/",MID($D103,1,FIND("_",$D103)-1),"/",INDIRECT(CONCATENATE("'CONFIG'!",ADDRESS(MATCH($D103, CONFIG!$B:$B, 0),MATCH(I$1, CONFIG!$1:$1, 0)))),".pdf#page=",I104),CONCATENATE("#Sharepoint//",$D103))</f>
        <v>#Sharepoint//FRS_Line Voltage</v>
      </c>
      <c r="J103" s="340" t="str" cm="1">
        <f t="array" aca="1" ref="J103" ca="1">HYPERLINK(CONCATENATE(Cartelle!$D$5,J$1,"/CONFIG/",MID($D103,1,FIND("_",$D103)-1),"/",INDIRECT(CONCATENATE("'CONFIG'!",ADDRESS(MATCH($D103, CONFIG!$B:$B, 0),MATCH(J$1, CONFIG!$1:$1, 0)))),".pdf#page=",J104),CONCATENATE("#Sharepoint//",$D103))</f>
        <v>#Sharepoint//FRS_Line Voltage</v>
      </c>
      <c r="K103" s="336"/>
      <c r="L103" s="336"/>
    </row>
    <row r="104" spans="1:12" s="13" customFormat="1" hidden="1" outlineLevel="2" x14ac:dyDescent="0.25">
      <c r="B104" s="103"/>
      <c r="C104" s="374"/>
      <c r="D104" s="388"/>
      <c r="E104" s="347" t="s">
        <v>868</v>
      </c>
      <c r="F104" s="348">
        <v>52</v>
      </c>
      <c r="G104" s="348"/>
      <c r="H104" s="348">
        <v>59</v>
      </c>
      <c r="I104" s="348">
        <v>55</v>
      </c>
      <c r="J104" s="348">
        <v>77</v>
      </c>
      <c r="K104" s="348"/>
      <c r="L104" s="348"/>
    </row>
    <row r="105" spans="1:12" s="13" customFormat="1" x14ac:dyDescent="0.25">
      <c r="A105" s="341" t="s">
        <v>1202</v>
      </c>
      <c r="B105" s="339" t="s">
        <v>1242</v>
      </c>
      <c r="C105" s="422"/>
      <c r="D105" s="386" t="s">
        <v>386</v>
      </c>
      <c r="E105" s="343"/>
      <c r="F105" s="344"/>
      <c r="G105" s="344"/>
      <c r="H105" s="344"/>
      <c r="I105" s="344"/>
      <c r="J105" s="344"/>
      <c r="K105" s="344"/>
      <c r="L105" s="345"/>
    </row>
    <row r="106" spans="1:12" s="13" customFormat="1" outlineLevel="1" collapsed="1" x14ac:dyDescent="0.25">
      <c r="B106" s="103"/>
      <c r="C106" s="370"/>
      <c r="D106" s="387" t="s">
        <v>837</v>
      </c>
      <c r="E106" s="346" t="s">
        <v>184</v>
      </c>
      <c r="F106" s="340" t="str" cm="1">
        <f t="array" aca="1" ref="F106" ca="1">HYPERLINK(CONCATENATE(Cartelle!$D$5,F$1,"/CONFIG/",MID($D106,1,FIND("_",$D106)-1),"/",INDIRECT(CONCATENATE("'CONFIG'!",ADDRESS(MATCH($D106, CONFIG!$B:$B, 0),MATCH(F$1, CONFIG!$1:$1, 0)))),".pdf#page=",F107),CONCATENATE("#Sharepoint//",$D106))</f>
        <v>#Sharepoint//FRS_Line Voltage</v>
      </c>
      <c r="G106" s="406"/>
      <c r="H106" s="340" t="str" cm="1">
        <f t="array" aca="1" ref="H106" ca="1">HYPERLINK(CONCATENATE(Cartelle!$D$5,INDEX(CONFIG!$1:$1, 1, MATCH(INDIRECT(CONCATENATE("'CONFIG'!",ADDRESS(MATCH($D106, CONFIG!$B:$B, 0),MATCH(H$1, CONFIG!$1:$1, 0)))),INDIRECT(CONCATENATE("'CONFIG'!",MATCH($D106, CONFIG!$B:$B, 0),":",MATCH($D106, CONFIG!$B:$B, 0))),0)),"/CONFIG/",MID($D106,1,FIND("_",$D106)-1),"/",INDIRECT(CONCATENATE("'CONFIG'!",ADDRESS(MATCH($D106, CONFIG!$B:$B, 0),MATCH(H$1, CONFIG!$1:$1, 0)))),".pdf#page=",H107),CONCATENATE("#Sharepoint//",$D106))</f>
        <v>#Sharepoint//FRS_Line Voltage</v>
      </c>
      <c r="I106" s="340" t="str" cm="1">
        <f t="array" aca="1" ref="I106" ca="1">HYPERLINK(CONCATENATE(Cartelle!$D$5,INDEX(CONFIG!$1:$1, 1, MATCH(INDIRECT(CONCATENATE("'CONFIG'!",ADDRESS(MATCH($D106, CONFIG!$B:$B, 0),MATCH(I$1, CONFIG!$1:$1, 0)))),INDIRECT(CONCATENATE("'CONFIG'!",MATCH($D106, CONFIG!$B:$B, 0),":",MATCH($D106, CONFIG!$B:$B, 0))),0)),"/CONFIG/",MID($D106,1,FIND("_",$D106)-1),"/",INDIRECT(CONCATENATE("'CONFIG'!",ADDRESS(MATCH($D106, CONFIG!$B:$B, 0),MATCH(I$1, CONFIG!$1:$1, 0)))),".pdf#page=",I107),CONCATENATE("#Sharepoint//",$D106))</f>
        <v>#Sharepoint//FRS_Line Voltage</v>
      </c>
      <c r="J106" s="340" t="str" cm="1">
        <f t="array" aca="1" ref="J106" ca="1">HYPERLINK(CONCATENATE(Cartelle!$D$5,J$1,"/CONFIG/",MID($D106,1,FIND("_",$D106)-1),"/",INDIRECT(CONCATENATE("'CONFIG'!",ADDRESS(MATCH($D106, CONFIG!$B:$B, 0),MATCH(J$1, CONFIG!$1:$1, 0)))),".pdf#page=",J107),CONCATENATE("#Sharepoint//",$D106))</f>
        <v>#Sharepoint//FRS_Line Voltage</v>
      </c>
      <c r="K106" s="336"/>
      <c r="L106" s="336"/>
    </row>
    <row r="107" spans="1:12" s="13" customFormat="1" hidden="1" outlineLevel="2" x14ac:dyDescent="0.25">
      <c r="B107" s="103"/>
      <c r="C107" s="374"/>
      <c r="D107" s="389"/>
      <c r="E107" s="350" t="s">
        <v>868</v>
      </c>
      <c r="F107" s="351">
        <v>55</v>
      </c>
      <c r="G107" s="351"/>
      <c r="H107" s="351">
        <v>62</v>
      </c>
      <c r="I107" s="351">
        <v>58</v>
      </c>
      <c r="J107" s="351">
        <v>80</v>
      </c>
      <c r="K107" s="351"/>
      <c r="L107" s="351"/>
    </row>
    <row r="108" spans="1:12" s="13" customFormat="1" x14ac:dyDescent="0.25">
      <c r="A108" s="352" t="s">
        <v>1226</v>
      </c>
      <c r="B108" s="401"/>
      <c r="C108" s="422"/>
      <c r="D108" s="390" t="s">
        <v>386</v>
      </c>
      <c r="E108" s="353"/>
      <c r="F108" s="354"/>
      <c r="G108" s="354"/>
      <c r="H108" s="354"/>
      <c r="I108" s="354"/>
      <c r="J108" s="354"/>
      <c r="K108" s="354"/>
      <c r="L108" s="355"/>
    </row>
    <row r="109" spans="1:12" s="13" customFormat="1" outlineLevel="1" collapsed="1" x14ac:dyDescent="0.25">
      <c r="B109" s="103"/>
      <c r="C109" s="370"/>
      <c r="D109" s="391" t="s">
        <v>838</v>
      </c>
      <c r="E109" s="356" t="s">
        <v>184</v>
      </c>
      <c r="F109" s="340" t="str" cm="1">
        <f t="array" aca="1" ref="F109" ca="1">HYPERLINK(CONCATENATE(Cartelle!$D$5,F$1,"/CONFIG/",MID($D109,1,FIND("_",$D109)-1),"/",INDIRECT(CONCATENATE("'CONFIG'!",ADDRESS(MATCH($D109, CONFIG!$B:$B, 0),MATCH(F$1, CONFIG!$1:$1, 0)))),".pdf#page=",F110),CONCATENATE("#Sharepoint//",$D109))</f>
        <v>#Sharepoint//FRS_Aux Electrical Supply</v>
      </c>
      <c r="G109" s="340" t="str" cm="1">
        <f t="array" aca="1" ref="G109" ca="1">HYPERLINK(CONCATENATE(Cartelle!$D$5,INDEX(CONFIG!$1:$1, 1, MATCH(INDIRECT(CONCATENATE("'CONFIG'!",ADDRESS(MATCH($D109, CONFIG!$B:$B, 0),MATCH(G$1, CONFIG!$1:$1, 0)))),INDIRECT(CONCATENATE("'CONFIG'!",MATCH($D109, CONFIG!$B:$B, 0),":",MATCH($D109, CONFIG!$B:$B, 0))),0)),"/CONFIG/",MID($D109,1,FIND("_",$D109)-1),"/",INDIRECT(CONCATENATE("'CONFIG'!",ADDRESS(MATCH($D109, CONFIG!$B:$B, 0),MATCH(G$1, CONFIG!$1:$1, 0)))),".pdf#page=",G110),CONCATENATE("#Sharepoint//",$D109))</f>
        <v>#Sharepoint//FRS_Aux Electrical Supply</v>
      </c>
      <c r="H109" s="340" t="str" cm="1">
        <f t="array" aca="1" ref="H109" ca="1">HYPERLINK(CONCATENATE(Cartelle!$D$5,INDEX(CONFIG!$1:$1, 1, MATCH(INDIRECT(CONCATENATE("'CONFIG'!",ADDRESS(MATCH($D109, CONFIG!$B:$B, 0),MATCH(H$1, CONFIG!$1:$1, 0)))),INDIRECT(CONCATENATE("'CONFIG'!",MATCH($D109, CONFIG!$B:$B, 0),":",MATCH($D109, CONFIG!$B:$B, 0))),0)),"/CONFIG/",MID($D109,1,FIND("_",$D109)-1),"/",INDIRECT(CONCATENATE("'CONFIG'!",ADDRESS(MATCH($D109, CONFIG!$B:$B, 0),MATCH(H$1, CONFIG!$1:$1, 0)))),".pdf#page=",H110),CONCATENATE("#Sharepoint//",$D109))</f>
        <v>#Sharepoint//FRS_Aux Electrical Supply</v>
      </c>
      <c r="I109" s="340" t="str" cm="1">
        <f t="array" aca="1" ref="I109" ca="1">HYPERLINK(CONCATENATE(Cartelle!$D$5,INDEX(CONFIG!$1:$1, 1, MATCH(INDIRECT(CONCATENATE("'CONFIG'!",ADDRESS(MATCH($D109, CONFIG!$B:$B, 0),MATCH(I$1, CONFIG!$1:$1, 0)))),INDIRECT(CONCATENATE("'CONFIG'!",MATCH($D109, CONFIG!$B:$B, 0),":",MATCH($D109, CONFIG!$B:$B, 0))),0)),"/CONFIG/",MID($D109,1,FIND("_",$D109)-1),"/",INDIRECT(CONCATENATE("'CONFIG'!",ADDRESS(MATCH($D109, CONFIG!$B:$B, 0),MATCH(I$1, CONFIG!$1:$1, 0)))),".pdf#page=",I110),CONCATENATE("#Sharepoint//",$D109))</f>
        <v>#Sharepoint//FRS_Aux Electrical Supply</v>
      </c>
      <c r="J109" s="340" t="str" cm="1">
        <f t="array" aca="1" ref="J109" ca="1">HYPERLINK(CONCATENATE(Cartelle!$D$5,J$1,"/CONFIG/",MID($D109,1,FIND("_",$D109)-1),"/",INDIRECT(CONCATENATE("'CONFIG'!",ADDRESS(MATCH($D109, CONFIG!$B:$B, 0),MATCH(J$1, CONFIG!$1:$1, 0)))),".pdf#page=",J110),CONCATENATE("#Sharepoint//",$D109))</f>
        <v>#Sharepoint//FRS_Aux Electrical Supply</v>
      </c>
      <c r="K109" s="337"/>
      <c r="L109" s="337"/>
    </row>
    <row r="110" spans="1:12" s="13" customFormat="1" hidden="1" outlineLevel="2" x14ac:dyDescent="0.25">
      <c r="B110" s="103"/>
      <c r="C110" s="365"/>
      <c r="D110" s="392"/>
      <c r="E110" s="357" t="s">
        <v>868</v>
      </c>
      <c r="F110" s="358">
        <v>5</v>
      </c>
      <c r="G110" s="358">
        <v>5</v>
      </c>
      <c r="H110" s="358">
        <v>5</v>
      </c>
      <c r="I110" s="358">
        <v>5</v>
      </c>
      <c r="J110" s="358">
        <v>6</v>
      </c>
      <c r="K110" s="358"/>
      <c r="L110" s="358"/>
    </row>
    <row r="111" spans="1:12" s="13" customFormat="1" x14ac:dyDescent="0.25">
      <c r="A111" s="359" t="s">
        <v>1227</v>
      </c>
      <c r="B111" s="401"/>
      <c r="C111" s="422"/>
      <c r="D111" s="393" t="s">
        <v>386</v>
      </c>
      <c r="E111" s="360"/>
      <c r="F111" s="361"/>
      <c r="G111" s="361"/>
      <c r="H111" s="361"/>
      <c r="I111" s="361"/>
      <c r="J111" s="361"/>
      <c r="K111" s="361"/>
      <c r="L111" s="362"/>
    </row>
    <row r="112" spans="1:12" s="13" customFormat="1" outlineLevel="1" collapsed="1" x14ac:dyDescent="0.25">
      <c r="B112" s="103"/>
      <c r="C112" s="370"/>
      <c r="D112" s="391" t="s">
        <v>838</v>
      </c>
      <c r="E112" s="356" t="s">
        <v>184</v>
      </c>
      <c r="F112" s="340" t="str" cm="1">
        <f t="array" aca="1" ref="F112" ca="1">HYPERLINK(CONCATENATE(Cartelle!$D$5,F$1,"/CONFIG/",MID($D112,1,FIND("_",$D112)-1),"/",INDIRECT(CONCATENATE("'CONFIG'!",ADDRESS(MATCH($D112, CONFIG!$B:$B, 0),MATCH(F$1, CONFIG!$1:$1, 0)))),".pdf#page=",F113),CONCATENATE("#Sharepoint//",$D112))</f>
        <v>#Sharepoint//FRS_Aux Electrical Supply</v>
      </c>
      <c r="G112" s="340" t="str" cm="1">
        <f t="array" aca="1" ref="G112" ca="1">HYPERLINK(CONCATENATE(Cartelle!$D$5,INDEX(CONFIG!$1:$1, 1, MATCH(INDIRECT(CONCATENATE("'CONFIG'!",ADDRESS(MATCH($D112, CONFIG!$B:$B, 0),MATCH(G$1, CONFIG!$1:$1, 0)))),INDIRECT(CONCATENATE("'CONFIG'!",MATCH($D112, CONFIG!$B:$B, 0),":",MATCH($D112, CONFIG!$B:$B, 0))),0)),"/CONFIG/",MID($D112,1,FIND("_",$D112)-1),"/",INDIRECT(CONCATENATE("'CONFIG'!",ADDRESS(MATCH($D112, CONFIG!$B:$B, 0),MATCH(G$1, CONFIG!$1:$1, 0)))),".pdf#page=",G113),CONCATENATE("#Sharepoint//",$D112))</f>
        <v>#Sharepoint//FRS_Aux Electrical Supply</v>
      </c>
      <c r="H112" s="340" t="str" cm="1">
        <f t="array" aca="1" ref="H112" ca="1">HYPERLINK(CONCATENATE(Cartelle!$D$5,INDEX(CONFIG!$1:$1, 1, MATCH(INDIRECT(CONCATENATE("'CONFIG'!",ADDRESS(MATCH($D112, CONFIG!$B:$B, 0),MATCH(H$1, CONFIG!$1:$1, 0)))),INDIRECT(CONCATENATE("'CONFIG'!",MATCH($D112, CONFIG!$B:$B, 0),":",MATCH($D112, CONFIG!$B:$B, 0))),0)),"/CONFIG/",MID($D112,1,FIND("_",$D112)-1),"/",INDIRECT(CONCATENATE("'CONFIG'!",ADDRESS(MATCH($D112, CONFIG!$B:$B, 0),MATCH(H$1, CONFIG!$1:$1, 0)))),".pdf#page=",H113),CONCATENATE("#Sharepoint//",$D112))</f>
        <v>#Sharepoint//FRS_Aux Electrical Supply</v>
      </c>
      <c r="I112" s="340" t="str" cm="1">
        <f t="array" aca="1" ref="I112" ca="1">HYPERLINK(CONCATENATE(Cartelle!$D$5,INDEX(CONFIG!$1:$1, 1, MATCH(INDIRECT(CONCATENATE("'CONFIG'!",ADDRESS(MATCH($D112, CONFIG!$B:$B, 0),MATCH(I$1, CONFIG!$1:$1, 0)))),INDIRECT(CONCATENATE("'CONFIG'!",MATCH($D112, CONFIG!$B:$B, 0),":",MATCH($D112, CONFIG!$B:$B, 0))),0)),"/CONFIG/",MID($D112,1,FIND("_",$D112)-1),"/",INDIRECT(CONCATENATE("'CONFIG'!",ADDRESS(MATCH($D112, CONFIG!$B:$B, 0),MATCH(I$1, CONFIG!$1:$1, 0)))),".pdf#page=",I113),CONCATENATE("#Sharepoint//",$D112))</f>
        <v>#Sharepoint//FRS_Aux Electrical Supply</v>
      </c>
      <c r="J112" s="340" t="str" cm="1">
        <f t="array" aca="1" ref="J112" ca="1">HYPERLINK(CONCATENATE(Cartelle!$D$5,J$1,"/CONFIG/",MID($D112,1,FIND("_",$D112)-1),"/",INDIRECT(CONCATENATE("'CONFIG'!",ADDRESS(MATCH($D112, CONFIG!$B:$B, 0),MATCH(J$1, CONFIG!$1:$1, 0)))),".pdf#page=",J113),CONCATENATE("#Sharepoint//",$D112))</f>
        <v>#Sharepoint//FRS_Aux Electrical Supply</v>
      </c>
      <c r="K112" s="337"/>
      <c r="L112" s="337"/>
    </row>
    <row r="113" spans="1:12" s="13" customFormat="1" hidden="1" outlineLevel="2" x14ac:dyDescent="0.25">
      <c r="B113" s="103"/>
      <c r="C113" s="365"/>
      <c r="D113" s="392"/>
      <c r="E113" s="357" t="s">
        <v>868</v>
      </c>
      <c r="F113" s="358">
        <v>7</v>
      </c>
      <c r="G113" s="358">
        <v>7</v>
      </c>
      <c r="H113" s="358">
        <v>7</v>
      </c>
      <c r="I113" s="358">
        <v>7</v>
      </c>
      <c r="J113" s="358">
        <v>8</v>
      </c>
      <c r="K113" s="358"/>
      <c r="L113" s="358"/>
    </row>
    <row r="114" spans="1:12" s="13" customFormat="1" x14ac:dyDescent="0.25">
      <c r="A114" s="359" t="s">
        <v>1228</v>
      </c>
      <c r="B114" s="401"/>
      <c r="C114" s="422"/>
      <c r="D114" s="393" t="s">
        <v>386</v>
      </c>
      <c r="E114" s="360"/>
      <c r="F114" s="361"/>
      <c r="G114" s="361"/>
      <c r="H114" s="361"/>
      <c r="I114" s="361"/>
      <c r="J114" s="361"/>
      <c r="K114" s="361"/>
      <c r="L114" s="362"/>
    </row>
    <row r="115" spans="1:12" s="13" customFormat="1" outlineLevel="1" collapsed="1" x14ac:dyDescent="0.25">
      <c r="B115" s="103"/>
      <c r="C115" s="370"/>
      <c r="D115" s="391" t="s">
        <v>838</v>
      </c>
      <c r="E115" s="356" t="s">
        <v>184</v>
      </c>
      <c r="F115" s="340" t="str" cm="1">
        <f t="array" aca="1" ref="F115" ca="1">HYPERLINK(CONCATENATE(Cartelle!$D$5,F$1,"/CONFIG/",MID($D115,1,FIND("_",$D115)-1),"/",INDIRECT(CONCATENATE("'CONFIG'!",ADDRESS(MATCH($D115, CONFIG!$B:$B, 0),MATCH(F$1, CONFIG!$1:$1, 0)))),".pdf#page=",F116),CONCATENATE("#Sharepoint//",$D115))</f>
        <v>#Sharepoint//FRS_Aux Electrical Supply</v>
      </c>
      <c r="G115" s="340" t="str" cm="1">
        <f t="array" aca="1" ref="G115" ca="1">HYPERLINK(CONCATENATE(Cartelle!$D$5,INDEX(CONFIG!$1:$1, 1, MATCH(INDIRECT(CONCATENATE("'CONFIG'!",ADDRESS(MATCH($D115, CONFIG!$B:$B, 0),MATCH(G$1, CONFIG!$1:$1, 0)))),INDIRECT(CONCATENATE("'CONFIG'!",MATCH($D115, CONFIG!$B:$B, 0),":",MATCH($D115, CONFIG!$B:$B, 0))),0)),"/CONFIG/",MID($D115,1,FIND("_",$D115)-1),"/",INDIRECT(CONCATENATE("'CONFIG'!",ADDRESS(MATCH($D115, CONFIG!$B:$B, 0),MATCH(G$1, CONFIG!$1:$1, 0)))),".pdf#page=",G116),CONCATENATE("#Sharepoint//",$D115))</f>
        <v>#Sharepoint//FRS_Aux Electrical Supply</v>
      </c>
      <c r="H115" s="340" t="str" cm="1">
        <f t="array" aca="1" ref="H115" ca="1">HYPERLINK(CONCATENATE(Cartelle!$D$5,INDEX(CONFIG!$1:$1, 1, MATCH(INDIRECT(CONCATENATE("'CONFIG'!",ADDRESS(MATCH($D115, CONFIG!$B:$B, 0),MATCH(H$1, CONFIG!$1:$1, 0)))),INDIRECT(CONCATENATE("'CONFIG'!",MATCH($D115, CONFIG!$B:$B, 0),":",MATCH($D115, CONFIG!$B:$B, 0))),0)),"/CONFIG/",MID($D115,1,FIND("_",$D115)-1),"/",INDIRECT(CONCATENATE("'CONFIG'!",ADDRESS(MATCH($D115, CONFIG!$B:$B, 0),MATCH(H$1, CONFIG!$1:$1, 0)))),".pdf#page=",H116),CONCATENATE("#Sharepoint//",$D115))</f>
        <v>#Sharepoint//FRS_Aux Electrical Supply</v>
      </c>
      <c r="I115" s="340" t="str" cm="1">
        <f t="array" aca="1" ref="I115" ca="1">HYPERLINK(CONCATENATE(Cartelle!$D$5,INDEX(CONFIG!$1:$1, 1, MATCH(INDIRECT(CONCATENATE("'CONFIG'!",ADDRESS(MATCH($D115, CONFIG!$B:$B, 0),MATCH(I$1, CONFIG!$1:$1, 0)))),INDIRECT(CONCATENATE("'CONFIG'!",MATCH($D115, CONFIG!$B:$B, 0),":",MATCH($D115, CONFIG!$B:$B, 0))),0)),"/CONFIG/",MID($D115,1,FIND("_",$D115)-1),"/",INDIRECT(CONCATENATE("'CONFIG'!",ADDRESS(MATCH($D115, CONFIG!$B:$B, 0),MATCH(I$1, CONFIG!$1:$1, 0)))),".pdf#page=",I116),CONCATENATE("#Sharepoint//",$D115))</f>
        <v>#Sharepoint//FRS_Aux Electrical Supply</v>
      </c>
      <c r="J115" s="340" t="str" cm="1">
        <f t="array" aca="1" ref="J115" ca="1">HYPERLINK(CONCATENATE(Cartelle!$D$5,J$1,"/CONFIG/",MID($D115,1,FIND("_",$D115)-1),"/",INDIRECT(CONCATENATE("'CONFIG'!",ADDRESS(MATCH($D115, CONFIG!$B:$B, 0),MATCH(J$1, CONFIG!$1:$1, 0)))),".pdf#page=",J116),CONCATENATE("#Sharepoint//",$D115))</f>
        <v>#Sharepoint//FRS_Aux Electrical Supply</v>
      </c>
      <c r="K115" s="337"/>
      <c r="L115" s="337"/>
    </row>
    <row r="116" spans="1:12" s="13" customFormat="1" hidden="1" outlineLevel="2" x14ac:dyDescent="0.25">
      <c r="B116" s="103"/>
      <c r="C116" s="365"/>
      <c r="D116" s="392"/>
      <c r="E116" s="357" t="s">
        <v>868</v>
      </c>
      <c r="F116" s="358">
        <v>9</v>
      </c>
      <c r="G116" s="358">
        <v>9</v>
      </c>
      <c r="H116" s="358">
        <v>9</v>
      </c>
      <c r="I116" s="358">
        <v>9</v>
      </c>
      <c r="J116" s="358">
        <v>9</v>
      </c>
      <c r="K116" s="358"/>
      <c r="L116" s="358"/>
    </row>
    <row r="117" spans="1:12" s="13" customFormat="1" x14ac:dyDescent="0.25">
      <c r="A117" s="359" t="s">
        <v>1229</v>
      </c>
      <c r="B117" s="401"/>
      <c r="C117" s="422"/>
      <c r="D117" s="393" t="s">
        <v>386</v>
      </c>
      <c r="E117" s="360"/>
      <c r="F117" s="361"/>
      <c r="G117" s="361"/>
      <c r="H117" s="361"/>
      <c r="I117" s="361"/>
      <c r="J117" s="361"/>
      <c r="K117" s="361"/>
      <c r="L117" s="362"/>
    </row>
    <row r="118" spans="1:12" s="13" customFormat="1" outlineLevel="1" collapsed="1" x14ac:dyDescent="0.25">
      <c r="B118" s="103"/>
      <c r="C118" s="370"/>
      <c r="D118" s="391" t="s">
        <v>838</v>
      </c>
      <c r="E118" s="356" t="s">
        <v>184</v>
      </c>
      <c r="F118" s="340" t="str" cm="1">
        <f t="array" aca="1" ref="F118" ca="1">HYPERLINK(CONCATENATE(Cartelle!$D$5,F$1,"/CONFIG/",MID($D118,1,FIND("_",$D118)-1),"/",INDIRECT(CONCATENATE("'CONFIG'!",ADDRESS(MATCH($D118, CONFIG!$B:$B, 0),MATCH(F$1, CONFIG!$1:$1, 0)))),".pdf#page=",F119),CONCATENATE("#Sharepoint//",$D118))</f>
        <v>#Sharepoint//FRS_Aux Electrical Supply</v>
      </c>
      <c r="G118" s="340" t="str" cm="1">
        <f t="array" aca="1" ref="G118" ca="1">HYPERLINK(CONCATENATE(Cartelle!$D$5,INDEX(CONFIG!$1:$1, 1, MATCH(INDIRECT(CONCATENATE("'CONFIG'!",ADDRESS(MATCH($D118, CONFIG!$B:$B, 0),MATCH(G$1, CONFIG!$1:$1, 0)))),INDIRECT(CONCATENATE("'CONFIG'!",MATCH($D118, CONFIG!$B:$B, 0),":",MATCH($D118, CONFIG!$B:$B, 0))),0)),"/CONFIG/",MID($D118,1,FIND("_",$D118)-1),"/",INDIRECT(CONCATENATE("'CONFIG'!",ADDRESS(MATCH($D118, CONFIG!$B:$B, 0),MATCH(G$1, CONFIG!$1:$1, 0)))),".pdf#page=",G119),CONCATENATE("#Sharepoint//",$D118))</f>
        <v>#Sharepoint//FRS_Aux Electrical Supply</v>
      </c>
      <c r="H118" s="340" t="str" cm="1">
        <f t="array" aca="1" ref="H118" ca="1">HYPERLINK(CONCATENATE(Cartelle!$D$5,INDEX(CONFIG!$1:$1, 1, MATCH(INDIRECT(CONCATENATE("'CONFIG'!",ADDRESS(MATCH($D118, CONFIG!$B:$B, 0),MATCH(H$1, CONFIG!$1:$1, 0)))),INDIRECT(CONCATENATE("'CONFIG'!",MATCH($D118, CONFIG!$B:$B, 0),":",MATCH($D118, CONFIG!$B:$B, 0))),0)),"/CONFIG/",MID($D118,1,FIND("_",$D118)-1),"/",INDIRECT(CONCATENATE("'CONFIG'!",ADDRESS(MATCH($D118, CONFIG!$B:$B, 0),MATCH(H$1, CONFIG!$1:$1, 0)))),".pdf#page=",H119),CONCATENATE("#Sharepoint//",$D118))</f>
        <v>#Sharepoint//FRS_Aux Electrical Supply</v>
      </c>
      <c r="I118" s="340" t="str" cm="1">
        <f t="array" aca="1" ref="I118" ca="1">HYPERLINK(CONCATENATE(Cartelle!$D$5,INDEX(CONFIG!$1:$1, 1, MATCH(INDIRECT(CONCATENATE("'CONFIG'!",ADDRESS(MATCH($D118, CONFIG!$B:$B, 0),MATCH(I$1, CONFIG!$1:$1, 0)))),INDIRECT(CONCATENATE("'CONFIG'!",MATCH($D118, CONFIG!$B:$B, 0),":",MATCH($D118, CONFIG!$B:$B, 0))),0)),"/CONFIG/",MID($D118,1,FIND("_",$D118)-1),"/",INDIRECT(CONCATENATE("'CONFIG'!",ADDRESS(MATCH($D118, CONFIG!$B:$B, 0),MATCH(I$1, CONFIG!$1:$1, 0)))),".pdf#page=",I119),CONCATENATE("#Sharepoint//",$D118))</f>
        <v>#Sharepoint//FRS_Aux Electrical Supply</v>
      </c>
      <c r="J118" s="340" t="str" cm="1">
        <f t="array" aca="1" ref="J118" ca="1">HYPERLINK(CONCATENATE(Cartelle!$D$5,J$1,"/CONFIG/",MID($D118,1,FIND("_",$D118)-1),"/",INDIRECT(CONCATENATE("'CONFIG'!",ADDRESS(MATCH($D118, CONFIG!$B:$B, 0),MATCH(J$1, CONFIG!$1:$1, 0)))),".pdf#page=",J119),CONCATENATE("#Sharepoint//",$D118))</f>
        <v>#Sharepoint//FRS_Aux Electrical Supply</v>
      </c>
      <c r="K118" s="337"/>
      <c r="L118" s="337"/>
    </row>
    <row r="119" spans="1:12" s="13" customFormat="1" hidden="1" outlineLevel="2" x14ac:dyDescent="0.25">
      <c r="B119" s="103"/>
      <c r="C119" s="365"/>
      <c r="D119" s="392"/>
      <c r="E119" s="357" t="s">
        <v>868</v>
      </c>
      <c r="F119" s="358">
        <v>10</v>
      </c>
      <c r="G119" s="358">
        <v>10</v>
      </c>
      <c r="H119" s="358">
        <v>10</v>
      </c>
      <c r="I119" s="358">
        <v>10</v>
      </c>
      <c r="J119" s="358">
        <v>10</v>
      </c>
      <c r="K119" s="358"/>
      <c r="L119" s="358"/>
    </row>
    <row r="120" spans="1:12" s="13" customFormat="1" x14ac:dyDescent="0.25">
      <c r="A120" s="359" t="s">
        <v>1230</v>
      </c>
      <c r="B120" s="401"/>
      <c r="C120" s="422"/>
      <c r="D120" s="393" t="s">
        <v>386</v>
      </c>
      <c r="E120" s="360"/>
      <c r="F120" s="361"/>
      <c r="G120" s="361"/>
      <c r="H120" s="361"/>
      <c r="I120" s="361"/>
      <c r="J120" s="361"/>
      <c r="K120" s="361"/>
      <c r="L120" s="362"/>
    </row>
    <row r="121" spans="1:12" s="13" customFormat="1" outlineLevel="1" collapsed="1" x14ac:dyDescent="0.25">
      <c r="B121" s="103"/>
      <c r="C121" s="370"/>
      <c r="D121" s="391" t="s">
        <v>838</v>
      </c>
      <c r="E121" s="356" t="s">
        <v>184</v>
      </c>
      <c r="F121" s="340" t="str" cm="1">
        <f t="array" aca="1" ref="F121" ca="1">HYPERLINK(CONCATENATE(Cartelle!$D$5,F$1,"/CONFIG/",MID($D121,1,FIND("_",$D121)-1),"/",INDIRECT(CONCATENATE("'CONFIG'!",ADDRESS(MATCH($D121, CONFIG!$B:$B, 0),MATCH(F$1, CONFIG!$1:$1, 0)))),".pdf#page=",F122),CONCATENATE("#Sharepoint//",$D121))</f>
        <v>#Sharepoint//FRS_Aux Electrical Supply</v>
      </c>
      <c r="G121" s="340" t="str" cm="1">
        <f t="array" aca="1" ref="G121" ca="1">HYPERLINK(CONCATENATE(Cartelle!$D$5,INDEX(CONFIG!$1:$1, 1, MATCH(INDIRECT(CONCATENATE("'CONFIG'!",ADDRESS(MATCH($D121, CONFIG!$B:$B, 0),MATCH(G$1, CONFIG!$1:$1, 0)))),INDIRECT(CONCATENATE("'CONFIG'!",MATCH($D121, CONFIG!$B:$B, 0),":",MATCH($D121, CONFIG!$B:$B, 0))),0)),"/CONFIG/",MID($D121,1,FIND("_",$D121)-1),"/",INDIRECT(CONCATENATE("'CONFIG'!",ADDRESS(MATCH($D121, CONFIG!$B:$B, 0),MATCH(G$1, CONFIG!$1:$1, 0)))),".pdf#page=",G122),CONCATENATE("#Sharepoint//",$D121))</f>
        <v>#Sharepoint//FRS_Aux Electrical Supply</v>
      </c>
      <c r="H121" s="340" t="str" cm="1">
        <f t="array" aca="1" ref="H121" ca="1">HYPERLINK(CONCATENATE(Cartelle!$D$5,INDEX(CONFIG!$1:$1, 1, MATCH(INDIRECT(CONCATENATE("'CONFIG'!",ADDRESS(MATCH($D121, CONFIG!$B:$B, 0),MATCH(H$1, CONFIG!$1:$1, 0)))),INDIRECT(CONCATENATE("'CONFIG'!",MATCH($D121, CONFIG!$B:$B, 0),":",MATCH($D121, CONFIG!$B:$B, 0))),0)),"/CONFIG/",MID($D121,1,FIND("_",$D121)-1),"/",INDIRECT(CONCATENATE("'CONFIG'!",ADDRESS(MATCH($D121, CONFIG!$B:$B, 0),MATCH(H$1, CONFIG!$1:$1, 0)))),".pdf#page=",H122),CONCATENATE("#Sharepoint//",$D121))</f>
        <v>#Sharepoint//FRS_Aux Electrical Supply</v>
      </c>
      <c r="I121" s="340" t="str" cm="1">
        <f t="array" aca="1" ref="I121" ca="1">HYPERLINK(CONCATENATE(Cartelle!$D$5,INDEX(CONFIG!$1:$1, 1, MATCH(INDIRECT(CONCATENATE("'CONFIG'!",ADDRESS(MATCH($D121, CONFIG!$B:$B, 0),MATCH(I$1, CONFIG!$1:$1, 0)))),INDIRECT(CONCATENATE("'CONFIG'!",MATCH($D121, CONFIG!$B:$B, 0),":",MATCH($D121, CONFIG!$B:$B, 0))),0)),"/CONFIG/",MID($D121,1,FIND("_",$D121)-1),"/",INDIRECT(CONCATENATE("'CONFIG'!",ADDRESS(MATCH($D121, CONFIG!$B:$B, 0),MATCH(I$1, CONFIG!$1:$1, 0)))),".pdf#page=",I122),CONCATENATE("#Sharepoint//",$D121))</f>
        <v>#Sharepoint//FRS_Aux Electrical Supply</v>
      </c>
      <c r="J121" s="340" t="str" cm="1">
        <f t="array" aca="1" ref="J121" ca="1">HYPERLINK(CONCATENATE(Cartelle!$D$5,J$1,"/CONFIG/",MID($D121,1,FIND("_",$D121)-1),"/",INDIRECT(CONCATENATE("'CONFIG'!",ADDRESS(MATCH($D121, CONFIG!$B:$B, 0),MATCH(J$1, CONFIG!$1:$1, 0)))),".pdf#page=",J122),CONCATENATE("#Sharepoint//",$D121))</f>
        <v>#Sharepoint//FRS_Aux Electrical Supply</v>
      </c>
      <c r="K121" s="337"/>
      <c r="L121" s="337"/>
    </row>
    <row r="122" spans="1:12" s="13" customFormat="1" hidden="1" outlineLevel="2" x14ac:dyDescent="0.25">
      <c r="B122" s="103"/>
      <c r="C122" s="365"/>
      <c r="D122" s="392"/>
      <c r="E122" s="357" t="s">
        <v>868</v>
      </c>
      <c r="F122" s="358">
        <v>18</v>
      </c>
      <c r="G122" s="358">
        <v>18</v>
      </c>
      <c r="H122" s="358">
        <v>19</v>
      </c>
      <c r="I122" s="358">
        <v>18</v>
      </c>
      <c r="J122" s="358">
        <v>18</v>
      </c>
      <c r="K122" s="358"/>
      <c r="L122" s="358"/>
    </row>
    <row r="123" spans="1:12" s="13" customFormat="1" x14ac:dyDescent="0.25">
      <c r="A123" s="359" t="s">
        <v>1231</v>
      </c>
      <c r="B123" s="401"/>
      <c r="C123" s="422"/>
      <c r="D123" s="393" t="s">
        <v>386</v>
      </c>
      <c r="E123" s="360"/>
      <c r="F123" s="361"/>
      <c r="G123" s="361"/>
      <c r="H123" s="361"/>
      <c r="I123" s="361"/>
      <c r="J123" s="361"/>
      <c r="K123" s="361"/>
      <c r="L123" s="362"/>
    </row>
    <row r="124" spans="1:12" s="13" customFormat="1" outlineLevel="1" collapsed="1" x14ac:dyDescent="0.25">
      <c r="B124" s="103"/>
      <c r="C124" s="370"/>
      <c r="D124" s="391" t="s">
        <v>838</v>
      </c>
      <c r="E124" s="356" t="s">
        <v>184</v>
      </c>
      <c r="F124" s="340" t="str" cm="1">
        <f t="array" aca="1" ref="F124" ca="1">HYPERLINK(CONCATENATE(Cartelle!$D$5,F$1,"/CONFIG/",MID($D124,1,FIND("_",$D124)-1),"/",INDIRECT(CONCATENATE("'CONFIG'!",ADDRESS(MATCH($D124, CONFIG!$B:$B, 0),MATCH(F$1, CONFIG!$1:$1, 0)))),".pdf#page=",F125),CONCATENATE("#Sharepoint//",$D124))</f>
        <v>#Sharepoint//FRS_Aux Electrical Supply</v>
      </c>
      <c r="G124" s="340" t="str" cm="1">
        <f t="array" aca="1" ref="G124" ca="1">HYPERLINK(CONCATENATE(Cartelle!$D$5,INDEX(CONFIG!$1:$1, 1, MATCH(INDIRECT(CONCATENATE("'CONFIG'!",ADDRESS(MATCH($D124, CONFIG!$B:$B, 0),MATCH(G$1, CONFIG!$1:$1, 0)))),INDIRECT(CONCATENATE("'CONFIG'!",MATCH($D124, CONFIG!$B:$B, 0),":",MATCH($D124, CONFIG!$B:$B, 0))),0)),"/CONFIG/",MID($D124,1,FIND("_",$D124)-1),"/",INDIRECT(CONCATENATE("'CONFIG'!",ADDRESS(MATCH($D124, CONFIG!$B:$B, 0),MATCH(G$1, CONFIG!$1:$1, 0)))),".pdf#page=",G125),CONCATENATE("#Sharepoint//",$D124))</f>
        <v>#Sharepoint//FRS_Aux Electrical Supply</v>
      </c>
      <c r="H124" s="340" t="str" cm="1">
        <f t="array" aca="1" ref="H124" ca="1">HYPERLINK(CONCATENATE(Cartelle!$D$5,INDEX(CONFIG!$1:$1, 1, MATCH(INDIRECT(CONCATENATE("'CONFIG'!",ADDRESS(MATCH($D124, CONFIG!$B:$B, 0),MATCH(H$1, CONFIG!$1:$1, 0)))),INDIRECT(CONCATENATE("'CONFIG'!",MATCH($D124, CONFIG!$B:$B, 0),":",MATCH($D124, CONFIG!$B:$B, 0))),0)),"/CONFIG/",MID($D124,1,FIND("_",$D124)-1),"/",INDIRECT(CONCATENATE("'CONFIG'!",ADDRESS(MATCH($D124, CONFIG!$B:$B, 0),MATCH(H$1, CONFIG!$1:$1, 0)))),".pdf#page=",H125),CONCATENATE("#Sharepoint//",$D124))</f>
        <v>#Sharepoint//FRS_Aux Electrical Supply</v>
      </c>
      <c r="I124" s="340" t="str" cm="1">
        <f t="array" aca="1" ref="I124" ca="1">HYPERLINK(CONCATENATE(Cartelle!$D$5,INDEX(CONFIG!$1:$1, 1, MATCH(INDIRECT(CONCATENATE("'CONFIG'!",ADDRESS(MATCH($D124, CONFIG!$B:$B, 0),MATCH(I$1, CONFIG!$1:$1, 0)))),INDIRECT(CONCATENATE("'CONFIG'!",MATCH($D124, CONFIG!$B:$B, 0),":",MATCH($D124, CONFIG!$B:$B, 0))),0)),"/CONFIG/",MID($D124,1,FIND("_",$D124)-1),"/",INDIRECT(CONCATENATE("'CONFIG'!",ADDRESS(MATCH($D124, CONFIG!$B:$B, 0),MATCH(I$1, CONFIG!$1:$1, 0)))),".pdf#page=",I125),CONCATENATE("#Sharepoint//",$D124))</f>
        <v>#Sharepoint//FRS_Aux Electrical Supply</v>
      </c>
      <c r="J124" s="340" t="str" cm="1">
        <f t="array" aca="1" ref="J124" ca="1">HYPERLINK(CONCATENATE(Cartelle!$D$5,J$1,"/CONFIG/",MID($D124,1,FIND("_",$D124)-1),"/",INDIRECT(CONCATENATE("'CONFIG'!",ADDRESS(MATCH($D124, CONFIG!$B:$B, 0),MATCH(J$1, CONFIG!$1:$1, 0)))),".pdf#page=",J125),CONCATENATE("#Sharepoint//",$D124))</f>
        <v>#Sharepoint//FRS_Aux Electrical Supply</v>
      </c>
      <c r="K124" s="337"/>
      <c r="L124" s="337"/>
    </row>
    <row r="125" spans="1:12" s="13" customFormat="1" hidden="1" outlineLevel="2" x14ac:dyDescent="0.25">
      <c r="B125" s="103"/>
      <c r="C125" s="365"/>
      <c r="D125" s="392"/>
      <c r="E125" s="357" t="s">
        <v>868</v>
      </c>
      <c r="F125" s="358">
        <v>22</v>
      </c>
      <c r="G125" s="358">
        <v>22</v>
      </c>
      <c r="H125" s="358">
        <v>23</v>
      </c>
      <c r="I125" s="358">
        <v>22</v>
      </c>
      <c r="J125" s="358">
        <v>22</v>
      </c>
      <c r="K125" s="358"/>
      <c r="L125" s="358"/>
    </row>
    <row r="126" spans="1:12" s="13" customFormat="1" x14ac:dyDescent="0.25">
      <c r="A126" s="359" t="s">
        <v>1232</v>
      </c>
      <c r="B126" s="401"/>
      <c r="C126" s="422"/>
      <c r="D126" s="393" t="s">
        <v>386</v>
      </c>
      <c r="E126" s="360"/>
      <c r="F126" s="361"/>
      <c r="G126" s="361"/>
      <c r="H126" s="361"/>
      <c r="I126" s="361"/>
      <c r="J126" s="361"/>
      <c r="K126" s="361"/>
      <c r="L126" s="362"/>
    </row>
    <row r="127" spans="1:12" s="13" customFormat="1" outlineLevel="1" collapsed="1" x14ac:dyDescent="0.25">
      <c r="B127" s="103"/>
      <c r="C127" s="370"/>
      <c r="D127" s="391" t="s">
        <v>838</v>
      </c>
      <c r="E127" s="356" t="s">
        <v>184</v>
      </c>
      <c r="F127" s="340" t="str" cm="1">
        <f t="array" aca="1" ref="F127" ca="1">HYPERLINK(CONCATENATE(Cartelle!$D$5,F$1,"/CONFIG/",MID($D127,1,FIND("_",$D127)-1),"/",INDIRECT(CONCATENATE("'CONFIG'!",ADDRESS(MATCH($D127, CONFIG!$B:$B, 0),MATCH(F$1, CONFIG!$1:$1, 0)))),".pdf#page=",F128),CONCATENATE("#Sharepoint//",$D127))</f>
        <v>#Sharepoint//FRS_Aux Electrical Supply</v>
      </c>
      <c r="G127" s="340" t="str" cm="1">
        <f t="array" aca="1" ref="G127" ca="1">HYPERLINK(CONCATENATE(Cartelle!$D$5,INDEX(CONFIG!$1:$1, 1, MATCH(INDIRECT(CONCATENATE("'CONFIG'!",ADDRESS(MATCH($D127, CONFIG!$B:$B, 0),MATCH(G$1, CONFIG!$1:$1, 0)))),INDIRECT(CONCATENATE("'CONFIG'!",MATCH($D127, CONFIG!$B:$B, 0),":",MATCH($D127, CONFIG!$B:$B, 0))),0)),"/CONFIG/",MID($D127,1,FIND("_",$D127)-1),"/",INDIRECT(CONCATENATE("'CONFIG'!",ADDRESS(MATCH($D127, CONFIG!$B:$B, 0),MATCH(G$1, CONFIG!$1:$1, 0)))),".pdf#page=",G128),CONCATENATE("#Sharepoint//",$D127))</f>
        <v>#Sharepoint//FRS_Aux Electrical Supply</v>
      </c>
      <c r="H127" s="340" t="str" cm="1">
        <f t="array" aca="1" ref="H127" ca="1">HYPERLINK(CONCATENATE(Cartelle!$D$5,INDEX(CONFIG!$1:$1, 1, MATCH(INDIRECT(CONCATENATE("'CONFIG'!",ADDRESS(MATCH($D127, CONFIG!$B:$B, 0),MATCH(H$1, CONFIG!$1:$1, 0)))),INDIRECT(CONCATENATE("'CONFIG'!",MATCH($D127, CONFIG!$B:$B, 0),":",MATCH($D127, CONFIG!$B:$B, 0))),0)),"/CONFIG/",MID($D127,1,FIND("_",$D127)-1),"/",INDIRECT(CONCATENATE("'CONFIG'!",ADDRESS(MATCH($D127, CONFIG!$B:$B, 0),MATCH(H$1, CONFIG!$1:$1, 0)))),".pdf#page=",H128),CONCATENATE("#Sharepoint//",$D127))</f>
        <v>#Sharepoint//FRS_Aux Electrical Supply</v>
      </c>
      <c r="I127" s="340" t="str" cm="1">
        <f t="array" aca="1" ref="I127" ca="1">HYPERLINK(CONCATENATE(Cartelle!$D$5,INDEX(CONFIG!$1:$1, 1, MATCH(INDIRECT(CONCATENATE("'CONFIG'!",ADDRESS(MATCH($D127, CONFIG!$B:$B, 0),MATCH(I$1, CONFIG!$1:$1, 0)))),INDIRECT(CONCATENATE("'CONFIG'!",MATCH($D127, CONFIG!$B:$B, 0),":",MATCH($D127, CONFIG!$B:$B, 0))),0)),"/CONFIG/",MID($D127,1,FIND("_",$D127)-1),"/",INDIRECT(CONCATENATE("'CONFIG'!",ADDRESS(MATCH($D127, CONFIG!$B:$B, 0),MATCH(I$1, CONFIG!$1:$1, 0)))),".pdf#page=",I128),CONCATENATE("#Sharepoint//",$D127))</f>
        <v>#Sharepoint//FRS_Aux Electrical Supply</v>
      </c>
      <c r="J127" s="340" t="str" cm="1">
        <f t="array" aca="1" ref="J127" ca="1">HYPERLINK(CONCATENATE(Cartelle!$D$5,J$1,"/CONFIG/",MID($D127,1,FIND("_",$D127)-1),"/",INDIRECT(CONCATENATE("'CONFIG'!",ADDRESS(MATCH($D127, CONFIG!$B:$B, 0),MATCH(J$1, CONFIG!$1:$1, 0)))),".pdf#page=",J128),CONCATENATE("#Sharepoint//",$D127))</f>
        <v>#Sharepoint//FRS_Aux Electrical Supply</v>
      </c>
      <c r="K127" s="337"/>
      <c r="L127" s="337"/>
    </row>
    <row r="128" spans="1:12" s="13" customFormat="1" hidden="1" outlineLevel="2" x14ac:dyDescent="0.25">
      <c r="B128" s="103"/>
      <c r="C128" s="365"/>
      <c r="D128" s="392"/>
      <c r="E128" s="357" t="s">
        <v>868</v>
      </c>
      <c r="F128" s="358">
        <v>23</v>
      </c>
      <c r="G128" s="358">
        <v>23</v>
      </c>
      <c r="H128" s="358">
        <v>24</v>
      </c>
      <c r="I128" s="358">
        <v>23</v>
      </c>
      <c r="J128" s="358">
        <v>23</v>
      </c>
      <c r="K128" s="358"/>
      <c r="L128" s="358"/>
    </row>
    <row r="129" spans="1:12" s="13" customFormat="1" x14ac:dyDescent="0.25">
      <c r="A129" s="359" t="s">
        <v>1233</v>
      </c>
      <c r="B129" s="401"/>
      <c r="C129" s="422"/>
      <c r="D129" s="393" t="s">
        <v>386</v>
      </c>
      <c r="E129" s="360"/>
      <c r="F129" s="361"/>
      <c r="G129" s="361"/>
      <c r="H129" s="361"/>
      <c r="I129" s="361"/>
      <c r="J129" s="361"/>
      <c r="K129" s="361"/>
      <c r="L129" s="362"/>
    </row>
    <row r="130" spans="1:12" s="13" customFormat="1" outlineLevel="1" collapsed="1" x14ac:dyDescent="0.25">
      <c r="B130" s="103"/>
      <c r="C130" s="370"/>
      <c r="D130" s="391" t="s">
        <v>838</v>
      </c>
      <c r="E130" s="356" t="s">
        <v>184</v>
      </c>
      <c r="F130" s="340" t="str" cm="1">
        <f t="array" aca="1" ref="F130" ca="1">HYPERLINK(CONCATENATE(Cartelle!$D$5,F$1,"/CONFIG/",MID($D130,1,FIND("_",$D130)-1),"/",INDIRECT(CONCATENATE("'CONFIG'!",ADDRESS(MATCH($D130, CONFIG!$B:$B, 0),MATCH(F$1, CONFIG!$1:$1, 0)))),".pdf#page=",F131),CONCATENATE("#Sharepoint//",$D130))</f>
        <v>#Sharepoint//FRS_Aux Electrical Supply</v>
      </c>
      <c r="G130" s="340" t="str" cm="1">
        <f t="array" aca="1" ref="G130" ca="1">HYPERLINK(CONCATENATE(Cartelle!$D$5,INDEX(CONFIG!$1:$1, 1, MATCH(INDIRECT(CONCATENATE("'CONFIG'!",ADDRESS(MATCH($D130, CONFIG!$B:$B, 0),MATCH(G$1, CONFIG!$1:$1, 0)))),INDIRECT(CONCATENATE("'CONFIG'!",MATCH($D130, CONFIG!$B:$B, 0),":",MATCH($D130, CONFIG!$B:$B, 0))),0)),"/CONFIG/",MID($D130,1,FIND("_",$D130)-1),"/",INDIRECT(CONCATENATE("'CONFIG'!",ADDRESS(MATCH($D130, CONFIG!$B:$B, 0),MATCH(G$1, CONFIG!$1:$1, 0)))),".pdf#page=",G131),CONCATENATE("#Sharepoint//",$D130))</f>
        <v>#Sharepoint//FRS_Aux Electrical Supply</v>
      </c>
      <c r="H130" s="340" t="str" cm="1">
        <f t="array" aca="1" ref="H130" ca="1">HYPERLINK(CONCATENATE(Cartelle!$D$5,INDEX(CONFIG!$1:$1, 1, MATCH(INDIRECT(CONCATENATE("'CONFIG'!",ADDRESS(MATCH($D130, CONFIG!$B:$B, 0),MATCH(H$1, CONFIG!$1:$1, 0)))),INDIRECT(CONCATENATE("'CONFIG'!",MATCH($D130, CONFIG!$B:$B, 0),":",MATCH($D130, CONFIG!$B:$B, 0))),0)),"/CONFIG/",MID($D130,1,FIND("_",$D130)-1),"/",INDIRECT(CONCATENATE("'CONFIG'!",ADDRESS(MATCH($D130, CONFIG!$B:$B, 0),MATCH(H$1, CONFIG!$1:$1, 0)))),".pdf#page=",H131),CONCATENATE("#Sharepoint//",$D130))</f>
        <v>#Sharepoint//FRS_Aux Electrical Supply</v>
      </c>
      <c r="I130" s="340" t="str" cm="1">
        <f t="array" aca="1" ref="I130" ca="1">HYPERLINK(CONCATENATE(Cartelle!$D$5,INDEX(CONFIG!$1:$1, 1, MATCH(INDIRECT(CONCATENATE("'CONFIG'!",ADDRESS(MATCH($D130, CONFIG!$B:$B, 0),MATCH(I$1, CONFIG!$1:$1, 0)))),INDIRECT(CONCATENATE("'CONFIG'!",MATCH($D130, CONFIG!$B:$B, 0),":",MATCH($D130, CONFIG!$B:$B, 0))),0)),"/CONFIG/",MID($D130,1,FIND("_",$D130)-1),"/",INDIRECT(CONCATENATE("'CONFIG'!",ADDRESS(MATCH($D130, CONFIG!$B:$B, 0),MATCH(I$1, CONFIG!$1:$1, 0)))),".pdf#page=",I131),CONCATENATE("#Sharepoint//",$D130))</f>
        <v>#Sharepoint//FRS_Aux Electrical Supply</v>
      </c>
      <c r="J130" s="340" t="str" cm="1">
        <f t="array" aca="1" ref="J130" ca="1">HYPERLINK(CONCATENATE(Cartelle!$D$5,J$1,"/CONFIG/",MID($D130,1,FIND("_",$D130)-1),"/",INDIRECT(CONCATENATE("'CONFIG'!",ADDRESS(MATCH($D130, CONFIG!$B:$B, 0),MATCH(J$1, CONFIG!$1:$1, 0)))),".pdf#page=",J131),CONCATENATE("#Sharepoint//",$D130))</f>
        <v>#Sharepoint//FRS_Aux Electrical Supply</v>
      </c>
      <c r="K130" s="337"/>
      <c r="L130" s="337"/>
    </row>
    <row r="131" spans="1:12" s="13" customFormat="1" hidden="1" outlineLevel="2" x14ac:dyDescent="0.25">
      <c r="B131" s="103"/>
      <c r="C131" s="374"/>
      <c r="D131" s="394"/>
      <c r="E131" s="363" t="s">
        <v>868</v>
      </c>
      <c r="F131" s="364">
        <v>24</v>
      </c>
      <c r="G131" s="364">
        <v>24</v>
      </c>
      <c r="H131" s="364">
        <v>25</v>
      </c>
      <c r="I131" s="364">
        <v>24</v>
      </c>
      <c r="J131" s="364">
        <v>24</v>
      </c>
      <c r="K131" s="364"/>
      <c r="L131" s="364"/>
    </row>
    <row r="132" spans="1:12" customFormat="1" x14ac:dyDescent="0.25">
      <c r="A132" s="366" t="s">
        <v>1212</v>
      </c>
      <c r="B132" s="402"/>
      <c r="C132" s="106"/>
      <c r="D132" s="395" t="s">
        <v>386</v>
      </c>
      <c r="E132" s="367"/>
      <c r="F132" s="368"/>
      <c r="G132" s="368"/>
      <c r="H132" s="368"/>
      <c r="I132" s="368"/>
      <c r="J132" s="368"/>
      <c r="K132" s="368"/>
      <c r="L132" s="369"/>
    </row>
    <row r="133" spans="1:12" customFormat="1" outlineLevel="1" collapsed="1" x14ac:dyDescent="0.25">
      <c r="B133" s="403"/>
      <c r="C133" s="106"/>
      <c r="D133" s="396" t="s">
        <v>839</v>
      </c>
      <c r="E133" s="371" t="s">
        <v>184</v>
      </c>
      <c r="F133" s="372" t="str">
        <f ca="1">HYPERLINK(CONCATENATE(Cartelle!$D$5,F$1,"/CONFIG/",MID($D133,1,FIND("_",$D133)-1),"/",INDIRECT(CONCATENATE("'CONFIG'!",ADDRESS(MATCH($D133, CONFIG!$B:$B, 0),MATCH(F$1, CONFIG!$1:$1, 0)))),".pdf#page=",F134),CONCATENATE("#Sharepoint//",$D133))</f>
        <v>#Sharepoint//FRS_Battery</v>
      </c>
      <c r="G133" s="340" t="str" cm="1">
        <f t="array" aca="1" ref="G133" ca="1">HYPERLINK(CONCATENATE(Cartelle!$D$5,INDEX(CONFIG!$1:$1, 1, MATCH(INDIRECT(CONCATENATE("'CONFIG'!",ADDRESS(MATCH($D133, CONFIG!$B:$B, 0),MATCH(G$1, CONFIG!$1:$1, 0)))),INDIRECT(CONCATENATE("'CONFIG'!",MATCH($D133, CONFIG!$B:$B, 0),":",MATCH($D133, CONFIG!$B:$B, 0))),0)),"/CONFIG/",MID($D133,1,FIND("_",$D133)-1),"/",INDIRECT(CONCATENATE("'CONFIG'!",ADDRESS(MATCH($D133, CONFIG!$B:$B, 0),MATCH(G$1, CONFIG!$1:$1, 0)))),".pdf#page=",G134),CONCATENATE("#Sharepoint//",$D133))</f>
        <v>#Sharepoint//FRS_Battery</v>
      </c>
      <c r="H133" s="340" t="str" cm="1">
        <f t="array" aca="1" ref="H133" ca="1">HYPERLINK(CONCATENATE(Cartelle!$D$5,INDEX(CONFIG!$1:$1, 1, MATCH(INDIRECT(CONCATENATE("'CONFIG'!",ADDRESS(MATCH($D133, CONFIG!$B:$B, 0),MATCH(H$1, CONFIG!$1:$1, 0)))),INDIRECT(CONCATENATE("'CONFIG'!",MATCH($D133, CONFIG!$B:$B, 0),":",MATCH($D133, CONFIG!$B:$B, 0))),0)),"/CONFIG/",MID($D133,1,FIND("_",$D133)-1),"/",INDIRECT(CONCATENATE("'CONFIG'!",ADDRESS(MATCH($D133, CONFIG!$B:$B, 0),MATCH(H$1, CONFIG!$1:$1, 0)))),".pdf#page=",H134),CONCATENATE("#Sharepoint//",$D133))</f>
        <v>#Sharepoint//FRS_Battery</v>
      </c>
      <c r="I133" s="340" t="str" cm="1">
        <f t="array" aca="1" ref="I133" ca="1">HYPERLINK(CONCATENATE(Cartelle!$D$5,INDEX(CONFIG!$1:$1, 1, MATCH(INDIRECT(CONCATENATE("'CONFIG'!",ADDRESS(MATCH($D133, CONFIG!$B:$B, 0),MATCH(I$1, CONFIG!$1:$1, 0)))),INDIRECT(CONCATENATE("'CONFIG'!",MATCH($D133, CONFIG!$B:$B, 0),":",MATCH($D133, CONFIG!$B:$B, 0))),0)),"/CONFIG/",MID($D133,1,FIND("_",$D133)-1),"/",INDIRECT(CONCATENATE("'CONFIG'!",ADDRESS(MATCH($D133, CONFIG!$B:$B, 0),MATCH(I$1, CONFIG!$1:$1, 0)))),".pdf#page=",I134),CONCATENATE("#Sharepoint//",$D133))</f>
        <v>#Sharepoint//FRS_Battery</v>
      </c>
      <c r="J133" s="372" t="str">
        <f ca="1">HYPERLINK(CONCATENATE(Cartelle!$D$5,J$1,"/CONFIG/",MID($D133,1,FIND("_",$D133)-1),"/",INDIRECT(CONCATENATE("'CONFIG'!",ADDRESS(MATCH($D133, CONFIG!$B:$B, 0),MATCH(J$1, CONFIG!$1:$1, 0)))),".pdf#page=",J134),CONCATENATE("#Sharepoint//",$D133))</f>
        <v>#Sharepoint//FRS_Battery</v>
      </c>
      <c r="K133" s="373"/>
      <c r="L133" s="373"/>
    </row>
    <row r="134" spans="1:12" customFormat="1" hidden="1" outlineLevel="2" x14ac:dyDescent="0.25">
      <c r="B134" s="403"/>
      <c r="C134" s="106"/>
      <c r="D134" s="397"/>
      <c r="E134" s="375" t="s">
        <v>868</v>
      </c>
      <c r="F134" s="376">
        <v>8</v>
      </c>
      <c r="G134" s="376">
        <v>8</v>
      </c>
      <c r="H134" s="376">
        <v>8</v>
      </c>
      <c r="I134" s="376">
        <v>8</v>
      </c>
      <c r="J134" s="376">
        <v>8</v>
      </c>
      <c r="K134" s="376"/>
      <c r="L134" s="376"/>
    </row>
    <row r="135" spans="1:12" customFormat="1" x14ac:dyDescent="0.25">
      <c r="A135" s="377" t="s">
        <v>1213</v>
      </c>
      <c r="B135" s="404"/>
      <c r="C135" s="106"/>
      <c r="D135" s="398" t="s">
        <v>386</v>
      </c>
      <c r="E135" s="378"/>
      <c r="F135" s="379"/>
      <c r="G135" s="379"/>
      <c r="H135" s="379"/>
      <c r="I135" s="379"/>
      <c r="J135" s="379"/>
      <c r="K135" s="379"/>
      <c r="L135" s="380"/>
    </row>
    <row r="136" spans="1:12" customFormat="1" outlineLevel="1" collapsed="1" x14ac:dyDescent="0.25">
      <c r="B136" s="403"/>
      <c r="C136" s="106"/>
      <c r="D136" s="396" t="s">
        <v>839</v>
      </c>
      <c r="E136" s="371" t="s">
        <v>184</v>
      </c>
      <c r="F136" s="372" t="str">
        <f ca="1">HYPERLINK(CONCATENATE(Cartelle!$D$5,F$1,"/CONFIG/",MID($D136,1,FIND("_",$D136)-1),"/",INDIRECT(CONCATENATE("'CONFIG'!",ADDRESS(MATCH($D136, CONFIG!$B:$B, 0),MATCH(F$1, CONFIG!$1:$1, 0)))),".pdf#page=",F137),CONCATENATE("#Sharepoint//",$D136))</f>
        <v>#Sharepoint//FRS_Battery</v>
      </c>
      <c r="G136" s="340" t="str" cm="1">
        <f t="array" aca="1" ref="G136" ca="1">HYPERLINK(CONCATENATE(Cartelle!$D$5,INDEX(CONFIG!$1:$1, 1, MATCH(INDIRECT(CONCATENATE("'CONFIG'!",ADDRESS(MATCH($D136, CONFIG!$B:$B, 0),MATCH(G$1, CONFIG!$1:$1, 0)))),INDIRECT(CONCATENATE("'CONFIG'!",MATCH($D136, CONFIG!$B:$B, 0),":",MATCH($D136, CONFIG!$B:$B, 0))),0)),"/CONFIG/",MID($D136,1,FIND("_",$D136)-1),"/",INDIRECT(CONCATENATE("'CONFIG'!",ADDRESS(MATCH($D136, CONFIG!$B:$B, 0),MATCH(G$1, CONFIG!$1:$1, 0)))),".pdf#page=",G137),CONCATENATE("#Sharepoint//",$D136))</f>
        <v>#Sharepoint//FRS_Battery</v>
      </c>
      <c r="H136" s="340" t="str" cm="1">
        <f t="array" aca="1" ref="H136" ca="1">HYPERLINK(CONCATENATE(Cartelle!$D$5,INDEX(CONFIG!$1:$1, 1, MATCH(INDIRECT(CONCATENATE("'CONFIG'!",ADDRESS(MATCH($D136, CONFIG!$B:$B, 0),MATCH(H$1, CONFIG!$1:$1, 0)))),INDIRECT(CONCATENATE("'CONFIG'!",MATCH($D136, CONFIG!$B:$B, 0),":",MATCH($D136, CONFIG!$B:$B, 0))),0)),"/CONFIG/",MID($D136,1,FIND("_",$D136)-1),"/",INDIRECT(CONCATENATE("'CONFIG'!",ADDRESS(MATCH($D136, CONFIG!$B:$B, 0),MATCH(H$1, CONFIG!$1:$1, 0)))),".pdf#page=",H137),CONCATENATE("#Sharepoint//",$D136))</f>
        <v>#Sharepoint//FRS_Battery</v>
      </c>
      <c r="I136" s="340" t="str" cm="1">
        <f t="array" aca="1" ref="I136" ca="1">HYPERLINK(CONCATENATE(Cartelle!$D$5,INDEX(CONFIG!$1:$1, 1, MATCH(INDIRECT(CONCATENATE("'CONFIG'!",ADDRESS(MATCH($D136, CONFIG!$B:$B, 0),MATCH(I$1, CONFIG!$1:$1, 0)))),INDIRECT(CONCATENATE("'CONFIG'!",MATCH($D136, CONFIG!$B:$B, 0),":",MATCH($D136, CONFIG!$B:$B, 0))),0)),"/CONFIG/",MID($D136,1,FIND("_",$D136)-1),"/",INDIRECT(CONCATENATE("'CONFIG'!",ADDRESS(MATCH($D136, CONFIG!$B:$B, 0),MATCH(I$1, CONFIG!$1:$1, 0)))),".pdf#page=",I137),CONCATENATE("#Sharepoint//",$D136))</f>
        <v>#Sharepoint//FRS_Battery</v>
      </c>
      <c r="J136" s="372" t="str">
        <f ca="1">HYPERLINK(CONCATENATE(Cartelle!$D$5,J$1,"/CONFIG/",MID($D136,1,FIND("_",$D136)-1),"/",INDIRECT(CONCATENATE("'CONFIG'!",ADDRESS(MATCH($D136, CONFIG!$B:$B, 0),MATCH(J$1, CONFIG!$1:$1, 0)))),".pdf#page=",J137),CONCATENATE("#Sharepoint//",$D136))</f>
        <v>#Sharepoint//FRS_Battery</v>
      </c>
      <c r="K136" s="373"/>
      <c r="L136" s="373"/>
    </row>
    <row r="137" spans="1:12" customFormat="1" hidden="1" outlineLevel="2" x14ac:dyDescent="0.25">
      <c r="B137" s="403"/>
      <c r="C137" s="106"/>
      <c r="D137" s="397"/>
      <c r="E137" s="375" t="s">
        <v>868</v>
      </c>
      <c r="F137" s="376">
        <v>9</v>
      </c>
      <c r="G137" s="376">
        <v>9</v>
      </c>
      <c r="H137" s="376">
        <v>9</v>
      </c>
      <c r="I137" s="376">
        <v>9</v>
      </c>
      <c r="J137" s="376">
        <v>9</v>
      </c>
      <c r="K137" s="376"/>
      <c r="L137" s="376"/>
    </row>
    <row r="138" spans="1:12" customFormat="1" x14ac:dyDescent="0.25">
      <c r="A138" s="377" t="s">
        <v>1214</v>
      </c>
      <c r="B138" s="404"/>
      <c r="C138" s="106"/>
      <c r="D138" s="398" t="s">
        <v>386</v>
      </c>
      <c r="E138" s="378"/>
      <c r="F138" s="379"/>
      <c r="G138" s="379"/>
      <c r="H138" s="379"/>
      <c r="I138" s="379"/>
      <c r="J138" s="379"/>
      <c r="K138" s="379"/>
      <c r="L138" s="380"/>
    </row>
    <row r="139" spans="1:12" customFormat="1" outlineLevel="1" collapsed="1" x14ac:dyDescent="0.25">
      <c r="B139" s="403"/>
      <c r="C139" s="106"/>
      <c r="D139" s="396" t="s">
        <v>839</v>
      </c>
      <c r="E139" s="371" t="s">
        <v>184</v>
      </c>
      <c r="F139" s="372" t="str">
        <f ca="1">HYPERLINK(CONCATENATE(Cartelle!$D$5,F$1,"/CONFIG/",MID($D139,1,FIND("_",$D139)-1),"/",INDIRECT(CONCATENATE("'CONFIG'!",ADDRESS(MATCH($D139, CONFIG!$B:$B, 0),MATCH(F$1, CONFIG!$1:$1, 0)))),".pdf#page=",F140),CONCATENATE("#Sharepoint//",$D139))</f>
        <v>#Sharepoint//FRS_Battery</v>
      </c>
      <c r="G139" s="340" t="str" cm="1">
        <f t="array" aca="1" ref="G139" ca="1">HYPERLINK(CONCATENATE(Cartelle!$D$5,INDEX(CONFIG!$1:$1, 1, MATCH(INDIRECT(CONCATENATE("'CONFIG'!",ADDRESS(MATCH($D139, CONFIG!$B:$B, 0),MATCH(G$1, CONFIG!$1:$1, 0)))),INDIRECT(CONCATENATE("'CONFIG'!",MATCH($D139, CONFIG!$B:$B, 0),":",MATCH($D139, CONFIG!$B:$B, 0))),0)),"/CONFIG/",MID($D139,1,FIND("_",$D139)-1),"/",INDIRECT(CONCATENATE("'CONFIG'!",ADDRESS(MATCH($D139, CONFIG!$B:$B, 0),MATCH(G$1, CONFIG!$1:$1, 0)))),".pdf#page=",G140),CONCATENATE("#Sharepoint//",$D139))</f>
        <v>#Sharepoint//FRS_Battery</v>
      </c>
      <c r="H139" s="340" t="str" cm="1">
        <f t="array" aca="1" ref="H139" ca="1">HYPERLINK(CONCATENATE(Cartelle!$D$5,INDEX(CONFIG!$1:$1, 1, MATCH(INDIRECT(CONCATENATE("'CONFIG'!",ADDRESS(MATCH($D139, CONFIG!$B:$B, 0),MATCH(H$1, CONFIG!$1:$1, 0)))),INDIRECT(CONCATENATE("'CONFIG'!",MATCH($D139, CONFIG!$B:$B, 0),":",MATCH($D139, CONFIG!$B:$B, 0))),0)),"/CONFIG/",MID($D139,1,FIND("_",$D139)-1),"/",INDIRECT(CONCATENATE("'CONFIG'!",ADDRESS(MATCH($D139, CONFIG!$B:$B, 0),MATCH(H$1, CONFIG!$1:$1, 0)))),".pdf#page=",H140),CONCATENATE("#Sharepoint//",$D139))</f>
        <v>#Sharepoint//FRS_Battery</v>
      </c>
      <c r="I139" s="340" t="str" cm="1">
        <f t="array" aca="1" ref="I139" ca="1">HYPERLINK(CONCATENATE(Cartelle!$D$5,INDEX(CONFIG!$1:$1, 1, MATCH(INDIRECT(CONCATENATE("'CONFIG'!",ADDRESS(MATCH($D139, CONFIG!$B:$B, 0),MATCH(I$1, CONFIG!$1:$1, 0)))),INDIRECT(CONCATENATE("'CONFIG'!",MATCH($D139, CONFIG!$B:$B, 0),":",MATCH($D139, CONFIG!$B:$B, 0))),0)),"/CONFIG/",MID($D139,1,FIND("_",$D139)-1),"/",INDIRECT(CONCATENATE("'CONFIG'!",ADDRESS(MATCH($D139, CONFIG!$B:$B, 0),MATCH(I$1, CONFIG!$1:$1, 0)))),".pdf#page=",I140),CONCATENATE("#Sharepoint//",$D139))</f>
        <v>#Sharepoint//FRS_Battery</v>
      </c>
      <c r="J139" s="372" t="str">
        <f ca="1">HYPERLINK(CONCATENATE(Cartelle!$D$5,J$1,"/CONFIG/",MID($D139,1,FIND("_",$D139)-1),"/",INDIRECT(CONCATENATE("'CONFIG'!",ADDRESS(MATCH($D139, CONFIG!$B:$B, 0),MATCH(J$1, CONFIG!$1:$1, 0)))),".pdf#page=",J140),CONCATENATE("#Sharepoint//",$D139))</f>
        <v>#Sharepoint//FRS_Battery</v>
      </c>
      <c r="K139" s="373"/>
      <c r="L139" s="373"/>
    </row>
    <row r="140" spans="1:12" customFormat="1" hidden="1" outlineLevel="2" x14ac:dyDescent="0.25">
      <c r="B140" s="403"/>
      <c r="C140" s="106"/>
      <c r="D140" s="397"/>
      <c r="E140" s="375" t="s">
        <v>868</v>
      </c>
      <c r="F140" s="376">
        <v>11</v>
      </c>
      <c r="G140" s="376">
        <v>11</v>
      </c>
      <c r="H140" s="376">
        <v>11</v>
      </c>
      <c r="I140" s="376">
        <v>11</v>
      </c>
      <c r="J140" s="376">
        <v>11</v>
      </c>
      <c r="K140" s="376"/>
      <c r="L140" s="376"/>
    </row>
    <row r="141" spans="1:12" customFormat="1" x14ac:dyDescent="0.25">
      <c r="A141" s="377" t="s">
        <v>1215</v>
      </c>
      <c r="B141" s="404"/>
      <c r="C141" s="106"/>
      <c r="D141" s="398" t="s">
        <v>386</v>
      </c>
      <c r="E141" s="378"/>
      <c r="F141" s="379"/>
      <c r="G141" s="379"/>
      <c r="H141" s="379"/>
      <c r="I141" s="379"/>
      <c r="J141" s="379"/>
      <c r="K141" s="379"/>
      <c r="L141" s="380"/>
    </row>
    <row r="142" spans="1:12" customFormat="1" outlineLevel="1" x14ac:dyDescent="0.25">
      <c r="B142" s="403"/>
      <c r="C142" s="106"/>
      <c r="D142" s="396" t="s">
        <v>839</v>
      </c>
      <c r="E142" s="371" t="s">
        <v>184</v>
      </c>
      <c r="F142" s="372" t="str">
        <f ca="1">HYPERLINK(CONCATENATE(Cartelle!$D$5,F$1,"/CONFIG/",MID($D142,1,FIND("_",$D142)-1),"/",INDIRECT(CONCATENATE("'CONFIG'!",ADDRESS(MATCH($D142, CONFIG!$B:$B, 0),MATCH(F$1, CONFIG!$1:$1, 0)))),".pdf#page=",F143),CONCATENATE("#Sharepoint//",$D142))</f>
        <v>#Sharepoint//FRS_Battery</v>
      </c>
      <c r="G142" s="340" t="str" cm="1">
        <f t="array" aca="1" ref="G142" ca="1">HYPERLINK(CONCATENATE(Cartelle!$D$5,INDEX(CONFIG!$1:$1, 1, MATCH(INDIRECT(CONCATENATE("'CONFIG'!",ADDRESS(MATCH($D142, CONFIG!$B:$B, 0),MATCH(G$1, CONFIG!$1:$1, 0)))),INDIRECT(CONCATENATE("'CONFIG'!",MATCH($D142, CONFIG!$B:$B, 0),":",MATCH($D142, CONFIG!$B:$B, 0))),0)),"/CONFIG/",MID($D142,1,FIND("_",$D142)-1),"/",INDIRECT(CONCATENATE("'CONFIG'!",ADDRESS(MATCH($D142, CONFIG!$B:$B, 0),MATCH(G$1, CONFIG!$1:$1, 0)))),".pdf#page=",G143),CONCATENATE("#Sharepoint//",$D142))</f>
        <v>#Sharepoint//FRS_Battery</v>
      </c>
      <c r="H142" s="340" t="str" cm="1">
        <f t="array" aca="1" ref="H142" ca="1">HYPERLINK(CONCATENATE(Cartelle!$D$5,INDEX(CONFIG!$1:$1, 1, MATCH(INDIRECT(CONCATENATE("'CONFIG'!",ADDRESS(MATCH($D142, CONFIG!$B:$B, 0),MATCH(H$1, CONFIG!$1:$1, 0)))),INDIRECT(CONCATENATE("'CONFIG'!",MATCH($D142, CONFIG!$B:$B, 0),":",MATCH($D142, CONFIG!$B:$B, 0))),0)),"/CONFIG/",MID($D142,1,FIND("_",$D142)-1),"/",INDIRECT(CONCATENATE("'CONFIG'!",ADDRESS(MATCH($D142, CONFIG!$B:$B, 0),MATCH(H$1, CONFIG!$1:$1, 0)))),".pdf#page=",H143),CONCATENATE("#Sharepoint//",$D142))</f>
        <v>#Sharepoint//FRS_Battery</v>
      </c>
      <c r="I142" s="340" t="str" cm="1">
        <f t="array" aca="1" ref="I142" ca="1">HYPERLINK(CONCATENATE(Cartelle!$D$5,INDEX(CONFIG!$1:$1, 1, MATCH(INDIRECT(CONCATENATE("'CONFIG'!",ADDRESS(MATCH($D142, CONFIG!$B:$B, 0),MATCH(I$1, CONFIG!$1:$1, 0)))),INDIRECT(CONCATENATE("'CONFIG'!",MATCH($D142, CONFIG!$B:$B, 0),":",MATCH($D142, CONFIG!$B:$B, 0))),0)),"/CONFIG/",MID($D142,1,FIND("_",$D142)-1),"/",INDIRECT(CONCATENATE("'CONFIG'!",ADDRESS(MATCH($D142, CONFIG!$B:$B, 0),MATCH(I$1, CONFIG!$1:$1, 0)))),".pdf#page=",I143),CONCATENATE("#Sharepoint//",$D142))</f>
        <v>#Sharepoint//FRS_Battery</v>
      </c>
      <c r="J142" s="372" t="str">
        <f ca="1">HYPERLINK(CONCATENATE(Cartelle!$D$5,J$1,"/CONFIG/",MID($D142,1,FIND("_",$D142)-1),"/",INDIRECT(CONCATENATE("'CONFIG'!",ADDRESS(MATCH($D142, CONFIG!$B:$B, 0),MATCH(J$1, CONFIG!$1:$1, 0)))),".pdf#page=",J143),CONCATENATE("#Sharepoint//",$D142))</f>
        <v>#Sharepoint//FRS_Battery</v>
      </c>
      <c r="K142" s="373"/>
      <c r="L142" s="373"/>
    </row>
    <row r="143" spans="1:12" customFormat="1" outlineLevel="2" x14ac:dyDescent="0.25">
      <c r="B143" s="403"/>
      <c r="C143" s="106"/>
      <c r="D143" s="397"/>
      <c r="E143" s="375" t="s">
        <v>868</v>
      </c>
      <c r="F143" s="376">
        <v>16</v>
      </c>
      <c r="G143" s="376">
        <v>16</v>
      </c>
      <c r="H143" s="376">
        <v>16</v>
      </c>
      <c r="I143" s="376">
        <v>16</v>
      </c>
      <c r="J143" s="376">
        <v>16</v>
      </c>
      <c r="K143" s="376"/>
      <c r="L143" s="376"/>
    </row>
    <row r="144" spans="1:12" customFormat="1" x14ac:dyDescent="0.25">
      <c r="A144" s="377" t="s">
        <v>1216</v>
      </c>
      <c r="B144" s="404"/>
      <c r="C144" s="106"/>
      <c r="D144" s="398" t="s">
        <v>386</v>
      </c>
      <c r="E144" s="378"/>
      <c r="F144" s="379"/>
      <c r="G144" s="379"/>
      <c r="H144" s="379"/>
      <c r="I144" s="379"/>
      <c r="J144" s="379"/>
      <c r="K144" s="379"/>
      <c r="L144" s="380"/>
    </row>
    <row r="145" spans="1:12" customFormat="1" outlineLevel="1" collapsed="1" x14ac:dyDescent="0.25">
      <c r="B145" s="403"/>
      <c r="C145" s="106"/>
      <c r="D145" s="396" t="s">
        <v>839</v>
      </c>
      <c r="E145" s="371" t="s">
        <v>184</v>
      </c>
      <c r="F145" s="372" t="str">
        <f ca="1">HYPERLINK(CONCATENATE(Cartelle!$D$5,F$1,"/CONFIG/",MID($D145,1,FIND("_",$D145)-1),"/",INDIRECT(CONCATENATE("'CONFIG'!",ADDRESS(MATCH($D145, CONFIG!$B:$B, 0),MATCH(F$1, CONFIG!$1:$1, 0)))),".pdf#page=",F146),CONCATENATE("#Sharepoint//",$D145))</f>
        <v>#Sharepoint//FRS_Battery</v>
      </c>
      <c r="G145" s="340" t="str" cm="1">
        <f t="array" aca="1" ref="G145" ca="1">HYPERLINK(CONCATENATE(Cartelle!$D$5,INDEX(CONFIG!$1:$1, 1, MATCH(INDIRECT(CONCATENATE("'CONFIG'!",ADDRESS(MATCH($D145, CONFIG!$B:$B, 0),MATCH(G$1, CONFIG!$1:$1, 0)))),INDIRECT(CONCATENATE("'CONFIG'!",MATCH($D145, CONFIG!$B:$B, 0),":",MATCH($D145, CONFIG!$B:$B, 0))),0)),"/CONFIG/",MID($D145,1,FIND("_",$D145)-1),"/",INDIRECT(CONCATENATE("'CONFIG'!",ADDRESS(MATCH($D145, CONFIG!$B:$B, 0),MATCH(G$1, CONFIG!$1:$1, 0)))),".pdf#page=",G146),CONCATENATE("#Sharepoint//",$D145))</f>
        <v>#Sharepoint//FRS_Battery</v>
      </c>
      <c r="H145" s="340" t="str" cm="1">
        <f t="array" aca="1" ref="H145" ca="1">HYPERLINK(CONCATENATE(Cartelle!$D$5,INDEX(CONFIG!$1:$1, 1, MATCH(INDIRECT(CONCATENATE("'CONFIG'!",ADDRESS(MATCH($D145, CONFIG!$B:$B, 0),MATCH(H$1, CONFIG!$1:$1, 0)))),INDIRECT(CONCATENATE("'CONFIG'!",MATCH($D145, CONFIG!$B:$B, 0),":",MATCH($D145, CONFIG!$B:$B, 0))),0)),"/CONFIG/",MID($D145,1,FIND("_",$D145)-1),"/",INDIRECT(CONCATENATE("'CONFIG'!",ADDRESS(MATCH($D145, CONFIG!$B:$B, 0),MATCH(H$1, CONFIG!$1:$1, 0)))),".pdf#page=",H146),CONCATENATE("#Sharepoint//",$D145))</f>
        <v>#Sharepoint//FRS_Battery</v>
      </c>
      <c r="I145" s="340" t="str" cm="1">
        <f t="array" aca="1" ref="I145" ca="1">HYPERLINK(CONCATENATE(Cartelle!$D$5,INDEX(CONFIG!$1:$1, 1, MATCH(INDIRECT(CONCATENATE("'CONFIG'!",ADDRESS(MATCH($D145, CONFIG!$B:$B, 0),MATCH(I$1, CONFIG!$1:$1, 0)))),INDIRECT(CONCATENATE("'CONFIG'!",MATCH($D145, CONFIG!$B:$B, 0),":",MATCH($D145, CONFIG!$B:$B, 0))),0)),"/CONFIG/",MID($D145,1,FIND("_",$D145)-1),"/",INDIRECT(CONCATENATE("'CONFIG'!",ADDRESS(MATCH($D145, CONFIG!$B:$B, 0),MATCH(I$1, CONFIG!$1:$1, 0)))),".pdf#page=",I146),CONCATENATE("#Sharepoint//",$D145))</f>
        <v>#Sharepoint//FRS_Battery</v>
      </c>
      <c r="J145" s="372" t="str">
        <f ca="1">HYPERLINK(CONCATENATE(Cartelle!$D$5,J$1,"/CONFIG/",MID($D145,1,FIND("_",$D145)-1),"/",INDIRECT(CONCATENATE("'CONFIG'!",ADDRESS(MATCH($D145, CONFIG!$B:$B, 0),MATCH(J$1, CONFIG!$1:$1, 0)))),".pdf#page=",J146),CONCATENATE("#Sharepoint//",$D145))</f>
        <v>#Sharepoint//FRS_Battery</v>
      </c>
      <c r="K145" s="373"/>
      <c r="L145" s="373"/>
    </row>
    <row r="146" spans="1:12" customFormat="1" hidden="1" outlineLevel="2" x14ac:dyDescent="0.25">
      <c r="B146" s="403"/>
      <c r="C146" s="106"/>
      <c r="D146" s="397"/>
      <c r="E146" s="375" t="s">
        <v>868</v>
      </c>
      <c r="F146" s="376">
        <v>19</v>
      </c>
      <c r="G146" s="376">
        <v>19</v>
      </c>
      <c r="H146" s="376">
        <v>19</v>
      </c>
      <c r="I146" s="376">
        <v>19</v>
      </c>
      <c r="J146" s="376">
        <v>19</v>
      </c>
      <c r="K146" s="376"/>
      <c r="L146" s="376"/>
    </row>
    <row r="147" spans="1:12" customFormat="1" x14ac:dyDescent="0.25">
      <c r="A147" s="377" t="s">
        <v>1217</v>
      </c>
      <c r="B147" s="404"/>
      <c r="C147" s="106"/>
      <c r="D147" s="398" t="s">
        <v>386</v>
      </c>
      <c r="E147" s="378"/>
      <c r="F147" s="379"/>
      <c r="G147" s="379"/>
      <c r="H147" s="379"/>
      <c r="I147" s="379"/>
      <c r="J147" s="379"/>
      <c r="K147" s="379"/>
      <c r="L147" s="380"/>
    </row>
    <row r="148" spans="1:12" customFormat="1" outlineLevel="1" collapsed="1" x14ac:dyDescent="0.25">
      <c r="B148" s="403"/>
      <c r="C148" s="106"/>
      <c r="D148" s="396" t="s">
        <v>839</v>
      </c>
      <c r="E148" s="371" t="s">
        <v>184</v>
      </c>
      <c r="F148" s="372" t="str">
        <f ca="1">HYPERLINK(CONCATENATE(Cartelle!$D$5,F$1,"/CONFIG/",MID($D148,1,FIND("_",$D148)-1),"/",INDIRECT(CONCATENATE("'CONFIG'!",ADDRESS(MATCH($D148, CONFIG!$B:$B, 0),MATCH(F$1, CONFIG!$1:$1, 0)))),".pdf#page=",F149),CONCATENATE("#Sharepoint//",$D148))</f>
        <v>#Sharepoint//FRS_Battery</v>
      </c>
      <c r="G148" s="340" t="str" cm="1">
        <f t="array" aca="1" ref="G148" ca="1">HYPERLINK(CONCATENATE(Cartelle!$D$5,INDEX(CONFIG!$1:$1, 1, MATCH(INDIRECT(CONCATENATE("'CONFIG'!",ADDRESS(MATCH($D148, CONFIG!$B:$B, 0),MATCH(G$1, CONFIG!$1:$1, 0)))),INDIRECT(CONCATENATE("'CONFIG'!",MATCH($D148, CONFIG!$B:$B, 0),":",MATCH($D148, CONFIG!$B:$B, 0))),0)),"/CONFIG/",MID($D148,1,FIND("_",$D148)-1),"/",INDIRECT(CONCATENATE("'CONFIG'!",ADDRESS(MATCH($D148, CONFIG!$B:$B, 0),MATCH(G$1, CONFIG!$1:$1, 0)))),".pdf#page=",G149),CONCATENATE("#Sharepoint//",$D148))</f>
        <v>#Sharepoint//FRS_Battery</v>
      </c>
      <c r="H148" s="340" t="str" cm="1">
        <f t="array" aca="1" ref="H148" ca="1">HYPERLINK(CONCATENATE(Cartelle!$D$5,INDEX(CONFIG!$1:$1, 1, MATCH(INDIRECT(CONCATENATE("'CONFIG'!",ADDRESS(MATCH($D148, CONFIG!$B:$B, 0),MATCH(H$1, CONFIG!$1:$1, 0)))),INDIRECT(CONCATENATE("'CONFIG'!",MATCH($D148, CONFIG!$B:$B, 0),":",MATCH($D148, CONFIG!$B:$B, 0))),0)),"/CONFIG/",MID($D148,1,FIND("_",$D148)-1),"/",INDIRECT(CONCATENATE("'CONFIG'!",ADDRESS(MATCH($D148, CONFIG!$B:$B, 0),MATCH(H$1, CONFIG!$1:$1, 0)))),".pdf#page=",H149),CONCATENATE("#Sharepoint//",$D148))</f>
        <v>#Sharepoint//FRS_Battery</v>
      </c>
      <c r="I148" s="340" t="str" cm="1">
        <f t="array" aca="1" ref="I148" ca="1">HYPERLINK(CONCATENATE(Cartelle!$D$5,INDEX(CONFIG!$1:$1, 1, MATCH(INDIRECT(CONCATENATE("'CONFIG'!",ADDRESS(MATCH($D148, CONFIG!$B:$B, 0),MATCH(I$1, CONFIG!$1:$1, 0)))),INDIRECT(CONCATENATE("'CONFIG'!",MATCH($D148, CONFIG!$B:$B, 0),":",MATCH($D148, CONFIG!$B:$B, 0))),0)),"/CONFIG/",MID($D148,1,FIND("_",$D148)-1),"/",INDIRECT(CONCATENATE("'CONFIG'!",ADDRESS(MATCH($D148, CONFIG!$B:$B, 0),MATCH(I$1, CONFIG!$1:$1, 0)))),".pdf#page=",I149),CONCATENATE("#Sharepoint//",$D148))</f>
        <v>#Sharepoint//FRS_Battery</v>
      </c>
      <c r="J148" s="372" t="str">
        <f ca="1">HYPERLINK(CONCATENATE(Cartelle!$D$5,J$1,"/CONFIG/",MID($D148,1,FIND("_",$D148)-1),"/",INDIRECT(CONCATENATE("'CONFIG'!",ADDRESS(MATCH($D148, CONFIG!$B:$B, 0),MATCH(J$1, CONFIG!$1:$1, 0)))),".pdf#page=",J149),CONCATENATE("#Sharepoint//",$D148))</f>
        <v>#Sharepoint//FRS_Battery</v>
      </c>
      <c r="K148" s="373"/>
      <c r="L148" s="373"/>
    </row>
    <row r="149" spans="1:12" customFormat="1" hidden="1" outlineLevel="2" x14ac:dyDescent="0.25">
      <c r="B149" s="403"/>
      <c r="C149" s="106"/>
      <c r="D149" s="399"/>
      <c r="E149" s="381" t="s">
        <v>868</v>
      </c>
      <c r="F149" s="382">
        <v>21</v>
      </c>
      <c r="G149" s="382">
        <v>21</v>
      </c>
      <c r="H149" s="382">
        <v>21</v>
      </c>
      <c r="I149" s="382">
        <v>21</v>
      </c>
      <c r="J149" s="382">
        <v>21</v>
      </c>
      <c r="K149" s="382"/>
      <c r="L149" s="382"/>
    </row>
    <row r="150" spans="1:12" customFormat="1" x14ac:dyDescent="0.25">
      <c r="A150" s="366" t="s">
        <v>1218</v>
      </c>
      <c r="B150" s="402"/>
      <c r="C150" s="106"/>
      <c r="D150" s="395" t="s">
        <v>386</v>
      </c>
      <c r="E150" s="367"/>
      <c r="F150" s="368"/>
      <c r="G150" s="368"/>
      <c r="H150" s="368"/>
      <c r="I150" s="368"/>
      <c r="J150" s="368"/>
      <c r="K150" s="368"/>
      <c r="L150" s="369"/>
    </row>
    <row r="151" spans="1:12" customFormat="1" outlineLevel="1" collapsed="1" x14ac:dyDescent="0.25">
      <c r="B151" s="403"/>
      <c r="C151" s="106"/>
      <c r="D151" s="396" t="s">
        <v>840</v>
      </c>
      <c r="E151" s="371" t="s">
        <v>184</v>
      </c>
      <c r="F151" s="372" t="str">
        <f ca="1">HYPERLINK(CONCATENATE(Cartelle!$D$5,F$1,"/CONFIG/",MID($D151,1,FIND("_",$D151)-1),"/",INDIRECT(CONCATENATE("'CONFIG'!",ADDRESS(MATCH($D151, CONFIG!$B:$B, 0),MATCH(F$1, CONFIG!$1:$1, 0)))),".pdf#page=",F152),CONCATENATE("#Sharepoint//",$D151))</f>
        <v>#Sharepoint//FRS_Air Supply</v>
      </c>
      <c r="G151" s="340" t="str" cm="1">
        <f t="array" aca="1" ref="G151" ca="1">HYPERLINK(CONCATENATE(Cartelle!$D$5,INDEX(CONFIG!$1:$1, 1, MATCH(INDIRECT(CONCATENATE("'CONFIG'!",ADDRESS(MATCH($D151, CONFIG!$B:$B, 0),MATCH(G$1, CONFIG!$1:$1, 0)))),INDIRECT(CONCATENATE("'CONFIG'!",MATCH($D151, CONFIG!$B:$B, 0),":",MATCH($D151, CONFIG!$B:$B, 0))),0)),"/CONFIG/",MID($D151,1,FIND("_",$D151)-1),"/",INDIRECT(CONCATENATE("'CONFIG'!",ADDRESS(MATCH($D151, CONFIG!$B:$B, 0),MATCH(G$1, CONFIG!$1:$1, 0)))),".pdf#page=",G152),CONCATENATE("#Sharepoint//",$D151))</f>
        <v>#Sharepoint//FRS_Air Supply</v>
      </c>
      <c r="H151" s="372" t="str">
        <f ca="1">HYPERLINK(CONCATENATE(Cartelle!$D$5,INDEX(CONFIG!$1:$1, 1, MATCH(INDIRECT(CONCATENATE("'CONFIG'!",ADDRESS(MATCH($D151, CONFIG!$B:$B, 0),MATCH(H$1, CONFIG!$1:$1, 0)))),INDIRECT(CONCATENATE("'CONFIG'!",MATCH($D151, CONFIG!$B:$B, 0),":",MATCH($D151, CONFIG!$B:$B, 0))),0)),"/CONFIG/",MID($D151,1,FIND("_",$D151)-1),"/",INDIRECT(CONCATENATE("'CONFIG'!",ADDRESS(MATCH($D151, CONFIG!$B:$B, 0),MATCH(H$1, CONFIG!$1:$1, 0)))),".pdf#page=",H152),CONCATENATE("#Sharepoint//",$D151))</f>
        <v>#Sharepoint//FRS_Air Supply</v>
      </c>
      <c r="I151" s="372" t="str">
        <f ca="1">HYPERLINK(CONCATENATE(Cartelle!$D$5,INDEX(CONFIG!$1:$1, 1, MATCH(INDIRECT(CONCATENATE("'CONFIG'!",ADDRESS(MATCH($D151, CONFIG!$B:$B, 0),MATCH(I$1, CONFIG!$1:$1, 0)))),INDIRECT(CONCATENATE("'CONFIG'!",MATCH($D151, CONFIG!$B:$B, 0),":",MATCH($D151, CONFIG!$B:$B, 0))),0)),"/CONFIG/",MID($D151,1,FIND("_",$D151)-1),"/",INDIRECT(CONCATENATE("'CONFIG'!",ADDRESS(MATCH($D151, CONFIG!$B:$B, 0),MATCH(I$1, CONFIG!$1:$1, 0)))),".pdf#page=",I152),CONCATENATE("#Sharepoint//",$D151))</f>
        <v>#Sharepoint//FRS_Air Supply</v>
      </c>
      <c r="J151" s="372" t="str">
        <f ca="1">HYPERLINK(CONCATENATE(Cartelle!$D$5,J$1,"/CONFIG/",MID($D151,1,FIND("_",$D151)-1),"/",INDIRECT(CONCATENATE("'CONFIG'!",ADDRESS(MATCH($D151, CONFIG!$B:$B, 0),MATCH(J$1, CONFIG!$1:$1, 0)))),".pdf#page=",J152),CONCATENATE("#Sharepoint//",$D151))</f>
        <v>#Sharepoint//FRS_Air Supply</v>
      </c>
      <c r="K151" s="373"/>
      <c r="L151" s="373"/>
    </row>
    <row r="152" spans="1:12" customFormat="1" hidden="1" outlineLevel="2" x14ac:dyDescent="0.25">
      <c r="B152" s="403"/>
      <c r="C152" s="106"/>
      <c r="D152" s="400"/>
      <c r="E152" s="383" t="s">
        <v>868</v>
      </c>
      <c r="F152" s="384">
        <v>6</v>
      </c>
      <c r="G152" s="384">
        <v>6</v>
      </c>
      <c r="H152" s="384">
        <v>6</v>
      </c>
      <c r="I152" s="384">
        <v>6</v>
      </c>
      <c r="J152" s="384">
        <v>6</v>
      </c>
      <c r="K152" s="384"/>
      <c r="L152" s="384"/>
    </row>
    <row r="153" spans="1:12" customFormat="1" x14ac:dyDescent="0.25">
      <c r="A153" s="377" t="s">
        <v>1219</v>
      </c>
      <c r="B153" s="404"/>
      <c r="C153" s="106"/>
      <c r="D153" s="398" t="s">
        <v>386</v>
      </c>
      <c r="E153" s="378"/>
      <c r="F153" s="379"/>
      <c r="G153" s="379"/>
      <c r="H153" s="379"/>
      <c r="I153" s="379"/>
      <c r="J153" s="379"/>
      <c r="K153" s="379"/>
      <c r="L153" s="380"/>
    </row>
    <row r="154" spans="1:12" customFormat="1" outlineLevel="1" collapsed="1" x14ac:dyDescent="0.25">
      <c r="B154" s="403"/>
      <c r="C154" s="106"/>
      <c r="D154" s="396" t="s">
        <v>840</v>
      </c>
      <c r="E154" s="371" t="s">
        <v>184</v>
      </c>
      <c r="F154" s="372" t="str">
        <f ca="1">HYPERLINK(CONCATENATE(Cartelle!$D$5,F$1,"/CONFIG/",MID($D154,1,FIND("_",$D154)-1),"/",INDIRECT(CONCATENATE("'CONFIG'!",ADDRESS(MATCH($D154, CONFIG!$B:$B, 0),MATCH(F$1, CONFIG!$1:$1, 0)))),".pdf#page=",F155),CONCATENATE("#Sharepoint//",$D154))</f>
        <v>#Sharepoint//FRS_Air Supply</v>
      </c>
      <c r="G154" s="340" t="str" cm="1">
        <f t="array" aca="1" ref="G154" ca="1">HYPERLINK(CONCATENATE(Cartelle!$D$5,INDEX(CONFIG!$1:$1, 1, MATCH(INDIRECT(CONCATENATE("'CONFIG'!",ADDRESS(MATCH($D154, CONFIG!$B:$B, 0),MATCH(G$1, CONFIG!$1:$1, 0)))),INDIRECT(CONCATENATE("'CONFIG'!",MATCH($D154, CONFIG!$B:$B, 0),":",MATCH($D154, CONFIG!$B:$B, 0))),0)),"/CONFIG/",MID($D154,1,FIND("_",$D154)-1),"/",INDIRECT(CONCATENATE("'CONFIG'!",ADDRESS(MATCH($D154, CONFIG!$B:$B, 0),MATCH(G$1, CONFIG!$1:$1, 0)))),".pdf#page=",G155),CONCATENATE("#Sharepoint//",$D154))</f>
        <v>#Sharepoint//FRS_Air Supply</v>
      </c>
      <c r="H154" s="372" t="str">
        <f ca="1">HYPERLINK(CONCATENATE(Cartelle!$D$5,INDEX(CONFIG!$1:$1, 1, MATCH(INDIRECT(CONCATENATE("'CONFIG'!",ADDRESS(MATCH($D154, CONFIG!$B:$B, 0),MATCH(H$1, CONFIG!$1:$1, 0)))),INDIRECT(CONCATENATE("'CONFIG'!",MATCH($D154, CONFIG!$B:$B, 0),":",MATCH($D154, CONFIG!$B:$B, 0))),0)),"/CONFIG/",MID($D154,1,FIND("_",$D154)-1),"/",INDIRECT(CONCATENATE("'CONFIG'!",ADDRESS(MATCH($D154, CONFIG!$B:$B, 0),MATCH(H$1, CONFIG!$1:$1, 0)))),".pdf#page=",H155),CONCATENATE("#Sharepoint//",$D154))</f>
        <v>#Sharepoint//FRS_Air Supply</v>
      </c>
      <c r="I154" s="372" t="str">
        <f ca="1">HYPERLINK(CONCATENATE(Cartelle!$D$5,INDEX(CONFIG!$1:$1, 1, MATCH(INDIRECT(CONCATENATE("'CONFIG'!",ADDRESS(MATCH($D154, CONFIG!$B:$B, 0),MATCH(I$1, CONFIG!$1:$1, 0)))),INDIRECT(CONCATENATE("'CONFIG'!",MATCH($D154, CONFIG!$B:$B, 0),":",MATCH($D154, CONFIG!$B:$B, 0))),0)),"/CONFIG/",MID($D154,1,FIND("_",$D154)-1),"/",INDIRECT(CONCATENATE("'CONFIG'!",ADDRESS(MATCH($D154, CONFIG!$B:$B, 0),MATCH(I$1, CONFIG!$1:$1, 0)))),".pdf#page=",I155),CONCATENATE("#Sharepoint//",$D154))</f>
        <v>#Sharepoint//FRS_Air Supply</v>
      </c>
      <c r="J154" s="372" t="str">
        <f ca="1">HYPERLINK(CONCATENATE(Cartelle!$D$5,J$1,"/CONFIG/",MID($D154,1,FIND("_",$D154)-1),"/",INDIRECT(CONCATENATE("'CONFIG'!",ADDRESS(MATCH($D154, CONFIG!$B:$B, 0),MATCH(J$1, CONFIG!$1:$1, 0)))),".pdf#page=",J155),CONCATENATE("#Sharepoint//",$D154))</f>
        <v>#Sharepoint//FRS_Air Supply</v>
      </c>
      <c r="K154" s="373"/>
      <c r="L154" s="373"/>
    </row>
    <row r="155" spans="1:12" customFormat="1" hidden="1" outlineLevel="2" x14ac:dyDescent="0.25">
      <c r="B155" s="403"/>
      <c r="C155" s="106"/>
      <c r="D155" s="400"/>
      <c r="E155" s="383" t="s">
        <v>868</v>
      </c>
      <c r="F155" s="384">
        <v>11</v>
      </c>
      <c r="G155" s="384">
        <v>12</v>
      </c>
      <c r="H155" s="384">
        <v>11</v>
      </c>
      <c r="I155" s="384">
        <v>12</v>
      </c>
      <c r="J155" s="384">
        <v>11</v>
      </c>
      <c r="K155" s="384"/>
      <c r="L155" s="384"/>
    </row>
    <row r="156" spans="1:12" customFormat="1" x14ac:dyDescent="0.25">
      <c r="A156" s="377" t="s">
        <v>1220</v>
      </c>
      <c r="B156" s="404"/>
      <c r="C156" s="106"/>
      <c r="D156" s="398" t="s">
        <v>386</v>
      </c>
      <c r="E156" s="378"/>
      <c r="F156" s="379"/>
      <c r="G156" s="379"/>
      <c r="H156" s="379"/>
      <c r="I156" s="379"/>
      <c r="J156" s="379"/>
      <c r="K156" s="379"/>
      <c r="L156" s="380"/>
    </row>
    <row r="157" spans="1:12" customFormat="1" outlineLevel="1" collapsed="1" x14ac:dyDescent="0.25">
      <c r="B157" s="403"/>
      <c r="C157" s="106"/>
      <c r="D157" s="396" t="s">
        <v>840</v>
      </c>
      <c r="E157" s="371" t="s">
        <v>184</v>
      </c>
      <c r="F157" s="372" t="str">
        <f ca="1">HYPERLINK(CONCATENATE(Cartelle!$D$5,F$1,"/CONFIG/",MID($D157,1,FIND("_",$D157)-1),"/",INDIRECT(CONCATENATE("'CONFIG'!",ADDRESS(MATCH($D157, CONFIG!$B:$B, 0),MATCH(F$1, CONFIG!$1:$1, 0)))),".pdf#page=",F158),CONCATENATE("#Sharepoint//",$D157))</f>
        <v>#Sharepoint//FRS_Air Supply</v>
      </c>
      <c r="G157" s="340" t="str" cm="1">
        <f t="array" aca="1" ref="G157" ca="1">HYPERLINK(CONCATENATE(Cartelle!$D$5,INDEX(CONFIG!$1:$1, 1, MATCH(INDIRECT(CONCATENATE("'CONFIG'!",ADDRESS(MATCH($D157, CONFIG!$B:$B, 0),MATCH(G$1, CONFIG!$1:$1, 0)))),INDIRECT(CONCATENATE("'CONFIG'!",MATCH($D157, CONFIG!$B:$B, 0),":",MATCH($D157, CONFIG!$B:$B, 0))),0)),"/CONFIG/",MID($D157,1,FIND("_",$D157)-1),"/",INDIRECT(CONCATENATE("'CONFIG'!",ADDRESS(MATCH($D157, CONFIG!$B:$B, 0),MATCH(G$1, CONFIG!$1:$1, 0)))),".pdf#page=",G158),CONCATENATE("#Sharepoint//",$D157))</f>
        <v>#Sharepoint//FRS_Air Supply</v>
      </c>
      <c r="H157" s="372" t="str">
        <f ca="1">HYPERLINK(CONCATENATE(Cartelle!$D$5,INDEX(CONFIG!$1:$1, 1, MATCH(INDIRECT(CONCATENATE("'CONFIG'!",ADDRESS(MATCH($D157, CONFIG!$B:$B, 0),MATCH(H$1, CONFIG!$1:$1, 0)))),INDIRECT(CONCATENATE("'CONFIG'!",MATCH($D157, CONFIG!$B:$B, 0),":",MATCH($D157, CONFIG!$B:$B, 0))),0)),"/CONFIG/",MID($D157,1,FIND("_",$D157)-1),"/",INDIRECT(CONCATENATE("'CONFIG'!",ADDRESS(MATCH($D157, CONFIG!$B:$B, 0),MATCH(H$1, CONFIG!$1:$1, 0)))),".pdf#page=",H158),CONCATENATE("#Sharepoint//",$D157))</f>
        <v>#Sharepoint//FRS_Air Supply</v>
      </c>
      <c r="I157" s="372" t="str">
        <f ca="1">HYPERLINK(CONCATENATE(Cartelle!$D$5,INDEX(CONFIG!$1:$1, 1, MATCH(INDIRECT(CONCATENATE("'CONFIG'!",ADDRESS(MATCH($D157, CONFIG!$B:$B, 0),MATCH(I$1, CONFIG!$1:$1, 0)))),INDIRECT(CONCATENATE("'CONFIG'!",MATCH($D157, CONFIG!$B:$B, 0),":",MATCH($D157, CONFIG!$B:$B, 0))),0)),"/CONFIG/",MID($D157,1,FIND("_",$D157)-1),"/",INDIRECT(CONCATENATE("'CONFIG'!",ADDRESS(MATCH($D157, CONFIG!$B:$B, 0),MATCH(I$1, CONFIG!$1:$1, 0)))),".pdf#page=",I158),CONCATENATE("#Sharepoint//",$D157))</f>
        <v>#Sharepoint//FRS_Air Supply</v>
      </c>
      <c r="J157" s="372" t="str">
        <f ca="1">HYPERLINK(CONCATENATE(Cartelle!$D$5,J$1,"/CONFIG/",MID($D157,1,FIND("_",$D157)-1),"/",INDIRECT(CONCATENATE("'CONFIG'!",ADDRESS(MATCH($D157, CONFIG!$B:$B, 0),MATCH(J$1, CONFIG!$1:$1, 0)))),".pdf#page=",J158),CONCATENATE("#Sharepoint//",$D157))</f>
        <v>#Sharepoint//FRS_Air Supply</v>
      </c>
      <c r="K157" s="373"/>
      <c r="L157" s="373"/>
    </row>
    <row r="158" spans="1:12" customFormat="1" hidden="1" outlineLevel="2" x14ac:dyDescent="0.25">
      <c r="B158" s="403"/>
      <c r="C158" s="106"/>
      <c r="D158" s="400"/>
      <c r="E158" s="383" t="s">
        <v>868</v>
      </c>
      <c r="F158" s="384">
        <v>14</v>
      </c>
      <c r="G158" s="384">
        <v>14</v>
      </c>
      <c r="H158" s="384">
        <v>14</v>
      </c>
      <c r="I158" s="384">
        <v>14</v>
      </c>
      <c r="J158" s="384">
        <v>14</v>
      </c>
      <c r="K158" s="384"/>
      <c r="L158" s="384"/>
    </row>
    <row r="159" spans="1:12" customFormat="1" x14ac:dyDescent="0.25">
      <c r="A159" s="377" t="s">
        <v>1221</v>
      </c>
      <c r="B159" s="404"/>
      <c r="C159" s="106"/>
      <c r="D159" s="398" t="s">
        <v>386</v>
      </c>
      <c r="E159" s="378"/>
      <c r="F159" s="379"/>
      <c r="G159" s="379"/>
      <c r="H159" s="379"/>
      <c r="I159" s="379"/>
      <c r="J159" s="379"/>
      <c r="K159" s="379"/>
      <c r="L159" s="380"/>
    </row>
    <row r="160" spans="1:12" customFormat="1" outlineLevel="1" collapsed="1" x14ac:dyDescent="0.25">
      <c r="B160" s="403"/>
      <c r="C160" s="106"/>
      <c r="D160" s="396" t="s">
        <v>840</v>
      </c>
      <c r="E160" s="371" t="s">
        <v>184</v>
      </c>
      <c r="F160" s="372" t="str">
        <f ca="1">HYPERLINK(CONCATENATE(Cartelle!$D$5,F$1,"/CONFIG/",MID($D160,1,FIND("_",$D160)-1),"/",INDIRECT(CONCATENATE("'CONFIG'!",ADDRESS(MATCH($D160, CONFIG!$B:$B, 0),MATCH(F$1, CONFIG!$1:$1, 0)))),".pdf#page=",F161),CONCATENATE("#Sharepoint//",$D160))</f>
        <v>#Sharepoint//FRS_Air Supply</v>
      </c>
      <c r="G160" s="340" t="str" cm="1">
        <f t="array" aca="1" ref="G160" ca="1">HYPERLINK(CONCATENATE(Cartelle!$D$5,INDEX(CONFIG!$1:$1, 1, MATCH(INDIRECT(CONCATENATE("'CONFIG'!",ADDRESS(MATCH($D160, CONFIG!$B:$B, 0),MATCH(G$1, CONFIG!$1:$1, 0)))),INDIRECT(CONCATENATE("'CONFIG'!",MATCH($D160, CONFIG!$B:$B, 0),":",MATCH($D160, CONFIG!$B:$B, 0))),0)),"/CONFIG/",MID($D160,1,FIND("_",$D160)-1),"/",INDIRECT(CONCATENATE("'CONFIG'!",ADDRESS(MATCH($D160, CONFIG!$B:$B, 0),MATCH(G$1, CONFIG!$1:$1, 0)))),".pdf#page=",G161),CONCATENATE("#Sharepoint//",$D160))</f>
        <v>#Sharepoint//FRS_Air Supply</v>
      </c>
      <c r="H160" s="372" t="str">
        <f ca="1">HYPERLINK(CONCATENATE(Cartelle!$D$5,INDEX(CONFIG!$1:$1, 1, MATCH(INDIRECT(CONCATENATE("'CONFIG'!",ADDRESS(MATCH($D160, CONFIG!$B:$B, 0),MATCH(H$1, CONFIG!$1:$1, 0)))),INDIRECT(CONCATENATE("'CONFIG'!",MATCH($D160, CONFIG!$B:$B, 0),":",MATCH($D160, CONFIG!$B:$B, 0))),0)),"/CONFIG/",MID($D160,1,FIND("_",$D160)-1),"/",INDIRECT(CONCATENATE("'CONFIG'!",ADDRESS(MATCH($D160, CONFIG!$B:$B, 0),MATCH(H$1, CONFIG!$1:$1, 0)))),".pdf#page=",H161),CONCATENATE("#Sharepoint//",$D160))</f>
        <v>#Sharepoint//FRS_Air Supply</v>
      </c>
      <c r="I160" s="372" t="str">
        <f ca="1">HYPERLINK(CONCATENATE(Cartelle!$D$5,INDEX(CONFIG!$1:$1, 1, MATCH(INDIRECT(CONCATENATE("'CONFIG'!",ADDRESS(MATCH($D160, CONFIG!$B:$B, 0),MATCH(I$1, CONFIG!$1:$1, 0)))),INDIRECT(CONCATENATE("'CONFIG'!",MATCH($D160, CONFIG!$B:$B, 0),":",MATCH($D160, CONFIG!$B:$B, 0))),0)),"/CONFIG/",MID($D160,1,FIND("_",$D160)-1),"/",INDIRECT(CONCATENATE("'CONFIG'!",ADDRESS(MATCH($D160, CONFIG!$B:$B, 0),MATCH(I$1, CONFIG!$1:$1, 0)))),".pdf#page=",I161),CONCATENATE("#Sharepoint//",$D160))</f>
        <v>#Sharepoint//FRS_Air Supply</v>
      </c>
      <c r="J160" s="372" t="str">
        <f ca="1">HYPERLINK(CONCATENATE(Cartelle!$D$5,J$1,"/CONFIG/",MID($D160,1,FIND("_",$D160)-1),"/",INDIRECT(CONCATENATE("'CONFIG'!",ADDRESS(MATCH($D160, CONFIG!$B:$B, 0),MATCH(J$1, CONFIG!$1:$1, 0)))),".pdf#page=",J161),CONCATENATE("#Sharepoint//",$D160))</f>
        <v>#Sharepoint//FRS_Air Supply</v>
      </c>
      <c r="K160" s="373"/>
      <c r="L160" s="373"/>
    </row>
    <row r="161" spans="1:12" customFormat="1" hidden="1" outlineLevel="2" x14ac:dyDescent="0.25">
      <c r="B161" s="403"/>
      <c r="C161" s="106"/>
      <c r="D161" s="400"/>
      <c r="E161" s="383" t="s">
        <v>868</v>
      </c>
      <c r="F161" s="384">
        <v>18</v>
      </c>
      <c r="G161" s="384">
        <v>16</v>
      </c>
      <c r="H161" s="384">
        <v>18</v>
      </c>
      <c r="I161" s="384">
        <v>16</v>
      </c>
      <c r="J161" s="384">
        <v>16</v>
      </c>
      <c r="K161" s="384"/>
      <c r="L161" s="384"/>
    </row>
    <row r="162" spans="1:12" customFormat="1" x14ac:dyDescent="0.25">
      <c r="A162" s="377" t="s">
        <v>1222</v>
      </c>
      <c r="B162" s="404"/>
      <c r="C162" s="106"/>
      <c r="D162" s="398" t="s">
        <v>386</v>
      </c>
      <c r="E162" s="378"/>
      <c r="F162" s="379"/>
      <c r="G162" s="379"/>
      <c r="H162" s="379"/>
      <c r="I162" s="379"/>
      <c r="J162" s="379"/>
      <c r="K162" s="379"/>
      <c r="L162" s="380"/>
    </row>
    <row r="163" spans="1:12" customFormat="1" outlineLevel="1" collapsed="1" x14ac:dyDescent="0.25">
      <c r="B163" s="403"/>
      <c r="C163" s="106"/>
      <c r="D163" s="396" t="s">
        <v>840</v>
      </c>
      <c r="E163" s="371" t="s">
        <v>184</v>
      </c>
      <c r="F163" s="372" t="str">
        <f ca="1">HYPERLINK(CONCATENATE(Cartelle!$D$5,F$1,"/CONFIG/",MID($D163,1,FIND("_",$D163)-1),"/",INDIRECT(CONCATENATE("'CONFIG'!",ADDRESS(MATCH($D163, CONFIG!$B:$B, 0),MATCH(F$1, CONFIG!$1:$1, 0)))),".pdf#page=",F164),CONCATENATE("#Sharepoint//",$D163))</f>
        <v>#Sharepoint//FRS_Air Supply</v>
      </c>
      <c r="G163" s="340" t="str" cm="1">
        <f t="array" aca="1" ref="G163" ca="1">HYPERLINK(CONCATENATE(Cartelle!$D$5,INDEX(CONFIG!$1:$1, 1, MATCH(INDIRECT(CONCATENATE("'CONFIG'!",ADDRESS(MATCH($D163, CONFIG!$B:$B, 0),MATCH(G$1, CONFIG!$1:$1, 0)))),INDIRECT(CONCATENATE("'CONFIG'!",MATCH($D163, CONFIG!$B:$B, 0),":",MATCH($D163, CONFIG!$B:$B, 0))),0)),"/CONFIG/",MID($D163,1,FIND("_",$D163)-1),"/",INDIRECT(CONCATENATE("'CONFIG'!",ADDRESS(MATCH($D163, CONFIG!$B:$B, 0),MATCH(G$1, CONFIG!$1:$1, 0)))),".pdf#page=",G164),CONCATENATE("#Sharepoint//",$D163))</f>
        <v>#Sharepoint//FRS_Air Supply</v>
      </c>
      <c r="H163" s="372" t="str">
        <f ca="1">HYPERLINK(CONCATENATE(Cartelle!$D$5,INDEX(CONFIG!$1:$1, 1, MATCH(INDIRECT(CONCATENATE("'CONFIG'!",ADDRESS(MATCH($D163, CONFIG!$B:$B, 0),MATCH(H$1, CONFIG!$1:$1, 0)))),INDIRECT(CONCATENATE("'CONFIG'!",MATCH($D163, CONFIG!$B:$B, 0),":",MATCH($D163, CONFIG!$B:$B, 0))),0)),"/CONFIG/",MID($D163,1,FIND("_",$D163)-1),"/",INDIRECT(CONCATENATE("'CONFIG'!",ADDRESS(MATCH($D163, CONFIG!$B:$B, 0),MATCH(H$1, CONFIG!$1:$1, 0)))),".pdf#page=",H164),CONCATENATE("#Sharepoint//",$D163))</f>
        <v>#Sharepoint//FRS_Air Supply</v>
      </c>
      <c r="I163" s="372" t="str">
        <f ca="1">HYPERLINK(CONCATENATE(Cartelle!$D$5,INDEX(CONFIG!$1:$1, 1, MATCH(INDIRECT(CONCATENATE("'CONFIG'!",ADDRESS(MATCH($D163, CONFIG!$B:$B, 0),MATCH(I$1, CONFIG!$1:$1, 0)))),INDIRECT(CONCATENATE("'CONFIG'!",MATCH($D163, CONFIG!$B:$B, 0),":",MATCH($D163, CONFIG!$B:$B, 0))),0)),"/CONFIG/",MID($D163,1,FIND("_",$D163)-1),"/",INDIRECT(CONCATENATE("'CONFIG'!",ADDRESS(MATCH($D163, CONFIG!$B:$B, 0),MATCH(I$1, CONFIG!$1:$1, 0)))),".pdf#page=",I164),CONCATENATE("#Sharepoint//",$D163))</f>
        <v>#Sharepoint//FRS_Air Supply</v>
      </c>
      <c r="J163" s="372" t="str">
        <f ca="1">HYPERLINK(CONCATENATE(Cartelle!$D$5,J$1,"/CONFIG/",MID($D163,1,FIND("_",$D163)-1),"/",INDIRECT(CONCATENATE("'CONFIG'!",ADDRESS(MATCH($D163, CONFIG!$B:$B, 0),MATCH(J$1, CONFIG!$1:$1, 0)))),".pdf#page=",J164),CONCATENATE("#Sharepoint//",$D163))</f>
        <v>#Sharepoint//FRS_Air Supply</v>
      </c>
      <c r="K163" s="373"/>
      <c r="L163" s="373"/>
    </row>
    <row r="164" spans="1:12" customFormat="1" hidden="1" outlineLevel="2" x14ac:dyDescent="0.25">
      <c r="B164" s="403"/>
      <c r="C164" s="106"/>
      <c r="D164" s="400"/>
      <c r="E164" s="383" t="s">
        <v>868</v>
      </c>
      <c r="F164" s="384">
        <v>20</v>
      </c>
      <c r="G164" s="384">
        <v>18</v>
      </c>
      <c r="H164" s="384">
        <v>20</v>
      </c>
      <c r="I164" s="384">
        <v>18</v>
      </c>
      <c r="J164" s="384">
        <v>17</v>
      </c>
      <c r="K164" s="384"/>
      <c r="L164" s="384"/>
    </row>
    <row r="165" spans="1:12" customFormat="1" x14ac:dyDescent="0.25">
      <c r="A165" s="377" t="s">
        <v>1223</v>
      </c>
      <c r="B165" s="404"/>
      <c r="C165" s="106"/>
      <c r="D165" s="398" t="s">
        <v>386</v>
      </c>
      <c r="E165" s="378"/>
      <c r="F165" s="379"/>
      <c r="G165" s="379"/>
      <c r="H165" s="379"/>
      <c r="I165" s="379"/>
      <c r="J165" s="379"/>
      <c r="K165" s="379"/>
      <c r="L165" s="380"/>
    </row>
    <row r="166" spans="1:12" customFormat="1" outlineLevel="1" collapsed="1" x14ac:dyDescent="0.25">
      <c r="B166" s="403"/>
      <c r="C166" s="106"/>
      <c r="D166" s="396" t="s">
        <v>840</v>
      </c>
      <c r="E166" s="371" t="s">
        <v>184</v>
      </c>
      <c r="F166" s="372" t="str">
        <f ca="1">HYPERLINK(CONCATENATE(Cartelle!$D$5,F$1,"/CONFIG/",MID($D166,1,FIND("_",$D166)-1),"/",INDIRECT(CONCATENATE("'CONFIG'!",ADDRESS(MATCH($D166, CONFIG!$B:$B, 0),MATCH(F$1, CONFIG!$1:$1, 0)))),".pdf#page=",F167),CONCATENATE("#Sharepoint//",$D166))</f>
        <v>#Sharepoint//FRS_Air Supply</v>
      </c>
      <c r="G166" s="340" t="str" cm="1">
        <f t="array" aca="1" ref="G166" ca="1">HYPERLINK(CONCATENATE(Cartelle!$D$5,INDEX(CONFIG!$1:$1, 1, MATCH(INDIRECT(CONCATENATE("'CONFIG'!",ADDRESS(MATCH($D166, CONFIG!$B:$B, 0),MATCH(G$1, CONFIG!$1:$1, 0)))),INDIRECT(CONCATENATE("'CONFIG'!",MATCH($D166, CONFIG!$B:$B, 0),":",MATCH($D166, CONFIG!$B:$B, 0))),0)),"/CONFIG/",MID($D166,1,FIND("_",$D166)-1),"/",INDIRECT(CONCATENATE("'CONFIG'!",ADDRESS(MATCH($D166, CONFIG!$B:$B, 0),MATCH(G$1, CONFIG!$1:$1, 0)))),".pdf#page=",G167),CONCATENATE("#Sharepoint//",$D166))</f>
        <v>#Sharepoint//FRS_Air Supply</v>
      </c>
      <c r="H166" s="372" t="str">
        <f ca="1">HYPERLINK(CONCATENATE(Cartelle!$D$5,INDEX(CONFIG!$1:$1, 1, MATCH(INDIRECT(CONCATENATE("'CONFIG'!",ADDRESS(MATCH($D166, CONFIG!$B:$B, 0),MATCH(H$1, CONFIG!$1:$1, 0)))),INDIRECT(CONCATENATE("'CONFIG'!",MATCH($D166, CONFIG!$B:$B, 0),":",MATCH($D166, CONFIG!$B:$B, 0))),0)),"/CONFIG/",MID($D166,1,FIND("_",$D166)-1),"/",INDIRECT(CONCATENATE("'CONFIG'!",ADDRESS(MATCH($D166, CONFIG!$B:$B, 0),MATCH(H$1, CONFIG!$1:$1, 0)))),".pdf#page=",H167),CONCATENATE("#Sharepoint//",$D166))</f>
        <v>#Sharepoint//FRS_Air Supply</v>
      </c>
      <c r="I166" s="372" t="str">
        <f ca="1">HYPERLINK(CONCATENATE(Cartelle!$D$5,INDEX(CONFIG!$1:$1, 1, MATCH(INDIRECT(CONCATENATE("'CONFIG'!",ADDRESS(MATCH($D166, CONFIG!$B:$B, 0),MATCH(I$1, CONFIG!$1:$1, 0)))),INDIRECT(CONCATENATE("'CONFIG'!",MATCH($D166, CONFIG!$B:$B, 0),":",MATCH($D166, CONFIG!$B:$B, 0))),0)),"/CONFIG/",MID($D166,1,FIND("_",$D166)-1),"/",INDIRECT(CONCATENATE("'CONFIG'!",ADDRESS(MATCH($D166, CONFIG!$B:$B, 0),MATCH(I$1, CONFIG!$1:$1, 0)))),".pdf#page=",I167),CONCATENATE("#Sharepoint//",$D166))</f>
        <v>#Sharepoint//FRS_Air Supply</v>
      </c>
      <c r="J166" s="372" t="str">
        <f ca="1">HYPERLINK(CONCATENATE(Cartelle!$D$5,J$1,"/CONFIG/",MID($D166,1,FIND("_",$D166)-1),"/",INDIRECT(CONCATENATE("'CONFIG'!",ADDRESS(MATCH($D166, CONFIG!$B:$B, 0),MATCH(J$1, CONFIG!$1:$1, 0)))),".pdf#page=",J167),CONCATENATE("#Sharepoint//",$D166))</f>
        <v>#Sharepoint//FRS_Air Supply</v>
      </c>
      <c r="K166" s="373"/>
      <c r="L166" s="373"/>
    </row>
    <row r="167" spans="1:12" customFormat="1" hidden="1" outlineLevel="2" x14ac:dyDescent="0.25">
      <c r="B167" s="403"/>
      <c r="C167" s="106"/>
      <c r="D167" s="400"/>
      <c r="E167" s="383" t="s">
        <v>868</v>
      </c>
      <c r="F167" s="384">
        <v>22</v>
      </c>
      <c r="G167" s="384">
        <v>19</v>
      </c>
      <c r="H167" s="384">
        <v>22</v>
      </c>
      <c r="I167" s="384">
        <v>19</v>
      </c>
      <c r="J167" s="384">
        <v>18</v>
      </c>
      <c r="K167" s="384"/>
      <c r="L167" s="384"/>
    </row>
    <row r="168" spans="1:12" customFormat="1" x14ac:dyDescent="0.25">
      <c r="A168" s="377" t="s">
        <v>1224</v>
      </c>
      <c r="B168" s="404"/>
      <c r="C168" s="106"/>
      <c r="D168" s="398" t="s">
        <v>386</v>
      </c>
      <c r="E168" s="378"/>
      <c r="F168" s="379"/>
      <c r="G168" s="379"/>
      <c r="H168" s="379"/>
      <c r="I168" s="379"/>
      <c r="J168" s="379"/>
      <c r="K168" s="379"/>
      <c r="L168" s="380"/>
    </row>
    <row r="169" spans="1:12" customFormat="1" outlineLevel="1" collapsed="1" x14ac:dyDescent="0.25">
      <c r="B169" s="403"/>
      <c r="C169" s="106"/>
      <c r="D169" s="396" t="s">
        <v>840</v>
      </c>
      <c r="E169" s="371" t="s">
        <v>184</v>
      </c>
      <c r="F169" s="372" t="str">
        <f ca="1">HYPERLINK(CONCATENATE(Cartelle!$D$5,F$1,"/CONFIG/",MID($D169,1,FIND("_",$D169)-1),"/",INDIRECT(CONCATENATE("'CONFIG'!",ADDRESS(MATCH($D169, CONFIG!$B:$B, 0),MATCH(F$1, CONFIG!$1:$1, 0)))),".pdf#page=",F170),CONCATENATE("#Sharepoint//",$D169))</f>
        <v>#Sharepoint//FRS_Air Supply</v>
      </c>
      <c r="G169" s="340" t="str" cm="1">
        <f t="array" aca="1" ref="G169" ca="1">HYPERLINK(CONCATENATE(Cartelle!$D$5,INDEX(CONFIG!$1:$1, 1, MATCH(INDIRECT(CONCATENATE("'CONFIG'!",ADDRESS(MATCH($D169, CONFIG!$B:$B, 0),MATCH(G$1, CONFIG!$1:$1, 0)))),INDIRECT(CONCATENATE("'CONFIG'!",MATCH($D169, CONFIG!$B:$B, 0),":",MATCH($D169, CONFIG!$B:$B, 0))),0)),"/CONFIG/",MID($D169,1,FIND("_",$D169)-1),"/",INDIRECT(CONCATENATE("'CONFIG'!",ADDRESS(MATCH($D169, CONFIG!$B:$B, 0),MATCH(G$1, CONFIG!$1:$1, 0)))),".pdf#page=",G170),CONCATENATE("#Sharepoint//",$D169))</f>
        <v>#Sharepoint//FRS_Air Supply</v>
      </c>
      <c r="H169" s="372" t="str">
        <f ca="1">HYPERLINK(CONCATENATE(Cartelle!$D$5,INDEX(CONFIG!$1:$1, 1, MATCH(INDIRECT(CONCATENATE("'CONFIG'!",ADDRESS(MATCH($D169, CONFIG!$B:$B, 0),MATCH(H$1, CONFIG!$1:$1, 0)))),INDIRECT(CONCATENATE("'CONFIG'!",MATCH($D169, CONFIG!$B:$B, 0),":",MATCH($D169, CONFIG!$B:$B, 0))),0)),"/CONFIG/",MID($D169,1,FIND("_",$D169)-1),"/",INDIRECT(CONCATENATE("'CONFIG'!",ADDRESS(MATCH($D169, CONFIG!$B:$B, 0),MATCH(H$1, CONFIG!$1:$1, 0)))),".pdf#page=",H170),CONCATENATE("#Sharepoint//",$D169))</f>
        <v>#Sharepoint//FRS_Air Supply</v>
      </c>
      <c r="I169" s="372" t="str">
        <f ca="1">HYPERLINK(CONCATENATE(Cartelle!$D$5,INDEX(CONFIG!$1:$1, 1, MATCH(INDIRECT(CONCATENATE("'CONFIG'!",ADDRESS(MATCH($D169, CONFIG!$B:$B, 0),MATCH(I$1, CONFIG!$1:$1, 0)))),INDIRECT(CONCATENATE("'CONFIG'!",MATCH($D169, CONFIG!$B:$B, 0),":",MATCH($D169, CONFIG!$B:$B, 0))),0)),"/CONFIG/",MID($D169,1,FIND("_",$D169)-1),"/",INDIRECT(CONCATENATE("'CONFIG'!",ADDRESS(MATCH($D169, CONFIG!$B:$B, 0),MATCH(I$1, CONFIG!$1:$1, 0)))),".pdf#page=",I170),CONCATENATE("#Sharepoint//",$D169))</f>
        <v>#Sharepoint//FRS_Air Supply</v>
      </c>
      <c r="J169" s="372" t="str">
        <f ca="1">HYPERLINK(CONCATENATE(Cartelle!$D$5,J$1,"/CONFIG/",MID($D169,1,FIND("_",$D169)-1),"/",INDIRECT(CONCATENATE("'CONFIG'!",ADDRESS(MATCH($D169, CONFIG!$B:$B, 0),MATCH(J$1, CONFIG!$1:$1, 0)))),".pdf#page=",J170),CONCATENATE("#Sharepoint//",$D169))</f>
        <v>#Sharepoint//FRS_Air Supply</v>
      </c>
      <c r="K169" s="373"/>
      <c r="L169" s="373"/>
    </row>
    <row r="170" spans="1:12" customFormat="1" hidden="1" outlineLevel="2" x14ac:dyDescent="0.25">
      <c r="B170" s="403"/>
      <c r="C170" s="106"/>
      <c r="D170" s="400"/>
      <c r="E170" s="383" t="s">
        <v>868</v>
      </c>
      <c r="F170" s="384">
        <v>26</v>
      </c>
      <c r="G170" s="384">
        <v>22</v>
      </c>
      <c r="H170" s="384">
        <v>26</v>
      </c>
      <c r="I170" s="384">
        <v>22</v>
      </c>
      <c r="J170" s="384">
        <v>21</v>
      </c>
      <c r="K170" s="384"/>
      <c r="L170" s="384"/>
    </row>
    <row r="171" spans="1:12" customFormat="1" x14ac:dyDescent="0.25">
      <c r="A171" s="377" t="s">
        <v>1225</v>
      </c>
      <c r="B171" s="404"/>
      <c r="C171" s="106"/>
      <c r="D171" s="398" t="s">
        <v>386</v>
      </c>
      <c r="E171" s="378"/>
      <c r="F171" s="379"/>
      <c r="G171" s="379"/>
      <c r="H171" s="379"/>
      <c r="I171" s="379"/>
      <c r="J171" s="379"/>
      <c r="K171" s="379"/>
      <c r="L171" s="380"/>
    </row>
    <row r="172" spans="1:12" customFormat="1" outlineLevel="1" collapsed="1" x14ac:dyDescent="0.25">
      <c r="B172" s="403"/>
      <c r="C172" s="106"/>
      <c r="D172" s="396" t="s">
        <v>840</v>
      </c>
      <c r="E172" s="371" t="s">
        <v>184</v>
      </c>
      <c r="F172" s="372" t="str">
        <f ca="1">HYPERLINK(CONCATENATE(Cartelle!$D$5,F$1,"/CONFIG/",MID($D172,1,FIND("_",$D172)-1),"/",INDIRECT(CONCATENATE("'CONFIG'!",ADDRESS(MATCH($D172, CONFIG!$B:$B, 0),MATCH(F$1, CONFIG!$1:$1, 0)))),".pdf#page=",F173),CONCATENATE("#Sharepoint//",$D172))</f>
        <v>#Sharepoint//FRS_Air Supply</v>
      </c>
      <c r="G172" s="340" t="str" cm="1">
        <f t="array" aca="1" ref="G172" ca="1">HYPERLINK(CONCATENATE(Cartelle!$D$5,INDEX(CONFIG!$1:$1, 1, MATCH(INDIRECT(CONCATENATE("'CONFIG'!",ADDRESS(MATCH($D172, CONFIG!$B:$B, 0),MATCH(G$1, CONFIG!$1:$1, 0)))),INDIRECT(CONCATENATE("'CONFIG'!",MATCH($D172, CONFIG!$B:$B, 0),":",MATCH($D172, CONFIG!$B:$B, 0))),0)),"/CONFIG/",MID($D172,1,FIND("_",$D172)-1),"/",INDIRECT(CONCATENATE("'CONFIG'!",ADDRESS(MATCH($D172, CONFIG!$B:$B, 0),MATCH(G$1, CONFIG!$1:$1, 0)))),".pdf#page=",G173),CONCATENATE("#Sharepoint//",$D172))</f>
        <v>#Sharepoint//FRS_Air Supply</v>
      </c>
      <c r="H172" s="372" t="str">
        <f ca="1">HYPERLINK(CONCATENATE(Cartelle!$D$5,INDEX(CONFIG!$1:$1, 1, MATCH(INDIRECT(CONCATENATE("'CONFIG'!",ADDRESS(MATCH($D172, CONFIG!$B:$B, 0),MATCH(H$1, CONFIG!$1:$1, 0)))),INDIRECT(CONCATENATE("'CONFIG'!",MATCH($D172, CONFIG!$B:$B, 0),":",MATCH($D172, CONFIG!$B:$B, 0))),0)),"/CONFIG/",MID($D172,1,FIND("_",$D172)-1),"/",INDIRECT(CONCATENATE("'CONFIG'!",ADDRESS(MATCH($D172, CONFIG!$B:$B, 0),MATCH(H$1, CONFIG!$1:$1, 0)))),".pdf#page=",H173),CONCATENATE("#Sharepoint//",$D172))</f>
        <v>#Sharepoint//FRS_Air Supply</v>
      </c>
      <c r="I172" s="372" t="str">
        <f ca="1">HYPERLINK(CONCATENATE(Cartelle!$D$5,INDEX(CONFIG!$1:$1, 1, MATCH(INDIRECT(CONCATENATE("'CONFIG'!",ADDRESS(MATCH($D172, CONFIG!$B:$B, 0),MATCH(I$1, CONFIG!$1:$1, 0)))),INDIRECT(CONCATENATE("'CONFIG'!",MATCH($D172, CONFIG!$B:$B, 0),":",MATCH($D172, CONFIG!$B:$B, 0))),0)),"/CONFIG/",MID($D172,1,FIND("_",$D172)-1),"/",INDIRECT(CONCATENATE("'CONFIG'!",ADDRESS(MATCH($D172, CONFIG!$B:$B, 0),MATCH(I$1, CONFIG!$1:$1, 0)))),".pdf#page=",I173),CONCATENATE("#Sharepoint//",$D172))</f>
        <v>#Sharepoint//FRS_Air Supply</v>
      </c>
      <c r="J172" s="372" t="str">
        <f ca="1">HYPERLINK(CONCATENATE(Cartelle!$D$5,J$1,"/CONFIG/",MID($D172,1,FIND("_",$D172)-1),"/",INDIRECT(CONCATENATE("'CONFIG'!",ADDRESS(MATCH($D172, CONFIG!$B:$B, 0),MATCH(J$1, CONFIG!$1:$1, 0)))),".pdf#page=",J173),CONCATENATE("#Sharepoint//",$D172))</f>
        <v>#Sharepoint//FRS_Air Supply</v>
      </c>
      <c r="K172" s="373"/>
      <c r="L172" s="373"/>
    </row>
    <row r="173" spans="1:12" customFormat="1" hidden="1" outlineLevel="2" x14ac:dyDescent="0.25">
      <c r="B173" s="403"/>
      <c r="C173" s="106"/>
      <c r="D173" s="399"/>
      <c r="E173" s="381" t="s">
        <v>868</v>
      </c>
      <c r="F173" s="382">
        <v>28</v>
      </c>
      <c r="G173" s="382">
        <v>23</v>
      </c>
      <c r="H173" s="382">
        <v>28</v>
      </c>
      <c r="I173" s="382">
        <v>23</v>
      </c>
      <c r="J173" s="382">
        <v>22</v>
      </c>
      <c r="K173" s="382"/>
      <c r="L173" s="382"/>
    </row>
    <row r="174" spans="1:12" customFormat="1" x14ac:dyDescent="0.25">
      <c r="A174" s="366" t="s">
        <v>1243</v>
      </c>
      <c r="B174" s="402"/>
      <c r="C174" s="106"/>
      <c r="D174" s="395" t="s">
        <v>386</v>
      </c>
      <c r="E174" s="367"/>
      <c r="F174" s="368"/>
      <c r="G174" s="368"/>
      <c r="H174" s="368"/>
      <c r="I174" s="368"/>
      <c r="J174" s="368"/>
      <c r="K174" s="368"/>
      <c r="L174" s="369"/>
    </row>
    <row r="175" spans="1:12" customFormat="1" outlineLevel="1" collapsed="1" x14ac:dyDescent="0.25">
      <c r="B175" s="403"/>
      <c r="C175" s="106"/>
      <c r="D175" s="396" t="s">
        <v>841</v>
      </c>
      <c r="E175" s="371" t="s">
        <v>184</v>
      </c>
      <c r="F175" s="372" t="str">
        <f ca="1">HYPERLINK(CONCATENATE(Cartelle!$D$5,F$1,"/CONFIG/",MID($D175,1,FIND("_",$D175)-1),"/",INDIRECT(CONCATENATE("'CONFIG'!",ADDRESS(MATCH($D175, CONFIG!$B:$B, 0),MATCH(F$1, CONFIG!$1:$1, 0)))),".pdf#page=",F176),CONCATENATE("#Sharepoint//",$D175))</f>
        <v>#Sharepoint//FRS_Brake Control</v>
      </c>
      <c r="G175" s="405"/>
      <c r="H175" s="372" t="str">
        <f ca="1">HYPERLINK(CONCATENATE(Cartelle!$D$5,INDEX(CONFIG!$1:$1, 1, MATCH(INDIRECT(CONCATENATE("'CONFIG'!",ADDRESS(MATCH($D175, CONFIG!$B:$B, 0),MATCH(H$1, CONFIG!$1:$1, 0)))),INDIRECT(CONCATENATE("'CONFIG'!",MATCH($D175, CONFIG!$B:$B, 0),":",MATCH($D175, CONFIG!$B:$B, 0))),0)),"/CONFIG/",MID($D175,1,FIND("_",$D175)-1),"/",INDIRECT(CONCATENATE("'CONFIG'!",ADDRESS(MATCH($D175, CONFIG!$B:$B, 0),MATCH(H$1, CONFIG!$1:$1, 0)))),".pdf#page=",H176),CONCATENATE("#Sharepoint//",$D175))</f>
        <v>#Sharepoint//FRS_Brake Control</v>
      </c>
      <c r="I175" s="372" t="str">
        <f ca="1">HYPERLINK(CONCATENATE(Cartelle!$D$5,INDEX(CONFIG!$1:$1, 1, MATCH(INDIRECT(CONCATENATE("'CONFIG'!",ADDRESS(MATCH($D175, CONFIG!$B:$B, 0),MATCH(I$1, CONFIG!$1:$1, 0)))),INDIRECT(CONCATENATE("'CONFIG'!",MATCH($D175, CONFIG!$B:$B, 0),":",MATCH($D175, CONFIG!$B:$B, 0))),0)),"/CONFIG/",MID($D175,1,FIND("_",$D175)-1),"/",INDIRECT(CONCATENATE("'CONFIG'!",ADDRESS(MATCH($D175, CONFIG!$B:$B, 0),MATCH(I$1, CONFIG!$1:$1, 0)))),".pdf#page=",I176),CONCATENATE("#Sharepoint//",$D175))</f>
        <v>#Sharepoint//FRS_Brake Control</v>
      </c>
      <c r="J175" s="372" t="str">
        <f ca="1">HYPERLINK(CONCATENATE(Cartelle!$D$5,J$1,"/CONFIG/",MID($D175,1,FIND("_",$D175)-1),"/",INDIRECT(CONCATENATE("'CONFIG'!",ADDRESS(MATCH($D175, CONFIG!$B:$B, 0),MATCH(J$1, CONFIG!$1:$1, 0)))),".pdf#page=",J176),CONCATENATE("#Sharepoint//",$D175))</f>
        <v>#Sharepoint//FRS_Brake Control</v>
      </c>
      <c r="K175" s="373"/>
      <c r="L175" s="373"/>
    </row>
    <row r="176" spans="1:12" customFormat="1" hidden="1" outlineLevel="2" x14ac:dyDescent="0.25">
      <c r="B176" s="403"/>
      <c r="C176" s="106"/>
      <c r="D176" s="400"/>
      <c r="E176" s="383" t="s">
        <v>868</v>
      </c>
      <c r="F176" s="384">
        <v>14</v>
      </c>
      <c r="G176" s="384"/>
      <c r="H176" s="384">
        <v>14</v>
      </c>
      <c r="I176" s="384">
        <v>14</v>
      </c>
      <c r="J176" s="384">
        <v>19</v>
      </c>
      <c r="K176" s="384"/>
      <c r="L176" s="384"/>
    </row>
    <row r="177" spans="1:12" customFormat="1" x14ac:dyDescent="0.25">
      <c r="A177" s="377" t="s">
        <v>1244</v>
      </c>
      <c r="B177" s="404"/>
      <c r="C177" s="106"/>
      <c r="D177" s="398" t="s">
        <v>386</v>
      </c>
      <c r="E177" s="378"/>
      <c r="F177" s="379"/>
      <c r="G177" s="379"/>
      <c r="H177" s="379"/>
      <c r="I177" s="379"/>
      <c r="J177" s="379"/>
      <c r="K177" s="379"/>
      <c r="L177" s="380"/>
    </row>
    <row r="178" spans="1:12" customFormat="1" outlineLevel="1" collapsed="1" x14ac:dyDescent="0.25">
      <c r="B178" s="403"/>
      <c r="C178" s="106"/>
      <c r="D178" s="396" t="s">
        <v>841</v>
      </c>
      <c r="E178" s="371" t="s">
        <v>184</v>
      </c>
      <c r="F178" s="372" t="str">
        <f ca="1">HYPERLINK(CONCATENATE(Cartelle!$D$5,F$1,"/CONFIG/",MID($D178,1,FIND("_",$D178)-1),"/",INDIRECT(CONCATENATE("'CONFIG'!",ADDRESS(MATCH($D178, CONFIG!$B:$B, 0),MATCH(F$1, CONFIG!$1:$1, 0)))),".pdf#page=",F179),CONCATENATE("#Sharepoint//",$D178))</f>
        <v>#Sharepoint//FRS_Brake Control</v>
      </c>
      <c r="G178" s="405"/>
      <c r="H178" s="372" t="str">
        <f ca="1">HYPERLINK(CONCATENATE(Cartelle!$D$5,INDEX(CONFIG!$1:$1, 1, MATCH(INDIRECT(CONCATENATE("'CONFIG'!",ADDRESS(MATCH($D178, CONFIG!$B:$B, 0),MATCH(H$1, CONFIG!$1:$1, 0)))),INDIRECT(CONCATENATE("'CONFIG'!",MATCH($D178, CONFIG!$B:$B, 0),":",MATCH($D178, CONFIG!$B:$B, 0))),0)),"/CONFIG/",MID($D178,1,FIND("_",$D178)-1),"/",INDIRECT(CONCATENATE("'CONFIG'!",ADDRESS(MATCH($D178, CONFIG!$B:$B, 0),MATCH(H$1, CONFIG!$1:$1, 0)))),".pdf#page=",H179),CONCATENATE("#Sharepoint//",$D178))</f>
        <v>#Sharepoint//FRS_Brake Control</v>
      </c>
      <c r="I178" s="372" t="str">
        <f ca="1">HYPERLINK(CONCATENATE(Cartelle!$D$5,INDEX(CONFIG!$1:$1, 1, MATCH(INDIRECT(CONCATENATE("'CONFIG'!",ADDRESS(MATCH($D178, CONFIG!$B:$B, 0),MATCH(I$1, CONFIG!$1:$1, 0)))),INDIRECT(CONCATENATE("'CONFIG'!",MATCH($D178, CONFIG!$B:$B, 0),":",MATCH($D178, CONFIG!$B:$B, 0))),0)),"/CONFIG/",MID($D178,1,FIND("_",$D178)-1),"/",INDIRECT(CONCATENATE("'CONFIG'!",ADDRESS(MATCH($D178, CONFIG!$B:$B, 0),MATCH(I$1, CONFIG!$1:$1, 0)))),".pdf#page=",I179),CONCATENATE("#Sharepoint//",$D178))</f>
        <v>#Sharepoint//FRS_Brake Control</v>
      </c>
      <c r="J178" s="372" t="str">
        <f ca="1">HYPERLINK(CONCATENATE(Cartelle!$D$5,J$1,"/CONFIG/",MID($D178,1,FIND("_",$D178)-1),"/",INDIRECT(CONCATENATE("'CONFIG'!",ADDRESS(MATCH($D178, CONFIG!$B:$B, 0),MATCH(J$1, CONFIG!$1:$1, 0)))),".pdf#page=",J179),CONCATENATE("#Sharepoint//",$D178))</f>
        <v>#Sharepoint//FRS_Brake Control</v>
      </c>
      <c r="K178" s="373"/>
      <c r="L178" s="373"/>
    </row>
    <row r="179" spans="1:12" customFormat="1" hidden="1" outlineLevel="2" x14ac:dyDescent="0.25">
      <c r="B179" s="403"/>
      <c r="C179" s="106"/>
      <c r="D179" s="400"/>
      <c r="E179" s="383" t="s">
        <v>868</v>
      </c>
      <c r="F179" s="384">
        <v>50</v>
      </c>
      <c r="G179" s="384"/>
      <c r="H179" s="384">
        <v>54</v>
      </c>
      <c r="I179" s="384">
        <v>50</v>
      </c>
      <c r="J179" s="384">
        <v>95</v>
      </c>
      <c r="K179" s="384"/>
      <c r="L179" s="384"/>
    </row>
    <row r="180" spans="1:12" customFormat="1" x14ac:dyDescent="0.25">
      <c r="A180" s="377" t="s">
        <v>1245</v>
      </c>
      <c r="B180" s="404"/>
      <c r="C180" s="106"/>
      <c r="D180" s="398" t="s">
        <v>386</v>
      </c>
      <c r="E180" s="378"/>
      <c r="F180" s="379"/>
      <c r="G180" s="379"/>
      <c r="H180" s="379"/>
      <c r="I180" s="379"/>
      <c r="J180" s="379"/>
      <c r="K180" s="379"/>
      <c r="L180" s="380"/>
    </row>
    <row r="181" spans="1:12" customFormat="1" outlineLevel="1" collapsed="1" x14ac:dyDescent="0.25">
      <c r="B181" s="403"/>
      <c r="C181" s="106"/>
      <c r="D181" s="396" t="s">
        <v>841</v>
      </c>
      <c r="E181" s="371" t="s">
        <v>184</v>
      </c>
      <c r="F181" s="372" t="str">
        <f ca="1">HYPERLINK(CONCATENATE(Cartelle!$D$5,F$1,"/CONFIG/",MID($D181,1,FIND("_",$D181)-1),"/",INDIRECT(CONCATENATE("'CONFIG'!",ADDRESS(MATCH($D181, CONFIG!$B:$B, 0),MATCH(F$1, CONFIG!$1:$1, 0)))),".pdf#page=",F182),CONCATENATE("#Sharepoint//",$D181))</f>
        <v>#Sharepoint//FRS_Brake Control</v>
      </c>
      <c r="G181" s="405"/>
      <c r="H181" s="372" t="str">
        <f ca="1">HYPERLINK(CONCATENATE(Cartelle!$D$5,INDEX(CONFIG!$1:$1, 1, MATCH(INDIRECT(CONCATENATE("'CONFIG'!",ADDRESS(MATCH($D181, CONFIG!$B:$B, 0),MATCH(H$1, CONFIG!$1:$1, 0)))),INDIRECT(CONCATENATE("'CONFIG'!",MATCH($D181, CONFIG!$B:$B, 0),":",MATCH($D181, CONFIG!$B:$B, 0))),0)),"/CONFIG/",MID($D181,1,FIND("_",$D181)-1),"/",INDIRECT(CONCATENATE("'CONFIG'!",ADDRESS(MATCH($D181, CONFIG!$B:$B, 0),MATCH(H$1, CONFIG!$1:$1, 0)))),".pdf#page=",H182),CONCATENATE("#Sharepoint//",$D181))</f>
        <v>#Sharepoint//FRS_Brake Control</v>
      </c>
      <c r="I181" s="372" t="str">
        <f ca="1">HYPERLINK(CONCATENATE(Cartelle!$D$5,INDEX(CONFIG!$1:$1, 1, MATCH(INDIRECT(CONCATENATE("'CONFIG'!",ADDRESS(MATCH($D181, CONFIG!$B:$B, 0),MATCH(I$1, CONFIG!$1:$1, 0)))),INDIRECT(CONCATENATE("'CONFIG'!",MATCH($D181, CONFIG!$B:$B, 0),":",MATCH($D181, CONFIG!$B:$B, 0))),0)),"/CONFIG/",MID($D181,1,FIND("_",$D181)-1),"/",INDIRECT(CONCATENATE("'CONFIG'!",ADDRESS(MATCH($D181, CONFIG!$B:$B, 0),MATCH(I$1, CONFIG!$1:$1, 0)))),".pdf#page=",I182),CONCATENATE("#Sharepoint//",$D181))</f>
        <v>#Sharepoint//FRS_Brake Control</v>
      </c>
      <c r="J181" s="372" t="str">
        <f ca="1">HYPERLINK(CONCATENATE(Cartelle!$D$5,J$1,"/CONFIG/",MID($D181,1,FIND("_",$D181)-1),"/",INDIRECT(CONCATENATE("'CONFIG'!",ADDRESS(MATCH($D181, CONFIG!$B:$B, 0),MATCH(J$1, CONFIG!$1:$1, 0)))),".pdf#page=",J182),CONCATENATE("#Sharepoint//",$D181))</f>
        <v>#Sharepoint//FRS_Brake Control</v>
      </c>
      <c r="K181" s="373"/>
      <c r="L181" s="373"/>
    </row>
    <row r="182" spans="1:12" customFormat="1" hidden="1" outlineLevel="2" x14ac:dyDescent="0.25">
      <c r="B182" s="403"/>
      <c r="C182" s="106"/>
      <c r="D182" s="400"/>
      <c r="E182" s="383" t="s">
        <v>868</v>
      </c>
      <c r="F182" s="384">
        <v>87</v>
      </c>
      <c r="G182" s="384"/>
      <c r="H182" s="384">
        <v>94</v>
      </c>
      <c r="I182" s="384">
        <v>86</v>
      </c>
      <c r="J182" s="384">
        <v>129</v>
      </c>
      <c r="K182" s="384"/>
      <c r="L182" s="384"/>
    </row>
    <row r="183" spans="1:12" customFormat="1" x14ac:dyDescent="0.25">
      <c r="A183" s="377" t="s">
        <v>1246</v>
      </c>
      <c r="B183" s="404"/>
      <c r="C183" s="106"/>
      <c r="D183" s="398" t="s">
        <v>386</v>
      </c>
      <c r="E183" s="378"/>
      <c r="F183" s="379"/>
      <c r="G183" s="379"/>
      <c r="H183" s="379"/>
      <c r="I183" s="379"/>
      <c r="J183" s="379"/>
      <c r="K183" s="379"/>
      <c r="L183" s="380"/>
    </row>
    <row r="184" spans="1:12" customFormat="1" outlineLevel="1" collapsed="1" x14ac:dyDescent="0.25">
      <c r="B184" s="403"/>
      <c r="C184" s="106"/>
      <c r="D184" s="396" t="s">
        <v>841</v>
      </c>
      <c r="E184" s="371" t="s">
        <v>184</v>
      </c>
      <c r="F184" s="372" t="str">
        <f ca="1">HYPERLINK(CONCATENATE(Cartelle!$D$5,F$1,"/CONFIG/",MID($D184,1,FIND("_",$D184)-1),"/",INDIRECT(CONCATENATE("'CONFIG'!",ADDRESS(MATCH($D184, CONFIG!$B:$B, 0),MATCH(F$1, CONFIG!$1:$1, 0)))),".pdf#page=",F185),CONCATENATE("#Sharepoint//",$D184))</f>
        <v>#Sharepoint//FRS_Brake Control</v>
      </c>
      <c r="G184" s="405"/>
      <c r="H184" s="372" t="str">
        <f ca="1">HYPERLINK(CONCATENATE(Cartelle!$D$5,INDEX(CONFIG!$1:$1, 1, MATCH(INDIRECT(CONCATENATE("'CONFIG'!",ADDRESS(MATCH($D184, CONFIG!$B:$B, 0),MATCH(H$1, CONFIG!$1:$1, 0)))),INDIRECT(CONCATENATE("'CONFIG'!",MATCH($D184, CONFIG!$B:$B, 0),":",MATCH($D184, CONFIG!$B:$B, 0))),0)),"/CONFIG/",MID($D184,1,FIND("_",$D184)-1),"/",INDIRECT(CONCATENATE("'CONFIG'!",ADDRESS(MATCH($D184, CONFIG!$B:$B, 0),MATCH(H$1, CONFIG!$1:$1, 0)))),".pdf#page=",H185),CONCATENATE("#Sharepoint//",$D184))</f>
        <v>#Sharepoint//FRS_Brake Control</v>
      </c>
      <c r="I184" s="372" t="str">
        <f ca="1">HYPERLINK(CONCATENATE(Cartelle!$D$5,INDEX(CONFIG!$1:$1, 1, MATCH(INDIRECT(CONCATENATE("'CONFIG'!",ADDRESS(MATCH($D184, CONFIG!$B:$B, 0),MATCH(I$1, CONFIG!$1:$1, 0)))),INDIRECT(CONCATENATE("'CONFIG'!",MATCH($D184, CONFIG!$B:$B, 0),":",MATCH($D184, CONFIG!$B:$B, 0))),0)),"/CONFIG/",MID($D184,1,FIND("_",$D184)-1),"/",INDIRECT(CONCATENATE("'CONFIG'!",ADDRESS(MATCH($D184, CONFIG!$B:$B, 0),MATCH(I$1, CONFIG!$1:$1, 0)))),".pdf#page=",I185),CONCATENATE("#Sharepoint//",$D184))</f>
        <v>#Sharepoint//FRS_Brake Control</v>
      </c>
      <c r="J184" s="372" t="str">
        <f ca="1">HYPERLINK(CONCATENATE(Cartelle!$D$5,J$1,"/CONFIG/",MID($D184,1,FIND("_",$D184)-1),"/",INDIRECT(CONCATENATE("'CONFIG'!",ADDRESS(MATCH($D184, CONFIG!$B:$B, 0),MATCH(J$1, CONFIG!$1:$1, 0)))),".pdf#page=",J185),CONCATENATE("#Sharepoint//",$D184))</f>
        <v>#Sharepoint//FRS_Brake Control</v>
      </c>
      <c r="K184" s="373"/>
      <c r="L184" s="373"/>
    </row>
    <row r="185" spans="1:12" customFormat="1" hidden="1" outlineLevel="2" x14ac:dyDescent="0.25">
      <c r="B185" s="403"/>
      <c r="C185" s="106"/>
      <c r="D185" s="400"/>
      <c r="E185" s="383" t="s">
        <v>868</v>
      </c>
      <c r="F185" s="384">
        <v>91</v>
      </c>
      <c r="G185" s="384"/>
      <c r="H185" s="384">
        <v>99</v>
      </c>
      <c r="I185" s="384">
        <v>90</v>
      </c>
      <c r="J185" s="384">
        <v>133</v>
      </c>
      <c r="K185" s="384"/>
      <c r="L185" s="384"/>
    </row>
    <row r="186" spans="1:12" customFormat="1" x14ac:dyDescent="0.25">
      <c r="A186" s="377" t="s">
        <v>1247</v>
      </c>
      <c r="B186" s="404"/>
      <c r="C186" s="106"/>
      <c r="D186" s="398" t="s">
        <v>386</v>
      </c>
      <c r="E186" s="378"/>
      <c r="F186" s="379"/>
      <c r="G186" s="379"/>
      <c r="H186" s="379"/>
      <c r="I186" s="379"/>
      <c r="J186" s="379"/>
      <c r="K186" s="379"/>
      <c r="L186" s="380"/>
    </row>
    <row r="187" spans="1:12" customFormat="1" outlineLevel="1" collapsed="1" x14ac:dyDescent="0.25">
      <c r="B187" s="403"/>
      <c r="C187" s="106"/>
      <c r="D187" s="396" t="s">
        <v>841</v>
      </c>
      <c r="E187" s="371" t="s">
        <v>184</v>
      </c>
      <c r="F187" s="372" t="str">
        <f ca="1">HYPERLINK(CONCATENATE(Cartelle!$D$5,F$1,"/CONFIG/",MID($D187,1,FIND("_",$D187)-1),"/",INDIRECT(CONCATENATE("'CONFIG'!",ADDRESS(MATCH($D187, CONFIG!$B:$B, 0),MATCH(F$1, CONFIG!$1:$1, 0)))),".pdf#page=",F188),CONCATENATE("#Sharepoint//",$D187))</f>
        <v>#Sharepoint//FRS_Brake Control</v>
      </c>
      <c r="G187" s="405"/>
      <c r="H187" s="372" t="str">
        <f ca="1">HYPERLINK(CONCATENATE(Cartelle!$D$5,INDEX(CONFIG!$1:$1, 1, MATCH(INDIRECT(CONCATENATE("'CONFIG'!",ADDRESS(MATCH($D187, CONFIG!$B:$B, 0),MATCH(H$1, CONFIG!$1:$1, 0)))),INDIRECT(CONCATENATE("'CONFIG'!",MATCH($D187, CONFIG!$B:$B, 0),":",MATCH($D187, CONFIG!$B:$B, 0))),0)),"/CONFIG/",MID($D187,1,FIND("_",$D187)-1),"/",INDIRECT(CONCATENATE("'CONFIG'!",ADDRESS(MATCH($D187, CONFIG!$B:$B, 0),MATCH(H$1, CONFIG!$1:$1, 0)))),".pdf#page=",H188),CONCATENATE("#Sharepoint//",$D187))</f>
        <v>#Sharepoint//FRS_Brake Control</v>
      </c>
      <c r="I187" s="372" t="str">
        <f ca="1">HYPERLINK(CONCATENATE(Cartelle!$D$5,INDEX(CONFIG!$1:$1, 1, MATCH(INDIRECT(CONCATENATE("'CONFIG'!",ADDRESS(MATCH($D187, CONFIG!$B:$B, 0),MATCH(I$1, CONFIG!$1:$1, 0)))),INDIRECT(CONCATENATE("'CONFIG'!",MATCH($D187, CONFIG!$B:$B, 0),":",MATCH($D187, CONFIG!$B:$B, 0))),0)),"/CONFIG/",MID($D187,1,FIND("_",$D187)-1),"/",INDIRECT(CONCATENATE("'CONFIG'!",ADDRESS(MATCH($D187, CONFIG!$B:$B, 0),MATCH(I$1, CONFIG!$1:$1, 0)))),".pdf#page=",I188),CONCATENATE("#Sharepoint//",$D187))</f>
        <v>#Sharepoint//FRS_Brake Control</v>
      </c>
      <c r="J187" s="372" t="str">
        <f ca="1">HYPERLINK(CONCATENATE(Cartelle!$D$5,J$1,"/CONFIG/",MID($D187,1,FIND("_",$D187)-1),"/",INDIRECT(CONCATENATE("'CONFIG'!",ADDRESS(MATCH($D187, CONFIG!$B:$B, 0),MATCH(J$1, CONFIG!$1:$1, 0)))),".pdf#page=",J188),CONCATENATE("#Sharepoint//",$D187))</f>
        <v>#Sharepoint//FRS_Brake Control</v>
      </c>
      <c r="K187" s="373"/>
      <c r="L187" s="373"/>
    </row>
    <row r="188" spans="1:12" customFormat="1" hidden="1" outlineLevel="2" x14ac:dyDescent="0.25">
      <c r="B188" s="403"/>
      <c r="C188" s="106"/>
      <c r="D188" s="400"/>
      <c r="E188" s="383" t="s">
        <v>868</v>
      </c>
      <c r="F188" s="384">
        <v>97</v>
      </c>
      <c r="G188" s="384"/>
      <c r="H188" s="384">
        <v>102</v>
      </c>
      <c r="I188" s="384">
        <v>93</v>
      </c>
      <c r="J188" s="384">
        <v>136</v>
      </c>
      <c r="K188" s="384"/>
      <c r="L188" s="384"/>
    </row>
    <row r="189" spans="1:12" customFormat="1" x14ac:dyDescent="0.25">
      <c r="A189" s="377" t="s">
        <v>1248</v>
      </c>
      <c r="B189" s="404"/>
      <c r="C189" s="106"/>
      <c r="D189" s="398" t="s">
        <v>386</v>
      </c>
      <c r="E189" s="378"/>
      <c r="F189" s="379"/>
      <c r="G189" s="379"/>
      <c r="H189" s="379"/>
      <c r="I189" s="379"/>
      <c r="J189" s="379"/>
      <c r="K189" s="379"/>
      <c r="L189" s="380"/>
    </row>
    <row r="190" spans="1:12" customFormat="1" outlineLevel="1" collapsed="1" x14ac:dyDescent="0.25">
      <c r="B190" s="403"/>
      <c r="C190" s="106"/>
      <c r="D190" s="396" t="s">
        <v>841</v>
      </c>
      <c r="E190" s="371" t="s">
        <v>184</v>
      </c>
      <c r="F190" s="372" t="str">
        <f ca="1">HYPERLINK(CONCATENATE(Cartelle!$D$5,F$1,"/CONFIG/",MID($D190,1,FIND("_",$D190)-1),"/",INDIRECT(CONCATENATE("'CONFIG'!",ADDRESS(MATCH($D190, CONFIG!$B:$B, 0),MATCH(F$1, CONFIG!$1:$1, 0)))),".pdf#page=",F191),CONCATENATE("#Sharepoint//",$D190))</f>
        <v>#Sharepoint//FRS_Brake Control</v>
      </c>
      <c r="G190" s="405"/>
      <c r="H190" s="372" t="str">
        <f ca="1">HYPERLINK(CONCATENATE(Cartelle!$D$5,INDEX(CONFIG!$1:$1, 1, MATCH(INDIRECT(CONCATENATE("'CONFIG'!",ADDRESS(MATCH($D190, CONFIG!$B:$B, 0),MATCH(H$1, CONFIG!$1:$1, 0)))),INDIRECT(CONCATENATE("'CONFIG'!",MATCH($D190, CONFIG!$B:$B, 0),":",MATCH($D190, CONFIG!$B:$B, 0))),0)),"/CONFIG/",MID($D190,1,FIND("_",$D190)-1),"/",INDIRECT(CONCATENATE("'CONFIG'!",ADDRESS(MATCH($D190, CONFIG!$B:$B, 0),MATCH(H$1, CONFIG!$1:$1, 0)))),".pdf#page=",H191),CONCATENATE("#Sharepoint//",$D190))</f>
        <v>#Sharepoint//FRS_Brake Control</v>
      </c>
      <c r="I190" s="372" t="str">
        <f ca="1">HYPERLINK(CONCATENATE(Cartelle!$D$5,INDEX(CONFIG!$1:$1, 1, MATCH(INDIRECT(CONCATENATE("'CONFIG'!",ADDRESS(MATCH($D190, CONFIG!$B:$B, 0),MATCH(I$1, CONFIG!$1:$1, 0)))),INDIRECT(CONCATENATE("'CONFIG'!",MATCH($D190, CONFIG!$B:$B, 0),":",MATCH($D190, CONFIG!$B:$B, 0))),0)),"/CONFIG/",MID($D190,1,FIND("_",$D190)-1),"/",INDIRECT(CONCATENATE("'CONFIG'!",ADDRESS(MATCH($D190, CONFIG!$B:$B, 0),MATCH(I$1, CONFIG!$1:$1, 0)))),".pdf#page=",I191),CONCATENATE("#Sharepoint//",$D190))</f>
        <v>#Sharepoint//FRS_Brake Control</v>
      </c>
      <c r="J190" s="372" t="str">
        <f ca="1">HYPERLINK(CONCATENATE(Cartelle!$D$5,J$1,"/CONFIG/",MID($D190,1,FIND("_",$D190)-1),"/",INDIRECT(CONCATENATE("'CONFIG'!",ADDRESS(MATCH($D190, CONFIG!$B:$B, 0),MATCH(J$1, CONFIG!$1:$1, 0)))),".pdf#page=",J191),CONCATENATE("#Sharepoint//",$D190))</f>
        <v>#Sharepoint//FRS_Brake Control</v>
      </c>
      <c r="K190" s="373"/>
      <c r="L190" s="373"/>
    </row>
    <row r="191" spans="1:12" customFormat="1" hidden="1" outlineLevel="2" x14ac:dyDescent="0.25">
      <c r="B191" s="403"/>
      <c r="C191" s="106"/>
      <c r="D191" s="400"/>
      <c r="E191" s="383" t="s">
        <v>868</v>
      </c>
      <c r="F191" s="384">
        <v>117</v>
      </c>
      <c r="G191" s="384"/>
      <c r="H191" s="384">
        <v>127</v>
      </c>
      <c r="I191" s="384">
        <v>113</v>
      </c>
      <c r="J191" s="384">
        <v>154</v>
      </c>
      <c r="K191" s="384"/>
      <c r="L191" s="384"/>
    </row>
    <row r="192" spans="1:12" customFormat="1" x14ac:dyDescent="0.25">
      <c r="A192" s="377" t="s">
        <v>1249</v>
      </c>
      <c r="B192" s="404"/>
      <c r="C192" s="106"/>
      <c r="D192" s="398" t="s">
        <v>386</v>
      </c>
      <c r="E192" s="378"/>
      <c r="F192" s="379"/>
      <c r="G192" s="379"/>
      <c r="H192" s="379"/>
      <c r="I192" s="379"/>
      <c r="J192" s="379"/>
      <c r="K192" s="379"/>
      <c r="L192" s="380"/>
    </row>
    <row r="193" spans="1:12" customFormat="1" outlineLevel="1" collapsed="1" x14ac:dyDescent="0.25">
      <c r="B193" s="403"/>
      <c r="C193" s="106"/>
      <c r="D193" s="396" t="s">
        <v>841</v>
      </c>
      <c r="E193" s="371" t="s">
        <v>184</v>
      </c>
      <c r="F193" s="372" t="str">
        <f ca="1">HYPERLINK(CONCATENATE(Cartelle!$D$5,F$1,"/CONFIG/",MID($D193,1,FIND("_",$D193)-1),"/",INDIRECT(CONCATENATE("'CONFIG'!",ADDRESS(MATCH($D193, CONFIG!$B:$B, 0),MATCH(F$1, CONFIG!$1:$1, 0)))),".pdf#page=",F194),CONCATENATE("#Sharepoint//",$D193))</f>
        <v>#Sharepoint//FRS_Brake Control</v>
      </c>
      <c r="G193" s="405"/>
      <c r="H193" s="372" t="str">
        <f ca="1">HYPERLINK(CONCATENATE(Cartelle!$D$5,INDEX(CONFIG!$1:$1, 1, MATCH(INDIRECT(CONCATENATE("'CONFIG'!",ADDRESS(MATCH($D193, CONFIG!$B:$B, 0),MATCH(H$1, CONFIG!$1:$1, 0)))),INDIRECT(CONCATENATE("'CONFIG'!",MATCH($D193, CONFIG!$B:$B, 0),":",MATCH($D193, CONFIG!$B:$B, 0))),0)),"/CONFIG/",MID($D193,1,FIND("_",$D193)-1),"/",INDIRECT(CONCATENATE("'CONFIG'!",ADDRESS(MATCH($D193, CONFIG!$B:$B, 0),MATCH(H$1, CONFIG!$1:$1, 0)))),".pdf#page=",H194),CONCATENATE("#Sharepoint//",$D193))</f>
        <v>#Sharepoint//FRS_Brake Control</v>
      </c>
      <c r="I193" s="372" t="str">
        <f ca="1">HYPERLINK(CONCATENATE(Cartelle!$D$5,INDEX(CONFIG!$1:$1, 1, MATCH(INDIRECT(CONCATENATE("'CONFIG'!",ADDRESS(MATCH($D193, CONFIG!$B:$B, 0),MATCH(I$1, CONFIG!$1:$1, 0)))),INDIRECT(CONCATENATE("'CONFIG'!",MATCH($D193, CONFIG!$B:$B, 0),":",MATCH($D193, CONFIG!$B:$B, 0))),0)),"/CONFIG/",MID($D193,1,FIND("_",$D193)-1),"/",INDIRECT(CONCATENATE("'CONFIG'!",ADDRESS(MATCH($D193, CONFIG!$B:$B, 0),MATCH(I$1, CONFIG!$1:$1, 0)))),".pdf#page=",I194),CONCATENATE("#Sharepoint//",$D193))</f>
        <v>#Sharepoint//FRS_Brake Control</v>
      </c>
      <c r="J193" s="372" t="str">
        <f ca="1">HYPERLINK(CONCATENATE(Cartelle!$D$5,J$1,"/CONFIG/",MID($D193,1,FIND("_",$D193)-1),"/",INDIRECT(CONCATENATE("'CONFIG'!",ADDRESS(MATCH($D193, CONFIG!$B:$B, 0),MATCH(J$1, CONFIG!$1:$1, 0)))),".pdf#page=",J194),CONCATENATE("#Sharepoint//",$D193))</f>
        <v>#Sharepoint//FRS_Brake Control</v>
      </c>
      <c r="K193" s="373"/>
      <c r="L193" s="373"/>
    </row>
    <row r="194" spans="1:12" customFormat="1" hidden="1" outlineLevel="2" x14ac:dyDescent="0.25">
      <c r="B194" s="403"/>
      <c r="C194" s="106"/>
      <c r="D194" s="400"/>
      <c r="E194" s="383" t="s">
        <v>868</v>
      </c>
      <c r="F194" s="384">
        <v>131</v>
      </c>
      <c r="G194" s="384"/>
      <c r="H194" s="384">
        <v>142</v>
      </c>
      <c r="I194" s="384">
        <v>131</v>
      </c>
      <c r="J194" s="384">
        <v>171</v>
      </c>
      <c r="K194" s="384"/>
      <c r="L194" s="384"/>
    </row>
    <row r="195" spans="1:12" customFormat="1" x14ac:dyDescent="0.25">
      <c r="A195" s="377" t="s">
        <v>1250</v>
      </c>
      <c r="B195" s="404"/>
      <c r="C195" s="106"/>
      <c r="D195" s="398" t="s">
        <v>386</v>
      </c>
      <c r="E195" s="378"/>
      <c r="F195" s="379"/>
      <c r="G195" s="379"/>
      <c r="H195" s="379"/>
      <c r="I195" s="379"/>
      <c r="J195" s="379"/>
      <c r="K195" s="379"/>
      <c r="L195" s="380"/>
    </row>
    <row r="196" spans="1:12" customFormat="1" outlineLevel="1" collapsed="1" x14ac:dyDescent="0.25">
      <c r="B196" s="403"/>
      <c r="C196" s="106"/>
      <c r="D196" s="396" t="s">
        <v>841</v>
      </c>
      <c r="E196" s="371" t="s">
        <v>184</v>
      </c>
      <c r="F196" s="372" t="str">
        <f ca="1">HYPERLINK(CONCATENATE(Cartelle!$D$5,F$1,"/CONFIG/",MID($D196,1,FIND("_",$D196)-1),"/",INDIRECT(CONCATENATE("'CONFIG'!",ADDRESS(MATCH($D196, CONFIG!$B:$B, 0),MATCH(F$1, CONFIG!$1:$1, 0)))),".pdf#page=",F197),CONCATENATE("#Sharepoint//",$D196))</f>
        <v>#Sharepoint//FRS_Brake Control</v>
      </c>
      <c r="G196" s="405"/>
      <c r="H196" s="372" t="str">
        <f ca="1">HYPERLINK(CONCATENATE(Cartelle!$D$5,INDEX(CONFIG!$1:$1, 1, MATCH(INDIRECT(CONCATENATE("'CONFIG'!",ADDRESS(MATCH($D196, CONFIG!$B:$B, 0),MATCH(H$1, CONFIG!$1:$1, 0)))),INDIRECT(CONCATENATE("'CONFIG'!",MATCH($D196, CONFIG!$B:$B, 0),":",MATCH($D196, CONFIG!$B:$B, 0))),0)),"/CONFIG/",MID($D196,1,FIND("_",$D196)-1),"/",INDIRECT(CONCATENATE("'CONFIG'!",ADDRESS(MATCH($D196, CONFIG!$B:$B, 0),MATCH(H$1, CONFIG!$1:$1, 0)))),".pdf#page=",H197),CONCATENATE("#Sharepoint//",$D196))</f>
        <v>#Sharepoint//FRS_Brake Control</v>
      </c>
      <c r="I196" s="372" t="str">
        <f ca="1">HYPERLINK(CONCATENATE(Cartelle!$D$5,INDEX(CONFIG!$1:$1, 1, MATCH(INDIRECT(CONCATENATE("'CONFIG'!",ADDRESS(MATCH($D196, CONFIG!$B:$B, 0),MATCH(I$1, CONFIG!$1:$1, 0)))),INDIRECT(CONCATENATE("'CONFIG'!",MATCH($D196, CONFIG!$B:$B, 0),":",MATCH($D196, CONFIG!$B:$B, 0))),0)),"/CONFIG/",MID($D196,1,FIND("_",$D196)-1),"/",INDIRECT(CONCATENATE("'CONFIG'!",ADDRESS(MATCH($D196, CONFIG!$B:$B, 0),MATCH(I$1, CONFIG!$1:$1, 0)))),".pdf#page=",I197),CONCATENATE("#Sharepoint//",$D196))</f>
        <v>#Sharepoint//FRS_Brake Control</v>
      </c>
      <c r="J196" s="372" t="str">
        <f ca="1">HYPERLINK(CONCATENATE(Cartelle!$D$5,J$1,"/CONFIG/",MID($D196,1,FIND("_",$D196)-1),"/",INDIRECT(CONCATENATE("'CONFIG'!",ADDRESS(MATCH($D196, CONFIG!$B:$B, 0),MATCH(J$1, CONFIG!$1:$1, 0)))),".pdf#page=",J197),CONCATENATE("#Sharepoint//",$D196))</f>
        <v>#Sharepoint//FRS_Brake Control</v>
      </c>
      <c r="K196" s="373"/>
      <c r="L196" s="373"/>
    </row>
    <row r="197" spans="1:12" customFormat="1" hidden="1" outlineLevel="2" x14ac:dyDescent="0.25">
      <c r="B197" s="403"/>
      <c r="C197" s="106"/>
      <c r="D197" s="400"/>
      <c r="E197" s="383" t="s">
        <v>868</v>
      </c>
      <c r="F197" s="384">
        <v>145</v>
      </c>
      <c r="G197" s="384"/>
      <c r="H197" s="384">
        <v>157</v>
      </c>
      <c r="I197" s="384">
        <v>144</v>
      </c>
      <c r="J197" s="384">
        <v>189</v>
      </c>
      <c r="K197" s="384"/>
      <c r="L197" s="384"/>
    </row>
    <row r="198" spans="1:12" customFormat="1" x14ac:dyDescent="0.25">
      <c r="A198" s="377" t="s">
        <v>1251</v>
      </c>
      <c r="B198" s="404"/>
      <c r="C198" s="106"/>
      <c r="D198" s="398" t="s">
        <v>386</v>
      </c>
      <c r="E198" s="378"/>
      <c r="F198" s="379"/>
      <c r="G198" s="379"/>
      <c r="H198" s="379"/>
      <c r="I198" s="379"/>
      <c r="J198" s="379"/>
      <c r="K198" s="379"/>
      <c r="L198" s="380"/>
    </row>
    <row r="199" spans="1:12" customFormat="1" outlineLevel="1" collapsed="1" x14ac:dyDescent="0.25">
      <c r="B199" s="403"/>
      <c r="C199" s="106"/>
      <c r="D199" s="396" t="s">
        <v>841</v>
      </c>
      <c r="E199" s="371" t="s">
        <v>184</v>
      </c>
      <c r="F199" s="372" t="str">
        <f ca="1">HYPERLINK(CONCATENATE(Cartelle!$D$5,F$1,"/CONFIG/",MID($D199,1,FIND("_",$D199)-1),"/",INDIRECT(CONCATENATE("'CONFIG'!",ADDRESS(MATCH($D199, CONFIG!$B:$B, 0),MATCH(F$1, CONFIG!$1:$1, 0)))),".pdf#page=",F200),CONCATENATE("#Sharepoint//",$D199))</f>
        <v>#Sharepoint//FRS_Brake Control</v>
      </c>
      <c r="G199" s="405"/>
      <c r="H199" s="372" t="str">
        <f ca="1">HYPERLINK(CONCATENATE(Cartelle!$D$5,INDEX(CONFIG!$1:$1, 1, MATCH(INDIRECT(CONCATENATE("'CONFIG'!",ADDRESS(MATCH($D199, CONFIG!$B:$B, 0),MATCH(H$1, CONFIG!$1:$1, 0)))),INDIRECT(CONCATENATE("'CONFIG'!",MATCH($D199, CONFIG!$B:$B, 0),":",MATCH($D199, CONFIG!$B:$B, 0))),0)),"/CONFIG/",MID($D199,1,FIND("_",$D199)-1),"/",INDIRECT(CONCATENATE("'CONFIG'!",ADDRESS(MATCH($D199, CONFIG!$B:$B, 0),MATCH(H$1, CONFIG!$1:$1, 0)))),".pdf#page=",H200),CONCATENATE("#Sharepoint//",$D199))</f>
        <v>#Sharepoint//FRS_Brake Control</v>
      </c>
      <c r="I199" s="372" t="str">
        <f ca="1">HYPERLINK(CONCATENATE(Cartelle!$D$5,INDEX(CONFIG!$1:$1, 1, MATCH(INDIRECT(CONCATENATE("'CONFIG'!",ADDRESS(MATCH($D199, CONFIG!$B:$B, 0),MATCH(I$1, CONFIG!$1:$1, 0)))),INDIRECT(CONCATENATE("'CONFIG'!",MATCH($D199, CONFIG!$B:$B, 0),":",MATCH($D199, CONFIG!$B:$B, 0))),0)),"/CONFIG/",MID($D199,1,FIND("_",$D199)-1),"/",INDIRECT(CONCATENATE("'CONFIG'!",ADDRESS(MATCH($D199, CONFIG!$B:$B, 0),MATCH(I$1, CONFIG!$1:$1, 0)))),".pdf#page=",I200),CONCATENATE("#Sharepoint//",$D199))</f>
        <v>#Sharepoint//FRS_Brake Control</v>
      </c>
      <c r="J199" s="372" t="str">
        <f ca="1">HYPERLINK(CONCATENATE(Cartelle!$D$5,J$1,"/CONFIG/",MID($D199,1,FIND("_",$D199)-1),"/",INDIRECT(CONCATENATE("'CONFIG'!",ADDRESS(MATCH($D199, CONFIG!$B:$B, 0),MATCH(J$1, CONFIG!$1:$1, 0)))),".pdf#page=",J200),CONCATENATE("#Sharepoint//",$D199))</f>
        <v>#Sharepoint//FRS_Brake Control</v>
      </c>
      <c r="K199" s="373"/>
      <c r="L199" s="373"/>
    </row>
    <row r="200" spans="1:12" customFormat="1" hidden="1" outlineLevel="2" x14ac:dyDescent="0.25">
      <c r="B200" s="403"/>
      <c r="C200" s="106"/>
      <c r="D200" s="400"/>
      <c r="E200" s="383" t="s">
        <v>868</v>
      </c>
      <c r="F200" s="384">
        <v>153</v>
      </c>
      <c r="G200" s="384"/>
      <c r="H200" s="384">
        <v>165</v>
      </c>
      <c r="I200" s="384">
        <v>166</v>
      </c>
      <c r="J200" s="384">
        <v>192</v>
      </c>
      <c r="K200" s="384"/>
      <c r="L200" s="384"/>
    </row>
    <row r="201" spans="1:12" customFormat="1" x14ac:dyDescent="0.25">
      <c r="A201" s="377" t="s">
        <v>1252</v>
      </c>
      <c r="B201" s="404"/>
      <c r="C201" s="106"/>
      <c r="D201" s="398" t="s">
        <v>386</v>
      </c>
      <c r="E201" s="378"/>
      <c r="F201" s="379"/>
      <c r="G201" s="379"/>
      <c r="H201" s="379"/>
      <c r="I201" s="379"/>
      <c r="J201" s="379"/>
      <c r="K201" s="379"/>
      <c r="L201" s="380"/>
    </row>
    <row r="202" spans="1:12" customFormat="1" outlineLevel="1" collapsed="1" x14ac:dyDescent="0.25">
      <c r="B202" s="403"/>
      <c r="C202" s="106"/>
      <c r="D202" s="396" t="s">
        <v>841</v>
      </c>
      <c r="E202" s="371" t="s">
        <v>184</v>
      </c>
      <c r="F202" s="372" t="str">
        <f ca="1">HYPERLINK(CONCATENATE(Cartelle!$D$5,F$1,"/CONFIG/",MID($D202,1,FIND("_",$D202)-1),"/",INDIRECT(CONCATENATE("'CONFIG'!",ADDRESS(MATCH($D202, CONFIG!$B:$B, 0),MATCH(F$1, CONFIG!$1:$1, 0)))),".pdf#page=",F203),CONCATENATE("#Sharepoint//",$D202))</f>
        <v>#Sharepoint//FRS_Brake Control</v>
      </c>
      <c r="G202" s="405"/>
      <c r="H202" s="372" t="str">
        <f ca="1">HYPERLINK(CONCATENATE(Cartelle!$D$5,INDEX(CONFIG!$1:$1, 1, MATCH(INDIRECT(CONCATENATE("'CONFIG'!",ADDRESS(MATCH($D202, CONFIG!$B:$B, 0),MATCH(H$1, CONFIG!$1:$1, 0)))),INDIRECT(CONCATENATE("'CONFIG'!",MATCH($D202, CONFIG!$B:$B, 0),":",MATCH($D202, CONFIG!$B:$B, 0))),0)),"/CONFIG/",MID($D202,1,FIND("_",$D202)-1),"/",INDIRECT(CONCATENATE("'CONFIG'!",ADDRESS(MATCH($D202, CONFIG!$B:$B, 0),MATCH(H$1, CONFIG!$1:$1, 0)))),".pdf#page=",H203),CONCATENATE("#Sharepoint//",$D202))</f>
        <v>#Sharepoint//FRS_Brake Control</v>
      </c>
      <c r="I202" s="372" t="str">
        <f ca="1">HYPERLINK(CONCATENATE(Cartelle!$D$5,INDEX(CONFIG!$1:$1, 1, MATCH(INDIRECT(CONCATENATE("'CONFIG'!",ADDRESS(MATCH($D202, CONFIG!$B:$B, 0),MATCH(I$1, CONFIG!$1:$1, 0)))),INDIRECT(CONCATENATE("'CONFIG'!",MATCH($D202, CONFIG!$B:$B, 0),":",MATCH($D202, CONFIG!$B:$B, 0))),0)),"/CONFIG/",MID($D202,1,FIND("_",$D202)-1),"/",INDIRECT(CONCATENATE("'CONFIG'!",ADDRESS(MATCH($D202, CONFIG!$B:$B, 0),MATCH(I$1, CONFIG!$1:$1, 0)))),".pdf#page=",I203),CONCATENATE("#Sharepoint//",$D202))</f>
        <v>#Sharepoint//FRS_Brake Control</v>
      </c>
      <c r="J202" s="372" t="str">
        <f ca="1">HYPERLINK(CONCATENATE(Cartelle!$D$5,J$1,"/CONFIG/",MID($D202,1,FIND("_",$D202)-1),"/",INDIRECT(CONCATENATE("'CONFIG'!",ADDRESS(MATCH($D202, CONFIG!$B:$B, 0),MATCH(J$1, CONFIG!$1:$1, 0)))),".pdf#page=",J203),CONCATENATE("#Sharepoint//",$D202))</f>
        <v>#Sharepoint//FRS_Brake Control</v>
      </c>
      <c r="K202" s="373"/>
      <c r="L202" s="373"/>
    </row>
    <row r="203" spans="1:12" customFormat="1" hidden="1" outlineLevel="2" x14ac:dyDescent="0.25">
      <c r="B203" s="403"/>
      <c r="C203" s="106"/>
      <c r="D203" s="400"/>
      <c r="E203" s="383" t="s">
        <v>868</v>
      </c>
      <c r="F203" s="384">
        <v>163</v>
      </c>
      <c r="G203" s="384"/>
      <c r="H203" s="384">
        <v>173</v>
      </c>
      <c r="I203" s="384">
        <v>177</v>
      </c>
      <c r="J203" s="384">
        <v>204</v>
      </c>
      <c r="K203" s="384"/>
      <c r="L203" s="384"/>
    </row>
    <row r="204" spans="1:12" customFormat="1" x14ac:dyDescent="0.25">
      <c r="A204" s="377" t="s">
        <v>1253</v>
      </c>
      <c r="B204" s="404"/>
      <c r="C204" s="106"/>
      <c r="D204" s="398" t="s">
        <v>386</v>
      </c>
      <c r="E204" s="378"/>
      <c r="F204" s="379"/>
      <c r="G204" s="379"/>
      <c r="H204" s="379"/>
      <c r="I204" s="379"/>
      <c r="J204" s="379"/>
      <c r="K204" s="379"/>
      <c r="L204" s="380"/>
    </row>
    <row r="205" spans="1:12" customFormat="1" outlineLevel="1" collapsed="1" x14ac:dyDescent="0.25">
      <c r="B205" s="403"/>
      <c r="C205" s="106"/>
      <c r="D205" s="396" t="s">
        <v>841</v>
      </c>
      <c r="E205" s="371" t="s">
        <v>184</v>
      </c>
      <c r="F205" s="372" t="str">
        <f ca="1">HYPERLINK(CONCATENATE(Cartelle!$D$5,F$1,"/CONFIG/",MID($D205,1,FIND("_",$D205)-1),"/",INDIRECT(CONCATENATE("'CONFIG'!",ADDRESS(MATCH($D205, CONFIG!$B:$B, 0),MATCH(F$1, CONFIG!$1:$1, 0)))),".pdf#page=",F206),CONCATENATE("#Sharepoint//",$D205))</f>
        <v>#Sharepoint//FRS_Brake Control</v>
      </c>
      <c r="G205" s="405"/>
      <c r="H205" s="372" t="str">
        <f ca="1">HYPERLINK(CONCATENATE(Cartelle!$D$5,INDEX(CONFIG!$1:$1, 1, MATCH(INDIRECT(CONCATENATE("'CONFIG'!",ADDRESS(MATCH($D205, CONFIG!$B:$B, 0),MATCH(H$1, CONFIG!$1:$1, 0)))),INDIRECT(CONCATENATE("'CONFIG'!",MATCH($D205, CONFIG!$B:$B, 0),":",MATCH($D205, CONFIG!$B:$B, 0))),0)),"/CONFIG/",MID($D205,1,FIND("_",$D205)-1),"/",INDIRECT(CONCATENATE("'CONFIG'!",ADDRESS(MATCH($D205, CONFIG!$B:$B, 0),MATCH(H$1, CONFIG!$1:$1, 0)))),".pdf#page=",H206),CONCATENATE("#Sharepoint//",$D205))</f>
        <v>#Sharepoint//FRS_Brake Control</v>
      </c>
      <c r="I205" s="372" t="str">
        <f ca="1">HYPERLINK(CONCATENATE(Cartelle!$D$5,INDEX(CONFIG!$1:$1, 1, MATCH(INDIRECT(CONCATENATE("'CONFIG'!",ADDRESS(MATCH($D205, CONFIG!$B:$B, 0),MATCH(I$1, CONFIG!$1:$1, 0)))),INDIRECT(CONCATENATE("'CONFIG'!",MATCH($D205, CONFIG!$B:$B, 0),":",MATCH($D205, CONFIG!$B:$B, 0))),0)),"/CONFIG/",MID($D205,1,FIND("_",$D205)-1),"/",INDIRECT(CONCATENATE("'CONFIG'!",ADDRESS(MATCH($D205, CONFIG!$B:$B, 0),MATCH(I$1, CONFIG!$1:$1, 0)))),".pdf#page=",I206),CONCATENATE("#Sharepoint//",$D205))</f>
        <v>#Sharepoint//FRS_Brake Control</v>
      </c>
      <c r="J205" s="372" t="str">
        <f ca="1">HYPERLINK(CONCATENATE(Cartelle!$D$5,J$1,"/CONFIG/",MID($D205,1,FIND("_",$D205)-1),"/",INDIRECT(CONCATENATE("'CONFIG'!",ADDRESS(MATCH($D205, CONFIG!$B:$B, 0),MATCH(J$1, CONFIG!$1:$1, 0)))),".pdf#page=",J206),CONCATENATE("#Sharepoint//",$D205))</f>
        <v>#Sharepoint//FRS_Brake Control</v>
      </c>
      <c r="K205" s="373"/>
      <c r="L205" s="373"/>
    </row>
    <row r="206" spans="1:12" customFormat="1" hidden="1" outlineLevel="2" x14ac:dyDescent="0.25">
      <c r="B206" s="403"/>
      <c r="C206" s="106"/>
      <c r="D206" s="400"/>
      <c r="E206" s="383" t="s">
        <v>868</v>
      </c>
      <c r="F206" s="384">
        <v>172</v>
      </c>
      <c r="G206" s="384"/>
      <c r="H206" s="384">
        <v>184</v>
      </c>
      <c r="I206" s="384">
        <v>186</v>
      </c>
      <c r="J206" s="384">
        <v>213</v>
      </c>
      <c r="K206" s="384"/>
      <c r="L206" s="384"/>
    </row>
    <row r="207" spans="1:12" customFormat="1" x14ac:dyDescent="0.25">
      <c r="A207" s="377" t="s">
        <v>1254</v>
      </c>
      <c r="B207" s="404"/>
      <c r="C207" s="106"/>
      <c r="D207" s="398" t="s">
        <v>386</v>
      </c>
      <c r="E207" s="378"/>
      <c r="F207" s="379"/>
      <c r="G207" s="379"/>
      <c r="H207" s="379"/>
      <c r="I207" s="379"/>
      <c r="J207" s="379"/>
      <c r="K207" s="379"/>
      <c r="L207" s="380"/>
    </row>
    <row r="208" spans="1:12" customFormat="1" outlineLevel="1" collapsed="1" x14ac:dyDescent="0.25">
      <c r="B208" s="403"/>
      <c r="C208" s="106"/>
      <c r="D208" s="396" t="s">
        <v>841</v>
      </c>
      <c r="E208" s="371" t="s">
        <v>184</v>
      </c>
      <c r="F208" s="372" t="str">
        <f ca="1">HYPERLINK(CONCATENATE(Cartelle!$D$5,F$1,"/CONFIG/",MID($D208,1,FIND("_",$D208)-1),"/",INDIRECT(CONCATENATE("'CONFIG'!",ADDRESS(MATCH($D208, CONFIG!$B:$B, 0),MATCH(F$1, CONFIG!$1:$1, 0)))),".pdf#page=",F209),CONCATENATE("#Sharepoint//",$D208))</f>
        <v>#Sharepoint//FRS_Brake Control</v>
      </c>
      <c r="G208" s="405"/>
      <c r="H208" s="372" t="str">
        <f ca="1">HYPERLINK(CONCATENATE(Cartelle!$D$5,INDEX(CONFIG!$1:$1, 1, MATCH(INDIRECT(CONCATENATE("'CONFIG'!",ADDRESS(MATCH($D208, CONFIG!$B:$B, 0),MATCH(H$1, CONFIG!$1:$1, 0)))),INDIRECT(CONCATENATE("'CONFIG'!",MATCH($D208, CONFIG!$B:$B, 0),":",MATCH($D208, CONFIG!$B:$B, 0))),0)),"/CONFIG/",MID($D208,1,FIND("_",$D208)-1),"/",INDIRECT(CONCATENATE("'CONFIG'!",ADDRESS(MATCH($D208, CONFIG!$B:$B, 0),MATCH(H$1, CONFIG!$1:$1, 0)))),".pdf#page=",H209),CONCATENATE("#Sharepoint//",$D208))</f>
        <v>#Sharepoint//FRS_Brake Control</v>
      </c>
      <c r="I208" s="372" t="str">
        <f ca="1">HYPERLINK(CONCATENATE(Cartelle!$D$5,INDEX(CONFIG!$1:$1, 1, MATCH(INDIRECT(CONCATENATE("'CONFIG'!",ADDRESS(MATCH($D208, CONFIG!$B:$B, 0),MATCH(I$1, CONFIG!$1:$1, 0)))),INDIRECT(CONCATENATE("'CONFIG'!",MATCH($D208, CONFIG!$B:$B, 0),":",MATCH($D208, CONFIG!$B:$B, 0))),0)),"/CONFIG/",MID($D208,1,FIND("_",$D208)-1),"/",INDIRECT(CONCATENATE("'CONFIG'!",ADDRESS(MATCH($D208, CONFIG!$B:$B, 0),MATCH(I$1, CONFIG!$1:$1, 0)))),".pdf#page=",I209),CONCATENATE("#Sharepoint//",$D208))</f>
        <v>#Sharepoint//FRS_Brake Control</v>
      </c>
      <c r="J208" s="372" t="str">
        <f ca="1">HYPERLINK(CONCATENATE(Cartelle!$D$5,J$1,"/CONFIG/",MID($D208,1,FIND("_",$D208)-1),"/",INDIRECT(CONCATENATE("'CONFIG'!",ADDRESS(MATCH($D208, CONFIG!$B:$B, 0),MATCH(J$1, CONFIG!$1:$1, 0)))),".pdf#page=",J209),CONCATENATE("#Sharepoint//",$D208))</f>
        <v>#Sharepoint//FRS_Brake Control</v>
      </c>
      <c r="K208" s="373"/>
      <c r="L208" s="373"/>
    </row>
    <row r="209" spans="1:12" customFormat="1" hidden="1" outlineLevel="2" x14ac:dyDescent="0.25">
      <c r="B209" s="403"/>
      <c r="C209" s="106"/>
      <c r="D209" s="400"/>
      <c r="E209" s="383" t="s">
        <v>868</v>
      </c>
      <c r="F209" s="384">
        <v>224</v>
      </c>
      <c r="G209" s="384"/>
      <c r="H209" s="384">
        <v>238</v>
      </c>
      <c r="I209" s="384">
        <v>234</v>
      </c>
      <c r="J209" s="384">
        <v>262</v>
      </c>
      <c r="K209" s="384"/>
      <c r="L209" s="384"/>
    </row>
    <row r="210" spans="1:12" customFormat="1" x14ac:dyDescent="0.25">
      <c r="A210" s="377" t="s">
        <v>1255</v>
      </c>
      <c r="B210" s="404"/>
      <c r="C210" s="106"/>
      <c r="D210" s="398" t="s">
        <v>386</v>
      </c>
      <c r="E210" s="378"/>
      <c r="F210" s="379"/>
      <c r="G210" s="379"/>
      <c r="H210" s="379"/>
      <c r="I210" s="379"/>
      <c r="J210" s="379"/>
      <c r="K210" s="379"/>
      <c r="L210" s="380"/>
    </row>
    <row r="211" spans="1:12" customFormat="1" outlineLevel="1" collapsed="1" x14ac:dyDescent="0.25">
      <c r="B211" s="403"/>
      <c r="C211" s="106"/>
      <c r="D211" s="396" t="s">
        <v>841</v>
      </c>
      <c r="E211" s="371" t="s">
        <v>184</v>
      </c>
      <c r="F211" s="372" t="str">
        <f ca="1">HYPERLINK(CONCATENATE(Cartelle!$D$5,F$1,"/CONFIG/",MID($D211,1,FIND("_",$D211)-1),"/",INDIRECT(CONCATENATE("'CONFIG'!",ADDRESS(MATCH($D211, CONFIG!$B:$B, 0),MATCH(F$1, CONFIG!$1:$1, 0)))),".pdf#page=",F212),CONCATENATE("#Sharepoint//",$D211))</f>
        <v>#Sharepoint//FRS_Brake Control</v>
      </c>
      <c r="G211" s="405"/>
      <c r="H211" s="372" t="str">
        <f ca="1">HYPERLINK(CONCATENATE(Cartelle!$D$5,INDEX(CONFIG!$1:$1, 1, MATCH(INDIRECT(CONCATENATE("'CONFIG'!",ADDRESS(MATCH($D211, CONFIG!$B:$B, 0),MATCH(H$1, CONFIG!$1:$1, 0)))),INDIRECT(CONCATENATE("'CONFIG'!",MATCH($D211, CONFIG!$B:$B, 0),":",MATCH($D211, CONFIG!$B:$B, 0))),0)),"/CONFIG/",MID($D211,1,FIND("_",$D211)-1),"/",INDIRECT(CONCATENATE("'CONFIG'!",ADDRESS(MATCH($D211, CONFIG!$B:$B, 0),MATCH(H$1, CONFIG!$1:$1, 0)))),".pdf#page=",H212),CONCATENATE("#Sharepoint//",$D211))</f>
        <v>#Sharepoint//FRS_Brake Control</v>
      </c>
      <c r="I211" s="372" t="str">
        <f ca="1">HYPERLINK(CONCATENATE(Cartelle!$D$5,INDEX(CONFIG!$1:$1, 1, MATCH(INDIRECT(CONCATENATE("'CONFIG'!",ADDRESS(MATCH($D211, CONFIG!$B:$B, 0),MATCH(I$1, CONFIG!$1:$1, 0)))),INDIRECT(CONCATENATE("'CONFIG'!",MATCH($D211, CONFIG!$B:$B, 0),":",MATCH($D211, CONFIG!$B:$B, 0))),0)),"/CONFIG/",MID($D211,1,FIND("_",$D211)-1),"/",INDIRECT(CONCATENATE("'CONFIG'!",ADDRESS(MATCH($D211, CONFIG!$B:$B, 0),MATCH(I$1, CONFIG!$1:$1, 0)))),".pdf#page=",I212),CONCATENATE("#Sharepoint//",$D211))</f>
        <v>#Sharepoint//FRS_Brake Control</v>
      </c>
      <c r="J211" s="372" t="str">
        <f ca="1">HYPERLINK(CONCATENATE(Cartelle!$D$5,J$1,"/CONFIG/",MID($D211,1,FIND("_",$D211)-1),"/",INDIRECT(CONCATENATE("'CONFIG'!",ADDRESS(MATCH($D211, CONFIG!$B:$B, 0),MATCH(J$1, CONFIG!$1:$1, 0)))),".pdf#page=",J212),CONCATENATE("#Sharepoint//",$D211))</f>
        <v>#Sharepoint//FRS_Brake Control</v>
      </c>
      <c r="K211" s="373"/>
      <c r="L211" s="373"/>
    </row>
    <row r="212" spans="1:12" customFormat="1" hidden="1" outlineLevel="2" x14ac:dyDescent="0.25">
      <c r="B212" s="403"/>
      <c r="C212" s="106"/>
      <c r="D212" s="400"/>
      <c r="E212" s="383" t="s">
        <v>868</v>
      </c>
      <c r="F212" s="384">
        <v>233</v>
      </c>
      <c r="G212" s="384"/>
      <c r="H212" s="384">
        <v>246</v>
      </c>
      <c r="I212" s="384">
        <v>242</v>
      </c>
      <c r="J212" s="384">
        <v>270</v>
      </c>
      <c r="K212" s="384"/>
      <c r="L212" s="384"/>
    </row>
    <row r="213" spans="1:12" customFormat="1" x14ac:dyDescent="0.25">
      <c r="A213" s="377" t="s">
        <v>1256</v>
      </c>
      <c r="B213" s="404"/>
      <c r="C213" s="106"/>
      <c r="D213" s="398" t="s">
        <v>386</v>
      </c>
      <c r="E213" s="378"/>
      <c r="F213" s="379"/>
      <c r="G213" s="379"/>
      <c r="H213" s="379"/>
      <c r="I213" s="379"/>
      <c r="J213" s="379"/>
      <c r="K213" s="379"/>
      <c r="L213" s="380"/>
    </row>
    <row r="214" spans="1:12" customFormat="1" outlineLevel="1" collapsed="1" x14ac:dyDescent="0.25">
      <c r="B214" s="403"/>
      <c r="C214" s="106"/>
      <c r="D214" s="396" t="s">
        <v>841</v>
      </c>
      <c r="E214" s="371" t="s">
        <v>184</v>
      </c>
      <c r="F214" s="372" t="str">
        <f ca="1">HYPERLINK(CONCATENATE(Cartelle!$D$5,F$1,"/CONFIG/",MID($D214,1,FIND("_",$D214)-1),"/",INDIRECT(CONCATENATE("'CONFIG'!",ADDRESS(MATCH($D214, CONFIG!$B:$B, 0),MATCH(F$1, CONFIG!$1:$1, 0)))),".pdf#page=",F215),CONCATENATE("#Sharepoint//",$D214))</f>
        <v>#Sharepoint//FRS_Brake Control</v>
      </c>
      <c r="G214" s="405"/>
      <c r="H214" s="372" t="str">
        <f ca="1">HYPERLINK(CONCATENATE(Cartelle!$D$5,INDEX(CONFIG!$1:$1, 1, MATCH(INDIRECT(CONCATENATE("'CONFIG'!",ADDRESS(MATCH($D214, CONFIG!$B:$B, 0),MATCH(H$1, CONFIG!$1:$1, 0)))),INDIRECT(CONCATENATE("'CONFIG'!",MATCH($D214, CONFIG!$B:$B, 0),":",MATCH($D214, CONFIG!$B:$B, 0))),0)),"/CONFIG/",MID($D214,1,FIND("_",$D214)-1),"/",INDIRECT(CONCATENATE("'CONFIG'!",ADDRESS(MATCH($D214, CONFIG!$B:$B, 0),MATCH(H$1, CONFIG!$1:$1, 0)))),".pdf#page=",H215),CONCATENATE("#Sharepoint//",$D214))</f>
        <v>#Sharepoint//FRS_Brake Control</v>
      </c>
      <c r="I214" s="372"/>
      <c r="J214" s="372"/>
      <c r="K214" s="373"/>
      <c r="L214" s="373"/>
    </row>
    <row r="215" spans="1:12" customFormat="1" hidden="1" outlineLevel="2" x14ac:dyDescent="0.25">
      <c r="B215" s="403"/>
      <c r="C215" s="106"/>
      <c r="D215" s="399"/>
      <c r="E215" s="381" t="s">
        <v>868</v>
      </c>
      <c r="F215" s="382">
        <v>234</v>
      </c>
      <c r="G215" s="382"/>
      <c r="H215" s="382">
        <v>247</v>
      </c>
      <c r="I215" s="382"/>
      <c r="J215" s="382"/>
      <c r="K215" s="382"/>
      <c r="L215" s="382"/>
    </row>
    <row r="216" spans="1:12" customFormat="1" x14ac:dyDescent="0.25">
      <c r="A216" s="366" t="s">
        <v>1258</v>
      </c>
      <c r="B216" s="402"/>
      <c r="C216" s="106"/>
      <c r="D216" s="395" t="s">
        <v>386</v>
      </c>
      <c r="E216" s="367"/>
      <c r="F216" s="368"/>
      <c r="G216" s="368"/>
      <c r="H216" s="368"/>
      <c r="I216" s="368"/>
      <c r="J216" s="368"/>
      <c r="K216" s="368"/>
      <c r="L216" s="369"/>
    </row>
    <row r="217" spans="1:12" customFormat="1" outlineLevel="1" collapsed="1" x14ac:dyDescent="0.25">
      <c r="B217" s="403"/>
      <c r="C217" s="106"/>
      <c r="D217" s="396" t="s">
        <v>842</v>
      </c>
      <c r="E217" s="371" t="s">
        <v>184</v>
      </c>
      <c r="F217" s="372" t="str">
        <f ca="1">HYPERLINK(CONCATENATE(Cartelle!$D$5,F$1,"/CONFIG/",MID($D217,1,FIND("_",$D217)-1),"/",INDIRECT(CONCATENATE("'CONFIG'!",ADDRESS(MATCH($D217, CONFIG!$B:$B, 0),MATCH(F$1, CONFIG!$1:$1, 0)))),".pdf#page=",F218),CONCATENATE("#Sharepoint//",$D217))</f>
        <v>#Sharepoint//FRS_Bogies</v>
      </c>
      <c r="G217" s="372" t="str">
        <f ca="1">HYPERLINK(CONCATENATE(Cartelle!$D$5,INDEX(CONFIG!$1:$1, 1, MATCH(INDIRECT(CONCATENATE("'CONFIG'!",ADDRESS(MATCH($D217, CONFIG!$B:$B, 0),MATCH(G$1, CONFIG!$1:$1, 0)))),INDIRECT(CONCATENATE("'CONFIG'!",MATCH($D217, CONFIG!$B:$B, 0),":",MATCH($D217, CONFIG!$B:$B, 0))),0)),"/CONFIG/",MID($D217,1,FIND("_",$D217)-1),"/",INDIRECT(CONCATENATE("'CONFIG'!",ADDRESS(MATCH($D217, CONFIG!$B:$B, 0),MATCH(G$1, CONFIG!$1:$1, 0)))),".pdf#page=",G218),CONCATENATE("#Sharepoint//",$D217))</f>
        <v>#Sharepoint//FRS_Bogies</v>
      </c>
      <c r="H217" s="405"/>
      <c r="I217" s="372" t="str">
        <f ca="1">HYPERLINK(CONCATENATE(Cartelle!$D$5,INDEX(CONFIG!$1:$1, 1, MATCH(INDIRECT(CONCATENATE("'CONFIG'!",ADDRESS(MATCH($D217, CONFIG!$B:$B, 0),MATCH(I$1, CONFIG!$1:$1, 0)))),INDIRECT(CONCATENATE("'CONFIG'!",MATCH($D217, CONFIG!$B:$B, 0),":",MATCH($D217, CONFIG!$B:$B, 0))),0)),"/CONFIG/",MID($D217,1,FIND("_",$D217)-1),"/",INDIRECT(CONCATENATE("'CONFIG'!",ADDRESS(MATCH($D217, CONFIG!$B:$B, 0),MATCH(I$1, CONFIG!$1:$1, 0)))),".pdf#page=",I218),CONCATENATE("#Sharepoint//",$D217))</f>
        <v>#Sharepoint//FRS_Bogies</v>
      </c>
      <c r="J217" s="372" t="str">
        <f ca="1">HYPERLINK(CONCATENATE(Cartelle!$D$5,J$1,"/CONFIG/",MID($D217,1,FIND("_",$D217)-1),"/",INDIRECT(CONCATENATE("'CONFIG'!",ADDRESS(MATCH($D217, CONFIG!$B:$B, 0),MATCH(J$1, CONFIG!$1:$1, 0)))),".pdf#page=",J218),CONCATENATE("#Sharepoint//",$D217))</f>
        <v>#Sharepoint//FRS_Bogies</v>
      </c>
      <c r="K217" s="373"/>
      <c r="L217" s="373"/>
    </row>
    <row r="218" spans="1:12" customFormat="1" hidden="1" outlineLevel="2" x14ac:dyDescent="0.25">
      <c r="B218" s="403"/>
      <c r="C218" s="106"/>
      <c r="D218" s="400"/>
      <c r="E218" s="383" t="s">
        <v>868</v>
      </c>
      <c r="F218" s="384">
        <v>11</v>
      </c>
      <c r="G218" s="384">
        <v>10</v>
      </c>
      <c r="H218" s="384"/>
      <c r="I218" s="384">
        <v>10</v>
      </c>
      <c r="J218" s="384">
        <v>11</v>
      </c>
      <c r="K218" s="384"/>
      <c r="L218" s="384"/>
    </row>
    <row r="219" spans="1:12" customFormat="1" x14ac:dyDescent="0.25">
      <c r="A219" s="377" t="s">
        <v>1259</v>
      </c>
      <c r="B219" s="404"/>
      <c r="C219" s="106"/>
      <c r="D219" s="398" t="s">
        <v>386</v>
      </c>
      <c r="E219" s="378"/>
      <c r="F219" s="379"/>
      <c r="G219" s="379"/>
      <c r="H219" s="379"/>
      <c r="I219" s="379"/>
      <c r="J219" s="379"/>
      <c r="K219" s="379"/>
      <c r="L219" s="380"/>
    </row>
    <row r="220" spans="1:12" customFormat="1" outlineLevel="1" collapsed="1" x14ac:dyDescent="0.25">
      <c r="B220" s="403"/>
      <c r="C220" s="106"/>
      <c r="D220" s="396" t="s">
        <v>842</v>
      </c>
      <c r="E220" s="371" t="s">
        <v>184</v>
      </c>
      <c r="F220" s="372" t="str">
        <f ca="1">HYPERLINK(CONCATENATE(Cartelle!$D$5,F$1,"/CONFIG/",MID($D220,1,FIND("_",$D220)-1),"/",INDIRECT(CONCATENATE("'CONFIG'!",ADDRESS(MATCH($D220, CONFIG!$B:$B, 0),MATCH(F$1, CONFIG!$1:$1, 0)))),".pdf#page=",F221),CONCATENATE("#Sharepoint//",$D220))</f>
        <v>#Sharepoint//FRS_Bogies</v>
      </c>
      <c r="G220" s="372" t="str">
        <f ca="1">HYPERLINK(CONCATENATE(Cartelle!$D$5,INDEX(CONFIG!$1:$1, 1, MATCH(INDIRECT(CONCATENATE("'CONFIG'!",ADDRESS(MATCH($D220, CONFIG!$B:$B, 0),MATCH(G$1, CONFIG!$1:$1, 0)))),INDIRECT(CONCATENATE("'CONFIG'!",MATCH($D220, CONFIG!$B:$B, 0),":",MATCH($D220, CONFIG!$B:$B, 0))),0)),"/CONFIG/",MID($D220,1,FIND("_",$D220)-1),"/",INDIRECT(CONCATENATE("'CONFIG'!",ADDRESS(MATCH($D220, CONFIG!$B:$B, 0),MATCH(G$1, CONFIG!$1:$1, 0)))),".pdf#page=",G221),CONCATENATE("#Sharepoint//",$D220))</f>
        <v>#Sharepoint//FRS_Bogies</v>
      </c>
      <c r="H220" s="405"/>
      <c r="I220" s="372" t="str">
        <f ca="1">HYPERLINK(CONCATENATE(Cartelle!$D$5,INDEX(CONFIG!$1:$1, 1, MATCH(INDIRECT(CONCATENATE("'CONFIG'!",ADDRESS(MATCH($D220, CONFIG!$B:$B, 0),MATCH(I$1, CONFIG!$1:$1, 0)))),INDIRECT(CONCATENATE("'CONFIG'!",MATCH($D220, CONFIG!$B:$B, 0),":",MATCH($D220, CONFIG!$B:$B, 0))),0)),"/CONFIG/",MID($D220,1,FIND("_",$D220)-1),"/",INDIRECT(CONCATENATE("'CONFIG'!",ADDRESS(MATCH($D220, CONFIG!$B:$B, 0),MATCH(I$1, CONFIG!$1:$1, 0)))),".pdf#page=",I221),CONCATENATE("#Sharepoint//",$D220))</f>
        <v>#Sharepoint//FRS_Bogies</v>
      </c>
      <c r="J220" s="372" t="str">
        <f ca="1">HYPERLINK(CONCATENATE(Cartelle!$D$5,J$1,"/CONFIG/",MID($D220,1,FIND("_",$D220)-1),"/",INDIRECT(CONCATENATE("'CONFIG'!",ADDRESS(MATCH($D220, CONFIG!$B:$B, 0),MATCH(J$1, CONFIG!$1:$1, 0)))),".pdf#page=",J221),CONCATENATE("#Sharepoint//",$D220))</f>
        <v>#Sharepoint//FRS_Bogies</v>
      </c>
      <c r="K220" s="373"/>
      <c r="L220" s="373"/>
    </row>
    <row r="221" spans="1:12" customFormat="1" hidden="1" outlineLevel="2" x14ac:dyDescent="0.25">
      <c r="B221" s="403"/>
      <c r="C221" s="106"/>
      <c r="D221" s="400"/>
      <c r="E221" s="383" t="s">
        <v>868</v>
      </c>
      <c r="F221" s="384">
        <v>14</v>
      </c>
      <c r="G221" s="384">
        <v>12</v>
      </c>
      <c r="H221" s="384"/>
      <c r="I221" s="384">
        <v>12</v>
      </c>
      <c r="J221" s="384">
        <v>14</v>
      </c>
      <c r="K221" s="384"/>
      <c r="L221" s="384"/>
    </row>
    <row r="222" spans="1:12" customFormat="1" x14ac:dyDescent="0.25">
      <c r="A222" s="377" t="s">
        <v>1260</v>
      </c>
      <c r="B222" s="404"/>
      <c r="C222" s="106"/>
      <c r="D222" s="398" t="s">
        <v>386</v>
      </c>
      <c r="E222" s="378"/>
      <c r="F222" s="379"/>
      <c r="G222" s="379"/>
      <c r="H222" s="379"/>
      <c r="I222" s="379"/>
      <c r="J222" s="379"/>
      <c r="K222" s="379"/>
      <c r="L222" s="380"/>
    </row>
    <row r="223" spans="1:12" customFormat="1" outlineLevel="1" collapsed="1" x14ac:dyDescent="0.25">
      <c r="B223" s="403"/>
      <c r="C223" s="106"/>
      <c r="D223" s="396" t="s">
        <v>842</v>
      </c>
      <c r="E223" s="371" t="s">
        <v>184</v>
      </c>
      <c r="F223" s="372" t="str">
        <f ca="1">HYPERLINK(CONCATENATE(Cartelle!$D$5,F$1,"/CONFIG/",MID($D223,1,FIND("_",$D223)-1),"/",INDIRECT(CONCATENATE("'CONFIG'!",ADDRESS(MATCH($D223, CONFIG!$B:$B, 0),MATCH(F$1, CONFIG!$1:$1, 0)))),".pdf#page=",F224),CONCATENATE("#Sharepoint//",$D223))</f>
        <v>#Sharepoint//FRS_Bogies</v>
      </c>
      <c r="G223" s="372" t="str">
        <f ca="1">HYPERLINK(CONCATENATE(Cartelle!$D$5,INDEX(CONFIG!$1:$1, 1, MATCH(INDIRECT(CONCATENATE("'CONFIG'!",ADDRESS(MATCH($D223, CONFIG!$B:$B, 0),MATCH(G$1, CONFIG!$1:$1, 0)))),INDIRECT(CONCATENATE("'CONFIG'!",MATCH($D223, CONFIG!$B:$B, 0),":",MATCH($D223, CONFIG!$B:$B, 0))),0)),"/CONFIG/",MID($D223,1,FIND("_",$D223)-1),"/",INDIRECT(CONCATENATE("'CONFIG'!",ADDRESS(MATCH($D223, CONFIG!$B:$B, 0),MATCH(G$1, CONFIG!$1:$1, 0)))),".pdf#page=",G224),CONCATENATE("#Sharepoint//",$D223))</f>
        <v>#Sharepoint//FRS_Bogies</v>
      </c>
      <c r="H223" s="405"/>
      <c r="I223" s="372" t="str">
        <f ca="1">HYPERLINK(CONCATENATE(Cartelle!$D$5,INDEX(CONFIG!$1:$1, 1, MATCH(INDIRECT(CONCATENATE("'CONFIG'!",ADDRESS(MATCH($D223, CONFIG!$B:$B, 0),MATCH(I$1, CONFIG!$1:$1, 0)))),INDIRECT(CONCATENATE("'CONFIG'!",MATCH($D223, CONFIG!$B:$B, 0),":",MATCH($D223, CONFIG!$B:$B, 0))),0)),"/CONFIG/",MID($D223,1,FIND("_",$D223)-1),"/",INDIRECT(CONCATENATE("'CONFIG'!",ADDRESS(MATCH($D223, CONFIG!$B:$B, 0),MATCH(I$1, CONFIG!$1:$1, 0)))),".pdf#page=",I224),CONCATENATE("#Sharepoint//",$D223))</f>
        <v>#Sharepoint//FRS_Bogies</v>
      </c>
      <c r="J223" s="372" t="str">
        <f ca="1">HYPERLINK(CONCATENATE(Cartelle!$D$5,J$1,"/CONFIG/",MID($D223,1,FIND("_",$D223)-1),"/",INDIRECT(CONCATENATE("'CONFIG'!",ADDRESS(MATCH($D223, CONFIG!$B:$B, 0),MATCH(J$1, CONFIG!$1:$1, 0)))),".pdf#page=",J224),CONCATENATE("#Sharepoint//",$D223))</f>
        <v>#Sharepoint//FRS_Bogies</v>
      </c>
      <c r="K223" s="373"/>
      <c r="L223" s="373"/>
    </row>
    <row r="224" spans="1:12" customFormat="1" hidden="1" outlineLevel="2" x14ac:dyDescent="0.25">
      <c r="B224" s="403"/>
      <c r="C224" s="106"/>
      <c r="D224" s="400"/>
      <c r="E224" s="383" t="s">
        <v>868</v>
      </c>
      <c r="F224" s="384">
        <v>20</v>
      </c>
      <c r="G224" s="384">
        <v>20</v>
      </c>
      <c r="H224" s="384"/>
      <c r="I224" s="384">
        <v>20</v>
      </c>
      <c r="J224" s="384">
        <v>36</v>
      </c>
      <c r="K224" s="384"/>
      <c r="L224" s="384"/>
    </row>
    <row r="225" spans="1:12" customFormat="1" x14ac:dyDescent="0.25">
      <c r="A225" s="377" t="s">
        <v>1261</v>
      </c>
      <c r="B225" s="404"/>
      <c r="C225" s="106"/>
      <c r="D225" s="398" t="s">
        <v>386</v>
      </c>
      <c r="E225" s="378"/>
      <c r="F225" s="379"/>
      <c r="G225" s="379"/>
      <c r="H225" s="379"/>
      <c r="I225" s="379"/>
      <c r="J225" s="379"/>
      <c r="K225" s="379"/>
      <c r="L225" s="380"/>
    </row>
    <row r="226" spans="1:12" customFormat="1" outlineLevel="1" collapsed="1" x14ac:dyDescent="0.25">
      <c r="B226" s="403"/>
      <c r="C226" s="106"/>
      <c r="D226" s="396" t="s">
        <v>842</v>
      </c>
      <c r="E226" s="371" t="s">
        <v>184</v>
      </c>
      <c r="F226" s="372" t="str">
        <f ca="1">HYPERLINK(CONCATENATE(Cartelle!$D$5,F$1,"/CONFIG/",MID($D226,1,FIND("_",$D226)-1),"/",INDIRECT(CONCATENATE("'CONFIG'!",ADDRESS(MATCH($D226, CONFIG!$B:$B, 0),MATCH(F$1, CONFIG!$1:$1, 0)))),".pdf#page=",F227),CONCATENATE("#Sharepoint//",$D226))</f>
        <v>#Sharepoint//FRS_Bogies</v>
      </c>
      <c r="G226" s="372" t="str">
        <f ca="1">HYPERLINK(CONCATENATE(Cartelle!$D$5,INDEX(CONFIG!$1:$1, 1, MATCH(INDIRECT(CONCATENATE("'CONFIG'!",ADDRESS(MATCH($D226, CONFIG!$B:$B, 0),MATCH(G$1, CONFIG!$1:$1, 0)))),INDIRECT(CONCATENATE("'CONFIG'!",MATCH($D226, CONFIG!$B:$B, 0),":",MATCH($D226, CONFIG!$B:$B, 0))),0)),"/CONFIG/",MID($D226,1,FIND("_",$D226)-1),"/",INDIRECT(CONCATENATE("'CONFIG'!",ADDRESS(MATCH($D226, CONFIG!$B:$B, 0),MATCH(G$1, CONFIG!$1:$1, 0)))),".pdf#page=",G227),CONCATENATE("#Sharepoint//",$D226))</f>
        <v>#Sharepoint//FRS_Bogies</v>
      </c>
      <c r="H226" s="405"/>
      <c r="I226" s="372" t="str">
        <f ca="1">HYPERLINK(CONCATENATE(Cartelle!$D$5,INDEX(CONFIG!$1:$1, 1, MATCH(INDIRECT(CONCATENATE("'CONFIG'!",ADDRESS(MATCH($D226, CONFIG!$B:$B, 0),MATCH(I$1, CONFIG!$1:$1, 0)))),INDIRECT(CONCATENATE("'CONFIG'!",MATCH($D226, CONFIG!$B:$B, 0),":",MATCH($D226, CONFIG!$B:$B, 0))),0)),"/CONFIG/",MID($D226,1,FIND("_",$D226)-1),"/",INDIRECT(CONCATENATE("'CONFIG'!",ADDRESS(MATCH($D226, CONFIG!$B:$B, 0),MATCH(I$1, CONFIG!$1:$1, 0)))),".pdf#page=",I227),CONCATENATE("#Sharepoint//",$D226))</f>
        <v>#Sharepoint//FRS_Bogies</v>
      </c>
      <c r="J226" s="372" t="str">
        <f ca="1">HYPERLINK(CONCATENATE(Cartelle!$D$5,J$1,"/CONFIG/",MID($D226,1,FIND("_",$D226)-1),"/",INDIRECT(CONCATENATE("'CONFIG'!",ADDRESS(MATCH($D226, CONFIG!$B:$B, 0),MATCH(J$1, CONFIG!$1:$1, 0)))),".pdf#page=",J227),CONCATENATE("#Sharepoint//",$D226))</f>
        <v>#Sharepoint//FRS_Bogies</v>
      </c>
      <c r="K226" s="373"/>
      <c r="L226" s="373"/>
    </row>
    <row r="227" spans="1:12" customFormat="1" hidden="1" outlineLevel="2" x14ac:dyDescent="0.25">
      <c r="B227" s="403"/>
      <c r="C227" s="106"/>
      <c r="D227" s="400"/>
      <c r="E227" s="383" t="s">
        <v>868</v>
      </c>
      <c r="F227" s="384">
        <v>29</v>
      </c>
      <c r="G227" s="384">
        <v>28</v>
      </c>
      <c r="H227" s="384"/>
      <c r="I227" s="384">
        <v>28</v>
      </c>
      <c r="J227" s="384">
        <v>43</v>
      </c>
      <c r="K227" s="384"/>
      <c r="L227" s="384"/>
    </row>
    <row r="228" spans="1:12" customFormat="1" x14ac:dyDescent="0.25">
      <c r="A228" s="377" t="s">
        <v>1262</v>
      </c>
      <c r="B228" s="404"/>
      <c r="C228" s="106"/>
      <c r="D228" s="398" t="s">
        <v>386</v>
      </c>
      <c r="E228" s="378"/>
      <c r="F228" s="379"/>
      <c r="G228" s="379"/>
      <c r="H228" s="379"/>
      <c r="I228" s="379"/>
      <c r="J228" s="379"/>
      <c r="K228" s="379"/>
      <c r="L228" s="380"/>
    </row>
    <row r="229" spans="1:12" customFormat="1" outlineLevel="1" collapsed="1" x14ac:dyDescent="0.25">
      <c r="B229" s="403"/>
      <c r="C229" s="106"/>
      <c r="D229" s="396" t="s">
        <v>842</v>
      </c>
      <c r="E229" s="371" t="s">
        <v>184</v>
      </c>
      <c r="F229" s="372" t="str">
        <f ca="1">HYPERLINK(CONCATENATE(Cartelle!$D$5,F$1,"/CONFIG/",MID($D229,1,FIND("_",$D229)-1),"/",INDIRECT(CONCATENATE("'CONFIG'!",ADDRESS(MATCH($D229, CONFIG!$B:$B, 0),MATCH(F$1, CONFIG!$1:$1, 0)))),".pdf#page=",F230),CONCATENATE("#Sharepoint//",$D229))</f>
        <v>#Sharepoint//FRS_Bogies</v>
      </c>
      <c r="G229" s="372" t="str">
        <f ca="1">HYPERLINK(CONCATENATE(Cartelle!$D$5,INDEX(CONFIG!$1:$1, 1, MATCH(INDIRECT(CONCATENATE("'CONFIG'!",ADDRESS(MATCH($D229, CONFIG!$B:$B, 0),MATCH(G$1, CONFIG!$1:$1, 0)))),INDIRECT(CONCATENATE("'CONFIG'!",MATCH($D229, CONFIG!$B:$B, 0),":",MATCH($D229, CONFIG!$B:$B, 0))),0)),"/CONFIG/",MID($D229,1,FIND("_",$D229)-1),"/",INDIRECT(CONCATENATE("'CONFIG'!",ADDRESS(MATCH($D229, CONFIG!$B:$B, 0),MATCH(G$1, CONFIG!$1:$1, 0)))),".pdf#page=",G230),CONCATENATE("#Sharepoint//",$D229))</f>
        <v>#Sharepoint//FRS_Bogies</v>
      </c>
      <c r="H229" s="405"/>
      <c r="I229" s="372" t="str">
        <f ca="1">HYPERLINK(CONCATENATE(Cartelle!$D$5,INDEX(CONFIG!$1:$1, 1, MATCH(INDIRECT(CONCATENATE("'CONFIG'!",ADDRESS(MATCH($D229, CONFIG!$B:$B, 0),MATCH(I$1, CONFIG!$1:$1, 0)))),INDIRECT(CONCATENATE("'CONFIG'!",MATCH($D229, CONFIG!$B:$B, 0),":",MATCH($D229, CONFIG!$B:$B, 0))),0)),"/CONFIG/",MID($D229,1,FIND("_",$D229)-1),"/",INDIRECT(CONCATENATE("'CONFIG'!",ADDRESS(MATCH($D229, CONFIG!$B:$B, 0),MATCH(I$1, CONFIG!$1:$1, 0)))),".pdf#page=",I230),CONCATENATE("#Sharepoint//",$D229))</f>
        <v>#Sharepoint//FRS_Bogies</v>
      </c>
      <c r="J229" s="372" t="str">
        <f ca="1">HYPERLINK(CONCATENATE(Cartelle!$D$5,J$1,"/CONFIG/",MID($D229,1,FIND("_",$D229)-1),"/",INDIRECT(CONCATENATE("'CONFIG'!",ADDRESS(MATCH($D229, CONFIG!$B:$B, 0),MATCH(J$1, CONFIG!$1:$1, 0)))),".pdf#page=",J230),CONCATENATE("#Sharepoint//",$D229))</f>
        <v>#Sharepoint//FRS_Bogies</v>
      </c>
      <c r="K229" s="373"/>
      <c r="L229" s="373"/>
    </row>
    <row r="230" spans="1:12" customFormat="1" hidden="1" outlineLevel="2" x14ac:dyDescent="0.25">
      <c r="B230" s="403"/>
      <c r="C230" s="106"/>
      <c r="D230" s="399"/>
      <c r="E230" s="381" t="s">
        <v>868</v>
      </c>
      <c r="F230" s="382">
        <v>31</v>
      </c>
      <c r="G230" s="382">
        <v>29</v>
      </c>
      <c r="H230" s="382"/>
      <c r="I230" s="382">
        <v>29</v>
      </c>
      <c r="J230" s="382">
        <v>44</v>
      </c>
      <c r="K230" s="382"/>
      <c r="L230" s="382"/>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2094-D45A-41D2-9A93-E0F68842102C}">
  <sheetPr codeName="Foglio8">
    <tabColor rgb="FFFFCCFF"/>
    <outlinePr summaryBelow="0"/>
  </sheetPr>
  <dimension ref="A1:V100"/>
  <sheetViews>
    <sheetView zoomScaleNormal="100" workbookViewId="0">
      <pane xSplit="2" ySplit="2" topLeftCell="C35" activePane="bottomRight" state="frozen"/>
      <selection pane="topRight" activeCell="F1" sqref="F1"/>
      <selection pane="bottomLeft" activeCell="A3" sqref="A3"/>
      <selection pane="bottomRight" activeCell="I2" sqref="I2"/>
    </sheetView>
  </sheetViews>
  <sheetFormatPr defaultColWidth="8.7109375" defaultRowHeight="15" outlineLevelRow="3" x14ac:dyDescent="0.25"/>
  <cols>
    <col min="1" max="1" width="13.85546875" style="15" bestFit="1" customWidth="1"/>
    <col min="2" max="2" width="39.5703125" style="15" bestFit="1" customWidth="1"/>
    <col min="3" max="3" width="24.28515625" style="15" customWidth="1"/>
    <col min="4" max="4" width="18.7109375" style="15" bestFit="1" customWidth="1"/>
    <col min="5" max="10" width="16.5703125" style="15" customWidth="1"/>
    <col min="11" max="11" width="12.140625" style="254" customWidth="1"/>
    <col min="12" max="12" width="4.28515625" style="251" bestFit="1" customWidth="1"/>
    <col min="13" max="13" width="5.140625" style="251" bestFit="1" customWidth="1"/>
    <col min="14" max="14" width="8.7109375" style="254"/>
    <col min="15" max="15" width="4.140625" style="251" bestFit="1" customWidth="1"/>
    <col min="16" max="16" width="5.140625" style="251" bestFit="1" customWidth="1"/>
    <col min="17" max="17" width="11.5703125" style="254" bestFit="1" customWidth="1"/>
    <col min="18" max="18" width="5.5703125" style="283" bestFit="1" customWidth="1"/>
    <col min="19" max="19" width="6.5703125" style="283" customWidth="1"/>
    <col min="20" max="20" width="8.7109375" style="283"/>
    <col min="21" max="21" width="6.7109375" style="283" customWidth="1"/>
    <col min="22" max="22" width="8.7109375" style="283"/>
    <col min="23" max="16384" width="8.7109375" style="103"/>
  </cols>
  <sheetData>
    <row r="1" spans="1:22" s="105" customFormat="1" ht="31.5" customHeight="1" x14ac:dyDescent="0.25">
      <c r="A1" s="509" t="s">
        <v>188</v>
      </c>
      <c r="B1" s="511" t="s">
        <v>1115</v>
      </c>
      <c r="C1" s="513" t="s">
        <v>33</v>
      </c>
      <c r="D1" s="506" t="s">
        <v>194</v>
      </c>
      <c r="E1" s="507"/>
      <c r="F1" s="507"/>
      <c r="G1" s="507"/>
      <c r="H1" s="507"/>
      <c r="I1" s="507"/>
      <c r="J1" s="508"/>
      <c r="K1" s="502" t="s">
        <v>167</v>
      </c>
      <c r="L1" s="515"/>
      <c r="M1" s="503"/>
      <c r="N1" s="502" t="s">
        <v>186</v>
      </c>
      <c r="O1" s="515"/>
      <c r="P1" s="503"/>
      <c r="Q1" s="502" t="s">
        <v>195</v>
      </c>
      <c r="R1" s="503"/>
      <c r="S1" s="504" t="s">
        <v>191</v>
      </c>
      <c r="T1" s="505"/>
      <c r="U1" s="504" t="s">
        <v>192</v>
      </c>
      <c r="V1" s="505"/>
    </row>
    <row r="2" spans="1:22" s="105" customFormat="1" ht="31.5" customHeight="1" x14ac:dyDescent="0.25">
      <c r="A2" s="510"/>
      <c r="B2" s="512"/>
      <c r="C2" s="514"/>
      <c r="D2" s="141" t="s">
        <v>1472</v>
      </c>
      <c r="E2" s="142" t="s">
        <v>1474</v>
      </c>
      <c r="F2" s="142" t="s">
        <v>960</v>
      </c>
      <c r="G2" s="142" t="s">
        <v>173</v>
      </c>
      <c r="H2" s="142" t="s">
        <v>1475</v>
      </c>
      <c r="I2" s="142" t="s">
        <v>1476</v>
      </c>
      <c r="J2" s="143" t="s">
        <v>174</v>
      </c>
      <c r="K2" s="232" t="s">
        <v>189</v>
      </c>
      <c r="L2" s="233" t="s">
        <v>183</v>
      </c>
      <c r="M2" s="233" t="s">
        <v>184</v>
      </c>
      <c r="N2" s="232" t="s">
        <v>189</v>
      </c>
      <c r="O2" s="233" t="s">
        <v>183</v>
      </c>
      <c r="P2" s="234" t="s">
        <v>184</v>
      </c>
      <c r="Q2" s="235" t="s">
        <v>190</v>
      </c>
      <c r="R2" s="234" t="s">
        <v>184</v>
      </c>
      <c r="S2" s="236" t="s">
        <v>183</v>
      </c>
      <c r="T2" s="237" t="s">
        <v>184</v>
      </c>
      <c r="U2" s="236" t="s">
        <v>183</v>
      </c>
      <c r="V2" s="237" t="s">
        <v>184</v>
      </c>
    </row>
    <row r="3" spans="1:22" x14ac:dyDescent="0.25">
      <c r="A3" s="218" t="s">
        <v>404</v>
      </c>
      <c r="B3" s="219"/>
      <c r="C3" s="220"/>
      <c r="D3" s="218" t="s">
        <v>1112</v>
      </c>
      <c r="E3" s="221" t="s">
        <v>1112</v>
      </c>
      <c r="F3" s="221" t="s">
        <v>1112</v>
      </c>
      <c r="G3" s="221" t="s">
        <v>1112</v>
      </c>
      <c r="H3" s="221" t="s">
        <v>1112</v>
      </c>
      <c r="I3" s="221" t="s">
        <v>1112</v>
      </c>
      <c r="J3" s="219" t="s">
        <v>1112</v>
      </c>
      <c r="K3" s="238"/>
      <c r="L3" s="239"/>
      <c r="M3" s="239"/>
      <c r="N3" s="238"/>
      <c r="O3" s="239"/>
      <c r="P3" s="240"/>
      <c r="Q3" s="241"/>
      <c r="R3" s="242"/>
      <c r="S3" s="243"/>
      <c r="T3" s="242"/>
      <c r="U3" s="243"/>
      <c r="V3" s="242"/>
    </row>
    <row r="4" spans="1:22" outlineLevel="1" x14ac:dyDescent="0.25">
      <c r="A4" s="222"/>
      <c r="B4" s="122" t="s">
        <v>1079</v>
      </c>
      <c r="C4" s="224"/>
      <c r="D4" s="222" t="s">
        <v>1113</v>
      </c>
      <c r="E4" s="194" t="s">
        <v>1113</v>
      </c>
      <c r="F4" s="194" t="s">
        <v>1113</v>
      </c>
      <c r="G4" s="194" t="s">
        <v>1113</v>
      </c>
      <c r="H4" s="194" t="s">
        <v>1113</v>
      </c>
      <c r="I4" s="194" t="s">
        <v>1113</v>
      </c>
      <c r="J4" s="223" t="s">
        <v>1113</v>
      </c>
      <c r="K4" s="244"/>
      <c r="L4" s="245"/>
      <c r="M4" s="245"/>
      <c r="N4" s="244"/>
      <c r="O4" s="245"/>
      <c r="P4" s="246"/>
      <c r="Q4" s="247"/>
      <c r="R4" s="248"/>
      <c r="S4" s="249"/>
      <c r="T4" s="248"/>
      <c r="U4" s="249"/>
      <c r="V4" s="248"/>
    </row>
    <row r="5" spans="1:22" outlineLevel="2" x14ac:dyDescent="0.25">
      <c r="A5" s="109"/>
      <c r="B5" s="110" t="s">
        <v>162</v>
      </c>
      <c r="C5" s="107">
        <v>10574479</v>
      </c>
      <c r="D5" s="109" t="s">
        <v>1102</v>
      </c>
      <c r="E5" s="15" t="s">
        <v>1102</v>
      </c>
      <c r="F5" s="15" t="s">
        <v>165</v>
      </c>
      <c r="H5" s="15" t="s">
        <v>1102</v>
      </c>
      <c r="J5" s="110"/>
      <c r="K5" s="250" t="s">
        <v>185</v>
      </c>
      <c r="L5" s="251">
        <v>161</v>
      </c>
      <c r="M5" s="252" t="e">
        <f>HYPERLINK(CONCATENATE(Cartelle!$A$2,Cartelle!$D$2,Cartelle!#REF!,'PBS (TBD)'!K5,"#page=",'PBS (TBD)'!L5),"#")</f>
        <v>#REF!</v>
      </c>
      <c r="N5" s="250" t="s">
        <v>187</v>
      </c>
      <c r="O5" s="251">
        <v>93</v>
      </c>
      <c r="P5" s="253" t="e">
        <f>HYPERLINK(CONCATENATE(Cartelle!$A$2,Cartelle!#REF!,Cartelle!#REF!,'PBS (TBD)'!N5,"#page=",'PBS (TBD)'!O5),"#")</f>
        <v>#REF!</v>
      </c>
      <c r="R5" s="255"/>
      <c r="S5" s="256"/>
      <c r="T5" s="255"/>
      <c r="U5" s="256"/>
      <c r="V5" s="255"/>
    </row>
    <row r="6" spans="1:22" outlineLevel="2" x14ac:dyDescent="0.25">
      <c r="A6" s="109"/>
      <c r="B6" s="110" t="s">
        <v>163</v>
      </c>
      <c r="C6" s="107">
        <v>10542152</v>
      </c>
      <c r="D6" s="109" t="s">
        <v>1101</v>
      </c>
      <c r="E6" s="15" t="s">
        <v>1101</v>
      </c>
      <c r="F6" s="15" t="s">
        <v>165</v>
      </c>
      <c r="H6" s="15" t="s">
        <v>1101</v>
      </c>
      <c r="J6" s="110"/>
      <c r="K6" s="250" t="s">
        <v>185</v>
      </c>
      <c r="L6" s="251">
        <v>180</v>
      </c>
      <c r="M6" s="252" t="e">
        <f>HYPERLINK(CONCATENATE(Cartelle!$A$2,Cartelle!$D$2,Cartelle!#REF!,'PBS (TBD)'!K6,"#page=",'PBS (TBD)'!L6),"#")</f>
        <v>#REF!</v>
      </c>
      <c r="N6" s="250" t="s">
        <v>187</v>
      </c>
      <c r="O6" s="251">
        <v>33</v>
      </c>
      <c r="P6" s="253" t="e">
        <f>HYPERLINK(CONCATENATE(Cartelle!$A$2,Cartelle!#REF!,Cartelle!#REF!,'PBS (TBD)'!N6,"#page=",'PBS (TBD)'!O6),"#")</f>
        <v>#REF!</v>
      </c>
      <c r="R6" s="255"/>
      <c r="S6" s="256"/>
      <c r="T6" s="255"/>
      <c r="U6" s="256"/>
      <c r="V6" s="255"/>
    </row>
    <row r="7" spans="1:22" outlineLevel="2" x14ac:dyDescent="0.25">
      <c r="A7" s="109"/>
      <c r="B7" s="110" t="s">
        <v>164</v>
      </c>
      <c r="C7" s="107"/>
      <c r="D7" s="109"/>
      <c r="J7" s="110"/>
      <c r="K7" s="250"/>
      <c r="M7" s="252"/>
      <c r="N7" s="250"/>
      <c r="P7" s="253"/>
      <c r="R7" s="255"/>
      <c r="S7" s="256"/>
      <c r="T7" s="255"/>
      <c r="U7" s="256"/>
      <c r="V7" s="255"/>
    </row>
    <row r="8" spans="1:22" outlineLevel="1" x14ac:dyDescent="0.25">
      <c r="A8" s="222"/>
      <c r="B8" s="122" t="s">
        <v>1080</v>
      </c>
      <c r="C8" s="224"/>
      <c r="D8" s="222" t="s">
        <v>1113</v>
      </c>
      <c r="E8" s="194" t="s">
        <v>1113</v>
      </c>
      <c r="F8" s="194" t="s">
        <v>1113</v>
      </c>
      <c r="G8" s="194" t="s">
        <v>1113</v>
      </c>
      <c r="H8" s="194" t="s">
        <v>1113</v>
      </c>
      <c r="I8" s="194" t="s">
        <v>1113</v>
      </c>
      <c r="J8" s="223" t="s">
        <v>1113</v>
      </c>
      <c r="K8" s="244"/>
      <c r="L8" s="245"/>
      <c r="M8" s="245"/>
      <c r="N8" s="244"/>
      <c r="O8" s="245"/>
      <c r="P8" s="246"/>
      <c r="Q8" s="247"/>
      <c r="R8" s="248"/>
      <c r="S8" s="249"/>
      <c r="T8" s="248"/>
      <c r="U8" s="249"/>
      <c r="V8" s="248"/>
    </row>
    <row r="9" spans="1:22" outlineLevel="2" x14ac:dyDescent="0.25">
      <c r="A9" s="109"/>
      <c r="B9" s="131" t="s">
        <v>71</v>
      </c>
      <c r="C9" s="229" t="s">
        <v>166</v>
      </c>
      <c r="D9" s="109" t="s">
        <v>1103</v>
      </c>
      <c r="J9" s="110"/>
      <c r="K9" s="250"/>
      <c r="N9" s="250"/>
      <c r="P9" s="257"/>
      <c r="R9" s="255"/>
      <c r="S9" s="256"/>
      <c r="T9" s="255"/>
      <c r="U9" s="256"/>
      <c r="V9" s="255"/>
    </row>
    <row r="10" spans="1:22" s="230" customFormat="1" outlineLevel="2" x14ac:dyDescent="0.25">
      <c r="A10" s="137"/>
      <c r="B10" s="133" t="s">
        <v>71</v>
      </c>
      <c r="C10" s="134" t="s">
        <v>72</v>
      </c>
      <c r="D10" s="135"/>
      <c r="E10" s="136" t="s">
        <v>1103</v>
      </c>
      <c r="F10" s="138"/>
      <c r="G10" s="138"/>
      <c r="H10" s="138"/>
      <c r="I10" s="138"/>
      <c r="J10" s="131"/>
      <c r="K10" s="258"/>
      <c r="L10" s="259"/>
      <c r="M10" s="259"/>
      <c r="N10" s="258"/>
      <c r="O10" s="259"/>
      <c r="P10" s="260"/>
      <c r="Q10" s="261" t="s">
        <v>72</v>
      </c>
      <c r="R10" s="262" t="e">
        <f>HYPERLINK(CONCATENATE(Cartelle!$A$2,Cartelle!#REF!,'PBS (TBD)'!Q10),"#")</f>
        <v>#REF!</v>
      </c>
      <c r="S10" s="263"/>
      <c r="T10" s="264"/>
      <c r="U10" s="263"/>
      <c r="V10" s="264"/>
    </row>
    <row r="11" spans="1:22" outlineLevel="2" x14ac:dyDescent="0.25">
      <c r="A11" s="109"/>
      <c r="B11" s="225" t="s">
        <v>71</v>
      </c>
      <c r="C11" s="226" t="s">
        <v>74</v>
      </c>
      <c r="D11" s="231"/>
      <c r="E11" s="227"/>
      <c r="F11" s="227"/>
      <c r="G11" s="227"/>
      <c r="H11" s="227" t="s">
        <v>1103</v>
      </c>
      <c r="J11" s="110"/>
      <c r="K11" s="250"/>
      <c r="N11" s="250"/>
      <c r="P11" s="257"/>
      <c r="R11" s="253"/>
      <c r="S11" s="256"/>
      <c r="T11" s="255"/>
      <c r="U11" s="256"/>
      <c r="V11" s="255"/>
    </row>
    <row r="12" spans="1:22" x14ac:dyDescent="0.25">
      <c r="A12" s="218" t="s">
        <v>24</v>
      </c>
      <c r="B12" s="228"/>
      <c r="C12" s="220"/>
      <c r="D12" s="218" t="s">
        <v>1112</v>
      </c>
      <c r="E12" s="221" t="s">
        <v>1112</v>
      </c>
      <c r="F12" s="221" t="s">
        <v>1112</v>
      </c>
      <c r="G12" s="221" t="s">
        <v>1112</v>
      </c>
      <c r="H12" s="221" t="s">
        <v>1112</v>
      </c>
      <c r="I12" s="221" t="s">
        <v>1112</v>
      </c>
      <c r="J12" s="219" t="s">
        <v>1112</v>
      </c>
      <c r="K12" s="238"/>
      <c r="L12" s="239"/>
      <c r="M12" s="239"/>
      <c r="N12" s="238"/>
      <c r="O12" s="239"/>
      <c r="P12" s="240"/>
      <c r="Q12" s="265"/>
      <c r="R12" s="242"/>
      <c r="S12" s="243"/>
      <c r="T12" s="242"/>
      <c r="U12" s="243"/>
      <c r="V12" s="242"/>
    </row>
    <row r="13" spans="1:22" outlineLevel="1" x14ac:dyDescent="0.25">
      <c r="A13" s="222"/>
      <c r="B13" s="122" t="s">
        <v>1080</v>
      </c>
      <c r="C13" s="224"/>
      <c r="D13" s="222" t="s">
        <v>1113</v>
      </c>
      <c r="E13" s="194" t="s">
        <v>1113</v>
      </c>
      <c r="F13" s="194" t="s">
        <v>1113</v>
      </c>
      <c r="G13" s="194" t="s">
        <v>1113</v>
      </c>
      <c r="H13" s="194" t="s">
        <v>1113</v>
      </c>
      <c r="I13" s="194" t="s">
        <v>1113</v>
      </c>
      <c r="J13" s="223" t="s">
        <v>1113</v>
      </c>
      <c r="K13" s="244"/>
      <c r="L13" s="245"/>
      <c r="M13" s="245"/>
      <c r="N13" s="244"/>
      <c r="O13" s="245"/>
      <c r="P13" s="246"/>
      <c r="Q13" s="247"/>
      <c r="R13" s="248"/>
      <c r="S13" s="249"/>
      <c r="T13" s="248"/>
      <c r="U13" s="249"/>
      <c r="V13" s="248"/>
    </row>
    <row r="14" spans="1:22" outlineLevel="2" x14ac:dyDescent="0.25">
      <c r="A14" s="109"/>
      <c r="B14" s="131" t="s">
        <v>216</v>
      </c>
      <c r="C14" s="132" t="s">
        <v>92</v>
      </c>
      <c r="D14" s="109" t="s">
        <v>1109</v>
      </c>
      <c r="E14" s="15" t="s">
        <v>1109</v>
      </c>
      <c r="J14" s="110"/>
      <c r="K14" s="250" t="s">
        <v>215</v>
      </c>
      <c r="L14" s="251">
        <v>113</v>
      </c>
      <c r="M14" s="252" t="e">
        <f>HYPERLINK(CONCATENATE(Cartelle!$A$2,Cartelle!$D$2,Cartelle!#REF!,'PBS (TBD)'!K14,"#page=",'PBS (TBD)'!L14),"#")</f>
        <v>#REF!</v>
      </c>
      <c r="N14" s="250" t="s">
        <v>212</v>
      </c>
      <c r="O14" s="251">
        <v>48</v>
      </c>
      <c r="P14" s="253" t="e">
        <f>HYPERLINK(CONCATENATE(Cartelle!$A$2,Cartelle!#REF!,Cartelle!#REF!,'PBS (TBD)'!N14,"#page=",'PBS (TBD)'!O14),"#")</f>
        <v>#REF!</v>
      </c>
      <c r="R14" s="255"/>
      <c r="S14" s="256"/>
      <c r="T14" s="255"/>
      <c r="U14" s="256"/>
      <c r="V14" s="255"/>
    </row>
    <row r="15" spans="1:22" outlineLevel="2" x14ac:dyDescent="0.25">
      <c r="A15" s="109"/>
      <c r="B15" s="131" t="s">
        <v>217</v>
      </c>
      <c r="C15" s="132" t="s">
        <v>199</v>
      </c>
      <c r="D15" s="109" t="s">
        <v>1110</v>
      </c>
      <c r="E15" s="15" t="s">
        <v>1110</v>
      </c>
      <c r="J15" s="110"/>
      <c r="K15" s="250" t="s">
        <v>215</v>
      </c>
      <c r="L15" s="251">
        <v>121</v>
      </c>
      <c r="M15" s="252" t="e">
        <f>HYPERLINK(CONCATENATE(Cartelle!$A$2,Cartelle!$D$2,Cartelle!#REF!,'PBS (TBD)'!K15,"#page=",'PBS (TBD)'!L15),"#")</f>
        <v>#REF!</v>
      </c>
      <c r="N15" s="250" t="s">
        <v>212</v>
      </c>
      <c r="O15" s="251">
        <v>52</v>
      </c>
      <c r="P15" s="253" t="e">
        <f>HYPERLINK(CONCATENATE(Cartelle!$A$2,Cartelle!#REF!,Cartelle!#REF!,'PBS (TBD)'!N15,"#page=",'PBS (TBD)'!O15),"#")</f>
        <v>#REF!</v>
      </c>
      <c r="R15" s="255"/>
      <c r="S15" s="256"/>
      <c r="T15" s="255"/>
      <c r="U15" s="256"/>
      <c r="V15" s="255"/>
    </row>
    <row r="16" spans="1:22" outlineLevel="2" x14ac:dyDescent="0.25">
      <c r="A16" s="109"/>
      <c r="B16" s="131" t="s">
        <v>218</v>
      </c>
      <c r="C16" s="132" t="s">
        <v>97</v>
      </c>
      <c r="D16" s="109" t="s">
        <v>1109</v>
      </c>
      <c r="E16" s="15" t="s">
        <v>1109</v>
      </c>
      <c r="J16" s="110"/>
      <c r="K16" s="250" t="s">
        <v>215</v>
      </c>
      <c r="L16" s="251">
        <v>124</v>
      </c>
      <c r="M16" s="252" t="e">
        <f>HYPERLINK(CONCATENATE(Cartelle!$A$2,Cartelle!$D$2,Cartelle!#REF!,'PBS (TBD)'!K16,"#page=",'PBS (TBD)'!L16),"#")</f>
        <v>#REF!</v>
      </c>
      <c r="N16" s="250" t="s">
        <v>212</v>
      </c>
      <c r="O16" s="251">
        <v>44</v>
      </c>
      <c r="P16" s="253" t="e">
        <f>HYPERLINK(CONCATENATE(Cartelle!$A$2,Cartelle!#REF!,Cartelle!#REF!,'PBS (TBD)'!N16,"#page=",'PBS (TBD)'!O16),"#")</f>
        <v>#REF!</v>
      </c>
      <c r="R16" s="255"/>
      <c r="S16" s="256"/>
      <c r="T16" s="255"/>
      <c r="U16" s="256"/>
      <c r="V16" s="255"/>
    </row>
    <row r="17" spans="1:22" outlineLevel="2" x14ac:dyDescent="0.25">
      <c r="A17" s="109"/>
      <c r="B17" s="131" t="s">
        <v>231</v>
      </c>
      <c r="C17" s="132" t="s">
        <v>198</v>
      </c>
      <c r="D17" s="109" t="s">
        <v>1109</v>
      </c>
      <c r="J17" s="110"/>
      <c r="K17" s="250" t="s">
        <v>215</v>
      </c>
      <c r="L17" s="251">
        <v>175</v>
      </c>
      <c r="M17" s="252" t="e">
        <f>HYPERLINK(CONCATENATE(Cartelle!$A$2,Cartelle!$D$2,Cartelle!#REF!,'PBS (TBD)'!K17,"#page=",'PBS (TBD)'!L17),"#")</f>
        <v>#REF!</v>
      </c>
      <c r="N17" s="250" t="s">
        <v>212</v>
      </c>
      <c r="O17" s="251">
        <v>70</v>
      </c>
      <c r="P17" s="253" t="e">
        <f>HYPERLINK(CONCATENATE(Cartelle!$A$2,Cartelle!#REF!,Cartelle!#REF!,'PBS (TBD)'!N17,"#page=",'PBS (TBD)'!O17),"#")</f>
        <v>#REF!</v>
      </c>
      <c r="R17" s="255"/>
      <c r="S17" s="256"/>
      <c r="T17" s="255"/>
      <c r="U17" s="256"/>
      <c r="V17" s="255"/>
    </row>
    <row r="18" spans="1:22" outlineLevel="2" x14ac:dyDescent="0.25">
      <c r="A18" s="109"/>
      <c r="B18" s="133" t="s">
        <v>222</v>
      </c>
      <c r="C18" s="134" t="s">
        <v>223</v>
      </c>
      <c r="D18" s="109"/>
      <c r="E18" s="136" t="s">
        <v>1109</v>
      </c>
      <c r="J18" s="110"/>
      <c r="K18" s="250"/>
      <c r="M18" s="252"/>
      <c r="N18" s="250" t="s">
        <v>212</v>
      </c>
      <c r="O18" s="251">
        <v>28</v>
      </c>
      <c r="P18" s="253" t="e">
        <f>HYPERLINK(CONCATENATE(Cartelle!$A$2,Cartelle!#REF!,Cartelle!#REF!,'PBS (TBD)'!N18,"#page=",'PBS (TBD)'!O18),"#")</f>
        <v>#REF!</v>
      </c>
      <c r="R18" s="255"/>
      <c r="S18" s="256"/>
      <c r="T18" s="255"/>
      <c r="U18" s="256"/>
      <c r="V18" s="255"/>
    </row>
    <row r="19" spans="1:22" outlineLevel="2" x14ac:dyDescent="0.25">
      <c r="A19" s="109"/>
      <c r="B19" s="131" t="s">
        <v>227</v>
      </c>
      <c r="C19" s="132" t="s">
        <v>196</v>
      </c>
      <c r="D19" s="109" t="s">
        <v>1109</v>
      </c>
      <c r="J19" s="110"/>
      <c r="K19" s="250" t="s">
        <v>215</v>
      </c>
      <c r="L19" s="251">
        <v>175</v>
      </c>
      <c r="M19" s="252" t="e">
        <f>HYPERLINK(CONCATENATE(Cartelle!$A$2,Cartelle!$D$2,Cartelle!#REF!,'PBS (TBD)'!K19,"#page=",'PBS (TBD)'!L19),"#")</f>
        <v>#REF!</v>
      </c>
      <c r="N19" s="250" t="s">
        <v>212</v>
      </c>
      <c r="O19" s="251">
        <v>74</v>
      </c>
      <c r="P19" s="253" t="e">
        <f>HYPERLINK(CONCATENATE(Cartelle!$A$2,Cartelle!#REF!,Cartelle!#REF!,'PBS (TBD)'!N19,"#page=",'PBS (TBD)'!O19),"#")</f>
        <v>#REF!</v>
      </c>
      <c r="R19" s="255"/>
      <c r="S19" s="256"/>
      <c r="T19" s="255"/>
      <c r="U19" s="256"/>
      <c r="V19" s="255"/>
    </row>
    <row r="20" spans="1:22" outlineLevel="2" x14ac:dyDescent="0.25">
      <c r="A20" s="109"/>
      <c r="B20" s="133" t="s">
        <v>224</v>
      </c>
      <c r="C20" s="134" t="s">
        <v>225</v>
      </c>
      <c r="D20" s="109"/>
      <c r="E20" s="136" t="s">
        <v>1109</v>
      </c>
      <c r="J20" s="110"/>
      <c r="K20" s="250"/>
      <c r="M20" s="252"/>
      <c r="N20" s="250" t="s">
        <v>212</v>
      </c>
      <c r="O20" s="251">
        <v>84</v>
      </c>
      <c r="P20" s="253" t="e">
        <f>HYPERLINK(CONCATENATE(Cartelle!$A$2,Cartelle!#REF!,Cartelle!#REF!,'PBS (TBD)'!N20,"#page=",'PBS (TBD)'!O20),"#")</f>
        <v>#REF!</v>
      </c>
      <c r="R20" s="255"/>
      <c r="S20" s="256"/>
      <c r="T20" s="255"/>
      <c r="U20" s="256"/>
      <c r="V20" s="255"/>
    </row>
    <row r="21" spans="1:22" outlineLevel="2" x14ac:dyDescent="0.25">
      <c r="A21" s="109"/>
      <c r="B21" s="131" t="s">
        <v>226</v>
      </c>
      <c r="C21" s="132" t="s">
        <v>197</v>
      </c>
      <c r="D21" s="109" t="s">
        <v>1106</v>
      </c>
      <c r="E21" s="15" t="s">
        <v>1106</v>
      </c>
      <c r="J21" s="110"/>
      <c r="K21" s="250" t="s">
        <v>215</v>
      </c>
      <c r="L21" s="251">
        <v>175</v>
      </c>
      <c r="M21" s="252" t="e">
        <f>HYPERLINK(CONCATENATE(Cartelle!$A$2,Cartelle!$D$2,Cartelle!#REF!,'PBS (TBD)'!K21,"#page=",'PBS (TBD)'!L21),"#")</f>
        <v>#REF!</v>
      </c>
      <c r="N21" s="250" t="s">
        <v>212</v>
      </c>
      <c r="O21" s="251">
        <v>76</v>
      </c>
      <c r="P21" s="253" t="e">
        <f>HYPERLINK(CONCATENATE(Cartelle!$A$2,Cartelle!#REF!,Cartelle!#REF!,'PBS (TBD)'!N21,"#page=",'PBS (TBD)'!O21),"#")</f>
        <v>#REF!</v>
      </c>
      <c r="R21" s="255"/>
      <c r="S21" s="256"/>
      <c r="T21" s="255"/>
      <c r="U21" s="256"/>
      <c r="V21" s="255"/>
    </row>
    <row r="22" spans="1:22" outlineLevel="2" x14ac:dyDescent="0.25">
      <c r="A22" s="109"/>
      <c r="B22" s="110" t="s">
        <v>203</v>
      </c>
      <c r="C22" s="107" t="s">
        <v>202</v>
      </c>
      <c r="D22" s="109" t="s">
        <v>1106</v>
      </c>
      <c r="E22" s="15" t="s">
        <v>1106</v>
      </c>
      <c r="J22" s="110"/>
      <c r="K22" s="250" t="s">
        <v>215</v>
      </c>
      <c r="L22" s="251">
        <v>150</v>
      </c>
      <c r="M22" s="252" t="e">
        <f>HYPERLINK(CONCATENATE(Cartelle!$A$2,Cartelle!$D$2,Cartelle!#REF!,'PBS (TBD)'!K22,"#page=",'PBS (TBD)'!L22),"#")</f>
        <v>#REF!</v>
      </c>
      <c r="N22" s="250" t="s">
        <v>212</v>
      </c>
      <c r="O22" s="251">
        <v>62</v>
      </c>
      <c r="P22" s="253" t="e">
        <f>HYPERLINK(CONCATENATE(Cartelle!$A$2,Cartelle!#REF!,Cartelle!#REF!,'PBS (TBD)'!N22,"#page=",'PBS (TBD)'!O22),"#")</f>
        <v>#REF!</v>
      </c>
      <c r="R22" s="255"/>
      <c r="S22" s="256"/>
      <c r="T22" s="255"/>
      <c r="U22" s="256"/>
      <c r="V22" s="255"/>
    </row>
    <row r="23" spans="1:22" outlineLevel="2" x14ac:dyDescent="0.25">
      <c r="A23" s="109"/>
      <c r="B23" s="110" t="s">
        <v>205</v>
      </c>
      <c r="C23" s="107" t="s">
        <v>204</v>
      </c>
      <c r="D23" s="109" t="s">
        <v>1105</v>
      </c>
      <c r="E23" s="138" t="s">
        <v>1105</v>
      </c>
      <c r="J23" s="110"/>
      <c r="K23" s="250" t="s">
        <v>215</v>
      </c>
      <c r="L23" s="251">
        <v>151</v>
      </c>
      <c r="M23" s="252" t="e">
        <f>HYPERLINK(CONCATENATE(Cartelle!$A$2,Cartelle!$D$2,Cartelle!#REF!,'PBS (TBD)'!K23,"#page=",'PBS (TBD)'!L23),"#")</f>
        <v>#REF!</v>
      </c>
      <c r="N23" s="250" t="s">
        <v>212</v>
      </c>
      <c r="O23" s="251">
        <v>82</v>
      </c>
      <c r="P23" s="253" t="e">
        <f>HYPERLINK(CONCATENATE(Cartelle!$A$2,Cartelle!#REF!,Cartelle!#REF!,'PBS (TBD)'!N23,"#page=",'PBS (TBD)'!O23),"#")</f>
        <v>#REF!</v>
      </c>
      <c r="R23" s="255"/>
      <c r="S23" s="256"/>
      <c r="T23" s="255"/>
      <c r="U23" s="256"/>
      <c r="V23" s="255"/>
    </row>
    <row r="24" spans="1:22" outlineLevel="2" x14ac:dyDescent="0.25">
      <c r="A24" s="109"/>
      <c r="B24" s="110" t="s">
        <v>221</v>
      </c>
      <c r="C24" s="107" t="s">
        <v>206</v>
      </c>
      <c r="D24" s="109" t="s">
        <v>1106</v>
      </c>
      <c r="E24" s="15" t="s">
        <v>1106</v>
      </c>
      <c r="J24" s="110"/>
      <c r="K24" s="250" t="s">
        <v>215</v>
      </c>
      <c r="L24" s="251">
        <v>151</v>
      </c>
      <c r="M24" s="252" t="e">
        <f>HYPERLINK(CONCATENATE(Cartelle!$A$2,Cartelle!$D$2,Cartelle!#REF!,'PBS (TBD)'!K24,"#page=",'PBS (TBD)'!L24),"#")</f>
        <v>#REF!</v>
      </c>
      <c r="N24" s="250" t="s">
        <v>212</v>
      </c>
      <c r="O24" s="251">
        <v>66</v>
      </c>
      <c r="P24" s="253" t="e">
        <f>HYPERLINK(CONCATENATE(Cartelle!$A$2,Cartelle!#REF!,Cartelle!#REF!,'PBS (TBD)'!N24,"#page=",'PBS (TBD)'!O24),"#")</f>
        <v>#REF!</v>
      </c>
      <c r="R24" s="255"/>
      <c r="S24" s="256"/>
      <c r="T24" s="255"/>
      <c r="U24" s="256"/>
      <c r="V24" s="255"/>
    </row>
    <row r="25" spans="1:22" outlineLevel="2" x14ac:dyDescent="0.25">
      <c r="A25" s="109"/>
      <c r="B25" s="225" t="s">
        <v>233</v>
      </c>
      <c r="C25" s="226" t="s">
        <v>234</v>
      </c>
      <c r="D25" s="109"/>
      <c r="H25" s="227" t="s">
        <v>1109</v>
      </c>
      <c r="I25" s="227" t="s">
        <v>1109</v>
      </c>
      <c r="J25" s="110"/>
      <c r="K25" s="250" t="s">
        <v>261</v>
      </c>
      <c r="L25" s="251">
        <v>94</v>
      </c>
      <c r="M25" s="252" t="e">
        <f>HYPERLINK(CONCATENATE(Cartelle!$A$2,Cartelle!$D$2,Cartelle!#REF!,'PBS (TBD)'!K25,"#page=",'PBS (TBD)'!L25),"#")</f>
        <v>#REF!</v>
      </c>
      <c r="N25" s="250"/>
      <c r="O25" s="266"/>
      <c r="P25" s="253"/>
      <c r="R25" s="255"/>
      <c r="S25" s="256"/>
      <c r="T25" s="255"/>
      <c r="U25" s="256"/>
      <c r="V25" s="255"/>
    </row>
    <row r="26" spans="1:22" outlineLevel="2" x14ac:dyDescent="0.25">
      <c r="A26" s="109"/>
      <c r="B26" s="225" t="s">
        <v>236</v>
      </c>
      <c r="C26" s="226" t="s">
        <v>237</v>
      </c>
      <c r="D26" s="109"/>
      <c r="H26" s="227" t="s">
        <v>1109</v>
      </c>
      <c r="I26" s="227" t="s">
        <v>1109</v>
      </c>
      <c r="J26" s="110"/>
      <c r="K26" s="250"/>
      <c r="N26" s="250"/>
      <c r="P26" s="257"/>
      <c r="R26" s="255"/>
      <c r="S26" s="256"/>
      <c r="T26" s="255"/>
      <c r="U26" s="256"/>
      <c r="V26" s="255"/>
    </row>
    <row r="27" spans="1:22" outlineLevel="2" x14ac:dyDescent="0.25">
      <c r="A27" s="109"/>
      <c r="B27" s="225" t="s">
        <v>262</v>
      </c>
      <c r="C27" s="226" t="s">
        <v>254</v>
      </c>
      <c r="D27" s="109"/>
      <c r="H27" s="227" t="s">
        <v>1105</v>
      </c>
      <c r="I27" s="227" t="s">
        <v>1105</v>
      </c>
      <c r="J27" s="110"/>
      <c r="K27" s="250"/>
      <c r="N27" s="250"/>
      <c r="P27" s="257"/>
      <c r="R27" s="255"/>
      <c r="S27" s="256"/>
      <c r="T27" s="255"/>
      <c r="U27" s="256"/>
      <c r="V27" s="255"/>
    </row>
    <row r="28" spans="1:22" outlineLevel="2" x14ac:dyDescent="0.25">
      <c r="A28" s="109"/>
      <c r="B28" s="225" t="s">
        <v>263</v>
      </c>
      <c r="C28" s="226" t="s">
        <v>255</v>
      </c>
      <c r="D28" s="109"/>
      <c r="H28" s="227" t="s">
        <v>1105</v>
      </c>
      <c r="I28" s="227" t="s">
        <v>1105</v>
      </c>
      <c r="J28" s="110"/>
      <c r="K28" s="250"/>
      <c r="N28" s="250"/>
      <c r="P28" s="257"/>
      <c r="R28" s="255"/>
      <c r="S28" s="256"/>
      <c r="T28" s="255"/>
      <c r="U28" s="256"/>
      <c r="V28" s="255"/>
    </row>
    <row r="29" spans="1:22" outlineLevel="2" x14ac:dyDescent="0.25">
      <c r="A29" s="109"/>
      <c r="B29" s="225" t="s">
        <v>239</v>
      </c>
      <c r="C29" s="226" t="s">
        <v>238</v>
      </c>
      <c r="D29" s="109"/>
      <c r="H29" s="227" t="s">
        <v>1109</v>
      </c>
      <c r="I29" s="227" t="s">
        <v>1109</v>
      </c>
      <c r="J29" s="110"/>
      <c r="K29" s="250"/>
      <c r="N29" s="250"/>
      <c r="P29" s="257"/>
      <c r="R29" s="255"/>
      <c r="S29" s="256"/>
      <c r="T29" s="255"/>
      <c r="U29" s="256"/>
      <c r="V29" s="255"/>
    </row>
    <row r="30" spans="1:22" outlineLevel="2" x14ac:dyDescent="0.25">
      <c r="A30" s="109"/>
      <c r="B30" s="225" t="s">
        <v>240</v>
      </c>
      <c r="C30" s="226" t="s">
        <v>241</v>
      </c>
      <c r="D30" s="109"/>
      <c r="H30" s="227" t="s">
        <v>1109</v>
      </c>
      <c r="I30" s="227" t="s">
        <v>1109</v>
      </c>
      <c r="J30" s="110"/>
      <c r="K30" s="250"/>
      <c r="N30" s="250"/>
      <c r="P30" s="257"/>
      <c r="R30" s="255"/>
      <c r="S30" s="256"/>
      <c r="T30" s="255"/>
      <c r="U30" s="256"/>
      <c r="V30" s="255"/>
    </row>
    <row r="31" spans="1:22" outlineLevel="2" x14ac:dyDescent="0.25">
      <c r="A31" s="109"/>
      <c r="B31" s="225" t="s">
        <v>242</v>
      </c>
      <c r="C31" s="226" t="s">
        <v>243</v>
      </c>
      <c r="D31" s="109"/>
      <c r="H31" s="227" t="s">
        <v>1109</v>
      </c>
      <c r="I31" s="227" t="s">
        <v>1109</v>
      </c>
      <c r="J31" s="110"/>
      <c r="K31" s="250"/>
      <c r="N31" s="250" t="s">
        <v>260</v>
      </c>
      <c r="O31" s="251">
        <v>40</v>
      </c>
      <c r="P31" s="253" t="e">
        <f>HYPERLINK(CONCATENATE(Cartelle!$A$2,Cartelle!#REF!,Cartelle!#REF!,'PBS (TBD)'!N31,"#page=",'PBS (TBD)'!O31),"#")</f>
        <v>#REF!</v>
      </c>
      <c r="R31" s="255"/>
      <c r="S31" s="256"/>
      <c r="T31" s="255"/>
      <c r="U31" s="256"/>
      <c r="V31" s="255"/>
    </row>
    <row r="32" spans="1:22" outlineLevel="2" x14ac:dyDescent="0.25">
      <c r="A32" s="109"/>
      <c r="B32" s="225" t="s">
        <v>250</v>
      </c>
      <c r="C32" s="226" t="s">
        <v>251</v>
      </c>
      <c r="D32" s="109"/>
      <c r="H32" s="227" t="s">
        <v>1101</v>
      </c>
      <c r="I32" s="227" t="s">
        <v>1101</v>
      </c>
      <c r="J32" s="110"/>
      <c r="K32" s="250"/>
      <c r="N32" s="250"/>
      <c r="P32" s="257"/>
      <c r="R32" s="255"/>
      <c r="S32" s="256"/>
      <c r="T32" s="255"/>
      <c r="U32" s="256"/>
      <c r="V32" s="255"/>
    </row>
    <row r="33" spans="1:22" outlineLevel="2" x14ac:dyDescent="0.25">
      <c r="A33" s="109"/>
      <c r="B33" s="225" t="s">
        <v>252</v>
      </c>
      <c r="C33" s="226" t="s">
        <v>253</v>
      </c>
      <c r="D33" s="109"/>
      <c r="H33" s="227" t="s">
        <v>1116</v>
      </c>
      <c r="I33" s="227" t="s">
        <v>1116</v>
      </c>
      <c r="J33" s="110"/>
      <c r="K33" s="250"/>
      <c r="N33" s="250"/>
      <c r="P33" s="257"/>
      <c r="R33" s="255"/>
      <c r="S33" s="256"/>
      <c r="T33" s="255"/>
      <c r="U33" s="256"/>
      <c r="V33" s="255"/>
    </row>
    <row r="34" spans="1:22" outlineLevel="2" x14ac:dyDescent="0.25">
      <c r="A34" s="109"/>
      <c r="B34" s="225" t="s">
        <v>256</v>
      </c>
      <c r="C34" s="226" t="s">
        <v>257</v>
      </c>
      <c r="D34" s="109"/>
      <c r="H34" s="227" t="s">
        <v>1102</v>
      </c>
      <c r="I34" s="227" t="s">
        <v>1102</v>
      </c>
      <c r="J34" s="110"/>
      <c r="K34" s="250"/>
      <c r="N34" s="250"/>
      <c r="P34" s="257"/>
      <c r="R34" s="255"/>
      <c r="S34" s="256"/>
      <c r="T34" s="255"/>
      <c r="U34" s="256"/>
      <c r="V34" s="255"/>
    </row>
    <row r="35" spans="1:22" ht="30" outlineLevel="2" x14ac:dyDescent="0.25">
      <c r="A35" s="109"/>
      <c r="B35" s="225" t="s">
        <v>245</v>
      </c>
      <c r="C35" s="226" t="s">
        <v>244</v>
      </c>
      <c r="D35" s="109"/>
      <c r="H35" s="227" t="s">
        <v>1117</v>
      </c>
      <c r="I35" s="227" t="s">
        <v>1117</v>
      </c>
      <c r="J35" s="110"/>
      <c r="K35" s="250"/>
      <c r="N35" s="250"/>
      <c r="P35" s="257"/>
      <c r="R35" s="255"/>
      <c r="S35" s="256"/>
      <c r="T35" s="255"/>
      <c r="U35" s="256"/>
      <c r="V35" s="255"/>
    </row>
    <row r="36" spans="1:22" outlineLevel="2" x14ac:dyDescent="0.25">
      <c r="A36" s="109"/>
      <c r="B36" s="225" t="s">
        <v>258</v>
      </c>
      <c r="C36" s="226" t="s">
        <v>259</v>
      </c>
      <c r="D36" s="109"/>
      <c r="H36" s="227" t="s">
        <v>1102</v>
      </c>
      <c r="I36" s="227" t="s">
        <v>1102</v>
      </c>
      <c r="J36" s="110"/>
      <c r="K36" s="250"/>
      <c r="N36" s="250"/>
      <c r="P36" s="257"/>
      <c r="R36" s="255"/>
      <c r="S36" s="256"/>
      <c r="T36" s="255"/>
      <c r="U36" s="256"/>
      <c r="V36" s="255"/>
    </row>
    <row r="37" spans="1:22" outlineLevel="1" x14ac:dyDescent="0.25">
      <c r="A37" s="222"/>
      <c r="B37" s="122" t="s">
        <v>1071</v>
      </c>
      <c r="C37" s="224"/>
      <c r="D37" s="222" t="s">
        <v>1113</v>
      </c>
      <c r="E37" s="194" t="s">
        <v>1113</v>
      </c>
      <c r="F37" s="194" t="s">
        <v>1113</v>
      </c>
      <c r="G37" s="194" t="s">
        <v>1113</v>
      </c>
      <c r="H37" s="194" t="s">
        <v>1113</v>
      </c>
      <c r="I37" s="194" t="s">
        <v>1113</v>
      </c>
      <c r="J37" s="223" t="s">
        <v>1113</v>
      </c>
      <c r="K37" s="244"/>
      <c r="L37" s="245"/>
      <c r="M37" s="245"/>
      <c r="N37" s="244"/>
      <c r="O37" s="245"/>
      <c r="P37" s="246"/>
      <c r="Q37" s="247"/>
      <c r="R37" s="248"/>
      <c r="S37" s="249"/>
      <c r="T37" s="248"/>
      <c r="U37" s="249"/>
      <c r="V37" s="248"/>
    </row>
    <row r="38" spans="1:22" outlineLevel="2" x14ac:dyDescent="0.25">
      <c r="A38" s="109"/>
      <c r="B38" s="131" t="s">
        <v>207</v>
      </c>
      <c r="C38" s="132" t="s">
        <v>105</v>
      </c>
      <c r="D38" s="109" t="s">
        <v>165</v>
      </c>
      <c r="J38" s="110"/>
      <c r="K38" s="250" t="s">
        <v>215</v>
      </c>
      <c r="L38" s="251">
        <v>152</v>
      </c>
      <c r="M38" s="252" t="e">
        <f>HYPERLINK(CONCATENATE(Cartelle!$A$2,Cartelle!$D$2,Cartelle!#REF!,'PBS (TBD)'!K38,"#page=",'PBS (TBD)'!L38),"#")</f>
        <v>#REF!</v>
      </c>
      <c r="N38" s="250" t="s">
        <v>212</v>
      </c>
      <c r="O38" s="251">
        <v>84</v>
      </c>
      <c r="P38" s="253" t="e">
        <f>HYPERLINK(CONCATENATE(Cartelle!$A$2,Cartelle!#REF!,Cartelle!#REF!,'PBS (TBD)'!N38,"#page=",'PBS (TBD)'!O38),"#")</f>
        <v>#REF!</v>
      </c>
      <c r="R38" s="255"/>
      <c r="S38" s="256"/>
      <c r="T38" s="255"/>
      <c r="U38" s="256"/>
      <c r="V38" s="255"/>
    </row>
    <row r="39" spans="1:22" outlineLevel="2" x14ac:dyDescent="0.25">
      <c r="A39" s="109"/>
      <c r="B39" s="133" t="s">
        <v>104</v>
      </c>
      <c r="C39" s="134" t="s">
        <v>106</v>
      </c>
      <c r="D39" s="135"/>
      <c r="E39" s="136" t="s">
        <v>165</v>
      </c>
      <c r="J39" s="110"/>
      <c r="K39" s="250"/>
      <c r="N39" s="250" t="s">
        <v>212</v>
      </c>
      <c r="O39" s="251">
        <v>32</v>
      </c>
      <c r="P39" s="253" t="e">
        <f>HYPERLINK(CONCATENATE(Cartelle!$A$2,Cartelle!#REF!,Cartelle!#REF!,'PBS (TBD)'!N39,"#page=",'PBS (TBD)'!O39),"#")</f>
        <v>#REF!</v>
      </c>
      <c r="R39" s="255"/>
      <c r="S39" s="256"/>
      <c r="T39" s="255"/>
      <c r="U39" s="256"/>
      <c r="V39" s="255"/>
    </row>
    <row r="40" spans="1:22" outlineLevel="2" x14ac:dyDescent="0.25">
      <c r="A40" s="109"/>
      <c r="B40" s="131" t="s">
        <v>109</v>
      </c>
      <c r="C40" s="132" t="s">
        <v>110</v>
      </c>
      <c r="D40" s="137" t="s">
        <v>1110</v>
      </c>
      <c r="E40" s="138" t="s">
        <v>1110</v>
      </c>
      <c r="J40" s="110"/>
      <c r="K40" s="250"/>
      <c r="N40" s="250" t="s">
        <v>212</v>
      </c>
      <c r="O40" s="251">
        <v>32</v>
      </c>
      <c r="P40" s="253" t="e">
        <f>HYPERLINK(CONCATENATE(Cartelle!$A$2,Cartelle!#REF!,Cartelle!#REF!,'PBS (TBD)'!N40,"#page=",'PBS (TBD)'!O40),"#")</f>
        <v>#REF!</v>
      </c>
      <c r="R40" s="255"/>
      <c r="S40" s="256"/>
      <c r="T40" s="255"/>
      <c r="U40" s="256"/>
      <c r="V40" s="255"/>
    </row>
    <row r="41" spans="1:22" outlineLevel="2" x14ac:dyDescent="0.25">
      <c r="A41" s="109"/>
      <c r="B41" s="225" t="s">
        <v>109</v>
      </c>
      <c r="C41" s="226" t="s">
        <v>235</v>
      </c>
      <c r="D41" s="109"/>
      <c r="H41" s="227" t="s">
        <v>1110</v>
      </c>
      <c r="I41" s="227" t="s">
        <v>1110</v>
      </c>
      <c r="J41" s="110"/>
      <c r="K41" s="250" t="s">
        <v>261</v>
      </c>
      <c r="L41" s="251">
        <v>98</v>
      </c>
      <c r="M41" s="252" t="e">
        <f>HYPERLINK(CONCATENATE(Cartelle!$A$2,Cartelle!$D$2,Cartelle!#REF!,'PBS (TBD)'!K41,"#page=",'PBS (TBD)'!L41),"#")</f>
        <v>#REF!</v>
      </c>
      <c r="N41" s="250"/>
      <c r="P41" s="257"/>
      <c r="R41" s="255"/>
      <c r="S41" s="256"/>
      <c r="T41" s="255"/>
      <c r="U41" s="256"/>
      <c r="V41" s="255"/>
    </row>
    <row r="42" spans="1:22" outlineLevel="1" x14ac:dyDescent="0.25">
      <c r="A42" s="222"/>
      <c r="B42" s="122" t="s">
        <v>1086</v>
      </c>
      <c r="C42" s="224"/>
      <c r="D42" s="222" t="s">
        <v>1113</v>
      </c>
      <c r="E42" s="194" t="s">
        <v>1113</v>
      </c>
      <c r="F42" s="194" t="s">
        <v>1113</v>
      </c>
      <c r="G42" s="194" t="s">
        <v>1113</v>
      </c>
      <c r="H42" s="194" t="s">
        <v>1113</v>
      </c>
      <c r="I42" s="194" t="s">
        <v>1113</v>
      </c>
      <c r="J42" s="223" t="s">
        <v>1113</v>
      </c>
      <c r="K42" s="244"/>
      <c r="L42" s="245"/>
      <c r="M42" s="245"/>
      <c r="N42" s="244"/>
      <c r="O42" s="245"/>
      <c r="P42" s="246"/>
      <c r="Q42" s="247"/>
      <c r="R42" s="248"/>
      <c r="S42" s="249"/>
      <c r="T42" s="248"/>
      <c r="U42" s="249"/>
      <c r="V42" s="248"/>
    </row>
    <row r="43" spans="1:22" outlineLevel="2" x14ac:dyDescent="0.25">
      <c r="A43" s="109"/>
      <c r="B43" s="110" t="s">
        <v>210</v>
      </c>
      <c r="C43" s="107" t="s">
        <v>208</v>
      </c>
      <c r="D43" s="109" t="s">
        <v>1105</v>
      </c>
      <c r="J43" s="110"/>
      <c r="K43" s="250" t="s">
        <v>215</v>
      </c>
      <c r="L43" s="251">
        <v>163</v>
      </c>
      <c r="M43" s="252" t="e">
        <f>HYPERLINK(CONCATENATE(Cartelle!$A$2,Cartelle!$D$2,Cartelle!#REF!,'PBS (TBD)'!K43,"#page=",'PBS (TBD)'!L43),"#")</f>
        <v>#REF!</v>
      </c>
      <c r="N43" s="250" t="s">
        <v>212</v>
      </c>
      <c r="O43" s="251">
        <v>32</v>
      </c>
      <c r="P43" s="253" t="e">
        <f>HYPERLINK(CONCATENATE(Cartelle!$A$2,Cartelle!#REF!,Cartelle!#REF!,'PBS (TBD)'!N43,"#page=",'PBS (TBD)'!O43),"#")</f>
        <v>#REF!</v>
      </c>
      <c r="R43" s="255"/>
      <c r="S43" s="256"/>
      <c r="T43" s="255"/>
      <c r="U43" s="256"/>
      <c r="V43" s="255"/>
    </row>
    <row r="44" spans="1:22" outlineLevel="2" x14ac:dyDescent="0.25">
      <c r="A44" s="109"/>
      <c r="B44" s="133" t="s">
        <v>211</v>
      </c>
      <c r="C44" s="134" t="s">
        <v>209</v>
      </c>
      <c r="D44" s="135"/>
      <c r="E44" s="136" t="s">
        <v>1105</v>
      </c>
      <c r="J44" s="110"/>
      <c r="K44" s="250"/>
      <c r="N44" s="250" t="s">
        <v>212</v>
      </c>
      <c r="O44" s="251">
        <v>32</v>
      </c>
      <c r="P44" s="253" t="e">
        <f>HYPERLINK(CONCATENATE(Cartelle!$A$2,Cartelle!#REF!,Cartelle!#REF!,'PBS (TBD)'!N44,"#page=",'PBS (TBD)'!O44),"#")</f>
        <v>#REF!</v>
      </c>
      <c r="R44" s="255"/>
      <c r="S44" s="256"/>
      <c r="T44" s="255"/>
      <c r="U44" s="256"/>
      <c r="V44" s="255"/>
    </row>
    <row r="45" spans="1:22" outlineLevel="2" x14ac:dyDescent="0.25">
      <c r="A45" s="109"/>
      <c r="B45" s="110" t="s">
        <v>228</v>
      </c>
      <c r="C45" s="107" t="s">
        <v>229</v>
      </c>
      <c r="D45" s="109" t="s">
        <v>1109</v>
      </c>
      <c r="E45" s="15" t="s">
        <v>1109</v>
      </c>
      <c r="J45" s="110"/>
      <c r="K45" s="250" t="s">
        <v>230</v>
      </c>
      <c r="L45" s="251">
        <v>113</v>
      </c>
      <c r="M45" s="252" t="e">
        <f>HYPERLINK(CONCATENATE(Cartelle!$A$2,Cartelle!$D$2,Cartelle!#REF!,'PBS (TBD)'!K45,"#page=",'PBS (TBD)'!L45),"#")</f>
        <v>#REF!</v>
      </c>
      <c r="N45" s="250" t="s">
        <v>212</v>
      </c>
      <c r="O45" s="251">
        <v>58</v>
      </c>
      <c r="P45" s="253" t="e">
        <f>HYPERLINK(CONCATENATE(Cartelle!$A$2,Cartelle!#REF!,Cartelle!#REF!,'PBS (TBD)'!N45,"#page=",'PBS (TBD)'!O45),"#")</f>
        <v>#REF!</v>
      </c>
      <c r="R45" s="255"/>
      <c r="S45" s="256"/>
      <c r="T45" s="255"/>
      <c r="U45" s="256"/>
      <c r="V45" s="255"/>
    </row>
    <row r="46" spans="1:22" outlineLevel="2" x14ac:dyDescent="0.25">
      <c r="A46" s="109"/>
      <c r="B46" s="131" t="s">
        <v>200</v>
      </c>
      <c r="C46" s="132" t="s">
        <v>117</v>
      </c>
      <c r="D46" s="109" t="s">
        <v>1109</v>
      </c>
      <c r="J46" s="110"/>
      <c r="K46" s="250" t="s">
        <v>215</v>
      </c>
      <c r="L46" s="251">
        <v>128</v>
      </c>
      <c r="M46" s="252" t="e">
        <f>HYPERLINK(CONCATENATE(Cartelle!$A$2,Cartelle!$D$2,Cartelle!#REF!,'PBS (TBD)'!K46,"#page=",'PBS (TBD)'!L46),"#")</f>
        <v>#REF!</v>
      </c>
      <c r="N46" s="250" t="s">
        <v>212</v>
      </c>
      <c r="O46" s="251">
        <v>28</v>
      </c>
      <c r="P46" s="253" t="e">
        <f>HYPERLINK(CONCATENATE(Cartelle!$A$2,Cartelle!#REF!,Cartelle!#REF!,'PBS (TBD)'!N46,"#page=",'PBS (TBD)'!O46),"#")</f>
        <v>#REF!</v>
      </c>
      <c r="R46" s="255"/>
      <c r="S46" s="256"/>
      <c r="T46" s="255"/>
      <c r="U46" s="256"/>
      <c r="V46" s="255"/>
    </row>
    <row r="47" spans="1:22" outlineLevel="2" x14ac:dyDescent="0.25">
      <c r="A47" s="109"/>
      <c r="B47" s="133" t="s">
        <v>200</v>
      </c>
      <c r="C47" s="134" t="s">
        <v>118</v>
      </c>
      <c r="D47" s="135"/>
      <c r="E47" s="136" t="s">
        <v>1109</v>
      </c>
      <c r="J47" s="110"/>
      <c r="K47" s="250"/>
      <c r="N47" s="250" t="s">
        <v>212</v>
      </c>
      <c r="O47" s="251">
        <v>28</v>
      </c>
      <c r="P47" s="253" t="e">
        <f>HYPERLINK(CONCATENATE(Cartelle!$A$2,Cartelle!#REF!,Cartelle!#REF!,'PBS (TBD)'!N47,"#page=",'PBS (TBD)'!O47),"#")</f>
        <v>#REF!</v>
      </c>
      <c r="R47" s="255"/>
      <c r="S47" s="256"/>
      <c r="T47" s="255"/>
      <c r="U47" s="256"/>
      <c r="V47" s="255"/>
    </row>
    <row r="48" spans="1:22" outlineLevel="2" x14ac:dyDescent="0.25">
      <c r="A48" s="109"/>
      <c r="B48" s="131" t="s">
        <v>201</v>
      </c>
      <c r="C48" s="132" t="s">
        <v>114</v>
      </c>
      <c r="D48" s="109" t="s">
        <v>1107</v>
      </c>
      <c r="J48" s="110"/>
      <c r="K48" s="250" t="s">
        <v>215</v>
      </c>
      <c r="L48" s="251">
        <v>132</v>
      </c>
      <c r="M48" s="252" t="e">
        <f>HYPERLINK(CONCATENATE(Cartelle!$A$2,Cartelle!$D$2,Cartelle!#REF!,'PBS (TBD)'!K48,"#page=",'PBS (TBD)'!L48),"#")</f>
        <v>#REF!</v>
      </c>
      <c r="N48" s="250" t="s">
        <v>212</v>
      </c>
      <c r="O48" s="251">
        <v>32</v>
      </c>
      <c r="P48" s="253" t="e">
        <f>HYPERLINK(CONCATENATE(Cartelle!$A$2,Cartelle!#REF!,Cartelle!#REF!,'PBS (TBD)'!N48,"#page=",'PBS (TBD)'!O48),"#")</f>
        <v>#REF!</v>
      </c>
      <c r="R48" s="255"/>
      <c r="S48" s="256"/>
      <c r="T48" s="255"/>
      <c r="U48" s="256"/>
      <c r="V48" s="255"/>
    </row>
    <row r="49" spans="1:22" outlineLevel="2" x14ac:dyDescent="0.25">
      <c r="A49" s="109"/>
      <c r="B49" s="129" t="s">
        <v>201</v>
      </c>
      <c r="C49" s="130" t="s">
        <v>115</v>
      </c>
      <c r="D49" s="109"/>
      <c r="E49" s="15" t="s">
        <v>1107</v>
      </c>
      <c r="J49" s="110"/>
      <c r="K49" s="250"/>
      <c r="N49" s="250" t="s">
        <v>212</v>
      </c>
      <c r="O49" s="251">
        <v>32</v>
      </c>
      <c r="P49" s="253" t="e">
        <f>HYPERLINK(CONCATENATE(Cartelle!$A$2,Cartelle!#REF!,Cartelle!#REF!,'PBS (TBD)'!N49,"#page=",'PBS (TBD)'!O49),"#")</f>
        <v>#REF!</v>
      </c>
      <c r="R49" s="255"/>
      <c r="S49" s="256"/>
      <c r="T49" s="255"/>
      <c r="U49" s="256"/>
      <c r="V49" s="255"/>
    </row>
    <row r="50" spans="1:22" outlineLevel="2" x14ac:dyDescent="0.25">
      <c r="A50" s="109"/>
      <c r="B50" s="131" t="s">
        <v>214</v>
      </c>
      <c r="C50" s="132" t="s">
        <v>120</v>
      </c>
      <c r="D50" s="109" t="s">
        <v>1106</v>
      </c>
      <c r="J50" s="110"/>
      <c r="K50" s="250" t="s">
        <v>215</v>
      </c>
      <c r="L50" s="251">
        <v>136</v>
      </c>
      <c r="M50" s="252" t="e">
        <f>HYPERLINK(CONCATENATE(Cartelle!$A$2,Cartelle!$D$2,Cartelle!#REF!,'PBS (TBD)'!K50,"#page=",'PBS (TBD)'!L50),"#")</f>
        <v>#REF!</v>
      </c>
      <c r="N50" s="250" t="s">
        <v>212</v>
      </c>
      <c r="O50" s="251">
        <v>28</v>
      </c>
      <c r="P50" s="253" t="e">
        <f>HYPERLINK(CONCATENATE(Cartelle!$A$2,Cartelle!#REF!,Cartelle!#REF!,'PBS (TBD)'!N50,"#page=",'PBS (TBD)'!O50),"#")</f>
        <v>#REF!</v>
      </c>
      <c r="R50" s="255"/>
      <c r="S50" s="256"/>
      <c r="T50" s="255"/>
      <c r="U50" s="256"/>
      <c r="V50" s="255"/>
    </row>
    <row r="51" spans="1:22" outlineLevel="2" x14ac:dyDescent="0.25">
      <c r="A51" s="109"/>
      <c r="B51" s="133" t="s">
        <v>214</v>
      </c>
      <c r="C51" s="134" t="s">
        <v>213</v>
      </c>
      <c r="D51" s="135"/>
      <c r="E51" s="136" t="s">
        <v>1104</v>
      </c>
      <c r="J51" s="110"/>
      <c r="K51" s="250"/>
      <c r="N51" s="250" t="s">
        <v>212</v>
      </c>
      <c r="O51" s="251">
        <v>28</v>
      </c>
      <c r="P51" s="253" t="e">
        <f>HYPERLINK(CONCATENATE(Cartelle!$A$2,Cartelle!#REF!,Cartelle!#REF!,'PBS (TBD)'!N51,"#page=",'PBS (TBD)'!O51),"#")</f>
        <v>#REF!</v>
      </c>
      <c r="R51" s="255"/>
      <c r="S51" s="256"/>
      <c r="T51" s="255"/>
      <c r="U51" s="256"/>
      <c r="V51" s="255"/>
    </row>
    <row r="52" spans="1:22" outlineLevel="2" x14ac:dyDescent="0.25">
      <c r="A52" s="109"/>
      <c r="B52" s="133" t="s">
        <v>214</v>
      </c>
      <c r="C52" s="134" t="s">
        <v>121</v>
      </c>
      <c r="D52" s="135"/>
      <c r="E52" s="136" t="s">
        <v>1111</v>
      </c>
      <c r="J52" s="110"/>
      <c r="K52" s="250"/>
      <c r="N52" s="250" t="s">
        <v>212</v>
      </c>
      <c r="O52" s="251">
        <v>28</v>
      </c>
      <c r="P52" s="253" t="e">
        <f>HYPERLINK(CONCATENATE(Cartelle!$A$2,Cartelle!#REF!,Cartelle!#REF!,'PBS (TBD)'!N52,"#page=",'PBS (TBD)'!O52),"#")</f>
        <v>#REF!</v>
      </c>
      <c r="R52" s="255"/>
      <c r="S52" s="256"/>
      <c r="T52" s="255"/>
      <c r="U52" s="256"/>
      <c r="V52" s="255"/>
    </row>
    <row r="53" spans="1:22" outlineLevel="2" x14ac:dyDescent="0.25">
      <c r="A53" s="109"/>
      <c r="B53" s="110" t="s">
        <v>219</v>
      </c>
      <c r="C53" s="107" t="s">
        <v>220</v>
      </c>
      <c r="D53" s="109" t="s">
        <v>1108</v>
      </c>
      <c r="E53" s="15" t="s">
        <v>1108</v>
      </c>
      <c r="J53" s="110"/>
      <c r="K53" s="250" t="s">
        <v>215</v>
      </c>
      <c r="L53" s="251">
        <v>137</v>
      </c>
      <c r="M53" s="252" t="e">
        <f>HYPERLINK(CONCATENATE(Cartelle!$A$2,Cartelle!$D$2,Cartelle!#REF!,'PBS (TBD)'!K53,"#page=",'PBS (TBD)'!L53),"#")</f>
        <v>#REF!</v>
      </c>
      <c r="N53" s="250" t="s">
        <v>212</v>
      </c>
      <c r="O53" s="251">
        <v>30</v>
      </c>
      <c r="P53" s="253" t="e">
        <f>HYPERLINK(CONCATENATE(Cartelle!$A$2,Cartelle!#REF!,Cartelle!#REF!,'PBS (TBD)'!N53,"#page=",'PBS (TBD)'!O53),"#")</f>
        <v>#REF!</v>
      </c>
      <c r="R53" s="255"/>
      <c r="S53" s="256"/>
      <c r="T53" s="255"/>
      <c r="U53" s="256"/>
      <c r="V53" s="255"/>
    </row>
    <row r="54" spans="1:22" ht="30" outlineLevel="2" x14ac:dyDescent="0.25">
      <c r="A54" s="109"/>
      <c r="B54" s="225" t="s">
        <v>248</v>
      </c>
      <c r="C54" s="226" t="s">
        <v>246</v>
      </c>
      <c r="D54" s="109"/>
      <c r="H54" s="227" t="s">
        <v>1106</v>
      </c>
      <c r="I54" s="227" t="s">
        <v>1106</v>
      </c>
      <c r="J54" s="110"/>
      <c r="K54" s="250"/>
      <c r="N54" s="250"/>
      <c r="P54" s="257"/>
      <c r="R54" s="255"/>
      <c r="S54" s="256"/>
      <c r="T54" s="255"/>
      <c r="U54" s="256"/>
      <c r="V54" s="255"/>
    </row>
    <row r="55" spans="1:22" ht="30" outlineLevel="2" x14ac:dyDescent="0.25">
      <c r="A55" s="109"/>
      <c r="B55" s="225" t="s">
        <v>249</v>
      </c>
      <c r="C55" s="226" t="s">
        <v>247</v>
      </c>
      <c r="D55" s="109"/>
      <c r="H55" s="227" t="s">
        <v>1109</v>
      </c>
      <c r="I55" s="227" t="s">
        <v>1109</v>
      </c>
      <c r="J55" s="110"/>
      <c r="K55" s="250"/>
      <c r="N55" s="250"/>
      <c r="P55" s="257"/>
      <c r="R55" s="255"/>
      <c r="S55" s="256"/>
      <c r="T55" s="255"/>
      <c r="U55" s="256"/>
      <c r="V55" s="255"/>
    </row>
    <row r="56" spans="1:22" x14ac:dyDescent="0.25">
      <c r="A56" s="218" t="s">
        <v>1087</v>
      </c>
      <c r="B56" s="219"/>
      <c r="C56" s="220"/>
      <c r="D56" s="218" t="s">
        <v>1112</v>
      </c>
      <c r="E56" s="221" t="s">
        <v>1112</v>
      </c>
      <c r="F56" s="221" t="s">
        <v>1112</v>
      </c>
      <c r="G56" s="221" t="s">
        <v>1112</v>
      </c>
      <c r="H56" s="221" t="s">
        <v>1112</v>
      </c>
      <c r="I56" s="221" t="s">
        <v>1112</v>
      </c>
      <c r="J56" s="219" t="s">
        <v>1112</v>
      </c>
      <c r="K56" s="238"/>
      <c r="L56" s="239"/>
      <c r="M56" s="267"/>
      <c r="N56" s="238"/>
      <c r="O56" s="239"/>
      <c r="P56" s="268"/>
      <c r="Q56" s="265"/>
      <c r="R56" s="242"/>
      <c r="S56" s="243"/>
      <c r="T56" s="242"/>
      <c r="U56" s="243"/>
      <c r="V56" s="242"/>
    </row>
    <row r="57" spans="1:22" outlineLevel="1" x14ac:dyDescent="0.25">
      <c r="A57" s="121"/>
      <c r="B57" s="122" t="s">
        <v>1083</v>
      </c>
      <c r="C57" s="123"/>
      <c r="D57" s="222" t="s">
        <v>1113</v>
      </c>
      <c r="E57" s="194" t="s">
        <v>1113</v>
      </c>
      <c r="F57" s="194" t="s">
        <v>1113</v>
      </c>
      <c r="G57" s="194" t="s">
        <v>1113</v>
      </c>
      <c r="H57" s="194" t="s">
        <v>1113</v>
      </c>
      <c r="I57" s="194" t="s">
        <v>1113</v>
      </c>
      <c r="J57" s="223" t="s">
        <v>1113</v>
      </c>
      <c r="K57" s="269"/>
      <c r="L57" s="270"/>
      <c r="M57" s="270"/>
      <c r="N57" s="269"/>
      <c r="O57" s="270"/>
      <c r="P57" s="271"/>
      <c r="Q57" s="272"/>
      <c r="R57" s="273"/>
      <c r="S57" s="274"/>
      <c r="T57" s="273"/>
      <c r="U57" s="274"/>
      <c r="V57" s="273"/>
    </row>
    <row r="58" spans="1:22" ht="30" outlineLevel="2" x14ac:dyDescent="0.25">
      <c r="A58" s="109"/>
      <c r="B58" s="110" t="s">
        <v>388</v>
      </c>
      <c r="C58" s="107" t="s">
        <v>389</v>
      </c>
      <c r="D58" s="109" t="s">
        <v>1114</v>
      </c>
      <c r="E58" s="15" t="s">
        <v>1114</v>
      </c>
      <c r="J58" s="110"/>
      <c r="K58" s="250"/>
      <c r="M58" s="252"/>
      <c r="N58" s="250"/>
      <c r="P58" s="257"/>
      <c r="R58" s="255"/>
      <c r="S58" s="256"/>
      <c r="T58" s="255"/>
      <c r="U58" s="256"/>
      <c r="V58" s="255"/>
    </row>
    <row r="59" spans="1:22" ht="30" outlineLevel="3" x14ac:dyDescent="0.25">
      <c r="A59" s="109"/>
      <c r="B59" s="110" t="s">
        <v>1088</v>
      </c>
      <c r="C59" s="107" t="s">
        <v>397</v>
      </c>
      <c r="D59" s="109" t="s">
        <v>1114</v>
      </c>
      <c r="E59" s="15" t="s">
        <v>1114</v>
      </c>
      <c r="J59" s="110"/>
      <c r="K59" s="250"/>
      <c r="M59" s="252"/>
      <c r="N59" s="250"/>
      <c r="P59" s="257"/>
      <c r="R59" s="255"/>
      <c r="S59" s="256"/>
      <c r="T59" s="255"/>
      <c r="U59" s="256"/>
      <c r="V59" s="255"/>
    </row>
    <row r="60" spans="1:22" ht="30" outlineLevel="3" x14ac:dyDescent="0.25">
      <c r="A60" s="109"/>
      <c r="B60" s="110" t="s">
        <v>400</v>
      </c>
      <c r="C60" s="107" t="s">
        <v>401</v>
      </c>
      <c r="D60" s="109" t="s">
        <v>1114</v>
      </c>
      <c r="E60" s="15" t="s">
        <v>1114</v>
      </c>
      <c r="J60" s="110"/>
      <c r="K60" s="250"/>
      <c r="M60" s="252"/>
      <c r="N60" s="250"/>
      <c r="P60" s="257"/>
      <c r="R60" s="255"/>
      <c r="S60" s="256"/>
      <c r="T60" s="255"/>
      <c r="U60" s="256"/>
      <c r="V60" s="255"/>
    </row>
    <row r="61" spans="1:22" outlineLevel="2" x14ac:dyDescent="0.25">
      <c r="A61" s="109"/>
      <c r="B61" s="225" t="s">
        <v>387</v>
      </c>
      <c r="C61" s="226" t="s">
        <v>405</v>
      </c>
      <c r="D61" s="135"/>
      <c r="E61" s="136"/>
      <c r="F61" s="136"/>
      <c r="G61" s="136"/>
      <c r="H61" s="227" t="s">
        <v>165</v>
      </c>
      <c r="I61" s="227" t="s">
        <v>165</v>
      </c>
      <c r="J61" s="110"/>
      <c r="K61" s="250"/>
      <c r="M61" s="252"/>
      <c r="N61" s="250"/>
      <c r="P61" s="257"/>
      <c r="R61" s="255"/>
      <c r="S61" s="256"/>
      <c r="T61" s="255"/>
      <c r="U61" s="256"/>
      <c r="V61" s="255"/>
    </row>
    <row r="62" spans="1:22" outlineLevel="3" x14ac:dyDescent="0.25">
      <c r="A62" s="109"/>
      <c r="B62" s="225" t="s">
        <v>414</v>
      </c>
      <c r="C62" s="226" t="s">
        <v>406</v>
      </c>
      <c r="D62" s="135"/>
      <c r="E62" s="136"/>
      <c r="F62" s="136"/>
      <c r="G62" s="136"/>
      <c r="H62" s="227" t="s">
        <v>165</v>
      </c>
      <c r="I62" s="227" t="s">
        <v>165</v>
      </c>
      <c r="J62" s="110"/>
      <c r="K62" s="250"/>
      <c r="N62" s="250"/>
      <c r="P62" s="257"/>
      <c r="R62" s="255"/>
      <c r="S62" s="256"/>
      <c r="T62" s="255"/>
      <c r="U62" s="256"/>
      <c r="V62" s="255"/>
    </row>
    <row r="63" spans="1:22" outlineLevel="3" collapsed="1" x14ac:dyDescent="0.25">
      <c r="A63" s="109"/>
      <c r="B63" s="225" t="s">
        <v>400</v>
      </c>
      <c r="C63" s="226" t="s">
        <v>407</v>
      </c>
      <c r="D63" s="135"/>
      <c r="E63" s="136"/>
      <c r="F63" s="136"/>
      <c r="G63" s="136"/>
      <c r="H63" s="227" t="s">
        <v>165</v>
      </c>
      <c r="I63" s="227" t="s">
        <v>165</v>
      </c>
      <c r="J63" s="110"/>
      <c r="K63" s="250"/>
      <c r="N63" s="250"/>
      <c r="P63" s="257"/>
      <c r="R63" s="255"/>
      <c r="S63" s="256"/>
      <c r="T63" s="255"/>
      <c r="U63" s="256"/>
      <c r="V63" s="255"/>
    </row>
    <row r="64" spans="1:22" outlineLevel="1" x14ac:dyDescent="0.25">
      <c r="A64" s="121"/>
      <c r="B64" s="122" t="s">
        <v>1084</v>
      </c>
      <c r="C64" s="123"/>
      <c r="D64" s="222" t="s">
        <v>1113</v>
      </c>
      <c r="E64" s="194" t="s">
        <v>1113</v>
      </c>
      <c r="F64" s="194" t="s">
        <v>1113</v>
      </c>
      <c r="G64" s="194" t="s">
        <v>1113</v>
      </c>
      <c r="H64" s="194" t="s">
        <v>1113</v>
      </c>
      <c r="I64" s="194" t="s">
        <v>1113</v>
      </c>
      <c r="J64" s="223" t="s">
        <v>1113</v>
      </c>
      <c r="K64" s="269"/>
      <c r="L64" s="270"/>
      <c r="M64" s="270"/>
      <c r="N64" s="269"/>
      <c r="O64" s="270"/>
      <c r="P64" s="275"/>
      <c r="Q64" s="272"/>
      <c r="R64" s="273"/>
      <c r="S64" s="274"/>
      <c r="T64" s="273"/>
      <c r="U64" s="274"/>
      <c r="V64" s="273"/>
    </row>
    <row r="65" spans="1:22" ht="30" outlineLevel="2" x14ac:dyDescent="0.25">
      <c r="A65" s="109"/>
      <c r="B65" s="110" t="s">
        <v>392</v>
      </c>
      <c r="C65" s="107" t="s">
        <v>391</v>
      </c>
      <c r="D65" s="109" t="s">
        <v>1114</v>
      </c>
      <c r="E65" s="15" t="s">
        <v>1114</v>
      </c>
      <c r="J65" s="110"/>
      <c r="K65" s="250"/>
      <c r="N65" s="250"/>
      <c r="P65" s="257"/>
      <c r="R65" s="255"/>
      <c r="S65" s="256"/>
      <c r="T65" s="255"/>
      <c r="U65" s="256"/>
      <c r="V65" s="255"/>
    </row>
    <row r="66" spans="1:22" ht="30" outlineLevel="3" x14ac:dyDescent="0.25">
      <c r="A66" s="109"/>
      <c r="B66" s="110" t="s">
        <v>415</v>
      </c>
      <c r="C66" s="107" t="s">
        <v>397</v>
      </c>
      <c r="D66" s="109" t="s">
        <v>1114</v>
      </c>
      <c r="E66" s="15" t="s">
        <v>1114</v>
      </c>
      <c r="J66" s="110"/>
      <c r="K66" s="250"/>
      <c r="M66" s="252"/>
      <c r="N66" s="250"/>
      <c r="P66" s="257"/>
      <c r="R66" s="255"/>
      <c r="S66" s="256"/>
      <c r="T66" s="255"/>
      <c r="U66" s="256"/>
      <c r="V66" s="255"/>
    </row>
    <row r="67" spans="1:22" ht="30" outlineLevel="3" x14ac:dyDescent="0.25">
      <c r="A67" s="109"/>
      <c r="B67" s="110" t="s">
        <v>400</v>
      </c>
      <c r="C67" s="107" t="s">
        <v>402</v>
      </c>
      <c r="D67" s="109" t="s">
        <v>1114</v>
      </c>
      <c r="E67" s="15" t="s">
        <v>1114</v>
      </c>
      <c r="J67" s="110"/>
      <c r="K67" s="250"/>
      <c r="M67" s="252"/>
      <c r="N67" s="250"/>
      <c r="P67" s="257"/>
      <c r="R67" s="255"/>
      <c r="S67" s="256"/>
      <c r="T67" s="255"/>
      <c r="U67" s="256"/>
      <c r="V67" s="255"/>
    </row>
    <row r="68" spans="1:22" outlineLevel="2" x14ac:dyDescent="0.25">
      <c r="A68" s="109"/>
      <c r="B68" s="225" t="s">
        <v>390</v>
      </c>
      <c r="C68" s="226" t="s">
        <v>408</v>
      </c>
      <c r="D68" s="135"/>
      <c r="E68" s="136"/>
      <c r="F68" s="136"/>
      <c r="G68" s="136"/>
      <c r="H68" s="227" t="s">
        <v>165</v>
      </c>
      <c r="I68" s="227" t="s">
        <v>165</v>
      </c>
      <c r="J68" s="110"/>
      <c r="K68" s="250"/>
      <c r="N68" s="250"/>
      <c r="P68" s="257"/>
      <c r="R68" s="255"/>
      <c r="S68" s="256"/>
      <c r="T68" s="255"/>
      <c r="U68" s="256"/>
      <c r="V68" s="255"/>
    </row>
    <row r="69" spans="1:22" outlineLevel="3" x14ac:dyDescent="0.25">
      <c r="A69" s="109"/>
      <c r="B69" s="128" t="s">
        <v>398</v>
      </c>
      <c r="C69" s="125" t="s">
        <v>411</v>
      </c>
      <c r="D69" s="124"/>
      <c r="E69" s="139"/>
      <c r="F69" s="139"/>
      <c r="G69" s="139"/>
      <c r="H69" s="139" t="s">
        <v>165</v>
      </c>
      <c r="I69" s="139" t="s">
        <v>165</v>
      </c>
      <c r="J69" s="110"/>
      <c r="K69" s="250"/>
      <c r="N69" s="250"/>
      <c r="P69" s="257"/>
      <c r="R69" s="255"/>
      <c r="S69" s="256"/>
      <c r="T69" s="255"/>
      <c r="U69" s="256"/>
      <c r="V69" s="255"/>
    </row>
    <row r="70" spans="1:22" outlineLevel="3" collapsed="1" x14ac:dyDescent="0.25">
      <c r="A70" s="109"/>
      <c r="B70" s="225" t="s">
        <v>400</v>
      </c>
      <c r="C70" s="226" t="s">
        <v>410</v>
      </c>
      <c r="D70" s="135"/>
      <c r="E70" s="136"/>
      <c r="F70" s="136"/>
      <c r="G70" s="136"/>
      <c r="H70" s="227" t="s">
        <v>165</v>
      </c>
      <c r="I70" s="227" t="s">
        <v>165</v>
      </c>
      <c r="J70" s="110"/>
      <c r="K70" s="250"/>
      <c r="N70" s="250"/>
      <c r="P70" s="257"/>
      <c r="R70" s="255"/>
      <c r="S70" s="256"/>
      <c r="T70" s="255"/>
      <c r="U70" s="256"/>
      <c r="V70" s="255"/>
    </row>
    <row r="71" spans="1:22" outlineLevel="1" x14ac:dyDescent="0.25">
      <c r="A71" s="121"/>
      <c r="B71" s="122" t="s">
        <v>1085</v>
      </c>
      <c r="C71" s="123"/>
      <c r="D71" s="222" t="s">
        <v>1113</v>
      </c>
      <c r="E71" s="194" t="s">
        <v>1113</v>
      </c>
      <c r="F71" s="194" t="s">
        <v>1113</v>
      </c>
      <c r="G71" s="194" t="s">
        <v>1113</v>
      </c>
      <c r="H71" s="194" t="s">
        <v>1113</v>
      </c>
      <c r="I71" s="194" t="s">
        <v>1113</v>
      </c>
      <c r="J71" s="223" t="s">
        <v>1113</v>
      </c>
      <c r="K71" s="269"/>
      <c r="L71" s="270"/>
      <c r="M71" s="270"/>
      <c r="N71" s="269"/>
      <c r="O71" s="270"/>
      <c r="P71" s="275"/>
      <c r="Q71" s="272"/>
      <c r="R71" s="273"/>
      <c r="S71" s="274"/>
      <c r="T71" s="273"/>
      <c r="U71" s="274"/>
      <c r="V71" s="273"/>
    </row>
    <row r="72" spans="1:22" ht="30" outlineLevel="2" x14ac:dyDescent="0.25">
      <c r="A72" s="109"/>
      <c r="B72" s="110" t="s">
        <v>396</v>
      </c>
      <c r="C72" s="107" t="s">
        <v>395</v>
      </c>
      <c r="D72" s="109" t="s">
        <v>1114</v>
      </c>
      <c r="E72" s="15" t="s">
        <v>1114</v>
      </c>
      <c r="J72" s="110"/>
      <c r="K72" s="250"/>
      <c r="N72" s="250"/>
      <c r="P72" s="257"/>
      <c r="R72" s="255"/>
      <c r="S72" s="256"/>
      <c r="T72" s="255"/>
      <c r="U72" s="256"/>
      <c r="V72" s="255"/>
    </row>
    <row r="73" spans="1:22" ht="30" outlineLevel="3" x14ac:dyDescent="0.25">
      <c r="A73" s="109"/>
      <c r="B73" s="110" t="s">
        <v>1089</v>
      </c>
      <c r="C73" s="107" t="s">
        <v>397</v>
      </c>
      <c r="D73" s="109" t="s">
        <v>1114</v>
      </c>
      <c r="E73" s="15" t="s">
        <v>1114</v>
      </c>
      <c r="J73" s="110"/>
      <c r="K73" s="250"/>
      <c r="M73" s="252"/>
      <c r="N73" s="250"/>
      <c r="P73" s="257"/>
      <c r="R73" s="255"/>
      <c r="S73" s="256"/>
      <c r="T73" s="255"/>
      <c r="U73" s="256"/>
      <c r="V73" s="255"/>
    </row>
    <row r="74" spans="1:22" ht="30" outlineLevel="3" x14ac:dyDescent="0.25">
      <c r="A74" s="109"/>
      <c r="B74" s="110" t="s">
        <v>400</v>
      </c>
      <c r="C74" s="107" t="s">
        <v>401</v>
      </c>
      <c r="D74" s="109" t="s">
        <v>1114</v>
      </c>
      <c r="E74" s="15" t="s">
        <v>1114</v>
      </c>
      <c r="J74" s="110"/>
      <c r="K74" s="250"/>
      <c r="M74" s="252"/>
      <c r="N74" s="250"/>
      <c r="P74" s="257"/>
      <c r="R74" s="255"/>
      <c r="S74" s="256"/>
      <c r="T74" s="255"/>
      <c r="U74" s="256"/>
      <c r="V74" s="255"/>
    </row>
    <row r="75" spans="1:22" outlineLevel="2" x14ac:dyDescent="0.25">
      <c r="A75" s="109"/>
      <c r="B75" s="225" t="s">
        <v>409</v>
      </c>
      <c r="C75" s="226" t="s">
        <v>412</v>
      </c>
      <c r="D75" s="135"/>
      <c r="E75" s="136"/>
      <c r="F75" s="136"/>
      <c r="G75" s="136"/>
      <c r="H75" s="227" t="s">
        <v>165</v>
      </c>
      <c r="I75" s="227" t="s">
        <v>165</v>
      </c>
      <c r="J75" s="110"/>
      <c r="K75" s="250"/>
      <c r="N75" s="250"/>
      <c r="P75" s="257"/>
      <c r="R75" s="255"/>
      <c r="S75" s="256"/>
      <c r="T75" s="255"/>
      <c r="U75" s="256"/>
      <c r="V75" s="255"/>
    </row>
    <row r="76" spans="1:22" outlineLevel="3" x14ac:dyDescent="0.25">
      <c r="A76" s="109"/>
      <c r="B76" s="225" t="s">
        <v>414</v>
      </c>
      <c r="C76" s="226" t="s">
        <v>413</v>
      </c>
      <c r="D76" s="135"/>
      <c r="E76" s="136"/>
      <c r="F76" s="136"/>
      <c r="G76" s="136"/>
      <c r="H76" s="227" t="s">
        <v>165</v>
      </c>
      <c r="I76" s="227" t="s">
        <v>165</v>
      </c>
      <c r="J76" s="110"/>
      <c r="K76" s="250"/>
      <c r="N76" s="250"/>
      <c r="P76" s="257"/>
      <c r="R76" s="255"/>
      <c r="S76" s="256"/>
      <c r="T76" s="255"/>
      <c r="U76" s="256"/>
      <c r="V76" s="255"/>
    </row>
    <row r="77" spans="1:22" outlineLevel="3" collapsed="1" x14ac:dyDescent="0.25">
      <c r="A77" s="109"/>
      <c r="B77" s="225" t="s">
        <v>400</v>
      </c>
      <c r="C77" s="226" t="s">
        <v>407</v>
      </c>
      <c r="D77" s="135"/>
      <c r="E77" s="136"/>
      <c r="F77" s="136"/>
      <c r="G77" s="136"/>
      <c r="H77" s="227" t="s">
        <v>165</v>
      </c>
      <c r="I77" s="227" t="s">
        <v>165</v>
      </c>
      <c r="J77" s="110"/>
      <c r="K77" s="250"/>
      <c r="N77" s="250"/>
      <c r="P77" s="257"/>
      <c r="R77" s="255"/>
      <c r="S77" s="256"/>
      <c r="T77" s="255"/>
      <c r="U77" s="256"/>
      <c r="V77" s="255"/>
    </row>
    <row r="78" spans="1:22" outlineLevel="1" x14ac:dyDescent="0.25">
      <c r="A78" s="121"/>
      <c r="B78" s="122" t="s">
        <v>1081</v>
      </c>
      <c r="C78" s="123"/>
      <c r="D78" s="222" t="s">
        <v>1113</v>
      </c>
      <c r="E78" s="194" t="s">
        <v>1113</v>
      </c>
      <c r="F78" s="194" t="s">
        <v>1113</v>
      </c>
      <c r="G78" s="194" t="s">
        <v>1113</v>
      </c>
      <c r="H78" s="194" t="s">
        <v>1113</v>
      </c>
      <c r="I78" s="194" t="s">
        <v>1113</v>
      </c>
      <c r="J78" s="223" t="s">
        <v>1113</v>
      </c>
      <c r="K78" s="269"/>
      <c r="L78" s="270"/>
      <c r="M78" s="270"/>
      <c r="N78" s="269"/>
      <c r="O78" s="270"/>
      <c r="P78" s="275"/>
      <c r="Q78" s="272"/>
      <c r="R78" s="273"/>
      <c r="S78" s="274"/>
      <c r="T78" s="273"/>
      <c r="U78" s="274"/>
      <c r="V78" s="273"/>
    </row>
    <row r="79" spans="1:22" ht="30" outlineLevel="2" x14ac:dyDescent="0.25">
      <c r="A79" s="109"/>
      <c r="B79" s="110" t="s">
        <v>393</v>
      </c>
      <c r="C79" s="107" t="s">
        <v>394</v>
      </c>
      <c r="D79" s="109" t="s">
        <v>1114</v>
      </c>
      <c r="E79" s="15" t="s">
        <v>1114</v>
      </c>
      <c r="H79" s="15" t="s">
        <v>165</v>
      </c>
      <c r="I79" s="15" t="s">
        <v>165</v>
      </c>
      <c r="J79" s="110"/>
      <c r="K79" s="250"/>
      <c r="N79" s="250"/>
      <c r="P79" s="257"/>
      <c r="R79" s="255"/>
      <c r="S79" s="256"/>
      <c r="T79" s="255"/>
      <c r="U79" s="256"/>
      <c r="V79" s="255"/>
    </row>
    <row r="80" spans="1:22" outlineLevel="1" x14ac:dyDescent="0.25">
      <c r="A80" s="121"/>
      <c r="B80" s="122" t="s">
        <v>1082</v>
      </c>
      <c r="C80" s="123"/>
      <c r="D80" s="222" t="s">
        <v>1113</v>
      </c>
      <c r="E80" s="194" t="s">
        <v>1113</v>
      </c>
      <c r="F80" s="194" t="s">
        <v>1113</v>
      </c>
      <c r="G80" s="194" t="s">
        <v>1113</v>
      </c>
      <c r="H80" s="194" t="s">
        <v>1113</v>
      </c>
      <c r="I80" s="194" t="s">
        <v>1113</v>
      </c>
      <c r="J80" s="223" t="s">
        <v>1113</v>
      </c>
      <c r="K80" s="269"/>
      <c r="L80" s="270"/>
      <c r="M80" s="270"/>
      <c r="N80" s="269"/>
      <c r="O80" s="270"/>
      <c r="P80" s="275"/>
      <c r="Q80" s="272"/>
      <c r="R80" s="273"/>
      <c r="S80" s="274"/>
      <c r="T80" s="273"/>
      <c r="U80" s="274"/>
      <c r="V80" s="273"/>
    </row>
    <row r="81" spans="1:22" ht="30" outlineLevel="2" x14ac:dyDescent="0.25">
      <c r="A81" s="109"/>
      <c r="B81" s="110" t="s">
        <v>399</v>
      </c>
      <c r="C81" s="107" t="s">
        <v>403</v>
      </c>
      <c r="D81" s="109" t="s">
        <v>1114</v>
      </c>
      <c r="E81" s="15" t="s">
        <v>1114</v>
      </c>
      <c r="J81" s="110"/>
      <c r="K81" s="250"/>
      <c r="N81" s="250"/>
      <c r="P81" s="257"/>
      <c r="R81" s="255"/>
      <c r="S81" s="256"/>
      <c r="T81" s="255"/>
      <c r="U81" s="256"/>
      <c r="V81" s="255"/>
    </row>
    <row r="82" spans="1:22" ht="30" outlineLevel="3" x14ac:dyDescent="0.25">
      <c r="A82" s="109"/>
      <c r="B82" s="110" t="s">
        <v>415</v>
      </c>
      <c r="C82" s="107" t="s">
        <v>397</v>
      </c>
      <c r="D82" s="109" t="s">
        <v>1114</v>
      </c>
      <c r="E82" s="15" t="s">
        <v>1114</v>
      </c>
      <c r="J82" s="110"/>
      <c r="K82" s="250"/>
      <c r="N82" s="250"/>
      <c r="P82" s="257"/>
      <c r="R82" s="255"/>
      <c r="S82" s="256"/>
      <c r="T82" s="255"/>
      <c r="U82" s="256"/>
      <c r="V82" s="255"/>
    </row>
    <row r="83" spans="1:22" ht="30" outlineLevel="3" x14ac:dyDescent="0.25">
      <c r="A83" s="109"/>
      <c r="B83" s="110" t="s">
        <v>400</v>
      </c>
      <c r="C83" s="125" t="s">
        <v>401</v>
      </c>
      <c r="D83" s="109" t="s">
        <v>1114</v>
      </c>
      <c r="E83" s="15" t="s">
        <v>1114</v>
      </c>
      <c r="J83" s="110"/>
      <c r="K83" s="250"/>
      <c r="N83" s="250"/>
      <c r="P83" s="257"/>
      <c r="R83" s="255"/>
      <c r="S83" s="256"/>
      <c r="T83" s="255"/>
      <c r="U83" s="256"/>
      <c r="V83" s="255"/>
    </row>
    <row r="84" spans="1:22" outlineLevel="2" x14ac:dyDescent="0.25">
      <c r="A84" s="109"/>
      <c r="B84" s="225" t="s">
        <v>399</v>
      </c>
      <c r="C84" s="226" t="s">
        <v>416</v>
      </c>
      <c r="D84" s="135"/>
      <c r="E84" s="136"/>
      <c r="F84" s="136"/>
      <c r="G84" s="136"/>
      <c r="H84" s="227" t="s">
        <v>165</v>
      </c>
      <c r="I84" s="227" t="s">
        <v>165</v>
      </c>
      <c r="J84" s="110"/>
      <c r="K84" s="250"/>
      <c r="N84" s="250"/>
      <c r="P84" s="257"/>
      <c r="R84" s="255"/>
      <c r="S84" s="256"/>
      <c r="T84" s="255"/>
      <c r="U84" s="256"/>
      <c r="V84" s="255"/>
    </row>
    <row r="85" spans="1:22" outlineLevel="3" x14ac:dyDescent="0.25">
      <c r="A85" s="109"/>
      <c r="B85" s="128" t="s">
        <v>415</v>
      </c>
      <c r="C85" s="125" t="s">
        <v>417</v>
      </c>
      <c r="D85" s="124"/>
      <c r="E85" s="139"/>
      <c r="F85" s="139"/>
      <c r="G85" s="139"/>
      <c r="H85" s="139" t="s">
        <v>165</v>
      </c>
      <c r="I85" s="139" t="s">
        <v>165</v>
      </c>
      <c r="J85" s="110"/>
      <c r="K85" s="250"/>
      <c r="N85" s="250"/>
      <c r="P85" s="257"/>
      <c r="R85" s="255"/>
      <c r="S85" s="256"/>
      <c r="T85" s="255"/>
      <c r="U85" s="256"/>
      <c r="V85" s="255"/>
    </row>
    <row r="86" spans="1:22" outlineLevel="3" collapsed="1" x14ac:dyDescent="0.25">
      <c r="A86" s="109"/>
      <c r="B86" s="128" t="s">
        <v>400</v>
      </c>
      <c r="C86" s="125" t="s">
        <v>417</v>
      </c>
      <c r="D86" s="124"/>
      <c r="E86" s="139"/>
      <c r="F86" s="139"/>
      <c r="G86" s="139"/>
      <c r="H86" s="139" t="s">
        <v>165</v>
      </c>
      <c r="I86" s="139" t="s">
        <v>165</v>
      </c>
      <c r="J86" s="110"/>
      <c r="K86" s="250"/>
      <c r="N86" s="250"/>
      <c r="P86" s="257"/>
      <c r="R86" s="255"/>
      <c r="S86" s="256"/>
      <c r="T86" s="255"/>
      <c r="U86" s="256"/>
      <c r="V86" s="255"/>
    </row>
    <row r="87" spans="1:22" x14ac:dyDescent="0.25">
      <c r="A87" s="109"/>
      <c r="B87" s="110"/>
      <c r="C87" s="107"/>
      <c r="D87" s="109"/>
      <c r="J87" s="110"/>
      <c r="K87" s="250"/>
      <c r="N87" s="250"/>
      <c r="P87" s="257"/>
      <c r="R87" s="255"/>
      <c r="S87" s="256"/>
      <c r="T87" s="255"/>
      <c r="U87" s="256"/>
      <c r="V87" s="255"/>
    </row>
    <row r="88" spans="1:22" x14ac:dyDescent="0.25">
      <c r="A88" s="109"/>
      <c r="B88" s="110"/>
      <c r="C88" s="107"/>
      <c r="D88" s="109"/>
      <c r="J88" s="110"/>
      <c r="K88" s="250"/>
      <c r="N88" s="250"/>
      <c r="P88" s="257"/>
      <c r="R88" s="255"/>
      <c r="S88" s="256"/>
      <c r="T88" s="255"/>
      <c r="U88" s="256"/>
      <c r="V88" s="255"/>
    </row>
    <row r="89" spans="1:22" x14ac:dyDescent="0.25">
      <c r="A89" s="109"/>
      <c r="B89" s="110"/>
      <c r="C89" s="107"/>
      <c r="D89" s="109"/>
      <c r="J89" s="110"/>
      <c r="K89" s="250"/>
      <c r="N89" s="250"/>
      <c r="P89" s="257"/>
      <c r="R89" s="255"/>
      <c r="S89" s="256"/>
      <c r="T89" s="255"/>
      <c r="U89" s="256"/>
      <c r="V89" s="255"/>
    </row>
    <row r="90" spans="1:22" x14ac:dyDescent="0.25">
      <c r="A90" s="109"/>
      <c r="B90" s="110"/>
      <c r="C90" s="107"/>
      <c r="D90" s="109"/>
      <c r="J90" s="110"/>
      <c r="K90" s="250"/>
      <c r="N90" s="250"/>
      <c r="P90" s="257"/>
      <c r="R90" s="255"/>
      <c r="S90" s="256"/>
      <c r="T90" s="255"/>
      <c r="U90" s="256"/>
      <c r="V90" s="255"/>
    </row>
    <row r="91" spans="1:22" x14ac:dyDescent="0.25">
      <c r="A91" s="109"/>
      <c r="B91" s="110" t="s">
        <v>1091</v>
      </c>
      <c r="C91" s="107" t="s">
        <v>1090</v>
      </c>
      <c r="D91" s="109"/>
      <c r="J91" s="110"/>
      <c r="K91" s="250"/>
      <c r="N91" s="250"/>
      <c r="P91" s="257"/>
      <c r="R91" s="255"/>
      <c r="S91" s="256"/>
      <c r="T91" s="255"/>
      <c r="U91" s="256"/>
      <c r="V91" s="255"/>
    </row>
    <row r="92" spans="1:22" x14ac:dyDescent="0.25">
      <c r="A92" s="109"/>
      <c r="B92" s="110" t="s">
        <v>1095</v>
      </c>
      <c r="C92" s="107" t="s">
        <v>1096</v>
      </c>
      <c r="D92" s="109"/>
      <c r="J92" s="110"/>
      <c r="K92" s="250"/>
      <c r="N92" s="250"/>
      <c r="P92" s="257"/>
      <c r="R92" s="255"/>
      <c r="S92" s="256"/>
      <c r="T92" s="255"/>
      <c r="U92" s="256"/>
      <c r="V92" s="255"/>
    </row>
    <row r="93" spans="1:22" ht="30" x14ac:dyDescent="0.25">
      <c r="A93" s="109"/>
      <c r="B93" s="110" t="s">
        <v>1092</v>
      </c>
      <c r="C93" s="107" t="s">
        <v>1099</v>
      </c>
      <c r="D93" s="109"/>
      <c r="J93" s="110"/>
      <c r="K93" s="250"/>
      <c r="N93" s="250"/>
      <c r="P93" s="257"/>
      <c r="R93" s="255"/>
      <c r="S93" s="256"/>
      <c r="T93" s="255"/>
      <c r="U93" s="256"/>
      <c r="V93" s="255"/>
    </row>
    <row r="94" spans="1:22" x14ac:dyDescent="0.25">
      <c r="A94" s="109"/>
      <c r="B94" s="110" t="s">
        <v>1097</v>
      </c>
      <c r="C94" s="107" t="s">
        <v>1098</v>
      </c>
      <c r="D94" s="109"/>
      <c r="J94" s="110"/>
      <c r="K94" s="250"/>
      <c r="N94" s="250"/>
      <c r="P94" s="257"/>
      <c r="R94" s="255"/>
      <c r="S94" s="256"/>
      <c r="T94" s="255"/>
      <c r="U94" s="256"/>
      <c r="V94" s="255"/>
    </row>
    <row r="95" spans="1:22" x14ac:dyDescent="0.25">
      <c r="A95" s="109"/>
      <c r="B95" s="110" t="s">
        <v>1094</v>
      </c>
      <c r="C95" s="107" t="s">
        <v>1093</v>
      </c>
      <c r="D95" s="109"/>
      <c r="J95" s="110"/>
      <c r="K95" s="250"/>
      <c r="N95" s="250"/>
      <c r="P95" s="257"/>
      <c r="R95" s="255"/>
      <c r="S95" s="256"/>
      <c r="T95" s="255"/>
      <c r="U95" s="256"/>
      <c r="V95" s="255"/>
    </row>
    <row r="96" spans="1:22" x14ac:dyDescent="0.25">
      <c r="A96" s="109"/>
      <c r="B96" s="110" t="s">
        <v>1095</v>
      </c>
      <c r="C96" s="107" t="s">
        <v>1096</v>
      </c>
      <c r="D96" s="109"/>
      <c r="J96" s="110"/>
      <c r="K96" s="250"/>
      <c r="N96" s="250"/>
      <c r="P96" s="257"/>
      <c r="R96" s="255"/>
      <c r="S96" s="256"/>
      <c r="T96" s="255"/>
      <c r="U96" s="256"/>
      <c r="V96" s="255"/>
    </row>
    <row r="97" spans="1:22" ht="30" x14ac:dyDescent="0.25">
      <c r="A97" s="109"/>
      <c r="B97" s="110" t="s">
        <v>1092</v>
      </c>
      <c r="C97" s="107" t="s">
        <v>1100</v>
      </c>
      <c r="D97" s="109"/>
      <c r="J97" s="110"/>
      <c r="K97" s="250"/>
      <c r="N97" s="250"/>
      <c r="P97" s="257"/>
      <c r="R97" s="255"/>
      <c r="S97" s="256"/>
      <c r="T97" s="255"/>
      <c r="U97" s="256"/>
      <c r="V97" s="255"/>
    </row>
    <row r="98" spans="1:22" x14ac:dyDescent="0.25">
      <c r="A98" s="109"/>
      <c r="B98" s="110" t="s">
        <v>1097</v>
      </c>
      <c r="C98" s="107" t="s">
        <v>1098</v>
      </c>
      <c r="D98" s="109"/>
      <c r="J98" s="110"/>
      <c r="K98" s="250"/>
      <c r="N98" s="250"/>
      <c r="P98" s="257"/>
      <c r="R98" s="255"/>
      <c r="S98" s="256"/>
      <c r="T98" s="255"/>
      <c r="U98" s="256"/>
      <c r="V98" s="255"/>
    </row>
    <row r="99" spans="1:22" x14ac:dyDescent="0.25">
      <c r="A99" s="109"/>
      <c r="B99" s="110"/>
      <c r="C99" s="107"/>
      <c r="D99" s="109"/>
      <c r="J99" s="110"/>
      <c r="K99" s="250"/>
      <c r="N99" s="250"/>
      <c r="P99" s="257"/>
      <c r="Q99" s="276"/>
      <c r="R99" s="255"/>
      <c r="S99" s="256"/>
      <c r="T99" s="255"/>
      <c r="U99" s="256"/>
      <c r="V99" s="255"/>
    </row>
    <row r="100" spans="1:22" x14ac:dyDescent="0.25">
      <c r="A100" s="111"/>
      <c r="B100" s="112"/>
      <c r="C100" s="108"/>
      <c r="D100" s="111"/>
      <c r="E100" s="113"/>
      <c r="F100" s="113"/>
      <c r="G100" s="113"/>
      <c r="H100" s="113"/>
      <c r="I100" s="113"/>
      <c r="J100" s="112"/>
      <c r="K100" s="277"/>
      <c r="L100" s="278"/>
      <c r="M100" s="278"/>
      <c r="N100" s="277"/>
      <c r="O100" s="278"/>
      <c r="P100" s="279"/>
      <c r="Q100" s="280"/>
      <c r="R100" s="281"/>
      <c r="S100" s="282"/>
      <c r="T100" s="281"/>
      <c r="U100" s="282"/>
      <c r="V100" s="281"/>
    </row>
  </sheetData>
  <autoFilter ref="A2:R86" xr:uid="{D8A7ABC1-012F-41C6-A9CE-AD6FAEBB3DE7}"/>
  <mergeCells count="9">
    <mergeCell ref="Q1:R1"/>
    <mergeCell ref="S1:T1"/>
    <mergeCell ref="U1:V1"/>
    <mergeCell ref="D1:J1"/>
    <mergeCell ref="A1:A2"/>
    <mergeCell ref="B1:B2"/>
    <mergeCell ref="C1:C2"/>
    <mergeCell ref="K1:M1"/>
    <mergeCell ref="N1:P1"/>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4A74-6665-4AF5-B6EE-774778303C3B}">
  <sheetPr codeName="Foglio9"/>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thickBot="1" x14ac:dyDescent="0.3">
      <c r="C1" s="516" t="s">
        <v>26</v>
      </c>
      <c r="D1" s="517"/>
      <c r="E1" s="517"/>
      <c r="F1" s="518"/>
      <c r="G1" s="516" t="s">
        <v>27</v>
      </c>
      <c r="H1" s="517"/>
      <c r="I1" s="517"/>
      <c r="J1" s="518"/>
      <c r="K1" s="516" t="s">
        <v>28</v>
      </c>
      <c r="L1" s="517"/>
      <c r="M1" s="517"/>
      <c r="N1" s="518"/>
      <c r="O1" s="516" t="s">
        <v>29</v>
      </c>
      <c r="P1" s="517"/>
      <c r="Q1" s="517"/>
      <c r="R1" s="518"/>
      <c r="S1" s="516" t="s">
        <v>30</v>
      </c>
      <c r="T1" s="517"/>
      <c r="U1" s="517"/>
      <c r="V1" s="518"/>
      <c r="W1" s="516" t="s">
        <v>31</v>
      </c>
      <c r="X1" s="517"/>
      <c r="Y1" s="517"/>
      <c r="Z1" s="518"/>
    </row>
    <row r="2" spans="1:26" ht="15.75" thickBot="1" x14ac:dyDescent="0.3">
      <c r="A2" s="519" t="s">
        <v>32</v>
      </c>
      <c r="B2" s="520"/>
      <c r="C2" s="17" t="s">
        <v>33</v>
      </c>
      <c r="D2" s="18" t="s">
        <v>34</v>
      </c>
      <c r="E2" s="18" t="s">
        <v>33</v>
      </c>
      <c r="F2" s="19" t="s">
        <v>25</v>
      </c>
      <c r="G2" s="20" t="s">
        <v>33</v>
      </c>
      <c r="H2" s="18" t="s">
        <v>34</v>
      </c>
      <c r="I2" s="18" t="s">
        <v>33</v>
      </c>
      <c r="J2" s="19" t="s">
        <v>25</v>
      </c>
      <c r="K2" s="20" t="s">
        <v>33</v>
      </c>
      <c r="L2" s="18" t="s">
        <v>34</v>
      </c>
      <c r="M2" s="18" t="s">
        <v>33</v>
      </c>
      <c r="N2" s="19" t="s">
        <v>25</v>
      </c>
      <c r="O2" s="20" t="s">
        <v>33</v>
      </c>
      <c r="P2" s="18" t="s">
        <v>34</v>
      </c>
      <c r="Q2" s="18" t="s">
        <v>33</v>
      </c>
      <c r="R2" s="19" t="s">
        <v>25</v>
      </c>
      <c r="S2" s="20" t="s">
        <v>33</v>
      </c>
      <c r="T2" s="18" t="s">
        <v>34</v>
      </c>
      <c r="U2" s="18" t="s">
        <v>33</v>
      </c>
      <c r="V2" s="19" t="s">
        <v>25</v>
      </c>
      <c r="W2" s="20" t="s">
        <v>33</v>
      </c>
      <c r="X2" s="18" t="s">
        <v>34</v>
      </c>
      <c r="Y2" s="18" t="s">
        <v>33</v>
      </c>
      <c r="Z2" s="19" t="s">
        <v>25</v>
      </c>
    </row>
    <row r="3" spans="1:26" ht="286.5" customHeight="1" x14ac:dyDescent="0.25">
      <c r="A3" s="521" t="s">
        <v>35</v>
      </c>
      <c r="B3" s="524" t="s">
        <v>36</v>
      </c>
      <c r="C3" s="526" t="s">
        <v>37</v>
      </c>
      <c r="D3" s="22" t="s">
        <v>38</v>
      </c>
      <c r="E3" s="15" t="s">
        <v>39</v>
      </c>
      <c r="F3" s="23" t="s">
        <v>40</v>
      </c>
      <c r="G3" s="526" t="s">
        <v>37</v>
      </c>
      <c r="H3" s="22" t="s">
        <v>38</v>
      </c>
      <c r="I3" s="15" t="s">
        <v>39</v>
      </c>
      <c r="J3" s="23" t="s">
        <v>40</v>
      </c>
      <c r="K3" s="540" t="s">
        <v>41</v>
      </c>
      <c r="L3" s="24" t="s">
        <v>38</v>
      </c>
      <c r="M3" s="25" t="s">
        <v>39</v>
      </c>
      <c r="N3" s="26" t="s">
        <v>42</v>
      </c>
      <c r="O3" s="526" t="s">
        <v>43</v>
      </c>
      <c r="P3" s="22" t="s">
        <v>38</v>
      </c>
      <c r="Q3" s="27"/>
      <c r="R3" s="28" t="s">
        <v>44</v>
      </c>
      <c r="S3" s="529"/>
      <c r="T3" s="29" t="s">
        <v>38</v>
      </c>
      <c r="U3" s="30"/>
      <c r="V3" s="31" t="s">
        <v>45</v>
      </c>
      <c r="W3" s="526" t="s">
        <v>46</v>
      </c>
      <c r="X3" s="22" t="s">
        <v>38</v>
      </c>
      <c r="Y3" s="27"/>
      <c r="Z3" s="23" t="s">
        <v>47</v>
      </c>
    </row>
    <row r="4" spans="1:26" x14ac:dyDescent="0.25">
      <c r="A4" s="522"/>
      <c r="B4" s="525"/>
      <c r="C4" s="527"/>
      <c r="D4" s="33" t="s">
        <v>48</v>
      </c>
      <c r="E4" s="34">
        <v>13900244911</v>
      </c>
      <c r="F4" s="35"/>
      <c r="G4" s="527"/>
      <c r="H4" s="33" t="s">
        <v>48</v>
      </c>
      <c r="I4" s="34">
        <v>13900244911</v>
      </c>
      <c r="J4" s="35"/>
      <c r="K4" s="535"/>
      <c r="L4" s="36" t="s">
        <v>48</v>
      </c>
      <c r="M4" s="37">
        <v>13900244911</v>
      </c>
      <c r="N4" s="38"/>
      <c r="O4" s="527"/>
      <c r="P4" s="33" t="s">
        <v>48</v>
      </c>
      <c r="Q4" s="39">
        <v>13900244911</v>
      </c>
      <c r="R4" s="35"/>
      <c r="S4" s="529"/>
      <c r="T4" s="40" t="s">
        <v>48</v>
      </c>
      <c r="U4" s="41">
        <v>13900244911</v>
      </c>
      <c r="V4" s="42"/>
      <c r="W4" s="527"/>
      <c r="X4" s="33" t="s">
        <v>48</v>
      </c>
      <c r="Y4" s="1"/>
      <c r="Z4" s="35"/>
    </row>
    <row r="5" spans="1:26" x14ac:dyDescent="0.25">
      <c r="A5" s="522"/>
      <c r="B5" s="525"/>
      <c r="C5" s="527"/>
      <c r="D5" s="33" t="s">
        <v>49</v>
      </c>
      <c r="E5" s="1" t="s">
        <v>50</v>
      </c>
      <c r="F5" s="35"/>
      <c r="G5" s="527"/>
      <c r="H5" s="33" t="s">
        <v>49</v>
      </c>
      <c r="I5" s="1" t="s">
        <v>50</v>
      </c>
      <c r="J5" s="35"/>
      <c r="K5" s="535"/>
      <c r="L5" s="36" t="s">
        <v>49</v>
      </c>
      <c r="M5" s="43" t="s">
        <v>50</v>
      </c>
      <c r="N5" s="38"/>
      <c r="O5" s="527"/>
      <c r="P5" s="33" t="s">
        <v>49</v>
      </c>
      <c r="Q5" s="44" t="s">
        <v>50</v>
      </c>
      <c r="R5" s="35"/>
      <c r="S5" s="529"/>
      <c r="T5" s="40" t="s">
        <v>49</v>
      </c>
      <c r="U5" s="45" t="s">
        <v>50</v>
      </c>
      <c r="V5" s="42"/>
      <c r="W5" s="527"/>
      <c r="X5" s="33" t="s">
        <v>49</v>
      </c>
      <c r="Y5" s="1"/>
      <c r="Z5" s="35"/>
    </row>
    <row r="6" spans="1:26" ht="87" customHeight="1" x14ac:dyDescent="0.25">
      <c r="A6" s="522"/>
      <c r="B6" s="525"/>
      <c r="C6" s="527"/>
      <c r="D6" s="33" t="s">
        <v>51</v>
      </c>
      <c r="E6" s="46" t="s">
        <v>52</v>
      </c>
      <c r="F6" s="35"/>
      <c r="G6" s="527"/>
      <c r="H6" s="33" t="s">
        <v>51</v>
      </c>
      <c r="I6" s="46" t="s">
        <v>52</v>
      </c>
      <c r="J6" s="35"/>
      <c r="K6" s="535"/>
      <c r="L6" s="36" t="s">
        <v>51</v>
      </c>
      <c r="M6" s="47" t="s">
        <v>52</v>
      </c>
      <c r="N6" s="38"/>
      <c r="O6" s="527"/>
      <c r="P6" s="33" t="s">
        <v>51</v>
      </c>
      <c r="Q6" s="48" t="s">
        <v>52</v>
      </c>
      <c r="R6" s="35"/>
      <c r="S6" s="529"/>
      <c r="T6" s="40" t="s">
        <v>51</v>
      </c>
      <c r="U6" s="49" t="s">
        <v>52</v>
      </c>
      <c r="V6" s="42"/>
      <c r="W6" s="527"/>
      <c r="X6" s="33" t="s">
        <v>51</v>
      </c>
      <c r="Y6" s="46" t="s">
        <v>52</v>
      </c>
      <c r="Z6" s="35"/>
    </row>
    <row r="7" spans="1:26" x14ac:dyDescent="0.25">
      <c r="A7" s="522"/>
      <c r="B7" s="525"/>
      <c r="C7" s="527"/>
      <c r="D7" s="33" t="s">
        <v>53</v>
      </c>
      <c r="E7" s="1" t="s">
        <v>54</v>
      </c>
      <c r="F7" s="35"/>
      <c r="G7" s="527"/>
      <c r="H7" s="33" t="s">
        <v>53</v>
      </c>
      <c r="I7" s="1" t="s">
        <v>54</v>
      </c>
      <c r="J7" s="35"/>
      <c r="K7" s="535"/>
      <c r="L7" s="36" t="s">
        <v>53</v>
      </c>
      <c r="M7" s="43" t="s">
        <v>54</v>
      </c>
      <c r="N7" s="38"/>
      <c r="O7" s="527"/>
      <c r="P7" s="33" t="s">
        <v>53</v>
      </c>
      <c r="Q7" s="44" t="s">
        <v>54</v>
      </c>
      <c r="R7" s="35"/>
      <c r="S7" s="529"/>
      <c r="T7" s="40" t="s">
        <v>53</v>
      </c>
      <c r="U7" s="45" t="s">
        <v>54</v>
      </c>
      <c r="V7" s="42"/>
      <c r="W7" s="527"/>
      <c r="X7" s="33" t="s">
        <v>53</v>
      </c>
      <c r="Y7" s="1"/>
      <c r="Z7" s="35"/>
    </row>
    <row r="8" spans="1:26" x14ac:dyDescent="0.25">
      <c r="A8" s="522"/>
      <c r="B8" s="525"/>
      <c r="C8" s="528"/>
      <c r="D8" s="33" t="s">
        <v>55</v>
      </c>
      <c r="E8" s="1"/>
      <c r="F8" s="35" t="s">
        <v>56</v>
      </c>
      <c r="G8" s="528"/>
      <c r="H8" s="33" t="s">
        <v>55</v>
      </c>
      <c r="I8" s="1"/>
      <c r="J8" s="35" t="s">
        <v>56</v>
      </c>
      <c r="K8" s="541"/>
      <c r="L8" s="36" t="s">
        <v>55</v>
      </c>
      <c r="M8" s="43"/>
      <c r="N8" s="38"/>
      <c r="O8" s="528"/>
      <c r="P8" s="33" t="s">
        <v>55</v>
      </c>
      <c r="Q8" s="44"/>
      <c r="R8" s="35"/>
      <c r="S8" s="530"/>
      <c r="T8" s="40" t="s">
        <v>55</v>
      </c>
      <c r="U8" s="45"/>
      <c r="V8" s="42"/>
      <c r="W8" s="528"/>
      <c r="X8" s="33" t="s">
        <v>55</v>
      </c>
      <c r="Y8" s="1"/>
      <c r="Z8" s="35"/>
    </row>
    <row r="9" spans="1:26" ht="30" x14ac:dyDescent="0.25">
      <c r="A9" s="522"/>
      <c r="B9" s="525" t="s">
        <v>57</v>
      </c>
      <c r="C9" s="532" t="s">
        <v>58</v>
      </c>
      <c r="D9" s="33" t="s">
        <v>59</v>
      </c>
      <c r="E9" s="50" t="s">
        <v>60</v>
      </c>
      <c r="F9" s="35"/>
      <c r="G9" s="532" t="s">
        <v>58</v>
      </c>
      <c r="H9" s="33" t="s">
        <v>59</v>
      </c>
      <c r="I9" s="50" t="s">
        <v>60</v>
      </c>
      <c r="J9" s="35"/>
      <c r="K9" s="534" t="s">
        <v>61</v>
      </c>
      <c r="L9" s="36" t="s">
        <v>59</v>
      </c>
      <c r="M9" s="51" t="s">
        <v>60</v>
      </c>
      <c r="N9" s="38"/>
      <c r="O9" s="532" t="s">
        <v>62</v>
      </c>
      <c r="P9" s="33" t="s">
        <v>59</v>
      </c>
      <c r="Q9" s="50" t="s">
        <v>60</v>
      </c>
      <c r="R9" s="35"/>
      <c r="S9" s="537"/>
      <c r="T9" s="40" t="s">
        <v>59</v>
      </c>
      <c r="U9" s="45"/>
      <c r="V9" s="42"/>
      <c r="W9" s="539"/>
      <c r="X9" s="33" t="s">
        <v>59</v>
      </c>
      <c r="Y9" s="1"/>
      <c r="Z9" s="35"/>
    </row>
    <row r="10" spans="1:26" x14ac:dyDescent="0.25">
      <c r="A10" s="522"/>
      <c r="B10" s="525"/>
      <c r="C10" s="527"/>
      <c r="D10" s="33" t="s">
        <v>63</v>
      </c>
      <c r="E10" s="1"/>
      <c r="F10" s="35"/>
      <c r="G10" s="527"/>
      <c r="H10" s="33" t="s">
        <v>63</v>
      </c>
      <c r="I10" s="1"/>
      <c r="J10" s="35"/>
      <c r="K10" s="535"/>
      <c r="L10" s="36" t="s">
        <v>63</v>
      </c>
      <c r="M10" s="43"/>
      <c r="N10" s="38"/>
      <c r="O10" s="527"/>
      <c r="P10" s="33" t="s">
        <v>63</v>
      </c>
      <c r="Q10" s="1"/>
      <c r="R10" s="35"/>
      <c r="S10" s="529"/>
      <c r="T10" s="40" t="s">
        <v>63</v>
      </c>
      <c r="U10" s="45"/>
      <c r="V10" s="42"/>
      <c r="W10" s="527"/>
      <c r="X10" s="33" t="s">
        <v>63</v>
      </c>
      <c r="Y10" s="1"/>
      <c r="Z10" s="35"/>
    </row>
    <row r="11" spans="1:26" x14ac:dyDescent="0.25">
      <c r="A11" s="522"/>
      <c r="B11" s="525"/>
      <c r="C11" s="527"/>
      <c r="D11" s="33" t="s">
        <v>53</v>
      </c>
      <c r="E11" s="1"/>
      <c r="F11" s="35"/>
      <c r="G11" s="527"/>
      <c r="H11" s="33" t="s">
        <v>53</v>
      </c>
      <c r="I11" s="1"/>
      <c r="J11" s="35"/>
      <c r="K11" s="535"/>
      <c r="L11" s="36" t="s">
        <v>53</v>
      </c>
      <c r="M11" s="43"/>
      <c r="N11" s="38"/>
      <c r="O11" s="527"/>
      <c r="P11" s="33" t="s">
        <v>53</v>
      </c>
      <c r="Q11" s="1"/>
      <c r="R11" s="35"/>
      <c r="S11" s="529"/>
      <c r="T11" s="40" t="s">
        <v>53</v>
      </c>
      <c r="U11" s="45"/>
      <c r="V11" s="42"/>
      <c r="W11" s="527"/>
      <c r="X11" s="33" t="s">
        <v>53</v>
      </c>
      <c r="Y11" s="1"/>
      <c r="Z11" s="35"/>
    </row>
    <row r="12" spans="1:26" ht="15.75" thickBot="1" x14ac:dyDescent="0.3">
      <c r="A12" s="523"/>
      <c r="B12" s="531"/>
      <c r="C12" s="533"/>
      <c r="D12" s="52" t="s">
        <v>55</v>
      </c>
      <c r="E12" s="53"/>
      <c r="F12" s="54"/>
      <c r="G12" s="533"/>
      <c r="H12" s="52" t="s">
        <v>55</v>
      </c>
      <c r="I12" s="53"/>
      <c r="J12" s="54"/>
      <c r="K12" s="536"/>
      <c r="L12" s="55" t="s">
        <v>55</v>
      </c>
      <c r="M12" s="56"/>
      <c r="N12" s="57"/>
      <c r="O12" s="533"/>
      <c r="P12" s="52" t="s">
        <v>55</v>
      </c>
      <c r="Q12" s="53"/>
      <c r="R12" s="54"/>
      <c r="S12" s="538"/>
      <c r="T12" s="58" t="s">
        <v>55</v>
      </c>
      <c r="U12" s="59"/>
      <c r="V12" s="60"/>
      <c r="W12" s="533"/>
      <c r="X12" s="52" t="s">
        <v>55</v>
      </c>
      <c r="Y12" s="53"/>
      <c r="Z12" s="54"/>
    </row>
    <row r="13" spans="1:26" x14ac:dyDescent="0.25">
      <c r="A13" s="542" t="s">
        <v>64</v>
      </c>
      <c r="B13" s="545" t="s">
        <v>65</v>
      </c>
      <c r="C13" s="546">
        <v>100170460</v>
      </c>
      <c r="D13" s="61" t="s">
        <v>66</v>
      </c>
      <c r="E13" s="62">
        <v>10573076</v>
      </c>
      <c r="F13" s="63"/>
      <c r="G13" s="548">
        <v>10949272</v>
      </c>
      <c r="H13" s="61" t="s">
        <v>66</v>
      </c>
      <c r="I13" s="62">
        <v>10573076</v>
      </c>
      <c r="J13" s="63"/>
      <c r="K13" s="548">
        <v>10949272</v>
      </c>
      <c r="L13" s="61" t="s">
        <v>66</v>
      </c>
      <c r="M13" s="62">
        <v>10573076</v>
      </c>
      <c r="N13" s="63"/>
      <c r="O13" s="546">
        <v>100170460</v>
      </c>
      <c r="P13" s="61" t="s">
        <v>66</v>
      </c>
      <c r="Q13" s="62">
        <v>10573076</v>
      </c>
      <c r="R13" s="63"/>
      <c r="S13" s="550"/>
      <c r="T13" s="64" t="s">
        <v>66</v>
      </c>
      <c r="U13" s="64"/>
      <c r="V13" s="65"/>
      <c r="W13" s="553"/>
      <c r="X13" s="61" t="s">
        <v>66</v>
      </c>
      <c r="Y13" s="61"/>
      <c r="Z13" s="63"/>
    </row>
    <row r="14" spans="1:26" x14ac:dyDescent="0.25">
      <c r="A14" s="543"/>
      <c r="B14" s="525"/>
      <c r="C14" s="547"/>
      <c r="D14" s="1" t="s">
        <v>67</v>
      </c>
      <c r="E14" s="12">
        <v>10561136</v>
      </c>
      <c r="F14" s="35"/>
      <c r="G14" s="549"/>
      <c r="H14" s="1" t="s">
        <v>67</v>
      </c>
      <c r="I14" s="12">
        <v>10561136</v>
      </c>
      <c r="J14" s="35"/>
      <c r="K14" s="549"/>
      <c r="L14" s="1" t="s">
        <v>67</v>
      </c>
      <c r="M14" s="12">
        <v>10561136</v>
      </c>
      <c r="N14" s="35"/>
      <c r="O14" s="547"/>
      <c r="P14" s="1" t="s">
        <v>67</v>
      </c>
      <c r="Q14" s="44">
        <v>10561136</v>
      </c>
      <c r="R14" s="35"/>
      <c r="S14" s="551"/>
      <c r="T14" s="45" t="s">
        <v>67</v>
      </c>
      <c r="U14" s="45"/>
      <c r="V14" s="42"/>
      <c r="W14" s="554"/>
      <c r="X14" s="1" t="s">
        <v>67</v>
      </c>
      <c r="Y14" s="1"/>
      <c r="Z14" s="35" t="s">
        <v>68</v>
      </c>
    </row>
    <row r="15" spans="1:26" x14ac:dyDescent="0.25">
      <c r="A15" s="543"/>
      <c r="B15" s="525"/>
      <c r="C15" s="547"/>
      <c r="D15" s="1" t="s">
        <v>69</v>
      </c>
      <c r="E15" s="44" t="s">
        <v>70</v>
      </c>
      <c r="F15" s="35"/>
      <c r="G15" s="549"/>
      <c r="H15" s="1" t="s">
        <v>69</v>
      </c>
      <c r="I15" s="44" t="s">
        <v>70</v>
      </c>
      <c r="J15" s="35"/>
      <c r="K15" s="549"/>
      <c r="L15" s="1" t="s">
        <v>69</v>
      </c>
      <c r="M15" s="44" t="s">
        <v>70</v>
      </c>
      <c r="N15" s="35"/>
      <c r="O15" s="547"/>
      <c r="P15" s="1" t="s">
        <v>69</v>
      </c>
      <c r="Q15" s="12" t="s">
        <v>70</v>
      </c>
      <c r="R15" s="35"/>
      <c r="S15" s="551"/>
      <c r="T15" s="45" t="s">
        <v>69</v>
      </c>
      <c r="U15" s="45"/>
      <c r="V15" s="42"/>
      <c r="W15" s="554"/>
      <c r="X15" s="1" t="s">
        <v>69</v>
      </c>
      <c r="Y15" s="1"/>
      <c r="Z15" s="35"/>
    </row>
    <row r="16" spans="1:26" x14ac:dyDescent="0.25">
      <c r="A16" s="543"/>
      <c r="B16" s="525"/>
      <c r="C16" s="547"/>
      <c r="D16" s="1" t="s">
        <v>71</v>
      </c>
      <c r="E16" s="44">
        <v>102895</v>
      </c>
      <c r="F16" s="35"/>
      <c r="G16" s="549"/>
      <c r="H16" s="1" t="s">
        <v>71</v>
      </c>
      <c r="I16" s="67" t="s">
        <v>72</v>
      </c>
      <c r="J16" s="68" t="s">
        <v>73</v>
      </c>
      <c r="K16" s="549"/>
      <c r="L16" s="1" t="s">
        <v>71</v>
      </c>
      <c r="M16" s="67" t="s">
        <v>74</v>
      </c>
      <c r="N16" s="68" t="s">
        <v>73</v>
      </c>
      <c r="O16" s="547"/>
      <c r="P16" s="1" t="s">
        <v>71</v>
      </c>
      <c r="Q16" s="67" t="s">
        <v>75</v>
      </c>
      <c r="R16" s="69" t="s">
        <v>76</v>
      </c>
      <c r="S16" s="552"/>
      <c r="T16" s="45" t="s">
        <v>77</v>
      </c>
      <c r="U16" s="45"/>
      <c r="V16" s="42"/>
      <c r="W16" s="555"/>
      <c r="X16" s="1" t="s">
        <v>71</v>
      </c>
      <c r="Y16" s="1"/>
      <c r="Z16" s="68" t="s">
        <v>73</v>
      </c>
    </row>
    <row r="17" spans="1:26" x14ac:dyDescent="0.25">
      <c r="A17" s="543"/>
      <c r="B17" s="525" t="s">
        <v>78</v>
      </c>
      <c r="C17" s="547">
        <v>100170464</v>
      </c>
      <c r="D17" s="33" t="s">
        <v>66</v>
      </c>
      <c r="E17" s="70">
        <v>10573076</v>
      </c>
      <c r="F17" s="35"/>
      <c r="G17" s="549">
        <v>10949356</v>
      </c>
      <c r="H17" s="1" t="s">
        <v>66</v>
      </c>
      <c r="I17" s="70">
        <v>10573076</v>
      </c>
      <c r="J17" s="35"/>
      <c r="K17" s="549">
        <v>10949356</v>
      </c>
      <c r="L17" s="1" t="s">
        <v>66</v>
      </c>
      <c r="M17" s="70">
        <v>10573076</v>
      </c>
      <c r="N17" s="35"/>
      <c r="O17" s="547">
        <v>100170464</v>
      </c>
      <c r="P17" s="1" t="s">
        <v>66</v>
      </c>
      <c r="Q17" s="14">
        <v>10573076</v>
      </c>
      <c r="R17" s="35"/>
      <c r="S17" s="556"/>
      <c r="T17" s="45" t="s">
        <v>66</v>
      </c>
      <c r="U17" s="45"/>
      <c r="V17" s="42"/>
      <c r="W17" s="557"/>
      <c r="X17" s="1" t="s">
        <v>66</v>
      </c>
      <c r="Y17" s="1"/>
      <c r="Z17" s="35"/>
    </row>
    <row r="18" spans="1:26" x14ac:dyDescent="0.25">
      <c r="A18" s="543"/>
      <c r="B18" s="525"/>
      <c r="C18" s="547"/>
      <c r="D18" s="33" t="s">
        <v>67</v>
      </c>
      <c r="E18" s="71">
        <v>10572700</v>
      </c>
      <c r="F18" s="35"/>
      <c r="G18" s="549"/>
      <c r="H18" s="1" t="s">
        <v>67</v>
      </c>
      <c r="I18" s="71">
        <v>10572700</v>
      </c>
      <c r="J18" s="35"/>
      <c r="K18" s="549"/>
      <c r="L18" s="1" t="s">
        <v>67</v>
      </c>
      <c r="M18" s="71">
        <v>10572700</v>
      </c>
      <c r="N18" s="35"/>
      <c r="O18" s="547"/>
      <c r="P18" s="1" t="s">
        <v>67</v>
      </c>
      <c r="Q18" s="72">
        <v>10572700</v>
      </c>
      <c r="R18" s="35" t="s">
        <v>79</v>
      </c>
      <c r="S18" s="551"/>
      <c r="T18" s="45" t="s">
        <v>67</v>
      </c>
      <c r="U18" s="45"/>
      <c r="V18" s="42"/>
      <c r="W18" s="554"/>
      <c r="X18" s="1" t="s">
        <v>67</v>
      </c>
      <c r="Y18" s="1"/>
      <c r="Z18" s="35"/>
    </row>
    <row r="19" spans="1:26" x14ac:dyDescent="0.25">
      <c r="A19" s="543"/>
      <c r="B19" s="525"/>
      <c r="C19" s="547"/>
      <c r="D19" s="33" t="s">
        <v>69</v>
      </c>
      <c r="E19" s="44" t="s">
        <v>80</v>
      </c>
      <c r="F19" s="35"/>
      <c r="G19" s="549"/>
      <c r="H19" s="1" t="s">
        <v>69</v>
      </c>
      <c r="I19" s="44" t="s">
        <v>80</v>
      </c>
      <c r="J19" s="35"/>
      <c r="K19" s="549"/>
      <c r="L19" s="1" t="s">
        <v>69</v>
      </c>
      <c r="M19" s="44" t="s">
        <v>80</v>
      </c>
      <c r="N19" s="35"/>
      <c r="O19" s="547"/>
      <c r="P19" s="1" t="s">
        <v>69</v>
      </c>
      <c r="Q19" s="67" t="s">
        <v>81</v>
      </c>
      <c r="R19" s="35" t="s">
        <v>82</v>
      </c>
      <c r="S19" s="551"/>
      <c r="T19" s="45" t="s">
        <v>69</v>
      </c>
      <c r="U19" s="73" t="s">
        <v>80</v>
      </c>
      <c r="V19" s="42"/>
      <c r="W19" s="554"/>
      <c r="X19" s="1" t="s">
        <v>69</v>
      </c>
      <c r="Y19" s="44" t="s">
        <v>80</v>
      </c>
      <c r="Z19" s="35"/>
    </row>
    <row r="20" spans="1:26" x14ac:dyDescent="0.25">
      <c r="A20" s="543"/>
      <c r="B20" s="525"/>
      <c r="C20" s="547"/>
      <c r="D20" s="1" t="s">
        <v>71</v>
      </c>
      <c r="E20" s="12">
        <v>102895</v>
      </c>
      <c r="F20" s="35"/>
      <c r="G20" s="549"/>
      <c r="H20" s="1" t="s">
        <v>71</v>
      </c>
      <c r="I20" s="67" t="s">
        <v>72</v>
      </c>
      <c r="J20" s="68" t="s">
        <v>73</v>
      </c>
      <c r="K20" s="549"/>
      <c r="L20" s="1" t="s">
        <v>71</v>
      </c>
      <c r="M20" s="67" t="s">
        <v>74</v>
      </c>
      <c r="N20" s="68" t="s">
        <v>73</v>
      </c>
      <c r="O20" s="547"/>
      <c r="P20" s="1" t="s">
        <v>71</v>
      </c>
      <c r="Q20" s="74">
        <v>102895</v>
      </c>
      <c r="R20" s="35"/>
      <c r="S20" s="552"/>
      <c r="T20" s="45" t="s">
        <v>71</v>
      </c>
      <c r="U20" s="45"/>
      <c r="V20" s="42"/>
      <c r="W20" s="555"/>
      <c r="X20" s="1" t="s">
        <v>71</v>
      </c>
      <c r="Y20" s="1"/>
      <c r="Z20" s="68" t="s">
        <v>73</v>
      </c>
    </row>
    <row r="21" spans="1:26" x14ac:dyDescent="0.25">
      <c r="A21" s="543"/>
      <c r="B21" s="525" t="s">
        <v>83</v>
      </c>
      <c r="C21" s="547" t="s">
        <v>84</v>
      </c>
      <c r="D21" s="33" t="s">
        <v>66</v>
      </c>
      <c r="E21" s="43"/>
      <c r="F21" s="38"/>
      <c r="G21" s="547" t="s">
        <v>84</v>
      </c>
      <c r="H21" s="1" t="s">
        <v>66</v>
      </c>
      <c r="I21" s="43"/>
      <c r="J21" s="38"/>
      <c r="K21" s="547" t="s">
        <v>84</v>
      </c>
      <c r="L21" s="1" t="s">
        <v>66</v>
      </c>
      <c r="M21" s="43"/>
      <c r="N21" s="38"/>
      <c r="O21" s="549">
        <v>10851208</v>
      </c>
      <c r="P21" s="1" t="s">
        <v>66</v>
      </c>
      <c r="Q21" s="44">
        <v>10573076</v>
      </c>
      <c r="R21" s="35"/>
      <c r="S21" s="556"/>
      <c r="T21" s="45" t="s">
        <v>66</v>
      </c>
      <c r="U21" s="45"/>
      <c r="V21" s="42"/>
      <c r="W21" s="557"/>
      <c r="X21" s="1" t="s">
        <v>66</v>
      </c>
      <c r="Y21" s="43"/>
      <c r="Z21" s="38"/>
    </row>
    <row r="22" spans="1:26" x14ac:dyDescent="0.25">
      <c r="A22" s="543"/>
      <c r="B22" s="525"/>
      <c r="C22" s="547"/>
      <c r="D22" s="33" t="s">
        <v>67</v>
      </c>
      <c r="E22" s="43"/>
      <c r="F22" s="38"/>
      <c r="G22" s="547"/>
      <c r="H22" s="1" t="s">
        <v>67</v>
      </c>
      <c r="I22" s="43"/>
      <c r="J22" s="38"/>
      <c r="K22" s="547"/>
      <c r="L22" s="1" t="s">
        <v>67</v>
      </c>
      <c r="M22" s="43"/>
      <c r="N22" s="38"/>
      <c r="O22" s="549"/>
      <c r="P22" s="1" t="s">
        <v>67</v>
      </c>
      <c r="Q22" s="44">
        <v>10882275</v>
      </c>
      <c r="R22" s="35" t="s">
        <v>85</v>
      </c>
      <c r="S22" s="551"/>
      <c r="T22" s="45" t="s">
        <v>67</v>
      </c>
      <c r="U22" s="45"/>
      <c r="V22" s="42"/>
      <c r="W22" s="554"/>
      <c r="X22" s="1" t="s">
        <v>67</v>
      </c>
      <c r="Y22" s="43"/>
      <c r="Z22" s="38"/>
    </row>
    <row r="23" spans="1:26" x14ac:dyDescent="0.25">
      <c r="A23" s="543"/>
      <c r="B23" s="525"/>
      <c r="C23" s="547"/>
      <c r="D23" s="33" t="s">
        <v>69</v>
      </c>
      <c r="E23" s="43"/>
      <c r="F23" s="38"/>
      <c r="G23" s="547"/>
      <c r="H23" s="1" t="s">
        <v>69</v>
      </c>
      <c r="I23" s="43"/>
      <c r="J23" s="38"/>
      <c r="K23" s="547"/>
      <c r="L23" s="1" t="s">
        <v>69</v>
      </c>
      <c r="M23" s="43"/>
      <c r="N23" s="38"/>
      <c r="O23" s="549"/>
      <c r="P23" s="1" t="s">
        <v>69</v>
      </c>
      <c r="Q23" s="44" t="s">
        <v>86</v>
      </c>
      <c r="R23" s="35"/>
      <c r="S23" s="551"/>
      <c r="T23" s="45" t="s">
        <v>69</v>
      </c>
      <c r="U23" s="45"/>
      <c r="V23" s="42"/>
      <c r="W23" s="554"/>
      <c r="X23" s="1" t="s">
        <v>69</v>
      </c>
      <c r="Y23" s="43"/>
      <c r="Z23" s="38"/>
    </row>
    <row r="24" spans="1:26" x14ac:dyDescent="0.25">
      <c r="A24" s="543"/>
      <c r="B24" s="525"/>
      <c r="C24" s="547"/>
      <c r="D24" s="33" t="s">
        <v>77</v>
      </c>
      <c r="E24" s="43"/>
      <c r="F24" s="38"/>
      <c r="G24" s="547"/>
      <c r="H24" s="1" t="s">
        <v>77</v>
      </c>
      <c r="I24" s="43"/>
      <c r="J24" s="38"/>
      <c r="K24" s="547"/>
      <c r="L24" s="1" t="s">
        <v>77</v>
      </c>
      <c r="M24" s="43"/>
      <c r="N24" s="38"/>
      <c r="O24" s="549"/>
      <c r="P24" s="1" t="s">
        <v>71</v>
      </c>
      <c r="Q24" s="67" t="s">
        <v>75</v>
      </c>
      <c r="R24" s="69" t="s">
        <v>87</v>
      </c>
      <c r="S24" s="552"/>
      <c r="T24" s="45" t="s">
        <v>77</v>
      </c>
      <c r="U24" s="45"/>
      <c r="V24" s="42"/>
      <c r="W24" s="555"/>
      <c r="X24" s="1" t="s">
        <v>77</v>
      </c>
      <c r="Y24" s="43"/>
      <c r="Z24" s="38"/>
    </row>
    <row r="25" spans="1:26" x14ac:dyDescent="0.25">
      <c r="A25" s="543"/>
      <c r="B25" s="525" t="s">
        <v>88</v>
      </c>
      <c r="C25" s="547" t="s">
        <v>84</v>
      </c>
      <c r="D25" s="33" t="s">
        <v>66</v>
      </c>
      <c r="E25" s="43"/>
      <c r="F25" s="38"/>
      <c r="G25" s="547" t="s">
        <v>84</v>
      </c>
      <c r="H25" s="1" t="s">
        <v>66</v>
      </c>
      <c r="I25" s="43"/>
      <c r="J25" s="38"/>
      <c r="K25" s="547" t="s">
        <v>84</v>
      </c>
      <c r="L25" s="1" t="s">
        <v>66</v>
      </c>
      <c r="M25" s="43"/>
      <c r="N25" s="38"/>
      <c r="O25" s="558"/>
      <c r="P25" s="43" t="s">
        <v>66</v>
      </c>
      <c r="Q25" s="43"/>
      <c r="R25" s="38"/>
      <c r="S25" s="556"/>
      <c r="T25" s="45" t="s">
        <v>66</v>
      </c>
      <c r="U25" s="45"/>
      <c r="V25" s="42"/>
      <c r="W25" s="557"/>
      <c r="X25" s="1" t="s">
        <v>66</v>
      </c>
      <c r="Y25" s="43"/>
      <c r="Z25" s="38"/>
    </row>
    <row r="26" spans="1:26" x14ac:dyDescent="0.25">
      <c r="A26" s="543"/>
      <c r="B26" s="525"/>
      <c r="C26" s="547"/>
      <c r="D26" s="33" t="s">
        <v>67</v>
      </c>
      <c r="E26" s="43"/>
      <c r="F26" s="38"/>
      <c r="G26" s="547"/>
      <c r="H26" s="1" t="s">
        <v>67</v>
      </c>
      <c r="I26" s="43"/>
      <c r="J26" s="38"/>
      <c r="K26" s="547"/>
      <c r="L26" s="1" t="s">
        <v>67</v>
      </c>
      <c r="M26" s="43"/>
      <c r="N26" s="38"/>
      <c r="O26" s="559"/>
      <c r="P26" s="43" t="s">
        <v>67</v>
      </c>
      <c r="Q26" s="43"/>
      <c r="R26" s="38"/>
      <c r="S26" s="551"/>
      <c r="T26" s="45" t="s">
        <v>67</v>
      </c>
      <c r="U26" s="45"/>
      <c r="V26" s="42"/>
      <c r="W26" s="554"/>
      <c r="X26" s="1" t="s">
        <v>67</v>
      </c>
      <c r="Y26" s="43"/>
      <c r="Z26" s="38"/>
    </row>
    <row r="27" spans="1:26" x14ac:dyDescent="0.25">
      <c r="A27" s="543"/>
      <c r="B27" s="525"/>
      <c r="C27" s="547"/>
      <c r="D27" s="33" t="s">
        <v>69</v>
      </c>
      <c r="E27" s="43"/>
      <c r="F27" s="38"/>
      <c r="G27" s="547"/>
      <c r="H27" s="1" t="s">
        <v>69</v>
      </c>
      <c r="I27" s="43"/>
      <c r="J27" s="38"/>
      <c r="K27" s="547"/>
      <c r="L27" s="1" t="s">
        <v>69</v>
      </c>
      <c r="M27" s="43"/>
      <c r="N27" s="38"/>
      <c r="O27" s="559"/>
      <c r="P27" s="43" t="s">
        <v>69</v>
      </c>
      <c r="Q27" s="43"/>
      <c r="R27" s="38"/>
      <c r="S27" s="551"/>
      <c r="T27" s="45" t="s">
        <v>69</v>
      </c>
      <c r="U27" s="45"/>
      <c r="V27" s="42"/>
      <c r="W27" s="554"/>
      <c r="X27" s="1" t="s">
        <v>69</v>
      </c>
      <c r="Y27" s="43"/>
      <c r="Z27" s="38"/>
    </row>
    <row r="28" spans="1:26" ht="15.75" thickBot="1" x14ac:dyDescent="0.3">
      <c r="A28" s="544"/>
      <c r="B28" s="531"/>
      <c r="C28" s="547"/>
      <c r="D28" s="52" t="s">
        <v>77</v>
      </c>
      <c r="E28" s="56"/>
      <c r="F28" s="57"/>
      <c r="G28" s="547"/>
      <c r="H28" s="53" t="s">
        <v>77</v>
      </c>
      <c r="I28" s="56"/>
      <c r="J28" s="57"/>
      <c r="K28" s="547"/>
      <c r="L28" s="53" t="s">
        <v>77</v>
      </c>
      <c r="M28" s="56"/>
      <c r="N28" s="57"/>
      <c r="O28" s="560"/>
      <c r="P28" s="56" t="s">
        <v>71</v>
      </c>
      <c r="Q28" s="56"/>
      <c r="R28" s="57"/>
      <c r="S28" s="561"/>
      <c r="T28" s="59" t="s">
        <v>77</v>
      </c>
      <c r="U28" s="59"/>
      <c r="V28" s="60"/>
      <c r="W28" s="562"/>
      <c r="X28" s="53" t="s">
        <v>77</v>
      </c>
      <c r="Y28" s="56"/>
      <c r="Z28" s="57"/>
    </row>
    <row r="29" spans="1:26" ht="101.45" customHeight="1" x14ac:dyDescent="0.25">
      <c r="A29" s="521" t="s">
        <v>89</v>
      </c>
      <c r="B29" s="542" t="s">
        <v>90</v>
      </c>
      <c r="C29" s="76"/>
      <c r="D29" s="77" t="s">
        <v>91</v>
      </c>
      <c r="E29" s="61" t="s">
        <v>92</v>
      </c>
      <c r="F29" s="63"/>
      <c r="G29" s="76"/>
      <c r="H29" s="77" t="s">
        <v>91</v>
      </c>
      <c r="I29" s="61" t="s">
        <v>92</v>
      </c>
      <c r="J29" s="63"/>
      <c r="K29" s="76"/>
      <c r="L29" s="77" t="s">
        <v>91</v>
      </c>
      <c r="M29" s="567" t="s">
        <v>93</v>
      </c>
      <c r="N29" s="568"/>
      <c r="O29" s="76"/>
      <c r="P29" s="77" t="s">
        <v>91</v>
      </c>
      <c r="Q29" s="61" t="s">
        <v>92</v>
      </c>
      <c r="R29" s="63"/>
      <c r="S29" s="76"/>
      <c r="T29" s="77" t="s">
        <v>91</v>
      </c>
      <c r="U29" s="61" t="s">
        <v>92</v>
      </c>
      <c r="V29" s="63"/>
      <c r="W29" s="78"/>
      <c r="X29" s="77" t="s">
        <v>91</v>
      </c>
      <c r="Y29" s="61" t="s">
        <v>94</v>
      </c>
      <c r="Z29" s="79" t="s">
        <v>95</v>
      </c>
    </row>
    <row r="30" spans="1:26" x14ac:dyDescent="0.25">
      <c r="A30" s="522"/>
      <c r="B30" s="543"/>
      <c r="C30" s="80"/>
      <c r="D30" s="81" t="s">
        <v>96</v>
      </c>
      <c r="E30" s="1" t="s">
        <v>97</v>
      </c>
      <c r="F30" s="35"/>
      <c r="G30" s="80"/>
      <c r="H30" s="81" t="s">
        <v>96</v>
      </c>
      <c r="I30" s="1" t="s">
        <v>97</v>
      </c>
      <c r="J30" s="35"/>
      <c r="K30" s="80"/>
      <c r="L30" s="81" t="s">
        <v>96</v>
      </c>
      <c r="M30" s="569"/>
      <c r="N30" s="570"/>
      <c r="O30" s="80"/>
      <c r="P30" s="81" t="s">
        <v>96</v>
      </c>
      <c r="Q30" s="1" t="s">
        <v>97</v>
      </c>
      <c r="R30" s="35"/>
      <c r="S30" s="80"/>
      <c r="T30" s="81" t="s">
        <v>96</v>
      </c>
      <c r="U30" s="1" t="s">
        <v>97</v>
      </c>
      <c r="V30" s="35"/>
      <c r="W30" s="5"/>
      <c r="X30" s="81" t="s">
        <v>96</v>
      </c>
      <c r="Y30" s="1" t="s">
        <v>98</v>
      </c>
      <c r="Z30" s="35"/>
    </row>
    <row r="31" spans="1:26" ht="144.6" customHeight="1" x14ac:dyDescent="0.25">
      <c r="A31" s="522"/>
      <c r="B31" s="566"/>
      <c r="C31" s="80"/>
      <c r="D31" s="82" t="s">
        <v>99</v>
      </c>
      <c r="E31" s="46" t="s">
        <v>100</v>
      </c>
      <c r="F31" s="35"/>
      <c r="G31" s="80"/>
      <c r="H31" s="82" t="s">
        <v>99</v>
      </c>
      <c r="I31" s="83" t="s">
        <v>101</v>
      </c>
      <c r="J31" s="84" t="s">
        <v>102</v>
      </c>
      <c r="K31" s="80"/>
      <c r="L31" s="82" t="s">
        <v>99</v>
      </c>
      <c r="M31" s="569"/>
      <c r="N31" s="570"/>
      <c r="O31" s="80"/>
      <c r="P31" s="82" t="s">
        <v>99</v>
      </c>
      <c r="Q31" s="85" t="s">
        <v>100</v>
      </c>
      <c r="R31" s="35"/>
      <c r="S31" s="80"/>
      <c r="T31" s="82" t="s">
        <v>99</v>
      </c>
      <c r="U31" s="85" t="s">
        <v>100</v>
      </c>
      <c r="V31" s="35"/>
      <c r="W31" s="5"/>
      <c r="X31" s="82" t="s">
        <v>99</v>
      </c>
      <c r="Y31" s="86" t="s">
        <v>101</v>
      </c>
      <c r="Z31" s="87" t="s">
        <v>102</v>
      </c>
    </row>
    <row r="32" spans="1:26" ht="29.1" customHeight="1" x14ac:dyDescent="0.25">
      <c r="A32" s="522"/>
      <c r="B32" s="21" t="s">
        <v>103</v>
      </c>
      <c r="C32" s="80"/>
      <c r="D32" s="82" t="s">
        <v>104</v>
      </c>
      <c r="E32" s="46" t="s">
        <v>105</v>
      </c>
      <c r="F32" s="35"/>
      <c r="G32" s="80"/>
      <c r="H32" s="82" t="s">
        <v>104</v>
      </c>
      <c r="I32" s="88" t="s">
        <v>106</v>
      </c>
      <c r="J32" s="69" t="s">
        <v>107</v>
      </c>
      <c r="K32" s="80"/>
      <c r="L32" s="82" t="s">
        <v>104</v>
      </c>
      <c r="M32" s="569"/>
      <c r="N32" s="570"/>
      <c r="O32" s="80"/>
      <c r="P32" s="82" t="s">
        <v>104</v>
      </c>
      <c r="Q32" s="46" t="s">
        <v>105</v>
      </c>
      <c r="R32" s="35"/>
      <c r="S32" s="80"/>
      <c r="T32" s="82" t="s">
        <v>104</v>
      </c>
      <c r="U32" s="46" t="s">
        <v>105</v>
      </c>
      <c r="V32" s="35"/>
      <c r="W32" s="5"/>
      <c r="X32" s="82" t="s">
        <v>104</v>
      </c>
      <c r="Y32" s="1" t="s">
        <v>106</v>
      </c>
      <c r="Z32" s="69" t="s">
        <v>107</v>
      </c>
    </row>
    <row r="33" spans="1:26" x14ac:dyDescent="0.25">
      <c r="A33" s="522"/>
      <c r="B33" s="32" t="s">
        <v>108</v>
      </c>
      <c r="C33" s="80"/>
      <c r="D33" s="81" t="s">
        <v>109</v>
      </c>
      <c r="E33" s="1" t="s">
        <v>110</v>
      </c>
      <c r="F33" s="35"/>
      <c r="G33" s="80"/>
      <c r="H33" s="81" t="s">
        <v>109</v>
      </c>
      <c r="I33" s="1" t="s">
        <v>110</v>
      </c>
      <c r="J33" s="35"/>
      <c r="K33" s="80"/>
      <c r="L33" s="81" t="s">
        <v>111</v>
      </c>
      <c r="M33" s="569"/>
      <c r="N33" s="570"/>
      <c r="O33" s="80"/>
      <c r="P33" s="81" t="s">
        <v>109</v>
      </c>
      <c r="Q33" s="1" t="s">
        <v>110</v>
      </c>
      <c r="R33" s="35"/>
      <c r="S33" s="80"/>
      <c r="T33" s="81" t="s">
        <v>109</v>
      </c>
      <c r="U33" s="1" t="s">
        <v>110</v>
      </c>
      <c r="V33" s="35"/>
      <c r="W33" s="5"/>
      <c r="X33" s="81" t="s">
        <v>109</v>
      </c>
      <c r="Y33" s="1" t="s">
        <v>110</v>
      </c>
      <c r="Z33" s="35"/>
    </row>
    <row r="34" spans="1:26" ht="14.45" customHeight="1" x14ac:dyDescent="0.25">
      <c r="A34" s="522"/>
      <c r="B34" s="573" t="s">
        <v>112</v>
      </c>
      <c r="C34" s="80"/>
      <c r="D34" s="81" t="s">
        <v>113</v>
      </c>
      <c r="E34" s="1" t="s">
        <v>114</v>
      </c>
      <c r="F34" s="35"/>
      <c r="G34" s="80"/>
      <c r="H34" s="81" t="s">
        <v>113</v>
      </c>
      <c r="I34" s="88" t="s">
        <v>115</v>
      </c>
      <c r="J34" s="574" t="s">
        <v>102</v>
      </c>
      <c r="K34" s="80"/>
      <c r="L34" s="81" t="s">
        <v>113</v>
      </c>
      <c r="M34" s="569"/>
      <c r="N34" s="570"/>
      <c r="O34" s="80"/>
      <c r="P34" s="81" t="s">
        <v>113</v>
      </c>
      <c r="Q34" s="1" t="s">
        <v>114</v>
      </c>
      <c r="R34" s="35"/>
      <c r="S34" s="80"/>
      <c r="T34" s="81" t="s">
        <v>113</v>
      </c>
      <c r="U34" s="1" t="s">
        <v>114</v>
      </c>
      <c r="V34" s="35"/>
      <c r="W34" s="5"/>
      <c r="X34" s="81" t="s">
        <v>113</v>
      </c>
      <c r="Y34" s="1" t="s">
        <v>115</v>
      </c>
      <c r="Z34" s="574" t="s">
        <v>102</v>
      </c>
    </row>
    <row r="35" spans="1:26" x14ac:dyDescent="0.25">
      <c r="A35" s="522"/>
      <c r="B35" s="543"/>
      <c r="C35" s="80"/>
      <c r="D35" s="81" t="s">
        <v>116</v>
      </c>
      <c r="E35" s="1" t="s">
        <v>117</v>
      </c>
      <c r="F35" s="35"/>
      <c r="G35" s="80"/>
      <c r="H35" s="81" t="s">
        <v>116</v>
      </c>
      <c r="I35" s="88" t="s">
        <v>118</v>
      </c>
      <c r="J35" s="575"/>
      <c r="K35" s="80"/>
      <c r="L35" s="81" t="s">
        <v>116</v>
      </c>
      <c r="M35" s="569"/>
      <c r="N35" s="570"/>
      <c r="O35" s="80"/>
      <c r="P35" s="81" t="s">
        <v>116</v>
      </c>
      <c r="Q35" s="1" t="s">
        <v>117</v>
      </c>
      <c r="R35" s="35"/>
      <c r="S35" s="80"/>
      <c r="T35" s="81" t="s">
        <v>116</v>
      </c>
      <c r="U35" s="1" t="s">
        <v>117</v>
      </c>
      <c r="V35" s="35"/>
      <c r="W35" s="5"/>
      <c r="X35" s="81" t="s">
        <v>116</v>
      </c>
      <c r="Y35" s="1" t="s">
        <v>118</v>
      </c>
      <c r="Z35" s="575"/>
    </row>
    <row r="36" spans="1:26" ht="15.75" thickBot="1" x14ac:dyDescent="0.3">
      <c r="A36" s="523"/>
      <c r="B36" s="543"/>
      <c r="C36" s="89"/>
      <c r="D36" s="90" t="s">
        <v>119</v>
      </c>
      <c r="E36" s="91" t="s">
        <v>120</v>
      </c>
      <c r="F36" s="92"/>
      <c r="G36" s="89"/>
      <c r="H36" s="90" t="s">
        <v>119</v>
      </c>
      <c r="I36" s="93" t="s">
        <v>121</v>
      </c>
      <c r="J36" s="575"/>
      <c r="K36" s="89"/>
      <c r="L36" s="90" t="s">
        <v>119</v>
      </c>
      <c r="M36" s="571"/>
      <c r="N36" s="572"/>
      <c r="O36" s="89"/>
      <c r="P36" s="90" t="s">
        <v>119</v>
      </c>
      <c r="Q36" s="91" t="s">
        <v>120</v>
      </c>
      <c r="R36" s="92"/>
      <c r="S36" s="89"/>
      <c r="T36" s="90" t="s">
        <v>119</v>
      </c>
      <c r="U36" s="91" t="s">
        <v>120</v>
      </c>
      <c r="V36" s="92"/>
      <c r="W36" s="94"/>
      <c r="X36" s="90" t="s">
        <v>119</v>
      </c>
      <c r="Y36" s="91" t="s">
        <v>121</v>
      </c>
      <c r="Z36" s="575"/>
    </row>
    <row r="37" spans="1:26" ht="15.75" thickBot="1" x14ac:dyDescent="0.3">
      <c r="A37" s="66" t="s">
        <v>122</v>
      </c>
      <c r="B37" s="16" t="s">
        <v>123</v>
      </c>
      <c r="C37" s="576" t="s">
        <v>84</v>
      </c>
      <c r="D37" s="577"/>
      <c r="E37" s="577"/>
      <c r="F37" s="578"/>
      <c r="G37" s="576" t="s">
        <v>84</v>
      </c>
      <c r="H37" s="577"/>
      <c r="I37" s="577"/>
      <c r="J37" s="578"/>
      <c r="K37" s="563" t="s">
        <v>124</v>
      </c>
      <c r="L37" s="564"/>
      <c r="M37" s="564"/>
      <c r="N37" s="565"/>
      <c r="O37" s="563" t="s">
        <v>125</v>
      </c>
      <c r="P37" s="564"/>
      <c r="Q37" s="564"/>
      <c r="R37" s="565"/>
      <c r="S37" s="563" t="s">
        <v>126</v>
      </c>
      <c r="T37" s="564"/>
      <c r="U37" s="564"/>
      <c r="V37" s="565"/>
      <c r="W37" s="563" t="s">
        <v>126</v>
      </c>
      <c r="X37" s="564"/>
      <c r="Y37" s="564"/>
      <c r="Z37" s="565"/>
    </row>
    <row r="38" spans="1:26" ht="87" customHeight="1" x14ac:dyDescent="0.25">
      <c r="A38" s="521" t="s">
        <v>63</v>
      </c>
      <c r="B38" s="545" t="s">
        <v>127</v>
      </c>
      <c r="C38" s="76"/>
      <c r="D38" s="95" t="s">
        <v>128</v>
      </c>
      <c r="E38" s="96" t="s">
        <v>129</v>
      </c>
      <c r="F38" s="63"/>
      <c r="G38" s="76"/>
      <c r="H38" s="95" t="s">
        <v>128</v>
      </c>
      <c r="I38" s="96" t="s">
        <v>129</v>
      </c>
      <c r="J38" s="63"/>
      <c r="K38" s="76"/>
      <c r="L38" s="95" t="s">
        <v>128</v>
      </c>
      <c r="M38" s="61"/>
      <c r="N38" s="63"/>
      <c r="O38" s="76"/>
      <c r="P38" s="95" t="s">
        <v>128</v>
      </c>
      <c r="Q38" s="96" t="s">
        <v>129</v>
      </c>
      <c r="R38" s="63"/>
      <c r="S38" s="76"/>
      <c r="T38" s="95" t="s">
        <v>128</v>
      </c>
      <c r="U38" s="96" t="s">
        <v>129</v>
      </c>
      <c r="V38" s="63"/>
      <c r="W38" s="76"/>
      <c r="X38" s="95" t="s">
        <v>128</v>
      </c>
      <c r="Y38" s="61"/>
      <c r="Z38" s="63"/>
    </row>
    <row r="39" spans="1:26" ht="101.45" customHeight="1" x14ac:dyDescent="0.25">
      <c r="A39" s="522"/>
      <c r="B39" s="525"/>
      <c r="C39" s="80"/>
      <c r="D39" s="33" t="s">
        <v>130</v>
      </c>
      <c r="E39" s="46" t="s">
        <v>131</v>
      </c>
      <c r="F39" s="35"/>
      <c r="G39" s="80"/>
      <c r="H39" s="33" t="s">
        <v>130</v>
      </c>
      <c r="I39" s="46" t="s">
        <v>131</v>
      </c>
      <c r="J39" s="35"/>
      <c r="K39" s="80"/>
      <c r="L39" s="33" t="s">
        <v>130</v>
      </c>
      <c r="M39" s="1"/>
      <c r="N39" s="35"/>
      <c r="O39" s="80"/>
      <c r="P39" s="33" t="s">
        <v>130</v>
      </c>
      <c r="Q39" s="46" t="s">
        <v>131</v>
      </c>
      <c r="R39" s="35"/>
      <c r="S39" s="80"/>
      <c r="T39" s="33" t="s">
        <v>130</v>
      </c>
      <c r="U39" s="46" t="s">
        <v>131</v>
      </c>
      <c r="V39" s="35"/>
      <c r="W39" s="80"/>
      <c r="X39" s="33" t="s">
        <v>130</v>
      </c>
      <c r="Y39" s="1"/>
      <c r="Z39" s="35"/>
    </row>
    <row r="40" spans="1:26" x14ac:dyDescent="0.25">
      <c r="A40" s="522"/>
      <c r="B40" s="584" t="s">
        <v>132</v>
      </c>
      <c r="C40" s="80"/>
      <c r="D40" s="33" t="s">
        <v>133</v>
      </c>
      <c r="E40" s="97" t="s">
        <v>134</v>
      </c>
      <c r="F40" s="35"/>
      <c r="G40" s="80"/>
      <c r="H40" s="33" t="s">
        <v>133</v>
      </c>
      <c r="I40" s="97" t="s">
        <v>134</v>
      </c>
      <c r="J40" s="35"/>
      <c r="K40" s="80"/>
      <c r="L40" s="33" t="s">
        <v>133</v>
      </c>
      <c r="M40" s="1"/>
      <c r="N40" s="35"/>
      <c r="O40" s="80"/>
      <c r="P40" s="33" t="s">
        <v>133</v>
      </c>
      <c r="Q40" s="97" t="s">
        <v>134</v>
      </c>
      <c r="R40" s="35"/>
      <c r="S40" s="80"/>
      <c r="T40" s="33" t="s">
        <v>133</v>
      </c>
      <c r="U40" s="97" t="s">
        <v>134</v>
      </c>
      <c r="V40" s="35"/>
      <c r="W40" s="80"/>
      <c r="X40" s="33" t="s">
        <v>133</v>
      </c>
      <c r="Y40" s="1"/>
      <c r="Z40" s="35"/>
    </row>
    <row r="41" spans="1:26" x14ac:dyDescent="0.25">
      <c r="A41" s="522"/>
      <c r="B41" s="584"/>
      <c r="C41" s="80"/>
      <c r="D41" s="33" t="s">
        <v>135</v>
      </c>
      <c r="E41" s="1" t="s">
        <v>136</v>
      </c>
      <c r="F41" s="35"/>
      <c r="G41" s="80"/>
      <c r="H41" s="33" t="s">
        <v>135</v>
      </c>
      <c r="I41" s="1" t="s">
        <v>136</v>
      </c>
      <c r="J41" s="35"/>
      <c r="K41" s="80"/>
      <c r="L41" s="33" t="s">
        <v>135</v>
      </c>
      <c r="M41" s="1"/>
      <c r="N41" s="35"/>
      <c r="O41" s="80"/>
      <c r="P41" s="33" t="s">
        <v>135</v>
      </c>
      <c r="Q41" s="1" t="s">
        <v>136</v>
      </c>
      <c r="R41" s="35"/>
      <c r="S41" s="80"/>
      <c r="T41" s="33" t="s">
        <v>135</v>
      </c>
      <c r="U41" s="1" t="s">
        <v>136</v>
      </c>
      <c r="V41" s="35"/>
      <c r="W41" s="80"/>
      <c r="X41" s="33" t="s">
        <v>135</v>
      </c>
      <c r="Y41" s="1"/>
      <c r="Z41" s="35"/>
    </row>
    <row r="42" spans="1:26" ht="15.75" thickBot="1" x14ac:dyDescent="0.3">
      <c r="A42" s="523"/>
      <c r="B42" s="585"/>
      <c r="C42" s="89"/>
      <c r="D42" s="98" t="s">
        <v>137</v>
      </c>
      <c r="E42" s="91" t="s">
        <v>138</v>
      </c>
      <c r="F42" s="54" t="s">
        <v>139</v>
      </c>
      <c r="G42" s="99"/>
      <c r="H42" s="52" t="s">
        <v>137</v>
      </c>
      <c r="I42" s="91" t="s">
        <v>138</v>
      </c>
      <c r="J42" s="54" t="s">
        <v>139</v>
      </c>
      <c r="K42" s="99"/>
      <c r="L42" s="52" t="s">
        <v>137</v>
      </c>
      <c r="M42" s="53" t="s">
        <v>140</v>
      </c>
      <c r="N42" s="54" t="s">
        <v>141</v>
      </c>
      <c r="O42" s="99"/>
      <c r="P42" s="52" t="s">
        <v>137</v>
      </c>
      <c r="Q42" s="91" t="s">
        <v>138</v>
      </c>
      <c r="R42" s="54" t="s">
        <v>139</v>
      </c>
      <c r="S42" s="99"/>
      <c r="T42" s="52" t="s">
        <v>137</v>
      </c>
      <c r="U42" s="53" t="s">
        <v>140</v>
      </c>
      <c r="V42" s="54" t="s">
        <v>141</v>
      </c>
      <c r="W42" s="99"/>
      <c r="X42" s="52" t="s">
        <v>137</v>
      </c>
      <c r="Y42" s="53" t="s">
        <v>140</v>
      </c>
      <c r="Z42" s="54" t="s">
        <v>141</v>
      </c>
    </row>
    <row r="43" spans="1:26" x14ac:dyDescent="0.25">
      <c r="A43" s="521" t="s">
        <v>142</v>
      </c>
      <c r="B43" s="545" t="s">
        <v>143</v>
      </c>
      <c r="C43" s="579" t="s">
        <v>144</v>
      </c>
      <c r="D43" s="580"/>
      <c r="E43" s="580"/>
      <c r="F43" s="568"/>
      <c r="G43" s="579" t="s">
        <v>144</v>
      </c>
      <c r="H43" s="580"/>
      <c r="I43" s="580"/>
      <c r="J43" s="568"/>
      <c r="K43" s="579" t="s">
        <v>145</v>
      </c>
      <c r="L43" s="580"/>
      <c r="M43" s="580"/>
      <c r="N43" s="568"/>
      <c r="O43" s="579" t="s">
        <v>144</v>
      </c>
      <c r="P43" s="580"/>
      <c r="Q43" s="580"/>
      <c r="R43" s="568"/>
      <c r="S43" s="579" t="s">
        <v>144</v>
      </c>
      <c r="T43" s="580"/>
      <c r="U43" s="580"/>
      <c r="V43" s="568"/>
      <c r="W43" s="579" t="s">
        <v>145</v>
      </c>
      <c r="X43" s="580"/>
      <c r="Y43" s="580"/>
      <c r="Z43" s="568"/>
    </row>
    <row r="44" spans="1:26" x14ac:dyDescent="0.25">
      <c r="A44" s="522"/>
      <c r="B44" s="525"/>
      <c r="C44" s="581"/>
      <c r="D44" s="582"/>
      <c r="E44" s="582"/>
      <c r="F44" s="583"/>
      <c r="G44" s="581"/>
      <c r="H44" s="582"/>
      <c r="I44" s="582"/>
      <c r="J44" s="583"/>
      <c r="K44" s="581"/>
      <c r="L44" s="582"/>
      <c r="M44" s="582"/>
      <c r="N44" s="583"/>
      <c r="O44" s="581"/>
      <c r="P44" s="582"/>
      <c r="Q44" s="582"/>
      <c r="R44" s="583"/>
      <c r="S44" s="581"/>
      <c r="T44" s="582"/>
      <c r="U44" s="582"/>
      <c r="V44" s="583"/>
      <c r="W44" s="581"/>
      <c r="X44" s="582"/>
      <c r="Y44" s="582"/>
      <c r="Z44" s="583"/>
    </row>
    <row r="45" spans="1:26" x14ac:dyDescent="0.25">
      <c r="A45" s="522"/>
      <c r="B45" s="584" t="s">
        <v>146</v>
      </c>
      <c r="C45" s="586" t="s">
        <v>147</v>
      </c>
      <c r="D45" s="587"/>
      <c r="E45" s="587"/>
      <c r="F45" s="588"/>
      <c r="G45" s="586" t="s">
        <v>147</v>
      </c>
      <c r="H45" s="587"/>
      <c r="I45" s="587"/>
      <c r="J45" s="588"/>
      <c r="K45" s="593" t="s">
        <v>148</v>
      </c>
      <c r="L45" s="594"/>
      <c r="M45" s="594"/>
      <c r="N45" s="595"/>
      <c r="O45" s="586" t="s">
        <v>147</v>
      </c>
      <c r="P45" s="587"/>
      <c r="Q45" s="587"/>
      <c r="R45" s="588"/>
      <c r="S45" s="586" t="s">
        <v>147</v>
      </c>
      <c r="T45" s="587"/>
      <c r="U45" s="587"/>
      <c r="V45" s="588"/>
      <c r="W45" s="593" t="s">
        <v>149</v>
      </c>
      <c r="X45" s="594"/>
      <c r="Y45" s="594"/>
      <c r="Z45" s="595"/>
    </row>
    <row r="46" spans="1:26" x14ac:dyDescent="0.25">
      <c r="A46" s="522"/>
      <c r="B46" s="584"/>
      <c r="C46" s="589"/>
      <c r="D46" s="590"/>
      <c r="E46" s="590"/>
      <c r="F46" s="570"/>
      <c r="G46" s="589"/>
      <c r="H46" s="590"/>
      <c r="I46" s="590"/>
      <c r="J46" s="570"/>
      <c r="K46" s="596"/>
      <c r="L46" s="597"/>
      <c r="M46" s="597"/>
      <c r="N46" s="598"/>
      <c r="O46" s="589"/>
      <c r="P46" s="590"/>
      <c r="Q46" s="590"/>
      <c r="R46" s="570"/>
      <c r="S46" s="589"/>
      <c r="T46" s="590"/>
      <c r="U46" s="590"/>
      <c r="V46" s="570"/>
      <c r="W46" s="596"/>
      <c r="X46" s="597"/>
      <c r="Y46" s="597"/>
      <c r="Z46" s="598"/>
    </row>
    <row r="47" spans="1:26" ht="15.75" thickBot="1" x14ac:dyDescent="0.3">
      <c r="A47" s="523"/>
      <c r="B47" s="585"/>
      <c r="C47" s="591"/>
      <c r="D47" s="592"/>
      <c r="E47" s="592"/>
      <c r="F47" s="572"/>
      <c r="G47" s="591"/>
      <c r="H47" s="592"/>
      <c r="I47" s="592"/>
      <c r="J47" s="572"/>
      <c r="K47" s="599"/>
      <c r="L47" s="600"/>
      <c r="M47" s="600"/>
      <c r="N47" s="601"/>
      <c r="O47" s="591"/>
      <c r="P47" s="592"/>
      <c r="Q47" s="592"/>
      <c r="R47" s="572"/>
      <c r="S47" s="591"/>
      <c r="T47" s="592"/>
      <c r="U47" s="592"/>
      <c r="V47" s="572"/>
      <c r="W47" s="599"/>
      <c r="X47" s="600"/>
      <c r="Y47" s="600"/>
      <c r="Z47" s="601"/>
    </row>
    <row r="48" spans="1:26" ht="29.45" customHeight="1" thickBot="1" x14ac:dyDescent="0.3">
      <c r="A48" s="100" t="s">
        <v>150</v>
      </c>
      <c r="B48" s="101" t="s">
        <v>123</v>
      </c>
      <c r="C48" s="602" t="s">
        <v>151</v>
      </c>
      <c r="D48" s="603"/>
      <c r="E48" s="603"/>
      <c r="F48" s="604"/>
      <c r="G48" s="602" t="s">
        <v>151</v>
      </c>
      <c r="H48" s="603"/>
      <c r="I48" s="603"/>
      <c r="J48" s="604"/>
      <c r="K48" s="605" t="s">
        <v>152</v>
      </c>
      <c r="L48" s="603"/>
      <c r="M48" s="603"/>
      <c r="N48" s="604"/>
      <c r="O48" s="602" t="s">
        <v>151</v>
      </c>
      <c r="P48" s="603"/>
      <c r="Q48" s="603"/>
      <c r="R48" s="604"/>
      <c r="S48" s="602" t="s">
        <v>151</v>
      </c>
      <c r="T48" s="603"/>
      <c r="U48" s="603"/>
      <c r="V48" s="604"/>
      <c r="W48" s="606" t="s">
        <v>153</v>
      </c>
      <c r="X48" s="607"/>
      <c r="Y48" s="607"/>
      <c r="Z48" s="608"/>
    </row>
    <row r="49" spans="1:26" ht="24" x14ac:dyDescent="0.25">
      <c r="A49" s="542" t="s">
        <v>154</v>
      </c>
      <c r="B49" s="102" t="s">
        <v>155</v>
      </c>
      <c r="C49" s="609" t="s">
        <v>156</v>
      </c>
      <c r="D49" s="610"/>
      <c r="E49" s="610"/>
      <c r="F49" s="611"/>
      <c r="G49" s="612" t="s">
        <v>157</v>
      </c>
      <c r="H49" s="613"/>
      <c r="I49" s="613"/>
      <c r="J49" s="614"/>
      <c r="K49" s="612" t="s">
        <v>158</v>
      </c>
      <c r="L49" s="613"/>
      <c r="M49" s="613"/>
      <c r="N49" s="614"/>
      <c r="O49" s="609" t="s">
        <v>156</v>
      </c>
      <c r="P49" s="610"/>
      <c r="Q49" s="610"/>
      <c r="R49" s="611"/>
      <c r="S49" s="609" t="s">
        <v>156</v>
      </c>
      <c r="T49" s="610"/>
      <c r="U49" s="610"/>
      <c r="V49" s="611"/>
      <c r="W49" s="612" t="s">
        <v>157</v>
      </c>
      <c r="X49" s="613"/>
      <c r="Y49" s="613"/>
      <c r="Z49" s="614"/>
    </row>
    <row r="50" spans="1:26" ht="15.75" thickBot="1" x14ac:dyDescent="0.3">
      <c r="A50" s="544"/>
      <c r="B50" s="75" t="s">
        <v>159</v>
      </c>
      <c r="C50" s="615" t="s">
        <v>160</v>
      </c>
      <c r="D50" s="616"/>
      <c r="E50" s="616"/>
      <c r="F50" s="617"/>
      <c r="G50" s="618" t="s">
        <v>160</v>
      </c>
      <c r="H50" s="619"/>
      <c r="I50" s="619"/>
      <c r="J50" s="620"/>
      <c r="K50" s="618" t="s">
        <v>161</v>
      </c>
      <c r="L50" s="619"/>
      <c r="M50" s="619"/>
      <c r="N50" s="620"/>
      <c r="O50" s="615" t="s">
        <v>160</v>
      </c>
      <c r="P50" s="616"/>
      <c r="Q50" s="616"/>
      <c r="R50" s="617"/>
      <c r="S50" s="615" t="s">
        <v>160</v>
      </c>
      <c r="T50" s="616"/>
      <c r="U50" s="616"/>
      <c r="V50" s="617"/>
      <c r="W50" s="615" t="s">
        <v>84</v>
      </c>
      <c r="X50" s="616"/>
      <c r="Y50" s="616"/>
      <c r="Z50" s="617"/>
    </row>
  </sheetData>
  <mergeCells count="100">
    <mergeCell ref="W49:Z49"/>
    <mergeCell ref="C50:F50"/>
    <mergeCell ref="G50:J50"/>
    <mergeCell ref="K50:N50"/>
    <mergeCell ref="O50:R50"/>
    <mergeCell ref="S50:V50"/>
    <mergeCell ref="W50:Z50"/>
    <mergeCell ref="S49:V49"/>
    <mergeCell ref="A49:A50"/>
    <mergeCell ref="C49:F49"/>
    <mergeCell ref="G49:J49"/>
    <mergeCell ref="K49:N49"/>
    <mergeCell ref="O49:R49"/>
    <mergeCell ref="S43:V44"/>
    <mergeCell ref="W43:Z44"/>
    <mergeCell ref="S45:V47"/>
    <mergeCell ref="W45:Z47"/>
    <mergeCell ref="C48:F48"/>
    <mergeCell ref="G48:J48"/>
    <mergeCell ref="K48:N48"/>
    <mergeCell ref="O48:R48"/>
    <mergeCell ref="S48:V48"/>
    <mergeCell ref="W48:Z48"/>
    <mergeCell ref="C45:F47"/>
    <mergeCell ref="G45:J47"/>
    <mergeCell ref="K45:N47"/>
    <mergeCell ref="O45:R47"/>
    <mergeCell ref="G43:J44"/>
    <mergeCell ref="K43:N44"/>
    <mergeCell ref="O43:R44"/>
    <mergeCell ref="A38:A42"/>
    <mergeCell ref="B38:B39"/>
    <mergeCell ref="B40:B42"/>
    <mergeCell ref="A43:A47"/>
    <mergeCell ref="B43:B44"/>
    <mergeCell ref="B45:B47"/>
    <mergeCell ref="C43:F44"/>
    <mergeCell ref="W37:Z37"/>
    <mergeCell ref="A29:A36"/>
    <mergeCell ref="B29:B31"/>
    <mergeCell ref="M29:N36"/>
    <mergeCell ref="B34:B36"/>
    <mergeCell ref="J34:J36"/>
    <mergeCell ref="Z34:Z36"/>
    <mergeCell ref="C37:F37"/>
    <mergeCell ref="G37:J37"/>
    <mergeCell ref="K37:N37"/>
    <mergeCell ref="O37:R37"/>
    <mergeCell ref="S37:V37"/>
    <mergeCell ref="O21:O24"/>
    <mergeCell ref="S21:S24"/>
    <mergeCell ref="W21:W24"/>
    <mergeCell ref="B25:B28"/>
    <mergeCell ref="C25:C28"/>
    <mergeCell ref="G25:G28"/>
    <mergeCell ref="K25:K28"/>
    <mergeCell ref="O25:O28"/>
    <mergeCell ref="S25:S28"/>
    <mergeCell ref="W25:W28"/>
    <mergeCell ref="S13:S16"/>
    <mergeCell ref="W13:W16"/>
    <mergeCell ref="B17:B20"/>
    <mergeCell ref="C17:C20"/>
    <mergeCell ref="G17:G20"/>
    <mergeCell ref="K17:K20"/>
    <mergeCell ref="O17:O20"/>
    <mergeCell ref="S17:S20"/>
    <mergeCell ref="W17:W20"/>
    <mergeCell ref="O13:O16"/>
    <mergeCell ref="A13:A28"/>
    <mergeCell ref="B13:B16"/>
    <mergeCell ref="C13:C16"/>
    <mergeCell ref="G13:G16"/>
    <mergeCell ref="K13:K16"/>
    <mergeCell ref="B21:B24"/>
    <mergeCell ref="C21:C24"/>
    <mergeCell ref="G21:G24"/>
    <mergeCell ref="K21:K24"/>
    <mergeCell ref="O3:O8"/>
    <mergeCell ref="S3:S8"/>
    <mergeCell ref="W3:W8"/>
    <mergeCell ref="B9:B12"/>
    <mergeCell ref="C9:C12"/>
    <mergeCell ref="G9:G12"/>
    <mergeCell ref="K9:K12"/>
    <mergeCell ref="O9:O12"/>
    <mergeCell ref="S9:S12"/>
    <mergeCell ref="W9:W12"/>
    <mergeCell ref="K3:K8"/>
    <mergeCell ref="A2:B2"/>
    <mergeCell ref="A3:A12"/>
    <mergeCell ref="B3:B8"/>
    <mergeCell ref="C3:C8"/>
    <mergeCell ref="G3:G8"/>
    <mergeCell ref="W1:Z1"/>
    <mergeCell ref="C1:F1"/>
    <mergeCell ref="G1:J1"/>
    <mergeCell ref="K1:N1"/>
    <mergeCell ref="O1:R1"/>
    <mergeCell ref="S1:V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thickBot="1" x14ac:dyDescent="0.3"/>
    <row r="2" spans="2:9" ht="15.75" thickBot="1" x14ac:dyDescent="0.3">
      <c r="C2" s="2" t="s">
        <v>0</v>
      </c>
      <c r="D2" s="2" t="s">
        <v>1</v>
      </c>
      <c r="E2" s="2" t="s">
        <v>2</v>
      </c>
      <c r="F2" s="2" t="s">
        <v>3</v>
      </c>
      <c r="G2" s="2" t="s">
        <v>6</v>
      </c>
      <c r="H2" s="2" t="s">
        <v>5</v>
      </c>
      <c r="I2" s="3" t="s">
        <v>4</v>
      </c>
    </row>
    <row r="3" spans="2:9" ht="15.75" thickBot="1" x14ac:dyDescent="0.3">
      <c r="B3" s="2" t="s">
        <v>16</v>
      </c>
      <c r="C3" s="9"/>
      <c r="D3" s="8" t="s">
        <v>17</v>
      </c>
      <c r="E3" s="8" t="s">
        <v>17</v>
      </c>
      <c r="F3" s="8" t="s">
        <v>17</v>
      </c>
      <c r="G3" s="8"/>
      <c r="H3" s="8" t="s">
        <v>17</v>
      </c>
      <c r="I3" s="8" t="s">
        <v>17</v>
      </c>
    </row>
    <row r="4" spans="2:9" ht="30.75" thickBot="1" x14ac:dyDescent="0.3">
      <c r="B4" s="4" t="s">
        <v>12</v>
      </c>
      <c r="C4" s="10"/>
      <c r="D4" s="7" t="s">
        <v>17</v>
      </c>
      <c r="E4" s="7" t="s">
        <v>17</v>
      </c>
      <c r="F4" s="7" t="s">
        <v>17</v>
      </c>
      <c r="G4" s="7"/>
      <c r="H4" s="7" t="s">
        <v>17</v>
      </c>
      <c r="I4" s="7" t="s">
        <v>17</v>
      </c>
    </row>
    <row r="5" spans="2:9" ht="15.75" thickBot="1" x14ac:dyDescent="0.3">
      <c r="B5" s="2" t="s">
        <v>14</v>
      </c>
      <c r="C5" s="10"/>
      <c r="D5" s="7" t="s">
        <v>17</v>
      </c>
      <c r="E5" s="7" t="s">
        <v>17</v>
      </c>
      <c r="F5" s="7" t="s">
        <v>17</v>
      </c>
      <c r="G5" s="7"/>
      <c r="H5" s="7" t="s">
        <v>17</v>
      </c>
      <c r="I5" s="7" t="s">
        <v>17</v>
      </c>
    </row>
    <row r="6" spans="2:9" ht="15.75" thickBot="1" x14ac:dyDescent="0.3">
      <c r="B6" s="2" t="s">
        <v>7</v>
      </c>
      <c r="C6" s="10"/>
      <c r="D6" s="7" t="s">
        <v>17</v>
      </c>
      <c r="E6" s="7" t="s">
        <v>17</v>
      </c>
      <c r="F6" s="7" t="s">
        <v>17</v>
      </c>
      <c r="G6" s="7"/>
      <c r="H6" s="7" t="s">
        <v>17</v>
      </c>
      <c r="I6" s="7" t="s">
        <v>17</v>
      </c>
    </row>
    <row r="7" spans="2:9" ht="15.75" thickBot="1" x14ac:dyDescent="0.3">
      <c r="B7" s="2" t="s">
        <v>8</v>
      </c>
      <c r="C7" s="10"/>
      <c r="D7" s="7"/>
      <c r="E7" s="7"/>
      <c r="F7" s="7"/>
      <c r="G7" s="7"/>
      <c r="H7" s="7"/>
      <c r="I7" s="7"/>
    </row>
    <row r="8" spans="2:9" ht="15.75" thickBot="1" x14ac:dyDescent="0.3">
      <c r="B8" s="2" t="s">
        <v>9</v>
      </c>
      <c r="C8" s="10"/>
      <c r="D8" s="7" t="s">
        <v>17</v>
      </c>
      <c r="E8" s="7" t="s">
        <v>17</v>
      </c>
      <c r="F8" s="7" t="s">
        <v>17</v>
      </c>
      <c r="G8" s="7"/>
      <c r="H8" s="7" t="s">
        <v>17</v>
      </c>
      <c r="I8" s="7" t="s">
        <v>17</v>
      </c>
    </row>
    <row r="9" spans="2:9" ht="15.75" thickBot="1" x14ac:dyDescent="0.3">
      <c r="B9" s="2" t="s">
        <v>10</v>
      </c>
      <c r="C9" s="10"/>
      <c r="D9" s="7"/>
      <c r="E9" s="7"/>
      <c r="F9" s="7"/>
      <c r="G9" s="7"/>
      <c r="H9" s="7"/>
      <c r="I9" s="7"/>
    </row>
    <row r="10" spans="2:9" ht="45.75" thickBot="1" x14ac:dyDescent="0.3">
      <c r="B10" s="4" t="s">
        <v>11</v>
      </c>
      <c r="C10" s="10"/>
      <c r="D10" s="7" t="s">
        <v>17</v>
      </c>
      <c r="E10" s="7" t="s">
        <v>17</v>
      </c>
      <c r="F10" s="7" t="s">
        <v>17</v>
      </c>
      <c r="G10" s="7"/>
      <c r="H10" s="7" t="s">
        <v>17</v>
      </c>
      <c r="I10" s="7" t="s">
        <v>17</v>
      </c>
    </row>
    <row r="11" spans="2:9" ht="15.75" thickBot="1" x14ac:dyDescent="0.3">
      <c r="B11" s="2" t="s">
        <v>13</v>
      </c>
      <c r="C11" s="10"/>
      <c r="D11" s="7"/>
      <c r="E11" s="7"/>
      <c r="F11" s="7"/>
      <c r="G11" s="7"/>
      <c r="H11" s="7"/>
      <c r="I11" s="7"/>
    </row>
    <row r="12" spans="2:9" ht="15.75" thickBot="1" x14ac:dyDescent="0.3">
      <c r="B12" s="2" t="s">
        <v>15</v>
      </c>
      <c r="C12" s="5"/>
      <c r="D12" s="1"/>
      <c r="E12" s="1"/>
      <c r="F12" s="1"/>
      <c r="G12" s="1"/>
      <c r="H12" s="1"/>
      <c r="I12" s="1"/>
    </row>
    <row r="13" spans="2:9" ht="15.75" thickBot="1" x14ac:dyDescent="0.3">
      <c r="B13" s="2" t="s">
        <v>18</v>
      </c>
      <c r="C13" s="5"/>
      <c r="D13" s="1"/>
      <c r="E13" s="1"/>
      <c r="F13" s="1"/>
      <c r="G13" s="1"/>
      <c r="H13" s="1"/>
      <c r="I13" s="1"/>
    </row>
    <row r="14" spans="2:9" ht="15.75" thickBot="1" x14ac:dyDescent="0.3">
      <c r="B14" s="6" t="s">
        <v>19</v>
      </c>
      <c r="C14" s="5"/>
      <c r="D14" s="1"/>
      <c r="E14" s="1"/>
      <c r="F14" s="1"/>
      <c r="G14" s="1"/>
      <c r="H14" s="1"/>
      <c r="I14" s="1"/>
    </row>
    <row r="15" spans="2:9" ht="15.75" thickBot="1" x14ac:dyDescent="0.3">
      <c r="B15" s="2" t="s">
        <v>20</v>
      </c>
      <c r="C15" s="5"/>
      <c r="D15" s="1"/>
      <c r="E15" s="1"/>
      <c r="F15" s="1"/>
      <c r="G15" s="1"/>
      <c r="H15" s="1"/>
      <c r="I15" s="1"/>
    </row>
    <row r="16" spans="2:9" ht="15.75" thickBot="1" x14ac:dyDescent="0.3">
      <c r="B16" s="2" t="s">
        <v>21</v>
      </c>
      <c r="C16" s="5"/>
      <c r="D16" s="1"/>
      <c r="E16" s="1"/>
      <c r="F16" s="1"/>
      <c r="G16" s="1"/>
      <c r="H16" s="1"/>
      <c r="I16" s="1"/>
    </row>
    <row r="17" spans="2:9" ht="15.75" thickBot="1" x14ac:dyDescent="0.3">
      <c r="B17" s="11" t="s">
        <v>22</v>
      </c>
      <c r="C17" s="1"/>
      <c r="D17" s="1"/>
      <c r="E17" s="1"/>
      <c r="F17" s="1"/>
      <c r="G17" s="1"/>
      <c r="H17" s="1"/>
      <c r="I17" s="1"/>
    </row>
  </sheetData>
  <pageMargins left="0.7" right="0.7" top="0.75" bottom="0.75" header="0.3" footer="0.3"/>
  <headerFooter>
    <oddFooter>&amp;C_x000D_&amp;1#&amp;"Aptos"&amp;10&amp;K000000 Informazione ad uso interno - Internal use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a670469-b113-4afe-9231-513d1d646cf5" xsi:nil="true"/>
    <lcf76f155ced4ddcb4097134ff3c332f xmlns="a7fd5df9-8cc8-484c-8e4e-6d3331b1ad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3C8E1CBF8C9C478FBCA521FF5AE747" ma:contentTypeVersion="18" ma:contentTypeDescription="Create a new document." ma:contentTypeScope="" ma:versionID="fa256d81c7796cbdbdeb7d61d404839b">
  <xsd:schema xmlns:xsd="http://www.w3.org/2001/XMLSchema" xmlns:xs="http://www.w3.org/2001/XMLSchema" xmlns:p="http://schemas.microsoft.com/office/2006/metadata/properties" xmlns:ns2="a7fd5df9-8cc8-484c-8e4e-6d3331b1adbb" xmlns:ns3="ba670469-b113-4afe-9231-513d1d646cf5" targetNamespace="http://schemas.microsoft.com/office/2006/metadata/properties" ma:root="true" ma:fieldsID="4f0b336da0c679e0628bd374b11834b9" ns2:_="" ns3:_="">
    <xsd:import namespace="a7fd5df9-8cc8-484c-8e4e-6d3331b1adbb"/>
    <xsd:import namespace="ba670469-b113-4afe-9231-513d1d646cf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fd5df9-8cc8-484c-8e4e-6d3331b1ad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f0c148f-5ca2-4a38-b716-16d776545e11"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670469-b113-4afe-9231-513d1d646cf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b1030cb-f256-4ffa-b115-390def373344}" ma:internalName="TaxCatchAll" ma:showField="CatchAllData" ma:web="ba670469-b113-4afe-9231-513d1d646c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16C878-BD2D-4BED-B504-4F80AC0BB5A8}">
  <ds:schemaRefs>
    <ds:schemaRef ds:uri="http://schemas.microsoft.com/office/2006/metadata/properties"/>
    <ds:schemaRef ds:uri="http://schemas.microsoft.com/office/infopath/2007/PartnerControls"/>
    <ds:schemaRef ds:uri="ba670469-b113-4afe-9231-513d1d646cf5"/>
    <ds:schemaRef ds:uri="a7fd5df9-8cc8-484c-8e4e-6d3331b1adbb"/>
  </ds:schemaRefs>
</ds:datastoreItem>
</file>

<file path=customXml/itemProps2.xml><?xml version="1.0" encoding="utf-8"?>
<ds:datastoreItem xmlns:ds="http://schemas.openxmlformats.org/officeDocument/2006/customXml" ds:itemID="{C1BE3643-FB90-49F4-B691-9602075732A5}">
  <ds:schemaRefs>
    <ds:schemaRef ds:uri="http://schemas.microsoft.com/sharepoint/v3/contenttype/forms"/>
  </ds:schemaRefs>
</ds:datastoreItem>
</file>

<file path=customXml/itemProps3.xml><?xml version="1.0" encoding="utf-8"?>
<ds:datastoreItem xmlns:ds="http://schemas.openxmlformats.org/officeDocument/2006/customXml" ds:itemID="{35D62129-E655-4F43-8818-F48D140C91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fd5df9-8cc8-484c-8e4e-6d3331b1adbb"/>
    <ds:schemaRef ds:uri="ba670469-b113-4afe-9231-513d1d646c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12</vt:i4>
      </vt:variant>
    </vt:vector>
  </HeadingPairs>
  <TitlesOfParts>
    <vt:vector size="12" baseType="lpstr">
      <vt:lpstr>Issue</vt:lpstr>
      <vt:lpstr>ToDo</vt:lpstr>
      <vt:lpstr>Cartelle</vt:lpstr>
      <vt:lpstr>Flotte</vt:lpstr>
      <vt:lpstr>CONFIG</vt:lpstr>
      <vt:lpstr>GENERAL</vt:lpstr>
      <vt:lpstr>MAN_CPR</vt:lpstr>
      <vt:lpstr>DIAGNOSTIC</vt:lpstr>
      <vt:lpstr>Funzioni</vt:lpstr>
      <vt:lpstr>PBS (TBD)</vt:lpstr>
      <vt:lpstr>Struttura</vt:lpstr>
      <vt:lpstr>Modifiche progettuali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2026-06-30T12:45:53Z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