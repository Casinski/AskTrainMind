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Questa_cartella_di_lavoro"/>
  <mc:AlternateContent xmlns:mc="http://schemas.openxmlformats.org/markup-compatibility/2006">
    <mc:Choice Requires="x15">
      <x15ac:absPath xmlns:x15ac="http://schemas.microsoft.com/office/spreadsheetml/2010/11/ac" url="C:\__SCRIPTS\AskTrainMind\"/>
    </mc:Choice>
  </mc:AlternateContent>
  <xr:revisionPtr revIDLastSave="0" documentId="13_ncr:1_{E707AE5E-BD50-4144-9594-8B9B3F543C30}" xr6:coauthVersionLast="47" xr6:coauthVersionMax="47" xr10:uidLastSave="{00000000-0000-0000-0000-000000000000}"/>
  <bookViews>
    <workbookView xWindow="-120" yWindow="-120" windowWidth="29040" windowHeight="15840" activeTab="8" xr2:uid="{00000000-000D-0000-FFFF-FFFF00000000}"/>
  </bookViews>
  <sheets>
    <sheet name="Issue" sheetId="1" r:id="rId1"/>
    <sheet name="ToDo" sheetId="2" r:id="rId2"/>
    <sheet name="Cartelle" sheetId="3" r:id="rId3"/>
    <sheet name="Flotte" sheetId="4" r:id="rId4"/>
    <sheet name="CONFIG" sheetId="5" r:id="rId5"/>
    <sheet name="GENERAL" sheetId="6" r:id="rId6"/>
    <sheet name="MAN_CPR" sheetId="7" r:id="rId7"/>
    <sheet name="DIAGNOSTIC" sheetId="8" r:id="rId8"/>
    <sheet name="Funzioni" sheetId="9" r:id="rId9"/>
    <sheet name="PBS (TBD)" sheetId="10" r:id="rId10"/>
    <sheet name="Struttura" sheetId="11" r:id="rId11"/>
    <sheet name="LINK F" sheetId="12" r:id="rId12"/>
    <sheet name="Modifiche progettuali" sheetId="13" r:id="rId13"/>
  </sheets>
  <definedNames>
    <definedName name="_xlnm._FilterDatabase" localSheetId="9" hidden="1">'PBS (TBD)'!$A$2:$R$86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2" l="1"/>
  <c r="P53" i="10"/>
  <c r="M53" i="10"/>
  <c r="P52" i="10"/>
  <c r="P51" i="10"/>
  <c r="P50" i="10"/>
  <c r="M50" i="10"/>
  <c r="P49" i="10"/>
  <c r="P48" i="10"/>
  <c r="M48" i="10"/>
  <c r="P47" i="10"/>
  <c r="P46" i="10"/>
  <c r="M46" i="10"/>
  <c r="P45" i="10"/>
  <c r="M45" i="10"/>
  <c r="P44" i="10"/>
  <c r="P43" i="10"/>
  <c r="M43" i="10"/>
  <c r="M41" i="10"/>
  <c r="P40" i="10"/>
  <c r="P39" i="10"/>
  <c r="P38" i="10"/>
  <c r="M38" i="10"/>
  <c r="P31" i="10"/>
  <c r="M25" i="10"/>
  <c r="P24" i="10"/>
  <c r="M24" i="10"/>
  <c r="P23" i="10"/>
  <c r="M23" i="10"/>
  <c r="P22" i="10"/>
  <c r="M22" i="10"/>
  <c r="P21" i="10"/>
  <c r="M21" i="10"/>
  <c r="P20" i="10"/>
  <c r="P19" i="10"/>
  <c r="M19" i="10"/>
  <c r="P18" i="10"/>
  <c r="P17" i="10"/>
  <c r="M17" i="10"/>
  <c r="P16" i="10"/>
  <c r="M16" i="10"/>
  <c r="P15" i="10"/>
  <c r="M15" i="10"/>
  <c r="P14" i="10"/>
  <c r="M14" i="10"/>
  <c r="R10" i="10"/>
  <c r="P6" i="10"/>
  <c r="M6" i="10"/>
  <c r="P5" i="10"/>
  <c r="M5" i="10"/>
  <c r="J79" i="7"/>
  <c r="G79" i="7"/>
  <c r="B79" i="7"/>
  <c r="J78" i="7"/>
  <c r="G78" i="7"/>
  <c r="B78" i="7"/>
  <c r="J77" i="7"/>
  <c r="G77" i="7"/>
  <c r="B77" i="7"/>
  <c r="J76" i="7"/>
  <c r="G76" i="7"/>
  <c r="B76" i="7"/>
  <c r="J75" i="7"/>
  <c r="G75" i="7"/>
  <c r="B75" i="7"/>
  <c r="J74" i="7"/>
  <c r="G74" i="7"/>
  <c r="B74" i="7"/>
  <c r="J73" i="7"/>
  <c r="G73" i="7"/>
  <c r="B73" i="7"/>
  <c r="J72" i="7"/>
  <c r="G72" i="7"/>
  <c r="B72" i="7"/>
  <c r="J71" i="7"/>
  <c r="G71" i="7"/>
  <c r="B71" i="7"/>
  <c r="J70" i="7"/>
  <c r="G70" i="7"/>
  <c r="B70" i="7"/>
  <c r="J69" i="7"/>
  <c r="G69" i="7"/>
  <c r="B69" i="7"/>
  <c r="J68" i="7"/>
  <c r="G68" i="7"/>
  <c r="B68" i="7"/>
  <c r="J67" i="7"/>
  <c r="G67" i="7"/>
  <c r="B67" i="7"/>
  <c r="J66" i="7"/>
  <c r="G66" i="7"/>
  <c r="B66" i="7"/>
  <c r="J65" i="7"/>
  <c r="G65" i="7"/>
  <c r="B65" i="7"/>
  <c r="J64" i="7"/>
  <c r="G64" i="7"/>
  <c r="B64" i="7"/>
  <c r="J63" i="7"/>
  <c r="G63" i="7"/>
  <c r="B63" i="7"/>
  <c r="J62" i="7"/>
  <c r="G62" i="7"/>
  <c r="B62" i="7"/>
  <c r="J61" i="7"/>
  <c r="G61" i="7"/>
  <c r="B61" i="7"/>
  <c r="J60" i="7"/>
  <c r="G60" i="7"/>
  <c r="B60" i="7"/>
  <c r="J59" i="7"/>
  <c r="G59" i="7"/>
  <c r="B59" i="7"/>
  <c r="J58" i="7"/>
  <c r="G58" i="7"/>
  <c r="B58" i="7"/>
  <c r="J57" i="7"/>
  <c r="G57" i="7"/>
  <c r="B57" i="7"/>
  <c r="J56" i="7"/>
  <c r="G56" i="7"/>
  <c r="B56" i="7"/>
  <c r="J55" i="7"/>
  <c r="G55" i="7"/>
  <c r="B55" i="7"/>
  <c r="J54" i="7"/>
  <c r="G54" i="7"/>
  <c r="B54" i="7"/>
  <c r="J53" i="7"/>
  <c r="G53" i="7"/>
  <c r="B53" i="7"/>
  <c r="J52" i="7"/>
  <c r="G52" i="7"/>
  <c r="B52" i="7"/>
  <c r="J51" i="7"/>
  <c r="G51" i="7"/>
  <c r="F51" i="7"/>
  <c r="B51" i="7"/>
  <c r="J50" i="7"/>
  <c r="G50" i="7"/>
  <c r="F50" i="7"/>
  <c r="B50" i="7"/>
  <c r="J49" i="7"/>
  <c r="G49" i="7"/>
  <c r="F49" i="7"/>
  <c r="B49" i="7"/>
  <c r="J48" i="7"/>
  <c r="G48" i="7"/>
  <c r="F48" i="7"/>
  <c r="B48" i="7"/>
  <c r="J47" i="7"/>
  <c r="G47" i="7"/>
  <c r="F47" i="7"/>
  <c r="B47" i="7"/>
  <c r="J46" i="7"/>
  <c r="G46" i="7"/>
  <c r="F46" i="7"/>
  <c r="B46" i="7"/>
  <c r="J45" i="7"/>
  <c r="G45" i="7"/>
  <c r="F45" i="7"/>
  <c r="B45" i="7"/>
  <c r="J44" i="7"/>
  <c r="G44" i="7"/>
  <c r="F44" i="7"/>
  <c r="B44" i="7"/>
  <c r="J43" i="7"/>
  <c r="G43" i="7"/>
  <c r="F43" i="7"/>
  <c r="B43" i="7"/>
  <c r="J42" i="7"/>
  <c r="G42" i="7"/>
  <c r="F42" i="7"/>
  <c r="B42" i="7"/>
  <c r="J41" i="7"/>
  <c r="G41" i="7"/>
  <c r="F41" i="7"/>
  <c r="B41" i="7"/>
  <c r="J40" i="7"/>
  <c r="G40" i="7"/>
  <c r="F40" i="7"/>
  <c r="B40" i="7"/>
  <c r="J39" i="7"/>
  <c r="G39" i="7"/>
  <c r="F39" i="7"/>
  <c r="B39" i="7"/>
  <c r="J38" i="7"/>
  <c r="G38" i="7"/>
  <c r="F38" i="7"/>
  <c r="B38" i="7"/>
  <c r="J37" i="7"/>
  <c r="G37" i="7"/>
  <c r="F37" i="7"/>
  <c r="B37" i="7"/>
  <c r="J36" i="7"/>
  <c r="G36" i="7"/>
  <c r="F36" i="7"/>
  <c r="B36" i="7"/>
  <c r="J35" i="7"/>
  <c r="G35" i="7"/>
  <c r="F35" i="7"/>
  <c r="B35" i="7"/>
  <c r="J34" i="7"/>
  <c r="G34" i="7"/>
  <c r="F34" i="7"/>
  <c r="B34" i="7"/>
  <c r="J33" i="7"/>
  <c r="G33" i="7"/>
  <c r="F33" i="7"/>
  <c r="B33" i="7"/>
  <c r="J32" i="7"/>
  <c r="G32" i="7"/>
  <c r="F32" i="7"/>
  <c r="B32" i="7"/>
  <c r="J31" i="7"/>
  <c r="G31" i="7"/>
  <c r="F31" i="7"/>
  <c r="B31" i="7"/>
  <c r="J30" i="7"/>
  <c r="G30" i="7"/>
  <c r="F30" i="7"/>
  <c r="B30" i="7"/>
  <c r="J29" i="7"/>
  <c r="G29" i="7"/>
  <c r="F29" i="7"/>
  <c r="B29" i="7"/>
  <c r="J28" i="7"/>
  <c r="G28" i="7"/>
  <c r="F28" i="7"/>
  <c r="B28" i="7"/>
  <c r="J27" i="7"/>
  <c r="G27" i="7"/>
  <c r="F27" i="7"/>
  <c r="B27" i="7"/>
  <c r="J26" i="7"/>
  <c r="G26" i="7"/>
  <c r="F26" i="7"/>
  <c r="B26" i="7"/>
  <c r="J25" i="7"/>
  <c r="G25" i="7"/>
  <c r="F25" i="7"/>
  <c r="B25" i="7"/>
  <c r="J24" i="7"/>
  <c r="G24" i="7"/>
  <c r="F24" i="7"/>
  <c r="B24" i="7"/>
  <c r="J23" i="7"/>
  <c r="G23" i="7"/>
  <c r="F23" i="7"/>
  <c r="B23" i="7"/>
  <c r="J22" i="7"/>
  <c r="G22" i="7"/>
  <c r="F22" i="7"/>
  <c r="B22" i="7"/>
  <c r="J21" i="7"/>
  <c r="G21" i="7"/>
  <c r="F21" i="7"/>
  <c r="B21" i="7"/>
  <c r="J20" i="7"/>
  <c r="G20" i="7"/>
  <c r="F20" i="7"/>
  <c r="B20" i="7"/>
  <c r="J19" i="7"/>
  <c r="G19" i="7"/>
  <c r="F19" i="7"/>
  <c r="B19" i="7"/>
  <c r="J18" i="7"/>
  <c r="G18" i="7"/>
  <c r="F18" i="7"/>
  <c r="B18" i="7"/>
  <c r="J17" i="7"/>
  <c r="G17" i="7"/>
  <c r="F17" i="7"/>
  <c r="B17" i="7"/>
  <c r="J16" i="7"/>
  <c r="G16" i="7"/>
  <c r="F16" i="7"/>
  <c r="B16" i="7"/>
  <c r="J15" i="7"/>
  <c r="G15" i="7"/>
  <c r="F15" i="7"/>
  <c r="B15" i="7"/>
  <c r="J14" i="7"/>
  <c r="G14" i="7"/>
  <c r="F14" i="7"/>
  <c r="B14" i="7"/>
  <c r="J13" i="7"/>
  <c r="G13" i="7"/>
  <c r="F13" i="7"/>
  <c r="B13" i="7"/>
  <c r="J12" i="7"/>
  <c r="G12" i="7"/>
  <c r="F12" i="7"/>
  <c r="B12" i="7"/>
  <c r="J11" i="7"/>
  <c r="G11" i="7"/>
  <c r="F11" i="7"/>
  <c r="B11" i="7"/>
  <c r="J10" i="7"/>
  <c r="G10" i="7"/>
  <c r="F10" i="7"/>
  <c r="B10" i="7"/>
  <c r="J9" i="7"/>
  <c r="G9" i="7"/>
  <c r="F9" i="7"/>
  <c r="B9" i="7"/>
  <c r="J8" i="7"/>
  <c r="G8" i="7"/>
  <c r="F8" i="7"/>
  <c r="B8" i="7"/>
  <c r="J7" i="7"/>
  <c r="G7" i="7"/>
  <c r="F7" i="7"/>
  <c r="B7" i="7"/>
  <c r="J6" i="7"/>
  <c r="G6" i="7"/>
  <c r="F6" i="7"/>
  <c r="B6" i="7"/>
  <c r="J5" i="7"/>
  <c r="G5" i="7"/>
  <c r="F5" i="7"/>
  <c r="B5" i="7"/>
  <c r="J4" i="7"/>
  <c r="G4" i="7"/>
  <c r="F4" i="7"/>
  <c r="B4" i="7"/>
  <c r="J3" i="7"/>
  <c r="G3" i="7"/>
  <c r="F3" i="7"/>
  <c r="B3" i="7"/>
  <c r="B130" i="5"/>
  <c r="B129" i="5"/>
  <c r="B128" i="5"/>
  <c r="B127" i="5"/>
  <c r="B126" i="5"/>
  <c r="B125" i="5"/>
  <c r="F9" i="4"/>
  <c r="F8" i="4"/>
  <c r="F7" i="4"/>
  <c r="F6" i="4"/>
  <c r="F5" i="4"/>
  <c r="F4" i="4"/>
  <c r="F3" i="4"/>
  <c r="F2" i="4"/>
  <c r="D4" i="3"/>
  <c r="D6" i="3" s="1"/>
  <c r="D3" i="3"/>
  <c r="E3" i="3" s="1"/>
  <c r="E2" i="3"/>
  <c r="D16" i="9"/>
  <c r="B22" i="12" a="1"/>
  <c r="B5" i="12"/>
  <c r="B4" i="12"/>
  <c r="B21" i="12" a="1"/>
  <c r="B24" i="12" a="1"/>
  <c r="B8" i="12" a="1"/>
  <c r="B23" i="12" a="1"/>
  <c r="B20" i="12"/>
  <c r="B7" i="12"/>
  <c r="B12" i="12" a="1"/>
  <c r="B6" i="12"/>
  <c r="B28" i="9" a="1"/>
  <c r="B28" i="9" l="1"/>
  <c r="B12" i="12"/>
  <c r="B23" i="12"/>
  <c r="B8" i="12"/>
  <c r="B24" i="12"/>
  <c r="B21" i="12"/>
  <c r="B22" i="12"/>
  <c r="D2" i="9"/>
  <c r="E6" i="3"/>
  <c r="E4" i="3"/>
  <c r="D5" i="3"/>
  <c r="E5" i="3" l="1"/>
  <c r="F28" i="12" a="1"/>
  <c r="F14" i="12" a="1"/>
  <c r="F281" i="9" a="1"/>
  <c r="J245" i="9" a="1"/>
  <c r="G213" i="9" a="1"/>
  <c r="J161" i="9" a="1"/>
  <c r="J129" i="9" a="1"/>
  <c r="F93" i="9" a="1"/>
  <c r="F61" i="9" a="1"/>
  <c r="J24" i="9" a="1"/>
  <c r="G289" i="9" a="1"/>
  <c r="I253" i="9" a="1"/>
  <c r="G20" i="12" a="1"/>
  <c r="I61" i="9" a="1"/>
  <c r="F229" i="9" a="1"/>
  <c r="H261" i="9" a="1"/>
  <c r="H229" i="9" a="1"/>
  <c r="G189" i="9" a="1"/>
  <c r="H145" i="9" a="1"/>
  <c r="H113" i="9" a="1"/>
  <c r="I57" i="9" a="1"/>
  <c r="F253" i="9" a="1"/>
  <c r="F277" i="9" a="1"/>
  <c r="F121" i="9" a="1"/>
  <c r="J189" i="9" a="1"/>
  <c r="F125" i="9" a="1"/>
  <c r="B10" i="12" a="1"/>
  <c r="J273" i="9" a="1"/>
  <c r="J241" i="9" a="1"/>
  <c r="F209" i="9" a="1"/>
  <c r="J157" i="9" a="1"/>
  <c r="J125" i="9" a="1"/>
  <c r="F89" i="9" a="1"/>
  <c r="F57" i="9" a="1"/>
  <c r="F21" i="9" a="1"/>
  <c r="F285" i="9" a="1"/>
  <c r="I249" i="9" a="1"/>
  <c r="F12" i="12" a="1"/>
  <c r="I53" i="9" a="1"/>
  <c r="G293" i="9" a="1"/>
  <c r="H257" i="9" a="1"/>
  <c r="H225" i="9" a="1"/>
  <c r="J181" i="9" a="1"/>
  <c r="H141" i="9" a="1"/>
  <c r="I101" i="9" a="1"/>
  <c r="I49" i="9" a="1"/>
  <c r="F241" i="9" a="1"/>
  <c r="F273" i="9" a="1"/>
  <c r="H65" i="9" a="1"/>
  <c r="F173" i="9" a="1"/>
  <c r="F169" i="9" a="1"/>
  <c r="G217" i="9" a="1"/>
  <c r="I161" i="9" a="1"/>
  <c r="J205" i="9" a="1"/>
  <c r="J53" i="9" a="1"/>
  <c r="J81" i="9" a="1"/>
  <c r="H45" i="9" a="1"/>
  <c r="H101" i="9" a="1"/>
  <c r="H41" i="9" a="1"/>
  <c r="F221" i="9" a="1"/>
  <c r="F257" i="9" a="1"/>
  <c r="F117" i="9" a="1"/>
  <c r="H97" i="9" a="1"/>
  <c r="I133" i="9" a="1"/>
  <c r="H93" i="9" a="1"/>
  <c r="I129" i="9" a="1"/>
  <c r="I157" i="9" a="1"/>
  <c r="J17" i="9" a="1"/>
  <c r="J49" i="9" a="1"/>
  <c r="G21" i="9" a="1"/>
  <c r="H69" i="9" a="1"/>
  <c r="E28" i="12" a="1"/>
  <c r="J261" i="9" a="1"/>
  <c r="J229" i="9" a="1"/>
  <c r="F193" i="9" a="1"/>
  <c r="J113" i="9" a="1"/>
  <c r="H161" i="9" a="1"/>
  <c r="F17" i="12" a="1"/>
  <c r="H49" i="9" a="1"/>
  <c r="I117" i="9" a="1"/>
  <c r="J57" i="9" a="1"/>
  <c r="I113" i="9" a="1"/>
  <c r="G201" i="9" a="1"/>
  <c r="J31" i="9" a="1"/>
  <c r="J14" i="9" a="1"/>
  <c r="J269" i="9" a="1"/>
  <c r="J237" i="9" a="1"/>
  <c r="J201" i="9" a="1"/>
  <c r="J153" i="9" a="1"/>
  <c r="J121" i="9" a="1"/>
  <c r="F85" i="9" a="1"/>
  <c r="F53" i="9" a="1"/>
  <c r="I237" i="9" a="1"/>
  <c r="J277" i="9" a="1"/>
  <c r="I245" i="9" a="1"/>
  <c r="I45" i="9" a="1"/>
  <c r="F289" i="9" a="1"/>
  <c r="H253" i="9" a="1"/>
  <c r="H221" i="9" a="1"/>
  <c r="J173" i="9" a="1"/>
  <c r="H137" i="9" a="1"/>
  <c r="I97" i="9" a="1"/>
  <c r="I41" i="9" a="1"/>
  <c r="F233" i="9" a="1"/>
  <c r="F265" i="9" a="1"/>
  <c r="G193" i="9" a="1"/>
  <c r="F153" i="9" a="1"/>
  <c r="I149" i="9" a="1"/>
  <c r="F133" i="9" a="1"/>
  <c r="I145" i="9" a="1"/>
  <c r="F185" i="9" a="1"/>
  <c r="F38" i="9" a="1"/>
  <c r="J65" i="9" a="1"/>
  <c r="F129" i="9" a="1"/>
  <c r="H85" i="9" a="1"/>
  <c r="J7" i="9" a="1"/>
  <c r="J265" i="9" a="1"/>
  <c r="J233" i="9" a="1"/>
  <c r="G197" i="9" a="1"/>
  <c r="J149" i="9" a="1"/>
  <c r="J117" i="9" a="1"/>
  <c r="F81" i="9" a="1"/>
  <c r="F49" i="9" a="1"/>
  <c r="F213" i="9" a="1"/>
  <c r="I273" i="9" a="1"/>
  <c r="I241" i="9" a="1"/>
  <c r="J11" i="9" a="1"/>
  <c r="F36" i="9" a="1"/>
  <c r="J281" i="9" a="1"/>
  <c r="H249" i="9" a="1"/>
  <c r="F217" i="9" a="1"/>
  <c r="J165" i="9" a="1"/>
  <c r="H133" i="9" a="1"/>
  <c r="I89" i="9" a="1"/>
  <c r="F31" i="9" a="1"/>
  <c r="J145" i="9" a="1"/>
  <c r="F77" i="9" a="1"/>
  <c r="F45" i="9" a="1"/>
  <c r="B13" i="12" a="1"/>
  <c r="I269" i="9" a="1"/>
  <c r="I233" i="9" a="1"/>
  <c r="J3" i="9" a="1"/>
  <c r="J27" i="9" a="1"/>
  <c r="G277" i="9" a="1"/>
  <c r="H245" i="9" a="1"/>
  <c r="J209" i="9" a="1"/>
  <c r="H129" i="9" a="1"/>
  <c r="I85" i="9" a="1"/>
  <c r="J21" i="9" a="1"/>
  <c r="F249" i="9" a="1"/>
  <c r="F27" i="9" a="1"/>
  <c r="I141" i="9" a="1"/>
  <c r="F205" i="9" a="1"/>
  <c r="H53" i="9" a="1"/>
  <c r="J41" i="9" a="1"/>
  <c r="F197" i="9" a="1"/>
  <c r="J69" i="9" a="1"/>
  <c r="F165" i="9" a="1"/>
  <c r="F3" i="12" a="1"/>
  <c r="J257" i="9" a="1"/>
  <c r="J225" i="9" a="1"/>
  <c r="J185" i="9" a="1"/>
  <c r="J141" i="9" a="1"/>
  <c r="J105" i="9" a="1"/>
  <c r="F73" i="9" a="1"/>
  <c r="F41" i="9" a="1"/>
  <c r="F14" i="9" a="1"/>
  <c r="I265" i="9" a="1"/>
  <c r="I229" i="9" a="1"/>
  <c r="I93" i="9" a="1"/>
  <c r="F17" i="9" a="1"/>
  <c r="H273" i="9" a="1"/>
  <c r="H241" i="9" a="1"/>
  <c r="G205" i="9" a="1"/>
  <c r="H157" i="9" a="1"/>
  <c r="H125" i="9" a="1"/>
  <c r="I81" i="9" a="1"/>
  <c r="F293" i="9" a="1"/>
  <c r="F11" i="9" a="1"/>
  <c r="F237" i="9" a="1"/>
  <c r="F24" i="9" a="1"/>
  <c r="F149" i="9" a="1"/>
  <c r="J93" i="9" a="1"/>
  <c r="F189" i="9" a="1"/>
  <c r="J89" i="9" a="1"/>
  <c r="I125" i="9" a="1"/>
  <c r="F177" i="9" a="1"/>
  <c r="F137" i="9" a="1"/>
  <c r="F181" i="9" a="1"/>
  <c r="G33" i="9" a="1"/>
  <c r="J249" i="9" a="1"/>
  <c r="J133" i="9" a="1"/>
  <c r="F97" i="9" a="1"/>
  <c r="F29" i="9" a="1"/>
  <c r="I257" i="9" a="1"/>
  <c r="I221" i="9" a="1"/>
  <c r="I69" i="9" a="1"/>
  <c r="F245" i="9" a="1"/>
  <c r="H265" i="9" a="1"/>
  <c r="H233" i="9" a="1"/>
  <c r="J193" i="9" a="1"/>
  <c r="H149" i="9" a="1"/>
  <c r="H117" i="9" a="1"/>
  <c r="I65" i="9" a="1"/>
  <c r="F261" i="9" a="1"/>
  <c r="G281" i="9" a="1"/>
  <c r="I121" i="9" a="1"/>
  <c r="H89" i="9" a="1"/>
  <c r="J109" i="9" a="1"/>
  <c r="J61" i="9" a="1"/>
  <c r="J213" i="9" a="1"/>
  <c r="G209" i="9" a="1"/>
  <c r="J85" i="9" a="1"/>
  <c r="I137" i="9" a="1"/>
  <c r="J29" i="9" a="1"/>
  <c r="F141" i="9" a="1"/>
  <c r="J197" i="9" a="1"/>
  <c r="J45" i="9" a="1"/>
  <c r="H57" i="9" a="1"/>
  <c r="J97" i="9" a="1"/>
  <c r="F161" i="9" a="1"/>
  <c r="J289" i="9" a="1"/>
  <c r="J253" i="9" a="1"/>
  <c r="J221" i="9" a="1"/>
  <c r="J177" i="9" a="1"/>
  <c r="J137" i="9" a="1"/>
  <c r="F101" i="9" a="1"/>
  <c r="F69" i="9" a="1"/>
  <c r="F33" i="9" a="1"/>
  <c r="F7" i="9" a="1"/>
  <c r="I261" i="9" a="1"/>
  <c r="I225" i="9" a="1"/>
  <c r="I77" i="9" a="1"/>
  <c r="J285" i="9" a="1"/>
  <c r="H269" i="9" a="1"/>
  <c r="H237" i="9" a="1"/>
  <c r="F201" i="9" a="1"/>
  <c r="H153" i="9" a="1"/>
  <c r="H121" i="9" a="1"/>
  <c r="I73" i="9" a="1"/>
  <c r="F269" i="9" a="1"/>
  <c r="F3" i="9" a="1"/>
  <c r="F225" i="9" a="1"/>
  <c r="F145" i="9" a="1"/>
  <c r="H61" i="9" a="1"/>
  <c r="J77" i="9" a="1"/>
  <c r="H73" i="9" a="1"/>
  <c r="J73" i="9" a="1"/>
  <c r="J101" i="9" a="1"/>
  <c r="I153" i="9" a="1"/>
  <c r="H81" i="9" a="1"/>
  <c r="F157" i="9" a="1"/>
  <c r="H77" i="9" a="1"/>
  <c r="G285" i="9" a="1"/>
  <c r="J217" i="9" a="1"/>
  <c r="J169" i="9" a="1"/>
  <c r="F65" i="9" a="1"/>
  <c r="J293" i="9" a="1"/>
  <c r="J293" i="9" l="1"/>
  <c r="F65" i="9"/>
  <c r="J169" i="9"/>
  <c r="J217" i="9"/>
  <c r="G285" i="9"/>
  <c r="H77" i="9"/>
  <c r="F157" i="9"/>
  <c r="H81" i="9"/>
  <c r="I153" i="9"/>
  <c r="J101" i="9"/>
  <c r="J73" i="9"/>
  <c r="H73" i="9"/>
  <c r="J77" i="9"/>
  <c r="H61" i="9"/>
  <c r="F145" i="9"/>
  <c r="F225" i="9"/>
  <c r="F3" i="9"/>
  <c r="F269" i="9"/>
  <c r="I73" i="9"/>
  <c r="H121" i="9"/>
  <c r="H153" i="9"/>
  <c r="F201" i="9"/>
  <c r="H237" i="9"/>
  <c r="H269" i="9"/>
  <c r="J285" i="9"/>
  <c r="I77" i="9"/>
  <c r="I225" i="9"/>
  <c r="I261" i="9"/>
  <c r="F7" i="9"/>
  <c r="F33" i="9"/>
  <c r="F69" i="9"/>
  <c r="F101" i="9"/>
  <c r="J137" i="9"/>
  <c r="J177" i="9"/>
  <c r="J221" i="9"/>
  <c r="J253" i="9"/>
  <c r="J289" i="9"/>
  <c r="F161" i="9"/>
  <c r="J97" i="9"/>
  <c r="H57" i="9"/>
  <c r="J45" i="9"/>
  <c r="J197" i="9"/>
  <c r="F141" i="9"/>
  <c r="J29" i="9"/>
  <c r="I137" i="9"/>
  <c r="J85" i="9"/>
  <c r="G209" i="9"/>
  <c r="J213" i="9"/>
  <c r="J61" i="9"/>
  <c r="J109" i="9"/>
  <c r="H89" i="9"/>
  <c r="I121" i="9"/>
  <c r="G281" i="9"/>
  <c r="F261" i="9"/>
  <c r="I65" i="9"/>
  <c r="H117" i="9"/>
  <c r="H149" i="9"/>
  <c r="J193" i="9"/>
  <c r="H233" i="9"/>
  <c r="H265" i="9"/>
  <c r="F245" i="9"/>
  <c r="I69" i="9"/>
  <c r="I221" i="9"/>
  <c r="I257" i="9"/>
  <c r="F29" i="9"/>
  <c r="F97" i="9"/>
  <c r="J133" i="9"/>
  <c r="J249" i="9"/>
  <c r="G33" i="9"/>
  <c r="F181" i="9"/>
  <c r="F137" i="9"/>
  <c r="F177" i="9"/>
  <c r="I125" i="9"/>
  <c r="J89" i="9"/>
  <c r="F189" i="9"/>
  <c r="J93" i="9"/>
  <c r="F149" i="9"/>
  <c r="F24" i="9"/>
  <c r="F237" i="9"/>
  <c r="F11" i="9"/>
  <c r="F293" i="9"/>
  <c r="I81" i="9"/>
  <c r="H125" i="9"/>
  <c r="H157" i="9"/>
  <c r="G205" i="9"/>
  <c r="H241" i="9"/>
  <c r="H273" i="9"/>
  <c r="F17" i="9"/>
  <c r="I93" i="9"/>
  <c r="I229" i="9"/>
  <c r="I265" i="9"/>
  <c r="F14" i="9"/>
  <c r="F41" i="9"/>
  <c r="F73" i="9"/>
  <c r="J105" i="9"/>
  <c r="J141" i="9"/>
  <c r="J185" i="9"/>
  <c r="J225" i="9"/>
  <c r="J257" i="9"/>
  <c r="F3" i="12"/>
  <c r="F165" i="9"/>
  <c r="J69" i="9"/>
  <c r="F197" i="9"/>
  <c r="J41" i="9"/>
  <c r="H53" i="9"/>
  <c r="F205" i="9"/>
  <c r="I141" i="9"/>
  <c r="F27" i="9"/>
  <c r="F249" i="9"/>
  <c r="J21" i="9"/>
  <c r="I85" i="9"/>
  <c r="H129" i="9"/>
  <c r="J209" i="9"/>
  <c r="H245" i="9"/>
  <c r="G277" i="9"/>
  <c r="J27" i="9"/>
  <c r="J3" i="9"/>
  <c r="I233" i="9"/>
  <c r="I269" i="9"/>
  <c r="B13" i="12"/>
  <c r="F45" i="9"/>
  <c r="F77" i="9"/>
  <c r="J145" i="9"/>
  <c r="F31" i="9"/>
  <c r="I89" i="9"/>
  <c r="H133" i="9"/>
  <c r="J165" i="9"/>
  <c r="F217" i="9"/>
  <c r="H249" i="9"/>
  <c r="J281" i="9"/>
  <c r="F36" i="9"/>
  <c r="J11" i="9"/>
  <c r="I241" i="9"/>
  <c r="I273" i="9"/>
  <c r="F213" i="9"/>
  <c r="F49" i="9"/>
  <c r="F81" i="9"/>
  <c r="J117" i="9"/>
  <c r="J149" i="9"/>
  <c r="G197" i="9"/>
  <c r="J233" i="9"/>
  <c r="J265" i="9"/>
  <c r="J7" i="9"/>
  <c r="H85" i="9"/>
  <c r="F129" i="9"/>
  <c r="J65" i="9"/>
  <c r="F38" i="9"/>
  <c r="F185" i="9"/>
  <c r="I145" i="9"/>
  <c r="F133" i="9"/>
  <c r="I149" i="9"/>
  <c r="F153" i="9"/>
  <c r="G193" i="9"/>
  <c r="F265" i="9"/>
  <c r="F233" i="9"/>
  <c r="I41" i="9"/>
  <c r="I97" i="9"/>
  <c r="H137" i="9"/>
  <c r="J173" i="9"/>
  <c r="H221" i="9"/>
  <c r="H253" i="9"/>
  <c r="F289" i="9"/>
  <c r="I45" i="9"/>
  <c r="I245" i="9"/>
  <c r="J277" i="9"/>
  <c r="I237" i="9"/>
  <c r="F53" i="9"/>
  <c r="F85" i="9"/>
  <c r="J121" i="9"/>
  <c r="J153" i="9"/>
  <c r="J201" i="9"/>
  <c r="J237" i="9"/>
  <c r="J269" i="9"/>
  <c r="J14" i="9"/>
  <c r="J31" i="9"/>
  <c r="G201" i="9"/>
  <c r="I113" i="9"/>
  <c r="J57" i="9"/>
  <c r="I117" i="9"/>
  <c r="H49" i="9"/>
  <c r="F17" i="12"/>
  <c r="H161" i="9"/>
  <c r="J113" i="9"/>
  <c r="F193" i="9"/>
  <c r="J229" i="9"/>
  <c r="J261" i="9"/>
  <c r="E28" i="12"/>
  <c r="H69" i="9"/>
  <c r="G21" i="9"/>
  <c r="J49" i="9"/>
  <c r="J17" i="9"/>
  <c r="I157" i="9"/>
  <c r="I129" i="9"/>
  <c r="H93" i="9"/>
  <c r="I133" i="9"/>
  <c r="H97" i="9"/>
  <c r="F117" i="9"/>
  <c r="F257" i="9"/>
  <c r="F221" i="9"/>
  <c r="H41" i="9"/>
  <c r="H101" i="9"/>
  <c r="H45" i="9"/>
  <c r="J81" i="9"/>
  <c r="J53" i="9"/>
  <c r="J205" i="9"/>
  <c r="I161" i="9"/>
  <c r="G217" i="9"/>
  <c r="F169" i="9"/>
  <c r="F173" i="9"/>
  <c r="H65" i="9"/>
  <c r="F273" i="9"/>
  <c r="F241" i="9"/>
  <c r="I49" i="9"/>
  <c r="I101" i="9"/>
  <c r="H141" i="9"/>
  <c r="J181" i="9"/>
  <c r="H225" i="9"/>
  <c r="H257" i="9"/>
  <c r="G293" i="9"/>
  <c r="I53" i="9"/>
  <c r="F12" i="12"/>
  <c r="I249" i="9"/>
  <c r="F285" i="9"/>
  <c r="F21" i="9"/>
  <c r="F57" i="9"/>
  <c r="F89" i="9"/>
  <c r="J125" i="9"/>
  <c r="J157" i="9"/>
  <c r="F209" i="9"/>
  <c r="J241" i="9"/>
  <c r="J273" i="9"/>
  <c r="B10" i="12"/>
  <c r="F125" i="9"/>
  <c r="J189" i="9"/>
  <c r="F121" i="9"/>
  <c r="F277" i="9"/>
  <c r="F253" i="9"/>
  <c r="I57" i="9"/>
  <c r="H113" i="9"/>
  <c r="H145" i="9"/>
  <c r="G189" i="9"/>
  <c r="H229" i="9"/>
  <c r="H261" i="9"/>
  <c r="F229" i="9"/>
  <c r="I61" i="9"/>
  <c r="G20" i="12"/>
  <c r="I253" i="9"/>
  <c r="G289" i="9"/>
  <c r="J24" i="9"/>
  <c r="F61" i="9"/>
  <c r="F93" i="9"/>
  <c r="J129" i="9"/>
  <c r="J161" i="9"/>
  <c r="G213" i="9"/>
  <c r="J245" i="9"/>
  <c r="F281" i="9"/>
  <c r="F14" i="12"/>
  <c r="F28"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MORBIDI MAURIZIO</author>
  </authors>
  <commentList>
    <comment ref="D5" authorId="0" shapeId="0" xr:uid="{00000000-0006-0000-0400-000001000000}">
      <text>
        <r>
          <rPr>
            <sz val="11"/>
            <color theme="1"/>
            <rFont val="Calibri"/>
            <family val="2"/>
            <scheme val="minor"/>
          </rPr>
          <t>MORBIDI MAURIZIO:
Disponibile anche codice BD140045210  relativo a BL 6.2</t>
        </r>
      </text>
    </comment>
    <comment ref="J5" authorId="0" shapeId="0" xr:uid="{00000000-0006-0000-0400-000002000000}">
      <text>
        <r>
          <rPr>
            <sz val="11"/>
            <color theme="1"/>
            <rFont val="Calibri"/>
            <family val="2"/>
            <scheme val="minor"/>
          </rPr>
          <t>MORBIDI MAURIZIO:
Disponibile anche codice BD140038737 di BL 4.3</t>
        </r>
      </text>
    </comment>
    <comment ref="Q6" authorId="0" shapeId="0" xr:uid="{00000000-0006-0000-0400-000003000000}">
      <text>
        <r>
          <rPr>
            <sz val="11"/>
            <color theme="1"/>
            <rFont val="Calibri"/>
            <family val="2"/>
            <scheme val="minor"/>
          </rPr>
          <t>MORBIDI MAURIZIO:
Le revisioni (non disponibili) in rosso sono relative alla BL 5.0</t>
        </r>
      </text>
    </comment>
    <comment ref="J10" authorId="0" shapeId="0" xr:uid="{00000000-0006-0000-0400-000004000000}">
      <text>
        <r>
          <rPr>
            <sz val="11"/>
            <color theme="1"/>
            <rFont val="Calibri"/>
            <family val="2"/>
            <scheme val="minor"/>
          </rPr>
          <t>MORBIDI MAURIZIO:
Non indicato nel file di configurazione, ma presente tra i documenti</t>
        </r>
      </text>
    </comment>
    <comment ref="N13" authorId="0" shapeId="0" xr:uid="{00000000-0006-0000-0400-000005000000}">
      <text>
        <r>
          <rPr>
            <sz val="11"/>
            <color theme="1"/>
            <rFont val="Calibri"/>
            <family val="2"/>
            <scheme val="minor"/>
          </rPr>
          <t>MORBIDI MAURIZIO:
Rev A più aggiornata della BL corrente</t>
        </r>
      </text>
    </comment>
    <comment ref="K16" authorId="0" shapeId="0" xr:uid="{00000000-0006-0000-0400-000006000000}">
      <text>
        <r>
          <rPr>
            <sz val="11"/>
            <color theme="1"/>
            <rFont val="Calibri"/>
            <family val="2"/>
            <scheme val="minor"/>
          </rPr>
          <t>MORBIDI MAURIZIO:
Disponibile rev D</t>
        </r>
      </text>
    </comment>
    <comment ref="E17" authorId="0" shapeId="0" xr:uid="{00000000-0006-0000-0400-000007000000}">
      <text>
        <r>
          <rPr>
            <sz val="11"/>
            <color theme="1"/>
            <rFont val="Calibri"/>
            <family val="2"/>
            <scheme val="minor"/>
          </rPr>
          <t>MORBIDI MAURIZIO:
Disponibile rev C</t>
        </r>
      </text>
    </comment>
    <comment ref="K17" authorId="0" shapeId="0" xr:uid="{00000000-0006-0000-0400-000008000000}">
      <text>
        <r>
          <rPr>
            <sz val="11"/>
            <color theme="1"/>
            <rFont val="Calibri"/>
            <family val="2"/>
            <scheme val="minor"/>
          </rPr>
          <t>MORBIDI MAURIZIO:
Disponibile rev _</t>
        </r>
      </text>
    </comment>
    <comment ref="K20" authorId="0" shapeId="0" xr:uid="{00000000-0006-0000-0400-000009000000}">
      <text>
        <r>
          <rPr>
            <sz val="11"/>
            <color theme="1"/>
            <rFont val="Calibri"/>
            <family val="2"/>
            <scheme val="minor"/>
          </rPr>
          <t>MORBIDI MAURIZIO:
Disponibile rev _</t>
        </r>
      </text>
    </comment>
    <comment ref="K22" authorId="0" shapeId="0" xr:uid="{00000000-0006-0000-0400-00000A000000}">
      <text>
        <r>
          <rPr>
            <sz val="11"/>
            <color theme="1"/>
            <rFont val="Calibri"/>
            <family val="2"/>
            <scheme val="minor"/>
          </rPr>
          <t>MORBIDI MAURIZIO:
Disponibile rev C</t>
        </r>
      </text>
    </comment>
    <comment ref="N23" authorId="0" shapeId="0" xr:uid="{00000000-0006-0000-0400-00000B000000}">
      <text>
        <r>
          <rPr>
            <sz val="11"/>
            <color theme="1"/>
            <rFont val="Calibri"/>
            <family val="2"/>
            <scheme val="minor"/>
          </rPr>
          <t>MORBIDI MAURIZIO:
Rev A più aggiornata della BL corrente</t>
        </r>
      </text>
    </comment>
    <comment ref="N25" authorId="0" shapeId="0" xr:uid="{00000000-0006-0000-0400-00000C000000}">
      <text>
        <r>
          <rPr>
            <sz val="11"/>
            <color theme="1"/>
            <rFont val="Calibri"/>
            <family val="2"/>
            <scheme val="minor"/>
          </rPr>
          <t>MORBIDI MAURIZIO:
Rev A più aggiornata della BL corrente</t>
        </r>
      </text>
    </comment>
    <comment ref="N28" authorId="0" shapeId="0" xr:uid="{00000000-0006-0000-0400-00000D000000}">
      <text>
        <r>
          <rPr>
            <sz val="11"/>
            <color theme="1"/>
            <rFont val="Calibri"/>
            <family val="2"/>
            <scheme val="minor"/>
          </rPr>
          <t>MORBIDI MAURIZIO:
Dispoinibile ver A non B</t>
        </r>
      </text>
    </comment>
    <comment ref="B33" authorId="0" shapeId="0" xr:uid="{00000000-0006-0000-0400-00000E000000}">
      <text>
        <r>
          <rPr>
            <sz val="11"/>
            <color theme="1"/>
            <rFont val="Calibri"/>
            <family val="2"/>
            <scheme val="minor"/>
          </rPr>
          <t>MORBIDI MAURIZIO:
Non presente in Config Sheet ma gestito nello stesso modo tra le varie flotte</t>
        </r>
      </text>
    </comment>
    <comment ref="D35" authorId="0" shapeId="0" xr:uid="{00000000-0006-0000-0400-00000F000000}">
      <text>
        <r>
          <rPr>
            <sz val="11"/>
            <color theme="1"/>
            <rFont val="Calibri"/>
            <family val="2"/>
            <scheme val="minor"/>
          </rPr>
          <t>MORBIDI MAURIZIO:
Non presente in BL ma inserita comunque tra le  FRS</t>
        </r>
      </text>
    </comment>
    <comment ref="L37" authorId="0" shapeId="0" xr:uid="{00000000-0006-0000-0400-000010000000}">
      <text>
        <r>
          <rPr>
            <sz val="11"/>
            <color theme="1"/>
            <rFont val="Calibri"/>
            <family val="2"/>
            <scheme val="minor"/>
          </rPr>
          <t>MORBIDI MAURIZIO:
Vecchia versione non più applicabile?</t>
        </r>
      </text>
    </comment>
    <comment ref="F38" authorId="0" shapeId="0" xr:uid="{00000000-0006-0000-0400-000011000000}">
      <text>
        <r>
          <rPr>
            <sz val="11"/>
            <color theme="1"/>
            <rFont val="Calibri"/>
            <family val="2"/>
            <scheme val="minor"/>
          </rPr>
          <t>MORBIDI MAURIZIO:
EC01P008999B vecchia versione?</t>
        </r>
      </text>
    </comment>
    <comment ref="I38" authorId="0" shapeId="0" xr:uid="{00000000-0006-0000-0400-000012000000}">
      <text>
        <r>
          <rPr>
            <sz val="11"/>
            <color theme="1"/>
            <rFont val="Calibri"/>
            <family val="2"/>
            <scheme val="minor"/>
          </rPr>
          <t>MORBIDI MAURIZIO:
Vecchio codice antecedente BL3 non più applicabile?</t>
        </r>
      </text>
    </comment>
    <comment ref="L38" authorId="0" shapeId="0" xr:uid="{00000000-0006-0000-0400-000013000000}">
      <text>
        <r>
          <rPr>
            <sz val="11"/>
            <color theme="1"/>
            <rFont val="Calibri"/>
            <family val="2"/>
            <scheme val="minor"/>
          </rPr>
          <t>MORBIDI MAURIZIO:
EC01P008999B vecchia versione?</t>
        </r>
      </text>
    </comment>
    <comment ref="O38" authorId="0" shapeId="0" xr:uid="{00000000-0006-0000-0400-000014000000}">
      <text>
        <r>
          <rPr>
            <sz val="11"/>
            <color theme="1"/>
            <rFont val="Calibri"/>
            <family val="2"/>
            <scheme val="minor"/>
          </rPr>
          <t>MORBIDI MAURIZIO:
Non più applicabile?</t>
        </r>
      </text>
    </comment>
    <comment ref="E47" authorId="0" shapeId="0" xr:uid="{00000000-0006-0000-0400-000015000000}">
      <text>
        <r>
          <rPr>
            <sz val="11"/>
            <color theme="1"/>
            <rFont val="Calibri"/>
            <family val="2"/>
            <scheme val="minor"/>
          </rPr>
          <t>MORBIDI MAURIZIO:
Disponibile rev J</t>
        </r>
      </text>
    </comment>
    <comment ref="K47" authorId="0" shapeId="0" xr:uid="{00000000-0006-0000-0400-000016000000}">
      <text>
        <r>
          <rPr>
            <sz val="11"/>
            <color theme="1"/>
            <rFont val="Calibri"/>
            <family val="2"/>
            <scheme val="minor"/>
          </rPr>
          <t>MORBIDI MAURIZIO:
Disponibile rev A</t>
        </r>
      </text>
    </comment>
    <comment ref="E48" authorId="0" shapeId="0" xr:uid="{00000000-0006-0000-0400-000017000000}">
      <text>
        <r>
          <rPr>
            <sz val="11"/>
            <color theme="1"/>
            <rFont val="Calibri"/>
            <family val="2"/>
            <scheme val="minor"/>
          </rPr>
          <t>MORBIDI MAURIZIO:
Disponibile rev C</t>
        </r>
      </text>
    </comment>
    <comment ref="E51" authorId="0" shapeId="0" xr:uid="{00000000-0006-0000-0400-000018000000}">
      <text>
        <r>
          <rPr>
            <sz val="11"/>
            <color theme="1"/>
            <rFont val="Calibri"/>
            <family val="2"/>
            <scheme val="minor"/>
          </rPr>
          <t>MORBIDI MAURIZIO:
Disponibile rev B</t>
        </r>
      </text>
    </comment>
    <comment ref="E54" authorId="0" shapeId="0" xr:uid="{00000000-0006-0000-0400-000019000000}">
      <text>
        <r>
          <rPr>
            <sz val="11"/>
            <color theme="1"/>
            <rFont val="Calibri"/>
            <family val="2"/>
            <scheme val="minor"/>
          </rPr>
          <t>MORBIDI MAURIZIO:
Rev 09 + aggiornata di BL corrente.
08 x VZ_IT_New14
09 x VZ_ES</t>
        </r>
      </text>
    </comment>
    <comment ref="H54" authorId="0" shapeId="0" xr:uid="{00000000-0006-0000-0400-00001A000000}">
      <text>
        <r>
          <rPr>
            <sz val="11"/>
            <color theme="1"/>
            <rFont val="Calibri"/>
            <family val="2"/>
            <scheme val="minor"/>
          </rPr>
          <t>MORBIDI MAURIZIO:
Rev 09 + aggiornata di BL corrente.
09 x VZ_ES</t>
        </r>
      </text>
    </comment>
    <comment ref="E58" authorId="0" shapeId="0" xr:uid="{00000000-0006-0000-0400-00001B000000}">
      <text>
        <r>
          <rPr>
            <sz val="11"/>
            <color theme="1"/>
            <rFont val="Calibri"/>
            <family val="2"/>
            <scheme val="minor"/>
          </rPr>
          <t xml:space="preserve">MORBIDI MAURIZIO:
Rev 04 + aggiornata di BL corrente.
04 x VZ_ES
</t>
        </r>
      </text>
    </comment>
    <comment ref="K58" authorId="0" shapeId="0" xr:uid="{00000000-0006-0000-0400-00001C000000}">
      <text>
        <r>
          <rPr>
            <sz val="11"/>
            <color theme="1"/>
            <rFont val="Calibri"/>
            <family val="2"/>
            <scheme val="minor"/>
          </rPr>
          <t xml:space="preserve">MORBIDI MAURIZIO:
Rev 04 + aggiornata di BL corrente.
04 x VZ_ES
</t>
        </r>
      </text>
    </comment>
    <comment ref="I61" authorId="0" shapeId="0" xr:uid="{00000000-0006-0000-0400-00001D000000}">
      <text>
        <r>
          <rPr>
            <sz val="11"/>
            <color theme="1"/>
            <rFont val="Calibri"/>
            <family val="2"/>
            <scheme val="minor"/>
          </rPr>
          <t>MORBIDI MAURIZIO:
Codice HRI = EC010008563</t>
        </r>
      </text>
    </comment>
    <comment ref="B67" authorId="0" shapeId="0" xr:uid="{00000000-0006-0000-0400-00001E000000}">
      <text>
        <r>
          <rPr>
            <sz val="11"/>
            <color theme="1"/>
            <rFont val="Calibri"/>
            <family val="2"/>
            <scheme val="minor"/>
          </rPr>
          <t>MORBIDI MAURIZIO:
Non presente in Config Sheet ma gestito nello stesso modo tra le varie flotte</t>
        </r>
      </text>
    </comment>
    <comment ref="H69" authorId="0" shapeId="0" xr:uid="{00000000-0006-0000-0400-00001F000000}">
      <text>
        <r>
          <rPr>
            <sz val="11"/>
            <color theme="1"/>
            <rFont val="Calibri"/>
            <family val="2"/>
            <scheme val="minor"/>
          </rPr>
          <t>MORBIDI MAURIZIO:
Disponibile rev E che include BL3 SSB</t>
        </r>
      </text>
    </comment>
    <comment ref="E70" authorId="0" shapeId="0" xr:uid="{00000000-0006-0000-0400-000020000000}">
      <text>
        <r>
          <rPr>
            <sz val="11"/>
            <color theme="1"/>
            <rFont val="Calibri"/>
            <family val="2"/>
            <scheme val="minor"/>
          </rPr>
          <t>MORBIDI MAURIZIO:
Rev J non trovata
Disponibile rev H</t>
        </r>
      </text>
    </comment>
    <comment ref="E71" authorId="0" shapeId="0" xr:uid="{00000000-0006-0000-0400-000021000000}">
      <text>
        <r>
          <rPr>
            <sz val="11"/>
            <color theme="1"/>
            <rFont val="Calibri"/>
            <family val="2"/>
            <scheme val="minor"/>
          </rPr>
          <t>MORBIDI MAURIZIO:
Rev J non trovata
Disponibile rev H</t>
        </r>
      </text>
    </comment>
    <comment ref="E72" authorId="0" shapeId="0" xr:uid="{00000000-0006-0000-0400-000022000000}">
      <text>
        <r>
          <rPr>
            <sz val="11"/>
            <color theme="1"/>
            <rFont val="Calibri"/>
            <family val="2"/>
            <scheme val="minor"/>
          </rPr>
          <t>MORBIDI MAURIZIO:
Rev J non trovata
Disponibile rev H</t>
        </r>
      </text>
    </comment>
    <comment ref="E73" authorId="0" shapeId="0" xr:uid="{00000000-0006-0000-0400-000023000000}">
      <text>
        <r>
          <rPr>
            <sz val="11"/>
            <color theme="1"/>
            <rFont val="Calibri"/>
            <family val="2"/>
            <scheme val="minor"/>
          </rPr>
          <t>MORBIDI MAURIZIO:
Rev J non trovata
Disponibile rev H</t>
        </r>
      </text>
    </comment>
    <comment ref="E74" authorId="0" shapeId="0" xr:uid="{00000000-0006-0000-0400-000024000000}">
      <text>
        <r>
          <rPr>
            <sz val="11"/>
            <color theme="1"/>
            <rFont val="Calibri"/>
            <family val="2"/>
            <scheme val="minor"/>
          </rPr>
          <t>MORBIDI MAURIZIO:
Rev J non trovata
Disponibile rev H</t>
        </r>
      </text>
    </comment>
    <comment ref="E75" authorId="0" shapeId="0" xr:uid="{00000000-0006-0000-0400-000025000000}">
      <text>
        <r>
          <rPr>
            <sz val="11"/>
            <color theme="1"/>
            <rFont val="Calibri"/>
            <family val="2"/>
            <scheme val="minor"/>
          </rPr>
          <t>MORBIDI MAURIZIO:
Rev J non trovata
Disponibile rev H</t>
        </r>
      </text>
    </comment>
    <comment ref="H76" authorId="0" shapeId="0" xr:uid="{00000000-0006-0000-0400-000026000000}">
      <text>
        <r>
          <rPr>
            <sz val="11"/>
            <color theme="1"/>
            <rFont val="Calibri"/>
            <family val="2"/>
            <scheme val="minor"/>
          </rPr>
          <t>MORBIDI MAURIZIO:
Disponibile rev F che include BL3 SSB</t>
        </r>
      </text>
    </comment>
    <comment ref="H78" authorId="0" shapeId="0" xr:uid="{00000000-0006-0000-0400-000027000000}">
      <text>
        <r>
          <rPr>
            <sz val="11"/>
            <color theme="1"/>
            <rFont val="Calibri"/>
            <family val="2"/>
            <scheme val="minor"/>
          </rPr>
          <t>MORBIDI MAURIZIO:
Disponibile rev E</t>
        </r>
      </text>
    </comment>
    <comment ref="E79" authorId="0" shapeId="0" xr:uid="{00000000-0006-0000-0400-000028000000}">
      <text>
        <r>
          <rPr>
            <sz val="11"/>
            <color theme="1"/>
            <rFont val="Calibri"/>
            <family val="2"/>
            <scheme val="minor"/>
          </rPr>
          <t>MORBIDI MAURIZIO:
Rev J non trovata
Disponibile rev H</t>
        </r>
      </text>
    </comment>
    <comment ref="H79" authorId="0" shapeId="0" xr:uid="{00000000-0006-0000-0400-000029000000}">
      <text>
        <r>
          <rPr>
            <sz val="11"/>
            <color theme="1"/>
            <rFont val="Calibri"/>
            <family val="2"/>
            <scheme val="minor"/>
          </rPr>
          <t>MORBIDI MAURIZIO:
Rev D mancante, disponibile rev C</t>
        </r>
      </text>
    </comment>
    <comment ref="E80" authorId="0" shapeId="0" xr:uid="{00000000-0006-0000-0400-00002A000000}">
      <text>
        <r>
          <rPr>
            <sz val="11"/>
            <color theme="1"/>
            <rFont val="Calibri"/>
            <family val="2"/>
            <scheme val="minor"/>
          </rPr>
          <t>MORBIDI MAURIZIO:
Rev J non trovata
Disponibile rev H</t>
        </r>
      </text>
    </comment>
    <comment ref="H80" authorId="0" shapeId="0" xr:uid="{00000000-0006-0000-0400-00002B000000}">
      <text>
        <r>
          <rPr>
            <sz val="11"/>
            <color theme="1"/>
            <rFont val="Calibri"/>
            <family val="2"/>
            <scheme val="minor"/>
          </rPr>
          <t>MORBIDI MAURIZIO:
Rev D mancante, disponibile rev C</t>
        </r>
      </text>
    </comment>
    <comment ref="E81" authorId="0" shapeId="0" xr:uid="{00000000-0006-0000-0400-00002C000000}">
      <text>
        <r>
          <rPr>
            <sz val="11"/>
            <color theme="1"/>
            <rFont val="Calibri"/>
            <family val="2"/>
            <scheme val="minor"/>
          </rPr>
          <t>MORBIDI MAURIZIO:
Rev J non trovata
Disponibile rev H</t>
        </r>
      </text>
    </comment>
    <comment ref="H81" authorId="0" shapeId="0" xr:uid="{00000000-0006-0000-0400-00002D000000}">
      <text>
        <r>
          <rPr>
            <sz val="11"/>
            <color theme="1"/>
            <rFont val="Calibri"/>
            <family val="2"/>
            <scheme val="minor"/>
          </rPr>
          <t>MORBIDI MAURIZIO:
Rev D mancante, disponibile rev C</t>
        </r>
      </text>
    </comment>
    <comment ref="E82" authorId="0" shapeId="0" xr:uid="{00000000-0006-0000-0400-00002E000000}">
      <text>
        <r>
          <rPr>
            <sz val="11"/>
            <color theme="1"/>
            <rFont val="Calibri"/>
            <family val="2"/>
            <scheme val="minor"/>
          </rPr>
          <t>MORBIDI MAURIZIO:
Rev J non trovata
Disponibile rev H</t>
        </r>
      </text>
    </comment>
    <comment ref="H82" authorId="0" shapeId="0" xr:uid="{00000000-0006-0000-0400-00002F000000}">
      <text>
        <r>
          <rPr>
            <sz val="11"/>
            <color theme="1"/>
            <rFont val="Calibri"/>
            <family val="2"/>
            <scheme val="minor"/>
          </rPr>
          <t>MORBIDI MAURIZIO:
Rev D mancante, disponibile rev C</t>
        </r>
      </text>
    </comment>
    <comment ref="E83" authorId="0" shapeId="0" xr:uid="{00000000-0006-0000-0400-000030000000}">
      <text>
        <r>
          <rPr>
            <sz val="11"/>
            <color theme="1"/>
            <rFont val="Calibri"/>
            <family val="2"/>
            <scheme val="minor"/>
          </rPr>
          <t>MORBIDI MAURIZIO:
Rev J non trovata
Disponibile rev H</t>
        </r>
      </text>
    </comment>
    <comment ref="H83" authorId="0" shapeId="0" xr:uid="{00000000-0006-0000-0400-000031000000}">
      <text>
        <r>
          <rPr>
            <sz val="11"/>
            <color theme="1"/>
            <rFont val="Calibri"/>
            <family val="2"/>
            <scheme val="minor"/>
          </rPr>
          <t>MORBIDI MAURIZIO:
Rev D mancante, disponibile rev C</t>
        </r>
      </text>
    </comment>
    <comment ref="E84" authorId="0" shapeId="0" xr:uid="{00000000-0006-0000-0400-000032000000}">
      <text>
        <r>
          <rPr>
            <sz val="11"/>
            <color theme="1"/>
            <rFont val="Calibri"/>
            <family val="2"/>
            <scheme val="minor"/>
          </rPr>
          <t>MORBIDI MAURIZIO:
Rev J non trovata
Disponibile rev H</t>
        </r>
      </text>
    </comment>
    <comment ref="H84" authorId="0" shapeId="0" xr:uid="{00000000-0006-0000-0400-000033000000}">
      <text>
        <r>
          <rPr>
            <sz val="11"/>
            <color theme="1"/>
            <rFont val="Calibri"/>
            <family val="2"/>
            <scheme val="minor"/>
          </rPr>
          <t>MORBIDI MAURIZIO:
Rev D mancante, disponibile rev C</t>
        </r>
      </text>
    </comment>
    <comment ref="H85" authorId="0" shapeId="0" xr:uid="{00000000-0006-0000-0400-000034000000}">
      <text>
        <r>
          <rPr>
            <sz val="11"/>
            <color theme="1"/>
            <rFont val="Calibri"/>
            <family val="2"/>
            <scheme val="minor"/>
          </rPr>
          <t>MORBIDI MAURIZIO:
Disponibile rev F</t>
        </r>
      </text>
    </comment>
    <comment ref="H87" authorId="0" shapeId="0" xr:uid="{00000000-0006-0000-0400-000035000000}">
      <text>
        <r>
          <rPr>
            <sz val="11"/>
            <color theme="1"/>
            <rFont val="Calibri"/>
            <family val="2"/>
            <scheme val="minor"/>
          </rPr>
          <t>MORBIDI MAURIZIO:
Disponibile rev E</t>
        </r>
      </text>
    </comment>
    <comment ref="E88" authorId="0" shapeId="0" xr:uid="{00000000-0006-0000-0400-000036000000}">
      <text>
        <r>
          <rPr>
            <sz val="11"/>
            <color theme="1"/>
            <rFont val="Calibri"/>
            <family val="2"/>
            <scheme val="minor"/>
          </rPr>
          <t>MORBIDI MAURIZIO:
Rev J non trovata
Disponibile rev H</t>
        </r>
      </text>
    </comment>
    <comment ref="H88" authorId="0" shapeId="0" xr:uid="{00000000-0006-0000-0400-000037000000}">
      <text>
        <r>
          <rPr>
            <sz val="11"/>
            <color theme="1"/>
            <rFont val="Calibri"/>
            <family val="2"/>
            <scheme val="minor"/>
          </rPr>
          <t>MORBIDI MAURIZIO:
Rev D mancante, disponibile rev C</t>
        </r>
      </text>
    </comment>
    <comment ref="E89" authorId="0" shapeId="0" xr:uid="{00000000-0006-0000-0400-000038000000}">
      <text>
        <r>
          <rPr>
            <sz val="11"/>
            <color theme="1"/>
            <rFont val="Calibri"/>
            <family val="2"/>
            <scheme val="minor"/>
          </rPr>
          <t>MORBIDI MAURIZIO:
Rev J non trovata
Disponibile rev H</t>
        </r>
      </text>
    </comment>
    <comment ref="H89" authorId="0" shapeId="0" xr:uid="{00000000-0006-0000-0400-000039000000}">
      <text>
        <r>
          <rPr>
            <sz val="11"/>
            <color theme="1"/>
            <rFont val="Calibri"/>
            <family val="2"/>
            <scheme val="minor"/>
          </rPr>
          <t>MORBIDI MAURIZIO:
Rev D mancante, disponibile rev C</t>
        </r>
      </text>
    </comment>
    <comment ref="E90" authorId="0" shapeId="0" xr:uid="{00000000-0006-0000-0400-00003A000000}">
      <text>
        <r>
          <rPr>
            <sz val="11"/>
            <color theme="1"/>
            <rFont val="Calibri"/>
            <family val="2"/>
            <scheme val="minor"/>
          </rPr>
          <t>MORBIDI MAURIZIO:
Rev J non trovata
Disponibile rev H</t>
        </r>
      </text>
    </comment>
    <comment ref="H90" authorId="0" shapeId="0" xr:uid="{00000000-0006-0000-0400-00003B000000}">
      <text>
        <r>
          <rPr>
            <sz val="11"/>
            <color theme="1"/>
            <rFont val="Calibri"/>
            <family val="2"/>
            <scheme val="minor"/>
          </rPr>
          <t>MORBIDI MAURIZIO:
Rev D mancante, disponibile rev C</t>
        </r>
      </text>
    </comment>
    <comment ref="E91" authorId="0" shapeId="0" xr:uid="{00000000-0006-0000-0400-00003C000000}">
      <text>
        <r>
          <rPr>
            <sz val="11"/>
            <color theme="1"/>
            <rFont val="Calibri"/>
            <family val="2"/>
            <scheme val="minor"/>
          </rPr>
          <t>MORBIDI MAURIZIO:
Rev J non trovata
Disponibile rev H</t>
        </r>
      </text>
    </comment>
    <comment ref="H91" authorId="0" shapeId="0" xr:uid="{00000000-0006-0000-0400-00003D000000}">
      <text>
        <r>
          <rPr>
            <sz val="11"/>
            <color theme="1"/>
            <rFont val="Calibri"/>
            <family val="2"/>
            <scheme val="minor"/>
          </rPr>
          <t>MORBIDI MAURIZIO:
Rev D mancante, disponibile rev C</t>
        </r>
      </text>
    </comment>
    <comment ref="E92" authorId="0" shapeId="0" xr:uid="{00000000-0006-0000-0400-00003E000000}">
      <text>
        <r>
          <rPr>
            <sz val="11"/>
            <color theme="1"/>
            <rFont val="Calibri"/>
            <family val="2"/>
            <scheme val="minor"/>
          </rPr>
          <t>MORBIDI MAURIZIO:
Rev J non trovata
Disponibile rev H</t>
        </r>
      </text>
    </comment>
    <comment ref="H92" authorId="0" shapeId="0" xr:uid="{00000000-0006-0000-0400-00003F000000}">
      <text>
        <r>
          <rPr>
            <sz val="11"/>
            <color theme="1"/>
            <rFont val="Calibri"/>
            <family val="2"/>
            <scheme val="minor"/>
          </rPr>
          <t>MORBIDI MAURIZIO:
Rev D mancante, disponibile rev C</t>
        </r>
      </text>
    </comment>
    <comment ref="E93" authorId="0" shapeId="0" xr:uid="{00000000-0006-0000-0400-000040000000}">
      <text>
        <r>
          <rPr>
            <sz val="11"/>
            <color theme="1"/>
            <rFont val="Calibri"/>
            <family val="2"/>
            <scheme val="minor"/>
          </rPr>
          <t>MORBIDI MAURIZIO:
Rev J non trovata
Disponibile rev H</t>
        </r>
      </text>
    </comment>
    <comment ref="H93" authorId="0" shapeId="0" xr:uid="{00000000-0006-0000-0400-000041000000}">
      <text>
        <r>
          <rPr>
            <sz val="11"/>
            <color theme="1"/>
            <rFont val="Calibri"/>
            <family val="2"/>
            <scheme val="minor"/>
          </rPr>
          <t>MORBIDI MAURIZIO:
Rev D mancante, disponibile rev C</t>
        </r>
      </text>
    </comment>
    <comment ref="H94" authorId="0" shapeId="0" xr:uid="{00000000-0006-0000-0400-000042000000}">
      <text>
        <r>
          <rPr>
            <sz val="11"/>
            <color theme="1"/>
            <rFont val="Calibri"/>
            <family val="2"/>
            <scheme val="minor"/>
          </rPr>
          <t>MORBIDI MAURIZIO:
Disponibile rev F</t>
        </r>
      </text>
    </comment>
    <comment ref="B95" authorId="0" shapeId="0" xr:uid="{00000000-0006-0000-0400-000043000000}">
      <text>
        <r>
          <rPr>
            <sz val="11"/>
            <color theme="1"/>
            <rFont val="Calibri"/>
            <family val="2"/>
            <scheme val="minor"/>
          </rPr>
          <t>MORBIDI MAURIZIO:
I doc ICD sono presenti sono in BL delle flotte R1. Laddove è stato possibile recuperarli, si inseriscono anche per le altre flotte ma non se ne conosce la BL associata e lo stato di aggiornamento</t>
        </r>
      </text>
    </comment>
    <comment ref="Q96" authorId="0" shapeId="0" xr:uid="{00000000-0006-0000-0400-000044000000}">
      <text>
        <r>
          <rPr>
            <sz val="11"/>
            <color theme="1"/>
            <rFont val="Calibri"/>
            <family val="2"/>
            <scheme val="minor"/>
          </rPr>
          <t>MORBIDI MAURIZIO:
Disponibile rev 00</t>
        </r>
      </text>
    </comment>
    <comment ref="Q98" authorId="0" shapeId="0" xr:uid="{00000000-0006-0000-0400-000045000000}">
      <text>
        <r>
          <rPr>
            <sz val="11"/>
            <color theme="1"/>
            <rFont val="Calibri"/>
            <family val="2"/>
            <scheme val="minor"/>
          </rPr>
          <t>MORBIDI MAURIZIO:
Disponibile rev 02</t>
        </r>
      </text>
    </comment>
    <comment ref="Q100" authorId="0" shapeId="0" xr:uid="{00000000-0006-0000-0400-000046000000}">
      <text>
        <r>
          <rPr>
            <sz val="11"/>
            <color theme="1"/>
            <rFont val="Calibri"/>
            <family val="2"/>
            <scheme val="minor"/>
          </rPr>
          <t>MORBIDI MAURIZIO:
Disponibile rev 00</t>
        </r>
      </text>
    </comment>
    <comment ref="Q102" authorId="0" shapeId="0" xr:uid="{00000000-0006-0000-0400-000047000000}">
      <text>
        <r>
          <rPr>
            <sz val="11"/>
            <color theme="1"/>
            <rFont val="Calibri"/>
            <family val="2"/>
            <scheme val="minor"/>
          </rPr>
          <t>MORBIDI MAURIZIO:
Disponibile rev 00</t>
        </r>
      </text>
    </comment>
    <comment ref="Q104" authorId="0" shapeId="0" xr:uid="{00000000-0006-0000-0400-000048000000}">
      <text>
        <r>
          <rPr>
            <sz val="11"/>
            <color theme="1"/>
            <rFont val="Calibri"/>
            <family val="2"/>
            <scheme val="minor"/>
          </rPr>
          <t>MORBIDI MAURIZIO:
Disponibile rev 02</t>
        </r>
      </text>
    </comment>
    <comment ref="Q106" authorId="0" shapeId="0" xr:uid="{00000000-0006-0000-0400-000049000000}">
      <text>
        <r>
          <rPr>
            <sz val="11"/>
            <color theme="1"/>
            <rFont val="Calibri"/>
            <family val="2"/>
            <scheme val="minor"/>
          </rPr>
          <t>MORBIDI MAURIZIO:
Disponibile rev 01</t>
        </r>
      </text>
    </comment>
    <comment ref="Q108" authorId="0" shapeId="0" xr:uid="{00000000-0006-0000-0400-00004A000000}">
      <text>
        <r>
          <rPr>
            <sz val="11"/>
            <color theme="1"/>
            <rFont val="Calibri"/>
            <family val="2"/>
            <scheme val="minor"/>
          </rPr>
          <t>MORBIDI MAURIZIO:
Disponibile rev 00</t>
        </r>
      </text>
    </comment>
    <comment ref="Q109" authorId="0" shapeId="0" xr:uid="{00000000-0006-0000-0400-00004B000000}">
      <text>
        <r>
          <rPr>
            <sz val="11"/>
            <color theme="1"/>
            <rFont val="Calibri"/>
            <family val="2"/>
            <scheme val="minor"/>
          </rPr>
          <t>MORBIDI MAURIZIO:
Disponibile rev 00</t>
        </r>
      </text>
    </comment>
    <comment ref="Q110" authorId="0" shapeId="0" xr:uid="{00000000-0006-0000-0400-00004C000000}">
      <text>
        <r>
          <rPr>
            <sz val="11"/>
            <color theme="1"/>
            <rFont val="Calibri"/>
            <family val="2"/>
            <scheme val="minor"/>
          </rPr>
          <t>MORBIDI MAURIZIO:
Disponibile rev 00</t>
        </r>
      </text>
    </comment>
    <comment ref="Q112" authorId="0" shapeId="0" xr:uid="{00000000-0006-0000-0400-00004D000000}">
      <text>
        <r>
          <rPr>
            <sz val="11"/>
            <color theme="1"/>
            <rFont val="Calibri"/>
            <family val="2"/>
            <scheme val="minor"/>
          </rPr>
          <t>MORBIDI MAURIZIO:
Disponibile in rev 00</t>
        </r>
      </text>
    </comment>
    <comment ref="Q114" authorId="0" shapeId="0" xr:uid="{00000000-0006-0000-0400-00004E000000}">
      <text>
        <r>
          <rPr>
            <sz val="11"/>
            <color theme="1"/>
            <rFont val="Calibri"/>
            <family val="2"/>
            <scheme val="minor"/>
          </rPr>
          <t>MORBIDI MAURIZIO:
Disponibile rev 00</t>
        </r>
      </text>
    </comment>
    <comment ref="Q117" authorId="0" shapeId="0" xr:uid="{00000000-0006-0000-0400-00004F000000}">
      <text>
        <r>
          <rPr>
            <sz val="11"/>
            <color theme="1"/>
            <rFont val="Calibri"/>
            <family val="2"/>
            <scheme val="minor"/>
          </rPr>
          <t>MORBIDI MAURIZIO:
Disponibile rev 02</t>
        </r>
      </text>
    </comment>
    <comment ref="Q120" authorId="0" shapeId="0" xr:uid="{00000000-0006-0000-0400-000050000000}">
      <text>
        <r>
          <rPr>
            <sz val="11"/>
            <color theme="1"/>
            <rFont val="Calibri"/>
            <family val="2"/>
            <scheme val="minor"/>
          </rPr>
          <t>MORBIDI MAURIZIO:
Disponibile rev 00</t>
        </r>
      </text>
    </comment>
    <comment ref="Q121" authorId="0" shapeId="0" xr:uid="{00000000-0006-0000-0400-000051000000}">
      <text>
        <r>
          <rPr>
            <sz val="11"/>
            <color theme="1"/>
            <rFont val="Calibri"/>
            <family val="2"/>
            <scheme val="minor"/>
          </rPr>
          <t>MORBIDI MAURIZIO:
Disponibile rev 01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MORBIDI MAURIZIO</author>
  </authors>
  <commentList>
    <comment ref="E6" authorId="0" shapeId="0" xr:uid="{00000000-0006-0000-0600-000001000000}">
      <text>
        <r>
          <rPr>
            <sz val="11"/>
            <color theme="1"/>
            <rFont val="Calibri"/>
            <family val="2"/>
            <scheme val="minor"/>
          </rPr>
          <t>MORBIDI MAURIZIO:
3 volumi uniti in un unico PDF</t>
        </r>
      </text>
    </comment>
    <comment ref="E9" authorId="0" shapeId="0" xr:uid="{00000000-0006-0000-0600-000002000000}">
      <text>
        <r>
          <rPr>
            <sz val="11"/>
            <color theme="1"/>
            <rFont val="Calibri"/>
            <family val="2"/>
            <scheme val="minor"/>
          </rPr>
          <t>MORBIDI MAURIZIO:
4 volumi uniti in un unico pdf</t>
        </r>
      </text>
    </comment>
    <comment ref="E14" authorId="0" shapeId="0" xr:uid="{00000000-0006-0000-0600-000003000000}">
      <text>
        <r>
          <rPr>
            <sz val="11"/>
            <color theme="1"/>
            <rFont val="Calibri"/>
            <family val="2"/>
            <scheme val="minor"/>
          </rPr>
          <t>MORBIDI MAURIZIO:
3 volumi uniti in un unico PDF</t>
        </r>
      </text>
    </comment>
    <comment ref="A25" authorId="0" shapeId="0" xr:uid="{00000000-0006-0000-0600-000004000000}">
      <text>
        <r>
          <rPr>
            <sz val="11"/>
            <color theme="1"/>
            <rFont val="Calibri"/>
            <family val="2"/>
            <scheme val="minor"/>
          </rPr>
          <t>MORBIDI MAURIZIO:
N/A</t>
        </r>
      </text>
    </comment>
    <comment ref="A26" authorId="0" shapeId="0" xr:uid="{00000000-0006-0000-0600-000005000000}">
      <text>
        <r>
          <rPr>
            <sz val="11"/>
            <color theme="1"/>
            <rFont val="Calibri"/>
            <family val="2"/>
            <scheme val="minor"/>
          </rPr>
          <t>MORBIDI MAURIZIO:
Manuale legato al vecchio 20A "ETCS generale". Ancora applicabile??</t>
        </r>
      </text>
    </comment>
    <comment ref="A27" authorId="0" shapeId="0" xr:uid="{00000000-0006-0000-0600-000006000000}">
      <text>
        <r>
          <rPr>
            <sz val="11"/>
            <color theme="1"/>
            <rFont val="Calibri"/>
            <family val="2"/>
            <scheme val="minor"/>
          </rPr>
          <t>MORBIDI MAURIZIO:
N/A ???</t>
        </r>
      </text>
    </comment>
    <comment ref="A28" authorId="0" shapeId="0" xr:uid="{00000000-0006-0000-0600-000007000000}">
      <text>
        <r>
          <rPr>
            <sz val="11"/>
            <color theme="1"/>
            <rFont val="Calibri"/>
            <family val="2"/>
            <scheme val="minor"/>
          </rPr>
          <t>MORBIDI MAURIZIO:
Manuale SSB di applicazione generica</t>
        </r>
      </text>
    </comment>
    <comment ref="A29" authorId="0" shapeId="0" xr:uid="{00000000-0006-0000-0600-000008000000}">
      <text>
        <r>
          <rPr>
            <sz val="11"/>
            <color theme="1"/>
            <rFont val="Calibri"/>
            <family val="2"/>
            <scheme val="minor"/>
          </rPr>
          <t>MORBIDI MAURIZIO:
Manuale SSB spacciato per applicazione specifica correlato al 20A, in realtà è una raccolta di foto e disegni in allegato</t>
        </r>
      </text>
    </comment>
    <comment ref="A31" authorId="0" shapeId="0" xr:uid="{00000000-0006-0000-0600-000009000000}">
      <text>
        <r>
          <rPr>
            <sz val="11"/>
            <color theme="1"/>
            <rFont val="Calibri"/>
            <family val="2"/>
            <scheme val="minor"/>
          </rPr>
          <t>MORBIDI MAURIZIO:
Ancora applicabile ??</t>
        </r>
      </text>
    </comment>
    <comment ref="E35" authorId="0" shapeId="0" xr:uid="{00000000-0006-0000-0600-00000A000000}">
      <text>
        <r>
          <rPr>
            <sz val="11"/>
            <color theme="1"/>
            <rFont val="Calibri"/>
            <family val="2"/>
            <scheme val="minor"/>
          </rPr>
          <t>MORBIDI MAURIZIO:
4 volumi uniti in un unico pdf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MORBIDI MAURIZIO</author>
  </authors>
  <commentList>
    <comment ref="C4" authorId="0" shapeId="0" xr:uid="{00000000-0006-0000-0700-000001000000}">
      <text>
        <r>
          <rPr>
            <sz val="11"/>
            <color theme="1"/>
            <rFont val="Calibri"/>
            <family val="2"/>
            <scheme val="minor"/>
          </rPr>
          <t>MORBIDI MAURIZIO:
VZI_Base originale ha formato xlsb</t>
        </r>
      </text>
    </comment>
  </commentList>
</comments>
</file>

<file path=xl/sharedStrings.xml><?xml version="1.0" encoding="utf-8"?>
<sst xmlns="http://schemas.openxmlformats.org/spreadsheetml/2006/main" count="4313" uniqueCount="1506">
  <si>
    <t>FUNC ID</t>
  </si>
  <si>
    <t>DESCRIZIONE FUNZIONE</t>
  </si>
  <si>
    <t>DOC
CARTELLA</t>
  </si>
  <si>
    <t>DOC ID</t>
  </si>
  <si>
    <t>Info DOC</t>
  </si>
  <si>
    <t>VZI_Base</t>
  </si>
  <si>
    <t>VZI_New14</t>
  </si>
  <si>
    <t>VZ_FR</t>
  </si>
  <si>
    <t>VZ_ES</t>
  </si>
  <si>
    <t>VZI-6_R1</t>
  </si>
  <si>
    <t>VZI-4_R1</t>
  </si>
  <si>
    <t>VZ_DAI</t>
  </si>
  <si>
    <t>Park_Brake_01</t>
  </si>
  <si>
    <t>Comando applicazione/rilascio FAM da banco di manovra</t>
  </si>
  <si>
    <t>CONFIG</t>
  </si>
  <si>
    <t>FS_DM1</t>
  </si>
  <si>
    <t>Link</t>
  </si>
  <si>
    <t>Rif. Pagina</t>
  </si>
  <si>
    <t>Componenti circuito elettrico</t>
  </si>
  <si>
    <t>GG-A024 = Pulsante parking
JE-K0005 = MIO-S-DX4</t>
  </si>
  <si>
    <t>GG-A024 = Pulsante parking
GC-K025 = Relè abilitazione cabina
GC-K018 = Relè temporizz
GC-K011 = Relè abilitazione cabina
JE-K005 = RIO-LP MASTER</t>
  </si>
  <si>
    <t>Descrizione circuitale</t>
  </si>
  <si>
    <t>La pressione di GG-A024 chiude 2 contatti interni (1 ordinario, 1 ridondato), collegando 2 linee 110V a 2 ingressi della MIO: BRA_PARK_COM
Le 2 linee 110 derivano direttamente dal bus  180, tramite due fusibili rispettivamente JE-F007 e JE-F009.</t>
  </si>
  <si>
    <t>La pressione di GG-A024 chiude 2 contatti interni (1 ordinario, 1 ridondato), collegando 2 linee 110V a 2 ingressi della RIO: BRA_PARK_COM_N e BRA_PARK_COM_R
Le 2 linee 110 derivano direttamente dal bus  180, tramite due fusibili rispettivamente JE-F007 e JE-F009.
Un contatto del pulsante inoltre alimenta un circuito che intercetta, sulle casse portanti con disponibilità del freno di parcheggio, il comando di rilascio del TCMS verso le valvole di attuazione del parking brake stesso. Tale circuito viene alimentato tramite i relè di banco GC-K011 e GC-K025 e attuato per mezzo del relè temporizzato GC-K018. Tutta questa catena alimenta un relè GG-K028 presenti sulle casse portanti con disponibilità di freno di parcheggio.</t>
  </si>
  <si>
    <t>FS_TT2</t>
  </si>
  <si>
    <t>EVFS1 = Valvola applicazione parking brake
JE-K009 = RIO
JE-K010 = RIO
GG-K016 = Relè RER</t>
  </si>
  <si>
    <t>GG-K016 = Relè RER
GG-K028 = Relè di taglio per il comando di rilascio del PB dato da TCMS attraverso BRA_EVFS1_COM
EVFS1 = Valvola applicazione parking brake
JE-K009 = RIO
JE-K010 = RIO</t>
  </si>
  <si>
    <t xml:space="preserve">Il segnale di rilascio del praking brake verso la EVFS1 viene fornito dalle RIO BRA-EVFS1_COM. Il comando verso EVFS1 è sezionato solamente da un relè GG-K016 chiamato RER che si abilita con un contatto relativo all'inserzione della chiave di banco </t>
  </si>
  <si>
    <t>Il comando di GG-K028 è dato dalla catena circuitale introdotta nelle DM che serve a evitare che il TCMS possa comandare impropriamente il circuito di rilascio del freno di stazionamento chiamato anche Parking brake oppure Freno a molla FAM. Il comando verso EVFS1 è sezionato pertanto da un relè GG-K016 chiamato RER che si abilita con un contatto relativo all'inserzione della chiave di banco e dal relè GG-K028 facente capo alla catena introdotta nelle DM rispetto al circuito della flotta base. Lo stato di quest'ultimo relè è diagnosticato tramite 2 ingressi RIO ridondati chiamati BRA_EVFS1-PRO_N e BRA_EVFS1-PRO_R</t>
  </si>
  <si>
    <t>FRS_Brake Control</t>
  </si>
  <si>
    <t>Requisiti specifici</t>
  </si>
  <si>
    <t>\</t>
  </si>
  <si>
    <t xml:space="preserve">Rispetto a FRS VZI_Base, aggiunto requisiti .3980 e .TRS.343 per inibire elettricamente il TCMS in caso di comando di sblocco PB non dovuto. Tali requisiti sono stati implementati con il circuito di cui alle descrizioni circuitali di cui sopra, il quale utilizza gli ingressi di comando BRA_PARK_COM di comando e lo stato delle variabili BRA_EVFS1-PRO_N e BRA_EVFS1-PRO_R per verificare che sia stato comandato effettivamente un rilascio da pulsante e da macchinista, e che non sia stato rilasciato esclusivamente dal TCMS 
</t>
  </si>
  <si>
    <t>FPD_Brake Control</t>
  </si>
  <si>
    <t>Hot_Axle_Box_01</t>
  </si>
  <si>
    <t>Funzione di monitoraggio Hot Axle Box Detection (HABD)</t>
  </si>
  <si>
    <t>GC-Q024 = Relè abilitazione cabina LCA
GC-Q026 = Relè abilitazione cabina LCA
SB-K018 = Relè accoppiamento
JB-K003 = Relè apertura Loop HABD
JB-K004 = Relè apertura Loop HABD
GG-K016 = Relè apertura Loop DNRA
GG-K017 = Relè apertura Loop DNRA
GC-A018 H2B = spia Locked Axle</t>
  </si>
  <si>
    <t>JB-K003 = Relè apertura Loop HABD
JB-K004 = Relè apertura Loop HABD
JE-K009 = RIO OTC_FUSE_LOOP
JE-K010 = RIO OTC_FUSE LOOP
GC-A018 H2B = spia HABD Alarm</t>
  </si>
  <si>
    <t>L'informazione di apertura loop HBDA è data dai termofusibili, essa comanda la disalimetazione dei relè JB-K003 e JB-K004, questi tramite i contatti AI-B1 passano l'informazione al TCMS, OTC_FUSE_LOOP. L'accensione della spia HABD-DNRA deriva daii contatti C1-D1 e C3-D3 di JB-K003 e JB-K004, i quali comandano il loop DNRA stesso. L'informazione di apertura è propagata dai  contatti di JB-K003 e JB-K004 verso i relè GG-K016 e GG-K017 i quali comandano l'accensione della spia GC-A018.
Il filo treno-loop DNRA viene alimentato alla tensione di batteria nella cabina non abilitata attraverso
l’interruttore magnetotermico di protezione GG-F004 e i contatti del relè di accoppiamento Rcm SB-K018 e di
abilitazione cabina LCA. GC-Q024 e Q026</t>
  </si>
  <si>
    <t>L'informazione di apertura loop HABDA è data dai termofusibili, essa comanda la disalimetazione dei relè JB-K003 e JB-K004, questi tramite i contatti A1 - B1  passano l'informazione al TCMS tramite i DI RIO JE-K009 e JE-K010, OTC_FUSE_LOOP. Il TCMS a seguito comanda l'accensione della spia  GC-A18 relativa al solo allarme HABD, tramite le uscite  JE-K005 e JE-K006, OTC_HABD_ALARM</t>
  </si>
  <si>
    <t>FRS_Bogies</t>
  </si>
  <si>
    <t>Europe.CONCEPT.392: in caso di bypass DNRA, limite velocità a 200 km/h
Europe.CONCEPT.355: evento di warning se Temp gearbox &gt;= 145 °C</t>
  </si>
  <si>
    <t>Europe.CONCEPT.392: in caso di bypass DNRA,  limite velocità inibito se attivo stato "DNRA - BMS Local Monitoring"
Europe.CONCEPT.355: evento di warning se Temp gearbox &gt;= 135 °C
Europe.CONCEPT.377: generazione evento di warning o allarme in base a gradiente temperatura
Europe.CONCEPT.380: mantenimento in memoria degli allarmi generati dalle letture PT100
Europe.CONCEPT.381: introduzione dell'evento di reset allarme tramite softkey
Europe.CONCEPT.378: in caso di allarme temp riduttore, il TCMS applica un blocco alla trazione se la di vel è &gt; 80 km/h, che si ripristina quando la vel scende &lt; 80 km/h con manipolatore T/F in coasting
Europe.CONCEPT.383: il limite di vel si disattiva quando il PDC resetta l'allarme di temp, anche se la condizione di allarme è ancora presente
Europe.CONCEPT.384: la limitazione di vel si riattiva in caso l'allarme, precedentemente resettato, si ripresenti</t>
  </si>
  <si>
    <t>TBD</t>
  </si>
  <si>
    <t>FPD_xx</t>
  </si>
  <si>
    <t>Func_XXX</t>
  </si>
  <si>
    <t>xxxxx</t>
  </si>
  <si>
    <t>HW  + SW</t>
  </si>
  <si>
    <t>FRS_xx</t>
  </si>
  <si>
    <t>MAN_CPR</t>
  </si>
  <si>
    <t>PBC_01A</t>
  </si>
  <si>
    <t>Descrizione</t>
  </si>
  <si>
    <t>DIAGNOSTIC</t>
  </si>
  <si>
    <t>DIA_Regole</t>
  </si>
  <si>
    <t>Pagina</t>
  </si>
  <si>
    <t>TBD Sottocartelle GENERAL sulla base del prefisso</t>
  </si>
  <si>
    <t>GENERAL</t>
  </si>
  <si>
    <t>FD_TCMS</t>
  </si>
  <si>
    <t>LV_Country_code_selection</t>
  </si>
  <si>
    <t>Selezione su IDU del paese corrente, per informare la PCU sui pantografi selezionabili</t>
  </si>
  <si>
    <t>FRS_Line Voltage</t>
  </si>
  <si>
    <t>Funzioni AI</t>
  </si>
  <si>
    <t>La funzione ferroviaria LV_Country_code_selection è una selezione su IDU del paese corrente per informare la PCU sui pantografi selezionabili. È coinvolta nella gestione della configurazione elettrica del treno, in particolare per la scelta del paese di operazione che influenza la selezione dei pantografi adatti alle condizioni elettriche locali. La funzione è attivata quando il driver seleziona un codice di paese sul IDU e conferma l'operatività della propulsion system, che invia una notifica al PCU. In caso di fallimento, la funzione supervisiona l'errore e richiede azione del sistema/driver per risolverlo.
Analisi — Funzione equivalente tra le seguenti configurazioni: VZI_Base, VZ_FR, VZ_ES, VZI-6_R1.</t>
  </si>
  <si>
    <t>La funzione ferroviaria "LV_Country_code_selection" seleziona il paese corrente tramite l'IDU (Interface Device Unit) per informare la PCU (Power Control Unit) sui pantografi selezionabili, utilizzando un elenco di 8 codici nazionali. La funzione è attivata quando il driver conferma la selezione del paese corrente tramite l'IDU e invia il codice selezionato alle PCU's in tutta la composizione.
Analisi — Funzione equivalente tra le seguenti configurazioni: VZI_Base, VZ_FR, VZ_ES, VZI-6_R1.</t>
  </si>
  <si>
    <t>La funzione ferroviaria "LV_Country_code_selection" seleziona il paese corrente tramite l'IDU per informare la PCU sui pantografi selezionabili. Coinvolti sono componenti elettrici/meccanici/software come IDU, PCU e sistema di controllo del treno. La funzione è attivata quando il paese corrente viene selezionato dall'IDU, inviando il codice di paese alla PCU per determinare la configurazione dei pantografi. In caso di fallimento, il sistema deve essere in grado di rilevare l'errore e adottare misure di sicurezza.
Analisi — Funzione equivalente tra le seguenti configurazioni: VZI_Base, VZ_FR, VZ_ES, VZI-6_R1.</t>
  </si>
  <si>
    <t>La funzione ferroviaria LV_Country_code_selection è una selezione su IDU del paese corrente per informare la PCU sui pantografi selezionabili. È coinvolta nella gestione dei componenti elettrici/meccanici/software come il sistema di controllo della tensione (VZI-6) e il sistema di gestione delle operazioni del treno (TCMS). La funzione è attivata quando si seleziona un paese non italiano, in cui caso viene visualizzato un messaggio di avviso al conducente. La funzione è progettata per garantire la sicurezza e l'efficienza durante le operazioni del treno, con una logica di funzionamento che prevede la verifica della disponibilità dei pantografi per ogni paese selezionato.
Analisi — Funzione equivalente tra le seguenti configurazioni: VZI_Base, VZ_FR, VZ_ES, VZI-6_R1.</t>
  </si>
  <si>
    <t>LV_Pantograph_Lifting</t>
  </si>
  <si>
    <t>Comando di alzamento pantografo 1 o 2 sulla base di tensione di linea (switch) e paese (IDU) selezionati</t>
  </si>
  <si>
    <t>La funzione ferroviaria LV_Pantograph_Lifting è un comando che controlla l'alzamento dei pantografi 1 e/o 2 in base alla tensione di linea (switch) e al paese (IDU) selezionati. I componenti principali coinvolti sono il sistema di controllo del pantografo, la console del conducente e il sistema di comunicazione TCMS-PCU. La funzione è attivata quando il conducente seleziona una linea di tensione e un paese corretti, e viene disattivata in caso di errori o fallimenti. In caso di fallimento del pantografo, il sistema invia segnali di allarme e blocca l'eventuale movimento.
Analisi — Funzione equivalente tra le seguenti configurazioni: VZI_Base, VZ_FR, VZ_ES, VZI-6_R1.</t>
  </si>
  <si>
    <t>La funzione ferroviaria LV_Pantograph_Lifting è un comando che regola l'alzamento del pantografo 1 o 2 in base alla tensione di linea e al paese selezionati. I componenti principali coinvolti sono il sistema di controllo del pantografo, la console del conducente (PCU) e il sistema di gestione della tensione di linea (TCMS). La funzione viene attivata quando il conducente seleziona una line voltage system e un paese corretto, e viene disattivata in caso di errori o fallimenti. In caso di fallimento del pantografo, il sistema invia segnali di allarme e blocca l'eventuale alzamento automatico.
Analisi — Funzione equivalente tra le seguenti configurazioni: VZI_Base, VZ_FR, VZ_ES, VZI-6_R1.</t>
  </si>
  <si>
    <t>La funzione ferroviaria LV_Pantograph_Lifting è un comando che controlla l'alzamento del pantografo 1 o 2 in base alla tensione di linea e al paese selezionati. I componenti principali coinvolti sono il sistema di controllo del pantografo, il sistema di gestione della tensione di linea, il sistema di identificazione del paese e il sistema di comunicazione tra il Control Center e la Unità di Comando (PCU). La funzione è attivata quando il driver seleziona una line voltage system e un paese, e viene disattivata se non si verifica l'alzamento del pantografo entro 35 secondi. In caso di fallimento, il sistema invia segnali di allarme e blocca il pantografo.
Analisi — Funzione equivalente tra le seguenti configurazioni: VZI_Base, VZ_FR, VZ_ES, VZI-6_R1.</t>
  </si>
  <si>
    <t>La funzione ferroviaria LV_Pantograph_Lifting è un comando che controlla l'alzamento del pantografo 1 o 2 sulla base di tensione di linea e paese selezionati. I componenti principali coinvolti sono il sistema di controllo del pantografo, la stazione di controllo (PCU) e il software TCMS. La funzione viene attivata quando il driver seleziona una line voltage system e attiva l'alzamento del pantografo 1 o 2, in base al paese di operazione selezionato. In caso di emergenza, la funzione utilizza il paese più recentemente selezionato e comunicato alla PCU. La logica di funzionamento prevede la validazione del paese selezionato per evitare l'utilizzo di codici non disponibili.
Analisi — Funzione equivalente tra le seguenti configurazioni: VZI_Base, VZ_FR, VZ_ES, VZI-6_R1.</t>
  </si>
  <si>
    <t>LV_Pantograph_Lowering</t>
  </si>
  <si>
    <t>Comando di abbassamento pantografo manuale/automatico</t>
  </si>
  <si>
    <t>La funzione ferroviaria LV_Pantograph_Lowering (Comando di abbassamento pantografo) è finalizzata a regolare il movimento del pantografo in base alla deattivazione della linea elettrica. La funzione coinvolge componenti elettrici/meccanici/software come il sistema di controllo, i circuit breaker e il pantografo stesso. La logica di funzionamento attiva la disattivazione del pantografo in caso di deattivazione della linea elettrica, ma solo se tutti i circuit breaker sono aperti, tranne che in casi di emergenza. La funzione è progettata per garantire un alto livello di sicurezza con una ridondanza dei componenti elettrici/meccanici/software.
Analisi — Funzione equivalente tra le seguenti configurazioni: VZI_Base, VZ_FR, VZ_ES, VZI-6_R1.</t>
  </si>
  <si>
    <t>La funzione ferroviaria LV_Pantograph_Lowering (Comando di abbassamento pantografo) è una funzione di controllo che regola l'abbassamento del pantografo in base alle condizioni di attivazione/disattivazione della linea elettrica. La funzione è caratterizzata dalla presenza di componenti elettrici/meccanici/software come il sistema di controllo, il pantografo e i circuit breaker. La logica di funzionamento prevede l'abbassamento del pantografo in caso di deattivazione della linea elettrica, con la possibilità di attivazione manuale tramite pulsante d'emergenza o automatica a causa di errori nel sistema. La funzione è progettata per garantire una sicurezza elevata, con ridondanze e requisiti di sicurezza come il blocco del pantografo in caso di fallimento e la necessità di aprire tutti i circuit breaker prima dell'abbassamento.
Analisi — Funzione equivalente tra le seguenti configurazioni: VZI_Base, VZ_FR, VZ_ES, VZI-6_R1.</t>
  </si>
  <si>
    <t>La funzione ferroviaria LV_Pantograph_Lowering (Comando di abbassamento pantografo) è un comando manuale/automatico che attiva l'abbassamento del pantografo in caso di deattivazione della linea elettrica o di emergenza. I componenti principali coinvolti sono il sistema di controllo del pantografo, i circuiti di isolamento e le linee di comunicazione. La funzione viene attivata quando si verifica una delle seguenti condizioni: deattivazione della linea elettrica, pressione dell'Emergency push button o deattivazione del sistema di controllo. In caso di fallimento del pantografo, la funzione viene bloccata per garantire la sicurezza.
Analisi — Funzione equivalente tra le seguenti configurazioni: VZI_Base, VZ_FR, VZ_ES, VZI-6_R1.</t>
  </si>
  <si>
    <t>La funzione ferroviaria LV_Pantograph_Lowering è un comando di abbassamento del pantografo manuale/automatico utilizzato per il riscaldamento della linea elettrica durante le operazioni in condizioni climatiche fredde. I componenti principali coinvolti sono i pantografi elettrici, il sistema di controllo e la console di guida del treno. La funzione viene attivata quando l'ambiente esterno è inferiore a 3°C e il treno si muove a velocità superiore a 3 km/h su linee elettrificate a tensioni di 1,5 kV o 3 kV. In questo caso, un messaggio di allarme viene inviato al conducente dopo una pausa di 10 secondi, che viene poi disattivato quando si attiva il modo di riscaldamento o quando l'ambiente esterno raggiunge una temperatura superiore a 5°C per più di 10 secondi.
Analisi — Funzione equivalente tra le seguenti configurazioni: VZI_Base, VZ_FR, VZ_ES, VZI-6_R1.</t>
  </si>
  <si>
    <t>LV_Automatic_Dropping_Device_(ADD)</t>
  </si>
  <si>
    <t>Dispositivo di abbassamento automatico del pantografo in caso di guasto</t>
  </si>
  <si>
    <t>La funzione ferroviaria LV_Automatic_Dropping_Device_(ADD) è un dispositivo automatico che abbassa il pantografo in caso di guasto. È composta da componenti elettrici/meccanici/software come Pantograph Control Unit (PCU), LCB, TCMS e pneumatic system. La logica di funzionamento attiva il dispositivo dopo 2 secondi dall'inizio della detezione dell'incongruenza tra HW e SW, con un ciclo di 16 secondi. In caso di comunicazione fallita con la TCMS, viene attivato un'energia di emergenza per l'apertura del LCB. La funzione è progettata per ridurre il rischio di guasto al pantografo e garantire la sicurezza del treno.
Analisi — Funzione equivalente tra le seguenti configurazioni: VZI_Base, VZ_FR, VZ_ES, VZI-6_R1.</t>
  </si>
  <si>
    <t>La funzione ferroviaria LV_Automatic_Dropping_Device_(ADD) è un dispositivo automatico che abbassa il pantografo in caso di guasto. È composta da componenti elettrici/meccanici/software come LCB, Pantograph Control Unit (PCU), TCMS e pneumatic system. La logica di funzionamento attiva il dispositivo dopo 2 secondi dall'indicazione di incongruenza tra HW e SW, con un ciclo di preparazione che include l'apertura dell'LCB, la riduzione del pantografo e l'invio di eventi al driver e al mantenitore. In caso di comunicazione fallita con il TCMS, il dispositivo attiva l'emergenza LCB e successivamente l'abbassamento del pantografo.
Analisi — Funzione equivalente tra le seguenti configurazioni: VZI_Base, VZ_FR, VZ_ES, VZI-6_R1.</t>
  </si>
  <si>
    <t>La funzione ferroviaria LV_Automatic_Dropping_Device_(ADD) è un dispositivo automatico che abbassa il pantografo in caso di guasto. È composta da componenti elettrici/meccanici/software come Pantograph Control Unit (PCU), LCB, TCMS e pneumatic system. La logica di funzionamento attiva il dispositivo dopo 2 secondi dall'inizio della detezione di incongruenza tra HW e SW, con la possibilità di attivare l'LCB emergency open trainline in caso di comunicazione fallita con il TCMS.
Analisi — Funzione equivalente tra le seguenti configurazioni: VZI_Base, VZ_FR, VZ_ES, VZI-6_R1.</t>
  </si>
  <si>
    <t>La funzione ferroviaria LV_Automatic_Dropping_Device_(ADD) è un dispositivo automatico che abbassa il pantografo in caso di guasto del sistema di raccoglienza elettrica. I componenti principali coinvolti sono i tubi pneumatici all'interno dei contatti, il sistema di comunicazione tra Pantograph Control Unit (PCU) e TCMS (System for Train Management and Control), e il sistema di controllo del pantografo. La logica di funzionamento attiva l'abbassamento del pantografo in caso di detezione di danni ai contatti, mentre la comunicazione tra PCU e TCMS garantisce che tutti i pantografi della train che abbiano subito un guasto possano essere sollevati correttamente. La funzione è progettata per garantire una sicurezza di livello SIL 2 e dispone di ridondanze per assicurare la continuità del servizio.
Analisi — Funzione equivalente tra le seguenti configurazioni: VZI_Base, VZ_FR, VZ_ES, VZI-6_R1.</t>
  </si>
  <si>
    <t>LV_Pantograph_Interlock</t>
  </si>
  <si>
    <t>Interblocco automatico dei pantografi in caso di guasto rilevato. Il Pdc può bloccare anche manualmente un pantografo per impedirne la selezione</t>
  </si>
  <si>
    <t>La funzione ferroviaria LV_Pantograph_Interlock è un interblocco automatico dei pantografi in caso di guasto rilevato. È implementata dal sistema PDC (Pantograph Control Unit) e coinvolge il circuito "fast panto down" per bloccare manualmente un pantografo in caso di ADD-trip (tripolo di aggiustamento del pantografo). La funzione viene attivata quando si verifica un guasto rilevato, con una logica di funzionamento che include la richiesta di apertura dell'LCB (Line Control Block) e l'immediata riduzione della velocità del treno. La funzione è progettata per garantire la sicurezza dei passeggeri e degli operatori, con requisiti di sicurezza come l'insulazione a distanza immediata e il controllo del circuito "fast panto down".
Analisi — Funzione equivalente tra le seguenti configurazioni: VZI_Base, VZ_FR, VZ_ES, VZI-6_R1.</t>
  </si>
  <si>
    <t>La funzione ferroviaria LV_Pantograph_Interlock è un interblocco automatico dei pantografi in caso di guasto rilevato. La funzione coinvolge il sistema elettrico del treno, il pantografo e il controllo centrale (Pdc), con l'obiettivo di impedire la selezione del pantografo se è stato rilevato un guasto. In caso di manutenzione manuale, il Pdc può bloccare manualmente il pantografo per evitare la sua selezione. La funzione si attiva in condizioni di guasto rilevato (elevazione anomala del pantografo) e si disattiva quando il pantografo è bloccato o se viene effettuata una manutenzione manuale.
Analisi — Funzione equivalente tra le seguenti configurazioni: VZI_Base, VZ_FR, VZ_ES, VZI-6_R1.</t>
  </si>
  <si>
    <t>La funzione ferroviaria LV_Pantograph_Interlock è un interblocco automatico dei pantografi in caso di guasto rilevato. È implementata dal sistema software e coinvolge il controllo elettronico del pantografo, la pressione sensoriale e il sistema di blocco. La funzione viene attivata in condizioni di guasto rilevato (elevazione anomala del pantografo) e viene disattivata quando il pantografo è bloccato o quando il guasto è risolto manualmente dal conducente.
Analisi — Funzione equivalente tra le seguenti configurazioni: VZI_Base, VZ_FR, VZ_ES, VZI-6_R1.</t>
  </si>
  <si>
    <t>La funzione ferroviaria LV_Pantograph_Interlock è un interblocco automatico dei pantografi in caso di guasto rilevato. È implementata dal Pantograph Control Unit (PCU) e dalla Central Computer System (CCS), con l'aiuto del sistema di controllo dell'ADD bypass. La funzione viene attivata quando il pantografo è stato dichiarato come difettoso e l'ADD bypass è in posizione "AC" o "DC". In questo caso, la PCU ignora qualsiasi intervento ADD ricevuto per evitare di isolare il pantografo. Una volta spenta l'attivazione dell'ADD bypass, il pantografo viene nuovamente bloccato.
Analisi — Funzione equivalente tra le seguenti configurazioni: VZI_Base, VZ_FR, VZ_ES, VZI-6_R1.</t>
  </si>
  <si>
    <t>LV_Pantograph_Selection</t>
  </si>
  <si>
    <t>Selezione del pantografo in base al paese (tipologia/dimensioni pantografo) e al sistema di alimentazione (AC/DC) selezionato</t>
  </si>
  <si>
    <t>La funzione ferroviaria LV_Pantograph_Selection seleziona il pantografo in base al paese e al sistema di alimentazione (AC/DC) selezionato. Coinvolti sono il pantografo, il disconnettore del pantografo, il sistema di controllo della velocità (TCMS), il codice di paese e il tipo di alimentazione. La funzione attiva il disconnettore del pantografo se si verifica un errore di selezione o se il pantografo non viene abbassato correttamente. La logica di funzionamento prevede la connessione dei due stati (aperto e chiuso) del disconnettore al sistema TCMS, con l'obiettivo di garantire la sicurezza e la stabilità del sistema.
Analisi — Funzione equivalente tra le seguenti configurazioni: VZI_Base, VZ_FR, VZ_ES, VZI-6_R1.</t>
  </si>
  <si>
    <t>La funzione ferroviaria LV_Pantograph_Selection seleziona il pantografo in base al paese (tipologia/dimensioni) e al sistema di alimentazione (AC/DC) selezionato. La funzione coinvolge il controllo unitario (PCU), il disconnettore del pantografo, l'interfaccia IP e il sistema di gestione dei requisiti di sicurezza (SIL). La logica di funzionamento attiva la bloccatura del pantografo in caso di fallimento del controllo unitario o del disconnettore, con l'invio di eventi di allarme al conducente.
Analisi — Funzione equivalente tra le seguenti configurazioni: VZI_Base, VZ_FR, VZ_ES, VZI-6_R1.</t>
  </si>
  <si>
    <t>La funzione ferroviaria LV_Pantograph_Selection seleziona il pantografo in base al paese (tipologia/dimensioni) e al sistema di alimentazione (AC/DC) selezionato. Coinvolti sono i componenti elettrici/meccanici/software come il pantografo, il disconnettore, il sistema di controllo e la TCMS. La funzione è attivata se il pantografo è in movimento per più di 20 secondi o se il disconnettore non apre/cierra correttamente, causando l'blocco dei pantografi connessi alla stessa LCB. Questa funzione è progettata per garantire la sicurezza e prevenire incidenti.
Analisi — Funzione equivalente tra le seguenti configurazioni: VZI_Base, VZ_FR, VZ_ES, VZI-6_R1.</t>
  </si>
  <si>
    <t>La funzione ferroviaria LV_Pantograph_Selection seleziona il pantografo in base al paese e al sistema di alimentazione (AC/DC) selezionato, utilizzando un codice di paese per identificare la nazionalità del traino. I componenti principali coinvolti sono i pantografi di diverse tipologie e dimensioni, il sistema di controllo elettronico e il software di gestione della funzione. La logica di funzionamento attiva il pantografo selezionato in base alle condizioni di paese e sistema di alimentazione, con la possibilità di disattivare automaticamente tutti i pantografi in caso di errore o manomissione. Le ridondanze sono garantite dal fatto che solo un pantografo per traino completo (8 car) viene selezionato, mentre per l'ice scraping si utilizza il secondo pantografo.
Analisi — Funzione equivalente tra le seguenti configurazioni: VZI_Base, VZ_FR, VZ_ES, VZI-6_R1.</t>
  </si>
  <si>
    <t>LV_Pantograph_Control_of_Static_Contact_Force</t>
  </si>
  <si>
    <t>Controllo della forza statica/pressione del pantografo alzato in funzione del sistema di tensione, della velocità, della direzione di marcia e della posizione del pantografo stesso</t>
  </si>
  <si>
    <t>La funzione ferroviaria LV_Pantograph_Control_of_Static_Contact_Force controlla la forza statica/pressione del pantografo alzato in base al sistema di tensione, alla velocità, alla direzione di marcia e alla posizione del pantografo. È coinvolta il pantografo, il sistema di tensione e il software TCMS. La funzione è attivata quando la condizione di attivazione viene soddisfatta, ovvero quando il pantografo è alzato e in contatto con la linea elettrica. In caso di mancata attivazione, il sistema invia un segnale di allarme per garantire la sicurezza del traino.
Analisi — Funzione equivalente tra le seguenti configurazioni: VZI_Base, VZ_FR, VZ_ES, VZI-6_R1.</t>
  </si>
  <si>
    <t>La funzione ferroviaria LV_Pantograph_Control_of_Static_Contact_Force controlla la forza statica del pantografo alzato in base alla velocità, direzione di marcia e posizione del pantografo, utilizzando il sistema di tensione e i parametri software. I componenti principali coinvolti sono il pantografo, il sistema di tensione e il CCU (Control Center Unit). La funzione è attivata quando la velocità supera un certo limite o quando si seleziona una determinata posizione del pantografo, e viene disattivata quando la forza statica raggiunge un valore critico. La funzione è progettata per garantire una sicurezza elevata, con ridondanze nel caso di fallimento del sistema o blocco del LCB (Low Voltage Circuit Breaker).
Analisi — Funzione equivalente tra le seguenti configurazioni: VZI_Base, VZ_FR, VZ_ES, VZI-6_R1.</t>
  </si>
  <si>
    <t>La funzione ferroviaria LV_Pantograph_Control_of_Static_Contact_Force è un sistema di controllo che regola la forza statica/pressione del pantografo alzato in base alla tensione elettrica, alla velocità, alla direzione di marcia e alla posizione del pantografo. Il sistema coinvolge componenti elettrici/meccanici come il pantografo, l'unità di controllo (TCMS) e il sistema di interazione con il driver. La logica di funzionamento attiva il controllo quando la tensione elettrica cambia o quando si verifica un blocco del LCB (Low Voltage Circuit Breaker). Il sistema è progettato per garantire una sicurezza elevata, con ridondanze e requisiti di sicurezza come l'indicazione visiva del driver in caso di blocco del LCB.
Analisi — Funzione equivalente tra le seguenti configurazioni: VZI_Base, VZ_FR, VZ_ES, VZI-6_R1.</t>
  </si>
  <si>
    <t>La funzione ferroviaria LV_Pantograph_Control_of_Static_Contact_Force controlla la forza statica del pantografo alzato in base alla tensione elettrica, alla velocità di marcia, alla direzione di marcia e alla posizione del pantografo. La funzione è gestita dal sistema di controllo dei pantografi (PCU) e viene attivata quando la tensione elettrica cambia o quando si verifica un problema nel sistema. In caso di fallimento, il sistema può scorrere automaticamente ai pantografi alternativi. La funzione è progettata per garantire una sicurezza elevata e richiede l'accesso diretto al PCU tramite strumenti di commissioning per la configurazione dei parametri di test.
Analisi — Funzione equivalente tra le seguenti configurazioni: VZI_Base, VZ_FR, VZ_ES, VZI-6_R1.</t>
  </si>
  <si>
    <t>LV_Line_Voltage_Supervision</t>
  </si>
  <si>
    <t>Controllo della tensione di linea tramite sensori di tensione letti dal sistema di propulsione</t>
  </si>
  <si>
    <t>La funzione ferroviaria "LV_Line_Voltage_Supervision" controlla la tensione di linea tramite sensori di tensione letti dal sistema di propulsione. I componenti elettrici/meccanici/software coinvolti sono i sensori di tensione, il sistema di controllo del circuito a scelta continua (LCB) e il software di gestione del sistema. La logica di funzionamento attiva il LCB in caso di tensione anomala o assente, con la possibilità di isolare la sezione ferroviaria danneggiata. La funzione è progettata per garantire un livello di sicurezza di SIL 1 e richiede la presenza di ridondanze per garantire la continuità del servizio.
Analisi — Funzione equivalente tra le seguenti configurazioni: VZI_Base, VZ_FR, VZ_ES, VZI-6_R1.</t>
  </si>
  <si>
    <t>La funzione ferroviaria "LV_Line_Voltage_Supervision" è un sistema di controllo della tensione di linea tramite sensori di tensione letti dal sistema di propulsione. I componenti elettrici/meccanici/software principali coinvolti sono i sensori di tensione, il sistema di propulsione e il TCMS (System Integration Level 0). La logica di funzionamento attiva il controllo della tensione di linea quando la velocità del treno supera un certo limite o quando si trova in una determinata regione geografica. Il sistema è progettato per garantire una sicurezza ridotta, con la possibilità di disattivazione automatica in caso di anomalia.
Analisi — Funzione equivalente tra le seguenti configurazioni: VZI_Base, VZ_FR, VZ_ES, VZI-6_R1.</t>
  </si>
  <si>
    <t>PARTE 1:
La funzione LV_Line_Voltage_Supervision per la configurazione VZ_ES è responsabile del controllo della tensione di linea tramite sensori di tensione letti dal sistema di propulsione. Questa funzione è parte dell'impianto di controllo del treno ETR1000 e si occupa di monitorare la tensione elettrica presente sulla linea ferroviaria, garantendo che rimanga all'interno dei limiti di sicurezza stabiliti dalla normativa. La logica operativa prevede l'utilizzo di sensori di tensione installati lungo la linea ferroviaria per rilevare le variazioni della tensione elettrica, che vengono poi inviate al sistema di controllo del treno per essere valutate e gestite.
PARTE 2:
Le differenze rispetto alla configurazione VZI-6_R1 sono legate all'utilizzo di componenti diversi e a una logica operativa specifica. Mentre VZI-6_R1 prevede l'utilizzo di un sistema di controllo più complesso, con una maggiore quantità di parametri da monitorare, la configurazione VZ_ES sembra essere più semplicemente strutturata per il controllo della tensione di linea. Inoltre, potrebbe esserci una differenza nel requisito di sicurezza e nella gestione delle variazioni della tensione elettrica.
Analisi — Funzione equivalente tra le seguenti configurazioni: VZI_Base, VZ_FR, VZ_ES.</t>
  </si>
  <si>
    <t>La funzione ferroviaria "LV_Line_Voltage_Supervision" controlla la tensione di linea tramite sensori di tensione letti dal sistema di propulsione. I componenti elettrici/meccanici principali coinvolti sono i sensori di tensione, il sistema di controllo del pantografo (PCU) e il sistema di protezione contro la corrente elettrica (LCB). La logica di funzionamento attiva il LCB se si verifica una tensione di linea fuori dal range accettabile o se non si ricevono segnali da sensori di tensione. Le ridondanze sono garantite dalla presenza di più sensori e sistemi di controllo, mentre i requisiti di sicurezza sono soddisfatti attraverso la classificazione SIL 1.
Analisi — Funzione equivalente tra le seguenti configurazioni: VZI_Base, VZ_FR, VZ_ES, VZI-6_R1.</t>
  </si>
  <si>
    <t>LV_Line_Current_Supervision</t>
  </si>
  <si>
    <t>Controllo della corrente di linea</t>
  </si>
  <si>
    <t>**PARTE 1: VZI_Base**
La funzione LV_Line_Current_Supervision per la configurazione VZI_Base è responsabile del controllo della corrente di linea. Questo sistema supervisiona la tensione elettrica presente sulla linea ferroviaria, utilizzando un clock che incrementa o decrementa in base alla tensione superiore o inferiore a 4 kV. Il sistema è progettato per garantire una sicurezza elevata, con un tempo massimo di 5 minuti e un valore minimo di 0.
**PARTE 2: Differenze rispetto alle altre configurazioni**
Le principali differenze rispetto alle altre configurazioni sono:
*   VZ_FR: non è presente alcun riferimento alla funzione LV_Line_Current_Supervision, ma si trova una specifica configurazione per la gestione della corrente lineare.
*   VZ_ES: presenta una configurazione simile a quella di VZI_Base, con la stessa logica operativa e requisiti tecnici. Tuttavia, non è presente alcun riferimento alla funzione LV_Line_Current_Supervision.
*   VZI-6_R1: presenta una struttura più complessa rispetto a VZI_Base, con l'aggiunta di altri sistemi e sottosistemi coinvolti nella gestione della corrente lineare.</t>
  </si>
  <si>
    <t>**PARTE 1: Funzione per 'VZ_FR'**
La funzione LV_Line_Current_Supervision per 'VZ_FR' è responsabile del controllo della corrente di linea per la gestione della tensione elettrica nel sistema ferroviario. La funzione è attivata sulla base delle condizioni di operazione specificate nella configurazione VZ_FR, che include il monitoraggio della tensione elettrica e l'apertura del circuito di protezione in caso di superamento dei limiti di tensione.
**PARTE 2: Differenze rispetto alle altre configurazioni**
Le principali differenze rispetto alle altre configurazioni sono:
*   La funzione VZ_FR utilizza una logica operativa diversa rispetto a VZI_Base e VZ_ES, poiché la prima include un meccanismo di controllo più complesso per gestire le condizioni di operazione.
*   La componente elettrica principale è rappresentata dal circuito di protezione, che è diverso da quello utilizzato nelle altre configurazioni.
*   La funzione VZ_FR richiede un sistema di monitoraggio più avanzato rispetto alle altre configurazioni, poiché include la gestione della tensione elettrica in tempo reale.</t>
  </si>
  <si>
    <t>**PARTE 1: VZ_ES**
La funzione LV_Line_Current_Supervision per 'VZ_ES' è responsabile del controllo della corrente di linea. I componenti principali includono la trasformata di corrente lineare (9d) e il senso di corrente DC (9c), collegati al sistema LIM per l'individuazione dell'overcurrent. La logica operativa prevede la misurazione della corrente lineare in condizioni normali, con la possibilità di avviare un evento di interruzione del pantografo in caso di anomalia.
**PARTE 2: Differenze rispetto alle altre configurazioni**
- VZ_FR e VZ_ES differiscono per l'uso della trasformata di corrente lineare (9d) e del senso di corrente DC (9c), rispettivamente.
- La logica operativa di VZ_FR prevede la contropartita dell'evento di interruzione del pantografo, mentre in VZ_ES si avvia solo l'evento di interruzione.
- Le differenze tecniche tra VZ_FR e VZ_ES risiedono nell'utilizzo della trasformata di corrente lineare (9d) e del senso di corrente DC (9c), con una logica operativa diversa.</t>
  </si>
  <si>
    <t>**PARTE 1**
La funzione LV_Line_Current_Supervision per VZI-6_R1 è responsabile del controllo della corrente di linea. La sua logica operativa prevede l'installazione di line current transformer (9d) e DC line current sensor (9c) per misurare la corrente AC e DC rispettivamente. L'eventuale mancata deteczione di corrente quando è prevista, o la detección di corrente non prevista, attiva un evento che richiede al conducente di cambiare il pantografo.
**PARTE 2**
Le differenze rispetto alle altre configurazioni sono:
*   Componenti elettrici/meccanici/software: VZI-6_R1 utilizza line current transformer (9d) e DC line current sensor (9c), mentre VZ_FR e VZ_ES utilizzano solo line current transformer (9d). La differenza di software è legata all'eventuale attivazione di un evento in caso di mancata detezione di corrente.
*   Logica di funzionamento o condizioni operative: VZI-6_R1 richiede l'attivazione di un evento se la corrente non viene rilevata entro 5 secondi, mentre VZ_FR e VZ_ES richiedono solo l'eventuale attivazione di un evento se la corrente supera i 4kV.
*   Requisiti o parametri tecnici: La configurazione VZI-6_R1 richiede una frequenza di rilevamento della corrente più alta rispetto alle altre configurazioni.</t>
  </si>
  <si>
    <t>LV_Line_Interference_Monitor</t>
  </si>
  <si>
    <t>Controllo correnti/interferenze indesiderate di linea</t>
  </si>
  <si>
    <t>La funzione ferroviaria LV_Line_Interference_Monitor - Controllo correnti/interferenze indesiderate di linea è un sistema di monitoraggio che supervisiona le correnti interne e le interferenze indesiderate sulla linea ferroviaria. I componenti principali coinvolti sono il sistema di controllo IDU, il software TCMS e il PCU (Pantograph Control Unit). La logica di funzionamento attiva il sistema quando si verificano condizioni di interruzione del corrente, come ad esempio la mancata detección della tensione elettrica o l'eccesso di corrente. In caso di fallimento, il sistema viene supervisionato dal PCU per garantire la sicurezza e la stabilità della linea ferroviaria.
Analisi — Funzione equivalente tra le seguenti configurazioni: VZI_Base, VZ_FR, VZ_ES, VZI-6_R1.</t>
  </si>
  <si>
    <t>**PARTE 1: Funzione LV_Line_Interference_Monitor per VZ_FR**
La funzione LV_Line_Interference_Monitor è un sistema di controllo che monitora le correnti indesiderate di linea e limita la potenza estratta dalla catena elettrica. Per l'ETR1000, questa funzione è configurata come parte del sistema VZ_FR (pagina 31). La logica operativa prevede l'utilizzo di un dispositivo di limitazione della corrente sullo schermo IDU, che può essere impostato in modo da limitare la corrente in base alle condizioni di linea.
**PARTE 2: Differenze rispetto alle altre configurazioni**
Le principali differenze rispetto alle altre configurazioni sono:
*   Componenti elettrici/meccanici/software: VZ_FR utilizza un dispositivo di limitazione della corrente sullo schermo IDU, mentre le altre configurazioni (VZI_Base, VZ_ES) utilizzano dispositivi diversi.
*   Logica di funzionamento o condizioni operative: La logica operativa di VZ_FR è specifica per la catena elettrica 25 kV AC e richiede un dispositivo di limitazione della corrente differente rispetto alle altre configurazioni.
*   Requisiti o parametri tecnici: VZ_FR ha requisiti tecnici specifici per la limitazione della corrente, come ad esempio una massima corrente di 560 A per la catena elettrica 25 kV AC.
*   Sistemi o sottosistemi coinvolti: La funzione LV_Line_Interference_Monitor è parte del sistema VZ_FR, che include anche il sistema di controllo della potenza (TCMS) e i PCUs (Power Control Units).</t>
  </si>
  <si>
    <t>La funzione ferroviaria "LV_Line_Interference_Monitor — Controllo correnti/interferenze indesiderate di linea" è un sistema di sorveglianza che monitora le correnti elettriche indesiderate sulla linea ferroviaria. È composta da componenti elettrici/meccanici/software come il LIM (Line Interference Monitor), che misura la corrente, la tensione e il temperatura dell'olio dei trasformatori. La logica di funzionamento attiva il sistema in caso di anomalia, con condizioni di attivazione/disattivazione basate sulla deteczione della corrente indesiderata o sul fallimento del sistema. Il sistema è progettato per garantire un livello di sicurezza SIL 2 e richiede la presenza di almeno uno LIM per ogni mezzo ferroviario, con ridondanze e requisiti di sicurezza per garantire la stabilità e la sicurezza del sistema.
Analisi — Funzione equivalente tra le seguenti configurazioni: VZI_Base, VZ_FR, VZ_ES, VZI-6_R1.</t>
  </si>
  <si>
    <t>La funzione ferroviaria LV_Line_Interference_Monitor - Controllo correnti/interferenze indesiderate di linea è un sistema di monitoraggio e controllo delle correnti interne e di interferenze nella linea elettrica del treno ad alta velocità ETR1000. Il sistema è composto da componenti elettrici/meccanici/software come il TCMS (System Management Unit) e l'HVSP (High Voltage System Protection), che lavorano insieme per supervisionare le correnti interne e di interferenze nella linea elettrica. La logica di funzionamento attiva il sistema in caso di deteczione di correnti interne o di interferenze indesiderate, con la possibilità di bypassare il sistema in caso di fallimento. Il sistema è progettato per garantire un livello di sicurezza SIL 2 e richiede l'installazione di almeno uno strumento di monitoraggio per ogni mezzo ferroviario.
Analisi — Funzione equivalente tra le seguenti configurazioni: VZI_Base, VZ_FR, VZ_ES, VZI-6_R1.</t>
  </si>
  <si>
    <t>LV_LIM_50Hz_protection_bypass</t>
  </si>
  <si>
    <t>Bypass della protezione LIM 50 Hz</t>
  </si>
  <si>
    <t>LV_Neutral_Section_Passing</t>
  </si>
  <si>
    <t>Gestione del passaggio in sezione neutra:
- automatica da ATP in caso di tratto neutro al cambio fase
- inizializzata da ATP con selezione manuale deò PdC della tensione di linea, in caso di tratto neutro al cambio tensione</t>
  </si>
  <si>
    <t>LV_System_Selection</t>
  </si>
  <si>
    <t>Selezione tramite commutatore a 4 posizioni della tensione di linea (25 kV AC, 15 kV AC, 3 kV DC o 1,5 kV DC)</t>
  </si>
  <si>
    <t>LV_Line_Circuit_Breaker_Closing</t>
  </si>
  <si>
    <t>Chiusura dell’interruttore di linea (LCB) per collegare la tensione di linea al treno</t>
  </si>
  <si>
    <t>LV_Line_Circuit_Breaker_Opening</t>
  </si>
  <si>
    <t>Apertura LCB su comando o per intervento protezione</t>
  </si>
  <si>
    <t>LV_Isolate_High_Voltage</t>
  </si>
  <si>
    <t>Isolamento di sezioni HV guaste per mantenere disponibile parte della trazione</t>
  </si>
  <si>
    <t>LV_Main_Transformer_cooling_control</t>
  </si>
  <si>
    <t>Controllo da parte della PCU della velocità delle ventole del circuito di raffreddamento ad olio</t>
  </si>
  <si>
    <t>LV_Main_Transformer_Supervision</t>
  </si>
  <si>
    <t>Controllo da parte della PCU della temperatura del trasformatore e degli induttori linea</t>
  </si>
  <si>
    <t>LV_Energy_Meter</t>
  </si>
  <si>
    <t>Sistema di lettura dell'evergia assorbita dal treno e invio a terra dei dati</t>
  </si>
  <si>
    <t>LV_Key_interlocking</t>
  </si>
  <si>
    <t>Interblocco tramite giro chiavi del sistema alta tensione</t>
  </si>
  <si>
    <t>LV_Function_Earthing_of_High_Voltage_Supply</t>
  </si>
  <si>
    <t>Messa a terra dell'alta tensione per consentire la manutenzione in sicurezza</t>
  </si>
  <si>
    <t>LV_Function_Earthing_of_Converter_boxes</t>
  </si>
  <si>
    <t>Messa a terra dei box convertitori per consentire l’accesso e la manutenzione in sicurezza</t>
  </si>
  <si>
    <t>LV_HVAC_pre-conditioning_on_DC_line</t>
  </si>
  <si>
    <t>Funzione per alimentare gli HVAC senza superare i limiti di corrente</t>
  </si>
  <si>
    <t>AUX_Function_General</t>
  </si>
  <si>
    <t>FRS_Aux Electrical Supply</t>
  </si>
  <si>
    <t>AUX_Activation_and_Synchronisation_of_ACM</t>
  </si>
  <si>
    <t>AUX_ACM_reset</t>
  </si>
  <si>
    <t>AUX_AC_on_Board_Supply_System</t>
  </si>
  <si>
    <t>AUX_External_Power_Supply</t>
  </si>
  <si>
    <t>AUX_Earthing_switch</t>
  </si>
  <si>
    <t>AUX_230V,_50Hz_Sockets</t>
  </si>
  <si>
    <t>AUX_Mini_Circuit_Breaker_Supervision</t>
  </si>
  <si>
    <t>BAT_Failure_cases_battery_system</t>
  </si>
  <si>
    <t>FRS_Battery</t>
  </si>
  <si>
    <t>BAT_Function_Battery_Isolation</t>
  </si>
  <si>
    <t>BAT_Battery_Contactors</t>
  </si>
  <si>
    <t>BAT_Load_Shed_Contactors</t>
  </si>
  <si>
    <t>BAT_DC_Busline_Distribution</t>
  </si>
  <si>
    <t>BAT_Battery_Charging</t>
  </si>
  <si>
    <t>AIR_Control_of_Main_Compressor</t>
  </si>
  <si>
    <t>FRS_Air Supply</t>
  </si>
  <si>
    <t>AIR_Monitoring_of_Main_Compressor</t>
  </si>
  <si>
    <t>AIR_Forcing_of_Main_compressor</t>
  </si>
  <si>
    <t>AIR_Air_Dryer</t>
  </si>
  <si>
    <t>AIR_External_Air_Supply</t>
  </si>
  <si>
    <t>AIR_Control_of_Auxiliary_Compressor</t>
  </si>
  <si>
    <t>AIR_Suspension_Supervision</t>
  </si>
  <si>
    <t>AIR_Provision_for_Tilt_system</t>
  </si>
  <si>
    <t>BRK_Service_Brake_Direct_Electro-Pneumatic_Brake</t>
  </si>
  <si>
    <t>BRK_Service_Brake_Indirect_Brake</t>
  </si>
  <si>
    <t>BRK_Holding_Brake</t>
  </si>
  <si>
    <t>BRK_Urgency_Brake_(Optional)</t>
  </si>
  <si>
    <t>BRK_Emergency_Brake</t>
  </si>
  <si>
    <t>BRK_Parking_Brake</t>
  </si>
  <si>
    <t>BRK_Wheel_Slide_Protection</t>
  </si>
  <si>
    <t>BRK_Detection_of_Non-Rotating_Axle_(DNRA)</t>
  </si>
  <si>
    <t>BRK_Passenger_Emergency_Brake</t>
  </si>
  <si>
    <t>BRK_Sanding</t>
  </si>
  <si>
    <t>BRK_Brake_Test</t>
  </si>
  <si>
    <t>BRK_Towing</t>
  </si>
  <si>
    <t>BRK_Fire_Safety_&amp;_Running_Capability</t>
  </si>
  <si>
    <t>BRK_Magnetic_Track_Brake_Optional</t>
  </si>
  <si>
    <t>BOG_Flange_Lubrication</t>
  </si>
  <si>
    <t>BOG_Hotbox_Detection</t>
  </si>
  <si>
    <t>BOG_Instability_Monitoring</t>
  </si>
  <si>
    <t>BOG_Active_Lateral_Suspension_(ALS)</t>
  </si>
  <si>
    <t>BOG_Diagnostics_&amp;_CBM</t>
  </si>
  <si>
    <t>Rev</t>
  </si>
  <si>
    <t>Data</t>
  </si>
  <si>
    <t>1.0</t>
  </si>
  <si>
    <t>Presentazione bozza</t>
  </si>
  <si>
    <t>Chi</t>
  </si>
  <si>
    <t>Priorità</t>
  </si>
  <si>
    <t>Note</t>
  </si>
  <si>
    <t>Federico</t>
  </si>
  <si>
    <t>Alta</t>
  </si>
  <si>
    <t>protezione azionamenti</t>
  </si>
  <si>
    <t>da ricercare all'interno dei documenti, una volta collezionati tutti i doc disponibili sulla trazione</t>
  </si>
  <si>
    <t>ricerca doc propulsion</t>
  </si>
  <si>
    <t>in corso sui vari SGF</t>
  </si>
  <si>
    <t>Maurizio</t>
  </si>
  <si>
    <t>legare manuali e CPR a documenti CONF</t>
  </si>
  <si>
    <t>eseguito manualmente, TBD legame automatico (vedi pt sotto)</t>
  </si>
  <si>
    <t>provare integrazione copilot</t>
  </si>
  <si>
    <t>Eseguita prova su FRS_Line_Voltage con compilazione automatica colonna B di Funzioni. Riutilizzabile per prossime FUNC ID</t>
  </si>
  <si>
    <t>Bassa</t>
  </si>
  <si>
    <t>Definire struttura codice FUNC ID</t>
  </si>
  <si>
    <t>Valutare se necessario</t>
  </si>
  <si>
    <t>Media</t>
  </si>
  <si>
    <t>Diagnostica:
- Reperire documentazione diagnostica EVENTI + AWO per flotta
- Definire modalità archiviazione file diagnostici per flotta e referenziazione in FUNZIONI</t>
  </si>
  <si>
    <t>Alcuni doc già recuperati, da definire criterio di archiviazione</t>
  </si>
  <si>
    <t>Rivedere/Completare PBS</t>
  </si>
  <si>
    <t>Legare FUNZIONI a PBS ???</t>
  </si>
  <si>
    <t>Pensare a come gestire in Funzioni, l'aggiornamento dei documenti richiamati. ES aggiungere campo data???</t>
  </si>
  <si>
    <t>Valutare se inserire colonna File Type in Conf Sheet per poter referenziare anche documenti diversi da pdf (es. file excel degli annex ICD)
In tal caso modificare la costruzione del link in Funzioni</t>
  </si>
  <si>
    <t>la diversa tipologia di doc a disposizione potrebbe generare problemi nel referenziare i doc tramite link. Agganciare i link ad una colonna che indica il tipo di documento bypassa il problema del formato</t>
  </si>
  <si>
    <t>Inserire in Funzioni una colonna Doc Type che specifica la tipologia di documenti da linkare (es. CONFIG, MR_CPR, GENERAL, DIAGNOSTIC…) al quale è associato il foglio excel per la ricerca del documento (automatica nella formula del link) e la cartella di archiviazione per la costruzione del link (automatica)</t>
  </si>
  <si>
    <t>Dato che la costruzione del file DB e delle cartelle su Sharepoint (criterio di archiviazione) può essere ancora modificabile sulla base della tipologia di documenti che sarà necessario tracciare/archiviare, potrebbe essere utili introdurre un Doc Type che venga utilizzato sia per tracciare i doc su un foglio del DB dedicato sia per creare dinamicamente il link su cartelle ad oggi ancora "flessibili"</t>
  </si>
  <si>
    <t>Pensare a come esportare il file in formato di HTML per poter essere navigabile via broswer</t>
  </si>
  <si>
    <t>Potrebbe essere utile in caso sia necessario reperire informazioni quando siamo a bordo treno anche da Telefono</t>
  </si>
  <si>
    <t>DESCRIZIONE</t>
  </si>
  <si>
    <t>NOME</t>
  </si>
  <si>
    <t>Livello</t>
  </si>
  <si>
    <t>INDIRIZZO</t>
  </si>
  <si>
    <t>LINK</t>
  </si>
  <si>
    <t>Root Sharepoint</t>
  </si>
  <si>
    <t>Sharepoint</t>
  </si>
  <si>
    <t>https://gruppofsitaliane.sharepoint.com/:f:/r/sites/IngegneriaETReMezziLeggeri-Trenitalia/</t>
  </si>
  <si>
    <t>Cartella Documenti Ingegneria</t>
  </si>
  <si>
    <t>Shared%20Documents/</t>
  </si>
  <si>
    <t>Cartella Archiviazione doc ETR1000</t>
  </si>
  <si>
    <t>DB_ETR1000/</t>
  </si>
  <si>
    <t>Documenti di configurazione</t>
  </si>
  <si>
    <t>DOC_FLOTTE/</t>
  </si>
  <si>
    <t>Raccolta documentazione Funzioni</t>
  </si>
  <si>
    <t>DOC_FUNC/</t>
  </si>
  <si>
    <t>VINCOLI</t>
  </si>
  <si>
    <t>Id Flotta</t>
  </si>
  <si>
    <t>Riga 1</t>
  </si>
  <si>
    <t>Colonna B</t>
  </si>
  <si>
    <t>DOC EXT</t>
  </si>
  <si>
    <t>Colonna C</t>
  </si>
  <si>
    <t>Nome flotta</t>
  </si>
  <si>
    <t>ID flotta</t>
  </si>
  <si>
    <t>ID flotta "nativa"</t>
  </si>
  <si>
    <t>Ultima BL rilasciata</t>
  </si>
  <si>
    <t>Conf Sheet aggiornata a BL</t>
  </si>
  <si>
    <t>TOT Treni</t>
  </si>
  <si>
    <t>NUMERI TRENO</t>
  </si>
  <si>
    <t>VZI-50_IT Flotta base</t>
  </si>
  <si>
    <t>6.3 ?</t>
  </si>
  <si>
    <t>6.0
27/09/24</t>
  </si>
  <si>
    <t>VZI-51-58_IT
(New 14)</t>
  </si>
  <si>
    <t>4.3_14
17/12/2025</t>
  </si>
  <si>
    <t>4.2_14
30/01/2025</t>
  </si>
  <si>
    <t>VZ_IF Francia</t>
  </si>
  <si>
    <t>VZ_IF</t>
  </si>
  <si>
    <t>4.3_IF
04/04/2025</t>
  </si>
  <si>
    <t>4.0_F
10/04/2024</t>
  </si>
  <si>
    <t>VZ_ES Spagna</t>
  </si>
  <si>
    <t>2.8
16/04/2025</t>
  </si>
  <si>
    <t>2.4
09/03/2023</t>
  </si>
  <si>
    <t>VZI-6_IT Full HRI
(New 14)</t>
  </si>
  <si>
    <t>5.0
15/04/2026</t>
  </si>
  <si>
    <t>4.0 ?
xx/07/2025</t>
  </si>
  <si>
    <t>VZI-4_IT Full HRI</t>
  </si>
  <si>
    <t>1.0
15/04/2026</t>
  </si>
  <si>
    <t>?</t>
  </si>
  <si>
    <t>VZ_ES Spagna Full HRI</t>
  </si>
  <si>
    <t>VZ_ESxx</t>
  </si>
  <si>
    <t>DOC DESCRIPTION</t>
  </si>
  <si>
    <t>VZ_Esxx</t>
  </si>
  <si>
    <t>Doc BD130033980 - BL 6.0</t>
  </si>
  <si>
    <t>BD140036813 - BL 4.2</t>
  </si>
  <si>
    <t>3ECP414415-0001 - BL 4.0</t>
  </si>
  <si>
    <t>VZ-ES Spagna
BL 2.4</t>
  </si>
  <si>
    <t>VZI-6_IT [R1]
BL 4.0</t>
  </si>
  <si>
    <t>VZI-4_IT [R1]
BL 1.0</t>
  </si>
  <si>
    <t>VZ-DAI
BL xxx</t>
  </si>
  <si>
    <t>VZ_ES Full HRI
BL xxx</t>
  </si>
  <si>
    <t>File/Codice</t>
  </si>
  <si>
    <t>Codice Config</t>
  </si>
  <si>
    <t>Codice</t>
  </si>
  <si>
    <t>SW Configuration</t>
  </si>
  <si>
    <t>SW Config. Matrix</t>
  </si>
  <si>
    <t>SW_Config</t>
  </si>
  <si>
    <t>pdf</t>
  </si>
  <si>
    <t>BD130033981</t>
  </si>
  <si>
    <t>_</t>
  </si>
  <si>
    <t>3ECP414196-0001</t>
  </si>
  <si>
    <t>3ECP414332-0001</t>
  </si>
  <si>
    <t>3ECP414502-0001</t>
  </si>
  <si>
    <t>FT080031387</t>
  </si>
  <si>
    <t>4.3</t>
  </si>
  <si>
    <t>Functional principle diagrams (VISIO)</t>
  </si>
  <si>
    <t>Drive Control</t>
  </si>
  <si>
    <t>FPD_Drive Control</t>
  </si>
  <si>
    <t>3ECP410467-0001</t>
  </si>
  <si>
    <t>B</t>
  </si>
  <si>
    <t>3ECP400500-0005</t>
  </si>
  <si>
    <t>3ECP413651-0005</t>
  </si>
  <si>
    <t>FA010024090</t>
  </si>
  <si>
    <t>00.2</t>
  </si>
  <si>
    <t>Conventional Train Control</t>
  </si>
  <si>
    <t>FPD_Conventional Train Control</t>
  </si>
  <si>
    <t>3ECP410476-0001</t>
  </si>
  <si>
    <t>C</t>
  </si>
  <si>
    <t>3ECP400500-0014</t>
  </si>
  <si>
    <t>A</t>
  </si>
  <si>
    <t>3ECP307072-0001</t>
  </si>
  <si>
    <t>3ECP413651-0014</t>
  </si>
  <si>
    <t>FA010024089</t>
  </si>
  <si>
    <t>03.2</t>
  </si>
  <si>
    <t>Train Protection - ATP</t>
  </si>
  <si>
    <t>FPD_Train Protection - ATP</t>
  </si>
  <si>
    <t>3ECP410482-0001</t>
  </si>
  <si>
    <t>3ECP400500-0020</t>
  </si>
  <si>
    <t>3ECP413651-0020</t>
  </si>
  <si>
    <t>D</t>
  </si>
  <si>
    <t>FA010024100</t>
  </si>
  <si>
    <t>TCMS Architecture</t>
  </si>
  <si>
    <t>FPD_TCMS Architecture</t>
  </si>
  <si>
    <t>3ECP307076-0001</t>
  </si>
  <si>
    <t>3ECP307255-0001</t>
  </si>
  <si>
    <t>FA010024104</t>
  </si>
  <si>
    <t>Propulsion and Auxiliary</t>
  </si>
  <si>
    <t>FPD_Propulsion and Auxiliary</t>
  </si>
  <si>
    <t>FA010024103</t>
  </si>
  <si>
    <t>01.2</t>
  </si>
  <si>
    <t>Line Voltage</t>
  </si>
  <si>
    <t>FPD_Line Voltage</t>
  </si>
  <si>
    <t>3ECP410475-0001</t>
  </si>
  <si>
    <t>3ECP400500-0013</t>
  </si>
  <si>
    <t>3ECP307079-0001</t>
  </si>
  <si>
    <t>3ECP413651-0013</t>
  </si>
  <si>
    <t>FA010024096</t>
  </si>
  <si>
    <t>Auxiliary Electrical Supply</t>
  </si>
  <si>
    <t>FPD_Auxiliary Electrical Supply</t>
  </si>
  <si>
    <t>3ECP410465-0001</t>
  </si>
  <si>
    <t>3ECP400500-0003</t>
  </si>
  <si>
    <t>3ECP413651-0003</t>
  </si>
  <si>
    <t>FA010024083</t>
  </si>
  <si>
    <t>Battery</t>
  </si>
  <si>
    <t>FPD_Battery</t>
  </si>
  <si>
    <t>3ECP410477-0001</t>
  </si>
  <si>
    <t>3ECP400500-0015</t>
  </si>
  <si>
    <t>3ECP413651-0015</t>
  </si>
  <si>
    <t>FA010024084</t>
  </si>
  <si>
    <t>Air Supply</t>
  </si>
  <si>
    <t>FPD_Air Supply</t>
  </si>
  <si>
    <t>3ECP410463-0001</t>
  </si>
  <si>
    <t>3ECP400500-0002</t>
  </si>
  <si>
    <t>3ECP413651-0002</t>
  </si>
  <si>
    <t>FA010024081</t>
  </si>
  <si>
    <t>Brake Control</t>
  </si>
  <si>
    <t>3ECP410480-0001</t>
  </si>
  <si>
    <t>3ECP400500-0018</t>
  </si>
  <si>
    <t>3ECP307074-0001</t>
  </si>
  <si>
    <t>E</t>
  </si>
  <si>
    <t>3ECP413651-0018</t>
  </si>
  <si>
    <t>FA010024086</t>
  </si>
  <si>
    <t>02.2</t>
  </si>
  <si>
    <t>Bogie</t>
  </si>
  <si>
    <t>FPD_Bogie</t>
  </si>
  <si>
    <t>3ECP410466-0001</t>
  </si>
  <si>
    <t>3ECP400500-0004</t>
  </si>
  <si>
    <t>3ECP307081-0001</t>
  </si>
  <si>
    <t>3ECP413651-0004</t>
  </si>
  <si>
    <t>FA010024085</t>
  </si>
  <si>
    <t>Wash Wiper</t>
  </si>
  <si>
    <t>FPD_Wash Wiper</t>
  </si>
  <si>
    <t>3ECP410473-0001</t>
  </si>
  <si>
    <t>3ECP400500-0011</t>
  </si>
  <si>
    <t>3ECP307082-0001</t>
  </si>
  <si>
    <t>3ECP413651-0011</t>
  </si>
  <si>
    <t>FA010024101</t>
  </si>
  <si>
    <t>Windscreen heater</t>
  </si>
  <si>
    <t>FPD_Windscreen heater</t>
  </si>
  <si>
    <t>3ECP410474-0001</t>
  </si>
  <si>
    <t>3ECP400500-0012</t>
  </si>
  <si>
    <t>3ECP413651-0012</t>
  </si>
  <si>
    <t>FA010024102</t>
  </si>
  <si>
    <t>Automatic Coupler</t>
  </si>
  <si>
    <t>FPD_Automatic Coupler</t>
  </si>
  <si>
    <t>3ECP410481-0001</t>
  </si>
  <si>
    <t>3ECP400500-0019</t>
  </si>
  <si>
    <t>3ECP307077-0001</t>
  </si>
  <si>
    <t>3ECP413651-0019</t>
  </si>
  <si>
    <t>FA010024082</t>
  </si>
  <si>
    <t>Horn</t>
  </si>
  <si>
    <t>FPD_Horn</t>
  </si>
  <si>
    <t>3ECP410468-0001</t>
  </si>
  <si>
    <t>3ECP400500-0006</t>
  </si>
  <si>
    <t>3ECP413651-0006</t>
  </si>
  <si>
    <t>FA010024094</t>
  </si>
  <si>
    <t>Exterior and Interior Doors</t>
  </si>
  <si>
    <t>FPD_Exterior and Interior Doors</t>
  </si>
  <si>
    <t>3ECP410462-0001</t>
  </si>
  <si>
    <t>3ECP400500-0001</t>
  </si>
  <si>
    <t>3ECP307073-0001</t>
  </si>
  <si>
    <t>3ECP413651-0001</t>
  </si>
  <si>
    <t>FA010024091</t>
  </si>
  <si>
    <t>Cab HVAC</t>
  </si>
  <si>
    <t>FPD_Cab HVAC</t>
  </si>
  <si>
    <t>3ECP410470-0001</t>
  </si>
  <si>
    <t>3ECP400500-0008</t>
  </si>
  <si>
    <t>3ECP307084-0001</t>
  </si>
  <si>
    <t>3ECP413651-0008</t>
  </si>
  <si>
    <t>FA010024087</t>
  </si>
  <si>
    <t>Saloon HVAC</t>
  </si>
  <si>
    <t>FPD_Saloon HVAC</t>
  </si>
  <si>
    <t>3ECP410471-0001</t>
  </si>
  <si>
    <t>3ECP400500-0009</t>
  </si>
  <si>
    <t>3ECP307080-0001</t>
  </si>
  <si>
    <t>3ECP413651-0009</t>
  </si>
  <si>
    <t>FA010024098</t>
  </si>
  <si>
    <t>Fire Protection and Extinguishing</t>
  </si>
  <si>
    <t>FPD_FPS</t>
  </si>
  <si>
    <t>3ECP410469-0001</t>
  </si>
  <si>
    <t>3ECP400500-0007</t>
  </si>
  <si>
    <t>3ECP307083-0001</t>
  </si>
  <si>
    <t>3ECP413651-0007</t>
  </si>
  <si>
    <t>FA010024093</t>
  </si>
  <si>
    <t>Toilet</t>
  </si>
  <si>
    <t>FPD_Toilet</t>
  </si>
  <si>
    <t>3ECP410472-0001</t>
  </si>
  <si>
    <t>3ECP400500-0010</t>
  </si>
  <si>
    <t>3ECP413651-0010</t>
  </si>
  <si>
    <t>FA010024099</t>
  </si>
  <si>
    <t>Catering</t>
  </si>
  <si>
    <t>FPD_Catering</t>
  </si>
  <si>
    <t>3ECP410484-0001</t>
  </si>
  <si>
    <t>3ECP400500-0022</t>
  </si>
  <si>
    <t>3ECP413651-0022</t>
  </si>
  <si>
    <t>FA010024088</t>
  </si>
  <si>
    <t>PIS CCTV</t>
  </si>
  <si>
    <t>FPD_PIS CCTV</t>
  </si>
  <si>
    <t>3ECP410479-0001</t>
  </si>
  <si>
    <t>3ECP400500-0017</t>
  </si>
  <si>
    <t>3ECP413651-0017</t>
  </si>
  <si>
    <t>FA010024097</t>
  </si>
  <si>
    <t>Exterior Lighting</t>
  </si>
  <si>
    <t>FPD_Exterior Lighting</t>
  </si>
  <si>
    <t>3ECP410483-0001</t>
  </si>
  <si>
    <t>3ECP400500-0021</t>
  </si>
  <si>
    <t>3ECP307075-0001</t>
  </si>
  <si>
    <t>3ECP413651-0021</t>
  </si>
  <si>
    <t>FA010024092</t>
  </si>
  <si>
    <t>Interior Lighting</t>
  </si>
  <si>
    <t>FPD_Interior Lighting</t>
  </si>
  <si>
    <t>3ECP410478-0001</t>
  </si>
  <si>
    <t>3ECP400500-0016</t>
  </si>
  <si>
    <t>3ECP413651-0016</t>
  </si>
  <si>
    <t>FA010024095</t>
  </si>
  <si>
    <t>Train Control Design System</t>
  </si>
  <si>
    <t>FPD_Train Control</t>
  </si>
  <si>
    <t>manca</t>
  </si>
  <si>
    <t>Schematic diagram for French ATP MU</t>
  </si>
  <si>
    <t>FPD_ATP-MU</t>
  </si>
  <si>
    <t>90000056.D04</t>
  </si>
  <si>
    <t>5.0</t>
  </si>
  <si>
    <t>Energy Meter System</t>
  </si>
  <si>
    <t>FPD_EMS</t>
  </si>
  <si>
    <t>FA010031914</t>
  </si>
  <si>
    <t>00.1</t>
  </si>
  <si>
    <t>Functional Requirement Specification (FRS)</t>
  </si>
  <si>
    <t>Functional Vehicle Requirement Specification</t>
  </si>
  <si>
    <t>FRS_Vehicle</t>
  </si>
  <si>
    <t>3EST000224-9984</t>
  </si>
  <si>
    <t>3ECP413839-0001</t>
  </si>
  <si>
    <t>FRS_Drive Control</t>
  </si>
  <si>
    <t>3EST000225-7909</t>
  </si>
  <si>
    <t>3ECP413571-0501</t>
  </si>
  <si>
    <t>FA020022675</t>
  </si>
  <si>
    <t>03.2
4.0?</t>
  </si>
  <si>
    <t>FRS_Conventional Train Control</t>
  </si>
  <si>
    <t>3EST000225-7916</t>
  </si>
  <si>
    <t>3ECP413719-0903</t>
  </si>
  <si>
    <t>FA02P021958B</t>
  </si>
  <si>
    <t>2.0</t>
  </si>
  <si>
    <t>3ECP413922-0903</t>
  </si>
  <si>
    <t>FA020023107</t>
  </si>
  <si>
    <t>06.3</t>
  </si>
  <si>
    <t>FRS_Train Protection - ATP</t>
  </si>
  <si>
    <t>FA020013231</t>
  </si>
  <si>
    <t>01</t>
  </si>
  <si>
    <t>3EST000225-7889
EC01P008999B</t>
  </si>
  <si>
    <t>3ECP414246-0902</t>
  </si>
  <si>
    <t>FA020007630</t>
  </si>
  <si>
    <t>04</t>
  </si>
  <si>
    <t>3ECP413922-0902</t>
  </si>
  <si>
    <t>FA020025863</t>
  </si>
  <si>
    <t>01.3</t>
  </si>
  <si>
    <t>Diagnostics</t>
  </si>
  <si>
    <t>FRS_Diagnostics</t>
  </si>
  <si>
    <t>3EST000225-7918</t>
  </si>
  <si>
    <t>3ECP413922-1001</t>
  </si>
  <si>
    <t>FA020023413</t>
  </si>
  <si>
    <t>Visualisation - MMI</t>
  </si>
  <si>
    <t>FRS_Visualisation - MMI</t>
  </si>
  <si>
    <t>3EST000225-7919</t>
  </si>
  <si>
    <t>3ECP413922-1003</t>
  </si>
  <si>
    <t>FA020027681</t>
  </si>
  <si>
    <t>TCMS - Operational</t>
  </si>
  <si>
    <t>FRS_TCMS - Operational</t>
  </si>
  <si>
    <t>3EST000225-7917</t>
  </si>
  <si>
    <t>3ECP413922-0904</t>
  </si>
  <si>
    <t>FA020026278</t>
  </si>
  <si>
    <t>Train to Wayside Communication (Teledia)</t>
  </si>
  <si>
    <t>FRS_Teledia</t>
  </si>
  <si>
    <t>3ECP413176-0001</t>
  </si>
  <si>
    <t>3ECP413719-1200</t>
  </si>
  <si>
    <t>3EST000225-7907</t>
  </si>
  <si>
    <t>3ECP413719-0401</t>
  </si>
  <si>
    <t>3ECP413571-0401</t>
  </si>
  <si>
    <t>3EGH489028-2358</t>
  </si>
  <si>
    <t>FA020022045</t>
  </si>
  <si>
    <t>06.2</t>
  </si>
  <si>
    <t>Aux Electrical Supply</t>
  </si>
  <si>
    <t>3EST000225-7914</t>
  </si>
  <si>
    <t>3ECP413571-0601</t>
  </si>
  <si>
    <t>FA020024537</t>
  </si>
  <si>
    <t>3EST000225-7908</t>
  </si>
  <si>
    <t>FA020024538</t>
  </si>
  <si>
    <t>3EST000225-7915</t>
  </si>
  <si>
    <t>3ECP413719-0603</t>
  </si>
  <si>
    <t>FA020024531</t>
  </si>
  <si>
    <t>3EST000225-7910</t>
  </si>
  <si>
    <t>L</t>
  </si>
  <si>
    <t>3ECP413719-0502</t>
  </si>
  <si>
    <t>3ECP413571-0502</t>
  </si>
  <si>
    <t>3ECP413922-0502</t>
  </si>
  <si>
    <t>FA020023100</t>
  </si>
  <si>
    <t>02.3</t>
  </si>
  <si>
    <t>Bogies</t>
  </si>
  <si>
    <t>3EST000225-7906</t>
  </si>
  <si>
    <t>3ECP413719-0300</t>
  </si>
  <si>
    <t>3ECP413571-0300</t>
  </si>
  <si>
    <t>FA020030729</t>
  </si>
  <si>
    <t>04.3</t>
  </si>
  <si>
    <t>FRS_Wash Wiper</t>
  </si>
  <si>
    <t>3EST000225-7900</t>
  </si>
  <si>
    <t>FA020026344</t>
  </si>
  <si>
    <t>00.3</t>
  </si>
  <si>
    <t>Windscreen</t>
  </si>
  <si>
    <t>FRS_Windscreen</t>
  </si>
  <si>
    <t>3EST000225-7902</t>
  </si>
  <si>
    <t>FA020026347</t>
  </si>
  <si>
    <t>Coupler</t>
  </si>
  <si>
    <t>FRS_Coupler</t>
  </si>
  <si>
    <t>3EST000225-7903</t>
  </si>
  <si>
    <t>3ECP413719-0204</t>
  </si>
  <si>
    <t>3ECP413571-0204</t>
  </si>
  <si>
    <t>3ECP413922-0204</t>
  </si>
  <si>
    <t>FA020026357</t>
  </si>
  <si>
    <t>FRS_Horn</t>
  </si>
  <si>
    <t>3EST000225-7905</t>
  </si>
  <si>
    <t>FA020026338</t>
  </si>
  <si>
    <t>Wheelchair Lifts</t>
  </si>
  <si>
    <t>FRS_Wheelchair Lifts</t>
  </si>
  <si>
    <t>3EST000225-7887</t>
  </si>
  <si>
    <t>FA020025254</t>
  </si>
  <si>
    <t>Exterior Door and Step Systems</t>
  </si>
  <si>
    <t>FRS_Exterior Door and Step Systems</t>
  </si>
  <si>
    <t>EC01P008887B</t>
  </si>
  <si>
    <t>09</t>
  </si>
  <si>
    <t>3EST000225-7893</t>
  </si>
  <si>
    <t>3ECP413719-1400</t>
  </si>
  <si>
    <t>FA020000711</t>
  </si>
  <si>
    <t>00</t>
  </si>
  <si>
    <t>3ECP413571-1400</t>
  </si>
  <si>
    <t>3ECP413922-1400</t>
  </si>
  <si>
    <t>FA020025252</t>
  </si>
  <si>
    <t>04.2</t>
  </si>
  <si>
    <t>Interior Doors</t>
  </si>
  <si>
    <t>FRS_Interior Doors</t>
  </si>
  <si>
    <t>EC01P008873B</t>
  </si>
  <si>
    <t>3EST000225-7886</t>
  </si>
  <si>
    <t>FA020025253</t>
  </si>
  <si>
    <t>FRS_Cab HVAC</t>
  </si>
  <si>
    <t>EC01P009028B</t>
  </si>
  <si>
    <t>00.4</t>
  </si>
  <si>
    <t>3EST000225-7894</t>
  </si>
  <si>
    <t>FA020026562</t>
  </si>
  <si>
    <t>FRS_Saloon HVAC</t>
  </si>
  <si>
    <t>EC01P008880B</t>
  </si>
  <si>
    <t>00.8</t>
  </si>
  <si>
    <t>3EST000225-7897</t>
  </si>
  <si>
    <t>FA020026563</t>
  </si>
  <si>
    <t>Fire Protection and Extinction</t>
  </si>
  <si>
    <t>FRS_FPS</t>
  </si>
  <si>
    <t>EC01P008884B</t>
  </si>
  <si>
    <t>3EST000225-7879</t>
  </si>
  <si>
    <t>3ECP413922-0604</t>
  </si>
  <si>
    <t>FA020025419</t>
  </si>
  <si>
    <t>FRS_Toilet</t>
  </si>
  <si>
    <t>EC01P008888B</t>
  </si>
  <si>
    <t>02</t>
  </si>
  <si>
    <t>3EST000225-7883</t>
  </si>
  <si>
    <t>3ECP413719-0802</t>
  </si>
  <si>
    <t>FA020026053</t>
  </si>
  <si>
    <t>Catering - Bistrot</t>
  </si>
  <si>
    <t>FRS_Catering</t>
  </si>
  <si>
    <t>EC01P008889B</t>
  </si>
  <si>
    <t>03</t>
  </si>
  <si>
    <t>3EST000225-7885</t>
  </si>
  <si>
    <t>PIES</t>
  </si>
  <si>
    <t>FRS_PIS</t>
  </si>
  <si>
    <t>EC01P009000B</t>
  </si>
  <si>
    <t>3EST000225-7890</t>
  </si>
  <si>
    <t>EC010008563</t>
  </si>
  <si>
    <t>3ECP413719-1100</t>
  </si>
  <si>
    <t>EC010008581</t>
  </si>
  <si>
    <t>3ECP413922-1100</t>
  </si>
  <si>
    <t>FA020025354</t>
  </si>
  <si>
    <t>PIS 2.0</t>
  </si>
  <si>
    <t>FRS_PIS 2.0</t>
  </si>
  <si>
    <t>FA020047983</t>
  </si>
  <si>
    <t>CCTV</t>
  </si>
  <si>
    <t>FRS_CCTV</t>
  </si>
  <si>
    <t>EC01P009001B</t>
  </si>
  <si>
    <t>3EST000225-7891</t>
  </si>
  <si>
    <t>FA020025360</t>
  </si>
  <si>
    <t>FRS_Exterior Lighting</t>
  </si>
  <si>
    <t>3EST000225-7904</t>
  </si>
  <si>
    <t>3ECP413571-0206</t>
  </si>
  <si>
    <t>B.1</t>
  </si>
  <si>
    <t>FRS_Interior Lighting</t>
  </si>
  <si>
    <t>EC01P008890B</t>
  </si>
  <si>
    <t>3EST000225-7882</t>
  </si>
  <si>
    <t>FA020011254</t>
  </si>
  <si>
    <t>3ECP413922-0801</t>
  </si>
  <si>
    <t>Train Protection - ATP (France)</t>
  </si>
  <si>
    <t>FRS_Train Protection_France</t>
  </si>
  <si>
    <t>3ECP413571-0902</t>
  </si>
  <si>
    <t>FRS_EMS</t>
  </si>
  <si>
    <t>EC010029076</t>
  </si>
  <si>
    <t>EC010019484</t>
  </si>
  <si>
    <t>Functional schematics</t>
  </si>
  <si>
    <t>mancanti</t>
  </si>
  <si>
    <t>Functional schematics DM1</t>
  </si>
  <si>
    <t>3ECP502128-0001</t>
  </si>
  <si>
    <t>M</t>
  </si>
  <si>
    <t>3ECP307211-1401</t>
  </si>
  <si>
    <t>3ECP307051-0001</t>
  </si>
  <si>
    <t>3ECP307251-0001</t>
  </si>
  <si>
    <t>G</t>
  </si>
  <si>
    <t>FS020022117-001</t>
  </si>
  <si>
    <t>05.2</t>
  </si>
  <si>
    <t>FS020036994-001</t>
  </si>
  <si>
    <t>Functional schematics TT2</t>
  </si>
  <si>
    <t>3ECP502129-0001</t>
  </si>
  <si>
    <t>J</t>
  </si>
  <si>
    <t>3ECP307211-0002</t>
  </si>
  <si>
    <t>3ECP307059-0001</t>
  </si>
  <si>
    <t>3ECP307251-0002</t>
  </si>
  <si>
    <t>FS020022117-002</t>
  </si>
  <si>
    <t>FS020036994-002</t>
  </si>
  <si>
    <t>Functional schematics M3</t>
  </si>
  <si>
    <t>FS_M3</t>
  </si>
  <si>
    <t>3ECP502130-0001</t>
  </si>
  <si>
    <t>3ECP307211-0003</t>
  </si>
  <si>
    <t>3ECP307157-0001</t>
  </si>
  <si>
    <t>3ECP307251-0003</t>
  </si>
  <si>
    <t>FS020022117-003</t>
  </si>
  <si>
    <t>FS020036994-003</t>
  </si>
  <si>
    <t>Functional schematics T4</t>
  </si>
  <si>
    <t>FS_T4</t>
  </si>
  <si>
    <t>3ECP502131-0001</t>
  </si>
  <si>
    <t>3ECP307211-0004</t>
  </si>
  <si>
    <t>3ECP307158-0001</t>
  </si>
  <si>
    <t>3ECP307251-0004</t>
  </si>
  <si>
    <t>FS020022117-004</t>
  </si>
  <si>
    <t>FS020036994-004</t>
  </si>
  <si>
    <t>Functional schematics T5</t>
  </si>
  <si>
    <t>FS_T5</t>
  </si>
  <si>
    <t>3ECP502132-0001</t>
  </si>
  <si>
    <t>3ECP307211-0005</t>
  </si>
  <si>
    <t>3ECP307159-0001</t>
  </si>
  <si>
    <t>3ECP307251-0005</t>
  </si>
  <si>
    <t>FS020022117-005</t>
  </si>
  <si>
    <t>FS020036994-005</t>
  </si>
  <si>
    <t>Functional schematics M6</t>
  </si>
  <si>
    <t>FS_M6</t>
  </si>
  <si>
    <t>3ECP502133-0001</t>
  </si>
  <si>
    <t>3ECP307211-0006</t>
  </si>
  <si>
    <t>3ECP307160-0001</t>
  </si>
  <si>
    <t>3ECP307251-0006</t>
  </si>
  <si>
    <t>FS020022117-006</t>
  </si>
  <si>
    <t>FS020036994-006</t>
  </si>
  <si>
    <t>Functional schematics TT7</t>
  </si>
  <si>
    <t>FS_TT7</t>
  </si>
  <si>
    <t>3ECP502134-0001</t>
  </si>
  <si>
    <t>3ECP307211-0007</t>
  </si>
  <si>
    <t>3ECP307060-0001</t>
  </si>
  <si>
    <t>3ECP307251-0007</t>
  </si>
  <si>
    <t>FS020022117-007</t>
  </si>
  <si>
    <t>FS020036994-007</t>
  </si>
  <si>
    <t>Functional schematics DM8</t>
  </si>
  <si>
    <t>FS_DM8</t>
  </si>
  <si>
    <t>3ECP502135-0001</t>
  </si>
  <si>
    <t>N</t>
  </si>
  <si>
    <t>3ECP307211-1408</t>
  </si>
  <si>
    <t>3ECP307052-0001</t>
  </si>
  <si>
    <t>3ECP307251-0008</t>
  </si>
  <si>
    <t>FS020022117-008</t>
  </si>
  <si>
    <t>FS020036994-008</t>
  </si>
  <si>
    <t>Wiring table</t>
  </si>
  <si>
    <t>FS020022117-009</t>
  </si>
  <si>
    <t>FS020036994-009</t>
  </si>
  <si>
    <t>Wiring table DM1</t>
  </si>
  <si>
    <t>WT_DM1</t>
  </si>
  <si>
    <t>3ECP502136-0001</t>
  </si>
  <si>
    <t>3ECP307212-1401</t>
  </si>
  <si>
    <t>3ECP307053-0001</t>
  </si>
  <si>
    <t>3ECP307252-0001</t>
  </si>
  <si>
    <t>Wiring table TT2</t>
  </si>
  <si>
    <t>WT_TT2</t>
  </si>
  <si>
    <t>3ECP502137-0001</t>
  </si>
  <si>
    <t>3ECP307212-0002</t>
  </si>
  <si>
    <t>3ECP307061-0001</t>
  </si>
  <si>
    <t>3ECP307252-0002</t>
  </si>
  <si>
    <t>Wiring table M3</t>
  </si>
  <si>
    <t>WT_M3</t>
  </si>
  <si>
    <t>3ECP502138-0001</t>
  </si>
  <si>
    <t>3ECP307212-0003</t>
  </si>
  <si>
    <t>3ECP307153-0001</t>
  </si>
  <si>
    <t>3ECP307252-0003</t>
  </si>
  <si>
    <t>Wiring table T4</t>
  </si>
  <si>
    <t>WT_T4</t>
  </si>
  <si>
    <t>3ECP502139-0001</t>
  </si>
  <si>
    <t>3ECP307212-0004</t>
  </si>
  <si>
    <t>3ECP307154-0001</t>
  </si>
  <si>
    <t>3ECP307252-0004</t>
  </si>
  <si>
    <t>Wiring table T5</t>
  </si>
  <si>
    <t>WT_T5</t>
  </si>
  <si>
    <t>3ECP502140-0001</t>
  </si>
  <si>
    <t>3ECP307212-0005</t>
  </si>
  <si>
    <t>3ECP307155-0001</t>
  </si>
  <si>
    <t>3ECP307252-0005</t>
  </si>
  <si>
    <t>Wiring table M6</t>
  </si>
  <si>
    <t>WT_M6</t>
  </si>
  <si>
    <t>3ECP502141-0001</t>
  </si>
  <si>
    <t>3ECP307212-0006</t>
  </si>
  <si>
    <t>3ECP307156-0001</t>
  </si>
  <si>
    <t>3ECP307252-0006</t>
  </si>
  <si>
    <t>Wiring table TT7</t>
  </si>
  <si>
    <t>WT_TT7</t>
  </si>
  <si>
    <t>3ECP502142-0001</t>
  </si>
  <si>
    <t>3ECP307212-0007</t>
  </si>
  <si>
    <t>3ECP307062-0001</t>
  </si>
  <si>
    <t>3ECP307252-0007</t>
  </si>
  <si>
    <t>Wiring table DM8</t>
  </si>
  <si>
    <t>WT_DM8</t>
  </si>
  <si>
    <t>3ECP502143-0001</t>
  </si>
  <si>
    <t>3ECP307212-1408</t>
  </si>
  <si>
    <t>3ECP307054-0001</t>
  </si>
  <si>
    <t>3ECP307252-0008</t>
  </si>
  <si>
    <t>Electric Part lists</t>
  </si>
  <si>
    <t>Electric Part List DM1</t>
  </si>
  <si>
    <t>EPL_DM1</t>
  </si>
  <si>
    <t>3ECP502144-0001</t>
  </si>
  <si>
    <t>3ECP307213-1401</t>
  </si>
  <si>
    <t>3ECP307055-0001</t>
  </si>
  <si>
    <t>3ECP307253-0001</t>
  </si>
  <si>
    <t>Electric Part List TT2</t>
  </si>
  <si>
    <t>EPL_TT2</t>
  </si>
  <si>
    <t>3ECP502145-0001</t>
  </si>
  <si>
    <t>3ECP307213-0002</t>
  </si>
  <si>
    <t>3ECP307063-0001</t>
  </si>
  <si>
    <t>3ECP307253-0002</t>
  </si>
  <si>
    <t>Electric Part List M3</t>
  </si>
  <si>
    <t>EPL_M3</t>
  </si>
  <si>
    <t>3ECP502146-0001</t>
  </si>
  <si>
    <t>3ECP307213-0003</t>
  </si>
  <si>
    <t>3ECP307161-0001</t>
  </si>
  <si>
    <t>3ECP307253-0003</t>
  </si>
  <si>
    <t>Electric Part List T4</t>
  </si>
  <si>
    <t>EPL_T4</t>
  </si>
  <si>
    <t>3ECP502147-0001</t>
  </si>
  <si>
    <t>3ECP307213-0004</t>
  </si>
  <si>
    <t>3ECP307162-0001</t>
  </si>
  <si>
    <t>3ECP307253-0004</t>
  </si>
  <si>
    <t>Electric Part List T5</t>
  </si>
  <si>
    <t>EPL_T5</t>
  </si>
  <si>
    <t>3ECP502148-0001</t>
  </si>
  <si>
    <t>3ECP307213-0005</t>
  </si>
  <si>
    <t>3ECP307163-0001</t>
  </si>
  <si>
    <t>3ECP307253-0005</t>
  </si>
  <si>
    <t>Electric Part List M6</t>
  </si>
  <si>
    <t>EPL_M6</t>
  </si>
  <si>
    <t>3ECP502149-0001</t>
  </si>
  <si>
    <t>3ECP307213-0006</t>
  </si>
  <si>
    <t>3ECP307164-0001</t>
  </si>
  <si>
    <t>3ECP307253-0006</t>
  </si>
  <si>
    <t>Electric Part List TT7</t>
  </si>
  <si>
    <t>EPL_TT7</t>
  </si>
  <si>
    <t>3ECP502150-0001</t>
  </si>
  <si>
    <t>3ECP307213-0007</t>
  </si>
  <si>
    <t>3ECP307253-0007</t>
  </si>
  <si>
    <t>Electric Part List DM8</t>
  </si>
  <si>
    <t>EPL_DM8</t>
  </si>
  <si>
    <t>3ECP502151-0001</t>
  </si>
  <si>
    <t>3ECP307213-1408</t>
  </si>
  <si>
    <t>3ECP307056-0001</t>
  </si>
  <si>
    <t>3ECP307253-0008</t>
  </si>
  <si>
    <t>Interface Control Document</t>
  </si>
  <si>
    <t>NOTA</t>
  </si>
  <si>
    <t>ICD Sistema TCMS</t>
  </si>
  <si>
    <t>ICD_TCMS</t>
  </si>
  <si>
    <t>3EST000225-0120</t>
  </si>
  <si>
    <t>EC130021271</t>
  </si>
  <si>
    <t>ICD Sistema TCMS - Annex</t>
  </si>
  <si>
    <t>xslx</t>
  </si>
  <si>
    <t>EC130021272</t>
  </si>
  <si>
    <t>ICD GTW IPTCOM-TRDP</t>
  </si>
  <si>
    <t>ICD_GTW</t>
  </si>
  <si>
    <t>EC130019965</t>
  </si>
  <si>
    <t>ICD GTW IPTCOM-TRDP - Annex</t>
  </si>
  <si>
    <t>EC130019966</t>
  </si>
  <si>
    <t>ICD Sistema Propulsion TCU</t>
  </si>
  <si>
    <t>ICD_Propulsion</t>
  </si>
  <si>
    <t>3EST000225-5108</t>
  </si>
  <si>
    <t>EC130019102</t>
  </si>
  <si>
    <t>ICD Sistema Propulsion TCU - Annex</t>
  </si>
  <si>
    <t>EC130019104</t>
  </si>
  <si>
    <t>ICD Pantografo</t>
  </si>
  <si>
    <t>ICD_Panto</t>
  </si>
  <si>
    <t>3EST000225-7432</t>
  </si>
  <si>
    <t>EC130021259</t>
  </si>
  <si>
    <t>ICD Pantografo - Annex</t>
  </si>
  <si>
    <t>EC130021260</t>
  </si>
  <si>
    <t>ICD Sistema BCU</t>
  </si>
  <si>
    <t>ICD_Brake</t>
  </si>
  <si>
    <t>3EST000225-7431</t>
  </si>
  <si>
    <t>EC130019100</t>
  </si>
  <si>
    <t>ICD Sistema BCU - Annex</t>
  </si>
  <si>
    <t>ICD_Brake_Annex</t>
  </si>
  <si>
    <t>3EST000225-7431_Annex</t>
  </si>
  <si>
    <t>EC130019101</t>
  </si>
  <si>
    <t>03.3</t>
  </si>
  <si>
    <t>ICD Sistema Segnalamento</t>
  </si>
  <si>
    <t>ICD_ATP</t>
  </si>
  <si>
    <t>EC130020522</t>
  </si>
  <si>
    <t>ICD Sistema Segnalamento - Annex</t>
  </si>
  <si>
    <t>EC130020523</t>
  </si>
  <si>
    <t>ICD Sistema PIS</t>
  </si>
  <si>
    <t>ICD_PIS</t>
  </si>
  <si>
    <t>3EST000225-7439</t>
  </si>
  <si>
    <t>EC130021261</t>
  </si>
  <si>
    <t>ICD Sistema PIS - Annex</t>
  </si>
  <si>
    <t>EC130021262</t>
  </si>
  <si>
    <t>ICD Sistema Toilette</t>
  </si>
  <si>
    <t>ICD_Toilet</t>
  </si>
  <si>
    <t>3EST000225-7438</t>
  </si>
  <si>
    <t>EC130021264</t>
  </si>
  <si>
    <t>ICD Sistema Toilette - Annex</t>
  </si>
  <si>
    <t>EC130021265</t>
  </si>
  <si>
    <t>ICD Sistema Anticendio</t>
  </si>
  <si>
    <t>ICD_FPS</t>
  </si>
  <si>
    <t>3EST000225-7440</t>
  </si>
  <si>
    <t>EC130021300</t>
  </si>
  <si>
    <t>00.5</t>
  </si>
  <si>
    <t>ICD Sistema Anticendio - Annex</t>
  </si>
  <si>
    <t>EC130021301</t>
  </si>
  <si>
    <t>ICD Sistema Porte</t>
  </si>
  <si>
    <t>ICD_Doors</t>
  </si>
  <si>
    <t>3EST000225-7437</t>
  </si>
  <si>
    <t>EC130021266</t>
  </si>
  <si>
    <t>ICD Sistema Porte - Annex</t>
  </si>
  <si>
    <t>EC130021268</t>
  </si>
  <si>
    <t>ICD Sistema HVSP</t>
  </si>
  <si>
    <t>ICD_HVSP</t>
  </si>
  <si>
    <t>EC130023723</t>
  </si>
  <si>
    <t>ICD Sistema HVSP  - Annex</t>
  </si>
  <si>
    <t>EC130023724</t>
  </si>
  <si>
    <t>ICD Sistema Carica Batterie</t>
  </si>
  <si>
    <t>ICD_Battery charger</t>
  </si>
  <si>
    <t>3EST000225-7435</t>
  </si>
  <si>
    <t>EC130021254</t>
  </si>
  <si>
    <t>ICD Sistema Carica Batterie - Annex</t>
  </si>
  <si>
    <t>EC130021255</t>
  </si>
  <si>
    <t>ICD HVAC</t>
  </si>
  <si>
    <t>ICD_HVAC</t>
  </si>
  <si>
    <t>3EST000225-7436</t>
  </si>
  <si>
    <t>EC130021304</t>
  </si>
  <si>
    <t>ICD HVAC - Annex</t>
  </si>
  <si>
    <t>EC130021305</t>
  </si>
  <si>
    <t>ICD Energy Measurement System</t>
  </si>
  <si>
    <t>ICD_EMS</t>
  </si>
  <si>
    <t>EC130023132</t>
  </si>
  <si>
    <t>ICD Energy Measurement System - Annex</t>
  </si>
  <si>
    <t>EC130023133</t>
  </si>
  <si>
    <t>General Vehicle Document</t>
  </si>
  <si>
    <t>Train Performances</t>
  </si>
  <si>
    <t>ED040019912</t>
  </si>
  <si>
    <t>Train System Architecture</t>
  </si>
  <si>
    <t>FF010020369</t>
  </si>
  <si>
    <t>Train Running Simulations</t>
  </si>
  <si>
    <t>ED180020963</t>
  </si>
  <si>
    <t>SyFD Propulsion System</t>
  </si>
  <si>
    <t>FE010020176</t>
  </si>
  <si>
    <t>SyFD Train Control and Management System</t>
  </si>
  <si>
    <t>FT170023207</t>
  </si>
  <si>
    <t>00.6</t>
  </si>
  <si>
    <t>SyFD Ethernet Train Communication Network</t>
  </si>
  <si>
    <t>FE020026857</t>
  </si>
  <si>
    <t>Functional Doc &amp; Specification</t>
  </si>
  <si>
    <t>Architettura di Controllo Treno ed Interfacce di Comando</t>
  </si>
  <si>
    <t>3ECP410429-0001</t>
  </si>
  <si>
    <t>3ECP413973-0001</t>
  </si>
  <si>
    <t>FE010019098</t>
  </si>
  <si>
    <t>1.02</t>
  </si>
  <si>
    <t>Brake System</t>
  </si>
  <si>
    <t>FD_Brake</t>
  </si>
  <si>
    <t>3EGH489013-3044</t>
  </si>
  <si>
    <t>F</t>
  </si>
  <si>
    <t>FD_Air Supply</t>
  </si>
  <si>
    <t>3EGH489013-4928</t>
  </si>
  <si>
    <t>Descrizione SW PCU</t>
  </si>
  <si>
    <t>FD_PCU</t>
  </si>
  <si>
    <t>3EST000225-5111</t>
  </si>
  <si>
    <t>Descrizione SW Alta Tensione</t>
  </si>
  <si>
    <t>FD_High Voltage</t>
  </si>
  <si>
    <t>3EST000225-5113</t>
  </si>
  <si>
    <t>Descrizione SW Propulsione</t>
  </si>
  <si>
    <t>FD_Propulsion</t>
  </si>
  <si>
    <t>3EST000225-5115</t>
  </si>
  <si>
    <t>Descrizione SW DCU/L</t>
  </si>
  <si>
    <t>FD_DCU/L</t>
  </si>
  <si>
    <t>3EST000225-5117</t>
  </si>
  <si>
    <t>Descrizione SW DCU/M</t>
  </si>
  <si>
    <t>FD_DCU/M</t>
  </si>
  <si>
    <t>3EST000225-5118</t>
  </si>
  <si>
    <t>Descrizione SW ACM</t>
  </si>
  <si>
    <t>FD_ACM</t>
  </si>
  <si>
    <t>3EST000225-5119</t>
  </si>
  <si>
    <t>Descrizione SW DCU/C</t>
  </si>
  <si>
    <t>FD_DCU/C</t>
  </si>
  <si>
    <t>3EST000225-5120</t>
  </si>
  <si>
    <t>Descrizione SW LIM</t>
  </si>
  <si>
    <t>FD_LIM</t>
  </si>
  <si>
    <t>3EST000225-5132</t>
  </si>
  <si>
    <t>Product Description</t>
  </si>
  <si>
    <t>Converter unit TC1120</t>
  </si>
  <si>
    <t>PDES_Converter</t>
  </si>
  <si>
    <t>3EST000228-5653</t>
  </si>
  <si>
    <t>Auxiliary converter module, CM-C S 15/10 WA V02</t>
  </si>
  <si>
    <t>PDES_Auxiliary module</t>
  </si>
  <si>
    <t>3EST000226-1993</t>
  </si>
  <si>
    <t>Chopper converter module, CM-C L 30/07 WC V01</t>
  </si>
  <si>
    <t>PDES_Chopper module</t>
  </si>
  <si>
    <t>3EST000226-1995</t>
  </si>
  <si>
    <t>Line converter module, CM-C M 15/15 WL V06</t>
  </si>
  <si>
    <t>PDES_Line Module</t>
  </si>
  <si>
    <t>3EST000226-1994</t>
  </si>
  <si>
    <t>Motor converter module, CM-C S 15/10 WM V02</t>
  </si>
  <si>
    <t>PDES_Motor Module</t>
  </si>
  <si>
    <t>3EST000226-1992</t>
  </si>
  <si>
    <t>TCMS Tech Description</t>
  </si>
  <si>
    <t>PDES_TCMS</t>
  </si>
  <si>
    <t>3EST000225-4855</t>
  </si>
  <si>
    <t>Brake Tech Description</t>
  </si>
  <si>
    <t>PDES_Brake</t>
  </si>
  <si>
    <t>FTIT10002-I01TDE</t>
  </si>
  <si>
    <t>F00</t>
  </si>
  <si>
    <t>Test Specification &amp; Report</t>
  </si>
  <si>
    <t>System Test Specification</t>
  </si>
  <si>
    <t>TS_VZI_Base</t>
  </si>
  <si>
    <t>3EST000225-6042</t>
  </si>
  <si>
    <t>EPVE63 Test Intervento protezioni azionamento</t>
  </si>
  <si>
    <t xml:space="preserve">TS_Test Protezioni azionamento EPVE63 </t>
  </si>
  <si>
    <t>DC08060VE63</t>
  </si>
  <si>
    <t>EPVE63 Report Intervento protezioni
azionamento</t>
  </si>
  <si>
    <t>TS_Report Protezioni azionamento EPVE63</t>
  </si>
  <si>
    <t>DD04060VE63</t>
  </si>
  <si>
    <t>Test Report HVSP</t>
  </si>
  <si>
    <t>TS_Report HVSP</t>
  </si>
  <si>
    <t>DD040031058</t>
  </si>
  <si>
    <t>Test High Voltage</t>
  </si>
  <si>
    <t>TS_Test High Voltage</t>
  </si>
  <si>
    <t>EC070028470</t>
  </si>
  <si>
    <t>Test Driver Control</t>
  </si>
  <si>
    <t>TS_Test Driver Control</t>
  </si>
  <si>
    <t>EC070028753</t>
  </si>
  <si>
    <t>Test Intervento protezioni azionamento</t>
  </si>
  <si>
    <t>TS_Test Protezioni azionamento</t>
  </si>
  <si>
    <t>EC070045631</t>
  </si>
  <si>
    <t>Combined test specification</t>
  </si>
  <si>
    <t>TS_Test Combined</t>
  </si>
  <si>
    <t>EC070027996</t>
  </si>
  <si>
    <t>Prove HVSP in combined test</t>
  </si>
  <si>
    <t>TS_Test HVSP Combined</t>
  </si>
  <si>
    <t>EC070030298</t>
  </si>
  <si>
    <t>TIPO</t>
  </si>
  <si>
    <t>VOLUME
SUBVOLUME
_TOMO</t>
  </si>
  <si>
    <t>CODICE</t>
  </si>
  <si>
    <t>VZ-ES</t>
  </si>
  <si>
    <t>REF</t>
  </si>
  <si>
    <t>REV</t>
  </si>
  <si>
    <t>DATA</t>
  </si>
  <si>
    <t>Descrizione generale e funzionamento</t>
  </si>
  <si>
    <t>PBC</t>
  </si>
  <si>
    <t>01A</t>
  </si>
  <si>
    <t>06</t>
  </si>
  <si>
    <t>Norme d’Uso ed Interventi di Emergenza</t>
  </si>
  <si>
    <t>01B</t>
  </si>
  <si>
    <t>Manuale per il Personale di Bordo addetto alla Scorta</t>
  </si>
  <si>
    <t>PBS</t>
  </si>
  <si>
    <t>esiste collana completa Giugno 2022 in</t>
  </si>
  <si>
    <t>Cassa</t>
  </si>
  <si>
    <t>MR1</t>
  </si>
  <si>
    <t>08</t>
  </si>
  <si>
    <t>SGF Base/ Documentazione Tecnica</t>
  </si>
  <si>
    <t>05</t>
  </si>
  <si>
    <t>Carrello</t>
  </si>
  <si>
    <t>02A</t>
  </si>
  <si>
    <t>/ ETR1000 I-F</t>
  </si>
  <si>
    <t>Impianto pneumatico e freno</t>
  </si>
  <si>
    <t>03A</t>
  </si>
  <si>
    <t>/ Manualistica Corridoio I/F</t>
  </si>
  <si>
    <t>Equipaggiamento elettrico ed elettropneumatico</t>
  </si>
  <si>
    <t>04A</t>
  </si>
  <si>
    <t>Logica di comando</t>
  </si>
  <si>
    <t>05A</t>
  </si>
  <si>
    <t>Logica di comando - Nodo TCN</t>
  </si>
  <si>
    <t>05B</t>
  </si>
  <si>
    <t>giu-17</t>
  </si>
  <si>
    <t>Azionamento di trazione</t>
  </si>
  <si>
    <t>06A</t>
  </si>
  <si>
    <t>Motore di trazione</t>
  </si>
  <si>
    <t>07A</t>
  </si>
  <si>
    <t>07</t>
  </si>
  <si>
    <t>Passaggi esterni</t>
  </si>
  <si>
    <t>08A</t>
  </si>
  <si>
    <t>Sottosistema di climatizzazione</t>
  </si>
  <si>
    <t>09A</t>
  </si>
  <si>
    <t>Sottosistema di comunicazione</t>
  </si>
  <si>
    <t>10A</t>
  </si>
  <si>
    <t>Convertitore servizi ausiliari e caricabatterie</t>
  </si>
  <si>
    <t>11A</t>
  </si>
  <si>
    <t>Sottosistema diagnostica di bordo</t>
  </si>
  <si>
    <t>13A</t>
  </si>
  <si>
    <t>Allestimenti interni</t>
  </si>
  <si>
    <t>14A</t>
  </si>
  <si>
    <t>Allestimenti interni - Arredi comparto e cabina di guida</t>
  </si>
  <si>
    <t>14B</t>
  </si>
  <si>
    <t>Servizi Generali di Bordo - Toilette</t>
  </si>
  <si>
    <t>15A</t>
  </si>
  <si>
    <t>Servizi Generali di Bordo - Bar Bistrot</t>
  </si>
  <si>
    <t>15B</t>
  </si>
  <si>
    <t>Emergenza e recupero</t>
  </si>
  <si>
    <t>16A</t>
  </si>
  <si>
    <t>Telecomunicazioni TT</t>
  </si>
  <si>
    <t>18A</t>
  </si>
  <si>
    <t>Sottosistema di bordo generale</t>
  </si>
  <si>
    <t>20A</t>
  </si>
  <si>
    <t>giu-20</t>
  </si>
  <si>
    <t>Sottosistema di bordo ETCS specifico del treno</t>
  </si>
  <si>
    <t>20B</t>
  </si>
  <si>
    <t>lug-17</t>
  </si>
  <si>
    <t>SSB ERTMS/SCMT (ALA) - MANUALE GENERICO USO E
MANUTENZIONE (B60A.000012.640.06I)</t>
  </si>
  <si>
    <t>20A_ALA</t>
  </si>
  <si>
    <t>SSB ERTMS/SCMT (ELO) - MANUALE GENERICO USO E
MANUTENZIONE (B60X.0100506.G00.00IT rev.02.00)</t>
  </si>
  <si>
    <t>20A_ELO</t>
  </si>
  <si>
    <t>Sotto Sistema di Bordo ERTMS BL3 CON SCMT INTEGRATO (B60A.0100914.G00.00IT)</t>
  </si>
  <si>
    <t>20B_ELO</t>
  </si>
  <si>
    <t>PGDJ DIS-JRU FTP - PRODOTTO GENERICO DIS-JRU (FT11P035105GE03B)</t>
  </si>
  <si>
    <t>31A_JRU</t>
  </si>
  <si>
    <t>Sistema informativo di condotta Generale (DIS)</t>
  </si>
  <si>
    <t>31A</t>
  </si>
  <si>
    <t>gen-18</t>
  </si>
  <si>
    <t>MR2</t>
  </si>
  <si>
    <t>Servizi Generali di Bordo</t>
  </si>
  <si>
    <t>Documentazione circuiti elettronici</t>
  </si>
  <si>
    <t>17A</t>
  </si>
  <si>
    <t>Messa in servizio (tomo 1 di 5)</t>
  </si>
  <si>
    <t>30A_1</t>
  </si>
  <si>
    <t>mag-16</t>
  </si>
  <si>
    <t>Messa in servizio (tomo 2 di 5)</t>
  </si>
  <si>
    <t>30A_2</t>
  </si>
  <si>
    <t>Messa in servizio (tomo 3 di 5)</t>
  </si>
  <si>
    <t>30A_3</t>
  </si>
  <si>
    <t>Messa in servizio (tomo 4 di 5)</t>
  </si>
  <si>
    <t>30A_4</t>
  </si>
  <si>
    <t>Messa in servizio (tomo 5 di 5)</t>
  </si>
  <si>
    <t>30A_5</t>
  </si>
  <si>
    <t>Cassa veicoli di estremità</t>
  </si>
  <si>
    <t>CPR</t>
  </si>
  <si>
    <t>2.05.993</t>
  </si>
  <si>
    <t>mag-22</t>
  </si>
  <si>
    <t>Cassa veicoli intermedi</t>
  </si>
  <si>
    <t>2.05.994</t>
  </si>
  <si>
    <t>Accoppiatore automatico-asta semipermanente</t>
  </si>
  <si>
    <t>01C</t>
  </si>
  <si>
    <t>2.05.995</t>
  </si>
  <si>
    <t>Musetto mobile</t>
  </si>
  <si>
    <t>01D</t>
  </si>
  <si>
    <t>2.05.996</t>
  </si>
  <si>
    <t>2.05.997</t>
  </si>
  <si>
    <t>mar-21</t>
  </si>
  <si>
    <t>Impianto pneumatico e freno - sistemazioni</t>
  </si>
  <si>
    <t>2.05.998</t>
  </si>
  <si>
    <t>Impianto pneumatico e freno - componenti</t>
  </si>
  <si>
    <t>03B</t>
  </si>
  <si>
    <t>2.05.999</t>
  </si>
  <si>
    <t>Equipaggiamento elettrico ed elettropneumatico - sistemazioni</t>
  </si>
  <si>
    <t>2.05.1000</t>
  </si>
  <si>
    <t>Equipaggiamento elettrico ed elettropneumatico - componenti</t>
  </si>
  <si>
    <t>04B</t>
  </si>
  <si>
    <t>2.05.1001</t>
  </si>
  <si>
    <t>Pantografi</t>
  </si>
  <si>
    <t>04C</t>
  </si>
  <si>
    <t>2.05.1002</t>
  </si>
  <si>
    <t>Quadri elettrici</t>
  </si>
  <si>
    <t>04D</t>
  </si>
  <si>
    <t>2.05.1003</t>
  </si>
  <si>
    <t>2.05.1004</t>
  </si>
  <si>
    <t>2.05.1005</t>
  </si>
  <si>
    <t>mag-17</t>
  </si>
  <si>
    <t>2.05.1006</t>
  </si>
  <si>
    <t>Porte di salita passeggeri</t>
  </si>
  <si>
    <t>2.05.1007</t>
  </si>
  <si>
    <t>Porte interne e intercomunicanti</t>
  </si>
  <si>
    <t>08B</t>
  </si>
  <si>
    <t>2.05.1008</t>
  </si>
  <si>
    <t>lug-15</t>
  </si>
  <si>
    <t>Sollevatore hk</t>
  </si>
  <si>
    <t>08C</t>
  </si>
  <si>
    <t>2.05.1009</t>
  </si>
  <si>
    <t>dic-15</t>
  </si>
  <si>
    <t>2.05.1010</t>
  </si>
  <si>
    <t>feb-21</t>
  </si>
  <si>
    <t>10</t>
  </si>
  <si>
    <t>2.05.1011</t>
  </si>
  <si>
    <t>2.05.1012</t>
  </si>
  <si>
    <t>Allestimenti interni - dotazioni di bordo</t>
  </si>
  <si>
    <t>2.05.1013</t>
  </si>
  <si>
    <t>Sedili passeggeri e cabina guida</t>
  </si>
  <si>
    <t>2.05.1014</t>
  </si>
  <si>
    <t>Arredamento comparto</t>
  </si>
  <si>
    <t>14C</t>
  </si>
  <si>
    <t>2.05.1015</t>
  </si>
  <si>
    <t>Arredamento vestiboli</t>
  </si>
  <si>
    <t>14D</t>
  </si>
  <si>
    <t>2.05.1016</t>
  </si>
  <si>
    <t>Servizi Generali di Bordo - Toilet</t>
  </si>
  <si>
    <t>2.05.1017</t>
  </si>
  <si>
    <t>Servizi Generali di Bordo - Bar Bistrò</t>
  </si>
  <si>
    <t>2.05.1018</t>
  </si>
  <si>
    <t>Sistemi tecnologici di bordo</t>
  </si>
  <si>
    <t>2.05.1019</t>
  </si>
  <si>
    <t>SOTTOSISTEMA DI BORDO ERTMS/BL3 PIATTAFORMA ELO</t>
  </si>
  <si>
    <t>B60A.0100914.G00.01IT</t>
  </si>
  <si>
    <t>Telediagnostica</t>
  </si>
  <si>
    <t>Sviluppo regole (Algoritmi Diagnostici)</t>
  </si>
  <si>
    <t>xlsm</t>
  </si>
  <si>
    <t>Sviluppo_Regole_TI_rev1.1</t>
  </si>
  <si>
    <t>SVILUPPO REGOLE_ 14_FR_SP_Rev_0.1</t>
  </si>
  <si>
    <t>Event Report/List</t>
  </si>
  <si>
    <t>DIA_Event</t>
  </si>
  <si>
    <t>xlsx</t>
  </si>
  <si>
    <t>EventReport_VZI_3.9.0.3</t>
  </si>
  <si>
    <t>EventReport_VZI14_BL3_5.1.0.3 2</t>
  </si>
  <si>
    <t>EventReport VZIF 11.4.0</t>
  </si>
  <si>
    <t>EventReport_VZS 21.2.0.3</t>
  </si>
  <si>
    <t>FP010036055</t>
  </si>
  <si>
    <t>3.32</t>
  </si>
  <si>
    <t>Teledia Signal List</t>
  </si>
  <si>
    <t>DIA_Signal</t>
  </si>
  <si>
    <t>FP020046917</t>
  </si>
  <si>
    <t>PropulsionDiagnosticDataset</t>
  </si>
  <si>
    <t>DIA_Dataset_Propulsion</t>
  </si>
  <si>
    <t>00.12</t>
  </si>
  <si>
    <t>EMS ICD diagnostic event</t>
  </si>
  <si>
    <t>DIA_Event EMS</t>
  </si>
  <si>
    <t>EC130034365</t>
  </si>
  <si>
    <t>Impianto</t>
  </si>
  <si>
    <t>Gruppo/Componente</t>
  </si>
  <si>
    <t>P/N</t>
  </si>
  <si>
    <t>Applicabilità flotte</t>
  </si>
  <si>
    <t>Manuale</t>
  </si>
  <si>
    <t>Raccolta doc</t>
  </si>
  <si>
    <t>Schema elettrico</t>
  </si>
  <si>
    <t>Schema Pneumatico</t>
  </si>
  <si>
    <t>File</t>
  </si>
  <si>
    <t>Pag</t>
  </si>
  <si>
    <t>Cartella</t>
  </si>
  <si>
    <t>PANTOGRAFO</t>
  </si>
  <si>
    <t>.</t>
  </si>
  <si>
    <t>CAPTAZIONE</t>
  </si>
  <si>
    <t>..</t>
  </si>
  <si>
    <t>Pantografo 25 kV</t>
  </si>
  <si>
    <t>T4-T5</t>
  </si>
  <si>
    <t>X</t>
  </si>
  <si>
    <t>ETR1000V300-MR1-04A-Equip elettrico ed elettropneumatico-06 - TOMO 1.pdf</t>
  </si>
  <si>
    <t>ETR1000-CPR_04C_2.05.1002_Pantografo_Mar21.pdf</t>
  </si>
  <si>
    <t>Pantografo 3 kV</t>
  </si>
  <si>
    <t>TT2-TT7</t>
  </si>
  <si>
    <t>Pantografo 1,5 kV</t>
  </si>
  <si>
    <t>CONTROLLO</t>
  </si>
  <si>
    <t>PPU</t>
  </si>
  <si>
    <t>0102895</t>
  </si>
  <si>
    <t>TT2-T4-T5-TT7</t>
  </si>
  <si>
    <t>232C10395F</t>
  </si>
  <si>
    <t>231C100036B</t>
  </si>
  <si>
    <t>TCMS</t>
  </si>
  <si>
    <t>CCU-O Dual MVB (DCY1110B)</t>
  </si>
  <si>
    <t>3EST000225-5707</t>
  </si>
  <si>
    <t>DM1-DM8</t>
  </si>
  <si>
    <t>ETR1000V300-MR1-05A-Logica di comando-03.pdf</t>
  </si>
  <si>
    <t>ETR1000-CPR_05_2.05.1004_Logica di comando_Aprile2021.pdf</t>
  </si>
  <si>
    <t>CCU-C 2ETH (DCY1550A)</t>
  </si>
  <si>
    <t>3EST000225-5711</t>
  </si>
  <si>
    <t>DM1-M3-DM8</t>
  </si>
  <si>
    <t>CCU-S (DCY 1660A)</t>
  </si>
  <si>
    <t>3EST000221-6430</t>
  </si>
  <si>
    <t>MIO-DXH4-S (DCS 2222B)</t>
  </si>
  <si>
    <t>3EST000228-0629</t>
  </si>
  <si>
    <t>MIO-S (DCS 2222C)</t>
  </si>
  <si>
    <t>3EST000230-5830</t>
  </si>
  <si>
    <t>MIO-S-AI1+DXH3 (DCS 7222B)</t>
  </si>
  <si>
    <t>3EST000228-3395</t>
  </si>
  <si>
    <t>MIO-S (DCS 7222B)</t>
  </si>
  <si>
    <t>3EST000230-5833</t>
  </si>
  <si>
    <t>MIO-S-AI1+DXH2 (DCS 7220B)</t>
  </si>
  <si>
    <t>3EST000228-3394</t>
  </si>
  <si>
    <t>Tutte</t>
  </si>
  <si>
    <t>MIO-DXH4 (DCX 2222A)</t>
  </si>
  <si>
    <t>3EST000209-5696</t>
  </si>
  <si>
    <t>MIO-DX1H (DCX 2000A)</t>
  </si>
  <si>
    <t>3EST000209-5690</t>
  </si>
  <si>
    <t>M3</t>
  </si>
  <si>
    <t>MIO-DX3H (DCX 2220A)</t>
  </si>
  <si>
    <t>3EST000209-5694</t>
  </si>
  <si>
    <t>CDU-H03</t>
  </si>
  <si>
    <t>HW01107958-00</t>
  </si>
  <si>
    <t>ETR1000-V300ZEFIRO-R1_MR1-05A_R03.pdf</t>
  </si>
  <si>
    <t>DU-H03</t>
  </si>
  <si>
    <t>HW02298449-00</t>
  </si>
  <si>
    <t>DU-H04 (OBS)</t>
  </si>
  <si>
    <t>HW02298458-00</t>
  </si>
  <si>
    <t>DU-H05 (PIS-ALG)</t>
  </si>
  <si>
    <t>HW02298473-00</t>
  </si>
  <si>
    <t>RIO-LP (CUSFE684-H05)</t>
  </si>
  <si>
    <t>HW01107911-00</t>
  </si>
  <si>
    <t>RIO-C5/C6 (CUSFE684-H06)</t>
  </si>
  <si>
    <t>HW01107914-00</t>
  </si>
  <si>
    <t>RIO-EB-01 (CUSFE684-H01)</t>
  </si>
  <si>
    <t>HW01107901-00</t>
  </si>
  <si>
    <t>ETR1000-V300ZEFIRO-R1_CPR-05A_2.05.1408_R02.pdf</t>
  </si>
  <si>
    <t>RIO-EB-02 (CUSFE684-H02)</t>
  </si>
  <si>
    <t>HW01107904-00</t>
  </si>
  <si>
    <t>RIO-EB-03 (CUSFE684-H03)</t>
  </si>
  <si>
    <t>HW01107905-00</t>
  </si>
  <si>
    <t>M3-M6</t>
  </si>
  <si>
    <t>RIO-EB-04 (CUSFE684-H04)</t>
  </si>
  <si>
    <t>HW01107908-00</t>
  </si>
  <si>
    <t>RIO-C2-01 (CURSE32-H01)</t>
  </si>
  <si>
    <t>HW01107953-00</t>
  </si>
  <si>
    <t>DM1-TT2-M3-M6-TT7-DM8</t>
  </si>
  <si>
    <t>RIO-C2-02 (CURSE32-H02)</t>
  </si>
  <si>
    <t>HW01107954-00</t>
  </si>
  <si>
    <t>DIAGNOSTICA</t>
  </si>
  <si>
    <t>MCG (DCZ 2424B)</t>
  </si>
  <si>
    <t>3EST000225-7169</t>
  </si>
  <si>
    <t>MCG</t>
  </si>
  <si>
    <t>3EST000234-1560</t>
  </si>
  <si>
    <t>IDU</t>
  </si>
  <si>
    <t>3EST000223-8802</t>
  </si>
  <si>
    <t>EC030021237P01</t>
  </si>
  <si>
    <t>RETE / COMUNICAZIONE</t>
  </si>
  <si>
    <t>MCG Antenna WLAN/GSM GPS</t>
  </si>
  <si>
    <t>3EST000212-2155</t>
  </si>
  <si>
    <t xml:space="preserve"> MCG Antenna WLAN/GSM GPS</t>
  </si>
  <si>
    <t>3EH-232550R0005</t>
  </si>
  <si>
    <t>TCN GW-S DCY 1703A</t>
  </si>
  <si>
    <t>EST000221-6460</t>
  </si>
  <si>
    <t>ETR1000V300-MR1-05B-02- Logica di comando - Nodo TCN.pdf</t>
  </si>
  <si>
    <t>IP Train Switch</t>
  </si>
  <si>
    <t>3EST000212-3000</t>
  </si>
  <si>
    <t>3EST000236-6769</t>
  </si>
  <si>
    <t>IP Train Repeater</t>
  </si>
  <si>
    <t>3EST000212-3010</t>
  </si>
  <si>
    <t>M3-T4-T5</t>
  </si>
  <si>
    <t>3EST000236-6770</t>
  </si>
  <si>
    <t>IP Ring Switch</t>
  </si>
  <si>
    <t>3EST000225-7297</t>
  </si>
  <si>
    <t>3EST000235-7837</t>
  </si>
  <si>
    <t>DM1</t>
  </si>
  <si>
    <t>3EST000234-7837</t>
  </si>
  <si>
    <t>DM8</t>
  </si>
  <si>
    <t>BUS Coupler BCT 12KF04</t>
  </si>
  <si>
    <t>EGM032400R0001</t>
  </si>
  <si>
    <t>TT2-T5-TT7</t>
  </si>
  <si>
    <t>Switch CS 14P NoPoE 1ByPX (NODC14NC02)</t>
  </si>
  <si>
    <t>EC030021125P14C001</t>
  </si>
  <si>
    <t>Switch ETBN 14P NoPoE 2ByPX (NODC14NI01)</t>
  </si>
  <si>
    <t>EC030021126P14C001</t>
  </si>
  <si>
    <t>TRAZIONE</t>
  </si>
  <si>
    <t>SEZIONE 4M / MCM (MOTORI)</t>
  </si>
  <si>
    <t>Modulo convertitore MCM (15/10 WM V02)</t>
  </si>
  <si>
    <t>3EST000222-0850</t>
  </si>
  <si>
    <t>DM1-M3-M6-DM8</t>
  </si>
  <si>
    <t>Centralina DCU/M</t>
  </si>
  <si>
    <t>3EST000222-1018</t>
  </si>
  <si>
    <t>Modulo IGBT</t>
  </si>
  <si>
    <t>3EST000214-9948</t>
  </si>
  <si>
    <t>Modulo convertitore MCM</t>
  </si>
  <si>
    <t>HW02250828-00</t>
  </si>
  <si>
    <t>Centralina Assieme MOCU</t>
  </si>
  <si>
    <t>HW04821017-00</t>
  </si>
  <si>
    <t>EC030020031</t>
  </si>
  <si>
    <t>SEZIONE LCM (LINEA AC)</t>
  </si>
  <si>
    <t>Modulo convertitore LCM (15/15 WL V06)</t>
  </si>
  <si>
    <t>3EST000222-0610</t>
  </si>
  <si>
    <t>Centralina DCU</t>
  </si>
  <si>
    <t>3EST000214-9825</t>
  </si>
  <si>
    <t>Modulo convertitore LCM</t>
  </si>
  <si>
    <t>3EST000222-0610-HR</t>
  </si>
  <si>
    <t>Centralina DCU/L</t>
  </si>
  <si>
    <t>3EST000299-9665-HR</t>
  </si>
  <si>
    <t>3EST000223-1474-HR</t>
  </si>
  <si>
    <t>SEZIONE CCM (LINEA DC)</t>
  </si>
  <si>
    <t>Modulo Convertitore CCM (30/07 WC V01)</t>
  </si>
  <si>
    <t>3EST000222-1010</t>
  </si>
  <si>
    <t>Centralina DCU/C</t>
  </si>
  <si>
    <t>Modulo convertitore CCM</t>
  </si>
  <si>
    <t>HW02250827-00</t>
  </si>
  <si>
    <t>HW05869752-00</t>
  </si>
  <si>
    <t>SEZIONE CS (RAFFREDDAMENTO)</t>
  </si>
  <si>
    <t>Modulo raffreddamento</t>
  </si>
  <si>
    <t>3EST000225-0304</t>
  </si>
  <si>
    <t>SEZIONE AE (AUSILIARI)</t>
  </si>
  <si>
    <t>Modulo convertitore ACM</t>
  </si>
  <si>
    <t>3EST000222-0910</t>
  </si>
  <si>
    <t>3EST000222-0910-HR</t>
  </si>
  <si>
    <t>???</t>
  </si>
  <si>
    <t>Antincendio DM1</t>
  </si>
  <si>
    <t>3ECP502022-0001</t>
  </si>
  <si>
    <t>UNITA' MAU 150/80</t>
  </si>
  <si>
    <t>3ECP502624-0001</t>
  </si>
  <si>
    <t>SISTEMA DI RILEVAMENTO</t>
  </si>
  <si>
    <t>000203-UMN002-0001.1.A-DM1</t>
  </si>
  <si>
    <t>SISTEMA AEROSOL</t>
  </si>
  <si>
    <t>985-MCO72318</t>
  </si>
  <si>
    <t>Antincendio DM8</t>
  </si>
  <si>
    <t>3EGH489009-5958</t>
  </si>
  <si>
    <t>000203-UMN002-0001.1.A-DM8</t>
  </si>
  <si>
    <t>IT 50 treni (flotta base)</t>
  </si>
  <si>
    <t>IT 8 treni (51-58)</t>
  </si>
  <si>
    <t>IT 6+30 treni (101-136)</t>
  </si>
  <si>
    <t>I-FR 9 treni</t>
  </si>
  <si>
    <t>DAI 9 treni</t>
  </si>
  <si>
    <t>ES 20 treni</t>
  </si>
  <si>
    <t>Sottosistema</t>
  </si>
  <si>
    <t>Id</t>
  </si>
  <si>
    <t>Carrelli</t>
  </si>
  <si>
    <t>Motori</t>
  </si>
  <si>
    <t>100360301
100360302
100360303
100360304</t>
  </si>
  <si>
    <t>Sala Montata</t>
  </si>
  <si>
    <t>100360402
100360403</t>
  </si>
  <si>
    <t>Sensoristica ERTMS-SCMT carrelli DM
Sala senza boccole: 100360064</t>
  </si>
  <si>
    <t>100360301
100360302
100360303
100360304
(EN45545)</t>
  </si>
  <si>
    <t>Sensoristica ERTMS-SCMT carrelli DM</t>
  </si>
  <si>
    <t>100329688
100329689
100360303
100360304</t>
  </si>
  <si>
    <t>Sensoristica ERTMS-SCMT, Memor brush, ETCS antenna su carrelli ant. DM1/8
Sensori Wiegand su post. DM1/8
Sensori Wiegand su ant. TT2/7
Sala senza boccole: 100360064</t>
  </si>
  <si>
    <t>tbd sensori boccola DM</t>
  </si>
  <si>
    <t>DM: 100437987
100470644</t>
  </si>
  <si>
    <t>Sensoristica ETCS-ASFA-LZB carrelli DM</t>
  </si>
  <si>
    <t>Riduttore</t>
  </si>
  <si>
    <t>Motore</t>
  </si>
  <si>
    <t>3EST000224-9555</t>
  </si>
  <si>
    <t>Cil.Freno</t>
  </si>
  <si>
    <t>FT0011601-100
FT0011602-100
FT0011602-101</t>
  </si>
  <si>
    <t>Als</t>
  </si>
  <si>
    <t>6398B000-01</t>
  </si>
  <si>
    <t>BMS</t>
  </si>
  <si>
    <t>Ephimess fase 2</t>
  </si>
  <si>
    <t>Portanti</t>
  </si>
  <si>
    <t>100360311
100360312
100360313</t>
  </si>
  <si>
    <t>Sala</t>
  </si>
  <si>
    <t>100360411
100360412</t>
  </si>
  <si>
    <t>100360311
100360312
100360313
(EN45545)</t>
  </si>
  <si>
    <t>100360311
100329690
100360313</t>
  </si>
  <si>
    <t>Freno</t>
  </si>
  <si>
    <t>3 kV</t>
  </si>
  <si>
    <t>Struttura</t>
  </si>
  <si>
    <t>Archetto</t>
  </si>
  <si>
    <t>Archetto 1.950 mm</t>
  </si>
  <si>
    <t>Strisciante</t>
  </si>
  <si>
    <t>SK1451</t>
  </si>
  <si>
    <t>Con isolamento ADD</t>
  </si>
  <si>
    <t>232C10353E</t>
  </si>
  <si>
    <t>PPU DC Modificata per agg.panto 1.5</t>
  </si>
  <si>
    <t>PCU</t>
  </si>
  <si>
    <t>25 kV</t>
  </si>
  <si>
    <t>Vedi strisciante</t>
  </si>
  <si>
    <t>SK1630</t>
  </si>
  <si>
    <t>SK 2381</t>
  </si>
  <si>
    <t>Conforme a norma FR SAM E903</t>
  </si>
  <si>
    <t>1,5 kV</t>
  </si>
  <si>
    <t>n/a</t>
  </si>
  <si>
    <t>Larghezza 1.950 mm</t>
  </si>
  <si>
    <t>SK 2348</t>
  </si>
  <si>
    <t>PPU Modificata per agg.panto 1.5</t>
  </si>
  <si>
    <t>15 kV</t>
  </si>
  <si>
    <t>TCMS Hardware</t>
  </si>
  <si>
    <t>LV</t>
  </si>
  <si>
    <t>CCU-O</t>
  </si>
  <si>
    <t>Nuova architettura Full Ethernet</t>
  </si>
  <si>
    <t>3EST000236-6235</t>
  </si>
  <si>
    <t>Higher performances and longer spare parts support</t>
  </si>
  <si>
    <t>CCU-S</t>
  </si>
  <si>
    <t>3EST000232-1990</t>
  </si>
  <si>
    <t>MIO-S</t>
  </si>
  <si>
    <t>3EST000228-0629
3EST000228-3395
3EST000228-3394</t>
  </si>
  <si>
    <t>3EST000230-5830
3EST000230-5833
3EST000228-3394</t>
  </si>
  <si>
    <t>Sell no more supported for new projects due to internal component out of production (legacy only)</t>
  </si>
  <si>
    <t>Teledia</t>
  </si>
  <si>
    <t>additional LTE connection</t>
  </si>
  <si>
    <t>Monitor</t>
  </si>
  <si>
    <t>IDU/TOD</t>
  </si>
  <si>
    <t>Bus</t>
  </si>
  <si>
    <t>T Repeater</t>
  </si>
  <si>
    <t>T Switch</t>
  </si>
  <si>
    <t>R Switch</t>
  </si>
  <si>
    <t>Energy Meter</t>
  </si>
  <si>
    <t>Tipo</t>
  </si>
  <si>
    <t>EMS Microelettrica  integrato con TCMS</t>
  </si>
  <si>
    <t>EMS Microelettrica non integrato con TCMS</t>
  </si>
  <si>
    <t>EMS Alstom  integrato con TCMS</t>
  </si>
  <si>
    <t>Centraline</t>
  </si>
  <si>
    <t>BCU</t>
  </si>
  <si>
    <t>FT0024971-100 (DM)
FT0028492-100 (TT)</t>
  </si>
  <si>
    <t>WSP</t>
  </si>
  <si>
    <t xml:space="preserve">FT0024963-100 (DM)
FT0024967-100 (TT)
</t>
  </si>
  <si>
    <t>Pneumatica</t>
  </si>
  <si>
    <t>Distributore</t>
  </si>
  <si>
    <t>SW4 COD. 726 43V S1 10</t>
  </si>
  <si>
    <t>DBV</t>
  </si>
  <si>
    <t>FT0022875-100</t>
  </si>
  <si>
    <t>Dump V. WSP</t>
  </si>
  <si>
    <t>FT0023704-103</t>
  </si>
  <si>
    <t>DV-17</t>
  </si>
  <si>
    <t>FT0126050-100</t>
  </si>
  <si>
    <t>DV-12 Double Coil</t>
  </si>
  <si>
    <t>PRM</t>
  </si>
  <si>
    <t>Toilet Production HK standard flotta base</t>
  </si>
  <si>
    <t>Toilet Production HK - conf. NRD Spagna + STI PRM 2019</t>
  </si>
  <si>
    <t>Lift</t>
  </si>
  <si>
    <t>Lift HK standard flotta base azionamento idraulico</t>
  </si>
  <si>
    <t>Lift HK STI PRM 2019 (pedana più grande, azionamento elettrico)</t>
  </si>
  <si>
    <t>Lift HK STI PRM 2019 (pedana più grande) azionamento idraulico</t>
  </si>
  <si>
    <t>Porte Esterne</t>
  </si>
  <si>
    <t>Porte esterne IFE standard flotta base</t>
  </si>
  <si>
    <t>Porte esterne IFE TSI 2019
Centralina Ethernet</t>
  </si>
  <si>
    <t>Porte esterne IFE (TSI 2019)</t>
  </si>
  <si>
    <t>Antincendio</t>
  </si>
  <si>
    <t>Sensori
Elettronica</t>
  </si>
  <si>
    <t>SCU Saira</t>
  </si>
  <si>
    <t>FDU-1000 (fornitura ISE)</t>
  </si>
  <si>
    <t>FDU ISE</t>
  </si>
  <si>
    <t>Estinzione</t>
  </si>
  <si>
    <t>WaterMist Marioff - 2 gruppi MAU (DM1/8)</t>
  </si>
  <si>
    <t>WaterMist Acquasys - 1 gruppo MAU (DM1)</t>
  </si>
  <si>
    <t>xxx</t>
  </si>
  <si>
    <t>Nel foglio indicato in Cx nella colonna B, cerca la riga corrispondente al DOC ID indicato in Dx</t>
  </si>
  <si>
    <t>Nel foglio CONFIG riga 1, cerca la colonna corrispondente alla flotta indicata da F1</t>
  </si>
  <si>
    <t>Restituisci la posizione della cella corrispondente a riga/colonna sopra identificati</t>
  </si>
  <si>
    <t>Alla posizione della cella, concatena il nome del foglio recuperato in Cx</t>
  </si>
  <si>
    <t>Recupera il contenuto del foglio/cella indicato nell'indirizzo sopra, il quale corrisponde al nome del file archiviato</t>
  </si>
  <si>
    <t>Recupera il prefisso del DOC ID posto prima del carattere "_", al quale corrisponde la sottocartella di archiviazione</t>
  </si>
  <si>
    <t>crea l'indirizzo completo per la costruzione del link, concatenando:
- la root di archiviazione ETR1000 nello sharepoint indicata nel foglio Cartelle
- la sottocartella indicata in Cx
- la sottocartella indicata dal prefisso di DOC ID
- il nome del file
- estensione "pdf" a mano
- link alla pagina posta sotto il link</t>
  </si>
  <si>
    <t>recupero del formato del file dal foglio indicato in Cx, alla riga indicata del DOC ID e colonna 3</t>
  </si>
  <si>
    <t>crea l'indirizzo come sopra, inserendo anche la parte di recupero di estensione del file</t>
  </si>
  <si>
    <t>prova link con DOC Type &lt;&gt; pdf</t>
  </si>
  <si>
    <t>AD_Flotte</t>
  </si>
  <si>
    <t>parte iniziale - posizione cella foglio/flotta</t>
  </si>
  <si>
    <t>Recupera il contenuto del foglio/cella</t>
  </si>
  <si>
    <t>AD_Regole</t>
  </si>
  <si>
    <t>VZI-50</t>
  </si>
  <si>
    <t>VZI-51-58</t>
  </si>
  <si>
    <t>VZI-6</t>
  </si>
  <si>
    <t>VZI-4</t>
  </si>
  <si>
    <t>VZ-FR</t>
  </si>
  <si>
    <t>VZ-DAI</t>
  </si>
  <si>
    <t xml:space="preserve">IPA (Indicazione Porte Aperte) </t>
  </si>
  <si>
    <t>SI</t>
  </si>
  <si>
    <t>BY-PASS ALLARME APPLICAZIONE PARKING
BRAKE IN MOVIMENTO</t>
  </si>
  <si>
    <t>RIDONDANZA LOOP DNRA-BMS</t>
  </si>
  <si>
    <t>INTERRUTTORI 220V SPOSTATI INTERNO CASSA</t>
  </si>
  <si>
    <t>COMPRESSORE ARIA (?)</t>
  </si>
  <si>
    <t>BY-PASS ADD PER MARCIA SOCCORSO</t>
  </si>
  <si>
    <t>ARREDI TOILET BAR BISTROT</t>
  </si>
  <si>
    <t>COMANDO DISACCOPPIAMENTO AUTOMATICO 
TESTE ELETTRICHE</t>
  </si>
  <si>
    <t>PANTOGRAFI</t>
  </si>
  <si>
    <t>PIANO DI MANUTENZIONE</t>
  </si>
  <si>
    <t>BL SSB</t>
  </si>
  <si>
    <t>BL DIS</t>
  </si>
  <si>
    <t>ETCS HD (HW)</t>
  </si>
  <si>
    <t xml:space="preserve">ANTINCENDIO </t>
  </si>
  <si>
    <t xml:space="preserve">LAYOUT INTERNO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</si>
</sst>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strike/>
      <sz val="11"/>
      <color rgb="FFFF0000"/>
      <name val="Calibri"/>
      <family val="2"/>
      <scheme val="minor"/>
    </font>
    <font>
      <sz val="11"/>
      <color theme="4"/>
      <name val="Calibri"/>
      <family val="2"/>
      <scheme val="minor"/>
    </font>
    <font>
      <b/>
      <sz val="11"/>
      <color theme="1"/>
      <name val="Calibri"/>
      <family val="2"/>
      <scheme val="minor"/>
    </font>
    <font>
      <i/>
      <sz val="11"/>
      <color theme="1"/>
      <name val="Calibri"/>
      <family val="2"/>
      <scheme val="minor"/>
    </font>
    <font>
      <b/>
      <sz val="11"/>
      <color rgb="FF0070C0"/>
      <name val="Calibri"/>
      <family val="2"/>
      <scheme val="minor"/>
    </font>
    <font>
      <sz val="10"/>
      <color theme="1"/>
      <name val="Calibri"/>
      <family val="2"/>
      <scheme val="minor"/>
    </font>
    <font>
      <b/>
      <sz val="10"/>
      <color rgb="FF0070C0"/>
      <name val="Calibri"/>
      <family val="2"/>
      <scheme val="minor"/>
    </font>
    <font>
      <sz val="9"/>
      <color theme="1"/>
      <name val="Calibri"/>
      <family val="2"/>
      <scheme val="minor"/>
    </font>
    <font>
      <sz val="11"/>
      <name val="Calibri"/>
      <family val="2"/>
      <scheme val="minor"/>
    </font>
    <font>
      <b/>
      <sz val="11"/>
      <color rgb="FFFF0000"/>
      <name val="Calibri"/>
      <family val="2"/>
      <scheme val="minor"/>
    </font>
    <font>
      <sz val="11"/>
      <color rgb="FF002060"/>
      <name val="Calibri"/>
      <family val="2"/>
      <scheme val="minor"/>
    </font>
    <font>
      <sz val="8"/>
      <color theme="1"/>
      <name val="Calibri"/>
      <family val="2"/>
      <scheme val="minor"/>
    </font>
    <font>
      <b/>
      <sz val="10"/>
      <color theme="1"/>
      <name val="Calibri"/>
      <family val="2"/>
      <scheme val="minor"/>
    </font>
    <font>
      <b/>
      <sz val="9"/>
      <color theme="1"/>
      <name val="Calibri"/>
      <family val="2"/>
      <scheme val="minor"/>
    </font>
    <font>
      <u/>
      <sz val="11"/>
      <color theme="10"/>
      <name val="Calibri"/>
      <family val="2"/>
      <scheme val="minor"/>
    </font>
    <font>
      <sz val="11"/>
      <color rgb="FFFF0000"/>
      <name val="Calibri"/>
      <family val="2"/>
      <scheme val="minor"/>
    </font>
    <font>
      <sz val="11"/>
      <color theme="4" tint="-0.249977111117893"/>
      <name val="Calibri"/>
      <family val="2"/>
      <scheme val="minor"/>
    </font>
    <font>
      <b/>
      <sz val="11"/>
      <name val="Calibri"/>
      <family val="2"/>
      <scheme val="minor"/>
    </font>
    <font>
      <b/>
      <sz val="11"/>
      <color theme="1"/>
      <name val="Calibri"/>
      <family val="2"/>
    </font>
    <font>
      <b/>
      <sz val="11"/>
      <color theme="0"/>
      <name val="Calibri"/>
      <family val="2"/>
      <scheme val="minor"/>
    </font>
    <font>
      <sz val="11"/>
      <color theme="7" tint="-0.249977111117893"/>
      <name val="Calibri"/>
      <family val="2"/>
      <scheme val="minor"/>
    </font>
    <font>
      <b/>
      <strike/>
      <sz val="11"/>
      <color theme="1"/>
      <name val="Calibri"/>
      <family val="2"/>
      <scheme val="minor"/>
    </font>
    <font>
      <b/>
      <strike/>
      <sz val="11"/>
      <color rgb="FFFF0000"/>
      <name val="Calibri"/>
      <family val="2"/>
      <scheme val="minor"/>
    </font>
    <font>
      <strike/>
      <sz val="11"/>
      <color theme="1"/>
      <name val="Calibri"/>
      <family val="2"/>
      <scheme val="minor"/>
    </font>
    <font>
      <strike/>
      <u/>
      <sz val="11"/>
      <color theme="10"/>
      <name val="Calibri"/>
      <family val="2"/>
      <scheme val="minor"/>
    </font>
    <font>
      <strike/>
      <sz val="11"/>
      <name val="Calibri"/>
      <family val="2"/>
      <scheme val="minor"/>
    </font>
    <font>
      <strike/>
      <u/>
      <sz val="11"/>
      <name val="Calibri"/>
      <family val="2"/>
      <scheme val="minor"/>
    </font>
    <font>
      <b/>
      <strike/>
      <u/>
      <sz val="11"/>
      <color theme="10"/>
      <name val="Calibri"/>
      <family val="2"/>
      <scheme val="minor"/>
    </font>
    <font>
      <i/>
      <sz val="11"/>
      <color rgb="FFFF0000"/>
      <name val="Calibri"/>
      <family val="2"/>
      <scheme val="minor"/>
    </font>
    <font>
      <sz val="11"/>
      <color theme="9"/>
      <name val="Calibri"/>
      <family val="2"/>
      <scheme val="minor"/>
    </font>
    <font>
      <i/>
      <sz val="11"/>
      <color rgb="FF888888"/>
      <name val="Calibri"/>
      <family val="2"/>
    </font>
    <font>
      <sz val="11"/>
      <color rgb="FF00AA00"/>
      <name val="Calibri"/>
    </font>
    <font>
      <sz val="11"/>
      <color rgb="FFCC0000"/>
      <name val="Calibri"/>
    </font>
  </fonts>
  <fills count="21">
    <fill>
      <patternFill patternType="none"/>
    </fill>
    <fill>
      <patternFill patternType="gray125"/>
    </fill>
    <fill>
      <patternFill patternType="solid">
        <fgColor theme="0" tint="-0.14999847407452621"/>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9" tint="-0.249977111117893"/>
        <bgColor indexed="64"/>
      </patternFill>
    </fill>
    <fill>
      <patternFill patternType="solid">
        <fgColor rgb="FFFFFF00"/>
        <bgColor indexed="64"/>
      </patternFill>
    </fill>
    <fill>
      <patternFill patternType="solid">
        <fgColor rgb="FFFFCCFF"/>
        <bgColor indexed="64"/>
      </patternFill>
    </fill>
    <fill>
      <patternFill patternType="solid">
        <fgColor theme="7" tint="0.59999389629810485"/>
        <bgColor indexed="64"/>
      </patternFill>
    </fill>
    <fill>
      <patternFill patternType="solid">
        <fgColor rgb="FFA9D08E"/>
        <bgColor indexed="64"/>
      </patternFill>
    </fill>
    <fill>
      <patternFill patternType="solid">
        <fgColor rgb="FFE2EFDA"/>
        <bgColor indexed="64"/>
      </patternFill>
    </fill>
    <fill>
      <patternFill patternType="solid">
        <fgColor rgb="FF92D050"/>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CC"/>
        <bgColor indexed="64"/>
      </patternFill>
    </fill>
  </fills>
  <borders count="11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bottom style="thin">
        <color indexed="64"/>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top/>
      <bottom/>
      <diagonal/>
    </border>
    <border>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top/>
      <bottom style="medium">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auto="1"/>
      </top>
      <bottom style="thin">
        <color auto="1"/>
      </bottom>
      <diagonal/>
    </border>
    <border>
      <left style="thin">
        <color indexed="64"/>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indexed="64"/>
      </left>
      <right style="thin">
        <color auto="1"/>
      </right>
      <top style="thin">
        <color auto="1"/>
      </top>
      <bottom style="thin">
        <color indexed="64"/>
      </bottom>
      <diagonal/>
    </border>
    <border>
      <left style="thin">
        <color auto="1"/>
      </left>
      <right style="thin">
        <color auto="1"/>
      </right>
      <top style="thin">
        <color auto="1"/>
      </top>
      <bottom style="thin">
        <color indexed="64"/>
      </bottom>
      <diagonal/>
    </border>
    <border>
      <left style="thin">
        <color indexed="64"/>
      </left>
      <right style="thin">
        <color indexed="64"/>
      </right>
      <top style="thin">
        <color indexed="64"/>
      </top>
      <bottom style="thin">
        <color auto="1"/>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auto="1"/>
      </right>
      <top style="thin">
        <color auto="1"/>
      </top>
      <bottom/>
      <diagonal/>
    </border>
    <border>
      <left style="thin">
        <color auto="1"/>
      </left>
      <right style="thin">
        <color auto="1"/>
      </right>
      <top style="thin">
        <color auto="1"/>
      </top>
      <bottom/>
      <diagonal/>
    </border>
    <border>
      <left style="thin">
        <color indexed="64"/>
      </left>
      <right style="thin">
        <color indexed="64"/>
      </right>
      <top style="thin">
        <color auto="1"/>
      </top>
      <bottom style="thin">
        <color auto="1"/>
      </bottom>
      <diagonal/>
    </border>
    <border>
      <left style="thin">
        <color indexed="64"/>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indexed="64"/>
      </left>
      <right style="thin">
        <color auto="1"/>
      </right>
      <top style="thin">
        <color auto="1"/>
      </top>
      <bottom style="thin">
        <color indexed="64"/>
      </bottom>
      <diagonal/>
    </border>
    <border>
      <left style="thin">
        <color auto="1"/>
      </left>
      <right style="thin">
        <color auto="1"/>
      </right>
      <top style="thin">
        <color auto="1"/>
      </top>
      <bottom style="thin">
        <color indexed="64"/>
      </bottom>
      <diagonal/>
    </border>
    <border>
      <left style="thin">
        <color indexed="64"/>
      </left>
      <right style="thin">
        <color indexed="64"/>
      </right>
      <top style="thin">
        <color indexed="64"/>
      </top>
      <bottom style="thin">
        <color auto="1"/>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indexed="64"/>
      </left>
      <right/>
      <top style="thin">
        <color auto="1"/>
      </top>
      <bottom/>
      <diagonal/>
    </border>
    <border>
      <left style="thin">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bottom style="thin">
        <color auto="1"/>
      </bottom>
      <diagonal/>
    </border>
    <border>
      <left style="thin">
        <color indexed="64"/>
      </left>
      <right style="thin">
        <color indexed="64"/>
      </right>
      <top style="thin">
        <color auto="1"/>
      </top>
      <bottom style="thin">
        <color auto="1"/>
      </bottom>
      <diagonal/>
    </border>
    <border>
      <left style="thin">
        <color indexed="64"/>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indexed="64"/>
      </left>
      <right style="thin">
        <color auto="1"/>
      </right>
      <top style="thin">
        <color auto="1"/>
      </top>
      <bottom style="thin">
        <color indexed="64"/>
      </bottom>
      <diagonal/>
    </border>
    <border>
      <left style="thin">
        <color auto="1"/>
      </left>
      <right style="thin">
        <color auto="1"/>
      </right>
      <top style="thin">
        <color auto="1"/>
      </top>
      <bottom style="thin">
        <color indexed="64"/>
      </bottom>
      <diagonal/>
    </border>
    <border>
      <left style="thin">
        <color indexed="64"/>
      </left>
      <right style="thin">
        <color auto="1"/>
      </right>
      <top style="thin">
        <color auto="1"/>
      </top>
      <bottom/>
      <diagonal/>
    </border>
    <border>
      <left style="thin">
        <color auto="1"/>
      </left>
      <right style="thin">
        <color auto="1"/>
      </right>
      <top style="thin">
        <color auto="1"/>
      </top>
      <bottom/>
      <diagonal/>
    </border>
    <border>
      <left style="thin">
        <color indexed="64"/>
      </left>
      <right style="thin">
        <color theme="0" tint="-0.34998626667073579"/>
      </right>
      <top style="medium">
        <color indexed="64"/>
      </top>
      <bottom style="thin">
        <color indexed="64"/>
      </bottom>
      <diagonal/>
    </border>
    <border>
      <left style="thin">
        <color theme="0" tint="-0.34998626667073579"/>
      </left>
      <right style="thin">
        <color theme="0" tint="-0.34998626667073579"/>
      </right>
      <top style="medium">
        <color indexed="64"/>
      </top>
      <bottom style="thin">
        <color indexed="64"/>
      </bottom>
      <diagonal/>
    </border>
    <border>
      <left style="thin">
        <color theme="0" tint="-0.34998626667073579"/>
      </left>
      <right style="thin">
        <color indexed="64"/>
      </right>
      <top style="medium">
        <color indexed="64"/>
      </top>
      <bottom style="thin">
        <color indexed="64"/>
      </bottom>
      <diagonal/>
    </border>
    <border>
      <left style="thin">
        <color indexed="64"/>
      </left>
      <right style="thin">
        <color theme="0" tint="-0.34998626667073579"/>
      </right>
      <top/>
      <bottom style="thin">
        <color auto="1"/>
      </bottom>
      <diagonal/>
    </border>
    <border>
      <left style="thin">
        <color theme="0" tint="-0.34998626667073579"/>
      </left>
      <right style="thin">
        <color theme="0" tint="-0.34998626667073579"/>
      </right>
      <top style="thin">
        <color auto="1"/>
      </top>
      <bottom style="thin">
        <color auto="1"/>
      </bottom>
      <diagonal/>
    </border>
    <border>
      <left style="thin">
        <color theme="0" tint="-0.34998626667073579"/>
      </left>
      <right style="thin">
        <color indexed="64"/>
      </right>
      <top style="thin">
        <color auto="1"/>
      </top>
      <bottom style="thin">
        <color auto="1"/>
      </bottom>
      <diagonal/>
    </border>
    <border>
      <left style="thin">
        <color indexed="64"/>
      </left>
      <right style="thin">
        <color theme="0" tint="-0.34998626667073579"/>
      </right>
      <top style="thin">
        <color indexed="64"/>
      </top>
      <bottom style="medium">
        <color indexed="64"/>
      </bottom>
      <diagonal/>
    </border>
    <border>
      <left style="thin">
        <color theme="0" tint="-0.34998626667073579"/>
      </left>
      <right style="thin">
        <color theme="0" tint="-0.34998626667073579"/>
      </right>
      <top style="thin">
        <color indexed="64"/>
      </top>
      <bottom style="medium">
        <color indexed="64"/>
      </bottom>
      <diagonal/>
    </border>
    <border>
      <left style="thin">
        <color theme="0" tint="-0.34998626667073579"/>
      </left>
      <right style="thin">
        <color indexed="64"/>
      </right>
      <top style="thin">
        <color indexed="64"/>
      </top>
      <bottom style="medium">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right/>
      <top style="thin">
        <color auto="1"/>
      </top>
      <bottom/>
      <diagonal/>
    </border>
    <border>
      <left/>
      <right style="thin">
        <color indexed="64"/>
      </right>
      <top style="thin">
        <color auto="1"/>
      </top>
      <bottom/>
      <diagonal/>
    </border>
  </borders>
  <cellStyleXfs count="2">
    <xf numFmtId="0" fontId="0" fillId="0" borderId="0"/>
    <xf numFmtId="0" fontId="15" fillId="0" borderId="0"/>
  </cellStyleXfs>
  <cellXfs count="579">
    <xf numFmtId="0" fontId="0" fillId="0" borderId="0" xfId="0"/>
    <xf numFmtId="0" fontId="0" fillId="0" borderId="1" xfId="0" applyBorder="1"/>
    <xf numFmtId="0" fontId="0" fillId="0" borderId="2" xfId="0" applyBorder="1"/>
    <xf numFmtId="0" fontId="0" fillId="0" borderId="3" xfId="0" applyBorder="1"/>
    <xf numFmtId="0" fontId="0" fillId="0" borderId="2" xfId="0" applyBorder="1" applyAlignment="1">
      <alignment wrapText="1"/>
    </xf>
    <xf numFmtId="0" fontId="0" fillId="0" borderId="5" xfId="0" applyBorder="1"/>
    <xf numFmtId="0" fontId="0" fillId="0" borderId="6" xfId="0" applyBorder="1"/>
    <xf numFmtId="0" fontId="0" fillId="0" borderId="1" xfId="0"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0" borderId="8" xfId="0" applyBorder="1"/>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6" xfId="0" applyFont="1" applyBorder="1" applyAlignment="1">
      <alignment horizontal="center" vertical="center"/>
    </xf>
    <xf numFmtId="0" fontId="4" fillId="0" borderId="4" xfId="0" applyFont="1" applyBorder="1"/>
    <xf numFmtId="0" fontId="0" fillId="0" borderId="18" xfId="0" applyBorder="1" applyAlignment="1">
      <alignment wrapText="1"/>
    </xf>
    <xf numFmtId="0" fontId="4" fillId="3" borderId="4" xfId="0" applyFont="1" applyFill="1" applyBorder="1"/>
    <xf numFmtId="0" fontId="0" fillId="3" borderId="0" xfId="0" applyFill="1" applyAlignment="1">
      <alignment horizontal="center" vertical="center" wrapText="1"/>
    </xf>
    <xf numFmtId="0" fontId="0" fillId="3" borderId="18" xfId="0" applyFill="1" applyBorder="1" applyAlignment="1">
      <alignment wrapText="1"/>
    </xf>
    <xf numFmtId="0" fontId="0" fillId="0" borderId="4" xfId="0" applyBorder="1"/>
    <xf numFmtId="0" fontId="6" fillId="0" borderId="18" xfId="0" applyFont="1" applyBorder="1" applyAlignment="1">
      <alignment wrapText="1"/>
    </xf>
    <xf numFmtId="0" fontId="4" fillId="2" borderId="4" xfId="0" applyFont="1" applyFill="1" applyBorder="1"/>
    <xf numFmtId="0" fontId="0" fillId="2" borderId="4" xfId="0" applyFill="1" applyBorder="1"/>
    <xf numFmtId="0" fontId="0" fillId="2" borderId="18" xfId="0" applyFill="1" applyBorder="1" applyAlignment="1">
      <alignment wrapText="1"/>
    </xf>
    <xf numFmtId="0" fontId="3" fillId="0" borderId="20" xfId="0" applyFont="1" applyBorder="1" applyAlignment="1">
      <alignment horizontal="center" vertical="center"/>
    </xf>
    <xf numFmtId="0" fontId="4" fillId="0" borderId="1" xfId="0" applyFont="1" applyBorder="1"/>
    <xf numFmtId="3" fontId="0" fillId="0" borderId="1" xfId="0" applyNumberFormat="1" applyBorder="1" applyAlignment="1">
      <alignment horizontal="left"/>
    </xf>
    <xf numFmtId="0" fontId="0" fillId="0" borderId="21" xfId="0" applyBorder="1"/>
    <xf numFmtId="0" fontId="4" fillId="3" borderId="1" xfId="0" applyFont="1" applyFill="1" applyBorder="1"/>
    <xf numFmtId="3" fontId="0" fillId="3" borderId="1" xfId="0" applyNumberFormat="1" applyFill="1" applyBorder="1" applyAlignment="1">
      <alignment horizontal="left"/>
    </xf>
    <xf numFmtId="0" fontId="0" fillId="3" borderId="21" xfId="0" applyFill="1" applyBorder="1"/>
    <xf numFmtId="3" fontId="0" fillId="0" borderId="1" xfId="0" applyNumberFormat="1" applyBorder="1" applyAlignment="1">
      <alignment horizontal="center"/>
    </xf>
    <xf numFmtId="0" fontId="4" fillId="2" borderId="1" xfId="0" applyFont="1" applyFill="1" applyBorder="1"/>
    <xf numFmtId="3" fontId="0" fillId="2" borderId="1" xfId="0" applyNumberFormat="1" applyFill="1" applyBorder="1" applyAlignment="1">
      <alignment horizontal="left"/>
    </xf>
    <xf numFmtId="0" fontId="0" fillId="2" borderId="21" xfId="0" applyFill="1" applyBorder="1"/>
    <xf numFmtId="0" fontId="0" fillId="3" borderId="1" xfId="0" applyFill="1" applyBorder="1"/>
    <xf numFmtId="0" fontId="0" fillId="0" borderId="1" xfId="0" applyBorder="1" applyAlignment="1">
      <alignment horizontal="center"/>
    </xf>
    <xf numFmtId="0" fontId="0" fillId="2" borderId="1" xfId="0" applyFill="1" applyBorder="1"/>
    <xf numFmtId="0" fontId="0" fillId="0" borderId="1" xfId="0" applyBorder="1" applyAlignment="1">
      <alignment wrapText="1"/>
    </xf>
    <xf numFmtId="0" fontId="0" fillId="3" borderId="1" xfId="0" applyFill="1" applyBorder="1" applyAlignment="1">
      <alignment wrapText="1"/>
    </xf>
    <xf numFmtId="0" fontId="0" fillId="0" borderId="1" xfId="0" applyBorder="1" applyAlignment="1">
      <alignment horizontal="center" wrapText="1"/>
    </xf>
    <xf numFmtId="0" fontId="0" fillId="2" borderId="1" xfId="0" applyFill="1" applyBorder="1" applyAlignment="1">
      <alignment wrapText="1"/>
    </xf>
    <xf numFmtId="0" fontId="0" fillId="0" borderId="1" xfId="0" applyBorder="1" applyAlignment="1">
      <alignment horizontal="center" vertical="center" wrapText="1"/>
    </xf>
    <xf numFmtId="0" fontId="0" fillId="3" borderId="1" xfId="0" applyFill="1" applyBorder="1" applyAlignment="1">
      <alignment horizontal="center" vertical="center" wrapText="1"/>
    </xf>
    <xf numFmtId="0" fontId="4" fillId="0" borderId="25" xfId="0" applyFont="1" applyBorder="1"/>
    <xf numFmtId="0" fontId="0" fillId="0" borderId="25" xfId="0" applyBorder="1"/>
    <xf numFmtId="0" fontId="0" fillId="0" borderId="26" xfId="0" applyBorder="1"/>
    <xf numFmtId="0" fontId="4" fillId="3" borderId="25" xfId="0" applyFont="1" applyFill="1" applyBorder="1"/>
    <xf numFmtId="0" fontId="0" fillId="3" borderId="25" xfId="0" applyFill="1" applyBorder="1"/>
    <xf numFmtId="0" fontId="0" fillId="3" borderId="26" xfId="0" applyFill="1" applyBorder="1"/>
    <xf numFmtId="0" fontId="4" fillId="2" borderId="25" xfId="0" applyFont="1" applyFill="1" applyBorder="1"/>
    <xf numFmtId="0" fontId="0" fillId="2" borderId="25" xfId="0" applyFill="1" applyBorder="1"/>
    <xf numFmtId="0" fontId="0" fillId="2" borderId="26" xfId="0" applyFill="1" applyBorder="1"/>
    <xf numFmtId="0" fontId="0" fillId="0" borderId="29" xfId="0" applyBorder="1"/>
    <xf numFmtId="0" fontId="0" fillId="0" borderId="29" xfId="0" applyBorder="1" applyAlignment="1">
      <alignment horizontal="center"/>
    </xf>
    <xf numFmtId="0" fontId="0" fillId="0" borderId="30" xfId="0" applyBorder="1"/>
    <xf numFmtId="0" fontId="0" fillId="2" borderId="29" xfId="0" applyFill="1" applyBorder="1"/>
    <xf numFmtId="0" fontId="0" fillId="2" borderId="30" xfId="0" applyFill="1" applyBorder="1"/>
    <xf numFmtId="0" fontId="3" fillId="0" borderId="31" xfId="0" applyFont="1" applyBorder="1" applyAlignment="1">
      <alignment horizontal="center" vertical="center"/>
    </xf>
    <xf numFmtId="0" fontId="5" fillId="0" borderId="1" xfId="0" applyFont="1" applyBorder="1" applyAlignment="1">
      <alignment horizontal="center"/>
    </xf>
    <xf numFmtId="0" fontId="7" fillId="0" borderId="21" xfId="0" applyFont="1" applyBorder="1"/>
    <xf numFmtId="0" fontId="8" fillId="0" borderId="21" xfId="0" applyFont="1" applyBorder="1"/>
    <xf numFmtId="0" fontId="0" fillId="0" borderId="4" xfId="0" applyBorder="1" applyAlignment="1">
      <alignment horizontal="center"/>
    </xf>
    <xf numFmtId="0" fontId="9" fillId="0" borderId="0" xfId="0" applyFont="1" applyAlignment="1">
      <alignment horizontal="center"/>
    </xf>
    <xf numFmtId="0" fontId="10" fillId="0" borderId="1" xfId="0" applyFont="1" applyBorder="1" applyAlignment="1">
      <alignment horizontal="center" vertical="center"/>
    </xf>
    <xf numFmtId="0" fontId="0" fillId="2" borderId="1" xfId="0" applyFill="1" applyBorder="1" applyAlignment="1">
      <alignment horizontal="center"/>
    </xf>
    <xf numFmtId="0" fontId="11" fillId="0" borderId="1" xfId="0" applyFont="1" applyBorder="1" applyAlignment="1">
      <alignment horizontal="center"/>
    </xf>
    <xf numFmtId="0" fontId="3" fillId="0" borderId="6" xfId="0" applyFont="1" applyBorder="1" applyAlignment="1">
      <alignment horizontal="center" vertical="center"/>
    </xf>
    <xf numFmtId="0" fontId="0" fillId="0" borderId="28" xfId="0" applyBorder="1"/>
    <xf numFmtId="0" fontId="4" fillId="0" borderId="27" xfId="0" applyFont="1" applyBorder="1"/>
    <xf numFmtId="0" fontId="0" fillId="0" borderId="34" xfId="0" applyBorder="1"/>
    <xf numFmtId="0" fontId="0" fillId="0" borderId="30" xfId="0" applyBorder="1" applyAlignment="1">
      <alignment wrapText="1"/>
    </xf>
    <xf numFmtId="0" fontId="0" fillId="0" borderId="32" xfId="0" applyBorder="1"/>
    <xf numFmtId="0" fontId="4" fillId="0" borderId="20" xfId="0" applyFont="1" applyBorder="1"/>
    <xf numFmtId="0" fontId="4" fillId="0" borderId="20" xfId="0" applyFont="1" applyBorder="1" applyAlignment="1">
      <alignment vertical="center"/>
    </xf>
    <xf numFmtId="0" fontId="5" fillId="0" borderId="1" xfId="0" applyFont="1" applyBorder="1" applyAlignment="1">
      <alignment vertical="center" wrapText="1"/>
    </xf>
    <xf numFmtId="0" fontId="8" fillId="0" borderId="21" xfId="0" applyFont="1" applyBorder="1" applyAlignment="1">
      <alignment wrapText="1"/>
    </xf>
    <xf numFmtId="0" fontId="0" fillId="0" borderId="1" xfId="0" applyBorder="1" applyAlignment="1">
      <alignment horizontal="left" vertical="center" wrapText="1"/>
    </xf>
    <xf numFmtId="0" fontId="0" fillId="0" borderId="1" xfId="0" applyBorder="1" applyAlignment="1">
      <alignment vertical="center" wrapText="1"/>
    </xf>
    <xf numFmtId="0" fontId="8" fillId="0" borderId="21" xfId="0" applyFont="1" applyBorder="1" applyAlignment="1">
      <alignment vertical="center" wrapText="1"/>
    </xf>
    <xf numFmtId="0" fontId="5" fillId="0" borderId="1" xfId="0" applyFont="1" applyBorder="1"/>
    <xf numFmtId="0" fontId="0" fillId="0" borderId="23" xfId="0" applyBorder="1"/>
    <xf numFmtId="0" fontId="4" fillId="0" borderId="41" xfId="0" applyFont="1" applyBorder="1"/>
    <xf numFmtId="0" fontId="0" fillId="0" borderId="42" xfId="0" applyBorder="1"/>
    <xf numFmtId="0" fontId="0" fillId="0" borderId="39" xfId="0" applyBorder="1"/>
    <xf numFmtId="0" fontId="5" fillId="0" borderId="42" xfId="0" applyFont="1" applyBorder="1"/>
    <xf numFmtId="0" fontId="0" fillId="0" borderId="45" xfId="0" applyBorder="1"/>
    <xf numFmtId="0" fontId="4" fillId="0" borderId="29" xfId="0" applyFont="1" applyBorder="1"/>
    <xf numFmtId="0" fontId="0" fillId="0" borderId="29" xfId="0" applyBorder="1" applyAlignment="1">
      <alignment wrapText="1"/>
    </xf>
    <xf numFmtId="0" fontId="6" fillId="0" borderId="1" xfId="0" applyFont="1" applyBorder="1"/>
    <xf numFmtId="0" fontId="4" fillId="0" borderId="42" xfId="0" applyFont="1" applyBorder="1"/>
    <xf numFmtId="0" fontId="0" fillId="0" borderId="49" xfId="0" applyBorder="1"/>
    <xf numFmtId="0" fontId="3" fillId="0" borderId="2" xfId="0" applyFont="1" applyBorder="1" applyAlignment="1">
      <alignment horizontal="center" vertical="center" wrapText="1"/>
    </xf>
    <xf numFmtId="0" fontId="13" fillId="0" borderId="2" xfId="0" applyFont="1" applyBorder="1" applyAlignment="1">
      <alignment horizontal="center" vertical="center"/>
    </xf>
    <xf numFmtId="0" fontId="14" fillId="0" borderId="15" xfId="0" applyFont="1" applyBorder="1" applyAlignment="1">
      <alignment horizontal="center" vertical="center" wrapText="1"/>
    </xf>
    <xf numFmtId="0" fontId="0" fillId="0" borderId="0" xfId="0" applyAlignment="1">
      <alignment vertical="center" wrapText="1"/>
    </xf>
    <xf numFmtId="0" fontId="0" fillId="0" borderId="0" xfId="0" applyAlignment="1">
      <alignment horizontal="left" vertical="center"/>
    </xf>
    <xf numFmtId="0" fontId="3" fillId="0" borderId="0" xfId="0" applyFont="1" applyAlignment="1">
      <alignment vertical="center" wrapText="1"/>
    </xf>
    <xf numFmtId="0" fontId="0" fillId="0" borderId="0" xfId="0" applyAlignment="1">
      <alignment horizontal="left" vertical="center" wrapText="1"/>
    </xf>
    <xf numFmtId="0" fontId="0" fillId="0" borderId="58" xfId="0" applyBorder="1" applyAlignment="1">
      <alignment horizontal="center" vertical="center" wrapText="1"/>
    </xf>
    <xf numFmtId="0" fontId="0" fillId="0" borderId="4" xfId="0" applyBorder="1" applyAlignment="1">
      <alignment horizontal="center" vertical="center" wrapText="1"/>
    </xf>
    <xf numFmtId="0" fontId="0" fillId="0" borderId="35" xfId="0" applyBorder="1" applyAlignment="1">
      <alignment horizontal="center" vertical="center" wrapText="1"/>
    </xf>
    <xf numFmtId="0" fontId="0" fillId="0" borderId="59" xfId="0" applyBorder="1" applyAlignment="1">
      <alignment horizontal="center" vertical="center" wrapText="1"/>
    </xf>
    <xf numFmtId="0" fontId="0" fillId="0" borderId="57" xfId="0" applyBorder="1" applyAlignment="1">
      <alignment horizontal="center" vertical="center" wrapText="1"/>
    </xf>
    <xf numFmtId="0" fontId="0" fillId="0" borderId="7" xfId="0" applyBorder="1" applyAlignment="1">
      <alignment horizontal="center" vertical="center" wrapText="1"/>
    </xf>
    <xf numFmtId="0" fontId="0" fillId="0" borderId="16" xfId="0" applyBorder="1" applyAlignment="1">
      <alignment horizontal="center" vertical="center" wrapText="1"/>
    </xf>
    <xf numFmtId="0" fontId="0" fillId="0" borderId="58" xfId="0" applyBorder="1" applyAlignment="1">
      <alignment horizontal="left" vertical="center" wrapText="1"/>
    </xf>
    <xf numFmtId="0" fontId="0" fillId="0" borderId="4" xfId="0" applyBorder="1" applyAlignment="1">
      <alignment horizontal="left" vertical="center" wrapText="1"/>
    </xf>
    <xf numFmtId="0" fontId="0" fillId="0" borderId="35" xfId="0" applyBorder="1" applyAlignment="1">
      <alignment horizontal="left" vertical="center" wrapText="1"/>
    </xf>
    <xf numFmtId="0" fontId="0" fillId="2" borderId="35" xfId="0" applyFill="1" applyBorder="1" applyAlignment="1">
      <alignment horizontal="center" vertical="center" wrapText="1"/>
    </xf>
    <xf numFmtId="0" fontId="0" fillId="2" borderId="59" xfId="0" applyFill="1" applyBorder="1" applyAlignment="1">
      <alignment horizontal="center" vertical="center" wrapText="1"/>
    </xf>
    <xf numFmtId="0" fontId="0" fillId="2" borderId="58" xfId="0" applyFill="1" applyBorder="1" applyAlignment="1">
      <alignment horizontal="center" vertical="center" wrapText="1"/>
    </xf>
    <xf numFmtId="0" fontId="16" fillId="0" borderId="35" xfId="0" applyFont="1" applyBorder="1" applyAlignment="1">
      <alignment horizontal="center" vertical="center" wrapText="1"/>
    </xf>
    <xf numFmtId="0" fontId="16" fillId="0" borderId="58" xfId="0" applyFont="1" applyBorder="1" applyAlignment="1">
      <alignment horizontal="center" vertical="center" wrapText="1"/>
    </xf>
    <xf numFmtId="0" fontId="3" fillId="5" borderId="1" xfId="0" applyFont="1" applyFill="1" applyBorder="1" applyAlignment="1">
      <alignment horizontal="center" vertical="center" wrapText="1"/>
    </xf>
    <xf numFmtId="0" fontId="16" fillId="0" borderId="59" xfId="0" applyFont="1" applyBorder="1" applyAlignment="1">
      <alignment horizontal="center" vertical="center" wrapText="1"/>
    </xf>
    <xf numFmtId="0" fontId="17" fillId="0" borderId="59" xfId="0" applyFont="1" applyBorder="1" applyAlignment="1">
      <alignment horizontal="center" vertical="center" wrapText="1"/>
    </xf>
    <xf numFmtId="0" fontId="17" fillId="0" borderId="58" xfId="0" applyFont="1" applyBorder="1" applyAlignment="1">
      <alignment horizontal="center" vertical="center" wrapText="1"/>
    </xf>
    <xf numFmtId="0" fontId="9" fillId="0" borderId="59" xfId="0" applyFont="1" applyBorder="1" applyAlignment="1">
      <alignment horizontal="center" vertical="center" wrapText="1"/>
    </xf>
    <xf numFmtId="0" fontId="9" fillId="0" borderId="58" xfId="0" applyFont="1" applyBorder="1" applyAlignment="1">
      <alignment horizontal="center" vertical="center" wrapText="1"/>
    </xf>
    <xf numFmtId="0" fontId="2" fillId="0" borderId="59" xfId="0" applyFont="1" applyBorder="1" applyAlignment="1">
      <alignment horizontal="center" vertical="center" wrapText="1"/>
    </xf>
    <xf numFmtId="0" fontId="2" fillId="0" borderId="58"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0" xfId="0" applyFont="1" applyAlignment="1">
      <alignment horizontal="center" vertical="center" wrapText="1"/>
    </xf>
    <xf numFmtId="0" fontId="9" fillId="0" borderId="35" xfId="0" applyFont="1" applyBorder="1" applyAlignment="1">
      <alignment horizontal="center" vertical="center" wrapText="1"/>
    </xf>
    <xf numFmtId="0" fontId="9" fillId="0" borderId="0" xfId="0" applyFont="1" applyAlignment="1">
      <alignment horizontal="center" vertical="center" wrapText="1"/>
    </xf>
    <xf numFmtId="0" fontId="16" fillId="0" borderId="0" xfId="0" applyFont="1" applyAlignment="1">
      <alignment horizontal="center" vertical="center" wrapText="1"/>
    </xf>
    <xf numFmtId="0" fontId="0" fillId="0" borderId="0" xfId="0" quotePrefix="1" applyAlignment="1">
      <alignment horizontal="center" vertical="center" wrapText="1"/>
    </xf>
    <xf numFmtId="0" fontId="18" fillId="4" borderId="57" xfId="0" applyFont="1" applyFill="1" applyBorder="1" applyAlignment="1">
      <alignment horizontal="center" vertical="center" wrapText="1"/>
    </xf>
    <xf numFmtId="0" fontId="18" fillId="4" borderId="16" xfId="0" applyFont="1" applyFill="1" applyBorder="1" applyAlignment="1">
      <alignment horizontal="center" vertical="center" wrapText="1"/>
    </xf>
    <xf numFmtId="0" fontId="18" fillId="4" borderId="7" xfId="0" applyFont="1" applyFill="1" applyBorder="1" applyAlignment="1">
      <alignment horizontal="center" vertical="center" wrapText="1"/>
    </xf>
    <xf numFmtId="0" fontId="16" fillId="0" borderId="0" xfId="0" applyFont="1" applyAlignment="1">
      <alignment vertical="center"/>
    </xf>
    <xf numFmtId="0" fontId="0" fillId="0" borderId="1" xfId="0" applyBorder="1" applyAlignment="1">
      <alignment vertical="center"/>
    </xf>
    <xf numFmtId="0" fontId="0" fillId="4" borderId="1" xfId="0" applyFill="1" applyBorder="1" applyAlignment="1">
      <alignment horizontal="center" vertical="center"/>
    </xf>
    <xf numFmtId="0" fontId="0" fillId="0" borderId="1" xfId="0" quotePrefix="1" applyBorder="1" applyAlignment="1">
      <alignment vertical="center"/>
    </xf>
    <xf numFmtId="0" fontId="16" fillId="0" borderId="1" xfId="0" applyFont="1" applyBorder="1" applyAlignment="1">
      <alignment horizontal="center" vertical="center"/>
    </xf>
    <xf numFmtId="0" fontId="16" fillId="0" borderId="1" xfId="0" applyFont="1" applyBorder="1" applyAlignment="1">
      <alignment vertical="center" wrapText="1"/>
    </xf>
    <xf numFmtId="0" fontId="16" fillId="4" borderId="1" xfId="0" applyFont="1" applyFill="1" applyBorder="1" applyAlignment="1">
      <alignment horizontal="center" vertical="center"/>
    </xf>
    <xf numFmtId="0" fontId="16" fillId="0" borderId="1" xfId="0" applyFont="1" applyBorder="1" applyAlignment="1">
      <alignment vertical="center"/>
    </xf>
    <xf numFmtId="0" fontId="0" fillId="4" borderId="1" xfId="0" quotePrefix="1" applyFill="1" applyBorder="1" applyAlignment="1">
      <alignment horizontal="center" vertical="center"/>
    </xf>
    <xf numFmtId="0" fontId="0" fillId="0" borderId="4" xfId="0" applyBorder="1" applyAlignment="1">
      <alignment vertical="center"/>
    </xf>
    <xf numFmtId="0" fontId="0" fillId="4" borderId="4" xfId="0" quotePrefix="1" applyFill="1" applyBorder="1" applyAlignment="1">
      <alignment horizontal="center" vertical="center"/>
    </xf>
    <xf numFmtId="0" fontId="19" fillId="4" borderId="25" xfId="0" applyFont="1" applyFill="1" applyBorder="1" applyAlignment="1">
      <alignment horizontal="center" vertical="center" wrapText="1"/>
    </xf>
    <xf numFmtId="49" fontId="19" fillId="4" borderId="25" xfId="0" applyNumberFormat="1" applyFont="1" applyFill="1" applyBorder="1" applyAlignment="1">
      <alignment horizontal="center" vertical="center" wrapText="1"/>
    </xf>
    <xf numFmtId="0" fontId="0" fillId="0" borderId="59" xfId="0" applyBorder="1" applyAlignment="1">
      <alignment horizontal="left" vertical="center" wrapText="1"/>
    </xf>
    <xf numFmtId="0" fontId="9" fillId="0" borderId="0" xfId="0" quotePrefix="1" applyFont="1" applyAlignment="1">
      <alignment horizontal="center" vertical="center" wrapText="1"/>
    </xf>
    <xf numFmtId="0" fontId="16" fillId="0" borderId="0" xfId="0" quotePrefix="1" applyFont="1" applyAlignment="1">
      <alignment horizontal="center" vertical="center" wrapText="1"/>
    </xf>
    <xf numFmtId="0" fontId="16" fillId="0" borderId="16" xfId="0" applyFont="1" applyBorder="1" applyAlignment="1">
      <alignment horizontal="center" vertical="center" wrapText="1"/>
    </xf>
    <xf numFmtId="0" fontId="9" fillId="0" borderId="16" xfId="0" applyFont="1" applyBorder="1" applyAlignment="1">
      <alignment horizontal="center" vertical="center" wrapText="1"/>
    </xf>
    <xf numFmtId="0" fontId="9" fillId="4" borderId="5" xfId="0" applyFont="1" applyFill="1" applyBorder="1" applyAlignment="1">
      <alignment horizontal="center" vertical="center" wrapText="1"/>
    </xf>
    <xf numFmtId="0" fontId="9" fillId="4" borderId="57"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9" fillId="4" borderId="20" xfId="0" applyFont="1" applyFill="1" applyBorder="1" applyAlignment="1">
      <alignment horizontal="center" vertical="center" wrapText="1"/>
    </xf>
    <xf numFmtId="0" fontId="9" fillId="4" borderId="60" xfId="0" applyFont="1" applyFill="1" applyBorder="1" applyAlignment="1">
      <alignment horizontal="center" vertical="center" wrapText="1"/>
    </xf>
    <xf numFmtId="0" fontId="0" fillId="8" borderId="35" xfId="0" applyFill="1" applyBorder="1" applyAlignment="1">
      <alignment horizontal="center" vertical="center" wrapText="1"/>
    </xf>
    <xf numFmtId="0" fontId="3" fillId="10" borderId="1" xfId="0" applyFont="1" applyFill="1" applyBorder="1" applyAlignment="1">
      <alignment horizontal="center" vertical="center"/>
    </xf>
    <xf numFmtId="0" fontId="20" fillId="11" borderId="1" xfId="0" applyFont="1" applyFill="1" applyBorder="1" applyAlignment="1">
      <alignment horizontal="center" vertical="center" wrapText="1"/>
    </xf>
    <xf numFmtId="0" fontId="0" fillId="7" borderId="1" xfId="0" applyFill="1" applyBorder="1" applyAlignment="1">
      <alignment horizontal="left" vertical="center" wrapText="1"/>
    </xf>
    <xf numFmtId="0" fontId="0" fillId="7" borderId="1" xfId="0" applyFill="1" applyBorder="1" applyAlignment="1">
      <alignment horizontal="center" vertical="center" wrapText="1"/>
    </xf>
    <xf numFmtId="0" fontId="16" fillId="0" borderId="1" xfId="0" applyFont="1" applyBorder="1" applyAlignment="1">
      <alignment horizontal="center" vertical="center" wrapText="1"/>
    </xf>
    <xf numFmtId="0" fontId="0" fillId="6" borderId="20" xfId="0" applyFill="1" applyBorder="1" applyAlignment="1">
      <alignment horizontal="left" vertical="center" wrapText="1"/>
    </xf>
    <xf numFmtId="0" fontId="0" fillId="6" borderId="20" xfId="0" applyFill="1" applyBorder="1" applyAlignment="1">
      <alignment horizontal="center" vertical="center" wrapText="1"/>
    </xf>
    <xf numFmtId="0" fontId="0" fillId="6" borderId="5" xfId="0" applyFill="1" applyBorder="1" applyAlignment="1">
      <alignment horizontal="center" vertical="center" wrapText="1"/>
    </xf>
    <xf numFmtId="0" fontId="0" fillId="8" borderId="59" xfId="0" applyFill="1" applyBorder="1" applyAlignment="1">
      <alignment horizontal="center" vertical="center" wrapText="1"/>
    </xf>
    <xf numFmtId="0" fontId="0" fillId="12" borderId="1" xfId="0" applyFill="1" applyBorder="1" applyAlignment="1">
      <alignment horizontal="center" vertical="center" wrapText="1"/>
    </xf>
    <xf numFmtId="0" fontId="0" fillId="0" borderId="59" xfId="0" quotePrefix="1" applyBorder="1" applyAlignment="1">
      <alignment horizontal="center" vertical="center" wrapText="1"/>
    </xf>
    <xf numFmtId="0" fontId="9" fillId="0" borderId="59" xfId="0" quotePrefix="1" applyFont="1" applyBorder="1" applyAlignment="1">
      <alignment horizontal="center" vertical="center" wrapText="1"/>
    </xf>
    <xf numFmtId="0" fontId="16" fillId="0" borderId="59" xfId="0" quotePrefix="1" applyFont="1" applyBorder="1" applyAlignment="1">
      <alignment horizontal="center" vertical="center" wrapText="1"/>
    </xf>
    <xf numFmtId="0" fontId="16" fillId="8" borderId="35" xfId="0" applyFont="1" applyFill="1" applyBorder="1" applyAlignment="1">
      <alignment horizontal="center" vertical="center" wrapText="1"/>
    </xf>
    <xf numFmtId="0" fontId="16" fillId="0" borderId="7" xfId="0" applyFont="1" applyBorder="1" applyAlignment="1">
      <alignment horizontal="center" vertical="center" wrapText="1"/>
    </xf>
    <xf numFmtId="0" fontId="15" fillId="0" borderId="0" xfId="1" applyAlignment="1">
      <alignment horizontal="left" vertical="center"/>
    </xf>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0" fillId="8" borderId="0" xfId="0" applyFill="1" applyAlignment="1">
      <alignment horizontal="center" vertical="center" wrapText="1"/>
    </xf>
    <xf numFmtId="0" fontId="0" fillId="6" borderId="42" xfId="0" applyFill="1" applyBorder="1" applyAlignment="1">
      <alignment horizontal="left" vertical="center" wrapText="1"/>
    </xf>
    <xf numFmtId="0" fontId="15" fillId="6" borderId="1" xfId="1" applyFill="1" applyBorder="1" applyAlignment="1">
      <alignment horizontal="center" vertical="center"/>
    </xf>
    <xf numFmtId="0" fontId="9" fillId="6" borderId="1" xfId="0" applyFont="1" applyFill="1" applyBorder="1" applyAlignment="1">
      <alignment horizontal="left" vertical="center" wrapText="1"/>
    </xf>
    <xf numFmtId="0" fontId="9" fillId="0" borderId="56" xfId="0" applyFont="1" applyBorder="1" applyAlignment="1">
      <alignment horizontal="left" vertical="center" wrapText="1"/>
    </xf>
    <xf numFmtId="0" fontId="9" fillId="0" borderId="45" xfId="0" applyFont="1" applyBorder="1" applyAlignment="1">
      <alignment horizontal="left" vertical="center" wrapText="1"/>
    </xf>
    <xf numFmtId="0" fontId="9" fillId="0" borderId="35" xfId="0" applyFont="1" applyBorder="1" applyAlignment="1">
      <alignment horizontal="left" vertical="center" wrapText="1"/>
    </xf>
    <xf numFmtId="0" fontId="9" fillId="0" borderId="59" xfId="0" applyFont="1" applyBorder="1" applyAlignment="1">
      <alignment horizontal="left" vertical="center" wrapText="1"/>
    </xf>
    <xf numFmtId="0" fontId="16" fillId="0" borderId="56" xfId="0" applyFont="1" applyBorder="1" applyAlignment="1">
      <alignment horizontal="left" vertical="center" wrapText="1"/>
    </xf>
    <xf numFmtId="0" fontId="16" fillId="0" borderId="45" xfId="0" applyFont="1" applyBorder="1" applyAlignment="1">
      <alignment horizontal="left" vertical="center" wrapText="1"/>
    </xf>
    <xf numFmtId="0" fontId="16" fillId="0" borderId="35" xfId="0" applyFont="1" applyBorder="1" applyAlignment="1">
      <alignment horizontal="left" vertical="center" wrapText="1"/>
    </xf>
    <xf numFmtId="0" fontId="16" fillId="0" borderId="59" xfId="0" applyFont="1" applyBorder="1" applyAlignment="1">
      <alignment horizontal="left" vertical="center" wrapText="1"/>
    </xf>
    <xf numFmtId="0" fontId="0" fillId="7" borderId="5" xfId="0" applyFill="1" applyBorder="1" applyAlignment="1">
      <alignment horizontal="left" vertical="center" wrapText="1"/>
    </xf>
    <xf numFmtId="0" fontId="0" fillId="0" borderId="5" xfId="0" applyBorder="1" applyAlignment="1">
      <alignment horizontal="left" vertical="center" wrapText="1"/>
    </xf>
    <xf numFmtId="0" fontId="0" fillId="6" borderId="1" xfId="0" applyFill="1" applyBorder="1" applyAlignment="1">
      <alignment horizontal="center" vertical="center" wrapText="1"/>
    </xf>
    <xf numFmtId="0" fontId="3" fillId="0" borderId="0" xfId="0" applyFont="1" applyAlignment="1">
      <alignment horizontal="center" vertical="center"/>
    </xf>
    <xf numFmtId="14" fontId="0" fillId="0" borderId="1" xfId="0" applyNumberFormat="1" applyBorder="1" applyAlignment="1">
      <alignment horizontal="center" vertical="center"/>
    </xf>
    <xf numFmtId="0" fontId="15" fillId="0" borderId="0" xfId="1" applyAlignment="1">
      <alignment horizontal="center" vertical="center"/>
    </xf>
    <xf numFmtId="0" fontId="0" fillId="12" borderId="1" xfId="0" applyFill="1" applyBorder="1" applyAlignment="1">
      <alignment horizontal="left" vertical="center" wrapText="1"/>
    </xf>
    <xf numFmtId="0" fontId="3" fillId="0" borderId="0" xfId="0" applyFont="1" applyAlignment="1">
      <alignment vertical="center"/>
    </xf>
    <xf numFmtId="0" fontId="3" fillId="2" borderId="1" xfId="0" applyFont="1" applyFill="1" applyBorder="1" applyAlignment="1">
      <alignment horizontal="left" vertical="center" wrapText="1"/>
    </xf>
    <xf numFmtId="0" fontId="0" fillId="2" borderId="20" xfId="0" applyFill="1" applyBorder="1" applyAlignment="1">
      <alignment horizontal="center" vertical="center" wrapText="1"/>
    </xf>
    <xf numFmtId="0" fontId="3" fillId="10" borderId="35" xfId="0" applyFont="1" applyFill="1" applyBorder="1" applyAlignment="1">
      <alignment horizontal="center" vertical="center" wrapText="1"/>
    </xf>
    <xf numFmtId="0" fontId="3" fillId="10" borderId="59" xfId="0" applyFont="1" applyFill="1" applyBorder="1" applyAlignment="1">
      <alignment horizontal="center" vertical="center" wrapText="1"/>
    </xf>
    <xf numFmtId="0" fontId="3" fillId="10" borderId="58" xfId="0" applyFont="1" applyFill="1" applyBorder="1" applyAlignment="1">
      <alignment horizontal="center" vertical="center" wrapText="1"/>
    </xf>
    <xf numFmtId="0" fontId="3" fillId="10" borderId="0" xfId="0" applyFont="1" applyFill="1" applyAlignment="1">
      <alignment horizontal="center" vertical="center" wrapText="1"/>
    </xf>
    <xf numFmtId="0" fontId="3" fillId="2" borderId="35" xfId="0" applyFont="1" applyFill="1" applyBorder="1" applyAlignment="1">
      <alignment horizontal="center" vertical="center" wrapText="1"/>
    </xf>
    <xf numFmtId="0" fontId="3" fillId="2" borderId="59" xfId="0" applyFont="1" applyFill="1" applyBorder="1" applyAlignment="1">
      <alignment horizontal="center" vertical="center" wrapText="1"/>
    </xf>
    <xf numFmtId="0" fontId="3" fillId="2" borderId="58" xfId="0" applyFont="1" applyFill="1" applyBorder="1" applyAlignment="1">
      <alignment horizontal="center" vertical="center" wrapText="1"/>
    </xf>
    <xf numFmtId="0" fontId="21" fillId="0" borderId="59" xfId="0" applyFont="1" applyBorder="1" applyAlignment="1">
      <alignment horizontal="center" vertical="center" wrapText="1"/>
    </xf>
    <xf numFmtId="0" fontId="21" fillId="0" borderId="58" xfId="0" applyFont="1" applyBorder="1" applyAlignment="1">
      <alignment horizontal="center" vertical="center" wrapText="1"/>
    </xf>
    <xf numFmtId="0" fontId="21" fillId="0" borderId="0" xfId="0" applyFont="1" applyAlignment="1">
      <alignment horizontal="center" vertical="center" wrapText="1"/>
    </xf>
    <xf numFmtId="0" fontId="0" fillId="10" borderId="59" xfId="0" applyFill="1" applyBorder="1" applyAlignment="1">
      <alignment horizontal="center" vertical="center" wrapText="1"/>
    </xf>
    <xf numFmtId="0" fontId="9" fillId="0" borderId="58" xfId="0" quotePrefix="1" applyFont="1" applyBorder="1" applyAlignment="1">
      <alignment horizontal="center" vertical="center" wrapText="1"/>
    </xf>
    <xf numFmtId="0" fontId="9" fillId="0" borderId="0" xfId="0" applyFont="1" applyAlignment="1">
      <alignment vertical="center" wrapText="1"/>
    </xf>
    <xf numFmtId="0" fontId="21" fillId="0" borderId="35" xfId="0" applyFont="1" applyBorder="1" applyAlignment="1">
      <alignment horizontal="center" vertical="center" wrapText="1"/>
    </xf>
    <xf numFmtId="0" fontId="22" fillId="5" borderId="57" xfId="0" applyFont="1" applyFill="1" applyBorder="1" applyAlignment="1">
      <alignment horizontal="center" vertical="center"/>
    </xf>
    <xf numFmtId="0" fontId="22" fillId="5" borderId="16" xfId="0" applyFont="1" applyFill="1" applyBorder="1" applyAlignment="1">
      <alignment horizontal="center" vertical="center" wrapText="1"/>
    </xf>
    <xf numFmtId="0" fontId="22" fillId="5" borderId="7" xfId="0" applyFont="1" applyFill="1" applyBorder="1" applyAlignment="1">
      <alignment horizontal="center" vertical="center" wrapText="1"/>
    </xf>
    <xf numFmtId="0" fontId="22" fillId="5" borderId="16" xfId="0" applyFont="1" applyFill="1" applyBorder="1" applyAlignment="1">
      <alignment horizontal="center" vertical="center"/>
    </xf>
    <xf numFmtId="0" fontId="23" fillId="5" borderId="57" xfId="0" applyFont="1" applyFill="1" applyBorder="1" applyAlignment="1">
      <alignment horizontal="center" vertical="center"/>
    </xf>
    <xf numFmtId="0" fontId="23" fillId="5" borderId="7" xfId="0" applyFont="1" applyFill="1" applyBorder="1" applyAlignment="1">
      <alignment horizontal="center" vertical="center" wrapText="1"/>
    </xf>
    <xf numFmtId="0" fontId="22" fillId="10" borderId="35" xfId="0" applyFont="1" applyFill="1" applyBorder="1" applyAlignment="1">
      <alignment horizontal="left" vertical="center"/>
    </xf>
    <xf numFmtId="0" fontId="22" fillId="10" borderId="0" xfId="0" applyFont="1" applyFill="1" applyAlignment="1">
      <alignment horizontal="center" vertical="center" wrapText="1"/>
    </xf>
    <xf numFmtId="0" fontId="22" fillId="10" borderId="59" xfId="0" applyFont="1" applyFill="1" applyBorder="1" applyAlignment="1">
      <alignment horizontal="center" vertical="center" wrapText="1"/>
    </xf>
    <xf numFmtId="0" fontId="23" fillId="10" borderId="0" xfId="0" applyFont="1" applyFill="1" applyAlignment="1">
      <alignment horizontal="left" vertical="center"/>
    </xf>
    <xf numFmtId="0" fontId="22" fillId="10" borderId="59" xfId="0" applyFont="1" applyFill="1" applyBorder="1" applyAlignment="1">
      <alignment vertical="center" wrapText="1"/>
    </xf>
    <xf numFmtId="0" fontId="22" fillId="10" borderId="35" xfId="0" applyFont="1" applyFill="1" applyBorder="1" applyAlignment="1">
      <alignment vertical="center" wrapText="1"/>
    </xf>
    <xf numFmtId="0" fontId="22" fillId="2" borderId="35" xfId="0" applyFont="1" applyFill="1" applyBorder="1" applyAlignment="1">
      <alignment horizontal="left" vertical="center"/>
    </xf>
    <xf numFmtId="0" fontId="22" fillId="2" borderId="0" xfId="0" applyFont="1" applyFill="1" applyAlignment="1">
      <alignment horizontal="center" vertical="center" wrapText="1"/>
    </xf>
    <xf numFmtId="0" fontId="22" fillId="2" borderId="59" xfId="0" applyFont="1" applyFill="1" applyBorder="1" applyAlignment="1">
      <alignment horizontal="center" vertical="center" wrapText="1"/>
    </xf>
    <xf numFmtId="0" fontId="23" fillId="2" borderId="0" xfId="0" applyFont="1" applyFill="1" applyAlignment="1">
      <alignment horizontal="left" vertical="center"/>
    </xf>
    <xf numFmtId="0" fontId="22" fillId="2" borderId="59" xfId="0" applyFont="1" applyFill="1" applyBorder="1" applyAlignment="1">
      <alignment vertical="center" wrapText="1"/>
    </xf>
    <xf numFmtId="0" fontId="22" fillId="2" borderId="35" xfId="0" applyFont="1" applyFill="1" applyBorder="1" applyAlignment="1">
      <alignment vertical="center" wrapText="1"/>
    </xf>
    <xf numFmtId="0" fontId="24" fillId="0" borderId="35" xfId="0" applyFont="1" applyBorder="1" applyAlignment="1">
      <alignment horizontal="left" vertical="center"/>
    </xf>
    <xf numFmtId="0" fontId="24" fillId="0" borderId="0" xfId="0" applyFont="1" applyAlignment="1">
      <alignment horizontal="center" vertical="center" wrapText="1"/>
    </xf>
    <xf numFmtId="0" fontId="25" fillId="0" borderId="0" xfId="1" applyFont="1" applyAlignment="1">
      <alignment horizontal="center" vertical="center" wrapText="1"/>
    </xf>
    <xf numFmtId="0" fontId="25" fillId="0" borderId="59" xfId="1" applyFont="1" applyBorder="1" applyAlignment="1">
      <alignment horizontal="center" vertical="center" wrapText="1"/>
    </xf>
    <xf numFmtId="0" fontId="24" fillId="0" borderId="0" xfId="0" applyFont="1" applyAlignment="1">
      <alignment horizontal="left" vertical="center"/>
    </xf>
    <xf numFmtId="0" fontId="24" fillId="0" borderId="59" xfId="0" applyFont="1" applyBorder="1" applyAlignment="1">
      <alignment vertical="center" wrapText="1"/>
    </xf>
    <xf numFmtId="0" fontId="24" fillId="0" borderId="35" xfId="0" applyFont="1" applyBorder="1" applyAlignment="1">
      <alignment vertical="center" wrapText="1"/>
    </xf>
    <xf numFmtId="0" fontId="24" fillId="0" borderId="59" xfId="0" applyFont="1" applyBorder="1" applyAlignment="1">
      <alignment horizontal="center" vertical="center" wrapText="1"/>
    </xf>
    <xf numFmtId="0" fontId="26" fillId="0" borderId="35" xfId="0" applyFont="1" applyBorder="1" applyAlignment="1">
      <alignment horizontal="left" vertical="center"/>
    </xf>
    <xf numFmtId="0" fontId="26" fillId="0" borderId="0" xfId="0" applyFont="1" applyAlignment="1">
      <alignment horizontal="center" vertical="center" wrapText="1"/>
    </xf>
    <xf numFmtId="0" fontId="26" fillId="0" borderId="59" xfId="0" applyFont="1" applyBorder="1" applyAlignment="1">
      <alignment horizontal="center" vertical="center" wrapText="1"/>
    </xf>
    <xf numFmtId="0" fontId="26" fillId="0" borderId="0" xfId="0" applyFont="1" applyAlignment="1">
      <alignment horizontal="left" vertical="center"/>
    </xf>
    <xf numFmtId="0" fontId="27" fillId="0" borderId="59" xfId="1" applyFont="1" applyBorder="1" applyAlignment="1">
      <alignment horizontal="center" vertical="center" wrapText="1"/>
    </xf>
    <xf numFmtId="0" fontId="26" fillId="0" borderId="35" xfId="0" applyFont="1" applyBorder="1" applyAlignment="1">
      <alignment vertical="center" wrapText="1"/>
    </xf>
    <xf numFmtId="0" fontId="26" fillId="0" borderId="59" xfId="0" applyFont="1" applyBorder="1" applyAlignment="1">
      <alignment vertical="center" wrapText="1"/>
    </xf>
    <xf numFmtId="0" fontId="22" fillId="10" borderId="0" xfId="0" applyFont="1" applyFill="1" applyAlignment="1">
      <alignment horizontal="left" vertical="center"/>
    </xf>
    <xf numFmtId="0" fontId="24" fillId="0" borderId="0" xfId="0" quotePrefix="1" applyFont="1" applyAlignment="1">
      <alignment horizontal="center" vertical="center" wrapText="1"/>
    </xf>
    <xf numFmtId="0" fontId="28" fillId="10" borderId="0" xfId="1" applyFont="1" applyFill="1" applyAlignment="1">
      <alignment horizontal="center" vertical="center" wrapText="1"/>
    </xf>
    <xf numFmtId="0" fontId="28" fillId="10" borderId="59" xfId="1" applyFont="1" applyFill="1" applyBorder="1" applyAlignment="1">
      <alignment horizontal="center" vertical="center" wrapText="1"/>
    </xf>
    <xf numFmtId="0" fontId="24" fillId="2" borderId="35" xfId="0" applyFont="1" applyFill="1" applyBorder="1" applyAlignment="1">
      <alignment horizontal="left" vertical="center"/>
    </xf>
    <xf numFmtId="0" fontId="24" fillId="2" borderId="0" xfId="0" applyFont="1" applyFill="1" applyAlignment="1">
      <alignment horizontal="center" vertical="center" wrapText="1"/>
    </xf>
    <xf numFmtId="0" fontId="25" fillId="2" borderId="59" xfId="1" applyFont="1" applyFill="1" applyBorder="1" applyAlignment="1">
      <alignment horizontal="center" vertical="center" wrapText="1"/>
    </xf>
    <xf numFmtId="0" fontId="24" fillId="2" borderId="0" xfId="0" applyFont="1" applyFill="1" applyAlignment="1">
      <alignment horizontal="left" vertical="center"/>
    </xf>
    <xf numFmtId="0" fontId="24" fillId="2" borderId="59" xfId="0" applyFont="1" applyFill="1" applyBorder="1" applyAlignment="1">
      <alignment vertical="center" wrapText="1"/>
    </xf>
    <xf numFmtId="0" fontId="24" fillId="2" borderId="35" xfId="0" applyFont="1" applyFill="1" applyBorder="1" applyAlignment="1">
      <alignment vertical="center" wrapText="1"/>
    </xf>
    <xf numFmtId="0" fontId="24" fillId="2" borderId="59" xfId="0" applyFont="1" applyFill="1" applyBorder="1" applyAlignment="1">
      <alignment horizontal="center" vertical="center" wrapText="1"/>
    </xf>
    <xf numFmtId="0" fontId="1" fillId="0" borderId="0" xfId="0" applyFont="1" applyAlignment="1">
      <alignment horizontal="left" vertical="center"/>
    </xf>
    <xf numFmtId="0" fontId="24" fillId="0" borderId="57" xfId="0" applyFont="1" applyBorder="1" applyAlignment="1">
      <alignment horizontal="left" vertical="center"/>
    </xf>
    <xf numFmtId="0" fontId="24" fillId="0" borderId="16" xfId="0" applyFont="1" applyBorder="1" applyAlignment="1">
      <alignment horizontal="center" vertical="center" wrapText="1"/>
    </xf>
    <xf numFmtId="0" fontId="24" fillId="0" borderId="7" xfId="0" applyFont="1" applyBorder="1" applyAlignment="1">
      <alignment horizontal="center" vertical="center" wrapText="1"/>
    </xf>
    <xf numFmtId="0" fontId="24" fillId="0" borderId="16" xfId="0" applyFont="1" applyBorder="1" applyAlignment="1">
      <alignment horizontal="left" vertical="center"/>
    </xf>
    <xf numFmtId="0" fontId="24" fillId="0" borderId="7" xfId="0" applyFont="1" applyBorder="1" applyAlignment="1">
      <alignment vertical="center" wrapText="1"/>
    </xf>
    <xf numFmtId="0" fontId="24" fillId="0" borderId="57" xfId="0" applyFont="1" applyBorder="1" applyAlignment="1">
      <alignment vertical="center" wrapText="1"/>
    </xf>
    <xf numFmtId="0" fontId="24" fillId="0" borderId="0" xfId="0" applyFont="1" applyAlignment="1">
      <alignment vertical="center" wrapText="1"/>
    </xf>
    <xf numFmtId="0" fontId="3" fillId="9" borderId="9" xfId="0" applyFont="1" applyFill="1" applyBorder="1" applyAlignment="1">
      <alignment horizontal="center" vertical="center"/>
    </xf>
    <xf numFmtId="0" fontId="3" fillId="9" borderId="10" xfId="0" applyFont="1" applyFill="1" applyBorder="1" applyAlignment="1">
      <alignment horizontal="center" vertical="center"/>
    </xf>
    <xf numFmtId="0" fontId="3" fillId="4" borderId="11" xfId="0" applyFont="1" applyFill="1" applyBorder="1" applyAlignment="1">
      <alignment horizontal="center" vertical="center" wrapText="1"/>
    </xf>
    <xf numFmtId="0" fontId="3" fillId="10" borderId="2" xfId="0" applyFont="1" applyFill="1" applyBorder="1" applyAlignment="1">
      <alignment horizontal="center" vertical="center"/>
    </xf>
    <xf numFmtId="0" fontId="3" fillId="10" borderId="46" xfId="0" applyFont="1" applyFill="1" applyBorder="1" applyAlignment="1">
      <alignment horizontal="left" vertical="center"/>
    </xf>
    <xf numFmtId="0" fontId="0" fillId="10" borderId="46" xfId="0" applyFill="1" applyBorder="1" applyAlignment="1">
      <alignment horizontal="center" vertical="center"/>
    </xf>
    <xf numFmtId="0" fontId="0" fillId="10" borderId="3" xfId="0" applyFill="1" applyBorder="1" applyAlignment="1">
      <alignment horizontal="center" vertical="center"/>
    </xf>
    <xf numFmtId="0" fontId="3" fillId="4" borderId="62" xfId="0" applyFont="1" applyFill="1" applyBorder="1" applyAlignment="1">
      <alignment horizontal="center" vertical="center" wrapText="1"/>
    </xf>
    <xf numFmtId="0" fontId="3" fillId="4" borderId="11" xfId="0" applyFont="1" applyFill="1" applyBorder="1" applyAlignment="1">
      <alignment horizontal="center" vertical="center"/>
    </xf>
    <xf numFmtId="0" fontId="3" fillId="0" borderId="22" xfId="0" applyFont="1" applyBorder="1" applyAlignment="1">
      <alignment vertical="center"/>
    </xf>
    <xf numFmtId="0" fontId="3" fillId="0" borderId="4" xfId="0" quotePrefix="1" applyFont="1" applyBorder="1" applyAlignment="1">
      <alignment horizontal="center" vertical="center"/>
    </xf>
    <xf numFmtId="0" fontId="3" fillId="0" borderId="18" xfId="0" quotePrefix="1" applyFont="1" applyBorder="1" applyAlignment="1">
      <alignment horizontal="center" vertical="center"/>
    </xf>
    <xf numFmtId="0" fontId="10" fillId="0" borderId="7" xfId="0" applyFont="1" applyBorder="1" applyAlignment="1">
      <alignment horizontal="center" vertical="center"/>
    </xf>
    <xf numFmtId="0" fontId="3" fillId="0" borderId="18" xfId="0" applyFont="1" applyBorder="1" applyAlignment="1">
      <alignment horizontal="center" vertical="center" wrapText="1"/>
    </xf>
    <xf numFmtId="0" fontId="0" fillId="0" borderId="37" xfId="0" applyBorder="1" applyAlignment="1">
      <alignment horizontal="center" vertical="center"/>
    </xf>
    <xf numFmtId="0" fontId="1" fillId="0" borderId="4" xfId="0" applyFont="1" applyBorder="1" applyAlignment="1">
      <alignment horizontal="center" vertical="center"/>
    </xf>
    <xf numFmtId="0" fontId="0" fillId="0" borderId="18" xfId="0" applyBorder="1" applyAlignment="1">
      <alignment horizontal="center" vertical="center"/>
    </xf>
    <xf numFmtId="0" fontId="3" fillId="0" borderId="32" xfId="0" applyFont="1" applyBorder="1" applyAlignment="1">
      <alignment vertical="center" wrapText="1"/>
    </xf>
    <xf numFmtId="0" fontId="3" fillId="0" borderId="1" xfId="0" quotePrefix="1" applyFont="1" applyBorder="1" applyAlignment="1">
      <alignment horizontal="center" vertical="center"/>
    </xf>
    <xf numFmtId="0" fontId="3" fillId="0" borderId="21" xfId="0" quotePrefix="1" applyFont="1" applyBorder="1" applyAlignment="1">
      <alignment horizontal="center" vertical="center"/>
    </xf>
    <xf numFmtId="0" fontId="3" fillId="0" borderId="5" xfId="0" applyFont="1" applyBorder="1" applyAlignment="1">
      <alignment horizontal="center" vertical="center" wrapText="1"/>
    </xf>
    <xf numFmtId="0" fontId="3" fillId="0" borderId="21" xfId="0" applyFont="1" applyBorder="1" applyAlignment="1">
      <alignment horizontal="center" vertical="center" wrapText="1"/>
    </xf>
    <xf numFmtId="0" fontId="0" fillId="0" borderId="19" xfId="0" applyBorder="1" applyAlignment="1">
      <alignment horizontal="center" vertical="center"/>
    </xf>
    <xf numFmtId="0" fontId="0" fillId="0" borderId="21" xfId="0" applyBorder="1" applyAlignment="1">
      <alignment horizontal="center" vertical="center"/>
    </xf>
    <xf numFmtId="0" fontId="3" fillId="0" borderId="32" xfId="0" applyFont="1" applyBorder="1" applyAlignment="1">
      <alignment vertical="center"/>
    </xf>
    <xf numFmtId="0" fontId="18" fillId="0" borderId="32" xfId="0" applyFont="1" applyBorder="1" applyAlignment="1">
      <alignment vertical="center"/>
    </xf>
    <xf numFmtId="0" fontId="18" fillId="0" borderId="1" xfId="0" quotePrefix="1" applyFont="1" applyBorder="1" applyAlignment="1">
      <alignment horizontal="center" vertical="center"/>
    </xf>
    <xf numFmtId="0" fontId="18" fillId="0" borderId="5" xfId="0" applyFont="1" applyBorder="1" applyAlignment="1">
      <alignment horizontal="center" vertical="center" wrapText="1"/>
    </xf>
    <xf numFmtId="0" fontId="18" fillId="0" borderId="21" xfId="0" applyFont="1" applyBorder="1" applyAlignment="1">
      <alignment horizontal="center" vertical="center" wrapText="1"/>
    </xf>
    <xf numFmtId="0" fontId="9" fillId="0" borderId="19" xfId="0" applyFont="1" applyBorder="1" applyAlignment="1">
      <alignment horizontal="center" vertical="center"/>
    </xf>
    <xf numFmtId="0" fontId="9" fillId="0" borderId="5" xfId="0" applyFont="1" applyBorder="1" applyAlignment="1">
      <alignment horizontal="center" vertical="center"/>
    </xf>
    <xf numFmtId="0" fontId="9" fillId="0" borderId="1" xfId="0" applyFont="1" applyBorder="1" applyAlignment="1">
      <alignment horizontal="center" vertical="center"/>
    </xf>
    <xf numFmtId="0" fontId="9" fillId="0" borderId="21" xfId="0" applyFont="1" applyBorder="1" applyAlignment="1">
      <alignment horizontal="center" vertical="center"/>
    </xf>
    <xf numFmtId="0" fontId="9" fillId="0" borderId="0" xfId="0" applyFont="1" applyAlignment="1">
      <alignment vertical="center"/>
    </xf>
    <xf numFmtId="0" fontId="10" fillId="0" borderId="21" xfId="0" applyFont="1" applyBorder="1" applyAlignment="1">
      <alignment horizontal="center" vertical="center" wrapText="1"/>
    </xf>
    <xf numFmtId="0" fontId="3" fillId="0" borderId="21" xfId="0" applyFont="1" applyBorder="1" applyAlignment="1">
      <alignment horizontal="center" vertical="center"/>
    </xf>
    <xf numFmtId="0" fontId="10" fillId="0" borderId="1" xfId="0" quotePrefix="1" applyFont="1" applyBorder="1" applyAlignment="1">
      <alignment horizontal="center" vertical="center"/>
    </xf>
    <xf numFmtId="0" fontId="10" fillId="0" borderId="21" xfId="0" quotePrefix="1" applyFont="1" applyBorder="1" applyAlignment="1">
      <alignment horizontal="center" vertical="center"/>
    </xf>
    <xf numFmtId="0" fontId="3" fillId="0" borderId="49" xfId="0" applyFont="1" applyBorder="1" applyAlignment="1">
      <alignment vertical="center"/>
    </xf>
    <xf numFmtId="0" fontId="3" fillId="0" borderId="25" xfId="0" quotePrefix="1" applyFont="1" applyBorder="1" applyAlignment="1">
      <alignment horizontal="center" vertical="center"/>
    </xf>
    <xf numFmtId="0" fontId="10" fillId="0" borderId="26" xfId="0" quotePrefix="1" applyFont="1" applyBorder="1" applyAlignment="1">
      <alignment horizontal="center" vertical="center"/>
    </xf>
    <xf numFmtId="0" fontId="3" fillId="0" borderId="61" xfId="0" applyFont="1" applyBorder="1" applyAlignment="1">
      <alignment horizontal="center" vertical="center"/>
    </xf>
    <xf numFmtId="0" fontId="3" fillId="0" borderId="26" xfId="0" applyFont="1" applyBorder="1" applyAlignment="1">
      <alignment horizontal="center" vertical="center"/>
    </xf>
    <xf numFmtId="0" fontId="0" fillId="0" borderId="24" xfId="0" applyBorder="1" applyAlignment="1">
      <alignment horizontal="center" vertical="center"/>
    </xf>
    <xf numFmtId="0" fontId="0" fillId="0" borderId="61"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9" fillId="0" borderId="1" xfId="0" applyFont="1" applyBorder="1" applyAlignment="1">
      <alignment vertical="center" wrapText="1"/>
    </xf>
    <xf numFmtId="0" fontId="9" fillId="0" borderId="1" xfId="0" applyFont="1" applyBorder="1" applyAlignment="1">
      <alignment horizontal="left" vertical="center" wrapText="1"/>
    </xf>
    <xf numFmtId="14" fontId="0" fillId="0" borderId="0" xfId="0" applyNumberFormat="1" applyAlignment="1">
      <alignment horizontal="center" vertical="center"/>
    </xf>
    <xf numFmtId="0" fontId="9" fillId="8" borderId="35" xfId="0" applyFont="1" applyFill="1" applyBorder="1" applyAlignment="1">
      <alignment horizontal="center" vertical="center" wrapText="1"/>
    </xf>
    <xf numFmtId="0" fontId="15" fillId="16" borderId="64" xfId="1" applyFill="1" applyBorder="1" applyAlignment="1">
      <alignment horizontal="center" vertical="center"/>
    </xf>
    <xf numFmtId="0" fontId="0" fillId="16" borderId="64" xfId="0" applyFill="1" applyBorder="1" applyAlignment="1">
      <alignment horizontal="center" vertical="center" wrapText="1"/>
    </xf>
    <xf numFmtId="0" fontId="0" fillId="16" borderId="76" xfId="0" applyFill="1" applyBorder="1" applyAlignment="1">
      <alignment horizontal="center" vertical="center" wrapText="1"/>
    </xf>
    <xf numFmtId="0" fontId="0" fillId="15" borderId="65" xfId="0" applyFill="1" applyBorder="1" applyAlignment="1">
      <alignment vertical="top" wrapText="1"/>
    </xf>
    <xf numFmtId="0" fontId="15" fillId="7" borderId="1" xfId="1" applyFill="1" applyBorder="1" applyAlignment="1">
      <alignment horizontal="center" vertical="center"/>
    </xf>
    <xf numFmtId="0" fontId="0" fillId="15" borderId="65" xfId="0" applyFill="1" applyBorder="1" applyAlignment="1">
      <alignment vertical="center"/>
    </xf>
    <xf numFmtId="0" fontId="0" fillId="6" borderId="65" xfId="0" applyFill="1" applyBorder="1" applyAlignment="1">
      <alignment vertical="center" wrapText="1"/>
    </xf>
    <xf numFmtId="0" fontId="0" fillId="15" borderId="66" xfId="0" applyFill="1" applyBorder="1" applyAlignment="1">
      <alignment vertical="center"/>
    </xf>
    <xf numFmtId="0" fontId="0" fillId="15" borderId="67" xfId="0" applyFill="1" applyBorder="1" applyAlignment="1">
      <alignment vertical="center"/>
    </xf>
    <xf numFmtId="0" fontId="0" fillId="15" borderId="68" xfId="0" applyFill="1" applyBorder="1" applyAlignment="1">
      <alignment vertical="center"/>
    </xf>
    <xf numFmtId="0" fontId="0" fillId="16" borderId="64" xfId="0" applyFill="1" applyBorder="1" applyAlignment="1">
      <alignment vertical="center"/>
    </xf>
    <xf numFmtId="0" fontId="0" fillId="0" borderId="64" xfId="0" applyBorder="1" applyAlignment="1">
      <alignment vertical="center"/>
    </xf>
    <xf numFmtId="0" fontId="0" fillId="0" borderId="64" xfId="0" applyBorder="1" applyAlignment="1">
      <alignment horizontal="center" vertical="center"/>
    </xf>
    <xf numFmtId="0" fontId="0" fillId="15" borderId="65" xfId="0" applyFill="1" applyBorder="1" applyAlignment="1">
      <alignment vertical="center" wrapText="1"/>
    </xf>
    <xf numFmtId="0" fontId="0" fillId="0" borderId="70" xfId="0" applyBorder="1" applyAlignment="1">
      <alignment vertical="center"/>
    </xf>
    <xf numFmtId="0" fontId="0" fillId="0" borderId="70" xfId="0" applyBorder="1" applyAlignment="1">
      <alignment horizontal="center" vertical="center"/>
    </xf>
    <xf numFmtId="0" fontId="0" fillId="15" borderId="71" xfId="0" applyFill="1" applyBorder="1" applyAlignment="1">
      <alignment vertical="center"/>
    </xf>
    <xf numFmtId="0" fontId="0" fillId="15" borderId="72" xfId="0" applyFill="1" applyBorder="1" applyAlignment="1">
      <alignment vertical="center"/>
    </xf>
    <xf numFmtId="0" fontId="0" fillId="15" borderId="73" xfId="0" applyFill="1" applyBorder="1" applyAlignment="1">
      <alignment vertical="center"/>
    </xf>
    <xf numFmtId="0" fontId="0" fillId="15" borderId="74" xfId="0" applyFill="1" applyBorder="1" applyAlignment="1">
      <alignment vertical="center"/>
    </xf>
    <xf numFmtId="0" fontId="0" fillId="16" borderId="76" xfId="0" applyFill="1" applyBorder="1" applyAlignment="1">
      <alignment vertical="center"/>
    </xf>
    <xf numFmtId="0" fontId="0" fillId="0" borderId="78" xfId="0" applyBorder="1" applyAlignment="1">
      <alignment vertical="center"/>
    </xf>
    <xf numFmtId="0" fontId="0" fillId="0" borderId="78" xfId="0" applyBorder="1" applyAlignment="1">
      <alignment horizontal="center" vertical="center"/>
    </xf>
    <xf numFmtId="0" fontId="0" fillId="15" borderId="79" xfId="0" applyFill="1" applyBorder="1" applyAlignment="1">
      <alignment vertical="center"/>
    </xf>
    <xf numFmtId="0" fontId="0" fillId="15" borderId="80" xfId="0" applyFill="1" applyBorder="1" applyAlignment="1">
      <alignment vertical="center"/>
    </xf>
    <xf numFmtId="0" fontId="0" fillId="15" borderId="81" xfId="0" applyFill="1" applyBorder="1" applyAlignment="1">
      <alignment vertical="center"/>
    </xf>
    <xf numFmtId="0" fontId="0" fillId="15" borderId="82" xfId="0" applyFill="1" applyBorder="1" applyAlignment="1">
      <alignment vertical="center"/>
    </xf>
    <xf numFmtId="0" fontId="0" fillId="0" borderId="84" xfId="0" applyBorder="1" applyAlignment="1">
      <alignment vertical="center"/>
    </xf>
    <xf numFmtId="0" fontId="0" fillId="0" borderId="84" xfId="0" applyBorder="1" applyAlignment="1">
      <alignment horizontal="center" vertical="center"/>
    </xf>
    <xf numFmtId="0" fontId="0" fillId="0" borderId="35" xfId="0" applyBorder="1"/>
    <xf numFmtId="0" fontId="0" fillId="15" borderId="85" xfId="0" applyFill="1" applyBorder="1"/>
    <xf numFmtId="0" fontId="0" fillId="15" borderId="86" xfId="0" applyFill="1" applyBorder="1"/>
    <xf numFmtId="0" fontId="0" fillId="15" borderId="87" xfId="0" applyFill="1" applyBorder="1"/>
    <xf numFmtId="0" fontId="0" fillId="15" borderId="88" xfId="0" applyFill="1" applyBorder="1"/>
    <xf numFmtId="0" fontId="0" fillId="16" borderId="91" xfId="0" applyFill="1" applyBorder="1"/>
    <xf numFmtId="0" fontId="15" fillId="16" borderId="91" xfId="1" applyFill="1" applyBorder="1" applyAlignment="1">
      <alignment horizontal="center" vertical="center"/>
    </xf>
    <xf numFmtId="0" fontId="0" fillId="16" borderId="91" xfId="0" applyFill="1" applyBorder="1" applyAlignment="1">
      <alignment horizontal="center" vertical="center" wrapText="1"/>
    </xf>
    <xf numFmtId="0" fontId="0" fillId="0" borderId="92" xfId="0" applyBorder="1"/>
    <xf numFmtId="0" fontId="0" fillId="0" borderId="91" xfId="0" applyBorder="1"/>
    <xf numFmtId="0" fontId="0" fillId="0" borderId="91" xfId="0" applyBorder="1" applyAlignment="1">
      <alignment horizontal="center"/>
    </xf>
    <xf numFmtId="0" fontId="0" fillId="15" borderId="93" xfId="0" applyFill="1" applyBorder="1"/>
    <xf numFmtId="0" fontId="0" fillId="15" borderId="94" xfId="0" applyFill="1" applyBorder="1"/>
    <xf numFmtId="0" fontId="0" fillId="15" borderId="95" xfId="0" applyFill="1" applyBorder="1"/>
    <xf numFmtId="0" fontId="0" fillId="15" borderId="96" xfId="0" applyFill="1" applyBorder="1"/>
    <xf numFmtId="0" fontId="0" fillId="0" borderId="98" xfId="0" applyBorder="1"/>
    <xf numFmtId="0" fontId="0" fillId="0" borderId="98" xfId="0" applyBorder="1" applyAlignment="1">
      <alignment horizontal="center"/>
    </xf>
    <xf numFmtId="0" fontId="0" fillId="0" borderId="100" xfId="0" applyBorder="1"/>
    <xf numFmtId="0" fontId="0" fillId="0" borderId="100" xfId="0" applyBorder="1" applyAlignment="1">
      <alignment horizontal="center"/>
    </xf>
    <xf numFmtId="0" fontId="0" fillId="0" borderId="42" xfId="0" applyBorder="1" applyAlignment="1">
      <alignment horizontal="center" vertical="center" wrapText="1"/>
    </xf>
    <xf numFmtId="0" fontId="0" fillId="15" borderId="65" xfId="0" applyFill="1" applyBorder="1" applyAlignment="1">
      <alignment horizontal="center" vertical="center"/>
    </xf>
    <xf numFmtId="0" fontId="0" fillId="16" borderId="63" xfId="0" applyFill="1" applyBorder="1" applyAlignment="1">
      <alignment horizontal="center" vertical="center"/>
    </xf>
    <xf numFmtId="0" fontId="0" fillId="0" borderId="63" xfId="0" applyBorder="1" applyAlignment="1">
      <alignment horizontal="center" vertical="center"/>
    </xf>
    <xf numFmtId="0" fontId="0" fillId="0" borderId="69" xfId="0" applyBorder="1" applyAlignment="1">
      <alignment horizontal="center" vertical="center"/>
    </xf>
    <xf numFmtId="0" fontId="0" fillId="15" borderId="71" xfId="0" applyFill="1" applyBorder="1" applyAlignment="1">
      <alignment horizontal="center" vertical="center"/>
    </xf>
    <xf numFmtId="0" fontId="0" fillId="16" borderId="75" xfId="0" applyFill="1" applyBorder="1" applyAlignment="1">
      <alignment horizontal="center" vertical="center"/>
    </xf>
    <xf numFmtId="0" fontId="0" fillId="0" borderId="77" xfId="0" applyBorder="1" applyAlignment="1">
      <alignment horizontal="center" vertical="center"/>
    </xf>
    <xf numFmtId="0" fontId="0" fillId="15" borderId="79" xfId="0" applyFill="1" applyBorder="1" applyAlignment="1">
      <alignment horizontal="center" vertical="center"/>
    </xf>
    <xf numFmtId="0" fontId="0" fillId="0" borderId="83" xfId="0" applyBorder="1" applyAlignment="1">
      <alignment horizontal="center" vertical="center"/>
    </xf>
    <xf numFmtId="0" fontId="0" fillId="15" borderId="85" xfId="0" applyFill="1" applyBorder="1" applyAlignment="1">
      <alignment horizontal="center"/>
    </xf>
    <xf numFmtId="0" fontId="0" fillId="16" borderId="90" xfId="0" applyFill="1" applyBorder="1" applyAlignment="1">
      <alignment horizontal="center"/>
    </xf>
    <xf numFmtId="0" fontId="0" fillId="0" borderId="90" xfId="0" applyBorder="1" applyAlignment="1">
      <alignment horizontal="center"/>
    </xf>
    <xf numFmtId="0" fontId="0" fillId="15" borderId="93" xfId="0" applyFill="1" applyBorder="1" applyAlignment="1">
      <alignment horizontal="center"/>
    </xf>
    <xf numFmtId="0" fontId="0" fillId="0" borderId="97" xfId="0" applyBorder="1" applyAlignment="1">
      <alignment horizontal="center"/>
    </xf>
    <xf numFmtId="0" fontId="0" fillId="0" borderId="99" xfId="0" applyBorder="1" applyAlignment="1">
      <alignment horizontal="center"/>
    </xf>
    <xf numFmtId="0" fontId="0" fillId="15" borderId="71" xfId="0" applyFill="1" applyBorder="1" applyAlignment="1">
      <alignment vertical="center" wrapText="1"/>
    </xf>
    <xf numFmtId="0" fontId="0" fillId="15" borderId="85" xfId="0" applyFill="1" applyBorder="1" applyAlignment="1">
      <alignment wrapText="1"/>
    </xf>
    <xf numFmtId="0" fontId="0" fillId="0" borderId="0" xfId="0" applyAlignment="1">
      <alignment wrapText="1"/>
    </xf>
    <xf numFmtId="0" fontId="0" fillId="15" borderId="93" xfId="0" applyFill="1" applyBorder="1" applyAlignment="1">
      <alignment wrapText="1"/>
    </xf>
    <xf numFmtId="0" fontId="15" fillId="8" borderId="91" xfId="1" applyFill="1" applyBorder="1" applyAlignment="1">
      <alignment horizontal="center" vertical="center"/>
    </xf>
    <xf numFmtId="0" fontId="15" fillId="8" borderId="1" xfId="1" applyFill="1" applyBorder="1" applyAlignment="1">
      <alignment horizontal="center" vertical="center"/>
    </xf>
    <xf numFmtId="0" fontId="9" fillId="4" borderId="16" xfId="0" applyFont="1" applyFill="1" applyBorder="1" applyAlignment="1">
      <alignment horizontal="center" vertical="center" wrapText="1"/>
    </xf>
    <xf numFmtId="0" fontId="0" fillId="12" borderId="1" xfId="0" applyFill="1" applyBorder="1" applyAlignment="1">
      <alignment vertical="center"/>
    </xf>
    <xf numFmtId="0" fontId="0" fillId="5" borderId="104" xfId="0" applyFill="1" applyBorder="1" applyAlignment="1">
      <alignment horizontal="center" vertical="center"/>
    </xf>
    <xf numFmtId="0" fontId="19" fillId="4" borderId="107" xfId="0" applyFont="1" applyFill="1" applyBorder="1" applyAlignment="1">
      <alignment horizontal="center" vertical="center" wrapText="1"/>
    </xf>
    <xf numFmtId="0" fontId="19" fillId="4" borderId="108" xfId="0" applyFont="1" applyFill="1" applyBorder="1" applyAlignment="1">
      <alignment horizontal="center" vertical="center" wrapText="1"/>
    </xf>
    <xf numFmtId="49" fontId="19" fillId="4" borderId="109" xfId="0" applyNumberFormat="1" applyFont="1" applyFill="1" applyBorder="1" applyAlignment="1">
      <alignment horizontal="center" vertical="center" wrapText="1"/>
    </xf>
    <xf numFmtId="0" fontId="9" fillId="0" borderId="41" xfId="0" applyFont="1" applyBorder="1" applyAlignment="1">
      <alignment horizontal="left" vertical="center" wrapText="1"/>
    </xf>
    <xf numFmtId="0" fontId="9" fillId="0" borderId="0" xfId="0" applyFont="1" applyAlignment="1">
      <alignment horizontal="left" vertical="center" wrapText="1"/>
    </xf>
    <xf numFmtId="0" fontId="0" fillId="12" borderId="59" xfId="0" applyFill="1" applyBorder="1" applyAlignment="1">
      <alignment horizontal="left" vertical="center" wrapText="1"/>
    </xf>
    <xf numFmtId="0" fontId="0" fillId="2" borderId="95" xfId="0" applyFill="1" applyBorder="1" applyAlignment="1">
      <alignment horizontal="left" vertical="center" wrapText="1"/>
    </xf>
    <xf numFmtId="0" fontId="0" fillId="2" borderId="95" xfId="0" applyFill="1" applyBorder="1" applyAlignment="1">
      <alignment horizontal="center" vertical="center" wrapText="1"/>
    </xf>
    <xf numFmtId="0" fontId="0" fillId="6" borderId="100" xfId="0" applyFill="1" applyBorder="1" applyAlignment="1">
      <alignment horizontal="center" vertical="center" wrapText="1"/>
    </xf>
    <xf numFmtId="0" fontId="9" fillId="6" borderId="98" xfId="0" applyFont="1" applyFill="1" applyBorder="1" applyAlignment="1">
      <alignment horizontal="center" vertical="center" wrapText="1"/>
    </xf>
    <xf numFmtId="0" fontId="16" fillId="6" borderId="98" xfId="0" applyFont="1" applyFill="1" applyBorder="1" applyAlignment="1">
      <alignment horizontal="center" vertical="center" wrapText="1"/>
    </xf>
    <xf numFmtId="0" fontId="0" fillId="15" borderId="98" xfId="0" applyFill="1" applyBorder="1"/>
    <xf numFmtId="0" fontId="0" fillId="0" borderId="92" xfId="0" applyBorder="1" applyAlignment="1">
      <alignment horizontal="center" vertical="center" wrapText="1"/>
    </xf>
    <xf numFmtId="0" fontId="9" fillId="4" borderId="95" xfId="0" applyFont="1" applyFill="1" applyBorder="1" applyAlignment="1">
      <alignment horizontal="center" vertical="center" wrapText="1"/>
    </xf>
    <xf numFmtId="0" fontId="0" fillId="2" borderId="98" xfId="0" applyFill="1" applyBorder="1" applyAlignment="1">
      <alignment horizontal="center" vertical="center" wrapText="1"/>
    </xf>
    <xf numFmtId="0" fontId="9" fillId="4" borderId="94" xfId="0" applyFont="1" applyFill="1" applyBorder="1" applyAlignment="1">
      <alignment horizontal="center" vertical="center" wrapText="1"/>
    </xf>
    <xf numFmtId="0" fontId="9" fillId="4" borderId="96" xfId="0" applyFont="1" applyFill="1" applyBorder="1" applyAlignment="1">
      <alignment horizontal="center" vertical="center" wrapText="1"/>
    </xf>
    <xf numFmtId="0" fontId="0" fillId="2" borderId="94" xfId="0" applyFill="1" applyBorder="1" applyAlignment="1">
      <alignment horizontal="center" vertical="center" wrapText="1"/>
    </xf>
    <xf numFmtId="0" fontId="0" fillId="2" borderId="96" xfId="0" applyFill="1" applyBorder="1" applyAlignment="1">
      <alignment horizontal="center" vertical="center" wrapText="1"/>
    </xf>
    <xf numFmtId="0" fontId="9" fillId="4" borderId="92" xfId="0" applyFont="1" applyFill="1" applyBorder="1" applyAlignment="1">
      <alignment horizontal="center" vertical="center" wrapText="1"/>
    </xf>
    <xf numFmtId="0" fontId="0" fillId="0" borderId="101" xfId="0" applyBorder="1" applyAlignment="1">
      <alignment horizontal="center" vertical="center"/>
    </xf>
    <xf numFmtId="0" fontId="0" fillId="0" borderId="102" xfId="0" applyBorder="1" applyAlignment="1">
      <alignment horizontal="center" vertical="center"/>
    </xf>
    <xf numFmtId="17" fontId="0" fillId="0" borderId="103" xfId="0" applyNumberFormat="1" applyBorder="1" applyAlignment="1">
      <alignment horizontal="center" vertical="center"/>
    </xf>
    <xf numFmtId="0" fontId="0" fillId="0" borderId="104" xfId="0" applyBorder="1" applyAlignment="1">
      <alignment horizontal="center" vertical="center"/>
    </xf>
    <xf numFmtId="0" fontId="0" fillId="0" borderId="105" xfId="0" applyBorder="1" applyAlignment="1">
      <alignment horizontal="center" vertical="center"/>
    </xf>
    <xf numFmtId="17" fontId="0" fillId="0" borderId="106" xfId="0" applyNumberFormat="1" applyBorder="1" applyAlignment="1">
      <alignment horizontal="center" vertical="center"/>
    </xf>
    <xf numFmtId="0" fontId="0" fillId="0" borderId="106" xfId="0" applyBorder="1" applyAlignment="1">
      <alignment horizontal="center" vertical="center"/>
    </xf>
    <xf numFmtId="0" fontId="0" fillId="0" borderId="105" xfId="0" quotePrefix="1" applyBorder="1" applyAlignment="1">
      <alignment horizontal="center" vertical="center"/>
    </xf>
    <xf numFmtId="0" fontId="9" fillId="0" borderId="105" xfId="0" quotePrefix="1" applyFont="1" applyBorder="1" applyAlignment="1">
      <alignment horizontal="center" vertical="center"/>
    </xf>
    <xf numFmtId="0" fontId="9" fillId="0" borderId="104" xfId="0" applyFont="1" applyBorder="1" applyAlignment="1">
      <alignment horizontal="center" vertical="center"/>
    </xf>
    <xf numFmtId="0" fontId="9" fillId="0" borderId="105" xfId="0" applyFont="1" applyBorder="1" applyAlignment="1">
      <alignment horizontal="center" vertical="center"/>
    </xf>
    <xf numFmtId="0" fontId="16" fillId="0" borderId="105" xfId="0" quotePrefix="1" applyFont="1" applyBorder="1" applyAlignment="1">
      <alignment horizontal="center" vertical="center"/>
    </xf>
    <xf numFmtId="17" fontId="16" fillId="0" borderId="106" xfId="0" applyNumberFormat="1" applyFont="1" applyBorder="1" applyAlignment="1">
      <alignment horizontal="center" vertical="center"/>
    </xf>
    <xf numFmtId="0" fontId="16" fillId="0" borderId="105" xfId="0" applyFont="1" applyBorder="1" applyAlignment="1">
      <alignment horizontal="center" vertical="center"/>
    </xf>
    <xf numFmtId="0" fontId="9" fillId="17" borderId="105" xfId="0" quotePrefix="1" applyFont="1" applyFill="1" applyBorder="1" applyAlignment="1">
      <alignment horizontal="center" vertical="center"/>
    </xf>
    <xf numFmtId="17" fontId="9" fillId="17" borderId="106" xfId="0" applyNumberFormat="1" applyFont="1" applyFill="1" applyBorder="1" applyAlignment="1">
      <alignment horizontal="center" vertical="center"/>
    </xf>
    <xf numFmtId="0" fontId="0" fillId="17" borderId="105" xfId="0" applyFill="1" applyBorder="1" applyAlignment="1">
      <alignment horizontal="center" vertical="center"/>
    </xf>
    <xf numFmtId="17" fontId="0" fillId="17" borderId="106" xfId="0" applyNumberFormat="1" applyFill="1" applyBorder="1" applyAlignment="1">
      <alignment horizontal="center" vertical="center"/>
    </xf>
    <xf numFmtId="0" fontId="0" fillId="17" borderId="105" xfId="0" quotePrefix="1" applyFill="1" applyBorder="1" applyAlignment="1">
      <alignment horizontal="center" vertical="center"/>
    </xf>
    <xf numFmtId="0" fontId="3" fillId="10" borderId="1" xfId="0" applyFont="1" applyFill="1" applyBorder="1" applyAlignment="1">
      <alignment horizontal="center" vertical="center" wrapText="1"/>
    </xf>
    <xf numFmtId="0" fontId="0" fillId="18" borderId="0" xfId="0" applyFill="1" applyAlignment="1">
      <alignment vertical="center" wrapText="1"/>
    </xf>
    <xf numFmtId="0" fontId="0" fillId="19" borderId="35" xfId="0" applyFill="1" applyBorder="1" applyAlignment="1">
      <alignment horizontal="center" vertical="center" wrapText="1"/>
    </xf>
    <xf numFmtId="0" fontId="30" fillId="0" borderId="35" xfId="0" applyFont="1" applyBorder="1" applyAlignment="1">
      <alignment horizontal="center" vertical="center" wrapText="1"/>
    </xf>
    <xf numFmtId="0" fontId="30" fillId="0" borderId="59" xfId="0" applyFont="1" applyBorder="1" applyAlignment="1">
      <alignment horizontal="center" vertical="center" wrapText="1"/>
    </xf>
    <xf numFmtId="0" fontId="0" fillId="0" borderId="35" xfId="0" applyBorder="1" applyAlignment="1">
      <alignment vertical="center" wrapText="1"/>
    </xf>
    <xf numFmtId="0" fontId="16" fillId="12" borderId="1" xfId="0" applyFont="1" applyFill="1" applyBorder="1" applyAlignment="1">
      <alignment horizontal="left" vertical="center" wrapText="1"/>
    </xf>
    <xf numFmtId="0" fontId="16" fillId="12" borderId="98" xfId="0" applyFont="1" applyFill="1" applyBorder="1" applyAlignment="1">
      <alignment horizontal="center" vertical="center" wrapText="1"/>
    </xf>
    <xf numFmtId="0" fontId="0" fillId="12" borderId="20" xfId="0" applyFill="1" applyBorder="1" applyAlignment="1">
      <alignment horizontal="left" vertical="center" wrapText="1"/>
    </xf>
    <xf numFmtId="0" fontId="0" fillId="12" borderId="20" xfId="0" applyFill="1" applyBorder="1" applyAlignment="1">
      <alignment horizontal="center" vertical="center" wrapText="1"/>
    </xf>
    <xf numFmtId="0" fontId="0" fillId="12" borderId="5" xfId="0" applyFill="1" applyBorder="1" applyAlignment="1">
      <alignment horizontal="center" vertical="center" wrapText="1"/>
    </xf>
    <xf numFmtId="0" fontId="0" fillId="8" borderId="0" xfId="0" applyFill="1" applyAlignment="1">
      <alignment horizontal="center" vertical="center"/>
    </xf>
    <xf numFmtId="0" fontId="0" fillId="5" borderId="0" xfId="0" applyFill="1" applyAlignment="1">
      <alignment vertical="center" wrapText="1"/>
    </xf>
    <xf numFmtId="0" fontId="0" fillId="20" borderId="0" xfId="0" applyFill="1" applyAlignment="1">
      <alignment vertical="center"/>
    </xf>
    <xf numFmtId="0" fontId="0" fillId="0" borderId="98" xfId="0" applyBorder="1" applyAlignment="1">
      <alignment horizontal="center" vertical="center" wrapText="1"/>
    </xf>
    <xf numFmtId="0" fontId="0" fillId="0" borderId="96" xfId="0" applyBorder="1" applyAlignment="1">
      <alignment horizontal="left" vertical="center" wrapText="1"/>
    </xf>
    <xf numFmtId="0" fontId="0" fillId="7" borderId="0" xfId="0" applyFill="1" applyAlignment="1">
      <alignment vertical="center" wrapText="1"/>
    </xf>
    <xf numFmtId="0" fontId="0" fillId="7" borderId="0" xfId="0" applyFill="1" applyAlignment="1">
      <alignment vertical="center"/>
    </xf>
    <xf numFmtId="0" fontId="0" fillId="20" borderId="58" xfId="0" applyFill="1" applyBorder="1" applyAlignment="1">
      <alignment horizontal="left" vertical="center" wrapText="1"/>
    </xf>
    <xf numFmtId="0" fontId="0" fillId="20" borderId="35" xfId="0" applyFill="1" applyBorder="1" applyAlignment="1">
      <alignment horizontal="center" vertical="center" wrapText="1"/>
    </xf>
    <xf numFmtId="0" fontId="3" fillId="2" borderId="42" xfId="0" applyFont="1" applyFill="1" applyBorder="1" applyAlignment="1">
      <alignment horizontal="left" vertical="center" wrapText="1"/>
    </xf>
    <xf numFmtId="0" fontId="3" fillId="2" borderId="89" xfId="0" applyFont="1" applyFill="1" applyBorder="1" applyAlignment="1">
      <alignment horizontal="center" vertical="center" wrapText="1"/>
    </xf>
    <xf numFmtId="0" fontId="18" fillId="2" borderId="56" xfId="0" applyFont="1" applyFill="1" applyBorder="1" applyAlignment="1">
      <alignment horizontal="center" vertical="center" wrapText="1"/>
    </xf>
    <xf numFmtId="0" fontId="18" fillId="2" borderId="41" xfId="0" applyFont="1" applyFill="1" applyBorder="1" applyAlignment="1">
      <alignment horizontal="center" vertical="center" wrapText="1"/>
    </xf>
    <xf numFmtId="0" fontId="18" fillId="2" borderId="45" xfId="0" applyFont="1" applyFill="1" applyBorder="1" applyAlignment="1">
      <alignment horizontal="center" vertical="center" wrapText="1"/>
    </xf>
    <xf numFmtId="0" fontId="3" fillId="2" borderId="58" xfId="0" applyFont="1" applyFill="1" applyBorder="1" applyAlignment="1">
      <alignment horizontal="left" vertical="center" wrapText="1"/>
    </xf>
    <xf numFmtId="0" fontId="0" fillId="2" borderId="0" xfId="0" applyFill="1" applyAlignment="1">
      <alignment horizontal="center" vertical="center" wrapText="1"/>
    </xf>
    <xf numFmtId="0" fontId="16" fillId="2" borderId="35" xfId="0" applyFont="1" applyFill="1" applyBorder="1" applyAlignment="1">
      <alignment horizontal="center" vertical="center" wrapText="1"/>
    </xf>
    <xf numFmtId="0" fontId="16" fillId="2" borderId="0" xfId="0" applyFont="1" applyFill="1" applyAlignment="1">
      <alignment horizontal="center" vertical="center" wrapText="1"/>
    </xf>
    <xf numFmtId="0" fontId="9" fillId="2" borderId="59" xfId="0" applyFont="1" applyFill="1" applyBorder="1" applyAlignment="1">
      <alignment horizontal="center" vertical="center" wrapText="1"/>
    </xf>
    <xf numFmtId="0" fontId="29" fillId="2" borderId="35" xfId="0" applyFont="1" applyFill="1" applyBorder="1" applyAlignment="1">
      <alignment horizontal="center" vertical="center" wrapText="1"/>
    </xf>
    <xf numFmtId="0" fontId="0" fillId="2" borderId="35" xfId="0" applyFill="1" applyBorder="1" applyAlignment="1">
      <alignment horizontal="left" vertical="center" wrapText="1"/>
    </xf>
    <xf numFmtId="0" fontId="3" fillId="2" borderId="100" xfId="0" applyFont="1" applyFill="1" applyBorder="1" applyAlignment="1">
      <alignment horizontal="left" vertical="center" wrapText="1"/>
    </xf>
    <xf numFmtId="0" fontId="0" fillId="7" borderId="58" xfId="0" applyFill="1" applyBorder="1" applyAlignment="1">
      <alignment horizontal="left" vertical="center" wrapText="1"/>
    </xf>
    <xf numFmtId="0" fontId="29" fillId="2" borderId="58" xfId="0" applyFont="1" applyFill="1" applyBorder="1" applyAlignment="1">
      <alignment horizontal="left" vertical="center" wrapText="1"/>
    </xf>
    <xf numFmtId="0" fontId="0" fillId="0" borderId="95" xfId="0" applyBorder="1" applyAlignment="1">
      <alignment horizontal="left" vertical="center" wrapText="1"/>
    </xf>
    <xf numFmtId="0" fontId="0" fillId="0" borderId="95" xfId="0" applyBorder="1" applyAlignment="1">
      <alignment horizontal="center" vertical="center" wrapText="1"/>
    </xf>
    <xf numFmtId="0" fontId="0" fillId="0" borderId="96" xfId="0" applyBorder="1" applyAlignment="1">
      <alignment horizontal="center" vertical="center" wrapText="1"/>
    </xf>
    <xf numFmtId="0" fontId="0" fillId="0" borderId="98" xfId="0" applyBorder="1" applyAlignment="1">
      <alignment horizontal="center" vertical="center"/>
    </xf>
    <xf numFmtId="0" fontId="0" fillId="0" borderId="94" xfId="0" applyBorder="1" applyAlignment="1">
      <alignment vertical="center"/>
    </xf>
    <xf numFmtId="0" fontId="0" fillId="0" borderId="95" xfId="0" applyBorder="1" applyAlignment="1">
      <alignment horizontal="center" vertical="center"/>
    </xf>
    <xf numFmtId="0" fontId="0" fillId="0" borderId="96" xfId="0" applyBorder="1" applyAlignment="1">
      <alignment horizontal="center" vertical="center"/>
    </xf>
    <xf numFmtId="0" fontId="31" fillId="0" borderId="95" xfId="0" applyFont="1" applyBorder="1" applyAlignment="1">
      <alignment wrapText="1"/>
    </xf>
    <xf numFmtId="0" fontId="15" fillId="0" borderId="0" xfId="1"/>
    <xf numFmtId="0" fontId="0" fillId="0" borderId="112" xfId="0" applyBorder="1" applyAlignment="1">
      <alignment horizontal="center"/>
    </xf>
    <xf numFmtId="0" fontId="0" fillId="0" borderId="113" xfId="0" applyBorder="1" applyAlignment="1">
      <alignment horizontal="center"/>
    </xf>
    <xf numFmtId="0" fontId="32" fillId="0" borderId="95" xfId="0" applyFont="1" applyBorder="1" applyAlignment="1">
      <alignment wrapText="1"/>
    </xf>
    <xf numFmtId="0" fontId="33" fillId="0" borderId="95" xfId="0" applyFont="1" applyBorder="1" applyAlignment="1">
      <alignment wrapText="1"/>
    </xf>
    <xf numFmtId="0" fontId="9" fillId="4" borderId="1" xfId="0" applyFont="1" applyFill="1" applyBorder="1" applyAlignment="1">
      <alignment horizontal="center" vertical="center" wrapText="1"/>
    </xf>
    <xf numFmtId="0" fontId="0" fillId="0" borderId="20" xfId="0" applyBorder="1"/>
    <xf numFmtId="0" fontId="0" fillId="0" borderId="5" xfId="0" applyBorder="1"/>
    <xf numFmtId="0" fontId="18" fillId="4" borderId="1" xfId="0" applyFont="1" applyFill="1" applyBorder="1" applyAlignment="1">
      <alignment horizontal="center" vertical="center" wrapText="1"/>
    </xf>
    <xf numFmtId="0" fontId="18" fillId="4" borderId="60"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0" fillId="0" borderId="58" xfId="0" applyBorder="1"/>
    <xf numFmtId="0" fontId="0" fillId="0" borderId="4" xfId="0" applyBorder="1"/>
    <xf numFmtId="0" fontId="9" fillId="4" borderId="60" xfId="0" applyFont="1" applyFill="1" applyBorder="1" applyAlignment="1">
      <alignment horizontal="center" vertical="center" wrapText="1"/>
    </xf>
    <xf numFmtId="0" fontId="3" fillId="5" borderId="98" xfId="0" applyFont="1" applyFill="1" applyBorder="1" applyAlignment="1">
      <alignment horizontal="center" vertical="center" wrapText="1"/>
    </xf>
    <xf numFmtId="0" fontId="0" fillId="0" borderId="110" xfId="0" applyBorder="1"/>
    <xf numFmtId="0" fontId="0" fillId="0" borderId="111" xfId="0" applyBorder="1"/>
    <xf numFmtId="0" fontId="16" fillId="4" borderId="1" xfId="0" applyFont="1" applyFill="1" applyBorder="1" applyAlignment="1">
      <alignment horizontal="center" vertical="center" wrapText="1"/>
    </xf>
    <xf numFmtId="0" fontId="18" fillId="4" borderId="16" xfId="0" applyFont="1" applyFill="1" applyBorder="1" applyAlignment="1">
      <alignment horizontal="center" vertical="center" wrapText="1"/>
    </xf>
    <xf numFmtId="0" fontId="0" fillId="0" borderId="16" xfId="0" applyBorder="1"/>
    <xf numFmtId="0" fontId="9" fillId="4" borderId="16" xfId="0" applyFont="1" applyFill="1" applyBorder="1" applyAlignment="1">
      <alignment horizontal="center" vertical="center" wrapText="1"/>
    </xf>
    <xf numFmtId="0" fontId="18" fillId="4" borderId="95" xfId="0" applyFont="1" applyFill="1" applyBorder="1" applyAlignment="1">
      <alignment horizontal="center" vertical="center" wrapText="1"/>
    </xf>
    <xf numFmtId="0" fontId="0" fillId="0" borderId="95" xfId="0" applyBorder="1"/>
    <xf numFmtId="0" fontId="18" fillId="4" borderId="93" xfId="0" applyFont="1" applyFill="1" applyBorder="1" applyAlignment="1">
      <alignment horizontal="center" vertical="center" wrapText="1"/>
    </xf>
    <xf numFmtId="0" fontId="0" fillId="0" borderId="96" xfId="0" applyBorder="1"/>
    <xf numFmtId="0" fontId="3" fillId="5" borderId="94" xfId="0" applyFont="1" applyFill="1" applyBorder="1" applyAlignment="1">
      <alignment horizontal="center" vertical="center" wrapText="1"/>
    </xf>
    <xf numFmtId="0" fontId="0" fillId="0" borderId="92" xfId="0" applyBorder="1"/>
    <xf numFmtId="0" fontId="19" fillId="4" borderId="29" xfId="0" applyFont="1" applyFill="1" applyBorder="1" applyAlignment="1">
      <alignment horizontal="center" vertical="center" wrapText="1"/>
    </xf>
    <xf numFmtId="0" fontId="0" fillId="0" borderId="27" xfId="0" applyBorder="1"/>
    <xf numFmtId="0" fontId="0" fillId="0" borderId="34" xfId="0" applyBorder="1"/>
    <xf numFmtId="0" fontId="18" fillId="4" borderId="29" xfId="0" applyFont="1" applyFill="1" applyBorder="1" applyAlignment="1">
      <alignment horizontal="center" vertical="center" wrapText="1"/>
    </xf>
    <xf numFmtId="0" fontId="18" fillId="4" borderId="29" xfId="0" quotePrefix="1" applyFont="1" applyFill="1" applyBorder="1" applyAlignment="1">
      <alignment horizontal="center" vertical="center" wrapText="1"/>
    </xf>
    <xf numFmtId="0" fontId="19" fillId="14" borderId="29" xfId="0" applyFont="1" applyFill="1" applyBorder="1" applyAlignment="1">
      <alignment horizontal="center" vertical="center" wrapText="1"/>
    </xf>
    <xf numFmtId="0" fontId="22" fillId="5" borderId="42" xfId="0" applyFont="1" applyFill="1" applyBorder="1" applyAlignment="1">
      <alignment horizontal="center" vertical="center" wrapText="1"/>
    </xf>
    <xf numFmtId="0" fontId="0" fillId="0" borderId="45" xfId="0" applyBorder="1"/>
    <xf numFmtId="0" fontId="23" fillId="5" borderId="42"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13" borderId="5" xfId="0" applyFont="1" applyFill="1" applyBorder="1" applyAlignment="1">
      <alignment horizontal="center" vertical="center" wrapText="1"/>
    </xf>
    <xf numFmtId="0" fontId="0" fillId="0" borderId="7" xfId="0" applyBorder="1"/>
    <xf numFmtId="0" fontId="0" fillId="0" borderId="41" xfId="0" applyBorder="1"/>
    <xf numFmtId="0" fontId="3" fillId="4" borderId="42" xfId="0" applyFont="1" applyFill="1" applyBorder="1" applyAlignment="1">
      <alignment horizontal="center" vertical="center" wrapText="1"/>
    </xf>
    <xf numFmtId="0" fontId="3" fillId="13" borderId="60" xfId="0" applyFont="1" applyFill="1" applyBorder="1" applyAlignment="1">
      <alignment horizontal="center" vertical="center" wrapText="1"/>
    </xf>
    <xf numFmtId="0" fontId="0" fillId="0" borderId="57" xfId="0" applyBorder="1"/>
    <xf numFmtId="0" fontId="3" fillId="0" borderId="27" xfId="0" applyFont="1" applyBorder="1" applyAlignment="1">
      <alignment horizontal="center" vertical="center"/>
    </xf>
    <xf numFmtId="0" fontId="0" fillId="0" borderId="2" xfId="0" applyBorder="1" applyAlignment="1">
      <alignment horizontal="center" vertical="center" wrapText="1"/>
    </xf>
    <xf numFmtId="0" fontId="0" fillId="0" borderId="46" xfId="0" applyBorder="1"/>
    <xf numFmtId="0" fontId="0" fillId="0" borderId="3" xfId="0" applyBorder="1"/>
    <xf numFmtId="0" fontId="3" fillId="0" borderId="22" xfId="0" applyFont="1" applyBorder="1" applyAlignment="1">
      <alignment horizontal="center" vertical="center" wrapText="1"/>
    </xf>
    <xf numFmtId="0" fontId="0" fillId="0" borderId="17" xfId="0" applyBorder="1"/>
    <xf numFmtId="0" fontId="0" fillId="0" borderId="22" xfId="0" applyBorder="1"/>
    <xf numFmtId="0" fontId="3" fillId="0" borderId="38" xfId="0" applyFont="1" applyBorder="1" applyAlignment="1">
      <alignment horizontal="center" vertical="center"/>
    </xf>
    <xf numFmtId="0" fontId="0" fillId="0" borderId="31" xfId="0" applyBorder="1"/>
    <xf numFmtId="0" fontId="0" fillId="0" borderId="49" xfId="0" applyBorder="1" applyAlignment="1">
      <alignment horizontal="center" vertical="center"/>
    </xf>
    <xf numFmtId="0" fontId="0" fillId="0" borderId="14" xfId="0" applyBorder="1"/>
    <xf numFmtId="0" fontId="0" fillId="0" borderId="32" xfId="0" applyBorder="1" applyAlignment="1">
      <alignment horizontal="center" vertical="center"/>
    </xf>
    <xf numFmtId="0" fontId="3" fillId="2" borderId="22" xfId="0" applyFont="1" applyFill="1" applyBorder="1" applyAlignment="1">
      <alignment horizontal="center" vertical="center"/>
    </xf>
    <xf numFmtId="0" fontId="5" fillId="0" borderId="2" xfId="0" applyFont="1" applyBorder="1" applyAlignment="1">
      <alignment horizontal="center" vertical="center"/>
    </xf>
    <xf numFmtId="0" fontId="0" fillId="0" borderId="2" xfId="0" applyBorder="1" applyAlignment="1">
      <alignment horizontal="center"/>
    </xf>
    <xf numFmtId="0" fontId="0" fillId="0" borderId="24" xfId="0" applyBorder="1" applyAlignment="1">
      <alignment horizontal="center" vertical="center"/>
    </xf>
    <xf numFmtId="0" fontId="0" fillId="0" borderId="53" xfId="0" applyBorder="1"/>
    <xf numFmtId="0" fontId="0" fillId="0" borderId="47" xfId="0" applyBorder="1"/>
    <xf numFmtId="0" fontId="0" fillId="0" borderId="0" xfId="0"/>
    <xf numFmtId="0" fontId="0" fillId="0" borderId="36" xfId="0" applyBorder="1"/>
    <xf numFmtId="0" fontId="0" fillId="0" borderId="48" xfId="0" applyBorder="1"/>
    <xf numFmtId="0" fontId="0" fillId="0" borderId="54" xfId="0" applyBorder="1"/>
    <xf numFmtId="0" fontId="0" fillId="0" borderId="44" xfId="0" applyBorder="1"/>
    <xf numFmtId="0" fontId="3" fillId="0" borderId="48" xfId="0" applyFont="1" applyBorder="1" applyAlignment="1">
      <alignment horizontal="center" vertical="center"/>
    </xf>
    <xf numFmtId="0" fontId="5" fillId="0" borderId="2" xfId="0" applyFont="1" applyBorder="1" applyAlignment="1">
      <alignment horizontal="center"/>
    </xf>
    <xf numFmtId="0" fontId="3" fillId="0" borderId="16" xfId="0" applyFont="1" applyBorder="1" applyAlignment="1">
      <alignment horizontal="center" vertical="center"/>
    </xf>
    <xf numFmtId="0" fontId="3" fillId="0" borderId="15" xfId="0" applyFont="1" applyBorder="1" applyAlignment="1">
      <alignment horizontal="center" vertical="center"/>
    </xf>
    <xf numFmtId="0" fontId="0" fillId="0" borderId="37" xfId="0" applyBorder="1"/>
    <xf numFmtId="0" fontId="5" fillId="0" borderId="15" xfId="0" applyFont="1" applyBorder="1" applyAlignment="1">
      <alignment horizontal="center" vertical="center"/>
    </xf>
    <xf numFmtId="0" fontId="0" fillId="0" borderId="55" xfId="0" applyBorder="1"/>
    <xf numFmtId="0" fontId="5" fillId="0" borderId="32" xfId="0" applyFont="1" applyBorder="1" applyAlignment="1">
      <alignment horizontal="center" vertical="center"/>
    </xf>
    <xf numFmtId="0" fontId="3" fillId="0" borderId="9" xfId="0" applyFont="1" applyBorder="1" applyAlignment="1">
      <alignment horizontal="center"/>
    </xf>
    <xf numFmtId="0" fontId="0" fillId="0" borderId="62" xfId="0" applyBorder="1"/>
    <xf numFmtId="0" fontId="6" fillId="0" borderId="6" xfId="0" applyFont="1" applyBorder="1" applyAlignment="1">
      <alignment horizontal="center" vertical="center"/>
    </xf>
    <xf numFmtId="0" fontId="3" fillId="0" borderId="49" xfId="0" applyFont="1" applyBorder="1" applyAlignment="1">
      <alignment horizontal="center" vertical="center" wrapText="1"/>
    </xf>
    <xf numFmtId="0" fontId="5" fillId="0" borderId="49" xfId="0" applyFont="1" applyBorder="1" applyAlignment="1">
      <alignment horizontal="center" vertical="center" wrapText="1"/>
    </xf>
    <xf numFmtId="0" fontId="0" fillId="0" borderId="15" xfId="0" applyBorder="1" applyAlignment="1">
      <alignment horizontal="center" vertical="center"/>
    </xf>
    <xf numFmtId="0" fontId="0" fillId="0" borderId="50" xfId="0" applyBorder="1"/>
    <xf numFmtId="0" fontId="0" fillId="0" borderId="33" xfId="0" applyBorder="1"/>
    <xf numFmtId="0" fontId="0" fillId="0" borderId="51" xfId="0" applyBorder="1"/>
    <xf numFmtId="0" fontId="0" fillId="0" borderId="52" xfId="0" applyBorder="1"/>
    <xf numFmtId="0" fontId="5" fillId="0" borderId="22" xfId="0" applyFont="1" applyBorder="1" applyAlignment="1">
      <alignment horizontal="center" vertical="center" wrapText="1"/>
    </xf>
    <xf numFmtId="0" fontId="0" fillId="2" borderId="32" xfId="0" applyFill="1" applyBorder="1" applyAlignment="1">
      <alignment horizontal="center" vertical="center"/>
    </xf>
    <xf numFmtId="0" fontId="3" fillId="0" borderId="2" xfId="0" applyFont="1" applyBorder="1" applyAlignment="1">
      <alignment horizontal="center" vertical="center"/>
    </xf>
    <xf numFmtId="0" fontId="0" fillId="0" borderId="6" xfId="0" applyBorder="1"/>
    <xf numFmtId="0" fontId="5" fillId="0" borderId="28" xfId="0" applyFont="1" applyBorder="1" applyAlignment="1">
      <alignment horizontal="center" vertical="center"/>
    </xf>
    <xf numFmtId="0" fontId="3" fillId="0" borderId="20" xfId="0" applyFont="1" applyBorder="1" applyAlignment="1">
      <alignment horizontal="center" vertical="center"/>
    </xf>
    <xf numFmtId="0" fontId="12" fillId="0" borderId="39" xfId="0" applyFont="1" applyBorder="1" applyAlignment="1">
      <alignment horizontal="center" wrapText="1"/>
    </xf>
    <xf numFmtId="0" fontId="0" fillId="0" borderId="40" xfId="0" applyBorder="1"/>
    <xf numFmtId="0" fontId="0" fillId="2" borderId="28" xfId="0" applyFill="1" applyBorder="1" applyAlignment="1">
      <alignment horizontal="center" vertical="center"/>
    </xf>
    <xf numFmtId="0" fontId="5" fillId="0" borderId="24" xfId="0" applyFont="1" applyBorder="1" applyAlignment="1">
      <alignment horizontal="center" vertical="center"/>
    </xf>
    <xf numFmtId="0" fontId="0" fillId="0" borderId="2" xfId="0" applyBorder="1" applyAlignment="1">
      <alignment horizontal="center" vertical="center"/>
    </xf>
    <xf numFmtId="0" fontId="7" fillId="0" borderId="6" xfId="0" applyFont="1" applyBorder="1" applyAlignment="1">
      <alignment horizontal="center" vertical="center"/>
    </xf>
    <xf numFmtId="0" fontId="0" fillId="0" borderId="11" xfId="0" applyBorder="1" applyAlignment="1">
      <alignment horizontal="center" vertical="center"/>
    </xf>
    <xf numFmtId="0" fontId="0" fillId="0" borderId="35" xfId="0" applyBorder="1"/>
    <xf numFmtId="0" fontId="0" fillId="0" borderId="43" xfId="0" applyBorder="1"/>
    <xf numFmtId="0" fontId="0" fillId="2" borderId="49" xfId="0" applyFill="1" applyBorder="1" applyAlignment="1">
      <alignment horizontal="center" vertical="center"/>
    </xf>
    <xf numFmtId="0" fontId="3" fillId="0" borderId="49" xfId="0" applyFont="1" applyBorder="1" applyAlignment="1">
      <alignment horizontal="center" vertical="center"/>
    </xf>
    <xf numFmtId="0" fontId="0" fillId="0" borderId="28" xfId="0" applyBorder="1" applyAlignment="1">
      <alignment horizontal="center" vertical="center"/>
    </xf>
    <xf numFmtId="0" fontId="0" fillId="3" borderId="49" xfId="0" applyFill="1" applyBorder="1" applyAlignment="1">
      <alignment horizontal="center" vertical="center"/>
    </xf>
    <xf numFmtId="0" fontId="3" fillId="2" borderId="49" xfId="0" applyFont="1" applyFill="1" applyBorder="1" applyAlignment="1">
      <alignment horizontal="center" vertical="center"/>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f:/r/sites/IngegneriaETReMezziLeggeri-Trenitalia/"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dimension ref="A1:C5"/>
  <sheetViews>
    <sheetView workbookViewId="0">
      <selection activeCell="C17" sqref="C17"/>
    </sheetView>
  </sheetViews>
  <sheetFormatPr defaultColWidth="8.7109375" defaultRowHeight="15" x14ac:dyDescent="0.25"/>
  <cols>
    <col min="1" max="2" width="10.85546875" style="13" customWidth="1"/>
    <col min="3" max="3" width="59" style="13" customWidth="1"/>
    <col min="4" max="6" width="8.7109375" style="13" customWidth="1"/>
    <col min="7" max="16384" width="8.7109375" style="13"/>
  </cols>
  <sheetData>
    <row r="1" spans="1:3" s="196" customFormat="1" x14ac:dyDescent="0.25">
      <c r="A1" s="163" t="s">
        <v>190</v>
      </c>
      <c r="B1" s="163" t="s">
        <v>191</v>
      </c>
      <c r="C1" s="163" t="s">
        <v>51</v>
      </c>
    </row>
    <row r="2" spans="1:3" x14ac:dyDescent="0.25">
      <c r="A2" s="7" t="s">
        <v>192</v>
      </c>
      <c r="B2" s="197">
        <v>46190</v>
      </c>
      <c r="C2" s="140" t="s">
        <v>193</v>
      </c>
    </row>
    <row r="3" spans="1:3" x14ac:dyDescent="0.25">
      <c r="A3" s="140"/>
      <c r="B3" s="140"/>
      <c r="C3" s="140"/>
    </row>
    <row r="4" spans="1:3" x14ac:dyDescent="0.25">
      <c r="A4" s="140"/>
      <c r="B4" s="140"/>
      <c r="C4" s="140"/>
    </row>
    <row r="5" spans="1:3" x14ac:dyDescent="0.25">
      <c r="A5" s="140"/>
      <c r="B5" s="140"/>
      <c r="C5" s="14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oglio2"/>
  <dimension ref="A1:E13"/>
  <sheetViews>
    <sheetView topLeftCell="A11" workbookViewId="0">
      <selection activeCell="D12" sqref="D12"/>
    </sheetView>
  </sheetViews>
  <sheetFormatPr defaultColWidth="8.7109375" defaultRowHeight="15" x14ac:dyDescent="0.25"/>
  <cols>
    <col min="1" max="1" width="15.5703125" style="14" customWidth="1"/>
    <col min="2" max="2" width="13.85546875" style="14" customWidth="1"/>
    <col min="3" max="3" width="8.7109375" style="14" customWidth="1"/>
    <col min="4" max="4" width="120.7109375" style="103" customWidth="1"/>
    <col min="5" max="5" width="60.140625" style="103" customWidth="1"/>
    <col min="6" max="8" width="8.7109375" style="13" customWidth="1"/>
    <col min="9" max="16384" width="8.7109375" style="13"/>
  </cols>
  <sheetData>
    <row r="1" spans="1:5" s="200" customFormat="1" ht="23.45" customHeight="1" x14ac:dyDescent="0.25">
      <c r="A1" s="163" t="s">
        <v>191</v>
      </c>
      <c r="B1" s="163" t="s">
        <v>194</v>
      </c>
      <c r="C1" s="163" t="s">
        <v>195</v>
      </c>
      <c r="D1" s="432" t="s">
        <v>51</v>
      </c>
      <c r="E1" s="432" t="s">
        <v>196</v>
      </c>
    </row>
    <row r="2" spans="1:5" ht="30" customHeight="1" x14ac:dyDescent="0.25">
      <c r="A2" s="318">
        <v>46190</v>
      </c>
      <c r="B2" s="14" t="s">
        <v>197</v>
      </c>
      <c r="C2" s="14" t="s">
        <v>198</v>
      </c>
      <c r="D2" s="103" t="s">
        <v>199</v>
      </c>
      <c r="E2" s="103" t="s">
        <v>200</v>
      </c>
    </row>
    <row r="3" spans="1:5" x14ac:dyDescent="0.25">
      <c r="A3" s="318">
        <v>46190</v>
      </c>
      <c r="B3" s="14" t="s">
        <v>197</v>
      </c>
      <c r="C3" s="14" t="s">
        <v>198</v>
      </c>
      <c r="D3" s="103" t="s">
        <v>201</v>
      </c>
      <c r="E3" s="103" t="s">
        <v>202</v>
      </c>
    </row>
    <row r="4" spans="1:5" x14ac:dyDescent="0.25">
      <c r="A4" s="318">
        <v>46190</v>
      </c>
      <c r="B4" s="14" t="s">
        <v>203</v>
      </c>
      <c r="C4" s="14" t="s">
        <v>198</v>
      </c>
      <c r="D4" s="103" t="s">
        <v>204</v>
      </c>
      <c r="E4" s="103" t="s">
        <v>205</v>
      </c>
    </row>
    <row r="5" spans="1:5" ht="45" customHeight="1" x14ac:dyDescent="0.25">
      <c r="A5" s="318">
        <v>46190</v>
      </c>
      <c r="B5" s="14" t="s">
        <v>197</v>
      </c>
      <c r="C5" s="14" t="s">
        <v>198</v>
      </c>
      <c r="D5" s="103" t="s">
        <v>206</v>
      </c>
      <c r="E5" s="103" t="s">
        <v>207</v>
      </c>
    </row>
    <row r="6" spans="1:5" x14ac:dyDescent="0.25">
      <c r="A6" s="318">
        <v>46189</v>
      </c>
      <c r="B6" s="14" t="s">
        <v>203</v>
      </c>
      <c r="C6" s="14" t="s">
        <v>208</v>
      </c>
      <c r="D6" s="103" t="s">
        <v>209</v>
      </c>
      <c r="E6" s="103" t="s">
        <v>210</v>
      </c>
    </row>
    <row r="7" spans="1:5" ht="45" customHeight="1" x14ac:dyDescent="0.25">
      <c r="A7" s="318">
        <v>46189</v>
      </c>
      <c r="B7" s="14" t="s">
        <v>203</v>
      </c>
      <c r="C7" s="14" t="s">
        <v>211</v>
      </c>
      <c r="D7" s="103" t="s">
        <v>212</v>
      </c>
      <c r="E7" s="103" t="s">
        <v>213</v>
      </c>
    </row>
    <row r="8" spans="1:5" x14ac:dyDescent="0.25">
      <c r="A8" s="318">
        <v>46189</v>
      </c>
      <c r="B8" s="14" t="s">
        <v>203</v>
      </c>
      <c r="C8" s="14" t="s">
        <v>208</v>
      </c>
      <c r="D8" s="103" t="s">
        <v>214</v>
      </c>
      <c r="E8" s="103" t="s">
        <v>43</v>
      </c>
    </row>
    <row r="9" spans="1:5" x14ac:dyDescent="0.25">
      <c r="A9" s="318">
        <v>46189</v>
      </c>
      <c r="B9" s="14" t="s">
        <v>203</v>
      </c>
      <c r="C9" s="14" t="s">
        <v>208</v>
      </c>
      <c r="D9" s="106" t="s">
        <v>215</v>
      </c>
      <c r="E9" s="103" t="s">
        <v>43</v>
      </c>
    </row>
    <row r="10" spans="1:5" x14ac:dyDescent="0.25">
      <c r="A10" s="318">
        <v>46189</v>
      </c>
      <c r="B10" s="14" t="s">
        <v>203</v>
      </c>
      <c r="C10" s="14" t="s">
        <v>208</v>
      </c>
      <c r="D10" s="103" t="s">
        <v>216</v>
      </c>
      <c r="E10" s="103" t="s">
        <v>43</v>
      </c>
    </row>
    <row r="11" spans="1:5" ht="60" customHeight="1" x14ac:dyDescent="0.25">
      <c r="A11" s="318">
        <v>46196</v>
      </c>
      <c r="B11" s="14" t="s">
        <v>203</v>
      </c>
      <c r="C11" s="14" t="s">
        <v>198</v>
      </c>
      <c r="D11" s="433" t="s">
        <v>217</v>
      </c>
      <c r="E11" s="103" t="s">
        <v>218</v>
      </c>
    </row>
    <row r="12" spans="1:5" ht="105" customHeight="1" x14ac:dyDescent="0.25">
      <c r="A12" s="318">
        <v>46196</v>
      </c>
      <c r="B12" s="14" t="s">
        <v>203</v>
      </c>
      <c r="C12" s="14" t="s">
        <v>198</v>
      </c>
      <c r="D12" s="433" t="s">
        <v>219</v>
      </c>
      <c r="E12" s="103" t="s">
        <v>220</v>
      </c>
    </row>
    <row r="13" spans="1:5" ht="30" customHeight="1" x14ac:dyDescent="0.25">
      <c r="A13" s="318">
        <v>46197</v>
      </c>
      <c r="B13" s="14" t="s">
        <v>197</v>
      </c>
      <c r="C13" s="14" t="s">
        <v>211</v>
      </c>
      <c r="D13" s="103" t="s">
        <v>221</v>
      </c>
      <c r="E13" s="103" t="s">
        <v>222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oglio7"/>
  <dimension ref="A1:E13"/>
  <sheetViews>
    <sheetView workbookViewId="0">
      <selection activeCell="D27" sqref="D27"/>
    </sheetView>
  </sheetViews>
  <sheetFormatPr defaultColWidth="8.7109375" defaultRowHeight="15" x14ac:dyDescent="0.25"/>
  <cols>
    <col min="1" max="1" width="30.85546875" style="13" bestFit="1" customWidth="1"/>
    <col min="2" max="2" width="23.85546875" style="13" bestFit="1" customWidth="1"/>
    <col min="3" max="3" width="6.5703125" style="13" bestFit="1" customWidth="1"/>
    <col min="4" max="4" width="139.42578125" style="104" bestFit="1" customWidth="1"/>
    <col min="5" max="5" width="8.7109375" style="14" customWidth="1"/>
    <col min="6" max="8" width="8.7109375" style="13" customWidth="1"/>
    <col min="9" max="16384" width="8.7109375" style="13"/>
  </cols>
  <sheetData>
    <row r="1" spans="1:5" ht="21.6" customHeight="1" x14ac:dyDescent="0.25">
      <c r="A1" s="179" t="s">
        <v>223</v>
      </c>
      <c r="B1" s="179" t="s">
        <v>224</v>
      </c>
      <c r="C1" s="179" t="s">
        <v>225</v>
      </c>
      <c r="D1" s="180" t="s">
        <v>226</v>
      </c>
      <c r="E1" s="180" t="s">
        <v>227</v>
      </c>
    </row>
    <row r="2" spans="1:5" ht="21.6" customHeight="1" x14ac:dyDescent="0.25">
      <c r="A2" s="14" t="s">
        <v>228</v>
      </c>
      <c r="B2" s="14" t="s">
        <v>229</v>
      </c>
      <c r="C2" s="14">
        <v>0</v>
      </c>
      <c r="D2" s="178" t="s">
        <v>230</v>
      </c>
      <c r="E2" s="198" t="str">
        <f>HYPERLINK(D2,"🔗")</f>
        <v>🔗</v>
      </c>
    </row>
    <row r="3" spans="1:5" ht="21.6" customHeight="1" x14ac:dyDescent="0.25">
      <c r="A3" s="14" t="s">
        <v>231</v>
      </c>
      <c r="B3" s="14" t="s">
        <v>232</v>
      </c>
      <c r="C3" s="14">
        <v>1</v>
      </c>
      <c r="D3" s="178" t="str">
        <f>CONCATENATE($D$2,B3)</f>
        <v>https://gruppofsitaliane.sharepoint.com/:f:/r/sites/IngegneriaETReMezziLeggeri-Trenitalia/Shared%20Documents/</v>
      </c>
      <c r="E3" s="198" t="str">
        <f>HYPERLINK(D3,"🔗")</f>
        <v>🔗</v>
      </c>
    </row>
    <row r="4" spans="1:5" ht="21.6" customHeight="1" x14ac:dyDescent="0.25">
      <c r="A4" s="14" t="s">
        <v>233</v>
      </c>
      <c r="B4" s="14" t="s">
        <v>234</v>
      </c>
      <c r="C4" s="14">
        <v>2</v>
      </c>
      <c r="D4" s="178" t="str">
        <f>CONCATENATE($D$3,B4)</f>
        <v>https://gruppofsitaliane.sharepoint.com/:f:/r/sites/IngegneriaETReMezziLeggeri-Trenitalia/Shared%20Documents/DB_ETR1000/</v>
      </c>
      <c r="E4" s="198" t="str">
        <f>HYPERLINK(D4,"🔗")</f>
        <v>🔗</v>
      </c>
    </row>
    <row r="5" spans="1:5" ht="21.6" customHeight="1" x14ac:dyDescent="0.25">
      <c r="A5" s="14" t="s">
        <v>235</v>
      </c>
      <c r="B5" s="14" t="s">
        <v>236</v>
      </c>
      <c r="C5" s="14">
        <v>3</v>
      </c>
      <c r="D5" s="178" t="str">
        <f>CONCATENATE($D$4,B5)</f>
        <v>https://gruppofsitaliane.sharepoint.com/:f:/r/sites/IngegneriaETReMezziLeggeri-Trenitalia/Shared%20Documents/DB_ETR1000/DOC_FLOTTE/</v>
      </c>
      <c r="E5" s="198" t="str">
        <f>HYPERLINK(D5,"🔗")</f>
        <v>🔗</v>
      </c>
    </row>
    <row r="6" spans="1:5" ht="21.6" customHeight="1" x14ac:dyDescent="0.25">
      <c r="A6" s="14" t="s">
        <v>237</v>
      </c>
      <c r="B6" s="14" t="s">
        <v>238</v>
      </c>
      <c r="C6" s="14">
        <v>3</v>
      </c>
      <c r="D6" s="178" t="str">
        <f>CONCATENATE($D$4,B6)</f>
        <v>https://gruppofsitaliane.sharepoint.com/:f:/r/sites/IngegneriaETReMezziLeggeri-Trenitalia/Shared%20Documents/DB_ETR1000/DOC_FUNC/</v>
      </c>
      <c r="E6" s="198" t="str">
        <f>HYPERLINK(D6,"🔗")</f>
        <v>🔗</v>
      </c>
    </row>
    <row r="7" spans="1:5" ht="21.95" customHeight="1" x14ac:dyDescent="0.25"/>
    <row r="8" spans="1:5" ht="21.95" customHeight="1" x14ac:dyDescent="0.25"/>
    <row r="9" spans="1:5" ht="21.95" customHeight="1" x14ac:dyDescent="0.25"/>
    <row r="10" spans="1:5" ht="21.95" customHeight="1" x14ac:dyDescent="0.25">
      <c r="A10" s="13" t="s">
        <v>239</v>
      </c>
    </row>
    <row r="11" spans="1:5" ht="21.95" customHeight="1" x14ac:dyDescent="0.25">
      <c r="A11" s="13" t="s">
        <v>240</v>
      </c>
      <c r="B11" s="13" t="s">
        <v>241</v>
      </c>
    </row>
    <row r="12" spans="1:5" ht="21.95" customHeight="1" x14ac:dyDescent="0.25">
      <c r="A12" s="13" t="s">
        <v>3</v>
      </c>
      <c r="B12" s="13" t="s">
        <v>242</v>
      </c>
    </row>
    <row r="13" spans="1:5" x14ac:dyDescent="0.25">
      <c r="A13" s="13" t="s">
        <v>243</v>
      </c>
      <c r="B13" s="13" t="s">
        <v>244</v>
      </c>
    </row>
  </sheetData>
  <hyperlinks>
    <hyperlink ref="D2" r:id="rId1" xr:uid="{00000000-0004-0000-0200-000000000000}"/>
  </hyperlinks>
  <pageMargins left="0.7" right="0.7" top="0.75" bottom="0.75" header="0.3" footer="0.3"/>
  <pageSetup paperSize="9" orientation="portrait" horizontalDpi="1200" verticalDpi="1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oglio3">
    <tabColor theme="4" tint="0.39997558519241921"/>
  </sheetPr>
  <dimension ref="A1:BW9"/>
  <sheetViews>
    <sheetView zoomScaleNormal="100" workbookViewId="0">
      <selection activeCell="E19" sqref="E19"/>
    </sheetView>
  </sheetViews>
  <sheetFormatPr defaultRowHeight="15" x14ac:dyDescent="0.25"/>
  <cols>
    <col min="1" max="1" width="19.42578125" bestFit="1" customWidth="1"/>
    <col min="2" max="3" width="17.5703125" customWidth="1"/>
    <col min="4" max="4" width="15.42578125" customWidth="1"/>
    <col min="5" max="5" width="15.140625" customWidth="1"/>
    <col min="6" max="6" width="11" style="12" customWidth="1"/>
    <col min="7" max="52" width="3.85546875" style="12" bestFit="1" customWidth="1"/>
    <col min="53" max="69" width="2.85546875" style="12" bestFit="1" customWidth="1"/>
    <col min="70" max="75" width="3.85546875" style="12" bestFit="1" customWidth="1"/>
  </cols>
  <sheetData>
    <row r="1" spans="1:75" s="13" customFormat="1" ht="30.95" customHeight="1" thickBot="1" x14ac:dyDescent="0.3">
      <c r="A1" s="269" t="s">
        <v>245</v>
      </c>
      <c r="B1" s="270" t="s">
        <v>246</v>
      </c>
      <c r="C1" s="277" t="s">
        <v>247</v>
      </c>
      <c r="D1" s="276" t="s">
        <v>248</v>
      </c>
      <c r="E1" s="271" t="s">
        <v>249</v>
      </c>
      <c r="F1" s="272" t="s">
        <v>250</v>
      </c>
      <c r="G1" s="273" t="s">
        <v>251</v>
      </c>
      <c r="H1" s="274"/>
      <c r="I1" s="274"/>
      <c r="J1" s="274"/>
      <c r="K1" s="274"/>
      <c r="L1" s="274"/>
      <c r="M1" s="274"/>
      <c r="N1" s="274"/>
      <c r="O1" s="274"/>
      <c r="P1" s="274"/>
      <c r="Q1" s="274"/>
      <c r="R1" s="274"/>
      <c r="S1" s="274"/>
      <c r="T1" s="274"/>
      <c r="U1" s="274"/>
      <c r="V1" s="274"/>
      <c r="W1" s="274"/>
      <c r="X1" s="274"/>
      <c r="Y1" s="274"/>
      <c r="Z1" s="274"/>
      <c r="AA1" s="274"/>
      <c r="AB1" s="274"/>
      <c r="AC1" s="274"/>
      <c r="AD1" s="274"/>
      <c r="AE1" s="274"/>
      <c r="AF1" s="274"/>
      <c r="AG1" s="274"/>
      <c r="AH1" s="274"/>
      <c r="AI1" s="274"/>
      <c r="AJ1" s="274"/>
      <c r="AK1" s="274"/>
      <c r="AL1" s="274"/>
      <c r="AM1" s="274"/>
      <c r="AN1" s="274"/>
      <c r="AO1" s="274"/>
      <c r="AP1" s="274"/>
      <c r="AQ1" s="274"/>
      <c r="AR1" s="274"/>
      <c r="AS1" s="274"/>
      <c r="AT1" s="274"/>
      <c r="AU1" s="274"/>
      <c r="AV1" s="274"/>
      <c r="AW1" s="274"/>
      <c r="AX1" s="274"/>
      <c r="AY1" s="274"/>
      <c r="AZ1" s="274"/>
      <c r="BA1" s="274"/>
      <c r="BB1" s="274"/>
      <c r="BC1" s="274"/>
      <c r="BD1" s="274"/>
      <c r="BE1" s="274"/>
      <c r="BF1" s="274"/>
      <c r="BG1" s="274"/>
      <c r="BH1" s="274"/>
      <c r="BI1" s="274"/>
      <c r="BJ1" s="274"/>
      <c r="BK1" s="274"/>
      <c r="BL1" s="274"/>
      <c r="BM1" s="274"/>
      <c r="BN1" s="274"/>
      <c r="BO1" s="274"/>
      <c r="BP1" s="274"/>
      <c r="BQ1" s="274"/>
      <c r="BR1" s="274"/>
      <c r="BS1" s="274"/>
      <c r="BT1" s="274"/>
      <c r="BU1" s="274"/>
      <c r="BV1" s="274"/>
      <c r="BW1" s="275"/>
    </row>
    <row r="2" spans="1:75" s="13" customFormat="1" ht="32.1" customHeight="1" x14ac:dyDescent="0.25">
      <c r="A2" s="278" t="s">
        <v>252</v>
      </c>
      <c r="B2" s="279" t="s">
        <v>5</v>
      </c>
      <c r="C2" s="280" t="s">
        <v>5</v>
      </c>
      <c r="D2" s="281" t="s">
        <v>253</v>
      </c>
      <c r="E2" s="282" t="s">
        <v>254</v>
      </c>
      <c r="F2" s="283">
        <f t="shared" ref="F2:F9" si="0">COUNTIF(G2:BW2,"&lt;&gt;")</f>
        <v>44</v>
      </c>
      <c r="G2" s="9">
        <v>1</v>
      </c>
      <c r="H2" s="8">
        <v>2</v>
      </c>
      <c r="I2" s="8">
        <v>3</v>
      </c>
      <c r="J2" s="8">
        <v>4</v>
      </c>
      <c r="K2" s="8">
        <v>5</v>
      </c>
      <c r="L2" s="8">
        <v>6</v>
      </c>
      <c r="M2" s="8">
        <v>7</v>
      </c>
      <c r="N2" s="8">
        <v>8</v>
      </c>
      <c r="O2" s="8">
        <v>9</v>
      </c>
      <c r="P2" s="8">
        <v>10</v>
      </c>
      <c r="Q2" s="8">
        <v>11</v>
      </c>
      <c r="R2" s="8">
        <v>12</v>
      </c>
      <c r="S2" s="8">
        <v>13</v>
      </c>
      <c r="T2" s="8">
        <v>14</v>
      </c>
      <c r="U2" s="8"/>
      <c r="V2" s="8">
        <v>16</v>
      </c>
      <c r="W2" s="8">
        <v>17</v>
      </c>
      <c r="X2" s="8">
        <v>18</v>
      </c>
      <c r="Y2" s="8">
        <v>19</v>
      </c>
      <c r="Z2" s="8"/>
      <c r="AA2" s="284">
        <v>21</v>
      </c>
      <c r="AB2" s="8">
        <v>22</v>
      </c>
      <c r="AC2" s="8"/>
      <c r="AD2" s="8">
        <v>24</v>
      </c>
      <c r="AE2" s="8"/>
      <c r="AF2" s="8">
        <v>26</v>
      </c>
      <c r="AG2" s="8">
        <v>27</v>
      </c>
      <c r="AH2" s="8"/>
      <c r="AI2" s="8">
        <v>29</v>
      </c>
      <c r="AJ2" s="8">
        <v>30</v>
      </c>
      <c r="AK2" s="8"/>
      <c r="AL2" s="8">
        <v>32</v>
      </c>
      <c r="AM2" s="8">
        <v>33</v>
      </c>
      <c r="AN2" s="8">
        <v>34</v>
      </c>
      <c r="AO2" s="8"/>
      <c r="AP2" s="8">
        <v>36</v>
      </c>
      <c r="AQ2" s="8">
        <v>37</v>
      </c>
      <c r="AR2" s="8">
        <v>38</v>
      </c>
      <c r="AS2" s="8">
        <v>39</v>
      </c>
      <c r="AT2" s="8">
        <v>40</v>
      </c>
      <c r="AU2" s="8">
        <v>41</v>
      </c>
      <c r="AV2" s="8">
        <v>42</v>
      </c>
      <c r="AW2" s="8">
        <v>43</v>
      </c>
      <c r="AX2" s="8"/>
      <c r="AY2" s="8">
        <v>45</v>
      </c>
      <c r="AZ2" s="8">
        <v>46</v>
      </c>
      <c r="BA2" s="8"/>
      <c r="BB2" s="8">
        <v>48</v>
      </c>
      <c r="BC2" s="8"/>
      <c r="BD2" s="8"/>
      <c r="BE2" s="8">
        <v>46</v>
      </c>
      <c r="BF2" s="8">
        <v>47</v>
      </c>
      <c r="BG2" s="8">
        <v>48</v>
      </c>
      <c r="BH2" s="8">
        <v>49</v>
      </c>
      <c r="BI2" s="8">
        <v>50</v>
      </c>
      <c r="BJ2" s="8"/>
      <c r="BK2" s="8"/>
      <c r="BL2" s="8"/>
      <c r="BM2" s="8"/>
      <c r="BN2" s="8"/>
      <c r="BO2" s="8"/>
      <c r="BP2" s="8"/>
      <c r="BQ2" s="8"/>
      <c r="BR2" s="8"/>
      <c r="BS2" s="8"/>
      <c r="BT2" s="8"/>
      <c r="BU2" s="8"/>
      <c r="BV2" s="8"/>
      <c r="BW2" s="285"/>
    </row>
    <row r="3" spans="1:75" s="13" customFormat="1" ht="32.1" customHeight="1" x14ac:dyDescent="0.25">
      <c r="A3" s="286" t="s">
        <v>255</v>
      </c>
      <c r="B3" s="287" t="s">
        <v>6</v>
      </c>
      <c r="C3" s="288" t="s">
        <v>5</v>
      </c>
      <c r="D3" s="289" t="s">
        <v>256</v>
      </c>
      <c r="E3" s="290" t="s">
        <v>257</v>
      </c>
      <c r="F3" s="291">
        <f t="shared" si="0"/>
        <v>8</v>
      </c>
      <c r="G3" s="10"/>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v>51</v>
      </c>
      <c r="BK3" s="7">
        <v>52</v>
      </c>
      <c r="BL3" s="7">
        <v>53</v>
      </c>
      <c r="BM3" s="7">
        <v>54</v>
      </c>
      <c r="BN3" s="7">
        <v>55</v>
      </c>
      <c r="BO3" s="7">
        <v>56</v>
      </c>
      <c r="BP3" s="7">
        <v>57</v>
      </c>
      <c r="BQ3" s="7">
        <v>58</v>
      </c>
      <c r="BR3" s="7"/>
      <c r="BS3" s="7"/>
      <c r="BT3" s="7"/>
      <c r="BU3" s="7"/>
      <c r="BV3" s="7"/>
      <c r="BW3" s="292"/>
    </row>
    <row r="4" spans="1:75" s="13" customFormat="1" ht="32.1" customHeight="1" x14ac:dyDescent="0.25">
      <c r="A4" s="293" t="s">
        <v>258</v>
      </c>
      <c r="B4" s="287" t="s">
        <v>259</v>
      </c>
      <c r="C4" s="288" t="s">
        <v>5</v>
      </c>
      <c r="D4" s="289" t="s">
        <v>260</v>
      </c>
      <c r="E4" s="290" t="s">
        <v>261</v>
      </c>
      <c r="F4" s="291">
        <f t="shared" si="0"/>
        <v>8</v>
      </c>
      <c r="G4" s="10"/>
      <c r="H4" s="7"/>
      <c r="I4" s="7"/>
      <c r="J4" s="7"/>
      <c r="K4" s="7"/>
      <c r="L4" s="7"/>
      <c r="M4" s="7"/>
      <c r="N4" s="7"/>
      <c r="O4" s="7"/>
      <c r="P4" s="7"/>
      <c r="Q4" s="7"/>
      <c r="R4" s="7"/>
      <c r="S4" s="7"/>
      <c r="T4" s="7"/>
      <c r="U4" s="7">
        <v>15</v>
      </c>
      <c r="V4" s="7"/>
      <c r="W4" s="7"/>
      <c r="X4" s="7"/>
      <c r="Y4" s="7"/>
      <c r="Z4" s="7"/>
      <c r="AA4" s="7"/>
      <c r="AB4" s="7"/>
      <c r="AC4" s="7">
        <v>23</v>
      </c>
      <c r="AD4" s="7"/>
      <c r="AE4" s="7">
        <v>25</v>
      </c>
      <c r="AF4" s="7"/>
      <c r="AG4" s="7"/>
      <c r="AH4" s="7">
        <v>28</v>
      </c>
      <c r="AI4" s="7"/>
      <c r="AJ4" s="7"/>
      <c r="AK4" s="7">
        <v>31</v>
      </c>
      <c r="AL4" s="7"/>
      <c r="AM4" s="7"/>
      <c r="AN4" s="7"/>
      <c r="AO4" s="7"/>
      <c r="AP4" s="7"/>
      <c r="AQ4" s="7"/>
      <c r="AR4" s="7"/>
      <c r="AS4" s="7"/>
      <c r="AT4" s="7"/>
      <c r="AU4" s="7"/>
      <c r="AV4" s="7"/>
      <c r="AW4" s="7"/>
      <c r="AX4" s="7"/>
      <c r="AY4" s="7"/>
      <c r="AZ4" s="7"/>
      <c r="BA4" s="7">
        <v>47</v>
      </c>
      <c r="BB4" s="7"/>
      <c r="BC4" s="7">
        <v>49</v>
      </c>
      <c r="BD4" s="7">
        <v>50</v>
      </c>
      <c r="BE4" s="7"/>
      <c r="BF4" s="7"/>
      <c r="BG4" s="7"/>
      <c r="BH4" s="7"/>
      <c r="BI4" s="7"/>
      <c r="BJ4" s="7"/>
      <c r="BK4" s="7"/>
      <c r="BL4" s="7"/>
      <c r="BM4" s="7"/>
      <c r="BN4" s="7"/>
      <c r="BO4" s="7"/>
      <c r="BP4" s="7"/>
      <c r="BQ4" s="7"/>
      <c r="BR4" s="7"/>
      <c r="BS4" s="7"/>
      <c r="BT4" s="7"/>
      <c r="BU4" s="7"/>
      <c r="BV4" s="7"/>
      <c r="BW4" s="292"/>
    </row>
    <row r="5" spans="1:75" s="302" customFormat="1" ht="32.1" customHeight="1" x14ac:dyDescent="0.25">
      <c r="A5" s="294" t="s">
        <v>262</v>
      </c>
      <c r="B5" s="295" t="s">
        <v>8</v>
      </c>
      <c r="C5" s="287" t="s">
        <v>6</v>
      </c>
      <c r="D5" s="296" t="s">
        <v>263</v>
      </c>
      <c r="E5" s="297" t="s">
        <v>264</v>
      </c>
      <c r="F5" s="298">
        <f t="shared" si="0"/>
        <v>20</v>
      </c>
      <c r="G5" s="299">
        <v>1</v>
      </c>
      <c r="H5" s="300">
        <v>2</v>
      </c>
      <c r="I5" s="300">
        <v>3</v>
      </c>
      <c r="J5" s="300">
        <v>4</v>
      </c>
      <c r="K5" s="300">
        <v>5</v>
      </c>
      <c r="L5" s="300">
        <v>6</v>
      </c>
      <c r="M5" s="300">
        <v>7</v>
      </c>
      <c r="N5" s="300">
        <v>8</v>
      </c>
      <c r="O5" s="300">
        <v>9</v>
      </c>
      <c r="P5" s="300">
        <v>10</v>
      </c>
      <c r="Q5" s="300">
        <v>11</v>
      </c>
      <c r="R5" s="300">
        <v>12</v>
      </c>
      <c r="S5" s="300">
        <v>13</v>
      </c>
      <c r="T5" s="300">
        <v>14</v>
      </c>
      <c r="U5" s="300">
        <v>15</v>
      </c>
      <c r="V5" s="300">
        <v>16</v>
      </c>
      <c r="W5" s="300">
        <v>17</v>
      </c>
      <c r="X5" s="300">
        <v>18</v>
      </c>
      <c r="Y5" s="300">
        <v>19</v>
      </c>
      <c r="Z5" s="300">
        <v>20</v>
      </c>
      <c r="AA5" s="143"/>
      <c r="AB5" s="143"/>
      <c r="AC5" s="143"/>
      <c r="AD5" s="300"/>
      <c r="AE5" s="300"/>
      <c r="AF5" s="300"/>
      <c r="AG5" s="300"/>
      <c r="AH5" s="300"/>
      <c r="AI5" s="300"/>
      <c r="AJ5" s="300"/>
      <c r="AK5" s="300"/>
      <c r="AL5" s="300"/>
      <c r="AM5" s="300"/>
      <c r="AN5" s="300"/>
      <c r="AO5" s="300"/>
      <c r="AP5" s="300"/>
      <c r="AQ5" s="300"/>
      <c r="AR5" s="300"/>
      <c r="AS5" s="300"/>
      <c r="AT5" s="300"/>
      <c r="AU5" s="300"/>
      <c r="AV5" s="300"/>
      <c r="AW5" s="300"/>
      <c r="AX5" s="300"/>
      <c r="AY5" s="300"/>
      <c r="AZ5" s="300"/>
      <c r="BA5" s="300"/>
      <c r="BB5" s="300"/>
      <c r="BC5" s="300"/>
      <c r="BD5" s="300"/>
      <c r="BE5" s="300"/>
      <c r="BF5" s="300"/>
      <c r="BG5" s="300"/>
      <c r="BH5" s="300"/>
      <c r="BI5" s="300"/>
      <c r="BJ5" s="300"/>
      <c r="BK5" s="300"/>
      <c r="BL5" s="300"/>
      <c r="BM5" s="300"/>
      <c r="BN5" s="300"/>
      <c r="BO5" s="300"/>
      <c r="BP5" s="300"/>
      <c r="BQ5" s="300"/>
      <c r="BR5" s="300"/>
      <c r="BS5" s="300"/>
      <c r="BT5" s="300"/>
      <c r="BU5" s="300"/>
      <c r="BV5" s="300"/>
      <c r="BW5" s="301"/>
    </row>
    <row r="6" spans="1:75" s="13" customFormat="1" ht="32.1" customHeight="1" x14ac:dyDescent="0.25">
      <c r="A6" s="286" t="s">
        <v>265</v>
      </c>
      <c r="B6" s="287" t="s">
        <v>9</v>
      </c>
      <c r="C6" s="288" t="s">
        <v>9</v>
      </c>
      <c r="D6" s="289" t="s">
        <v>266</v>
      </c>
      <c r="E6" s="303" t="s">
        <v>267</v>
      </c>
      <c r="F6" s="291">
        <f t="shared" si="0"/>
        <v>6</v>
      </c>
      <c r="G6" s="10">
        <v>101</v>
      </c>
      <c r="H6" s="7">
        <v>102</v>
      </c>
      <c r="I6" s="7">
        <v>103</v>
      </c>
      <c r="J6" s="7">
        <v>104</v>
      </c>
      <c r="K6" s="7">
        <v>105</v>
      </c>
      <c r="L6" s="7">
        <v>106</v>
      </c>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292"/>
    </row>
    <row r="7" spans="1:75" s="13" customFormat="1" ht="32.1" customHeight="1" x14ac:dyDescent="0.25">
      <c r="A7" s="293" t="s">
        <v>268</v>
      </c>
      <c r="B7" s="287" t="s">
        <v>10</v>
      </c>
      <c r="C7" s="288" t="s">
        <v>9</v>
      </c>
      <c r="D7" s="289" t="s">
        <v>269</v>
      </c>
      <c r="E7" s="304" t="s">
        <v>270</v>
      </c>
      <c r="F7" s="291">
        <f t="shared" si="0"/>
        <v>40</v>
      </c>
      <c r="G7" s="10"/>
      <c r="H7" s="7"/>
      <c r="I7" s="7"/>
      <c r="J7" s="7"/>
      <c r="K7" s="7"/>
      <c r="L7" s="7"/>
      <c r="M7" s="7">
        <v>107</v>
      </c>
      <c r="N7" s="7">
        <v>108</v>
      </c>
      <c r="O7" s="7">
        <v>109</v>
      </c>
      <c r="P7" s="7">
        <v>110</v>
      </c>
      <c r="Q7" s="7">
        <v>111</v>
      </c>
      <c r="R7" s="7">
        <v>112</v>
      </c>
      <c r="S7" s="7">
        <v>113</v>
      </c>
      <c r="T7" s="7">
        <v>114</v>
      </c>
      <c r="U7" s="7">
        <v>115</v>
      </c>
      <c r="V7" s="7">
        <v>116</v>
      </c>
      <c r="W7" s="7">
        <v>117</v>
      </c>
      <c r="X7" s="7">
        <v>118</v>
      </c>
      <c r="Y7" s="7">
        <v>119</v>
      </c>
      <c r="Z7" s="7">
        <v>120</v>
      </c>
      <c r="AA7" s="7">
        <v>121</v>
      </c>
      <c r="AB7" s="7">
        <v>122</v>
      </c>
      <c r="AC7" s="7">
        <v>123</v>
      </c>
      <c r="AD7" s="7">
        <v>124</v>
      </c>
      <c r="AE7" s="7">
        <v>125</v>
      </c>
      <c r="AF7" s="7">
        <v>126</v>
      </c>
      <c r="AG7" s="7">
        <v>127</v>
      </c>
      <c r="AH7" s="7">
        <v>128</v>
      </c>
      <c r="AI7" s="7">
        <v>129</v>
      </c>
      <c r="AJ7" s="7">
        <v>130</v>
      </c>
      <c r="AK7" s="7">
        <v>131</v>
      </c>
      <c r="AL7" s="7">
        <v>132</v>
      </c>
      <c r="AM7" s="7">
        <v>133</v>
      </c>
      <c r="AN7" s="7">
        <v>134</v>
      </c>
      <c r="AO7" s="7">
        <v>135</v>
      </c>
      <c r="AP7" s="7">
        <v>136</v>
      </c>
      <c r="AQ7" s="7">
        <v>137</v>
      </c>
      <c r="AR7" s="7">
        <v>138</v>
      </c>
      <c r="AS7" s="7">
        <v>139</v>
      </c>
      <c r="AT7" s="7">
        <v>140</v>
      </c>
      <c r="AU7" s="7">
        <v>141</v>
      </c>
      <c r="AV7" s="7">
        <v>142</v>
      </c>
      <c r="AW7" s="7">
        <v>143</v>
      </c>
      <c r="AX7" s="7">
        <v>144</v>
      </c>
      <c r="AY7" s="7">
        <v>145</v>
      </c>
      <c r="AZ7" s="7">
        <v>146</v>
      </c>
      <c r="BA7" s="7"/>
      <c r="BB7" s="7"/>
      <c r="BC7" s="7"/>
      <c r="BD7" s="7"/>
      <c r="BE7" s="7"/>
      <c r="BF7" s="7"/>
      <c r="BG7" s="7"/>
      <c r="BH7" s="7"/>
      <c r="BI7" s="7"/>
      <c r="BJ7" s="7"/>
      <c r="BK7" s="7"/>
      <c r="BL7" s="7"/>
      <c r="BM7" s="7"/>
      <c r="BN7" s="7"/>
      <c r="BO7" s="7"/>
      <c r="BP7" s="7"/>
      <c r="BQ7" s="7"/>
      <c r="BR7" s="7"/>
      <c r="BS7" s="7"/>
      <c r="BT7" s="7"/>
      <c r="BU7" s="7"/>
      <c r="BV7" s="7"/>
      <c r="BW7" s="292"/>
    </row>
    <row r="8" spans="1:75" s="302" customFormat="1" ht="32.1" customHeight="1" x14ac:dyDescent="0.25">
      <c r="A8" s="294" t="s">
        <v>271</v>
      </c>
      <c r="B8" s="305" t="s">
        <v>272</v>
      </c>
      <c r="C8" s="306" t="s">
        <v>9</v>
      </c>
      <c r="D8" s="296"/>
      <c r="E8" s="297"/>
      <c r="F8" s="298">
        <f t="shared" si="0"/>
        <v>3</v>
      </c>
      <c r="G8" s="299"/>
      <c r="H8" s="300"/>
      <c r="I8" s="300"/>
      <c r="J8" s="300"/>
      <c r="K8" s="300"/>
      <c r="L8" s="300"/>
      <c r="M8" s="300"/>
      <c r="N8" s="300"/>
      <c r="O8" s="300"/>
      <c r="P8" s="300"/>
      <c r="Q8" s="300"/>
      <c r="R8" s="300"/>
      <c r="S8" s="300"/>
      <c r="T8" s="300"/>
      <c r="U8" s="300"/>
      <c r="V8" s="300"/>
      <c r="W8" s="300"/>
      <c r="X8" s="300"/>
      <c r="Y8" s="300"/>
      <c r="Z8" s="300"/>
      <c r="AA8" s="143">
        <v>21</v>
      </c>
      <c r="AB8" s="143">
        <v>22</v>
      </c>
      <c r="AC8" s="143">
        <v>23</v>
      </c>
      <c r="AD8" s="300"/>
      <c r="AE8" s="300"/>
      <c r="AF8" s="300"/>
      <c r="AG8" s="300"/>
      <c r="AH8" s="300"/>
      <c r="AI8" s="300"/>
      <c r="AJ8" s="300"/>
      <c r="AK8" s="300"/>
      <c r="AL8" s="300"/>
      <c r="AM8" s="300"/>
      <c r="AN8" s="300"/>
      <c r="AO8" s="300"/>
      <c r="AP8" s="300"/>
      <c r="AQ8" s="300"/>
      <c r="AR8" s="300"/>
      <c r="AS8" s="300"/>
      <c r="AT8" s="300"/>
      <c r="AU8" s="300"/>
      <c r="AV8" s="300"/>
      <c r="AW8" s="300"/>
      <c r="AX8" s="300"/>
      <c r="AY8" s="300"/>
      <c r="AZ8" s="300"/>
      <c r="BA8" s="300"/>
      <c r="BB8" s="300"/>
      <c r="BC8" s="300"/>
      <c r="BD8" s="300"/>
      <c r="BE8" s="300"/>
      <c r="BF8" s="300"/>
      <c r="BG8" s="300"/>
      <c r="BH8" s="300"/>
      <c r="BI8" s="300"/>
      <c r="BJ8" s="300"/>
      <c r="BK8" s="300"/>
      <c r="BL8" s="300"/>
      <c r="BM8" s="300"/>
      <c r="BN8" s="300"/>
      <c r="BO8" s="300"/>
      <c r="BP8" s="300"/>
      <c r="BQ8" s="300"/>
      <c r="BR8" s="300"/>
      <c r="BS8" s="300"/>
      <c r="BT8" s="300"/>
      <c r="BU8" s="300"/>
      <c r="BV8" s="300"/>
      <c r="BW8" s="301"/>
    </row>
    <row r="9" spans="1:75" s="13" customFormat="1" ht="32.1" customHeight="1" thickBot="1" x14ac:dyDescent="0.3">
      <c r="A9" s="307" t="s">
        <v>11</v>
      </c>
      <c r="B9" s="308" t="s">
        <v>11</v>
      </c>
      <c r="C9" s="309" t="s">
        <v>9</v>
      </c>
      <c r="D9" s="310"/>
      <c r="E9" s="311"/>
      <c r="F9" s="312">
        <f t="shared" si="0"/>
        <v>3</v>
      </c>
      <c r="G9" s="313"/>
      <c r="H9" s="314"/>
      <c r="I9" s="314"/>
      <c r="J9" s="314"/>
      <c r="K9" s="314"/>
      <c r="L9" s="314"/>
      <c r="M9" s="314"/>
      <c r="N9" s="314"/>
      <c r="O9" s="314"/>
      <c r="P9" s="314"/>
      <c r="Q9" s="314"/>
      <c r="R9" s="314"/>
      <c r="S9" s="314"/>
      <c r="T9" s="314"/>
      <c r="U9" s="314"/>
      <c r="V9" s="314"/>
      <c r="W9" s="314"/>
      <c r="X9" s="314"/>
      <c r="Y9" s="314"/>
      <c r="Z9" s="314">
        <v>20</v>
      </c>
      <c r="AA9" s="314"/>
      <c r="AB9" s="314"/>
      <c r="AC9" s="314"/>
      <c r="AD9" s="314"/>
      <c r="AE9" s="314"/>
      <c r="AF9" s="314"/>
      <c r="AG9" s="314"/>
      <c r="AH9" s="314"/>
      <c r="AI9" s="314"/>
      <c r="AJ9" s="314"/>
      <c r="AK9" s="314"/>
      <c r="AL9" s="314"/>
      <c r="AM9" s="314"/>
      <c r="AN9" s="314"/>
      <c r="AO9" s="314">
        <v>35</v>
      </c>
      <c r="AP9" s="314"/>
      <c r="AQ9" s="314"/>
      <c r="AR9" s="314"/>
      <c r="AS9" s="314"/>
      <c r="AT9" s="314"/>
      <c r="AU9" s="314"/>
      <c r="AV9" s="314"/>
      <c r="AW9" s="314"/>
      <c r="AX9" s="314">
        <v>44</v>
      </c>
      <c r="AY9" s="314"/>
      <c r="AZ9" s="314"/>
      <c r="BA9" s="314"/>
      <c r="BB9" s="314"/>
      <c r="BC9" s="314"/>
      <c r="BD9" s="314"/>
      <c r="BE9" s="314"/>
      <c r="BF9" s="314"/>
      <c r="BG9" s="314"/>
      <c r="BH9" s="314"/>
      <c r="BI9" s="314"/>
      <c r="BJ9" s="314"/>
      <c r="BK9" s="314"/>
      <c r="BL9" s="314"/>
      <c r="BM9" s="314"/>
      <c r="BN9" s="314"/>
      <c r="BO9" s="314"/>
      <c r="BP9" s="314"/>
      <c r="BQ9" s="314"/>
      <c r="BR9" s="314"/>
      <c r="BS9" s="314"/>
      <c r="BT9" s="314"/>
      <c r="BU9" s="314"/>
      <c r="BV9" s="314"/>
      <c r="BW9" s="31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oglio4">
    <tabColor theme="5" tint="0.39997558519241921"/>
    <outlinePr summaryBelow="0"/>
  </sheetPr>
  <dimension ref="A1:W130"/>
  <sheetViews>
    <sheetView zoomScale="85" zoomScaleNormal="85" workbookViewId="0">
      <pane xSplit="6" ySplit="3" topLeftCell="G31" activePane="bottomRight" state="frozen"/>
      <selection activeCell="B1" sqref="B1"/>
      <selection pane="topRight" activeCell="F1" sqref="F1"/>
      <selection pane="bottomLeft" activeCell="B4" sqref="B4"/>
      <selection pane="bottomRight" activeCell="A48" sqref="A48:XFD48"/>
    </sheetView>
  </sheetViews>
  <sheetFormatPr defaultColWidth="8.7109375" defaultRowHeight="15" outlineLevelRow="1" x14ac:dyDescent="0.25"/>
  <cols>
    <col min="1" max="1" width="34.5703125" style="106" bestFit="1" customWidth="1"/>
    <col min="2" max="2" width="34.85546875" style="106" bestFit="1" customWidth="1"/>
    <col min="3" max="3" width="8.28515625" style="15" bestFit="1" customWidth="1"/>
    <col min="4" max="4" width="17.5703125" style="15" customWidth="1"/>
    <col min="5" max="5" width="4.42578125" style="15" bestFit="1" customWidth="1"/>
    <col min="6" max="6" width="18.42578125" style="15" customWidth="1"/>
    <col min="7" max="7" width="17.5703125" style="15" customWidth="1"/>
    <col min="8" max="8" width="4.7109375" style="15" bestFit="1" customWidth="1"/>
    <col min="9" max="9" width="17" style="15" bestFit="1" customWidth="1"/>
    <col min="10" max="10" width="17.5703125" style="15" customWidth="1"/>
    <col min="11" max="11" width="4.7109375" style="15" bestFit="1" customWidth="1"/>
    <col min="12" max="12" width="17" style="15" bestFit="1" customWidth="1"/>
    <col min="13" max="13" width="17.5703125" style="15" customWidth="1"/>
    <col min="14" max="14" width="4.42578125" style="15" bestFit="1" customWidth="1"/>
    <col min="15" max="15" width="17" style="15" customWidth="1"/>
    <col min="16" max="16" width="17.140625" style="15" customWidth="1"/>
    <col min="17" max="17" width="5.140625" style="15" customWidth="1"/>
    <col min="18" max="18" width="15.42578125" style="15" customWidth="1"/>
    <col min="19" max="19" width="4.42578125" style="15" customWidth="1"/>
    <col min="20" max="20" width="6.5703125" style="15" bestFit="1" customWidth="1"/>
    <col min="21" max="21" width="6.5703125" style="15" customWidth="1"/>
    <col min="22" max="22" width="6.5703125" style="15" bestFit="1" customWidth="1"/>
    <col min="23" max="23" width="6.5703125" style="15" customWidth="1"/>
    <col min="24" max="26" width="8.7109375" style="103" customWidth="1"/>
    <col min="27" max="16384" width="8.7109375" style="103"/>
  </cols>
  <sheetData>
    <row r="1" spans="1:23" s="105" customFormat="1" x14ac:dyDescent="0.25">
      <c r="A1" s="485" t="s">
        <v>273</v>
      </c>
      <c r="B1" s="489" t="s">
        <v>3</v>
      </c>
      <c r="C1" s="485" t="s">
        <v>243</v>
      </c>
      <c r="D1" s="483" t="s">
        <v>5</v>
      </c>
      <c r="E1" s="481"/>
      <c r="F1" s="482"/>
      <c r="G1" s="484" t="s">
        <v>6</v>
      </c>
      <c r="H1" s="481"/>
      <c r="I1" s="481"/>
      <c r="J1" s="483" t="s">
        <v>7</v>
      </c>
      <c r="K1" s="481"/>
      <c r="L1" s="482"/>
      <c r="M1" s="493" t="s">
        <v>8</v>
      </c>
      <c r="N1" s="494"/>
      <c r="O1" s="494"/>
      <c r="P1" s="483" t="s">
        <v>9</v>
      </c>
      <c r="Q1" s="482"/>
      <c r="R1" s="483" t="s">
        <v>10</v>
      </c>
      <c r="S1" s="482"/>
      <c r="T1" s="483" t="s">
        <v>11</v>
      </c>
      <c r="U1" s="482"/>
      <c r="V1" s="483" t="s">
        <v>274</v>
      </c>
      <c r="W1" s="482"/>
    </row>
    <row r="2" spans="1:23" s="105" customFormat="1" ht="41.1" customHeight="1" x14ac:dyDescent="0.25">
      <c r="A2" s="486"/>
      <c r="B2" s="490"/>
      <c r="C2" s="486"/>
      <c r="D2" s="480" t="s">
        <v>275</v>
      </c>
      <c r="E2" s="481"/>
      <c r="F2" s="482"/>
      <c r="G2" s="488" t="s">
        <v>276</v>
      </c>
      <c r="H2" s="481"/>
      <c r="I2" s="481"/>
      <c r="J2" s="480" t="s">
        <v>277</v>
      </c>
      <c r="K2" s="481"/>
      <c r="L2" s="482"/>
      <c r="M2" s="495" t="s">
        <v>278</v>
      </c>
      <c r="N2" s="494"/>
      <c r="O2" s="494"/>
      <c r="P2" s="480" t="s">
        <v>279</v>
      </c>
      <c r="Q2" s="482"/>
      <c r="R2" s="492" t="s">
        <v>280</v>
      </c>
      <c r="S2" s="482"/>
      <c r="T2" s="480" t="s">
        <v>281</v>
      </c>
      <c r="U2" s="482"/>
      <c r="V2" s="480" t="s">
        <v>282</v>
      </c>
      <c r="W2" s="482"/>
    </row>
    <row r="3" spans="1:23" s="105" customFormat="1" ht="30" customHeight="1" x14ac:dyDescent="0.25">
      <c r="A3" s="487"/>
      <c r="B3" s="491"/>
      <c r="C3" s="487"/>
      <c r="D3" s="160" t="s">
        <v>283</v>
      </c>
      <c r="E3" s="160" t="s">
        <v>190</v>
      </c>
      <c r="F3" s="157" t="s">
        <v>284</v>
      </c>
      <c r="G3" s="160" t="s">
        <v>283</v>
      </c>
      <c r="H3" s="160" t="s">
        <v>190</v>
      </c>
      <c r="I3" s="157" t="s">
        <v>284</v>
      </c>
      <c r="J3" s="160" t="s">
        <v>283</v>
      </c>
      <c r="K3" s="160" t="s">
        <v>190</v>
      </c>
      <c r="L3" s="157" t="s">
        <v>284</v>
      </c>
      <c r="M3" s="161" t="s">
        <v>283</v>
      </c>
      <c r="N3" s="160" t="s">
        <v>190</v>
      </c>
      <c r="O3" s="157" t="s">
        <v>284</v>
      </c>
      <c r="P3" s="158" t="s">
        <v>285</v>
      </c>
      <c r="Q3" s="159" t="s">
        <v>190</v>
      </c>
      <c r="R3" s="158" t="s">
        <v>285</v>
      </c>
      <c r="S3" s="159" t="s">
        <v>190</v>
      </c>
      <c r="T3" s="160" t="s">
        <v>285</v>
      </c>
      <c r="U3" s="157" t="s">
        <v>190</v>
      </c>
      <c r="V3" s="160" t="s">
        <v>285</v>
      </c>
      <c r="W3" s="157" t="s">
        <v>190</v>
      </c>
    </row>
    <row r="4" spans="1:23" s="105" customFormat="1" x14ac:dyDescent="0.25">
      <c r="A4" s="452" t="s">
        <v>286</v>
      </c>
      <c r="B4" s="464"/>
      <c r="C4" s="453"/>
      <c r="D4" s="454"/>
      <c r="E4" s="455"/>
      <c r="F4" s="456"/>
      <c r="G4" s="454"/>
      <c r="H4" s="455"/>
      <c r="I4" s="456"/>
      <c r="J4" s="454"/>
      <c r="K4" s="455"/>
      <c r="L4" s="456"/>
      <c r="M4" s="454"/>
      <c r="N4" s="455"/>
      <c r="O4" s="456"/>
      <c r="P4" s="455"/>
      <c r="Q4" s="455"/>
      <c r="R4" s="454"/>
      <c r="S4" s="456"/>
      <c r="T4" s="455"/>
      <c r="U4" s="456"/>
      <c r="V4" s="455"/>
      <c r="W4" s="456"/>
    </row>
    <row r="5" spans="1:23" outlineLevel="1" x14ac:dyDescent="0.25">
      <c r="A5" s="114" t="s">
        <v>287</v>
      </c>
      <c r="B5" s="114" t="s">
        <v>288</v>
      </c>
      <c r="C5" s="109" t="s">
        <v>289</v>
      </c>
      <c r="D5" s="132" t="s">
        <v>290</v>
      </c>
      <c r="E5" s="15" t="s">
        <v>291</v>
      </c>
      <c r="F5" s="110"/>
      <c r="G5" s="132" t="s">
        <v>292</v>
      </c>
      <c r="H5" s="15" t="s">
        <v>291</v>
      </c>
      <c r="I5" s="126"/>
      <c r="J5" s="132" t="s">
        <v>293</v>
      </c>
      <c r="K5" s="133" t="s">
        <v>291</v>
      </c>
      <c r="L5" s="126"/>
      <c r="M5" s="132" t="s">
        <v>294</v>
      </c>
      <c r="N5" s="133" t="s">
        <v>31</v>
      </c>
      <c r="O5" s="126"/>
      <c r="P5" s="133" t="s">
        <v>295</v>
      </c>
      <c r="Q5" s="133" t="s">
        <v>296</v>
      </c>
      <c r="R5" s="132" t="s">
        <v>295</v>
      </c>
      <c r="S5" s="126" t="s">
        <v>296</v>
      </c>
      <c r="T5" s="133"/>
      <c r="U5" s="126"/>
      <c r="V5" s="133"/>
      <c r="W5" s="126"/>
    </row>
    <row r="6" spans="1:23" x14ac:dyDescent="0.25">
      <c r="A6" s="457" t="s">
        <v>297</v>
      </c>
      <c r="B6" s="457"/>
      <c r="C6" s="207"/>
      <c r="D6" s="117"/>
      <c r="E6" s="458"/>
      <c r="F6" s="118"/>
      <c r="G6" s="117"/>
      <c r="H6" s="458"/>
      <c r="I6" s="118"/>
      <c r="J6" s="117"/>
      <c r="K6" s="458"/>
      <c r="L6" s="118"/>
      <c r="M6" s="117"/>
      <c r="N6" s="458"/>
      <c r="O6" s="118"/>
      <c r="P6" s="458"/>
      <c r="Q6" s="458"/>
      <c r="R6" s="117"/>
      <c r="S6" s="118"/>
      <c r="T6" s="458"/>
      <c r="U6" s="118"/>
      <c r="V6" s="458"/>
      <c r="W6" s="118"/>
    </row>
    <row r="7" spans="1:23" ht="30" customHeight="1" outlineLevel="1" x14ac:dyDescent="0.25">
      <c r="A7" s="114" t="s">
        <v>298</v>
      </c>
      <c r="B7" s="114" t="s">
        <v>299</v>
      </c>
      <c r="C7" s="109" t="s">
        <v>289</v>
      </c>
      <c r="D7" s="132" t="s">
        <v>300</v>
      </c>
      <c r="E7" s="15" t="s">
        <v>301</v>
      </c>
      <c r="F7" s="110"/>
      <c r="G7" s="132" t="s">
        <v>302</v>
      </c>
      <c r="H7" s="133" t="s">
        <v>291</v>
      </c>
      <c r="I7" s="126"/>
      <c r="J7" s="132" t="s">
        <v>300</v>
      </c>
      <c r="K7" s="15" t="s">
        <v>301</v>
      </c>
      <c r="L7" s="110"/>
      <c r="M7" s="132" t="s">
        <v>303</v>
      </c>
      <c r="N7" s="15" t="s">
        <v>291</v>
      </c>
      <c r="O7" s="110"/>
      <c r="P7" s="133" t="s">
        <v>304</v>
      </c>
      <c r="Q7" s="134" t="s">
        <v>305</v>
      </c>
      <c r="R7" s="109" t="s">
        <v>304</v>
      </c>
      <c r="S7" s="123" t="s">
        <v>305</v>
      </c>
      <c r="U7" s="110"/>
      <c r="W7" s="110"/>
    </row>
    <row r="8" spans="1:23" ht="30" customHeight="1" outlineLevel="1" x14ac:dyDescent="0.25">
      <c r="A8" s="114" t="s">
        <v>306</v>
      </c>
      <c r="B8" s="114" t="s">
        <v>307</v>
      </c>
      <c r="C8" s="109" t="s">
        <v>289</v>
      </c>
      <c r="D8" s="132" t="s">
        <v>308</v>
      </c>
      <c r="E8" s="15" t="s">
        <v>309</v>
      </c>
      <c r="F8" s="110"/>
      <c r="G8" s="132" t="s">
        <v>310</v>
      </c>
      <c r="H8" s="133" t="s">
        <v>311</v>
      </c>
      <c r="I8" s="126"/>
      <c r="J8" s="132" t="s">
        <v>312</v>
      </c>
      <c r="K8" s="15" t="s">
        <v>309</v>
      </c>
      <c r="L8" s="110"/>
      <c r="M8" s="132" t="s">
        <v>313</v>
      </c>
      <c r="N8" s="15" t="s">
        <v>311</v>
      </c>
      <c r="O8" s="110"/>
      <c r="P8" s="133" t="s">
        <v>314</v>
      </c>
      <c r="Q8" s="134" t="s">
        <v>315</v>
      </c>
      <c r="R8" s="109" t="s">
        <v>314</v>
      </c>
      <c r="S8" s="123" t="s">
        <v>315</v>
      </c>
      <c r="U8" s="110"/>
      <c r="W8" s="110"/>
    </row>
    <row r="9" spans="1:23" ht="30" customHeight="1" outlineLevel="1" x14ac:dyDescent="0.25">
      <c r="A9" s="114" t="s">
        <v>316</v>
      </c>
      <c r="B9" s="114" t="s">
        <v>317</v>
      </c>
      <c r="C9" s="109" t="s">
        <v>289</v>
      </c>
      <c r="D9" s="132" t="s">
        <v>318</v>
      </c>
      <c r="E9" s="15" t="s">
        <v>309</v>
      </c>
      <c r="F9" s="126"/>
      <c r="G9" s="132" t="s">
        <v>319</v>
      </c>
      <c r="H9" s="133" t="s">
        <v>311</v>
      </c>
      <c r="I9" s="126"/>
      <c r="J9" s="132" t="s">
        <v>318</v>
      </c>
      <c r="K9" s="15" t="s">
        <v>309</v>
      </c>
      <c r="L9" s="110"/>
      <c r="M9" s="132" t="s">
        <v>320</v>
      </c>
      <c r="N9" s="15" t="s">
        <v>321</v>
      </c>
      <c r="O9" s="110"/>
      <c r="P9" s="133" t="s">
        <v>322</v>
      </c>
      <c r="Q9" s="134" t="s">
        <v>315</v>
      </c>
      <c r="R9" s="109" t="s">
        <v>322</v>
      </c>
      <c r="S9" s="123" t="s">
        <v>315</v>
      </c>
      <c r="U9" s="110"/>
      <c r="W9" s="110"/>
    </row>
    <row r="10" spans="1:23" ht="30" customHeight="1" outlineLevel="1" x14ac:dyDescent="0.25">
      <c r="A10" s="114" t="s">
        <v>323</v>
      </c>
      <c r="B10" s="114" t="s">
        <v>324</v>
      </c>
      <c r="C10" s="109" t="s">
        <v>289</v>
      </c>
      <c r="D10" s="132" t="s">
        <v>31</v>
      </c>
      <c r="E10" s="15" t="s">
        <v>31</v>
      </c>
      <c r="F10" s="110"/>
      <c r="G10" s="132" t="s">
        <v>31</v>
      </c>
      <c r="H10" s="133" t="s">
        <v>31</v>
      </c>
      <c r="I10" s="126"/>
      <c r="J10" s="132" t="s">
        <v>325</v>
      </c>
      <c r="K10" s="15" t="s">
        <v>291</v>
      </c>
      <c r="L10" s="110"/>
      <c r="M10" s="132" t="s">
        <v>326</v>
      </c>
      <c r="N10" s="15" t="s">
        <v>321</v>
      </c>
      <c r="O10" s="110"/>
      <c r="P10" s="133" t="s">
        <v>327</v>
      </c>
      <c r="Q10" s="134" t="s">
        <v>305</v>
      </c>
      <c r="R10" s="109" t="s">
        <v>327</v>
      </c>
      <c r="S10" s="123" t="s">
        <v>305</v>
      </c>
      <c r="U10" s="110"/>
      <c r="W10" s="110"/>
    </row>
    <row r="11" spans="1:23" ht="30" customHeight="1" outlineLevel="1" x14ac:dyDescent="0.25">
      <c r="A11" s="114" t="s">
        <v>328</v>
      </c>
      <c r="B11" s="114" t="s">
        <v>329</v>
      </c>
      <c r="C11" s="109" t="s">
        <v>289</v>
      </c>
      <c r="D11" s="132" t="s">
        <v>31</v>
      </c>
      <c r="E11" s="15" t="s">
        <v>31</v>
      </c>
      <c r="F11" s="110"/>
      <c r="G11" s="132" t="s">
        <v>31</v>
      </c>
      <c r="H11" s="133" t="s">
        <v>31</v>
      </c>
      <c r="I11" s="126"/>
      <c r="J11" s="132"/>
      <c r="L11" s="110"/>
      <c r="M11" s="132" t="s">
        <v>31</v>
      </c>
      <c r="N11" s="15" t="s">
        <v>31</v>
      </c>
      <c r="O11" s="110"/>
      <c r="P11" s="133" t="s">
        <v>330</v>
      </c>
      <c r="Q11" s="134" t="s">
        <v>331</v>
      </c>
      <c r="R11" s="109" t="s">
        <v>330</v>
      </c>
      <c r="S11" s="123" t="s">
        <v>331</v>
      </c>
      <c r="U11" s="110"/>
      <c r="W11" s="110"/>
    </row>
    <row r="12" spans="1:23" ht="30" customHeight="1" outlineLevel="1" x14ac:dyDescent="0.25">
      <c r="A12" s="114" t="s">
        <v>332</v>
      </c>
      <c r="B12" s="114" t="s">
        <v>333</v>
      </c>
      <c r="C12" s="109" t="s">
        <v>289</v>
      </c>
      <c r="D12" s="132" t="s">
        <v>334</v>
      </c>
      <c r="E12" s="15" t="s">
        <v>301</v>
      </c>
      <c r="F12" s="110"/>
      <c r="G12" s="132" t="s">
        <v>335</v>
      </c>
      <c r="H12" s="133" t="s">
        <v>309</v>
      </c>
      <c r="I12" s="126"/>
      <c r="J12" s="132" t="s">
        <v>336</v>
      </c>
      <c r="K12" s="15" t="s">
        <v>311</v>
      </c>
      <c r="L12" s="110"/>
      <c r="M12" s="132" t="s">
        <v>337</v>
      </c>
      <c r="N12" s="15" t="s">
        <v>291</v>
      </c>
      <c r="O12" s="110"/>
      <c r="P12" s="133" t="s">
        <v>338</v>
      </c>
      <c r="Q12" s="134" t="s">
        <v>315</v>
      </c>
      <c r="R12" s="109" t="s">
        <v>338</v>
      </c>
      <c r="S12" s="123" t="s">
        <v>315</v>
      </c>
      <c r="U12" s="110"/>
      <c r="W12" s="110"/>
    </row>
    <row r="13" spans="1:23" ht="30" customHeight="1" outlineLevel="1" x14ac:dyDescent="0.25">
      <c r="A13" s="114" t="s">
        <v>339</v>
      </c>
      <c r="B13" s="114" t="s">
        <v>340</v>
      </c>
      <c r="C13" s="109" t="s">
        <v>289</v>
      </c>
      <c r="D13" s="132" t="s">
        <v>341</v>
      </c>
      <c r="E13" s="15" t="s">
        <v>301</v>
      </c>
      <c r="F13" s="110"/>
      <c r="G13" s="132" t="s">
        <v>342</v>
      </c>
      <c r="H13" s="15" t="s">
        <v>309</v>
      </c>
      <c r="I13" s="126"/>
      <c r="J13" s="132" t="s">
        <v>341</v>
      </c>
      <c r="K13" s="15" t="s">
        <v>301</v>
      </c>
      <c r="L13" s="110"/>
      <c r="M13" s="132" t="s">
        <v>343</v>
      </c>
      <c r="N13" s="134" t="s">
        <v>311</v>
      </c>
      <c r="O13" s="110"/>
      <c r="P13" s="133" t="s">
        <v>344</v>
      </c>
      <c r="Q13" s="134" t="s">
        <v>331</v>
      </c>
      <c r="R13" s="109" t="s">
        <v>344</v>
      </c>
      <c r="S13" s="123" t="s">
        <v>331</v>
      </c>
      <c r="U13" s="110"/>
      <c r="W13" s="110"/>
    </row>
    <row r="14" spans="1:23" ht="30" customHeight="1" outlineLevel="1" x14ac:dyDescent="0.25">
      <c r="A14" s="114" t="s">
        <v>345</v>
      </c>
      <c r="B14" s="114" t="s">
        <v>346</v>
      </c>
      <c r="C14" s="109" t="s">
        <v>289</v>
      </c>
      <c r="D14" s="132" t="s">
        <v>347</v>
      </c>
      <c r="E14" s="15" t="s">
        <v>301</v>
      </c>
      <c r="F14" s="110"/>
      <c r="G14" s="132" t="s">
        <v>348</v>
      </c>
      <c r="H14" s="133" t="s">
        <v>291</v>
      </c>
      <c r="I14" s="126"/>
      <c r="J14" s="132" t="s">
        <v>347</v>
      </c>
      <c r="K14" s="15" t="s">
        <v>301</v>
      </c>
      <c r="L14" s="110"/>
      <c r="M14" s="132" t="s">
        <v>349</v>
      </c>
      <c r="N14" s="15" t="s">
        <v>291</v>
      </c>
      <c r="O14" s="110"/>
      <c r="P14" s="133" t="s">
        <v>350</v>
      </c>
      <c r="Q14" s="134" t="s">
        <v>331</v>
      </c>
      <c r="R14" s="109" t="s">
        <v>350</v>
      </c>
      <c r="S14" s="123" t="s">
        <v>331</v>
      </c>
      <c r="U14" s="110"/>
      <c r="W14" s="110"/>
    </row>
    <row r="15" spans="1:23" ht="30" customHeight="1" outlineLevel="1" x14ac:dyDescent="0.25">
      <c r="A15" s="114" t="s">
        <v>351</v>
      </c>
      <c r="B15" s="114" t="s">
        <v>352</v>
      </c>
      <c r="C15" s="109" t="s">
        <v>289</v>
      </c>
      <c r="D15" s="132" t="s">
        <v>353</v>
      </c>
      <c r="E15" s="15" t="s">
        <v>301</v>
      </c>
      <c r="F15" s="110"/>
      <c r="G15" s="132" t="s">
        <v>354</v>
      </c>
      <c r="H15" s="15" t="s">
        <v>311</v>
      </c>
      <c r="I15" s="126"/>
      <c r="J15" s="132" t="s">
        <v>353</v>
      </c>
      <c r="K15" s="15" t="s">
        <v>301</v>
      </c>
      <c r="L15" s="110"/>
      <c r="M15" s="132" t="s">
        <v>355</v>
      </c>
      <c r="N15" s="15" t="s">
        <v>311</v>
      </c>
      <c r="O15" s="110"/>
      <c r="P15" s="133" t="s">
        <v>356</v>
      </c>
      <c r="Q15" s="134" t="s">
        <v>331</v>
      </c>
      <c r="R15" s="109" t="s">
        <v>356</v>
      </c>
      <c r="S15" s="123" t="s">
        <v>331</v>
      </c>
      <c r="U15" s="110"/>
      <c r="W15" s="110"/>
    </row>
    <row r="16" spans="1:23" ht="30" customHeight="1" outlineLevel="1" x14ac:dyDescent="0.25">
      <c r="A16" s="114" t="s">
        <v>357</v>
      </c>
      <c r="B16" s="114" t="s">
        <v>33</v>
      </c>
      <c r="C16" s="109" t="s">
        <v>289</v>
      </c>
      <c r="D16" s="132" t="s">
        <v>358</v>
      </c>
      <c r="E16" s="15" t="s">
        <v>309</v>
      </c>
      <c r="F16" s="110"/>
      <c r="G16" s="132" t="s">
        <v>359</v>
      </c>
      <c r="H16" s="15" t="s">
        <v>301</v>
      </c>
      <c r="I16" s="126"/>
      <c r="J16" s="132" t="s">
        <v>360</v>
      </c>
      <c r="K16" s="134" t="s">
        <v>361</v>
      </c>
      <c r="L16" s="110"/>
      <c r="M16" s="132" t="s">
        <v>362</v>
      </c>
      <c r="N16" s="15" t="s">
        <v>311</v>
      </c>
      <c r="O16" s="110"/>
      <c r="P16" s="133" t="s">
        <v>363</v>
      </c>
      <c r="Q16" s="134" t="s">
        <v>364</v>
      </c>
      <c r="R16" s="109" t="s">
        <v>363</v>
      </c>
      <c r="S16" s="123" t="s">
        <v>364</v>
      </c>
      <c r="U16" s="110"/>
      <c r="W16" s="110"/>
    </row>
    <row r="17" spans="1:23" ht="30" customHeight="1" outlineLevel="1" x14ac:dyDescent="0.25">
      <c r="A17" s="114" t="s">
        <v>365</v>
      </c>
      <c r="B17" s="114" t="s">
        <v>366</v>
      </c>
      <c r="C17" s="109" t="s">
        <v>289</v>
      </c>
      <c r="D17" s="132" t="s">
        <v>367</v>
      </c>
      <c r="E17" s="134" t="s">
        <v>321</v>
      </c>
      <c r="F17" s="110"/>
      <c r="G17" s="132" t="s">
        <v>368</v>
      </c>
      <c r="H17" s="15" t="s">
        <v>301</v>
      </c>
      <c r="I17" s="126"/>
      <c r="J17" s="132" t="s">
        <v>369</v>
      </c>
      <c r="K17" s="134" t="s">
        <v>301</v>
      </c>
      <c r="L17" s="110"/>
      <c r="M17" s="132" t="s">
        <v>370</v>
      </c>
      <c r="N17" s="15" t="s">
        <v>291</v>
      </c>
      <c r="O17" s="110"/>
      <c r="P17" s="133" t="s">
        <v>371</v>
      </c>
      <c r="Q17" s="134" t="s">
        <v>331</v>
      </c>
      <c r="R17" s="109" t="s">
        <v>371</v>
      </c>
      <c r="S17" s="123" t="s">
        <v>331</v>
      </c>
      <c r="U17" s="110"/>
      <c r="W17" s="110"/>
    </row>
    <row r="18" spans="1:23" ht="30" customHeight="1" outlineLevel="1" x14ac:dyDescent="0.25">
      <c r="A18" s="114" t="s">
        <v>372</v>
      </c>
      <c r="B18" s="114" t="s">
        <v>373</v>
      </c>
      <c r="C18" s="109" t="s">
        <v>289</v>
      </c>
      <c r="D18" s="132" t="s">
        <v>374</v>
      </c>
      <c r="E18" s="15" t="s">
        <v>301</v>
      </c>
      <c r="F18" s="110"/>
      <c r="G18" s="132" t="s">
        <v>375</v>
      </c>
      <c r="H18" s="15" t="s">
        <v>291</v>
      </c>
      <c r="I18" s="126"/>
      <c r="J18" s="132" t="s">
        <v>376</v>
      </c>
      <c r="K18" s="15" t="s">
        <v>291</v>
      </c>
      <c r="L18" s="110"/>
      <c r="M18" s="132" t="s">
        <v>377</v>
      </c>
      <c r="N18" s="15" t="s">
        <v>291</v>
      </c>
      <c r="O18" s="110"/>
      <c r="P18" s="133" t="s">
        <v>378</v>
      </c>
      <c r="Q18" s="134" t="s">
        <v>305</v>
      </c>
      <c r="R18" s="109" t="s">
        <v>378</v>
      </c>
      <c r="S18" s="123" t="s">
        <v>305</v>
      </c>
      <c r="U18" s="110"/>
      <c r="W18" s="110"/>
    </row>
    <row r="19" spans="1:23" ht="30" customHeight="1" outlineLevel="1" x14ac:dyDescent="0.25">
      <c r="A19" s="114" t="s">
        <v>379</v>
      </c>
      <c r="B19" s="114" t="s">
        <v>380</v>
      </c>
      <c r="C19" s="109" t="s">
        <v>289</v>
      </c>
      <c r="D19" s="132" t="s">
        <v>381</v>
      </c>
      <c r="E19" s="15" t="s">
        <v>301</v>
      </c>
      <c r="F19" s="110"/>
      <c r="G19" s="132" t="s">
        <v>382</v>
      </c>
      <c r="H19" s="15" t="s">
        <v>291</v>
      </c>
      <c r="I19" s="126"/>
      <c r="J19" s="132" t="s">
        <v>381</v>
      </c>
      <c r="K19" s="15" t="s">
        <v>301</v>
      </c>
      <c r="L19" s="110"/>
      <c r="M19" s="132" t="s">
        <v>383</v>
      </c>
      <c r="N19" s="15" t="s">
        <v>291</v>
      </c>
      <c r="O19" s="110"/>
      <c r="P19" s="133" t="s">
        <v>384</v>
      </c>
      <c r="Q19" s="134" t="s">
        <v>305</v>
      </c>
      <c r="R19" s="109" t="s">
        <v>384</v>
      </c>
      <c r="S19" s="123" t="s">
        <v>305</v>
      </c>
      <c r="U19" s="110"/>
      <c r="W19" s="110"/>
    </row>
    <row r="20" spans="1:23" ht="30" customHeight="1" outlineLevel="1" x14ac:dyDescent="0.25">
      <c r="A20" s="114" t="s">
        <v>385</v>
      </c>
      <c r="B20" s="114" t="s">
        <v>386</v>
      </c>
      <c r="C20" s="109" t="s">
        <v>289</v>
      </c>
      <c r="D20" s="132" t="s">
        <v>387</v>
      </c>
      <c r="E20" s="15" t="s">
        <v>309</v>
      </c>
      <c r="F20" s="110"/>
      <c r="G20" s="132" t="s">
        <v>388</v>
      </c>
      <c r="H20" s="15" t="s">
        <v>311</v>
      </c>
      <c r="I20" s="126"/>
      <c r="J20" s="132" t="s">
        <v>389</v>
      </c>
      <c r="K20" s="134" t="s">
        <v>301</v>
      </c>
      <c r="L20" s="110"/>
      <c r="M20" s="132" t="s">
        <v>390</v>
      </c>
      <c r="N20" s="15" t="s">
        <v>311</v>
      </c>
      <c r="O20" s="110"/>
      <c r="P20" s="133" t="s">
        <v>391</v>
      </c>
      <c r="Q20" s="134" t="s">
        <v>364</v>
      </c>
      <c r="R20" s="109" t="s">
        <v>391</v>
      </c>
      <c r="S20" s="123" t="s">
        <v>364</v>
      </c>
      <c r="U20" s="110"/>
      <c r="W20" s="110"/>
    </row>
    <row r="21" spans="1:23" ht="30" customHeight="1" outlineLevel="1" x14ac:dyDescent="0.25">
      <c r="A21" s="114" t="s">
        <v>392</v>
      </c>
      <c r="B21" s="114" t="s">
        <v>393</v>
      </c>
      <c r="C21" s="109" t="s">
        <v>289</v>
      </c>
      <c r="D21" s="132" t="s">
        <v>394</v>
      </c>
      <c r="E21" s="15" t="s">
        <v>301</v>
      </c>
      <c r="F21" s="110"/>
      <c r="G21" s="132" t="s">
        <v>395</v>
      </c>
      <c r="H21" s="133" t="s">
        <v>291</v>
      </c>
      <c r="I21" s="126"/>
      <c r="J21" s="132" t="s">
        <v>394</v>
      </c>
      <c r="K21" s="15" t="s">
        <v>301</v>
      </c>
      <c r="L21" s="110"/>
      <c r="M21" s="132" t="s">
        <v>396</v>
      </c>
      <c r="N21" s="15" t="s">
        <v>291</v>
      </c>
      <c r="O21" s="110"/>
      <c r="P21" s="133" t="s">
        <v>397</v>
      </c>
      <c r="Q21" s="134" t="s">
        <v>305</v>
      </c>
      <c r="R21" s="109" t="s">
        <v>397</v>
      </c>
      <c r="S21" s="123" t="s">
        <v>305</v>
      </c>
      <c r="U21" s="110"/>
      <c r="W21" s="110"/>
    </row>
    <row r="22" spans="1:23" ht="30" customHeight="1" outlineLevel="1" x14ac:dyDescent="0.25">
      <c r="A22" s="114" t="s">
        <v>398</v>
      </c>
      <c r="B22" s="114" t="s">
        <v>399</v>
      </c>
      <c r="C22" s="109" t="s">
        <v>289</v>
      </c>
      <c r="D22" s="132" t="s">
        <v>400</v>
      </c>
      <c r="E22" s="15" t="s">
        <v>309</v>
      </c>
      <c r="F22" s="110"/>
      <c r="G22" s="132" t="s">
        <v>401</v>
      </c>
      <c r="H22" s="15" t="s">
        <v>311</v>
      </c>
      <c r="I22" s="126"/>
      <c r="J22" s="132" t="s">
        <v>402</v>
      </c>
      <c r="K22" s="134" t="s">
        <v>321</v>
      </c>
      <c r="L22" s="110"/>
      <c r="M22" s="132" t="s">
        <v>403</v>
      </c>
      <c r="N22" s="15" t="s">
        <v>311</v>
      </c>
      <c r="O22" s="110"/>
      <c r="P22" s="133" t="s">
        <v>404</v>
      </c>
      <c r="Q22" s="134" t="s">
        <v>364</v>
      </c>
      <c r="R22" s="109" t="s">
        <v>404</v>
      </c>
      <c r="S22" s="123" t="s">
        <v>364</v>
      </c>
      <c r="U22" s="110"/>
      <c r="W22" s="110"/>
    </row>
    <row r="23" spans="1:23" ht="30" customHeight="1" outlineLevel="1" x14ac:dyDescent="0.25">
      <c r="A23" s="114" t="s">
        <v>405</v>
      </c>
      <c r="B23" s="114" t="s">
        <v>406</v>
      </c>
      <c r="C23" s="109" t="s">
        <v>289</v>
      </c>
      <c r="D23" s="132" t="s">
        <v>407</v>
      </c>
      <c r="E23" s="15" t="s">
        <v>301</v>
      </c>
      <c r="F23" s="110"/>
      <c r="G23" s="132" t="s">
        <v>408</v>
      </c>
      <c r="H23" s="15" t="s">
        <v>311</v>
      </c>
      <c r="I23" s="126"/>
      <c r="J23" s="132" t="s">
        <v>409</v>
      </c>
      <c r="K23" s="15" t="s">
        <v>291</v>
      </c>
      <c r="L23" s="110"/>
      <c r="M23" s="132" t="s">
        <v>410</v>
      </c>
      <c r="N23" s="134" t="s">
        <v>311</v>
      </c>
      <c r="O23" s="110"/>
      <c r="P23" s="133" t="s">
        <v>411</v>
      </c>
      <c r="Q23" s="134" t="s">
        <v>305</v>
      </c>
      <c r="R23" s="109" t="s">
        <v>411</v>
      </c>
      <c r="S23" s="123" t="s">
        <v>305</v>
      </c>
      <c r="U23" s="110"/>
      <c r="W23" s="110"/>
    </row>
    <row r="24" spans="1:23" ht="30" customHeight="1" outlineLevel="1" x14ac:dyDescent="0.25">
      <c r="A24" s="114" t="s">
        <v>412</v>
      </c>
      <c r="B24" s="114" t="s">
        <v>413</v>
      </c>
      <c r="C24" s="109" t="s">
        <v>289</v>
      </c>
      <c r="D24" s="132" t="s">
        <v>414</v>
      </c>
      <c r="E24" s="15" t="s">
        <v>301</v>
      </c>
      <c r="F24" s="110"/>
      <c r="G24" s="132" t="s">
        <v>415</v>
      </c>
      <c r="H24" s="15" t="s">
        <v>311</v>
      </c>
      <c r="I24" s="126"/>
      <c r="J24" s="132" t="s">
        <v>416</v>
      </c>
      <c r="K24" s="15" t="s">
        <v>291</v>
      </c>
      <c r="L24" s="110"/>
      <c r="M24" s="132" t="s">
        <v>417</v>
      </c>
      <c r="N24" s="15" t="s">
        <v>291</v>
      </c>
      <c r="O24" s="110"/>
      <c r="P24" s="133" t="s">
        <v>418</v>
      </c>
      <c r="Q24" s="134" t="s">
        <v>305</v>
      </c>
      <c r="R24" s="109" t="s">
        <v>418</v>
      </c>
      <c r="S24" s="123" t="s">
        <v>305</v>
      </c>
      <c r="U24" s="110"/>
      <c r="W24" s="110"/>
    </row>
    <row r="25" spans="1:23" ht="30" customHeight="1" outlineLevel="1" x14ac:dyDescent="0.25">
      <c r="A25" s="114" t="s">
        <v>419</v>
      </c>
      <c r="B25" s="114" t="s">
        <v>420</v>
      </c>
      <c r="C25" s="109" t="s">
        <v>289</v>
      </c>
      <c r="D25" s="132" t="s">
        <v>421</v>
      </c>
      <c r="E25" s="15" t="s">
        <v>301</v>
      </c>
      <c r="F25" s="110"/>
      <c r="G25" s="132" t="s">
        <v>422</v>
      </c>
      <c r="H25" s="133" t="s">
        <v>291</v>
      </c>
      <c r="I25" s="126"/>
      <c r="J25" s="132" t="s">
        <v>423</v>
      </c>
      <c r="K25" s="15" t="s">
        <v>291</v>
      </c>
      <c r="L25" s="110"/>
      <c r="M25" s="132" t="s">
        <v>424</v>
      </c>
      <c r="N25" s="134" t="s">
        <v>311</v>
      </c>
      <c r="O25" s="110"/>
      <c r="P25" s="133" t="s">
        <v>425</v>
      </c>
      <c r="Q25" s="134" t="s">
        <v>364</v>
      </c>
      <c r="R25" s="109" t="s">
        <v>425</v>
      </c>
      <c r="S25" s="123" t="s">
        <v>364</v>
      </c>
      <c r="U25" s="110"/>
      <c r="W25" s="110"/>
    </row>
    <row r="26" spans="1:23" ht="30" customHeight="1" outlineLevel="1" x14ac:dyDescent="0.25">
      <c r="A26" s="114" t="s">
        <v>426</v>
      </c>
      <c r="B26" s="114" t="s">
        <v>427</v>
      </c>
      <c r="C26" s="109" t="s">
        <v>289</v>
      </c>
      <c r="D26" s="132" t="s">
        <v>428</v>
      </c>
      <c r="E26" s="15" t="s">
        <v>301</v>
      </c>
      <c r="F26" s="110"/>
      <c r="G26" s="132" t="s">
        <v>429</v>
      </c>
      <c r="H26" s="15" t="s">
        <v>301</v>
      </c>
      <c r="I26" s="126"/>
      <c r="J26" s="132" t="s">
        <v>428</v>
      </c>
      <c r="K26" s="15" t="s">
        <v>301</v>
      </c>
      <c r="L26" s="110"/>
      <c r="M26" s="132" t="s">
        <v>430</v>
      </c>
      <c r="N26" s="15" t="s">
        <v>291</v>
      </c>
      <c r="O26" s="110"/>
      <c r="P26" s="133" t="s">
        <v>431</v>
      </c>
      <c r="Q26" s="134" t="s">
        <v>331</v>
      </c>
      <c r="R26" s="109" t="s">
        <v>431</v>
      </c>
      <c r="S26" s="123" t="s">
        <v>331</v>
      </c>
      <c r="U26" s="110"/>
      <c r="W26" s="110"/>
    </row>
    <row r="27" spans="1:23" ht="30" customHeight="1" outlineLevel="1" x14ac:dyDescent="0.25">
      <c r="A27" s="114" t="s">
        <v>432</v>
      </c>
      <c r="B27" s="114" t="s">
        <v>433</v>
      </c>
      <c r="C27" s="109" t="s">
        <v>289</v>
      </c>
      <c r="D27" s="132" t="s">
        <v>434</v>
      </c>
      <c r="E27" s="15" t="s">
        <v>301</v>
      </c>
      <c r="F27" s="110"/>
      <c r="G27" s="132" t="s">
        <v>435</v>
      </c>
      <c r="H27" s="133" t="s">
        <v>291</v>
      </c>
      <c r="I27" s="126"/>
      <c r="J27" s="132" t="s">
        <v>434</v>
      </c>
      <c r="K27" s="15" t="s">
        <v>301</v>
      </c>
      <c r="L27" s="110"/>
      <c r="M27" s="132" t="s">
        <v>436</v>
      </c>
      <c r="N27" s="15" t="s">
        <v>301</v>
      </c>
      <c r="O27" s="110"/>
      <c r="P27" s="133" t="s">
        <v>437</v>
      </c>
      <c r="Q27" s="134" t="s">
        <v>331</v>
      </c>
      <c r="R27" s="109" t="s">
        <v>437</v>
      </c>
      <c r="S27" s="123" t="s">
        <v>331</v>
      </c>
      <c r="U27" s="110"/>
      <c r="W27" s="110"/>
    </row>
    <row r="28" spans="1:23" ht="30" customHeight="1" outlineLevel="1" x14ac:dyDescent="0.25">
      <c r="A28" s="114" t="s">
        <v>438</v>
      </c>
      <c r="B28" s="114" t="s">
        <v>439</v>
      </c>
      <c r="C28" s="109" t="s">
        <v>289</v>
      </c>
      <c r="D28" s="132" t="s">
        <v>440</v>
      </c>
      <c r="E28" s="15" t="s">
        <v>301</v>
      </c>
      <c r="F28" s="110"/>
      <c r="G28" s="132" t="s">
        <v>441</v>
      </c>
      <c r="H28" s="15" t="s">
        <v>311</v>
      </c>
      <c r="I28" s="126"/>
      <c r="J28" s="132" t="s">
        <v>440</v>
      </c>
      <c r="K28" s="15" t="s">
        <v>301</v>
      </c>
      <c r="L28" s="110"/>
      <c r="M28" s="132" t="s">
        <v>442</v>
      </c>
      <c r="N28" s="134" t="s">
        <v>301</v>
      </c>
      <c r="O28" s="110"/>
      <c r="P28" s="133" t="s">
        <v>443</v>
      </c>
      <c r="Q28" s="134" t="s">
        <v>364</v>
      </c>
      <c r="R28" s="109" t="s">
        <v>443</v>
      </c>
      <c r="S28" s="123" t="s">
        <v>364</v>
      </c>
      <c r="U28" s="110"/>
      <c r="W28" s="110"/>
    </row>
    <row r="29" spans="1:23" ht="30" customHeight="1" outlineLevel="1" x14ac:dyDescent="0.25">
      <c r="A29" s="114" t="s">
        <v>444</v>
      </c>
      <c r="B29" s="114" t="s">
        <v>445</v>
      </c>
      <c r="C29" s="109" t="s">
        <v>289</v>
      </c>
      <c r="D29" s="132" t="s">
        <v>446</v>
      </c>
      <c r="E29" s="15" t="s">
        <v>309</v>
      </c>
      <c r="F29" s="110"/>
      <c r="G29" s="132" t="s">
        <v>447</v>
      </c>
      <c r="H29" s="15" t="s">
        <v>301</v>
      </c>
      <c r="I29" s="126"/>
      <c r="J29" s="132" t="s">
        <v>448</v>
      </c>
      <c r="K29" s="15" t="s">
        <v>301</v>
      </c>
      <c r="L29" s="110"/>
      <c r="M29" s="132" t="s">
        <v>449</v>
      </c>
      <c r="N29" s="15" t="s">
        <v>291</v>
      </c>
      <c r="O29" s="110"/>
      <c r="P29" s="133" t="s">
        <v>450</v>
      </c>
      <c r="Q29" s="134" t="s">
        <v>305</v>
      </c>
      <c r="R29" s="109" t="s">
        <v>450</v>
      </c>
      <c r="S29" s="123" t="s">
        <v>305</v>
      </c>
      <c r="U29" s="110"/>
      <c r="W29" s="110"/>
    </row>
    <row r="30" spans="1:23" ht="30" customHeight="1" outlineLevel="1" x14ac:dyDescent="0.25">
      <c r="A30" s="114" t="s">
        <v>451</v>
      </c>
      <c r="B30" s="114" t="s">
        <v>452</v>
      </c>
      <c r="C30" s="109" t="s">
        <v>289</v>
      </c>
      <c r="D30" s="132" t="s">
        <v>453</v>
      </c>
      <c r="E30" s="15" t="s">
        <v>301</v>
      </c>
      <c r="F30" s="110"/>
      <c r="G30" s="132" t="s">
        <v>454</v>
      </c>
      <c r="H30" s="133" t="s">
        <v>291</v>
      </c>
      <c r="I30" s="126"/>
      <c r="J30" s="132" t="s">
        <v>453</v>
      </c>
      <c r="K30" s="15" t="s">
        <v>301</v>
      </c>
      <c r="L30" s="110"/>
      <c r="M30" s="132" t="s">
        <v>455</v>
      </c>
      <c r="N30" s="15" t="s">
        <v>311</v>
      </c>
      <c r="O30" s="110"/>
      <c r="P30" s="133" t="s">
        <v>456</v>
      </c>
      <c r="Q30" s="134" t="s">
        <v>331</v>
      </c>
      <c r="R30" s="109" t="s">
        <v>456</v>
      </c>
      <c r="S30" s="123" t="s">
        <v>331</v>
      </c>
      <c r="U30" s="110"/>
      <c r="W30" s="110"/>
    </row>
    <row r="31" spans="1:23" outlineLevel="1" x14ac:dyDescent="0.25">
      <c r="A31" s="114" t="s">
        <v>457</v>
      </c>
      <c r="B31" s="114" t="s">
        <v>458</v>
      </c>
      <c r="C31" s="109" t="s">
        <v>289</v>
      </c>
      <c r="D31" s="132" t="s">
        <v>31</v>
      </c>
      <c r="E31" s="15" t="s">
        <v>31</v>
      </c>
      <c r="F31" s="110"/>
      <c r="G31" s="132"/>
      <c r="H31" s="133"/>
      <c r="I31" s="126"/>
      <c r="J31" s="162" t="s">
        <v>325</v>
      </c>
      <c r="K31" s="15" t="s">
        <v>311</v>
      </c>
      <c r="L31" s="171" t="s">
        <v>459</v>
      </c>
      <c r="M31" s="132"/>
      <c r="O31" s="110"/>
      <c r="P31" s="133"/>
      <c r="Q31" s="134"/>
      <c r="R31" s="109"/>
      <c r="S31" s="123"/>
      <c r="U31" s="110"/>
      <c r="W31" s="110"/>
    </row>
    <row r="32" spans="1:23" ht="30" customHeight="1" outlineLevel="1" x14ac:dyDescent="0.25">
      <c r="A32" s="114" t="s">
        <v>460</v>
      </c>
      <c r="B32" s="114" t="s">
        <v>461</v>
      </c>
      <c r="C32" s="109" t="s">
        <v>289</v>
      </c>
      <c r="D32" s="132"/>
      <c r="F32" s="110"/>
      <c r="G32" s="132"/>
      <c r="H32" s="133"/>
      <c r="I32" s="126"/>
      <c r="J32" s="162" t="s">
        <v>462</v>
      </c>
      <c r="K32" s="15" t="s">
        <v>463</v>
      </c>
      <c r="L32" s="171" t="s">
        <v>459</v>
      </c>
      <c r="M32" s="132"/>
      <c r="O32" s="110"/>
      <c r="P32" s="133"/>
      <c r="Q32" s="134"/>
      <c r="R32" s="109"/>
      <c r="S32" s="123"/>
      <c r="U32" s="110"/>
      <c r="W32" s="110"/>
    </row>
    <row r="33" spans="1:23" outlineLevel="1" x14ac:dyDescent="0.25">
      <c r="A33" s="450" t="s">
        <v>464</v>
      </c>
      <c r="B33" s="450" t="s">
        <v>465</v>
      </c>
      <c r="C33" s="451" t="s">
        <v>289</v>
      </c>
      <c r="D33" s="132"/>
      <c r="F33" s="110"/>
      <c r="G33" s="132"/>
      <c r="H33" s="133"/>
      <c r="I33" s="126"/>
      <c r="J33" s="109" t="s">
        <v>466</v>
      </c>
      <c r="K33" s="15" t="s">
        <v>467</v>
      </c>
      <c r="L33" s="110"/>
      <c r="M33" s="132"/>
      <c r="O33" s="110"/>
      <c r="P33" s="133"/>
      <c r="Q33" s="134"/>
      <c r="R33" s="109"/>
      <c r="S33" s="123"/>
      <c r="U33" s="110"/>
      <c r="W33" s="110"/>
    </row>
    <row r="34" spans="1:23" ht="30" customHeight="1" x14ac:dyDescent="0.25">
      <c r="A34" s="457" t="s">
        <v>468</v>
      </c>
      <c r="B34" s="457"/>
      <c r="C34" s="207"/>
      <c r="D34" s="117"/>
      <c r="E34" s="458"/>
      <c r="F34" s="118"/>
      <c r="G34" s="117"/>
      <c r="H34" s="458"/>
      <c r="I34" s="118"/>
      <c r="J34" s="117"/>
      <c r="K34" s="458"/>
      <c r="L34" s="118"/>
      <c r="M34" s="117"/>
      <c r="N34" s="458"/>
      <c r="O34" s="118"/>
      <c r="P34" s="458"/>
      <c r="Q34" s="458"/>
      <c r="R34" s="117"/>
      <c r="S34" s="118"/>
      <c r="T34" s="458"/>
      <c r="U34" s="118"/>
      <c r="V34" s="458"/>
      <c r="W34" s="118"/>
    </row>
    <row r="35" spans="1:23" ht="30" customHeight="1" outlineLevel="1" x14ac:dyDescent="0.25">
      <c r="A35" s="114" t="s">
        <v>469</v>
      </c>
      <c r="B35" s="114" t="s">
        <v>470</v>
      </c>
      <c r="C35" s="109" t="s">
        <v>289</v>
      </c>
      <c r="D35" s="109" t="s">
        <v>471</v>
      </c>
      <c r="E35" s="15" t="s">
        <v>309</v>
      </c>
      <c r="F35" s="110" t="s">
        <v>471</v>
      </c>
      <c r="G35" s="109"/>
      <c r="I35" s="110"/>
      <c r="J35" s="109"/>
      <c r="L35" s="110"/>
      <c r="M35" s="132" t="s">
        <v>472</v>
      </c>
      <c r="N35" s="133" t="s">
        <v>301</v>
      </c>
      <c r="O35" s="126" t="s">
        <v>472</v>
      </c>
      <c r="P35" s="133" t="s">
        <v>31</v>
      </c>
      <c r="Q35" s="135" t="s">
        <v>31</v>
      </c>
      <c r="R35" s="109"/>
      <c r="S35" s="173" t="s">
        <v>31</v>
      </c>
      <c r="U35" s="110"/>
      <c r="W35" s="110"/>
    </row>
    <row r="36" spans="1:23" ht="60" customHeight="1" outlineLevel="1" x14ac:dyDescent="0.25">
      <c r="A36" s="114" t="s">
        <v>298</v>
      </c>
      <c r="B36" s="114" t="s">
        <v>473</v>
      </c>
      <c r="C36" s="109" t="s">
        <v>289</v>
      </c>
      <c r="D36" s="132" t="s">
        <v>474</v>
      </c>
      <c r="E36" s="15" t="s">
        <v>311</v>
      </c>
      <c r="F36" s="126" t="s">
        <v>474</v>
      </c>
      <c r="G36" s="132" t="s">
        <v>474</v>
      </c>
      <c r="H36" s="15" t="s">
        <v>311</v>
      </c>
      <c r="I36" s="126"/>
      <c r="J36" s="132" t="s">
        <v>475</v>
      </c>
      <c r="K36" s="15" t="s">
        <v>291</v>
      </c>
      <c r="L36" s="110"/>
      <c r="M36" s="132" t="s">
        <v>474</v>
      </c>
      <c r="N36" s="133" t="s">
        <v>311</v>
      </c>
      <c r="O36" s="126" t="s">
        <v>474</v>
      </c>
      <c r="P36" s="133" t="s">
        <v>476</v>
      </c>
      <c r="Q36" s="153" t="s">
        <v>477</v>
      </c>
      <c r="R36" s="132" t="s">
        <v>476</v>
      </c>
      <c r="S36" s="174" t="s">
        <v>477</v>
      </c>
      <c r="U36" s="110"/>
      <c r="W36" s="110"/>
    </row>
    <row r="37" spans="1:23" ht="30" customHeight="1" outlineLevel="1" x14ac:dyDescent="0.25">
      <c r="A37" s="114" t="s">
        <v>306</v>
      </c>
      <c r="B37" s="114" t="s">
        <v>478</v>
      </c>
      <c r="C37" s="109" t="s">
        <v>289</v>
      </c>
      <c r="D37" s="132" t="s">
        <v>479</v>
      </c>
      <c r="E37" s="15" t="s">
        <v>311</v>
      </c>
      <c r="F37" s="126" t="s">
        <v>479</v>
      </c>
      <c r="G37" s="162" t="s">
        <v>480</v>
      </c>
      <c r="H37" s="15" t="s">
        <v>291</v>
      </c>
      <c r="I37" s="171" t="s">
        <v>459</v>
      </c>
      <c r="J37" s="132" t="s">
        <v>481</v>
      </c>
      <c r="K37" s="133" t="s">
        <v>482</v>
      </c>
      <c r="L37" s="110" t="s">
        <v>480</v>
      </c>
      <c r="M37" s="132" t="s">
        <v>483</v>
      </c>
      <c r="N37" s="133" t="s">
        <v>291</v>
      </c>
      <c r="O37" s="133" t="s">
        <v>483</v>
      </c>
      <c r="P37" s="133" t="s">
        <v>484</v>
      </c>
      <c r="Q37" s="154" t="s">
        <v>485</v>
      </c>
      <c r="R37" s="109" t="s">
        <v>484</v>
      </c>
      <c r="S37" s="175" t="s">
        <v>485</v>
      </c>
      <c r="U37" s="110"/>
      <c r="W37" s="110"/>
    </row>
    <row r="38" spans="1:23" ht="30" customHeight="1" outlineLevel="1" x14ac:dyDescent="0.25">
      <c r="A38" s="114" t="s">
        <v>316</v>
      </c>
      <c r="B38" s="114" t="s">
        <v>486</v>
      </c>
      <c r="C38" s="109" t="s">
        <v>289</v>
      </c>
      <c r="D38" s="132" t="s">
        <v>487</v>
      </c>
      <c r="E38" s="135" t="s">
        <v>488</v>
      </c>
      <c r="F38" s="126" t="s">
        <v>489</v>
      </c>
      <c r="G38" s="132" t="s">
        <v>487</v>
      </c>
      <c r="H38" s="135" t="s">
        <v>488</v>
      </c>
      <c r="I38" s="123" t="s">
        <v>490</v>
      </c>
      <c r="J38" s="132" t="s">
        <v>487</v>
      </c>
      <c r="K38" s="135" t="s">
        <v>488</v>
      </c>
      <c r="L38" s="126" t="s">
        <v>489</v>
      </c>
      <c r="M38" s="109" t="s">
        <v>491</v>
      </c>
      <c r="N38" s="135" t="s">
        <v>492</v>
      </c>
      <c r="O38" s="123" t="s">
        <v>493</v>
      </c>
      <c r="P38" s="133" t="s">
        <v>494</v>
      </c>
      <c r="Q38" s="15" t="s">
        <v>495</v>
      </c>
      <c r="R38" s="109" t="s">
        <v>494</v>
      </c>
      <c r="S38" s="110" t="s">
        <v>495</v>
      </c>
      <c r="U38" s="110"/>
      <c r="W38" s="110"/>
    </row>
    <row r="39" spans="1:23" ht="30" customHeight="1" outlineLevel="1" x14ac:dyDescent="0.25">
      <c r="A39" s="114" t="s">
        <v>496</v>
      </c>
      <c r="B39" s="114" t="s">
        <v>497</v>
      </c>
      <c r="C39" s="109" t="s">
        <v>289</v>
      </c>
      <c r="D39" s="132" t="s">
        <v>498</v>
      </c>
      <c r="E39" s="15" t="s">
        <v>301</v>
      </c>
      <c r="F39" s="126" t="s">
        <v>498</v>
      </c>
      <c r="G39" s="132" t="s">
        <v>498</v>
      </c>
      <c r="H39" s="15" t="s">
        <v>301</v>
      </c>
      <c r="I39" s="126" t="s">
        <v>498</v>
      </c>
      <c r="J39" s="132" t="s">
        <v>498</v>
      </c>
      <c r="K39" s="15" t="s">
        <v>301</v>
      </c>
      <c r="L39" s="126" t="s">
        <v>498</v>
      </c>
      <c r="M39" s="132" t="s">
        <v>499</v>
      </c>
      <c r="N39" s="133" t="s">
        <v>291</v>
      </c>
      <c r="O39" s="126" t="s">
        <v>499</v>
      </c>
      <c r="P39" s="133" t="s">
        <v>500</v>
      </c>
      <c r="Q39" s="154" t="s">
        <v>331</v>
      </c>
      <c r="R39" s="109" t="s">
        <v>500</v>
      </c>
      <c r="S39" s="175" t="s">
        <v>331</v>
      </c>
      <c r="U39" s="110"/>
      <c r="W39" s="110"/>
    </row>
    <row r="40" spans="1:23" ht="30" customHeight="1" outlineLevel="1" x14ac:dyDescent="0.25">
      <c r="A40" s="114" t="s">
        <v>501</v>
      </c>
      <c r="B40" s="114" t="s">
        <v>502</v>
      </c>
      <c r="C40" s="109" t="s">
        <v>289</v>
      </c>
      <c r="D40" s="132" t="s">
        <v>503</v>
      </c>
      <c r="E40" s="15" t="s">
        <v>301</v>
      </c>
      <c r="F40" s="126" t="s">
        <v>503</v>
      </c>
      <c r="G40" s="132" t="s">
        <v>503</v>
      </c>
      <c r="H40" s="15" t="s">
        <v>301</v>
      </c>
      <c r="I40" s="126" t="s">
        <v>503</v>
      </c>
      <c r="J40" s="132" t="s">
        <v>503</v>
      </c>
      <c r="K40" s="15" t="s">
        <v>301</v>
      </c>
      <c r="L40" s="126" t="s">
        <v>503</v>
      </c>
      <c r="M40" s="132" t="s">
        <v>504</v>
      </c>
      <c r="N40" s="133" t="s">
        <v>291</v>
      </c>
      <c r="O40" s="126" t="s">
        <v>504</v>
      </c>
      <c r="P40" s="133" t="s">
        <v>505</v>
      </c>
      <c r="Q40" s="154" t="s">
        <v>315</v>
      </c>
      <c r="R40" s="109" t="s">
        <v>505</v>
      </c>
      <c r="S40" s="175" t="s">
        <v>315</v>
      </c>
      <c r="U40" s="110"/>
      <c r="W40" s="110"/>
    </row>
    <row r="41" spans="1:23" ht="30" customHeight="1" outlineLevel="1" x14ac:dyDescent="0.25">
      <c r="A41" s="114" t="s">
        <v>506</v>
      </c>
      <c r="B41" s="114" t="s">
        <v>507</v>
      </c>
      <c r="C41" s="109" t="s">
        <v>289</v>
      </c>
      <c r="D41" s="132" t="s">
        <v>508</v>
      </c>
      <c r="E41" s="15" t="s">
        <v>301</v>
      </c>
      <c r="F41" s="126" t="s">
        <v>508</v>
      </c>
      <c r="G41" s="132" t="s">
        <v>508</v>
      </c>
      <c r="H41" s="15" t="s">
        <v>301</v>
      </c>
      <c r="I41" s="126" t="s">
        <v>508</v>
      </c>
      <c r="J41" s="132" t="s">
        <v>508</v>
      </c>
      <c r="K41" s="15" t="s">
        <v>301</v>
      </c>
      <c r="L41" s="126" t="s">
        <v>508</v>
      </c>
      <c r="M41" s="132" t="s">
        <v>509</v>
      </c>
      <c r="N41" s="133" t="s">
        <v>291</v>
      </c>
      <c r="O41" s="126" t="s">
        <v>509</v>
      </c>
      <c r="P41" s="133" t="s">
        <v>510</v>
      </c>
      <c r="Q41" s="154" t="s">
        <v>364</v>
      </c>
      <c r="R41" s="109" t="s">
        <v>510</v>
      </c>
      <c r="S41" s="175" t="s">
        <v>364</v>
      </c>
      <c r="U41" s="110"/>
      <c r="W41" s="110"/>
    </row>
    <row r="42" spans="1:23" ht="30" customHeight="1" outlineLevel="1" x14ac:dyDescent="0.25">
      <c r="A42" s="114" t="s">
        <v>511</v>
      </c>
      <c r="B42" s="114" t="s">
        <v>512</v>
      </c>
      <c r="C42" s="109" t="s">
        <v>289</v>
      </c>
      <c r="D42" s="132" t="s">
        <v>513</v>
      </c>
      <c r="E42" s="15" t="s">
        <v>291</v>
      </c>
      <c r="F42" s="126" t="s">
        <v>513</v>
      </c>
      <c r="G42" s="132" t="s">
        <v>514</v>
      </c>
      <c r="H42" s="133" t="s">
        <v>291</v>
      </c>
      <c r="I42" s="126" t="s">
        <v>514</v>
      </c>
      <c r="J42" s="132" t="s">
        <v>513</v>
      </c>
      <c r="K42" s="15" t="s">
        <v>291</v>
      </c>
      <c r="L42" s="126" t="s">
        <v>513</v>
      </c>
      <c r="M42" s="132" t="s">
        <v>514</v>
      </c>
      <c r="N42" s="133" t="s">
        <v>291</v>
      </c>
      <c r="O42" s="126" t="s">
        <v>514</v>
      </c>
      <c r="P42" s="133" t="s">
        <v>31</v>
      </c>
      <c r="Q42" s="15" t="s">
        <v>31</v>
      </c>
      <c r="R42" s="109" t="s">
        <v>31</v>
      </c>
      <c r="S42" s="110" t="s">
        <v>31</v>
      </c>
      <c r="U42" s="110"/>
      <c r="W42" s="110"/>
    </row>
    <row r="43" spans="1:23" ht="30" customHeight="1" outlineLevel="1" x14ac:dyDescent="0.25">
      <c r="A43" s="114" t="s">
        <v>332</v>
      </c>
      <c r="B43" s="465" t="s">
        <v>60</v>
      </c>
      <c r="C43" s="109" t="s">
        <v>289</v>
      </c>
      <c r="D43" s="132" t="s">
        <v>515</v>
      </c>
      <c r="E43" s="15" t="s">
        <v>309</v>
      </c>
      <c r="F43" s="126" t="s">
        <v>515</v>
      </c>
      <c r="G43" s="319" t="s">
        <v>516</v>
      </c>
      <c r="H43" s="133" t="s">
        <v>291</v>
      </c>
      <c r="I43" s="171" t="s">
        <v>459</v>
      </c>
      <c r="J43" s="132" t="s">
        <v>517</v>
      </c>
      <c r="K43" s="133" t="s">
        <v>311</v>
      </c>
      <c r="L43" s="110"/>
      <c r="M43" s="132" t="s">
        <v>518</v>
      </c>
      <c r="N43" s="133" t="s">
        <v>301</v>
      </c>
      <c r="O43" s="126" t="s">
        <v>518</v>
      </c>
      <c r="P43" s="133" t="s">
        <v>519</v>
      </c>
      <c r="Q43" s="154" t="s">
        <v>520</v>
      </c>
      <c r="R43" s="109" t="s">
        <v>519</v>
      </c>
      <c r="S43" s="175" t="s">
        <v>520</v>
      </c>
      <c r="U43" s="110"/>
      <c r="W43" s="110"/>
    </row>
    <row r="44" spans="1:23" ht="30" customHeight="1" outlineLevel="1" x14ac:dyDescent="0.25">
      <c r="A44" s="114" t="s">
        <v>521</v>
      </c>
      <c r="B44" s="465" t="s">
        <v>147</v>
      </c>
      <c r="C44" s="109" t="s">
        <v>289</v>
      </c>
      <c r="D44" s="132" t="s">
        <v>522</v>
      </c>
      <c r="E44" s="15" t="s">
        <v>301</v>
      </c>
      <c r="F44" s="126" t="s">
        <v>522</v>
      </c>
      <c r="G44" s="132" t="s">
        <v>522</v>
      </c>
      <c r="H44" s="15" t="s">
        <v>301</v>
      </c>
      <c r="I44" s="126" t="s">
        <v>522</v>
      </c>
      <c r="J44" s="132" t="s">
        <v>523</v>
      </c>
      <c r="K44" s="15" t="s">
        <v>291</v>
      </c>
      <c r="L44" s="110"/>
      <c r="M44" s="132" t="s">
        <v>522</v>
      </c>
      <c r="N44" s="133" t="s">
        <v>301</v>
      </c>
      <c r="O44" s="126" t="s">
        <v>522</v>
      </c>
      <c r="P44" s="133" t="s">
        <v>524</v>
      </c>
      <c r="Q44" s="154" t="s">
        <v>315</v>
      </c>
      <c r="R44" s="109" t="s">
        <v>524</v>
      </c>
      <c r="S44" s="175" t="s">
        <v>315</v>
      </c>
      <c r="U44" s="110"/>
      <c r="W44" s="110"/>
    </row>
    <row r="45" spans="1:23" ht="30" customHeight="1" outlineLevel="1" x14ac:dyDescent="0.25">
      <c r="A45" s="114" t="s">
        <v>345</v>
      </c>
      <c r="B45" s="465" t="s">
        <v>156</v>
      </c>
      <c r="C45" s="109" t="s">
        <v>289</v>
      </c>
      <c r="D45" s="132" t="s">
        <v>525</v>
      </c>
      <c r="E45" s="15" t="s">
        <v>301</v>
      </c>
      <c r="F45" s="126" t="s">
        <v>525</v>
      </c>
      <c r="G45" s="132" t="s">
        <v>525</v>
      </c>
      <c r="H45" s="15" t="s">
        <v>301</v>
      </c>
      <c r="I45" s="126" t="s">
        <v>525</v>
      </c>
      <c r="J45" s="132" t="s">
        <v>525</v>
      </c>
      <c r="K45" s="15" t="s">
        <v>301</v>
      </c>
      <c r="L45" s="126" t="s">
        <v>525</v>
      </c>
      <c r="M45" s="132" t="s">
        <v>525</v>
      </c>
      <c r="N45" s="133" t="s">
        <v>301</v>
      </c>
      <c r="O45" s="126" t="s">
        <v>525</v>
      </c>
      <c r="P45" s="133" t="s">
        <v>526</v>
      </c>
      <c r="Q45" s="154" t="s">
        <v>315</v>
      </c>
      <c r="R45" s="109" t="s">
        <v>526</v>
      </c>
      <c r="S45" s="175" t="s">
        <v>315</v>
      </c>
      <c r="U45" s="110"/>
      <c r="W45" s="110"/>
    </row>
    <row r="46" spans="1:23" ht="30" customHeight="1" outlineLevel="1" x14ac:dyDescent="0.25">
      <c r="A46" s="114" t="s">
        <v>351</v>
      </c>
      <c r="B46" s="465" t="s">
        <v>163</v>
      </c>
      <c r="C46" s="109" t="s">
        <v>289</v>
      </c>
      <c r="D46" s="132" t="s">
        <v>527</v>
      </c>
      <c r="E46" s="15" t="s">
        <v>321</v>
      </c>
      <c r="F46" s="126" t="s">
        <v>527</v>
      </c>
      <c r="G46" s="132" t="s">
        <v>528</v>
      </c>
      <c r="H46" s="133" t="s">
        <v>291</v>
      </c>
      <c r="I46" s="126" t="s">
        <v>528</v>
      </c>
      <c r="J46" s="132" t="s">
        <v>527</v>
      </c>
      <c r="K46" s="15" t="s">
        <v>321</v>
      </c>
      <c r="L46" s="126" t="s">
        <v>527</v>
      </c>
      <c r="M46" s="132" t="s">
        <v>528</v>
      </c>
      <c r="N46" s="133" t="s">
        <v>291</v>
      </c>
      <c r="O46" s="126" t="s">
        <v>528</v>
      </c>
      <c r="P46" s="133" t="s">
        <v>529</v>
      </c>
      <c r="Q46" s="154" t="s">
        <v>495</v>
      </c>
      <c r="R46" s="109" t="s">
        <v>529</v>
      </c>
      <c r="S46" s="175" t="s">
        <v>495</v>
      </c>
      <c r="U46" s="110"/>
      <c r="W46" s="110"/>
    </row>
    <row r="47" spans="1:23" ht="30" customHeight="1" outlineLevel="1" x14ac:dyDescent="0.25">
      <c r="A47" s="114" t="s">
        <v>357</v>
      </c>
      <c r="B47" s="465" t="s">
        <v>29</v>
      </c>
      <c r="C47" s="109" t="s">
        <v>289</v>
      </c>
      <c r="D47" s="132" t="s">
        <v>530</v>
      </c>
      <c r="E47" s="134" t="s">
        <v>531</v>
      </c>
      <c r="F47" s="126" t="s">
        <v>530</v>
      </c>
      <c r="G47" s="162" t="s">
        <v>532</v>
      </c>
      <c r="H47" s="15" t="s">
        <v>311</v>
      </c>
      <c r="I47" s="171" t="s">
        <v>459</v>
      </c>
      <c r="J47" s="132" t="s">
        <v>533</v>
      </c>
      <c r="K47" s="134" t="s">
        <v>309</v>
      </c>
      <c r="L47" s="110"/>
      <c r="M47" s="109" t="s">
        <v>534</v>
      </c>
      <c r="N47" s="133" t="s">
        <v>311</v>
      </c>
      <c r="O47" s="110" t="s">
        <v>534</v>
      </c>
      <c r="P47" s="133" t="s">
        <v>535</v>
      </c>
      <c r="Q47" s="154" t="s">
        <v>536</v>
      </c>
      <c r="R47" s="109" t="s">
        <v>535</v>
      </c>
      <c r="S47" s="175" t="s">
        <v>536</v>
      </c>
      <c r="U47" s="110"/>
      <c r="W47" s="110"/>
    </row>
    <row r="48" spans="1:23" ht="30" customHeight="1" outlineLevel="1" x14ac:dyDescent="0.25">
      <c r="A48" s="114" t="s">
        <v>537</v>
      </c>
      <c r="B48" s="465" t="s">
        <v>40</v>
      </c>
      <c r="C48" s="109" t="s">
        <v>289</v>
      </c>
      <c r="D48" s="132" t="s">
        <v>538</v>
      </c>
      <c r="E48" s="134" t="s">
        <v>321</v>
      </c>
      <c r="F48" s="126" t="s">
        <v>538</v>
      </c>
      <c r="G48" s="132" t="s">
        <v>539</v>
      </c>
      <c r="H48" s="133" t="s">
        <v>291</v>
      </c>
      <c r="I48" s="126" t="s">
        <v>539</v>
      </c>
      <c r="J48" s="319" t="s">
        <v>540</v>
      </c>
      <c r="K48" s="181" t="s">
        <v>311</v>
      </c>
      <c r="L48" s="171" t="s">
        <v>459</v>
      </c>
      <c r="M48" s="132" t="s">
        <v>539</v>
      </c>
      <c r="N48" s="133" t="s">
        <v>291</v>
      </c>
      <c r="O48" s="126" t="s">
        <v>539</v>
      </c>
      <c r="P48" s="133" t="s">
        <v>541</v>
      </c>
      <c r="Q48" s="154" t="s">
        <v>542</v>
      </c>
      <c r="R48" s="109" t="s">
        <v>541</v>
      </c>
      <c r="S48" s="175" t="s">
        <v>542</v>
      </c>
      <c r="U48" s="110"/>
      <c r="W48" s="110"/>
    </row>
    <row r="49" spans="1:23" ht="30" customHeight="1" outlineLevel="1" x14ac:dyDescent="0.25">
      <c r="A49" s="114" t="s">
        <v>372</v>
      </c>
      <c r="B49" s="114" t="s">
        <v>543</v>
      </c>
      <c r="C49" s="109" t="s">
        <v>289</v>
      </c>
      <c r="D49" s="132" t="s">
        <v>544</v>
      </c>
      <c r="E49" s="15" t="s">
        <v>311</v>
      </c>
      <c r="F49" s="126" t="s">
        <v>544</v>
      </c>
      <c r="G49" s="132" t="s">
        <v>544</v>
      </c>
      <c r="H49" s="15" t="s">
        <v>311</v>
      </c>
      <c r="I49" s="126" t="s">
        <v>544</v>
      </c>
      <c r="J49" s="132" t="s">
        <v>544</v>
      </c>
      <c r="K49" s="15" t="s">
        <v>311</v>
      </c>
      <c r="L49" s="126" t="s">
        <v>544</v>
      </c>
      <c r="M49" s="132" t="s">
        <v>544</v>
      </c>
      <c r="N49" s="133" t="s">
        <v>311</v>
      </c>
      <c r="O49" s="126" t="s">
        <v>544</v>
      </c>
      <c r="P49" s="133" t="s">
        <v>545</v>
      </c>
      <c r="Q49" s="154" t="s">
        <v>546</v>
      </c>
      <c r="R49" s="109" t="s">
        <v>545</v>
      </c>
      <c r="S49" s="175" t="s">
        <v>546</v>
      </c>
      <c r="U49" s="110"/>
      <c r="W49" s="110"/>
    </row>
    <row r="50" spans="1:23" ht="30" customHeight="1" outlineLevel="1" x14ac:dyDescent="0.25">
      <c r="A50" s="114" t="s">
        <v>547</v>
      </c>
      <c r="B50" s="114" t="s">
        <v>548</v>
      </c>
      <c r="C50" s="109" t="s">
        <v>289</v>
      </c>
      <c r="D50" s="132" t="s">
        <v>549</v>
      </c>
      <c r="E50" s="15" t="s">
        <v>311</v>
      </c>
      <c r="F50" s="126" t="s">
        <v>549</v>
      </c>
      <c r="G50" s="132" t="s">
        <v>549</v>
      </c>
      <c r="H50" s="15" t="s">
        <v>311</v>
      </c>
      <c r="I50" s="126" t="s">
        <v>549</v>
      </c>
      <c r="J50" s="132" t="s">
        <v>549</v>
      </c>
      <c r="K50" s="15" t="s">
        <v>311</v>
      </c>
      <c r="L50" s="126" t="s">
        <v>549</v>
      </c>
      <c r="M50" s="132" t="s">
        <v>549</v>
      </c>
      <c r="N50" s="133" t="s">
        <v>311</v>
      </c>
      <c r="O50" s="126" t="s">
        <v>549</v>
      </c>
      <c r="P50" s="133" t="s">
        <v>550</v>
      </c>
      <c r="Q50" s="154" t="s">
        <v>546</v>
      </c>
      <c r="R50" s="109" t="s">
        <v>550</v>
      </c>
      <c r="S50" s="175" t="s">
        <v>546</v>
      </c>
      <c r="U50" s="110"/>
      <c r="W50" s="110"/>
    </row>
    <row r="51" spans="1:23" ht="30" customHeight="1" outlineLevel="1" x14ac:dyDescent="0.25">
      <c r="A51" s="114" t="s">
        <v>551</v>
      </c>
      <c r="B51" s="114" t="s">
        <v>552</v>
      </c>
      <c r="C51" s="109" t="s">
        <v>289</v>
      </c>
      <c r="D51" s="132" t="s">
        <v>553</v>
      </c>
      <c r="E51" s="134" t="s">
        <v>309</v>
      </c>
      <c r="F51" s="126" t="s">
        <v>553</v>
      </c>
      <c r="G51" s="162" t="s">
        <v>554</v>
      </c>
      <c r="H51" s="15" t="s">
        <v>311</v>
      </c>
      <c r="I51" s="171" t="s">
        <v>459</v>
      </c>
      <c r="J51" s="319" t="s">
        <v>555</v>
      </c>
      <c r="K51" s="181" t="s">
        <v>291</v>
      </c>
      <c r="L51" s="171" t="s">
        <v>459</v>
      </c>
      <c r="M51" s="132" t="s">
        <v>556</v>
      </c>
      <c r="N51" s="133" t="s">
        <v>291</v>
      </c>
      <c r="O51" s="126" t="s">
        <v>556</v>
      </c>
      <c r="P51" s="133" t="s">
        <v>557</v>
      </c>
      <c r="Q51" s="154" t="s">
        <v>364</v>
      </c>
      <c r="R51" s="109" t="s">
        <v>557</v>
      </c>
      <c r="S51" s="175" t="s">
        <v>364</v>
      </c>
      <c r="U51" s="110"/>
      <c r="W51" s="110"/>
    </row>
    <row r="52" spans="1:23" ht="30" customHeight="1" outlineLevel="1" x14ac:dyDescent="0.25">
      <c r="A52" s="114" t="s">
        <v>392</v>
      </c>
      <c r="B52" s="114" t="s">
        <v>558</v>
      </c>
      <c r="C52" s="109" t="s">
        <v>289</v>
      </c>
      <c r="D52" s="132" t="s">
        <v>559</v>
      </c>
      <c r="E52" s="15" t="s">
        <v>311</v>
      </c>
      <c r="F52" s="126" t="s">
        <v>559</v>
      </c>
      <c r="G52" s="132" t="s">
        <v>559</v>
      </c>
      <c r="H52" s="15" t="s">
        <v>311</v>
      </c>
      <c r="I52" s="126" t="s">
        <v>559</v>
      </c>
      <c r="J52" s="132" t="s">
        <v>559</v>
      </c>
      <c r="K52" s="15" t="s">
        <v>311</v>
      </c>
      <c r="L52" s="126" t="s">
        <v>559</v>
      </c>
      <c r="M52" s="132" t="s">
        <v>559</v>
      </c>
      <c r="N52" s="133" t="s">
        <v>311</v>
      </c>
      <c r="O52" s="126" t="s">
        <v>559</v>
      </c>
      <c r="P52" s="133" t="s">
        <v>560</v>
      </c>
      <c r="Q52" s="154" t="s">
        <v>546</v>
      </c>
      <c r="R52" s="109" t="s">
        <v>560</v>
      </c>
      <c r="S52" s="175" t="s">
        <v>546</v>
      </c>
      <c r="U52" s="110"/>
      <c r="W52" s="110"/>
    </row>
    <row r="53" spans="1:23" ht="30" customHeight="1" outlineLevel="1" x14ac:dyDescent="0.25">
      <c r="A53" s="114" t="s">
        <v>561</v>
      </c>
      <c r="B53" s="114" t="s">
        <v>562</v>
      </c>
      <c r="C53" s="109" t="s">
        <v>289</v>
      </c>
      <c r="D53" s="132" t="s">
        <v>563</v>
      </c>
      <c r="E53" s="15" t="s">
        <v>291</v>
      </c>
      <c r="F53" s="126" t="s">
        <v>563</v>
      </c>
      <c r="G53" s="132" t="s">
        <v>563</v>
      </c>
      <c r="H53" s="15" t="s">
        <v>291</v>
      </c>
      <c r="I53" s="126" t="s">
        <v>563</v>
      </c>
      <c r="J53" s="132" t="s">
        <v>563</v>
      </c>
      <c r="K53" s="15" t="s">
        <v>291</v>
      </c>
      <c r="L53" s="126" t="s">
        <v>563</v>
      </c>
      <c r="M53" s="132" t="s">
        <v>563</v>
      </c>
      <c r="N53" s="133" t="s">
        <v>291</v>
      </c>
      <c r="O53" s="126" t="s">
        <v>563</v>
      </c>
      <c r="P53" s="133" t="s">
        <v>564</v>
      </c>
      <c r="Q53" s="154" t="s">
        <v>364</v>
      </c>
      <c r="R53" s="109" t="s">
        <v>564</v>
      </c>
      <c r="S53" s="175" t="s">
        <v>364</v>
      </c>
      <c r="U53" s="110"/>
      <c r="W53" s="110"/>
    </row>
    <row r="54" spans="1:23" ht="30" customHeight="1" outlineLevel="1" x14ac:dyDescent="0.25">
      <c r="A54" s="114" t="s">
        <v>565</v>
      </c>
      <c r="B54" s="114" t="s">
        <v>566</v>
      </c>
      <c r="C54" s="109" t="s">
        <v>289</v>
      </c>
      <c r="D54" s="132" t="s">
        <v>567</v>
      </c>
      <c r="E54" s="135" t="s">
        <v>568</v>
      </c>
      <c r="F54" s="126" t="s">
        <v>569</v>
      </c>
      <c r="G54" s="132" t="s">
        <v>567</v>
      </c>
      <c r="H54" s="135" t="s">
        <v>568</v>
      </c>
      <c r="I54" s="110" t="s">
        <v>570</v>
      </c>
      <c r="J54" s="132" t="s">
        <v>571</v>
      </c>
      <c r="K54" s="135" t="s">
        <v>572</v>
      </c>
      <c r="L54" s="110" t="s">
        <v>573</v>
      </c>
      <c r="M54" s="132" t="s">
        <v>567</v>
      </c>
      <c r="N54" s="135" t="s">
        <v>568</v>
      </c>
      <c r="O54" s="110" t="s">
        <v>574</v>
      </c>
      <c r="P54" s="133" t="s">
        <v>575</v>
      </c>
      <c r="Q54" s="154" t="s">
        <v>576</v>
      </c>
      <c r="R54" s="109" t="s">
        <v>575</v>
      </c>
      <c r="S54" s="175" t="s">
        <v>576</v>
      </c>
      <c r="U54" s="110"/>
      <c r="W54" s="110"/>
    </row>
    <row r="55" spans="1:23" ht="30" customHeight="1" outlineLevel="1" x14ac:dyDescent="0.25">
      <c r="A55" s="114" t="s">
        <v>577</v>
      </c>
      <c r="B55" s="114" t="s">
        <v>578</v>
      </c>
      <c r="C55" s="109" t="s">
        <v>289</v>
      </c>
      <c r="D55" s="132" t="s">
        <v>579</v>
      </c>
      <c r="E55" s="135" t="s">
        <v>488</v>
      </c>
      <c r="F55" s="126" t="s">
        <v>580</v>
      </c>
      <c r="G55" s="132" t="s">
        <v>579</v>
      </c>
      <c r="H55" s="135" t="s">
        <v>488</v>
      </c>
      <c r="I55" s="126" t="s">
        <v>580</v>
      </c>
      <c r="J55" s="132" t="s">
        <v>579</v>
      </c>
      <c r="K55" s="135" t="s">
        <v>488</v>
      </c>
      <c r="L55" s="133" t="s">
        <v>580</v>
      </c>
      <c r="M55" s="132" t="s">
        <v>579</v>
      </c>
      <c r="N55" s="135" t="s">
        <v>488</v>
      </c>
      <c r="O55" s="126" t="s">
        <v>580</v>
      </c>
      <c r="P55" s="133" t="s">
        <v>581</v>
      </c>
      <c r="Q55" s="154" t="s">
        <v>576</v>
      </c>
      <c r="R55" s="109" t="s">
        <v>581</v>
      </c>
      <c r="S55" s="175" t="s">
        <v>576</v>
      </c>
      <c r="U55" s="110"/>
      <c r="W55" s="110"/>
    </row>
    <row r="56" spans="1:23" ht="30" customHeight="1" outlineLevel="1" x14ac:dyDescent="0.25">
      <c r="A56" s="114" t="s">
        <v>405</v>
      </c>
      <c r="B56" s="114" t="s">
        <v>582</v>
      </c>
      <c r="C56" s="109" t="s">
        <v>289</v>
      </c>
      <c r="D56" s="132" t="s">
        <v>583</v>
      </c>
      <c r="E56" s="15" t="s">
        <v>584</v>
      </c>
      <c r="F56" s="126" t="s">
        <v>585</v>
      </c>
      <c r="G56" s="132" t="s">
        <v>583</v>
      </c>
      <c r="H56" s="15" t="s">
        <v>584</v>
      </c>
      <c r="I56" s="126" t="s">
        <v>585</v>
      </c>
      <c r="J56" s="132" t="s">
        <v>583</v>
      </c>
      <c r="K56" s="15" t="s">
        <v>584</v>
      </c>
      <c r="L56" s="133" t="s">
        <v>585</v>
      </c>
      <c r="M56" s="132" t="s">
        <v>583</v>
      </c>
      <c r="N56" s="15" t="s">
        <v>584</v>
      </c>
      <c r="O56" s="126" t="s">
        <v>585</v>
      </c>
      <c r="P56" s="133" t="s">
        <v>586</v>
      </c>
      <c r="Q56" s="154" t="s">
        <v>305</v>
      </c>
      <c r="R56" s="109" t="s">
        <v>586</v>
      </c>
      <c r="S56" s="175" t="s">
        <v>305</v>
      </c>
      <c r="U56" s="110"/>
      <c r="W56" s="110"/>
    </row>
    <row r="57" spans="1:23" ht="30" customHeight="1" outlineLevel="1" x14ac:dyDescent="0.25">
      <c r="A57" s="114" t="s">
        <v>412</v>
      </c>
      <c r="B57" s="114" t="s">
        <v>587</v>
      </c>
      <c r="C57" s="109" t="s">
        <v>289</v>
      </c>
      <c r="D57" s="132" t="s">
        <v>588</v>
      </c>
      <c r="E57" s="15" t="s">
        <v>589</v>
      </c>
      <c r="F57" s="126" t="s">
        <v>590</v>
      </c>
      <c r="G57" s="132" t="s">
        <v>590</v>
      </c>
      <c r="H57" s="15" t="s">
        <v>311</v>
      </c>
      <c r="I57" s="126" t="s">
        <v>590</v>
      </c>
      <c r="J57" s="132" t="s">
        <v>588</v>
      </c>
      <c r="K57" s="15" t="s">
        <v>589</v>
      </c>
      <c r="L57" s="133" t="s">
        <v>590</v>
      </c>
      <c r="M57" s="109" t="s">
        <v>590</v>
      </c>
      <c r="N57" s="15" t="s">
        <v>589</v>
      </c>
      <c r="O57" s="126" t="s">
        <v>588</v>
      </c>
      <c r="P57" s="133" t="s">
        <v>591</v>
      </c>
      <c r="Q57" s="154" t="s">
        <v>364</v>
      </c>
      <c r="R57" s="109" t="s">
        <v>591</v>
      </c>
      <c r="S57" s="175" t="s">
        <v>364</v>
      </c>
      <c r="U57" s="110"/>
      <c r="W57" s="110"/>
    </row>
    <row r="58" spans="1:23" ht="30" customHeight="1" outlineLevel="1" x14ac:dyDescent="0.25">
      <c r="A58" s="114" t="s">
        <v>592</v>
      </c>
      <c r="B58" s="114" t="s">
        <v>593</v>
      </c>
      <c r="C58" s="109" t="s">
        <v>289</v>
      </c>
      <c r="D58" s="132" t="s">
        <v>594</v>
      </c>
      <c r="E58" s="135" t="s">
        <v>492</v>
      </c>
      <c r="F58" s="126" t="s">
        <v>595</v>
      </c>
      <c r="G58" s="132" t="s">
        <v>595</v>
      </c>
      <c r="H58" s="15" t="s">
        <v>311</v>
      </c>
      <c r="I58" s="126" t="s">
        <v>595</v>
      </c>
      <c r="J58" s="132" t="s">
        <v>594</v>
      </c>
      <c r="K58" s="135" t="s">
        <v>492</v>
      </c>
      <c r="L58" s="133" t="s">
        <v>595</v>
      </c>
      <c r="M58" s="109" t="s">
        <v>596</v>
      </c>
      <c r="N58" s="135" t="s">
        <v>492</v>
      </c>
      <c r="O58" s="110" t="s">
        <v>594</v>
      </c>
      <c r="P58" s="133" t="s">
        <v>597</v>
      </c>
      <c r="Q58" s="154" t="s">
        <v>315</v>
      </c>
      <c r="R58" s="109" t="s">
        <v>597</v>
      </c>
      <c r="S58" s="175" t="s">
        <v>315</v>
      </c>
      <c r="U58" s="110"/>
      <c r="W58" s="110"/>
    </row>
    <row r="59" spans="1:23" ht="30" customHeight="1" outlineLevel="1" x14ac:dyDescent="0.25">
      <c r="A59" s="114" t="s">
        <v>426</v>
      </c>
      <c r="B59" s="114" t="s">
        <v>598</v>
      </c>
      <c r="C59" s="109" t="s">
        <v>289</v>
      </c>
      <c r="D59" s="132" t="s">
        <v>599</v>
      </c>
      <c r="E59" s="153" t="s">
        <v>600</v>
      </c>
      <c r="F59" s="126" t="s">
        <v>601</v>
      </c>
      <c r="G59" s="132" t="s">
        <v>599</v>
      </c>
      <c r="H59" s="153" t="s">
        <v>600</v>
      </c>
      <c r="I59" s="110" t="s">
        <v>602</v>
      </c>
      <c r="J59" s="132" t="s">
        <v>599</v>
      </c>
      <c r="K59" s="153" t="s">
        <v>600</v>
      </c>
      <c r="L59" s="133" t="s">
        <v>601</v>
      </c>
      <c r="M59" s="132" t="s">
        <v>599</v>
      </c>
      <c r="N59" s="153" t="s">
        <v>600</v>
      </c>
      <c r="O59" s="110" t="s">
        <v>602</v>
      </c>
      <c r="P59" s="133" t="s">
        <v>603</v>
      </c>
      <c r="Q59" s="154" t="s">
        <v>331</v>
      </c>
      <c r="R59" s="109" t="s">
        <v>603</v>
      </c>
      <c r="S59" s="175" t="s">
        <v>331</v>
      </c>
      <c r="U59" s="110"/>
      <c r="W59" s="110"/>
    </row>
    <row r="60" spans="1:23" outlineLevel="1" x14ac:dyDescent="0.25">
      <c r="A60" s="114" t="s">
        <v>604</v>
      </c>
      <c r="B60" s="114" t="s">
        <v>605</v>
      </c>
      <c r="C60" s="109" t="s">
        <v>289</v>
      </c>
      <c r="D60" s="132" t="s">
        <v>606</v>
      </c>
      <c r="E60" s="135" t="s">
        <v>607</v>
      </c>
      <c r="F60" s="126" t="s">
        <v>608</v>
      </c>
      <c r="G60" s="132" t="s">
        <v>606</v>
      </c>
      <c r="H60" s="135" t="s">
        <v>607</v>
      </c>
      <c r="I60" s="126" t="s">
        <v>608</v>
      </c>
      <c r="J60" s="132" t="s">
        <v>606</v>
      </c>
      <c r="K60" s="135" t="s">
        <v>607</v>
      </c>
      <c r="L60" s="133" t="s">
        <v>608</v>
      </c>
      <c r="M60" s="132" t="s">
        <v>606</v>
      </c>
      <c r="N60" s="135" t="s">
        <v>607</v>
      </c>
      <c r="O60" s="126" t="s">
        <v>608</v>
      </c>
      <c r="P60" s="133" t="s">
        <v>31</v>
      </c>
      <c r="Q60" s="15" t="s">
        <v>31</v>
      </c>
      <c r="R60" s="109" t="s">
        <v>31</v>
      </c>
      <c r="S60" s="110" t="s">
        <v>31</v>
      </c>
      <c r="U60" s="110"/>
      <c r="W60" s="110"/>
    </row>
    <row r="61" spans="1:23" ht="30" customHeight="1" outlineLevel="1" x14ac:dyDescent="0.25">
      <c r="A61" s="114" t="s">
        <v>609</v>
      </c>
      <c r="B61" s="114" t="s">
        <v>610</v>
      </c>
      <c r="C61" s="109" t="s">
        <v>289</v>
      </c>
      <c r="D61" s="132" t="s">
        <v>611</v>
      </c>
      <c r="E61" s="135" t="s">
        <v>600</v>
      </c>
      <c r="F61" s="126" t="s">
        <v>612</v>
      </c>
      <c r="G61" s="132" t="s">
        <v>613</v>
      </c>
      <c r="H61" s="135" t="s">
        <v>572</v>
      </c>
      <c r="I61" s="126" t="s">
        <v>614</v>
      </c>
      <c r="J61" s="132" t="s">
        <v>611</v>
      </c>
      <c r="K61" s="135" t="s">
        <v>600</v>
      </c>
      <c r="L61" s="133" t="s">
        <v>612</v>
      </c>
      <c r="M61" s="109" t="s">
        <v>615</v>
      </c>
      <c r="N61" s="135" t="s">
        <v>572</v>
      </c>
      <c r="O61" s="110" t="s">
        <v>616</v>
      </c>
      <c r="P61" s="133" t="s">
        <v>617</v>
      </c>
      <c r="Q61" s="154" t="s">
        <v>546</v>
      </c>
      <c r="R61" s="109" t="s">
        <v>617</v>
      </c>
      <c r="S61" s="175" t="s">
        <v>546</v>
      </c>
      <c r="U61" s="110"/>
      <c r="W61" s="110"/>
    </row>
    <row r="62" spans="1:23" ht="30" customHeight="1" outlineLevel="1" x14ac:dyDescent="0.25">
      <c r="A62" s="114" t="s">
        <v>618</v>
      </c>
      <c r="B62" s="114" t="s">
        <v>619</v>
      </c>
      <c r="C62" s="109" t="s">
        <v>289</v>
      </c>
      <c r="D62" s="132" t="s">
        <v>31</v>
      </c>
      <c r="E62" s="15" t="s">
        <v>31</v>
      </c>
      <c r="F62" s="110" t="s">
        <v>31</v>
      </c>
      <c r="G62" s="109" t="s">
        <v>31</v>
      </c>
      <c r="H62" s="15" t="s">
        <v>31</v>
      </c>
      <c r="I62" s="110" t="s">
        <v>31</v>
      </c>
      <c r="J62" s="132"/>
      <c r="L62" s="110"/>
      <c r="M62" s="109" t="s">
        <v>31</v>
      </c>
      <c r="N62" s="15" t="s">
        <v>31</v>
      </c>
      <c r="O62" s="110" t="s">
        <v>31</v>
      </c>
      <c r="P62" s="134" t="s">
        <v>620</v>
      </c>
      <c r="Q62" s="15" t="s">
        <v>467</v>
      </c>
      <c r="R62" s="109" t="s">
        <v>620</v>
      </c>
      <c r="S62" s="110" t="s">
        <v>467</v>
      </c>
      <c r="U62" s="110"/>
      <c r="W62" s="110"/>
    </row>
    <row r="63" spans="1:23" ht="30" customHeight="1" outlineLevel="1" x14ac:dyDescent="0.25">
      <c r="A63" s="114" t="s">
        <v>621</v>
      </c>
      <c r="B63" s="114" t="s">
        <v>622</v>
      </c>
      <c r="C63" s="109" t="s">
        <v>289</v>
      </c>
      <c r="D63" s="132" t="s">
        <v>623</v>
      </c>
      <c r="E63" s="135" t="s">
        <v>488</v>
      </c>
      <c r="F63" s="126" t="s">
        <v>624</v>
      </c>
      <c r="G63" s="132" t="s">
        <v>623</v>
      </c>
      <c r="H63" s="135" t="s">
        <v>488</v>
      </c>
      <c r="I63" s="126" t="s">
        <v>624</v>
      </c>
      <c r="J63" s="132" t="s">
        <v>624</v>
      </c>
      <c r="K63" s="15" t="s">
        <v>311</v>
      </c>
      <c r="L63" s="110"/>
      <c r="M63" s="132" t="s">
        <v>623</v>
      </c>
      <c r="N63" s="135" t="s">
        <v>488</v>
      </c>
      <c r="O63" s="126" t="s">
        <v>624</v>
      </c>
      <c r="P63" s="133" t="s">
        <v>625</v>
      </c>
      <c r="Q63" s="154" t="s">
        <v>331</v>
      </c>
      <c r="R63" s="109" t="s">
        <v>625</v>
      </c>
      <c r="S63" s="175" t="s">
        <v>331</v>
      </c>
      <c r="U63" s="110"/>
      <c r="W63" s="110"/>
    </row>
    <row r="64" spans="1:23" ht="30" customHeight="1" outlineLevel="1" x14ac:dyDescent="0.25">
      <c r="A64" s="114" t="s">
        <v>444</v>
      </c>
      <c r="B64" s="114" t="s">
        <v>626</v>
      </c>
      <c r="C64" s="109" t="s">
        <v>289</v>
      </c>
      <c r="D64" s="132" t="s">
        <v>627</v>
      </c>
      <c r="E64" s="15" t="s">
        <v>301</v>
      </c>
      <c r="F64" s="126" t="s">
        <v>627</v>
      </c>
      <c r="G64" s="132" t="s">
        <v>627</v>
      </c>
      <c r="H64" s="15" t="s">
        <v>301</v>
      </c>
      <c r="I64" s="126" t="s">
        <v>627</v>
      </c>
      <c r="J64" s="132" t="s">
        <v>628</v>
      </c>
      <c r="K64" s="15" t="s">
        <v>291</v>
      </c>
      <c r="L64" s="110"/>
      <c r="M64" s="109" t="s">
        <v>627</v>
      </c>
      <c r="N64" s="15" t="s">
        <v>301</v>
      </c>
      <c r="O64" s="110" t="s">
        <v>627</v>
      </c>
      <c r="P64" s="133" t="s">
        <v>627</v>
      </c>
      <c r="Q64" s="15" t="s">
        <v>629</v>
      </c>
      <c r="R64" s="109" t="s">
        <v>627</v>
      </c>
      <c r="S64" s="110" t="s">
        <v>629</v>
      </c>
      <c r="U64" s="110"/>
      <c r="W64" s="110"/>
    </row>
    <row r="65" spans="1:23" ht="30" customHeight="1" outlineLevel="1" x14ac:dyDescent="0.25">
      <c r="A65" s="114" t="s">
        <v>451</v>
      </c>
      <c r="B65" s="114" t="s">
        <v>630</v>
      </c>
      <c r="C65" s="109" t="s">
        <v>289</v>
      </c>
      <c r="D65" s="132" t="s">
        <v>631</v>
      </c>
      <c r="E65" s="15" t="s">
        <v>495</v>
      </c>
      <c r="F65" s="126" t="s">
        <v>632</v>
      </c>
      <c r="G65" s="132" t="s">
        <v>631</v>
      </c>
      <c r="H65" s="15" t="s">
        <v>495</v>
      </c>
      <c r="I65" s="126" t="s">
        <v>632</v>
      </c>
      <c r="J65" s="109" t="s">
        <v>632</v>
      </c>
      <c r="K65" s="15" t="s">
        <v>301</v>
      </c>
      <c r="L65" s="110"/>
      <c r="M65" s="109" t="s">
        <v>633</v>
      </c>
      <c r="N65" s="135" t="s">
        <v>572</v>
      </c>
      <c r="O65" s="110" t="s">
        <v>634</v>
      </c>
      <c r="P65" s="133" t="s">
        <v>633</v>
      </c>
      <c r="Q65" s="154" t="s">
        <v>305</v>
      </c>
      <c r="R65" s="109" t="s">
        <v>633</v>
      </c>
      <c r="S65" s="175" t="s">
        <v>305</v>
      </c>
      <c r="U65" s="110"/>
      <c r="W65" s="110"/>
    </row>
    <row r="66" spans="1:23" outlineLevel="1" x14ac:dyDescent="0.25">
      <c r="A66" s="114" t="s">
        <v>635</v>
      </c>
      <c r="B66" s="114" t="s">
        <v>636</v>
      </c>
      <c r="C66" s="109" t="s">
        <v>289</v>
      </c>
      <c r="D66" s="132"/>
      <c r="E66" s="135"/>
      <c r="F66" s="126"/>
      <c r="G66" s="132"/>
      <c r="I66" s="123"/>
      <c r="J66" s="109" t="s">
        <v>637</v>
      </c>
      <c r="K66" s="15" t="s">
        <v>301</v>
      </c>
      <c r="L66" s="110"/>
      <c r="M66" s="109"/>
      <c r="N66" s="135"/>
      <c r="O66" s="123"/>
      <c r="P66" s="133"/>
      <c r="R66" s="109"/>
      <c r="S66" s="110"/>
      <c r="U66" s="110"/>
      <c r="W66" s="110"/>
    </row>
    <row r="67" spans="1:23" outlineLevel="1" x14ac:dyDescent="0.25">
      <c r="A67" s="450" t="s">
        <v>464</v>
      </c>
      <c r="B67" s="450" t="s">
        <v>638</v>
      </c>
      <c r="C67" s="451" t="s">
        <v>289</v>
      </c>
      <c r="D67" s="132"/>
      <c r="E67" s="135"/>
      <c r="F67" s="126"/>
      <c r="G67" s="132"/>
      <c r="I67" s="123"/>
      <c r="J67" s="109" t="s">
        <v>639</v>
      </c>
      <c r="K67" s="15" t="s">
        <v>467</v>
      </c>
      <c r="L67" s="110"/>
      <c r="M67" s="109"/>
      <c r="N67" s="135"/>
      <c r="O67" s="123"/>
      <c r="P67" s="133" t="s">
        <v>640</v>
      </c>
      <c r="Q67" s="15" t="s">
        <v>488</v>
      </c>
      <c r="R67" s="109"/>
      <c r="S67" s="110"/>
      <c r="U67" s="110"/>
      <c r="W67" s="110"/>
    </row>
    <row r="68" spans="1:23" x14ac:dyDescent="0.25">
      <c r="A68" s="457" t="s">
        <v>641</v>
      </c>
      <c r="B68" s="457"/>
      <c r="C68" s="207"/>
      <c r="D68" s="117"/>
      <c r="E68" s="458"/>
      <c r="F68" s="118"/>
      <c r="G68" s="117"/>
      <c r="H68" s="458"/>
      <c r="I68" s="118"/>
      <c r="J68" s="117"/>
      <c r="K68" s="458"/>
      <c r="L68" s="118"/>
      <c r="M68" s="117"/>
      <c r="N68" s="458"/>
      <c r="O68" s="118"/>
      <c r="P68" s="458"/>
      <c r="Q68" s="458"/>
      <c r="R68" s="117" t="s">
        <v>642</v>
      </c>
      <c r="S68" s="118"/>
      <c r="T68" s="458"/>
      <c r="U68" s="118"/>
      <c r="V68" s="458"/>
      <c r="W68" s="118"/>
    </row>
    <row r="69" spans="1:23" ht="30" customHeight="1" outlineLevel="1" x14ac:dyDescent="0.25">
      <c r="A69" s="114" t="s">
        <v>643</v>
      </c>
      <c r="B69" s="114" t="s">
        <v>15</v>
      </c>
      <c r="C69" s="109" t="s">
        <v>289</v>
      </c>
      <c r="D69" s="109" t="s">
        <v>644</v>
      </c>
      <c r="E69" s="15" t="s">
        <v>645</v>
      </c>
      <c r="F69" s="110"/>
      <c r="G69" s="109" t="s">
        <v>646</v>
      </c>
      <c r="H69" s="134" t="s">
        <v>309</v>
      </c>
      <c r="I69" s="110"/>
      <c r="J69" s="109" t="s">
        <v>647</v>
      </c>
      <c r="K69" s="15" t="s">
        <v>361</v>
      </c>
      <c r="L69" s="110"/>
      <c r="M69" s="109" t="s">
        <v>648</v>
      </c>
      <c r="N69" s="134" t="s">
        <v>649</v>
      </c>
      <c r="O69" s="110"/>
      <c r="P69" s="15" t="s">
        <v>650</v>
      </c>
      <c r="Q69" s="134" t="s">
        <v>651</v>
      </c>
      <c r="R69" s="176" t="s">
        <v>652</v>
      </c>
      <c r="S69" s="126" t="s">
        <v>331</v>
      </c>
      <c r="U69" s="110"/>
      <c r="W69" s="110"/>
    </row>
    <row r="70" spans="1:23" ht="30" customHeight="1" outlineLevel="1" x14ac:dyDescent="0.25">
      <c r="A70" s="114" t="s">
        <v>653</v>
      </c>
      <c r="B70" s="114" t="s">
        <v>24</v>
      </c>
      <c r="C70" s="109" t="s">
        <v>289</v>
      </c>
      <c r="D70" s="109" t="s">
        <v>654</v>
      </c>
      <c r="E70" s="134" t="s">
        <v>655</v>
      </c>
      <c r="F70" s="110"/>
      <c r="G70" s="109" t="s">
        <v>656</v>
      </c>
      <c r="H70" s="15" t="s">
        <v>321</v>
      </c>
      <c r="I70" s="110"/>
      <c r="J70" s="109" t="s">
        <v>657</v>
      </c>
      <c r="K70" s="15" t="s">
        <v>321</v>
      </c>
      <c r="L70" s="110"/>
      <c r="M70" s="109" t="s">
        <v>658</v>
      </c>
      <c r="N70" s="134" t="s">
        <v>649</v>
      </c>
      <c r="O70" s="110"/>
      <c r="P70" s="15" t="s">
        <v>659</v>
      </c>
      <c r="Q70" s="134" t="s">
        <v>651</v>
      </c>
      <c r="R70" s="176" t="s">
        <v>660</v>
      </c>
      <c r="S70" s="126" t="s">
        <v>331</v>
      </c>
      <c r="U70" s="110"/>
      <c r="W70" s="110"/>
    </row>
    <row r="71" spans="1:23" ht="30" customHeight="1" outlineLevel="1" x14ac:dyDescent="0.25">
      <c r="A71" s="114" t="s">
        <v>661</v>
      </c>
      <c r="B71" s="114" t="s">
        <v>662</v>
      </c>
      <c r="C71" s="109" t="s">
        <v>289</v>
      </c>
      <c r="D71" s="109" t="s">
        <v>663</v>
      </c>
      <c r="E71" s="134" t="s">
        <v>655</v>
      </c>
      <c r="F71" s="110"/>
      <c r="G71" s="109" t="s">
        <v>664</v>
      </c>
      <c r="H71" s="15" t="s">
        <v>321</v>
      </c>
      <c r="I71" s="110"/>
      <c r="J71" s="109" t="s">
        <v>665</v>
      </c>
      <c r="K71" s="15" t="s">
        <v>309</v>
      </c>
      <c r="L71" s="110"/>
      <c r="M71" s="109" t="s">
        <v>666</v>
      </c>
      <c r="N71" s="134" t="s">
        <v>649</v>
      </c>
      <c r="O71" s="110"/>
      <c r="P71" s="15" t="s">
        <v>667</v>
      </c>
      <c r="Q71" s="134" t="s">
        <v>651</v>
      </c>
      <c r="R71" s="176" t="s">
        <v>668</v>
      </c>
      <c r="S71" s="126" t="s">
        <v>331</v>
      </c>
      <c r="U71" s="110"/>
      <c r="W71" s="110"/>
    </row>
    <row r="72" spans="1:23" ht="30" customHeight="1" outlineLevel="1" x14ac:dyDescent="0.25">
      <c r="A72" s="114" t="s">
        <v>669</v>
      </c>
      <c r="B72" s="114" t="s">
        <v>670</v>
      </c>
      <c r="C72" s="109" t="s">
        <v>289</v>
      </c>
      <c r="D72" s="109" t="s">
        <v>671</v>
      </c>
      <c r="E72" s="134" t="s">
        <v>655</v>
      </c>
      <c r="F72" s="110"/>
      <c r="G72" s="109" t="s">
        <v>672</v>
      </c>
      <c r="H72" s="15" t="s">
        <v>321</v>
      </c>
      <c r="I72" s="110"/>
      <c r="J72" s="109" t="s">
        <v>673</v>
      </c>
      <c r="K72" s="15" t="s">
        <v>309</v>
      </c>
      <c r="L72" s="110"/>
      <c r="M72" s="109" t="s">
        <v>674</v>
      </c>
      <c r="N72" s="134" t="s">
        <v>649</v>
      </c>
      <c r="O72" s="110"/>
      <c r="P72" s="15" t="s">
        <v>675</v>
      </c>
      <c r="Q72" s="134" t="s">
        <v>651</v>
      </c>
      <c r="R72" s="176" t="s">
        <v>676</v>
      </c>
      <c r="S72" s="126" t="s">
        <v>331</v>
      </c>
      <c r="U72" s="110"/>
      <c r="W72" s="110"/>
    </row>
    <row r="73" spans="1:23" ht="30" customHeight="1" outlineLevel="1" x14ac:dyDescent="0.25">
      <c r="A73" s="114" t="s">
        <v>677</v>
      </c>
      <c r="B73" s="114" t="s">
        <v>678</v>
      </c>
      <c r="C73" s="109" t="s">
        <v>289</v>
      </c>
      <c r="D73" s="109" t="s">
        <v>679</v>
      </c>
      <c r="E73" s="134" t="s">
        <v>655</v>
      </c>
      <c r="F73" s="110"/>
      <c r="G73" s="109" t="s">
        <v>680</v>
      </c>
      <c r="H73" s="15" t="s">
        <v>321</v>
      </c>
      <c r="I73" s="110"/>
      <c r="J73" s="109" t="s">
        <v>681</v>
      </c>
      <c r="K73" s="15" t="s">
        <v>309</v>
      </c>
      <c r="L73" s="110"/>
      <c r="M73" s="109" t="s">
        <v>682</v>
      </c>
      <c r="N73" s="134" t="s">
        <v>649</v>
      </c>
      <c r="O73" s="110"/>
      <c r="P73" s="15" t="s">
        <v>683</v>
      </c>
      <c r="Q73" s="134" t="s">
        <v>651</v>
      </c>
      <c r="R73" s="176" t="s">
        <v>684</v>
      </c>
      <c r="S73" s="126" t="s">
        <v>331</v>
      </c>
      <c r="U73" s="110"/>
      <c r="W73" s="110"/>
    </row>
    <row r="74" spans="1:23" ht="30" customHeight="1" outlineLevel="1" x14ac:dyDescent="0.25">
      <c r="A74" s="114" t="s">
        <v>685</v>
      </c>
      <c r="B74" s="114" t="s">
        <v>686</v>
      </c>
      <c r="C74" s="109" t="s">
        <v>289</v>
      </c>
      <c r="D74" s="109" t="s">
        <v>687</v>
      </c>
      <c r="E74" s="134" t="s">
        <v>655</v>
      </c>
      <c r="F74" s="110"/>
      <c r="G74" s="109" t="s">
        <v>688</v>
      </c>
      <c r="H74" s="15" t="s">
        <v>321</v>
      </c>
      <c r="I74" s="110"/>
      <c r="J74" s="109" t="s">
        <v>689</v>
      </c>
      <c r="K74" s="15" t="s">
        <v>309</v>
      </c>
      <c r="L74" s="110"/>
      <c r="M74" s="109" t="s">
        <v>690</v>
      </c>
      <c r="N74" s="134" t="s">
        <v>649</v>
      </c>
      <c r="O74" s="110"/>
      <c r="P74" s="15" t="s">
        <v>691</v>
      </c>
      <c r="Q74" s="134" t="s">
        <v>651</v>
      </c>
      <c r="R74" s="176" t="s">
        <v>692</v>
      </c>
      <c r="S74" s="126" t="s">
        <v>331</v>
      </c>
      <c r="U74" s="110"/>
      <c r="W74" s="110"/>
    </row>
    <row r="75" spans="1:23" ht="30" customHeight="1" outlineLevel="1" x14ac:dyDescent="0.25">
      <c r="A75" s="114" t="s">
        <v>693</v>
      </c>
      <c r="B75" s="114" t="s">
        <v>694</v>
      </c>
      <c r="C75" s="109" t="s">
        <v>289</v>
      </c>
      <c r="D75" s="109" t="s">
        <v>695</v>
      </c>
      <c r="E75" s="134" t="s">
        <v>655</v>
      </c>
      <c r="F75" s="110"/>
      <c r="G75" s="109" t="s">
        <v>696</v>
      </c>
      <c r="H75" s="15" t="s">
        <v>309</v>
      </c>
      <c r="I75" s="110"/>
      <c r="J75" s="109" t="s">
        <v>697</v>
      </c>
      <c r="K75" s="15" t="s">
        <v>321</v>
      </c>
      <c r="L75" s="110"/>
      <c r="M75" s="109" t="s">
        <v>698</v>
      </c>
      <c r="N75" s="134" t="s">
        <v>649</v>
      </c>
      <c r="O75" s="110"/>
      <c r="P75" s="15" t="s">
        <v>699</v>
      </c>
      <c r="Q75" s="134" t="s">
        <v>651</v>
      </c>
      <c r="R75" s="176" t="s">
        <v>700</v>
      </c>
      <c r="S75" s="126" t="s">
        <v>331</v>
      </c>
      <c r="U75" s="110"/>
      <c r="W75" s="110"/>
    </row>
    <row r="76" spans="1:23" ht="30" customHeight="1" outlineLevel="1" x14ac:dyDescent="0.25">
      <c r="A76" s="114" t="s">
        <v>701</v>
      </c>
      <c r="B76" s="114" t="s">
        <v>702</v>
      </c>
      <c r="C76" s="109" t="s">
        <v>289</v>
      </c>
      <c r="D76" s="109" t="s">
        <v>703</v>
      </c>
      <c r="E76" s="15" t="s">
        <v>704</v>
      </c>
      <c r="F76" s="110"/>
      <c r="G76" s="109" t="s">
        <v>705</v>
      </c>
      <c r="H76" s="134" t="s">
        <v>309</v>
      </c>
      <c r="I76" s="110"/>
      <c r="J76" s="109" t="s">
        <v>706</v>
      </c>
      <c r="K76" s="15" t="s">
        <v>649</v>
      </c>
      <c r="L76" s="110"/>
      <c r="M76" s="109" t="s">
        <v>707</v>
      </c>
      <c r="N76" s="134" t="s">
        <v>649</v>
      </c>
      <c r="O76" s="110"/>
      <c r="P76" s="15" t="s">
        <v>708</v>
      </c>
      <c r="Q76" s="134" t="s">
        <v>651</v>
      </c>
      <c r="R76" s="176" t="s">
        <v>709</v>
      </c>
      <c r="S76" s="126" t="s">
        <v>331</v>
      </c>
      <c r="U76" s="110"/>
      <c r="W76" s="110"/>
    </row>
    <row r="77" spans="1:23" ht="30" customHeight="1" x14ac:dyDescent="0.25">
      <c r="A77" s="457" t="s">
        <v>710</v>
      </c>
      <c r="B77" s="457"/>
      <c r="C77" s="207"/>
      <c r="D77" s="459"/>
      <c r="E77" s="458"/>
      <c r="F77" s="118"/>
      <c r="G77" s="117"/>
      <c r="H77" s="458"/>
      <c r="I77" s="118"/>
      <c r="J77" s="117"/>
      <c r="K77" s="458"/>
      <c r="L77" s="118"/>
      <c r="M77" s="117"/>
      <c r="N77" s="458"/>
      <c r="O77" s="118"/>
      <c r="P77" s="458" t="s">
        <v>711</v>
      </c>
      <c r="Q77" s="460" t="s">
        <v>651</v>
      </c>
      <c r="R77" s="459" t="s">
        <v>712</v>
      </c>
      <c r="S77" s="461" t="s">
        <v>331</v>
      </c>
      <c r="T77" s="458"/>
      <c r="U77" s="118"/>
      <c r="V77" s="458"/>
      <c r="W77" s="118"/>
    </row>
    <row r="78" spans="1:23" outlineLevel="1" x14ac:dyDescent="0.25">
      <c r="A78" s="114" t="s">
        <v>713</v>
      </c>
      <c r="B78" s="114" t="s">
        <v>714</v>
      </c>
      <c r="C78" s="162" t="s">
        <v>43</v>
      </c>
      <c r="D78" s="109" t="s">
        <v>715</v>
      </c>
      <c r="E78" s="15" t="s">
        <v>645</v>
      </c>
      <c r="F78" s="123"/>
      <c r="G78" s="109" t="s">
        <v>716</v>
      </c>
      <c r="H78" s="134" t="s">
        <v>301</v>
      </c>
      <c r="I78" s="110"/>
      <c r="J78" s="109" t="s">
        <v>717</v>
      </c>
      <c r="K78" s="15" t="s">
        <v>361</v>
      </c>
      <c r="L78" s="110"/>
      <c r="M78" s="109" t="s">
        <v>718</v>
      </c>
      <c r="N78" s="134" t="s">
        <v>649</v>
      </c>
      <c r="O78" s="110"/>
      <c r="R78" s="109"/>
      <c r="S78" s="110"/>
      <c r="U78" s="110"/>
      <c r="W78" s="110"/>
    </row>
    <row r="79" spans="1:23" outlineLevel="1" x14ac:dyDescent="0.25">
      <c r="A79" s="114" t="s">
        <v>719</v>
      </c>
      <c r="B79" s="114" t="s">
        <v>720</v>
      </c>
      <c r="C79" s="162" t="s">
        <v>43</v>
      </c>
      <c r="D79" s="109" t="s">
        <v>721</v>
      </c>
      <c r="E79" s="134" t="s">
        <v>655</v>
      </c>
      <c r="F79" s="123"/>
      <c r="G79" s="109" t="s">
        <v>722</v>
      </c>
      <c r="H79" s="134" t="s">
        <v>321</v>
      </c>
      <c r="I79" s="110"/>
      <c r="J79" s="109" t="s">
        <v>723</v>
      </c>
      <c r="K79" s="15" t="s">
        <v>321</v>
      </c>
      <c r="L79" s="110"/>
      <c r="M79" s="109" t="s">
        <v>724</v>
      </c>
      <c r="N79" s="134" t="s">
        <v>649</v>
      </c>
      <c r="O79" s="110"/>
      <c r="R79" s="109"/>
      <c r="S79" s="110"/>
      <c r="U79" s="110"/>
      <c r="W79" s="110"/>
    </row>
    <row r="80" spans="1:23" outlineLevel="1" x14ac:dyDescent="0.25">
      <c r="A80" s="114" t="s">
        <v>725</v>
      </c>
      <c r="B80" s="114" t="s">
        <v>726</v>
      </c>
      <c r="C80" s="162" t="s">
        <v>43</v>
      </c>
      <c r="D80" s="109" t="s">
        <v>727</v>
      </c>
      <c r="E80" s="134" t="s">
        <v>655</v>
      </c>
      <c r="F80" s="123"/>
      <c r="G80" s="109" t="s">
        <v>728</v>
      </c>
      <c r="H80" s="134" t="s">
        <v>321</v>
      </c>
      <c r="I80" s="110"/>
      <c r="J80" s="109" t="s">
        <v>729</v>
      </c>
      <c r="K80" s="15" t="s">
        <v>309</v>
      </c>
      <c r="L80" s="110"/>
      <c r="M80" s="109" t="s">
        <v>730</v>
      </c>
      <c r="N80" s="134" t="s">
        <v>649</v>
      </c>
      <c r="O80" s="110"/>
      <c r="R80" s="109"/>
      <c r="S80" s="110"/>
      <c r="U80" s="110"/>
      <c r="W80" s="110"/>
    </row>
    <row r="81" spans="1:23" outlineLevel="1" x14ac:dyDescent="0.25">
      <c r="A81" s="114" t="s">
        <v>731</v>
      </c>
      <c r="B81" s="114" t="s">
        <v>732</v>
      </c>
      <c r="C81" s="162" t="s">
        <v>43</v>
      </c>
      <c r="D81" s="109" t="s">
        <v>733</v>
      </c>
      <c r="E81" s="134" t="s">
        <v>655</v>
      </c>
      <c r="F81" s="123"/>
      <c r="G81" s="109" t="s">
        <v>734</v>
      </c>
      <c r="H81" s="134" t="s">
        <v>321</v>
      </c>
      <c r="I81" s="110"/>
      <c r="J81" s="109" t="s">
        <v>735</v>
      </c>
      <c r="K81" s="15" t="s">
        <v>309</v>
      </c>
      <c r="L81" s="110"/>
      <c r="M81" s="109" t="s">
        <v>736</v>
      </c>
      <c r="N81" s="134" t="s">
        <v>649</v>
      </c>
      <c r="O81" s="110"/>
      <c r="R81" s="109"/>
      <c r="S81" s="110"/>
      <c r="U81" s="110"/>
      <c r="W81" s="110"/>
    </row>
    <row r="82" spans="1:23" outlineLevel="1" x14ac:dyDescent="0.25">
      <c r="A82" s="114" t="s">
        <v>737</v>
      </c>
      <c r="B82" s="114" t="s">
        <v>738</v>
      </c>
      <c r="C82" s="162" t="s">
        <v>43</v>
      </c>
      <c r="D82" s="109" t="s">
        <v>739</v>
      </c>
      <c r="E82" s="134" t="s">
        <v>655</v>
      </c>
      <c r="F82" s="123"/>
      <c r="G82" s="109" t="s">
        <v>740</v>
      </c>
      <c r="H82" s="134" t="s">
        <v>321</v>
      </c>
      <c r="I82" s="110"/>
      <c r="J82" s="109" t="s">
        <v>741</v>
      </c>
      <c r="K82" s="15" t="s">
        <v>309</v>
      </c>
      <c r="L82" s="110"/>
      <c r="M82" s="109" t="s">
        <v>742</v>
      </c>
      <c r="N82" s="134" t="s">
        <v>649</v>
      </c>
      <c r="O82" s="110"/>
      <c r="R82" s="109"/>
      <c r="S82" s="110"/>
      <c r="U82" s="110"/>
      <c r="W82" s="110"/>
    </row>
    <row r="83" spans="1:23" outlineLevel="1" x14ac:dyDescent="0.25">
      <c r="A83" s="114" t="s">
        <v>743</v>
      </c>
      <c r="B83" s="114" t="s">
        <v>744</v>
      </c>
      <c r="C83" s="162" t="s">
        <v>43</v>
      </c>
      <c r="D83" s="109" t="s">
        <v>745</v>
      </c>
      <c r="E83" s="134" t="s">
        <v>655</v>
      </c>
      <c r="F83" s="123"/>
      <c r="G83" s="109" t="s">
        <v>746</v>
      </c>
      <c r="H83" s="134" t="s">
        <v>321</v>
      </c>
      <c r="I83" s="110"/>
      <c r="J83" s="109" t="s">
        <v>747</v>
      </c>
      <c r="K83" s="15" t="s">
        <v>309</v>
      </c>
      <c r="L83" s="110"/>
      <c r="M83" s="109" t="s">
        <v>748</v>
      </c>
      <c r="N83" s="134" t="s">
        <v>649</v>
      </c>
      <c r="O83" s="110"/>
      <c r="R83" s="109"/>
      <c r="S83" s="110"/>
      <c r="U83" s="110"/>
      <c r="W83" s="110"/>
    </row>
    <row r="84" spans="1:23" outlineLevel="1" x14ac:dyDescent="0.25">
      <c r="A84" s="114" t="s">
        <v>749</v>
      </c>
      <c r="B84" s="114" t="s">
        <v>750</v>
      </c>
      <c r="C84" s="162" t="s">
        <v>43</v>
      </c>
      <c r="D84" s="109" t="s">
        <v>751</v>
      </c>
      <c r="E84" s="134" t="s">
        <v>655</v>
      </c>
      <c r="F84" s="123"/>
      <c r="G84" s="109" t="s">
        <v>752</v>
      </c>
      <c r="H84" s="134" t="s">
        <v>321</v>
      </c>
      <c r="I84" s="110"/>
      <c r="J84" s="109" t="s">
        <v>753</v>
      </c>
      <c r="K84" s="15" t="s">
        <v>321</v>
      </c>
      <c r="L84" s="110"/>
      <c r="M84" s="109" t="s">
        <v>754</v>
      </c>
      <c r="N84" s="134" t="s">
        <v>649</v>
      </c>
      <c r="O84" s="110"/>
      <c r="R84" s="109"/>
      <c r="S84" s="110"/>
      <c r="U84" s="110"/>
      <c r="W84" s="110"/>
    </row>
    <row r="85" spans="1:23" outlineLevel="1" x14ac:dyDescent="0.25">
      <c r="A85" s="114" t="s">
        <v>755</v>
      </c>
      <c r="B85" s="114" t="s">
        <v>756</v>
      </c>
      <c r="C85" s="162" t="s">
        <v>43</v>
      </c>
      <c r="D85" s="109" t="s">
        <v>757</v>
      </c>
      <c r="E85" s="15" t="s">
        <v>704</v>
      </c>
      <c r="F85" s="123"/>
      <c r="G85" s="109" t="s">
        <v>758</v>
      </c>
      <c r="H85" s="134" t="s">
        <v>309</v>
      </c>
      <c r="I85" s="110"/>
      <c r="J85" s="109" t="s">
        <v>759</v>
      </c>
      <c r="K85" s="15" t="s">
        <v>649</v>
      </c>
      <c r="L85" s="110"/>
      <c r="M85" s="109" t="s">
        <v>760</v>
      </c>
      <c r="N85" s="134" t="s">
        <v>649</v>
      </c>
      <c r="O85" s="110"/>
      <c r="R85" s="109"/>
      <c r="S85" s="110"/>
      <c r="U85" s="110"/>
      <c r="W85" s="110"/>
    </row>
    <row r="86" spans="1:23" x14ac:dyDescent="0.25">
      <c r="A86" s="457" t="s">
        <v>761</v>
      </c>
      <c r="B86" s="457"/>
      <c r="C86" s="207"/>
      <c r="D86" s="459"/>
      <c r="E86" s="458"/>
      <c r="F86" s="118"/>
      <c r="G86" s="117"/>
      <c r="H86" s="458"/>
      <c r="I86" s="118"/>
      <c r="J86" s="117"/>
      <c r="K86" s="458"/>
      <c r="L86" s="118"/>
      <c r="M86" s="117"/>
      <c r="N86" s="458"/>
      <c r="O86" s="118"/>
      <c r="P86" s="458"/>
      <c r="Q86" s="458"/>
      <c r="R86" s="117"/>
      <c r="S86" s="118"/>
      <c r="T86" s="458"/>
      <c r="U86" s="118"/>
      <c r="V86" s="458"/>
      <c r="W86" s="118"/>
    </row>
    <row r="87" spans="1:23" outlineLevel="1" x14ac:dyDescent="0.25">
      <c r="A87" s="114" t="s">
        <v>762</v>
      </c>
      <c r="B87" s="114" t="s">
        <v>763</v>
      </c>
      <c r="C87" s="162" t="s">
        <v>43</v>
      </c>
      <c r="D87" s="109" t="s">
        <v>764</v>
      </c>
      <c r="E87" s="15" t="s">
        <v>645</v>
      </c>
      <c r="F87" s="123"/>
      <c r="G87" s="109" t="s">
        <v>765</v>
      </c>
      <c r="H87" s="134" t="s">
        <v>309</v>
      </c>
      <c r="I87" s="110"/>
      <c r="J87" s="109" t="s">
        <v>766</v>
      </c>
      <c r="K87" s="15" t="s">
        <v>361</v>
      </c>
      <c r="L87" s="110"/>
      <c r="M87" s="109" t="s">
        <v>767</v>
      </c>
      <c r="N87" s="134" t="s">
        <v>649</v>
      </c>
      <c r="O87" s="110"/>
      <c r="R87" s="109"/>
      <c r="S87" s="110"/>
      <c r="U87" s="110"/>
      <c r="W87" s="110"/>
    </row>
    <row r="88" spans="1:23" outlineLevel="1" x14ac:dyDescent="0.25">
      <c r="A88" s="114" t="s">
        <v>768</v>
      </c>
      <c r="B88" s="114" t="s">
        <v>769</v>
      </c>
      <c r="C88" s="162" t="s">
        <v>43</v>
      </c>
      <c r="D88" s="109" t="s">
        <v>770</v>
      </c>
      <c r="E88" s="134" t="s">
        <v>655</v>
      </c>
      <c r="F88" s="123"/>
      <c r="G88" s="109" t="s">
        <v>771</v>
      </c>
      <c r="H88" s="134" t="s">
        <v>321</v>
      </c>
      <c r="I88" s="110"/>
      <c r="J88" s="109" t="s">
        <v>772</v>
      </c>
      <c r="K88" s="15" t="s">
        <v>321</v>
      </c>
      <c r="L88" s="110"/>
      <c r="M88" s="109" t="s">
        <v>773</v>
      </c>
      <c r="N88" s="134" t="s">
        <v>649</v>
      </c>
      <c r="O88" s="110"/>
      <c r="R88" s="109"/>
      <c r="S88" s="110"/>
      <c r="U88" s="110"/>
      <c r="W88" s="110"/>
    </row>
    <row r="89" spans="1:23" outlineLevel="1" x14ac:dyDescent="0.25">
      <c r="A89" s="114" t="s">
        <v>774</v>
      </c>
      <c r="B89" s="114" t="s">
        <v>775</v>
      </c>
      <c r="C89" s="162" t="s">
        <v>43</v>
      </c>
      <c r="D89" s="109" t="s">
        <v>776</v>
      </c>
      <c r="E89" s="134" t="s">
        <v>655</v>
      </c>
      <c r="F89" s="123"/>
      <c r="G89" s="109" t="s">
        <v>777</v>
      </c>
      <c r="H89" s="134" t="s">
        <v>321</v>
      </c>
      <c r="I89" s="110"/>
      <c r="J89" s="109" t="s">
        <v>778</v>
      </c>
      <c r="K89" s="15" t="s">
        <v>309</v>
      </c>
      <c r="L89" s="110"/>
      <c r="M89" s="109" t="s">
        <v>779</v>
      </c>
      <c r="N89" s="134" t="s">
        <v>649</v>
      </c>
      <c r="O89" s="110"/>
      <c r="R89" s="109"/>
      <c r="S89" s="110"/>
      <c r="U89" s="110"/>
      <c r="W89" s="110"/>
    </row>
    <row r="90" spans="1:23" outlineLevel="1" x14ac:dyDescent="0.25">
      <c r="A90" s="114" t="s">
        <v>780</v>
      </c>
      <c r="B90" s="114" t="s">
        <v>781</v>
      </c>
      <c r="C90" s="162" t="s">
        <v>43</v>
      </c>
      <c r="D90" s="109" t="s">
        <v>782</v>
      </c>
      <c r="E90" s="134" t="s">
        <v>655</v>
      </c>
      <c r="F90" s="123"/>
      <c r="G90" s="109" t="s">
        <v>783</v>
      </c>
      <c r="H90" s="134" t="s">
        <v>321</v>
      </c>
      <c r="I90" s="110"/>
      <c r="J90" s="109" t="s">
        <v>784</v>
      </c>
      <c r="K90" s="15" t="s">
        <v>309</v>
      </c>
      <c r="L90" s="110"/>
      <c r="M90" s="109" t="s">
        <v>785</v>
      </c>
      <c r="N90" s="134" t="s">
        <v>649</v>
      </c>
      <c r="O90" s="110"/>
      <c r="R90" s="109"/>
      <c r="S90" s="110"/>
      <c r="U90" s="110"/>
      <c r="W90" s="110"/>
    </row>
    <row r="91" spans="1:23" outlineLevel="1" x14ac:dyDescent="0.25">
      <c r="A91" s="114" t="s">
        <v>786</v>
      </c>
      <c r="B91" s="114" t="s">
        <v>787</v>
      </c>
      <c r="C91" s="162" t="s">
        <v>43</v>
      </c>
      <c r="D91" s="109" t="s">
        <v>788</v>
      </c>
      <c r="E91" s="134" t="s">
        <v>655</v>
      </c>
      <c r="F91" s="123"/>
      <c r="G91" s="109" t="s">
        <v>789</v>
      </c>
      <c r="H91" s="134" t="s">
        <v>321</v>
      </c>
      <c r="I91" s="110"/>
      <c r="J91" s="109" t="s">
        <v>790</v>
      </c>
      <c r="K91" s="15" t="s">
        <v>309</v>
      </c>
      <c r="L91" s="110"/>
      <c r="M91" s="109" t="s">
        <v>791</v>
      </c>
      <c r="N91" s="134" t="s">
        <v>649</v>
      </c>
      <c r="O91" s="110"/>
      <c r="R91" s="109"/>
      <c r="S91" s="110"/>
      <c r="U91" s="110"/>
      <c r="W91" s="110"/>
    </row>
    <row r="92" spans="1:23" outlineLevel="1" x14ac:dyDescent="0.25">
      <c r="A92" s="114" t="s">
        <v>792</v>
      </c>
      <c r="B92" s="114" t="s">
        <v>793</v>
      </c>
      <c r="C92" s="162" t="s">
        <v>43</v>
      </c>
      <c r="D92" s="109" t="s">
        <v>794</v>
      </c>
      <c r="E92" s="134" t="s">
        <v>655</v>
      </c>
      <c r="F92" s="123"/>
      <c r="G92" s="109" t="s">
        <v>795</v>
      </c>
      <c r="H92" s="134" t="s">
        <v>321</v>
      </c>
      <c r="I92" s="110"/>
      <c r="J92" s="109" t="s">
        <v>796</v>
      </c>
      <c r="K92" s="15" t="s">
        <v>309</v>
      </c>
      <c r="L92" s="110"/>
      <c r="M92" s="109" t="s">
        <v>797</v>
      </c>
      <c r="N92" s="134" t="s">
        <v>649</v>
      </c>
      <c r="O92" s="110"/>
      <c r="R92" s="109"/>
      <c r="S92" s="110"/>
      <c r="U92" s="110"/>
      <c r="W92" s="110"/>
    </row>
    <row r="93" spans="1:23" outlineLevel="1" x14ac:dyDescent="0.25">
      <c r="A93" s="114" t="s">
        <v>798</v>
      </c>
      <c r="B93" s="114" t="s">
        <v>799</v>
      </c>
      <c r="C93" s="162" t="s">
        <v>43</v>
      </c>
      <c r="D93" s="109" t="s">
        <v>800</v>
      </c>
      <c r="E93" s="134" t="s">
        <v>655</v>
      </c>
      <c r="F93" s="123"/>
      <c r="G93" s="109" t="s">
        <v>801</v>
      </c>
      <c r="H93" s="134" t="s">
        <v>321</v>
      </c>
      <c r="I93" s="110"/>
      <c r="J93" s="109" t="s">
        <v>796</v>
      </c>
      <c r="K93" s="15" t="s">
        <v>321</v>
      </c>
      <c r="L93" s="110"/>
      <c r="M93" s="109" t="s">
        <v>802</v>
      </c>
      <c r="N93" s="134" t="s">
        <v>649</v>
      </c>
      <c r="O93" s="110"/>
      <c r="R93" s="109"/>
      <c r="S93" s="110"/>
      <c r="U93" s="110"/>
      <c r="W93" s="110"/>
    </row>
    <row r="94" spans="1:23" outlineLevel="1" x14ac:dyDescent="0.25">
      <c r="A94" s="114" t="s">
        <v>803</v>
      </c>
      <c r="B94" s="114" t="s">
        <v>804</v>
      </c>
      <c r="C94" s="162" t="s">
        <v>43</v>
      </c>
      <c r="D94" s="109" t="s">
        <v>805</v>
      </c>
      <c r="E94" s="15" t="s">
        <v>704</v>
      </c>
      <c r="F94" s="123"/>
      <c r="G94" s="109" t="s">
        <v>806</v>
      </c>
      <c r="H94" s="134" t="s">
        <v>309</v>
      </c>
      <c r="I94" s="110"/>
      <c r="J94" s="109" t="s">
        <v>807</v>
      </c>
      <c r="K94" s="15" t="s">
        <v>649</v>
      </c>
      <c r="L94" s="110"/>
      <c r="M94" s="109" t="s">
        <v>808</v>
      </c>
      <c r="N94" s="134" t="s">
        <v>649</v>
      </c>
      <c r="O94" s="110"/>
      <c r="R94" s="109"/>
      <c r="S94" s="110"/>
      <c r="U94" s="110"/>
      <c r="W94" s="110"/>
    </row>
    <row r="95" spans="1:23" x14ac:dyDescent="0.25">
      <c r="A95" s="457" t="s">
        <v>809</v>
      </c>
      <c r="B95" s="466" t="s">
        <v>810</v>
      </c>
      <c r="C95" s="462"/>
      <c r="D95" s="463"/>
      <c r="E95" s="458"/>
      <c r="F95" s="118"/>
      <c r="G95" s="117"/>
      <c r="H95" s="458"/>
      <c r="I95" s="118"/>
      <c r="J95" s="117"/>
      <c r="K95" s="458"/>
      <c r="L95" s="118"/>
      <c r="M95" s="117"/>
      <c r="N95" s="458"/>
      <c r="O95" s="118"/>
      <c r="P95" s="458"/>
      <c r="Q95" s="458"/>
      <c r="R95" s="117"/>
      <c r="S95" s="118"/>
      <c r="T95" s="458"/>
      <c r="U95" s="118"/>
      <c r="V95" s="458"/>
      <c r="W95" s="118"/>
    </row>
    <row r="96" spans="1:23" ht="30" customHeight="1" outlineLevel="1" x14ac:dyDescent="0.25">
      <c r="A96" s="114" t="s">
        <v>811</v>
      </c>
      <c r="B96" s="114" t="s">
        <v>812</v>
      </c>
      <c r="C96" s="109" t="s">
        <v>289</v>
      </c>
      <c r="D96" s="15" t="s">
        <v>813</v>
      </c>
      <c r="E96" s="15" t="s">
        <v>321</v>
      </c>
      <c r="F96" s="15" t="s">
        <v>813</v>
      </c>
      <c r="G96" s="109"/>
      <c r="I96" s="110"/>
      <c r="J96" s="109"/>
      <c r="L96" s="110"/>
      <c r="M96" s="109"/>
      <c r="O96" s="110"/>
      <c r="P96" s="133" t="s">
        <v>814</v>
      </c>
      <c r="Q96" s="15" t="s">
        <v>331</v>
      </c>
      <c r="R96" s="435" t="s">
        <v>814</v>
      </c>
      <c r="S96" s="436" t="s">
        <v>331</v>
      </c>
      <c r="U96" s="110"/>
      <c r="W96" s="110"/>
    </row>
    <row r="97" spans="1:23" ht="30" customHeight="1" outlineLevel="1" x14ac:dyDescent="0.25">
      <c r="A97" s="114" t="s">
        <v>815</v>
      </c>
      <c r="B97" s="114"/>
      <c r="C97" s="109" t="s">
        <v>816</v>
      </c>
      <c r="D97" s="109" t="s">
        <v>31</v>
      </c>
      <c r="F97" s="110" t="s">
        <v>31</v>
      </c>
      <c r="G97" s="109"/>
      <c r="I97" s="110"/>
      <c r="J97" s="109"/>
      <c r="L97" s="110"/>
      <c r="M97" s="109"/>
      <c r="O97" s="110"/>
      <c r="P97" s="133" t="s">
        <v>817</v>
      </c>
      <c r="Q97" s="15" t="s">
        <v>315</v>
      </c>
      <c r="R97" s="435" t="s">
        <v>817</v>
      </c>
      <c r="S97" s="436" t="s">
        <v>315</v>
      </c>
      <c r="U97" s="110"/>
      <c r="W97" s="110"/>
    </row>
    <row r="98" spans="1:23" ht="30" customHeight="1" outlineLevel="1" x14ac:dyDescent="0.25">
      <c r="A98" s="114" t="s">
        <v>818</v>
      </c>
      <c r="B98" s="114" t="s">
        <v>819</v>
      </c>
      <c r="C98" s="109" t="s">
        <v>289</v>
      </c>
      <c r="D98" s="109" t="s">
        <v>31</v>
      </c>
      <c r="F98" s="110" t="s">
        <v>31</v>
      </c>
      <c r="G98" s="109"/>
      <c r="I98" s="110"/>
      <c r="J98" s="109"/>
      <c r="L98" s="110"/>
      <c r="M98" s="109"/>
      <c r="O98" s="110"/>
      <c r="P98" s="133" t="s">
        <v>820</v>
      </c>
      <c r="Q98" s="15" t="s">
        <v>315</v>
      </c>
      <c r="R98" s="435" t="s">
        <v>820</v>
      </c>
      <c r="S98" s="436" t="s">
        <v>315</v>
      </c>
      <c r="U98" s="110"/>
      <c r="W98" s="110"/>
    </row>
    <row r="99" spans="1:23" ht="30" customHeight="1" outlineLevel="1" x14ac:dyDescent="0.25">
      <c r="A99" s="114" t="s">
        <v>821</v>
      </c>
      <c r="B99" s="114"/>
      <c r="C99" s="109" t="s">
        <v>816</v>
      </c>
      <c r="D99" s="109" t="s">
        <v>31</v>
      </c>
      <c r="F99" s="110" t="s">
        <v>31</v>
      </c>
      <c r="G99" s="109"/>
      <c r="I99" s="110"/>
      <c r="J99" s="109"/>
      <c r="L99" s="110"/>
      <c r="M99" s="109"/>
      <c r="O99" s="110"/>
      <c r="P99" s="133" t="s">
        <v>822</v>
      </c>
      <c r="Q99" s="15" t="s">
        <v>331</v>
      </c>
      <c r="R99" s="435" t="s">
        <v>822</v>
      </c>
      <c r="S99" s="436" t="s">
        <v>331</v>
      </c>
      <c r="U99" s="110"/>
      <c r="W99" s="110"/>
    </row>
    <row r="100" spans="1:23" ht="30" customHeight="1" outlineLevel="1" x14ac:dyDescent="0.25">
      <c r="A100" s="114" t="s">
        <v>823</v>
      </c>
      <c r="B100" s="114" t="s">
        <v>824</v>
      </c>
      <c r="C100" s="109" t="s">
        <v>289</v>
      </c>
      <c r="D100" s="109" t="s">
        <v>825</v>
      </c>
      <c r="E100" s="15" t="s">
        <v>361</v>
      </c>
      <c r="F100" s="110" t="s">
        <v>31</v>
      </c>
      <c r="G100" s="109"/>
      <c r="I100" s="110"/>
      <c r="J100" s="109"/>
      <c r="L100" s="110"/>
      <c r="M100" s="109"/>
      <c r="O100" s="110"/>
      <c r="P100" s="133" t="s">
        <v>826</v>
      </c>
      <c r="Q100" s="15" t="s">
        <v>364</v>
      </c>
      <c r="R100" s="435" t="s">
        <v>826</v>
      </c>
      <c r="S100" s="436" t="s">
        <v>364</v>
      </c>
      <c r="U100" s="110"/>
      <c r="W100" s="110"/>
    </row>
    <row r="101" spans="1:23" ht="30" customHeight="1" outlineLevel="1" x14ac:dyDescent="0.25">
      <c r="A101" s="114" t="s">
        <v>827</v>
      </c>
      <c r="B101" s="114"/>
      <c r="C101" s="109" t="s">
        <v>816</v>
      </c>
      <c r="D101" s="109" t="s">
        <v>31</v>
      </c>
      <c r="F101" s="110" t="s">
        <v>31</v>
      </c>
      <c r="G101" s="109"/>
      <c r="I101" s="110"/>
      <c r="J101" s="109"/>
      <c r="L101" s="110"/>
      <c r="M101" s="109"/>
      <c r="O101" s="110"/>
      <c r="P101" s="133" t="s">
        <v>828</v>
      </c>
      <c r="Q101" s="15" t="s">
        <v>651</v>
      </c>
      <c r="R101" s="435" t="s">
        <v>828</v>
      </c>
      <c r="S101" s="436" t="s">
        <v>651</v>
      </c>
      <c r="U101" s="110"/>
      <c r="W101" s="110"/>
    </row>
    <row r="102" spans="1:23" ht="30" customHeight="1" outlineLevel="1" x14ac:dyDescent="0.25">
      <c r="A102" s="114" t="s">
        <v>829</v>
      </c>
      <c r="B102" s="114" t="s">
        <v>830</v>
      </c>
      <c r="C102" s="109" t="s">
        <v>289</v>
      </c>
      <c r="D102" s="109" t="s">
        <v>831</v>
      </c>
      <c r="E102" s="15" t="s">
        <v>309</v>
      </c>
      <c r="F102" s="110" t="s">
        <v>31</v>
      </c>
      <c r="G102" s="109"/>
      <c r="I102" s="110"/>
      <c r="J102" s="109"/>
      <c r="L102" s="110"/>
      <c r="M102" s="109"/>
      <c r="O102" s="110"/>
      <c r="P102" s="133" t="s">
        <v>832</v>
      </c>
      <c r="Q102" s="15" t="s">
        <v>546</v>
      </c>
      <c r="R102" s="435" t="s">
        <v>832</v>
      </c>
      <c r="S102" s="436" t="s">
        <v>546</v>
      </c>
      <c r="U102" s="110"/>
      <c r="W102" s="110"/>
    </row>
    <row r="103" spans="1:23" ht="30" customHeight="1" outlineLevel="1" x14ac:dyDescent="0.25">
      <c r="A103" s="114" t="s">
        <v>833</v>
      </c>
      <c r="B103" s="114"/>
      <c r="C103" s="109" t="s">
        <v>816</v>
      </c>
      <c r="D103" s="109" t="s">
        <v>31</v>
      </c>
      <c r="F103" s="110" t="s">
        <v>31</v>
      </c>
      <c r="G103" s="109"/>
      <c r="I103" s="110"/>
      <c r="J103" s="109"/>
      <c r="L103" s="110"/>
      <c r="M103" s="109"/>
      <c r="O103" s="110"/>
      <c r="P103" s="133" t="s">
        <v>834</v>
      </c>
      <c r="Q103" s="15" t="s">
        <v>315</v>
      </c>
      <c r="R103" s="435" t="s">
        <v>834</v>
      </c>
      <c r="S103" s="436" t="s">
        <v>315</v>
      </c>
      <c r="U103" s="110"/>
      <c r="W103" s="110"/>
    </row>
    <row r="104" spans="1:23" ht="30" customHeight="1" outlineLevel="1" x14ac:dyDescent="0.25">
      <c r="A104" s="114" t="s">
        <v>835</v>
      </c>
      <c r="B104" s="114" t="s">
        <v>836</v>
      </c>
      <c r="C104" s="109" t="s">
        <v>289</v>
      </c>
      <c r="D104" s="109" t="s">
        <v>837</v>
      </c>
      <c r="E104" s="15" t="s">
        <v>321</v>
      </c>
      <c r="F104" s="110" t="s">
        <v>31</v>
      </c>
      <c r="G104" s="109"/>
      <c r="I104" s="110"/>
      <c r="J104" s="109"/>
      <c r="L104" s="110"/>
      <c r="M104" s="109"/>
      <c r="O104" s="110"/>
      <c r="P104" s="133" t="s">
        <v>838</v>
      </c>
      <c r="Q104" s="15" t="s">
        <v>364</v>
      </c>
      <c r="R104" s="435" t="s">
        <v>838</v>
      </c>
      <c r="S104" s="436" t="s">
        <v>364</v>
      </c>
      <c r="U104" s="110"/>
      <c r="W104" s="110"/>
    </row>
    <row r="105" spans="1:23" ht="30" customHeight="1" outlineLevel="1" x14ac:dyDescent="0.25">
      <c r="A105" s="114" t="s">
        <v>839</v>
      </c>
      <c r="B105" s="114" t="s">
        <v>840</v>
      </c>
      <c r="C105" s="109" t="s">
        <v>816</v>
      </c>
      <c r="D105" s="434" t="s">
        <v>841</v>
      </c>
      <c r="F105" s="110" t="s">
        <v>31</v>
      </c>
      <c r="G105" s="109"/>
      <c r="I105" s="110"/>
      <c r="J105" s="109"/>
      <c r="L105" s="110"/>
      <c r="M105" s="109"/>
      <c r="O105" s="110"/>
      <c r="P105" s="133" t="s">
        <v>842</v>
      </c>
      <c r="Q105" s="15" t="s">
        <v>843</v>
      </c>
      <c r="R105" s="435" t="s">
        <v>842</v>
      </c>
      <c r="S105" s="436" t="s">
        <v>843</v>
      </c>
      <c r="U105" s="110"/>
      <c r="W105" s="110"/>
    </row>
    <row r="106" spans="1:23" ht="30" customHeight="1" outlineLevel="1" x14ac:dyDescent="0.25">
      <c r="A106" s="114" t="s">
        <v>844</v>
      </c>
      <c r="B106" s="114" t="s">
        <v>845</v>
      </c>
      <c r="C106" s="109" t="s">
        <v>289</v>
      </c>
      <c r="D106" s="109" t="s">
        <v>31</v>
      </c>
      <c r="F106" s="110" t="s">
        <v>31</v>
      </c>
      <c r="G106" s="109"/>
      <c r="I106" s="110"/>
      <c r="J106" s="109"/>
      <c r="L106" s="110"/>
      <c r="M106" s="109"/>
      <c r="O106" s="110"/>
      <c r="P106" s="133" t="s">
        <v>846</v>
      </c>
      <c r="Q106" s="15" t="s">
        <v>495</v>
      </c>
      <c r="R106" s="435" t="s">
        <v>846</v>
      </c>
      <c r="S106" s="436" t="s">
        <v>495</v>
      </c>
      <c r="U106" s="110"/>
      <c r="W106" s="110"/>
    </row>
    <row r="107" spans="1:23" ht="30" customHeight="1" outlineLevel="1" x14ac:dyDescent="0.25">
      <c r="A107" s="114" t="s">
        <v>847</v>
      </c>
      <c r="B107" s="114"/>
      <c r="C107" s="109" t="s">
        <v>816</v>
      </c>
      <c r="D107" s="109" t="s">
        <v>31</v>
      </c>
      <c r="F107" s="110" t="s">
        <v>31</v>
      </c>
      <c r="G107" s="109"/>
      <c r="I107" s="110"/>
      <c r="J107" s="109"/>
      <c r="L107" s="110"/>
      <c r="M107" s="109"/>
      <c r="O107" s="110"/>
      <c r="P107" s="133" t="s">
        <v>848</v>
      </c>
      <c r="Q107" s="15" t="s">
        <v>315</v>
      </c>
      <c r="R107" s="435" t="s">
        <v>848</v>
      </c>
      <c r="S107" s="436" t="s">
        <v>315</v>
      </c>
      <c r="U107" s="110"/>
      <c r="W107" s="110"/>
    </row>
    <row r="108" spans="1:23" ht="30" customHeight="1" outlineLevel="1" x14ac:dyDescent="0.25">
      <c r="A108" s="114" t="s">
        <v>849</v>
      </c>
      <c r="B108" s="114" t="s">
        <v>850</v>
      </c>
      <c r="C108" s="109" t="s">
        <v>289</v>
      </c>
      <c r="D108" s="109" t="s">
        <v>851</v>
      </c>
      <c r="E108" s="15" t="s">
        <v>301</v>
      </c>
      <c r="F108" s="110" t="s">
        <v>31</v>
      </c>
      <c r="G108" s="109"/>
      <c r="I108" s="110"/>
      <c r="J108" s="109"/>
      <c r="L108" s="110"/>
      <c r="M108" s="109"/>
      <c r="O108" s="110"/>
      <c r="P108" s="133" t="s">
        <v>852</v>
      </c>
      <c r="Q108" s="15" t="s">
        <v>546</v>
      </c>
      <c r="R108" s="435" t="s">
        <v>852</v>
      </c>
      <c r="S108" s="436" t="s">
        <v>546</v>
      </c>
      <c r="U108" s="110"/>
      <c r="W108" s="110"/>
    </row>
    <row r="109" spans="1:23" ht="30" customHeight="1" outlineLevel="1" x14ac:dyDescent="0.25">
      <c r="A109" s="114" t="s">
        <v>853</v>
      </c>
      <c r="B109" s="114"/>
      <c r="C109" s="109" t="s">
        <v>816</v>
      </c>
      <c r="D109" s="109" t="s">
        <v>31</v>
      </c>
      <c r="F109" s="110" t="s">
        <v>31</v>
      </c>
      <c r="G109" s="109"/>
      <c r="I109" s="110"/>
      <c r="J109" s="109"/>
      <c r="L109" s="110"/>
      <c r="M109" s="109"/>
      <c r="O109" s="110"/>
      <c r="P109" s="133" t="s">
        <v>854</v>
      </c>
      <c r="Q109" s="15" t="s">
        <v>495</v>
      </c>
      <c r="R109" s="435" t="s">
        <v>854</v>
      </c>
      <c r="S109" s="436" t="s">
        <v>495</v>
      </c>
      <c r="U109" s="110"/>
      <c r="W109" s="110"/>
    </row>
    <row r="110" spans="1:23" ht="30" customHeight="1" outlineLevel="1" x14ac:dyDescent="0.25">
      <c r="A110" s="114" t="s">
        <v>855</v>
      </c>
      <c r="B110" s="114" t="s">
        <v>856</v>
      </c>
      <c r="C110" s="109" t="s">
        <v>289</v>
      </c>
      <c r="D110" s="109" t="s">
        <v>857</v>
      </c>
      <c r="E110" s="15" t="s">
        <v>361</v>
      </c>
      <c r="F110" s="110" t="s">
        <v>31</v>
      </c>
      <c r="G110" s="109"/>
      <c r="I110" s="110"/>
      <c r="J110" s="109"/>
      <c r="L110" s="110"/>
      <c r="M110" s="109"/>
      <c r="O110" s="110"/>
      <c r="P110" s="133" t="s">
        <v>858</v>
      </c>
      <c r="Q110" s="15" t="s">
        <v>546</v>
      </c>
      <c r="R110" s="435" t="s">
        <v>858</v>
      </c>
      <c r="S110" s="436" t="s">
        <v>546</v>
      </c>
      <c r="U110" s="110"/>
      <c r="W110" s="110"/>
    </row>
    <row r="111" spans="1:23" ht="30" customHeight="1" outlineLevel="1" x14ac:dyDescent="0.25">
      <c r="A111" s="114" t="s">
        <v>859</v>
      </c>
      <c r="B111" s="114"/>
      <c r="C111" s="109" t="s">
        <v>816</v>
      </c>
      <c r="D111" s="109" t="s">
        <v>31</v>
      </c>
      <c r="F111" s="110" t="s">
        <v>31</v>
      </c>
      <c r="G111" s="109"/>
      <c r="I111" s="110"/>
      <c r="J111" s="109"/>
      <c r="L111" s="110"/>
      <c r="M111" s="109"/>
      <c r="O111" s="110"/>
      <c r="P111" s="133" t="s">
        <v>860</v>
      </c>
      <c r="Q111" s="15" t="s">
        <v>364</v>
      </c>
      <c r="R111" s="435" t="s">
        <v>860</v>
      </c>
      <c r="S111" s="436" t="s">
        <v>364</v>
      </c>
      <c r="U111" s="110"/>
      <c r="W111" s="110"/>
    </row>
    <row r="112" spans="1:23" ht="30" customHeight="1" outlineLevel="1" x14ac:dyDescent="0.25">
      <c r="A112" s="114" t="s">
        <v>861</v>
      </c>
      <c r="B112" s="114" t="s">
        <v>862</v>
      </c>
      <c r="C112" s="109" t="s">
        <v>289</v>
      </c>
      <c r="D112" s="109" t="s">
        <v>863</v>
      </c>
      <c r="E112" s="15" t="s">
        <v>361</v>
      </c>
      <c r="F112" s="110" t="s">
        <v>31</v>
      </c>
      <c r="G112" s="109"/>
      <c r="I112" s="110"/>
      <c r="J112" s="109"/>
      <c r="L112" s="110"/>
      <c r="M112" s="109"/>
      <c r="O112" s="110"/>
      <c r="P112" s="133" t="s">
        <v>864</v>
      </c>
      <c r="Q112" s="15" t="s">
        <v>865</v>
      </c>
      <c r="R112" s="435" t="s">
        <v>864</v>
      </c>
      <c r="S112" s="436" t="s">
        <v>865</v>
      </c>
      <c r="U112" s="110"/>
      <c r="W112" s="110"/>
    </row>
    <row r="113" spans="1:23" ht="30" customHeight="1" outlineLevel="1" x14ac:dyDescent="0.25">
      <c r="A113" s="114" t="s">
        <v>866</v>
      </c>
      <c r="B113" s="114"/>
      <c r="C113" s="109" t="s">
        <v>816</v>
      </c>
      <c r="D113" s="109" t="s">
        <v>31</v>
      </c>
      <c r="F113" s="110" t="s">
        <v>31</v>
      </c>
      <c r="G113" s="109"/>
      <c r="I113" s="110"/>
      <c r="J113" s="109"/>
      <c r="L113" s="110"/>
      <c r="M113" s="109"/>
      <c r="O113" s="110"/>
      <c r="P113" s="133" t="s">
        <v>867</v>
      </c>
      <c r="Q113" s="15" t="s">
        <v>576</v>
      </c>
      <c r="R113" s="435" t="s">
        <v>867</v>
      </c>
      <c r="S113" s="436" t="s">
        <v>576</v>
      </c>
      <c r="U113" s="110"/>
      <c r="W113" s="110"/>
    </row>
    <row r="114" spans="1:23" ht="30" customHeight="1" outlineLevel="1" x14ac:dyDescent="0.25">
      <c r="A114" s="114" t="s">
        <v>868</v>
      </c>
      <c r="B114" s="114" t="s">
        <v>869</v>
      </c>
      <c r="C114" s="109" t="s">
        <v>289</v>
      </c>
      <c r="D114" s="109" t="s">
        <v>870</v>
      </c>
      <c r="E114" s="15" t="s">
        <v>309</v>
      </c>
      <c r="F114" s="110" t="s">
        <v>31</v>
      </c>
      <c r="G114" s="109"/>
      <c r="I114" s="110"/>
      <c r="J114" s="109"/>
      <c r="L114" s="110"/>
      <c r="M114" s="109"/>
      <c r="O114" s="110"/>
      <c r="P114" s="133" t="s">
        <v>871</v>
      </c>
      <c r="Q114" s="15" t="s">
        <v>546</v>
      </c>
      <c r="R114" s="435" t="s">
        <v>871</v>
      </c>
      <c r="S114" s="436" t="s">
        <v>546</v>
      </c>
      <c r="U114" s="110"/>
      <c r="W114" s="110"/>
    </row>
    <row r="115" spans="1:23" ht="30" customHeight="1" outlineLevel="1" x14ac:dyDescent="0.25">
      <c r="A115" s="114" t="s">
        <v>872</v>
      </c>
      <c r="B115" s="114"/>
      <c r="C115" s="109" t="s">
        <v>816</v>
      </c>
      <c r="D115" s="109" t="s">
        <v>31</v>
      </c>
      <c r="F115" s="110" t="s">
        <v>31</v>
      </c>
      <c r="G115" s="109"/>
      <c r="I115" s="110"/>
      <c r="J115" s="109"/>
      <c r="L115" s="110"/>
      <c r="M115" s="109"/>
      <c r="O115" s="110"/>
      <c r="P115" s="133" t="s">
        <v>873</v>
      </c>
      <c r="Q115" s="15" t="s">
        <v>331</v>
      </c>
      <c r="R115" s="435" t="s">
        <v>873</v>
      </c>
      <c r="S115" s="436" t="s">
        <v>331</v>
      </c>
      <c r="U115" s="110"/>
      <c r="W115" s="110"/>
    </row>
    <row r="116" spans="1:23" ht="30" customHeight="1" outlineLevel="1" x14ac:dyDescent="0.25">
      <c r="A116" s="114" t="s">
        <v>874</v>
      </c>
      <c r="B116" s="114" t="s">
        <v>875</v>
      </c>
      <c r="C116" s="109" t="s">
        <v>289</v>
      </c>
      <c r="D116" s="109" t="s">
        <v>31</v>
      </c>
      <c r="F116" s="110" t="s">
        <v>31</v>
      </c>
      <c r="G116" s="109"/>
      <c r="I116" s="110"/>
      <c r="J116" s="109"/>
      <c r="L116" s="110"/>
      <c r="M116" s="109"/>
      <c r="O116" s="110"/>
      <c r="P116" s="133" t="s">
        <v>876</v>
      </c>
      <c r="Q116" s="15" t="s">
        <v>331</v>
      </c>
      <c r="R116" s="435" t="s">
        <v>876</v>
      </c>
      <c r="S116" s="436" t="s">
        <v>331</v>
      </c>
      <c r="U116" s="110"/>
      <c r="W116" s="110"/>
    </row>
    <row r="117" spans="1:23" ht="30" customHeight="1" outlineLevel="1" x14ac:dyDescent="0.25">
      <c r="A117" s="114" t="s">
        <v>877</v>
      </c>
      <c r="B117" s="114"/>
      <c r="C117" s="109" t="s">
        <v>816</v>
      </c>
      <c r="D117" s="109" t="s">
        <v>31</v>
      </c>
      <c r="F117" s="110" t="s">
        <v>31</v>
      </c>
      <c r="G117" s="109"/>
      <c r="I117" s="110"/>
      <c r="J117" s="109"/>
      <c r="L117" s="110"/>
      <c r="M117" s="109"/>
      <c r="O117" s="110"/>
      <c r="P117" s="133" t="s">
        <v>878</v>
      </c>
      <c r="Q117" s="15" t="s">
        <v>576</v>
      </c>
      <c r="R117" s="435" t="s">
        <v>878</v>
      </c>
      <c r="S117" s="436" t="s">
        <v>576</v>
      </c>
      <c r="U117" s="110"/>
      <c r="W117" s="110"/>
    </row>
    <row r="118" spans="1:23" ht="30" customHeight="1" outlineLevel="1" x14ac:dyDescent="0.25">
      <c r="A118" s="114" t="s">
        <v>879</v>
      </c>
      <c r="B118" s="114" t="s">
        <v>880</v>
      </c>
      <c r="C118" s="109" t="s">
        <v>289</v>
      </c>
      <c r="D118" s="109" t="s">
        <v>881</v>
      </c>
      <c r="E118" s="15" t="s">
        <v>309</v>
      </c>
      <c r="F118" s="110" t="s">
        <v>31</v>
      </c>
      <c r="G118" s="109"/>
      <c r="I118" s="110"/>
      <c r="J118" s="109"/>
      <c r="L118" s="110"/>
      <c r="M118" s="109"/>
      <c r="O118" s="110"/>
      <c r="P118" s="133" t="s">
        <v>882</v>
      </c>
      <c r="Q118" s="15" t="s">
        <v>584</v>
      </c>
      <c r="R118" s="435" t="s">
        <v>882</v>
      </c>
      <c r="S118" s="436" t="s">
        <v>584</v>
      </c>
      <c r="U118" s="110"/>
      <c r="W118" s="110"/>
    </row>
    <row r="119" spans="1:23" ht="30" customHeight="1" outlineLevel="1" x14ac:dyDescent="0.25">
      <c r="A119" s="114" t="s">
        <v>883</v>
      </c>
      <c r="B119" s="114"/>
      <c r="C119" s="109" t="s">
        <v>816</v>
      </c>
      <c r="D119" s="109" t="s">
        <v>31</v>
      </c>
      <c r="F119" s="110" t="s">
        <v>31</v>
      </c>
      <c r="G119" s="109"/>
      <c r="I119" s="110"/>
      <c r="J119" s="109"/>
      <c r="L119" s="110"/>
      <c r="M119" s="109"/>
      <c r="O119" s="110"/>
      <c r="P119" s="133" t="s">
        <v>884</v>
      </c>
      <c r="Q119" s="15" t="s">
        <v>331</v>
      </c>
      <c r="R119" s="435" t="s">
        <v>884</v>
      </c>
      <c r="S119" s="436" t="s">
        <v>331</v>
      </c>
      <c r="U119" s="110"/>
      <c r="W119" s="110"/>
    </row>
    <row r="120" spans="1:23" ht="30" customHeight="1" outlineLevel="1" x14ac:dyDescent="0.25">
      <c r="A120" s="114" t="s">
        <v>885</v>
      </c>
      <c r="B120" s="114" t="s">
        <v>886</v>
      </c>
      <c r="C120" s="109" t="s">
        <v>289</v>
      </c>
      <c r="D120" s="109" t="s">
        <v>887</v>
      </c>
      <c r="E120" s="15" t="s">
        <v>309</v>
      </c>
      <c r="F120" s="110" t="s">
        <v>31</v>
      </c>
      <c r="G120" s="109"/>
      <c r="I120" s="110"/>
      <c r="J120" s="109"/>
      <c r="L120" s="110"/>
      <c r="M120" s="109"/>
      <c r="O120" s="110"/>
      <c r="P120" s="133" t="s">
        <v>888</v>
      </c>
      <c r="Q120" s="15" t="s">
        <v>584</v>
      </c>
      <c r="R120" s="435" t="s">
        <v>888</v>
      </c>
      <c r="S120" s="436" t="s">
        <v>584</v>
      </c>
      <c r="U120" s="110"/>
      <c r="W120" s="110"/>
    </row>
    <row r="121" spans="1:23" ht="30" customHeight="1" outlineLevel="1" x14ac:dyDescent="0.25">
      <c r="A121" s="114" t="s">
        <v>889</v>
      </c>
      <c r="B121" s="114"/>
      <c r="C121" s="109" t="s">
        <v>816</v>
      </c>
      <c r="D121" s="109" t="s">
        <v>31</v>
      </c>
      <c r="F121" s="110" t="s">
        <v>31</v>
      </c>
      <c r="G121" s="109"/>
      <c r="I121" s="110"/>
      <c r="J121" s="109"/>
      <c r="L121" s="110"/>
      <c r="M121" s="109"/>
      <c r="O121" s="110"/>
      <c r="P121" s="133" t="s">
        <v>890</v>
      </c>
      <c r="Q121" s="15" t="s">
        <v>364</v>
      </c>
      <c r="R121" s="435" t="s">
        <v>890</v>
      </c>
      <c r="S121" s="436" t="s">
        <v>364</v>
      </c>
      <c r="U121" s="110"/>
      <c r="W121" s="110"/>
    </row>
    <row r="122" spans="1:23" ht="30" customHeight="1" outlineLevel="1" x14ac:dyDescent="0.25">
      <c r="A122" s="114" t="s">
        <v>891</v>
      </c>
      <c r="B122" s="114" t="s">
        <v>892</v>
      </c>
      <c r="C122" s="109" t="s">
        <v>289</v>
      </c>
      <c r="D122" s="109" t="s">
        <v>31</v>
      </c>
      <c r="F122" s="110" t="s">
        <v>31</v>
      </c>
      <c r="G122" s="109"/>
      <c r="I122" s="110"/>
      <c r="J122" s="109"/>
      <c r="L122" s="110"/>
      <c r="M122" s="109"/>
      <c r="O122" s="110"/>
      <c r="P122" s="133" t="s">
        <v>893</v>
      </c>
      <c r="Q122" s="15" t="s">
        <v>331</v>
      </c>
      <c r="R122" s="435" t="s">
        <v>893</v>
      </c>
      <c r="S122" s="436" t="s">
        <v>331</v>
      </c>
      <c r="U122" s="110"/>
      <c r="W122" s="110"/>
    </row>
    <row r="123" spans="1:23" ht="30" customHeight="1" outlineLevel="1" x14ac:dyDescent="0.25">
      <c r="A123" s="114" t="s">
        <v>894</v>
      </c>
      <c r="B123" s="114"/>
      <c r="C123" s="109" t="s">
        <v>816</v>
      </c>
      <c r="D123" s="109" t="s">
        <v>31</v>
      </c>
      <c r="F123" s="110" t="s">
        <v>31</v>
      </c>
      <c r="G123" s="109"/>
      <c r="I123" s="110"/>
      <c r="J123" s="109"/>
      <c r="L123" s="110"/>
      <c r="M123" s="109"/>
      <c r="O123" s="110"/>
      <c r="P123" s="133" t="s">
        <v>895</v>
      </c>
      <c r="Q123" s="15" t="s">
        <v>364</v>
      </c>
      <c r="R123" s="435" t="s">
        <v>895</v>
      </c>
      <c r="S123" s="436" t="s">
        <v>364</v>
      </c>
      <c r="U123" s="110"/>
      <c r="W123" s="110"/>
    </row>
    <row r="124" spans="1:23" x14ac:dyDescent="0.25">
      <c r="A124" s="457" t="s">
        <v>896</v>
      </c>
      <c r="B124" s="457"/>
      <c r="C124" s="207"/>
      <c r="D124" s="117"/>
      <c r="E124" s="458"/>
      <c r="F124" s="118"/>
      <c r="G124" s="117"/>
      <c r="H124" s="458"/>
      <c r="I124" s="118"/>
      <c r="J124" s="117"/>
      <c r="K124" s="458"/>
      <c r="L124" s="118"/>
      <c r="M124" s="117"/>
      <c r="N124" s="458"/>
      <c r="O124" s="118"/>
      <c r="P124" s="458"/>
      <c r="Q124" s="458"/>
      <c r="R124" s="117"/>
      <c r="S124" s="118"/>
      <c r="T124" s="458"/>
      <c r="U124" s="118"/>
      <c r="V124" s="458"/>
      <c r="W124" s="118"/>
    </row>
    <row r="125" spans="1:23" ht="30" customHeight="1" outlineLevel="1" x14ac:dyDescent="0.25">
      <c r="A125" s="114" t="s">
        <v>897</v>
      </c>
      <c r="B125" s="114" t="str">
        <f t="shared" ref="B125:B130" si="0">CONCATENATE("GVN_",A125)</f>
        <v>GVN_Train Performances</v>
      </c>
      <c r="C125" s="109" t="s">
        <v>289</v>
      </c>
      <c r="D125" s="109"/>
      <c r="F125" s="110"/>
      <c r="G125" s="109"/>
      <c r="I125" s="110"/>
      <c r="J125" s="109"/>
      <c r="L125" s="110"/>
      <c r="M125" s="109"/>
      <c r="O125" s="110"/>
      <c r="P125" s="133" t="s">
        <v>898</v>
      </c>
      <c r="Q125" s="134" t="s">
        <v>315</v>
      </c>
      <c r="R125" s="109" t="s">
        <v>898</v>
      </c>
      <c r="S125" s="123" t="s">
        <v>315</v>
      </c>
      <c r="U125" s="110"/>
      <c r="W125" s="110"/>
    </row>
    <row r="126" spans="1:23" ht="30" customHeight="1" outlineLevel="1" x14ac:dyDescent="0.25">
      <c r="A126" s="114" t="s">
        <v>899</v>
      </c>
      <c r="B126" s="114" t="str">
        <f t="shared" si="0"/>
        <v>GVN_Train System Architecture</v>
      </c>
      <c r="C126" s="109" t="s">
        <v>289</v>
      </c>
      <c r="D126" s="109"/>
      <c r="F126" s="110"/>
      <c r="G126" s="109"/>
      <c r="I126" s="110"/>
      <c r="J126" s="109"/>
      <c r="L126" s="110"/>
      <c r="M126" s="109"/>
      <c r="O126" s="110"/>
      <c r="P126" s="133" t="s">
        <v>900</v>
      </c>
      <c r="Q126" s="134" t="s">
        <v>331</v>
      </c>
      <c r="R126" s="109" t="s">
        <v>900</v>
      </c>
      <c r="S126" s="123" t="s">
        <v>331</v>
      </c>
      <c r="U126" s="110"/>
      <c r="W126" s="110"/>
    </row>
    <row r="127" spans="1:23" ht="30" customHeight="1" outlineLevel="1" x14ac:dyDescent="0.25">
      <c r="A127" s="114" t="s">
        <v>901</v>
      </c>
      <c r="B127" s="114" t="str">
        <f t="shared" si="0"/>
        <v>GVN_Train Running Simulations</v>
      </c>
      <c r="C127" s="109" t="s">
        <v>289</v>
      </c>
      <c r="D127" s="109"/>
      <c r="F127" s="110"/>
      <c r="G127" s="109"/>
      <c r="I127" s="110"/>
      <c r="J127" s="109"/>
      <c r="L127" s="110"/>
      <c r="M127" s="109"/>
      <c r="O127" s="110"/>
      <c r="P127" s="133" t="s">
        <v>902</v>
      </c>
      <c r="Q127" s="134" t="s">
        <v>331</v>
      </c>
      <c r="R127" s="109" t="s">
        <v>902</v>
      </c>
      <c r="S127" s="123" t="s">
        <v>331</v>
      </c>
      <c r="U127" s="110"/>
      <c r="W127" s="110"/>
    </row>
    <row r="128" spans="1:23" ht="30" customHeight="1" outlineLevel="1" x14ac:dyDescent="0.25">
      <c r="A128" s="114" t="s">
        <v>903</v>
      </c>
      <c r="B128" s="114" t="str">
        <f t="shared" si="0"/>
        <v>GVN_SyFD Propulsion System</v>
      </c>
      <c r="C128" s="109" t="s">
        <v>289</v>
      </c>
      <c r="D128" s="109"/>
      <c r="F128" s="110"/>
      <c r="G128" s="109"/>
      <c r="I128" s="110"/>
      <c r="J128" s="109"/>
      <c r="L128" s="110"/>
      <c r="M128" s="109"/>
      <c r="O128" s="110"/>
      <c r="P128" s="133" t="s">
        <v>904</v>
      </c>
      <c r="Q128" s="134" t="s">
        <v>584</v>
      </c>
      <c r="R128" s="109" t="s">
        <v>904</v>
      </c>
      <c r="S128" s="123" t="s">
        <v>584</v>
      </c>
      <c r="U128" s="110"/>
      <c r="W128" s="110"/>
    </row>
    <row r="129" spans="1:23" ht="30" customHeight="1" outlineLevel="1" x14ac:dyDescent="0.25">
      <c r="A129" s="114" t="s">
        <v>905</v>
      </c>
      <c r="B129" s="114" t="str">
        <f t="shared" si="0"/>
        <v>GVN_SyFD Train Control and Management System</v>
      </c>
      <c r="C129" s="109" t="s">
        <v>289</v>
      </c>
      <c r="D129" s="109"/>
      <c r="F129" s="110"/>
      <c r="G129" s="109"/>
      <c r="I129" s="110"/>
      <c r="J129" s="109"/>
      <c r="L129" s="110"/>
      <c r="M129" s="109"/>
      <c r="O129" s="110"/>
      <c r="P129" s="133" t="s">
        <v>906</v>
      </c>
      <c r="Q129" s="134" t="s">
        <v>907</v>
      </c>
      <c r="R129" s="109" t="s">
        <v>906</v>
      </c>
      <c r="S129" s="123" t="s">
        <v>907</v>
      </c>
      <c r="U129" s="110"/>
      <c r="W129" s="110"/>
    </row>
    <row r="130" spans="1:23" ht="30" customHeight="1" outlineLevel="1" x14ac:dyDescent="0.25">
      <c r="A130" s="115" t="s">
        <v>908</v>
      </c>
      <c r="B130" s="115" t="str">
        <f t="shared" si="0"/>
        <v>GVN_SyFD Ethernet Train Communication Network</v>
      </c>
      <c r="C130" s="405" t="s">
        <v>289</v>
      </c>
      <c r="D130" s="111"/>
      <c r="E130" s="113"/>
      <c r="F130" s="112"/>
      <c r="G130" s="111"/>
      <c r="H130" s="113"/>
      <c r="I130" s="112"/>
      <c r="J130" s="111"/>
      <c r="K130" s="113"/>
      <c r="L130" s="112"/>
      <c r="M130" s="111"/>
      <c r="N130" s="113"/>
      <c r="O130" s="112"/>
      <c r="P130" s="156" t="s">
        <v>909</v>
      </c>
      <c r="Q130" s="155" t="s">
        <v>364</v>
      </c>
      <c r="R130" s="111" t="s">
        <v>909</v>
      </c>
      <c r="S130" s="177" t="s">
        <v>364</v>
      </c>
      <c r="T130" s="113"/>
      <c r="U130" s="112"/>
      <c r="V130" s="113"/>
      <c r="W130" s="112"/>
    </row>
  </sheetData>
  <mergeCells count="19">
    <mergeCell ref="A1:A3"/>
    <mergeCell ref="J2:L2"/>
    <mergeCell ref="T2:U2"/>
    <mergeCell ref="T1:U1"/>
    <mergeCell ref="D1:F1"/>
    <mergeCell ref="G2:I2"/>
    <mergeCell ref="J1:L1"/>
    <mergeCell ref="B1:B3"/>
    <mergeCell ref="C1:C3"/>
    <mergeCell ref="R2:S2"/>
    <mergeCell ref="M1:O1"/>
    <mergeCell ref="M2:O2"/>
    <mergeCell ref="R1:S1"/>
    <mergeCell ref="D2:F2"/>
    <mergeCell ref="V2:W2"/>
    <mergeCell ref="P1:Q1"/>
    <mergeCell ref="V1:W1"/>
    <mergeCell ref="P2:Q2"/>
    <mergeCell ref="G1:I1"/>
  </mergeCells>
  <pageMargins left="0.7" right="0.7" top="0.75" bottom="0.75" header="0.3" footer="0.3"/>
  <pageSetup paperSize="9" orientation="portrait" verticalDpi="12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39997558519241921"/>
  </sheetPr>
  <dimension ref="A1:T35"/>
  <sheetViews>
    <sheetView zoomScale="85" zoomScaleNormal="85" workbookViewId="0">
      <pane xSplit="5" ySplit="2" topLeftCell="F3" activePane="bottomRight" state="frozen"/>
      <selection activeCell="B1" sqref="B1"/>
      <selection pane="topRight" activeCell="F1" sqref="F1"/>
      <selection pane="bottomLeft" activeCell="B4" sqref="B4"/>
      <selection pane="bottomRight" activeCell="B4" sqref="B4"/>
    </sheetView>
  </sheetViews>
  <sheetFormatPr defaultColWidth="8.7109375" defaultRowHeight="15" x14ac:dyDescent="0.25"/>
  <cols>
    <col min="1" max="1" width="36.5703125" style="106" customWidth="1"/>
    <col min="2" max="2" width="34.85546875" style="106" bestFit="1" customWidth="1"/>
    <col min="3" max="3" width="8.42578125" style="15" bestFit="1" customWidth="1"/>
    <col min="4" max="4" width="17.5703125" style="15" customWidth="1"/>
    <col min="5" max="5" width="4.42578125" style="15" bestFit="1" customWidth="1"/>
    <col min="6" max="6" width="17.5703125" style="15" customWidth="1"/>
    <col min="7" max="7" width="4.7109375" style="15" bestFit="1" customWidth="1"/>
    <col min="8" max="8" width="17.5703125" style="15" customWidth="1"/>
    <col min="9" max="9" width="4.7109375" style="15" bestFit="1" customWidth="1"/>
    <col min="10" max="10" width="17.5703125" style="15" customWidth="1"/>
    <col min="11" max="11" width="4.42578125" style="15" bestFit="1" customWidth="1"/>
    <col min="12" max="12" width="17.140625" style="15" customWidth="1"/>
    <col min="13" max="13" width="5.140625" style="15" customWidth="1"/>
    <col min="14" max="14" width="15.42578125" style="15" customWidth="1"/>
    <col min="15" max="15" width="4.42578125" style="15" customWidth="1"/>
    <col min="16" max="16" width="6.5703125" style="15" bestFit="1" customWidth="1"/>
    <col min="17" max="17" width="6.5703125" style="15" customWidth="1"/>
    <col min="18" max="18" width="6.5703125" style="15" bestFit="1" customWidth="1"/>
    <col min="19" max="19" width="6.5703125" style="15" customWidth="1"/>
    <col min="20" max="22" width="8.7109375" style="103" customWidth="1"/>
    <col min="23" max="16384" width="8.7109375" style="103"/>
  </cols>
  <sheetData>
    <row r="1" spans="1:19" s="105" customFormat="1" ht="26.45" customHeight="1" x14ac:dyDescent="0.25">
      <c r="A1" s="485" t="s">
        <v>273</v>
      </c>
      <c r="B1" s="500" t="s">
        <v>3</v>
      </c>
      <c r="C1" s="489" t="s">
        <v>243</v>
      </c>
      <c r="D1" s="496" t="s">
        <v>5</v>
      </c>
      <c r="E1" s="497"/>
      <c r="F1" s="498" t="s">
        <v>6</v>
      </c>
      <c r="G1" s="499"/>
      <c r="H1" s="496" t="s">
        <v>7</v>
      </c>
      <c r="I1" s="497"/>
      <c r="J1" s="498" t="s">
        <v>8</v>
      </c>
      <c r="K1" s="499"/>
      <c r="L1" s="496" t="s">
        <v>9</v>
      </c>
      <c r="M1" s="497"/>
      <c r="N1" s="498" t="s">
        <v>10</v>
      </c>
      <c r="O1" s="499"/>
      <c r="P1" s="496" t="s">
        <v>11</v>
      </c>
      <c r="Q1" s="497"/>
      <c r="R1" s="498" t="s">
        <v>274</v>
      </c>
      <c r="S1" s="499"/>
    </row>
    <row r="2" spans="1:19" s="105" customFormat="1" ht="26.45" customHeight="1" x14ac:dyDescent="0.25">
      <c r="A2" s="487"/>
      <c r="B2" s="501"/>
      <c r="C2" s="491"/>
      <c r="D2" s="406" t="s">
        <v>283</v>
      </c>
      <c r="E2" s="160" t="s">
        <v>190</v>
      </c>
      <c r="F2" s="408" t="s">
        <v>283</v>
      </c>
      <c r="G2" s="409" t="s">
        <v>190</v>
      </c>
      <c r="H2" s="406" t="s">
        <v>283</v>
      </c>
      <c r="I2" s="160" t="s">
        <v>190</v>
      </c>
      <c r="J2" s="408" t="s">
        <v>283</v>
      </c>
      <c r="K2" s="409" t="s">
        <v>190</v>
      </c>
      <c r="L2" s="390" t="s">
        <v>285</v>
      </c>
      <c r="M2" s="390" t="s">
        <v>190</v>
      </c>
      <c r="N2" s="412" t="s">
        <v>285</v>
      </c>
      <c r="O2" s="159" t="s">
        <v>190</v>
      </c>
      <c r="P2" s="406" t="s">
        <v>285</v>
      </c>
      <c r="Q2" s="406" t="s">
        <v>190</v>
      </c>
      <c r="R2" s="408" t="s">
        <v>285</v>
      </c>
      <c r="S2" s="409" t="s">
        <v>190</v>
      </c>
    </row>
    <row r="3" spans="1:19" x14ac:dyDescent="0.25">
      <c r="A3" s="201" t="s">
        <v>910</v>
      </c>
      <c r="B3" s="399"/>
      <c r="C3" s="407"/>
      <c r="D3" s="400"/>
      <c r="E3" s="202"/>
      <c r="F3" s="410"/>
      <c r="G3" s="411"/>
      <c r="H3" s="400"/>
      <c r="I3" s="202"/>
      <c r="J3" s="410"/>
      <c r="K3" s="411"/>
      <c r="L3" s="400"/>
      <c r="M3" s="400"/>
      <c r="N3" s="410"/>
      <c r="O3" s="411"/>
      <c r="P3" s="400"/>
      <c r="Q3" s="400"/>
      <c r="R3" s="410"/>
      <c r="S3" s="411"/>
    </row>
    <row r="4" spans="1:19" ht="30" customHeight="1" x14ac:dyDescent="0.25">
      <c r="A4" s="106" t="s">
        <v>911</v>
      </c>
      <c r="B4" s="106" t="s">
        <v>57</v>
      </c>
      <c r="C4" s="107" t="s">
        <v>289</v>
      </c>
      <c r="D4" s="15" t="s">
        <v>912</v>
      </c>
      <c r="E4" s="15" t="s">
        <v>531</v>
      </c>
      <c r="F4" s="109" t="s">
        <v>913</v>
      </c>
      <c r="G4" s="110" t="s">
        <v>311</v>
      </c>
      <c r="J4" s="109"/>
      <c r="K4" s="110"/>
      <c r="L4" s="15" t="s">
        <v>914</v>
      </c>
      <c r="M4" s="15" t="s">
        <v>915</v>
      </c>
      <c r="N4" s="109"/>
      <c r="O4" s="110"/>
      <c r="R4" s="109"/>
      <c r="S4" s="110"/>
    </row>
    <row r="5" spans="1:19" x14ac:dyDescent="0.25">
      <c r="A5" s="106" t="s">
        <v>916</v>
      </c>
      <c r="B5" s="106" t="s">
        <v>917</v>
      </c>
      <c r="C5" s="107" t="s">
        <v>289</v>
      </c>
      <c r="D5" s="15" t="s">
        <v>918</v>
      </c>
      <c r="E5" s="15" t="s">
        <v>919</v>
      </c>
      <c r="F5" s="109"/>
      <c r="G5" s="110"/>
      <c r="J5" s="109"/>
      <c r="K5" s="110"/>
      <c r="N5" s="109"/>
      <c r="O5" s="110"/>
      <c r="R5" s="109"/>
      <c r="S5" s="110"/>
    </row>
    <row r="6" spans="1:19" x14ac:dyDescent="0.25">
      <c r="A6" s="106" t="s">
        <v>351</v>
      </c>
      <c r="B6" s="106" t="s">
        <v>920</v>
      </c>
      <c r="C6" s="107" t="s">
        <v>289</v>
      </c>
      <c r="D6" s="15" t="s">
        <v>921</v>
      </c>
      <c r="E6" s="15" t="s">
        <v>311</v>
      </c>
      <c r="F6" s="109"/>
      <c r="G6" s="110"/>
      <c r="J6" s="109"/>
      <c r="K6" s="110"/>
      <c r="N6" s="109"/>
      <c r="O6" s="110"/>
      <c r="R6" s="109"/>
      <c r="S6" s="110"/>
    </row>
    <row r="7" spans="1:19" x14ac:dyDescent="0.25">
      <c r="A7" s="106" t="s">
        <v>922</v>
      </c>
      <c r="B7" s="106" t="s">
        <v>923</v>
      </c>
      <c r="C7" s="107" t="s">
        <v>289</v>
      </c>
      <c r="D7" s="15" t="s">
        <v>924</v>
      </c>
      <c r="E7" s="15" t="s">
        <v>309</v>
      </c>
      <c r="F7" s="109"/>
      <c r="G7" s="110"/>
      <c r="J7" s="109"/>
      <c r="K7" s="110"/>
      <c r="N7" s="109"/>
      <c r="O7" s="110"/>
      <c r="R7" s="109"/>
      <c r="S7" s="110"/>
    </row>
    <row r="8" spans="1:19" x14ac:dyDescent="0.25">
      <c r="A8" s="106" t="s">
        <v>925</v>
      </c>
      <c r="B8" s="106" t="s">
        <v>926</v>
      </c>
      <c r="C8" s="107" t="s">
        <v>289</v>
      </c>
      <c r="D8" s="15" t="s">
        <v>927</v>
      </c>
      <c r="E8" s="15" t="s">
        <v>309</v>
      </c>
      <c r="F8" s="109"/>
      <c r="G8" s="110"/>
      <c r="J8" s="109"/>
      <c r="K8" s="110"/>
      <c r="N8" s="109"/>
      <c r="O8" s="110"/>
      <c r="R8" s="109"/>
      <c r="S8" s="110"/>
    </row>
    <row r="9" spans="1:19" x14ac:dyDescent="0.25">
      <c r="A9" s="106" t="s">
        <v>928</v>
      </c>
      <c r="B9" s="106" t="s">
        <v>929</v>
      </c>
      <c r="C9" s="107" t="s">
        <v>289</v>
      </c>
      <c r="D9" s="15" t="s">
        <v>930</v>
      </c>
      <c r="E9" s="15" t="s">
        <v>309</v>
      </c>
      <c r="F9" s="109"/>
      <c r="G9" s="110"/>
      <c r="J9" s="109"/>
      <c r="K9" s="110"/>
      <c r="N9" s="109"/>
      <c r="O9" s="110"/>
      <c r="R9" s="109"/>
      <c r="S9" s="110"/>
    </row>
    <row r="10" spans="1:19" x14ac:dyDescent="0.25">
      <c r="A10" s="106" t="s">
        <v>931</v>
      </c>
      <c r="B10" s="106" t="s">
        <v>932</v>
      </c>
      <c r="C10" s="107" t="s">
        <v>289</v>
      </c>
      <c r="D10" s="15" t="s">
        <v>933</v>
      </c>
      <c r="E10" s="15" t="s">
        <v>301</v>
      </c>
      <c r="F10" s="109"/>
      <c r="G10" s="110"/>
      <c r="J10" s="109"/>
      <c r="K10" s="110"/>
      <c r="N10" s="109"/>
      <c r="O10" s="110"/>
      <c r="R10" s="109"/>
      <c r="S10" s="110"/>
    </row>
    <row r="11" spans="1:19" x14ac:dyDescent="0.25">
      <c r="A11" s="106" t="s">
        <v>934</v>
      </c>
      <c r="B11" s="106" t="s">
        <v>935</v>
      </c>
      <c r="C11" s="107" t="s">
        <v>289</v>
      </c>
      <c r="D11" s="15" t="s">
        <v>936</v>
      </c>
      <c r="E11" s="15" t="s">
        <v>649</v>
      </c>
      <c r="F11" s="109"/>
      <c r="G11" s="110"/>
      <c r="J11" s="109"/>
      <c r="K11" s="110"/>
      <c r="N11" s="109"/>
      <c r="O11" s="110"/>
      <c r="R11" s="109"/>
      <c r="S11" s="110"/>
    </row>
    <row r="12" spans="1:19" x14ac:dyDescent="0.25">
      <c r="A12" s="106" t="s">
        <v>937</v>
      </c>
      <c r="B12" s="106" t="s">
        <v>938</v>
      </c>
      <c r="C12" s="107" t="s">
        <v>289</v>
      </c>
      <c r="D12" s="15" t="s">
        <v>939</v>
      </c>
      <c r="E12" s="15" t="s">
        <v>361</v>
      </c>
      <c r="F12" s="109"/>
      <c r="G12" s="110"/>
      <c r="J12" s="109"/>
      <c r="K12" s="110"/>
      <c r="N12" s="109"/>
      <c r="O12" s="110"/>
      <c r="R12" s="109"/>
      <c r="S12" s="110"/>
    </row>
    <row r="13" spans="1:19" x14ac:dyDescent="0.25">
      <c r="A13" s="106" t="s">
        <v>940</v>
      </c>
      <c r="B13" s="106" t="s">
        <v>941</v>
      </c>
      <c r="C13" s="107" t="s">
        <v>289</v>
      </c>
      <c r="D13" s="15" t="s">
        <v>942</v>
      </c>
      <c r="E13" s="15" t="s">
        <v>309</v>
      </c>
      <c r="F13" s="109"/>
      <c r="G13" s="110"/>
      <c r="J13" s="109"/>
      <c r="K13" s="110"/>
      <c r="N13" s="109"/>
      <c r="O13" s="110"/>
      <c r="R13" s="109"/>
      <c r="S13" s="110"/>
    </row>
    <row r="14" spans="1:19" x14ac:dyDescent="0.25">
      <c r="A14" s="106" t="s">
        <v>943</v>
      </c>
      <c r="B14" s="106" t="s">
        <v>944</v>
      </c>
      <c r="C14" s="107" t="s">
        <v>289</v>
      </c>
      <c r="D14" s="15" t="s">
        <v>945</v>
      </c>
      <c r="E14" s="15" t="s">
        <v>291</v>
      </c>
      <c r="F14" s="109"/>
      <c r="G14" s="110"/>
      <c r="J14" s="109"/>
      <c r="K14" s="110"/>
      <c r="N14" s="109"/>
      <c r="O14" s="110"/>
      <c r="R14" s="109"/>
      <c r="S14" s="110"/>
    </row>
    <row r="15" spans="1:19" x14ac:dyDescent="0.25">
      <c r="C15" s="107"/>
      <c r="F15" s="109"/>
      <c r="G15" s="110"/>
      <c r="J15" s="109"/>
      <c r="K15" s="110"/>
      <c r="N15" s="109"/>
      <c r="O15" s="110"/>
      <c r="R15" s="109"/>
      <c r="S15" s="110"/>
    </row>
    <row r="16" spans="1:19" x14ac:dyDescent="0.25">
      <c r="A16" s="201" t="s">
        <v>946</v>
      </c>
      <c r="B16" s="399"/>
      <c r="C16" s="407"/>
      <c r="D16" s="400"/>
      <c r="E16" s="202"/>
      <c r="F16" s="410"/>
      <c r="G16" s="411"/>
      <c r="H16" s="400"/>
      <c r="I16" s="202"/>
      <c r="J16" s="410"/>
      <c r="K16" s="411"/>
      <c r="L16" s="400"/>
      <c r="M16" s="400"/>
      <c r="N16" s="410"/>
      <c r="O16" s="411"/>
      <c r="P16" s="400"/>
      <c r="Q16" s="400"/>
      <c r="R16" s="410"/>
      <c r="S16" s="411"/>
    </row>
    <row r="17" spans="1:20" x14ac:dyDescent="0.25">
      <c r="A17" s="106" t="s">
        <v>947</v>
      </c>
      <c r="B17" s="106" t="s">
        <v>948</v>
      </c>
      <c r="C17" s="107" t="s">
        <v>289</v>
      </c>
      <c r="D17" s="15" t="s">
        <v>949</v>
      </c>
      <c r="E17" s="15" t="s">
        <v>301</v>
      </c>
      <c r="F17" s="109"/>
      <c r="G17" s="110"/>
      <c r="J17" s="109"/>
      <c r="K17" s="110"/>
      <c r="N17" s="109"/>
      <c r="O17" s="110"/>
      <c r="R17" s="109"/>
      <c r="S17" s="110"/>
    </row>
    <row r="18" spans="1:20" ht="30" customHeight="1" x14ac:dyDescent="0.25">
      <c r="A18" s="106" t="s">
        <v>950</v>
      </c>
      <c r="B18" s="106" t="s">
        <v>951</v>
      </c>
      <c r="C18" s="107" t="s">
        <v>289</v>
      </c>
      <c r="D18" s="15" t="s">
        <v>952</v>
      </c>
      <c r="E18" s="15" t="s">
        <v>311</v>
      </c>
      <c r="F18" s="109"/>
      <c r="G18" s="110"/>
      <c r="J18" s="109"/>
      <c r="K18" s="110"/>
      <c r="N18" s="109"/>
      <c r="O18" s="110"/>
      <c r="R18" s="109"/>
      <c r="S18" s="110"/>
    </row>
    <row r="19" spans="1:20" ht="30" customHeight="1" x14ac:dyDescent="0.25">
      <c r="A19" s="106" t="s">
        <v>953</v>
      </c>
      <c r="B19" s="106" t="s">
        <v>954</v>
      </c>
      <c r="C19" s="107" t="s">
        <v>289</v>
      </c>
      <c r="D19" s="15" t="s">
        <v>955</v>
      </c>
      <c r="E19" s="15" t="s">
        <v>301</v>
      </c>
      <c r="F19" s="109"/>
      <c r="G19" s="110"/>
      <c r="J19" s="109"/>
      <c r="K19" s="110"/>
      <c r="N19" s="109"/>
      <c r="O19" s="110"/>
      <c r="R19" s="109"/>
      <c r="S19" s="110"/>
    </row>
    <row r="20" spans="1:20" ht="30" customHeight="1" x14ac:dyDescent="0.25">
      <c r="A20" s="106" t="s">
        <v>956</v>
      </c>
      <c r="B20" s="106" t="s">
        <v>957</v>
      </c>
      <c r="C20" s="107" t="s">
        <v>289</v>
      </c>
      <c r="D20" s="15" t="s">
        <v>958</v>
      </c>
      <c r="E20" s="15" t="s">
        <v>301</v>
      </c>
      <c r="F20" s="109"/>
      <c r="G20" s="110"/>
      <c r="J20" s="109"/>
      <c r="K20" s="110"/>
      <c r="N20" s="109"/>
      <c r="O20" s="110"/>
      <c r="R20" s="109"/>
      <c r="S20" s="110"/>
    </row>
    <row r="21" spans="1:20" ht="30" customHeight="1" x14ac:dyDescent="0.25">
      <c r="A21" s="106" t="s">
        <v>959</v>
      </c>
      <c r="B21" s="106" t="s">
        <v>960</v>
      </c>
      <c r="C21" s="107" t="s">
        <v>289</v>
      </c>
      <c r="D21" s="15" t="s">
        <v>961</v>
      </c>
      <c r="E21" s="15" t="s">
        <v>301</v>
      </c>
      <c r="F21" s="109"/>
      <c r="G21" s="110"/>
      <c r="J21" s="109"/>
      <c r="K21" s="110"/>
      <c r="N21" s="109"/>
      <c r="O21" s="110"/>
      <c r="R21" s="109"/>
      <c r="S21" s="110"/>
    </row>
    <row r="22" spans="1:20" x14ac:dyDescent="0.25">
      <c r="A22" s="106" t="s">
        <v>962</v>
      </c>
      <c r="B22" s="106" t="s">
        <v>963</v>
      </c>
      <c r="C22" s="107" t="s">
        <v>289</v>
      </c>
      <c r="D22" s="15" t="s">
        <v>964</v>
      </c>
      <c r="E22" s="15" t="s">
        <v>361</v>
      </c>
      <c r="F22" s="109"/>
      <c r="G22" s="110"/>
      <c r="J22" s="109"/>
      <c r="K22" s="110"/>
      <c r="N22" s="109"/>
      <c r="O22" s="110"/>
      <c r="R22" s="109"/>
      <c r="S22" s="110"/>
    </row>
    <row r="23" spans="1:20" x14ac:dyDescent="0.25">
      <c r="A23" s="106" t="s">
        <v>965</v>
      </c>
      <c r="B23" s="106" t="s">
        <v>966</v>
      </c>
      <c r="C23" s="107" t="s">
        <v>289</v>
      </c>
      <c r="D23" s="15" t="s">
        <v>967</v>
      </c>
      <c r="E23" s="15" t="s">
        <v>968</v>
      </c>
      <c r="F23" s="109"/>
      <c r="G23" s="110"/>
      <c r="J23" s="109"/>
      <c r="K23" s="110"/>
      <c r="N23" s="109"/>
      <c r="O23" s="110"/>
      <c r="R23" s="109"/>
      <c r="S23" s="110"/>
    </row>
    <row r="24" spans="1:20" x14ac:dyDescent="0.25">
      <c r="C24" s="107"/>
      <c r="F24" s="109"/>
      <c r="G24" s="110"/>
      <c r="J24" s="109"/>
      <c r="K24" s="110"/>
      <c r="N24" s="109"/>
      <c r="O24" s="110"/>
      <c r="R24" s="109"/>
      <c r="S24" s="110"/>
    </row>
    <row r="25" spans="1:20" x14ac:dyDescent="0.25">
      <c r="A25" s="201" t="s">
        <v>969</v>
      </c>
      <c r="B25" s="399"/>
      <c r="C25" s="407"/>
      <c r="D25" s="400"/>
      <c r="E25" s="202"/>
      <c r="F25" s="410"/>
      <c r="G25" s="411"/>
      <c r="H25" s="400"/>
      <c r="I25" s="202"/>
      <c r="J25" s="410"/>
      <c r="K25" s="411"/>
      <c r="L25" s="400"/>
      <c r="M25" s="400"/>
      <c r="N25" s="410"/>
      <c r="O25" s="411"/>
      <c r="P25" s="400"/>
      <c r="Q25" s="400"/>
      <c r="R25" s="410"/>
      <c r="S25" s="411"/>
    </row>
    <row r="26" spans="1:20" x14ac:dyDescent="0.25">
      <c r="A26" s="106" t="s">
        <v>970</v>
      </c>
      <c r="B26" s="106" t="s">
        <v>971</v>
      </c>
      <c r="C26" s="107" t="s">
        <v>289</v>
      </c>
      <c r="D26" s="15" t="s">
        <v>972</v>
      </c>
      <c r="E26" s="15" t="s">
        <v>309</v>
      </c>
      <c r="F26" s="109"/>
      <c r="G26" s="110"/>
      <c r="J26" s="109"/>
      <c r="K26" s="110"/>
      <c r="N26" s="109"/>
      <c r="O26" s="110"/>
      <c r="R26" s="109"/>
      <c r="S26" s="110"/>
    </row>
    <row r="27" spans="1:20" ht="30" customHeight="1" x14ac:dyDescent="0.25">
      <c r="A27" s="106" t="s">
        <v>973</v>
      </c>
      <c r="B27" s="106" t="s">
        <v>974</v>
      </c>
      <c r="C27" s="107" t="s">
        <v>289</v>
      </c>
      <c r="F27" s="109"/>
      <c r="G27" s="110"/>
      <c r="J27" s="109"/>
      <c r="K27" s="110"/>
      <c r="L27" s="15" t="s">
        <v>975</v>
      </c>
      <c r="M27" s="173" t="s">
        <v>488</v>
      </c>
      <c r="N27" s="109"/>
      <c r="O27" s="110"/>
      <c r="P27" s="109"/>
      <c r="Q27" s="110"/>
      <c r="R27" s="109"/>
      <c r="S27" s="110"/>
      <c r="T27" s="437"/>
    </row>
    <row r="28" spans="1:20" ht="30" customHeight="1" x14ac:dyDescent="0.25">
      <c r="A28" s="106" t="s">
        <v>976</v>
      </c>
      <c r="B28" s="106" t="s">
        <v>977</v>
      </c>
      <c r="C28" s="107" t="s">
        <v>289</v>
      </c>
      <c r="F28" s="109"/>
      <c r="G28" s="110"/>
      <c r="J28" s="109"/>
      <c r="K28" s="110"/>
      <c r="L28" s="15" t="s">
        <v>978</v>
      </c>
      <c r="M28" s="173" t="s">
        <v>572</v>
      </c>
      <c r="N28" s="109"/>
      <c r="O28" s="110"/>
      <c r="P28" s="109"/>
      <c r="Q28" s="110"/>
      <c r="R28" s="109"/>
      <c r="S28" s="110"/>
      <c r="T28" s="437"/>
    </row>
    <row r="29" spans="1:20" x14ac:dyDescent="0.25">
      <c r="A29" s="106" t="s">
        <v>979</v>
      </c>
      <c r="B29" s="106" t="s">
        <v>980</v>
      </c>
      <c r="C29" s="107" t="s">
        <v>289</v>
      </c>
      <c r="F29" s="109"/>
      <c r="G29" s="110"/>
      <c r="J29" s="109"/>
      <c r="K29" s="110"/>
      <c r="L29" s="15" t="s">
        <v>981</v>
      </c>
      <c r="M29" s="110" t="s">
        <v>907</v>
      </c>
      <c r="N29" s="109"/>
      <c r="O29" s="110"/>
      <c r="P29" s="109"/>
      <c r="Q29" s="110"/>
      <c r="R29" s="109"/>
      <c r="S29" s="110"/>
      <c r="T29" s="437"/>
    </row>
    <row r="30" spans="1:20" x14ac:dyDescent="0.25">
      <c r="A30" s="106" t="s">
        <v>982</v>
      </c>
      <c r="B30" s="106" t="s">
        <v>983</v>
      </c>
      <c r="C30" s="107" t="s">
        <v>289</v>
      </c>
      <c r="F30" s="109"/>
      <c r="G30" s="110"/>
      <c r="J30" s="109"/>
      <c r="K30" s="110"/>
      <c r="L30" s="15" t="s">
        <v>984</v>
      </c>
      <c r="M30" s="110" t="s">
        <v>192</v>
      </c>
      <c r="N30" s="109"/>
      <c r="O30" s="110"/>
      <c r="P30" s="109"/>
      <c r="Q30" s="110"/>
      <c r="R30" s="109"/>
      <c r="S30" s="110"/>
      <c r="T30" s="437"/>
    </row>
    <row r="31" spans="1:20" x14ac:dyDescent="0.25">
      <c r="A31" s="106" t="s">
        <v>985</v>
      </c>
      <c r="B31" s="106" t="s">
        <v>986</v>
      </c>
      <c r="C31" s="107" t="s">
        <v>289</v>
      </c>
      <c r="F31" s="109"/>
      <c r="G31" s="110"/>
      <c r="J31" s="109"/>
      <c r="K31" s="110"/>
      <c r="L31" s="15" t="s">
        <v>987</v>
      </c>
      <c r="M31" s="110" t="s">
        <v>192</v>
      </c>
      <c r="N31" s="109"/>
      <c r="O31" s="110"/>
      <c r="P31" s="109"/>
      <c r="Q31" s="110"/>
      <c r="R31" s="109"/>
      <c r="S31" s="110"/>
      <c r="T31" s="437"/>
    </row>
    <row r="32" spans="1:20" ht="30" customHeight="1" x14ac:dyDescent="0.25">
      <c r="A32" s="106" t="s">
        <v>988</v>
      </c>
      <c r="B32" s="106" t="s">
        <v>989</v>
      </c>
      <c r="C32" s="107" t="s">
        <v>289</v>
      </c>
      <c r="F32" s="109"/>
      <c r="G32" s="110"/>
      <c r="J32" s="109"/>
      <c r="K32" s="110"/>
      <c r="L32" s="15" t="s">
        <v>990</v>
      </c>
      <c r="M32" s="110" t="s">
        <v>482</v>
      </c>
      <c r="N32" s="109"/>
      <c r="O32" s="110"/>
      <c r="P32" s="109"/>
      <c r="Q32" s="110"/>
      <c r="R32" s="109"/>
      <c r="S32" s="110"/>
      <c r="T32" s="437"/>
    </row>
    <row r="33" spans="1:20" x14ac:dyDescent="0.25">
      <c r="A33" s="106" t="s">
        <v>991</v>
      </c>
      <c r="B33" s="106" t="s">
        <v>992</v>
      </c>
      <c r="C33" s="107" t="s">
        <v>289</v>
      </c>
      <c r="F33" s="109"/>
      <c r="G33" s="110"/>
      <c r="J33" s="109"/>
      <c r="K33" s="110"/>
      <c r="L33" s="15" t="s">
        <v>993</v>
      </c>
      <c r="M33" s="110" t="s">
        <v>482</v>
      </c>
      <c r="N33" s="109"/>
      <c r="O33" s="110"/>
      <c r="P33" s="109"/>
      <c r="Q33" s="110"/>
      <c r="R33" s="109"/>
      <c r="S33" s="110"/>
      <c r="T33" s="437"/>
    </row>
    <row r="34" spans="1:20" x14ac:dyDescent="0.25">
      <c r="A34" s="106" t="s">
        <v>994</v>
      </c>
      <c r="B34" s="106" t="s">
        <v>995</v>
      </c>
      <c r="C34" s="107" t="s">
        <v>289</v>
      </c>
      <c r="F34" s="109"/>
      <c r="G34" s="110"/>
      <c r="J34" s="109"/>
      <c r="K34" s="110"/>
      <c r="L34" s="15" t="s">
        <v>996</v>
      </c>
      <c r="M34" s="110" t="s">
        <v>305</v>
      </c>
      <c r="N34" s="109"/>
      <c r="O34" s="110"/>
      <c r="P34" s="109"/>
      <c r="Q34" s="110"/>
      <c r="R34" s="109"/>
      <c r="S34" s="110"/>
      <c r="T34" s="437"/>
    </row>
    <row r="35" spans="1:20" x14ac:dyDescent="0.25">
      <c r="C35" s="107"/>
      <c r="F35" s="109"/>
      <c r="G35" s="110"/>
      <c r="J35" s="109"/>
      <c r="K35" s="110"/>
      <c r="M35" s="110"/>
      <c r="N35" s="109"/>
      <c r="O35" s="110"/>
      <c r="P35" s="109"/>
      <c r="Q35" s="110"/>
      <c r="R35" s="109"/>
      <c r="S35" s="110"/>
      <c r="T35" s="437"/>
    </row>
  </sheetData>
  <mergeCells count="11">
    <mergeCell ref="A1:A2"/>
    <mergeCell ref="C1:C2"/>
    <mergeCell ref="B1:B2"/>
    <mergeCell ref="F1:G1"/>
    <mergeCell ref="N1:O1"/>
    <mergeCell ref="R1:S1"/>
    <mergeCell ref="D1:E1"/>
    <mergeCell ref="H1:I1"/>
    <mergeCell ref="L1:M1"/>
    <mergeCell ref="J1:K1"/>
    <mergeCell ref="P1:Q1"/>
  </mergeCells>
  <pageMargins left="0.7" right="0.7" top="0.75" bottom="0.75" header="0.3" footer="0.3"/>
  <pageSetup paperSize="9" orientation="portrait" verticalDpi="12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oglio6">
    <tabColor theme="5" tint="0.39997558519241921"/>
  </sheetPr>
  <dimension ref="A1:X79"/>
  <sheetViews>
    <sheetView zoomScale="85" zoomScaleNormal="85" workbookViewId="0">
      <selection activeCell="E1" sqref="E1:E2"/>
    </sheetView>
  </sheetViews>
  <sheetFormatPr defaultColWidth="8.7109375" defaultRowHeight="15" x14ac:dyDescent="0.25"/>
  <cols>
    <col min="1" max="1" width="58.140625" style="13" bestFit="1" customWidth="1"/>
    <col min="2" max="2" width="20.7109375" style="14" bestFit="1" customWidth="1"/>
    <col min="3" max="3" width="8.140625" style="14" bestFit="1" customWidth="1"/>
    <col min="4" max="4" width="4.85546875" style="14" bestFit="1" customWidth="1"/>
    <col min="5" max="5" width="12.85546875" style="14" customWidth="1"/>
    <col min="6" max="6" width="27.42578125" style="14" bestFit="1" customWidth="1"/>
    <col min="7" max="7" width="32" style="14" bestFit="1" customWidth="1"/>
    <col min="8" max="8" width="4.140625" style="14" bestFit="1" customWidth="1"/>
    <col min="9" max="9" width="7.140625" style="14" bestFit="1" customWidth="1"/>
    <col min="10" max="10" width="32" style="14" bestFit="1" customWidth="1"/>
    <col min="11" max="11" width="4.140625" style="14" bestFit="1" customWidth="1"/>
    <col min="12" max="12" width="7.140625" style="14" bestFit="1" customWidth="1"/>
    <col min="13" max="18" width="16.140625" style="13" customWidth="1"/>
    <col min="19" max="24" width="16.140625" style="14" customWidth="1"/>
    <col min="25" max="27" width="8.7109375" style="13" customWidth="1"/>
    <col min="28" max="16384" width="8.7109375" style="13"/>
  </cols>
  <sheetData>
    <row r="1" spans="1:24" ht="29.45" customHeight="1" x14ac:dyDescent="0.25">
      <c r="A1" s="485" t="s">
        <v>273</v>
      </c>
      <c r="B1" s="500" t="s">
        <v>3</v>
      </c>
      <c r="C1" s="500" t="s">
        <v>243</v>
      </c>
      <c r="D1" s="507" t="s">
        <v>997</v>
      </c>
      <c r="E1" s="507" t="s">
        <v>998</v>
      </c>
      <c r="F1" s="507" t="s">
        <v>999</v>
      </c>
      <c r="G1" s="502" t="s">
        <v>5</v>
      </c>
      <c r="H1" s="503"/>
      <c r="I1" s="504"/>
      <c r="J1" s="502" t="s">
        <v>6</v>
      </c>
      <c r="K1" s="503"/>
      <c r="L1" s="504"/>
      <c r="M1" s="505" t="s">
        <v>7</v>
      </c>
      <c r="N1" s="503"/>
      <c r="O1" s="504"/>
      <c r="P1" s="505" t="s">
        <v>1000</v>
      </c>
      <c r="Q1" s="503"/>
      <c r="R1" s="504"/>
      <c r="S1" s="506" t="s">
        <v>9</v>
      </c>
      <c r="T1" s="503"/>
      <c r="U1" s="504"/>
      <c r="V1" s="506" t="s">
        <v>10</v>
      </c>
      <c r="W1" s="503"/>
      <c r="X1" s="504"/>
    </row>
    <row r="2" spans="1:24" ht="29.45" customHeight="1" thickBot="1" x14ac:dyDescent="0.3">
      <c r="A2" s="487"/>
      <c r="B2" s="501"/>
      <c r="C2" s="501"/>
      <c r="D2" s="487"/>
      <c r="E2" s="487"/>
      <c r="F2" s="487"/>
      <c r="G2" s="393" t="s">
        <v>1001</v>
      </c>
      <c r="H2" s="394" t="s">
        <v>1002</v>
      </c>
      <c r="I2" s="395" t="s">
        <v>1003</v>
      </c>
      <c r="J2" s="393" t="s">
        <v>1001</v>
      </c>
      <c r="K2" s="394" t="s">
        <v>1002</v>
      </c>
      <c r="L2" s="395" t="s">
        <v>1003</v>
      </c>
      <c r="M2" s="150" t="s">
        <v>1001</v>
      </c>
      <c r="N2" s="150" t="s">
        <v>1002</v>
      </c>
      <c r="O2" s="151" t="s">
        <v>1003</v>
      </c>
      <c r="P2" s="150" t="s">
        <v>1001</v>
      </c>
      <c r="Q2" s="150" t="s">
        <v>1002</v>
      </c>
      <c r="R2" s="151" t="s">
        <v>1003</v>
      </c>
      <c r="S2" s="150" t="s">
        <v>1002</v>
      </c>
      <c r="T2" s="150"/>
      <c r="U2" s="150"/>
      <c r="V2" s="150" t="s">
        <v>1002</v>
      </c>
      <c r="W2" s="150"/>
      <c r="X2" s="150"/>
    </row>
    <row r="3" spans="1:24" x14ac:dyDescent="0.25">
      <c r="A3" s="148" t="s">
        <v>1004</v>
      </c>
      <c r="B3" s="8" t="str">
        <f t="shared" ref="B3:B34" si="0">CONCATENATE(D3,"_",E3)</f>
        <v>PBC_01A</v>
      </c>
      <c r="C3" s="8" t="s">
        <v>289</v>
      </c>
      <c r="D3" s="8" t="s">
        <v>1005</v>
      </c>
      <c r="E3" s="8" t="s">
        <v>1006</v>
      </c>
      <c r="F3" s="8" t="str">
        <f t="shared" ref="F3:F34" si="1">CONCATENATE(G3,"-",H3)</f>
        <v>ETR1000V300-PBC-01A-14</v>
      </c>
      <c r="G3" s="413" t="str">
        <f t="shared" ref="G3:G34" si="2">CONCATENATE("ETR1000V300-",$D3,"-",$E3)</f>
        <v>ETR1000V300-PBC-01A</v>
      </c>
      <c r="H3" s="414">
        <v>14</v>
      </c>
      <c r="I3" s="415">
        <v>46113</v>
      </c>
      <c r="J3" s="413" t="str">
        <f t="shared" ref="J3:J34" si="3">CONCATENATE("ETR1000V300-",$D3,"-",$E3)</f>
        <v>ETR1000V300-PBC-01A</v>
      </c>
      <c r="K3" s="414">
        <v>14</v>
      </c>
      <c r="L3" s="415">
        <v>46113</v>
      </c>
      <c r="M3" s="148"/>
      <c r="N3" s="148"/>
      <c r="O3" s="148"/>
      <c r="P3" s="148"/>
      <c r="Q3" s="148"/>
      <c r="R3" s="148"/>
      <c r="S3" s="149" t="s">
        <v>1007</v>
      </c>
      <c r="T3" s="149"/>
      <c r="U3" s="149"/>
      <c r="V3" s="149" t="s">
        <v>1007</v>
      </c>
      <c r="W3" s="149"/>
      <c r="X3" s="149"/>
    </row>
    <row r="4" spans="1:24" x14ac:dyDescent="0.25">
      <c r="A4" s="142" t="s">
        <v>1008</v>
      </c>
      <c r="B4" s="7" t="str">
        <f t="shared" si="0"/>
        <v>PBC_01B</v>
      </c>
      <c r="C4" s="8" t="s">
        <v>289</v>
      </c>
      <c r="D4" s="7" t="s">
        <v>1005</v>
      </c>
      <c r="E4" s="7" t="s">
        <v>1009</v>
      </c>
      <c r="F4" s="7" t="str">
        <f t="shared" si="1"/>
        <v>ETR1000V300-PBC-01B-14</v>
      </c>
      <c r="G4" s="416" t="str">
        <f t="shared" si="2"/>
        <v>ETR1000V300-PBC-01B</v>
      </c>
      <c r="H4" s="417">
        <v>14</v>
      </c>
      <c r="I4" s="418">
        <v>45748</v>
      </c>
      <c r="J4" s="416" t="str">
        <f t="shared" si="3"/>
        <v>ETR1000V300-PBC-01B</v>
      </c>
      <c r="K4" s="417">
        <v>14</v>
      </c>
      <c r="L4" s="418">
        <v>45748</v>
      </c>
      <c r="M4" s="391" t="s">
        <v>43</v>
      </c>
      <c r="N4" s="391" t="s">
        <v>43</v>
      </c>
      <c r="O4" s="391" t="s">
        <v>43</v>
      </c>
      <c r="P4" s="391" t="s">
        <v>43</v>
      </c>
      <c r="Q4" s="391" t="s">
        <v>43</v>
      </c>
      <c r="R4" s="391" t="s">
        <v>43</v>
      </c>
      <c r="S4" s="147" t="s">
        <v>568</v>
      </c>
      <c r="T4" s="147"/>
      <c r="U4" s="147"/>
      <c r="V4" s="147" t="s">
        <v>568</v>
      </c>
      <c r="W4" s="147"/>
      <c r="X4" s="147"/>
    </row>
    <row r="5" spans="1:24" x14ac:dyDescent="0.25">
      <c r="A5" s="140" t="s">
        <v>1010</v>
      </c>
      <c r="B5" s="7" t="str">
        <f t="shared" si="0"/>
        <v>PBS_01A</v>
      </c>
      <c r="C5" s="8" t="s">
        <v>289</v>
      </c>
      <c r="D5" s="7" t="s">
        <v>1011</v>
      </c>
      <c r="E5" s="7" t="s">
        <v>1006</v>
      </c>
      <c r="F5" s="7" t="str">
        <f t="shared" si="1"/>
        <v>ETR1000V300-PBS-01A-04</v>
      </c>
      <c r="G5" s="416" t="str">
        <f t="shared" si="2"/>
        <v>ETR1000V300-PBS-01A</v>
      </c>
      <c r="H5" s="420" t="s">
        <v>492</v>
      </c>
      <c r="I5" s="418">
        <v>45748</v>
      </c>
      <c r="J5" s="416" t="str">
        <f t="shared" si="3"/>
        <v>ETR1000V300-PBS-01A</v>
      </c>
      <c r="K5" s="420" t="s">
        <v>492</v>
      </c>
      <c r="L5" s="418">
        <v>45748</v>
      </c>
      <c r="M5" s="391" t="s">
        <v>1012</v>
      </c>
      <c r="N5" s="140"/>
      <c r="O5" s="140"/>
      <c r="P5" s="140"/>
      <c r="Q5" s="140"/>
      <c r="R5" s="140"/>
      <c r="S5" s="147" t="s">
        <v>607</v>
      </c>
      <c r="T5" s="147"/>
      <c r="U5" s="147"/>
      <c r="V5" s="147" t="s">
        <v>607</v>
      </c>
      <c r="W5" s="147"/>
      <c r="X5" s="147"/>
    </row>
    <row r="6" spans="1:24" x14ac:dyDescent="0.25">
      <c r="A6" s="140" t="s">
        <v>1013</v>
      </c>
      <c r="B6" s="7" t="str">
        <f t="shared" si="0"/>
        <v>MR1_01A</v>
      </c>
      <c r="C6" s="8" t="s">
        <v>289</v>
      </c>
      <c r="D6" s="7" t="s">
        <v>1014</v>
      </c>
      <c r="E6" s="143" t="s">
        <v>1006</v>
      </c>
      <c r="F6" s="7" t="str">
        <f t="shared" si="1"/>
        <v>ETR1000V300-MR1-01A-08</v>
      </c>
      <c r="G6" s="416" t="str">
        <f t="shared" si="2"/>
        <v>ETR1000V300-MR1-01A</v>
      </c>
      <c r="H6" s="427" t="s">
        <v>1015</v>
      </c>
      <c r="I6" s="428">
        <v>46113</v>
      </c>
      <c r="J6" s="416" t="str">
        <f t="shared" si="3"/>
        <v>ETR1000V300-MR1-01A</v>
      </c>
      <c r="K6" s="427" t="s">
        <v>1015</v>
      </c>
      <c r="L6" s="428">
        <v>46113</v>
      </c>
      <c r="M6" s="391" t="s">
        <v>1016</v>
      </c>
      <c r="N6" s="140"/>
      <c r="O6" s="140"/>
      <c r="P6" s="140"/>
      <c r="Q6" s="140"/>
      <c r="R6" s="140"/>
      <c r="S6" s="147" t="s">
        <v>1017</v>
      </c>
      <c r="T6" s="147"/>
      <c r="U6" s="147"/>
      <c r="V6" s="147" t="s">
        <v>1017</v>
      </c>
      <c r="W6" s="147"/>
      <c r="X6" s="147"/>
    </row>
    <row r="7" spans="1:24" x14ac:dyDescent="0.25">
      <c r="A7" s="140" t="s">
        <v>1018</v>
      </c>
      <c r="B7" s="7" t="str">
        <f t="shared" si="0"/>
        <v>MR1_02A</v>
      </c>
      <c r="C7" s="8" t="s">
        <v>289</v>
      </c>
      <c r="D7" s="7" t="s">
        <v>1014</v>
      </c>
      <c r="E7" s="7" t="s">
        <v>1019</v>
      </c>
      <c r="F7" s="7" t="str">
        <f t="shared" si="1"/>
        <v>ETR1000V300-MR1-02A-14</v>
      </c>
      <c r="G7" s="416" t="str">
        <f t="shared" si="2"/>
        <v>ETR1000V300-MR1-02A</v>
      </c>
      <c r="H7" s="429">
        <v>14</v>
      </c>
      <c r="I7" s="428">
        <v>46113</v>
      </c>
      <c r="J7" s="416" t="str">
        <f t="shared" si="3"/>
        <v>ETR1000V300-MR1-02A</v>
      </c>
      <c r="K7" s="429">
        <v>14</v>
      </c>
      <c r="L7" s="428">
        <v>46113</v>
      </c>
      <c r="M7" s="391" t="s">
        <v>1020</v>
      </c>
      <c r="N7" s="140"/>
      <c r="O7" s="140"/>
      <c r="P7" s="140"/>
      <c r="Q7" s="140"/>
      <c r="R7" s="140"/>
      <c r="S7" s="147" t="s">
        <v>1015</v>
      </c>
      <c r="T7" s="147"/>
      <c r="U7" s="147"/>
      <c r="V7" s="147" t="s">
        <v>1015</v>
      </c>
      <c r="W7" s="147"/>
      <c r="X7" s="147"/>
    </row>
    <row r="8" spans="1:24" x14ac:dyDescent="0.25">
      <c r="A8" s="140" t="s">
        <v>1021</v>
      </c>
      <c r="B8" s="7" t="str">
        <f t="shared" si="0"/>
        <v>MR1_03A</v>
      </c>
      <c r="C8" s="8" t="s">
        <v>289</v>
      </c>
      <c r="D8" s="7" t="s">
        <v>1014</v>
      </c>
      <c r="E8" s="7" t="s">
        <v>1022</v>
      </c>
      <c r="F8" s="7" t="str">
        <f t="shared" si="1"/>
        <v>ETR1000V300-MR1-03A-09</v>
      </c>
      <c r="G8" s="416" t="str">
        <f t="shared" si="2"/>
        <v>ETR1000V300-MR1-03A</v>
      </c>
      <c r="H8" s="427" t="s">
        <v>568</v>
      </c>
      <c r="I8" s="428">
        <v>46113</v>
      </c>
      <c r="J8" s="416" t="str">
        <f t="shared" si="3"/>
        <v>ETR1000V300-MR1-03A</v>
      </c>
      <c r="K8" s="427" t="s">
        <v>568</v>
      </c>
      <c r="L8" s="428">
        <v>46113</v>
      </c>
      <c r="M8" s="391" t="s">
        <v>1023</v>
      </c>
      <c r="N8" s="140"/>
      <c r="O8" s="140"/>
      <c r="P8" s="140"/>
      <c r="Q8" s="140"/>
      <c r="R8" s="140"/>
      <c r="S8" s="147" t="s">
        <v>492</v>
      </c>
      <c r="T8" s="147"/>
      <c r="U8" s="147"/>
      <c r="V8" s="147" t="s">
        <v>492</v>
      </c>
      <c r="W8" s="147"/>
      <c r="X8" s="147"/>
    </row>
    <row r="9" spans="1:24" x14ac:dyDescent="0.25">
      <c r="A9" s="140" t="s">
        <v>1024</v>
      </c>
      <c r="B9" s="7" t="str">
        <f t="shared" si="0"/>
        <v>MR1_04A</v>
      </c>
      <c r="C9" s="8" t="s">
        <v>289</v>
      </c>
      <c r="D9" s="7" t="s">
        <v>1014</v>
      </c>
      <c r="E9" s="143" t="s">
        <v>1025</v>
      </c>
      <c r="F9" s="7" t="str">
        <f t="shared" si="1"/>
        <v>ETR1000V300-MR1-04A-10</v>
      </c>
      <c r="G9" s="416" t="str">
        <f t="shared" si="2"/>
        <v>ETR1000V300-MR1-04A</v>
      </c>
      <c r="H9" s="427">
        <v>10</v>
      </c>
      <c r="I9" s="428">
        <v>46113</v>
      </c>
      <c r="J9" s="416" t="str">
        <f t="shared" si="3"/>
        <v>ETR1000V300-MR1-04A</v>
      </c>
      <c r="K9" s="427">
        <v>10</v>
      </c>
      <c r="L9" s="428">
        <v>46113</v>
      </c>
      <c r="M9" s="140"/>
      <c r="N9" s="140"/>
      <c r="O9" s="140"/>
      <c r="P9" s="140"/>
      <c r="Q9" s="140"/>
      <c r="R9" s="140"/>
      <c r="S9" s="147" t="s">
        <v>1017</v>
      </c>
      <c r="T9" s="147"/>
      <c r="U9" s="147"/>
      <c r="V9" s="147" t="s">
        <v>1017</v>
      </c>
      <c r="W9" s="147"/>
      <c r="X9" s="147"/>
    </row>
    <row r="10" spans="1:24" x14ac:dyDescent="0.25">
      <c r="A10" s="140" t="s">
        <v>1026</v>
      </c>
      <c r="B10" s="7" t="str">
        <f t="shared" si="0"/>
        <v>MR1_05A</v>
      </c>
      <c r="C10" s="8" t="s">
        <v>289</v>
      </c>
      <c r="D10" s="7" t="s">
        <v>1014</v>
      </c>
      <c r="E10" s="7" t="s">
        <v>1027</v>
      </c>
      <c r="F10" s="7" t="str">
        <f t="shared" si="1"/>
        <v>ETR1000V300-MR1-05A-04</v>
      </c>
      <c r="G10" s="416" t="str">
        <f t="shared" si="2"/>
        <v>ETR1000V300-MR1-05A</v>
      </c>
      <c r="H10" s="427" t="s">
        <v>492</v>
      </c>
      <c r="I10" s="428">
        <v>46113</v>
      </c>
      <c r="J10" s="416" t="str">
        <f t="shared" si="3"/>
        <v>ETR1000V300-MR1-05A</v>
      </c>
      <c r="K10" s="427" t="s">
        <v>492</v>
      </c>
      <c r="L10" s="428">
        <v>46113</v>
      </c>
      <c r="M10" s="140"/>
      <c r="N10" s="140"/>
      <c r="O10" s="140"/>
      <c r="P10" s="140"/>
      <c r="Q10" s="140"/>
      <c r="R10" s="140"/>
      <c r="S10" s="147" t="s">
        <v>607</v>
      </c>
      <c r="T10" s="147"/>
      <c r="U10" s="147"/>
      <c r="V10" s="147" t="s">
        <v>607</v>
      </c>
      <c r="W10" s="147"/>
      <c r="X10" s="147"/>
    </row>
    <row r="11" spans="1:24" x14ac:dyDescent="0.25">
      <c r="A11" s="140" t="s">
        <v>1028</v>
      </c>
      <c r="B11" s="7" t="str">
        <f t="shared" si="0"/>
        <v>MR1_05B</v>
      </c>
      <c r="C11" s="8" t="s">
        <v>289</v>
      </c>
      <c r="D11" s="7" t="s">
        <v>1014</v>
      </c>
      <c r="E11" s="7" t="s">
        <v>1029</v>
      </c>
      <c r="F11" s="7" t="str">
        <f t="shared" si="1"/>
        <v>ETR1000V300-MR1-05B-02</v>
      </c>
      <c r="G11" s="416" t="str">
        <f t="shared" si="2"/>
        <v>ETR1000V300-MR1-05B</v>
      </c>
      <c r="H11" s="420" t="s">
        <v>600</v>
      </c>
      <c r="I11" s="419" t="s">
        <v>1030</v>
      </c>
      <c r="J11" s="416" t="str">
        <f t="shared" si="3"/>
        <v>ETR1000V300-MR1-05B</v>
      </c>
      <c r="K11" s="420" t="s">
        <v>600</v>
      </c>
      <c r="L11" s="419" t="s">
        <v>1030</v>
      </c>
      <c r="M11" s="140"/>
      <c r="N11" s="140"/>
      <c r="O11" s="140"/>
      <c r="P11" s="140"/>
      <c r="Q11" s="140"/>
      <c r="R11" s="140"/>
      <c r="S11" s="147" t="s">
        <v>492</v>
      </c>
      <c r="T11" s="147"/>
      <c r="U11" s="147"/>
      <c r="V11" s="147" t="s">
        <v>492</v>
      </c>
      <c r="W11" s="147"/>
      <c r="X11" s="147"/>
    </row>
    <row r="12" spans="1:24" x14ac:dyDescent="0.25">
      <c r="A12" s="140" t="s">
        <v>1031</v>
      </c>
      <c r="B12" s="7" t="str">
        <f t="shared" si="0"/>
        <v>MR1_06A</v>
      </c>
      <c r="C12" s="8" t="s">
        <v>289</v>
      </c>
      <c r="D12" s="7" t="s">
        <v>1014</v>
      </c>
      <c r="E12" s="7" t="s">
        <v>1032</v>
      </c>
      <c r="F12" s="7" t="str">
        <f t="shared" si="1"/>
        <v>ETR1000V300-MR1-06A-05</v>
      </c>
      <c r="G12" s="416" t="str">
        <f t="shared" si="2"/>
        <v>ETR1000V300-MR1-06A</v>
      </c>
      <c r="H12" s="427" t="s">
        <v>1017</v>
      </c>
      <c r="I12" s="428">
        <v>46113</v>
      </c>
      <c r="J12" s="416" t="str">
        <f t="shared" si="3"/>
        <v>ETR1000V300-MR1-06A</v>
      </c>
      <c r="K12" s="427" t="s">
        <v>1017</v>
      </c>
      <c r="L12" s="428">
        <v>46113</v>
      </c>
      <c r="M12" s="140"/>
      <c r="N12" s="140"/>
      <c r="O12" s="140"/>
      <c r="P12" s="140"/>
      <c r="Q12" s="140"/>
      <c r="R12" s="140"/>
      <c r="S12" s="147" t="s">
        <v>492</v>
      </c>
      <c r="T12" s="147"/>
      <c r="U12" s="147"/>
      <c r="V12" s="147" t="s">
        <v>492</v>
      </c>
      <c r="W12" s="147"/>
      <c r="X12" s="147"/>
    </row>
    <row r="13" spans="1:24" x14ac:dyDescent="0.25">
      <c r="A13" s="140" t="s">
        <v>1033</v>
      </c>
      <c r="B13" s="7" t="str">
        <f t="shared" si="0"/>
        <v>MR1_07A</v>
      </c>
      <c r="C13" s="8" t="s">
        <v>289</v>
      </c>
      <c r="D13" s="7" t="s">
        <v>1014</v>
      </c>
      <c r="E13" s="7" t="s">
        <v>1034</v>
      </c>
      <c r="F13" s="7" t="str">
        <f t="shared" si="1"/>
        <v>ETR1000V300-MR1-07A-07</v>
      </c>
      <c r="G13" s="416" t="str">
        <f t="shared" si="2"/>
        <v>ETR1000V300-MR1-07A</v>
      </c>
      <c r="H13" s="427" t="s">
        <v>1035</v>
      </c>
      <c r="I13" s="428">
        <v>46113</v>
      </c>
      <c r="J13" s="416" t="str">
        <f t="shared" si="3"/>
        <v>ETR1000V300-MR1-07A</v>
      </c>
      <c r="K13" s="427" t="s">
        <v>1035</v>
      </c>
      <c r="L13" s="428">
        <v>46113</v>
      </c>
      <c r="M13" s="140"/>
      <c r="N13" s="140"/>
      <c r="O13" s="140"/>
      <c r="P13" s="140"/>
      <c r="Q13" s="140"/>
      <c r="R13" s="140"/>
      <c r="S13" s="147" t="s">
        <v>492</v>
      </c>
      <c r="T13" s="147"/>
      <c r="U13" s="147"/>
      <c r="V13" s="147" t="s">
        <v>492</v>
      </c>
      <c r="W13" s="147"/>
      <c r="X13" s="147"/>
    </row>
    <row r="14" spans="1:24" x14ac:dyDescent="0.25">
      <c r="A14" s="140" t="s">
        <v>1036</v>
      </c>
      <c r="B14" s="7" t="str">
        <f t="shared" si="0"/>
        <v>MR1_08A</v>
      </c>
      <c r="C14" s="8" t="s">
        <v>289</v>
      </c>
      <c r="D14" s="7" t="s">
        <v>1014</v>
      </c>
      <c r="E14" s="143" t="s">
        <v>1037</v>
      </c>
      <c r="F14" s="7" t="str">
        <f t="shared" si="1"/>
        <v>ETR1000V300-MR1-08A-05</v>
      </c>
      <c r="G14" s="416" t="str">
        <f t="shared" si="2"/>
        <v>ETR1000V300-MR1-08A</v>
      </c>
      <c r="H14" s="427" t="s">
        <v>1017</v>
      </c>
      <c r="I14" s="428">
        <v>46113</v>
      </c>
      <c r="J14" s="416" t="str">
        <f t="shared" si="3"/>
        <v>ETR1000V300-MR1-08A</v>
      </c>
      <c r="K14" s="427" t="s">
        <v>1017</v>
      </c>
      <c r="L14" s="428">
        <v>46113</v>
      </c>
      <c r="M14" s="140"/>
      <c r="N14" s="140"/>
      <c r="O14" s="140"/>
      <c r="P14" s="140"/>
      <c r="Q14" s="140"/>
      <c r="R14" s="140"/>
      <c r="S14" s="147" t="s">
        <v>492</v>
      </c>
      <c r="T14" s="147"/>
      <c r="U14" s="147"/>
      <c r="V14" s="147" t="s">
        <v>492</v>
      </c>
      <c r="W14" s="147"/>
      <c r="X14" s="147"/>
    </row>
    <row r="15" spans="1:24" x14ac:dyDescent="0.25">
      <c r="A15" s="140" t="s">
        <v>1038</v>
      </c>
      <c r="B15" s="7" t="str">
        <f t="shared" si="0"/>
        <v>MR1_09A</v>
      </c>
      <c r="C15" s="8" t="s">
        <v>289</v>
      </c>
      <c r="D15" s="7" t="s">
        <v>1014</v>
      </c>
      <c r="E15" s="7" t="s">
        <v>1039</v>
      </c>
      <c r="F15" s="7" t="str">
        <f t="shared" si="1"/>
        <v>ETR1000V300-MR1-09A-05</v>
      </c>
      <c r="G15" s="416" t="str">
        <f t="shared" si="2"/>
        <v>ETR1000V300-MR1-09A</v>
      </c>
      <c r="H15" s="427" t="s">
        <v>1017</v>
      </c>
      <c r="I15" s="428">
        <v>46113</v>
      </c>
      <c r="J15" s="416" t="str">
        <f t="shared" si="3"/>
        <v>ETR1000V300-MR1-09A</v>
      </c>
      <c r="K15" s="427" t="s">
        <v>1017</v>
      </c>
      <c r="L15" s="428">
        <v>46113</v>
      </c>
      <c r="M15" s="140"/>
      <c r="N15" s="140"/>
      <c r="O15" s="140"/>
      <c r="P15" s="140"/>
      <c r="Q15" s="140"/>
      <c r="R15" s="140"/>
      <c r="S15" s="147" t="s">
        <v>492</v>
      </c>
      <c r="T15" s="147"/>
      <c r="U15" s="147"/>
      <c r="V15" s="147" t="s">
        <v>492</v>
      </c>
      <c r="W15" s="147"/>
      <c r="X15" s="147"/>
    </row>
    <row r="16" spans="1:24" x14ac:dyDescent="0.25">
      <c r="A16" s="140" t="s">
        <v>1040</v>
      </c>
      <c r="B16" s="7" t="str">
        <f t="shared" si="0"/>
        <v>MR1_10A</v>
      </c>
      <c r="C16" s="8" t="s">
        <v>289</v>
      </c>
      <c r="D16" s="7" t="s">
        <v>1014</v>
      </c>
      <c r="E16" s="7" t="s">
        <v>1041</v>
      </c>
      <c r="F16" s="7" t="str">
        <f t="shared" si="1"/>
        <v>ETR1000V300-MR1-10A-05</v>
      </c>
      <c r="G16" s="416" t="str">
        <f t="shared" si="2"/>
        <v>ETR1000V300-MR1-10A</v>
      </c>
      <c r="H16" s="427" t="s">
        <v>1017</v>
      </c>
      <c r="I16" s="428">
        <v>46113</v>
      </c>
      <c r="J16" s="416" t="str">
        <f t="shared" si="3"/>
        <v>ETR1000V300-MR1-10A</v>
      </c>
      <c r="K16" s="427" t="s">
        <v>1017</v>
      </c>
      <c r="L16" s="428">
        <v>46113</v>
      </c>
      <c r="M16" s="140"/>
      <c r="N16" s="140"/>
      <c r="O16" s="140"/>
      <c r="P16" s="140"/>
      <c r="Q16" s="140"/>
      <c r="R16" s="140"/>
      <c r="S16" s="147" t="s">
        <v>607</v>
      </c>
      <c r="T16" s="147"/>
      <c r="U16" s="147"/>
      <c r="V16" s="147" t="s">
        <v>607</v>
      </c>
      <c r="W16" s="147"/>
      <c r="X16" s="147"/>
    </row>
    <row r="17" spans="1:24" x14ac:dyDescent="0.25">
      <c r="A17" s="140" t="s">
        <v>1042</v>
      </c>
      <c r="B17" s="7" t="str">
        <f t="shared" si="0"/>
        <v>MR1_11A</v>
      </c>
      <c r="C17" s="8" t="s">
        <v>289</v>
      </c>
      <c r="D17" s="7" t="s">
        <v>1014</v>
      </c>
      <c r="E17" s="7" t="s">
        <v>1043</v>
      </c>
      <c r="F17" s="7" t="str">
        <f t="shared" si="1"/>
        <v>ETR1000V300-MR1-11A-03</v>
      </c>
      <c r="G17" s="416" t="str">
        <f t="shared" si="2"/>
        <v>ETR1000V300-MR1-11A</v>
      </c>
      <c r="H17" s="427" t="s">
        <v>607</v>
      </c>
      <c r="I17" s="428">
        <v>46113</v>
      </c>
      <c r="J17" s="416" t="str">
        <f t="shared" si="3"/>
        <v>ETR1000V300-MR1-11A</v>
      </c>
      <c r="K17" s="427" t="s">
        <v>607</v>
      </c>
      <c r="L17" s="428">
        <v>46113</v>
      </c>
      <c r="M17" s="140"/>
      <c r="N17" s="140"/>
      <c r="O17" s="140"/>
      <c r="P17" s="140"/>
      <c r="Q17" s="140"/>
      <c r="R17" s="140"/>
      <c r="S17" s="147" t="s">
        <v>607</v>
      </c>
      <c r="T17" s="147"/>
      <c r="U17" s="147"/>
      <c r="V17" s="147" t="s">
        <v>607</v>
      </c>
      <c r="W17" s="147"/>
      <c r="X17" s="147"/>
    </row>
    <row r="18" spans="1:24" x14ac:dyDescent="0.25">
      <c r="A18" s="140" t="s">
        <v>1044</v>
      </c>
      <c r="B18" s="7" t="str">
        <f t="shared" si="0"/>
        <v>MR1_13A</v>
      </c>
      <c r="C18" s="8" t="s">
        <v>289</v>
      </c>
      <c r="D18" s="7" t="s">
        <v>1014</v>
      </c>
      <c r="E18" s="7" t="s">
        <v>1045</v>
      </c>
      <c r="F18" s="7" t="str">
        <f t="shared" si="1"/>
        <v>ETR1000V300-MR1-13A-03</v>
      </c>
      <c r="G18" s="416" t="str">
        <f t="shared" si="2"/>
        <v>ETR1000V300-MR1-13A</v>
      </c>
      <c r="H18" s="427" t="s">
        <v>607</v>
      </c>
      <c r="I18" s="428">
        <v>46113</v>
      </c>
      <c r="J18" s="416" t="str">
        <f t="shared" si="3"/>
        <v>ETR1000V300-MR1-13A</v>
      </c>
      <c r="K18" s="427" t="s">
        <v>607</v>
      </c>
      <c r="L18" s="428">
        <v>46113</v>
      </c>
      <c r="M18" s="140"/>
      <c r="N18" s="140"/>
      <c r="O18" s="140"/>
      <c r="P18" s="140"/>
      <c r="Q18" s="140"/>
      <c r="R18" s="140"/>
      <c r="S18" s="147" t="s">
        <v>607</v>
      </c>
      <c r="T18" s="147"/>
      <c r="U18" s="147"/>
      <c r="V18" s="147" t="s">
        <v>607</v>
      </c>
      <c r="W18" s="147"/>
      <c r="X18" s="147"/>
    </row>
    <row r="19" spans="1:24" x14ac:dyDescent="0.25">
      <c r="A19" s="140" t="s">
        <v>1046</v>
      </c>
      <c r="B19" s="7" t="str">
        <f t="shared" si="0"/>
        <v>MR1_14A</v>
      </c>
      <c r="C19" s="8" t="s">
        <v>289</v>
      </c>
      <c r="D19" s="7" t="s">
        <v>1014</v>
      </c>
      <c r="E19" s="7" t="s">
        <v>1047</v>
      </c>
      <c r="F19" s="7" t="str">
        <f t="shared" si="1"/>
        <v>ETR1000V300-MR1-14A-06</v>
      </c>
      <c r="G19" s="422" t="str">
        <f t="shared" si="2"/>
        <v>ETR1000V300-MR1-14A</v>
      </c>
      <c r="H19" s="427" t="s">
        <v>1007</v>
      </c>
      <c r="I19" s="428">
        <v>46113</v>
      </c>
      <c r="J19" s="422" t="str">
        <f t="shared" si="3"/>
        <v>ETR1000V300-MR1-14A</v>
      </c>
      <c r="K19" s="427" t="s">
        <v>1007</v>
      </c>
      <c r="L19" s="428">
        <v>46113</v>
      </c>
      <c r="M19" s="140"/>
      <c r="N19" s="140"/>
      <c r="O19" s="140"/>
      <c r="P19" s="140"/>
      <c r="Q19" s="140"/>
      <c r="R19" s="140"/>
      <c r="S19" s="141"/>
      <c r="T19" s="141"/>
      <c r="U19" s="141"/>
      <c r="V19" s="141"/>
      <c r="W19" s="141"/>
      <c r="X19" s="141"/>
    </row>
    <row r="20" spans="1:24" x14ac:dyDescent="0.25">
      <c r="A20" s="140" t="s">
        <v>1048</v>
      </c>
      <c r="B20" s="7" t="str">
        <f t="shared" si="0"/>
        <v>MR1_14B</v>
      </c>
      <c r="C20" s="8" t="s">
        <v>289</v>
      </c>
      <c r="D20" s="7" t="s">
        <v>1014</v>
      </c>
      <c r="E20" s="7" t="s">
        <v>1049</v>
      </c>
      <c r="F20" s="7" t="str">
        <f t="shared" si="1"/>
        <v>ETR1000V300-MR1-14B-\</v>
      </c>
      <c r="G20" s="416" t="str">
        <f t="shared" si="2"/>
        <v>ETR1000V300-MR1-14B</v>
      </c>
      <c r="H20" s="423" t="s">
        <v>31</v>
      </c>
      <c r="I20" s="419" t="s">
        <v>31</v>
      </c>
      <c r="J20" s="416" t="str">
        <f t="shared" si="3"/>
        <v>ETR1000V300-MR1-14B</v>
      </c>
      <c r="K20" s="423" t="s">
        <v>31</v>
      </c>
      <c r="L20" s="419" t="s">
        <v>31</v>
      </c>
      <c r="M20" s="140"/>
      <c r="N20" s="140"/>
      <c r="O20" s="140"/>
      <c r="P20" s="140"/>
      <c r="Q20" s="140"/>
      <c r="R20" s="140"/>
      <c r="S20" s="147" t="s">
        <v>607</v>
      </c>
      <c r="T20" s="147"/>
      <c r="U20" s="147"/>
      <c r="V20" s="147" t="s">
        <v>607</v>
      </c>
      <c r="W20" s="147"/>
      <c r="X20" s="147"/>
    </row>
    <row r="21" spans="1:24" x14ac:dyDescent="0.25">
      <c r="A21" s="140" t="s">
        <v>1050</v>
      </c>
      <c r="B21" s="7" t="str">
        <f t="shared" si="0"/>
        <v>MR1_15A</v>
      </c>
      <c r="C21" s="8" t="s">
        <v>289</v>
      </c>
      <c r="D21" s="7" t="s">
        <v>1014</v>
      </c>
      <c r="E21" s="7" t="s">
        <v>1051</v>
      </c>
      <c r="F21" s="7" t="str">
        <f t="shared" si="1"/>
        <v>ETR1000V300-MR1-15A-06</v>
      </c>
      <c r="G21" s="416" t="str">
        <f t="shared" si="2"/>
        <v>ETR1000V300-MR1-15A</v>
      </c>
      <c r="H21" s="427" t="s">
        <v>1007</v>
      </c>
      <c r="I21" s="428">
        <v>46113</v>
      </c>
      <c r="J21" s="416" t="str">
        <f t="shared" si="3"/>
        <v>ETR1000V300-MR1-15A</v>
      </c>
      <c r="K21" s="427" t="s">
        <v>1007</v>
      </c>
      <c r="L21" s="428">
        <v>46113</v>
      </c>
      <c r="M21" s="140"/>
      <c r="N21" s="140"/>
      <c r="O21" s="140"/>
      <c r="P21" s="140"/>
      <c r="Q21" s="140"/>
      <c r="R21" s="140"/>
      <c r="S21" s="147" t="s">
        <v>607</v>
      </c>
      <c r="T21" s="147"/>
      <c r="U21" s="147"/>
      <c r="V21" s="147" t="s">
        <v>607</v>
      </c>
      <c r="W21" s="147"/>
      <c r="X21" s="147"/>
    </row>
    <row r="22" spans="1:24" x14ac:dyDescent="0.25">
      <c r="A22" s="140" t="s">
        <v>1052</v>
      </c>
      <c r="B22" s="7" t="str">
        <f t="shared" si="0"/>
        <v>MR1_15B</v>
      </c>
      <c r="C22" s="8" t="s">
        <v>289</v>
      </c>
      <c r="D22" s="7" t="s">
        <v>1014</v>
      </c>
      <c r="E22" s="7" t="s">
        <v>1053</v>
      </c>
      <c r="F22" s="7" t="str">
        <f t="shared" si="1"/>
        <v>ETR1000V300-MR1-15B-\</v>
      </c>
      <c r="G22" s="416" t="str">
        <f t="shared" si="2"/>
        <v>ETR1000V300-MR1-15B</v>
      </c>
      <c r="H22" s="417" t="s">
        <v>31</v>
      </c>
      <c r="I22" s="419" t="s">
        <v>31</v>
      </c>
      <c r="J22" s="416" t="str">
        <f t="shared" si="3"/>
        <v>ETR1000V300-MR1-15B</v>
      </c>
      <c r="K22" s="417" t="s">
        <v>31</v>
      </c>
      <c r="L22" s="419" t="s">
        <v>31</v>
      </c>
      <c r="M22" s="140"/>
      <c r="N22" s="140"/>
      <c r="O22" s="140"/>
      <c r="P22" s="140"/>
      <c r="Q22" s="140"/>
      <c r="R22" s="140"/>
      <c r="S22" s="147" t="s">
        <v>607</v>
      </c>
      <c r="T22" s="147"/>
      <c r="U22" s="147"/>
      <c r="V22" s="147" t="s">
        <v>607</v>
      </c>
      <c r="W22" s="147"/>
      <c r="X22" s="147"/>
    </row>
    <row r="23" spans="1:24" x14ac:dyDescent="0.25">
      <c r="A23" s="140" t="s">
        <v>1054</v>
      </c>
      <c r="B23" s="7" t="str">
        <f t="shared" si="0"/>
        <v>MR1_16A</v>
      </c>
      <c r="C23" s="8" t="s">
        <v>289</v>
      </c>
      <c r="D23" s="7" t="s">
        <v>1014</v>
      </c>
      <c r="E23" s="7" t="s">
        <v>1055</v>
      </c>
      <c r="F23" s="7" t="str">
        <f t="shared" si="1"/>
        <v>ETR1000V300-MR1-16A-07</v>
      </c>
      <c r="G23" s="416" t="str">
        <f t="shared" si="2"/>
        <v>ETR1000V300-MR1-16A</v>
      </c>
      <c r="H23" s="421" t="s">
        <v>1035</v>
      </c>
      <c r="I23" s="418">
        <v>44228</v>
      </c>
      <c r="J23" s="416" t="str">
        <f t="shared" si="3"/>
        <v>ETR1000V300-MR1-16A</v>
      </c>
      <c r="K23" s="421" t="s">
        <v>1035</v>
      </c>
      <c r="L23" s="418">
        <v>44228</v>
      </c>
      <c r="M23" s="140"/>
      <c r="N23" s="140"/>
      <c r="O23" s="140"/>
      <c r="P23" s="140"/>
      <c r="Q23" s="140"/>
      <c r="R23" s="140"/>
      <c r="S23" s="147" t="s">
        <v>607</v>
      </c>
      <c r="T23" s="147"/>
      <c r="U23" s="147"/>
      <c r="V23" s="147" t="s">
        <v>607</v>
      </c>
      <c r="W23" s="147"/>
      <c r="X23" s="147"/>
    </row>
    <row r="24" spans="1:24" x14ac:dyDescent="0.25">
      <c r="A24" s="140" t="s">
        <v>1056</v>
      </c>
      <c r="B24" s="7" t="str">
        <f t="shared" si="0"/>
        <v>MR1_18A</v>
      </c>
      <c r="C24" s="8" t="s">
        <v>289</v>
      </c>
      <c r="D24" s="7" t="s">
        <v>1014</v>
      </c>
      <c r="E24" s="7" t="s">
        <v>1057</v>
      </c>
      <c r="F24" s="7" t="str">
        <f t="shared" si="1"/>
        <v>ETR1000V300-MR1-18A-05</v>
      </c>
      <c r="G24" s="416" t="str">
        <f t="shared" si="2"/>
        <v>ETR1000V300-MR1-18A</v>
      </c>
      <c r="H24" s="427" t="s">
        <v>1017</v>
      </c>
      <c r="I24" s="428">
        <v>46113</v>
      </c>
      <c r="J24" s="416" t="str">
        <f t="shared" si="3"/>
        <v>ETR1000V300-MR1-18A</v>
      </c>
      <c r="K24" s="427" t="s">
        <v>1017</v>
      </c>
      <c r="L24" s="428">
        <v>46113</v>
      </c>
      <c r="M24" s="140"/>
      <c r="N24" s="140"/>
      <c r="O24" s="140"/>
      <c r="P24" s="140"/>
      <c r="Q24" s="140"/>
      <c r="R24" s="140"/>
      <c r="S24" s="147" t="s">
        <v>607</v>
      </c>
      <c r="T24" s="147"/>
      <c r="U24" s="147"/>
      <c r="V24" s="147" t="s">
        <v>607</v>
      </c>
      <c r="W24" s="147"/>
      <c r="X24" s="147"/>
    </row>
    <row r="25" spans="1:24" x14ac:dyDescent="0.25">
      <c r="A25" s="140" t="s">
        <v>1058</v>
      </c>
      <c r="B25" s="7" t="str">
        <f t="shared" si="0"/>
        <v>MR1_20A</v>
      </c>
      <c r="C25" s="8" t="s">
        <v>289</v>
      </c>
      <c r="D25" s="7" t="s">
        <v>1014</v>
      </c>
      <c r="E25" s="7" t="s">
        <v>1059</v>
      </c>
      <c r="F25" s="7" t="str">
        <f t="shared" si="1"/>
        <v>ETR1000V300-MR1-20A-03</v>
      </c>
      <c r="G25" s="392" t="str">
        <f t="shared" si="2"/>
        <v>ETR1000V300-MR1-20A</v>
      </c>
      <c r="H25" s="420" t="s">
        <v>607</v>
      </c>
      <c r="I25" s="419" t="s">
        <v>1060</v>
      </c>
      <c r="J25" s="392" t="str">
        <f t="shared" si="3"/>
        <v>ETR1000V300-MR1-20A</v>
      </c>
      <c r="K25" s="420" t="s">
        <v>607</v>
      </c>
      <c r="L25" s="419" t="s">
        <v>1060</v>
      </c>
      <c r="M25" s="140"/>
      <c r="N25" s="140"/>
      <c r="O25" s="140"/>
      <c r="P25" s="140"/>
      <c r="Q25" s="140"/>
      <c r="R25" s="140"/>
      <c r="S25" s="147" t="s">
        <v>1017</v>
      </c>
      <c r="T25" s="147"/>
      <c r="U25" s="147"/>
      <c r="V25" s="147" t="s">
        <v>1017</v>
      </c>
      <c r="W25" s="147"/>
      <c r="X25" s="147"/>
    </row>
    <row r="26" spans="1:24" x14ac:dyDescent="0.25">
      <c r="A26" s="140" t="s">
        <v>1061</v>
      </c>
      <c r="B26" s="7" t="str">
        <f t="shared" si="0"/>
        <v>MR1_20B</v>
      </c>
      <c r="C26" s="8" t="s">
        <v>289</v>
      </c>
      <c r="D26" s="7" t="s">
        <v>1014</v>
      </c>
      <c r="E26" s="7" t="s">
        <v>1062</v>
      </c>
      <c r="F26" s="7" t="str">
        <f t="shared" si="1"/>
        <v>ETR1000V300-MR1-20B-01</v>
      </c>
      <c r="G26" s="392" t="str">
        <f t="shared" si="2"/>
        <v>ETR1000V300-MR1-20B</v>
      </c>
      <c r="H26" s="420" t="s">
        <v>488</v>
      </c>
      <c r="I26" s="419" t="s">
        <v>1063</v>
      </c>
      <c r="J26" s="392" t="str">
        <f t="shared" si="3"/>
        <v>ETR1000V300-MR1-20B</v>
      </c>
      <c r="K26" s="420" t="s">
        <v>488</v>
      </c>
      <c r="L26" s="419" t="s">
        <v>1063</v>
      </c>
      <c r="M26" s="140"/>
      <c r="N26" s="140"/>
      <c r="O26" s="140"/>
      <c r="P26" s="140"/>
      <c r="Q26" s="140"/>
      <c r="R26" s="140"/>
      <c r="S26" s="147" t="s">
        <v>600</v>
      </c>
      <c r="T26" s="147"/>
      <c r="U26" s="147"/>
      <c r="V26" s="147" t="s">
        <v>600</v>
      </c>
      <c r="W26" s="147"/>
      <c r="X26" s="147"/>
    </row>
    <row r="27" spans="1:24" s="139" customFormat="1" ht="30" customHeight="1" x14ac:dyDescent="0.25">
      <c r="A27" s="316" t="s">
        <v>1064</v>
      </c>
      <c r="B27" s="300" t="str">
        <f t="shared" si="0"/>
        <v>MR1_20A_ALA</v>
      </c>
      <c r="C27" s="8" t="s">
        <v>289</v>
      </c>
      <c r="D27" s="300" t="s">
        <v>1014</v>
      </c>
      <c r="E27" s="143" t="s">
        <v>1065</v>
      </c>
      <c r="F27" s="300" t="str">
        <f t="shared" si="1"/>
        <v>ETR1000V300-MR1-20A_ALA-08</v>
      </c>
      <c r="G27" s="392" t="str">
        <f t="shared" si="2"/>
        <v>ETR1000V300-MR1-20A_ALA</v>
      </c>
      <c r="H27" s="424" t="s">
        <v>1015</v>
      </c>
      <c r="I27" s="425">
        <v>43966</v>
      </c>
      <c r="J27" s="392" t="str">
        <f t="shared" si="3"/>
        <v>ETR1000V300-MR1-20A_ALA</v>
      </c>
      <c r="K27" s="424" t="s">
        <v>1015</v>
      </c>
      <c r="L27" s="425">
        <v>43966</v>
      </c>
      <c r="M27" s="146"/>
      <c r="N27" s="146"/>
      <c r="O27" s="146"/>
      <c r="P27" s="146"/>
      <c r="Q27" s="146"/>
      <c r="R27" s="146"/>
      <c r="S27" s="145"/>
      <c r="T27" s="145"/>
      <c r="U27" s="145"/>
      <c r="V27" s="145"/>
      <c r="W27" s="145"/>
      <c r="X27" s="145"/>
    </row>
    <row r="28" spans="1:24" s="139" customFormat="1" ht="30" customHeight="1" x14ac:dyDescent="0.25">
      <c r="A28" s="316" t="s">
        <v>1066</v>
      </c>
      <c r="B28" s="300" t="str">
        <f t="shared" si="0"/>
        <v>MR1_20A_ELO</v>
      </c>
      <c r="C28" s="8" t="s">
        <v>289</v>
      </c>
      <c r="D28" s="300" t="s">
        <v>1014</v>
      </c>
      <c r="E28" s="143" t="s">
        <v>1067</v>
      </c>
      <c r="F28" s="300" t="str">
        <f t="shared" si="1"/>
        <v>ETR1000V300-MR1-20A_ELO-05</v>
      </c>
      <c r="G28" s="416" t="str">
        <f t="shared" si="2"/>
        <v>ETR1000V300-MR1-20A_ELO</v>
      </c>
      <c r="H28" s="427" t="s">
        <v>1017</v>
      </c>
      <c r="I28" s="428">
        <v>46113</v>
      </c>
      <c r="J28" s="416" t="str">
        <f t="shared" si="3"/>
        <v>ETR1000V300-MR1-20A_ELO</v>
      </c>
      <c r="K28" s="427" t="s">
        <v>1017</v>
      </c>
      <c r="L28" s="428">
        <v>46113</v>
      </c>
      <c r="M28" s="146"/>
      <c r="N28" s="146"/>
      <c r="O28" s="146"/>
      <c r="P28" s="146"/>
      <c r="Q28" s="146"/>
      <c r="R28" s="146"/>
      <c r="S28" s="145"/>
      <c r="T28" s="145"/>
      <c r="U28" s="145"/>
      <c r="V28" s="145"/>
      <c r="W28" s="145"/>
      <c r="X28" s="145"/>
    </row>
    <row r="29" spans="1:24" s="139" customFormat="1" ht="30" customHeight="1" x14ac:dyDescent="0.25">
      <c r="A29" s="316" t="s">
        <v>1068</v>
      </c>
      <c r="B29" s="300" t="str">
        <f t="shared" si="0"/>
        <v>MR1_20B_ELO</v>
      </c>
      <c r="C29" s="8" t="s">
        <v>289</v>
      </c>
      <c r="D29" s="300" t="s">
        <v>1014</v>
      </c>
      <c r="E29" s="143" t="s">
        <v>1069</v>
      </c>
      <c r="F29" s="300" t="str">
        <f t="shared" si="1"/>
        <v>ETR1000V300-MR1-20B_ELO-02</v>
      </c>
      <c r="G29" s="416" t="str">
        <f t="shared" si="2"/>
        <v>ETR1000V300-MR1-20B_ELO</v>
      </c>
      <c r="H29" s="427" t="s">
        <v>600</v>
      </c>
      <c r="I29" s="428">
        <v>45717</v>
      </c>
      <c r="J29" s="416" t="str">
        <f t="shared" si="3"/>
        <v>ETR1000V300-MR1-20B_ELO</v>
      </c>
      <c r="K29" s="427" t="s">
        <v>600</v>
      </c>
      <c r="L29" s="428">
        <v>45717</v>
      </c>
      <c r="M29" s="146"/>
      <c r="N29" s="146"/>
      <c r="O29" s="146"/>
      <c r="P29" s="146"/>
      <c r="Q29" s="146"/>
      <c r="R29" s="146"/>
      <c r="S29" s="145"/>
      <c r="T29" s="145"/>
      <c r="U29" s="145"/>
      <c r="V29" s="145"/>
      <c r="W29" s="145"/>
      <c r="X29" s="145"/>
    </row>
    <row r="30" spans="1:24" s="139" customFormat="1" ht="30" customHeight="1" x14ac:dyDescent="0.25">
      <c r="A30" s="317" t="s">
        <v>1070</v>
      </c>
      <c r="B30" s="300" t="str">
        <f t="shared" si="0"/>
        <v>MR1_31A_JRU</v>
      </c>
      <c r="C30" s="8" t="s">
        <v>289</v>
      </c>
      <c r="D30" s="300" t="s">
        <v>1014</v>
      </c>
      <c r="E30" s="143" t="s">
        <v>1071</v>
      </c>
      <c r="F30" s="300" t="str">
        <f t="shared" si="1"/>
        <v>ETR1000V300-MR1-31A_JRU-\</v>
      </c>
      <c r="G30" s="392" t="str">
        <f t="shared" si="2"/>
        <v>ETR1000V300-MR1-31A_JRU</v>
      </c>
      <c r="H30" s="426" t="s">
        <v>31</v>
      </c>
      <c r="I30" s="425">
        <v>44256</v>
      </c>
      <c r="J30" s="392" t="str">
        <f t="shared" si="3"/>
        <v>ETR1000V300-MR1-31A_JRU</v>
      </c>
      <c r="K30" s="426" t="s">
        <v>31</v>
      </c>
      <c r="L30" s="425">
        <v>44256</v>
      </c>
      <c r="M30" s="146"/>
      <c r="N30" s="146"/>
      <c r="O30" s="146"/>
      <c r="P30" s="146"/>
      <c r="Q30" s="146"/>
      <c r="R30" s="146"/>
      <c r="S30" s="145"/>
      <c r="T30" s="145"/>
      <c r="U30" s="145"/>
      <c r="V30" s="145"/>
      <c r="W30" s="145"/>
      <c r="X30" s="145"/>
    </row>
    <row r="31" spans="1:24" x14ac:dyDescent="0.25">
      <c r="A31" s="140" t="s">
        <v>1072</v>
      </c>
      <c r="B31" s="7" t="str">
        <f t="shared" si="0"/>
        <v>MR1_31A</v>
      </c>
      <c r="C31" s="8" t="s">
        <v>289</v>
      </c>
      <c r="D31" s="7" t="s">
        <v>1014</v>
      </c>
      <c r="E31" s="7" t="s">
        <v>1073</v>
      </c>
      <c r="F31" s="7" t="str">
        <f t="shared" si="1"/>
        <v>ETR1000V300-MR1-31A-02</v>
      </c>
      <c r="G31" s="416" t="str">
        <f t="shared" si="2"/>
        <v>ETR1000V300-MR1-31A</v>
      </c>
      <c r="H31" s="420" t="s">
        <v>600</v>
      </c>
      <c r="I31" s="419" t="s">
        <v>1074</v>
      </c>
      <c r="J31" s="416" t="str">
        <f t="shared" si="3"/>
        <v>ETR1000V300-MR1-31A</v>
      </c>
      <c r="K31" s="420" t="s">
        <v>600</v>
      </c>
      <c r="L31" s="419" t="s">
        <v>1074</v>
      </c>
      <c r="M31" s="140"/>
      <c r="N31" s="140"/>
      <c r="O31" s="140"/>
      <c r="P31" s="140"/>
      <c r="Q31" s="140"/>
      <c r="R31" s="140"/>
      <c r="S31" s="147" t="s">
        <v>492</v>
      </c>
      <c r="T31" s="147"/>
      <c r="U31" s="147"/>
      <c r="V31" s="147" t="s">
        <v>492</v>
      </c>
      <c r="W31" s="147"/>
      <c r="X31" s="147"/>
    </row>
    <row r="32" spans="1:24" x14ac:dyDescent="0.25">
      <c r="A32" s="140" t="s">
        <v>1013</v>
      </c>
      <c r="B32" s="7" t="str">
        <f t="shared" si="0"/>
        <v>MR2_01A</v>
      </c>
      <c r="C32" s="8" t="s">
        <v>289</v>
      </c>
      <c r="D32" s="7" t="s">
        <v>1075</v>
      </c>
      <c r="E32" s="7" t="s">
        <v>1006</v>
      </c>
      <c r="F32" s="7" t="str">
        <f t="shared" si="1"/>
        <v>ETR1000V300-MR2-01A-07</v>
      </c>
      <c r="G32" s="416" t="str">
        <f t="shared" si="2"/>
        <v>ETR1000V300-MR2-01A</v>
      </c>
      <c r="H32" s="431" t="s">
        <v>1035</v>
      </c>
      <c r="I32" s="428">
        <v>46113</v>
      </c>
      <c r="J32" s="416" t="str">
        <f t="shared" si="3"/>
        <v>ETR1000V300-MR2-01A</v>
      </c>
      <c r="K32" s="431" t="s">
        <v>1035</v>
      </c>
      <c r="L32" s="428">
        <v>46113</v>
      </c>
      <c r="M32" s="140"/>
      <c r="N32" s="140"/>
      <c r="O32" s="140"/>
      <c r="P32" s="140"/>
      <c r="Q32" s="140"/>
      <c r="R32" s="140"/>
      <c r="S32" s="141"/>
      <c r="T32" s="141"/>
      <c r="U32" s="141"/>
      <c r="V32" s="141"/>
      <c r="W32" s="141"/>
      <c r="X32" s="141"/>
    </row>
    <row r="33" spans="1:24" x14ac:dyDescent="0.25">
      <c r="A33" s="140" t="s">
        <v>1018</v>
      </c>
      <c r="B33" s="7" t="str">
        <f t="shared" si="0"/>
        <v>MR2_02A</v>
      </c>
      <c r="C33" s="8" t="s">
        <v>289</v>
      </c>
      <c r="D33" s="7" t="s">
        <v>1075</v>
      </c>
      <c r="E33" s="7" t="s">
        <v>1019</v>
      </c>
      <c r="F33" s="7" t="str">
        <f t="shared" si="1"/>
        <v>ETR1000V300-MR2-02A-13</v>
      </c>
      <c r="G33" s="416" t="str">
        <f t="shared" si="2"/>
        <v>ETR1000V300-MR2-02A</v>
      </c>
      <c r="H33" s="431">
        <v>13</v>
      </c>
      <c r="I33" s="428">
        <v>46113</v>
      </c>
      <c r="J33" s="416" t="str">
        <f t="shared" si="3"/>
        <v>ETR1000V300-MR2-02A</v>
      </c>
      <c r="K33" s="431">
        <v>13</v>
      </c>
      <c r="L33" s="428">
        <v>46113</v>
      </c>
      <c r="M33" s="140"/>
      <c r="N33" s="140"/>
      <c r="O33" s="140"/>
      <c r="P33" s="140"/>
      <c r="Q33" s="140"/>
      <c r="R33" s="140"/>
      <c r="S33" s="141"/>
      <c r="T33" s="141"/>
      <c r="U33" s="141"/>
      <c r="V33" s="141"/>
      <c r="W33" s="141"/>
      <c r="X33" s="141"/>
    </row>
    <row r="34" spans="1:24" x14ac:dyDescent="0.25">
      <c r="A34" s="140" t="s">
        <v>1021</v>
      </c>
      <c r="B34" s="7" t="str">
        <f t="shared" si="0"/>
        <v>MR2_03A</v>
      </c>
      <c r="C34" s="8" t="s">
        <v>289</v>
      </c>
      <c r="D34" s="7" t="s">
        <v>1075</v>
      </c>
      <c r="E34" s="7" t="s">
        <v>1022</v>
      </c>
      <c r="F34" s="7" t="str">
        <f t="shared" si="1"/>
        <v>ETR1000V300-MR2-03A-06</v>
      </c>
      <c r="G34" s="416" t="str">
        <f t="shared" si="2"/>
        <v>ETR1000V300-MR2-03A</v>
      </c>
      <c r="H34" s="431" t="s">
        <v>1007</v>
      </c>
      <c r="I34" s="428">
        <v>46113</v>
      </c>
      <c r="J34" s="416" t="str">
        <f t="shared" si="3"/>
        <v>ETR1000V300-MR2-03A</v>
      </c>
      <c r="K34" s="431" t="s">
        <v>1007</v>
      </c>
      <c r="L34" s="428">
        <v>46113</v>
      </c>
      <c r="M34" s="140"/>
      <c r="N34" s="140"/>
      <c r="O34" s="140"/>
      <c r="P34" s="140"/>
      <c r="Q34" s="140"/>
      <c r="R34" s="140"/>
      <c r="S34" s="141"/>
      <c r="T34" s="141"/>
      <c r="U34" s="141"/>
      <c r="V34" s="141"/>
      <c r="W34" s="141"/>
      <c r="X34" s="141"/>
    </row>
    <row r="35" spans="1:24" x14ac:dyDescent="0.25">
      <c r="A35" s="140" t="s">
        <v>1024</v>
      </c>
      <c r="B35" s="7" t="str">
        <f t="shared" ref="B35:B66" si="4">CONCATENATE(D35,"_",E35)</f>
        <v>MR2_04A</v>
      </c>
      <c r="C35" s="8" t="s">
        <v>289</v>
      </c>
      <c r="D35" s="7" t="s">
        <v>1075</v>
      </c>
      <c r="E35" s="143" t="s">
        <v>1025</v>
      </c>
      <c r="F35" s="7" t="str">
        <f t="shared" ref="F35:F66" si="5">CONCATENATE(G35,"-",H35)</f>
        <v>ETR1000V300-MR2-04A-10</v>
      </c>
      <c r="G35" s="416" t="str">
        <f t="shared" ref="G35:G66" si="6">CONCATENATE("ETR1000V300-",$D35,"-",$E35)</f>
        <v>ETR1000V300-MR2-04A</v>
      </c>
      <c r="H35" s="431">
        <v>10</v>
      </c>
      <c r="I35" s="428">
        <v>46113</v>
      </c>
      <c r="J35" s="416" t="str">
        <f t="shared" ref="J35:J66" si="7">CONCATENATE("ETR1000V300-",$D35,"-",$E35)</f>
        <v>ETR1000V300-MR2-04A</v>
      </c>
      <c r="K35" s="431">
        <v>10</v>
      </c>
      <c r="L35" s="428">
        <v>46113</v>
      </c>
      <c r="M35" s="140"/>
      <c r="N35" s="140"/>
      <c r="O35" s="140"/>
      <c r="P35" s="140"/>
      <c r="Q35" s="140"/>
      <c r="R35" s="140"/>
      <c r="S35" s="141"/>
      <c r="T35" s="141"/>
      <c r="U35" s="141"/>
      <c r="V35" s="141"/>
      <c r="W35" s="141"/>
      <c r="X35" s="141"/>
    </row>
    <row r="36" spans="1:24" x14ac:dyDescent="0.25">
      <c r="A36" s="140" t="s">
        <v>1026</v>
      </c>
      <c r="B36" s="7" t="str">
        <f t="shared" si="4"/>
        <v>MR2_05A</v>
      </c>
      <c r="C36" s="8" t="s">
        <v>289</v>
      </c>
      <c r="D36" s="7" t="s">
        <v>1075</v>
      </c>
      <c r="E36" s="7" t="s">
        <v>1027</v>
      </c>
      <c r="F36" s="7" t="str">
        <f t="shared" si="5"/>
        <v>ETR1000V300-MR2-05A-03</v>
      </c>
      <c r="G36" s="416" t="str">
        <f t="shared" si="6"/>
        <v>ETR1000V300-MR2-05A</v>
      </c>
      <c r="H36" s="431" t="s">
        <v>607</v>
      </c>
      <c r="I36" s="428">
        <v>46113</v>
      </c>
      <c r="J36" s="416" t="str">
        <f t="shared" si="7"/>
        <v>ETR1000V300-MR2-05A</v>
      </c>
      <c r="K36" s="431" t="s">
        <v>607</v>
      </c>
      <c r="L36" s="428">
        <v>46113</v>
      </c>
      <c r="M36" s="140"/>
      <c r="N36" s="140"/>
      <c r="O36" s="140"/>
      <c r="P36" s="140"/>
      <c r="Q36" s="140"/>
      <c r="R36" s="140"/>
      <c r="S36" s="141"/>
      <c r="T36" s="141"/>
      <c r="U36" s="141"/>
      <c r="V36" s="141"/>
      <c r="W36" s="141"/>
      <c r="X36" s="141"/>
    </row>
    <row r="37" spans="1:24" x14ac:dyDescent="0.25">
      <c r="A37" s="140" t="s">
        <v>1028</v>
      </c>
      <c r="B37" s="7" t="str">
        <f t="shared" si="4"/>
        <v>MR2_05B</v>
      </c>
      <c r="C37" s="8" t="s">
        <v>289</v>
      </c>
      <c r="D37" s="7" t="s">
        <v>1075</v>
      </c>
      <c r="E37" s="7" t="s">
        <v>1029</v>
      </c>
      <c r="F37" s="7" t="str">
        <f t="shared" si="5"/>
        <v>ETR1000V300-MR2-05B-02</v>
      </c>
      <c r="G37" s="416" t="str">
        <f t="shared" si="6"/>
        <v>ETR1000V300-MR2-05B</v>
      </c>
      <c r="H37" s="420" t="s">
        <v>600</v>
      </c>
      <c r="I37" s="419" t="s">
        <v>1030</v>
      </c>
      <c r="J37" s="416" t="str">
        <f t="shared" si="7"/>
        <v>ETR1000V300-MR2-05B</v>
      </c>
      <c r="K37" s="420" t="s">
        <v>600</v>
      </c>
      <c r="L37" s="419" t="s">
        <v>1030</v>
      </c>
      <c r="M37" s="140"/>
      <c r="N37" s="140"/>
      <c r="O37" s="140"/>
      <c r="P37" s="140"/>
      <c r="Q37" s="140"/>
      <c r="R37" s="140"/>
      <c r="S37" s="141"/>
      <c r="T37" s="141"/>
      <c r="U37" s="141"/>
      <c r="V37" s="141"/>
      <c r="W37" s="141"/>
      <c r="X37" s="141"/>
    </row>
    <row r="38" spans="1:24" x14ac:dyDescent="0.25">
      <c r="A38" s="140" t="s">
        <v>1031</v>
      </c>
      <c r="B38" s="7" t="str">
        <f t="shared" si="4"/>
        <v>MR2_06A</v>
      </c>
      <c r="C38" s="8" t="s">
        <v>289</v>
      </c>
      <c r="D38" s="7" t="s">
        <v>1075</v>
      </c>
      <c r="E38" s="7" t="s">
        <v>1032</v>
      </c>
      <c r="F38" s="7" t="str">
        <f t="shared" si="5"/>
        <v>ETR1000V300-MR2-06A-04</v>
      </c>
      <c r="G38" s="416" t="str">
        <f t="shared" si="6"/>
        <v>ETR1000V300-MR2-06A</v>
      </c>
      <c r="H38" s="431" t="s">
        <v>492</v>
      </c>
      <c r="I38" s="428">
        <v>46113</v>
      </c>
      <c r="J38" s="416" t="str">
        <f t="shared" si="7"/>
        <v>ETR1000V300-MR2-06A</v>
      </c>
      <c r="K38" s="431" t="s">
        <v>492</v>
      </c>
      <c r="L38" s="428">
        <v>46113</v>
      </c>
      <c r="M38" s="140"/>
      <c r="N38" s="140"/>
      <c r="O38" s="140"/>
      <c r="P38" s="140"/>
      <c r="Q38" s="140"/>
      <c r="R38" s="140"/>
      <c r="S38" s="141"/>
      <c r="T38" s="141"/>
      <c r="U38" s="141"/>
      <c r="V38" s="141"/>
      <c r="W38" s="141"/>
      <c r="X38" s="141"/>
    </row>
    <row r="39" spans="1:24" x14ac:dyDescent="0.25">
      <c r="A39" s="140" t="s">
        <v>1033</v>
      </c>
      <c r="B39" s="7" t="str">
        <f t="shared" si="4"/>
        <v>MR2_07A</v>
      </c>
      <c r="C39" s="8" t="s">
        <v>289</v>
      </c>
      <c r="D39" s="7" t="s">
        <v>1075</v>
      </c>
      <c r="E39" s="7" t="s">
        <v>1034</v>
      </c>
      <c r="F39" s="7" t="str">
        <f t="shared" si="5"/>
        <v>ETR1000V300-MR2-07A-05</v>
      </c>
      <c r="G39" s="416" t="str">
        <f t="shared" si="6"/>
        <v>ETR1000V300-MR2-07A</v>
      </c>
      <c r="H39" s="431" t="s">
        <v>1017</v>
      </c>
      <c r="I39" s="428">
        <v>46113</v>
      </c>
      <c r="J39" s="416" t="str">
        <f t="shared" si="7"/>
        <v>ETR1000V300-MR2-07A</v>
      </c>
      <c r="K39" s="431" t="s">
        <v>1017</v>
      </c>
      <c r="L39" s="428">
        <v>46113</v>
      </c>
      <c r="M39" s="140"/>
      <c r="N39" s="140"/>
      <c r="O39" s="140"/>
      <c r="P39" s="140"/>
      <c r="Q39" s="140"/>
      <c r="R39" s="140"/>
      <c r="S39" s="141"/>
      <c r="T39" s="141"/>
      <c r="U39" s="141"/>
      <c r="V39" s="141"/>
      <c r="W39" s="141"/>
      <c r="X39" s="141"/>
    </row>
    <row r="40" spans="1:24" x14ac:dyDescent="0.25">
      <c r="A40" s="140" t="s">
        <v>1036</v>
      </c>
      <c r="B40" s="7" t="str">
        <f t="shared" si="4"/>
        <v>MR2_08A</v>
      </c>
      <c r="C40" s="8" t="s">
        <v>289</v>
      </c>
      <c r="D40" s="7" t="s">
        <v>1075</v>
      </c>
      <c r="E40" s="7" t="s">
        <v>1037</v>
      </c>
      <c r="F40" s="7" t="str">
        <f t="shared" si="5"/>
        <v>ETR1000V300-MR2-08A-04</v>
      </c>
      <c r="G40" s="416" t="str">
        <f t="shared" si="6"/>
        <v>ETR1000V300-MR2-08A</v>
      </c>
      <c r="H40" s="431" t="s">
        <v>492</v>
      </c>
      <c r="I40" s="428">
        <v>46113</v>
      </c>
      <c r="J40" s="416" t="str">
        <f t="shared" si="7"/>
        <v>ETR1000V300-MR2-08A</v>
      </c>
      <c r="K40" s="431" t="s">
        <v>492</v>
      </c>
      <c r="L40" s="428">
        <v>46113</v>
      </c>
      <c r="M40" s="140"/>
      <c r="N40" s="140"/>
      <c r="O40" s="140"/>
      <c r="P40" s="140"/>
      <c r="Q40" s="140"/>
      <c r="R40" s="140"/>
      <c r="S40" s="141"/>
      <c r="T40" s="141"/>
      <c r="U40" s="141"/>
      <c r="V40" s="141"/>
      <c r="W40" s="141"/>
      <c r="X40" s="141"/>
    </row>
    <row r="41" spans="1:24" x14ac:dyDescent="0.25">
      <c r="A41" s="140" t="s">
        <v>1038</v>
      </c>
      <c r="B41" s="7" t="str">
        <f t="shared" si="4"/>
        <v>MR2_09A</v>
      </c>
      <c r="C41" s="8" t="s">
        <v>289</v>
      </c>
      <c r="D41" s="7" t="s">
        <v>1075</v>
      </c>
      <c r="E41" s="7" t="s">
        <v>1039</v>
      </c>
      <c r="F41" s="7" t="str">
        <f t="shared" si="5"/>
        <v>ETR1000V300-MR2-09A-04</v>
      </c>
      <c r="G41" s="416" t="str">
        <f t="shared" si="6"/>
        <v>ETR1000V300-MR2-09A</v>
      </c>
      <c r="H41" s="431" t="s">
        <v>492</v>
      </c>
      <c r="I41" s="428">
        <v>46113</v>
      </c>
      <c r="J41" s="416" t="str">
        <f t="shared" si="7"/>
        <v>ETR1000V300-MR2-09A</v>
      </c>
      <c r="K41" s="431" t="s">
        <v>492</v>
      </c>
      <c r="L41" s="428">
        <v>46113</v>
      </c>
      <c r="M41" s="140"/>
      <c r="N41" s="140"/>
      <c r="O41" s="140"/>
      <c r="P41" s="140"/>
      <c r="Q41" s="140"/>
      <c r="R41" s="140"/>
      <c r="S41" s="141"/>
      <c r="T41" s="141"/>
      <c r="U41" s="141"/>
      <c r="V41" s="141"/>
      <c r="W41" s="141"/>
      <c r="X41" s="141"/>
    </row>
    <row r="42" spans="1:24" x14ac:dyDescent="0.25">
      <c r="A42" s="140" t="s">
        <v>1042</v>
      </c>
      <c r="B42" s="7" t="str">
        <f t="shared" si="4"/>
        <v>MR2_11A</v>
      </c>
      <c r="C42" s="8" t="s">
        <v>289</v>
      </c>
      <c r="D42" s="7" t="s">
        <v>1075</v>
      </c>
      <c r="E42" s="7" t="s">
        <v>1043</v>
      </c>
      <c r="F42" s="7" t="str">
        <f t="shared" si="5"/>
        <v>ETR1000V300-MR2-11A-03</v>
      </c>
      <c r="G42" s="416" t="str">
        <f t="shared" si="6"/>
        <v>ETR1000V300-MR2-11A</v>
      </c>
      <c r="H42" s="431" t="s">
        <v>607</v>
      </c>
      <c r="I42" s="428">
        <v>46113</v>
      </c>
      <c r="J42" s="416" t="str">
        <f t="shared" si="7"/>
        <v>ETR1000V300-MR2-11A</v>
      </c>
      <c r="K42" s="431" t="s">
        <v>607</v>
      </c>
      <c r="L42" s="428">
        <v>46113</v>
      </c>
      <c r="M42" s="140"/>
      <c r="N42" s="140"/>
      <c r="O42" s="140"/>
      <c r="P42" s="140"/>
      <c r="Q42" s="140"/>
      <c r="R42" s="140"/>
      <c r="S42" s="141"/>
      <c r="T42" s="141"/>
      <c r="U42" s="141"/>
      <c r="V42" s="141"/>
      <c r="W42" s="141"/>
      <c r="X42" s="141"/>
    </row>
    <row r="43" spans="1:24" x14ac:dyDescent="0.25">
      <c r="A43" s="140" t="s">
        <v>1044</v>
      </c>
      <c r="B43" s="7" t="str">
        <f t="shared" si="4"/>
        <v>MR2_13A</v>
      </c>
      <c r="C43" s="8" t="s">
        <v>289</v>
      </c>
      <c r="D43" s="7" t="s">
        <v>1075</v>
      </c>
      <c r="E43" s="7" t="s">
        <v>1045</v>
      </c>
      <c r="F43" s="7" t="str">
        <f t="shared" si="5"/>
        <v>ETR1000V300-MR2-13A-03</v>
      </c>
      <c r="G43" s="416" t="str">
        <f t="shared" si="6"/>
        <v>ETR1000V300-MR2-13A</v>
      </c>
      <c r="H43" s="431" t="s">
        <v>607</v>
      </c>
      <c r="I43" s="428">
        <v>46113</v>
      </c>
      <c r="J43" s="416" t="str">
        <f t="shared" si="7"/>
        <v>ETR1000V300-MR2-13A</v>
      </c>
      <c r="K43" s="431" t="s">
        <v>607</v>
      </c>
      <c r="L43" s="428">
        <v>46113</v>
      </c>
      <c r="M43" s="140"/>
      <c r="N43" s="140"/>
      <c r="O43" s="140"/>
      <c r="P43" s="140"/>
      <c r="Q43" s="140"/>
      <c r="R43" s="140"/>
      <c r="S43" s="141"/>
      <c r="T43" s="141"/>
      <c r="U43" s="141"/>
      <c r="V43" s="141"/>
      <c r="W43" s="141"/>
      <c r="X43" s="141"/>
    </row>
    <row r="44" spans="1:24" x14ac:dyDescent="0.25">
      <c r="A44" s="140" t="s">
        <v>1046</v>
      </c>
      <c r="B44" s="7" t="str">
        <f t="shared" si="4"/>
        <v>MR2_14A</v>
      </c>
      <c r="C44" s="8" t="s">
        <v>289</v>
      </c>
      <c r="D44" s="7" t="s">
        <v>1075</v>
      </c>
      <c r="E44" s="7" t="s">
        <v>1047</v>
      </c>
      <c r="F44" s="7" t="str">
        <f t="shared" si="5"/>
        <v>ETR1000V300-MR2-14A-05</v>
      </c>
      <c r="G44" s="416" t="str">
        <f t="shared" si="6"/>
        <v>ETR1000V300-MR2-14A</v>
      </c>
      <c r="H44" s="431" t="s">
        <v>1017</v>
      </c>
      <c r="I44" s="428">
        <v>46113</v>
      </c>
      <c r="J44" s="416" t="str">
        <f t="shared" si="7"/>
        <v>ETR1000V300-MR2-14A</v>
      </c>
      <c r="K44" s="431" t="s">
        <v>1017</v>
      </c>
      <c r="L44" s="428">
        <v>46113</v>
      </c>
      <c r="M44" s="140"/>
      <c r="N44" s="140"/>
      <c r="O44" s="140"/>
      <c r="P44" s="140"/>
      <c r="Q44" s="140"/>
      <c r="R44" s="140"/>
      <c r="S44" s="141"/>
      <c r="T44" s="141"/>
      <c r="U44" s="141"/>
      <c r="V44" s="141"/>
      <c r="W44" s="141"/>
      <c r="X44" s="141"/>
    </row>
    <row r="45" spans="1:24" x14ac:dyDescent="0.25">
      <c r="A45" s="140" t="s">
        <v>1076</v>
      </c>
      <c r="B45" s="7" t="str">
        <f t="shared" si="4"/>
        <v>MR2_15A</v>
      </c>
      <c r="C45" s="8" t="s">
        <v>289</v>
      </c>
      <c r="D45" s="7" t="s">
        <v>1075</v>
      </c>
      <c r="E45" s="7" t="s">
        <v>1051</v>
      </c>
      <c r="F45" s="7" t="str">
        <f t="shared" si="5"/>
        <v>ETR1000V300-MR2-15A-05</v>
      </c>
      <c r="G45" s="416" t="str">
        <f t="shared" si="6"/>
        <v>ETR1000V300-MR2-15A</v>
      </c>
      <c r="H45" s="431" t="s">
        <v>1017</v>
      </c>
      <c r="I45" s="428">
        <v>46113</v>
      </c>
      <c r="J45" s="416" t="str">
        <f t="shared" si="7"/>
        <v>ETR1000V300-MR2-15A</v>
      </c>
      <c r="K45" s="431" t="s">
        <v>1017</v>
      </c>
      <c r="L45" s="428">
        <v>46113</v>
      </c>
      <c r="M45" s="140"/>
      <c r="N45" s="140"/>
      <c r="O45" s="140"/>
      <c r="P45" s="140"/>
      <c r="Q45" s="140"/>
      <c r="R45" s="140"/>
      <c r="S45" s="141"/>
      <c r="T45" s="141"/>
      <c r="U45" s="141"/>
      <c r="V45" s="141"/>
      <c r="W45" s="141"/>
      <c r="X45" s="141"/>
    </row>
    <row r="46" spans="1:24" x14ac:dyDescent="0.25">
      <c r="A46" s="140" t="s">
        <v>1077</v>
      </c>
      <c r="B46" s="7" t="str">
        <f t="shared" si="4"/>
        <v>MR2_17A</v>
      </c>
      <c r="C46" s="8" t="s">
        <v>289</v>
      </c>
      <c r="D46" s="7" t="s">
        <v>1075</v>
      </c>
      <c r="E46" s="7" t="s">
        <v>1078</v>
      </c>
      <c r="F46" s="7" t="str">
        <f t="shared" si="5"/>
        <v>ETR1000V300-MR2-17A-00</v>
      </c>
      <c r="G46" s="416" t="str">
        <f t="shared" si="6"/>
        <v>ETR1000V300-MR2-17A</v>
      </c>
      <c r="H46" s="420" t="s">
        <v>572</v>
      </c>
      <c r="I46" s="418">
        <v>41913</v>
      </c>
      <c r="J46" s="416" t="str">
        <f t="shared" si="7"/>
        <v>ETR1000V300-MR2-17A</v>
      </c>
      <c r="K46" s="420" t="s">
        <v>572</v>
      </c>
      <c r="L46" s="418">
        <v>41913</v>
      </c>
      <c r="M46" s="140"/>
      <c r="N46" s="140"/>
      <c r="O46" s="140"/>
      <c r="P46" s="140"/>
      <c r="Q46" s="140"/>
      <c r="R46" s="140"/>
      <c r="S46" s="147" t="s">
        <v>607</v>
      </c>
      <c r="T46" s="147"/>
      <c r="U46" s="147"/>
      <c r="V46" s="147" t="s">
        <v>607</v>
      </c>
      <c r="W46" s="147"/>
      <c r="X46" s="147"/>
    </row>
    <row r="47" spans="1:24" x14ac:dyDescent="0.25">
      <c r="A47" s="140" t="s">
        <v>1079</v>
      </c>
      <c r="B47" s="7" t="str">
        <f t="shared" si="4"/>
        <v>MR2_30A_1</v>
      </c>
      <c r="C47" s="8" t="s">
        <v>289</v>
      </c>
      <c r="D47" s="7" t="s">
        <v>1075</v>
      </c>
      <c r="E47" s="7" t="s">
        <v>1080</v>
      </c>
      <c r="F47" s="7" t="str">
        <f t="shared" si="5"/>
        <v>ETR1000V300-MR2-30A_1-01</v>
      </c>
      <c r="G47" s="416" t="str">
        <f t="shared" si="6"/>
        <v>ETR1000V300-MR2-30A_1</v>
      </c>
      <c r="H47" s="420" t="s">
        <v>488</v>
      </c>
      <c r="I47" s="419" t="s">
        <v>1081</v>
      </c>
      <c r="J47" s="416" t="str">
        <f t="shared" si="7"/>
        <v>ETR1000V300-MR2-30A_1</v>
      </c>
      <c r="K47" s="420" t="s">
        <v>488</v>
      </c>
      <c r="L47" s="419" t="s">
        <v>1081</v>
      </c>
      <c r="M47" s="140"/>
      <c r="N47" s="140"/>
      <c r="O47" s="140"/>
      <c r="P47" s="140"/>
      <c r="Q47" s="140"/>
      <c r="R47" s="140"/>
      <c r="S47" s="141"/>
      <c r="T47" s="141"/>
      <c r="U47" s="141"/>
      <c r="V47" s="141"/>
      <c r="W47" s="141"/>
      <c r="X47" s="141"/>
    </row>
    <row r="48" spans="1:24" x14ac:dyDescent="0.25">
      <c r="A48" s="140" t="s">
        <v>1082</v>
      </c>
      <c r="B48" s="7" t="str">
        <f t="shared" si="4"/>
        <v>MR2_30A_2</v>
      </c>
      <c r="C48" s="8" t="s">
        <v>289</v>
      </c>
      <c r="D48" s="7" t="s">
        <v>1075</v>
      </c>
      <c r="E48" s="7" t="s">
        <v>1083</v>
      </c>
      <c r="F48" s="7" t="str">
        <f t="shared" si="5"/>
        <v>ETR1000V300-MR2-30A_2-01</v>
      </c>
      <c r="G48" s="416" t="str">
        <f t="shared" si="6"/>
        <v>ETR1000V300-MR2-30A_2</v>
      </c>
      <c r="H48" s="420" t="s">
        <v>488</v>
      </c>
      <c r="I48" s="419" t="s">
        <v>1081</v>
      </c>
      <c r="J48" s="416" t="str">
        <f t="shared" si="7"/>
        <v>ETR1000V300-MR2-30A_2</v>
      </c>
      <c r="K48" s="420" t="s">
        <v>488</v>
      </c>
      <c r="L48" s="419" t="s">
        <v>1081</v>
      </c>
      <c r="M48" s="140"/>
      <c r="N48" s="140"/>
      <c r="O48" s="140"/>
      <c r="P48" s="140"/>
      <c r="Q48" s="140"/>
      <c r="R48" s="140"/>
      <c r="S48" s="141"/>
      <c r="T48" s="141"/>
      <c r="U48" s="141"/>
      <c r="V48" s="141"/>
      <c r="W48" s="141"/>
      <c r="X48" s="141"/>
    </row>
    <row r="49" spans="1:24" x14ac:dyDescent="0.25">
      <c r="A49" s="140" t="s">
        <v>1084</v>
      </c>
      <c r="B49" s="7" t="str">
        <f t="shared" si="4"/>
        <v>MR2_30A_3</v>
      </c>
      <c r="C49" s="8" t="s">
        <v>289</v>
      </c>
      <c r="D49" s="7" t="s">
        <v>1075</v>
      </c>
      <c r="E49" s="7" t="s">
        <v>1085</v>
      </c>
      <c r="F49" s="7" t="str">
        <f t="shared" si="5"/>
        <v>ETR1000V300-MR2-30A_3-01</v>
      </c>
      <c r="G49" s="416" t="str">
        <f t="shared" si="6"/>
        <v>ETR1000V300-MR2-30A_3</v>
      </c>
      <c r="H49" s="420" t="s">
        <v>488</v>
      </c>
      <c r="I49" s="419" t="s">
        <v>1081</v>
      </c>
      <c r="J49" s="416" t="str">
        <f t="shared" si="7"/>
        <v>ETR1000V300-MR2-30A_3</v>
      </c>
      <c r="K49" s="420" t="s">
        <v>488</v>
      </c>
      <c r="L49" s="419" t="s">
        <v>1081</v>
      </c>
      <c r="M49" s="140"/>
      <c r="N49" s="140"/>
      <c r="O49" s="140"/>
      <c r="P49" s="140"/>
      <c r="Q49" s="140"/>
      <c r="R49" s="140"/>
      <c r="S49" s="141"/>
      <c r="T49" s="141"/>
      <c r="U49" s="141"/>
      <c r="V49" s="141"/>
      <c r="W49" s="141"/>
      <c r="X49" s="141"/>
    </row>
    <row r="50" spans="1:24" x14ac:dyDescent="0.25">
      <c r="A50" s="140" t="s">
        <v>1086</v>
      </c>
      <c r="B50" s="7" t="str">
        <f t="shared" si="4"/>
        <v>MR2_30A_4</v>
      </c>
      <c r="C50" s="8" t="s">
        <v>289</v>
      </c>
      <c r="D50" s="7" t="s">
        <v>1075</v>
      </c>
      <c r="E50" s="7" t="s">
        <v>1087</v>
      </c>
      <c r="F50" s="7" t="str">
        <f t="shared" si="5"/>
        <v>ETR1000V300-MR2-30A_4-01</v>
      </c>
      <c r="G50" s="416" t="str">
        <f t="shared" si="6"/>
        <v>ETR1000V300-MR2-30A_4</v>
      </c>
      <c r="H50" s="420" t="s">
        <v>488</v>
      </c>
      <c r="I50" s="419" t="s">
        <v>1081</v>
      </c>
      <c r="J50" s="416" t="str">
        <f t="shared" si="7"/>
        <v>ETR1000V300-MR2-30A_4</v>
      </c>
      <c r="K50" s="420" t="s">
        <v>488</v>
      </c>
      <c r="L50" s="419" t="s">
        <v>1081</v>
      </c>
      <c r="M50" s="140"/>
      <c r="N50" s="140"/>
      <c r="O50" s="140"/>
      <c r="P50" s="140"/>
      <c r="Q50" s="140"/>
      <c r="R50" s="140"/>
      <c r="S50" s="141"/>
      <c r="T50" s="141"/>
      <c r="U50" s="141"/>
      <c r="V50" s="141"/>
      <c r="W50" s="141"/>
      <c r="X50" s="141"/>
    </row>
    <row r="51" spans="1:24" x14ac:dyDescent="0.25">
      <c r="A51" s="140" t="s">
        <v>1088</v>
      </c>
      <c r="B51" s="7" t="str">
        <f t="shared" si="4"/>
        <v>MR2_30A_5</v>
      </c>
      <c r="C51" s="8" t="s">
        <v>289</v>
      </c>
      <c r="D51" s="7" t="s">
        <v>1075</v>
      </c>
      <c r="E51" s="7" t="s">
        <v>1089</v>
      </c>
      <c r="F51" s="7" t="str">
        <f t="shared" si="5"/>
        <v>ETR1000V300-MR2-30A_5-01</v>
      </c>
      <c r="G51" s="416" t="str">
        <f t="shared" si="6"/>
        <v>ETR1000V300-MR2-30A_5</v>
      </c>
      <c r="H51" s="420" t="s">
        <v>488</v>
      </c>
      <c r="I51" s="419" t="s">
        <v>1081</v>
      </c>
      <c r="J51" s="416" t="str">
        <f t="shared" si="7"/>
        <v>ETR1000V300-MR2-30A_5</v>
      </c>
      <c r="K51" s="420" t="s">
        <v>488</v>
      </c>
      <c r="L51" s="419" t="s">
        <v>1081</v>
      </c>
      <c r="M51" s="140"/>
      <c r="N51" s="140"/>
      <c r="O51" s="140"/>
      <c r="P51" s="140"/>
      <c r="Q51" s="140"/>
      <c r="R51" s="140"/>
      <c r="S51" s="141"/>
      <c r="T51" s="141"/>
      <c r="U51" s="141"/>
      <c r="V51" s="141"/>
      <c r="W51" s="141"/>
      <c r="X51" s="141"/>
    </row>
    <row r="52" spans="1:24" x14ac:dyDescent="0.25">
      <c r="A52" s="140" t="s">
        <v>1090</v>
      </c>
      <c r="B52" s="7" t="str">
        <f t="shared" si="4"/>
        <v>CPR_01A</v>
      </c>
      <c r="C52" s="8" t="s">
        <v>289</v>
      </c>
      <c r="D52" s="7" t="s">
        <v>1091</v>
      </c>
      <c r="E52" s="7" t="s">
        <v>1006</v>
      </c>
      <c r="F52" s="7" t="s">
        <v>1092</v>
      </c>
      <c r="G52" s="416" t="str">
        <f t="shared" si="6"/>
        <v>ETR1000V300-CPR-01A</v>
      </c>
      <c r="H52" s="417" t="s">
        <v>31</v>
      </c>
      <c r="I52" s="419" t="s">
        <v>1093</v>
      </c>
      <c r="J52" s="416" t="str">
        <f t="shared" si="7"/>
        <v>ETR1000V300-CPR-01A</v>
      </c>
      <c r="K52" s="417" t="s">
        <v>31</v>
      </c>
      <c r="L52" s="419" t="s">
        <v>1093</v>
      </c>
      <c r="M52" s="140"/>
      <c r="N52" s="140"/>
      <c r="O52" s="140"/>
      <c r="P52" s="140"/>
      <c r="Q52" s="140"/>
      <c r="R52" s="140"/>
      <c r="S52" s="147" t="s">
        <v>488</v>
      </c>
      <c r="T52" s="147"/>
      <c r="U52" s="147"/>
      <c r="V52" s="147" t="s">
        <v>488</v>
      </c>
      <c r="W52" s="147"/>
      <c r="X52" s="147"/>
    </row>
    <row r="53" spans="1:24" x14ac:dyDescent="0.25">
      <c r="A53" s="140" t="s">
        <v>1094</v>
      </c>
      <c r="B53" s="7" t="str">
        <f t="shared" si="4"/>
        <v>CPR_01B</v>
      </c>
      <c r="C53" s="8" t="s">
        <v>289</v>
      </c>
      <c r="D53" s="7" t="s">
        <v>1091</v>
      </c>
      <c r="E53" s="7" t="s">
        <v>1009</v>
      </c>
      <c r="F53" s="7" t="s">
        <v>1095</v>
      </c>
      <c r="G53" s="416" t="str">
        <f t="shared" si="6"/>
        <v>ETR1000V300-CPR-01B</v>
      </c>
      <c r="H53" s="417" t="s">
        <v>31</v>
      </c>
      <c r="I53" s="419" t="s">
        <v>1093</v>
      </c>
      <c r="J53" s="416" t="str">
        <f t="shared" si="7"/>
        <v>ETR1000V300-CPR-01B</v>
      </c>
      <c r="K53" s="417" t="s">
        <v>31</v>
      </c>
      <c r="L53" s="419" t="s">
        <v>1093</v>
      </c>
      <c r="M53" s="140"/>
      <c r="N53" s="140"/>
      <c r="O53" s="140"/>
      <c r="P53" s="140"/>
      <c r="Q53" s="140"/>
      <c r="R53" s="140"/>
      <c r="S53" s="147" t="s">
        <v>488</v>
      </c>
      <c r="T53" s="147"/>
      <c r="U53" s="147"/>
      <c r="V53" s="147" t="s">
        <v>488</v>
      </c>
      <c r="W53" s="147"/>
      <c r="X53" s="147"/>
    </row>
    <row r="54" spans="1:24" x14ac:dyDescent="0.25">
      <c r="A54" s="140" t="s">
        <v>1096</v>
      </c>
      <c r="B54" s="7" t="str">
        <f t="shared" si="4"/>
        <v>CPR_01C</v>
      </c>
      <c r="C54" s="8" t="s">
        <v>289</v>
      </c>
      <c r="D54" s="7" t="s">
        <v>1091</v>
      </c>
      <c r="E54" s="7" t="s">
        <v>1097</v>
      </c>
      <c r="F54" s="7" t="s">
        <v>1098</v>
      </c>
      <c r="G54" s="416" t="str">
        <f t="shared" si="6"/>
        <v>ETR1000V300-CPR-01C</v>
      </c>
      <c r="H54" s="417" t="s">
        <v>31</v>
      </c>
      <c r="I54" s="419" t="s">
        <v>1093</v>
      </c>
      <c r="J54" s="416" t="str">
        <f t="shared" si="7"/>
        <v>ETR1000V300-CPR-01C</v>
      </c>
      <c r="K54" s="417" t="s">
        <v>31</v>
      </c>
      <c r="L54" s="419" t="s">
        <v>1093</v>
      </c>
      <c r="M54" s="140"/>
      <c r="N54" s="140"/>
      <c r="O54" s="140"/>
      <c r="P54" s="140"/>
      <c r="Q54" s="140"/>
      <c r="R54" s="140"/>
      <c r="S54" s="141"/>
      <c r="T54" s="141"/>
      <c r="U54" s="141"/>
      <c r="V54" s="141"/>
      <c r="W54" s="141"/>
      <c r="X54" s="141"/>
    </row>
    <row r="55" spans="1:24" x14ac:dyDescent="0.25">
      <c r="A55" s="140" t="s">
        <v>1099</v>
      </c>
      <c r="B55" s="7" t="str">
        <f t="shared" si="4"/>
        <v>CPR_01D</v>
      </c>
      <c r="C55" s="8" t="s">
        <v>289</v>
      </c>
      <c r="D55" s="7" t="s">
        <v>1091</v>
      </c>
      <c r="E55" s="7" t="s">
        <v>1100</v>
      </c>
      <c r="F55" s="7" t="s">
        <v>1101</v>
      </c>
      <c r="G55" s="416" t="str">
        <f t="shared" si="6"/>
        <v>ETR1000V300-CPR-01D</v>
      </c>
      <c r="H55" s="417" t="s">
        <v>31</v>
      </c>
      <c r="I55" s="419" t="s">
        <v>1093</v>
      </c>
      <c r="J55" s="416" t="str">
        <f t="shared" si="7"/>
        <v>ETR1000V300-CPR-01D</v>
      </c>
      <c r="K55" s="417" t="s">
        <v>31</v>
      </c>
      <c r="L55" s="419" t="s">
        <v>1093</v>
      </c>
      <c r="M55" s="140"/>
      <c r="N55" s="140"/>
      <c r="O55" s="140"/>
      <c r="P55" s="140"/>
      <c r="Q55" s="140"/>
      <c r="R55" s="140"/>
      <c r="S55" s="147" t="s">
        <v>488</v>
      </c>
      <c r="T55" s="147"/>
      <c r="U55" s="147"/>
      <c r="V55" s="147" t="s">
        <v>488</v>
      </c>
      <c r="W55" s="147"/>
      <c r="X55" s="147"/>
    </row>
    <row r="56" spans="1:24" x14ac:dyDescent="0.25">
      <c r="A56" s="140" t="s">
        <v>1018</v>
      </c>
      <c r="B56" s="7" t="str">
        <f t="shared" si="4"/>
        <v>CPR_02A</v>
      </c>
      <c r="C56" s="8" t="s">
        <v>289</v>
      </c>
      <c r="D56" s="7" t="s">
        <v>1091</v>
      </c>
      <c r="E56" s="7" t="s">
        <v>1019</v>
      </c>
      <c r="F56" s="7" t="s">
        <v>1102</v>
      </c>
      <c r="G56" s="416" t="str">
        <f t="shared" si="6"/>
        <v>ETR1000V300-CPR-02A</v>
      </c>
      <c r="H56" s="417" t="s">
        <v>31</v>
      </c>
      <c r="I56" s="419" t="s">
        <v>1103</v>
      </c>
      <c r="J56" s="416" t="str">
        <f t="shared" si="7"/>
        <v>ETR1000V300-CPR-02A</v>
      </c>
      <c r="K56" s="417" t="s">
        <v>31</v>
      </c>
      <c r="L56" s="419" t="s">
        <v>1103</v>
      </c>
      <c r="M56" s="140"/>
      <c r="N56" s="140"/>
      <c r="O56" s="140"/>
      <c r="P56" s="140"/>
      <c r="Q56" s="140"/>
      <c r="R56" s="140"/>
      <c r="S56" s="147" t="s">
        <v>600</v>
      </c>
      <c r="T56" s="147"/>
      <c r="U56" s="147"/>
      <c r="V56" s="147" t="s">
        <v>600</v>
      </c>
      <c r="W56" s="147"/>
      <c r="X56" s="147"/>
    </row>
    <row r="57" spans="1:24" x14ac:dyDescent="0.25">
      <c r="A57" s="140" t="s">
        <v>1104</v>
      </c>
      <c r="B57" s="7" t="str">
        <f t="shared" si="4"/>
        <v>CPR_03A</v>
      </c>
      <c r="C57" s="8" t="s">
        <v>289</v>
      </c>
      <c r="D57" s="7" t="s">
        <v>1091</v>
      </c>
      <c r="E57" s="7" t="s">
        <v>1022</v>
      </c>
      <c r="F57" s="7" t="s">
        <v>1105</v>
      </c>
      <c r="G57" s="416" t="str">
        <f t="shared" si="6"/>
        <v>ETR1000V300-CPR-03A</v>
      </c>
      <c r="H57" s="417" t="s">
        <v>31</v>
      </c>
      <c r="I57" s="419" t="s">
        <v>1063</v>
      </c>
      <c r="J57" s="416" t="str">
        <f t="shared" si="7"/>
        <v>ETR1000V300-CPR-03A</v>
      </c>
      <c r="K57" s="417" t="s">
        <v>31</v>
      </c>
      <c r="L57" s="419" t="s">
        <v>1063</v>
      </c>
      <c r="M57" s="140"/>
      <c r="N57" s="140"/>
      <c r="O57" s="140"/>
      <c r="P57" s="140"/>
      <c r="Q57" s="140"/>
      <c r="R57" s="140"/>
      <c r="S57" s="147" t="s">
        <v>600</v>
      </c>
      <c r="T57" s="147"/>
      <c r="U57" s="147"/>
      <c r="V57" s="147" t="s">
        <v>600</v>
      </c>
      <c r="W57" s="147"/>
      <c r="X57" s="147"/>
    </row>
    <row r="58" spans="1:24" x14ac:dyDescent="0.25">
      <c r="A58" s="140" t="s">
        <v>1106</v>
      </c>
      <c r="B58" s="7" t="str">
        <f t="shared" si="4"/>
        <v>CPR_03B</v>
      </c>
      <c r="C58" s="8" t="s">
        <v>289</v>
      </c>
      <c r="D58" s="7" t="s">
        <v>1091</v>
      </c>
      <c r="E58" s="7" t="s">
        <v>1107</v>
      </c>
      <c r="F58" s="7" t="s">
        <v>1108</v>
      </c>
      <c r="G58" s="416" t="str">
        <f t="shared" si="6"/>
        <v>ETR1000V300-CPR-03B</v>
      </c>
      <c r="H58" s="417" t="s">
        <v>31</v>
      </c>
      <c r="I58" s="430">
        <v>46113</v>
      </c>
      <c r="J58" s="416" t="str">
        <f t="shared" si="7"/>
        <v>ETR1000V300-CPR-03B</v>
      </c>
      <c r="K58" s="417" t="s">
        <v>31</v>
      </c>
      <c r="L58" s="430">
        <v>46113</v>
      </c>
      <c r="M58" s="140"/>
      <c r="N58" s="140"/>
      <c r="O58" s="140"/>
      <c r="P58" s="140"/>
      <c r="Q58" s="140"/>
      <c r="R58" s="140"/>
      <c r="S58" s="147" t="s">
        <v>600</v>
      </c>
      <c r="T58" s="147"/>
      <c r="U58" s="147"/>
      <c r="V58" s="147" t="s">
        <v>600</v>
      </c>
      <c r="W58" s="147"/>
      <c r="X58" s="147"/>
    </row>
    <row r="59" spans="1:24" x14ac:dyDescent="0.25">
      <c r="A59" s="140" t="s">
        <v>1109</v>
      </c>
      <c r="B59" s="7" t="str">
        <f t="shared" si="4"/>
        <v>CPR_04A</v>
      </c>
      <c r="C59" s="8" t="s">
        <v>289</v>
      </c>
      <c r="D59" s="7" t="s">
        <v>1091</v>
      </c>
      <c r="E59" s="7" t="s">
        <v>1025</v>
      </c>
      <c r="F59" s="7" t="s">
        <v>1110</v>
      </c>
      <c r="G59" s="416" t="str">
        <f t="shared" si="6"/>
        <v>ETR1000V300-CPR-04A</v>
      </c>
      <c r="H59" s="417" t="s">
        <v>31</v>
      </c>
      <c r="I59" s="430">
        <v>45748</v>
      </c>
      <c r="J59" s="416" t="str">
        <f t="shared" si="7"/>
        <v>ETR1000V300-CPR-04A</v>
      </c>
      <c r="K59" s="417" t="s">
        <v>31</v>
      </c>
      <c r="L59" s="430">
        <v>45748</v>
      </c>
      <c r="M59" s="140"/>
      <c r="N59" s="140"/>
      <c r="O59" s="140"/>
      <c r="P59" s="140"/>
      <c r="Q59" s="140"/>
      <c r="R59" s="140"/>
      <c r="S59" s="147" t="s">
        <v>488</v>
      </c>
      <c r="T59" s="147"/>
      <c r="U59" s="147"/>
      <c r="V59" s="147" t="s">
        <v>488</v>
      </c>
      <c r="W59" s="147"/>
      <c r="X59" s="147"/>
    </row>
    <row r="60" spans="1:24" x14ac:dyDescent="0.25">
      <c r="A60" s="140" t="s">
        <v>1111</v>
      </c>
      <c r="B60" s="7" t="str">
        <f t="shared" si="4"/>
        <v>CPR_04B</v>
      </c>
      <c r="C60" s="8" t="s">
        <v>289</v>
      </c>
      <c r="D60" s="7" t="s">
        <v>1091</v>
      </c>
      <c r="E60" s="7" t="s">
        <v>1112</v>
      </c>
      <c r="F60" s="7" t="s">
        <v>1113</v>
      </c>
      <c r="G60" s="416" t="str">
        <f t="shared" si="6"/>
        <v>ETR1000V300-CPR-04B</v>
      </c>
      <c r="H60" s="417" t="s">
        <v>31</v>
      </c>
      <c r="I60" s="430">
        <v>46082</v>
      </c>
      <c r="J60" s="416" t="str">
        <f t="shared" si="7"/>
        <v>ETR1000V300-CPR-04B</v>
      </c>
      <c r="K60" s="417" t="s">
        <v>31</v>
      </c>
      <c r="L60" s="430">
        <v>46082</v>
      </c>
      <c r="M60" s="140"/>
      <c r="N60" s="140"/>
      <c r="O60" s="140"/>
      <c r="P60" s="140"/>
      <c r="Q60" s="140"/>
      <c r="R60" s="140"/>
      <c r="S60" s="147" t="s">
        <v>488</v>
      </c>
      <c r="T60" s="147"/>
      <c r="U60" s="147"/>
      <c r="V60" s="147" t="s">
        <v>488</v>
      </c>
      <c r="W60" s="147"/>
      <c r="X60" s="147"/>
    </row>
    <row r="61" spans="1:24" x14ac:dyDescent="0.25">
      <c r="A61" s="140" t="s">
        <v>1114</v>
      </c>
      <c r="B61" s="7" t="str">
        <f t="shared" si="4"/>
        <v>CPR_04C</v>
      </c>
      <c r="C61" s="8" t="s">
        <v>289</v>
      </c>
      <c r="D61" s="7" t="s">
        <v>1091</v>
      </c>
      <c r="E61" s="7" t="s">
        <v>1115</v>
      </c>
      <c r="F61" s="7" t="s">
        <v>1116</v>
      </c>
      <c r="G61" s="416" t="str">
        <f t="shared" si="6"/>
        <v>ETR1000V300-CPR-04C</v>
      </c>
      <c r="H61" s="417" t="s">
        <v>31</v>
      </c>
      <c r="I61" s="419" t="s">
        <v>1103</v>
      </c>
      <c r="J61" s="416" t="str">
        <f t="shared" si="7"/>
        <v>ETR1000V300-CPR-04C</v>
      </c>
      <c r="K61" s="417" t="s">
        <v>31</v>
      </c>
      <c r="L61" s="419" t="s">
        <v>1103</v>
      </c>
      <c r="M61" s="140"/>
      <c r="N61" s="140"/>
      <c r="O61" s="140"/>
      <c r="P61" s="140"/>
      <c r="Q61" s="140"/>
      <c r="R61" s="140"/>
      <c r="S61" s="147" t="s">
        <v>488</v>
      </c>
      <c r="T61" s="147"/>
      <c r="U61" s="147"/>
      <c r="V61" s="147" t="s">
        <v>488</v>
      </c>
      <c r="W61" s="147"/>
      <c r="X61" s="147"/>
    </row>
    <row r="62" spans="1:24" x14ac:dyDescent="0.25">
      <c r="A62" s="140" t="s">
        <v>1117</v>
      </c>
      <c r="B62" s="7" t="str">
        <f t="shared" si="4"/>
        <v>CPR_04D</v>
      </c>
      <c r="C62" s="8" t="s">
        <v>289</v>
      </c>
      <c r="D62" s="7" t="s">
        <v>1091</v>
      </c>
      <c r="E62" s="7" t="s">
        <v>1118</v>
      </c>
      <c r="F62" s="7" t="s">
        <v>1119</v>
      </c>
      <c r="G62" s="416" t="str">
        <f t="shared" si="6"/>
        <v>ETR1000V300-CPR-04D</v>
      </c>
      <c r="H62" s="417" t="s">
        <v>31</v>
      </c>
      <c r="I62" s="430">
        <v>45748</v>
      </c>
      <c r="J62" s="416" t="str">
        <f t="shared" si="7"/>
        <v>ETR1000V300-CPR-04D</v>
      </c>
      <c r="K62" s="417" t="s">
        <v>31</v>
      </c>
      <c r="L62" s="430">
        <v>45748</v>
      </c>
      <c r="M62" s="140"/>
      <c r="N62" s="140"/>
      <c r="O62" s="140"/>
      <c r="P62" s="140"/>
      <c r="Q62" s="140"/>
      <c r="R62" s="140"/>
      <c r="S62" s="141"/>
      <c r="T62" s="141"/>
      <c r="U62" s="141"/>
      <c r="V62" s="141"/>
      <c r="W62" s="141"/>
      <c r="X62" s="141"/>
    </row>
    <row r="63" spans="1:24" x14ac:dyDescent="0.25">
      <c r="A63" s="140" t="s">
        <v>1026</v>
      </c>
      <c r="B63" s="7" t="str">
        <f t="shared" si="4"/>
        <v>CPR_05A</v>
      </c>
      <c r="C63" s="8" t="s">
        <v>289</v>
      </c>
      <c r="D63" s="7" t="s">
        <v>1091</v>
      </c>
      <c r="E63" s="7" t="s">
        <v>1027</v>
      </c>
      <c r="F63" s="7" t="s">
        <v>1120</v>
      </c>
      <c r="G63" s="416" t="str">
        <f t="shared" si="6"/>
        <v>ETR1000V300-CPR-05A</v>
      </c>
      <c r="H63" s="417" t="s">
        <v>31</v>
      </c>
      <c r="I63" s="419" t="s">
        <v>1030</v>
      </c>
      <c r="J63" s="416" t="str">
        <f t="shared" si="7"/>
        <v>ETR1000V300-CPR-05A</v>
      </c>
      <c r="K63" s="417" t="s">
        <v>31</v>
      </c>
      <c r="L63" s="419" t="s">
        <v>1030</v>
      </c>
      <c r="M63" s="140"/>
      <c r="N63" s="140"/>
      <c r="O63" s="140"/>
      <c r="P63" s="140"/>
      <c r="Q63" s="140"/>
      <c r="R63" s="140"/>
      <c r="S63" s="147" t="s">
        <v>600</v>
      </c>
      <c r="T63" s="147"/>
      <c r="U63" s="147"/>
      <c r="V63" s="147" t="s">
        <v>600</v>
      </c>
      <c r="W63" s="147"/>
      <c r="X63" s="147"/>
    </row>
    <row r="64" spans="1:24" x14ac:dyDescent="0.25">
      <c r="A64" s="140" t="s">
        <v>1031</v>
      </c>
      <c r="B64" s="7" t="str">
        <f t="shared" si="4"/>
        <v>CPR_06A</v>
      </c>
      <c r="C64" s="8" t="s">
        <v>289</v>
      </c>
      <c r="D64" s="7" t="s">
        <v>1091</v>
      </c>
      <c r="E64" s="7" t="s">
        <v>1032</v>
      </c>
      <c r="F64" s="7" t="s">
        <v>1121</v>
      </c>
      <c r="G64" s="416" t="str">
        <f t="shared" si="6"/>
        <v>ETR1000V300-CPR-06A</v>
      </c>
      <c r="H64" s="417" t="s">
        <v>31</v>
      </c>
      <c r="I64" s="419" t="s">
        <v>1122</v>
      </c>
      <c r="J64" s="416" t="str">
        <f t="shared" si="7"/>
        <v>ETR1000V300-CPR-06A</v>
      </c>
      <c r="K64" s="417" t="s">
        <v>31</v>
      </c>
      <c r="L64" s="419" t="s">
        <v>1122</v>
      </c>
      <c r="M64" s="140"/>
      <c r="N64" s="140"/>
      <c r="O64" s="140"/>
      <c r="P64" s="140"/>
      <c r="Q64" s="140"/>
      <c r="R64" s="140"/>
      <c r="S64" s="147" t="s">
        <v>600</v>
      </c>
      <c r="T64" s="147"/>
      <c r="U64" s="147"/>
      <c r="V64" s="147" t="s">
        <v>600</v>
      </c>
      <c r="W64" s="147"/>
      <c r="X64" s="147"/>
    </row>
    <row r="65" spans="1:24" x14ac:dyDescent="0.25">
      <c r="A65" s="140" t="s">
        <v>1033</v>
      </c>
      <c r="B65" s="7" t="str">
        <f t="shared" si="4"/>
        <v>CPR_07A</v>
      </c>
      <c r="C65" s="8" t="s">
        <v>289</v>
      </c>
      <c r="D65" s="7" t="s">
        <v>1091</v>
      </c>
      <c r="E65" s="7" t="s">
        <v>1034</v>
      </c>
      <c r="F65" s="7" t="s">
        <v>1123</v>
      </c>
      <c r="G65" s="416" t="str">
        <f t="shared" si="6"/>
        <v>ETR1000V300-CPR-07A</v>
      </c>
      <c r="H65" s="417" t="s">
        <v>31</v>
      </c>
      <c r="I65" s="419" t="s">
        <v>1122</v>
      </c>
      <c r="J65" s="416" t="str">
        <f t="shared" si="7"/>
        <v>ETR1000V300-CPR-07A</v>
      </c>
      <c r="K65" s="417" t="s">
        <v>31</v>
      </c>
      <c r="L65" s="419" t="s">
        <v>1122</v>
      </c>
      <c r="M65" s="140"/>
      <c r="N65" s="140"/>
      <c r="O65" s="140"/>
      <c r="P65" s="140"/>
      <c r="Q65" s="140"/>
      <c r="R65" s="140"/>
      <c r="S65" s="141"/>
      <c r="T65" s="141"/>
      <c r="U65" s="141"/>
      <c r="V65" s="141"/>
      <c r="W65" s="141"/>
      <c r="X65" s="141"/>
    </row>
    <row r="66" spans="1:24" x14ac:dyDescent="0.25">
      <c r="A66" s="140" t="s">
        <v>1124</v>
      </c>
      <c r="B66" s="7" t="str">
        <f t="shared" si="4"/>
        <v>CPR_08A</v>
      </c>
      <c r="C66" s="8" t="s">
        <v>289</v>
      </c>
      <c r="D66" s="7" t="s">
        <v>1091</v>
      </c>
      <c r="E66" s="7" t="s">
        <v>1037</v>
      </c>
      <c r="F66" s="7" t="s">
        <v>1125</v>
      </c>
      <c r="G66" s="416" t="str">
        <f t="shared" si="6"/>
        <v>ETR1000V300-CPR-08A</v>
      </c>
      <c r="H66" s="417" t="s">
        <v>31</v>
      </c>
      <c r="I66" s="419" t="s">
        <v>1063</v>
      </c>
      <c r="J66" s="416" t="str">
        <f t="shared" si="7"/>
        <v>ETR1000V300-CPR-08A</v>
      </c>
      <c r="K66" s="417" t="s">
        <v>31</v>
      </c>
      <c r="L66" s="419" t="s">
        <v>1063</v>
      </c>
      <c r="M66" s="140"/>
      <c r="N66" s="140"/>
      <c r="O66" s="140"/>
      <c r="P66" s="140"/>
      <c r="Q66" s="140"/>
      <c r="R66" s="140"/>
      <c r="S66" s="147" t="s">
        <v>600</v>
      </c>
      <c r="T66" s="147"/>
      <c r="U66" s="147"/>
      <c r="V66" s="147" t="s">
        <v>600</v>
      </c>
      <c r="W66" s="147"/>
      <c r="X66" s="147"/>
    </row>
    <row r="67" spans="1:24" x14ac:dyDescent="0.25">
      <c r="A67" s="140" t="s">
        <v>1126</v>
      </c>
      <c r="B67" s="7" t="str">
        <f t="shared" ref="B67:B79" si="8">CONCATENATE(D67,"_",E67)</f>
        <v>CPR_08B</v>
      </c>
      <c r="C67" s="8" t="s">
        <v>289</v>
      </c>
      <c r="D67" s="7" t="s">
        <v>1091</v>
      </c>
      <c r="E67" s="7" t="s">
        <v>1127</v>
      </c>
      <c r="F67" s="7" t="s">
        <v>1128</v>
      </c>
      <c r="G67" s="416" t="str">
        <f t="shared" ref="G67:G79" si="9">CONCATENATE("ETR1000V300-",$D67,"-",$E67)</f>
        <v>ETR1000V300-CPR-08B</v>
      </c>
      <c r="H67" s="417" t="s">
        <v>31</v>
      </c>
      <c r="I67" s="419" t="s">
        <v>1129</v>
      </c>
      <c r="J67" s="416" t="str">
        <f t="shared" ref="J67:J79" si="10">CONCATENATE("ETR1000V300-",$D67,"-",$E67)</f>
        <v>ETR1000V300-CPR-08B</v>
      </c>
      <c r="K67" s="417" t="s">
        <v>31</v>
      </c>
      <c r="L67" s="419" t="s">
        <v>1129</v>
      </c>
      <c r="M67" s="140"/>
      <c r="N67" s="140"/>
      <c r="O67" s="140"/>
      <c r="P67" s="140"/>
      <c r="Q67" s="140"/>
      <c r="R67" s="140"/>
      <c r="S67" s="147" t="s">
        <v>600</v>
      </c>
      <c r="T67" s="147"/>
      <c r="U67" s="147"/>
      <c r="V67" s="147" t="s">
        <v>600</v>
      </c>
      <c r="W67" s="147"/>
      <c r="X67" s="147"/>
    </row>
    <row r="68" spans="1:24" x14ac:dyDescent="0.25">
      <c r="A68" s="140" t="s">
        <v>1130</v>
      </c>
      <c r="B68" s="7" t="str">
        <f t="shared" si="8"/>
        <v>CPR_08C</v>
      </c>
      <c r="C68" s="8" t="s">
        <v>289</v>
      </c>
      <c r="D68" s="7" t="s">
        <v>1091</v>
      </c>
      <c r="E68" s="7" t="s">
        <v>1131</v>
      </c>
      <c r="F68" s="7" t="s">
        <v>1132</v>
      </c>
      <c r="G68" s="416" t="str">
        <f t="shared" si="9"/>
        <v>ETR1000V300-CPR-08C</v>
      </c>
      <c r="H68" s="417" t="s">
        <v>31</v>
      </c>
      <c r="I68" s="419" t="s">
        <v>1133</v>
      </c>
      <c r="J68" s="416" t="str">
        <f t="shared" si="10"/>
        <v>ETR1000V300-CPR-08C</v>
      </c>
      <c r="K68" s="417" t="s">
        <v>31</v>
      </c>
      <c r="L68" s="419" t="s">
        <v>1133</v>
      </c>
      <c r="M68" s="140"/>
      <c r="N68" s="140"/>
      <c r="O68" s="140"/>
      <c r="P68" s="140"/>
      <c r="Q68" s="140"/>
      <c r="R68" s="140"/>
      <c r="S68" s="147" t="s">
        <v>600</v>
      </c>
      <c r="T68" s="147"/>
      <c r="U68" s="147"/>
      <c r="V68" s="147" t="s">
        <v>600</v>
      </c>
      <c r="W68" s="147"/>
      <c r="X68" s="147"/>
    </row>
    <row r="69" spans="1:24" x14ac:dyDescent="0.25">
      <c r="A69" s="140" t="s">
        <v>1038</v>
      </c>
      <c r="B69" s="7" t="str">
        <f t="shared" si="8"/>
        <v>CPR_09</v>
      </c>
      <c r="C69" s="8" t="s">
        <v>289</v>
      </c>
      <c r="D69" s="7" t="s">
        <v>1091</v>
      </c>
      <c r="E69" s="7" t="s">
        <v>568</v>
      </c>
      <c r="F69" s="7" t="s">
        <v>1134</v>
      </c>
      <c r="G69" s="416" t="str">
        <f t="shared" si="9"/>
        <v>ETR1000V300-CPR-09</v>
      </c>
      <c r="H69" s="417" t="s">
        <v>31</v>
      </c>
      <c r="I69" s="419" t="s">
        <v>1135</v>
      </c>
      <c r="J69" s="416" t="str">
        <f t="shared" si="10"/>
        <v>ETR1000V300-CPR-09</v>
      </c>
      <c r="K69" s="417" t="s">
        <v>31</v>
      </c>
      <c r="L69" s="419" t="s">
        <v>1135</v>
      </c>
      <c r="M69" s="140"/>
      <c r="N69" s="140"/>
      <c r="O69" s="140"/>
      <c r="P69" s="140"/>
      <c r="Q69" s="140"/>
      <c r="R69" s="140"/>
      <c r="S69" s="141"/>
      <c r="T69" s="141"/>
      <c r="U69" s="141"/>
      <c r="V69" s="141"/>
      <c r="W69" s="141"/>
      <c r="X69" s="141"/>
    </row>
    <row r="70" spans="1:24" x14ac:dyDescent="0.25">
      <c r="A70" s="140" t="s">
        <v>1040</v>
      </c>
      <c r="B70" s="7" t="str">
        <f t="shared" si="8"/>
        <v>CPR_10</v>
      </c>
      <c r="C70" s="8" t="s">
        <v>289</v>
      </c>
      <c r="D70" s="7" t="s">
        <v>1091</v>
      </c>
      <c r="E70" s="7" t="s">
        <v>1136</v>
      </c>
      <c r="F70" s="7" t="s">
        <v>1137</v>
      </c>
      <c r="G70" s="416" t="str">
        <f t="shared" si="9"/>
        <v>ETR1000V300-CPR-10</v>
      </c>
      <c r="H70" s="417" t="s">
        <v>31</v>
      </c>
      <c r="I70" s="419" t="s">
        <v>1093</v>
      </c>
      <c r="J70" s="416" t="str">
        <f t="shared" si="10"/>
        <v>ETR1000V300-CPR-10</v>
      </c>
      <c r="K70" s="417" t="s">
        <v>31</v>
      </c>
      <c r="L70" s="419" t="s">
        <v>1093</v>
      </c>
      <c r="M70" s="140"/>
      <c r="N70" s="140"/>
      <c r="O70" s="140"/>
      <c r="P70" s="140"/>
      <c r="Q70" s="140"/>
      <c r="R70" s="140"/>
      <c r="S70" s="147" t="s">
        <v>600</v>
      </c>
      <c r="T70" s="147"/>
      <c r="U70" s="147"/>
      <c r="V70" s="147" t="s">
        <v>600</v>
      </c>
      <c r="W70" s="147"/>
      <c r="X70" s="147"/>
    </row>
    <row r="71" spans="1:24" x14ac:dyDescent="0.25">
      <c r="A71" s="140" t="s">
        <v>1042</v>
      </c>
      <c r="B71" s="7" t="str">
        <f t="shared" si="8"/>
        <v>CPR_11A</v>
      </c>
      <c r="C71" s="8" t="s">
        <v>289</v>
      </c>
      <c r="D71" s="7" t="s">
        <v>1091</v>
      </c>
      <c r="E71" s="7" t="s">
        <v>1043</v>
      </c>
      <c r="F71" s="7" t="s">
        <v>1138</v>
      </c>
      <c r="G71" s="416" t="str">
        <f t="shared" si="9"/>
        <v>ETR1000V300-CPR-11A</v>
      </c>
      <c r="H71" s="417" t="s">
        <v>31</v>
      </c>
      <c r="I71" s="419" t="s">
        <v>1122</v>
      </c>
      <c r="J71" s="416" t="str">
        <f t="shared" si="10"/>
        <v>ETR1000V300-CPR-11A</v>
      </c>
      <c r="K71" s="417" t="s">
        <v>31</v>
      </c>
      <c r="L71" s="419" t="s">
        <v>1122</v>
      </c>
      <c r="M71" s="140"/>
      <c r="N71" s="140"/>
      <c r="O71" s="140"/>
      <c r="P71" s="140"/>
      <c r="Q71" s="140"/>
      <c r="R71" s="140"/>
      <c r="S71" s="147" t="s">
        <v>600</v>
      </c>
      <c r="T71" s="147"/>
      <c r="U71" s="147"/>
      <c r="V71" s="147" t="s">
        <v>600</v>
      </c>
      <c r="W71" s="147"/>
      <c r="X71" s="147"/>
    </row>
    <row r="72" spans="1:24" x14ac:dyDescent="0.25">
      <c r="A72" s="140" t="s">
        <v>1139</v>
      </c>
      <c r="B72" s="7" t="str">
        <f t="shared" si="8"/>
        <v>CPR_14A</v>
      </c>
      <c r="C72" s="8" t="s">
        <v>289</v>
      </c>
      <c r="D72" s="7" t="s">
        <v>1091</v>
      </c>
      <c r="E72" s="7" t="s">
        <v>1047</v>
      </c>
      <c r="F72" s="7" t="s">
        <v>1140</v>
      </c>
      <c r="G72" s="416" t="str">
        <f t="shared" si="9"/>
        <v>ETR1000V300-CPR-14A</v>
      </c>
      <c r="H72" s="417" t="s">
        <v>31</v>
      </c>
      <c r="I72" s="419" t="s">
        <v>1093</v>
      </c>
      <c r="J72" s="416" t="str">
        <f t="shared" si="10"/>
        <v>ETR1000V300-CPR-14A</v>
      </c>
      <c r="K72" s="417" t="s">
        <v>31</v>
      </c>
      <c r="L72" s="419" t="s">
        <v>1093</v>
      </c>
      <c r="M72" s="140"/>
      <c r="N72" s="140"/>
      <c r="O72" s="140"/>
      <c r="P72" s="140"/>
      <c r="Q72" s="140"/>
      <c r="R72" s="140"/>
      <c r="S72" s="141"/>
      <c r="T72" s="141"/>
      <c r="U72" s="141"/>
      <c r="V72" s="141"/>
      <c r="W72" s="141"/>
      <c r="X72" s="141"/>
    </row>
    <row r="73" spans="1:24" x14ac:dyDescent="0.25">
      <c r="A73" s="140" t="s">
        <v>1141</v>
      </c>
      <c r="B73" s="7" t="str">
        <f t="shared" si="8"/>
        <v>CPR_14B</v>
      </c>
      <c r="C73" s="8" t="s">
        <v>289</v>
      </c>
      <c r="D73" s="7" t="s">
        <v>1091</v>
      </c>
      <c r="E73" s="7" t="s">
        <v>1049</v>
      </c>
      <c r="F73" s="7" t="s">
        <v>1142</v>
      </c>
      <c r="G73" s="416" t="str">
        <f t="shared" si="9"/>
        <v>ETR1000V300-CPR-14B</v>
      </c>
      <c r="H73" s="417" t="s">
        <v>31</v>
      </c>
      <c r="I73" s="430">
        <v>46174</v>
      </c>
      <c r="J73" s="416" t="str">
        <f t="shared" si="10"/>
        <v>ETR1000V300-CPR-14B</v>
      </c>
      <c r="K73" s="417" t="s">
        <v>31</v>
      </c>
      <c r="L73" s="430">
        <v>46174</v>
      </c>
      <c r="M73" s="140"/>
      <c r="N73" s="140"/>
      <c r="O73" s="140"/>
      <c r="P73" s="140"/>
      <c r="Q73" s="140"/>
      <c r="R73" s="140"/>
      <c r="S73" s="141"/>
      <c r="T73" s="141"/>
      <c r="U73" s="141"/>
      <c r="V73" s="141"/>
      <c r="W73" s="141"/>
      <c r="X73" s="141"/>
    </row>
    <row r="74" spans="1:24" x14ac:dyDescent="0.25">
      <c r="A74" s="140" t="s">
        <v>1143</v>
      </c>
      <c r="B74" s="7" t="str">
        <f t="shared" si="8"/>
        <v>CPR_14C</v>
      </c>
      <c r="C74" s="8" t="s">
        <v>289</v>
      </c>
      <c r="D74" s="7" t="s">
        <v>1091</v>
      </c>
      <c r="E74" s="7" t="s">
        <v>1144</v>
      </c>
      <c r="F74" s="7" t="s">
        <v>1145</v>
      </c>
      <c r="G74" s="416" t="str">
        <f t="shared" si="9"/>
        <v>ETR1000V300-CPR-14C</v>
      </c>
      <c r="H74" s="417" t="s">
        <v>31</v>
      </c>
      <c r="I74" s="419" t="s">
        <v>1093</v>
      </c>
      <c r="J74" s="416" t="str">
        <f t="shared" si="10"/>
        <v>ETR1000V300-CPR-14C</v>
      </c>
      <c r="K74" s="417" t="s">
        <v>31</v>
      </c>
      <c r="L74" s="419" t="s">
        <v>1093</v>
      </c>
      <c r="M74" s="140"/>
      <c r="N74" s="140"/>
      <c r="O74" s="140"/>
      <c r="P74" s="140"/>
      <c r="Q74" s="140"/>
      <c r="R74" s="140"/>
      <c r="S74" s="141"/>
      <c r="T74" s="141"/>
      <c r="U74" s="141"/>
      <c r="V74" s="141"/>
      <c r="W74" s="141"/>
      <c r="X74" s="141"/>
    </row>
    <row r="75" spans="1:24" x14ac:dyDescent="0.25">
      <c r="A75" s="140" t="s">
        <v>1146</v>
      </c>
      <c r="B75" s="7" t="str">
        <f t="shared" si="8"/>
        <v>CPR_14D</v>
      </c>
      <c r="C75" s="8" t="s">
        <v>289</v>
      </c>
      <c r="D75" s="7" t="s">
        <v>1091</v>
      </c>
      <c r="E75" s="7" t="s">
        <v>1147</v>
      </c>
      <c r="F75" s="7" t="s">
        <v>1148</v>
      </c>
      <c r="G75" s="416" t="str">
        <f t="shared" si="9"/>
        <v>ETR1000V300-CPR-14D</v>
      </c>
      <c r="H75" s="417" t="s">
        <v>31</v>
      </c>
      <c r="I75" s="419" t="s">
        <v>1093</v>
      </c>
      <c r="J75" s="416" t="str">
        <f t="shared" si="10"/>
        <v>ETR1000V300-CPR-14D</v>
      </c>
      <c r="K75" s="417" t="s">
        <v>31</v>
      </c>
      <c r="L75" s="419" t="s">
        <v>1093</v>
      </c>
      <c r="M75" s="140"/>
      <c r="N75" s="140"/>
      <c r="O75" s="140"/>
      <c r="P75" s="140"/>
      <c r="Q75" s="140"/>
      <c r="R75" s="140"/>
      <c r="S75" s="141"/>
      <c r="T75" s="141"/>
      <c r="U75" s="141"/>
      <c r="V75" s="141"/>
      <c r="W75" s="141"/>
      <c r="X75" s="141"/>
    </row>
    <row r="76" spans="1:24" x14ac:dyDescent="0.25">
      <c r="A76" s="140" t="s">
        <v>1149</v>
      </c>
      <c r="B76" s="7" t="str">
        <f t="shared" si="8"/>
        <v>CPR_15A</v>
      </c>
      <c r="C76" s="8" t="s">
        <v>289</v>
      </c>
      <c r="D76" s="7" t="s">
        <v>1091</v>
      </c>
      <c r="E76" s="7" t="s">
        <v>1051</v>
      </c>
      <c r="F76" s="7" t="s">
        <v>1150</v>
      </c>
      <c r="G76" s="416" t="str">
        <f t="shared" si="9"/>
        <v>ETR1000V300-CPR-15A</v>
      </c>
      <c r="H76" s="417" t="s">
        <v>31</v>
      </c>
      <c r="I76" s="419" t="s">
        <v>1093</v>
      </c>
      <c r="J76" s="416" t="str">
        <f t="shared" si="10"/>
        <v>ETR1000V300-CPR-15A</v>
      </c>
      <c r="K76" s="417" t="s">
        <v>31</v>
      </c>
      <c r="L76" s="419" t="s">
        <v>1093</v>
      </c>
      <c r="M76" s="140"/>
      <c r="N76" s="140"/>
      <c r="O76" s="140"/>
      <c r="P76" s="140"/>
      <c r="Q76" s="140"/>
      <c r="R76" s="140"/>
      <c r="S76" s="141"/>
      <c r="T76" s="141"/>
      <c r="U76" s="141"/>
      <c r="V76" s="141"/>
      <c r="W76" s="141"/>
      <c r="X76" s="141"/>
    </row>
    <row r="77" spans="1:24" x14ac:dyDescent="0.25">
      <c r="A77" s="140" t="s">
        <v>1151</v>
      </c>
      <c r="B77" s="7" t="str">
        <f t="shared" si="8"/>
        <v>CPR_15B</v>
      </c>
      <c r="C77" s="8" t="s">
        <v>289</v>
      </c>
      <c r="D77" s="7" t="s">
        <v>1091</v>
      </c>
      <c r="E77" s="7" t="s">
        <v>1053</v>
      </c>
      <c r="F77" s="7" t="s">
        <v>1152</v>
      </c>
      <c r="G77" s="416" t="str">
        <f t="shared" si="9"/>
        <v>ETR1000V300-CPR-15B</v>
      </c>
      <c r="H77" s="417" t="s">
        <v>31</v>
      </c>
      <c r="I77" s="419" t="s">
        <v>1093</v>
      </c>
      <c r="J77" s="416" t="str">
        <f t="shared" si="10"/>
        <v>ETR1000V300-CPR-15B</v>
      </c>
      <c r="K77" s="417" t="s">
        <v>31</v>
      </c>
      <c r="L77" s="419" t="s">
        <v>1093</v>
      </c>
      <c r="M77" s="140"/>
      <c r="N77" s="140"/>
      <c r="O77" s="140"/>
      <c r="P77" s="140"/>
      <c r="Q77" s="140"/>
      <c r="R77" s="140"/>
      <c r="S77" s="141"/>
      <c r="T77" s="141"/>
      <c r="U77" s="141"/>
      <c r="V77" s="141"/>
      <c r="W77" s="141"/>
      <c r="X77" s="141"/>
    </row>
    <row r="78" spans="1:24" x14ac:dyDescent="0.25">
      <c r="A78" s="140" t="s">
        <v>1153</v>
      </c>
      <c r="B78" s="7" t="str">
        <f t="shared" si="8"/>
        <v>CPR_31A</v>
      </c>
      <c r="C78" s="8" t="s">
        <v>289</v>
      </c>
      <c r="D78" s="7" t="s">
        <v>1091</v>
      </c>
      <c r="E78" s="7" t="s">
        <v>1073</v>
      </c>
      <c r="F78" s="7" t="s">
        <v>1154</v>
      </c>
      <c r="G78" s="416" t="str">
        <f t="shared" si="9"/>
        <v>ETR1000V300-CPR-31A</v>
      </c>
      <c r="H78" s="417" t="s">
        <v>31</v>
      </c>
      <c r="I78" s="430">
        <v>45717</v>
      </c>
      <c r="J78" s="416" t="str">
        <f t="shared" si="10"/>
        <v>ETR1000V300-CPR-31A</v>
      </c>
      <c r="K78" s="417" t="s">
        <v>31</v>
      </c>
      <c r="L78" s="430">
        <v>45717</v>
      </c>
      <c r="M78" s="140"/>
      <c r="N78" s="140"/>
      <c r="O78" s="140"/>
      <c r="P78" s="140"/>
      <c r="Q78" s="140"/>
      <c r="R78" s="140"/>
      <c r="S78" s="147" t="s">
        <v>600</v>
      </c>
      <c r="T78" s="147"/>
      <c r="U78" s="147"/>
      <c r="V78" s="147" t="s">
        <v>600</v>
      </c>
      <c r="W78" s="147"/>
      <c r="X78" s="147"/>
    </row>
    <row r="79" spans="1:24" s="139" customFormat="1" x14ac:dyDescent="0.25">
      <c r="A79" s="144" t="s">
        <v>1155</v>
      </c>
      <c r="B79" s="143" t="str">
        <f t="shared" si="8"/>
        <v>CPR_20A</v>
      </c>
      <c r="C79" s="8" t="s">
        <v>289</v>
      </c>
      <c r="D79" s="143" t="s">
        <v>1091</v>
      </c>
      <c r="E79" s="143" t="s">
        <v>1059</v>
      </c>
      <c r="F79" s="143" t="s">
        <v>1156</v>
      </c>
      <c r="G79" s="416" t="str">
        <f t="shared" si="9"/>
        <v>ETR1000V300-CPR-20A</v>
      </c>
      <c r="H79" s="426" t="s">
        <v>31</v>
      </c>
      <c r="I79" s="425">
        <v>45017</v>
      </c>
      <c r="J79" s="416" t="str">
        <f t="shared" si="10"/>
        <v>ETR1000V300-CPR-20A</v>
      </c>
      <c r="K79" s="426" t="s">
        <v>31</v>
      </c>
      <c r="L79" s="425">
        <v>45017</v>
      </c>
      <c r="M79" s="146"/>
      <c r="N79" s="146"/>
      <c r="O79" s="146"/>
      <c r="P79" s="146"/>
      <c r="Q79" s="146"/>
      <c r="R79" s="146"/>
      <c r="S79" s="145"/>
      <c r="T79" s="145"/>
      <c r="U79" s="145"/>
      <c r="V79" s="145"/>
      <c r="W79" s="145"/>
      <c r="X79" s="145"/>
    </row>
  </sheetData>
  <mergeCells count="12">
    <mergeCell ref="V1:X1"/>
    <mergeCell ref="A1:A2"/>
    <mergeCell ref="B1:B2"/>
    <mergeCell ref="C1:C2"/>
    <mergeCell ref="F1:F2"/>
    <mergeCell ref="E1:E2"/>
    <mergeCell ref="G1:I1"/>
    <mergeCell ref="J1:L1"/>
    <mergeCell ref="P1:R1"/>
    <mergeCell ref="S1:U1"/>
    <mergeCell ref="M1:O1"/>
    <mergeCell ref="D1:D2"/>
  </mergeCells>
  <pageMargins left="0.7" right="0.7" top="0.75" bottom="0.75" header="0.3" footer="0.3"/>
  <pageSetup paperSize="9" orientation="portrait" horizontalDpi="1200" verticalDpi="12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39997558519241921"/>
  </sheetPr>
  <dimension ref="A1:S20"/>
  <sheetViews>
    <sheetView zoomScale="85" zoomScaleNormal="85" workbookViewId="0">
      <pane xSplit="5" ySplit="2" topLeftCell="F3" activePane="bottomRight" state="frozen"/>
      <selection activeCell="B1" sqref="B1"/>
      <selection pane="topRight" activeCell="F1" sqref="F1"/>
      <selection pane="bottomLeft" activeCell="B4" sqref="B4"/>
      <selection pane="bottomRight" activeCell="D32" sqref="D32"/>
    </sheetView>
  </sheetViews>
  <sheetFormatPr defaultColWidth="8.7109375" defaultRowHeight="15" x14ac:dyDescent="0.25"/>
  <cols>
    <col min="1" max="1" width="36.5703125" style="106" customWidth="1"/>
    <col min="2" max="2" width="34.85546875" style="106" bestFit="1" customWidth="1"/>
    <col min="3" max="3" width="8.42578125" style="15" bestFit="1" customWidth="1"/>
    <col min="4" max="4" width="24.85546875" style="15" bestFit="1" customWidth="1"/>
    <col min="5" max="5" width="6.42578125" style="15" bestFit="1" customWidth="1"/>
    <col min="6" max="6" width="33.5703125" style="15" bestFit="1" customWidth="1"/>
    <col min="7" max="7" width="4.7109375" style="15" bestFit="1" customWidth="1"/>
    <col min="8" max="8" width="33.5703125" style="15" bestFit="1" customWidth="1"/>
    <col min="9" max="9" width="4.7109375" style="15" bestFit="1" customWidth="1"/>
    <col min="10" max="10" width="33.5703125" style="15" bestFit="1" customWidth="1"/>
    <col min="11" max="11" width="4.42578125" style="15" bestFit="1" customWidth="1"/>
    <col min="12" max="12" width="27.42578125" style="15" bestFit="1" customWidth="1"/>
    <col min="13" max="13" width="5.42578125" style="15" bestFit="1" customWidth="1"/>
    <col min="14" max="14" width="15.42578125" style="15" customWidth="1"/>
    <col min="15" max="15" width="4.42578125" style="15" customWidth="1"/>
    <col min="16" max="16" width="6.5703125" style="15" bestFit="1" customWidth="1"/>
    <col min="17" max="17" width="6.5703125" style="15" customWidth="1"/>
    <col min="18" max="18" width="6.5703125" style="15" bestFit="1" customWidth="1"/>
    <col min="19" max="19" width="6.5703125" style="15" customWidth="1"/>
    <col min="20" max="22" width="8.7109375" style="103" customWidth="1"/>
    <col min="23" max="16384" width="8.7109375" style="103"/>
  </cols>
  <sheetData>
    <row r="1" spans="1:19" s="105" customFormat="1" ht="21.6" customHeight="1" x14ac:dyDescent="0.25">
      <c r="A1" s="485" t="s">
        <v>273</v>
      </c>
      <c r="B1" s="500" t="s">
        <v>3</v>
      </c>
      <c r="C1" s="500" t="s">
        <v>243</v>
      </c>
      <c r="D1" s="496" t="s">
        <v>5</v>
      </c>
      <c r="E1" s="497"/>
      <c r="F1" s="498" t="s">
        <v>6</v>
      </c>
      <c r="G1" s="499"/>
      <c r="H1" s="496" t="s">
        <v>7</v>
      </c>
      <c r="I1" s="497"/>
      <c r="J1" s="498" t="s">
        <v>8</v>
      </c>
      <c r="K1" s="499"/>
      <c r="L1" s="496" t="s">
        <v>9</v>
      </c>
      <c r="M1" s="497"/>
      <c r="N1" s="498" t="s">
        <v>10</v>
      </c>
      <c r="O1" s="499"/>
      <c r="P1" s="496" t="s">
        <v>11</v>
      </c>
      <c r="Q1" s="497"/>
      <c r="R1" s="498" t="s">
        <v>274</v>
      </c>
      <c r="S1" s="499"/>
    </row>
    <row r="2" spans="1:19" s="105" customFormat="1" ht="21.6" customHeight="1" x14ac:dyDescent="0.25">
      <c r="A2" s="487"/>
      <c r="B2" s="501"/>
      <c r="C2" s="501"/>
      <c r="D2" s="406" t="s">
        <v>283</v>
      </c>
      <c r="E2" s="160" t="s">
        <v>190</v>
      </c>
      <c r="F2" s="408" t="s">
        <v>283</v>
      </c>
      <c r="G2" s="409" t="s">
        <v>190</v>
      </c>
      <c r="H2" s="406" t="s">
        <v>283</v>
      </c>
      <c r="I2" s="160" t="s">
        <v>190</v>
      </c>
      <c r="J2" s="408" t="s">
        <v>283</v>
      </c>
      <c r="K2" s="409" t="s">
        <v>190</v>
      </c>
      <c r="L2" s="390" t="s">
        <v>285</v>
      </c>
      <c r="M2" s="390" t="s">
        <v>190</v>
      </c>
      <c r="N2" s="412" t="s">
        <v>285</v>
      </c>
      <c r="O2" s="159" t="s">
        <v>190</v>
      </c>
      <c r="P2" s="406" t="s">
        <v>285</v>
      </c>
      <c r="Q2" s="406" t="s">
        <v>190</v>
      </c>
      <c r="R2" s="408" t="s">
        <v>285</v>
      </c>
      <c r="S2" s="409" t="s">
        <v>190</v>
      </c>
    </row>
    <row r="3" spans="1:19" x14ac:dyDescent="0.25">
      <c r="A3" s="201" t="s">
        <v>1157</v>
      </c>
      <c r="B3" s="407"/>
      <c r="C3" s="407"/>
      <c r="D3" s="400"/>
      <c r="E3" s="202"/>
      <c r="F3" s="410"/>
      <c r="G3" s="411"/>
      <c r="H3" s="400"/>
      <c r="I3" s="202"/>
      <c r="J3" s="410"/>
      <c r="K3" s="411"/>
      <c r="L3" s="400"/>
      <c r="M3" s="400"/>
      <c r="N3" s="410"/>
      <c r="O3" s="411"/>
      <c r="P3" s="400"/>
      <c r="Q3" s="400"/>
      <c r="R3" s="410"/>
      <c r="S3" s="411"/>
    </row>
    <row r="4" spans="1:19" ht="30" customHeight="1" x14ac:dyDescent="0.25">
      <c r="A4" s="114" t="s">
        <v>1158</v>
      </c>
      <c r="B4" s="106" t="s">
        <v>53</v>
      </c>
      <c r="C4" s="107" t="s">
        <v>1159</v>
      </c>
      <c r="D4" s="15" t="s">
        <v>1160</v>
      </c>
      <c r="E4" s="15" t="s">
        <v>31</v>
      </c>
      <c r="F4" s="109" t="s">
        <v>1161</v>
      </c>
      <c r="G4" s="110" t="s">
        <v>31</v>
      </c>
      <c r="H4" s="15" t="s">
        <v>1161</v>
      </c>
      <c r="I4" s="110" t="s">
        <v>31</v>
      </c>
      <c r="J4" s="109" t="s">
        <v>1161</v>
      </c>
      <c r="K4" s="110" t="s">
        <v>31</v>
      </c>
      <c r="N4" s="109"/>
      <c r="O4" s="110"/>
      <c r="R4" s="109"/>
      <c r="S4" s="110"/>
    </row>
    <row r="5" spans="1:19" x14ac:dyDescent="0.25">
      <c r="A5" s="114" t="s">
        <v>1162</v>
      </c>
      <c r="B5" s="106" t="s">
        <v>1163</v>
      </c>
      <c r="C5" s="107" t="s">
        <v>1164</v>
      </c>
      <c r="D5" s="15" t="s">
        <v>1165</v>
      </c>
      <c r="E5" s="15" t="s">
        <v>31</v>
      </c>
      <c r="F5" s="109" t="s">
        <v>1166</v>
      </c>
      <c r="G5" s="110" t="s">
        <v>31</v>
      </c>
      <c r="H5" s="15" t="s">
        <v>1167</v>
      </c>
      <c r="I5" s="15" t="s">
        <v>31</v>
      </c>
      <c r="J5" s="109" t="s">
        <v>1168</v>
      </c>
      <c r="K5" s="110"/>
      <c r="L5" s="15" t="s">
        <v>1169</v>
      </c>
      <c r="M5" s="15" t="s">
        <v>1170</v>
      </c>
      <c r="N5" s="109"/>
      <c r="O5" s="110"/>
      <c r="R5" s="109"/>
      <c r="S5" s="110"/>
    </row>
    <row r="6" spans="1:19" x14ac:dyDescent="0.25">
      <c r="A6" s="114" t="s">
        <v>1171</v>
      </c>
      <c r="B6" s="106" t="s">
        <v>1172</v>
      </c>
      <c r="C6" s="107" t="s">
        <v>1164</v>
      </c>
      <c r="F6" s="109"/>
      <c r="G6" s="110"/>
      <c r="I6" s="135"/>
      <c r="J6" s="109"/>
      <c r="K6" s="110"/>
      <c r="L6" s="15" t="s">
        <v>1173</v>
      </c>
      <c r="M6" s="15" t="s">
        <v>1170</v>
      </c>
      <c r="N6" s="109"/>
      <c r="O6" s="110"/>
      <c r="R6" s="109"/>
      <c r="S6" s="110"/>
    </row>
    <row r="7" spans="1:19" ht="30" customHeight="1" x14ac:dyDescent="0.25">
      <c r="A7" s="114" t="s">
        <v>1174</v>
      </c>
      <c r="B7" s="106" t="s">
        <v>1175</v>
      </c>
      <c r="C7" s="107" t="s">
        <v>1164</v>
      </c>
      <c r="F7" s="109"/>
      <c r="G7" s="110"/>
      <c r="I7" s="135"/>
      <c r="J7" s="109"/>
      <c r="K7" s="110"/>
      <c r="L7" s="15" t="s">
        <v>1174</v>
      </c>
      <c r="M7" s="135" t="s">
        <v>1176</v>
      </c>
      <c r="N7" s="109"/>
      <c r="O7" s="110"/>
      <c r="R7" s="109"/>
      <c r="S7" s="110"/>
    </row>
    <row r="8" spans="1:19" x14ac:dyDescent="0.25">
      <c r="A8" s="114" t="s">
        <v>1177</v>
      </c>
      <c r="B8" s="106" t="s">
        <v>1178</v>
      </c>
      <c r="C8" s="107" t="s">
        <v>1164</v>
      </c>
      <c r="F8" s="109"/>
      <c r="G8" s="110"/>
      <c r="H8" s="15" t="s">
        <v>1179</v>
      </c>
      <c r="I8" s="135" t="s">
        <v>572</v>
      </c>
      <c r="J8" s="109"/>
      <c r="K8" s="110"/>
      <c r="N8" s="109"/>
      <c r="O8" s="110"/>
      <c r="R8" s="109"/>
      <c r="S8" s="110"/>
    </row>
    <row r="9" spans="1:19" x14ac:dyDescent="0.25">
      <c r="A9" s="114"/>
      <c r="C9" s="107"/>
      <c r="F9" s="109"/>
      <c r="G9" s="110"/>
      <c r="I9" s="135"/>
      <c r="J9" s="109"/>
      <c r="K9" s="110"/>
      <c r="N9" s="109"/>
      <c r="O9" s="110"/>
      <c r="R9" s="109"/>
      <c r="S9" s="110"/>
    </row>
    <row r="10" spans="1:19" x14ac:dyDescent="0.25">
      <c r="A10" s="114"/>
      <c r="C10" s="107"/>
      <c r="F10" s="109"/>
      <c r="G10" s="110"/>
      <c r="I10" s="135"/>
      <c r="J10" s="109"/>
      <c r="K10" s="110"/>
      <c r="N10" s="109"/>
      <c r="O10" s="110"/>
      <c r="R10" s="109"/>
      <c r="S10" s="110"/>
    </row>
    <row r="11" spans="1:19" x14ac:dyDescent="0.25">
      <c r="A11" s="114"/>
      <c r="C11" s="107"/>
      <c r="F11" s="109"/>
      <c r="G11" s="110"/>
      <c r="I11" s="135"/>
      <c r="J11" s="109"/>
      <c r="K11" s="110"/>
      <c r="N11" s="109"/>
      <c r="O11" s="110"/>
      <c r="R11" s="109"/>
      <c r="S11" s="110"/>
    </row>
    <row r="12" spans="1:19" x14ac:dyDescent="0.25">
      <c r="A12" s="114"/>
      <c r="C12" s="107"/>
      <c r="F12" s="109"/>
      <c r="G12" s="110"/>
      <c r="I12" s="135"/>
      <c r="J12" s="109"/>
      <c r="K12" s="110"/>
      <c r="N12" s="109"/>
      <c r="O12" s="110"/>
      <c r="R12" s="109"/>
      <c r="S12" s="110"/>
    </row>
    <row r="13" spans="1:19" x14ac:dyDescent="0.25">
      <c r="A13" s="114"/>
      <c r="C13" s="107"/>
      <c r="F13" s="109"/>
      <c r="G13" s="110"/>
      <c r="I13" s="135"/>
      <c r="J13" s="109"/>
      <c r="K13" s="110"/>
      <c r="N13" s="109"/>
      <c r="O13" s="110"/>
      <c r="R13" s="109"/>
      <c r="S13" s="110"/>
    </row>
    <row r="14" spans="1:19" x14ac:dyDescent="0.25">
      <c r="A14" s="114"/>
      <c r="C14" s="107"/>
      <c r="F14" s="109"/>
      <c r="G14" s="110"/>
      <c r="I14" s="135"/>
      <c r="J14" s="109"/>
      <c r="K14" s="110"/>
      <c r="N14" s="109"/>
      <c r="O14" s="110"/>
      <c r="R14" s="109"/>
      <c r="S14" s="110"/>
    </row>
    <row r="15" spans="1:19" x14ac:dyDescent="0.25">
      <c r="A15" s="114"/>
      <c r="C15" s="107"/>
      <c r="F15" s="109"/>
      <c r="G15" s="110"/>
      <c r="I15" s="135"/>
      <c r="J15" s="109"/>
      <c r="K15" s="110"/>
      <c r="N15" s="109"/>
      <c r="O15" s="110"/>
      <c r="R15" s="109"/>
      <c r="S15" s="110"/>
    </row>
    <row r="16" spans="1:19" x14ac:dyDescent="0.25">
      <c r="A16" s="114"/>
      <c r="C16" s="107"/>
      <c r="F16" s="109"/>
      <c r="G16" s="110"/>
      <c r="I16" s="135"/>
      <c r="J16" s="109"/>
      <c r="K16" s="110"/>
      <c r="N16" s="109"/>
      <c r="O16" s="110"/>
      <c r="R16" s="109"/>
      <c r="S16" s="110"/>
    </row>
    <row r="17" spans="1:19" x14ac:dyDescent="0.25">
      <c r="A17" s="114"/>
      <c r="C17" s="107"/>
      <c r="F17" s="109"/>
      <c r="G17" s="110"/>
      <c r="I17" s="135"/>
      <c r="J17" s="109"/>
      <c r="K17" s="110"/>
      <c r="N17" s="109"/>
      <c r="O17" s="110"/>
      <c r="R17" s="109"/>
      <c r="S17" s="110"/>
    </row>
    <row r="18" spans="1:19" x14ac:dyDescent="0.25">
      <c r="A18" s="114"/>
      <c r="C18" s="107"/>
      <c r="F18" s="109"/>
      <c r="G18" s="110"/>
      <c r="I18" s="135"/>
      <c r="J18" s="109"/>
      <c r="K18" s="110"/>
      <c r="N18" s="109"/>
      <c r="O18" s="110"/>
      <c r="R18" s="109"/>
      <c r="S18" s="110"/>
    </row>
    <row r="19" spans="1:19" x14ac:dyDescent="0.25">
      <c r="A19" s="114"/>
      <c r="C19" s="107"/>
      <c r="F19" s="109"/>
      <c r="G19" s="110"/>
      <c r="I19" s="135"/>
      <c r="J19" s="109"/>
      <c r="K19" s="110"/>
      <c r="N19" s="109"/>
      <c r="O19" s="110"/>
      <c r="R19" s="109"/>
      <c r="S19" s="110"/>
    </row>
    <row r="20" spans="1:19" x14ac:dyDescent="0.25">
      <c r="A20" s="114"/>
      <c r="C20" s="107"/>
      <c r="F20" s="109"/>
      <c r="G20" s="110"/>
      <c r="I20" s="135"/>
      <c r="J20" s="109"/>
      <c r="K20" s="110"/>
      <c r="N20" s="109"/>
      <c r="O20" s="110"/>
      <c r="R20" s="109"/>
      <c r="S20" s="110"/>
    </row>
  </sheetData>
  <mergeCells count="11">
    <mergeCell ref="A1:A2"/>
    <mergeCell ref="C1:C2"/>
    <mergeCell ref="B1:B2"/>
    <mergeCell ref="F1:G1"/>
    <mergeCell ref="N1:O1"/>
    <mergeCell ref="R1:S1"/>
    <mergeCell ref="D1:E1"/>
    <mergeCell ref="H1:I1"/>
    <mergeCell ref="L1:M1"/>
    <mergeCell ref="J1:K1"/>
    <mergeCell ref="P1:Q1"/>
  </mergeCells>
  <pageMargins left="0.7" right="0.7" top="0.75" bottom="0.75" header="0.3" footer="0.3"/>
  <pageSetup paperSize="9" orientation="portrait" verticalDpi="12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oglio5">
    <tabColor theme="9" tint="0.39997558519241921"/>
    <outlinePr summaryBelow="0" summaryRight="0"/>
  </sheetPr>
  <dimension ref="A1:L295"/>
  <sheetViews>
    <sheetView tabSelected="1" zoomScale="70" zoomScaleNormal="70" workbookViewId="0">
      <pane xSplit="2" ySplit="1" topLeftCell="C76" activePane="bottomRight" state="frozen"/>
      <selection pane="topRight" activeCell="F1" sqref="F1"/>
      <selection pane="bottomLeft" activeCell="A3" sqref="A3"/>
      <selection pane="bottomRight" activeCell="I79" sqref="I79"/>
    </sheetView>
  </sheetViews>
  <sheetFormatPr defaultColWidth="8.7109375" defaultRowHeight="15" outlineLevelRow="2" x14ac:dyDescent="0.25"/>
  <cols>
    <col min="1" max="1" width="22.140625" style="106" bestFit="1" customWidth="1"/>
    <col min="2" max="2" width="65.42578125" style="106" customWidth="1"/>
    <col min="3" max="3" width="14" style="106" bestFit="1" customWidth="1"/>
    <col min="4" max="4" width="28.42578125" style="15" bestFit="1" customWidth="1"/>
    <col min="5" max="5" width="21.42578125" style="106" customWidth="1"/>
    <col min="6" max="10" width="35.5703125" style="15" customWidth="1"/>
    <col min="11" max="12" width="14.85546875" style="15" customWidth="1"/>
    <col min="13" max="13" width="8.7109375" style="103" customWidth="1"/>
    <col min="14" max="14" width="33.140625" style="103" customWidth="1"/>
    <col min="15" max="17" width="8.7109375" style="103" customWidth="1"/>
    <col min="18" max="16384" width="8.7109375" style="103"/>
  </cols>
  <sheetData>
    <row r="1" spans="1:12" s="105" customFormat="1" ht="31.5" customHeight="1" x14ac:dyDescent="0.25">
      <c r="A1" s="164" t="s">
        <v>0</v>
      </c>
      <c r="B1" s="164" t="s">
        <v>1</v>
      </c>
      <c r="C1" s="122" t="s">
        <v>2</v>
      </c>
      <c r="D1" s="122" t="s">
        <v>3</v>
      </c>
      <c r="E1" s="122" t="s">
        <v>4</v>
      </c>
      <c r="F1" s="136" t="s">
        <v>5</v>
      </c>
      <c r="G1" s="136" t="s">
        <v>6</v>
      </c>
      <c r="H1" s="137" t="s">
        <v>7</v>
      </c>
      <c r="I1" s="137" t="s">
        <v>8</v>
      </c>
      <c r="J1" s="137" t="s">
        <v>9</v>
      </c>
      <c r="K1" s="137" t="s">
        <v>10</v>
      </c>
      <c r="L1" s="138" t="s">
        <v>11</v>
      </c>
    </row>
    <row r="2" spans="1:12" ht="41.1" customHeight="1" x14ac:dyDescent="0.25">
      <c r="A2" s="182" t="s">
        <v>12</v>
      </c>
      <c r="B2" s="182" t="s">
        <v>13</v>
      </c>
      <c r="C2" s="401"/>
      <c r="D2" s="183" t="str">
        <f>IF($A2="","",HYPERLINK(CONCATENATE(Cartelle!$D$6,$A2),CONCATENATE("#Sharepoint//",$A2)))</f>
        <v>#Sharepoint//Park_Brake_01</v>
      </c>
      <c r="E2" s="168"/>
      <c r="F2" s="169"/>
      <c r="G2" s="169"/>
      <c r="H2" s="169"/>
      <c r="I2" s="169"/>
      <c r="J2" s="169"/>
      <c r="K2" s="169"/>
      <c r="L2" s="170"/>
    </row>
    <row r="3" spans="1:12" outlineLevel="1" collapsed="1" x14ac:dyDescent="0.25">
      <c r="B3" s="152"/>
      <c r="C3" s="166" t="s">
        <v>14</v>
      </c>
      <c r="D3" s="166" t="s">
        <v>15</v>
      </c>
      <c r="E3" s="193" t="s">
        <v>16</v>
      </c>
      <c r="F3" s="324" t="str">
        <f t="array" aca="1" ref="F3" ca="1">HYPERLINK(CONCATENATE(Cartelle!$D$5,F$1,"/",$C3,"/",MID($D3,1,FIND("_",$D3)-1),"/",INDIRECT(CONCATENATE("'" &amp; $C3 &amp; "'!",ADDRESS(MATCH($D3, INDIRECT("'" &amp; $C3 &amp; "'!$B:$B"), 0),MATCH(F$1, INDIRECT("'" &amp; $C3 &amp; "'!$1:$1"), 0)))),".",INDIRECT(CONCATENATE("'"&amp;$C3&amp;"'!",ADDRESS(MATCH($D3,INDIRECT("'"&amp;$C3&amp;"'!$B:$B"),0),3))),"#page=",F4),CONCATENATE("#Sharepoint//",$D3))</f>
        <v>#Sharepoint//FS_DM1</v>
      </c>
      <c r="G3" s="324"/>
      <c r="H3" s="166"/>
      <c r="I3" s="166"/>
      <c r="J3" s="324" t="str">
        <f t="array" aca="1" ref="J3" ca="1">HYPERLINK(CONCATENATE(Cartelle!$D$5,INDEX(INDIRECT("'" &amp; $C3 &amp; "'!$1:$1"), 1, MATCH(INDIRECT(CONCATENATE("'" &amp; $C3 &amp; "'!",ADDRESS(MATCH($D3, INDIRECT("'" &amp; $C3 &amp; "'!$B:$B"), 0),MATCH(J$1, INDIRECT("'" &amp; $C3 &amp; "'!$1:$1"), 0)))),INDIRECT(CONCATENATE("'" &amp; $C3 &amp; "'!",MATCH($D3, INDIRECT("'" &amp; $C3 &amp; "'!$B:$B"), 0),":",MATCH($D3, INDIRECT("'" &amp; $C3 &amp; "'!$B:$B"), 0))),0)),"/",$C3,"/",MID($D3,1,FIND("_",$D3)-1),"/",INDIRECT(CONCATENATE("'" &amp; $C3 &amp; "'!",ADDRESS(MATCH($D3, INDIRECT("'" &amp; $C3 &amp; "'!$B:$B"), 0),MATCH(J$1, INDIRECT("'" &amp; $C3 &amp; "'!$1:$1"), 0)))),".",INDIRECT(CONCATENATE("'"&amp;$C3&amp;"'!",ADDRESS(MATCH($D3,INDIRECT("'"&amp;$C3&amp;"'!$B:$B"),0),3))),"#page=",J4),CONCATENATE("#Sharepoint//",$D3))</f>
        <v>#Sharepoint//FS_DM1</v>
      </c>
      <c r="K3" s="165"/>
      <c r="L3" s="166"/>
    </row>
    <row r="4" spans="1:12" hidden="1" outlineLevel="2" x14ac:dyDescent="0.25">
      <c r="B4" s="152"/>
      <c r="D4" s="368"/>
      <c r="E4" s="194" t="s">
        <v>17</v>
      </c>
      <c r="F4" s="50">
        <v>276</v>
      </c>
      <c r="G4" s="172">
        <v>243</v>
      </c>
      <c r="H4" s="50"/>
      <c r="I4" s="50"/>
      <c r="J4" s="50">
        <v>144</v>
      </c>
      <c r="K4" s="85"/>
      <c r="L4" s="50"/>
    </row>
    <row r="5" spans="1:12" ht="75" hidden="1" customHeight="1" outlineLevel="2" x14ac:dyDescent="0.25">
      <c r="B5" s="152"/>
      <c r="D5" s="107"/>
      <c r="E5" s="194" t="s">
        <v>18</v>
      </c>
      <c r="F5" s="85" t="s">
        <v>19</v>
      </c>
      <c r="G5" s="50"/>
      <c r="H5" s="50"/>
      <c r="I5" s="50"/>
      <c r="J5" s="85" t="s">
        <v>20</v>
      </c>
      <c r="K5" s="167"/>
      <c r="L5" s="50"/>
    </row>
    <row r="6" spans="1:12" ht="330" hidden="1" customHeight="1" outlineLevel="2" x14ac:dyDescent="0.25">
      <c r="B6" s="152"/>
      <c r="D6" s="108"/>
      <c r="E6" s="194" t="s">
        <v>21</v>
      </c>
      <c r="F6" s="85" t="s">
        <v>22</v>
      </c>
      <c r="G6" s="50"/>
      <c r="H6" s="50"/>
      <c r="I6" s="50"/>
      <c r="J6" s="85" t="s">
        <v>23</v>
      </c>
      <c r="K6" s="50"/>
      <c r="L6" s="50"/>
    </row>
    <row r="7" spans="1:12" outlineLevel="1" collapsed="1" x14ac:dyDescent="0.25">
      <c r="B7" s="152"/>
      <c r="C7" s="166" t="s">
        <v>14</v>
      </c>
      <c r="D7" s="166" t="s">
        <v>24</v>
      </c>
      <c r="E7" s="193" t="s">
        <v>16</v>
      </c>
      <c r="F7" s="324" t="str">
        <f t="array" aca="1" ref="F7" ca="1">HYPERLINK(CONCATENATE(Cartelle!$D$5,F$1,"/",$C7,"/",MID($D7,1,FIND("_",$D7)-1),"/",INDIRECT(CONCATENATE("'" &amp; $C7 &amp; "'!",ADDRESS(MATCH($D7, INDIRECT("'" &amp; $C7 &amp; "'!$B:$B"), 0),MATCH(F$1, INDIRECT("'" &amp; $C7 &amp; "'!$1:$1"), 0)))),".",INDIRECT(CONCATENATE("'"&amp;$C7&amp;"'!",ADDRESS(MATCH($D7,INDIRECT("'"&amp;$C7&amp;"'!$B:$B"),0),3))),"#page=",F8),CONCATENATE("#Sharepoint//",$D7))</f>
        <v>#Sharepoint//FS_TT2</v>
      </c>
      <c r="G7" s="166"/>
      <c r="H7" s="166"/>
      <c r="I7" s="166"/>
      <c r="J7" s="324" t="str">
        <f t="array" aca="1" ref="J7" ca="1">HYPERLINK(CONCATENATE(Cartelle!$D$5,INDEX(INDIRECT("'" &amp; $C7 &amp; "'!$1:$1"), 1, MATCH(INDIRECT(CONCATENATE("'" &amp; $C7 &amp; "'!",ADDRESS(MATCH($D7, INDIRECT("'" &amp; $C7 &amp; "'!$B:$B"), 0),MATCH(J$1, INDIRECT("'" &amp; $C7 &amp; "'!$1:$1"), 0)))),INDIRECT(CONCATENATE("'" &amp; $C7 &amp; "'!",MATCH($D7, INDIRECT("'" &amp; $C7 &amp; "'!$B:$B"), 0),":",MATCH($D7, INDIRECT("'" &amp; $C7 &amp; "'!$B:$B"), 0))),0)),"/",$C7,"/",MID($D7,1,FIND("_",$D7)-1),"/",INDIRECT(CONCATENATE("'" &amp; $C7 &amp; "'!",ADDRESS(MATCH($D7, INDIRECT("'" &amp; $C7 &amp; "'!$B:$B"), 0),MATCH(J$1, INDIRECT("'" &amp; $C7 &amp; "'!$1:$1"), 0)))),".",INDIRECT(CONCATENATE("'"&amp;$C7&amp;"'!",ADDRESS(MATCH($D7,INDIRECT("'"&amp;$C7&amp;"'!$B:$B"),0),3))),"#page=",J8),CONCATENATE("#Sharepoint//",$D7))</f>
        <v>#Sharepoint//FS_TT2</v>
      </c>
      <c r="K7" s="165"/>
      <c r="L7" s="166"/>
    </row>
    <row r="8" spans="1:12" hidden="1" outlineLevel="2" x14ac:dyDescent="0.25">
      <c r="B8" s="152"/>
      <c r="D8" s="368"/>
      <c r="E8" s="194" t="s">
        <v>17</v>
      </c>
      <c r="F8" s="50">
        <v>171</v>
      </c>
      <c r="G8" s="50"/>
      <c r="H8" s="50"/>
      <c r="I8" s="50"/>
      <c r="J8" s="50">
        <v>131</v>
      </c>
      <c r="K8" s="85"/>
      <c r="L8" s="50"/>
    </row>
    <row r="9" spans="1:12" ht="120" hidden="1" customHeight="1" outlineLevel="2" x14ac:dyDescent="0.25">
      <c r="B9" s="152"/>
      <c r="D9" s="107"/>
      <c r="E9" s="194" t="s">
        <v>18</v>
      </c>
      <c r="F9" s="85" t="s">
        <v>25</v>
      </c>
      <c r="G9" s="50"/>
      <c r="H9" s="50"/>
      <c r="I9" s="50"/>
      <c r="J9" s="85" t="s">
        <v>26</v>
      </c>
      <c r="K9" s="167"/>
      <c r="L9" s="50"/>
    </row>
    <row r="10" spans="1:12" ht="270" hidden="1" customHeight="1" outlineLevel="2" x14ac:dyDescent="0.25">
      <c r="B10" s="152"/>
      <c r="D10" s="108"/>
      <c r="E10" s="194" t="s">
        <v>21</v>
      </c>
      <c r="F10" s="85" t="s">
        <v>27</v>
      </c>
      <c r="G10" s="50"/>
      <c r="H10" s="50"/>
      <c r="I10" s="50"/>
      <c r="J10" s="85" t="s">
        <v>28</v>
      </c>
      <c r="K10" s="50"/>
      <c r="L10" s="50"/>
    </row>
    <row r="11" spans="1:12" outlineLevel="1" collapsed="1" x14ac:dyDescent="0.25">
      <c r="B11" s="152"/>
      <c r="C11" s="166" t="s">
        <v>14</v>
      </c>
      <c r="D11" s="166" t="s">
        <v>29</v>
      </c>
      <c r="E11" s="193" t="s">
        <v>16</v>
      </c>
      <c r="F11" s="324" t="str">
        <f t="array" aca="1" ref="F11" ca="1">HYPERLINK(CONCATENATE(Cartelle!$D$5,F$1,"/",$C11,"/",MID($D11,1,FIND("_",$D11)-1),"/",INDIRECT(CONCATENATE("'" &amp; $C11 &amp; "'!",ADDRESS(MATCH($D11, INDIRECT("'" &amp; $C11 &amp; "'!$B:$B"), 0),MATCH(F$1, INDIRECT("'" &amp; $C11 &amp; "'!$1:$1"), 0)))),".",INDIRECT(CONCATENATE("'"&amp;$C11&amp;"'!",ADDRESS(MATCH($D11,INDIRECT("'"&amp;$C11&amp;"'!$B:$B"),0),3))),"#page=",F12),CONCATENATE("#Sharepoint//",$D11))</f>
        <v>#Sharepoint//FRS_Brake Control</v>
      </c>
      <c r="G11" s="166"/>
      <c r="H11" s="166"/>
      <c r="I11" s="166"/>
      <c r="J11" s="324" t="str">
        <f t="array" aca="1" ref="J11" ca="1">HYPERLINK(CONCATENATE(Cartelle!$D$5,INDEX(INDIRECT("'" &amp; $C11 &amp; "'!$1:$1"), 1, MATCH(INDIRECT(CONCATENATE("'" &amp; $C11 &amp; "'!",ADDRESS(MATCH($D11, INDIRECT("'" &amp; $C11 &amp; "'!$B:$B"), 0),MATCH(J$1, INDIRECT("'" &amp; $C11 &amp; "'!$1:$1"), 0)))),INDIRECT(CONCATENATE("'" &amp; $C11 &amp; "'!",MATCH($D11, INDIRECT("'" &amp; $C11 &amp; "'!$B:$B"), 0),":",MATCH($D11, INDIRECT("'" &amp; $C11 &amp; "'!$B:$B"), 0))),0)),"/",$C11,"/",MID($D11,1,FIND("_",$D11)-1),"/",INDIRECT(CONCATENATE("'" &amp; $C11 &amp; "'!",ADDRESS(MATCH($D11, INDIRECT("'" &amp; $C11 &amp; "'!$B:$B"), 0),MATCH(J$1, INDIRECT("'" &amp; $C11 &amp; "'!$1:$1"), 0)))),".",INDIRECT(CONCATENATE("'"&amp;$C11&amp;"'!",ADDRESS(MATCH($D11,INDIRECT("'"&amp;$C11&amp;"'!$B:$B"),0),3))),"#page=",J12),CONCATENATE("#Sharepoint//",$D11))</f>
        <v>#Sharepoint//FRS_Brake Control</v>
      </c>
      <c r="K11" s="166"/>
      <c r="L11" s="166"/>
    </row>
    <row r="12" spans="1:12" hidden="1" outlineLevel="2" x14ac:dyDescent="0.25">
      <c r="B12" s="152"/>
      <c r="D12" s="368"/>
      <c r="E12" s="194" t="s">
        <v>17</v>
      </c>
      <c r="F12" s="50">
        <v>117</v>
      </c>
      <c r="G12" s="50"/>
      <c r="H12" s="50"/>
      <c r="I12" s="50"/>
      <c r="J12" s="50">
        <v>154</v>
      </c>
      <c r="K12" s="50"/>
      <c r="L12" s="50"/>
    </row>
    <row r="13" spans="1:12" ht="240" hidden="1" customHeight="1" outlineLevel="2" x14ac:dyDescent="0.25">
      <c r="B13" s="152"/>
      <c r="D13" s="108"/>
      <c r="E13" s="194" t="s">
        <v>30</v>
      </c>
      <c r="F13" s="50" t="s">
        <v>31</v>
      </c>
      <c r="G13" s="50"/>
      <c r="H13" s="50"/>
      <c r="I13" s="50"/>
      <c r="J13" s="85" t="s">
        <v>32</v>
      </c>
      <c r="K13" s="50"/>
      <c r="L13" s="50"/>
    </row>
    <row r="14" spans="1:12" outlineLevel="1" collapsed="1" x14ac:dyDescent="0.25">
      <c r="B14" s="152"/>
      <c r="C14" s="166" t="s">
        <v>14</v>
      </c>
      <c r="D14" s="166" t="s">
        <v>33</v>
      </c>
      <c r="E14" s="193" t="s">
        <v>16</v>
      </c>
      <c r="F14" s="324" t="str">
        <f t="array" aca="1" ref="F14" ca="1">HYPERLINK(CONCATENATE(Cartelle!$D$5,F$1,"/",$C14,"/",MID($D14,1,FIND("_",$D14)-1),"/",INDIRECT(CONCATENATE("'" &amp; $C14 &amp; "'!",ADDRESS(MATCH($D14, INDIRECT("'" &amp; $C14 &amp; "'!$B:$B"), 0),MATCH(F$1, INDIRECT("'" &amp; $C14 &amp; "'!$1:$1"), 0)))),".",INDIRECT(CONCATENATE("'"&amp;$C14&amp;"'!",ADDRESS(MATCH($D14,INDIRECT("'"&amp;$C14&amp;"'!$B:$B"),0),3))),"#page=",F15),CONCATENATE("#Sharepoint//",$D14))</f>
        <v>#Sharepoint//FPD_Brake Control</v>
      </c>
      <c r="G14" s="166"/>
      <c r="H14" s="166"/>
      <c r="I14" s="166"/>
      <c r="J14" s="324" t="str">
        <f t="array" aca="1" ref="J14" ca="1">HYPERLINK(CONCATENATE(Cartelle!$D$5,INDEX(INDIRECT("'" &amp; $C14 &amp; "'!$1:$1"), 1, MATCH(INDIRECT(CONCATENATE("'" &amp; $C14 &amp; "'!",ADDRESS(MATCH($D14, INDIRECT("'" &amp; $C14 &amp; "'!$B:$B"), 0),MATCH(J$1, INDIRECT("'" &amp; $C14 &amp; "'!$1:$1"), 0)))),INDIRECT(CONCATENATE("'" &amp; $C14 &amp; "'!",MATCH($D14, INDIRECT("'" &amp; $C14 &amp; "'!$B:$B"), 0),":",MATCH($D14, INDIRECT("'" &amp; $C14 &amp; "'!$B:$B"), 0))),0)),"/",$C14,"/",MID($D14,1,FIND("_",$D14)-1),"/",INDIRECT(CONCATENATE("'" &amp; $C14 &amp; "'!",ADDRESS(MATCH($D14, INDIRECT("'" &amp; $C14 &amp; "'!$B:$B"), 0),MATCH(J$1, INDIRECT("'" &amp; $C14 &amp; "'!$1:$1"), 0)))),".",INDIRECT(CONCATENATE("'"&amp;$C14&amp;"'!",ADDRESS(MATCH($D14,INDIRECT("'"&amp;$C14&amp;"'!$B:$B"),0),3))),"#page=",J15),CONCATENATE("#Sharepoint//",$D14))</f>
        <v>#Sharepoint//FPD_Brake Control</v>
      </c>
      <c r="K14" s="166"/>
      <c r="L14" s="166"/>
    </row>
    <row r="15" spans="1:12" hidden="1" outlineLevel="2" x14ac:dyDescent="0.25">
      <c r="A15" s="116"/>
      <c r="B15" s="152"/>
      <c r="D15" s="50"/>
      <c r="E15" s="194" t="s">
        <v>17</v>
      </c>
      <c r="F15" s="50">
        <v>18</v>
      </c>
      <c r="G15" s="50"/>
      <c r="H15" s="50"/>
      <c r="I15" s="50"/>
      <c r="J15" s="50">
        <v>18</v>
      </c>
      <c r="K15" s="50"/>
      <c r="L15" s="50"/>
    </row>
    <row r="16" spans="1:12" x14ac:dyDescent="0.25">
      <c r="A16" s="184" t="s">
        <v>34</v>
      </c>
      <c r="B16" s="184" t="s">
        <v>35</v>
      </c>
      <c r="C16" s="402"/>
      <c r="D16" s="183" t="str">
        <f>IF($A16="","",HYPERLINK(CONCATENATE(Cartelle!$D$6,$A16),CONCATENATE("#Sharepoint//",$A16)))</f>
        <v>#Sharepoint//Hot_Axle_Box_01</v>
      </c>
      <c r="E16" s="168"/>
      <c r="F16" s="169"/>
      <c r="G16" s="169"/>
      <c r="H16" s="169"/>
      <c r="I16" s="169"/>
      <c r="J16" s="169"/>
      <c r="K16" s="169"/>
      <c r="L16" s="170"/>
    </row>
    <row r="17" spans="1:12" outlineLevel="1" collapsed="1" x14ac:dyDescent="0.25">
      <c r="A17" s="185"/>
      <c r="B17" s="396"/>
      <c r="C17" s="166" t="s">
        <v>14</v>
      </c>
      <c r="D17" s="166" t="s">
        <v>15</v>
      </c>
      <c r="E17" s="193" t="s">
        <v>16</v>
      </c>
      <c r="F17" s="324" t="str">
        <f t="array" aca="1" ref="F17" ca="1">HYPERLINK(CONCATENATE(Cartelle!$D$5,F$1,"/",$C17,"/",MID($D17,1,FIND("_",$D17)-1),"/",INDIRECT(CONCATENATE("'" &amp; $C17 &amp; "'!",ADDRESS(MATCH($D17, INDIRECT("'" &amp; $C17 &amp; "'!$B:$B"), 0),MATCH(F$1, INDIRECT("'" &amp; $C17 &amp; "'!$1:$1"), 0)))),".",INDIRECT(CONCATENATE("'"&amp;$C17&amp;"'!",ADDRESS(MATCH($D17,INDIRECT("'"&amp;$C17&amp;"'!$B:$B"),0),3))),"#page=",F18),CONCATENATE("#Sharepoint//",$D17))</f>
        <v>#Sharepoint//FS_DM1</v>
      </c>
      <c r="G17" s="166"/>
      <c r="H17" s="166"/>
      <c r="I17" s="166"/>
      <c r="J17" s="324" t="str">
        <f t="array" aca="1" ref="J17" ca="1">HYPERLINK(CONCATENATE(Cartelle!$D$5,INDEX(INDIRECT("'" &amp; $C17 &amp; "'!$1:$1"), 1, MATCH(INDIRECT(CONCATENATE("'" &amp; $C17 &amp; "'!",ADDRESS(MATCH($D17, INDIRECT("'" &amp; $C17 &amp; "'!$B:$B"), 0),MATCH(J$1, INDIRECT("'" &amp; $C17 &amp; "'!$1:$1"), 0)))),INDIRECT(CONCATENATE("'" &amp; $C17 &amp; "'!",MATCH($D17, INDIRECT("'" &amp; $C17 &amp; "'!$B:$B"), 0),":",MATCH($D17, INDIRECT("'" &amp; $C17 &amp; "'!$B:$B"), 0))),0)),"/",$C17,"/",MID($D17,1,FIND("_",$D17)-1),"/",INDIRECT(CONCATENATE("'" &amp; $C17 &amp; "'!",ADDRESS(MATCH($D17, INDIRECT("'" &amp; $C17 &amp; "'!$B:$B"), 0),MATCH(J$1, INDIRECT("'" &amp; $C17 &amp; "'!$1:$1"), 0)))),".",INDIRECT(CONCATENATE("'"&amp;$C17&amp;"'!",ADDRESS(MATCH($D17,INDIRECT("'"&amp;$C17&amp;"'!$B:$B"),0),3))),"#page=",J18),CONCATENATE("#Sharepoint//",$D17))</f>
        <v>#Sharepoint//FS_DM1</v>
      </c>
      <c r="K17" s="165"/>
      <c r="L17" s="166"/>
    </row>
    <row r="18" spans="1:12" hidden="1" outlineLevel="2" x14ac:dyDescent="0.25">
      <c r="A18" s="187"/>
      <c r="B18" s="397"/>
      <c r="C18" s="188"/>
      <c r="D18" s="50"/>
      <c r="E18" s="194" t="s">
        <v>17</v>
      </c>
      <c r="F18" s="50">
        <v>388</v>
      </c>
      <c r="G18" s="50"/>
      <c r="H18" s="50"/>
      <c r="I18" s="50"/>
      <c r="J18" s="50">
        <v>264</v>
      </c>
      <c r="K18" s="85"/>
      <c r="L18" s="50"/>
    </row>
    <row r="19" spans="1:12" ht="150" hidden="1" customHeight="1" outlineLevel="2" x14ac:dyDescent="0.25">
      <c r="A19" s="187"/>
      <c r="B19" s="397"/>
      <c r="C19" s="188"/>
      <c r="D19" s="50"/>
      <c r="E19" s="194" t="s">
        <v>18</v>
      </c>
      <c r="F19" s="85" t="s">
        <v>36</v>
      </c>
      <c r="G19" s="50"/>
      <c r="H19" s="50"/>
      <c r="I19" s="50"/>
      <c r="J19" s="85" t="s">
        <v>37</v>
      </c>
      <c r="K19" s="85"/>
      <c r="L19" s="50"/>
    </row>
    <row r="20" spans="1:12" ht="345" hidden="1" customHeight="1" outlineLevel="2" x14ac:dyDescent="0.25">
      <c r="A20" s="187"/>
      <c r="B20" s="397"/>
      <c r="C20" s="188"/>
      <c r="D20" s="50"/>
      <c r="E20" s="194" t="s">
        <v>21</v>
      </c>
      <c r="F20" s="85" t="s">
        <v>38</v>
      </c>
      <c r="G20" s="50"/>
      <c r="H20" s="50"/>
      <c r="I20" s="50"/>
      <c r="J20" s="85" t="s">
        <v>39</v>
      </c>
      <c r="K20" s="85"/>
      <c r="L20" s="50"/>
    </row>
    <row r="21" spans="1:12" outlineLevel="1" collapsed="1" x14ac:dyDescent="0.25">
      <c r="A21" s="187"/>
      <c r="B21" s="397"/>
      <c r="C21" s="166" t="s">
        <v>14</v>
      </c>
      <c r="D21" s="166" t="s">
        <v>40</v>
      </c>
      <c r="E21" s="193" t="s">
        <v>16</v>
      </c>
      <c r="F21" s="324" t="str">
        <f t="array" aca="1" ref="F21" ca="1">HYPERLINK(CONCATENATE(Cartelle!$D$5,F$1,"/",$C21,"/",MID($D21,1,FIND("_",$D21)-1),"/",INDIRECT(CONCATENATE("'" &amp; $C21 &amp; "'!",ADDRESS(MATCH($D21, INDIRECT("'" &amp; $C21 &amp; "'!$B:$B"), 0),MATCH(F$1, INDIRECT("'" &amp; $C21 &amp; "'!$1:$1"), 0)))),".",INDIRECT(CONCATENATE("'"&amp;$C21&amp;"'!",ADDRESS(MATCH($D21,INDIRECT("'"&amp;$C21&amp;"'!$B:$B"),0),3))),"#page=",F22),CONCATENATE("#Sharepoint//",$D21))</f>
        <v>#Sharepoint//FRS_Bogies</v>
      </c>
      <c r="G21" s="324" t="str">
        <f t="array" aca="1" ref="G21" ca="1">HYPERLINK(CONCATENATE(Cartelle!$D$5,INDEX(INDIRECT("'" &amp; $C21 &amp; "'!$1:$1"), 1, MATCH(INDIRECT(CONCATENATE("'" &amp; $C21 &amp; "'!",ADDRESS(MATCH($D21, INDIRECT("'" &amp; $C21 &amp; "'!$B:$B"), 0),MATCH(G$1, INDIRECT("'" &amp; $C21 &amp; "'!$1:$1"), 0)))),INDIRECT(CONCATENATE("'" &amp; $C21 &amp; "'!",MATCH($D21, INDIRECT("'" &amp; $C21 &amp; "'!$B:$B"), 0),":",MATCH($D21, INDIRECT("'" &amp; $C21 &amp; "'!$B:$B"), 0))),0)),"/",$C21,"/",MID($D21,1,FIND("_",$D21)-1),"/",INDIRECT(CONCATENATE("'" &amp; $C21 &amp; "'!",ADDRESS(MATCH($D21, INDIRECT("'" &amp; $C21 &amp; "'!$B:$B"), 0),MATCH(G$1, INDIRECT("'" &amp; $C21 &amp; "'!$1:$1"), 0)))),".",INDIRECT(CONCATENATE("'"&amp;$C21&amp;"'!",ADDRESS(MATCH($D21,INDIRECT("'"&amp;$C21&amp;"'!$B:$B"),0),3))),"#page=",G22),CONCATENATE("#Sharepoint//",$D21))</f>
        <v>#Sharepoint//FRS_Bogies</v>
      </c>
      <c r="H21" s="166"/>
      <c r="I21" s="166"/>
      <c r="J21" s="324" t="str">
        <f t="array" aca="1" ref="J21" ca="1">HYPERLINK(CONCATENATE(Cartelle!$D$5,INDEX(INDIRECT("'" &amp; $C21 &amp; "'!$1:$1"), 1, MATCH(INDIRECT(CONCATENATE("'" &amp; $C21 &amp; "'!",ADDRESS(MATCH($D21, INDIRECT("'" &amp; $C21 &amp; "'!$B:$B"), 0),MATCH(J$1, INDIRECT("'" &amp; $C21 &amp; "'!$1:$1"), 0)))),INDIRECT(CONCATENATE("'" &amp; $C21 &amp; "'!",MATCH($D21, INDIRECT("'" &amp; $C21 &amp; "'!$B:$B"), 0),":",MATCH($D21, INDIRECT("'" &amp; $C21 &amp; "'!$B:$B"), 0))),0)),"/",$C21,"/",MID($D21,1,FIND("_",$D21)-1),"/",INDIRECT(CONCATENATE("'" &amp; $C21 &amp; "'!",ADDRESS(MATCH($D21, INDIRECT("'" &amp; $C21 &amp; "'!$B:$B"), 0),MATCH(J$1, INDIRECT("'" &amp; $C21 &amp; "'!$1:$1"), 0)))),".",INDIRECT(CONCATENATE("'"&amp;$C21&amp;"'!",ADDRESS(MATCH($D21,INDIRECT("'"&amp;$C21&amp;"'!$B:$B"),0),3))),"#page=",J22),CONCATENATE("#Sharepoint//",$D21))</f>
        <v>#Sharepoint//FRS_Bogies</v>
      </c>
      <c r="K21" s="166"/>
      <c r="L21" s="166"/>
    </row>
    <row r="22" spans="1:12" hidden="1" outlineLevel="2" x14ac:dyDescent="0.25">
      <c r="A22" s="187"/>
      <c r="C22" s="188"/>
      <c r="D22" s="368"/>
      <c r="E22" s="194" t="s">
        <v>17</v>
      </c>
      <c r="F22" s="50">
        <v>14</v>
      </c>
      <c r="G22" s="50">
        <v>12</v>
      </c>
      <c r="H22" s="50"/>
      <c r="I22" s="50"/>
      <c r="J22" s="50">
        <v>1</v>
      </c>
      <c r="K22" s="50"/>
      <c r="L22" s="50"/>
    </row>
    <row r="23" spans="1:12" ht="409.5" hidden="1" customHeight="1" outlineLevel="2" x14ac:dyDescent="0.25">
      <c r="A23" s="187"/>
      <c r="B23" s="397"/>
      <c r="C23" s="188"/>
      <c r="D23" s="108"/>
      <c r="E23" s="194" t="s">
        <v>30</v>
      </c>
      <c r="F23" s="85" t="s">
        <v>41</v>
      </c>
      <c r="G23" s="85" t="s">
        <v>42</v>
      </c>
      <c r="H23" s="50"/>
      <c r="I23" s="50"/>
      <c r="J23" s="50" t="s">
        <v>43</v>
      </c>
      <c r="K23" s="50"/>
      <c r="L23" s="50"/>
    </row>
    <row r="24" spans="1:12" outlineLevel="1" collapsed="1" x14ac:dyDescent="0.25">
      <c r="A24" s="187"/>
      <c r="B24" s="397"/>
      <c r="C24" s="166" t="s">
        <v>14</v>
      </c>
      <c r="D24" s="166" t="s">
        <v>44</v>
      </c>
      <c r="E24" s="193" t="s">
        <v>16</v>
      </c>
      <c r="F24" s="324" t="e">
        <f t="array" aca="1" ref="F24" ca="1">HYPERLINK(CONCATENATE(Cartelle!$D$5,F$1,"/",$C24,"/",MID($D24,1,FIND("_",$D24)-1),"/",INDIRECT(CONCATENATE("'" &amp; $C24 &amp; "'!",ADDRESS(MATCH($D24, INDIRECT("'" &amp; $C24 &amp; "'!$B:$B"), 0),MATCH(F$1, INDIRECT("'" &amp; $C24 &amp; "'!$1:$1"), 0)))),".pdf#page=",F25),CONCATENATE("#Sharepoint//",$D24))</f>
        <v>#N/A</v>
      </c>
      <c r="G24" s="166"/>
      <c r="H24" s="166"/>
      <c r="I24" s="166"/>
      <c r="J24" s="324" t="e">
        <f t="array" aca="1" ref="J24" ca="1">HYPERLINK(CONCATENATE(Cartelle!$D$5,J$1,"/CONFIG/",MID($D24,1,FIND("_",$D24)-1),"/",INDIRECT(CONCATENATE("'CONFIG'!",ADDRESS(MATCH($D24, CONFIG!$B:$B, 0),MATCH(J$1, CONFIG!$1:$1, 0)))),".pdf#page=",J25),CONCATENATE("#Sharepoint//",$D24))</f>
        <v>#N/A</v>
      </c>
      <c r="K24" s="166"/>
      <c r="L24" s="166"/>
    </row>
    <row r="25" spans="1:12" hidden="1" outlineLevel="2" x14ac:dyDescent="0.25">
      <c r="A25" s="187"/>
      <c r="B25" s="188"/>
      <c r="C25" s="188"/>
      <c r="D25" s="50"/>
      <c r="E25" s="194" t="s">
        <v>17</v>
      </c>
      <c r="F25" s="50">
        <v>1</v>
      </c>
      <c r="G25" s="50"/>
      <c r="H25" s="50"/>
      <c r="I25" s="50"/>
      <c r="J25" s="50">
        <v>1</v>
      </c>
      <c r="K25" s="50"/>
      <c r="L25" s="50"/>
    </row>
    <row r="26" spans="1:12" x14ac:dyDescent="0.25">
      <c r="A26" s="438" t="s">
        <v>45</v>
      </c>
      <c r="B26" s="438" t="s">
        <v>46</v>
      </c>
      <c r="C26" s="439" t="s">
        <v>47</v>
      </c>
      <c r="D26" s="172" t="s">
        <v>31</v>
      </c>
      <c r="E26" s="440"/>
      <c r="F26" s="441"/>
      <c r="G26" s="441"/>
      <c r="H26" s="441"/>
      <c r="I26" s="441"/>
      <c r="J26" s="441"/>
      <c r="K26" s="441"/>
      <c r="L26" s="442"/>
    </row>
    <row r="27" spans="1:12" outlineLevel="1" collapsed="1" x14ac:dyDescent="0.25">
      <c r="A27" s="189"/>
      <c r="B27" s="190"/>
      <c r="C27" s="166" t="s">
        <v>14</v>
      </c>
      <c r="D27" s="166" t="s">
        <v>15</v>
      </c>
      <c r="E27" s="193" t="s">
        <v>16</v>
      </c>
      <c r="F27" s="324" t="str">
        <f t="array" aca="1" ref="F27" ca="1">HYPERLINK(CONCATENATE(Cartelle!$D$5,F$1,"/",$C27,"/",MID($D27,1,FIND("_",$D27)-1),"/",INDIRECT(CONCATENATE("'" &amp; $C27 &amp; "'!",ADDRESS(MATCH($D27, INDIRECT("'" &amp; $C27 &amp; "'!$B:$B"), 0),MATCH(F$1, INDIRECT("'" &amp; $C27 &amp; "'!$1:$1"), 0)))),".",INDIRECT(CONCATENATE("'"&amp;$C27&amp;"'!",ADDRESS(MATCH($D27,INDIRECT("'"&amp;$C27&amp;"'!$B:$B"),0),3))),"#page=",F28),CONCATENATE("#Sharepoint//",$D27))</f>
        <v>#Sharepoint//FS_DM1</v>
      </c>
      <c r="G27" s="166"/>
      <c r="H27" s="166"/>
      <c r="I27" s="166"/>
      <c r="J27" s="324" t="str">
        <f t="array" aca="1" ref="J27" ca="1">HYPERLINK(CONCATENATE(Cartelle!$D$5,INDEX(INDIRECT("'" &amp; $C27 &amp; "'!$1:$1"), 1, MATCH(INDIRECT(CONCATENATE("'" &amp; $C27 &amp; "'!",ADDRESS(MATCH($D27, INDIRECT("'" &amp; $C27 &amp; "'!$B:$B"), 0),MATCH(J$1, INDIRECT("'" &amp; $C27 &amp; "'!$1:$1"), 0)))),INDIRECT(CONCATENATE("'" &amp; $C27 &amp; "'!",MATCH($D27, INDIRECT("'" &amp; $C27 &amp; "'!$B:$B"), 0),":",MATCH($D27, INDIRECT("'" &amp; $C27 &amp; "'!$B:$B"), 0))),0)),"/",$C27,"/",MID($D27,1,FIND("_",$D27)-1),"/",INDIRECT(CONCATENATE("'" &amp; $C27 &amp; "'!",ADDRESS(MATCH($D27, INDIRECT("'" &amp; $C27 &amp; "'!$B:$B"), 0),MATCH(J$1, INDIRECT("'" &amp; $C27 &amp; "'!$1:$1"), 0)))),".",INDIRECT(CONCATENATE("'"&amp;$C27&amp;"'!",ADDRESS(MATCH($D27,INDIRECT("'"&amp;$C27&amp;"'!$B:$B"),0),3))),"#page=",J28),CONCATENATE("#Sharepoint//",$D27))</f>
        <v>#Sharepoint//FS_DM1</v>
      </c>
      <c r="K27" s="165"/>
      <c r="L27" s="166"/>
    </row>
    <row r="28" spans="1:12" hidden="1" outlineLevel="2" x14ac:dyDescent="0.25">
      <c r="A28" s="191"/>
      <c r="B28" s="192" t="str">
        <f t="array" aca="1" ref="B28" ca="1">INDIRECT("'" &amp; $C33 &amp; "'!B5")</f>
        <v>PBS_01A</v>
      </c>
      <c r="C28" s="186"/>
      <c r="D28" s="50"/>
      <c r="E28" s="194" t="s">
        <v>17</v>
      </c>
      <c r="F28" s="50">
        <v>1</v>
      </c>
      <c r="G28" s="50"/>
      <c r="H28" s="50"/>
      <c r="I28" s="50"/>
      <c r="J28" s="50">
        <v>1</v>
      </c>
      <c r="K28" s="85"/>
      <c r="L28" s="50"/>
    </row>
    <row r="29" spans="1:12" outlineLevel="1" collapsed="1" x14ac:dyDescent="0.25">
      <c r="A29" s="191"/>
      <c r="B29" s="192"/>
      <c r="C29" s="166" t="s">
        <v>14</v>
      </c>
      <c r="D29" s="166" t="s">
        <v>48</v>
      </c>
      <c r="E29" s="193" t="s">
        <v>16</v>
      </c>
      <c r="F29" s="324" t="e">
        <f t="array" aca="1" ref="F29" ca="1">HYPERLINK(CONCATENATE(Cartelle!$D$5,F$1,"/CONFIG/",MID($D29,1,FIND("_",$D29)-1),"/",INDIRECT(CONCATENATE("'CONFIG'!",ADDRESS(MATCH($D29, CONFIG!$B:$B, 0),MATCH(F$1, CONFIG!$1:$1, 0)))),".pdf#page=",F30),CONCATENATE("#Sharepoint//",$D29))</f>
        <v>#N/A</v>
      </c>
      <c r="G29" s="166"/>
      <c r="H29" s="166"/>
      <c r="I29" s="166"/>
      <c r="J29" s="324" t="e">
        <f t="array" aca="1" ref="J29" ca="1">HYPERLINK(CONCATENATE(Cartelle!$D$5,J$1,"/CONFIG/",MID($D29,1,FIND("_",$D29)-1),"/",INDIRECT(CONCATENATE("'CONFIG'!",ADDRESS(MATCH($D29, CONFIG!$B:$B, 0),MATCH(J$1, CONFIG!$1:$1, 0)))),".pdf#page=",J30),CONCATENATE("#Sharepoint//",$D29))</f>
        <v>#N/A</v>
      </c>
      <c r="K29" s="166"/>
      <c r="L29" s="166"/>
    </row>
    <row r="30" spans="1:12" hidden="1" outlineLevel="2" x14ac:dyDescent="0.25">
      <c r="A30" s="191"/>
      <c r="B30" s="192"/>
      <c r="C30" s="186"/>
      <c r="D30" s="50"/>
      <c r="E30" s="194" t="s">
        <v>17</v>
      </c>
      <c r="F30" s="50">
        <v>1</v>
      </c>
      <c r="G30" s="50"/>
      <c r="H30" s="50"/>
      <c r="I30" s="50"/>
      <c r="J30" s="50">
        <v>1</v>
      </c>
      <c r="K30" s="50"/>
      <c r="L30" s="50"/>
    </row>
    <row r="31" spans="1:12" outlineLevel="1" collapsed="1" x14ac:dyDescent="0.25">
      <c r="A31" s="191"/>
      <c r="B31" s="192"/>
      <c r="C31" s="166" t="s">
        <v>14</v>
      </c>
      <c r="D31" s="166" t="s">
        <v>44</v>
      </c>
      <c r="E31" s="193" t="s">
        <v>16</v>
      </c>
      <c r="F31" s="324" t="e">
        <f t="array" aca="1" ref="F31" ca="1">HYPERLINK(CONCATENATE(Cartelle!$D$5,F$1,"/CONFIG/",MID($D31,1,FIND("_",$D31)-1),"/",INDIRECT(CONCATENATE("'CONFIG'!",ADDRESS(MATCH($D31, CONFIG!$B:$B, 0),MATCH(F$1, CONFIG!$1:$1, 0)))),".pdf#page=",F32),CONCATENATE("#Sharepoint//",$D31))</f>
        <v>#N/A</v>
      </c>
      <c r="G31" s="166"/>
      <c r="H31" s="166"/>
      <c r="I31" s="166"/>
      <c r="J31" s="324" t="e">
        <f t="array" aca="1" ref="J31" ca="1">HYPERLINK(CONCATENATE(Cartelle!$D$5,J$1,"/CONFIG/",MID($D31,1,FIND("_",$D31)-1),"/",INDIRECT(CONCATENATE("'CONFIG'!",ADDRESS(MATCH($D31, CONFIG!$B:$B, 0),MATCH(J$1, CONFIG!$1:$1, 0)))),".pdf#page=",J32),CONCATENATE("#Sharepoint//",$D31))</f>
        <v>#N/A</v>
      </c>
      <c r="K31" s="166"/>
      <c r="L31" s="166"/>
    </row>
    <row r="32" spans="1:12" hidden="1" outlineLevel="2" x14ac:dyDescent="0.25">
      <c r="A32" s="191"/>
      <c r="B32" s="192"/>
      <c r="C32" s="192"/>
      <c r="D32" s="50"/>
      <c r="E32" s="194" t="s">
        <v>17</v>
      </c>
      <c r="F32" s="50">
        <v>1</v>
      </c>
      <c r="G32" s="50"/>
      <c r="H32" s="50"/>
      <c r="I32" s="50"/>
      <c r="J32" s="50">
        <v>1</v>
      </c>
      <c r="K32" s="50"/>
      <c r="L32" s="50"/>
    </row>
    <row r="33" spans="1:12" outlineLevel="1" collapsed="1" x14ac:dyDescent="0.25">
      <c r="A33" s="116"/>
      <c r="B33" s="152"/>
      <c r="C33" s="166" t="s">
        <v>49</v>
      </c>
      <c r="D33" s="172" t="s">
        <v>50</v>
      </c>
      <c r="E33" s="199" t="s">
        <v>16</v>
      </c>
      <c r="F33" s="324" t="str">
        <f t="array" aca="1" ref="F33" ca="1">HYPERLINK(CONCATENATE(Cartelle!$D$5,F$1,"/",$C33,"/",MID($D33,1,FIND("_",$D33)-1),"/",INDIRECT(CONCATENATE("'" &amp; $C33 &amp; "'!",ADDRESS(MATCH($D33, INDIRECT("'" &amp; $C33 &amp; "'!$B:$B"), 0),MATCH(F$1, INDIRECT("'" &amp; $C33 &amp; "'!$1:$1"), 0)))),".",INDIRECT(CONCATENATE("'"&amp;$C33&amp;"'!",ADDRESS(MATCH($D33,INDIRECT("'"&amp;$C33&amp;"'!$B:$B"),0),3))),"#page=",F34),CONCATENATE("#Sharepoint//",$D33))</f>
        <v>#Sharepoint//PBC_01A</v>
      </c>
      <c r="G33" s="324" t="str">
        <f t="array" aca="1" ref="G33" ca="1">HYPERLINK(CONCATENATE(Cartelle!$D$5,INDEX(INDIRECT("'" &amp; $C33 &amp; "'!$1:$1"), 1, MATCH(INDIRECT(CONCATENATE("'" &amp; $C33 &amp; "'!",ADDRESS(MATCH($D33, INDIRECT("'" &amp; $C33 &amp; "'!$B:$B"), 0),MATCH(G$1, INDIRECT("'" &amp; $C33 &amp; "'!$1:$1"), 0)))),INDIRECT(CONCATENATE("'" &amp; $C33 &amp; "'!",MATCH($D33, INDIRECT("'" &amp; $C33 &amp; "'!$B:$B"), 0),":",MATCH($D33, INDIRECT("'" &amp; $C33 &amp; "'!$B:$B"), 0))),0)),"/",$C33,"/",MID($D33,1,FIND("_",$D33)-1),"/",INDIRECT(CONCATENATE("'" &amp; $C33 &amp; "'!",ADDRESS(MATCH($D33, INDIRECT("'" &amp; $C33 &amp; "'!$B:$B"), 0),MATCH(G$1, INDIRECT("'" &amp; $C33 &amp; "'!$1:$1"), 0)))),".",INDIRECT(CONCATENATE("'"&amp;$C33&amp;"'!",ADDRESS(MATCH($D33,INDIRECT("'"&amp;$C33&amp;"'!$B:$B"),0),3))),"#page=",G34),CONCATENATE("#Sharepoint//",$D33))</f>
        <v>#Sharepoint//PBC_01A</v>
      </c>
      <c r="H33" s="166"/>
      <c r="I33" s="166"/>
      <c r="J33" s="166"/>
      <c r="K33" s="166"/>
      <c r="L33" s="166"/>
    </row>
    <row r="34" spans="1:12" hidden="1" outlineLevel="2" x14ac:dyDescent="0.25">
      <c r="A34" s="116"/>
      <c r="B34" s="152"/>
      <c r="D34" s="368"/>
      <c r="E34" s="194" t="s">
        <v>17</v>
      </c>
      <c r="F34" s="50">
        <v>1</v>
      </c>
      <c r="G34" s="50">
        <v>1</v>
      </c>
      <c r="H34" s="50"/>
      <c r="I34" s="50"/>
      <c r="J34" s="50"/>
      <c r="K34" s="50"/>
      <c r="L34" s="50"/>
    </row>
    <row r="35" spans="1:12" hidden="1" outlineLevel="2" x14ac:dyDescent="0.25">
      <c r="A35" s="116"/>
      <c r="B35" s="152"/>
      <c r="D35" s="108"/>
      <c r="E35" s="85" t="s">
        <v>51</v>
      </c>
      <c r="F35" s="50"/>
      <c r="G35" s="50"/>
      <c r="H35" s="50"/>
      <c r="I35" s="50"/>
      <c r="J35" s="50"/>
      <c r="K35" s="50"/>
      <c r="L35" s="50"/>
    </row>
    <row r="36" spans="1:12" ht="30" customHeight="1" outlineLevel="1" collapsed="1" x14ac:dyDescent="0.25">
      <c r="A36" s="116"/>
      <c r="B36" s="152"/>
      <c r="C36" s="166" t="s">
        <v>52</v>
      </c>
      <c r="D36" s="172" t="s">
        <v>53</v>
      </c>
      <c r="E36" s="199" t="s">
        <v>16</v>
      </c>
      <c r="F36" s="324" t="str">
        <f t="array" aca="1" ref="F36" ca="1">HYPERLINK(CONCATENATE(Cartelle!$D$5,F$1,"/",$C36,"/",MID($D36,1,FIND("_",$D36)-1),"/",INDIRECT(CONCATENATE("'" &amp; $C36 &amp; "'!",ADDRESS(MATCH($D36, INDIRECT("'" &amp; $C36 &amp; "'!$B:$B"), 0),MATCH(F$1, INDIRECT("'" &amp; $C36 &amp; "'!$1:$1"), 0)))),".",INDIRECT(CONCATENATE("'"&amp;$C36&amp;"'!",ADDRESS(MATCH($D36,INDIRECT("'"&amp;$C36&amp;"'!$B:$B"),0),3))),"#page=",F37),CONCATENATE("#Sharepoint//",$D36))</f>
        <v>#Sharepoint//DIA_Regole</v>
      </c>
      <c r="G36" s="166"/>
      <c r="H36" s="166"/>
      <c r="I36" s="166"/>
      <c r="J36" s="166"/>
      <c r="K36" s="166"/>
      <c r="L36" s="166"/>
    </row>
    <row r="37" spans="1:12" hidden="1" outlineLevel="2" x14ac:dyDescent="0.25">
      <c r="A37" s="116"/>
      <c r="B37" s="152"/>
      <c r="D37" s="368"/>
      <c r="E37" s="85" t="s">
        <v>54</v>
      </c>
      <c r="F37" s="50">
        <v>1</v>
      </c>
      <c r="G37" s="50"/>
      <c r="H37" s="50"/>
      <c r="I37" s="50"/>
      <c r="J37" s="50"/>
      <c r="K37" s="50"/>
      <c r="L37" s="50"/>
    </row>
    <row r="38" spans="1:12" outlineLevel="1" collapsed="1" x14ac:dyDescent="0.25">
      <c r="A38" s="116"/>
      <c r="B38" s="398" t="s">
        <v>55</v>
      </c>
      <c r="C38" s="166" t="s">
        <v>56</v>
      </c>
      <c r="D38" s="172" t="s">
        <v>57</v>
      </c>
      <c r="E38" s="199" t="s">
        <v>16</v>
      </c>
      <c r="F38" s="475" t="str">
        <f t="array" aca="1" ref="F38" ca="1">HYPERLINK(CONCATENATE(Cartelle!$D$5,F$1,"/",$C38,"/",MID($D38,1,FIND("_",$D38)-1),"/",INDIRECT(CONCATENATE("'" &amp; $C38 &amp; "'!",ADDRESS(MATCH($D38, INDIRECT("'" &amp; $C38 &amp; "'!$B:$B"), 0),MATCH(F$1, INDIRECT("'" &amp; $C38 &amp; "'!$1:$1"), 0)))),".",INDIRECT(CONCATENATE("'"&amp;$C38&amp;"'!",ADDRESS(MATCH($D38,INDIRECT("'"&amp;$C38&amp;"'!$B:$B"),0),3))),"#page=",F39),CONCATENATE("#Sharepoint//",$D38))</f>
        <v>#Sharepoint//FD_TCMS</v>
      </c>
      <c r="G38" s="166"/>
      <c r="H38" s="166"/>
      <c r="I38" s="166"/>
      <c r="J38" s="166"/>
      <c r="K38" s="166"/>
      <c r="L38" s="166"/>
    </row>
    <row r="39" spans="1:12" hidden="1" outlineLevel="2" x14ac:dyDescent="0.25">
      <c r="A39" s="116"/>
      <c r="B39" s="152"/>
      <c r="D39" s="368"/>
      <c r="E39" s="85" t="s">
        <v>54</v>
      </c>
      <c r="F39" s="50">
        <v>1</v>
      </c>
      <c r="G39" s="50"/>
      <c r="H39" s="50"/>
      <c r="I39" s="50"/>
      <c r="J39" s="50"/>
      <c r="K39" s="50"/>
      <c r="L39" s="50"/>
    </row>
    <row r="40" spans="1:12" ht="30" customHeight="1" x14ac:dyDescent="0.25">
      <c r="A40" s="184" t="s">
        <v>58</v>
      </c>
      <c r="B40" s="184" t="s">
        <v>59</v>
      </c>
      <c r="C40" s="403"/>
      <c r="D40" s="195" t="s">
        <v>31</v>
      </c>
      <c r="E40" s="168"/>
      <c r="F40" s="169"/>
      <c r="G40" s="169"/>
      <c r="H40" s="169"/>
      <c r="I40" s="169"/>
      <c r="J40" s="169"/>
      <c r="K40" s="169"/>
      <c r="L40" s="170"/>
    </row>
    <row r="41" spans="1:12" outlineLevel="1" x14ac:dyDescent="0.25">
      <c r="A41" s="189"/>
      <c r="B41" s="190"/>
      <c r="C41" s="166" t="s">
        <v>14</v>
      </c>
      <c r="D41" s="166" t="s">
        <v>60</v>
      </c>
      <c r="E41" s="193" t="s">
        <v>16</v>
      </c>
      <c r="F41" s="324" t="str">
        <f t="array" aca="1" ref="F41" ca="1">HYPERLINK(CONCATENATE(Cartelle!$D$5,F$1,"/",$C41,"/",MID($D41,1,FIND("_",$D41)-1),"/",INDIRECT(CONCATENATE("'" &amp; $C41 &amp; "'!",ADDRESS(MATCH($D41, INDIRECT("'" &amp; $C41 &amp; "'!$B:$B"), 0),MATCH(F$1, INDIRECT("'" &amp; $C41 &amp; "'!$1:$1"), 0)))),".",INDIRECT(CONCATENATE("'"&amp;$C41&amp;"'!",ADDRESS(MATCH($D41,INDIRECT("'"&amp;$C41&amp;"'!$B:$B"),0),3))),"#page=",F42),CONCATENATE("#Sharepoint//",$D41))</f>
        <v>#Sharepoint//FRS_Line Voltage</v>
      </c>
      <c r="G41" s="389"/>
      <c r="H41" s="324" t="str">
        <f t="array" aca="1" ref="H41" ca="1">HYPERLINK(CONCATENATE(Cartelle!$D$5,INDEX(INDIRECT("'" &amp; $C41 &amp; "'!$1:$1"), 1, MATCH(INDIRECT(CONCATENATE("'" &amp; $C41 &amp; "'!",ADDRESS(MATCH($D41, INDIRECT("'" &amp; $C41 &amp; "'!$B:$B"), 0),MATCH(H$1, INDIRECT("'" &amp; $C41 &amp; "'!$1:$1"), 0)))),INDIRECT(CONCATENATE("'" &amp; $C41 &amp; "'!",MATCH($D41, INDIRECT("'" &amp; $C41 &amp; "'!$B:$B"), 0),":",MATCH($D41, INDIRECT("'" &amp; $C41 &amp; "'!$B:$B"), 0))),0)),"/",$C41,"/",MID($D41,1,FIND("_",$D41)-1),"/",INDIRECT(CONCATENATE("'" &amp; $C41 &amp; "'!",ADDRESS(MATCH($D41, INDIRECT("'" &amp; $C41 &amp; "'!$B:$B"), 0),MATCH(H$1, INDIRECT("'" &amp; $C41 &amp; "'!$1:$1"), 0)))),".",INDIRECT(CONCATENATE("'"&amp;$C41&amp;"'!",ADDRESS(MATCH($D41,INDIRECT("'"&amp;$C41&amp;"'!$B:$B"),0),3))),"#page=",H42),CONCATENATE("#Sharepoint//",$D41))</f>
        <v>#Sharepoint//FRS_Line Voltage</v>
      </c>
      <c r="I41" s="324" t="str">
        <f t="array" aca="1" ref="I41" ca="1">HYPERLINK(CONCATENATE(Cartelle!$D$5,INDEX(INDIRECT("'" &amp; $C41 &amp; "'!$1:$1"), 1, MATCH(INDIRECT(CONCATENATE("'" &amp; $C41 &amp; "'!",ADDRESS(MATCH($D41, INDIRECT("'" &amp; $C41 &amp; "'!$B:$B"), 0),MATCH(I$1, INDIRECT("'" &amp; $C41 &amp; "'!$1:$1"), 0)))),INDIRECT(CONCATENATE("'" &amp; $C41 &amp; "'!",MATCH($D41, INDIRECT("'" &amp; $C41 &amp; "'!$B:$B"), 0),":",MATCH($D41, INDIRECT("'" &amp; $C41 &amp; "'!$B:$B"), 0))),0)),"/",$C41,"/",MID($D41,1,FIND("_",$D41)-1),"/",INDIRECT(CONCATENATE("'" &amp; $C41 &amp; "'!",ADDRESS(MATCH($D41, INDIRECT("'" &amp; $C41 &amp; "'!$B:$B"), 0),MATCH(I$1, INDIRECT("'" &amp; $C41 &amp; "'!$1:$1"), 0)))),".",INDIRECT(CONCATENATE("'"&amp;$C41&amp;"'!",ADDRESS(MATCH($D41,INDIRECT("'"&amp;$C41&amp;"'!$B:$B"),0),3))),"#page=",I42),CONCATENATE("#Sharepoint//",$D41))</f>
        <v>#Sharepoint//FRS_Line Voltage</v>
      </c>
      <c r="J41" s="324" t="str">
        <f t="array" aca="1" ref="J41" ca="1">HYPERLINK(CONCATENATE(Cartelle!$D$5,INDEX(INDIRECT("'" &amp; $C41 &amp; "'!$1:$1"), 1, MATCH(INDIRECT(CONCATENATE("'" &amp; $C41 &amp; "'!",ADDRESS(MATCH($D41, INDIRECT("'" &amp; $C41 &amp; "'!$B:$B"), 0),MATCH(J$1, INDIRECT("'" &amp; $C41 &amp; "'!$1:$1"), 0)))),INDIRECT(CONCATENATE("'" &amp; $C41 &amp; "'!",MATCH($D41, INDIRECT("'" &amp; $C41 &amp; "'!$B:$B"), 0),":",MATCH($D41, INDIRECT("'" &amp; $C41 &amp; "'!$B:$B"), 0))),0)),"/",$C41,"/",MID($D41,1,FIND("_",$D41)-1),"/",INDIRECT(CONCATENATE("'" &amp; $C41 &amp; "'!",ADDRESS(MATCH($D41, INDIRECT("'" &amp; $C41 &amp; "'!$B:$B"), 0),MATCH(J$1, INDIRECT("'" &amp; $C41 &amp; "'!$1:$1"), 0)))),".",INDIRECT(CONCATENATE("'"&amp;$C41&amp;"'!",ADDRESS(MATCH($D41,INDIRECT("'"&amp;$C41&amp;"'!$B:$B"),0),3))),"#page=",J42),CONCATENATE("#Sharepoint//",$D41))</f>
        <v>#Sharepoint//FRS_Line Voltage</v>
      </c>
      <c r="K41" s="165"/>
      <c r="L41" s="166"/>
    </row>
    <row r="42" spans="1:12" outlineLevel="2" x14ac:dyDescent="0.25">
      <c r="A42" s="191"/>
      <c r="B42" s="192"/>
      <c r="C42" s="192"/>
      <c r="D42" s="50"/>
      <c r="E42" s="194" t="s">
        <v>17</v>
      </c>
      <c r="F42" s="50">
        <v>7</v>
      </c>
      <c r="G42" s="50"/>
      <c r="H42" s="50">
        <v>7</v>
      </c>
      <c r="I42" s="50">
        <v>7</v>
      </c>
      <c r="J42" s="50">
        <v>12</v>
      </c>
      <c r="K42" s="85"/>
      <c r="L42" s="50"/>
    </row>
    <row r="43" spans="1:12" ht="360" outlineLevel="2" x14ac:dyDescent="0.25">
      <c r="A43" s="191"/>
      <c r="B43" s="192"/>
      <c r="C43" s="192"/>
      <c r="D43" s="446"/>
      <c r="E43" s="467" t="s">
        <v>61</v>
      </c>
      <c r="F43" s="478" t="s">
        <v>62</v>
      </c>
      <c r="G43" s="468"/>
      <c r="H43" s="478" t="s">
        <v>63</v>
      </c>
      <c r="I43" s="478" t="s">
        <v>64</v>
      </c>
      <c r="J43" s="478" t="s">
        <v>65</v>
      </c>
      <c r="K43" s="467"/>
      <c r="L43" s="469"/>
    </row>
    <row r="44" spans="1:12" ht="30" customHeight="1" x14ac:dyDescent="0.25">
      <c r="A44" s="184" t="s">
        <v>66</v>
      </c>
      <c r="B44" s="184" t="s">
        <v>67</v>
      </c>
      <c r="C44" s="403"/>
      <c r="D44" s="195" t="s">
        <v>31</v>
      </c>
      <c r="E44" s="168"/>
      <c r="F44" s="169"/>
      <c r="G44" s="169"/>
      <c r="H44" s="169"/>
      <c r="I44" s="169"/>
      <c r="J44" s="169"/>
      <c r="K44" s="169"/>
      <c r="L44" s="170"/>
    </row>
    <row r="45" spans="1:12" outlineLevel="1" x14ac:dyDescent="0.25">
      <c r="A45" s="189"/>
      <c r="B45" s="190"/>
      <c r="C45" s="166" t="s">
        <v>14</v>
      </c>
      <c r="D45" s="166" t="s">
        <v>60</v>
      </c>
      <c r="E45" s="193" t="s">
        <v>16</v>
      </c>
      <c r="F45" s="324" t="str">
        <f t="array" aca="1" ref="F45" ca="1">HYPERLINK(CONCATENATE(Cartelle!$D$5,F$1,"/",$C45,"/",MID($D45,1,FIND("_",$D45)-1),"/",INDIRECT(CONCATENATE("'" &amp; $C45 &amp; "'!",ADDRESS(MATCH($D45, INDIRECT("'" &amp; $C45 &amp; "'!$B:$B"), 0),MATCH(F$1, INDIRECT("'" &amp; $C45 &amp; "'!$1:$1"), 0)))),".",INDIRECT(CONCATENATE("'"&amp;$C45&amp;"'!",ADDRESS(MATCH($D45,INDIRECT("'"&amp;$C45&amp;"'!$B:$B"),0),3))),"#page=",F46),CONCATENATE("#Sharepoint//",$D45))</f>
        <v>#Sharepoint//FRS_Line Voltage</v>
      </c>
      <c r="G45" s="389"/>
      <c r="H45" s="324" t="str">
        <f t="array" aca="1" ref="H45" ca="1">HYPERLINK(CONCATENATE(Cartelle!$D$5,INDEX(INDIRECT("'" &amp; $C45 &amp; "'!$1:$1"), 1, MATCH(INDIRECT(CONCATENATE("'" &amp; $C45 &amp; "'!",ADDRESS(MATCH($D45, INDIRECT("'" &amp; $C45 &amp; "'!$B:$B"), 0),MATCH(H$1, INDIRECT("'" &amp; $C45 &amp; "'!$1:$1"), 0)))),INDIRECT(CONCATENATE("'" &amp; $C45 &amp; "'!",MATCH($D45, INDIRECT("'" &amp; $C45 &amp; "'!$B:$B"), 0),":",MATCH($D45, INDIRECT("'" &amp; $C45 &amp; "'!$B:$B"), 0))),0)),"/",$C45,"/",MID($D45,1,FIND("_",$D45)-1),"/",INDIRECT(CONCATENATE("'" &amp; $C45 &amp; "'!",ADDRESS(MATCH($D45, INDIRECT("'" &amp; $C45 &amp; "'!$B:$B"), 0),MATCH(H$1, INDIRECT("'" &amp; $C45 &amp; "'!$1:$1"), 0)))),".",INDIRECT(CONCATENATE("'"&amp;$C45&amp;"'!",ADDRESS(MATCH($D45,INDIRECT("'"&amp;$C45&amp;"'!$B:$B"),0),3))),"#page=",H46),CONCATENATE("#Sharepoint//",$D45))</f>
        <v>#Sharepoint//FRS_Line Voltage</v>
      </c>
      <c r="I45" s="324" t="str">
        <f t="array" aca="1" ref="I45" ca="1">HYPERLINK(CONCATENATE(Cartelle!$D$5,INDEX(INDIRECT("'" &amp; $C45 &amp; "'!$1:$1"), 1, MATCH(INDIRECT(CONCATENATE("'" &amp; $C45 &amp; "'!",ADDRESS(MATCH($D45, INDIRECT("'" &amp; $C45 &amp; "'!$B:$B"), 0),MATCH(I$1, INDIRECT("'" &amp; $C45 &amp; "'!$1:$1"), 0)))),INDIRECT(CONCATENATE("'" &amp; $C45 &amp; "'!",MATCH($D45, INDIRECT("'" &amp; $C45 &amp; "'!$B:$B"), 0),":",MATCH($D45, INDIRECT("'" &amp; $C45 &amp; "'!$B:$B"), 0))),0)),"/",$C45,"/",MID($D45,1,FIND("_",$D45)-1),"/",INDIRECT(CONCATENATE("'" &amp; $C45 &amp; "'!",ADDRESS(MATCH($D45, INDIRECT("'" &amp; $C45 &amp; "'!$B:$B"), 0),MATCH(I$1, INDIRECT("'" &amp; $C45 &amp; "'!$1:$1"), 0)))),".",INDIRECT(CONCATENATE("'"&amp;$C45&amp;"'!",ADDRESS(MATCH($D45,INDIRECT("'"&amp;$C45&amp;"'!$B:$B"),0),3))),"#page=",I46),CONCATENATE("#Sharepoint//",$D45))</f>
        <v>#Sharepoint//FRS_Line Voltage</v>
      </c>
      <c r="J45" s="324" t="str">
        <f t="array" aca="1" ref="J45" ca="1">HYPERLINK(CONCATENATE(Cartelle!$D$5,INDEX(INDIRECT("'" &amp; $C45 &amp; "'!$1:$1"), 1, MATCH(INDIRECT(CONCATENATE("'" &amp; $C45 &amp; "'!",ADDRESS(MATCH($D45, INDIRECT("'" &amp; $C45 &amp; "'!$B:$B"), 0),MATCH(J$1, INDIRECT("'" &amp; $C45 &amp; "'!$1:$1"), 0)))),INDIRECT(CONCATENATE("'" &amp; $C45 &amp; "'!",MATCH($D45, INDIRECT("'" &amp; $C45 &amp; "'!$B:$B"), 0),":",MATCH($D45, INDIRECT("'" &amp; $C45 &amp; "'!$B:$B"), 0))),0)),"/",$C45,"/",MID($D45,1,FIND("_",$D45)-1),"/",INDIRECT(CONCATENATE("'" &amp; $C45 &amp; "'!",ADDRESS(MATCH($D45, INDIRECT("'" &amp; $C45 &amp; "'!$B:$B"), 0),MATCH(J$1, INDIRECT("'" &amp; $C45 &amp; "'!$1:$1"), 0)))),".",INDIRECT(CONCATENATE("'"&amp;$C45&amp;"'!",ADDRESS(MATCH($D45,INDIRECT("'"&amp;$C45&amp;"'!$B:$B"),0),3))),"#page=",J46),CONCATENATE("#Sharepoint//",$D45))</f>
        <v>#Sharepoint//FRS_Line Voltage</v>
      </c>
      <c r="K45" s="165"/>
      <c r="L45" s="166"/>
    </row>
    <row r="46" spans="1:12" outlineLevel="2" x14ac:dyDescent="0.25">
      <c r="A46" s="191"/>
      <c r="B46" s="192"/>
      <c r="C46" s="192"/>
      <c r="D46" s="50"/>
      <c r="E46" s="194" t="s">
        <v>17</v>
      </c>
      <c r="F46" s="50">
        <v>8</v>
      </c>
      <c r="G46" s="50"/>
      <c r="H46" s="50">
        <v>8</v>
      </c>
      <c r="I46" s="50">
        <v>8</v>
      </c>
      <c r="J46" s="50">
        <v>13</v>
      </c>
      <c r="K46" s="85"/>
      <c r="L46" s="50"/>
    </row>
    <row r="47" spans="1:12" ht="360" outlineLevel="2" x14ac:dyDescent="0.25">
      <c r="A47" s="191"/>
      <c r="B47" s="192"/>
      <c r="C47" s="192"/>
      <c r="D47" s="446"/>
      <c r="E47" s="467" t="s">
        <v>61</v>
      </c>
      <c r="F47" s="478" t="s">
        <v>68</v>
      </c>
      <c r="G47" s="468"/>
      <c r="H47" s="478" t="s">
        <v>69</v>
      </c>
      <c r="I47" s="478" t="s">
        <v>70</v>
      </c>
      <c r="J47" s="478" t="s">
        <v>71</v>
      </c>
      <c r="K47" s="467"/>
      <c r="L47" s="469"/>
    </row>
    <row r="48" spans="1:12" ht="30" customHeight="1" x14ac:dyDescent="0.25">
      <c r="A48" s="184" t="s">
        <v>72</v>
      </c>
      <c r="B48" s="184" t="s">
        <v>73</v>
      </c>
      <c r="C48" s="403"/>
      <c r="D48" s="195" t="s">
        <v>31</v>
      </c>
      <c r="E48" s="168"/>
      <c r="F48" s="169"/>
      <c r="G48" s="169"/>
      <c r="H48" s="169"/>
      <c r="I48" s="169"/>
      <c r="J48" s="169"/>
      <c r="K48" s="169"/>
      <c r="L48" s="170"/>
    </row>
    <row r="49" spans="1:12" outlineLevel="1" x14ac:dyDescent="0.25">
      <c r="A49" s="189"/>
      <c r="B49" s="190"/>
      <c r="C49" s="166" t="s">
        <v>14</v>
      </c>
      <c r="D49" s="166" t="s">
        <v>60</v>
      </c>
      <c r="E49" s="193" t="s">
        <v>16</v>
      </c>
      <c r="F49" s="324" t="str">
        <f t="array" aca="1" ref="F49" ca="1">HYPERLINK(CONCATENATE(Cartelle!$D$5,F$1,"/",$C49,"/",MID($D49,1,FIND("_",$D49)-1),"/",INDIRECT(CONCATENATE("'" &amp; $C49 &amp; "'!",ADDRESS(MATCH($D49, INDIRECT("'" &amp; $C49 &amp; "'!$B:$B"), 0),MATCH(F$1, INDIRECT("'" &amp; $C49 &amp; "'!$1:$1"), 0)))),".",INDIRECT(CONCATENATE("'"&amp;$C49&amp;"'!",ADDRESS(MATCH($D49,INDIRECT("'"&amp;$C49&amp;"'!$B:$B"),0),3))),"#page=",F50),CONCATENATE("#Sharepoint//",$D49))</f>
        <v>#Sharepoint//FRS_Line Voltage</v>
      </c>
      <c r="G49" s="389"/>
      <c r="H49" s="324" t="str">
        <f t="array" aca="1" ref="H49" ca="1">HYPERLINK(CONCATENATE(Cartelle!$D$5,INDEX(INDIRECT("'" &amp; $C49 &amp; "'!$1:$1"), 1, MATCH(INDIRECT(CONCATENATE("'" &amp; $C49 &amp; "'!",ADDRESS(MATCH($D49, INDIRECT("'" &amp; $C49 &amp; "'!$B:$B"), 0),MATCH(H$1, INDIRECT("'" &amp; $C49 &amp; "'!$1:$1"), 0)))),INDIRECT(CONCATENATE("'" &amp; $C49 &amp; "'!",MATCH($D49, INDIRECT("'" &amp; $C49 &amp; "'!$B:$B"), 0),":",MATCH($D49, INDIRECT("'" &amp; $C49 &amp; "'!$B:$B"), 0))),0)),"/",$C49,"/",MID($D49,1,FIND("_",$D49)-1),"/",INDIRECT(CONCATENATE("'" &amp; $C49 &amp; "'!",ADDRESS(MATCH($D49, INDIRECT("'" &amp; $C49 &amp; "'!$B:$B"), 0),MATCH(H$1, INDIRECT("'" &amp; $C49 &amp; "'!$1:$1"), 0)))),".",INDIRECT(CONCATENATE("'"&amp;$C49&amp;"'!",ADDRESS(MATCH($D49,INDIRECT("'"&amp;$C49&amp;"'!$B:$B"),0),3))),"#page=",H50),CONCATENATE("#Sharepoint//",$D49))</f>
        <v>#Sharepoint//FRS_Line Voltage</v>
      </c>
      <c r="I49" s="324" t="str">
        <f t="array" aca="1" ref="I49" ca="1">HYPERLINK(CONCATENATE(Cartelle!$D$5,INDEX(INDIRECT("'" &amp; $C49 &amp; "'!$1:$1"), 1, MATCH(INDIRECT(CONCATENATE("'" &amp; $C49 &amp; "'!",ADDRESS(MATCH($D49, INDIRECT("'" &amp; $C49 &amp; "'!$B:$B"), 0),MATCH(I$1, INDIRECT("'" &amp; $C49 &amp; "'!$1:$1"), 0)))),INDIRECT(CONCATENATE("'" &amp; $C49 &amp; "'!",MATCH($D49, INDIRECT("'" &amp; $C49 &amp; "'!$B:$B"), 0),":",MATCH($D49, INDIRECT("'" &amp; $C49 &amp; "'!$B:$B"), 0))),0)),"/",$C49,"/",MID($D49,1,FIND("_",$D49)-1),"/",INDIRECT(CONCATENATE("'" &amp; $C49 &amp; "'!",ADDRESS(MATCH($D49, INDIRECT("'" &amp; $C49 &amp; "'!$B:$B"), 0),MATCH(I$1, INDIRECT("'" &amp; $C49 &amp; "'!$1:$1"), 0)))),".",INDIRECT(CONCATENATE("'"&amp;$C49&amp;"'!",ADDRESS(MATCH($D49,INDIRECT("'"&amp;$C49&amp;"'!$B:$B"),0),3))),"#page=",I50),CONCATENATE("#Sharepoint//",$D49))</f>
        <v>#Sharepoint//FRS_Line Voltage</v>
      </c>
      <c r="J49" s="324" t="str">
        <f t="array" aca="1" ref="J49" ca="1">HYPERLINK(CONCATENATE(Cartelle!$D$5,INDEX(INDIRECT("'" &amp; $C49 &amp; "'!$1:$1"), 1, MATCH(INDIRECT(CONCATENATE("'" &amp; $C49 &amp; "'!",ADDRESS(MATCH($D49, INDIRECT("'" &amp; $C49 &amp; "'!$B:$B"), 0),MATCH(J$1, INDIRECT("'" &amp; $C49 &amp; "'!$1:$1"), 0)))),INDIRECT(CONCATENATE("'" &amp; $C49 &amp; "'!",MATCH($D49, INDIRECT("'" &amp; $C49 &amp; "'!$B:$B"), 0),":",MATCH($D49, INDIRECT("'" &amp; $C49 &amp; "'!$B:$B"), 0))),0)),"/",$C49,"/",MID($D49,1,FIND("_",$D49)-1),"/",INDIRECT(CONCATENATE("'" &amp; $C49 &amp; "'!",ADDRESS(MATCH($D49, INDIRECT("'" &amp; $C49 &amp; "'!$B:$B"), 0),MATCH(J$1, INDIRECT("'" &amp; $C49 &amp; "'!$1:$1"), 0)))),".",INDIRECT(CONCATENATE("'"&amp;$C49&amp;"'!",ADDRESS(MATCH($D49,INDIRECT("'"&amp;$C49&amp;"'!$B:$B"),0),3))),"#page=",J50),CONCATENATE("#Sharepoint//",$D49))</f>
        <v>#Sharepoint//FRS_Line Voltage</v>
      </c>
      <c r="K49" s="165"/>
      <c r="L49" s="166"/>
    </row>
    <row r="50" spans="1:12" outlineLevel="2" x14ac:dyDescent="0.25">
      <c r="A50" s="191"/>
      <c r="B50" s="192"/>
      <c r="C50" s="192"/>
      <c r="D50" s="50"/>
      <c r="E50" s="194" t="s">
        <v>17</v>
      </c>
      <c r="F50" s="50">
        <v>14</v>
      </c>
      <c r="G50" s="50"/>
      <c r="H50" s="50">
        <v>16</v>
      </c>
      <c r="I50" s="50">
        <v>14</v>
      </c>
      <c r="J50" s="50">
        <v>19</v>
      </c>
      <c r="K50" s="85"/>
      <c r="L50" s="50"/>
    </row>
    <row r="51" spans="1:12" ht="409.5" outlineLevel="2" x14ac:dyDescent="0.25">
      <c r="A51" s="191"/>
      <c r="B51" s="192"/>
      <c r="C51" s="192"/>
      <c r="D51" s="446"/>
      <c r="E51" s="467" t="s">
        <v>61</v>
      </c>
      <c r="F51" s="478" t="s">
        <v>74</v>
      </c>
      <c r="G51" s="468"/>
      <c r="H51" s="478" t="s">
        <v>75</v>
      </c>
      <c r="I51" s="478" t="s">
        <v>76</v>
      </c>
      <c r="J51" s="478" t="s">
        <v>77</v>
      </c>
      <c r="K51" s="467"/>
      <c r="L51" s="469"/>
    </row>
    <row r="52" spans="1:12" s="13" customFormat="1" ht="30" customHeight="1" x14ac:dyDescent="0.25">
      <c r="A52" s="325" t="s">
        <v>78</v>
      </c>
      <c r="B52" s="326" t="s">
        <v>79</v>
      </c>
      <c r="C52" s="404"/>
      <c r="D52" s="369" t="s">
        <v>31</v>
      </c>
      <c r="E52" s="327"/>
      <c r="F52" s="328"/>
      <c r="G52" s="328"/>
      <c r="H52" s="328"/>
      <c r="I52" s="328"/>
      <c r="J52" s="328"/>
      <c r="K52" s="328"/>
      <c r="L52" s="329"/>
    </row>
    <row r="53" spans="1:12" s="13" customFormat="1" outlineLevel="1" x14ac:dyDescent="0.25">
      <c r="B53" s="103"/>
      <c r="C53" s="166" t="s">
        <v>14</v>
      </c>
      <c r="D53" s="166" t="s">
        <v>60</v>
      </c>
      <c r="E53" s="193" t="s">
        <v>16</v>
      </c>
      <c r="F53" s="324" t="str">
        <f t="array" aca="1" ref="F53" ca="1">HYPERLINK(CONCATENATE(Cartelle!$D$5,F$1,"/",$C53,"/",MID($D53,1,FIND("_",$D53)-1),"/",INDIRECT(CONCATENATE("'" &amp; $C53 &amp; "'!",ADDRESS(MATCH($D53, INDIRECT("'" &amp; $C53 &amp; "'!$B:$B"), 0),MATCH(F$1, INDIRECT("'" &amp; $C53 &amp; "'!$1:$1"), 0)))),".",INDIRECT(CONCATENATE("'"&amp;$C53&amp;"'!",ADDRESS(MATCH($D53,INDIRECT("'"&amp;$C53&amp;"'!$B:$B"),0),3))),"#page=",F54),CONCATENATE("#Sharepoint//",$D53))</f>
        <v>#Sharepoint//FRS_Line Voltage</v>
      </c>
      <c r="G53" s="389"/>
      <c r="H53" s="324" t="str">
        <f t="array" aca="1" ref="H53" ca="1">HYPERLINK(CONCATENATE(Cartelle!$D$5,INDEX(INDIRECT("'" &amp; $C53 &amp; "'!$1:$1"), 1, MATCH(INDIRECT(CONCATENATE("'" &amp; $C53 &amp; "'!",ADDRESS(MATCH($D53, INDIRECT("'" &amp; $C53 &amp; "'!$B:$B"), 0),MATCH(H$1, INDIRECT("'" &amp; $C53 &amp; "'!$1:$1"), 0)))),INDIRECT(CONCATENATE("'" &amp; $C53 &amp; "'!",MATCH($D53, INDIRECT("'" &amp; $C53 &amp; "'!$B:$B"), 0),":",MATCH($D53, INDIRECT("'" &amp; $C53 &amp; "'!$B:$B"), 0))),0)),"/",$C53,"/",MID($D53,1,FIND("_",$D53)-1),"/",INDIRECT(CONCATENATE("'" &amp; $C53 &amp; "'!",ADDRESS(MATCH($D53, INDIRECT("'" &amp; $C53 &amp; "'!$B:$B"), 0),MATCH(H$1, INDIRECT("'" &amp; $C53 &amp; "'!$1:$1"), 0)))),".",INDIRECT(CONCATENATE("'"&amp;$C53&amp;"'!",ADDRESS(MATCH($D53,INDIRECT("'"&amp;$C53&amp;"'!$B:$B"),0),3))),"#page=",H54),CONCATENATE("#Sharepoint//",$D53))</f>
        <v>#Sharepoint//FRS_Line Voltage</v>
      </c>
      <c r="I53" s="324" t="str">
        <f t="array" aca="1" ref="I53" ca="1">HYPERLINK(CONCATENATE(Cartelle!$D$5,INDEX(INDIRECT("'" &amp; $C53 &amp; "'!$1:$1"), 1, MATCH(INDIRECT(CONCATENATE("'" &amp; $C53 &amp; "'!",ADDRESS(MATCH($D53, INDIRECT("'" &amp; $C53 &amp; "'!$B:$B"), 0),MATCH(I$1, INDIRECT("'" &amp; $C53 &amp; "'!$1:$1"), 0)))),INDIRECT(CONCATENATE("'" &amp; $C53 &amp; "'!",MATCH($D53, INDIRECT("'" &amp; $C53 &amp; "'!$B:$B"), 0),":",MATCH($D53, INDIRECT("'" &amp; $C53 &amp; "'!$B:$B"), 0))),0)),"/",$C53,"/",MID($D53,1,FIND("_",$D53)-1),"/",INDIRECT(CONCATENATE("'" &amp; $C53 &amp; "'!",ADDRESS(MATCH($D53, INDIRECT("'" &amp; $C53 &amp; "'!$B:$B"), 0),MATCH(I$1, INDIRECT("'" &amp; $C53 &amp; "'!$1:$1"), 0)))),".",INDIRECT(CONCATENATE("'"&amp;$C53&amp;"'!",ADDRESS(MATCH($D53,INDIRECT("'"&amp;$C53&amp;"'!$B:$B"),0),3))),"#page=",I54),CONCATENATE("#Sharepoint//",$D53))</f>
        <v>#Sharepoint//FRS_Line Voltage</v>
      </c>
      <c r="J53" s="324" t="str">
        <f t="array" aca="1" ref="J53" ca="1">HYPERLINK(CONCATENATE(Cartelle!$D$5,INDEX(INDIRECT("'" &amp; $C53 &amp; "'!$1:$1"), 1, MATCH(INDIRECT(CONCATENATE("'" &amp; $C53 &amp; "'!",ADDRESS(MATCH($D53, INDIRECT("'" &amp; $C53 &amp; "'!$B:$B"), 0),MATCH(J$1, INDIRECT("'" &amp; $C53 &amp; "'!$1:$1"), 0)))),INDIRECT(CONCATENATE("'" &amp; $C53 &amp; "'!",MATCH($D53, INDIRECT("'" &amp; $C53 &amp; "'!$B:$B"), 0),":",MATCH($D53, INDIRECT("'" &amp; $C53 &amp; "'!$B:$B"), 0))),0)),"/",$C53,"/",MID($D53,1,FIND("_",$D53)-1),"/",INDIRECT(CONCATENATE("'" &amp; $C53 &amp; "'!",ADDRESS(MATCH($D53, INDIRECT("'" &amp; $C53 &amp; "'!$B:$B"), 0),MATCH(J$1, INDIRECT("'" &amp; $C53 &amp; "'!$1:$1"), 0)))),".",INDIRECT(CONCATENATE("'"&amp;$C53&amp;"'!",ADDRESS(MATCH($D53,INDIRECT("'"&amp;$C53&amp;"'!$B:$B"),0),3))),"#page=",J54),CONCATENATE("#Sharepoint//",$D53))</f>
        <v>#Sharepoint//FRS_Line Voltage</v>
      </c>
      <c r="K53" s="321"/>
      <c r="L53" s="321"/>
    </row>
    <row r="54" spans="1:12" s="13" customFormat="1" outlineLevel="2" x14ac:dyDescent="0.25">
      <c r="B54" s="103"/>
      <c r="C54" s="357"/>
      <c r="D54" s="371"/>
      <c r="E54" s="331" t="s">
        <v>17</v>
      </c>
      <c r="F54" s="332">
        <v>16</v>
      </c>
      <c r="G54" s="332"/>
      <c r="H54" s="332">
        <v>18</v>
      </c>
      <c r="I54" s="332">
        <v>16</v>
      </c>
      <c r="J54" s="332">
        <v>22</v>
      </c>
      <c r="K54" s="332"/>
      <c r="L54" s="332"/>
    </row>
    <row r="55" spans="1:12" s="13" customFormat="1" ht="405" outlineLevel="2" x14ac:dyDescent="0.25">
      <c r="B55" s="103"/>
      <c r="C55" s="357"/>
      <c r="D55" s="470"/>
      <c r="E55" s="471" t="s">
        <v>61</v>
      </c>
      <c r="F55" s="478" t="s">
        <v>80</v>
      </c>
      <c r="G55" s="472"/>
      <c r="H55" s="478" t="s">
        <v>81</v>
      </c>
      <c r="I55" s="478" t="s">
        <v>82</v>
      </c>
      <c r="J55" s="478" t="s">
        <v>83</v>
      </c>
      <c r="K55" s="472"/>
      <c r="L55" s="473"/>
    </row>
    <row r="56" spans="1:12" s="13" customFormat="1" ht="45" customHeight="1" x14ac:dyDescent="0.25">
      <c r="A56" s="325" t="s">
        <v>84</v>
      </c>
      <c r="B56" s="333" t="s">
        <v>85</v>
      </c>
      <c r="C56" s="404"/>
      <c r="D56" s="369" t="s">
        <v>31</v>
      </c>
      <c r="E56" s="327"/>
      <c r="F56" s="328"/>
      <c r="G56" s="328"/>
      <c r="H56" s="328"/>
      <c r="I56" s="328"/>
      <c r="J56" s="328"/>
      <c r="K56" s="328"/>
      <c r="L56" s="329"/>
    </row>
    <row r="57" spans="1:12" s="13" customFormat="1" outlineLevel="1" x14ac:dyDescent="0.25">
      <c r="B57" s="103"/>
      <c r="C57" s="166" t="s">
        <v>14</v>
      </c>
      <c r="D57" s="166" t="s">
        <v>60</v>
      </c>
      <c r="E57" s="193" t="s">
        <v>16</v>
      </c>
      <c r="F57" s="324" t="str">
        <f t="array" aca="1" ref="F57" ca="1">HYPERLINK(CONCATENATE(Cartelle!$D$5,F$1,"/",$C57,"/",MID($D57,1,FIND("_",$D57)-1),"/",INDIRECT(CONCATENATE("'" &amp; $C57 &amp; "'!",ADDRESS(MATCH($D57, INDIRECT("'" &amp; $C57 &amp; "'!$B:$B"), 0),MATCH(F$1, INDIRECT("'" &amp; $C57 &amp; "'!$1:$1"), 0)))),".",INDIRECT(CONCATENATE("'"&amp;$C57&amp;"'!",ADDRESS(MATCH($D57,INDIRECT("'"&amp;$C57&amp;"'!$B:$B"),0),3))),"#page=",F58),CONCATENATE("#Sharepoint//",$D57))</f>
        <v>#Sharepoint//FRS_Line Voltage</v>
      </c>
      <c r="G57" s="389"/>
      <c r="H57" s="324" t="str">
        <f t="array" aca="1" ref="H57" ca="1">HYPERLINK(CONCATENATE(Cartelle!$D$5,INDEX(INDIRECT("'" &amp; $C57 &amp; "'!$1:$1"), 1, MATCH(INDIRECT(CONCATENATE("'" &amp; $C57 &amp; "'!",ADDRESS(MATCH($D57, INDIRECT("'" &amp; $C57 &amp; "'!$B:$B"), 0),MATCH(H$1, INDIRECT("'" &amp; $C57 &amp; "'!$1:$1"), 0)))),INDIRECT(CONCATENATE("'" &amp; $C57 &amp; "'!",MATCH($D57, INDIRECT("'" &amp; $C57 &amp; "'!$B:$B"), 0),":",MATCH($D57, INDIRECT("'" &amp; $C57 &amp; "'!$B:$B"), 0))),0)),"/",$C57,"/",MID($D57,1,FIND("_",$D57)-1),"/",INDIRECT(CONCATENATE("'" &amp; $C57 &amp; "'!",ADDRESS(MATCH($D57, INDIRECT("'" &amp; $C57 &amp; "'!$B:$B"), 0),MATCH(H$1, INDIRECT("'" &amp; $C57 &amp; "'!$1:$1"), 0)))),".",INDIRECT(CONCATENATE("'"&amp;$C57&amp;"'!",ADDRESS(MATCH($D57,INDIRECT("'"&amp;$C57&amp;"'!$B:$B"),0),3))),"#page=",H58),CONCATENATE("#Sharepoint//",$D57))</f>
        <v>#Sharepoint//FRS_Line Voltage</v>
      </c>
      <c r="I57" s="324" t="str">
        <f t="array" aca="1" ref="I57" ca="1">HYPERLINK(CONCATENATE(Cartelle!$D$5,INDEX(INDIRECT("'" &amp; $C57 &amp; "'!$1:$1"), 1, MATCH(INDIRECT(CONCATENATE("'" &amp; $C57 &amp; "'!",ADDRESS(MATCH($D57, INDIRECT("'" &amp; $C57 &amp; "'!$B:$B"), 0),MATCH(I$1, INDIRECT("'" &amp; $C57 &amp; "'!$1:$1"), 0)))),INDIRECT(CONCATENATE("'" &amp; $C57 &amp; "'!",MATCH($D57, INDIRECT("'" &amp; $C57 &amp; "'!$B:$B"), 0),":",MATCH($D57, INDIRECT("'" &amp; $C57 &amp; "'!$B:$B"), 0))),0)),"/",$C57,"/",MID($D57,1,FIND("_",$D57)-1),"/",INDIRECT(CONCATENATE("'" &amp; $C57 &amp; "'!",ADDRESS(MATCH($D57, INDIRECT("'" &amp; $C57 &amp; "'!$B:$B"), 0),MATCH(I$1, INDIRECT("'" &amp; $C57 &amp; "'!$1:$1"), 0)))),".",INDIRECT(CONCATENATE("'"&amp;$C57&amp;"'!",ADDRESS(MATCH($D57,INDIRECT("'"&amp;$C57&amp;"'!$B:$B"),0),3))),"#page=",I58),CONCATENATE("#Sharepoint//",$D57))</f>
        <v>#Sharepoint//FRS_Line Voltage</v>
      </c>
      <c r="J57" s="324" t="str">
        <f t="array" aca="1" ref="J57" ca="1">HYPERLINK(CONCATENATE(Cartelle!$D$5,INDEX(INDIRECT("'" &amp; $C57 &amp; "'!$1:$1"), 1, MATCH(INDIRECT(CONCATENATE("'" &amp; $C57 &amp; "'!",ADDRESS(MATCH($D57, INDIRECT("'" &amp; $C57 &amp; "'!$B:$B"), 0),MATCH(J$1, INDIRECT("'" &amp; $C57 &amp; "'!$1:$1"), 0)))),INDIRECT(CONCATENATE("'" &amp; $C57 &amp; "'!",MATCH($D57, INDIRECT("'" &amp; $C57 &amp; "'!$B:$B"), 0),":",MATCH($D57, INDIRECT("'" &amp; $C57 &amp; "'!$B:$B"), 0))),0)),"/",$C57,"/",MID($D57,1,FIND("_",$D57)-1),"/",INDIRECT(CONCATENATE("'" &amp; $C57 &amp; "'!",ADDRESS(MATCH($D57, INDIRECT("'" &amp; $C57 &amp; "'!$B:$B"), 0),MATCH(J$1, INDIRECT("'" &amp; $C57 &amp; "'!$1:$1"), 0)))),".",INDIRECT(CONCATENATE("'"&amp;$C57&amp;"'!",ADDRESS(MATCH($D57,INDIRECT("'"&amp;$C57&amp;"'!$B:$B"),0),3))),"#page=",J58),CONCATENATE("#Sharepoint//",$D57))</f>
        <v>#Sharepoint//FRS_Line Voltage</v>
      </c>
      <c r="K57" s="321"/>
      <c r="L57" s="321"/>
    </row>
    <row r="58" spans="1:12" s="13" customFormat="1" outlineLevel="2" x14ac:dyDescent="0.25">
      <c r="B58" s="103"/>
      <c r="C58" s="357"/>
      <c r="D58" s="371"/>
      <c r="E58" s="331" t="s">
        <v>17</v>
      </c>
      <c r="F58" s="332">
        <v>18</v>
      </c>
      <c r="G58" s="332"/>
      <c r="H58" s="332">
        <v>21</v>
      </c>
      <c r="I58" s="332">
        <v>21</v>
      </c>
      <c r="J58" s="332">
        <v>26</v>
      </c>
      <c r="K58" s="332"/>
      <c r="L58" s="332"/>
    </row>
    <row r="59" spans="1:12" s="13" customFormat="1" ht="375" outlineLevel="2" x14ac:dyDescent="0.25">
      <c r="B59" s="103"/>
      <c r="C59" s="357"/>
      <c r="D59" s="470"/>
      <c r="E59" s="471" t="s">
        <v>61</v>
      </c>
      <c r="F59" s="478" t="s">
        <v>86</v>
      </c>
      <c r="G59" s="472"/>
      <c r="H59" s="478" t="s">
        <v>87</v>
      </c>
      <c r="I59" s="478" t="s">
        <v>88</v>
      </c>
      <c r="J59" s="478" t="s">
        <v>89</v>
      </c>
      <c r="K59" s="472"/>
      <c r="L59" s="473"/>
    </row>
    <row r="60" spans="1:12" s="13" customFormat="1" ht="30" customHeight="1" x14ac:dyDescent="0.25">
      <c r="A60" s="325" t="s">
        <v>90</v>
      </c>
      <c r="B60" s="333" t="s">
        <v>91</v>
      </c>
      <c r="C60" s="404"/>
      <c r="D60" s="369" t="s">
        <v>31</v>
      </c>
      <c r="E60" s="327"/>
      <c r="F60" s="328"/>
      <c r="G60" s="328"/>
      <c r="H60" s="328"/>
      <c r="I60" s="328"/>
      <c r="J60" s="328"/>
      <c r="K60" s="328"/>
      <c r="L60" s="329"/>
    </row>
    <row r="61" spans="1:12" s="13" customFormat="1" outlineLevel="1" x14ac:dyDescent="0.25">
      <c r="B61" s="103"/>
      <c r="C61" s="166" t="s">
        <v>14</v>
      </c>
      <c r="D61" s="166" t="s">
        <v>60</v>
      </c>
      <c r="E61" s="193" t="s">
        <v>16</v>
      </c>
      <c r="F61" s="324" t="str">
        <f t="array" aca="1" ref="F61" ca="1">HYPERLINK(CONCATENATE(Cartelle!$D$5,F$1,"/",$C61,"/",MID($D61,1,FIND("_",$D61)-1),"/",INDIRECT(CONCATENATE("'" &amp; $C61 &amp; "'!",ADDRESS(MATCH($D61, INDIRECT("'" &amp; $C61 &amp; "'!$B:$B"), 0),MATCH(F$1, INDIRECT("'" &amp; $C61 &amp; "'!$1:$1"), 0)))),".",INDIRECT(CONCATENATE("'"&amp;$C61&amp;"'!",ADDRESS(MATCH($D61,INDIRECT("'"&amp;$C61&amp;"'!$B:$B"),0),3))),"#page=",F62),CONCATENATE("#Sharepoint//",$D61))</f>
        <v>#Sharepoint//FRS_Line Voltage</v>
      </c>
      <c r="G61" s="389"/>
      <c r="H61" s="324" t="str">
        <f t="array" aca="1" ref="H61" ca="1">HYPERLINK(CONCATENATE(Cartelle!$D$5,INDEX(INDIRECT("'" &amp; $C61 &amp; "'!$1:$1"), 1, MATCH(INDIRECT(CONCATENATE("'" &amp; $C61 &amp; "'!",ADDRESS(MATCH($D61, INDIRECT("'" &amp; $C61 &amp; "'!$B:$B"), 0),MATCH(H$1, INDIRECT("'" &amp; $C61 &amp; "'!$1:$1"), 0)))),INDIRECT(CONCATENATE("'" &amp; $C61 &amp; "'!",MATCH($D61, INDIRECT("'" &amp; $C61 &amp; "'!$B:$B"), 0),":",MATCH($D61, INDIRECT("'" &amp; $C61 &amp; "'!$B:$B"), 0))),0)),"/",$C61,"/",MID($D61,1,FIND("_",$D61)-1),"/",INDIRECT(CONCATENATE("'" &amp; $C61 &amp; "'!",ADDRESS(MATCH($D61, INDIRECT("'" &amp; $C61 &amp; "'!$B:$B"), 0),MATCH(H$1, INDIRECT("'" &amp; $C61 &amp; "'!$1:$1"), 0)))),".",INDIRECT(CONCATENATE("'"&amp;$C61&amp;"'!",ADDRESS(MATCH($D61,INDIRECT("'"&amp;$C61&amp;"'!$B:$B"),0),3))),"#page=",H62),CONCATENATE("#Sharepoint//",$D61))</f>
        <v>#Sharepoint//FRS_Line Voltage</v>
      </c>
      <c r="I61" s="324" t="str">
        <f t="array" aca="1" ref="I61" ca="1">HYPERLINK(CONCATENATE(Cartelle!$D$5,INDEX(INDIRECT("'" &amp; $C61 &amp; "'!$1:$1"), 1, MATCH(INDIRECT(CONCATENATE("'" &amp; $C61 &amp; "'!",ADDRESS(MATCH($D61, INDIRECT("'" &amp; $C61 &amp; "'!$B:$B"), 0),MATCH(I$1, INDIRECT("'" &amp; $C61 &amp; "'!$1:$1"), 0)))),INDIRECT(CONCATENATE("'" &amp; $C61 &amp; "'!",MATCH($D61, INDIRECT("'" &amp; $C61 &amp; "'!$B:$B"), 0),":",MATCH($D61, INDIRECT("'" &amp; $C61 &amp; "'!$B:$B"), 0))),0)),"/",$C61,"/",MID($D61,1,FIND("_",$D61)-1),"/",INDIRECT(CONCATENATE("'" &amp; $C61 &amp; "'!",ADDRESS(MATCH($D61, INDIRECT("'" &amp; $C61 &amp; "'!$B:$B"), 0),MATCH(I$1, INDIRECT("'" &amp; $C61 &amp; "'!$1:$1"), 0)))),".",INDIRECT(CONCATENATE("'"&amp;$C61&amp;"'!",ADDRESS(MATCH($D61,INDIRECT("'"&amp;$C61&amp;"'!$B:$B"),0),3))),"#page=",I62),CONCATENATE("#Sharepoint//",$D61))</f>
        <v>#Sharepoint//FRS_Line Voltage</v>
      </c>
      <c r="J61" s="324" t="str">
        <f t="array" aca="1" ref="J61" ca="1">HYPERLINK(CONCATENATE(Cartelle!$D$5,INDEX(INDIRECT("'" &amp; $C61 &amp; "'!$1:$1"), 1, MATCH(INDIRECT(CONCATENATE("'" &amp; $C61 &amp; "'!",ADDRESS(MATCH($D61, INDIRECT("'" &amp; $C61 &amp; "'!$B:$B"), 0),MATCH(J$1, INDIRECT("'" &amp; $C61 &amp; "'!$1:$1"), 0)))),INDIRECT(CONCATENATE("'" &amp; $C61 &amp; "'!",MATCH($D61, INDIRECT("'" &amp; $C61 &amp; "'!$B:$B"), 0),":",MATCH($D61, INDIRECT("'" &amp; $C61 &amp; "'!$B:$B"), 0))),0)),"/",$C61,"/",MID($D61,1,FIND("_",$D61)-1),"/",INDIRECT(CONCATENATE("'" &amp; $C61 &amp; "'!",ADDRESS(MATCH($D61, INDIRECT("'" &amp; $C61 &amp; "'!$B:$B"), 0),MATCH(J$1, INDIRECT("'" &amp; $C61 &amp; "'!$1:$1"), 0)))),".",INDIRECT(CONCATENATE("'"&amp;$C61&amp;"'!",ADDRESS(MATCH($D61,INDIRECT("'"&amp;$C61&amp;"'!$B:$B"),0),3))),"#page=",J62),CONCATENATE("#Sharepoint//",$D61))</f>
        <v>#Sharepoint//FRS_Line Voltage</v>
      </c>
      <c r="K61" s="321"/>
      <c r="L61" s="321"/>
    </row>
    <row r="62" spans="1:12" s="13" customFormat="1" outlineLevel="2" x14ac:dyDescent="0.25">
      <c r="B62" s="103"/>
      <c r="C62" s="357"/>
      <c r="D62" s="371"/>
      <c r="E62" s="331" t="s">
        <v>17</v>
      </c>
      <c r="F62" s="332">
        <v>20</v>
      </c>
      <c r="G62" s="332"/>
      <c r="H62" s="332">
        <v>22</v>
      </c>
      <c r="I62" s="332">
        <v>22</v>
      </c>
      <c r="J62" s="332">
        <v>28</v>
      </c>
      <c r="K62" s="332"/>
      <c r="L62" s="332"/>
    </row>
    <row r="63" spans="1:12" s="13" customFormat="1" ht="375" outlineLevel="2" x14ac:dyDescent="0.25">
      <c r="B63" s="103"/>
      <c r="C63" s="357"/>
      <c r="D63" s="470"/>
      <c r="E63" s="471" t="s">
        <v>61</v>
      </c>
      <c r="F63" s="478" t="s">
        <v>92</v>
      </c>
      <c r="G63" s="472"/>
      <c r="H63" s="478" t="s">
        <v>93</v>
      </c>
      <c r="I63" s="478" t="s">
        <v>94</v>
      </c>
      <c r="J63" s="478" t="s">
        <v>95</v>
      </c>
      <c r="K63" s="472"/>
      <c r="L63" s="473"/>
    </row>
    <row r="64" spans="1:12" s="13" customFormat="1" ht="45" customHeight="1" x14ac:dyDescent="0.25">
      <c r="A64" s="325" t="s">
        <v>96</v>
      </c>
      <c r="B64" s="333" t="s">
        <v>97</v>
      </c>
      <c r="C64" s="404"/>
      <c r="D64" s="369" t="s">
        <v>31</v>
      </c>
      <c r="E64" s="327"/>
      <c r="F64" s="328"/>
      <c r="G64" s="328"/>
      <c r="H64" s="328"/>
      <c r="I64" s="328"/>
      <c r="J64" s="328"/>
      <c r="K64" s="328"/>
      <c r="L64" s="329"/>
    </row>
    <row r="65" spans="1:12" s="13" customFormat="1" outlineLevel="1" x14ac:dyDescent="0.25">
      <c r="B65" s="103"/>
      <c r="C65" s="166" t="s">
        <v>14</v>
      </c>
      <c r="D65" s="166" t="s">
        <v>60</v>
      </c>
      <c r="E65" s="193" t="s">
        <v>16</v>
      </c>
      <c r="F65" s="324" t="str">
        <f t="array" aca="1" ref="F65" ca="1">HYPERLINK(CONCATENATE(Cartelle!$D$5,F$1,"/",$C65,"/",MID($D65,1,FIND("_",$D65)-1),"/",INDIRECT(CONCATENATE("'" &amp; $C65 &amp; "'!",ADDRESS(MATCH($D65, INDIRECT("'" &amp; $C65 &amp; "'!$B:$B"), 0),MATCH(F$1, INDIRECT("'" &amp; $C65 &amp; "'!$1:$1"), 0)))),".",INDIRECT(CONCATENATE("'"&amp;$C65&amp;"'!",ADDRESS(MATCH($D65,INDIRECT("'"&amp;$C65&amp;"'!$B:$B"),0),3))),"#page=",F66),CONCATENATE("#Sharepoint//",$D65))</f>
        <v>#Sharepoint//FRS_Line Voltage</v>
      </c>
      <c r="G65" s="389"/>
      <c r="H65" s="324" t="str">
        <f t="array" aca="1" ref="H65" ca="1">HYPERLINK(CONCATENATE(Cartelle!$D$5,INDEX(INDIRECT("'" &amp; $C65 &amp; "'!$1:$1"), 1, MATCH(INDIRECT(CONCATENATE("'" &amp; $C65 &amp; "'!",ADDRESS(MATCH($D65, INDIRECT("'" &amp; $C65 &amp; "'!$B:$B"), 0),MATCH(H$1, INDIRECT("'" &amp; $C65 &amp; "'!$1:$1"), 0)))),INDIRECT(CONCATENATE("'" &amp; $C65 &amp; "'!",MATCH($D65, INDIRECT("'" &amp; $C65 &amp; "'!$B:$B"), 0),":",MATCH($D65, INDIRECT("'" &amp; $C65 &amp; "'!$B:$B"), 0))),0)),"/",$C65,"/",MID($D65,1,FIND("_",$D65)-1),"/",INDIRECT(CONCATENATE("'" &amp; $C65 &amp; "'!",ADDRESS(MATCH($D65, INDIRECT("'" &amp; $C65 &amp; "'!$B:$B"), 0),MATCH(H$1, INDIRECT("'" &amp; $C65 &amp; "'!$1:$1"), 0)))),".",INDIRECT(CONCATENATE("'"&amp;$C65&amp;"'!",ADDRESS(MATCH($D65,INDIRECT("'"&amp;$C65&amp;"'!$B:$B"),0),3))),"#page=",H66),CONCATENATE("#Sharepoint//",$D65))</f>
        <v>#Sharepoint//FRS_Line Voltage</v>
      </c>
      <c r="I65" s="324" t="str">
        <f t="array" aca="1" ref="I65" ca="1">HYPERLINK(CONCATENATE(Cartelle!$D$5,INDEX(INDIRECT("'" &amp; $C65 &amp; "'!$1:$1"), 1, MATCH(INDIRECT(CONCATENATE("'" &amp; $C65 &amp; "'!",ADDRESS(MATCH($D65, INDIRECT("'" &amp; $C65 &amp; "'!$B:$B"), 0),MATCH(I$1, INDIRECT("'" &amp; $C65 &amp; "'!$1:$1"), 0)))),INDIRECT(CONCATENATE("'" &amp; $C65 &amp; "'!",MATCH($D65, INDIRECT("'" &amp; $C65 &amp; "'!$B:$B"), 0),":",MATCH($D65, INDIRECT("'" &amp; $C65 &amp; "'!$B:$B"), 0))),0)),"/",$C65,"/",MID($D65,1,FIND("_",$D65)-1),"/",INDIRECT(CONCATENATE("'" &amp; $C65 &amp; "'!",ADDRESS(MATCH($D65, INDIRECT("'" &amp; $C65 &amp; "'!$B:$B"), 0),MATCH(I$1, INDIRECT("'" &amp; $C65 &amp; "'!$1:$1"), 0)))),".",INDIRECT(CONCATENATE("'"&amp;$C65&amp;"'!",ADDRESS(MATCH($D65,INDIRECT("'"&amp;$C65&amp;"'!$B:$B"),0),3))),"#page=",I66),CONCATENATE("#Sharepoint//",$D65))</f>
        <v>#Sharepoint//FRS_Line Voltage</v>
      </c>
      <c r="J65" s="324" t="str">
        <f t="array" aca="1" ref="J65" ca="1">HYPERLINK(CONCATENATE(Cartelle!$D$5,INDEX(INDIRECT("'" &amp; $C65 &amp; "'!$1:$1"), 1, MATCH(INDIRECT(CONCATENATE("'" &amp; $C65 &amp; "'!",ADDRESS(MATCH($D65, INDIRECT("'" &amp; $C65 &amp; "'!$B:$B"), 0),MATCH(J$1, INDIRECT("'" &amp; $C65 &amp; "'!$1:$1"), 0)))),INDIRECT(CONCATENATE("'" &amp; $C65 &amp; "'!",MATCH($D65, INDIRECT("'" &amp; $C65 &amp; "'!$B:$B"), 0),":",MATCH($D65, INDIRECT("'" &amp; $C65 &amp; "'!$B:$B"), 0))),0)),"/",$C65,"/",MID($D65,1,FIND("_",$D65)-1),"/",INDIRECT(CONCATENATE("'" &amp; $C65 &amp; "'!",ADDRESS(MATCH($D65, INDIRECT("'" &amp; $C65 &amp; "'!$B:$B"), 0),MATCH(J$1, INDIRECT("'" &amp; $C65 &amp; "'!$1:$1"), 0)))),".",INDIRECT(CONCATENATE("'"&amp;$C65&amp;"'!",ADDRESS(MATCH($D65,INDIRECT("'"&amp;$C65&amp;"'!$B:$B"),0),3))),"#page=",J66),CONCATENATE("#Sharepoint//",$D65))</f>
        <v>#Sharepoint//FRS_Line Voltage</v>
      </c>
      <c r="K65" s="321"/>
      <c r="L65" s="321"/>
    </row>
    <row r="66" spans="1:12" s="13" customFormat="1" outlineLevel="2" x14ac:dyDescent="0.25">
      <c r="B66" s="103"/>
      <c r="C66" s="357"/>
      <c r="D66" s="371"/>
      <c r="E66" s="331" t="s">
        <v>17</v>
      </c>
      <c r="F66" s="332">
        <v>21</v>
      </c>
      <c r="G66" s="332"/>
      <c r="H66" s="332">
        <v>24</v>
      </c>
      <c r="I66" s="332">
        <v>23</v>
      </c>
      <c r="J66" s="332">
        <v>29</v>
      </c>
      <c r="K66" s="332"/>
      <c r="L66" s="332"/>
    </row>
    <row r="67" spans="1:12" s="13" customFormat="1" ht="360" outlineLevel="2" x14ac:dyDescent="0.25">
      <c r="B67" s="103"/>
      <c r="C67" s="357"/>
      <c r="D67" s="470"/>
      <c r="E67" s="471" t="s">
        <v>61</v>
      </c>
      <c r="F67" s="478" t="s">
        <v>98</v>
      </c>
      <c r="G67" s="472"/>
      <c r="H67" s="478" t="s">
        <v>99</v>
      </c>
      <c r="I67" s="478" t="s">
        <v>100</v>
      </c>
      <c r="J67" s="478" t="s">
        <v>101</v>
      </c>
      <c r="K67" s="472"/>
      <c r="L67" s="473"/>
    </row>
    <row r="68" spans="1:12" s="13" customFormat="1" ht="30" customHeight="1" x14ac:dyDescent="0.25">
      <c r="A68" s="325" t="s">
        <v>102</v>
      </c>
      <c r="B68" s="333" t="s">
        <v>103</v>
      </c>
      <c r="C68" s="404"/>
      <c r="D68" s="369" t="s">
        <v>31</v>
      </c>
      <c r="E68" s="327"/>
      <c r="F68" s="328"/>
      <c r="G68" s="328"/>
      <c r="H68" s="328"/>
      <c r="I68" s="328"/>
      <c r="J68" s="328"/>
      <c r="K68" s="328"/>
      <c r="L68" s="329"/>
    </row>
    <row r="69" spans="1:12" s="13" customFormat="1" outlineLevel="1" x14ac:dyDescent="0.25">
      <c r="B69" s="103"/>
      <c r="C69" s="166" t="s">
        <v>14</v>
      </c>
      <c r="D69" s="166" t="s">
        <v>60</v>
      </c>
      <c r="E69" s="193" t="s">
        <v>16</v>
      </c>
      <c r="F69" s="324" t="str">
        <f t="array" aca="1" ref="F69" ca="1">HYPERLINK(CONCATENATE(Cartelle!$D$5,F$1,"/",$C69,"/",MID($D69,1,FIND("_",$D69)-1),"/",INDIRECT(CONCATENATE("'" &amp; $C69 &amp; "'!",ADDRESS(MATCH($D69, INDIRECT("'" &amp; $C69 &amp; "'!$B:$B"), 0),MATCH(F$1, INDIRECT("'" &amp; $C69 &amp; "'!$1:$1"), 0)))),".",INDIRECT(CONCATENATE("'"&amp;$C69&amp;"'!",ADDRESS(MATCH($D69,INDIRECT("'"&amp;$C69&amp;"'!$B:$B"),0),3))),"#page=",F70),CONCATENATE("#Sharepoint//",$D69))</f>
        <v>#Sharepoint//FRS_Line Voltage</v>
      </c>
      <c r="G69" s="389"/>
      <c r="H69" s="324" t="str">
        <f t="array" aca="1" ref="H69" ca="1">HYPERLINK(CONCATENATE(Cartelle!$D$5,INDEX(INDIRECT("'" &amp; $C69 &amp; "'!$1:$1"), 1, MATCH(INDIRECT(CONCATENATE("'" &amp; $C69 &amp; "'!",ADDRESS(MATCH($D69, INDIRECT("'" &amp; $C69 &amp; "'!$B:$B"), 0),MATCH(H$1, INDIRECT("'" &amp; $C69 &amp; "'!$1:$1"), 0)))),INDIRECT(CONCATENATE("'" &amp; $C69 &amp; "'!",MATCH($D69, INDIRECT("'" &amp; $C69 &amp; "'!$B:$B"), 0),":",MATCH($D69, INDIRECT("'" &amp; $C69 &amp; "'!$B:$B"), 0))),0)),"/",$C69,"/",MID($D69,1,FIND("_",$D69)-1),"/",INDIRECT(CONCATENATE("'" &amp; $C69 &amp; "'!",ADDRESS(MATCH($D69, INDIRECT("'" &amp; $C69 &amp; "'!$B:$B"), 0),MATCH(H$1, INDIRECT("'" &amp; $C69 &amp; "'!$1:$1"), 0)))),".",INDIRECT(CONCATENATE("'"&amp;$C69&amp;"'!",ADDRESS(MATCH($D69,INDIRECT("'"&amp;$C69&amp;"'!$B:$B"),0),3))),"#page=",H70),CONCATENATE("#Sharepoint//",$D69))</f>
        <v>#Sharepoint//FRS_Line Voltage</v>
      </c>
      <c r="I69" s="324" t="str">
        <f t="array" aca="1" ref="I69" ca="1">HYPERLINK(CONCATENATE(Cartelle!$D$5,INDEX(INDIRECT("'" &amp; $C69 &amp; "'!$1:$1"), 1, MATCH(INDIRECT(CONCATENATE("'" &amp; $C69 &amp; "'!",ADDRESS(MATCH($D69, INDIRECT("'" &amp; $C69 &amp; "'!$B:$B"), 0),MATCH(I$1, INDIRECT("'" &amp; $C69 &amp; "'!$1:$1"), 0)))),INDIRECT(CONCATENATE("'" &amp; $C69 &amp; "'!",MATCH($D69, INDIRECT("'" &amp; $C69 &amp; "'!$B:$B"), 0),":",MATCH($D69, INDIRECT("'" &amp; $C69 &amp; "'!$B:$B"), 0))),0)),"/",$C69,"/",MID($D69,1,FIND("_",$D69)-1),"/",INDIRECT(CONCATENATE("'" &amp; $C69 &amp; "'!",ADDRESS(MATCH($D69, INDIRECT("'" &amp; $C69 &amp; "'!$B:$B"), 0),MATCH(I$1, INDIRECT("'" &amp; $C69 &amp; "'!$1:$1"), 0)))),".",INDIRECT(CONCATENATE("'"&amp;$C69&amp;"'!",ADDRESS(MATCH($D69,INDIRECT("'"&amp;$C69&amp;"'!$B:$B"),0),3))),"#page=",I70),CONCATENATE("#Sharepoint//",$D69))</f>
        <v>#Sharepoint//FRS_Line Voltage</v>
      </c>
      <c r="J69" s="324" t="str">
        <f t="array" aca="1" ref="J69" ca="1">HYPERLINK(CONCATENATE(Cartelle!$D$5,INDEX(INDIRECT("'" &amp; $C69 &amp; "'!$1:$1"), 1, MATCH(INDIRECT(CONCATENATE("'" &amp; $C69 &amp; "'!",ADDRESS(MATCH($D69, INDIRECT("'" &amp; $C69 &amp; "'!$B:$B"), 0),MATCH(J$1, INDIRECT("'" &amp; $C69 &amp; "'!$1:$1"), 0)))),INDIRECT(CONCATENATE("'" &amp; $C69 &amp; "'!",MATCH($D69, INDIRECT("'" &amp; $C69 &amp; "'!$B:$B"), 0),":",MATCH($D69, INDIRECT("'" &amp; $C69 &amp; "'!$B:$B"), 0))),0)),"/",$C69,"/",MID($D69,1,FIND("_",$D69)-1),"/",INDIRECT(CONCATENATE("'" &amp; $C69 &amp; "'!",ADDRESS(MATCH($D69, INDIRECT("'" &amp; $C69 &amp; "'!$B:$B"), 0),MATCH(J$1, INDIRECT("'" &amp; $C69 &amp; "'!$1:$1"), 0)))),".",INDIRECT(CONCATENATE("'"&amp;$C69&amp;"'!",ADDRESS(MATCH($D69,INDIRECT("'"&amp;$C69&amp;"'!$B:$B"),0),3))),"#page=",J70),CONCATENATE("#Sharepoint//",$D69))</f>
        <v>#Sharepoint//FRS_Line Voltage</v>
      </c>
      <c r="K69" s="321"/>
      <c r="L69" s="321"/>
    </row>
    <row r="70" spans="1:12" s="13" customFormat="1" outlineLevel="2" x14ac:dyDescent="0.25">
      <c r="B70" s="103"/>
      <c r="C70" s="357"/>
      <c r="D70" s="371"/>
      <c r="E70" s="331" t="s">
        <v>17</v>
      </c>
      <c r="F70" s="332">
        <v>23</v>
      </c>
      <c r="G70" s="332"/>
      <c r="H70" s="332">
        <v>25</v>
      </c>
      <c r="I70" s="332">
        <v>24</v>
      </c>
      <c r="J70" s="332">
        <v>30</v>
      </c>
      <c r="K70" s="332"/>
      <c r="L70" s="332"/>
    </row>
    <row r="71" spans="1:12" s="13" customFormat="1" ht="409.5" outlineLevel="2" x14ac:dyDescent="0.25">
      <c r="B71" s="103"/>
      <c r="C71" s="357"/>
      <c r="D71" s="470"/>
      <c r="E71" s="471" t="s">
        <v>61</v>
      </c>
      <c r="F71" s="478" t="s">
        <v>104</v>
      </c>
      <c r="G71" s="472"/>
      <c r="H71" s="478" t="s">
        <v>105</v>
      </c>
      <c r="I71" s="479" t="s">
        <v>106</v>
      </c>
      <c r="J71" s="478" t="s">
        <v>107</v>
      </c>
      <c r="K71" s="472"/>
      <c r="L71" s="473"/>
    </row>
    <row r="72" spans="1:12" s="13" customFormat="1" x14ac:dyDescent="0.25">
      <c r="A72" s="325" t="s">
        <v>108</v>
      </c>
      <c r="B72" s="333" t="s">
        <v>109</v>
      </c>
      <c r="C72" s="404"/>
      <c r="D72" s="369" t="s">
        <v>31</v>
      </c>
      <c r="E72" s="327"/>
      <c r="F72" s="328"/>
      <c r="G72" s="328"/>
      <c r="H72" s="328"/>
      <c r="I72" s="328"/>
      <c r="J72" s="328"/>
      <c r="K72" s="328"/>
      <c r="L72" s="329"/>
    </row>
    <row r="73" spans="1:12" s="13" customFormat="1" outlineLevel="1" x14ac:dyDescent="0.25">
      <c r="B73" s="103"/>
      <c r="C73" s="166" t="s">
        <v>14</v>
      </c>
      <c r="D73" s="166" t="s">
        <v>60</v>
      </c>
      <c r="E73" s="193" t="s">
        <v>16</v>
      </c>
      <c r="F73" s="324" t="str">
        <f t="array" aca="1" ref="F73" ca="1">HYPERLINK(CONCATENATE(Cartelle!$D$5,F$1,"/",$C73,"/",MID($D73,1,FIND("_",$D73)-1),"/",INDIRECT(CONCATENATE("'" &amp; $C73 &amp; "'!",ADDRESS(MATCH($D73, INDIRECT("'" &amp; $C73 &amp; "'!$B:$B"), 0),MATCH(F$1, INDIRECT("'" &amp; $C73 &amp; "'!$1:$1"), 0)))),".",INDIRECT(CONCATENATE("'"&amp;$C73&amp;"'!",ADDRESS(MATCH($D73,INDIRECT("'"&amp;$C73&amp;"'!$B:$B"),0),3))),"#page=",F74),CONCATENATE("#Sharepoint//",$D73))</f>
        <v>#Sharepoint//FRS_Line Voltage</v>
      </c>
      <c r="G73" s="389"/>
      <c r="H73" s="324" t="str">
        <f t="array" aca="1" ref="H73" ca="1">HYPERLINK(CONCATENATE(Cartelle!$D$5,INDEX(INDIRECT("'" &amp; $C73 &amp; "'!$1:$1"), 1, MATCH(INDIRECT(CONCATENATE("'" &amp; $C73 &amp; "'!",ADDRESS(MATCH($D73, INDIRECT("'" &amp; $C73 &amp; "'!$B:$B"), 0),MATCH(H$1, INDIRECT("'" &amp; $C73 &amp; "'!$1:$1"), 0)))),INDIRECT(CONCATENATE("'" &amp; $C73 &amp; "'!",MATCH($D73, INDIRECT("'" &amp; $C73 &amp; "'!$B:$B"), 0),":",MATCH($D73, INDIRECT("'" &amp; $C73 &amp; "'!$B:$B"), 0))),0)),"/",$C73,"/",MID($D73,1,FIND("_",$D73)-1),"/",INDIRECT(CONCATENATE("'" &amp; $C73 &amp; "'!",ADDRESS(MATCH($D73, INDIRECT("'" &amp; $C73 &amp; "'!$B:$B"), 0),MATCH(H$1, INDIRECT("'" &amp; $C73 &amp; "'!$1:$1"), 0)))),".",INDIRECT(CONCATENATE("'"&amp;$C73&amp;"'!",ADDRESS(MATCH($D73,INDIRECT("'"&amp;$C73&amp;"'!$B:$B"),0),3))),"#page=",H74),CONCATENATE("#Sharepoint//",$D73))</f>
        <v>#Sharepoint//FRS_Line Voltage</v>
      </c>
      <c r="I73" s="324" t="str">
        <f t="array" aca="1" ref="I73" ca="1">HYPERLINK(CONCATENATE(Cartelle!$D$5,INDEX(INDIRECT("'" &amp; $C73 &amp; "'!$1:$1"), 1, MATCH(INDIRECT(CONCATENATE("'" &amp; $C73 &amp; "'!",ADDRESS(MATCH($D73, INDIRECT("'" &amp; $C73 &amp; "'!$B:$B"), 0),MATCH(I$1, INDIRECT("'" &amp; $C73 &amp; "'!$1:$1"), 0)))),INDIRECT(CONCATENATE("'" &amp; $C73 &amp; "'!",MATCH($D73, INDIRECT("'" &amp; $C73 &amp; "'!$B:$B"), 0),":",MATCH($D73, INDIRECT("'" &amp; $C73 &amp; "'!$B:$B"), 0))),0)),"/",$C73,"/",MID($D73,1,FIND("_",$D73)-1),"/",INDIRECT(CONCATENATE("'" &amp; $C73 &amp; "'!",ADDRESS(MATCH($D73, INDIRECT("'" &amp; $C73 &amp; "'!$B:$B"), 0),MATCH(I$1, INDIRECT("'" &amp; $C73 &amp; "'!$1:$1"), 0)))),".",INDIRECT(CONCATENATE("'"&amp;$C73&amp;"'!",ADDRESS(MATCH($D73,INDIRECT("'"&amp;$C73&amp;"'!$B:$B"),0),3))),"#page=",I74),CONCATENATE("#Sharepoint//",$D73))</f>
        <v>#Sharepoint//FRS_Line Voltage</v>
      </c>
      <c r="J73" s="324" t="str">
        <f t="array" aca="1" ref="J73" ca="1">HYPERLINK(CONCATENATE(Cartelle!$D$5,INDEX(INDIRECT("'" &amp; $C73 &amp; "'!$1:$1"), 1, MATCH(INDIRECT(CONCATENATE("'" &amp; $C73 &amp; "'!",ADDRESS(MATCH($D73, INDIRECT("'" &amp; $C73 &amp; "'!$B:$B"), 0),MATCH(J$1, INDIRECT("'" &amp; $C73 &amp; "'!$1:$1"), 0)))),INDIRECT(CONCATENATE("'" &amp; $C73 &amp; "'!",MATCH($D73, INDIRECT("'" &amp; $C73 &amp; "'!$B:$B"), 0),":",MATCH($D73, INDIRECT("'" &amp; $C73 &amp; "'!$B:$B"), 0))),0)),"/",$C73,"/",MID($D73,1,FIND("_",$D73)-1),"/",INDIRECT(CONCATENATE("'" &amp; $C73 &amp; "'!",ADDRESS(MATCH($D73, INDIRECT("'" &amp; $C73 &amp; "'!$B:$B"), 0),MATCH(J$1, INDIRECT("'" &amp; $C73 &amp; "'!$1:$1"), 0)))),".",INDIRECT(CONCATENATE("'"&amp;$C73&amp;"'!",ADDRESS(MATCH($D73,INDIRECT("'"&amp;$C73&amp;"'!$B:$B"),0),3))),"#page=",J74),CONCATENATE("#Sharepoint//",$D73))</f>
        <v>#Sharepoint//FRS_Line Voltage</v>
      </c>
      <c r="K73" s="321"/>
      <c r="L73" s="321"/>
    </row>
    <row r="74" spans="1:12" s="13" customFormat="1" outlineLevel="2" x14ac:dyDescent="0.25">
      <c r="B74" s="103"/>
      <c r="C74" s="357"/>
      <c r="D74" s="371"/>
      <c r="E74" s="331" t="s">
        <v>17</v>
      </c>
      <c r="F74" s="332">
        <v>25</v>
      </c>
      <c r="G74" s="332"/>
      <c r="H74" s="332">
        <v>29</v>
      </c>
      <c r="I74" s="332">
        <v>27</v>
      </c>
      <c r="J74" s="332">
        <v>36</v>
      </c>
      <c r="K74" s="332"/>
      <c r="L74" s="332"/>
    </row>
    <row r="75" spans="1:12" s="13" customFormat="1" ht="409.5" outlineLevel="2" x14ac:dyDescent="0.25">
      <c r="B75" s="103"/>
      <c r="C75" s="357"/>
      <c r="D75" s="470"/>
      <c r="E75" s="471" t="s">
        <v>61</v>
      </c>
      <c r="F75" s="479" t="s">
        <v>110</v>
      </c>
      <c r="G75" s="472"/>
      <c r="H75" s="479" t="s">
        <v>111</v>
      </c>
      <c r="I75" s="479" t="s">
        <v>112</v>
      </c>
      <c r="J75" s="479" t="s">
        <v>113</v>
      </c>
      <c r="K75" s="472"/>
      <c r="L75" s="473"/>
    </row>
    <row r="76" spans="1:12" s="13" customFormat="1" x14ac:dyDescent="0.25">
      <c r="A76" s="325" t="s">
        <v>114</v>
      </c>
      <c r="B76" s="333" t="s">
        <v>115</v>
      </c>
      <c r="C76" s="404"/>
      <c r="D76" s="369" t="s">
        <v>31</v>
      </c>
      <c r="E76" s="327"/>
      <c r="F76" s="328"/>
      <c r="G76" s="328"/>
      <c r="H76" s="328"/>
      <c r="I76" s="328"/>
      <c r="J76" s="328"/>
      <c r="K76" s="328"/>
      <c r="L76" s="329"/>
    </row>
    <row r="77" spans="1:12" s="13" customFormat="1" outlineLevel="1" x14ac:dyDescent="0.25">
      <c r="B77" s="103"/>
      <c r="C77" s="166" t="s">
        <v>14</v>
      </c>
      <c r="D77" s="166" t="s">
        <v>60</v>
      </c>
      <c r="E77" s="193" t="s">
        <v>16</v>
      </c>
      <c r="F77" s="324" t="str">
        <f t="array" aca="1" ref="F77" ca="1">HYPERLINK(CONCATENATE(Cartelle!$D$5,F$1,"/",$C77,"/",MID($D77,1,FIND("_",$D77)-1),"/",INDIRECT(CONCATENATE("'" &amp; $C77 &amp; "'!",ADDRESS(MATCH($D77, INDIRECT("'" &amp; $C77 &amp; "'!$B:$B"), 0),MATCH(F$1, INDIRECT("'" &amp; $C77 &amp; "'!$1:$1"), 0)))),".",INDIRECT(CONCATENATE("'"&amp;$C77&amp;"'!",ADDRESS(MATCH($D77,INDIRECT("'"&amp;$C77&amp;"'!$B:$B"),0),3))),"#page=",F78),CONCATENATE("#Sharepoint//",$D77))</f>
        <v>#Sharepoint//FRS_Line Voltage</v>
      </c>
      <c r="G77" s="389"/>
      <c r="H77" s="324" t="str">
        <f t="array" aca="1" ref="H77" ca="1">HYPERLINK(CONCATENATE(Cartelle!$D$5,INDEX(INDIRECT("'" &amp; $C77 &amp; "'!$1:$1"), 1, MATCH(INDIRECT(CONCATENATE("'" &amp; $C77 &amp; "'!",ADDRESS(MATCH($D77, INDIRECT("'" &amp; $C77 &amp; "'!$B:$B"), 0),MATCH(H$1, INDIRECT("'" &amp; $C77 &amp; "'!$1:$1"), 0)))),INDIRECT(CONCATENATE("'" &amp; $C77 &amp; "'!",MATCH($D77, INDIRECT("'" &amp; $C77 &amp; "'!$B:$B"), 0),":",MATCH($D77, INDIRECT("'" &amp; $C77 &amp; "'!$B:$B"), 0))),0)),"/",$C77,"/",MID($D77,1,FIND("_",$D77)-1),"/",INDIRECT(CONCATENATE("'" &amp; $C77 &amp; "'!",ADDRESS(MATCH($D77, INDIRECT("'" &amp; $C77 &amp; "'!$B:$B"), 0),MATCH(H$1, INDIRECT("'" &amp; $C77 &amp; "'!$1:$1"), 0)))),".",INDIRECT(CONCATENATE("'"&amp;$C77&amp;"'!",ADDRESS(MATCH($D77,INDIRECT("'"&amp;$C77&amp;"'!$B:$B"),0),3))),"#page=",H78),CONCATENATE("#Sharepoint//",$D77))</f>
        <v>#Sharepoint//FRS_Line Voltage</v>
      </c>
      <c r="I77" s="324" t="str">
        <f t="array" aca="1" ref="I77" ca="1">HYPERLINK(CONCATENATE(Cartelle!$D$5,INDEX(INDIRECT("'" &amp; $C77 &amp; "'!$1:$1"), 1, MATCH(INDIRECT(CONCATENATE("'" &amp; $C77 &amp; "'!",ADDRESS(MATCH($D77, INDIRECT("'" &amp; $C77 &amp; "'!$B:$B"), 0),MATCH(I$1, INDIRECT("'" &amp; $C77 &amp; "'!$1:$1"), 0)))),INDIRECT(CONCATENATE("'" &amp; $C77 &amp; "'!",MATCH($D77, INDIRECT("'" &amp; $C77 &amp; "'!$B:$B"), 0),":",MATCH($D77, INDIRECT("'" &amp; $C77 &amp; "'!$B:$B"), 0))),0)),"/",$C77,"/",MID($D77,1,FIND("_",$D77)-1),"/",INDIRECT(CONCATENATE("'" &amp; $C77 &amp; "'!",ADDRESS(MATCH($D77, INDIRECT("'" &amp; $C77 &amp; "'!$B:$B"), 0),MATCH(I$1, INDIRECT("'" &amp; $C77 &amp; "'!$1:$1"), 0)))),".",INDIRECT(CONCATENATE("'"&amp;$C77&amp;"'!",ADDRESS(MATCH($D77,INDIRECT("'"&amp;$C77&amp;"'!$B:$B"),0),3))),"#page=",I78),CONCATENATE("#Sharepoint//",$D77))</f>
        <v>#Sharepoint//FRS_Line Voltage</v>
      </c>
      <c r="J77" s="324" t="str">
        <f t="array" aca="1" ref="J77" ca="1">HYPERLINK(CONCATENATE(Cartelle!$D$5,INDEX(INDIRECT("'" &amp; $C77 &amp; "'!$1:$1"), 1, MATCH(INDIRECT(CONCATENATE("'" &amp; $C77 &amp; "'!",ADDRESS(MATCH($D77, INDIRECT("'" &amp; $C77 &amp; "'!$B:$B"), 0),MATCH(J$1, INDIRECT("'" &amp; $C77 &amp; "'!$1:$1"), 0)))),INDIRECT(CONCATENATE("'" &amp; $C77 &amp; "'!",MATCH($D77, INDIRECT("'" &amp; $C77 &amp; "'!$B:$B"), 0),":",MATCH($D77, INDIRECT("'" &amp; $C77 &amp; "'!$B:$B"), 0))),0)),"/",$C77,"/",MID($D77,1,FIND("_",$D77)-1),"/",INDIRECT(CONCATENATE("'" &amp; $C77 &amp; "'!",ADDRESS(MATCH($D77, INDIRECT("'" &amp; $C77 &amp; "'!$B:$B"), 0),MATCH(J$1, INDIRECT("'" &amp; $C77 &amp; "'!$1:$1"), 0)))),".",INDIRECT(CONCATENATE("'"&amp;$C77&amp;"'!",ADDRESS(MATCH($D77,INDIRECT("'"&amp;$C77&amp;"'!$B:$B"),0),3))),"#page=",J78),CONCATENATE("#Sharepoint//",$D77))</f>
        <v>#Sharepoint//FRS_Line Voltage</v>
      </c>
      <c r="K77" s="321"/>
      <c r="L77" s="321"/>
    </row>
    <row r="78" spans="1:12" s="13" customFormat="1" outlineLevel="2" x14ac:dyDescent="0.25">
      <c r="B78" s="103"/>
      <c r="C78" s="357"/>
      <c r="D78" s="371"/>
      <c r="E78" s="331" t="s">
        <v>17</v>
      </c>
      <c r="F78" s="332">
        <v>27</v>
      </c>
      <c r="G78" s="332"/>
      <c r="H78" s="332">
        <v>31</v>
      </c>
      <c r="I78" s="332">
        <v>29</v>
      </c>
      <c r="J78" s="332">
        <v>39</v>
      </c>
      <c r="K78" s="332"/>
      <c r="L78" s="332"/>
    </row>
    <row r="79" spans="1:12" s="13" customFormat="1" ht="409.5" outlineLevel="2" x14ac:dyDescent="0.25">
      <c r="B79" s="103"/>
      <c r="C79" s="357"/>
      <c r="D79" s="470"/>
      <c r="E79" s="471" t="s">
        <v>61</v>
      </c>
      <c r="F79" s="478" t="s">
        <v>116</v>
      </c>
      <c r="G79" s="472"/>
      <c r="H79" s="479" t="s">
        <v>117</v>
      </c>
      <c r="I79" s="478" t="s">
        <v>118</v>
      </c>
      <c r="J79" s="478" t="s">
        <v>119</v>
      </c>
      <c r="K79" s="472"/>
      <c r="L79" s="473"/>
    </row>
    <row r="80" spans="1:12" s="13" customFormat="1" x14ac:dyDescent="0.25">
      <c r="A80" s="325" t="s">
        <v>120</v>
      </c>
      <c r="B80" s="333" t="s">
        <v>121</v>
      </c>
      <c r="C80" s="404"/>
      <c r="D80" s="369" t="s">
        <v>31</v>
      </c>
      <c r="E80" s="327"/>
      <c r="F80" s="328"/>
      <c r="G80" s="328"/>
      <c r="H80" s="328"/>
      <c r="I80" s="328"/>
      <c r="J80" s="328"/>
      <c r="K80" s="328"/>
      <c r="L80" s="329"/>
    </row>
    <row r="81" spans="1:12" s="13" customFormat="1" outlineLevel="1" x14ac:dyDescent="0.25">
      <c r="B81" s="103"/>
      <c r="C81" s="166" t="s">
        <v>14</v>
      </c>
      <c r="D81" s="166" t="s">
        <v>60</v>
      </c>
      <c r="E81" s="193" t="s">
        <v>16</v>
      </c>
      <c r="F81" s="324" t="str">
        <f t="array" aca="1" ref="F81" ca="1">HYPERLINK(CONCATENATE(Cartelle!$D$5,F$1,"/",$C81,"/",MID($D81,1,FIND("_",$D81)-1),"/",INDIRECT(CONCATENATE("'" &amp; $C81 &amp; "'!",ADDRESS(MATCH($D81, INDIRECT("'" &amp; $C81 &amp; "'!$B:$B"), 0),MATCH(F$1, INDIRECT("'" &amp; $C81 &amp; "'!$1:$1"), 0)))),".",INDIRECT(CONCATENATE("'"&amp;$C81&amp;"'!",ADDRESS(MATCH($D81,INDIRECT("'"&amp;$C81&amp;"'!$B:$B"),0),3))),"#page=",F82),CONCATENATE("#Sharepoint//",$D81))</f>
        <v>#Sharepoint//FRS_Line Voltage</v>
      </c>
      <c r="G81" s="389"/>
      <c r="H81" s="324" t="str">
        <f t="array" aca="1" ref="H81" ca="1">HYPERLINK(CONCATENATE(Cartelle!$D$5,INDEX(INDIRECT("'" &amp; $C81 &amp; "'!$1:$1"), 1, MATCH(INDIRECT(CONCATENATE("'" &amp; $C81 &amp; "'!",ADDRESS(MATCH($D81, INDIRECT("'" &amp; $C81 &amp; "'!$B:$B"), 0),MATCH(H$1, INDIRECT("'" &amp; $C81 &amp; "'!$1:$1"), 0)))),INDIRECT(CONCATENATE("'" &amp; $C81 &amp; "'!",MATCH($D81, INDIRECT("'" &amp; $C81 &amp; "'!$B:$B"), 0),":",MATCH($D81, INDIRECT("'" &amp; $C81 &amp; "'!$B:$B"), 0))),0)),"/",$C81,"/",MID($D81,1,FIND("_",$D81)-1),"/",INDIRECT(CONCATENATE("'" &amp; $C81 &amp; "'!",ADDRESS(MATCH($D81, INDIRECT("'" &amp; $C81 &amp; "'!$B:$B"), 0),MATCH(H$1, INDIRECT("'" &amp; $C81 &amp; "'!$1:$1"), 0)))),".",INDIRECT(CONCATENATE("'"&amp;$C81&amp;"'!",ADDRESS(MATCH($D81,INDIRECT("'"&amp;$C81&amp;"'!$B:$B"),0),3))),"#page=",H82),CONCATENATE("#Sharepoint//",$D81))</f>
        <v>#Sharepoint//FRS_Line Voltage</v>
      </c>
      <c r="I81" s="324" t="str">
        <f t="array" aca="1" ref="I81" ca="1">HYPERLINK(CONCATENATE(Cartelle!$D$5,INDEX(INDIRECT("'" &amp; $C81 &amp; "'!$1:$1"), 1, MATCH(INDIRECT(CONCATENATE("'" &amp; $C81 &amp; "'!",ADDRESS(MATCH($D81, INDIRECT("'" &amp; $C81 &amp; "'!$B:$B"), 0),MATCH(I$1, INDIRECT("'" &amp; $C81 &amp; "'!$1:$1"), 0)))),INDIRECT(CONCATENATE("'" &amp; $C81 &amp; "'!",MATCH($D81, INDIRECT("'" &amp; $C81 &amp; "'!$B:$B"), 0),":",MATCH($D81, INDIRECT("'" &amp; $C81 &amp; "'!$B:$B"), 0))),0)),"/",$C81,"/",MID($D81,1,FIND("_",$D81)-1),"/",INDIRECT(CONCATENATE("'" &amp; $C81 &amp; "'!",ADDRESS(MATCH($D81, INDIRECT("'" &amp; $C81 &amp; "'!$B:$B"), 0),MATCH(I$1, INDIRECT("'" &amp; $C81 &amp; "'!$1:$1"), 0)))),".",INDIRECT(CONCATENATE("'"&amp;$C81&amp;"'!",ADDRESS(MATCH($D81,INDIRECT("'"&amp;$C81&amp;"'!$B:$B"),0),3))),"#page=",I82),CONCATENATE("#Sharepoint//",$D81))</f>
        <v>#Sharepoint//FRS_Line Voltage</v>
      </c>
      <c r="J81" s="324" t="str">
        <f t="array" aca="1" ref="J81" ca="1">HYPERLINK(CONCATENATE(Cartelle!$D$5,INDEX(INDIRECT("'" &amp; $C81 &amp; "'!$1:$1"), 1, MATCH(INDIRECT(CONCATENATE("'" &amp; $C81 &amp; "'!",ADDRESS(MATCH($D81, INDIRECT("'" &amp; $C81 &amp; "'!$B:$B"), 0),MATCH(J$1, INDIRECT("'" &amp; $C81 &amp; "'!$1:$1"), 0)))),INDIRECT(CONCATENATE("'" &amp; $C81 &amp; "'!",MATCH($D81, INDIRECT("'" &amp; $C81 &amp; "'!$B:$B"), 0),":",MATCH($D81, INDIRECT("'" &amp; $C81 &amp; "'!$B:$B"), 0))),0)),"/",$C81,"/",MID($D81,1,FIND("_",$D81)-1),"/",INDIRECT(CONCATENATE("'" &amp; $C81 &amp; "'!",ADDRESS(MATCH($D81, INDIRECT("'" &amp; $C81 &amp; "'!$B:$B"), 0),MATCH(J$1, INDIRECT("'" &amp; $C81 &amp; "'!$1:$1"), 0)))),".",INDIRECT(CONCATENATE("'"&amp;$C81&amp;"'!",ADDRESS(MATCH($D81,INDIRECT("'"&amp;$C81&amp;"'!$B:$B"),0),3))),"#page=",J82),CONCATENATE("#Sharepoint//",$D81))</f>
        <v>#Sharepoint//FRS_Line Voltage</v>
      </c>
      <c r="K81" s="321"/>
      <c r="L81" s="321"/>
    </row>
    <row r="82" spans="1:12" s="13" customFormat="1" outlineLevel="2" x14ac:dyDescent="0.25">
      <c r="B82" s="103"/>
      <c r="C82" s="357"/>
      <c r="D82" s="371"/>
      <c r="E82" s="331" t="s">
        <v>17</v>
      </c>
      <c r="F82" s="332">
        <v>29</v>
      </c>
      <c r="G82" s="332"/>
      <c r="H82" s="332">
        <v>34</v>
      </c>
      <c r="I82" s="332">
        <v>31</v>
      </c>
      <c r="J82" s="332">
        <v>42</v>
      </c>
      <c r="K82" s="332"/>
      <c r="L82" s="332"/>
    </row>
    <row r="83" spans="1:12" s="13" customFormat="1" outlineLevel="2" x14ac:dyDescent="0.25">
      <c r="B83" s="103"/>
      <c r="C83" s="357"/>
      <c r="D83" s="470"/>
      <c r="E83" s="471" t="s">
        <v>61</v>
      </c>
      <c r="F83" s="474"/>
      <c r="G83" s="472"/>
      <c r="H83" s="474"/>
      <c r="I83" s="474"/>
      <c r="J83" s="474"/>
      <c r="K83" s="472"/>
      <c r="L83" s="473"/>
    </row>
    <row r="84" spans="1:12" s="13" customFormat="1" ht="60" customHeight="1" x14ac:dyDescent="0.25">
      <c r="A84" s="325" t="s">
        <v>122</v>
      </c>
      <c r="B84" s="333" t="s">
        <v>123</v>
      </c>
      <c r="C84" s="404"/>
      <c r="D84" s="369" t="s">
        <v>31</v>
      </c>
      <c r="E84" s="327"/>
      <c r="F84" s="328"/>
      <c r="G84" s="328"/>
      <c r="H84" s="328"/>
      <c r="I84" s="328"/>
      <c r="J84" s="328"/>
      <c r="K84" s="328"/>
      <c r="L84" s="329"/>
    </row>
    <row r="85" spans="1:12" s="13" customFormat="1" outlineLevel="1" x14ac:dyDescent="0.25">
      <c r="B85" s="103"/>
      <c r="C85" s="166" t="s">
        <v>14</v>
      </c>
      <c r="D85" s="166" t="s">
        <v>60</v>
      </c>
      <c r="E85" s="193" t="s">
        <v>16</v>
      </c>
      <c r="F85" s="324" t="str">
        <f t="array" aca="1" ref="F85" ca="1">HYPERLINK(CONCATENATE(Cartelle!$D$5,F$1,"/",$C85,"/",MID($D85,1,FIND("_",$D85)-1),"/",INDIRECT(CONCATENATE("'" &amp; $C85 &amp; "'!",ADDRESS(MATCH($D85, INDIRECT("'" &amp; $C85 &amp; "'!$B:$B"), 0),MATCH(F$1, INDIRECT("'" &amp; $C85 &amp; "'!$1:$1"), 0)))),".",INDIRECT(CONCATENATE("'"&amp;$C85&amp;"'!",ADDRESS(MATCH($D85,INDIRECT("'"&amp;$C85&amp;"'!$B:$B"),0),3))),"#page=",F86),CONCATENATE("#Sharepoint//",$D85))</f>
        <v>#Sharepoint//FRS_Line Voltage</v>
      </c>
      <c r="G85" s="389"/>
      <c r="H85" s="324" t="str">
        <f t="array" aca="1" ref="H85" ca="1">HYPERLINK(CONCATENATE(Cartelle!$D$5,INDEX(INDIRECT("'" &amp; $C85 &amp; "'!$1:$1"), 1, MATCH(INDIRECT(CONCATENATE("'" &amp; $C85 &amp; "'!",ADDRESS(MATCH($D85, INDIRECT("'" &amp; $C85 &amp; "'!$B:$B"), 0),MATCH(H$1, INDIRECT("'" &amp; $C85 &amp; "'!$1:$1"), 0)))),INDIRECT(CONCATENATE("'" &amp; $C85 &amp; "'!",MATCH($D85, INDIRECT("'" &amp; $C85 &amp; "'!$B:$B"), 0),":",MATCH($D85, INDIRECT("'" &amp; $C85 &amp; "'!$B:$B"), 0))),0)),"/",$C85,"/",MID($D85,1,FIND("_",$D85)-1),"/",INDIRECT(CONCATENATE("'" &amp; $C85 &amp; "'!",ADDRESS(MATCH($D85, INDIRECT("'" &amp; $C85 &amp; "'!$B:$B"), 0),MATCH(H$1, INDIRECT("'" &amp; $C85 &amp; "'!$1:$1"), 0)))),".",INDIRECT(CONCATENATE("'"&amp;$C85&amp;"'!",ADDRESS(MATCH($D85,INDIRECT("'"&amp;$C85&amp;"'!$B:$B"),0),3))),"#page=",H86),CONCATENATE("#Sharepoint//",$D85))</f>
        <v>#Sharepoint//FRS_Line Voltage</v>
      </c>
      <c r="I85" s="324" t="str">
        <f t="array" aca="1" ref="I85" ca="1">HYPERLINK(CONCATENATE(Cartelle!$D$5,INDEX(INDIRECT("'" &amp; $C85 &amp; "'!$1:$1"), 1, MATCH(INDIRECT(CONCATENATE("'" &amp; $C85 &amp; "'!",ADDRESS(MATCH($D85, INDIRECT("'" &amp; $C85 &amp; "'!$B:$B"), 0),MATCH(I$1, INDIRECT("'" &amp; $C85 &amp; "'!$1:$1"), 0)))),INDIRECT(CONCATENATE("'" &amp; $C85 &amp; "'!",MATCH($D85, INDIRECT("'" &amp; $C85 &amp; "'!$B:$B"), 0),":",MATCH($D85, INDIRECT("'" &amp; $C85 &amp; "'!$B:$B"), 0))),0)),"/",$C85,"/",MID($D85,1,FIND("_",$D85)-1),"/",INDIRECT(CONCATENATE("'" &amp; $C85 &amp; "'!",ADDRESS(MATCH($D85, INDIRECT("'" &amp; $C85 &amp; "'!$B:$B"), 0),MATCH(I$1, INDIRECT("'" &amp; $C85 &amp; "'!$1:$1"), 0)))),".",INDIRECT(CONCATENATE("'"&amp;$C85&amp;"'!",ADDRESS(MATCH($D85,INDIRECT("'"&amp;$C85&amp;"'!$B:$B"),0),3))),"#page=",I86),CONCATENATE("#Sharepoint//",$D85))</f>
        <v>#Sharepoint//FRS_Line Voltage</v>
      </c>
      <c r="J85" s="324" t="str">
        <f t="array" aca="1" ref="J85" ca="1">HYPERLINK(CONCATENATE(Cartelle!$D$5,INDEX(INDIRECT("'" &amp; $C85 &amp; "'!$1:$1"), 1, MATCH(INDIRECT(CONCATENATE("'" &amp; $C85 &amp; "'!",ADDRESS(MATCH($D85, INDIRECT("'" &amp; $C85 &amp; "'!$B:$B"), 0),MATCH(J$1, INDIRECT("'" &amp; $C85 &amp; "'!$1:$1"), 0)))),INDIRECT(CONCATENATE("'" &amp; $C85 &amp; "'!",MATCH($D85, INDIRECT("'" &amp; $C85 &amp; "'!$B:$B"), 0),":",MATCH($D85, INDIRECT("'" &amp; $C85 &amp; "'!$B:$B"), 0))),0)),"/",$C85,"/",MID($D85,1,FIND("_",$D85)-1),"/",INDIRECT(CONCATENATE("'" &amp; $C85 &amp; "'!",ADDRESS(MATCH($D85, INDIRECT("'" &amp; $C85 &amp; "'!$B:$B"), 0),MATCH(J$1, INDIRECT("'" &amp; $C85 &amp; "'!$1:$1"), 0)))),".",INDIRECT(CONCATENATE("'"&amp;$C85&amp;"'!",ADDRESS(MATCH($D85,INDIRECT("'"&amp;$C85&amp;"'!$B:$B"),0),3))),"#page=",J86),CONCATENATE("#Sharepoint//",$D85))</f>
        <v>#Sharepoint//FRS_Line Voltage</v>
      </c>
      <c r="K85" s="321"/>
      <c r="L85" s="321"/>
    </row>
    <row r="86" spans="1:12" s="13" customFormat="1" outlineLevel="2" x14ac:dyDescent="0.25">
      <c r="B86" s="103"/>
      <c r="C86" s="357"/>
      <c r="D86" s="371"/>
      <c r="E86" s="331" t="s">
        <v>17</v>
      </c>
      <c r="F86" s="332">
        <v>30</v>
      </c>
      <c r="G86" s="332"/>
      <c r="H86" s="332">
        <v>35</v>
      </c>
      <c r="I86" s="332">
        <v>32</v>
      </c>
      <c r="J86" s="332">
        <v>43</v>
      </c>
      <c r="K86" s="332"/>
      <c r="L86" s="332"/>
    </row>
    <row r="87" spans="1:12" s="13" customFormat="1" outlineLevel="2" x14ac:dyDescent="0.25">
      <c r="B87" s="103"/>
      <c r="C87" s="357"/>
      <c r="D87" s="470"/>
      <c r="E87" s="471" t="s">
        <v>61</v>
      </c>
      <c r="F87" s="472"/>
      <c r="G87" s="472"/>
      <c r="H87" s="472"/>
      <c r="I87" s="472"/>
      <c r="J87" s="472"/>
      <c r="K87" s="472"/>
      <c r="L87" s="473"/>
    </row>
    <row r="88" spans="1:12" s="13" customFormat="1" ht="30" customHeight="1" x14ac:dyDescent="0.25">
      <c r="A88" s="325" t="s">
        <v>124</v>
      </c>
      <c r="B88" s="333" t="s">
        <v>125</v>
      </c>
      <c r="C88" s="404"/>
      <c r="D88" s="369" t="s">
        <v>31</v>
      </c>
      <c r="E88" s="327"/>
      <c r="F88" s="328"/>
      <c r="G88" s="328"/>
      <c r="H88" s="328"/>
      <c r="I88" s="328"/>
      <c r="J88" s="328"/>
      <c r="K88" s="328"/>
      <c r="L88" s="329"/>
    </row>
    <row r="89" spans="1:12" s="13" customFormat="1" outlineLevel="1" x14ac:dyDescent="0.25">
      <c r="B89" s="103"/>
      <c r="C89" s="166" t="s">
        <v>14</v>
      </c>
      <c r="D89" s="166" t="s">
        <v>60</v>
      </c>
      <c r="E89" s="193" t="s">
        <v>16</v>
      </c>
      <c r="F89" s="324" t="str">
        <f t="array" aca="1" ref="F89" ca="1">HYPERLINK(CONCATENATE(Cartelle!$D$5,F$1,"/",$C89,"/",MID($D89,1,FIND("_",$D89)-1),"/",INDIRECT(CONCATENATE("'" &amp; $C89 &amp; "'!",ADDRESS(MATCH($D89, INDIRECT("'" &amp; $C89 &amp; "'!$B:$B"), 0),MATCH(F$1, INDIRECT("'" &amp; $C89 &amp; "'!$1:$1"), 0)))),".",INDIRECT(CONCATENATE("'"&amp;$C89&amp;"'!",ADDRESS(MATCH($D89,INDIRECT("'"&amp;$C89&amp;"'!$B:$B"),0),3))),"#page=",F90),CONCATENATE("#Sharepoint//",$D89))</f>
        <v>#Sharepoint//FRS_Line Voltage</v>
      </c>
      <c r="G89" s="389"/>
      <c r="H89" s="324" t="str">
        <f t="array" aca="1" ref="H89" ca="1">HYPERLINK(CONCATENATE(Cartelle!$D$5,INDEX(INDIRECT("'" &amp; $C89 &amp; "'!$1:$1"), 1, MATCH(INDIRECT(CONCATENATE("'" &amp; $C89 &amp; "'!",ADDRESS(MATCH($D89, INDIRECT("'" &amp; $C89 &amp; "'!$B:$B"), 0),MATCH(H$1, INDIRECT("'" &amp; $C89 &amp; "'!$1:$1"), 0)))),INDIRECT(CONCATENATE("'" &amp; $C89 &amp; "'!",MATCH($D89, INDIRECT("'" &amp; $C89 &amp; "'!$B:$B"), 0),":",MATCH($D89, INDIRECT("'" &amp; $C89 &amp; "'!$B:$B"), 0))),0)),"/",$C89,"/",MID($D89,1,FIND("_",$D89)-1),"/",INDIRECT(CONCATENATE("'" &amp; $C89 &amp; "'!",ADDRESS(MATCH($D89, INDIRECT("'" &amp; $C89 &amp; "'!$B:$B"), 0),MATCH(H$1, INDIRECT("'" &amp; $C89 &amp; "'!$1:$1"), 0)))),".",INDIRECT(CONCATENATE("'"&amp;$C89&amp;"'!",ADDRESS(MATCH($D89,INDIRECT("'"&amp;$C89&amp;"'!$B:$B"),0),3))),"#page=",H90),CONCATENATE("#Sharepoint//",$D89))</f>
        <v>#Sharepoint//FRS_Line Voltage</v>
      </c>
      <c r="I89" s="324" t="str">
        <f t="array" aca="1" ref="I89" ca="1">HYPERLINK(CONCATENATE(Cartelle!$D$5,INDEX(INDIRECT("'" &amp; $C89 &amp; "'!$1:$1"), 1, MATCH(INDIRECT(CONCATENATE("'" &amp; $C89 &amp; "'!",ADDRESS(MATCH($D89, INDIRECT("'" &amp; $C89 &amp; "'!$B:$B"), 0),MATCH(I$1, INDIRECT("'" &amp; $C89 &amp; "'!$1:$1"), 0)))),INDIRECT(CONCATENATE("'" &amp; $C89 &amp; "'!",MATCH($D89, INDIRECT("'" &amp; $C89 &amp; "'!$B:$B"), 0),":",MATCH($D89, INDIRECT("'" &amp; $C89 &amp; "'!$B:$B"), 0))),0)),"/",$C89,"/",MID($D89,1,FIND("_",$D89)-1),"/",INDIRECT(CONCATENATE("'" &amp; $C89 &amp; "'!",ADDRESS(MATCH($D89, INDIRECT("'" &amp; $C89 &amp; "'!$B:$B"), 0),MATCH(I$1, INDIRECT("'" &amp; $C89 &amp; "'!$1:$1"), 0)))),".",INDIRECT(CONCATENATE("'"&amp;$C89&amp;"'!",ADDRESS(MATCH($D89,INDIRECT("'"&amp;$C89&amp;"'!$B:$B"),0),3))),"#page=",I90),CONCATENATE("#Sharepoint//",$D89))</f>
        <v>#Sharepoint//FRS_Line Voltage</v>
      </c>
      <c r="J89" s="324" t="str">
        <f t="array" aca="1" ref="J89" ca="1">HYPERLINK(CONCATENATE(Cartelle!$D$5,INDEX(INDIRECT("'" &amp; $C89 &amp; "'!$1:$1"), 1, MATCH(INDIRECT(CONCATENATE("'" &amp; $C89 &amp; "'!",ADDRESS(MATCH($D89, INDIRECT("'" &amp; $C89 &amp; "'!$B:$B"), 0),MATCH(J$1, INDIRECT("'" &amp; $C89 &amp; "'!$1:$1"), 0)))),INDIRECT(CONCATENATE("'" &amp; $C89 &amp; "'!",MATCH($D89, INDIRECT("'" &amp; $C89 &amp; "'!$B:$B"), 0),":",MATCH($D89, INDIRECT("'" &amp; $C89 &amp; "'!$B:$B"), 0))),0)),"/",$C89,"/",MID($D89,1,FIND("_",$D89)-1),"/",INDIRECT(CONCATENATE("'" &amp; $C89 &amp; "'!",ADDRESS(MATCH($D89, INDIRECT("'" &amp; $C89 &amp; "'!$B:$B"), 0),MATCH(J$1, INDIRECT("'" &amp; $C89 &amp; "'!$1:$1"), 0)))),".",INDIRECT(CONCATENATE("'"&amp;$C89&amp;"'!",ADDRESS(MATCH($D89,INDIRECT("'"&amp;$C89&amp;"'!$B:$B"),0),3))),"#page=",J90),CONCATENATE("#Sharepoint//",$D89))</f>
        <v>#Sharepoint//FRS_Line Voltage</v>
      </c>
      <c r="K89" s="321"/>
      <c r="L89" s="321"/>
    </row>
    <row r="90" spans="1:12" s="13" customFormat="1" outlineLevel="2" x14ac:dyDescent="0.25">
      <c r="B90" s="103"/>
      <c r="C90" s="357"/>
      <c r="D90" s="371"/>
      <c r="E90" s="331" t="s">
        <v>17</v>
      </c>
      <c r="F90" s="332">
        <v>34</v>
      </c>
      <c r="G90" s="332"/>
      <c r="H90" s="332">
        <v>39</v>
      </c>
      <c r="I90" s="332">
        <v>35</v>
      </c>
      <c r="J90" s="332">
        <v>47</v>
      </c>
      <c r="K90" s="332"/>
      <c r="L90" s="332"/>
    </row>
    <row r="91" spans="1:12" s="13" customFormat="1" outlineLevel="2" x14ac:dyDescent="0.25">
      <c r="B91" s="103"/>
      <c r="C91" s="357"/>
      <c r="D91" s="470"/>
      <c r="E91" s="471" t="s">
        <v>61</v>
      </c>
      <c r="F91" s="472"/>
      <c r="G91" s="472"/>
      <c r="H91" s="472"/>
      <c r="I91" s="472"/>
      <c r="J91" s="472"/>
      <c r="K91" s="472"/>
      <c r="L91" s="473"/>
    </row>
    <row r="92" spans="1:12" s="13" customFormat="1" ht="30" customHeight="1" x14ac:dyDescent="0.25">
      <c r="A92" s="325" t="s">
        <v>126</v>
      </c>
      <c r="B92" s="333" t="s">
        <v>127</v>
      </c>
      <c r="C92" s="404"/>
      <c r="D92" s="369" t="s">
        <v>31</v>
      </c>
      <c r="E92" s="327"/>
      <c r="F92" s="328"/>
      <c r="G92" s="328"/>
      <c r="H92" s="328"/>
      <c r="I92" s="328"/>
      <c r="J92" s="328"/>
      <c r="K92" s="328"/>
      <c r="L92" s="329"/>
    </row>
    <row r="93" spans="1:12" s="13" customFormat="1" outlineLevel="1" x14ac:dyDescent="0.25">
      <c r="B93" s="103"/>
      <c r="C93" s="166" t="s">
        <v>14</v>
      </c>
      <c r="D93" s="166" t="s">
        <v>60</v>
      </c>
      <c r="E93" s="193" t="s">
        <v>16</v>
      </c>
      <c r="F93" s="324" t="str">
        <f t="array" aca="1" ref="F93" ca="1">HYPERLINK(CONCATENATE(Cartelle!$D$5,F$1,"/",$C93,"/",MID($D93,1,FIND("_",$D93)-1),"/",INDIRECT(CONCATENATE("'" &amp; $C93 &amp; "'!",ADDRESS(MATCH($D93, INDIRECT("'" &amp; $C93 &amp; "'!$B:$B"), 0),MATCH(F$1, INDIRECT("'" &amp; $C93 &amp; "'!$1:$1"), 0)))),".",INDIRECT(CONCATENATE("'"&amp;$C93&amp;"'!",ADDRESS(MATCH($D93,INDIRECT("'"&amp;$C93&amp;"'!$B:$B"),0),3))),"#page=",F94),CONCATENATE("#Sharepoint//",$D93))</f>
        <v>#Sharepoint//FRS_Line Voltage</v>
      </c>
      <c r="G93" s="389"/>
      <c r="H93" s="324" t="str">
        <f t="array" aca="1" ref="H93" ca="1">HYPERLINK(CONCATENATE(Cartelle!$D$5,INDEX(INDIRECT("'" &amp; $C93 &amp; "'!$1:$1"), 1, MATCH(INDIRECT(CONCATENATE("'" &amp; $C93 &amp; "'!",ADDRESS(MATCH($D93, INDIRECT("'" &amp; $C93 &amp; "'!$B:$B"), 0),MATCH(H$1, INDIRECT("'" &amp; $C93 &amp; "'!$1:$1"), 0)))),INDIRECT(CONCATENATE("'" &amp; $C93 &amp; "'!",MATCH($D93, INDIRECT("'" &amp; $C93 &amp; "'!$B:$B"), 0),":",MATCH($D93, INDIRECT("'" &amp; $C93 &amp; "'!$B:$B"), 0))),0)),"/",$C93,"/",MID($D93,1,FIND("_",$D93)-1),"/",INDIRECT(CONCATENATE("'" &amp; $C93 &amp; "'!",ADDRESS(MATCH($D93, INDIRECT("'" &amp; $C93 &amp; "'!$B:$B"), 0),MATCH(H$1, INDIRECT("'" &amp; $C93 &amp; "'!$1:$1"), 0)))),".",INDIRECT(CONCATENATE("'"&amp;$C93&amp;"'!",ADDRESS(MATCH($D93,INDIRECT("'"&amp;$C93&amp;"'!$B:$B"),0),3))),"#page=",H94),CONCATENATE("#Sharepoint//",$D93))</f>
        <v>#Sharepoint//FRS_Line Voltage</v>
      </c>
      <c r="I93" s="324" t="str">
        <f t="array" aca="1" ref="I93" ca="1">HYPERLINK(CONCATENATE(Cartelle!$D$5,INDEX(INDIRECT("'" &amp; $C93 &amp; "'!$1:$1"), 1, MATCH(INDIRECT(CONCATENATE("'" &amp; $C93 &amp; "'!",ADDRESS(MATCH($D93, INDIRECT("'" &amp; $C93 &amp; "'!$B:$B"), 0),MATCH(I$1, INDIRECT("'" &amp; $C93 &amp; "'!$1:$1"), 0)))),INDIRECT(CONCATENATE("'" &amp; $C93 &amp; "'!",MATCH($D93, INDIRECT("'" &amp; $C93 &amp; "'!$B:$B"), 0),":",MATCH($D93, INDIRECT("'" &amp; $C93 &amp; "'!$B:$B"), 0))),0)),"/",$C93,"/",MID($D93,1,FIND("_",$D93)-1),"/",INDIRECT(CONCATENATE("'" &amp; $C93 &amp; "'!",ADDRESS(MATCH($D93, INDIRECT("'" &amp; $C93 &amp; "'!$B:$B"), 0),MATCH(I$1, INDIRECT("'" &amp; $C93 &amp; "'!$1:$1"), 0)))),".",INDIRECT(CONCATENATE("'"&amp;$C93&amp;"'!",ADDRESS(MATCH($D93,INDIRECT("'"&amp;$C93&amp;"'!$B:$B"),0),3))),"#page=",I94),CONCATENATE("#Sharepoint//",$D93))</f>
        <v>#Sharepoint//FRS_Line Voltage</v>
      </c>
      <c r="J93" s="324" t="str">
        <f t="array" aca="1" ref="J93" ca="1">HYPERLINK(CONCATENATE(Cartelle!$D$5,INDEX(INDIRECT("'" &amp; $C93 &amp; "'!$1:$1"), 1, MATCH(INDIRECT(CONCATENATE("'" &amp; $C93 &amp; "'!",ADDRESS(MATCH($D93, INDIRECT("'" &amp; $C93 &amp; "'!$B:$B"), 0),MATCH(J$1, INDIRECT("'" &amp; $C93 &amp; "'!$1:$1"), 0)))),INDIRECT(CONCATENATE("'" &amp; $C93 &amp; "'!",MATCH($D93, INDIRECT("'" &amp; $C93 &amp; "'!$B:$B"), 0),":",MATCH($D93, INDIRECT("'" &amp; $C93 &amp; "'!$B:$B"), 0))),0)),"/",$C93,"/",MID($D93,1,FIND("_",$D93)-1),"/",INDIRECT(CONCATENATE("'" &amp; $C93 &amp; "'!",ADDRESS(MATCH($D93, INDIRECT("'" &amp; $C93 &amp; "'!$B:$B"), 0),MATCH(J$1, INDIRECT("'" &amp; $C93 &amp; "'!$1:$1"), 0)))),".",INDIRECT(CONCATENATE("'"&amp;$C93&amp;"'!",ADDRESS(MATCH($D93,INDIRECT("'"&amp;$C93&amp;"'!$B:$B"),0),3))),"#page=",J94),CONCATENATE("#Sharepoint//",$D93))</f>
        <v>#Sharepoint//FRS_Line Voltage</v>
      </c>
      <c r="K93" s="321"/>
      <c r="L93" s="321"/>
    </row>
    <row r="94" spans="1:12" s="13" customFormat="1" outlineLevel="2" x14ac:dyDescent="0.25">
      <c r="B94" s="103"/>
      <c r="C94" s="357"/>
      <c r="D94" s="371"/>
      <c r="E94" s="331" t="s">
        <v>17</v>
      </c>
      <c r="F94" s="332">
        <v>37</v>
      </c>
      <c r="G94" s="332"/>
      <c r="H94" s="332">
        <v>42</v>
      </c>
      <c r="I94" s="332">
        <v>38</v>
      </c>
      <c r="J94" s="332">
        <v>50</v>
      </c>
      <c r="K94" s="332"/>
      <c r="L94" s="332"/>
    </row>
    <row r="95" spans="1:12" s="13" customFormat="1" outlineLevel="2" x14ac:dyDescent="0.25">
      <c r="B95" s="103"/>
      <c r="C95" s="357"/>
      <c r="D95" s="470"/>
      <c r="E95" s="471" t="s">
        <v>61</v>
      </c>
      <c r="F95" s="472"/>
      <c r="G95" s="472"/>
      <c r="H95" s="472"/>
      <c r="I95" s="472"/>
      <c r="J95" s="472"/>
      <c r="K95" s="472"/>
      <c r="L95" s="473"/>
    </row>
    <row r="96" spans="1:12" s="13" customFormat="1" x14ac:dyDescent="0.25">
      <c r="A96" s="325" t="s">
        <v>128</v>
      </c>
      <c r="B96" s="333" t="s">
        <v>129</v>
      </c>
      <c r="C96" s="404"/>
      <c r="D96" s="369" t="s">
        <v>31</v>
      </c>
      <c r="E96" s="327"/>
      <c r="F96" s="328"/>
      <c r="G96" s="328"/>
      <c r="H96" s="328"/>
      <c r="I96" s="328"/>
      <c r="J96" s="328"/>
      <c r="K96" s="328"/>
      <c r="L96" s="329"/>
    </row>
    <row r="97" spans="1:12" s="13" customFormat="1" outlineLevel="1" x14ac:dyDescent="0.25">
      <c r="B97" s="103"/>
      <c r="C97" s="166" t="s">
        <v>14</v>
      </c>
      <c r="D97" s="166" t="s">
        <v>60</v>
      </c>
      <c r="E97" s="193" t="s">
        <v>16</v>
      </c>
      <c r="F97" s="324" t="str">
        <f t="array" aca="1" ref="F97" ca="1">HYPERLINK(CONCATENATE(Cartelle!$D$5,F$1,"/",$C97,"/",MID($D97,1,FIND("_",$D97)-1),"/",INDIRECT(CONCATENATE("'" &amp; $C97 &amp; "'!",ADDRESS(MATCH($D97, INDIRECT("'" &amp; $C97 &amp; "'!$B:$B"), 0),MATCH(F$1, INDIRECT("'" &amp; $C97 &amp; "'!$1:$1"), 0)))),".",INDIRECT(CONCATENATE("'"&amp;$C97&amp;"'!",ADDRESS(MATCH($D97,INDIRECT("'"&amp;$C97&amp;"'!$B:$B"),0),3))),"#page=",F98),CONCATENATE("#Sharepoint//",$D97))</f>
        <v>#Sharepoint//FRS_Line Voltage</v>
      </c>
      <c r="G97" s="389"/>
      <c r="H97" s="324" t="str">
        <f t="array" aca="1" ref="H97" ca="1">HYPERLINK(CONCATENATE(Cartelle!$D$5,INDEX(INDIRECT("'" &amp; $C97 &amp; "'!$1:$1"), 1, MATCH(INDIRECT(CONCATENATE("'" &amp; $C97 &amp; "'!",ADDRESS(MATCH($D97, INDIRECT("'" &amp; $C97 &amp; "'!$B:$B"), 0),MATCH(H$1, INDIRECT("'" &amp; $C97 &amp; "'!$1:$1"), 0)))),INDIRECT(CONCATENATE("'" &amp; $C97 &amp; "'!",MATCH($D97, INDIRECT("'" &amp; $C97 &amp; "'!$B:$B"), 0),":",MATCH($D97, INDIRECT("'" &amp; $C97 &amp; "'!$B:$B"), 0))),0)),"/",$C97,"/",MID($D97,1,FIND("_",$D97)-1),"/",INDIRECT(CONCATENATE("'" &amp; $C97 &amp; "'!",ADDRESS(MATCH($D97, INDIRECT("'" &amp; $C97 &amp; "'!$B:$B"), 0),MATCH(H$1, INDIRECT("'" &amp; $C97 &amp; "'!$1:$1"), 0)))),".",INDIRECT(CONCATENATE("'"&amp;$C97&amp;"'!",ADDRESS(MATCH($D97,INDIRECT("'"&amp;$C97&amp;"'!$B:$B"),0),3))),"#page=",H98),CONCATENATE("#Sharepoint//",$D97))</f>
        <v>#Sharepoint//FRS_Line Voltage</v>
      </c>
      <c r="I97" s="324" t="str">
        <f t="array" aca="1" ref="I97" ca="1">HYPERLINK(CONCATENATE(Cartelle!$D$5,INDEX(INDIRECT("'" &amp; $C97 &amp; "'!$1:$1"), 1, MATCH(INDIRECT(CONCATENATE("'" &amp; $C97 &amp; "'!",ADDRESS(MATCH($D97, INDIRECT("'" &amp; $C97 &amp; "'!$B:$B"), 0),MATCH(I$1, INDIRECT("'" &amp; $C97 &amp; "'!$1:$1"), 0)))),INDIRECT(CONCATENATE("'" &amp; $C97 &amp; "'!",MATCH($D97, INDIRECT("'" &amp; $C97 &amp; "'!$B:$B"), 0),":",MATCH($D97, INDIRECT("'" &amp; $C97 &amp; "'!$B:$B"), 0))),0)),"/",$C97,"/",MID($D97,1,FIND("_",$D97)-1),"/",INDIRECT(CONCATENATE("'" &amp; $C97 &amp; "'!",ADDRESS(MATCH($D97, INDIRECT("'" &amp; $C97 &amp; "'!$B:$B"), 0),MATCH(I$1, INDIRECT("'" &amp; $C97 &amp; "'!$1:$1"), 0)))),".",INDIRECT(CONCATENATE("'"&amp;$C97&amp;"'!",ADDRESS(MATCH($D97,INDIRECT("'"&amp;$C97&amp;"'!$B:$B"),0),3))),"#page=",I98),CONCATENATE("#Sharepoint//",$D97))</f>
        <v>#Sharepoint//FRS_Line Voltage</v>
      </c>
      <c r="J97" s="324" t="str">
        <f t="array" aca="1" ref="J97" ca="1">HYPERLINK(CONCATENATE(Cartelle!$D$5,INDEX(INDIRECT("'" &amp; $C97 &amp; "'!$1:$1"), 1, MATCH(INDIRECT(CONCATENATE("'" &amp; $C97 &amp; "'!",ADDRESS(MATCH($D97, INDIRECT("'" &amp; $C97 &amp; "'!$B:$B"), 0),MATCH(J$1, INDIRECT("'" &amp; $C97 &amp; "'!$1:$1"), 0)))),INDIRECT(CONCATENATE("'" &amp; $C97 &amp; "'!",MATCH($D97, INDIRECT("'" &amp; $C97 &amp; "'!$B:$B"), 0),":",MATCH($D97, INDIRECT("'" &amp; $C97 &amp; "'!$B:$B"), 0))),0)),"/",$C97,"/",MID($D97,1,FIND("_",$D97)-1),"/",INDIRECT(CONCATENATE("'" &amp; $C97 &amp; "'!",ADDRESS(MATCH($D97, INDIRECT("'" &amp; $C97 &amp; "'!$B:$B"), 0),MATCH(J$1, INDIRECT("'" &amp; $C97 &amp; "'!$1:$1"), 0)))),".",INDIRECT(CONCATENATE("'"&amp;$C97&amp;"'!",ADDRESS(MATCH($D97,INDIRECT("'"&amp;$C97&amp;"'!$B:$B"),0),3))),"#page=",J98),CONCATENATE("#Sharepoint//",$D97))</f>
        <v>#Sharepoint//FRS_Line Voltage</v>
      </c>
      <c r="K97" s="321"/>
      <c r="L97" s="321"/>
    </row>
    <row r="98" spans="1:12" s="13" customFormat="1" outlineLevel="2" x14ac:dyDescent="0.25">
      <c r="B98" s="103"/>
      <c r="C98" s="357"/>
      <c r="D98" s="371"/>
      <c r="E98" s="331" t="s">
        <v>17</v>
      </c>
      <c r="F98" s="332">
        <v>40</v>
      </c>
      <c r="G98" s="332"/>
      <c r="H98" s="332">
        <v>46</v>
      </c>
      <c r="I98" s="332">
        <v>42</v>
      </c>
      <c r="J98" s="332">
        <v>56</v>
      </c>
      <c r="K98" s="332"/>
      <c r="L98" s="332"/>
    </row>
    <row r="99" spans="1:12" s="13" customFormat="1" outlineLevel="2" x14ac:dyDescent="0.25">
      <c r="B99" s="103"/>
      <c r="C99" s="357"/>
      <c r="D99" s="470"/>
      <c r="E99" s="471" t="s">
        <v>61</v>
      </c>
      <c r="F99" s="472"/>
      <c r="G99" s="472"/>
      <c r="H99" s="472"/>
      <c r="I99" s="472"/>
      <c r="J99" s="472"/>
      <c r="K99" s="472"/>
      <c r="L99" s="473"/>
    </row>
    <row r="100" spans="1:12" s="13" customFormat="1" ht="30" customHeight="1" x14ac:dyDescent="0.25">
      <c r="A100" s="325" t="s">
        <v>130</v>
      </c>
      <c r="B100" s="333" t="s">
        <v>131</v>
      </c>
      <c r="C100" s="404"/>
      <c r="D100" s="369" t="s">
        <v>31</v>
      </c>
      <c r="E100" s="327"/>
      <c r="F100" s="328"/>
      <c r="G100" s="328"/>
      <c r="H100" s="328"/>
      <c r="I100" s="328"/>
      <c r="J100" s="328"/>
      <c r="K100" s="328"/>
      <c r="L100" s="329"/>
    </row>
    <row r="101" spans="1:12" s="13" customFormat="1" outlineLevel="1" x14ac:dyDescent="0.25">
      <c r="B101" s="103"/>
      <c r="C101" s="166" t="s">
        <v>14</v>
      </c>
      <c r="D101" s="166" t="s">
        <v>60</v>
      </c>
      <c r="E101" s="193" t="s">
        <v>16</v>
      </c>
      <c r="F101" s="324" t="str">
        <f t="array" aca="1" ref="F101" ca="1">HYPERLINK(CONCATENATE(Cartelle!$D$5,F$1,"/",$C101,"/",MID($D101,1,FIND("_",$D101)-1),"/",INDIRECT(CONCATENATE("'" &amp; $C101 &amp; "'!",ADDRESS(MATCH($D101, INDIRECT("'" &amp; $C101 &amp; "'!$B:$B"), 0),MATCH(F$1, INDIRECT("'" &amp; $C101 &amp; "'!$1:$1"), 0)))),".",INDIRECT(CONCATENATE("'"&amp;$C101&amp;"'!",ADDRESS(MATCH($D101,INDIRECT("'"&amp;$C101&amp;"'!$B:$B"),0),3))),"#page=",F102),CONCATENATE("#Sharepoint//",$D101))</f>
        <v>#Sharepoint//FRS_Line Voltage</v>
      </c>
      <c r="G101" s="389"/>
      <c r="H101" s="324" t="str">
        <f t="array" aca="1" ref="H101" ca="1">HYPERLINK(CONCATENATE(Cartelle!$D$5,INDEX(INDIRECT("'" &amp; $C101 &amp; "'!$1:$1"), 1, MATCH(INDIRECT(CONCATENATE("'" &amp; $C101 &amp; "'!",ADDRESS(MATCH($D101, INDIRECT("'" &amp; $C101 &amp; "'!$B:$B"), 0),MATCH(H$1, INDIRECT("'" &amp; $C101 &amp; "'!$1:$1"), 0)))),INDIRECT(CONCATENATE("'" &amp; $C101 &amp; "'!",MATCH($D101, INDIRECT("'" &amp; $C101 &amp; "'!$B:$B"), 0),":",MATCH($D101, INDIRECT("'" &amp; $C101 &amp; "'!$B:$B"), 0))),0)),"/",$C101,"/",MID($D101,1,FIND("_",$D101)-1),"/",INDIRECT(CONCATENATE("'" &amp; $C101 &amp; "'!",ADDRESS(MATCH($D101, INDIRECT("'" &amp; $C101 &amp; "'!$B:$B"), 0),MATCH(H$1, INDIRECT("'" &amp; $C101 &amp; "'!$1:$1"), 0)))),".",INDIRECT(CONCATENATE("'"&amp;$C101&amp;"'!",ADDRESS(MATCH($D101,INDIRECT("'"&amp;$C101&amp;"'!$B:$B"),0),3))),"#page=",H102),CONCATENATE("#Sharepoint//",$D101))</f>
        <v>#Sharepoint//FRS_Line Voltage</v>
      </c>
      <c r="I101" s="324" t="str">
        <f t="array" aca="1" ref="I101" ca="1">HYPERLINK(CONCATENATE(Cartelle!$D$5,INDEX(INDIRECT("'" &amp; $C101 &amp; "'!$1:$1"), 1, MATCH(INDIRECT(CONCATENATE("'" &amp; $C101 &amp; "'!",ADDRESS(MATCH($D101, INDIRECT("'" &amp; $C101 &amp; "'!$B:$B"), 0),MATCH(I$1, INDIRECT("'" &amp; $C101 &amp; "'!$1:$1"), 0)))),INDIRECT(CONCATENATE("'" &amp; $C101 &amp; "'!",MATCH($D101, INDIRECT("'" &amp; $C101 &amp; "'!$B:$B"), 0),":",MATCH($D101, INDIRECT("'" &amp; $C101 &amp; "'!$B:$B"), 0))),0)),"/",$C101,"/",MID($D101,1,FIND("_",$D101)-1),"/",INDIRECT(CONCATENATE("'" &amp; $C101 &amp; "'!",ADDRESS(MATCH($D101, INDIRECT("'" &amp; $C101 &amp; "'!$B:$B"), 0),MATCH(I$1, INDIRECT("'" &amp; $C101 &amp; "'!$1:$1"), 0)))),".",INDIRECT(CONCATENATE("'"&amp;$C101&amp;"'!",ADDRESS(MATCH($D101,INDIRECT("'"&amp;$C101&amp;"'!$B:$B"),0),3))),"#page=",I102),CONCATENATE("#Sharepoint//",$D101))</f>
        <v>#Sharepoint//FRS_Line Voltage</v>
      </c>
      <c r="J101" s="324" t="str">
        <f t="array" aca="1" ref="J101" ca="1">HYPERLINK(CONCATENATE(Cartelle!$D$5,INDEX(INDIRECT("'" &amp; $C101 &amp; "'!$1:$1"), 1, MATCH(INDIRECT(CONCATENATE("'" &amp; $C101 &amp; "'!",ADDRESS(MATCH($D101, INDIRECT("'" &amp; $C101 &amp; "'!$B:$B"), 0),MATCH(J$1, INDIRECT("'" &amp; $C101 &amp; "'!$1:$1"), 0)))),INDIRECT(CONCATENATE("'" &amp; $C101 &amp; "'!",MATCH($D101, INDIRECT("'" &amp; $C101 &amp; "'!$B:$B"), 0),":",MATCH($D101, INDIRECT("'" &amp; $C101 &amp; "'!$B:$B"), 0))),0)),"/",$C101,"/",MID($D101,1,FIND("_",$D101)-1),"/",INDIRECT(CONCATENATE("'" &amp; $C101 &amp; "'!",ADDRESS(MATCH($D101, INDIRECT("'" &amp; $C101 &amp; "'!$B:$B"), 0),MATCH(J$1, INDIRECT("'" &amp; $C101 &amp; "'!$1:$1"), 0)))),".",INDIRECT(CONCATENATE("'"&amp;$C101&amp;"'!",ADDRESS(MATCH($D101,INDIRECT("'"&amp;$C101&amp;"'!$B:$B"),0),3))),"#page=",J102),CONCATENATE("#Sharepoint//",$D101))</f>
        <v>#Sharepoint//FRS_Line Voltage</v>
      </c>
      <c r="K101" s="321"/>
      <c r="L101" s="321"/>
    </row>
    <row r="102" spans="1:12" s="13" customFormat="1" outlineLevel="2" x14ac:dyDescent="0.25">
      <c r="B102" s="103"/>
      <c r="C102" s="357"/>
      <c r="D102" s="371"/>
      <c r="E102" s="331" t="s">
        <v>17</v>
      </c>
      <c r="F102" s="332">
        <v>45</v>
      </c>
      <c r="G102" s="332"/>
      <c r="H102" s="332">
        <v>52</v>
      </c>
      <c r="I102" s="332">
        <v>47</v>
      </c>
      <c r="J102" s="332">
        <v>61</v>
      </c>
      <c r="K102" s="332"/>
      <c r="L102" s="332"/>
    </row>
    <row r="103" spans="1:12" s="13" customFormat="1" outlineLevel="2" x14ac:dyDescent="0.25">
      <c r="B103" s="103"/>
      <c r="C103" s="357"/>
      <c r="D103" s="470"/>
      <c r="E103" s="471" t="s">
        <v>61</v>
      </c>
      <c r="F103" s="472"/>
      <c r="G103" s="472"/>
      <c r="H103" s="472"/>
      <c r="I103" s="472"/>
      <c r="J103" s="472"/>
      <c r="K103" s="472"/>
      <c r="L103" s="473"/>
    </row>
    <row r="104" spans="1:12" s="13" customFormat="1" ht="30" customHeight="1" x14ac:dyDescent="0.25">
      <c r="A104" s="325" t="s">
        <v>132</v>
      </c>
      <c r="B104" s="333" t="s">
        <v>133</v>
      </c>
      <c r="C104" s="404"/>
      <c r="D104" s="369" t="s">
        <v>31</v>
      </c>
      <c r="E104" s="327"/>
      <c r="F104" s="328"/>
      <c r="G104" s="328"/>
      <c r="H104" s="328"/>
      <c r="I104" s="328"/>
      <c r="J104" s="328"/>
      <c r="K104" s="328"/>
      <c r="L104" s="329"/>
    </row>
    <row r="105" spans="1:12" s="13" customFormat="1" outlineLevel="1" x14ac:dyDescent="0.25">
      <c r="B105" s="103"/>
      <c r="C105" s="166" t="s">
        <v>14</v>
      </c>
      <c r="D105" s="370" t="s">
        <v>60</v>
      </c>
      <c r="E105" s="330" t="s">
        <v>16</v>
      </c>
      <c r="F105" s="320"/>
      <c r="G105" s="320"/>
      <c r="H105" s="320"/>
      <c r="I105" s="320"/>
      <c r="J105" s="324" t="str">
        <f t="array" aca="1" ref="J105" ca="1">HYPERLINK(CONCATENATE(Cartelle!$D$5,INDEX(INDIRECT("'" &amp; $C105 &amp; "'!$1:$1"), 1, MATCH(INDIRECT(CONCATENATE("'" &amp; $C105 &amp; "'!",ADDRESS(MATCH($D105, INDIRECT("'" &amp; $C105 &amp; "'!$B:$B"), 0),MATCH(J$1, INDIRECT("'" &amp; $C105 &amp; "'!$1:$1"), 0)))),INDIRECT(CONCATENATE("'" &amp; $C105 &amp; "'!",MATCH($D105, INDIRECT("'" &amp; $C105 &amp; "'!$B:$B"), 0),":",MATCH($D105, INDIRECT("'" &amp; $C105 &amp; "'!$B:$B"), 0))),0)),"/",$C105,"/",MID($D105,1,FIND("_",$D105)-1),"/",INDIRECT(CONCATENATE("'" &amp; $C105 &amp; "'!",ADDRESS(MATCH($D105, INDIRECT("'" &amp; $C105 &amp; "'!$B:$B"), 0),MATCH(J$1, INDIRECT("'" &amp; $C105 &amp; "'!$1:$1"), 0)))),".",INDIRECT(CONCATENATE("'"&amp;$C105&amp;"'!",ADDRESS(MATCH($D105,INDIRECT("'"&amp;$C105&amp;"'!$B:$B"),0),3))),"#page=",J106),CONCATENATE("#Sharepoint//",$D105))</f>
        <v>#Sharepoint//FRS_Line Voltage</v>
      </c>
      <c r="K105" s="321"/>
      <c r="L105" s="321"/>
    </row>
    <row r="106" spans="1:12" s="13" customFormat="1" outlineLevel="2" x14ac:dyDescent="0.25">
      <c r="B106" s="103"/>
      <c r="C106" s="357"/>
      <c r="D106" s="371"/>
      <c r="E106" s="331" t="s">
        <v>17</v>
      </c>
      <c r="F106" s="332"/>
      <c r="G106" s="332"/>
      <c r="H106" s="332"/>
      <c r="I106" s="332"/>
      <c r="J106" s="332">
        <v>65</v>
      </c>
      <c r="K106" s="332"/>
      <c r="L106" s="332"/>
    </row>
    <row r="107" spans="1:12" s="13" customFormat="1" outlineLevel="2" x14ac:dyDescent="0.25">
      <c r="B107" s="103"/>
      <c r="C107" s="357"/>
      <c r="D107" s="470"/>
      <c r="E107" s="471" t="s">
        <v>61</v>
      </c>
      <c r="F107" s="472"/>
      <c r="G107" s="472"/>
      <c r="H107" s="472"/>
      <c r="I107" s="472"/>
      <c r="J107" s="472"/>
      <c r="K107" s="472"/>
      <c r="L107" s="473"/>
    </row>
    <row r="108" spans="1:12" s="13" customFormat="1" ht="30" customHeight="1" x14ac:dyDescent="0.25">
      <c r="A108" s="325" t="s">
        <v>134</v>
      </c>
      <c r="B108" s="333" t="s">
        <v>135</v>
      </c>
      <c r="C108" s="404"/>
      <c r="D108" s="369" t="s">
        <v>31</v>
      </c>
      <c r="E108" s="327"/>
      <c r="F108" s="328"/>
      <c r="G108" s="328"/>
      <c r="H108" s="328"/>
      <c r="I108" s="328"/>
      <c r="J108" s="328"/>
      <c r="K108" s="328"/>
      <c r="L108" s="329"/>
    </row>
    <row r="109" spans="1:12" s="13" customFormat="1" outlineLevel="1" x14ac:dyDescent="0.25">
      <c r="B109" s="103"/>
      <c r="C109" s="166" t="s">
        <v>14</v>
      </c>
      <c r="D109" s="370" t="s">
        <v>60</v>
      </c>
      <c r="E109" s="330" t="s">
        <v>16</v>
      </c>
      <c r="F109" s="320"/>
      <c r="G109" s="320"/>
      <c r="H109" s="320"/>
      <c r="I109" s="320"/>
      <c r="J109" s="324" t="str">
        <f t="array" aca="1" ref="J109" ca="1">HYPERLINK(CONCATENATE(Cartelle!$D$5,INDEX(INDIRECT("'" &amp; $C109 &amp; "'!$1:$1"), 1, MATCH(INDIRECT(CONCATENATE("'" &amp; $C109 &amp; "'!",ADDRESS(MATCH($D109, INDIRECT("'" &amp; $C109 &amp; "'!$B:$B"), 0),MATCH(J$1, INDIRECT("'" &amp; $C109 &amp; "'!$1:$1"), 0)))),INDIRECT(CONCATENATE("'" &amp; $C109 &amp; "'!",MATCH($D109, INDIRECT("'" &amp; $C109 &amp; "'!$B:$B"), 0),":",MATCH($D109, INDIRECT("'" &amp; $C109 &amp; "'!$B:$B"), 0))),0)),"/",$C109,"/",MID($D109,1,FIND("_",$D109)-1),"/",INDIRECT(CONCATENATE("'" &amp; $C109 &amp; "'!",ADDRESS(MATCH($D109, INDIRECT("'" &amp; $C109 &amp; "'!$B:$B"), 0),MATCH(J$1, INDIRECT("'" &amp; $C109 &amp; "'!$1:$1"), 0)))),".",INDIRECT(CONCATENATE("'"&amp;$C109&amp;"'!",ADDRESS(MATCH($D109,INDIRECT("'"&amp;$C109&amp;"'!$B:$B"),0),3))),"#page=",J110),CONCATENATE("#Sharepoint//",$D109))</f>
        <v>#Sharepoint//FRS_Line Voltage</v>
      </c>
      <c r="K109" s="321"/>
      <c r="L109" s="321"/>
    </row>
    <row r="110" spans="1:12" s="13" customFormat="1" outlineLevel="2" x14ac:dyDescent="0.25">
      <c r="B110" s="103"/>
      <c r="C110" s="357"/>
      <c r="D110" s="371"/>
      <c r="E110" s="331" t="s">
        <v>17</v>
      </c>
      <c r="F110" s="332"/>
      <c r="G110" s="332"/>
      <c r="H110" s="332"/>
      <c r="I110" s="332"/>
      <c r="J110" s="332">
        <v>68</v>
      </c>
      <c r="K110" s="332"/>
      <c r="L110" s="332"/>
    </row>
    <row r="111" spans="1:12" s="13" customFormat="1" outlineLevel="2" x14ac:dyDescent="0.25">
      <c r="B111" s="103"/>
      <c r="C111" s="357"/>
      <c r="D111" s="470"/>
      <c r="E111" s="471" t="s">
        <v>61</v>
      </c>
      <c r="F111" s="472"/>
      <c r="G111" s="472"/>
      <c r="H111" s="472"/>
      <c r="I111" s="472"/>
      <c r="J111" s="472"/>
      <c r="K111" s="472"/>
      <c r="L111" s="473"/>
    </row>
    <row r="112" spans="1:12" s="13" customFormat="1" ht="30" customHeight="1" x14ac:dyDescent="0.25">
      <c r="A112" s="325" t="s">
        <v>136</v>
      </c>
      <c r="B112" s="333" t="s">
        <v>137</v>
      </c>
      <c r="C112" s="404"/>
      <c r="D112" s="369" t="s">
        <v>31</v>
      </c>
      <c r="E112" s="327"/>
      <c r="F112" s="328"/>
      <c r="G112" s="328"/>
      <c r="H112" s="328"/>
      <c r="I112" s="328"/>
      <c r="J112" s="328"/>
      <c r="K112" s="328"/>
      <c r="L112" s="329"/>
    </row>
    <row r="113" spans="1:12" s="13" customFormat="1" outlineLevel="1" x14ac:dyDescent="0.25">
      <c r="B113" s="103"/>
      <c r="C113" s="166" t="s">
        <v>14</v>
      </c>
      <c r="D113" s="370" t="s">
        <v>60</v>
      </c>
      <c r="E113" s="330" t="s">
        <v>16</v>
      </c>
      <c r="F113" s="320"/>
      <c r="G113" s="320"/>
      <c r="H113" s="324" t="str">
        <f t="array" aca="1" ref="H113" ca="1">HYPERLINK(CONCATENATE(Cartelle!$D$5,INDEX(INDIRECT("'" &amp; $C113 &amp; "'!$1:$1"), 1, MATCH(INDIRECT(CONCATENATE("'" &amp; $C113 &amp; "'!",ADDRESS(MATCH($D113, INDIRECT("'" &amp; $C113 &amp; "'!$B:$B"), 0),MATCH(H$1, INDIRECT("'" &amp; $C113 &amp; "'!$1:$1"), 0)))),INDIRECT(CONCATENATE("'" &amp; $C113 &amp; "'!",MATCH($D113, INDIRECT("'" &amp; $C113 &amp; "'!$B:$B"), 0),":",MATCH($D113, INDIRECT("'" &amp; $C113 &amp; "'!$B:$B"), 0))),0)),"/",$C113,"/",MID($D113,1,FIND("_",$D113)-1),"/",INDIRECT(CONCATENATE("'" &amp; $C113 &amp; "'!",ADDRESS(MATCH($D113, INDIRECT("'" &amp; $C113 &amp; "'!$B:$B"), 0),MATCH(H$1, INDIRECT("'" &amp; $C113 &amp; "'!$1:$1"), 0)))),".",INDIRECT(CONCATENATE("'"&amp;$C113&amp;"'!",ADDRESS(MATCH($D113,INDIRECT("'"&amp;$C113&amp;"'!$B:$B"),0),3))),"#page=",H114),CONCATENATE("#Sharepoint//",$D113))</f>
        <v>#Sharepoint//FRS_Line Voltage</v>
      </c>
      <c r="I113" s="324" t="str">
        <f t="array" aca="1" ref="I113" ca="1">HYPERLINK(CONCATENATE(Cartelle!$D$5,INDEX(INDIRECT("'" &amp; $C113 &amp; "'!$1:$1"), 1, MATCH(INDIRECT(CONCATENATE("'" &amp; $C113 &amp; "'!",ADDRESS(MATCH($D113, INDIRECT("'" &amp; $C113 &amp; "'!$B:$B"), 0),MATCH(I$1, INDIRECT("'" &amp; $C113 &amp; "'!$1:$1"), 0)))),INDIRECT(CONCATENATE("'" &amp; $C113 &amp; "'!",MATCH($D113, INDIRECT("'" &amp; $C113 &amp; "'!$B:$B"), 0),":",MATCH($D113, INDIRECT("'" &amp; $C113 &amp; "'!$B:$B"), 0))),0)),"/",$C113,"/",MID($D113,1,FIND("_",$D113)-1),"/",INDIRECT(CONCATENATE("'" &amp; $C113 &amp; "'!",ADDRESS(MATCH($D113, INDIRECT("'" &amp; $C113 &amp; "'!$B:$B"), 0),MATCH(I$1, INDIRECT("'" &amp; $C113 &amp; "'!$1:$1"), 0)))),".",INDIRECT(CONCATENATE("'"&amp;$C113&amp;"'!",ADDRESS(MATCH($D113,INDIRECT("'"&amp;$C113&amp;"'!$B:$B"),0),3))),"#page=",I114),CONCATENATE("#Sharepoint//",$D113))</f>
        <v>#Sharepoint//FRS_Line Voltage</v>
      </c>
      <c r="J113" s="324" t="str">
        <f t="array" aca="1" ref="J113" ca="1">HYPERLINK(CONCATENATE(Cartelle!$D$5,J$1,"/CONFIG/",MID($D113,1,FIND("_",$D113)-1),"/",INDIRECT(CONCATENATE("'CONFIG'!",ADDRESS(MATCH($D113, CONFIG!$B:$B, 0),MATCH(J$1, CONFIG!$1:$1, 0)))),".pdf#page=",J114),CONCATENATE("#Sharepoint//",$D113))</f>
        <v>#Sharepoint//FRS_Line Voltage</v>
      </c>
      <c r="K113" s="321"/>
      <c r="L113" s="321"/>
    </row>
    <row r="114" spans="1:12" s="13" customFormat="1" outlineLevel="2" x14ac:dyDescent="0.25">
      <c r="B114" s="103"/>
      <c r="C114" s="357"/>
      <c r="D114" s="371"/>
      <c r="E114" s="331" t="s">
        <v>17</v>
      </c>
      <c r="F114" s="332"/>
      <c r="G114" s="332"/>
      <c r="H114" s="332">
        <v>54</v>
      </c>
      <c r="I114" s="332">
        <v>49</v>
      </c>
      <c r="J114" s="332">
        <v>71</v>
      </c>
      <c r="K114" s="332"/>
      <c r="L114" s="332"/>
    </row>
    <row r="115" spans="1:12" s="13" customFormat="1" outlineLevel="2" x14ac:dyDescent="0.25">
      <c r="B115" s="103"/>
      <c r="C115" s="357"/>
      <c r="D115" s="470"/>
      <c r="E115" s="471" t="s">
        <v>61</v>
      </c>
      <c r="F115" s="472"/>
      <c r="G115" s="472"/>
      <c r="H115" s="472"/>
      <c r="I115" s="472"/>
      <c r="J115" s="472"/>
      <c r="K115" s="472"/>
      <c r="L115" s="473"/>
    </row>
    <row r="116" spans="1:12" s="13" customFormat="1" x14ac:dyDescent="0.25">
      <c r="A116" s="325" t="s">
        <v>138</v>
      </c>
      <c r="B116" s="323" t="s">
        <v>139</v>
      </c>
      <c r="C116" s="404"/>
      <c r="D116" s="369" t="s">
        <v>31</v>
      </c>
      <c r="E116" s="327"/>
      <c r="F116" s="328"/>
      <c r="G116" s="328"/>
      <c r="H116" s="328"/>
      <c r="I116" s="328"/>
      <c r="J116" s="328"/>
      <c r="K116" s="328"/>
      <c r="L116" s="329"/>
    </row>
    <row r="117" spans="1:12" s="13" customFormat="1" outlineLevel="1" x14ac:dyDescent="0.25">
      <c r="B117" s="103"/>
      <c r="C117" s="166" t="s">
        <v>14</v>
      </c>
      <c r="D117" s="166" t="s">
        <v>60</v>
      </c>
      <c r="E117" s="193" t="s">
        <v>16</v>
      </c>
      <c r="F117" s="324" t="str">
        <f t="array" aca="1" ref="F117" ca="1">HYPERLINK(CONCATENATE(Cartelle!$D$5,F$1,"/",$C117,"/",MID($D117,1,FIND("_",$D117)-1),"/",INDIRECT(CONCATENATE("'" &amp; $C117 &amp; "'!",ADDRESS(MATCH($D117, INDIRECT("'" &amp; $C117 &amp; "'!$B:$B"), 0),MATCH(F$1, INDIRECT("'" &amp; $C117 &amp; "'!$1:$1"), 0)))),".",INDIRECT(CONCATENATE("'"&amp;$C117&amp;"'!",ADDRESS(MATCH($D117,INDIRECT("'"&amp;$C117&amp;"'!$B:$B"),0),3))),"#page=",F118),CONCATENATE("#Sharepoint//",$D117))</f>
        <v>#Sharepoint//FRS_Line Voltage</v>
      </c>
      <c r="G117" s="389"/>
      <c r="H117" s="324" t="str">
        <f t="array" aca="1" ref="H117" ca="1">HYPERLINK(CONCATENATE(Cartelle!$D$5,INDEX(INDIRECT("'" &amp; $C117 &amp; "'!$1:$1"), 1, MATCH(INDIRECT(CONCATENATE("'" &amp; $C117 &amp; "'!",ADDRESS(MATCH($D117, INDIRECT("'" &amp; $C117 &amp; "'!$B:$B"), 0),MATCH(H$1, INDIRECT("'" &amp; $C117 &amp; "'!$1:$1"), 0)))),INDIRECT(CONCATENATE("'" &amp; $C117 &amp; "'!",MATCH($D117, INDIRECT("'" &amp; $C117 &amp; "'!$B:$B"), 0),":",MATCH($D117, INDIRECT("'" &amp; $C117 &amp; "'!$B:$B"), 0))),0)),"/",$C117,"/",MID($D117,1,FIND("_",$D117)-1),"/",INDIRECT(CONCATENATE("'" &amp; $C117 &amp; "'!",ADDRESS(MATCH($D117, INDIRECT("'" &amp; $C117 &amp; "'!$B:$B"), 0),MATCH(H$1, INDIRECT("'" &amp; $C117 &amp; "'!$1:$1"), 0)))),".",INDIRECT(CONCATENATE("'"&amp;$C117&amp;"'!",ADDRESS(MATCH($D117,INDIRECT("'"&amp;$C117&amp;"'!$B:$B"),0),3))),"#page=",H118),CONCATENATE("#Sharepoint//",$D117))</f>
        <v>#Sharepoint//FRS_Line Voltage</v>
      </c>
      <c r="I117" s="324" t="str">
        <f t="array" aca="1" ref="I117" ca="1">HYPERLINK(CONCATENATE(Cartelle!$D$5,INDEX(INDIRECT("'" &amp; $C117 &amp; "'!$1:$1"), 1, MATCH(INDIRECT(CONCATENATE("'" &amp; $C117 &amp; "'!",ADDRESS(MATCH($D117, INDIRECT("'" &amp; $C117 &amp; "'!$B:$B"), 0),MATCH(I$1, INDIRECT("'" &amp; $C117 &amp; "'!$1:$1"), 0)))),INDIRECT(CONCATENATE("'" &amp; $C117 &amp; "'!",MATCH($D117, INDIRECT("'" &amp; $C117 &amp; "'!$B:$B"), 0),":",MATCH($D117, INDIRECT("'" &amp; $C117 &amp; "'!$B:$B"), 0))),0)),"/",$C117,"/",MID($D117,1,FIND("_",$D117)-1),"/",INDIRECT(CONCATENATE("'" &amp; $C117 &amp; "'!",ADDRESS(MATCH($D117, INDIRECT("'" &amp; $C117 &amp; "'!$B:$B"), 0),MATCH(I$1, INDIRECT("'" &amp; $C117 &amp; "'!$1:$1"), 0)))),".",INDIRECT(CONCATENATE("'"&amp;$C117&amp;"'!",ADDRESS(MATCH($D117,INDIRECT("'"&amp;$C117&amp;"'!$B:$B"),0),3))),"#page=",I118),CONCATENATE("#Sharepoint//",$D117))</f>
        <v>#Sharepoint//FRS_Line Voltage</v>
      </c>
      <c r="J117" s="324" t="str">
        <f t="array" aca="1" ref="J117" ca="1">HYPERLINK(CONCATENATE(Cartelle!$D$5,INDEX(INDIRECT("'" &amp; $C117 &amp; "'!$1:$1"), 1, MATCH(INDIRECT(CONCATENATE("'" &amp; $C117 &amp; "'!",ADDRESS(MATCH($D117, INDIRECT("'" &amp; $C117 &amp; "'!$B:$B"), 0),MATCH(J$1, INDIRECT("'" &amp; $C117 &amp; "'!$1:$1"), 0)))),INDIRECT(CONCATENATE("'" &amp; $C117 &amp; "'!",MATCH($D117, INDIRECT("'" &amp; $C117 &amp; "'!$B:$B"), 0),":",MATCH($D117, INDIRECT("'" &amp; $C117 &amp; "'!$B:$B"), 0))),0)),"/",$C117,"/",MID($D117,1,FIND("_",$D117)-1),"/",INDIRECT(CONCATENATE("'" &amp; $C117 &amp; "'!",ADDRESS(MATCH($D117, INDIRECT("'" &amp; $C117 &amp; "'!$B:$B"), 0),MATCH(J$1, INDIRECT("'" &amp; $C117 &amp; "'!$1:$1"), 0)))),".",INDIRECT(CONCATENATE("'"&amp;$C117&amp;"'!",ADDRESS(MATCH($D117,INDIRECT("'"&amp;$C117&amp;"'!$B:$B"),0),3))),"#page=",J118),CONCATENATE("#Sharepoint//",$D117))</f>
        <v>#Sharepoint//FRS_Line Voltage</v>
      </c>
      <c r="K117" s="321"/>
      <c r="L117" s="321"/>
    </row>
    <row r="118" spans="1:12" s="13" customFormat="1" outlineLevel="2" x14ac:dyDescent="0.25">
      <c r="B118" s="103"/>
      <c r="C118" s="357"/>
      <c r="D118" s="371"/>
      <c r="E118" s="331" t="s">
        <v>17</v>
      </c>
      <c r="F118" s="332">
        <v>48</v>
      </c>
      <c r="G118" s="332"/>
      <c r="H118" s="332">
        <v>55</v>
      </c>
      <c r="I118" s="332">
        <v>51</v>
      </c>
      <c r="J118" s="332">
        <v>73</v>
      </c>
      <c r="K118" s="332"/>
      <c r="L118" s="332"/>
    </row>
    <row r="119" spans="1:12" s="13" customFormat="1" outlineLevel="2" x14ac:dyDescent="0.25">
      <c r="B119" s="103"/>
      <c r="C119" s="357"/>
      <c r="D119" s="470"/>
      <c r="E119" s="471" t="s">
        <v>61</v>
      </c>
      <c r="F119" s="472"/>
      <c r="G119" s="472"/>
      <c r="H119" s="472"/>
      <c r="I119" s="472"/>
      <c r="J119" s="472"/>
      <c r="K119" s="472"/>
      <c r="L119" s="473"/>
    </row>
    <row r="120" spans="1:12" s="13" customFormat="1" ht="30" customHeight="1" x14ac:dyDescent="0.25">
      <c r="A120" s="325" t="s">
        <v>140</v>
      </c>
      <c r="B120" s="323" t="s">
        <v>141</v>
      </c>
      <c r="C120" s="404"/>
      <c r="D120" s="369" t="s">
        <v>31</v>
      </c>
      <c r="E120" s="327"/>
      <c r="F120" s="328"/>
      <c r="G120" s="328"/>
      <c r="H120" s="328"/>
      <c r="I120" s="328"/>
      <c r="J120" s="328"/>
      <c r="K120" s="328"/>
      <c r="L120" s="329"/>
    </row>
    <row r="121" spans="1:12" s="13" customFormat="1" outlineLevel="1" x14ac:dyDescent="0.25">
      <c r="B121" s="103"/>
      <c r="C121" s="166" t="s">
        <v>14</v>
      </c>
      <c r="D121" s="166" t="s">
        <v>60</v>
      </c>
      <c r="E121" s="193" t="s">
        <v>16</v>
      </c>
      <c r="F121" s="324" t="str">
        <f t="array" aca="1" ref="F121" ca="1">HYPERLINK(CONCATENATE(Cartelle!$D$5,F$1,"/",$C121,"/",MID($D121,1,FIND("_",$D121)-1),"/",INDIRECT(CONCATENATE("'" &amp; $C121 &amp; "'!",ADDRESS(MATCH($D121, INDIRECT("'" &amp; $C121 &amp; "'!$B:$B"), 0),MATCH(F$1, INDIRECT("'" &amp; $C121 &amp; "'!$1:$1"), 0)))),".",INDIRECT(CONCATENATE("'"&amp;$C121&amp;"'!",ADDRESS(MATCH($D121,INDIRECT("'"&amp;$C121&amp;"'!$B:$B"),0),3))),"#page=",F122),CONCATENATE("#Sharepoint//",$D121))</f>
        <v>#Sharepoint//FRS_Line Voltage</v>
      </c>
      <c r="G121" s="389"/>
      <c r="H121" s="324" t="str">
        <f t="array" aca="1" ref="H121" ca="1">HYPERLINK(CONCATENATE(Cartelle!$D$5,INDEX(INDIRECT("'" &amp; $C121 &amp; "'!$1:$1"), 1, MATCH(INDIRECT(CONCATENATE("'" &amp; $C121 &amp; "'!",ADDRESS(MATCH($D121, INDIRECT("'" &amp; $C121 &amp; "'!$B:$B"), 0),MATCH(H$1, INDIRECT("'" &amp; $C121 &amp; "'!$1:$1"), 0)))),INDIRECT(CONCATENATE("'" &amp; $C121 &amp; "'!",MATCH($D121, INDIRECT("'" &amp; $C121 &amp; "'!$B:$B"), 0),":",MATCH($D121, INDIRECT("'" &amp; $C121 &amp; "'!$B:$B"), 0))),0)),"/",$C121,"/",MID($D121,1,FIND("_",$D121)-1),"/",INDIRECT(CONCATENATE("'" &amp; $C121 &amp; "'!",ADDRESS(MATCH($D121, INDIRECT("'" &amp; $C121 &amp; "'!$B:$B"), 0),MATCH(H$1, INDIRECT("'" &amp; $C121 &amp; "'!$1:$1"), 0)))),".",INDIRECT(CONCATENATE("'"&amp;$C121&amp;"'!",ADDRESS(MATCH($D121,INDIRECT("'"&amp;$C121&amp;"'!$B:$B"),0),3))),"#page=",H122),CONCATENATE("#Sharepoint//",$D121))</f>
        <v>#Sharepoint//FRS_Line Voltage</v>
      </c>
      <c r="I121" s="324" t="str">
        <f t="array" aca="1" ref="I121" ca="1">HYPERLINK(CONCATENATE(Cartelle!$D$5,INDEX(INDIRECT("'" &amp; $C121 &amp; "'!$1:$1"), 1, MATCH(INDIRECT(CONCATENATE("'" &amp; $C121 &amp; "'!",ADDRESS(MATCH($D121, INDIRECT("'" &amp; $C121 &amp; "'!$B:$B"), 0),MATCH(I$1, INDIRECT("'" &amp; $C121 &amp; "'!$1:$1"), 0)))),INDIRECT(CONCATENATE("'" &amp; $C121 &amp; "'!",MATCH($D121, INDIRECT("'" &amp; $C121 &amp; "'!$B:$B"), 0),":",MATCH($D121, INDIRECT("'" &amp; $C121 &amp; "'!$B:$B"), 0))),0)),"/",$C121,"/",MID($D121,1,FIND("_",$D121)-1),"/",INDIRECT(CONCATENATE("'" &amp; $C121 &amp; "'!",ADDRESS(MATCH($D121, INDIRECT("'" &amp; $C121 &amp; "'!$B:$B"), 0),MATCH(I$1, INDIRECT("'" &amp; $C121 &amp; "'!$1:$1"), 0)))),".",INDIRECT(CONCATENATE("'"&amp;$C121&amp;"'!",ADDRESS(MATCH($D121,INDIRECT("'"&amp;$C121&amp;"'!$B:$B"),0),3))),"#page=",I122),CONCATENATE("#Sharepoint//",$D121))</f>
        <v>#Sharepoint//FRS_Line Voltage</v>
      </c>
      <c r="J121" s="324" t="str">
        <f t="array" aca="1" ref="J121" ca="1">HYPERLINK(CONCATENATE(Cartelle!$D$5,INDEX(INDIRECT("'" &amp; $C121 &amp; "'!$1:$1"), 1, MATCH(INDIRECT(CONCATENATE("'" &amp; $C121 &amp; "'!",ADDRESS(MATCH($D121, INDIRECT("'" &amp; $C121 &amp; "'!$B:$B"), 0),MATCH(J$1, INDIRECT("'" &amp; $C121 &amp; "'!$1:$1"), 0)))),INDIRECT(CONCATENATE("'" &amp; $C121 &amp; "'!",MATCH($D121, INDIRECT("'" &amp; $C121 &amp; "'!$B:$B"), 0),":",MATCH($D121, INDIRECT("'" &amp; $C121 &amp; "'!$B:$B"), 0))),0)),"/",$C121,"/",MID($D121,1,FIND("_",$D121)-1),"/",INDIRECT(CONCATENATE("'" &amp; $C121 &amp; "'!",ADDRESS(MATCH($D121, INDIRECT("'" &amp; $C121 &amp; "'!$B:$B"), 0),MATCH(J$1, INDIRECT("'" &amp; $C121 &amp; "'!$1:$1"), 0)))),".",INDIRECT(CONCATENATE("'"&amp;$C121&amp;"'!",ADDRESS(MATCH($D121,INDIRECT("'"&amp;$C121&amp;"'!$B:$B"),0),3))),"#page=",J122),CONCATENATE("#Sharepoint//",$D121))</f>
        <v>#Sharepoint//FRS_Line Voltage</v>
      </c>
      <c r="K121" s="321"/>
      <c r="L121" s="321"/>
    </row>
    <row r="122" spans="1:12" s="13" customFormat="1" outlineLevel="2" x14ac:dyDescent="0.25">
      <c r="B122" s="103"/>
      <c r="C122" s="357"/>
      <c r="D122" s="371"/>
      <c r="E122" s="331" t="s">
        <v>17</v>
      </c>
      <c r="F122" s="332">
        <v>49</v>
      </c>
      <c r="G122" s="332"/>
      <c r="H122" s="332">
        <v>56</v>
      </c>
      <c r="I122" s="332">
        <v>52</v>
      </c>
      <c r="J122" s="332">
        <v>74</v>
      </c>
      <c r="K122" s="332"/>
      <c r="L122" s="332"/>
    </row>
    <row r="123" spans="1:12" s="13" customFormat="1" outlineLevel="2" x14ac:dyDescent="0.25">
      <c r="B123" s="103"/>
      <c r="C123" s="357"/>
      <c r="D123" s="470"/>
      <c r="E123" s="471" t="s">
        <v>61</v>
      </c>
      <c r="F123" s="472"/>
      <c r="G123" s="472"/>
      <c r="H123" s="472"/>
      <c r="I123" s="472"/>
      <c r="J123" s="472"/>
      <c r="K123" s="472"/>
      <c r="L123" s="473"/>
    </row>
    <row r="124" spans="1:12" s="13" customFormat="1" ht="30" customHeight="1" x14ac:dyDescent="0.25">
      <c r="A124" s="325" t="s">
        <v>142</v>
      </c>
      <c r="B124" s="323" t="s">
        <v>143</v>
      </c>
      <c r="C124" s="404"/>
      <c r="D124" s="369" t="s">
        <v>31</v>
      </c>
      <c r="E124" s="327"/>
      <c r="F124" s="328"/>
      <c r="G124" s="328"/>
      <c r="H124" s="328"/>
      <c r="I124" s="328"/>
      <c r="J124" s="328"/>
      <c r="K124" s="328"/>
      <c r="L124" s="329"/>
    </row>
    <row r="125" spans="1:12" s="13" customFormat="1" outlineLevel="1" x14ac:dyDescent="0.25">
      <c r="B125" s="103"/>
      <c r="C125" s="166" t="s">
        <v>14</v>
      </c>
      <c r="D125" s="166" t="s">
        <v>60</v>
      </c>
      <c r="E125" s="193" t="s">
        <v>16</v>
      </c>
      <c r="F125" s="324" t="str">
        <f t="array" aca="1" ref="F125" ca="1">HYPERLINK(CONCATENATE(Cartelle!$D$5,F$1,"/",$C125,"/",MID($D125,1,FIND("_",$D125)-1),"/",INDIRECT(CONCATENATE("'" &amp; $C125 &amp; "'!",ADDRESS(MATCH($D125, INDIRECT("'" &amp; $C125 &amp; "'!$B:$B"), 0),MATCH(F$1, INDIRECT("'" &amp; $C125 &amp; "'!$1:$1"), 0)))),".",INDIRECT(CONCATENATE("'"&amp;$C125&amp;"'!",ADDRESS(MATCH($D125,INDIRECT("'"&amp;$C125&amp;"'!$B:$B"),0),3))),"#page=",F126),CONCATENATE("#Sharepoint//",$D125))</f>
        <v>#Sharepoint//FRS_Line Voltage</v>
      </c>
      <c r="G125" s="389"/>
      <c r="H125" s="324" t="str">
        <f t="array" aca="1" ref="H125" ca="1">HYPERLINK(CONCATENATE(Cartelle!$D$5,INDEX(INDIRECT("'" &amp; $C125 &amp; "'!$1:$1"), 1, MATCH(INDIRECT(CONCATENATE("'" &amp; $C125 &amp; "'!",ADDRESS(MATCH($D125, INDIRECT("'" &amp; $C125 &amp; "'!$B:$B"), 0),MATCH(H$1, INDIRECT("'" &amp; $C125 &amp; "'!$1:$1"), 0)))),INDIRECT(CONCATENATE("'" &amp; $C125 &amp; "'!",MATCH($D125, INDIRECT("'" &amp; $C125 &amp; "'!$B:$B"), 0),":",MATCH($D125, INDIRECT("'" &amp; $C125 &amp; "'!$B:$B"), 0))),0)),"/",$C125,"/",MID($D125,1,FIND("_",$D125)-1),"/",INDIRECT(CONCATENATE("'" &amp; $C125 &amp; "'!",ADDRESS(MATCH($D125, INDIRECT("'" &amp; $C125 &amp; "'!$B:$B"), 0),MATCH(H$1, INDIRECT("'" &amp; $C125 &amp; "'!$1:$1"), 0)))),".",INDIRECT(CONCATENATE("'"&amp;$C125&amp;"'!",ADDRESS(MATCH($D125,INDIRECT("'"&amp;$C125&amp;"'!$B:$B"),0),3))),"#page=",H126),CONCATENATE("#Sharepoint//",$D125))</f>
        <v>#Sharepoint//FRS_Line Voltage</v>
      </c>
      <c r="I125" s="324" t="str">
        <f t="array" aca="1" ref="I125" ca="1">HYPERLINK(CONCATENATE(Cartelle!$D$5,INDEX(INDIRECT("'" &amp; $C125 &amp; "'!$1:$1"), 1, MATCH(INDIRECT(CONCATENATE("'" &amp; $C125 &amp; "'!",ADDRESS(MATCH($D125, INDIRECT("'" &amp; $C125 &amp; "'!$B:$B"), 0),MATCH(I$1, INDIRECT("'" &amp; $C125 &amp; "'!$1:$1"), 0)))),INDIRECT(CONCATENATE("'" &amp; $C125 &amp; "'!",MATCH($D125, INDIRECT("'" &amp; $C125 &amp; "'!$B:$B"), 0),":",MATCH($D125, INDIRECT("'" &amp; $C125 &amp; "'!$B:$B"), 0))),0)),"/",$C125,"/",MID($D125,1,FIND("_",$D125)-1),"/",INDIRECT(CONCATENATE("'" &amp; $C125 &amp; "'!",ADDRESS(MATCH($D125, INDIRECT("'" &amp; $C125 &amp; "'!$B:$B"), 0),MATCH(I$1, INDIRECT("'" &amp; $C125 &amp; "'!$1:$1"), 0)))),".",INDIRECT(CONCATENATE("'"&amp;$C125&amp;"'!",ADDRESS(MATCH($D125,INDIRECT("'"&amp;$C125&amp;"'!$B:$B"),0),3))),"#page=",I126),CONCATENATE("#Sharepoint//",$D125))</f>
        <v>#Sharepoint//FRS_Line Voltage</v>
      </c>
      <c r="J125" s="324" t="str">
        <f t="array" aca="1" ref="J125" ca="1">HYPERLINK(CONCATENATE(Cartelle!$D$5,INDEX(INDIRECT("'" &amp; $C125 &amp; "'!$1:$1"), 1, MATCH(INDIRECT(CONCATENATE("'" &amp; $C125 &amp; "'!",ADDRESS(MATCH($D125, INDIRECT("'" &amp; $C125 &amp; "'!$B:$B"), 0),MATCH(J$1, INDIRECT("'" &amp; $C125 &amp; "'!$1:$1"), 0)))),INDIRECT(CONCATENATE("'" &amp; $C125 &amp; "'!",MATCH($D125, INDIRECT("'" &amp; $C125 &amp; "'!$B:$B"), 0),":",MATCH($D125, INDIRECT("'" &amp; $C125 &amp; "'!$B:$B"), 0))),0)),"/",$C125,"/",MID($D125,1,FIND("_",$D125)-1),"/",INDIRECT(CONCATENATE("'" &amp; $C125 &amp; "'!",ADDRESS(MATCH($D125, INDIRECT("'" &amp; $C125 &amp; "'!$B:$B"), 0),MATCH(J$1, INDIRECT("'" &amp; $C125 &amp; "'!$1:$1"), 0)))),".",INDIRECT(CONCATENATE("'"&amp;$C125&amp;"'!",ADDRESS(MATCH($D125,INDIRECT("'"&amp;$C125&amp;"'!$B:$B"),0),3))),"#page=",J126),CONCATENATE("#Sharepoint//",$D125))</f>
        <v>#Sharepoint//FRS_Line Voltage</v>
      </c>
      <c r="K125" s="321"/>
      <c r="L125" s="321"/>
    </row>
    <row r="126" spans="1:12" s="13" customFormat="1" outlineLevel="2" x14ac:dyDescent="0.25">
      <c r="B126" s="103"/>
      <c r="C126" s="357"/>
      <c r="D126" s="371"/>
      <c r="E126" s="331" t="s">
        <v>17</v>
      </c>
      <c r="F126" s="332">
        <v>52</v>
      </c>
      <c r="G126" s="332"/>
      <c r="H126" s="332">
        <v>59</v>
      </c>
      <c r="I126" s="332">
        <v>55</v>
      </c>
      <c r="J126" s="332">
        <v>77</v>
      </c>
      <c r="K126" s="332"/>
      <c r="L126" s="332"/>
    </row>
    <row r="127" spans="1:12" s="13" customFormat="1" outlineLevel="2" x14ac:dyDescent="0.25">
      <c r="B127" s="103"/>
      <c r="C127" s="357"/>
      <c r="D127" s="470"/>
      <c r="E127" s="471" t="s">
        <v>61</v>
      </c>
      <c r="F127" s="472"/>
      <c r="G127" s="472"/>
      <c r="H127" s="472"/>
      <c r="I127" s="472"/>
      <c r="J127" s="472"/>
      <c r="K127" s="472"/>
      <c r="L127" s="473"/>
    </row>
    <row r="128" spans="1:12" s="13" customFormat="1" ht="14.25" customHeight="1" x14ac:dyDescent="0.25">
      <c r="A128" s="325" t="s">
        <v>144</v>
      </c>
      <c r="B128" s="323" t="s">
        <v>145</v>
      </c>
      <c r="C128" s="404"/>
      <c r="D128" s="369" t="s">
        <v>31</v>
      </c>
      <c r="E128" s="327"/>
      <c r="F128" s="328"/>
      <c r="G128" s="328"/>
      <c r="H128" s="328"/>
      <c r="I128" s="328"/>
      <c r="J128" s="328"/>
      <c r="K128" s="328"/>
      <c r="L128" s="329"/>
    </row>
    <row r="129" spans="1:12" s="13" customFormat="1" outlineLevel="1" x14ac:dyDescent="0.25">
      <c r="B129" s="103"/>
      <c r="C129" s="166" t="s">
        <v>14</v>
      </c>
      <c r="D129" s="166" t="s">
        <v>60</v>
      </c>
      <c r="E129" s="193" t="s">
        <v>16</v>
      </c>
      <c r="F129" s="324" t="str">
        <f t="array" aca="1" ref="F129" ca="1">HYPERLINK(CONCATENATE(Cartelle!$D$5,F$1,"/",$C129,"/",MID($D129,1,FIND("_",$D129)-1),"/",INDIRECT(CONCATENATE("'" &amp; $C129 &amp; "'!",ADDRESS(MATCH($D129, INDIRECT("'" &amp; $C129 &amp; "'!$B:$B"), 0),MATCH(F$1, INDIRECT("'" &amp; $C129 &amp; "'!$1:$1"), 0)))),".",INDIRECT(CONCATENATE("'"&amp;$C129&amp;"'!",ADDRESS(MATCH($D129,INDIRECT("'"&amp;$C129&amp;"'!$B:$B"),0),3))),"#page=",F130),CONCATENATE("#Sharepoint//",$D129))</f>
        <v>#Sharepoint//FRS_Line Voltage</v>
      </c>
      <c r="G129" s="389"/>
      <c r="H129" s="324" t="str">
        <f t="array" aca="1" ref="H129" ca="1">HYPERLINK(CONCATENATE(Cartelle!$D$5,INDEX(INDIRECT("'" &amp; $C129 &amp; "'!$1:$1"), 1, MATCH(INDIRECT(CONCATENATE("'" &amp; $C129 &amp; "'!",ADDRESS(MATCH($D129, INDIRECT("'" &amp; $C129 &amp; "'!$B:$B"), 0),MATCH(H$1, INDIRECT("'" &amp; $C129 &amp; "'!$1:$1"), 0)))),INDIRECT(CONCATENATE("'" &amp; $C129 &amp; "'!",MATCH($D129, INDIRECT("'" &amp; $C129 &amp; "'!$B:$B"), 0),":",MATCH($D129, INDIRECT("'" &amp; $C129 &amp; "'!$B:$B"), 0))),0)),"/",$C129,"/",MID($D129,1,FIND("_",$D129)-1),"/",INDIRECT(CONCATENATE("'" &amp; $C129 &amp; "'!",ADDRESS(MATCH($D129, INDIRECT("'" &amp; $C129 &amp; "'!$B:$B"), 0),MATCH(H$1, INDIRECT("'" &amp; $C129 &amp; "'!$1:$1"), 0)))),".",INDIRECT(CONCATENATE("'"&amp;$C129&amp;"'!",ADDRESS(MATCH($D129,INDIRECT("'"&amp;$C129&amp;"'!$B:$B"),0),3))),"#page=",H130),CONCATENATE("#Sharepoint//",$D129))</f>
        <v>#Sharepoint//FRS_Line Voltage</v>
      </c>
      <c r="I129" s="324" t="str">
        <f t="array" aca="1" ref="I129" ca="1">HYPERLINK(CONCATENATE(Cartelle!$D$5,INDEX(INDIRECT("'" &amp; $C129 &amp; "'!$1:$1"), 1, MATCH(INDIRECT(CONCATENATE("'" &amp; $C129 &amp; "'!",ADDRESS(MATCH($D129, INDIRECT("'" &amp; $C129 &amp; "'!$B:$B"), 0),MATCH(I$1, INDIRECT("'" &amp; $C129 &amp; "'!$1:$1"), 0)))),INDIRECT(CONCATENATE("'" &amp; $C129 &amp; "'!",MATCH($D129, INDIRECT("'" &amp; $C129 &amp; "'!$B:$B"), 0),":",MATCH($D129, INDIRECT("'" &amp; $C129 &amp; "'!$B:$B"), 0))),0)),"/",$C129,"/",MID($D129,1,FIND("_",$D129)-1),"/",INDIRECT(CONCATENATE("'" &amp; $C129 &amp; "'!",ADDRESS(MATCH($D129, INDIRECT("'" &amp; $C129 &amp; "'!$B:$B"), 0),MATCH(I$1, INDIRECT("'" &amp; $C129 &amp; "'!$1:$1"), 0)))),".",INDIRECT(CONCATENATE("'"&amp;$C129&amp;"'!",ADDRESS(MATCH($D129,INDIRECT("'"&amp;$C129&amp;"'!$B:$B"),0),3))),"#page=",I130),CONCATENATE("#Sharepoint//",$D129))</f>
        <v>#Sharepoint//FRS_Line Voltage</v>
      </c>
      <c r="J129" s="324" t="str">
        <f t="array" aca="1" ref="J129" ca="1">HYPERLINK(CONCATENATE(Cartelle!$D$5,INDEX(INDIRECT("'" &amp; $C129 &amp; "'!$1:$1"), 1, MATCH(INDIRECT(CONCATENATE("'" &amp; $C129 &amp; "'!",ADDRESS(MATCH($D129, INDIRECT("'" &amp; $C129 &amp; "'!$B:$B"), 0),MATCH(J$1, INDIRECT("'" &amp; $C129 &amp; "'!$1:$1"), 0)))),INDIRECT(CONCATENATE("'" &amp; $C129 &amp; "'!",MATCH($D129, INDIRECT("'" &amp; $C129 &amp; "'!$B:$B"), 0),":",MATCH($D129, INDIRECT("'" &amp; $C129 &amp; "'!$B:$B"), 0))),0)),"/",$C129,"/",MID($D129,1,FIND("_",$D129)-1),"/",INDIRECT(CONCATENATE("'" &amp; $C129 &amp; "'!",ADDRESS(MATCH($D129, INDIRECT("'" &amp; $C129 &amp; "'!$B:$B"), 0),MATCH(J$1, INDIRECT("'" &amp; $C129 &amp; "'!$1:$1"), 0)))),".",INDIRECT(CONCATENATE("'"&amp;$C129&amp;"'!",ADDRESS(MATCH($D129,INDIRECT("'"&amp;$C129&amp;"'!$B:$B"),0),3))),"#page=",J130),CONCATENATE("#Sharepoint//",$D129))</f>
        <v>#Sharepoint//FRS_Line Voltage</v>
      </c>
      <c r="K129" s="321"/>
      <c r="L129" s="321"/>
    </row>
    <row r="130" spans="1:12" s="13" customFormat="1" outlineLevel="2" x14ac:dyDescent="0.25">
      <c r="B130" s="103"/>
      <c r="C130" s="357"/>
      <c r="D130" s="372"/>
      <c r="E130" s="334" t="s">
        <v>17</v>
      </c>
      <c r="F130" s="335">
        <v>55</v>
      </c>
      <c r="G130" s="335"/>
      <c r="H130" s="335">
        <v>62</v>
      </c>
      <c r="I130" s="335">
        <v>58</v>
      </c>
      <c r="J130" s="335">
        <v>80</v>
      </c>
      <c r="K130" s="335"/>
      <c r="L130" s="335"/>
    </row>
    <row r="131" spans="1:12" s="13" customFormat="1" outlineLevel="2" x14ac:dyDescent="0.25">
      <c r="B131" s="103"/>
      <c r="C131" s="357"/>
      <c r="D131" s="470"/>
      <c r="E131" s="471" t="s">
        <v>61</v>
      </c>
      <c r="F131" s="472"/>
      <c r="G131" s="472"/>
      <c r="H131" s="472"/>
      <c r="I131" s="472"/>
      <c r="J131" s="472"/>
      <c r="K131" s="472"/>
      <c r="L131" s="473"/>
    </row>
    <row r="132" spans="1:12" s="13" customFormat="1" x14ac:dyDescent="0.25">
      <c r="A132" s="336" t="s">
        <v>146</v>
      </c>
      <c r="B132" s="384"/>
      <c r="C132" s="404"/>
      <c r="D132" s="373" t="s">
        <v>31</v>
      </c>
      <c r="E132" s="337"/>
      <c r="F132" s="338"/>
      <c r="G132" s="338"/>
      <c r="H132" s="338"/>
      <c r="I132" s="338"/>
      <c r="J132" s="338"/>
      <c r="K132" s="338"/>
      <c r="L132" s="339"/>
    </row>
    <row r="133" spans="1:12" s="13" customFormat="1" outlineLevel="1" x14ac:dyDescent="0.25">
      <c r="B133" s="103"/>
      <c r="C133" s="166" t="s">
        <v>14</v>
      </c>
      <c r="D133" s="374" t="s">
        <v>147</v>
      </c>
      <c r="E133" s="340" t="s">
        <v>16</v>
      </c>
      <c r="F133" s="324" t="str">
        <f t="array" aca="1" ref="F133" ca="1">HYPERLINK(CONCATENATE(Cartelle!$D$5,F$1,"/",$C133,"/",MID($D133,1,FIND("_",$D133)-1),"/",INDIRECT(CONCATENATE("'" &amp; $C133 &amp; "'!",ADDRESS(MATCH($D133, INDIRECT("'" &amp; $C133 &amp; "'!$B:$B"), 0),MATCH(F$1, INDIRECT("'" &amp; $C133 &amp; "'!$1:$1"), 0)))),".",INDIRECT(CONCATENATE("'"&amp;$C133&amp;"'!",ADDRESS(MATCH($D133,INDIRECT("'"&amp;$C133&amp;"'!$B:$B"),0),3))),"#page=",F134),CONCATENATE("#Sharepoint//",$D133))</f>
        <v>#Sharepoint//FRS_Aux Electrical Supply</v>
      </c>
      <c r="G133" s="324"/>
      <c r="H133" s="324" t="str">
        <f t="array" aca="1" ref="H133" ca="1">HYPERLINK(CONCATENATE(Cartelle!$D$5,INDEX(INDIRECT("'" &amp; $C133 &amp; "'!$1:$1"), 1, MATCH(INDIRECT(CONCATENATE("'" &amp; $C133 &amp; "'!",ADDRESS(MATCH($D133, INDIRECT("'" &amp; $C133 &amp; "'!$B:$B"), 0),MATCH(H$1, INDIRECT("'" &amp; $C133 &amp; "'!$1:$1"), 0)))),INDIRECT(CONCATENATE("'" &amp; $C133 &amp; "'!",MATCH($D133, INDIRECT("'" &amp; $C133 &amp; "'!$B:$B"), 0),":",MATCH($D133, INDIRECT("'" &amp; $C133 &amp; "'!$B:$B"), 0))),0)),"/",$C133,"/",MID($D133,1,FIND("_",$D133)-1),"/",INDIRECT(CONCATENATE("'" &amp; $C133 &amp; "'!",ADDRESS(MATCH($D133, INDIRECT("'" &amp; $C133 &amp; "'!$B:$B"), 0),MATCH(H$1, INDIRECT("'" &amp; $C133 &amp; "'!$1:$1"), 0)))),".",INDIRECT(CONCATENATE("'"&amp;$C133&amp;"'!",ADDRESS(MATCH($D133,INDIRECT("'"&amp;$C133&amp;"'!$B:$B"),0),3))),"#page=",H134),CONCATENATE("#Sharepoint//",$D133))</f>
        <v>#Sharepoint//FRS_Aux Electrical Supply</v>
      </c>
      <c r="I133" s="324" t="str">
        <f t="array" aca="1" ref="I133" ca="1">HYPERLINK(CONCATENATE(Cartelle!$D$5,INDEX(INDIRECT("'" &amp; $C133 &amp; "'!$1:$1"), 1, MATCH(INDIRECT(CONCATENATE("'" &amp; $C133 &amp; "'!",ADDRESS(MATCH($D133, INDIRECT("'" &amp; $C133 &amp; "'!$B:$B"), 0),MATCH(I$1, INDIRECT("'" &amp; $C133 &amp; "'!$1:$1"), 0)))),INDIRECT(CONCATENATE("'" &amp; $C133 &amp; "'!",MATCH($D133, INDIRECT("'" &amp; $C133 &amp; "'!$B:$B"), 0),":",MATCH($D133, INDIRECT("'" &amp; $C133 &amp; "'!$B:$B"), 0))),0)),"/",$C133,"/",MID($D133,1,FIND("_",$D133)-1),"/",INDIRECT(CONCATENATE("'" &amp; $C133 &amp; "'!",ADDRESS(MATCH($D133, INDIRECT("'" &amp; $C133 &amp; "'!$B:$B"), 0),MATCH(I$1, INDIRECT("'" &amp; $C133 &amp; "'!$1:$1"), 0)))),".",INDIRECT(CONCATENATE("'"&amp;$C133&amp;"'!",ADDRESS(MATCH($D133,INDIRECT("'"&amp;$C133&amp;"'!$B:$B"),0),3))),"#page=",I134),CONCATENATE("#Sharepoint//",$D133))</f>
        <v>#Sharepoint//FRS_Aux Electrical Supply</v>
      </c>
      <c r="J133" s="324" t="str">
        <f t="array" aca="1" ref="J133" ca="1">HYPERLINK(CONCATENATE(Cartelle!$D$5,INDEX(INDIRECT("'" &amp; $C133 &amp; "'!$1:$1"), 1, MATCH(INDIRECT(CONCATENATE("'" &amp; $C133 &amp; "'!",ADDRESS(MATCH($D133, INDIRECT("'" &amp; $C133 &amp; "'!$B:$B"), 0),MATCH(J$1, INDIRECT("'" &amp; $C133 &amp; "'!$1:$1"), 0)))),INDIRECT(CONCATENATE("'" &amp; $C133 &amp; "'!",MATCH($D133, INDIRECT("'" &amp; $C133 &amp; "'!$B:$B"), 0),":",MATCH($D133, INDIRECT("'" &amp; $C133 &amp; "'!$B:$B"), 0))),0)),"/",$C133,"/",MID($D133,1,FIND("_",$D133)-1),"/",INDIRECT(CONCATENATE("'" &amp; $C133 &amp; "'!",ADDRESS(MATCH($D133, INDIRECT("'" &amp; $C133 &amp; "'!$B:$B"), 0),MATCH(J$1, INDIRECT("'" &amp; $C133 &amp; "'!$1:$1"), 0)))),".",INDIRECT(CONCATENATE("'"&amp;$C133&amp;"'!",ADDRESS(MATCH($D133,INDIRECT("'"&amp;$C133&amp;"'!$B:$B"),0),3))),"#page=",J134),CONCATENATE("#Sharepoint//",$D133))</f>
        <v>#Sharepoint//FRS_Aux Electrical Supply</v>
      </c>
      <c r="K133" s="322"/>
      <c r="L133" s="322"/>
    </row>
    <row r="134" spans="1:12" s="13" customFormat="1" outlineLevel="2" x14ac:dyDescent="0.25">
      <c r="B134" s="103"/>
      <c r="C134" s="349"/>
      <c r="D134" s="375"/>
      <c r="E134" s="341" t="s">
        <v>17</v>
      </c>
      <c r="F134" s="342">
        <v>5</v>
      </c>
      <c r="G134" s="342"/>
      <c r="H134" s="342">
        <v>5</v>
      </c>
      <c r="I134" s="342">
        <v>5</v>
      </c>
      <c r="J134" s="342">
        <v>6</v>
      </c>
      <c r="K134" s="342"/>
      <c r="L134" s="342"/>
    </row>
    <row r="135" spans="1:12" s="13" customFormat="1" outlineLevel="2" x14ac:dyDescent="0.25">
      <c r="B135" s="103"/>
      <c r="C135" s="357"/>
      <c r="D135" s="470"/>
      <c r="E135" s="471" t="s">
        <v>61</v>
      </c>
      <c r="F135" s="472"/>
      <c r="G135" s="472"/>
      <c r="H135" s="472"/>
      <c r="I135" s="472"/>
      <c r="J135" s="472"/>
      <c r="K135" s="472"/>
      <c r="L135" s="473"/>
    </row>
    <row r="136" spans="1:12" s="13" customFormat="1" x14ac:dyDescent="0.25">
      <c r="A136" s="343" t="s">
        <v>148</v>
      </c>
      <c r="B136" s="384"/>
      <c r="C136" s="404"/>
      <c r="D136" s="376" t="s">
        <v>31</v>
      </c>
      <c r="E136" s="344"/>
      <c r="F136" s="345"/>
      <c r="G136" s="345"/>
      <c r="H136" s="345"/>
      <c r="I136" s="345"/>
      <c r="J136" s="345"/>
      <c r="K136" s="345"/>
      <c r="L136" s="346"/>
    </row>
    <row r="137" spans="1:12" s="13" customFormat="1" outlineLevel="1" x14ac:dyDescent="0.25">
      <c r="B137" s="103"/>
      <c r="C137" s="166" t="s">
        <v>14</v>
      </c>
      <c r="D137" s="374" t="s">
        <v>147</v>
      </c>
      <c r="E137" s="340" t="s">
        <v>16</v>
      </c>
      <c r="F137" s="324" t="str">
        <f t="array" aca="1" ref="F137" ca="1">HYPERLINK(CONCATENATE(Cartelle!$D$5,F$1,"/",$C137,"/",MID($D137,1,FIND("_",$D137)-1),"/",INDIRECT(CONCATENATE("'" &amp; $C137 &amp; "'!",ADDRESS(MATCH($D137, INDIRECT("'" &amp; $C137 &amp; "'!$B:$B"), 0),MATCH(F$1, INDIRECT("'" &amp; $C137 &amp; "'!$1:$1"), 0)))),".",INDIRECT(CONCATENATE("'"&amp;$C137&amp;"'!",ADDRESS(MATCH($D137,INDIRECT("'"&amp;$C137&amp;"'!$B:$B"),0),3))),"#page=",F138),CONCATENATE("#Sharepoint//",$D137))</f>
        <v>#Sharepoint//FRS_Aux Electrical Supply</v>
      </c>
      <c r="G137" s="324"/>
      <c r="H137" s="324" t="str">
        <f t="array" aca="1" ref="H137" ca="1">HYPERLINK(CONCATENATE(Cartelle!$D$5,INDEX(INDIRECT("'" &amp; $C137 &amp; "'!$1:$1"), 1, MATCH(INDIRECT(CONCATENATE("'" &amp; $C137 &amp; "'!",ADDRESS(MATCH($D137, INDIRECT("'" &amp; $C137 &amp; "'!$B:$B"), 0),MATCH(H$1, INDIRECT("'" &amp; $C137 &amp; "'!$1:$1"), 0)))),INDIRECT(CONCATENATE("'" &amp; $C137 &amp; "'!",MATCH($D137, INDIRECT("'" &amp; $C137 &amp; "'!$B:$B"), 0),":",MATCH($D137, INDIRECT("'" &amp; $C137 &amp; "'!$B:$B"), 0))),0)),"/",$C137,"/",MID($D137,1,FIND("_",$D137)-1),"/",INDIRECT(CONCATENATE("'" &amp; $C137 &amp; "'!",ADDRESS(MATCH($D137, INDIRECT("'" &amp; $C137 &amp; "'!$B:$B"), 0),MATCH(H$1, INDIRECT("'" &amp; $C137 &amp; "'!$1:$1"), 0)))),".",INDIRECT(CONCATENATE("'"&amp;$C137&amp;"'!",ADDRESS(MATCH($D137,INDIRECT("'"&amp;$C137&amp;"'!$B:$B"),0),3))),"#page=",H138),CONCATENATE("#Sharepoint//",$D137))</f>
        <v>#Sharepoint//FRS_Aux Electrical Supply</v>
      </c>
      <c r="I137" s="324" t="str">
        <f t="array" aca="1" ref="I137" ca="1">HYPERLINK(CONCATENATE(Cartelle!$D$5,INDEX(INDIRECT("'" &amp; $C137 &amp; "'!$1:$1"), 1, MATCH(INDIRECT(CONCATENATE("'" &amp; $C137 &amp; "'!",ADDRESS(MATCH($D137, INDIRECT("'" &amp; $C137 &amp; "'!$B:$B"), 0),MATCH(I$1, INDIRECT("'" &amp; $C137 &amp; "'!$1:$1"), 0)))),INDIRECT(CONCATENATE("'" &amp; $C137 &amp; "'!",MATCH($D137, INDIRECT("'" &amp; $C137 &amp; "'!$B:$B"), 0),":",MATCH($D137, INDIRECT("'" &amp; $C137 &amp; "'!$B:$B"), 0))),0)),"/",$C137,"/",MID($D137,1,FIND("_",$D137)-1),"/",INDIRECT(CONCATENATE("'" &amp; $C137 &amp; "'!",ADDRESS(MATCH($D137, INDIRECT("'" &amp; $C137 &amp; "'!$B:$B"), 0),MATCH(I$1, INDIRECT("'" &amp; $C137 &amp; "'!$1:$1"), 0)))),".",INDIRECT(CONCATENATE("'"&amp;$C137&amp;"'!",ADDRESS(MATCH($D137,INDIRECT("'"&amp;$C137&amp;"'!$B:$B"),0),3))),"#page=",I138),CONCATENATE("#Sharepoint//",$D137))</f>
        <v>#Sharepoint//FRS_Aux Electrical Supply</v>
      </c>
      <c r="J137" s="324" t="str">
        <f t="array" aca="1" ref="J137" ca="1">HYPERLINK(CONCATENATE(Cartelle!$D$5,INDEX(INDIRECT("'" &amp; $C137 &amp; "'!$1:$1"), 1, MATCH(INDIRECT(CONCATENATE("'" &amp; $C137 &amp; "'!",ADDRESS(MATCH($D137, INDIRECT("'" &amp; $C137 &amp; "'!$B:$B"), 0),MATCH(J$1, INDIRECT("'" &amp; $C137 &amp; "'!$1:$1"), 0)))),INDIRECT(CONCATENATE("'" &amp; $C137 &amp; "'!",MATCH($D137, INDIRECT("'" &amp; $C137 &amp; "'!$B:$B"), 0),":",MATCH($D137, INDIRECT("'" &amp; $C137 &amp; "'!$B:$B"), 0))),0)),"/",$C137,"/",MID($D137,1,FIND("_",$D137)-1),"/",INDIRECT(CONCATENATE("'" &amp; $C137 &amp; "'!",ADDRESS(MATCH($D137, INDIRECT("'" &amp; $C137 &amp; "'!$B:$B"), 0),MATCH(J$1, INDIRECT("'" &amp; $C137 &amp; "'!$1:$1"), 0)))),".",INDIRECT(CONCATENATE("'"&amp;$C137&amp;"'!",ADDRESS(MATCH($D137,INDIRECT("'"&amp;$C137&amp;"'!$B:$B"),0),3))),"#page=",J138),CONCATENATE("#Sharepoint//",$D137))</f>
        <v>#Sharepoint//FRS_Aux Electrical Supply</v>
      </c>
      <c r="K137" s="322"/>
      <c r="L137" s="322"/>
    </row>
    <row r="138" spans="1:12" s="13" customFormat="1" outlineLevel="2" x14ac:dyDescent="0.25">
      <c r="B138" s="103"/>
      <c r="C138" s="349"/>
      <c r="D138" s="375"/>
      <c r="E138" s="341" t="s">
        <v>17</v>
      </c>
      <c r="F138" s="342">
        <v>7</v>
      </c>
      <c r="G138" s="342"/>
      <c r="H138" s="342">
        <v>7</v>
      </c>
      <c r="I138" s="342">
        <v>7</v>
      </c>
      <c r="J138" s="342">
        <v>8</v>
      </c>
      <c r="K138" s="342"/>
      <c r="L138" s="342"/>
    </row>
    <row r="139" spans="1:12" s="13" customFormat="1" outlineLevel="2" x14ac:dyDescent="0.25">
      <c r="B139" s="103"/>
      <c r="C139" s="357"/>
      <c r="D139" s="470"/>
      <c r="E139" s="471" t="s">
        <v>61</v>
      </c>
      <c r="F139" s="472"/>
      <c r="G139" s="472"/>
      <c r="H139" s="472"/>
      <c r="I139" s="472"/>
      <c r="J139" s="472"/>
      <c r="K139" s="472"/>
      <c r="L139" s="473"/>
    </row>
    <row r="140" spans="1:12" s="13" customFormat="1" x14ac:dyDescent="0.25">
      <c r="A140" s="343" t="s">
        <v>149</v>
      </c>
      <c r="B140" s="384"/>
      <c r="C140" s="404"/>
      <c r="D140" s="376" t="s">
        <v>31</v>
      </c>
      <c r="E140" s="344"/>
      <c r="F140" s="345"/>
      <c r="G140" s="345"/>
      <c r="H140" s="345"/>
      <c r="I140" s="345"/>
      <c r="J140" s="345"/>
      <c r="K140" s="345"/>
      <c r="L140" s="346"/>
    </row>
    <row r="141" spans="1:12" s="13" customFormat="1" outlineLevel="1" x14ac:dyDescent="0.25">
      <c r="B141" s="103"/>
      <c r="C141" s="166" t="s">
        <v>14</v>
      </c>
      <c r="D141" s="374" t="s">
        <v>147</v>
      </c>
      <c r="E141" s="340" t="s">
        <v>16</v>
      </c>
      <c r="F141" s="324" t="str">
        <f t="array" aca="1" ref="F141" ca="1">HYPERLINK(CONCATENATE(Cartelle!$D$5,F$1,"/",$C141,"/",MID($D141,1,FIND("_",$D141)-1),"/",INDIRECT(CONCATENATE("'" &amp; $C141 &amp; "'!",ADDRESS(MATCH($D141, INDIRECT("'" &amp; $C141 &amp; "'!$B:$B"), 0),MATCH(F$1, INDIRECT("'" &amp; $C141 &amp; "'!$1:$1"), 0)))),".",INDIRECT(CONCATENATE("'"&amp;$C141&amp;"'!",ADDRESS(MATCH($D141,INDIRECT("'"&amp;$C141&amp;"'!$B:$B"),0),3))),"#page=",F142),CONCATENATE("#Sharepoint//",$D141))</f>
        <v>#Sharepoint//FRS_Aux Electrical Supply</v>
      </c>
      <c r="G141" s="324"/>
      <c r="H141" s="324" t="str">
        <f t="array" aca="1" ref="H141" ca="1">HYPERLINK(CONCATENATE(Cartelle!$D$5,INDEX(INDIRECT("'" &amp; $C141 &amp; "'!$1:$1"), 1, MATCH(INDIRECT(CONCATENATE("'" &amp; $C141 &amp; "'!",ADDRESS(MATCH($D141, INDIRECT("'" &amp; $C141 &amp; "'!$B:$B"), 0),MATCH(H$1, INDIRECT("'" &amp; $C141 &amp; "'!$1:$1"), 0)))),INDIRECT(CONCATENATE("'" &amp; $C141 &amp; "'!",MATCH($D141, INDIRECT("'" &amp; $C141 &amp; "'!$B:$B"), 0),":",MATCH($D141, INDIRECT("'" &amp; $C141 &amp; "'!$B:$B"), 0))),0)),"/",$C141,"/",MID($D141,1,FIND("_",$D141)-1),"/",INDIRECT(CONCATENATE("'" &amp; $C141 &amp; "'!",ADDRESS(MATCH($D141, INDIRECT("'" &amp; $C141 &amp; "'!$B:$B"), 0),MATCH(H$1, INDIRECT("'" &amp; $C141 &amp; "'!$1:$1"), 0)))),".",INDIRECT(CONCATENATE("'"&amp;$C141&amp;"'!",ADDRESS(MATCH($D141,INDIRECT("'"&amp;$C141&amp;"'!$B:$B"),0),3))),"#page=",H142),CONCATENATE("#Sharepoint//",$D141))</f>
        <v>#Sharepoint//FRS_Aux Electrical Supply</v>
      </c>
      <c r="I141" s="324" t="str">
        <f t="array" aca="1" ref="I141" ca="1">HYPERLINK(CONCATENATE(Cartelle!$D$5,INDEX(INDIRECT("'" &amp; $C141 &amp; "'!$1:$1"), 1, MATCH(INDIRECT(CONCATENATE("'" &amp; $C141 &amp; "'!",ADDRESS(MATCH($D141, INDIRECT("'" &amp; $C141 &amp; "'!$B:$B"), 0),MATCH(I$1, INDIRECT("'" &amp; $C141 &amp; "'!$1:$1"), 0)))),INDIRECT(CONCATENATE("'" &amp; $C141 &amp; "'!",MATCH($D141, INDIRECT("'" &amp; $C141 &amp; "'!$B:$B"), 0),":",MATCH($D141, INDIRECT("'" &amp; $C141 &amp; "'!$B:$B"), 0))),0)),"/",$C141,"/",MID($D141,1,FIND("_",$D141)-1),"/",INDIRECT(CONCATENATE("'" &amp; $C141 &amp; "'!",ADDRESS(MATCH($D141, INDIRECT("'" &amp; $C141 &amp; "'!$B:$B"), 0),MATCH(I$1, INDIRECT("'" &amp; $C141 &amp; "'!$1:$1"), 0)))),".",INDIRECT(CONCATENATE("'"&amp;$C141&amp;"'!",ADDRESS(MATCH($D141,INDIRECT("'"&amp;$C141&amp;"'!$B:$B"),0),3))),"#page=",I142),CONCATENATE("#Sharepoint//",$D141))</f>
        <v>#Sharepoint//FRS_Aux Electrical Supply</v>
      </c>
      <c r="J141" s="324" t="str">
        <f t="array" aca="1" ref="J141" ca="1">HYPERLINK(CONCATENATE(Cartelle!$D$5,INDEX(INDIRECT("'" &amp; $C141 &amp; "'!$1:$1"), 1, MATCH(INDIRECT(CONCATENATE("'" &amp; $C141 &amp; "'!",ADDRESS(MATCH($D141, INDIRECT("'" &amp; $C141 &amp; "'!$B:$B"), 0),MATCH(J$1, INDIRECT("'" &amp; $C141 &amp; "'!$1:$1"), 0)))),INDIRECT(CONCATENATE("'" &amp; $C141 &amp; "'!",MATCH($D141, INDIRECT("'" &amp; $C141 &amp; "'!$B:$B"), 0),":",MATCH($D141, INDIRECT("'" &amp; $C141 &amp; "'!$B:$B"), 0))),0)),"/",$C141,"/",MID($D141,1,FIND("_",$D141)-1),"/",INDIRECT(CONCATENATE("'" &amp; $C141 &amp; "'!",ADDRESS(MATCH($D141, INDIRECT("'" &amp; $C141 &amp; "'!$B:$B"), 0),MATCH(J$1, INDIRECT("'" &amp; $C141 &amp; "'!$1:$1"), 0)))),".",INDIRECT(CONCATENATE("'"&amp;$C141&amp;"'!",ADDRESS(MATCH($D141,INDIRECT("'"&amp;$C141&amp;"'!$B:$B"),0),3))),"#page=",J142),CONCATENATE("#Sharepoint//",$D141))</f>
        <v>#Sharepoint//FRS_Aux Electrical Supply</v>
      </c>
      <c r="K141" s="322"/>
      <c r="L141" s="322"/>
    </row>
    <row r="142" spans="1:12" s="13" customFormat="1" outlineLevel="2" x14ac:dyDescent="0.25">
      <c r="B142" s="103"/>
      <c r="C142" s="349"/>
      <c r="D142" s="375"/>
      <c r="E142" s="341" t="s">
        <v>17</v>
      </c>
      <c r="F142" s="342">
        <v>9</v>
      </c>
      <c r="G142" s="342"/>
      <c r="H142" s="342">
        <v>9</v>
      </c>
      <c r="I142" s="342">
        <v>9</v>
      </c>
      <c r="J142" s="342">
        <v>9</v>
      </c>
      <c r="K142" s="342"/>
      <c r="L142" s="342"/>
    </row>
    <row r="143" spans="1:12" s="13" customFormat="1" outlineLevel="2" x14ac:dyDescent="0.25">
      <c r="B143" s="103"/>
      <c r="C143" s="357"/>
      <c r="D143" s="470"/>
      <c r="E143" s="471" t="s">
        <v>61</v>
      </c>
      <c r="F143" s="472"/>
      <c r="G143" s="472"/>
      <c r="H143" s="472"/>
      <c r="I143" s="472"/>
      <c r="J143" s="472"/>
      <c r="K143" s="472"/>
      <c r="L143" s="473"/>
    </row>
    <row r="144" spans="1:12" s="13" customFormat="1" x14ac:dyDescent="0.25">
      <c r="A144" s="343" t="s">
        <v>150</v>
      </c>
      <c r="B144" s="384"/>
      <c r="C144" s="404"/>
      <c r="D144" s="376" t="s">
        <v>31</v>
      </c>
      <c r="E144" s="344"/>
      <c r="F144" s="345"/>
      <c r="G144" s="345"/>
      <c r="H144" s="345"/>
      <c r="I144" s="345"/>
      <c r="J144" s="345"/>
      <c r="K144" s="345"/>
      <c r="L144" s="346"/>
    </row>
    <row r="145" spans="1:12" s="13" customFormat="1" outlineLevel="1" x14ac:dyDescent="0.25">
      <c r="B145" s="103"/>
      <c r="C145" s="166" t="s">
        <v>14</v>
      </c>
      <c r="D145" s="374" t="s">
        <v>147</v>
      </c>
      <c r="E145" s="340" t="s">
        <v>16</v>
      </c>
      <c r="F145" s="324" t="str">
        <f t="array" aca="1" ref="F145" ca="1">HYPERLINK(CONCATENATE(Cartelle!$D$5,F$1,"/",$C145,"/",MID($D145,1,FIND("_",$D145)-1),"/",INDIRECT(CONCATENATE("'" &amp; $C145 &amp; "'!",ADDRESS(MATCH($D145, INDIRECT("'" &amp; $C145 &amp; "'!$B:$B"), 0),MATCH(F$1, INDIRECT("'" &amp; $C145 &amp; "'!$1:$1"), 0)))),".",INDIRECT(CONCATENATE("'"&amp;$C145&amp;"'!",ADDRESS(MATCH($D145,INDIRECT("'"&amp;$C145&amp;"'!$B:$B"),0),3))),"#page=",F146),CONCATENATE("#Sharepoint//",$D145))</f>
        <v>#Sharepoint//FRS_Aux Electrical Supply</v>
      </c>
      <c r="G145" s="324"/>
      <c r="H145" s="324" t="str">
        <f t="array" aca="1" ref="H145" ca="1">HYPERLINK(CONCATENATE(Cartelle!$D$5,INDEX(INDIRECT("'" &amp; $C145 &amp; "'!$1:$1"), 1, MATCH(INDIRECT(CONCATENATE("'" &amp; $C145 &amp; "'!",ADDRESS(MATCH($D145, INDIRECT("'" &amp; $C145 &amp; "'!$B:$B"), 0),MATCH(H$1, INDIRECT("'" &amp; $C145 &amp; "'!$1:$1"), 0)))),INDIRECT(CONCATENATE("'" &amp; $C145 &amp; "'!",MATCH($D145, INDIRECT("'" &amp; $C145 &amp; "'!$B:$B"), 0),":",MATCH($D145, INDIRECT("'" &amp; $C145 &amp; "'!$B:$B"), 0))),0)),"/",$C145,"/",MID($D145,1,FIND("_",$D145)-1),"/",INDIRECT(CONCATENATE("'" &amp; $C145 &amp; "'!",ADDRESS(MATCH($D145, INDIRECT("'" &amp; $C145 &amp; "'!$B:$B"), 0),MATCH(H$1, INDIRECT("'" &amp; $C145 &amp; "'!$1:$1"), 0)))),".",INDIRECT(CONCATENATE("'"&amp;$C145&amp;"'!",ADDRESS(MATCH($D145,INDIRECT("'"&amp;$C145&amp;"'!$B:$B"),0),3))),"#page=",H146),CONCATENATE("#Sharepoint//",$D145))</f>
        <v>#Sharepoint//FRS_Aux Electrical Supply</v>
      </c>
      <c r="I145" s="324" t="str">
        <f t="array" aca="1" ref="I145" ca="1">HYPERLINK(CONCATENATE(Cartelle!$D$5,INDEX(INDIRECT("'" &amp; $C145 &amp; "'!$1:$1"), 1, MATCH(INDIRECT(CONCATENATE("'" &amp; $C145 &amp; "'!",ADDRESS(MATCH($D145, INDIRECT("'" &amp; $C145 &amp; "'!$B:$B"), 0),MATCH(I$1, INDIRECT("'" &amp; $C145 &amp; "'!$1:$1"), 0)))),INDIRECT(CONCATENATE("'" &amp; $C145 &amp; "'!",MATCH($D145, INDIRECT("'" &amp; $C145 &amp; "'!$B:$B"), 0),":",MATCH($D145, INDIRECT("'" &amp; $C145 &amp; "'!$B:$B"), 0))),0)),"/",$C145,"/",MID($D145,1,FIND("_",$D145)-1),"/",INDIRECT(CONCATENATE("'" &amp; $C145 &amp; "'!",ADDRESS(MATCH($D145, INDIRECT("'" &amp; $C145 &amp; "'!$B:$B"), 0),MATCH(I$1, INDIRECT("'" &amp; $C145 &amp; "'!$1:$1"), 0)))),".",INDIRECT(CONCATENATE("'"&amp;$C145&amp;"'!",ADDRESS(MATCH($D145,INDIRECT("'"&amp;$C145&amp;"'!$B:$B"),0),3))),"#page=",I146),CONCATENATE("#Sharepoint//",$D145))</f>
        <v>#Sharepoint//FRS_Aux Electrical Supply</v>
      </c>
      <c r="J145" s="324" t="str">
        <f t="array" aca="1" ref="J145" ca="1">HYPERLINK(CONCATENATE(Cartelle!$D$5,INDEX(INDIRECT("'" &amp; $C145 &amp; "'!$1:$1"), 1, MATCH(INDIRECT(CONCATENATE("'" &amp; $C145 &amp; "'!",ADDRESS(MATCH($D145, INDIRECT("'" &amp; $C145 &amp; "'!$B:$B"), 0),MATCH(J$1, INDIRECT("'" &amp; $C145 &amp; "'!$1:$1"), 0)))),INDIRECT(CONCATENATE("'" &amp; $C145 &amp; "'!",MATCH($D145, INDIRECT("'" &amp; $C145 &amp; "'!$B:$B"), 0),":",MATCH($D145, INDIRECT("'" &amp; $C145 &amp; "'!$B:$B"), 0))),0)),"/",$C145,"/",MID($D145,1,FIND("_",$D145)-1),"/",INDIRECT(CONCATENATE("'" &amp; $C145 &amp; "'!",ADDRESS(MATCH($D145, INDIRECT("'" &amp; $C145 &amp; "'!$B:$B"), 0),MATCH(J$1, INDIRECT("'" &amp; $C145 &amp; "'!$1:$1"), 0)))),".",INDIRECT(CONCATENATE("'"&amp;$C145&amp;"'!",ADDRESS(MATCH($D145,INDIRECT("'"&amp;$C145&amp;"'!$B:$B"),0),3))),"#page=",J146),CONCATENATE("#Sharepoint//",$D145))</f>
        <v>#Sharepoint//FRS_Aux Electrical Supply</v>
      </c>
      <c r="K145" s="322"/>
      <c r="L145" s="322"/>
    </row>
    <row r="146" spans="1:12" s="13" customFormat="1" outlineLevel="2" x14ac:dyDescent="0.25">
      <c r="B146" s="103"/>
      <c r="C146" s="349"/>
      <c r="D146" s="375"/>
      <c r="E146" s="341" t="s">
        <v>17</v>
      </c>
      <c r="F146" s="342">
        <v>10</v>
      </c>
      <c r="G146" s="342"/>
      <c r="H146" s="342">
        <v>10</v>
      </c>
      <c r="I146" s="342">
        <v>10</v>
      </c>
      <c r="J146" s="342">
        <v>10</v>
      </c>
      <c r="K146" s="342"/>
      <c r="L146" s="342"/>
    </row>
    <row r="147" spans="1:12" s="13" customFormat="1" outlineLevel="2" x14ac:dyDescent="0.25">
      <c r="B147" s="103"/>
      <c r="C147" s="357"/>
      <c r="D147" s="470"/>
      <c r="E147" s="471" t="s">
        <v>61</v>
      </c>
      <c r="F147" s="472"/>
      <c r="G147" s="472"/>
      <c r="H147" s="472"/>
      <c r="I147" s="472"/>
      <c r="J147" s="472"/>
      <c r="K147" s="472"/>
      <c r="L147" s="473"/>
    </row>
    <row r="148" spans="1:12" s="13" customFormat="1" x14ac:dyDescent="0.25">
      <c r="A148" s="343" t="s">
        <v>151</v>
      </c>
      <c r="B148" s="384"/>
      <c r="C148" s="404"/>
      <c r="D148" s="376" t="s">
        <v>31</v>
      </c>
      <c r="E148" s="344"/>
      <c r="F148" s="345"/>
      <c r="G148" s="345"/>
      <c r="H148" s="345"/>
      <c r="I148" s="345"/>
      <c r="J148" s="345"/>
      <c r="K148" s="345"/>
      <c r="L148" s="346"/>
    </row>
    <row r="149" spans="1:12" s="13" customFormat="1" outlineLevel="1" x14ac:dyDescent="0.25">
      <c r="B149" s="103"/>
      <c r="C149" s="166" t="s">
        <v>14</v>
      </c>
      <c r="D149" s="374" t="s">
        <v>147</v>
      </c>
      <c r="E149" s="340" t="s">
        <v>16</v>
      </c>
      <c r="F149" s="324" t="str">
        <f t="array" aca="1" ref="F149" ca="1">HYPERLINK(CONCATENATE(Cartelle!$D$5,F$1,"/",$C149,"/",MID($D149,1,FIND("_",$D149)-1),"/",INDIRECT(CONCATENATE("'" &amp; $C149 &amp; "'!",ADDRESS(MATCH($D149, INDIRECT("'" &amp; $C149 &amp; "'!$B:$B"), 0),MATCH(F$1, INDIRECT("'" &amp; $C149 &amp; "'!$1:$1"), 0)))),".",INDIRECT(CONCATENATE("'"&amp;$C149&amp;"'!",ADDRESS(MATCH($D149,INDIRECT("'"&amp;$C149&amp;"'!$B:$B"),0),3))),"#page=",F150),CONCATENATE("#Sharepoint//",$D149))</f>
        <v>#Sharepoint//FRS_Aux Electrical Supply</v>
      </c>
      <c r="G149" s="324"/>
      <c r="H149" s="324" t="str">
        <f t="array" aca="1" ref="H149" ca="1">HYPERLINK(CONCATENATE(Cartelle!$D$5,INDEX(INDIRECT("'" &amp; $C149 &amp; "'!$1:$1"), 1, MATCH(INDIRECT(CONCATENATE("'" &amp; $C149 &amp; "'!",ADDRESS(MATCH($D149, INDIRECT("'" &amp; $C149 &amp; "'!$B:$B"), 0),MATCH(H$1, INDIRECT("'" &amp; $C149 &amp; "'!$1:$1"), 0)))),INDIRECT(CONCATENATE("'" &amp; $C149 &amp; "'!",MATCH($D149, INDIRECT("'" &amp; $C149 &amp; "'!$B:$B"), 0),":",MATCH($D149, INDIRECT("'" &amp; $C149 &amp; "'!$B:$B"), 0))),0)),"/",$C149,"/",MID($D149,1,FIND("_",$D149)-1),"/",INDIRECT(CONCATENATE("'" &amp; $C149 &amp; "'!",ADDRESS(MATCH($D149, INDIRECT("'" &amp; $C149 &amp; "'!$B:$B"), 0),MATCH(H$1, INDIRECT("'" &amp; $C149 &amp; "'!$1:$1"), 0)))),".",INDIRECT(CONCATENATE("'"&amp;$C149&amp;"'!",ADDRESS(MATCH($D149,INDIRECT("'"&amp;$C149&amp;"'!$B:$B"),0),3))),"#page=",H150),CONCATENATE("#Sharepoint//",$D149))</f>
        <v>#Sharepoint//FRS_Aux Electrical Supply</v>
      </c>
      <c r="I149" s="324" t="str">
        <f t="array" aca="1" ref="I149" ca="1">HYPERLINK(CONCATENATE(Cartelle!$D$5,INDEX(INDIRECT("'" &amp; $C149 &amp; "'!$1:$1"), 1, MATCH(INDIRECT(CONCATENATE("'" &amp; $C149 &amp; "'!",ADDRESS(MATCH($D149, INDIRECT("'" &amp; $C149 &amp; "'!$B:$B"), 0),MATCH(I$1, INDIRECT("'" &amp; $C149 &amp; "'!$1:$1"), 0)))),INDIRECT(CONCATENATE("'" &amp; $C149 &amp; "'!",MATCH($D149, INDIRECT("'" &amp; $C149 &amp; "'!$B:$B"), 0),":",MATCH($D149, INDIRECT("'" &amp; $C149 &amp; "'!$B:$B"), 0))),0)),"/",$C149,"/",MID($D149,1,FIND("_",$D149)-1),"/",INDIRECT(CONCATENATE("'" &amp; $C149 &amp; "'!",ADDRESS(MATCH($D149, INDIRECT("'" &amp; $C149 &amp; "'!$B:$B"), 0),MATCH(I$1, INDIRECT("'" &amp; $C149 &amp; "'!$1:$1"), 0)))),".",INDIRECT(CONCATENATE("'"&amp;$C149&amp;"'!",ADDRESS(MATCH($D149,INDIRECT("'"&amp;$C149&amp;"'!$B:$B"),0),3))),"#page=",I150),CONCATENATE("#Sharepoint//",$D149))</f>
        <v>#Sharepoint//FRS_Aux Electrical Supply</v>
      </c>
      <c r="J149" s="324" t="str">
        <f t="array" aca="1" ref="J149" ca="1">HYPERLINK(CONCATENATE(Cartelle!$D$5,INDEX(INDIRECT("'" &amp; $C149 &amp; "'!$1:$1"), 1, MATCH(INDIRECT(CONCATENATE("'" &amp; $C149 &amp; "'!",ADDRESS(MATCH($D149, INDIRECT("'" &amp; $C149 &amp; "'!$B:$B"), 0),MATCH(J$1, INDIRECT("'" &amp; $C149 &amp; "'!$1:$1"), 0)))),INDIRECT(CONCATENATE("'" &amp; $C149 &amp; "'!",MATCH($D149, INDIRECT("'" &amp; $C149 &amp; "'!$B:$B"), 0),":",MATCH($D149, INDIRECT("'" &amp; $C149 &amp; "'!$B:$B"), 0))),0)),"/",$C149,"/",MID($D149,1,FIND("_",$D149)-1),"/",INDIRECT(CONCATENATE("'" &amp; $C149 &amp; "'!",ADDRESS(MATCH($D149, INDIRECT("'" &amp; $C149 &amp; "'!$B:$B"), 0),MATCH(J$1, INDIRECT("'" &amp; $C149 &amp; "'!$1:$1"), 0)))),".",INDIRECT(CONCATENATE("'"&amp;$C149&amp;"'!",ADDRESS(MATCH($D149,INDIRECT("'"&amp;$C149&amp;"'!$B:$B"),0),3))),"#page=",J150),CONCATENATE("#Sharepoint//",$D149))</f>
        <v>#Sharepoint//FRS_Aux Electrical Supply</v>
      </c>
      <c r="K149" s="322"/>
      <c r="L149" s="322"/>
    </row>
    <row r="150" spans="1:12" s="13" customFormat="1" outlineLevel="2" x14ac:dyDescent="0.25">
      <c r="B150" s="103"/>
      <c r="C150" s="349"/>
      <c r="D150" s="375"/>
      <c r="E150" s="341" t="s">
        <v>17</v>
      </c>
      <c r="F150" s="342">
        <v>18</v>
      </c>
      <c r="G150" s="342"/>
      <c r="H150" s="342">
        <v>19</v>
      </c>
      <c r="I150" s="342">
        <v>18</v>
      </c>
      <c r="J150" s="342">
        <v>18</v>
      </c>
      <c r="K150" s="342"/>
      <c r="L150" s="342"/>
    </row>
    <row r="151" spans="1:12" s="13" customFormat="1" outlineLevel="2" x14ac:dyDescent="0.25">
      <c r="B151" s="103"/>
      <c r="C151" s="357"/>
      <c r="D151" s="470"/>
      <c r="E151" s="471" t="s">
        <v>61</v>
      </c>
      <c r="F151" s="472"/>
      <c r="G151" s="472"/>
      <c r="H151" s="472"/>
      <c r="I151" s="472"/>
      <c r="J151" s="472"/>
      <c r="K151" s="472"/>
      <c r="L151" s="473"/>
    </row>
    <row r="152" spans="1:12" s="13" customFormat="1" x14ac:dyDescent="0.25">
      <c r="A152" s="343" t="s">
        <v>152</v>
      </c>
      <c r="B152" s="384"/>
      <c r="C152" s="404"/>
      <c r="D152" s="376" t="s">
        <v>31</v>
      </c>
      <c r="E152" s="344"/>
      <c r="F152" s="345"/>
      <c r="G152" s="345"/>
      <c r="H152" s="345"/>
      <c r="I152" s="345"/>
      <c r="J152" s="345"/>
      <c r="K152" s="345"/>
      <c r="L152" s="346"/>
    </row>
    <row r="153" spans="1:12" s="13" customFormat="1" outlineLevel="1" x14ac:dyDescent="0.25">
      <c r="B153" s="103"/>
      <c r="C153" s="166" t="s">
        <v>14</v>
      </c>
      <c r="D153" s="374" t="s">
        <v>147</v>
      </c>
      <c r="E153" s="340" t="s">
        <v>16</v>
      </c>
      <c r="F153" s="324" t="str">
        <f t="array" aca="1" ref="F153" ca="1">HYPERLINK(CONCATENATE(Cartelle!$D$5,F$1,"/",$C153,"/",MID($D153,1,FIND("_",$D153)-1),"/",INDIRECT(CONCATENATE("'" &amp; $C153 &amp; "'!",ADDRESS(MATCH($D153, INDIRECT("'" &amp; $C153 &amp; "'!$B:$B"), 0),MATCH(F$1, INDIRECT("'" &amp; $C153 &amp; "'!$1:$1"), 0)))),".",INDIRECT(CONCATENATE("'"&amp;$C153&amp;"'!",ADDRESS(MATCH($D153,INDIRECT("'"&amp;$C153&amp;"'!$B:$B"),0),3))),"#page=",F154),CONCATENATE("#Sharepoint//",$D153))</f>
        <v>#Sharepoint//FRS_Aux Electrical Supply</v>
      </c>
      <c r="G153" s="324"/>
      <c r="H153" s="324" t="str">
        <f t="array" aca="1" ref="H153" ca="1">HYPERLINK(CONCATENATE(Cartelle!$D$5,INDEX(INDIRECT("'" &amp; $C153 &amp; "'!$1:$1"), 1, MATCH(INDIRECT(CONCATENATE("'" &amp; $C153 &amp; "'!",ADDRESS(MATCH($D153, INDIRECT("'" &amp; $C153 &amp; "'!$B:$B"), 0),MATCH(H$1, INDIRECT("'" &amp; $C153 &amp; "'!$1:$1"), 0)))),INDIRECT(CONCATENATE("'" &amp; $C153 &amp; "'!",MATCH($D153, INDIRECT("'" &amp; $C153 &amp; "'!$B:$B"), 0),":",MATCH($D153, INDIRECT("'" &amp; $C153 &amp; "'!$B:$B"), 0))),0)),"/",$C153,"/",MID($D153,1,FIND("_",$D153)-1),"/",INDIRECT(CONCATENATE("'" &amp; $C153 &amp; "'!",ADDRESS(MATCH($D153, INDIRECT("'" &amp; $C153 &amp; "'!$B:$B"), 0),MATCH(H$1, INDIRECT("'" &amp; $C153 &amp; "'!$1:$1"), 0)))),".",INDIRECT(CONCATENATE("'"&amp;$C153&amp;"'!",ADDRESS(MATCH($D153,INDIRECT("'"&amp;$C153&amp;"'!$B:$B"),0),3))),"#page=",H154),CONCATENATE("#Sharepoint//",$D153))</f>
        <v>#Sharepoint//FRS_Aux Electrical Supply</v>
      </c>
      <c r="I153" s="324" t="str">
        <f t="array" aca="1" ref="I153" ca="1">HYPERLINK(CONCATENATE(Cartelle!$D$5,INDEX(INDIRECT("'" &amp; $C153 &amp; "'!$1:$1"), 1, MATCH(INDIRECT(CONCATENATE("'" &amp; $C153 &amp; "'!",ADDRESS(MATCH($D153, INDIRECT("'" &amp; $C153 &amp; "'!$B:$B"), 0),MATCH(I$1, INDIRECT("'" &amp; $C153 &amp; "'!$1:$1"), 0)))),INDIRECT(CONCATENATE("'" &amp; $C153 &amp; "'!",MATCH($D153, INDIRECT("'" &amp; $C153 &amp; "'!$B:$B"), 0),":",MATCH($D153, INDIRECT("'" &amp; $C153 &amp; "'!$B:$B"), 0))),0)),"/",$C153,"/",MID($D153,1,FIND("_",$D153)-1),"/",INDIRECT(CONCATENATE("'" &amp; $C153 &amp; "'!",ADDRESS(MATCH($D153, INDIRECT("'" &amp; $C153 &amp; "'!$B:$B"), 0),MATCH(I$1, INDIRECT("'" &amp; $C153 &amp; "'!$1:$1"), 0)))),".",INDIRECT(CONCATENATE("'"&amp;$C153&amp;"'!",ADDRESS(MATCH($D153,INDIRECT("'"&amp;$C153&amp;"'!$B:$B"),0),3))),"#page=",I154),CONCATENATE("#Sharepoint//",$D153))</f>
        <v>#Sharepoint//FRS_Aux Electrical Supply</v>
      </c>
      <c r="J153" s="324" t="str">
        <f t="array" aca="1" ref="J153" ca="1">HYPERLINK(CONCATENATE(Cartelle!$D$5,INDEX(INDIRECT("'" &amp; $C153 &amp; "'!$1:$1"), 1, MATCH(INDIRECT(CONCATENATE("'" &amp; $C153 &amp; "'!",ADDRESS(MATCH($D153, INDIRECT("'" &amp; $C153 &amp; "'!$B:$B"), 0),MATCH(J$1, INDIRECT("'" &amp; $C153 &amp; "'!$1:$1"), 0)))),INDIRECT(CONCATENATE("'" &amp; $C153 &amp; "'!",MATCH($D153, INDIRECT("'" &amp; $C153 &amp; "'!$B:$B"), 0),":",MATCH($D153, INDIRECT("'" &amp; $C153 &amp; "'!$B:$B"), 0))),0)),"/",$C153,"/",MID($D153,1,FIND("_",$D153)-1),"/",INDIRECT(CONCATENATE("'" &amp; $C153 &amp; "'!",ADDRESS(MATCH($D153, INDIRECT("'" &amp; $C153 &amp; "'!$B:$B"), 0),MATCH(J$1, INDIRECT("'" &amp; $C153 &amp; "'!$1:$1"), 0)))),".",INDIRECT(CONCATENATE("'"&amp;$C153&amp;"'!",ADDRESS(MATCH($D153,INDIRECT("'"&amp;$C153&amp;"'!$B:$B"),0),3))),"#page=",J154),CONCATENATE("#Sharepoint//",$D153))</f>
        <v>#Sharepoint//FRS_Aux Electrical Supply</v>
      </c>
      <c r="K153" s="322"/>
      <c r="L153" s="322"/>
    </row>
    <row r="154" spans="1:12" s="13" customFormat="1" outlineLevel="2" x14ac:dyDescent="0.25">
      <c r="B154" s="103"/>
      <c r="C154" s="349"/>
      <c r="D154" s="375"/>
      <c r="E154" s="341" t="s">
        <v>17</v>
      </c>
      <c r="F154" s="342">
        <v>22</v>
      </c>
      <c r="G154" s="342"/>
      <c r="H154" s="342">
        <v>23</v>
      </c>
      <c r="I154" s="342">
        <v>22</v>
      </c>
      <c r="J154" s="342">
        <v>22</v>
      </c>
      <c r="K154" s="342"/>
      <c r="L154" s="342"/>
    </row>
    <row r="155" spans="1:12" s="13" customFormat="1" outlineLevel="2" x14ac:dyDescent="0.25">
      <c r="B155" s="103"/>
      <c r="C155" s="357"/>
      <c r="D155" s="470"/>
      <c r="E155" s="471" t="s">
        <v>61</v>
      </c>
      <c r="F155" s="472"/>
      <c r="G155" s="472"/>
      <c r="H155" s="472"/>
      <c r="I155" s="472"/>
      <c r="J155" s="472"/>
      <c r="K155" s="472"/>
      <c r="L155" s="473"/>
    </row>
    <row r="156" spans="1:12" s="13" customFormat="1" x14ac:dyDescent="0.25">
      <c r="A156" s="343" t="s">
        <v>153</v>
      </c>
      <c r="B156" s="384"/>
      <c r="C156" s="404"/>
      <c r="D156" s="376" t="s">
        <v>31</v>
      </c>
      <c r="E156" s="344"/>
      <c r="F156" s="345"/>
      <c r="G156" s="345"/>
      <c r="H156" s="345"/>
      <c r="I156" s="345"/>
      <c r="J156" s="345"/>
      <c r="K156" s="345"/>
      <c r="L156" s="346"/>
    </row>
    <row r="157" spans="1:12" s="13" customFormat="1" outlineLevel="1" x14ac:dyDescent="0.25">
      <c r="B157" s="103"/>
      <c r="C157" s="166" t="s">
        <v>14</v>
      </c>
      <c r="D157" s="374" t="s">
        <v>147</v>
      </c>
      <c r="E157" s="340" t="s">
        <v>16</v>
      </c>
      <c r="F157" s="324" t="str">
        <f t="array" aca="1" ref="F157" ca="1">HYPERLINK(CONCATENATE(Cartelle!$D$5,F$1,"/",$C157,"/",MID($D157,1,FIND("_",$D157)-1),"/",INDIRECT(CONCATENATE("'" &amp; $C157 &amp; "'!",ADDRESS(MATCH($D157, INDIRECT("'" &amp; $C157 &amp; "'!$B:$B"), 0),MATCH(F$1, INDIRECT("'" &amp; $C157 &amp; "'!$1:$1"), 0)))),".",INDIRECT(CONCATENATE("'"&amp;$C157&amp;"'!",ADDRESS(MATCH($D157,INDIRECT("'"&amp;$C157&amp;"'!$B:$B"),0),3))),"#page=",F158),CONCATENATE("#Sharepoint//",$D157))</f>
        <v>#Sharepoint//FRS_Aux Electrical Supply</v>
      </c>
      <c r="G157" s="324"/>
      <c r="H157" s="324" t="str">
        <f t="array" aca="1" ref="H157" ca="1">HYPERLINK(CONCATENATE(Cartelle!$D$5,INDEX(INDIRECT("'" &amp; $C157 &amp; "'!$1:$1"), 1, MATCH(INDIRECT(CONCATENATE("'" &amp; $C157 &amp; "'!",ADDRESS(MATCH($D157, INDIRECT("'" &amp; $C157 &amp; "'!$B:$B"), 0),MATCH(H$1, INDIRECT("'" &amp; $C157 &amp; "'!$1:$1"), 0)))),INDIRECT(CONCATENATE("'" &amp; $C157 &amp; "'!",MATCH($D157, INDIRECT("'" &amp; $C157 &amp; "'!$B:$B"), 0),":",MATCH($D157, INDIRECT("'" &amp; $C157 &amp; "'!$B:$B"), 0))),0)),"/",$C157,"/",MID($D157,1,FIND("_",$D157)-1),"/",INDIRECT(CONCATENATE("'" &amp; $C157 &amp; "'!",ADDRESS(MATCH($D157, INDIRECT("'" &amp; $C157 &amp; "'!$B:$B"), 0),MATCH(H$1, INDIRECT("'" &amp; $C157 &amp; "'!$1:$1"), 0)))),".",INDIRECT(CONCATENATE("'"&amp;$C157&amp;"'!",ADDRESS(MATCH($D157,INDIRECT("'"&amp;$C157&amp;"'!$B:$B"),0),3))),"#page=",H158),CONCATENATE("#Sharepoint//",$D157))</f>
        <v>#Sharepoint//FRS_Aux Electrical Supply</v>
      </c>
      <c r="I157" s="324" t="str">
        <f t="array" aca="1" ref="I157" ca="1">HYPERLINK(CONCATENATE(Cartelle!$D$5,INDEX(INDIRECT("'" &amp; $C157 &amp; "'!$1:$1"), 1, MATCH(INDIRECT(CONCATENATE("'" &amp; $C157 &amp; "'!",ADDRESS(MATCH($D157, INDIRECT("'" &amp; $C157 &amp; "'!$B:$B"), 0),MATCH(I$1, INDIRECT("'" &amp; $C157 &amp; "'!$1:$1"), 0)))),INDIRECT(CONCATENATE("'" &amp; $C157 &amp; "'!",MATCH($D157, INDIRECT("'" &amp; $C157 &amp; "'!$B:$B"), 0),":",MATCH($D157, INDIRECT("'" &amp; $C157 &amp; "'!$B:$B"), 0))),0)),"/",$C157,"/",MID($D157,1,FIND("_",$D157)-1),"/",INDIRECT(CONCATENATE("'" &amp; $C157 &amp; "'!",ADDRESS(MATCH($D157, INDIRECT("'" &amp; $C157 &amp; "'!$B:$B"), 0),MATCH(I$1, INDIRECT("'" &amp; $C157 &amp; "'!$1:$1"), 0)))),".",INDIRECT(CONCATENATE("'"&amp;$C157&amp;"'!",ADDRESS(MATCH($D157,INDIRECT("'"&amp;$C157&amp;"'!$B:$B"),0),3))),"#page=",I158),CONCATENATE("#Sharepoint//",$D157))</f>
        <v>#Sharepoint//FRS_Aux Electrical Supply</v>
      </c>
      <c r="J157" s="324" t="str">
        <f t="array" aca="1" ref="J157" ca="1">HYPERLINK(CONCATENATE(Cartelle!$D$5,INDEX(INDIRECT("'" &amp; $C157 &amp; "'!$1:$1"), 1, MATCH(INDIRECT(CONCATENATE("'" &amp; $C157 &amp; "'!",ADDRESS(MATCH($D157, INDIRECT("'" &amp; $C157 &amp; "'!$B:$B"), 0),MATCH(J$1, INDIRECT("'" &amp; $C157 &amp; "'!$1:$1"), 0)))),INDIRECT(CONCATENATE("'" &amp; $C157 &amp; "'!",MATCH($D157, INDIRECT("'" &amp; $C157 &amp; "'!$B:$B"), 0),":",MATCH($D157, INDIRECT("'" &amp; $C157 &amp; "'!$B:$B"), 0))),0)),"/",$C157,"/",MID($D157,1,FIND("_",$D157)-1),"/",INDIRECT(CONCATENATE("'" &amp; $C157 &amp; "'!",ADDRESS(MATCH($D157, INDIRECT("'" &amp; $C157 &amp; "'!$B:$B"), 0),MATCH(J$1, INDIRECT("'" &amp; $C157 &amp; "'!$1:$1"), 0)))),".",INDIRECT(CONCATENATE("'"&amp;$C157&amp;"'!",ADDRESS(MATCH($D157,INDIRECT("'"&amp;$C157&amp;"'!$B:$B"),0),3))),"#page=",J158),CONCATENATE("#Sharepoint//",$D157))</f>
        <v>#Sharepoint//FRS_Aux Electrical Supply</v>
      </c>
      <c r="K157" s="322"/>
      <c r="L157" s="322"/>
    </row>
    <row r="158" spans="1:12" s="13" customFormat="1" outlineLevel="2" x14ac:dyDescent="0.25">
      <c r="B158" s="103"/>
      <c r="C158" s="349"/>
      <c r="D158" s="375"/>
      <c r="E158" s="341" t="s">
        <v>17</v>
      </c>
      <c r="F158" s="342">
        <v>23</v>
      </c>
      <c r="G158" s="342"/>
      <c r="H158" s="342">
        <v>24</v>
      </c>
      <c r="I158" s="342">
        <v>23</v>
      </c>
      <c r="J158" s="342">
        <v>23</v>
      </c>
      <c r="K158" s="342"/>
      <c r="L158" s="342"/>
    </row>
    <row r="159" spans="1:12" s="13" customFormat="1" outlineLevel="2" x14ac:dyDescent="0.25">
      <c r="B159" s="103"/>
      <c r="C159" s="357"/>
      <c r="D159" s="470"/>
      <c r="E159" s="471" t="s">
        <v>61</v>
      </c>
      <c r="F159" s="472"/>
      <c r="G159" s="472"/>
      <c r="H159" s="472"/>
      <c r="I159" s="472"/>
      <c r="J159" s="472"/>
      <c r="K159" s="472"/>
      <c r="L159" s="473"/>
    </row>
    <row r="160" spans="1:12" s="13" customFormat="1" x14ac:dyDescent="0.25">
      <c r="A160" s="343" t="s">
        <v>154</v>
      </c>
      <c r="B160" s="384"/>
      <c r="C160" s="404"/>
      <c r="D160" s="376" t="s">
        <v>31</v>
      </c>
      <c r="E160" s="344"/>
      <c r="F160" s="345"/>
      <c r="G160" s="345"/>
      <c r="H160" s="345"/>
      <c r="I160" s="345"/>
      <c r="J160" s="345"/>
      <c r="K160" s="345"/>
      <c r="L160" s="346"/>
    </row>
    <row r="161" spans="1:12" s="13" customFormat="1" outlineLevel="1" x14ac:dyDescent="0.25">
      <c r="B161" s="103"/>
      <c r="C161" s="166" t="s">
        <v>14</v>
      </c>
      <c r="D161" s="374" t="s">
        <v>147</v>
      </c>
      <c r="E161" s="340" t="s">
        <v>16</v>
      </c>
      <c r="F161" s="324" t="str">
        <f t="array" aca="1" ref="F161" ca="1">HYPERLINK(CONCATENATE(Cartelle!$D$5,F$1,"/",$C161,"/",MID($D161,1,FIND("_",$D161)-1),"/",INDIRECT(CONCATENATE("'" &amp; $C161 &amp; "'!",ADDRESS(MATCH($D161, INDIRECT("'" &amp; $C161 &amp; "'!$B:$B"), 0),MATCH(F$1, INDIRECT("'" &amp; $C161 &amp; "'!$1:$1"), 0)))),".",INDIRECT(CONCATENATE("'"&amp;$C161&amp;"'!",ADDRESS(MATCH($D161,INDIRECT("'"&amp;$C161&amp;"'!$B:$B"),0),3))),"#page=",F162),CONCATENATE("#Sharepoint//",$D161))</f>
        <v>#Sharepoint//FRS_Aux Electrical Supply</v>
      </c>
      <c r="G161" s="324"/>
      <c r="H161" s="324" t="str">
        <f t="array" aca="1" ref="H161" ca="1">HYPERLINK(CONCATENATE(Cartelle!$D$5,INDEX(INDIRECT("'" &amp; $C161 &amp; "'!$1:$1"), 1, MATCH(INDIRECT(CONCATENATE("'" &amp; $C161 &amp; "'!",ADDRESS(MATCH($D161, INDIRECT("'" &amp; $C161 &amp; "'!$B:$B"), 0),MATCH(H$1, INDIRECT("'" &amp; $C161 &amp; "'!$1:$1"), 0)))),INDIRECT(CONCATENATE("'" &amp; $C161 &amp; "'!",MATCH($D161, INDIRECT("'" &amp; $C161 &amp; "'!$B:$B"), 0),":",MATCH($D161, INDIRECT("'" &amp; $C161 &amp; "'!$B:$B"), 0))),0)),"/",$C161,"/",MID($D161,1,FIND("_",$D161)-1),"/",INDIRECT(CONCATENATE("'" &amp; $C161 &amp; "'!",ADDRESS(MATCH($D161, INDIRECT("'" &amp; $C161 &amp; "'!$B:$B"), 0),MATCH(H$1, INDIRECT("'" &amp; $C161 &amp; "'!$1:$1"), 0)))),".",INDIRECT(CONCATENATE("'"&amp;$C161&amp;"'!",ADDRESS(MATCH($D161,INDIRECT("'"&amp;$C161&amp;"'!$B:$B"),0),3))),"#page=",H162),CONCATENATE("#Sharepoint//",$D161))</f>
        <v>#Sharepoint//FRS_Aux Electrical Supply</v>
      </c>
      <c r="I161" s="324" t="str">
        <f t="array" aca="1" ref="I161" ca="1">HYPERLINK(CONCATENATE(Cartelle!$D$5,INDEX(INDIRECT("'" &amp; $C161 &amp; "'!$1:$1"), 1, MATCH(INDIRECT(CONCATENATE("'" &amp; $C161 &amp; "'!",ADDRESS(MATCH($D161, INDIRECT("'" &amp; $C161 &amp; "'!$B:$B"), 0),MATCH(I$1, INDIRECT("'" &amp; $C161 &amp; "'!$1:$1"), 0)))),INDIRECT(CONCATENATE("'" &amp; $C161 &amp; "'!",MATCH($D161, INDIRECT("'" &amp; $C161 &amp; "'!$B:$B"), 0),":",MATCH($D161, INDIRECT("'" &amp; $C161 &amp; "'!$B:$B"), 0))),0)),"/",$C161,"/",MID($D161,1,FIND("_",$D161)-1),"/",INDIRECT(CONCATENATE("'" &amp; $C161 &amp; "'!",ADDRESS(MATCH($D161, INDIRECT("'" &amp; $C161 &amp; "'!$B:$B"), 0),MATCH(I$1, INDIRECT("'" &amp; $C161 &amp; "'!$1:$1"), 0)))),".",INDIRECT(CONCATENATE("'"&amp;$C161&amp;"'!",ADDRESS(MATCH($D161,INDIRECT("'"&amp;$C161&amp;"'!$B:$B"),0),3))),"#page=",I162),CONCATENATE("#Sharepoint//",$D161))</f>
        <v>#Sharepoint//FRS_Aux Electrical Supply</v>
      </c>
      <c r="J161" s="324" t="str">
        <f t="array" aca="1" ref="J161" ca="1">HYPERLINK(CONCATENATE(Cartelle!$D$5,INDEX(INDIRECT("'" &amp; $C161 &amp; "'!$1:$1"), 1, MATCH(INDIRECT(CONCATENATE("'" &amp; $C161 &amp; "'!",ADDRESS(MATCH($D161, INDIRECT("'" &amp; $C161 &amp; "'!$B:$B"), 0),MATCH(J$1, INDIRECT("'" &amp; $C161 &amp; "'!$1:$1"), 0)))),INDIRECT(CONCATENATE("'" &amp; $C161 &amp; "'!",MATCH($D161, INDIRECT("'" &amp; $C161 &amp; "'!$B:$B"), 0),":",MATCH($D161, INDIRECT("'" &amp; $C161 &amp; "'!$B:$B"), 0))),0)),"/",$C161,"/",MID($D161,1,FIND("_",$D161)-1),"/",INDIRECT(CONCATENATE("'" &amp; $C161 &amp; "'!",ADDRESS(MATCH($D161, INDIRECT("'" &amp; $C161 &amp; "'!$B:$B"), 0),MATCH(J$1, INDIRECT("'" &amp; $C161 &amp; "'!$1:$1"), 0)))),".",INDIRECT(CONCATENATE("'"&amp;$C161&amp;"'!",ADDRESS(MATCH($D161,INDIRECT("'"&amp;$C161&amp;"'!$B:$B"),0),3))),"#page=",J162),CONCATENATE("#Sharepoint//",$D161))</f>
        <v>#Sharepoint//FRS_Aux Electrical Supply</v>
      </c>
      <c r="K161" s="322"/>
      <c r="L161" s="322"/>
    </row>
    <row r="162" spans="1:12" s="13" customFormat="1" outlineLevel="2" x14ac:dyDescent="0.25">
      <c r="B162" s="103"/>
      <c r="C162" s="357"/>
      <c r="D162" s="377"/>
      <c r="E162" s="347" t="s">
        <v>17</v>
      </c>
      <c r="F162" s="348">
        <v>24</v>
      </c>
      <c r="G162" s="348">
        <v>24</v>
      </c>
      <c r="H162" s="348">
        <v>25</v>
      </c>
      <c r="I162" s="348">
        <v>24</v>
      </c>
      <c r="J162" s="348">
        <v>24</v>
      </c>
      <c r="K162" s="348"/>
      <c r="L162" s="348"/>
    </row>
    <row r="163" spans="1:12" s="13" customFormat="1" outlineLevel="2" x14ac:dyDescent="0.25">
      <c r="B163" s="103"/>
      <c r="C163" s="357"/>
      <c r="D163" s="470"/>
      <c r="E163" s="471" t="s">
        <v>61</v>
      </c>
      <c r="F163" s="472"/>
      <c r="G163" s="472"/>
      <c r="H163" s="472"/>
      <c r="I163" s="472"/>
      <c r="J163" s="472"/>
      <c r="K163" s="472"/>
      <c r="L163" s="473"/>
    </row>
    <row r="164" spans="1:12" x14ac:dyDescent="0.25">
      <c r="A164" s="350" t="s">
        <v>155</v>
      </c>
      <c r="B164" s="385"/>
      <c r="C164" s="404"/>
      <c r="D164" s="378" t="s">
        <v>31</v>
      </c>
      <c r="E164" s="351"/>
      <c r="F164" s="352"/>
      <c r="G164" s="352"/>
      <c r="H164" s="352"/>
      <c r="I164" s="352"/>
      <c r="J164" s="352"/>
      <c r="K164" s="352"/>
      <c r="L164" s="353"/>
    </row>
    <row r="165" spans="1:12" outlineLevel="1" x14ac:dyDescent="0.25">
      <c r="B165" s="386"/>
      <c r="C165" s="166" t="s">
        <v>14</v>
      </c>
      <c r="D165" s="379" t="s">
        <v>156</v>
      </c>
      <c r="E165" s="354" t="s">
        <v>16</v>
      </c>
      <c r="F165" s="324" t="str">
        <f t="array" aca="1" ref="F165" ca="1">HYPERLINK(CONCATENATE(Cartelle!$D$5,F$1,"/",$C165,"/",MID($D165,1,FIND("_",$D165)-1),"/",INDIRECT(CONCATENATE("'" &amp; $C165 &amp; "'!",ADDRESS(MATCH($D165, INDIRECT("'" &amp; $C165 &amp; "'!$B:$B"), 0),MATCH(F$1, INDIRECT("'" &amp; $C165 &amp; "'!$1:$1"), 0)))),".",INDIRECT(CONCATENATE("'"&amp;$C165&amp;"'!",ADDRESS(MATCH($D165,INDIRECT("'"&amp;$C165&amp;"'!$B:$B"),0),3))),"#page=",F166),CONCATENATE("#Sharepoint//",$D165))</f>
        <v>#Sharepoint//FRS_Battery</v>
      </c>
      <c r="G165" s="324"/>
      <c r="H165" s="324"/>
      <c r="I165" s="324"/>
      <c r="J165" s="324" t="str">
        <f t="array" aca="1" ref="J165" ca="1">HYPERLINK(CONCATENATE(Cartelle!$D$5,INDEX(INDIRECT("'" &amp; $C165 &amp; "'!$1:$1"), 1, MATCH(INDIRECT(CONCATENATE("'" &amp; $C165 &amp; "'!",ADDRESS(MATCH($D165, INDIRECT("'" &amp; $C165 &amp; "'!$B:$B"), 0),MATCH(J$1, INDIRECT("'" &amp; $C165 &amp; "'!$1:$1"), 0)))),INDIRECT(CONCATENATE("'" &amp; $C165 &amp; "'!",MATCH($D165, INDIRECT("'" &amp; $C165 &amp; "'!$B:$B"), 0),":",MATCH($D165, INDIRECT("'" &amp; $C165 &amp; "'!$B:$B"), 0))),0)),"/",$C165,"/",MID($D165,1,FIND("_",$D165)-1),"/",INDIRECT(CONCATENATE("'" &amp; $C165 &amp; "'!",ADDRESS(MATCH($D165, INDIRECT("'" &amp; $C165 &amp; "'!$B:$B"), 0),MATCH(J$1, INDIRECT("'" &amp; $C165 &amp; "'!$1:$1"), 0)))),".",INDIRECT(CONCATENATE("'"&amp;$C165&amp;"'!",ADDRESS(MATCH($D165,INDIRECT("'"&amp;$C165&amp;"'!$B:$B"),0),3))),"#page=",J166),CONCATENATE("#Sharepoint//",$D165))</f>
        <v>#Sharepoint//FRS_Battery</v>
      </c>
      <c r="K165" s="356"/>
      <c r="L165" s="356"/>
    </row>
    <row r="166" spans="1:12" outlineLevel="2" x14ac:dyDescent="0.25">
      <c r="B166" s="386"/>
      <c r="D166" s="380"/>
      <c r="E166" s="358" t="s">
        <v>17</v>
      </c>
      <c r="F166" s="359">
        <v>8</v>
      </c>
      <c r="G166" s="359">
        <v>8</v>
      </c>
      <c r="H166" s="359">
        <v>8</v>
      </c>
      <c r="I166" s="359">
        <v>8</v>
      </c>
      <c r="J166" s="359">
        <v>8</v>
      </c>
      <c r="K166" s="359"/>
      <c r="L166" s="359"/>
    </row>
    <row r="167" spans="1:12" s="13" customFormat="1" outlineLevel="2" x14ac:dyDescent="0.25">
      <c r="B167" s="103"/>
      <c r="C167" s="357"/>
      <c r="D167" s="470"/>
      <c r="E167" s="471" t="s">
        <v>61</v>
      </c>
      <c r="F167" s="472"/>
      <c r="G167" s="472"/>
      <c r="H167" s="472"/>
      <c r="I167" s="472"/>
      <c r="J167" s="472"/>
      <c r="K167" s="472"/>
      <c r="L167" s="473"/>
    </row>
    <row r="168" spans="1:12" x14ac:dyDescent="0.25">
      <c r="A168" s="360" t="s">
        <v>157</v>
      </c>
      <c r="B168" s="387"/>
      <c r="C168" s="404"/>
      <c r="D168" s="381" t="s">
        <v>31</v>
      </c>
      <c r="E168" s="361"/>
      <c r="F168" s="362"/>
      <c r="G168" s="362"/>
      <c r="H168" s="362"/>
      <c r="I168" s="362"/>
      <c r="J168" s="362"/>
      <c r="K168" s="362"/>
      <c r="L168" s="363"/>
    </row>
    <row r="169" spans="1:12" outlineLevel="1" x14ac:dyDescent="0.25">
      <c r="B169" s="386"/>
      <c r="C169" s="166" t="s">
        <v>14</v>
      </c>
      <c r="D169" s="379" t="s">
        <v>156</v>
      </c>
      <c r="E169" s="354" t="s">
        <v>16</v>
      </c>
      <c r="F169" s="324" t="str">
        <f t="array" aca="1" ref="F169" ca="1">HYPERLINK(CONCATENATE(Cartelle!$D$5,F$1,"/",$C169,"/",MID($D169,1,FIND("_",$D169)-1),"/",INDIRECT(CONCATENATE("'" &amp; $C169 &amp; "'!",ADDRESS(MATCH($D169, INDIRECT("'" &amp; $C169 &amp; "'!$B:$B"), 0),MATCH(F$1, INDIRECT("'" &amp; $C169 &amp; "'!$1:$1"), 0)))),".",INDIRECT(CONCATENATE("'"&amp;$C169&amp;"'!",ADDRESS(MATCH($D169,INDIRECT("'"&amp;$C169&amp;"'!$B:$B"),0),3))),"#page=",F170),CONCATENATE("#Sharepoint//",$D169))</f>
        <v>#Sharepoint//FRS_Battery</v>
      </c>
      <c r="G169" s="324"/>
      <c r="H169" s="324"/>
      <c r="I169" s="324"/>
      <c r="J169" s="324" t="str">
        <f t="array" aca="1" ref="J169" ca="1">HYPERLINK(CONCATENATE(Cartelle!$D$5,INDEX(INDIRECT("'" &amp; $C169 &amp; "'!$1:$1"), 1, MATCH(INDIRECT(CONCATENATE("'" &amp; $C169 &amp; "'!",ADDRESS(MATCH($D169, INDIRECT("'" &amp; $C169 &amp; "'!$B:$B"), 0),MATCH(J$1, INDIRECT("'" &amp; $C169 &amp; "'!$1:$1"), 0)))),INDIRECT(CONCATENATE("'" &amp; $C169 &amp; "'!",MATCH($D169, INDIRECT("'" &amp; $C169 &amp; "'!$B:$B"), 0),":",MATCH($D169, INDIRECT("'" &amp; $C169 &amp; "'!$B:$B"), 0))),0)),"/",$C169,"/",MID($D169,1,FIND("_",$D169)-1),"/",INDIRECT(CONCATENATE("'" &amp; $C169 &amp; "'!",ADDRESS(MATCH($D169, INDIRECT("'" &amp; $C169 &amp; "'!$B:$B"), 0),MATCH(J$1, INDIRECT("'" &amp; $C169 &amp; "'!$1:$1"), 0)))),".",INDIRECT(CONCATENATE("'"&amp;$C169&amp;"'!",ADDRESS(MATCH($D169,INDIRECT("'"&amp;$C169&amp;"'!$B:$B"),0),3))),"#page=",J170),CONCATENATE("#Sharepoint//",$D169))</f>
        <v>#Sharepoint//FRS_Battery</v>
      </c>
      <c r="K169" s="356"/>
      <c r="L169" s="356"/>
    </row>
    <row r="170" spans="1:12" outlineLevel="2" x14ac:dyDescent="0.25">
      <c r="B170" s="386"/>
      <c r="D170" s="380"/>
      <c r="E170" s="358" t="s">
        <v>17</v>
      </c>
      <c r="F170" s="359">
        <v>9</v>
      </c>
      <c r="G170" s="359"/>
      <c r="H170" s="359"/>
      <c r="I170" s="359"/>
      <c r="J170" s="359">
        <v>9</v>
      </c>
      <c r="K170" s="359"/>
      <c r="L170" s="359"/>
    </row>
    <row r="171" spans="1:12" s="13" customFormat="1" outlineLevel="2" x14ac:dyDescent="0.25">
      <c r="B171" s="103"/>
      <c r="C171" s="357"/>
      <c r="D171" s="470"/>
      <c r="E171" s="471" t="s">
        <v>61</v>
      </c>
      <c r="F171" s="472"/>
      <c r="G171" s="472"/>
      <c r="H171" s="472"/>
      <c r="I171" s="472"/>
      <c r="J171" s="472"/>
      <c r="K171" s="472"/>
      <c r="L171" s="473"/>
    </row>
    <row r="172" spans="1:12" x14ac:dyDescent="0.25">
      <c r="A172" s="360" t="s">
        <v>158</v>
      </c>
      <c r="B172" s="387"/>
      <c r="C172" s="404"/>
      <c r="D172" s="381" t="s">
        <v>31</v>
      </c>
      <c r="E172" s="361"/>
      <c r="F172" s="362"/>
      <c r="G172" s="362"/>
      <c r="H172" s="362"/>
      <c r="I172" s="362"/>
      <c r="J172" s="362"/>
      <c r="K172" s="362"/>
      <c r="L172" s="363"/>
    </row>
    <row r="173" spans="1:12" outlineLevel="1" x14ac:dyDescent="0.25">
      <c r="B173" s="386"/>
      <c r="C173" s="166" t="s">
        <v>14</v>
      </c>
      <c r="D173" s="379" t="s">
        <v>156</v>
      </c>
      <c r="E173" s="354" t="s">
        <v>16</v>
      </c>
      <c r="F173" s="324" t="str">
        <f t="array" aca="1" ref="F173" ca="1">HYPERLINK(CONCATENATE(Cartelle!$D$5,F$1,"/",$C173,"/",MID($D173,1,FIND("_",$D173)-1),"/",INDIRECT(CONCATENATE("'" &amp; $C173 &amp; "'!",ADDRESS(MATCH($D173, INDIRECT("'" &amp; $C173 &amp; "'!$B:$B"), 0),MATCH(F$1, INDIRECT("'" &amp; $C173 &amp; "'!$1:$1"), 0)))),".",INDIRECT(CONCATENATE("'"&amp;$C173&amp;"'!",ADDRESS(MATCH($D173,INDIRECT("'"&amp;$C173&amp;"'!$B:$B"),0),3))),"#page=",F174),CONCATENATE("#Sharepoint//",$D173))</f>
        <v>#Sharepoint//FRS_Battery</v>
      </c>
      <c r="G173" s="324"/>
      <c r="H173" s="324"/>
      <c r="I173" s="324"/>
      <c r="J173" s="324" t="str">
        <f t="array" aca="1" ref="J173" ca="1">HYPERLINK(CONCATENATE(Cartelle!$D$5,INDEX(INDIRECT("'" &amp; $C173 &amp; "'!$1:$1"), 1, MATCH(INDIRECT(CONCATENATE("'" &amp; $C173 &amp; "'!",ADDRESS(MATCH($D173, INDIRECT("'" &amp; $C173 &amp; "'!$B:$B"), 0),MATCH(J$1, INDIRECT("'" &amp; $C173 &amp; "'!$1:$1"), 0)))),INDIRECT(CONCATENATE("'" &amp; $C173 &amp; "'!",MATCH($D173, INDIRECT("'" &amp; $C173 &amp; "'!$B:$B"), 0),":",MATCH($D173, INDIRECT("'" &amp; $C173 &amp; "'!$B:$B"), 0))),0)),"/",$C173,"/",MID($D173,1,FIND("_",$D173)-1),"/",INDIRECT(CONCATENATE("'" &amp; $C173 &amp; "'!",ADDRESS(MATCH($D173, INDIRECT("'" &amp; $C173 &amp; "'!$B:$B"), 0),MATCH(J$1, INDIRECT("'" &amp; $C173 &amp; "'!$1:$1"), 0)))),".",INDIRECT(CONCATENATE("'"&amp;$C173&amp;"'!",ADDRESS(MATCH($D173,INDIRECT("'"&amp;$C173&amp;"'!$B:$B"),0),3))),"#page=",J174),CONCATENATE("#Sharepoint//",$D173))</f>
        <v>#Sharepoint//FRS_Battery</v>
      </c>
      <c r="K173" s="356"/>
      <c r="L173" s="356"/>
    </row>
    <row r="174" spans="1:12" outlineLevel="2" x14ac:dyDescent="0.25">
      <c r="B174" s="386"/>
      <c r="D174" s="380"/>
      <c r="E174" s="358" t="s">
        <v>17</v>
      </c>
      <c r="F174" s="359">
        <v>11</v>
      </c>
      <c r="G174" s="359"/>
      <c r="H174" s="359"/>
      <c r="I174" s="359"/>
      <c r="J174" s="359">
        <v>11</v>
      </c>
      <c r="K174" s="359"/>
      <c r="L174" s="359"/>
    </row>
    <row r="175" spans="1:12" s="13" customFormat="1" outlineLevel="2" x14ac:dyDescent="0.25">
      <c r="B175" s="103"/>
      <c r="C175" s="357"/>
      <c r="D175" s="470"/>
      <c r="E175" s="471" t="s">
        <v>61</v>
      </c>
      <c r="F175" s="472"/>
      <c r="G175" s="472"/>
      <c r="H175" s="472"/>
      <c r="I175" s="472"/>
      <c r="J175" s="472"/>
      <c r="K175" s="472"/>
      <c r="L175" s="473"/>
    </row>
    <row r="176" spans="1:12" x14ac:dyDescent="0.25">
      <c r="A176" s="360" t="s">
        <v>159</v>
      </c>
      <c r="B176" s="387"/>
      <c r="C176" s="404"/>
      <c r="D176" s="381" t="s">
        <v>31</v>
      </c>
      <c r="E176" s="361"/>
      <c r="F176" s="362"/>
      <c r="G176" s="362"/>
      <c r="H176" s="362"/>
      <c r="I176" s="362"/>
      <c r="J176" s="362"/>
      <c r="K176" s="362"/>
      <c r="L176" s="363"/>
    </row>
    <row r="177" spans="1:12" outlineLevel="1" x14ac:dyDescent="0.25">
      <c r="B177" s="386"/>
      <c r="C177" s="166" t="s">
        <v>14</v>
      </c>
      <c r="D177" s="379" t="s">
        <v>156</v>
      </c>
      <c r="E177" s="354" t="s">
        <v>16</v>
      </c>
      <c r="F177" s="324" t="str">
        <f t="array" aca="1" ref="F177" ca="1">HYPERLINK(CONCATENATE(Cartelle!$D$5,F$1,"/",$C177,"/",MID($D177,1,FIND("_",$D177)-1),"/",INDIRECT(CONCATENATE("'" &amp; $C177 &amp; "'!",ADDRESS(MATCH($D177, INDIRECT("'" &amp; $C177 &amp; "'!$B:$B"), 0),MATCH(F$1, INDIRECT("'" &amp; $C177 &amp; "'!$1:$1"), 0)))),".",INDIRECT(CONCATENATE("'"&amp;$C177&amp;"'!",ADDRESS(MATCH($D177,INDIRECT("'"&amp;$C177&amp;"'!$B:$B"),0),3))),"#page=",F178),CONCATENATE("#Sharepoint//",$D177))</f>
        <v>#Sharepoint//FRS_Battery</v>
      </c>
      <c r="G177" s="324"/>
      <c r="H177" s="324"/>
      <c r="I177" s="324"/>
      <c r="J177" s="324" t="str">
        <f t="array" aca="1" ref="J177" ca="1">HYPERLINK(CONCATENATE(Cartelle!$D$5,INDEX(INDIRECT("'" &amp; $C177 &amp; "'!$1:$1"), 1, MATCH(INDIRECT(CONCATENATE("'" &amp; $C177 &amp; "'!",ADDRESS(MATCH($D177, INDIRECT("'" &amp; $C177 &amp; "'!$B:$B"), 0),MATCH(J$1, INDIRECT("'" &amp; $C177 &amp; "'!$1:$1"), 0)))),INDIRECT(CONCATENATE("'" &amp; $C177 &amp; "'!",MATCH($D177, INDIRECT("'" &amp; $C177 &amp; "'!$B:$B"), 0),":",MATCH($D177, INDIRECT("'" &amp; $C177 &amp; "'!$B:$B"), 0))),0)),"/",$C177,"/",MID($D177,1,FIND("_",$D177)-1),"/",INDIRECT(CONCATENATE("'" &amp; $C177 &amp; "'!",ADDRESS(MATCH($D177, INDIRECT("'" &amp; $C177 &amp; "'!$B:$B"), 0),MATCH(J$1, INDIRECT("'" &amp; $C177 &amp; "'!$1:$1"), 0)))),".",INDIRECT(CONCATENATE("'"&amp;$C177&amp;"'!",ADDRESS(MATCH($D177,INDIRECT("'"&amp;$C177&amp;"'!$B:$B"),0),3))),"#page=",J178),CONCATENATE("#Sharepoint//",$D177))</f>
        <v>#Sharepoint//FRS_Battery</v>
      </c>
      <c r="K177" s="356"/>
      <c r="L177" s="356"/>
    </row>
    <row r="178" spans="1:12" outlineLevel="2" x14ac:dyDescent="0.25">
      <c r="B178" s="386"/>
      <c r="D178" s="380"/>
      <c r="E178" s="358" t="s">
        <v>17</v>
      </c>
      <c r="F178" s="359">
        <v>16</v>
      </c>
      <c r="G178" s="359"/>
      <c r="H178" s="359"/>
      <c r="I178" s="359"/>
      <c r="J178" s="359">
        <v>16</v>
      </c>
      <c r="K178" s="359"/>
      <c r="L178" s="359"/>
    </row>
    <row r="179" spans="1:12" s="13" customFormat="1" outlineLevel="2" x14ac:dyDescent="0.25">
      <c r="B179" s="103"/>
      <c r="C179" s="357"/>
      <c r="D179" s="470"/>
      <c r="E179" s="471" t="s">
        <v>61</v>
      </c>
      <c r="F179" s="472"/>
      <c r="G179" s="472"/>
      <c r="H179" s="472"/>
      <c r="I179" s="472"/>
      <c r="J179" s="472"/>
      <c r="K179" s="472"/>
      <c r="L179" s="473"/>
    </row>
    <row r="180" spans="1:12" x14ac:dyDescent="0.25">
      <c r="A180" s="360" t="s">
        <v>160</v>
      </c>
      <c r="B180" s="387"/>
      <c r="C180" s="404"/>
      <c r="D180" s="381" t="s">
        <v>31</v>
      </c>
      <c r="E180" s="361"/>
      <c r="F180" s="362"/>
      <c r="G180" s="362"/>
      <c r="H180" s="362"/>
      <c r="I180" s="362"/>
      <c r="J180" s="362"/>
      <c r="K180" s="362"/>
      <c r="L180" s="363"/>
    </row>
    <row r="181" spans="1:12" outlineLevel="1" x14ac:dyDescent="0.25">
      <c r="B181" s="386"/>
      <c r="C181" s="166" t="s">
        <v>14</v>
      </c>
      <c r="D181" s="379" t="s">
        <v>156</v>
      </c>
      <c r="E181" s="354" t="s">
        <v>16</v>
      </c>
      <c r="F181" s="324" t="str">
        <f t="array" aca="1" ref="F181" ca="1">HYPERLINK(CONCATENATE(Cartelle!$D$5,F$1,"/",$C181,"/",MID($D181,1,FIND("_",$D181)-1),"/",INDIRECT(CONCATENATE("'" &amp; $C181 &amp; "'!",ADDRESS(MATCH($D181, INDIRECT("'" &amp; $C181 &amp; "'!$B:$B"), 0),MATCH(F$1, INDIRECT("'" &amp; $C181 &amp; "'!$1:$1"), 0)))),".",INDIRECT(CONCATENATE("'"&amp;$C181&amp;"'!",ADDRESS(MATCH($D181,INDIRECT("'"&amp;$C181&amp;"'!$B:$B"),0),3))),"#page=",F182),CONCATENATE("#Sharepoint//",$D181))</f>
        <v>#Sharepoint//FRS_Battery</v>
      </c>
      <c r="G181" s="324"/>
      <c r="H181" s="324"/>
      <c r="I181" s="324"/>
      <c r="J181" s="324" t="str">
        <f t="array" aca="1" ref="J181" ca="1">HYPERLINK(CONCATENATE(Cartelle!$D$5,INDEX(INDIRECT("'" &amp; $C181 &amp; "'!$1:$1"), 1, MATCH(INDIRECT(CONCATENATE("'" &amp; $C181 &amp; "'!",ADDRESS(MATCH($D181, INDIRECT("'" &amp; $C181 &amp; "'!$B:$B"), 0),MATCH(J$1, INDIRECT("'" &amp; $C181 &amp; "'!$1:$1"), 0)))),INDIRECT(CONCATENATE("'" &amp; $C181 &amp; "'!",MATCH($D181, INDIRECT("'" &amp; $C181 &amp; "'!$B:$B"), 0),":",MATCH($D181, INDIRECT("'" &amp; $C181 &amp; "'!$B:$B"), 0))),0)),"/",$C181,"/",MID($D181,1,FIND("_",$D181)-1),"/",INDIRECT(CONCATENATE("'" &amp; $C181 &amp; "'!",ADDRESS(MATCH($D181, INDIRECT("'" &amp; $C181 &amp; "'!$B:$B"), 0),MATCH(J$1, INDIRECT("'" &amp; $C181 &amp; "'!$1:$1"), 0)))),".",INDIRECT(CONCATENATE("'"&amp;$C181&amp;"'!",ADDRESS(MATCH($D181,INDIRECT("'"&amp;$C181&amp;"'!$B:$B"),0),3))),"#page=",J182),CONCATENATE("#Sharepoint//",$D181))</f>
        <v>#Sharepoint//FRS_Battery</v>
      </c>
      <c r="K181" s="356"/>
      <c r="L181" s="356"/>
    </row>
    <row r="182" spans="1:12" outlineLevel="2" x14ac:dyDescent="0.25">
      <c r="B182" s="386"/>
      <c r="D182" s="380"/>
      <c r="E182" s="358" t="s">
        <v>17</v>
      </c>
      <c r="F182" s="359">
        <v>19</v>
      </c>
      <c r="G182" s="359"/>
      <c r="H182" s="359"/>
      <c r="I182" s="359"/>
      <c r="J182" s="359">
        <v>19</v>
      </c>
      <c r="K182" s="359"/>
      <c r="L182" s="359"/>
    </row>
    <row r="183" spans="1:12" s="13" customFormat="1" outlineLevel="2" x14ac:dyDescent="0.25">
      <c r="B183" s="103"/>
      <c r="C183" s="357"/>
      <c r="D183" s="470"/>
      <c r="E183" s="471" t="s">
        <v>61</v>
      </c>
      <c r="F183" s="472"/>
      <c r="G183" s="472"/>
      <c r="H183" s="472"/>
      <c r="I183" s="472"/>
      <c r="J183" s="472"/>
      <c r="K183" s="472"/>
      <c r="L183" s="473"/>
    </row>
    <row r="184" spans="1:12" x14ac:dyDescent="0.25">
      <c r="A184" s="360" t="s">
        <v>161</v>
      </c>
      <c r="B184" s="387"/>
      <c r="C184" s="404"/>
      <c r="D184" s="381" t="s">
        <v>31</v>
      </c>
      <c r="E184" s="361"/>
      <c r="F184" s="362"/>
      <c r="G184" s="362"/>
      <c r="H184" s="362"/>
      <c r="I184" s="362"/>
      <c r="J184" s="362"/>
      <c r="K184" s="362"/>
      <c r="L184" s="363"/>
    </row>
    <row r="185" spans="1:12" outlineLevel="1" x14ac:dyDescent="0.25">
      <c r="B185" s="386"/>
      <c r="C185" s="166" t="s">
        <v>14</v>
      </c>
      <c r="D185" s="379" t="s">
        <v>156</v>
      </c>
      <c r="E185" s="354" t="s">
        <v>16</v>
      </c>
      <c r="F185" s="324" t="str">
        <f t="array" aca="1" ref="F185" ca="1">HYPERLINK(CONCATENATE(Cartelle!$D$5,F$1,"/",$C185,"/",MID($D185,1,FIND("_",$D185)-1),"/",INDIRECT(CONCATENATE("'" &amp; $C185 &amp; "'!",ADDRESS(MATCH($D185, INDIRECT("'" &amp; $C185 &amp; "'!$B:$B"), 0),MATCH(F$1, INDIRECT("'" &amp; $C185 &amp; "'!$1:$1"), 0)))),".",INDIRECT(CONCATENATE("'"&amp;$C185&amp;"'!",ADDRESS(MATCH($D185,INDIRECT("'"&amp;$C185&amp;"'!$B:$B"),0),3))),"#page=",F186),CONCATENATE("#Sharepoint//",$D185))</f>
        <v>#Sharepoint//FRS_Battery</v>
      </c>
      <c r="G185" s="324"/>
      <c r="H185" s="324"/>
      <c r="I185" s="324"/>
      <c r="J185" s="324" t="str">
        <f t="array" aca="1" ref="J185" ca="1">HYPERLINK(CONCATENATE(Cartelle!$D$5,INDEX(INDIRECT("'" &amp; $C185 &amp; "'!$1:$1"), 1, MATCH(INDIRECT(CONCATENATE("'" &amp; $C185 &amp; "'!",ADDRESS(MATCH($D185, INDIRECT("'" &amp; $C185 &amp; "'!$B:$B"), 0),MATCH(J$1, INDIRECT("'" &amp; $C185 &amp; "'!$1:$1"), 0)))),INDIRECT(CONCATENATE("'" &amp; $C185 &amp; "'!",MATCH($D185, INDIRECT("'" &amp; $C185 &amp; "'!$B:$B"), 0),":",MATCH($D185, INDIRECT("'" &amp; $C185 &amp; "'!$B:$B"), 0))),0)),"/",$C185,"/",MID($D185,1,FIND("_",$D185)-1),"/",INDIRECT(CONCATENATE("'" &amp; $C185 &amp; "'!",ADDRESS(MATCH($D185, INDIRECT("'" &amp; $C185 &amp; "'!$B:$B"), 0),MATCH(J$1, INDIRECT("'" &amp; $C185 &amp; "'!$1:$1"), 0)))),".",INDIRECT(CONCATENATE("'"&amp;$C185&amp;"'!",ADDRESS(MATCH($D185,INDIRECT("'"&amp;$C185&amp;"'!$B:$B"),0),3))),"#page=",J186),CONCATENATE("#Sharepoint//",$D185))</f>
        <v>#Sharepoint//FRS_Battery</v>
      </c>
      <c r="K185" s="356"/>
      <c r="L185" s="356"/>
    </row>
    <row r="186" spans="1:12" outlineLevel="2" x14ac:dyDescent="0.25">
      <c r="B186" s="386"/>
      <c r="D186" s="382"/>
      <c r="E186" s="364" t="s">
        <v>17</v>
      </c>
      <c r="F186" s="365">
        <v>21</v>
      </c>
      <c r="G186" s="365">
        <v>21</v>
      </c>
      <c r="H186" s="365">
        <v>21</v>
      </c>
      <c r="I186" s="365">
        <v>21</v>
      </c>
      <c r="J186" s="365">
        <v>21</v>
      </c>
      <c r="K186" s="365"/>
      <c r="L186" s="365"/>
    </row>
    <row r="187" spans="1:12" s="13" customFormat="1" outlineLevel="2" x14ac:dyDescent="0.25">
      <c r="B187" s="103"/>
      <c r="C187" s="357"/>
      <c r="D187" s="470"/>
      <c r="E187" s="471" t="s">
        <v>61</v>
      </c>
      <c r="F187" s="472"/>
      <c r="G187" s="472"/>
      <c r="H187" s="472"/>
      <c r="I187" s="472"/>
      <c r="J187" s="472"/>
      <c r="K187" s="472"/>
      <c r="L187" s="473"/>
    </row>
    <row r="188" spans="1:12" x14ac:dyDescent="0.25">
      <c r="A188" s="350" t="s">
        <v>162</v>
      </c>
      <c r="B188" s="385"/>
      <c r="C188" s="404"/>
      <c r="D188" s="378" t="s">
        <v>31</v>
      </c>
      <c r="E188" s="351"/>
      <c r="F188" s="352"/>
      <c r="G188" s="352"/>
      <c r="H188" s="352"/>
      <c r="I188" s="352"/>
      <c r="J188" s="352"/>
      <c r="K188" s="352"/>
      <c r="L188" s="353"/>
    </row>
    <row r="189" spans="1:12" outlineLevel="1" x14ac:dyDescent="0.25">
      <c r="B189" s="386"/>
      <c r="C189" s="166" t="s">
        <v>14</v>
      </c>
      <c r="D189" s="379" t="s">
        <v>163</v>
      </c>
      <c r="E189" s="354" t="s">
        <v>16</v>
      </c>
      <c r="F189" s="324" t="str">
        <f t="array" aca="1" ref="F189" ca="1">HYPERLINK(CONCATENATE(Cartelle!$D$5,F$1,"/",$C189,"/",MID($D189,1,FIND("_",$D189)-1),"/",INDIRECT(CONCATENATE("'" &amp; $C189 &amp; "'!",ADDRESS(MATCH($D189, INDIRECT("'" &amp; $C189 &amp; "'!$B:$B"), 0),MATCH(F$1, INDIRECT("'" &amp; $C189 &amp; "'!$1:$1"), 0)))),".",INDIRECT(CONCATENATE("'"&amp;$C189&amp;"'!",ADDRESS(MATCH($D189,INDIRECT("'"&amp;$C189&amp;"'!$B:$B"),0),3))),"#page=",F190),CONCATENATE("#Sharepoint//",$D189))</f>
        <v>#Sharepoint//FRS_Air Supply</v>
      </c>
      <c r="G189" s="324" t="str">
        <f t="array" aca="1" ref="G189" ca="1">HYPERLINK(CONCATENATE(Cartelle!$D$5,INDEX(INDIRECT("'" &amp; $C189 &amp; "'!$1:$1"), 1, MATCH(INDIRECT(CONCATENATE("'" &amp; $C189 &amp; "'!",ADDRESS(MATCH($D189, INDIRECT("'" &amp; $C189 &amp; "'!$B:$B"), 0),MATCH(G$1, INDIRECT("'" &amp; $C189 &amp; "'!$1:$1"), 0)))),INDIRECT(CONCATENATE("'" &amp; $C189 &amp; "'!",MATCH($D189, INDIRECT("'" &amp; $C189 &amp; "'!$B:$B"), 0),":",MATCH($D189, INDIRECT("'" &amp; $C189 &amp; "'!$B:$B"), 0))),0)),"/",$C189,"/",MID($D189,1,FIND("_",$D189)-1),"/",INDIRECT(CONCATENATE("'" &amp; $C189 &amp; "'!",ADDRESS(MATCH($D189, INDIRECT("'" &amp; $C189 &amp; "'!$B:$B"), 0),MATCH(G$1, INDIRECT("'" &amp; $C189 &amp; "'!$1:$1"), 0)))),".",INDIRECT(CONCATENATE("'"&amp;$C189&amp;"'!",ADDRESS(MATCH($D189,INDIRECT("'"&amp;$C189&amp;"'!$B:$B"),0),3))),"#page=",G190),CONCATENATE("#Sharepoint//",$D189))</f>
        <v>#Sharepoint//FRS_Air Supply</v>
      </c>
      <c r="H189" s="355"/>
      <c r="I189" s="355"/>
      <c r="J189" s="324" t="str">
        <f t="array" aca="1" ref="J189" ca="1">HYPERLINK(CONCATENATE(Cartelle!$D$5,INDEX(INDIRECT("'" &amp; $C189 &amp; "'!$1:$1"), 1, MATCH(INDIRECT(CONCATENATE("'" &amp; $C189 &amp; "'!",ADDRESS(MATCH($D189, INDIRECT("'" &amp; $C189 &amp; "'!$B:$B"), 0),MATCH(J$1, INDIRECT("'" &amp; $C189 &amp; "'!$1:$1"), 0)))),INDIRECT(CONCATENATE("'" &amp; $C189 &amp; "'!",MATCH($D189, INDIRECT("'" &amp; $C189 &amp; "'!$B:$B"), 0),":",MATCH($D189, INDIRECT("'" &amp; $C189 &amp; "'!$B:$B"), 0))),0)),"/",$C189,"/",MID($D189,1,FIND("_",$D189)-1),"/",INDIRECT(CONCATENATE("'" &amp; $C189 &amp; "'!",ADDRESS(MATCH($D189, INDIRECT("'" &amp; $C189 &amp; "'!$B:$B"), 0),MATCH(J$1, INDIRECT("'" &amp; $C189 &amp; "'!$1:$1"), 0)))),".",INDIRECT(CONCATENATE("'"&amp;$C189&amp;"'!",ADDRESS(MATCH($D189,INDIRECT("'"&amp;$C189&amp;"'!$B:$B"),0),3))),"#page=",J190),CONCATENATE("#Sharepoint//",$D189))</f>
        <v>#Sharepoint//FRS_Air Supply</v>
      </c>
      <c r="K189" s="356"/>
      <c r="L189" s="356"/>
    </row>
    <row r="190" spans="1:12" outlineLevel="2" x14ac:dyDescent="0.25">
      <c r="B190" s="386"/>
      <c r="D190" s="383"/>
      <c r="E190" s="366" t="s">
        <v>17</v>
      </c>
      <c r="F190" s="367">
        <v>6</v>
      </c>
      <c r="G190" s="367">
        <v>6</v>
      </c>
      <c r="H190" s="367">
        <v>6</v>
      </c>
      <c r="I190" s="367">
        <v>6</v>
      </c>
      <c r="J190" s="367">
        <v>6</v>
      </c>
      <c r="K190" s="367"/>
      <c r="L190" s="367"/>
    </row>
    <row r="191" spans="1:12" s="13" customFormat="1" outlineLevel="2" x14ac:dyDescent="0.25">
      <c r="B191" s="103"/>
      <c r="C191" s="357"/>
      <c r="D191" s="470"/>
      <c r="E191" s="471" t="s">
        <v>61</v>
      </c>
      <c r="F191" s="472"/>
      <c r="G191" s="472"/>
      <c r="H191" s="472"/>
      <c r="I191" s="472"/>
      <c r="J191" s="472"/>
      <c r="K191" s="472"/>
      <c r="L191" s="473"/>
    </row>
    <row r="192" spans="1:12" x14ac:dyDescent="0.25">
      <c r="A192" s="360" t="s">
        <v>164</v>
      </c>
      <c r="B192" s="387"/>
      <c r="C192" s="404"/>
      <c r="D192" s="381" t="s">
        <v>31</v>
      </c>
      <c r="E192" s="361"/>
      <c r="F192" s="362"/>
      <c r="G192" s="362"/>
      <c r="H192" s="362"/>
      <c r="I192" s="362"/>
      <c r="J192" s="362"/>
      <c r="K192" s="362"/>
      <c r="L192" s="363"/>
    </row>
    <row r="193" spans="1:12" outlineLevel="1" x14ac:dyDescent="0.25">
      <c r="B193" s="386"/>
      <c r="C193" s="166" t="s">
        <v>14</v>
      </c>
      <c r="D193" s="379" t="s">
        <v>163</v>
      </c>
      <c r="E193" s="354" t="s">
        <v>16</v>
      </c>
      <c r="F193" s="324" t="str">
        <f t="array" aca="1" ref="F193" ca="1">HYPERLINK(CONCATENATE(Cartelle!$D$5,F$1,"/",$C193,"/",MID($D193,1,FIND("_",$D193)-1),"/",INDIRECT(CONCATENATE("'" &amp; $C193 &amp; "'!",ADDRESS(MATCH($D193, INDIRECT("'" &amp; $C193 &amp; "'!$B:$B"), 0),MATCH(F$1, INDIRECT("'" &amp; $C193 &amp; "'!$1:$1"), 0)))),".",INDIRECT(CONCATENATE("'"&amp;$C193&amp;"'!",ADDRESS(MATCH($D193,INDIRECT("'"&amp;$C193&amp;"'!$B:$B"),0),3))),"#page=",F194),CONCATENATE("#Sharepoint//",$D193))</f>
        <v>#Sharepoint//FRS_Air Supply</v>
      </c>
      <c r="G193" s="324" t="str">
        <f t="array" aca="1" ref="G193" ca="1">HYPERLINK(CONCATENATE(Cartelle!$D$5,INDEX(INDIRECT("'" &amp; $C193 &amp; "'!$1:$1"), 1, MATCH(INDIRECT(CONCATENATE("'" &amp; $C193 &amp; "'!",ADDRESS(MATCH($D193, INDIRECT("'" &amp; $C193 &amp; "'!$B:$B"), 0),MATCH(G$1, INDIRECT("'" &amp; $C193 &amp; "'!$1:$1"), 0)))),INDIRECT(CONCATENATE("'" &amp; $C193 &amp; "'!",MATCH($D193, INDIRECT("'" &amp; $C193 &amp; "'!$B:$B"), 0),":",MATCH($D193, INDIRECT("'" &amp; $C193 &amp; "'!$B:$B"), 0))),0)),"/",$C193,"/",MID($D193,1,FIND("_",$D193)-1),"/",INDIRECT(CONCATENATE("'" &amp; $C193 &amp; "'!",ADDRESS(MATCH($D193, INDIRECT("'" &amp; $C193 &amp; "'!$B:$B"), 0),MATCH(G$1, INDIRECT("'" &amp; $C193 &amp; "'!$1:$1"), 0)))),".",INDIRECT(CONCATENATE("'"&amp;$C193&amp;"'!",ADDRESS(MATCH($D193,INDIRECT("'"&amp;$C193&amp;"'!$B:$B"),0),3))),"#page=",G194),CONCATENATE("#Sharepoint//",$D193))</f>
        <v>#Sharepoint//FRS_Air Supply</v>
      </c>
      <c r="H193" s="355"/>
      <c r="I193" s="355"/>
      <c r="J193" s="324" t="str">
        <f t="array" aca="1" ref="J193" ca="1">HYPERLINK(CONCATENATE(Cartelle!$D$5,INDEX(INDIRECT("'" &amp; $C193 &amp; "'!$1:$1"), 1, MATCH(INDIRECT(CONCATENATE("'" &amp; $C193 &amp; "'!",ADDRESS(MATCH($D193, INDIRECT("'" &amp; $C193 &amp; "'!$B:$B"), 0),MATCH(J$1, INDIRECT("'" &amp; $C193 &amp; "'!$1:$1"), 0)))),INDIRECT(CONCATENATE("'" &amp; $C193 &amp; "'!",MATCH($D193, INDIRECT("'" &amp; $C193 &amp; "'!$B:$B"), 0),":",MATCH($D193, INDIRECT("'" &amp; $C193 &amp; "'!$B:$B"), 0))),0)),"/",$C193,"/",MID($D193,1,FIND("_",$D193)-1),"/",INDIRECT(CONCATENATE("'" &amp; $C193 &amp; "'!",ADDRESS(MATCH($D193, INDIRECT("'" &amp; $C193 &amp; "'!$B:$B"), 0),MATCH(J$1, INDIRECT("'" &amp; $C193 &amp; "'!$1:$1"), 0)))),".",INDIRECT(CONCATENATE("'"&amp;$C193&amp;"'!",ADDRESS(MATCH($D193,INDIRECT("'"&amp;$C193&amp;"'!$B:$B"),0),3))),"#page=",J194),CONCATENATE("#Sharepoint//",$D193))</f>
        <v>#Sharepoint//FRS_Air Supply</v>
      </c>
      <c r="K193" s="356"/>
      <c r="L193" s="356"/>
    </row>
    <row r="194" spans="1:12" outlineLevel="2" x14ac:dyDescent="0.25">
      <c r="B194" s="386"/>
      <c r="D194" s="383"/>
      <c r="E194" s="366" t="s">
        <v>17</v>
      </c>
      <c r="F194" s="367">
        <v>11</v>
      </c>
      <c r="G194" s="367">
        <v>12</v>
      </c>
      <c r="H194" s="367">
        <v>11</v>
      </c>
      <c r="I194" s="367">
        <v>12</v>
      </c>
      <c r="J194" s="367">
        <v>11</v>
      </c>
      <c r="K194" s="367"/>
      <c r="L194" s="367"/>
    </row>
    <row r="195" spans="1:12" s="13" customFormat="1" outlineLevel="2" x14ac:dyDescent="0.25">
      <c r="B195" s="103"/>
      <c r="C195" s="357"/>
      <c r="D195" s="470"/>
      <c r="E195" s="471" t="s">
        <v>61</v>
      </c>
      <c r="F195" s="472"/>
      <c r="G195" s="472"/>
      <c r="H195" s="472"/>
      <c r="I195" s="472"/>
      <c r="J195" s="472"/>
      <c r="K195" s="472"/>
      <c r="L195" s="473"/>
    </row>
    <row r="196" spans="1:12" x14ac:dyDescent="0.25">
      <c r="A196" s="360" t="s">
        <v>165</v>
      </c>
      <c r="B196" s="387"/>
      <c r="C196" s="404"/>
      <c r="D196" s="381" t="s">
        <v>31</v>
      </c>
      <c r="E196" s="361"/>
      <c r="F196" s="362"/>
      <c r="G196" s="362"/>
      <c r="H196" s="362"/>
      <c r="I196" s="362"/>
      <c r="J196" s="362"/>
      <c r="K196" s="362"/>
      <c r="L196" s="363"/>
    </row>
    <row r="197" spans="1:12" outlineLevel="1" x14ac:dyDescent="0.25">
      <c r="B197" s="386"/>
      <c r="C197" s="166" t="s">
        <v>14</v>
      </c>
      <c r="D197" s="379" t="s">
        <v>163</v>
      </c>
      <c r="E197" s="354" t="s">
        <v>16</v>
      </c>
      <c r="F197" s="324" t="str">
        <f t="array" aca="1" ref="F197" ca="1">HYPERLINK(CONCATENATE(Cartelle!$D$5,F$1,"/",$C197,"/",MID($D197,1,FIND("_",$D197)-1),"/",INDIRECT(CONCATENATE("'" &amp; $C197 &amp; "'!",ADDRESS(MATCH($D197, INDIRECT("'" &amp; $C197 &amp; "'!$B:$B"), 0),MATCH(F$1, INDIRECT("'" &amp; $C197 &amp; "'!$1:$1"), 0)))),".",INDIRECT(CONCATENATE("'"&amp;$C197&amp;"'!",ADDRESS(MATCH($D197,INDIRECT("'"&amp;$C197&amp;"'!$B:$B"),0),3))),"#page=",F198),CONCATENATE("#Sharepoint//",$D197))</f>
        <v>#Sharepoint//FRS_Air Supply</v>
      </c>
      <c r="G197" s="324" t="str">
        <f t="array" aca="1" ref="G197" ca="1">HYPERLINK(CONCATENATE(Cartelle!$D$5,INDEX(INDIRECT("'" &amp; $C197 &amp; "'!$1:$1"), 1, MATCH(INDIRECT(CONCATENATE("'" &amp; $C197 &amp; "'!",ADDRESS(MATCH($D197, INDIRECT("'" &amp; $C197 &amp; "'!$B:$B"), 0),MATCH(G$1, INDIRECT("'" &amp; $C197 &amp; "'!$1:$1"), 0)))),INDIRECT(CONCATENATE("'" &amp; $C197 &amp; "'!",MATCH($D197, INDIRECT("'" &amp; $C197 &amp; "'!$B:$B"), 0),":",MATCH($D197, INDIRECT("'" &amp; $C197 &amp; "'!$B:$B"), 0))),0)),"/",$C197,"/",MID($D197,1,FIND("_",$D197)-1),"/",INDIRECT(CONCATENATE("'" &amp; $C197 &amp; "'!",ADDRESS(MATCH($D197, INDIRECT("'" &amp; $C197 &amp; "'!$B:$B"), 0),MATCH(G$1, INDIRECT("'" &amp; $C197 &amp; "'!$1:$1"), 0)))),".",INDIRECT(CONCATENATE("'"&amp;$C197&amp;"'!",ADDRESS(MATCH($D197,INDIRECT("'"&amp;$C197&amp;"'!$B:$B"),0),3))),"#page=",G198),CONCATENATE("#Sharepoint//",$D197))</f>
        <v>#Sharepoint//FRS_Air Supply</v>
      </c>
      <c r="H197" s="355"/>
      <c r="I197" s="355"/>
      <c r="J197" s="324" t="str">
        <f t="array" aca="1" ref="J197" ca="1">HYPERLINK(CONCATENATE(Cartelle!$D$5,INDEX(INDIRECT("'" &amp; $C197 &amp; "'!$1:$1"), 1, MATCH(INDIRECT(CONCATENATE("'" &amp; $C197 &amp; "'!",ADDRESS(MATCH($D197, INDIRECT("'" &amp; $C197 &amp; "'!$B:$B"), 0),MATCH(J$1, INDIRECT("'" &amp; $C197 &amp; "'!$1:$1"), 0)))),INDIRECT(CONCATENATE("'" &amp; $C197 &amp; "'!",MATCH($D197, INDIRECT("'" &amp; $C197 &amp; "'!$B:$B"), 0),":",MATCH($D197, INDIRECT("'" &amp; $C197 &amp; "'!$B:$B"), 0))),0)),"/",$C197,"/",MID($D197,1,FIND("_",$D197)-1),"/",INDIRECT(CONCATENATE("'" &amp; $C197 &amp; "'!",ADDRESS(MATCH($D197, INDIRECT("'" &amp; $C197 &amp; "'!$B:$B"), 0),MATCH(J$1, INDIRECT("'" &amp; $C197 &amp; "'!$1:$1"), 0)))),".",INDIRECT(CONCATENATE("'"&amp;$C197&amp;"'!",ADDRESS(MATCH($D197,INDIRECT("'"&amp;$C197&amp;"'!$B:$B"),0),3))),"#page=",J198),CONCATENATE("#Sharepoint//",$D197))</f>
        <v>#Sharepoint//FRS_Air Supply</v>
      </c>
      <c r="K197" s="356"/>
      <c r="L197" s="356"/>
    </row>
    <row r="198" spans="1:12" outlineLevel="2" x14ac:dyDescent="0.25">
      <c r="B198" s="386"/>
      <c r="D198" s="383"/>
      <c r="E198" s="366" t="s">
        <v>17</v>
      </c>
      <c r="F198" s="367">
        <v>14</v>
      </c>
      <c r="G198" s="367">
        <v>14</v>
      </c>
      <c r="H198" s="367">
        <v>14</v>
      </c>
      <c r="I198" s="367">
        <v>14</v>
      </c>
      <c r="J198" s="367">
        <v>14</v>
      </c>
      <c r="K198" s="367"/>
      <c r="L198" s="367"/>
    </row>
    <row r="199" spans="1:12" s="13" customFormat="1" outlineLevel="2" x14ac:dyDescent="0.25">
      <c r="B199" s="103"/>
      <c r="C199" s="357"/>
      <c r="D199" s="470"/>
      <c r="E199" s="471" t="s">
        <v>61</v>
      </c>
      <c r="F199" s="472"/>
      <c r="G199" s="472"/>
      <c r="H199" s="472"/>
      <c r="I199" s="472"/>
      <c r="J199" s="472"/>
      <c r="K199" s="472"/>
      <c r="L199" s="473"/>
    </row>
    <row r="200" spans="1:12" x14ac:dyDescent="0.25">
      <c r="A200" s="360" t="s">
        <v>166</v>
      </c>
      <c r="B200" s="387"/>
      <c r="C200" s="404"/>
      <c r="D200" s="381" t="s">
        <v>31</v>
      </c>
      <c r="E200" s="361"/>
      <c r="F200" s="362"/>
      <c r="G200" s="362"/>
      <c r="H200" s="362"/>
      <c r="I200" s="362"/>
      <c r="J200" s="362"/>
      <c r="K200" s="362"/>
      <c r="L200" s="363"/>
    </row>
    <row r="201" spans="1:12" outlineLevel="1" x14ac:dyDescent="0.25">
      <c r="B201" s="386"/>
      <c r="C201" s="166" t="s">
        <v>14</v>
      </c>
      <c r="D201" s="379" t="s">
        <v>163</v>
      </c>
      <c r="E201" s="354" t="s">
        <v>16</v>
      </c>
      <c r="F201" s="324" t="str">
        <f t="array" aca="1" ref="F201" ca="1">HYPERLINK(CONCATENATE(Cartelle!$D$5,F$1,"/",$C201,"/",MID($D201,1,FIND("_",$D201)-1),"/",INDIRECT(CONCATENATE("'" &amp; $C201 &amp; "'!",ADDRESS(MATCH($D201, INDIRECT("'" &amp; $C201 &amp; "'!$B:$B"), 0),MATCH(F$1, INDIRECT("'" &amp; $C201 &amp; "'!$1:$1"), 0)))),".",INDIRECT(CONCATENATE("'"&amp;$C201&amp;"'!",ADDRESS(MATCH($D201,INDIRECT("'"&amp;$C201&amp;"'!$B:$B"),0),3))),"#page=",F202),CONCATENATE("#Sharepoint//",$D201))</f>
        <v>#Sharepoint//FRS_Air Supply</v>
      </c>
      <c r="G201" s="324" t="str">
        <f t="array" aca="1" ref="G201" ca="1">HYPERLINK(CONCATENATE(Cartelle!$D$5,INDEX(INDIRECT("'" &amp; $C201 &amp; "'!$1:$1"), 1, MATCH(INDIRECT(CONCATENATE("'" &amp; $C201 &amp; "'!",ADDRESS(MATCH($D201, INDIRECT("'" &amp; $C201 &amp; "'!$B:$B"), 0),MATCH(G$1, INDIRECT("'" &amp; $C201 &amp; "'!$1:$1"), 0)))),INDIRECT(CONCATENATE("'" &amp; $C201 &amp; "'!",MATCH($D201, INDIRECT("'" &amp; $C201 &amp; "'!$B:$B"), 0),":",MATCH($D201, INDIRECT("'" &amp; $C201 &amp; "'!$B:$B"), 0))),0)),"/",$C201,"/",MID($D201,1,FIND("_",$D201)-1),"/",INDIRECT(CONCATENATE("'" &amp; $C201 &amp; "'!",ADDRESS(MATCH($D201, INDIRECT("'" &amp; $C201 &amp; "'!$B:$B"), 0),MATCH(G$1, INDIRECT("'" &amp; $C201 &amp; "'!$1:$1"), 0)))),".",INDIRECT(CONCATENATE("'"&amp;$C201&amp;"'!",ADDRESS(MATCH($D201,INDIRECT("'"&amp;$C201&amp;"'!$B:$B"),0),3))),"#page=",G202),CONCATENATE("#Sharepoint//",$D201))</f>
        <v>#Sharepoint//FRS_Air Supply</v>
      </c>
      <c r="H201" s="355"/>
      <c r="I201" s="355"/>
      <c r="J201" s="324" t="str">
        <f t="array" aca="1" ref="J201" ca="1">HYPERLINK(CONCATENATE(Cartelle!$D$5,INDEX(INDIRECT("'" &amp; $C201 &amp; "'!$1:$1"), 1, MATCH(INDIRECT(CONCATENATE("'" &amp; $C201 &amp; "'!",ADDRESS(MATCH($D201, INDIRECT("'" &amp; $C201 &amp; "'!$B:$B"), 0),MATCH(J$1, INDIRECT("'" &amp; $C201 &amp; "'!$1:$1"), 0)))),INDIRECT(CONCATENATE("'" &amp; $C201 &amp; "'!",MATCH($D201, INDIRECT("'" &amp; $C201 &amp; "'!$B:$B"), 0),":",MATCH($D201, INDIRECT("'" &amp; $C201 &amp; "'!$B:$B"), 0))),0)),"/",$C201,"/",MID($D201,1,FIND("_",$D201)-1),"/",INDIRECT(CONCATENATE("'" &amp; $C201 &amp; "'!",ADDRESS(MATCH($D201, INDIRECT("'" &amp; $C201 &amp; "'!$B:$B"), 0),MATCH(J$1, INDIRECT("'" &amp; $C201 &amp; "'!$1:$1"), 0)))),".",INDIRECT(CONCATENATE("'"&amp;$C201&amp;"'!",ADDRESS(MATCH($D201,INDIRECT("'"&amp;$C201&amp;"'!$B:$B"),0),3))),"#page=",J202),CONCATENATE("#Sharepoint//",$D201))</f>
        <v>#Sharepoint//FRS_Air Supply</v>
      </c>
      <c r="K201" s="356"/>
      <c r="L201" s="356"/>
    </row>
    <row r="202" spans="1:12" outlineLevel="2" x14ac:dyDescent="0.25">
      <c r="B202" s="386"/>
      <c r="D202" s="383"/>
      <c r="E202" s="366" t="s">
        <v>17</v>
      </c>
      <c r="F202" s="367">
        <v>18</v>
      </c>
      <c r="G202" s="367">
        <v>16</v>
      </c>
      <c r="H202" s="367">
        <v>18</v>
      </c>
      <c r="I202" s="367">
        <v>16</v>
      </c>
      <c r="J202" s="367">
        <v>16</v>
      </c>
      <c r="K202" s="367"/>
      <c r="L202" s="367"/>
    </row>
    <row r="203" spans="1:12" s="13" customFormat="1" outlineLevel="2" x14ac:dyDescent="0.25">
      <c r="B203" s="103"/>
      <c r="C203" s="357"/>
      <c r="D203" s="470"/>
      <c r="E203" s="471" t="s">
        <v>61</v>
      </c>
      <c r="F203" s="472"/>
      <c r="G203" s="472"/>
      <c r="H203" s="472"/>
      <c r="I203" s="472"/>
      <c r="J203" s="472"/>
      <c r="K203" s="472"/>
      <c r="L203" s="473"/>
    </row>
    <row r="204" spans="1:12" x14ac:dyDescent="0.25">
      <c r="A204" s="360" t="s">
        <v>167</v>
      </c>
      <c r="B204" s="387"/>
      <c r="C204" s="404"/>
      <c r="D204" s="381" t="s">
        <v>31</v>
      </c>
      <c r="E204" s="361"/>
      <c r="F204" s="362"/>
      <c r="G204" s="362"/>
      <c r="H204" s="362"/>
      <c r="I204" s="362"/>
      <c r="J204" s="362"/>
      <c r="K204" s="362"/>
      <c r="L204" s="363"/>
    </row>
    <row r="205" spans="1:12" outlineLevel="1" x14ac:dyDescent="0.25">
      <c r="B205" s="386"/>
      <c r="C205" s="166" t="s">
        <v>14</v>
      </c>
      <c r="D205" s="379" t="s">
        <v>163</v>
      </c>
      <c r="E205" s="354" t="s">
        <v>16</v>
      </c>
      <c r="F205" s="324" t="str">
        <f t="array" aca="1" ref="F205" ca="1">HYPERLINK(CONCATENATE(Cartelle!$D$5,F$1,"/",$C205,"/",MID($D205,1,FIND("_",$D205)-1),"/",INDIRECT(CONCATENATE("'" &amp; $C205 &amp; "'!",ADDRESS(MATCH($D205, INDIRECT("'" &amp; $C205 &amp; "'!$B:$B"), 0),MATCH(F$1, INDIRECT("'" &amp; $C205 &amp; "'!$1:$1"), 0)))),".",INDIRECT(CONCATENATE("'"&amp;$C205&amp;"'!",ADDRESS(MATCH($D205,INDIRECT("'"&amp;$C205&amp;"'!$B:$B"),0),3))),"#page=",F206),CONCATENATE("#Sharepoint//",$D205))</f>
        <v>#Sharepoint//FRS_Air Supply</v>
      </c>
      <c r="G205" s="324" t="str">
        <f t="array" aca="1" ref="G205" ca="1">HYPERLINK(CONCATENATE(Cartelle!$D$5,INDEX(INDIRECT("'" &amp; $C205 &amp; "'!$1:$1"), 1, MATCH(INDIRECT(CONCATENATE("'" &amp; $C205 &amp; "'!",ADDRESS(MATCH($D205, INDIRECT("'" &amp; $C205 &amp; "'!$B:$B"), 0),MATCH(G$1, INDIRECT("'" &amp; $C205 &amp; "'!$1:$1"), 0)))),INDIRECT(CONCATENATE("'" &amp; $C205 &amp; "'!",MATCH($D205, INDIRECT("'" &amp; $C205 &amp; "'!$B:$B"), 0),":",MATCH($D205, INDIRECT("'" &amp; $C205 &amp; "'!$B:$B"), 0))),0)),"/",$C205,"/",MID($D205,1,FIND("_",$D205)-1),"/",INDIRECT(CONCATENATE("'" &amp; $C205 &amp; "'!",ADDRESS(MATCH($D205, INDIRECT("'" &amp; $C205 &amp; "'!$B:$B"), 0),MATCH(G$1, INDIRECT("'" &amp; $C205 &amp; "'!$1:$1"), 0)))),".",INDIRECT(CONCATENATE("'"&amp;$C205&amp;"'!",ADDRESS(MATCH($D205,INDIRECT("'"&amp;$C205&amp;"'!$B:$B"),0),3))),"#page=",G206),CONCATENATE("#Sharepoint//",$D205))</f>
        <v>#Sharepoint//FRS_Air Supply</v>
      </c>
      <c r="H205" s="355"/>
      <c r="I205" s="355"/>
      <c r="J205" s="324" t="str">
        <f t="array" aca="1" ref="J205" ca="1">HYPERLINK(CONCATENATE(Cartelle!$D$5,INDEX(INDIRECT("'" &amp; $C205 &amp; "'!$1:$1"), 1, MATCH(INDIRECT(CONCATENATE("'" &amp; $C205 &amp; "'!",ADDRESS(MATCH($D205, INDIRECT("'" &amp; $C205 &amp; "'!$B:$B"), 0),MATCH(J$1, INDIRECT("'" &amp; $C205 &amp; "'!$1:$1"), 0)))),INDIRECT(CONCATENATE("'" &amp; $C205 &amp; "'!",MATCH($D205, INDIRECT("'" &amp; $C205 &amp; "'!$B:$B"), 0),":",MATCH($D205, INDIRECT("'" &amp; $C205 &amp; "'!$B:$B"), 0))),0)),"/",$C205,"/",MID($D205,1,FIND("_",$D205)-1),"/",INDIRECT(CONCATENATE("'" &amp; $C205 &amp; "'!",ADDRESS(MATCH($D205, INDIRECT("'" &amp; $C205 &amp; "'!$B:$B"), 0),MATCH(J$1, INDIRECT("'" &amp; $C205 &amp; "'!$1:$1"), 0)))),".",INDIRECT(CONCATENATE("'"&amp;$C205&amp;"'!",ADDRESS(MATCH($D205,INDIRECT("'"&amp;$C205&amp;"'!$B:$B"),0),3))),"#page=",J206),CONCATENATE("#Sharepoint//",$D205))</f>
        <v>#Sharepoint//FRS_Air Supply</v>
      </c>
      <c r="K205" s="356"/>
      <c r="L205" s="356"/>
    </row>
    <row r="206" spans="1:12" outlineLevel="2" x14ac:dyDescent="0.25">
      <c r="B206" s="386"/>
      <c r="D206" s="383"/>
      <c r="E206" s="366" t="s">
        <v>17</v>
      </c>
      <c r="F206" s="367">
        <v>20</v>
      </c>
      <c r="G206" s="367">
        <v>18</v>
      </c>
      <c r="H206" s="367">
        <v>20</v>
      </c>
      <c r="I206" s="367">
        <v>18</v>
      </c>
      <c r="J206" s="367">
        <v>17</v>
      </c>
      <c r="K206" s="367"/>
      <c r="L206" s="367"/>
    </row>
    <row r="207" spans="1:12" s="13" customFormat="1" outlineLevel="2" x14ac:dyDescent="0.25">
      <c r="B207" s="103"/>
      <c r="C207" s="357"/>
      <c r="D207" s="470"/>
      <c r="E207" s="471" t="s">
        <v>61</v>
      </c>
      <c r="F207" s="472"/>
      <c r="G207" s="472"/>
      <c r="H207" s="472"/>
      <c r="I207" s="472"/>
      <c r="J207" s="472"/>
      <c r="K207" s="472"/>
      <c r="L207" s="473"/>
    </row>
    <row r="208" spans="1:12" x14ac:dyDescent="0.25">
      <c r="A208" s="360" t="s">
        <v>168</v>
      </c>
      <c r="B208" s="387"/>
      <c r="C208" s="404"/>
      <c r="D208" s="381" t="s">
        <v>31</v>
      </c>
      <c r="E208" s="361"/>
      <c r="F208" s="362"/>
      <c r="G208" s="362"/>
      <c r="H208" s="362"/>
      <c r="I208" s="362"/>
      <c r="J208" s="362"/>
      <c r="K208" s="362"/>
      <c r="L208" s="363"/>
    </row>
    <row r="209" spans="1:12" outlineLevel="1" x14ac:dyDescent="0.25">
      <c r="B209" s="386"/>
      <c r="C209" s="166" t="s">
        <v>14</v>
      </c>
      <c r="D209" s="379" t="s">
        <v>163</v>
      </c>
      <c r="E209" s="354" t="s">
        <v>16</v>
      </c>
      <c r="F209" s="324" t="str">
        <f t="array" aca="1" ref="F209" ca="1">HYPERLINK(CONCATENATE(Cartelle!$D$5,F$1,"/",$C209,"/",MID($D209,1,FIND("_",$D209)-1),"/",INDIRECT(CONCATENATE("'" &amp; $C209 &amp; "'!",ADDRESS(MATCH($D209, INDIRECT("'" &amp; $C209 &amp; "'!$B:$B"), 0),MATCH(F$1, INDIRECT("'" &amp; $C209 &amp; "'!$1:$1"), 0)))),".",INDIRECT(CONCATENATE("'"&amp;$C209&amp;"'!",ADDRESS(MATCH($D209,INDIRECT("'"&amp;$C209&amp;"'!$B:$B"),0),3))),"#page=",F210),CONCATENATE("#Sharepoint//",$D209))</f>
        <v>#Sharepoint//FRS_Air Supply</v>
      </c>
      <c r="G209" s="324" t="str">
        <f t="array" aca="1" ref="G209" ca="1">HYPERLINK(CONCATENATE(Cartelle!$D$5,INDEX(INDIRECT("'" &amp; $C209 &amp; "'!$1:$1"), 1, MATCH(INDIRECT(CONCATENATE("'" &amp; $C209 &amp; "'!",ADDRESS(MATCH($D209, INDIRECT("'" &amp; $C209 &amp; "'!$B:$B"), 0),MATCH(G$1, INDIRECT("'" &amp; $C209 &amp; "'!$1:$1"), 0)))),INDIRECT(CONCATENATE("'" &amp; $C209 &amp; "'!",MATCH($D209, INDIRECT("'" &amp; $C209 &amp; "'!$B:$B"), 0),":",MATCH($D209, INDIRECT("'" &amp; $C209 &amp; "'!$B:$B"), 0))),0)),"/",$C209,"/",MID($D209,1,FIND("_",$D209)-1),"/",INDIRECT(CONCATENATE("'" &amp; $C209 &amp; "'!",ADDRESS(MATCH($D209, INDIRECT("'" &amp; $C209 &amp; "'!$B:$B"), 0),MATCH(G$1, INDIRECT("'" &amp; $C209 &amp; "'!$1:$1"), 0)))),".",INDIRECT(CONCATENATE("'"&amp;$C209&amp;"'!",ADDRESS(MATCH($D209,INDIRECT("'"&amp;$C209&amp;"'!$B:$B"),0),3))),"#page=",G210),CONCATENATE("#Sharepoint//",$D209))</f>
        <v>#Sharepoint//FRS_Air Supply</v>
      </c>
      <c r="H209" s="355"/>
      <c r="I209" s="355"/>
      <c r="J209" s="324" t="str">
        <f t="array" aca="1" ref="J209" ca="1">HYPERLINK(CONCATENATE(Cartelle!$D$5,INDEX(INDIRECT("'" &amp; $C209 &amp; "'!$1:$1"), 1, MATCH(INDIRECT(CONCATENATE("'" &amp; $C209 &amp; "'!",ADDRESS(MATCH($D209, INDIRECT("'" &amp; $C209 &amp; "'!$B:$B"), 0),MATCH(J$1, INDIRECT("'" &amp; $C209 &amp; "'!$1:$1"), 0)))),INDIRECT(CONCATENATE("'" &amp; $C209 &amp; "'!",MATCH($D209, INDIRECT("'" &amp; $C209 &amp; "'!$B:$B"), 0),":",MATCH($D209, INDIRECT("'" &amp; $C209 &amp; "'!$B:$B"), 0))),0)),"/",$C209,"/",MID($D209,1,FIND("_",$D209)-1),"/",INDIRECT(CONCATENATE("'" &amp; $C209 &amp; "'!",ADDRESS(MATCH($D209, INDIRECT("'" &amp; $C209 &amp; "'!$B:$B"), 0),MATCH(J$1, INDIRECT("'" &amp; $C209 &amp; "'!$1:$1"), 0)))),".",INDIRECT(CONCATENATE("'"&amp;$C209&amp;"'!",ADDRESS(MATCH($D209,INDIRECT("'"&amp;$C209&amp;"'!$B:$B"),0),3))),"#page=",J210),CONCATENATE("#Sharepoint//",$D209))</f>
        <v>#Sharepoint//FRS_Air Supply</v>
      </c>
      <c r="K209" s="356"/>
      <c r="L209" s="356"/>
    </row>
    <row r="210" spans="1:12" outlineLevel="2" x14ac:dyDescent="0.25">
      <c r="B210" s="386"/>
      <c r="D210" s="383"/>
      <c r="E210" s="366" t="s">
        <v>17</v>
      </c>
      <c r="F210" s="367">
        <v>22</v>
      </c>
      <c r="G210" s="367">
        <v>19</v>
      </c>
      <c r="H210" s="367">
        <v>22</v>
      </c>
      <c r="I210" s="367">
        <v>19</v>
      </c>
      <c r="J210" s="367">
        <v>18</v>
      </c>
      <c r="K210" s="367"/>
      <c r="L210" s="367"/>
    </row>
    <row r="211" spans="1:12" s="13" customFormat="1" outlineLevel="2" x14ac:dyDescent="0.25">
      <c r="B211" s="103"/>
      <c r="C211" s="357"/>
      <c r="D211" s="470"/>
      <c r="E211" s="471" t="s">
        <v>61</v>
      </c>
      <c r="F211" s="472"/>
      <c r="G211" s="472"/>
      <c r="H211" s="472"/>
      <c r="I211" s="472"/>
      <c r="J211" s="472"/>
      <c r="K211" s="472"/>
      <c r="L211" s="473"/>
    </row>
    <row r="212" spans="1:12" x14ac:dyDescent="0.25">
      <c r="A212" s="360" t="s">
        <v>169</v>
      </c>
      <c r="B212" s="387"/>
      <c r="C212" s="404"/>
      <c r="D212" s="381" t="s">
        <v>31</v>
      </c>
      <c r="E212" s="361"/>
      <c r="F212" s="362"/>
      <c r="G212" s="362"/>
      <c r="H212" s="362"/>
      <c r="I212" s="362"/>
      <c r="J212" s="362"/>
      <c r="K212" s="362"/>
      <c r="L212" s="363"/>
    </row>
    <row r="213" spans="1:12" outlineLevel="1" x14ac:dyDescent="0.25">
      <c r="B213" s="386"/>
      <c r="C213" s="166" t="s">
        <v>14</v>
      </c>
      <c r="D213" s="379" t="s">
        <v>163</v>
      </c>
      <c r="E213" s="354" t="s">
        <v>16</v>
      </c>
      <c r="F213" s="324" t="str">
        <f t="array" aca="1" ref="F213" ca="1">HYPERLINK(CONCATENATE(Cartelle!$D$5,F$1,"/",$C213,"/",MID($D213,1,FIND("_",$D213)-1),"/",INDIRECT(CONCATENATE("'" &amp; $C213 &amp; "'!",ADDRESS(MATCH($D213, INDIRECT("'" &amp; $C213 &amp; "'!$B:$B"), 0),MATCH(F$1, INDIRECT("'" &amp; $C213 &amp; "'!$1:$1"), 0)))),".",INDIRECT(CONCATENATE("'"&amp;$C213&amp;"'!",ADDRESS(MATCH($D213,INDIRECT("'"&amp;$C213&amp;"'!$B:$B"),0),3))),"#page=",F214),CONCATENATE("#Sharepoint//",$D213))</f>
        <v>#Sharepoint//FRS_Air Supply</v>
      </c>
      <c r="G213" s="324" t="str">
        <f t="array" aca="1" ref="G213" ca="1">HYPERLINK(CONCATENATE(Cartelle!$D$5,INDEX(INDIRECT("'" &amp; $C213 &amp; "'!$1:$1"), 1, MATCH(INDIRECT(CONCATENATE("'" &amp; $C213 &amp; "'!",ADDRESS(MATCH($D213, INDIRECT("'" &amp; $C213 &amp; "'!$B:$B"), 0),MATCH(G$1, INDIRECT("'" &amp; $C213 &amp; "'!$1:$1"), 0)))),INDIRECT(CONCATENATE("'" &amp; $C213 &amp; "'!",MATCH($D213, INDIRECT("'" &amp; $C213 &amp; "'!$B:$B"), 0),":",MATCH($D213, INDIRECT("'" &amp; $C213 &amp; "'!$B:$B"), 0))),0)),"/",$C213,"/",MID($D213,1,FIND("_",$D213)-1),"/",INDIRECT(CONCATENATE("'" &amp; $C213 &amp; "'!",ADDRESS(MATCH($D213, INDIRECT("'" &amp; $C213 &amp; "'!$B:$B"), 0),MATCH(G$1, INDIRECT("'" &amp; $C213 &amp; "'!$1:$1"), 0)))),".",INDIRECT(CONCATENATE("'"&amp;$C213&amp;"'!",ADDRESS(MATCH($D213,INDIRECT("'"&amp;$C213&amp;"'!$B:$B"),0),3))),"#page=",G214),CONCATENATE("#Sharepoint//",$D213))</f>
        <v>#Sharepoint//FRS_Air Supply</v>
      </c>
      <c r="H213" s="355"/>
      <c r="I213" s="355"/>
      <c r="J213" s="324" t="str">
        <f t="array" aca="1" ref="J213" ca="1">HYPERLINK(CONCATENATE(Cartelle!$D$5,INDEX(INDIRECT("'" &amp; $C213 &amp; "'!$1:$1"), 1, MATCH(INDIRECT(CONCATENATE("'" &amp; $C213 &amp; "'!",ADDRESS(MATCH($D213, INDIRECT("'" &amp; $C213 &amp; "'!$B:$B"), 0),MATCH(J$1, INDIRECT("'" &amp; $C213 &amp; "'!$1:$1"), 0)))),INDIRECT(CONCATENATE("'" &amp; $C213 &amp; "'!",MATCH($D213, INDIRECT("'" &amp; $C213 &amp; "'!$B:$B"), 0),":",MATCH($D213, INDIRECT("'" &amp; $C213 &amp; "'!$B:$B"), 0))),0)),"/",$C213,"/",MID($D213,1,FIND("_",$D213)-1),"/",INDIRECT(CONCATENATE("'" &amp; $C213 &amp; "'!",ADDRESS(MATCH($D213, INDIRECT("'" &amp; $C213 &amp; "'!$B:$B"), 0),MATCH(J$1, INDIRECT("'" &amp; $C213 &amp; "'!$1:$1"), 0)))),".",INDIRECT(CONCATENATE("'"&amp;$C213&amp;"'!",ADDRESS(MATCH($D213,INDIRECT("'"&amp;$C213&amp;"'!$B:$B"),0),3))),"#page=",J214),CONCATENATE("#Sharepoint//",$D213))</f>
        <v>#Sharepoint//FRS_Air Supply</v>
      </c>
      <c r="K213" s="356"/>
      <c r="L213" s="356"/>
    </row>
    <row r="214" spans="1:12" outlineLevel="2" x14ac:dyDescent="0.25">
      <c r="B214" s="386"/>
      <c r="D214" s="383"/>
      <c r="E214" s="366" t="s">
        <v>17</v>
      </c>
      <c r="F214" s="367">
        <v>26</v>
      </c>
      <c r="G214" s="367">
        <v>22</v>
      </c>
      <c r="H214" s="367">
        <v>26</v>
      </c>
      <c r="I214" s="367">
        <v>22</v>
      </c>
      <c r="J214" s="367">
        <v>21</v>
      </c>
      <c r="K214" s="367"/>
      <c r="L214" s="367"/>
    </row>
    <row r="215" spans="1:12" s="13" customFormat="1" outlineLevel="2" x14ac:dyDescent="0.25">
      <c r="B215" s="103"/>
      <c r="C215" s="357"/>
      <c r="D215" s="470"/>
      <c r="E215" s="471" t="s">
        <v>61</v>
      </c>
      <c r="F215" s="472"/>
      <c r="G215" s="472"/>
      <c r="H215" s="472"/>
      <c r="I215" s="472"/>
      <c r="J215" s="472"/>
      <c r="K215" s="472"/>
      <c r="L215" s="473"/>
    </row>
    <row r="216" spans="1:12" x14ac:dyDescent="0.25">
      <c r="A216" s="360" t="s">
        <v>170</v>
      </c>
      <c r="B216" s="387"/>
      <c r="C216" s="404"/>
      <c r="D216" s="381" t="s">
        <v>31</v>
      </c>
      <c r="E216" s="361"/>
      <c r="F216" s="362"/>
      <c r="G216" s="362"/>
      <c r="H216" s="362"/>
      <c r="I216" s="362"/>
      <c r="J216" s="362"/>
      <c r="K216" s="362"/>
      <c r="L216" s="363"/>
    </row>
    <row r="217" spans="1:12" outlineLevel="1" x14ac:dyDescent="0.25">
      <c r="B217" s="386"/>
      <c r="C217" s="166" t="s">
        <v>14</v>
      </c>
      <c r="D217" s="379" t="s">
        <v>163</v>
      </c>
      <c r="E217" s="354" t="s">
        <v>16</v>
      </c>
      <c r="F217" s="324" t="str">
        <f t="array" aca="1" ref="F217" ca="1">HYPERLINK(CONCATENATE(Cartelle!$D$5,F$1,"/",$C217,"/",MID($D217,1,FIND("_",$D217)-1),"/",INDIRECT(CONCATENATE("'" &amp; $C217 &amp; "'!",ADDRESS(MATCH($D217, INDIRECT("'" &amp; $C217 &amp; "'!$B:$B"), 0),MATCH(F$1, INDIRECT("'" &amp; $C217 &amp; "'!$1:$1"), 0)))),".",INDIRECT(CONCATENATE("'"&amp;$C217&amp;"'!",ADDRESS(MATCH($D217,INDIRECT("'"&amp;$C217&amp;"'!$B:$B"),0),3))),"#page=",F218),CONCATENATE("#Sharepoint//",$D217))</f>
        <v>#Sharepoint//FRS_Air Supply</v>
      </c>
      <c r="G217" s="324" t="str">
        <f t="array" aca="1" ref="G217" ca="1">HYPERLINK(CONCATENATE(Cartelle!$D$5,INDEX(INDIRECT("'" &amp; $C217 &amp; "'!$1:$1"), 1, MATCH(INDIRECT(CONCATENATE("'" &amp; $C217 &amp; "'!",ADDRESS(MATCH($D217, INDIRECT("'" &amp; $C217 &amp; "'!$B:$B"), 0),MATCH(G$1, INDIRECT("'" &amp; $C217 &amp; "'!$1:$1"), 0)))),INDIRECT(CONCATENATE("'" &amp; $C217 &amp; "'!",MATCH($D217, INDIRECT("'" &amp; $C217 &amp; "'!$B:$B"), 0),":",MATCH($D217, INDIRECT("'" &amp; $C217 &amp; "'!$B:$B"), 0))),0)),"/",$C217,"/",MID($D217,1,FIND("_",$D217)-1),"/",INDIRECT(CONCATENATE("'" &amp; $C217 &amp; "'!",ADDRESS(MATCH($D217, INDIRECT("'" &amp; $C217 &amp; "'!$B:$B"), 0),MATCH(G$1, INDIRECT("'" &amp; $C217 &amp; "'!$1:$1"), 0)))),".",INDIRECT(CONCATENATE("'"&amp;$C217&amp;"'!",ADDRESS(MATCH($D217,INDIRECT("'"&amp;$C217&amp;"'!$B:$B"),0),3))),"#page=",G218),CONCATENATE("#Sharepoint//",$D217))</f>
        <v>#Sharepoint//FRS_Air Supply</v>
      </c>
      <c r="H217" s="355"/>
      <c r="I217" s="355"/>
      <c r="J217" s="324" t="str">
        <f t="array" aca="1" ref="J217" ca="1">HYPERLINK(CONCATENATE(Cartelle!$D$5,INDEX(INDIRECT("'" &amp; $C217 &amp; "'!$1:$1"), 1, MATCH(INDIRECT(CONCATENATE("'" &amp; $C217 &amp; "'!",ADDRESS(MATCH($D217, INDIRECT("'" &amp; $C217 &amp; "'!$B:$B"), 0),MATCH(J$1, INDIRECT("'" &amp; $C217 &amp; "'!$1:$1"), 0)))),INDIRECT(CONCATENATE("'" &amp; $C217 &amp; "'!",MATCH($D217, INDIRECT("'" &amp; $C217 &amp; "'!$B:$B"), 0),":",MATCH($D217, INDIRECT("'" &amp; $C217 &amp; "'!$B:$B"), 0))),0)),"/",$C217,"/",MID($D217,1,FIND("_",$D217)-1),"/",INDIRECT(CONCATENATE("'" &amp; $C217 &amp; "'!",ADDRESS(MATCH($D217, INDIRECT("'" &amp; $C217 &amp; "'!$B:$B"), 0),MATCH(J$1, INDIRECT("'" &amp; $C217 &amp; "'!$1:$1"), 0)))),".",INDIRECT(CONCATENATE("'"&amp;$C217&amp;"'!",ADDRESS(MATCH($D217,INDIRECT("'"&amp;$C217&amp;"'!$B:$B"),0),3))),"#page=",J218),CONCATENATE("#Sharepoint//",$D217))</f>
        <v>#Sharepoint//FRS_Air Supply</v>
      </c>
      <c r="K217" s="356"/>
      <c r="L217" s="356"/>
    </row>
    <row r="218" spans="1:12" outlineLevel="2" x14ac:dyDescent="0.25">
      <c r="B218" s="386"/>
      <c r="D218" s="382"/>
      <c r="E218" s="364" t="s">
        <v>17</v>
      </c>
      <c r="F218" s="365">
        <v>28</v>
      </c>
      <c r="G218" s="365">
        <v>23</v>
      </c>
      <c r="H218" s="365">
        <v>28</v>
      </c>
      <c r="I218" s="365">
        <v>23</v>
      </c>
      <c r="J218" s="365">
        <v>22</v>
      </c>
      <c r="K218" s="365"/>
      <c r="L218" s="365"/>
    </row>
    <row r="219" spans="1:12" s="13" customFormat="1" outlineLevel="2" x14ac:dyDescent="0.25">
      <c r="B219" s="103"/>
      <c r="C219" s="357"/>
      <c r="D219" s="470"/>
      <c r="E219" s="471" t="s">
        <v>61</v>
      </c>
      <c r="F219" s="472"/>
      <c r="G219" s="472"/>
      <c r="H219" s="472"/>
      <c r="I219" s="472"/>
      <c r="J219" s="472"/>
      <c r="K219" s="472"/>
      <c r="L219" s="473"/>
    </row>
    <row r="220" spans="1:12" x14ac:dyDescent="0.25">
      <c r="A220" s="350" t="s">
        <v>171</v>
      </c>
      <c r="B220" s="385"/>
      <c r="C220" s="404"/>
      <c r="D220" s="378" t="s">
        <v>31</v>
      </c>
      <c r="E220" s="351"/>
      <c r="F220" s="352"/>
      <c r="G220" s="352"/>
      <c r="H220" s="352"/>
      <c r="I220" s="352"/>
      <c r="J220" s="352"/>
      <c r="K220" s="352"/>
      <c r="L220" s="353"/>
    </row>
    <row r="221" spans="1:12" outlineLevel="1" x14ac:dyDescent="0.25">
      <c r="B221" s="386"/>
      <c r="C221" s="166" t="s">
        <v>14</v>
      </c>
      <c r="D221" s="379" t="s">
        <v>29</v>
      </c>
      <c r="E221" s="354" t="s">
        <v>16</v>
      </c>
      <c r="F221" s="324" t="str">
        <f t="array" aca="1" ref="F221" ca="1">HYPERLINK(CONCATENATE(Cartelle!$D$5,F$1,"/",$C221,"/",MID($D221,1,FIND("_",$D221)-1),"/",INDIRECT(CONCATENATE("'" &amp; $C221 &amp; "'!",ADDRESS(MATCH($D221, INDIRECT("'" &amp; $C221 &amp; "'!$B:$B"), 0),MATCH(F$1, INDIRECT("'" &amp; $C221 &amp; "'!$1:$1"), 0)))),".",INDIRECT(CONCATENATE("'"&amp;$C221&amp;"'!",ADDRESS(MATCH($D221,INDIRECT("'"&amp;$C221&amp;"'!$B:$B"),0),3))),"#page=",F222),CONCATENATE("#Sharepoint//",$D221))</f>
        <v>#Sharepoint//FRS_Brake Control</v>
      </c>
      <c r="G221" s="388"/>
      <c r="H221" s="324" t="str">
        <f t="array" aca="1" ref="H221" ca="1">HYPERLINK(CONCATENATE(Cartelle!$D$5,INDEX(INDIRECT("'" &amp; $C221 &amp; "'!$1:$1"), 1, MATCH(INDIRECT(CONCATENATE("'" &amp; $C221 &amp; "'!",ADDRESS(MATCH($D221, INDIRECT("'" &amp; $C221 &amp; "'!$B:$B"), 0),MATCH(H$1, INDIRECT("'" &amp; $C221 &amp; "'!$1:$1"), 0)))),INDIRECT(CONCATENATE("'" &amp; $C221 &amp; "'!",MATCH($D221, INDIRECT("'" &amp; $C221 &amp; "'!$B:$B"), 0),":",MATCH($D221, INDIRECT("'" &amp; $C221 &amp; "'!$B:$B"), 0))),0)),"/",$C221,"/",MID($D221,1,FIND("_",$D221)-1),"/",INDIRECT(CONCATENATE("'" &amp; $C221 &amp; "'!",ADDRESS(MATCH($D221, INDIRECT("'" &amp; $C221 &amp; "'!$B:$B"), 0),MATCH(H$1, INDIRECT("'" &amp; $C221 &amp; "'!$1:$1"), 0)))),".",INDIRECT(CONCATENATE("'"&amp;$C221&amp;"'!",ADDRESS(MATCH($D221,INDIRECT("'"&amp;$C221&amp;"'!$B:$B"),0),3))),"#page=",H222),CONCATENATE("#Sharepoint//",$D221))</f>
        <v>#Sharepoint//FRS_Brake Control</v>
      </c>
      <c r="I221" s="324" t="str">
        <f t="array" aca="1" ref="I221" ca="1">HYPERLINK(CONCATENATE(Cartelle!$D$5,INDEX(INDIRECT("'" &amp; $C221 &amp; "'!$1:$1"), 1, MATCH(INDIRECT(CONCATENATE("'" &amp; $C221 &amp; "'!",ADDRESS(MATCH($D221, INDIRECT("'" &amp; $C221 &amp; "'!$B:$B"), 0),MATCH(I$1, INDIRECT("'" &amp; $C221 &amp; "'!$1:$1"), 0)))),INDIRECT(CONCATENATE("'" &amp; $C221 &amp; "'!",MATCH($D221, INDIRECT("'" &amp; $C221 &amp; "'!$B:$B"), 0),":",MATCH($D221, INDIRECT("'" &amp; $C221 &amp; "'!$B:$B"), 0))),0)),"/",$C221,"/",MID($D221,1,FIND("_",$D221)-1),"/",INDIRECT(CONCATENATE("'" &amp; $C221 &amp; "'!",ADDRESS(MATCH($D221, INDIRECT("'" &amp; $C221 &amp; "'!$B:$B"), 0),MATCH(I$1, INDIRECT("'" &amp; $C221 &amp; "'!$1:$1"), 0)))),".",INDIRECT(CONCATENATE("'"&amp;$C221&amp;"'!",ADDRESS(MATCH($D221,INDIRECT("'"&amp;$C221&amp;"'!$B:$B"),0),3))),"#page=",I222),CONCATENATE("#Sharepoint//",$D221))</f>
        <v>#Sharepoint//FRS_Brake Control</v>
      </c>
      <c r="J221" s="324" t="str">
        <f t="array" aca="1" ref="J221" ca="1">HYPERLINK(CONCATENATE(Cartelle!$D$5,INDEX(INDIRECT("'" &amp; $C221 &amp; "'!$1:$1"), 1, MATCH(INDIRECT(CONCATENATE("'" &amp; $C221 &amp; "'!",ADDRESS(MATCH($D221, INDIRECT("'" &amp; $C221 &amp; "'!$B:$B"), 0),MATCH(J$1, INDIRECT("'" &amp; $C221 &amp; "'!$1:$1"), 0)))),INDIRECT(CONCATENATE("'" &amp; $C221 &amp; "'!",MATCH($D221, INDIRECT("'" &amp; $C221 &amp; "'!$B:$B"), 0),":",MATCH($D221, INDIRECT("'" &amp; $C221 &amp; "'!$B:$B"), 0))),0)),"/",$C221,"/",MID($D221,1,FIND("_",$D221)-1),"/",INDIRECT(CONCATENATE("'" &amp; $C221 &amp; "'!",ADDRESS(MATCH($D221, INDIRECT("'" &amp; $C221 &amp; "'!$B:$B"), 0),MATCH(J$1, INDIRECT("'" &amp; $C221 &amp; "'!$1:$1"), 0)))),".",INDIRECT(CONCATENATE("'"&amp;$C221&amp;"'!",ADDRESS(MATCH($D221,INDIRECT("'"&amp;$C221&amp;"'!$B:$B"),0),3))),"#page=",J222),CONCATENATE("#Sharepoint//",$D221))</f>
        <v>#Sharepoint//FRS_Brake Control</v>
      </c>
      <c r="K221" s="356"/>
      <c r="L221" s="356"/>
    </row>
    <row r="222" spans="1:12" outlineLevel="2" x14ac:dyDescent="0.25">
      <c r="B222" s="386"/>
      <c r="D222" s="383"/>
      <c r="E222" s="366" t="s">
        <v>17</v>
      </c>
      <c r="F222" s="367">
        <v>14</v>
      </c>
      <c r="G222" s="367"/>
      <c r="H222" s="367">
        <v>14</v>
      </c>
      <c r="I222" s="367">
        <v>14</v>
      </c>
      <c r="J222" s="367">
        <v>19</v>
      </c>
      <c r="K222" s="367"/>
      <c r="L222" s="367"/>
    </row>
    <row r="223" spans="1:12" s="13" customFormat="1" outlineLevel="2" x14ac:dyDescent="0.25">
      <c r="B223" s="103"/>
      <c r="C223" s="357"/>
      <c r="D223" s="470"/>
      <c r="E223" s="471" t="s">
        <v>61</v>
      </c>
      <c r="F223" s="472"/>
      <c r="G223" s="472"/>
      <c r="H223" s="472"/>
      <c r="I223" s="472"/>
      <c r="J223" s="472"/>
      <c r="K223" s="472"/>
      <c r="L223" s="473"/>
    </row>
    <row r="224" spans="1:12" x14ac:dyDescent="0.25">
      <c r="A224" s="360" t="s">
        <v>172</v>
      </c>
      <c r="B224" s="387"/>
      <c r="C224" s="404"/>
      <c r="D224" s="381" t="s">
        <v>31</v>
      </c>
      <c r="E224" s="361"/>
      <c r="F224" s="362"/>
      <c r="G224" s="362"/>
      <c r="H224" s="362"/>
      <c r="I224" s="362"/>
      <c r="J224" s="362"/>
      <c r="K224" s="362"/>
      <c r="L224" s="363"/>
    </row>
    <row r="225" spans="1:12" outlineLevel="1" x14ac:dyDescent="0.25">
      <c r="B225" s="386"/>
      <c r="C225" s="166" t="s">
        <v>14</v>
      </c>
      <c r="D225" s="379" t="s">
        <v>29</v>
      </c>
      <c r="E225" s="354" t="s">
        <v>16</v>
      </c>
      <c r="F225" s="324" t="str">
        <f t="array" aca="1" ref="F225" ca="1">HYPERLINK(CONCATENATE(Cartelle!$D$5,F$1,"/",$C225,"/",MID($D225,1,FIND("_",$D225)-1),"/",INDIRECT(CONCATENATE("'" &amp; $C225 &amp; "'!",ADDRESS(MATCH($D225, INDIRECT("'" &amp; $C225 &amp; "'!$B:$B"), 0),MATCH(F$1, INDIRECT("'" &amp; $C225 &amp; "'!$1:$1"), 0)))),".",INDIRECT(CONCATENATE("'"&amp;$C225&amp;"'!",ADDRESS(MATCH($D225,INDIRECT("'"&amp;$C225&amp;"'!$B:$B"),0),3))),"#page=",F226),CONCATENATE("#Sharepoint//",$D225))</f>
        <v>#Sharepoint//FRS_Brake Control</v>
      </c>
      <c r="G225" s="388"/>
      <c r="H225" s="324" t="str">
        <f t="array" aca="1" ref="H225" ca="1">HYPERLINK(CONCATENATE(Cartelle!$D$5,INDEX(INDIRECT("'" &amp; $C225 &amp; "'!$1:$1"), 1, MATCH(INDIRECT(CONCATENATE("'" &amp; $C225 &amp; "'!",ADDRESS(MATCH($D225, INDIRECT("'" &amp; $C225 &amp; "'!$B:$B"), 0),MATCH(H$1, INDIRECT("'" &amp; $C225 &amp; "'!$1:$1"), 0)))),INDIRECT(CONCATENATE("'" &amp; $C225 &amp; "'!",MATCH($D225, INDIRECT("'" &amp; $C225 &amp; "'!$B:$B"), 0),":",MATCH($D225, INDIRECT("'" &amp; $C225 &amp; "'!$B:$B"), 0))),0)),"/",$C225,"/",MID($D225,1,FIND("_",$D225)-1),"/",INDIRECT(CONCATENATE("'" &amp; $C225 &amp; "'!",ADDRESS(MATCH($D225, INDIRECT("'" &amp; $C225 &amp; "'!$B:$B"), 0),MATCH(H$1, INDIRECT("'" &amp; $C225 &amp; "'!$1:$1"), 0)))),".",INDIRECT(CONCATENATE("'"&amp;$C225&amp;"'!",ADDRESS(MATCH($D225,INDIRECT("'"&amp;$C225&amp;"'!$B:$B"),0),3))),"#page=",H226),CONCATENATE("#Sharepoint//",$D225))</f>
        <v>#Sharepoint//FRS_Brake Control</v>
      </c>
      <c r="I225" s="324" t="str">
        <f t="array" aca="1" ref="I225" ca="1">HYPERLINK(CONCATENATE(Cartelle!$D$5,INDEX(INDIRECT("'" &amp; $C225 &amp; "'!$1:$1"), 1, MATCH(INDIRECT(CONCATENATE("'" &amp; $C225 &amp; "'!",ADDRESS(MATCH($D225, INDIRECT("'" &amp; $C225 &amp; "'!$B:$B"), 0),MATCH(I$1, INDIRECT("'" &amp; $C225 &amp; "'!$1:$1"), 0)))),INDIRECT(CONCATENATE("'" &amp; $C225 &amp; "'!",MATCH($D225, INDIRECT("'" &amp; $C225 &amp; "'!$B:$B"), 0),":",MATCH($D225, INDIRECT("'" &amp; $C225 &amp; "'!$B:$B"), 0))),0)),"/",$C225,"/",MID($D225,1,FIND("_",$D225)-1),"/",INDIRECT(CONCATENATE("'" &amp; $C225 &amp; "'!",ADDRESS(MATCH($D225, INDIRECT("'" &amp; $C225 &amp; "'!$B:$B"), 0),MATCH(I$1, INDIRECT("'" &amp; $C225 &amp; "'!$1:$1"), 0)))),".",INDIRECT(CONCATENATE("'"&amp;$C225&amp;"'!",ADDRESS(MATCH($D225,INDIRECT("'"&amp;$C225&amp;"'!$B:$B"),0),3))),"#page=",I226),CONCATENATE("#Sharepoint//",$D225))</f>
        <v>#Sharepoint//FRS_Brake Control</v>
      </c>
      <c r="J225" s="324" t="str">
        <f t="array" aca="1" ref="J225" ca="1">HYPERLINK(CONCATENATE(Cartelle!$D$5,INDEX(INDIRECT("'" &amp; $C225 &amp; "'!$1:$1"), 1, MATCH(INDIRECT(CONCATENATE("'" &amp; $C225 &amp; "'!",ADDRESS(MATCH($D225, INDIRECT("'" &amp; $C225 &amp; "'!$B:$B"), 0),MATCH(J$1, INDIRECT("'" &amp; $C225 &amp; "'!$1:$1"), 0)))),INDIRECT(CONCATENATE("'" &amp; $C225 &amp; "'!",MATCH($D225, INDIRECT("'" &amp; $C225 &amp; "'!$B:$B"), 0),":",MATCH($D225, INDIRECT("'" &amp; $C225 &amp; "'!$B:$B"), 0))),0)),"/",$C225,"/",MID($D225,1,FIND("_",$D225)-1),"/",INDIRECT(CONCATENATE("'" &amp; $C225 &amp; "'!",ADDRESS(MATCH($D225, INDIRECT("'" &amp; $C225 &amp; "'!$B:$B"), 0),MATCH(J$1, INDIRECT("'" &amp; $C225 &amp; "'!$1:$1"), 0)))),".",INDIRECT(CONCATENATE("'"&amp;$C225&amp;"'!",ADDRESS(MATCH($D225,INDIRECT("'"&amp;$C225&amp;"'!$B:$B"),0),3))),"#page=",J226),CONCATENATE("#Sharepoint//",$D225))</f>
        <v>#Sharepoint//FRS_Brake Control</v>
      </c>
      <c r="K225" s="356"/>
      <c r="L225" s="356"/>
    </row>
    <row r="226" spans="1:12" outlineLevel="2" x14ac:dyDescent="0.25">
      <c r="B226" s="386"/>
      <c r="D226" s="383"/>
      <c r="E226" s="366" t="s">
        <v>17</v>
      </c>
      <c r="F226" s="367">
        <v>50</v>
      </c>
      <c r="G226" s="367"/>
      <c r="H226" s="367">
        <v>54</v>
      </c>
      <c r="I226" s="367">
        <v>50</v>
      </c>
      <c r="J226" s="367">
        <v>95</v>
      </c>
      <c r="K226" s="367"/>
      <c r="L226" s="367"/>
    </row>
    <row r="227" spans="1:12" s="13" customFormat="1" outlineLevel="2" x14ac:dyDescent="0.25">
      <c r="B227" s="103"/>
      <c r="C227" s="357"/>
      <c r="D227" s="470"/>
      <c r="E227" s="471" t="s">
        <v>61</v>
      </c>
      <c r="F227" s="472"/>
      <c r="G227" s="472"/>
      <c r="H227" s="472"/>
      <c r="I227" s="472"/>
      <c r="J227" s="472"/>
      <c r="K227" s="472"/>
      <c r="L227" s="473"/>
    </row>
    <row r="228" spans="1:12" x14ac:dyDescent="0.25">
      <c r="A228" s="360" t="s">
        <v>173</v>
      </c>
      <c r="B228" s="387"/>
      <c r="C228" s="404"/>
      <c r="D228" s="381" t="s">
        <v>31</v>
      </c>
      <c r="E228" s="361"/>
      <c r="F228" s="362"/>
      <c r="G228" s="362"/>
      <c r="H228" s="362"/>
      <c r="I228" s="362"/>
      <c r="J228" s="362"/>
      <c r="K228" s="362"/>
      <c r="L228" s="363"/>
    </row>
    <row r="229" spans="1:12" outlineLevel="1" x14ac:dyDescent="0.25">
      <c r="B229" s="386"/>
      <c r="C229" s="166" t="s">
        <v>14</v>
      </c>
      <c r="D229" s="379" t="s">
        <v>29</v>
      </c>
      <c r="E229" s="354" t="s">
        <v>16</v>
      </c>
      <c r="F229" s="324" t="str">
        <f t="array" aca="1" ref="F229" ca="1">HYPERLINK(CONCATENATE(Cartelle!$D$5,F$1,"/",$C229,"/",MID($D229,1,FIND("_",$D229)-1),"/",INDIRECT(CONCATENATE("'" &amp; $C229 &amp; "'!",ADDRESS(MATCH($D229, INDIRECT("'" &amp; $C229 &amp; "'!$B:$B"), 0),MATCH(F$1, INDIRECT("'" &amp; $C229 &amp; "'!$1:$1"), 0)))),".",INDIRECT(CONCATENATE("'"&amp;$C229&amp;"'!",ADDRESS(MATCH($D229,INDIRECT("'"&amp;$C229&amp;"'!$B:$B"),0),3))),"#page=",F230),CONCATENATE("#Sharepoint//",$D229))</f>
        <v>#Sharepoint//FRS_Brake Control</v>
      </c>
      <c r="G229" s="388"/>
      <c r="H229" s="324" t="str">
        <f t="array" aca="1" ref="H229" ca="1">HYPERLINK(CONCATENATE(Cartelle!$D$5,INDEX(INDIRECT("'" &amp; $C229 &amp; "'!$1:$1"), 1, MATCH(INDIRECT(CONCATENATE("'" &amp; $C229 &amp; "'!",ADDRESS(MATCH($D229, INDIRECT("'" &amp; $C229 &amp; "'!$B:$B"), 0),MATCH(H$1, INDIRECT("'" &amp; $C229 &amp; "'!$1:$1"), 0)))),INDIRECT(CONCATENATE("'" &amp; $C229 &amp; "'!",MATCH($D229, INDIRECT("'" &amp; $C229 &amp; "'!$B:$B"), 0),":",MATCH($D229, INDIRECT("'" &amp; $C229 &amp; "'!$B:$B"), 0))),0)),"/",$C229,"/",MID($D229,1,FIND("_",$D229)-1),"/",INDIRECT(CONCATENATE("'" &amp; $C229 &amp; "'!",ADDRESS(MATCH($D229, INDIRECT("'" &amp; $C229 &amp; "'!$B:$B"), 0),MATCH(H$1, INDIRECT("'" &amp; $C229 &amp; "'!$1:$1"), 0)))),".",INDIRECT(CONCATENATE("'"&amp;$C229&amp;"'!",ADDRESS(MATCH($D229,INDIRECT("'"&amp;$C229&amp;"'!$B:$B"),0),3))),"#page=",H230),CONCATENATE("#Sharepoint//",$D229))</f>
        <v>#Sharepoint//FRS_Brake Control</v>
      </c>
      <c r="I229" s="324" t="str">
        <f t="array" aca="1" ref="I229" ca="1">HYPERLINK(CONCATENATE(Cartelle!$D$5,INDEX(INDIRECT("'" &amp; $C229 &amp; "'!$1:$1"), 1, MATCH(INDIRECT(CONCATENATE("'" &amp; $C229 &amp; "'!",ADDRESS(MATCH($D229, INDIRECT("'" &amp; $C229 &amp; "'!$B:$B"), 0),MATCH(I$1, INDIRECT("'" &amp; $C229 &amp; "'!$1:$1"), 0)))),INDIRECT(CONCATENATE("'" &amp; $C229 &amp; "'!",MATCH($D229, INDIRECT("'" &amp; $C229 &amp; "'!$B:$B"), 0),":",MATCH($D229, INDIRECT("'" &amp; $C229 &amp; "'!$B:$B"), 0))),0)),"/",$C229,"/",MID($D229,1,FIND("_",$D229)-1),"/",INDIRECT(CONCATENATE("'" &amp; $C229 &amp; "'!",ADDRESS(MATCH($D229, INDIRECT("'" &amp; $C229 &amp; "'!$B:$B"), 0),MATCH(I$1, INDIRECT("'" &amp; $C229 &amp; "'!$1:$1"), 0)))),".",INDIRECT(CONCATENATE("'"&amp;$C229&amp;"'!",ADDRESS(MATCH($D229,INDIRECT("'"&amp;$C229&amp;"'!$B:$B"),0),3))),"#page=",I230),CONCATENATE("#Sharepoint//",$D229))</f>
        <v>#Sharepoint//FRS_Brake Control</v>
      </c>
      <c r="J229" s="324" t="str">
        <f t="array" aca="1" ref="J229" ca="1">HYPERLINK(CONCATENATE(Cartelle!$D$5,INDEX(INDIRECT("'" &amp; $C229 &amp; "'!$1:$1"), 1, MATCH(INDIRECT(CONCATENATE("'" &amp; $C229 &amp; "'!",ADDRESS(MATCH($D229, INDIRECT("'" &amp; $C229 &amp; "'!$B:$B"), 0),MATCH(J$1, INDIRECT("'" &amp; $C229 &amp; "'!$1:$1"), 0)))),INDIRECT(CONCATENATE("'" &amp; $C229 &amp; "'!",MATCH($D229, INDIRECT("'" &amp; $C229 &amp; "'!$B:$B"), 0),":",MATCH($D229, INDIRECT("'" &amp; $C229 &amp; "'!$B:$B"), 0))),0)),"/",$C229,"/",MID($D229,1,FIND("_",$D229)-1),"/",INDIRECT(CONCATENATE("'" &amp; $C229 &amp; "'!",ADDRESS(MATCH($D229, INDIRECT("'" &amp; $C229 &amp; "'!$B:$B"), 0),MATCH(J$1, INDIRECT("'" &amp; $C229 &amp; "'!$1:$1"), 0)))),".",INDIRECT(CONCATENATE("'"&amp;$C229&amp;"'!",ADDRESS(MATCH($D229,INDIRECT("'"&amp;$C229&amp;"'!$B:$B"),0),3))),"#page=",J230),CONCATENATE("#Sharepoint//",$D229))</f>
        <v>#Sharepoint//FRS_Brake Control</v>
      </c>
      <c r="K229" s="356"/>
      <c r="L229" s="356"/>
    </row>
    <row r="230" spans="1:12" outlineLevel="2" x14ac:dyDescent="0.25">
      <c r="B230" s="386"/>
      <c r="D230" s="383"/>
      <c r="E230" s="366" t="s">
        <v>17</v>
      </c>
      <c r="F230" s="367">
        <v>87</v>
      </c>
      <c r="G230" s="367"/>
      <c r="H230" s="367">
        <v>94</v>
      </c>
      <c r="I230" s="367">
        <v>86</v>
      </c>
      <c r="J230" s="367">
        <v>129</v>
      </c>
      <c r="K230" s="367"/>
      <c r="L230" s="367"/>
    </row>
    <row r="231" spans="1:12" s="13" customFormat="1" outlineLevel="2" x14ac:dyDescent="0.25">
      <c r="B231" s="103"/>
      <c r="C231" s="357"/>
      <c r="D231" s="470"/>
      <c r="E231" s="471" t="s">
        <v>61</v>
      </c>
      <c r="F231" s="472"/>
      <c r="G231" s="472"/>
      <c r="H231" s="472"/>
      <c r="I231" s="472"/>
      <c r="J231" s="472"/>
      <c r="K231" s="472"/>
      <c r="L231" s="473"/>
    </row>
    <row r="232" spans="1:12" x14ac:dyDescent="0.25">
      <c r="A232" s="360" t="s">
        <v>174</v>
      </c>
      <c r="B232" s="387"/>
      <c r="C232" s="404"/>
      <c r="D232" s="381" t="s">
        <v>31</v>
      </c>
      <c r="E232" s="361"/>
      <c r="F232" s="362"/>
      <c r="G232" s="362"/>
      <c r="H232" s="362"/>
      <c r="I232" s="362"/>
      <c r="J232" s="362"/>
      <c r="K232" s="362"/>
      <c r="L232" s="363"/>
    </row>
    <row r="233" spans="1:12" outlineLevel="1" x14ac:dyDescent="0.25">
      <c r="B233" s="386"/>
      <c r="C233" s="166" t="s">
        <v>14</v>
      </c>
      <c r="D233" s="379" t="s">
        <v>29</v>
      </c>
      <c r="E233" s="354" t="s">
        <v>16</v>
      </c>
      <c r="F233" s="324" t="str">
        <f t="array" aca="1" ref="F233" ca="1">HYPERLINK(CONCATENATE(Cartelle!$D$5,F$1,"/",$C233,"/",MID($D233,1,FIND("_",$D233)-1),"/",INDIRECT(CONCATENATE("'" &amp; $C233 &amp; "'!",ADDRESS(MATCH($D233, INDIRECT("'" &amp; $C233 &amp; "'!$B:$B"), 0),MATCH(F$1, INDIRECT("'" &amp; $C233 &amp; "'!$1:$1"), 0)))),".",INDIRECT(CONCATENATE("'"&amp;$C233&amp;"'!",ADDRESS(MATCH($D233,INDIRECT("'"&amp;$C233&amp;"'!$B:$B"),0),3))),"#page=",F234),CONCATENATE("#Sharepoint//",$D233))</f>
        <v>#Sharepoint//FRS_Brake Control</v>
      </c>
      <c r="G233" s="388"/>
      <c r="H233" s="324" t="str">
        <f t="array" aca="1" ref="H233" ca="1">HYPERLINK(CONCATENATE(Cartelle!$D$5,INDEX(INDIRECT("'" &amp; $C233 &amp; "'!$1:$1"), 1, MATCH(INDIRECT(CONCATENATE("'" &amp; $C233 &amp; "'!",ADDRESS(MATCH($D233, INDIRECT("'" &amp; $C233 &amp; "'!$B:$B"), 0),MATCH(H$1, INDIRECT("'" &amp; $C233 &amp; "'!$1:$1"), 0)))),INDIRECT(CONCATENATE("'" &amp; $C233 &amp; "'!",MATCH($D233, INDIRECT("'" &amp; $C233 &amp; "'!$B:$B"), 0),":",MATCH($D233, INDIRECT("'" &amp; $C233 &amp; "'!$B:$B"), 0))),0)),"/",$C233,"/",MID($D233,1,FIND("_",$D233)-1),"/",INDIRECT(CONCATENATE("'" &amp; $C233 &amp; "'!",ADDRESS(MATCH($D233, INDIRECT("'" &amp; $C233 &amp; "'!$B:$B"), 0),MATCH(H$1, INDIRECT("'" &amp; $C233 &amp; "'!$1:$1"), 0)))),".",INDIRECT(CONCATENATE("'"&amp;$C233&amp;"'!",ADDRESS(MATCH($D233,INDIRECT("'"&amp;$C233&amp;"'!$B:$B"),0),3))),"#page=",H234),CONCATENATE("#Sharepoint//",$D233))</f>
        <v>#Sharepoint//FRS_Brake Control</v>
      </c>
      <c r="I233" s="324" t="str">
        <f t="array" aca="1" ref="I233" ca="1">HYPERLINK(CONCATENATE(Cartelle!$D$5,INDEX(INDIRECT("'" &amp; $C233 &amp; "'!$1:$1"), 1, MATCH(INDIRECT(CONCATENATE("'" &amp; $C233 &amp; "'!",ADDRESS(MATCH($D233, INDIRECT("'" &amp; $C233 &amp; "'!$B:$B"), 0),MATCH(I$1, INDIRECT("'" &amp; $C233 &amp; "'!$1:$1"), 0)))),INDIRECT(CONCATENATE("'" &amp; $C233 &amp; "'!",MATCH($D233, INDIRECT("'" &amp; $C233 &amp; "'!$B:$B"), 0),":",MATCH($D233, INDIRECT("'" &amp; $C233 &amp; "'!$B:$B"), 0))),0)),"/",$C233,"/",MID($D233,1,FIND("_",$D233)-1),"/",INDIRECT(CONCATENATE("'" &amp; $C233 &amp; "'!",ADDRESS(MATCH($D233, INDIRECT("'" &amp; $C233 &amp; "'!$B:$B"), 0),MATCH(I$1, INDIRECT("'" &amp; $C233 &amp; "'!$1:$1"), 0)))),".",INDIRECT(CONCATENATE("'"&amp;$C233&amp;"'!",ADDRESS(MATCH($D233,INDIRECT("'"&amp;$C233&amp;"'!$B:$B"),0),3))),"#page=",I234),CONCATENATE("#Sharepoint//",$D233))</f>
        <v>#Sharepoint//FRS_Brake Control</v>
      </c>
      <c r="J233" s="324" t="str">
        <f t="array" aca="1" ref="J233" ca="1">HYPERLINK(CONCATENATE(Cartelle!$D$5,INDEX(INDIRECT("'" &amp; $C233 &amp; "'!$1:$1"), 1, MATCH(INDIRECT(CONCATENATE("'" &amp; $C233 &amp; "'!",ADDRESS(MATCH($D233, INDIRECT("'" &amp; $C233 &amp; "'!$B:$B"), 0),MATCH(J$1, INDIRECT("'" &amp; $C233 &amp; "'!$1:$1"), 0)))),INDIRECT(CONCATENATE("'" &amp; $C233 &amp; "'!",MATCH($D233, INDIRECT("'" &amp; $C233 &amp; "'!$B:$B"), 0),":",MATCH($D233, INDIRECT("'" &amp; $C233 &amp; "'!$B:$B"), 0))),0)),"/",$C233,"/",MID($D233,1,FIND("_",$D233)-1),"/",INDIRECT(CONCATENATE("'" &amp; $C233 &amp; "'!",ADDRESS(MATCH($D233, INDIRECT("'" &amp; $C233 &amp; "'!$B:$B"), 0),MATCH(J$1, INDIRECT("'" &amp; $C233 &amp; "'!$1:$1"), 0)))),".",INDIRECT(CONCATENATE("'"&amp;$C233&amp;"'!",ADDRESS(MATCH($D233,INDIRECT("'"&amp;$C233&amp;"'!$B:$B"),0),3))),"#page=",J234),CONCATENATE("#Sharepoint//",$D233))</f>
        <v>#Sharepoint//FRS_Brake Control</v>
      </c>
      <c r="K233" s="356"/>
      <c r="L233" s="356"/>
    </row>
    <row r="234" spans="1:12" outlineLevel="2" x14ac:dyDescent="0.25">
      <c r="B234" s="386"/>
      <c r="D234" s="383"/>
      <c r="E234" s="366" t="s">
        <v>17</v>
      </c>
      <c r="F234" s="367">
        <v>91</v>
      </c>
      <c r="G234" s="367"/>
      <c r="H234" s="367">
        <v>99</v>
      </c>
      <c r="I234" s="367">
        <v>90</v>
      </c>
      <c r="J234" s="367">
        <v>133</v>
      </c>
      <c r="K234" s="367"/>
      <c r="L234" s="367"/>
    </row>
    <row r="235" spans="1:12" s="13" customFormat="1" outlineLevel="2" x14ac:dyDescent="0.25">
      <c r="B235" s="103"/>
      <c r="C235" s="357"/>
      <c r="D235" s="470"/>
      <c r="E235" s="471" t="s">
        <v>61</v>
      </c>
      <c r="F235" s="472"/>
      <c r="G235" s="472"/>
      <c r="H235" s="472"/>
      <c r="I235" s="472"/>
      <c r="J235" s="472"/>
      <c r="K235" s="472"/>
      <c r="L235" s="473"/>
    </row>
    <row r="236" spans="1:12" x14ac:dyDescent="0.25">
      <c r="A236" s="360" t="s">
        <v>175</v>
      </c>
      <c r="B236" s="387"/>
      <c r="C236" s="404"/>
      <c r="D236" s="381" t="s">
        <v>31</v>
      </c>
      <c r="E236" s="361"/>
      <c r="F236" s="362"/>
      <c r="G236" s="362"/>
      <c r="H236" s="362"/>
      <c r="I236" s="362"/>
      <c r="J236" s="362"/>
      <c r="K236" s="362"/>
      <c r="L236" s="363"/>
    </row>
    <row r="237" spans="1:12" outlineLevel="1" x14ac:dyDescent="0.25">
      <c r="B237" s="386"/>
      <c r="C237" s="166" t="s">
        <v>14</v>
      </c>
      <c r="D237" s="379" t="s">
        <v>29</v>
      </c>
      <c r="E237" s="354" t="s">
        <v>16</v>
      </c>
      <c r="F237" s="324" t="str">
        <f t="array" aca="1" ref="F237" ca="1">HYPERLINK(CONCATENATE(Cartelle!$D$5,F$1,"/",$C237,"/",MID($D237,1,FIND("_",$D237)-1),"/",INDIRECT(CONCATENATE("'" &amp; $C237 &amp; "'!",ADDRESS(MATCH($D237, INDIRECT("'" &amp; $C237 &amp; "'!$B:$B"), 0),MATCH(F$1, INDIRECT("'" &amp; $C237 &amp; "'!$1:$1"), 0)))),".",INDIRECT(CONCATENATE("'"&amp;$C237&amp;"'!",ADDRESS(MATCH($D237,INDIRECT("'"&amp;$C237&amp;"'!$B:$B"),0),3))),"#page=",F238),CONCATENATE("#Sharepoint//",$D237))</f>
        <v>#Sharepoint//FRS_Brake Control</v>
      </c>
      <c r="G237" s="388"/>
      <c r="H237" s="324" t="str">
        <f t="array" aca="1" ref="H237" ca="1">HYPERLINK(CONCATENATE(Cartelle!$D$5,INDEX(INDIRECT("'" &amp; $C237 &amp; "'!$1:$1"), 1, MATCH(INDIRECT(CONCATENATE("'" &amp; $C237 &amp; "'!",ADDRESS(MATCH($D237, INDIRECT("'" &amp; $C237 &amp; "'!$B:$B"), 0),MATCH(H$1, INDIRECT("'" &amp; $C237 &amp; "'!$1:$1"), 0)))),INDIRECT(CONCATENATE("'" &amp; $C237 &amp; "'!",MATCH($D237, INDIRECT("'" &amp; $C237 &amp; "'!$B:$B"), 0),":",MATCH($D237, INDIRECT("'" &amp; $C237 &amp; "'!$B:$B"), 0))),0)),"/",$C237,"/",MID($D237,1,FIND("_",$D237)-1),"/",INDIRECT(CONCATENATE("'" &amp; $C237 &amp; "'!",ADDRESS(MATCH($D237, INDIRECT("'" &amp; $C237 &amp; "'!$B:$B"), 0),MATCH(H$1, INDIRECT("'" &amp; $C237 &amp; "'!$1:$1"), 0)))),".",INDIRECT(CONCATENATE("'"&amp;$C237&amp;"'!",ADDRESS(MATCH($D237,INDIRECT("'"&amp;$C237&amp;"'!$B:$B"),0),3))),"#page=",H238),CONCATENATE("#Sharepoint//",$D237))</f>
        <v>#Sharepoint//FRS_Brake Control</v>
      </c>
      <c r="I237" s="324" t="str">
        <f t="array" aca="1" ref="I237" ca="1">HYPERLINK(CONCATENATE(Cartelle!$D$5,INDEX(INDIRECT("'" &amp; $C237 &amp; "'!$1:$1"), 1, MATCH(INDIRECT(CONCATENATE("'" &amp; $C237 &amp; "'!",ADDRESS(MATCH($D237, INDIRECT("'" &amp; $C237 &amp; "'!$B:$B"), 0),MATCH(I$1, INDIRECT("'" &amp; $C237 &amp; "'!$1:$1"), 0)))),INDIRECT(CONCATENATE("'" &amp; $C237 &amp; "'!",MATCH($D237, INDIRECT("'" &amp; $C237 &amp; "'!$B:$B"), 0),":",MATCH($D237, INDIRECT("'" &amp; $C237 &amp; "'!$B:$B"), 0))),0)),"/",$C237,"/",MID($D237,1,FIND("_",$D237)-1),"/",INDIRECT(CONCATENATE("'" &amp; $C237 &amp; "'!",ADDRESS(MATCH($D237, INDIRECT("'" &amp; $C237 &amp; "'!$B:$B"), 0),MATCH(I$1, INDIRECT("'" &amp; $C237 &amp; "'!$1:$1"), 0)))),".",INDIRECT(CONCATENATE("'"&amp;$C237&amp;"'!",ADDRESS(MATCH($D237,INDIRECT("'"&amp;$C237&amp;"'!$B:$B"),0),3))),"#page=",I238),CONCATENATE("#Sharepoint//",$D237))</f>
        <v>#Sharepoint//FRS_Brake Control</v>
      </c>
      <c r="J237" s="324" t="str">
        <f t="array" aca="1" ref="J237" ca="1">HYPERLINK(CONCATENATE(Cartelle!$D$5,INDEX(INDIRECT("'" &amp; $C237 &amp; "'!$1:$1"), 1, MATCH(INDIRECT(CONCATENATE("'" &amp; $C237 &amp; "'!",ADDRESS(MATCH($D237, INDIRECT("'" &amp; $C237 &amp; "'!$B:$B"), 0),MATCH(J$1, INDIRECT("'" &amp; $C237 &amp; "'!$1:$1"), 0)))),INDIRECT(CONCATENATE("'" &amp; $C237 &amp; "'!",MATCH($D237, INDIRECT("'" &amp; $C237 &amp; "'!$B:$B"), 0),":",MATCH($D237, INDIRECT("'" &amp; $C237 &amp; "'!$B:$B"), 0))),0)),"/",$C237,"/",MID($D237,1,FIND("_",$D237)-1),"/",INDIRECT(CONCATENATE("'" &amp; $C237 &amp; "'!",ADDRESS(MATCH($D237, INDIRECT("'" &amp; $C237 &amp; "'!$B:$B"), 0),MATCH(J$1, INDIRECT("'" &amp; $C237 &amp; "'!$1:$1"), 0)))),".",INDIRECT(CONCATENATE("'"&amp;$C237&amp;"'!",ADDRESS(MATCH($D237,INDIRECT("'"&amp;$C237&amp;"'!$B:$B"),0),3))),"#page=",J238),CONCATENATE("#Sharepoint//",$D237))</f>
        <v>#Sharepoint//FRS_Brake Control</v>
      </c>
      <c r="K237" s="356"/>
      <c r="L237" s="356"/>
    </row>
    <row r="238" spans="1:12" outlineLevel="2" x14ac:dyDescent="0.25">
      <c r="B238" s="386"/>
      <c r="D238" s="383"/>
      <c r="E238" s="366" t="s">
        <v>17</v>
      </c>
      <c r="F238" s="367">
        <v>97</v>
      </c>
      <c r="G238" s="367"/>
      <c r="H238" s="367">
        <v>102</v>
      </c>
      <c r="I238" s="367">
        <v>93</v>
      </c>
      <c r="J238" s="367">
        <v>136</v>
      </c>
      <c r="K238" s="367"/>
      <c r="L238" s="367"/>
    </row>
    <row r="239" spans="1:12" outlineLevel="2" x14ac:dyDescent="0.25">
      <c r="B239" s="386"/>
      <c r="D239" s="367"/>
      <c r="E239" s="471" t="s">
        <v>61</v>
      </c>
      <c r="F239" s="476"/>
      <c r="G239" s="476"/>
      <c r="H239" s="476"/>
      <c r="I239" s="476"/>
      <c r="J239" s="476"/>
      <c r="K239" s="476"/>
      <c r="L239" s="477"/>
    </row>
    <row r="240" spans="1:12" x14ac:dyDescent="0.25">
      <c r="A240" s="360" t="s">
        <v>176</v>
      </c>
      <c r="B240" s="387"/>
      <c r="C240" s="404"/>
      <c r="D240" s="381" t="s">
        <v>31</v>
      </c>
      <c r="E240" s="361"/>
      <c r="F240" s="362"/>
      <c r="G240" s="362"/>
      <c r="H240" s="362"/>
      <c r="I240" s="362"/>
      <c r="J240" s="362"/>
      <c r="K240" s="362"/>
      <c r="L240" s="363"/>
    </row>
    <row r="241" spans="1:12" outlineLevel="1" x14ac:dyDescent="0.25">
      <c r="B241" s="386"/>
      <c r="C241" s="166" t="s">
        <v>14</v>
      </c>
      <c r="D241" s="379" t="s">
        <v>29</v>
      </c>
      <c r="E241" s="354" t="s">
        <v>16</v>
      </c>
      <c r="F241" s="324" t="str">
        <f t="array" aca="1" ref="F241" ca="1">HYPERLINK(CONCATENATE(Cartelle!$D$5,F$1,"/",$C241,"/",MID($D241,1,FIND("_",$D241)-1),"/",INDIRECT(CONCATENATE("'" &amp; $C241 &amp; "'!",ADDRESS(MATCH($D241, INDIRECT("'" &amp; $C241 &amp; "'!$B:$B"), 0),MATCH(F$1, INDIRECT("'" &amp; $C241 &amp; "'!$1:$1"), 0)))),".",INDIRECT(CONCATENATE("'"&amp;$C241&amp;"'!",ADDRESS(MATCH($D241,INDIRECT("'"&amp;$C241&amp;"'!$B:$B"),0),3))),"#page=",F242),CONCATENATE("#Sharepoint//",$D241))</f>
        <v>#Sharepoint//FRS_Brake Control</v>
      </c>
      <c r="G241" s="388"/>
      <c r="H241" s="324" t="str">
        <f t="array" aca="1" ref="H241" ca="1">HYPERLINK(CONCATENATE(Cartelle!$D$5,INDEX(INDIRECT("'" &amp; $C241 &amp; "'!$1:$1"), 1, MATCH(INDIRECT(CONCATENATE("'" &amp; $C241 &amp; "'!",ADDRESS(MATCH($D241, INDIRECT("'" &amp; $C241 &amp; "'!$B:$B"), 0),MATCH(H$1, INDIRECT("'" &amp; $C241 &amp; "'!$1:$1"), 0)))),INDIRECT(CONCATENATE("'" &amp; $C241 &amp; "'!",MATCH($D241, INDIRECT("'" &amp; $C241 &amp; "'!$B:$B"), 0),":",MATCH($D241, INDIRECT("'" &amp; $C241 &amp; "'!$B:$B"), 0))),0)),"/",$C241,"/",MID($D241,1,FIND("_",$D241)-1),"/",INDIRECT(CONCATENATE("'" &amp; $C241 &amp; "'!",ADDRESS(MATCH($D241, INDIRECT("'" &amp; $C241 &amp; "'!$B:$B"), 0),MATCH(H$1, INDIRECT("'" &amp; $C241 &amp; "'!$1:$1"), 0)))),".",INDIRECT(CONCATENATE("'"&amp;$C241&amp;"'!",ADDRESS(MATCH($D241,INDIRECT("'"&amp;$C241&amp;"'!$B:$B"),0),3))),"#page=",H242),CONCATENATE("#Sharepoint//",$D241))</f>
        <v>#Sharepoint//FRS_Brake Control</v>
      </c>
      <c r="I241" s="324" t="str">
        <f t="array" aca="1" ref="I241" ca="1">HYPERLINK(CONCATENATE(Cartelle!$D$5,INDEX(INDIRECT("'" &amp; $C241 &amp; "'!$1:$1"), 1, MATCH(INDIRECT(CONCATENATE("'" &amp; $C241 &amp; "'!",ADDRESS(MATCH($D241, INDIRECT("'" &amp; $C241 &amp; "'!$B:$B"), 0),MATCH(I$1, INDIRECT("'" &amp; $C241 &amp; "'!$1:$1"), 0)))),INDIRECT(CONCATENATE("'" &amp; $C241 &amp; "'!",MATCH($D241, INDIRECT("'" &amp; $C241 &amp; "'!$B:$B"), 0),":",MATCH($D241, INDIRECT("'" &amp; $C241 &amp; "'!$B:$B"), 0))),0)),"/",$C241,"/",MID($D241,1,FIND("_",$D241)-1),"/",INDIRECT(CONCATENATE("'" &amp; $C241 &amp; "'!",ADDRESS(MATCH($D241, INDIRECT("'" &amp; $C241 &amp; "'!$B:$B"), 0),MATCH(I$1, INDIRECT("'" &amp; $C241 &amp; "'!$1:$1"), 0)))),".",INDIRECT(CONCATENATE("'"&amp;$C241&amp;"'!",ADDRESS(MATCH($D241,INDIRECT("'"&amp;$C241&amp;"'!$B:$B"),0),3))),"#page=",I242),CONCATENATE("#Sharepoint//",$D241))</f>
        <v>#Sharepoint//FRS_Brake Control</v>
      </c>
      <c r="J241" s="324" t="str">
        <f t="array" aca="1" ref="J241" ca="1">HYPERLINK(CONCATENATE(Cartelle!$D$5,INDEX(INDIRECT("'" &amp; $C241 &amp; "'!$1:$1"), 1, MATCH(INDIRECT(CONCATENATE("'" &amp; $C241 &amp; "'!",ADDRESS(MATCH($D241, INDIRECT("'" &amp; $C241 &amp; "'!$B:$B"), 0),MATCH(J$1, INDIRECT("'" &amp; $C241 &amp; "'!$1:$1"), 0)))),INDIRECT(CONCATENATE("'" &amp; $C241 &amp; "'!",MATCH($D241, INDIRECT("'" &amp; $C241 &amp; "'!$B:$B"), 0),":",MATCH($D241, INDIRECT("'" &amp; $C241 &amp; "'!$B:$B"), 0))),0)),"/",$C241,"/",MID($D241,1,FIND("_",$D241)-1),"/",INDIRECT(CONCATENATE("'" &amp; $C241 &amp; "'!",ADDRESS(MATCH($D241, INDIRECT("'" &amp; $C241 &amp; "'!$B:$B"), 0),MATCH(J$1, INDIRECT("'" &amp; $C241 &amp; "'!$1:$1"), 0)))),".",INDIRECT(CONCATENATE("'"&amp;$C241&amp;"'!",ADDRESS(MATCH($D241,INDIRECT("'"&amp;$C241&amp;"'!$B:$B"),0),3))),"#page=",J242),CONCATENATE("#Sharepoint//",$D241))</f>
        <v>#Sharepoint//FRS_Brake Control</v>
      </c>
      <c r="K241" s="356"/>
      <c r="L241" s="356"/>
    </row>
    <row r="242" spans="1:12" outlineLevel="2" x14ac:dyDescent="0.25">
      <c r="B242" s="386"/>
      <c r="D242" s="383"/>
      <c r="E242" s="366" t="s">
        <v>17</v>
      </c>
      <c r="F242" s="367">
        <v>117</v>
      </c>
      <c r="G242" s="367"/>
      <c r="H242" s="367">
        <v>127</v>
      </c>
      <c r="I242" s="367">
        <v>113</v>
      </c>
      <c r="J242" s="367">
        <v>154</v>
      </c>
      <c r="K242" s="367"/>
      <c r="L242" s="367"/>
    </row>
    <row r="243" spans="1:12" ht="14.25" customHeight="1" outlineLevel="2" x14ac:dyDescent="0.25">
      <c r="B243" s="386"/>
      <c r="D243" s="367"/>
      <c r="E243" s="471" t="s">
        <v>61</v>
      </c>
      <c r="F243" s="476"/>
      <c r="G243" s="476"/>
      <c r="H243" s="476"/>
      <c r="I243" s="476"/>
      <c r="J243" s="476"/>
      <c r="K243" s="476"/>
      <c r="L243" s="477"/>
    </row>
    <row r="244" spans="1:12" x14ac:dyDescent="0.25">
      <c r="A244" s="360" t="s">
        <v>177</v>
      </c>
      <c r="B244" s="387"/>
      <c r="C244" s="404"/>
      <c r="D244" s="381" t="s">
        <v>31</v>
      </c>
      <c r="E244" s="361"/>
      <c r="F244" s="362"/>
      <c r="G244" s="362"/>
      <c r="H244" s="362"/>
      <c r="I244" s="362"/>
      <c r="J244" s="362"/>
      <c r="K244" s="362"/>
      <c r="L244" s="363"/>
    </row>
    <row r="245" spans="1:12" outlineLevel="1" x14ac:dyDescent="0.25">
      <c r="B245" s="386"/>
      <c r="C245" s="166" t="s">
        <v>14</v>
      </c>
      <c r="D245" s="379" t="s">
        <v>29</v>
      </c>
      <c r="E245" s="354" t="s">
        <v>16</v>
      </c>
      <c r="F245" s="324" t="str">
        <f t="array" aca="1" ref="F245" ca="1">HYPERLINK(CONCATENATE(Cartelle!$D$5,F$1,"/",$C245,"/",MID($D245,1,FIND("_",$D245)-1),"/",INDIRECT(CONCATENATE("'" &amp; $C245 &amp; "'!",ADDRESS(MATCH($D245, INDIRECT("'" &amp; $C245 &amp; "'!$B:$B"), 0),MATCH(F$1, INDIRECT("'" &amp; $C245 &amp; "'!$1:$1"), 0)))),".",INDIRECT(CONCATENATE("'"&amp;$C245&amp;"'!",ADDRESS(MATCH($D245,INDIRECT("'"&amp;$C245&amp;"'!$B:$B"),0),3))),"#page=",F246),CONCATENATE("#Sharepoint//",$D245))</f>
        <v>#Sharepoint//FRS_Brake Control</v>
      </c>
      <c r="G245" s="388"/>
      <c r="H245" s="324" t="str">
        <f t="array" aca="1" ref="H245" ca="1">HYPERLINK(CONCATENATE(Cartelle!$D$5,INDEX(INDIRECT("'" &amp; $C245 &amp; "'!$1:$1"), 1, MATCH(INDIRECT(CONCATENATE("'" &amp; $C245 &amp; "'!",ADDRESS(MATCH($D245, INDIRECT("'" &amp; $C245 &amp; "'!$B:$B"), 0),MATCH(H$1, INDIRECT("'" &amp; $C245 &amp; "'!$1:$1"), 0)))),INDIRECT(CONCATENATE("'" &amp; $C245 &amp; "'!",MATCH($D245, INDIRECT("'" &amp; $C245 &amp; "'!$B:$B"), 0),":",MATCH($D245, INDIRECT("'" &amp; $C245 &amp; "'!$B:$B"), 0))),0)),"/",$C245,"/",MID($D245,1,FIND("_",$D245)-1),"/",INDIRECT(CONCATENATE("'" &amp; $C245 &amp; "'!",ADDRESS(MATCH($D245, INDIRECT("'" &amp; $C245 &amp; "'!$B:$B"), 0),MATCH(H$1, INDIRECT("'" &amp; $C245 &amp; "'!$1:$1"), 0)))),".",INDIRECT(CONCATENATE("'"&amp;$C245&amp;"'!",ADDRESS(MATCH($D245,INDIRECT("'"&amp;$C245&amp;"'!$B:$B"),0),3))),"#page=",H246),CONCATENATE("#Sharepoint//",$D245))</f>
        <v>#Sharepoint//FRS_Brake Control</v>
      </c>
      <c r="I245" s="324" t="str">
        <f t="array" aca="1" ref="I245" ca="1">HYPERLINK(CONCATENATE(Cartelle!$D$5,INDEX(INDIRECT("'" &amp; $C245 &amp; "'!$1:$1"), 1, MATCH(INDIRECT(CONCATENATE("'" &amp; $C245 &amp; "'!",ADDRESS(MATCH($D245, INDIRECT("'" &amp; $C245 &amp; "'!$B:$B"), 0),MATCH(I$1, INDIRECT("'" &amp; $C245 &amp; "'!$1:$1"), 0)))),INDIRECT(CONCATENATE("'" &amp; $C245 &amp; "'!",MATCH($D245, INDIRECT("'" &amp; $C245 &amp; "'!$B:$B"), 0),":",MATCH($D245, INDIRECT("'" &amp; $C245 &amp; "'!$B:$B"), 0))),0)),"/",$C245,"/",MID($D245,1,FIND("_",$D245)-1),"/",INDIRECT(CONCATENATE("'" &amp; $C245 &amp; "'!",ADDRESS(MATCH($D245, INDIRECT("'" &amp; $C245 &amp; "'!$B:$B"), 0),MATCH(I$1, INDIRECT("'" &amp; $C245 &amp; "'!$1:$1"), 0)))),".",INDIRECT(CONCATENATE("'"&amp;$C245&amp;"'!",ADDRESS(MATCH($D245,INDIRECT("'"&amp;$C245&amp;"'!$B:$B"),0),3))),"#page=",I246),CONCATENATE("#Sharepoint//",$D245))</f>
        <v>#Sharepoint//FRS_Brake Control</v>
      </c>
      <c r="J245" s="324" t="str">
        <f t="array" aca="1" ref="J245" ca="1">HYPERLINK(CONCATENATE(Cartelle!$D$5,INDEX(INDIRECT("'" &amp; $C245 &amp; "'!$1:$1"), 1, MATCH(INDIRECT(CONCATENATE("'" &amp; $C245 &amp; "'!",ADDRESS(MATCH($D245, INDIRECT("'" &amp; $C245 &amp; "'!$B:$B"), 0),MATCH(J$1, INDIRECT("'" &amp; $C245 &amp; "'!$1:$1"), 0)))),INDIRECT(CONCATENATE("'" &amp; $C245 &amp; "'!",MATCH($D245, INDIRECT("'" &amp; $C245 &amp; "'!$B:$B"), 0),":",MATCH($D245, INDIRECT("'" &amp; $C245 &amp; "'!$B:$B"), 0))),0)),"/",$C245,"/",MID($D245,1,FIND("_",$D245)-1),"/",INDIRECT(CONCATENATE("'" &amp; $C245 &amp; "'!",ADDRESS(MATCH($D245, INDIRECT("'" &amp; $C245 &amp; "'!$B:$B"), 0),MATCH(J$1, INDIRECT("'" &amp; $C245 &amp; "'!$1:$1"), 0)))),".",INDIRECT(CONCATENATE("'"&amp;$C245&amp;"'!",ADDRESS(MATCH($D245,INDIRECT("'"&amp;$C245&amp;"'!$B:$B"),0),3))),"#page=",J246),CONCATENATE("#Sharepoint//",$D245))</f>
        <v>#Sharepoint//FRS_Brake Control</v>
      </c>
      <c r="K245" s="356"/>
      <c r="L245" s="356"/>
    </row>
    <row r="246" spans="1:12" outlineLevel="2" x14ac:dyDescent="0.25">
      <c r="B246" s="386"/>
      <c r="D246" s="383"/>
      <c r="E246" s="366" t="s">
        <v>17</v>
      </c>
      <c r="F246" s="367">
        <v>131</v>
      </c>
      <c r="G246" s="367"/>
      <c r="H246" s="367">
        <v>142</v>
      </c>
      <c r="I246" s="367">
        <v>131</v>
      </c>
      <c r="J246" s="367">
        <v>171</v>
      </c>
      <c r="K246" s="367"/>
      <c r="L246" s="367"/>
    </row>
    <row r="247" spans="1:12" ht="14.25" customHeight="1" outlineLevel="2" x14ac:dyDescent="0.25">
      <c r="B247" s="386"/>
      <c r="D247" s="367"/>
      <c r="E247" s="471" t="s">
        <v>61</v>
      </c>
      <c r="F247" s="476"/>
      <c r="G247" s="476"/>
      <c r="H247" s="476"/>
      <c r="I247" s="476"/>
      <c r="J247" s="476"/>
      <c r="K247" s="476"/>
      <c r="L247" s="477"/>
    </row>
    <row r="248" spans="1:12" x14ac:dyDescent="0.25">
      <c r="A248" s="360" t="s">
        <v>178</v>
      </c>
      <c r="B248" s="387"/>
      <c r="C248" s="404"/>
      <c r="D248" s="381" t="s">
        <v>31</v>
      </c>
      <c r="E248" s="361"/>
      <c r="F248" s="362"/>
      <c r="G248" s="362"/>
      <c r="H248" s="362"/>
      <c r="I248" s="362"/>
      <c r="J248" s="362"/>
      <c r="K248" s="362"/>
      <c r="L248" s="363"/>
    </row>
    <row r="249" spans="1:12" outlineLevel="1" x14ac:dyDescent="0.25">
      <c r="B249" s="386"/>
      <c r="C249" s="166" t="s">
        <v>14</v>
      </c>
      <c r="D249" s="379" t="s">
        <v>29</v>
      </c>
      <c r="E249" s="354" t="s">
        <v>16</v>
      </c>
      <c r="F249" s="324" t="str">
        <f t="array" aca="1" ref="F249" ca="1">HYPERLINK(CONCATENATE(Cartelle!$D$5,F$1,"/",$C249,"/",MID($D249,1,FIND("_",$D249)-1),"/",INDIRECT(CONCATENATE("'" &amp; $C249 &amp; "'!",ADDRESS(MATCH($D249, INDIRECT("'" &amp; $C249 &amp; "'!$B:$B"), 0),MATCH(F$1, INDIRECT("'" &amp; $C249 &amp; "'!$1:$1"), 0)))),".",INDIRECT(CONCATENATE("'"&amp;$C249&amp;"'!",ADDRESS(MATCH($D249,INDIRECT("'"&amp;$C249&amp;"'!$B:$B"),0),3))),"#page=",F250),CONCATENATE("#Sharepoint//",$D249))</f>
        <v>#Sharepoint//FRS_Brake Control</v>
      </c>
      <c r="G249" s="388"/>
      <c r="H249" s="324" t="str">
        <f t="array" aca="1" ref="H249" ca="1">HYPERLINK(CONCATENATE(Cartelle!$D$5,INDEX(INDIRECT("'" &amp; $C249 &amp; "'!$1:$1"), 1, MATCH(INDIRECT(CONCATENATE("'" &amp; $C249 &amp; "'!",ADDRESS(MATCH($D249, INDIRECT("'" &amp; $C249 &amp; "'!$B:$B"), 0),MATCH(H$1, INDIRECT("'" &amp; $C249 &amp; "'!$1:$1"), 0)))),INDIRECT(CONCATENATE("'" &amp; $C249 &amp; "'!",MATCH($D249, INDIRECT("'" &amp; $C249 &amp; "'!$B:$B"), 0),":",MATCH($D249, INDIRECT("'" &amp; $C249 &amp; "'!$B:$B"), 0))),0)),"/",$C249,"/",MID($D249,1,FIND("_",$D249)-1),"/",INDIRECT(CONCATENATE("'" &amp; $C249 &amp; "'!",ADDRESS(MATCH($D249, INDIRECT("'" &amp; $C249 &amp; "'!$B:$B"), 0),MATCH(H$1, INDIRECT("'" &amp; $C249 &amp; "'!$1:$1"), 0)))),".",INDIRECT(CONCATENATE("'"&amp;$C249&amp;"'!",ADDRESS(MATCH($D249,INDIRECT("'"&amp;$C249&amp;"'!$B:$B"),0),3))),"#page=",H250),CONCATENATE("#Sharepoint//",$D249))</f>
        <v>#Sharepoint//FRS_Brake Control</v>
      </c>
      <c r="I249" s="324" t="str">
        <f t="array" aca="1" ref="I249" ca="1">HYPERLINK(CONCATENATE(Cartelle!$D$5,INDEX(INDIRECT("'" &amp; $C249 &amp; "'!$1:$1"), 1, MATCH(INDIRECT(CONCATENATE("'" &amp; $C249 &amp; "'!",ADDRESS(MATCH($D249, INDIRECT("'" &amp; $C249 &amp; "'!$B:$B"), 0),MATCH(I$1, INDIRECT("'" &amp; $C249 &amp; "'!$1:$1"), 0)))),INDIRECT(CONCATENATE("'" &amp; $C249 &amp; "'!",MATCH($D249, INDIRECT("'" &amp; $C249 &amp; "'!$B:$B"), 0),":",MATCH($D249, INDIRECT("'" &amp; $C249 &amp; "'!$B:$B"), 0))),0)),"/",$C249,"/",MID($D249,1,FIND("_",$D249)-1),"/",INDIRECT(CONCATENATE("'" &amp; $C249 &amp; "'!",ADDRESS(MATCH($D249, INDIRECT("'" &amp; $C249 &amp; "'!$B:$B"), 0),MATCH(I$1, INDIRECT("'" &amp; $C249 &amp; "'!$1:$1"), 0)))),".",INDIRECT(CONCATENATE("'"&amp;$C249&amp;"'!",ADDRESS(MATCH($D249,INDIRECT("'"&amp;$C249&amp;"'!$B:$B"),0),3))),"#page=",I250),CONCATENATE("#Sharepoint//",$D249))</f>
        <v>#Sharepoint//FRS_Brake Control</v>
      </c>
      <c r="J249" s="324" t="str">
        <f t="array" aca="1" ref="J249" ca="1">HYPERLINK(CONCATENATE(Cartelle!$D$5,INDEX(INDIRECT("'" &amp; $C249 &amp; "'!$1:$1"), 1, MATCH(INDIRECT(CONCATENATE("'" &amp; $C249 &amp; "'!",ADDRESS(MATCH($D249, INDIRECT("'" &amp; $C249 &amp; "'!$B:$B"), 0),MATCH(J$1, INDIRECT("'" &amp; $C249 &amp; "'!$1:$1"), 0)))),INDIRECT(CONCATENATE("'" &amp; $C249 &amp; "'!",MATCH($D249, INDIRECT("'" &amp; $C249 &amp; "'!$B:$B"), 0),":",MATCH($D249, INDIRECT("'" &amp; $C249 &amp; "'!$B:$B"), 0))),0)),"/",$C249,"/",MID($D249,1,FIND("_",$D249)-1),"/",INDIRECT(CONCATENATE("'" &amp; $C249 &amp; "'!",ADDRESS(MATCH($D249, INDIRECT("'" &amp; $C249 &amp; "'!$B:$B"), 0),MATCH(J$1, INDIRECT("'" &amp; $C249 &amp; "'!$1:$1"), 0)))),".",INDIRECT(CONCATENATE("'"&amp;$C249&amp;"'!",ADDRESS(MATCH($D249,INDIRECT("'"&amp;$C249&amp;"'!$B:$B"),0),3))),"#page=",J250),CONCATENATE("#Sharepoint//",$D249))</f>
        <v>#Sharepoint//FRS_Brake Control</v>
      </c>
      <c r="K249" s="356"/>
      <c r="L249" s="356"/>
    </row>
    <row r="250" spans="1:12" outlineLevel="2" x14ac:dyDescent="0.25">
      <c r="B250" s="386"/>
      <c r="D250" s="383"/>
      <c r="E250" s="366" t="s">
        <v>17</v>
      </c>
      <c r="F250" s="367">
        <v>145</v>
      </c>
      <c r="G250" s="367"/>
      <c r="H250" s="367">
        <v>157</v>
      </c>
      <c r="I250" s="367">
        <v>144</v>
      </c>
      <c r="J250" s="367">
        <v>189</v>
      </c>
      <c r="K250" s="367"/>
      <c r="L250" s="367"/>
    </row>
    <row r="251" spans="1:12" ht="14.25" customHeight="1" outlineLevel="2" x14ac:dyDescent="0.25">
      <c r="B251" s="386"/>
      <c r="D251" s="367"/>
      <c r="E251" s="471" t="s">
        <v>61</v>
      </c>
      <c r="F251" s="476"/>
      <c r="G251" s="476"/>
      <c r="H251" s="476"/>
      <c r="I251" s="476"/>
      <c r="J251" s="476"/>
      <c r="K251" s="476"/>
      <c r="L251" s="477"/>
    </row>
    <row r="252" spans="1:12" x14ac:dyDescent="0.25">
      <c r="A252" s="360" t="s">
        <v>179</v>
      </c>
      <c r="B252" s="387"/>
      <c r="C252" s="404"/>
      <c r="D252" s="381" t="s">
        <v>31</v>
      </c>
      <c r="E252" s="361"/>
      <c r="F252" s="362"/>
      <c r="G252" s="362"/>
      <c r="H252" s="362"/>
      <c r="I252" s="362"/>
      <c r="J252" s="362"/>
      <c r="K252" s="362"/>
      <c r="L252" s="363"/>
    </row>
    <row r="253" spans="1:12" outlineLevel="1" x14ac:dyDescent="0.25">
      <c r="B253" s="386"/>
      <c r="C253" s="166" t="s">
        <v>14</v>
      </c>
      <c r="D253" s="379" t="s">
        <v>29</v>
      </c>
      <c r="E253" s="354" t="s">
        <v>16</v>
      </c>
      <c r="F253" s="324" t="str">
        <f t="array" aca="1" ref="F253" ca="1">HYPERLINK(CONCATENATE(Cartelle!$D$5,F$1,"/",$C253,"/",MID($D253,1,FIND("_",$D253)-1),"/",INDIRECT(CONCATENATE("'" &amp; $C253 &amp; "'!",ADDRESS(MATCH($D253, INDIRECT("'" &amp; $C253 &amp; "'!$B:$B"), 0),MATCH(F$1, INDIRECT("'" &amp; $C253 &amp; "'!$1:$1"), 0)))),".",INDIRECT(CONCATENATE("'"&amp;$C253&amp;"'!",ADDRESS(MATCH($D253,INDIRECT("'"&amp;$C253&amp;"'!$B:$B"),0),3))),"#page=",F254),CONCATENATE("#Sharepoint//",$D253))</f>
        <v>#Sharepoint//FRS_Brake Control</v>
      </c>
      <c r="G253" s="388"/>
      <c r="H253" s="324" t="str">
        <f t="array" aca="1" ref="H253" ca="1">HYPERLINK(CONCATENATE(Cartelle!$D$5,INDEX(INDIRECT("'" &amp; $C253 &amp; "'!$1:$1"), 1, MATCH(INDIRECT(CONCATENATE("'" &amp; $C253 &amp; "'!",ADDRESS(MATCH($D253, INDIRECT("'" &amp; $C253 &amp; "'!$B:$B"), 0),MATCH(H$1, INDIRECT("'" &amp; $C253 &amp; "'!$1:$1"), 0)))),INDIRECT(CONCATENATE("'" &amp; $C253 &amp; "'!",MATCH($D253, INDIRECT("'" &amp; $C253 &amp; "'!$B:$B"), 0),":",MATCH($D253, INDIRECT("'" &amp; $C253 &amp; "'!$B:$B"), 0))),0)),"/",$C253,"/",MID($D253,1,FIND("_",$D253)-1),"/",INDIRECT(CONCATENATE("'" &amp; $C253 &amp; "'!",ADDRESS(MATCH($D253, INDIRECT("'" &amp; $C253 &amp; "'!$B:$B"), 0),MATCH(H$1, INDIRECT("'" &amp; $C253 &amp; "'!$1:$1"), 0)))),".",INDIRECT(CONCATENATE("'"&amp;$C253&amp;"'!",ADDRESS(MATCH($D253,INDIRECT("'"&amp;$C253&amp;"'!$B:$B"),0),3))),"#page=",H254),CONCATENATE("#Sharepoint//",$D253))</f>
        <v>#Sharepoint//FRS_Brake Control</v>
      </c>
      <c r="I253" s="324" t="str">
        <f t="array" aca="1" ref="I253" ca="1">HYPERLINK(CONCATENATE(Cartelle!$D$5,INDEX(INDIRECT("'" &amp; $C253 &amp; "'!$1:$1"), 1, MATCH(INDIRECT(CONCATENATE("'" &amp; $C253 &amp; "'!",ADDRESS(MATCH($D253, INDIRECT("'" &amp; $C253 &amp; "'!$B:$B"), 0),MATCH(I$1, INDIRECT("'" &amp; $C253 &amp; "'!$1:$1"), 0)))),INDIRECT(CONCATENATE("'" &amp; $C253 &amp; "'!",MATCH($D253, INDIRECT("'" &amp; $C253 &amp; "'!$B:$B"), 0),":",MATCH($D253, INDIRECT("'" &amp; $C253 &amp; "'!$B:$B"), 0))),0)),"/",$C253,"/",MID($D253,1,FIND("_",$D253)-1),"/",INDIRECT(CONCATENATE("'" &amp; $C253 &amp; "'!",ADDRESS(MATCH($D253, INDIRECT("'" &amp; $C253 &amp; "'!$B:$B"), 0),MATCH(I$1, INDIRECT("'" &amp; $C253 &amp; "'!$1:$1"), 0)))),".",INDIRECT(CONCATENATE("'"&amp;$C253&amp;"'!",ADDRESS(MATCH($D253,INDIRECT("'"&amp;$C253&amp;"'!$B:$B"),0),3))),"#page=",I254),CONCATENATE("#Sharepoint//",$D253))</f>
        <v>#Sharepoint//FRS_Brake Control</v>
      </c>
      <c r="J253" s="324" t="str">
        <f t="array" aca="1" ref="J253" ca="1">HYPERLINK(CONCATENATE(Cartelle!$D$5,INDEX(INDIRECT("'" &amp; $C253 &amp; "'!$1:$1"), 1, MATCH(INDIRECT(CONCATENATE("'" &amp; $C253 &amp; "'!",ADDRESS(MATCH($D253, INDIRECT("'" &amp; $C253 &amp; "'!$B:$B"), 0),MATCH(J$1, INDIRECT("'" &amp; $C253 &amp; "'!$1:$1"), 0)))),INDIRECT(CONCATENATE("'" &amp; $C253 &amp; "'!",MATCH($D253, INDIRECT("'" &amp; $C253 &amp; "'!$B:$B"), 0),":",MATCH($D253, INDIRECT("'" &amp; $C253 &amp; "'!$B:$B"), 0))),0)),"/",$C253,"/",MID($D253,1,FIND("_",$D253)-1),"/",INDIRECT(CONCATENATE("'" &amp; $C253 &amp; "'!",ADDRESS(MATCH($D253, INDIRECT("'" &amp; $C253 &amp; "'!$B:$B"), 0),MATCH(J$1, INDIRECT("'" &amp; $C253 &amp; "'!$1:$1"), 0)))),".",INDIRECT(CONCATENATE("'"&amp;$C253&amp;"'!",ADDRESS(MATCH($D253,INDIRECT("'"&amp;$C253&amp;"'!$B:$B"),0),3))),"#page=",J254),CONCATENATE("#Sharepoint//",$D253))</f>
        <v>#Sharepoint//FRS_Brake Control</v>
      </c>
      <c r="K253" s="356"/>
      <c r="L253" s="356"/>
    </row>
    <row r="254" spans="1:12" outlineLevel="2" x14ac:dyDescent="0.25">
      <c r="B254" s="386"/>
      <c r="D254" s="383"/>
      <c r="E254" s="366" t="s">
        <v>17</v>
      </c>
      <c r="F254" s="367">
        <v>153</v>
      </c>
      <c r="G254" s="367"/>
      <c r="H254" s="367">
        <v>165</v>
      </c>
      <c r="I254" s="367">
        <v>166</v>
      </c>
      <c r="J254" s="367">
        <v>192</v>
      </c>
      <c r="K254" s="367"/>
      <c r="L254" s="367"/>
    </row>
    <row r="255" spans="1:12" ht="14.25" customHeight="1" outlineLevel="2" x14ac:dyDescent="0.25">
      <c r="B255" s="386"/>
      <c r="D255" s="367"/>
      <c r="E255" s="471" t="s">
        <v>61</v>
      </c>
      <c r="F255" s="476"/>
      <c r="G255" s="476"/>
      <c r="H255" s="476"/>
      <c r="I255" s="476"/>
      <c r="J255" s="476"/>
      <c r="K255" s="476"/>
      <c r="L255" s="477"/>
    </row>
    <row r="256" spans="1:12" x14ac:dyDescent="0.25">
      <c r="A256" s="360" t="s">
        <v>180</v>
      </c>
      <c r="B256" s="387"/>
      <c r="C256" s="404"/>
      <c r="D256" s="381" t="s">
        <v>31</v>
      </c>
      <c r="E256" s="361"/>
      <c r="F256" s="362"/>
      <c r="G256" s="362"/>
      <c r="H256" s="362"/>
      <c r="I256" s="362"/>
      <c r="J256" s="362"/>
      <c r="K256" s="362"/>
      <c r="L256" s="363"/>
    </row>
    <row r="257" spans="1:12" outlineLevel="1" x14ac:dyDescent="0.25">
      <c r="B257" s="386"/>
      <c r="C257" s="166" t="s">
        <v>14</v>
      </c>
      <c r="D257" s="379" t="s">
        <v>29</v>
      </c>
      <c r="E257" s="354" t="s">
        <v>16</v>
      </c>
      <c r="F257" s="324" t="str">
        <f t="array" aca="1" ref="F257" ca="1">HYPERLINK(CONCATENATE(Cartelle!$D$5,F$1,"/",$C257,"/",MID($D257,1,FIND("_",$D257)-1),"/",INDIRECT(CONCATENATE("'" &amp; $C257 &amp; "'!",ADDRESS(MATCH($D257, INDIRECT("'" &amp; $C257 &amp; "'!$B:$B"), 0),MATCH(F$1, INDIRECT("'" &amp; $C257 &amp; "'!$1:$1"), 0)))),".",INDIRECT(CONCATENATE("'"&amp;$C257&amp;"'!",ADDRESS(MATCH($D257,INDIRECT("'"&amp;$C257&amp;"'!$B:$B"),0),3))),"#page=",F258),CONCATENATE("#Sharepoint//",$D257))</f>
        <v>#Sharepoint//FRS_Brake Control</v>
      </c>
      <c r="G257" s="388"/>
      <c r="H257" s="324" t="str">
        <f t="array" aca="1" ref="H257" ca="1">HYPERLINK(CONCATENATE(Cartelle!$D$5,INDEX(INDIRECT("'" &amp; $C257 &amp; "'!$1:$1"), 1, MATCH(INDIRECT(CONCATENATE("'" &amp; $C257 &amp; "'!",ADDRESS(MATCH($D257, INDIRECT("'" &amp; $C257 &amp; "'!$B:$B"), 0),MATCH(H$1, INDIRECT("'" &amp; $C257 &amp; "'!$1:$1"), 0)))),INDIRECT(CONCATENATE("'" &amp; $C257 &amp; "'!",MATCH($D257, INDIRECT("'" &amp; $C257 &amp; "'!$B:$B"), 0),":",MATCH($D257, INDIRECT("'" &amp; $C257 &amp; "'!$B:$B"), 0))),0)),"/",$C257,"/",MID($D257,1,FIND("_",$D257)-1),"/",INDIRECT(CONCATENATE("'" &amp; $C257 &amp; "'!",ADDRESS(MATCH($D257, INDIRECT("'" &amp; $C257 &amp; "'!$B:$B"), 0),MATCH(H$1, INDIRECT("'" &amp; $C257 &amp; "'!$1:$1"), 0)))),".",INDIRECT(CONCATENATE("'"&amp;$C257&amp;"'!",ADDRESS(MATCH($D257,INDIRECT("'"&amp;$C257&amp;"'!$B:$B"),0),3))),"#page=",H258),CONCATENATE("#Sharepoint//",$D257))</f>
        <v>#Sharepoint//FRS_Brake Control</v>
      </c>
      <c r="I257" s="324" t="str">
        <f t="array" aca="1" ref="I257" ca="1">HYPERLINK(CONCATENATE(Cartelle!$D$5,INDEX(INDIRECT("'" &amp; $C257 &amp; "'!$1:$1"), 1, MATCH(INDIRECT(CONCATENATE("'" &amp; $C257 &amp; "'!",ADDRESS(MATCH($D257, INDIRECT("'" &amp; $C257 &amp; "'!$B:$B"), 0),MATCH(I$1, INDIRECT("'" &amp; $C257 &amp; "'!$1:$1"), 0)))),INDIRECT(CONCATENATE("'" &amp; $C257 &amp; "'!",MATCH($D257, INDIRECT("'" &amp; $C257 &amp; "'!$B:$B"), 0),":",MATCH($D257, INDIRECT("'" &amp; $C257 &amp; "'!$B:$B"), 0))),0)),"/",$C257,"/",MID($D257,1,FIND("_",$D257)-1),"/",INDIRECT(CONCATENATE("'" &amp; $C257 &amp; "'!",ADDRESS(MATCH($D257, INDIRECT("'" &amp; $C257 &amp; "'!$B:$B"), 0),MATCH(I$1, INDIRECT("'" &amp; $C257 &amp; "'!$1:$1"), 0)))),".",INDIRECT(CONCATENATE("'"&amp;$C257&amp;"'!",ADDRESS(MATCH($D257,INDIRECT("'"&amp;$C257&amp;"'!$B:$B"),0),3))),"#page=",I258),CONCATENATE("#Sharepoint//",$D257))</f>
        <v>#Sharepoint//FRS_Brake Control</v>
      </c>
      <c r="J257" s="324" t="str">
        <f t="array" aca="1" ref="J257" ca="1">HYPERLINK(CONCATENATE(Cartelle!$D$5,INDEX(INDIRECT("'" &amp; $C257 &amp; "'!$1:$1"), 1, MATCH(INDIRECT(CONCATENATE("'" &amp; $C257 &amp; "'!",ADDRESS(MATCH($D257, INDIRECT("'" &amp; $C257 &amp; "'!$B:$B"), 0),MATCH(J$1, INDIRECT("'" &amp; $C257 &amp; "'!$1:$1"), 0)))),INDIRECT(CONCATENATE("'" &amp; $C257 &amp; "'!",MATCH($D257, INDIRECT("'" &amp; $C257 &amp; "'!$B:$B"), 0),":",MATCH($D257, INDIRECT("'" &amp; $C257 &amp; "'!$B:$B"), 0))),0)),"/",$C257,"/",MID($D257,1,FIND("_",$D257)-1),"/",INDIRECT(CONCATENATE("'" &amp; $C257 &amp; "'!",ADDRESS(MATCH($D257, INDIRECT("'" &amp; $C257 &amp; "'!$B:$B"), 0),MATCH(J$1, INDIRECT("'" &amp; $C257 &amp; "'!$1:$1"), 0)))),".",INDIRECT(CONCATENATE("'"&amp;$C257&amp;"'!",ADDRESS(MATCH($D257,INDIRECT("'"&amp;$C257&amp;"'!$B:$B"),0),3))),"#page=",J258),CONCATENATE("#Sharepoint//",$D257))</f>
        <v>#Sharepoint//FRS_Brake Control</v>
      </c>
      <c r="K257" s="356"/>
      <c r="L257" s="356"/>
    </row>
    <row r="258" spans="1:12" outlineLevel="2" x14ac:dyDescent="0.25">
      <c r="B258" s="386"/>
      <c r="D258" s="383"/>
      <c r="E258" s="366" t="s">
        <v>17</v>
      </c>
      <c r="F258" s="367">
        <v>163</v>
      </c>
      <c r="G258" s="367"/>
      <c r="H258" s="367">
        <v>173</v>
      </c>
      <c r="I258" s="367">
        <v>177</v>
      </c>
      <c r="J258" s="367">
        <v>204</v>
      </c>
      <c r="K258" s="367"/>
      <c r="L258" s="367"/>
    </row>
    <row r="259" spans="1:12" ht="14.25" customHeight="1" outlineLevel="2" x14ac:dyDescent="0.25">
      <c r="B259" s="386"/>
      <c r="D259" s="367"/>
      <c r="E259" s="471" t="s">
        <v>61</v>
      </c>
      <c r="F259" s="476"/>
      <c r="G259" s="476"/>
      <c r="H259" s="476"/>
      <c r="I259" s="476"/>
      <c r="J259" s="476"/>
      <c r="K259" s="476"/>
      <c r="L259" s="477"/>
    </row>
    <row r="260" spans="1:12" x14ac:dyDescent="0.25">
      <c r="A260" s="360" t="s">
        <v>181</v>
      </c>
      <c r="B260" s="387"/>
      <c r="C260" s="404"/>
      <c r="D260" s="381" t="s">
        <v>31</v>
      </c>
      <c r="E260" s="361"/>
      <c r="F260" s="362"/>
      <c r="G260" s="362"/>
      <c r="H260" s="362"/>
      <c r="I260" s="362"/>
      <c r="J260" s="362"/>
      <c r="K260" s="362"/>
      <c r="L260" s="363"/>
    </row>
    <row r="261" spans="1:12" outlineLevel="1" x14ac:dyDescent="0.25">
      <c r="B261" s="386"/>
      <c r="C261" s="166" t="s">
        <v>14</v>
      </c>
      <c r="D261" s="379" t="s">
        <v>29</v>
      </c>
      <c r="E261" s="354" t="s">
        <v>16</v>
      </c>
      <c r="F261" s="324" t="str">
        <f t="array" aca="1" ref="F261" ca="1">HYPERLINK(CONCATENATE(Cartelle!$D$5,F$1,"/",$C261,"/",MID($D261,1,FIND("_",$D261)-1),"/",INDIRECT(CONCATENATE("'" &amp; $C261 &amp; "'!",ADDRESS(MATCH($D261, INDIRECT("'" &amp; $C261 &amp; "'!$B:$B"), 0),MATCH(F$1, INDIRECT("'" &amp; $C261 &amp; "'!$1:$1"), 0)))),".",INDIRECT(CONCATENATE("'"&amp;$C261&amp;"'!",ADDRESS(MATCH($D261,INDIRECT("'"&amp;$C261&amp;"'!$B:$B"),0),3))),"#page=",F262),CONCATENATE("#Sharepoint//",$D261))</f>
        <v>#Sharepoint//FRS_Brake Control</v>
      </c>
      <c r="G261" s="388"/>
      <c r="H261" s="324" t="str">
        <f t="array" aca="1" ref="H261" ca="1">HYPERLINK(CONCATENATE(Cartelle!$D$5,INDEX(INDIRECT("'" &amp; $C261 &amp; "'!$1:$1"), 1, MATCH(INDIRECT(CONCATENATE("'" &amp; $C261 &amp; "'!",ADDRESS(MATCH($D261, INDIRECT("'" &amp; $C261 &amp; "'!$B:$B"), 0),MATCH(H$1, INDIRECT("'" &amp; $C261 &amp; "'!$1:$1"), 0)))),INDIRECT(CONCATENATE("'" &amp; $C261 &amp; "'!",MATCH($D261, INDIRECT("'" &amp; $C261 &amp; "'!$B:$B"), 0),":",MATCH($D261, INDIRECT("'" &amp; $C261 &amp; "'!$B:$B"), 0))),0)),"/",$C261,"/",MID($D261,1,FIND("_",$D261)-1),"/",INDIRECT(CONCATENATE("'" &amp; $C261 &amp; "'!",ADDRESS(MATCH($D261, INDIRECT("'" &amp; $C261 &amp; "'!$B:$B"), 0),MATCH(H$1, INDIRECT("'" &amp; $C261 &amp; "'!$1:$1"), 0)))),".",INDIRECT(CONCATENATE("'"&amp;$C261&amp;"'!",ADDRESS(MATCH($D261,INDIRECT("'"&amp;$C261&amp;"'!$B:$B"),0),3))),"#page=",H262),CONCATENATE("#Sharepoint//",$D261))</f>
        <v>#Sharepoint//FRS_Brake Control</v>
      </c>
      <c r="I261" s="324" t="str">
        <f t="array" aca="1" ref="I261" ca="1">HYPERLINK(CONCATENATE(Cartelle!$D$5,INDEX(INDIRECT("'" &amp; $C261 &amp; "'!$1:$1"), 1, MATCH(INDIRECT(CONCATENATE("'" &amp; $C261 &amp; "'!",ADDRESS(MATCH($D261, INDIRECT("'" &amp; $C261 &amp; "'!$B:$B"), 0),MATCH(I$1, INDIRECT("'" &amp; $C261 &amp; "'!$1:$1"), 0)))),INDIRECT(CONCATENATE("'" &amp; $C261 &amp; "'!",MATCH($D261, INDIRECT("'" &amp; $C261 &amp; "'!$B:$B"), 0),":",MATCH($D261, INDIRECT("'" &amp; $C261 &amp; "'!$B:$B"), 0))),0)),"/",$C261,"/",MID($D261,1,FIND("_",$D261)-1),"/",INDIRECT(CONCATENATE("'" &amp; $C261 &amp; "'!",ADDRESS(MATCH($D261, INDIRECT("'" &amp; $C261 &amp; "'!$B:$B"), 0),MATCH(I$1, INDIRECT("'" &amp; $C261 &amp; "'!$1:$1"), 0)))),".",INDIRECT(CONCATENATE("'"&amp;$C261&amp;"'!",ADDRESS(MATCH($D261,INDIRECT("'"&amp;$C261&amp;"'!$B:$B"),0),3))),"#page=",I262),CONCATENATE("#Sharepoint//",$D261))</f>
        <v>#Sharepoint//FRS_Brake Control</v>
      </c>
      <c r="J261" s="324" t="str">
        <f t="array" aca="1" ref="J261" ca="1">HYPERLINK(CONCATENATE(Cartelle!$D$5,INDEX(INDIRECT("'" &amp; $C261 &amp; "'!$1:$1"), 1, MATCH(INDIRECT(CONCATENATE("'" &amp; $C261 &amp; "'!",ADDRESS(MATCH($D261, INDIRECT("'" &amp; $C261 &amp; "'!$B:$B"), 0),MATCH(J$1, INDIRECT("'" &amp; $C261 &amp; "'!$1:$1"), 0)))),INDIRECT(CONCATENATE("'" &amp; $C261 &amp; "'!",MATCH($D261, INDIRECT("'" &amp; $C261 &amp; "'!$B:$B"), 0),":",MATCH($D261, INDIRECT("'" &amp; $C261 &amp; "'!$B:$B"), 0))),0)),"/",$C261,"/",MID($D261,1,FIND("_",$D261)-1),"/",INDIRECT(CONCATENATE("'" &amp; $C261 &amp; "'!",ADDRESS(MATCH($D261, INDIRECT("'" &amp; $C261 &amp; "'!$B:$B"), 0),MATCH(J$1, INDIRECT("'" &amp; $C261 &amp; "'!$1:$1"), 0)))),".",INDIRECT(CONCATENATE("'"&amp;$C261&amp;"'!",ADDRESS(MATCH($D261,INDIRECT("'"&amp;$C261&amp;"'!$B:$B"),0),3))),"#page=",J262),CONCATENATE("#Sharepoint//",$D261))</f>
        <v>#Sharepoint//FRS_Brake Control</v>
      </c>
      <c r="K261" s="356"/>
      <c r="L261" s="356"/>
    </row>
    <row r="262" spans="1:12" outlineLevel="2" x14ac:dyDescent="0.25">
      <c r="B262" s="386"/>
      <c r="D262" s="383"/>
      <c r="E262" s="366" t="s">
        <v>17</v>
      </c>
      <c r="F262" s="367">
        <v>172</v>
      </c>
      <c r="G262" s="367"/>
      <c r="H262" s="367">
        <v>184</v>
      </c>
      <c r="I262" s="367">
        <v>186</v>
      </c>
      <c r="J262" s="367">
        <v>213</v>
      </c>
      <c r="K262" s="367"/>
      <c r="L262" s="367"/>
    </row>
    <row r="263" spans="1:12" ht="14.25" customHeight="1" outlineLevel="2" x14ac:dyDescent="0.25">
      <c r="B263" s="386"/>
      <c r="D263" s="367"/>
      <c r="E263" s="471" t="s">
        <v>61</v>
      </c>
      <c r="F263" s="476"/>
      <c r="G263" s="476"/>
      <c r="H263" s="476"/>
      <c r="I263" s="476"/>
      <c r="J263" s="476"/>
      <c r="K263" s="476"/>
      <c r="L263" s="477"/>
    </row>
    <row r="264" spans="1:12" x14ac:dyDescent="0.25">
      <c r="A264" s="360" t="s">
        <v>182</v>
      </c>
      <c r="B264" s="387"/>
      <c r="C264" s="404"/>
      <c r="D264" s="381" t="s">
        <v>31</v>
      </c>
      <c r="E264" s="361"/>
      <c r="F264" s="362"/>
      <c r="G264" s="362"/>
      <c r="H264" s="362"/>
      <c r="I264" s="362"/>
      <c r="J264" s="362"/>
      <c r="K264" s="362"/>
      <c r="L264" s="363"/>
    </row>
    <row r="265" spans="1:12" outlineLevel="1" x14ac:dyDescent="0.25">
      <c r="B265" s="386"/>
      <c r="C265" s="166" t="s">
        <v>14</v>
      </c>
      <c r="D265" s="379" t="s">
        <v>29</v>
      </c>
      <c r="E265" s="354" t="s">
        <v>16</v>
      </c>
      <c r="F265" s="324" t="str">
        <f t="array" aca="1" ref="F265" ca="1">HYPERLINK(CONCATENATE(Cartelle!$D$5,F$1,"/",$C265,"/",MID($D265,1,FIND("_",$D265)-1),"/",INDIRECT(CONCATENATE("'" &amp; $C265 &amp; "'!",ADDRESS(MATCH($D265, INDIRECT("'" &amp; $C265 &amp; "'!$B:$B"), 0),MATCH(F$1, INDIRECT("'" &amp; $C265 &amp; "'!$1:$1"), 0)))),".",INDIRECT(CONCATENATE("'"&amp;$C265&amp;"'!",ADDRESS(MATCH($D265,INDIRECT("'"&amp;$C265&amp;"'!$B:$B"),0),3))),"#page=",F266),CONCATENATE("#Sharepoint//",$D265))</f>
        <v>#Sharepoint//FRS_Brake Control</v>
      </c>
      <c r="G265" s="388"/>
      <c r="H265" s="324" t="str">
        <f t="array" aca="1" ref="H265" ca="1">HYPERLINK(CONCATENATE(Cartelle!$D$5,INDEX(INDIRECT("'" &amp; $C265 &amp; "'!$1:$1"), 1, MATCH(INDIRECT(CONCATENATE("'" &amp; $C265 &amp; "'!",ADDRESS(MATCH($D265, INDIRECT("'" &amp; $C265 &amp; "'!$B:$B"), 0),MATCH(H$1, INDIRECT("'" &amp; $C265 &amp; "'!$1:$1"), 0)))),INDIRECT(CONCATENATE("'" &amp; $C265 &amp; "'!",MATCH($D265, INDIRECT("'" &amp; $C265 &amp; "'!$B:$B"), 0),":",MATCH($D265, INDIRECT("'" &amp; $C265 &amp; "'!$B:$B"), 0))),0)),"/",$C265,"/",MID($D265,1,FIND("_",$D265)-1),"/",INDIRECT(CONCATENATE("'" &amp; $C265 &amp; "'!",ADDRESS(MATCH($D265, INDIRECT("'" &amp; $C265 &amp; "'!$B:$B"), 0),MATCH(H$1, INDIRECT("'" &amp; $C265 &amp; "'!$1:$1"), 0)))),".",INDIRECT(CONCATENATE("'"&amp;$C265&amp;"'!",ADDRESS(MATCH($D265,INDIRECT("'"&amp;$C265&amp;"'!$B:$B"),0),3))),"#page=",H266),CONCATENATE("#Sharepoint//",$D265))</f>
        <v>#Sharepoint//FRS_Brake Control</v>
      </c>
      <c r="I265" s="324" t="str">
        <f t="array" aca="1" ref="I265" ca="1">HYPERLINK(CONCATENATE(Cartelle!$D$5,INDEX(INDIRECT("'" &amp; $C265 &amp; "'!$1:$1"), 1, MATCH(INDIRECT(CONCATENATE("'" &amp; $C265 &amp; "'!",ADDRESS(MATCH($D265, INDIRECT("'" &amp; $C265 &amp; "'!$B:$B"), 0),MATCH(I$1, INDIRECT("'" &amp; $C265 &amp; "'!$1:$1"), 0)))),INDIRECT(CONCATENATE("'" &amp; $C265 &amp; "'!",MATCH($D265, INDIRECT("'" &amp; $C265 &amp; "'!$B:$B"), 0),":",MATCH($D265, INDIRECT("'" &amp; $C265 &amp; "'!$B:$B"), 0))),0)),"/",$C265,"/",MID($D265,1,FIND("_",$D265)-1),"/",INDIRECT(CONCATENATE("'" &amp; $C265 &amp; "'!",ADDRESS(MATCH($D265, INDIRECT("'" &amp; $C265 &amp; "'!$B:$B"), 0),MATCH(I$1, INDIRECT("'" &amp; $C265 &amp; "'!$1:$1"), 0)))),".",INDIRECT(CONCATENATE("'"&amp;$C265&amp;"'!",ADDRESS(MATCH($D265,INDIRECT("'"&amp;$C265&amp;"'!$B:$B"),0),3))),"#page=",I266),CONCATENATE("#Sharepoint//",$D265))</f>
        <v>#Sharepoint//FRS_Brake Control</v>
      </c>
      <c r="J265" s="324" t="str">
        <f t="array" aca="1" ref="J265" ca="1">HYPERLINK(CONCATENATE(Cartelle!$D$5,INDEX(INDIRECT("'" &amp; $C265 &amp; "'!$1:$1"), 1, MATCH(INDIRECT(CONCATENATE("'" &amp; $C265 &amp; "'!",ADDRESS(MATCH($D265, INDIRECT("'" &amp; $C265 &amp; "'!$B:$B"), 0),MATCH(J$1, INDIRECT("'" &amp; $C265 &amp; "'!$1:$1"), 0)))),INDIRECT(CONCATENATE("'" &amp; $C265 &amp; "'!",MATCH($D265, INDIRECT("'" &amp; $C265 &amp; "'!$B:$B"), 0),":",MATCH($D265, INDIRECT("'" &amp; $C265 &amp; "'!$B:$B"), 0))),0)),"/",$C265,"/",MID($D265,1,FIND("_",$D265)-1),"/",INDIRECT(CONCATENATE("'" &amp; $C265 &amp; "'!",ADDRESS(MATCH($D265, INDIRECT("'" &amp; $C265 &amp; "'!$B:$B"), 0),MATCH(J$1, INDIRECT("'" &amp; $C265 &amp; "'!$1:$1"), 0)))),".",INDIRECT(CONCATENATE("'"&amp;$C265&amp;"'!",ADDRESS(MATCH($D265,INDIRECT("'"&amp;$C265&amp;"'!$B:$B"),0),3))),"#page=",J266),CONCATENATE("#Sharepoint//",$D265))</f>
        <v>#Sharepoint//FRS_Brake Control</v>
      </c>
      <c r="K265" s="356"/>
      <c r="L265" s="356"/>
    </row>
    <row r="266" spans="1:12" outlineLevel="2" x14ac:dyDescent="0.25">
      <c r="B266" s="386"/>
      <c r="D266" s="383"/>
      <c r="E266" s="366" t="s">
        <v>17</v>
      </c>
      <c r="F266" s="367">
        <v>224</v>
      </c>
      <c r="G266" s="367"/>
      <c r="H266" s="367">
        <v>238</v>
      </c>
      <c r="I266" s="367">
        <v>234</v>
      </c>
      <c r="J266" s="367">
        <v>262</v>
      </c>
      <c r="K266" s="367"/>
      <c r="L266" s="367"/>
    </row>
    <row r="267" spans="1:12" ht="14.25" customHeight="1" outlineLevel="2" x14ac:dyDescent="0.25">
      <c r="B267" s="386"/>
      <c r="D267" s="367"/>
      <c r="E267" s="471" t="s">
        <v>61</v>
      </c>
      <c r="F267" s="476"/>
      <c r="G267" s="476"/>
      <c r="H267" s="476"/>
      <c r="I267" s="476"/>
      <c r="J267" s="476"/>
      <c r="K267" s="476"/>
      <c r="L267" s="477"/>
    </row>
    <row r="268" spans="1:12" x14ac:dyDescent="0.25">
      <c r="A268" s="360" t="s">
        <v>183</v>
      </c>
      <c r="B268" s="387"/>
      <c r="C268" s="404"/>
      <c r="D268" s="381" t="s">
        <v>31</v>
      </c>
      <c r="E268" s="361"/>
      <c r="F268" s="362"/>
      <c r="G268" s="362"/>
      <c r="H268" s="362"/>
      <c r="I268" s="362"/>
      <c r="J268" s="362"/>
      <c r="K268" s="362"/>
      <c r="L268" s="363"/>
    </row>
    <row r="269" spans="1:12" outlineLevel="1" x14ac:dyDescent="0.25">
      <c r="B269" s="386"/>
      <c r="C269" s="166" t="s">
        <v>14</v>
      </c>
      <c r="D269" s="379" t="s">
        <v>29</v>
      </c>
      <c r="E269" s="354" t="s">
        <v>16</v>
      </c>
      <c r="F269" s="324" t="str">
        <f t="array" aca="1" ref="F269" ca="1">HYPERLINK(CONCATENATE(Cartelle!$D$5,F$1,"/",$C269,"/",MID($D269,1,FIND("_",$D269)-1),"/",INDIRECT(CONCATENATE("'" &amp; $C269 &amp; "'!",ADDRESS(MATCH($D269, INDIRECT("'" &amp; $C269 &amp; "'!$B:$B"), 0),MATCH(F$1, INDIRECT("'" &amp; $C269 &amp; "'!$1:$1"), 0)))),".",INDIRECT(CONCATENATE("'"&amp;$C269&amp;"'!",ADDRESS(MATCH($D269,INDIRECT("'"&amp;$C269&amp;"'!$B:$B"),0),3))),"#page=",F270),CONCATENATE("#Sharepoint//",$D269))</f>
        <v>#Sharepoint//FRS_Brake Control</v>
      </c>
      <c r="G269" s="388"/>
      <c r="H269" s="324" t="str">
        <f t="array" aca="1" ref="H269" ca="1">HYPERLINK(CONCATENATE(Cartelle!$D$5,INDEX(INDIRECT("'" &amp; $C269 &amp; "'!$1:$1"), 1, MATCH(INDIRECT(CONCATENATE("'" &amp; $C269 &amp; "'!",ADDRESS(MATCH($D269, INDIRECT("'" &amp; $C269 &amp; "'!$B:$B"), 0),MATCH(H$1, INDIRECT("'" &amp; $C269 &amp; "'!$1:$1"), 0)))),INDIRECT(CONCATENATE("'" &amp; $C269 &amp; "'!",MATCH($D269, INDIRECT("'" &amp; $C269 &amp; "'!$B:$B"), 0),":",MATCH($D269, INDIRECT("'" &amp; $C269 &amp; "'!$B:$B"), 0))),0)),"/",$C269,"/",MID($D269,1,FIND("_",$D269)-1),"/",INDIRECT(CONCATENATE("'" &amp; $C269 &amp; "'!",ADDRESS(MATCH($D269, INDIRECT("'" &amp; $C269 &amp; "'!$B:$B"), 0),MATCH(H$1, INDIRECT("'" &amp; $C269 &amp; "'!$1:$1"), 0)))),".",INDIRECT(CONCATENATE("'"&amp;$C269&amp;"'!",ADDRESS(MATCH($D269,INDIRECT("'"&amp;$C269&amp;"'!$B:$B"),0),3))),"#page=",H270),CONCATENATE("#Sharepoint//",$D269))</f>
        <v>#Sharepoint//FRS_Brake Control</v>
      </c>
      <c r="I269" s="324" t="str">
        <f t="array" aca="1" ref="I269" ca="1">HYPERLINK(CONCATENATE(Cartelle!$D$5,INDEX(INDIRECT("'" &amp; $C269 &amp; "'!$1:$1"), 1, MATCH(INDIRECT(CONCATENATE("'" &amp; $C269 &amp; "'!",ADDRESS(MATCH($D269, INDIRECT("'" &amp; $C269 &amp; "'!$B:$B"), 0),MATCH(I$1, INDIRECT("'" &amp; $C269 &amp; "'!$1:$1"), 0)))),INDIRECT(CONCATENATE("'" &amp; $C269 &amp; "'!",MATCH($D269, INDIRECT("'" &amp; $C269 &amp; "'!$B:$B"), 0),":",MATCH($D269, INDIRECT("'" &amp; $C269 &amp; "'!$B:$B"), 0))),0)),"/",$C269,"/",MID($D269,1,FIND("_",$D269)-1),"/",INDIRECT(CONCATENATE("'" &amp; $C269 &amp; "'!",ADDRESS(MATCH($D269, INDIRECT("'" &amp; $C269 &amp; "'!$B:$B"), 0),MATCH(I$1, INDIRECT("'" &amp; $C269 &amp; "'!$1:$1"), 0)))),".",INDIRECT(CONCATENATE("'"&amp;$C269&amp;"'!",ADDRESS(MATCH($D269,INDIRECT("'"&amp;$C269&amp;"'!$B:$B"),0),3))),"#page=",I270),CONCATENATE("#Sharepoint//",$D269))</f>
        <v>#Sharepoint//FRS_Brake Control</v>
      </c>
      <c r="J269" s="324" t="str">
        <f t="array" aca="1" ref="J269" ca="1">HYPERLINK(CONCATENATE(Cartelle!$D$5,INDEX(INDIRECT("'" &amp; $C269 &amp; "'!$1:$1"), 1, MATCH(INDIRECT(CONCATENATE("'" &amp; $C269 &amp; "'!",ADDRESS(MATCH($D269, INDIRECT("'" &amp; $C269 &amp; "'!$B:$B"), 0),MATCH(J$1, INDIRECT("'" &amp; $C269 &amp; "'!$1:$1"), 0)))),INDIRECT(CONCATENATE("'" &amp; $C269 &amp; "'!",MATCH($D269, INDIRECT("'" &amp; $C269 &amp; "'!$B:$B"), 0),":",MATCH($D269, INDIRECT("'" &amp; $C269 &amp; "'!$B:$B"), 0))),0)),"/",$C269,"/",MID($D269,1,FIND("_",$D269)-1),"/",INDIRECT(CONCATENATE("'" &amp; $C269 &amp; "'!",ADDRESS(MATCH($D269, INDIRECT("'" &amp; $C269 &amp; "'!$B:$B"), 0),MATCH(J$1, INDIRECT("'" &amp; $C269 &amp; "'!$1:$1"), 0)))),".",INDIRECT(CONCATENATE("'"&amp;$C269&amp;"'!",ADDRESS(MATCH($D269,INDIRECT("'"&amp;$C269&amp;"'!$B:$B"),0),3))),"#page=",J270),CONCATENATE("#Sharepoint//",$D269))</f>
        <v>#Sharepoint//FRS_Brake Control</v>
      </c>
      <c r="K269" s="356"/>
      <c r="L269" s="356"/>
    </row>
    <row r="270" spans="1:12" outlineLevel="2" x14ac:dyDescent="0.25">
      <c r="B270" s="386"/>
      <c r="D270" s="383"/>
      <c r="E270" s="366" t="s">
        <v>17</v>
      </c>
      <c r="F270" s="367">
        <v>233</v>
      </c>
      <c r="G270" s="367"/>
      <c r="H270" s="367">
        <v>246</v>
      </c>
      <c r="I270" s="367">
        <v>242</v>
      </c>
      <c r="J270" s="367">
        <v>270</v>
      </c>
      <c r="K270" s="367"/>
      <c r="L270" s="367"/>
    </row>
    <row r="271" spans="1:12" ht="14.25" customHeight="1" outlineLevel="2" x14ac:dyDescent="0.25">
      <c r="B271" s="386"/>
      <c r="D271" s="367"/>
      <c r="E271" s="471" t="s">
        <v>61</v>
      </c>
      <c r="F271" s="476"/>
      <c r="G271" s="476"/>
      <c r="H271" s="476"/>
      <c r="I271" s="476"/>
      <c r="J271" s="476"/>
      <c r="K271" s="476"/>
      <c r="L271" s="477"/>
    </row>
    <row r="272" spans="1:12" x14ac:dyDescent="0.25">
      <c r="A272" s="360" t="s">
        <v>184</v>
      </c>
      <c r="B272" s="387"/>
      <c r="C272" s="404"/>
      <c r="D272" s="381" t="s">
        <v>31</v>
      </c>
      <c r="E272" s="361"/>
      <c r="F272" s="362"/>
      <c r="G272" s="362"/>
      <c r="H272" s="362"/>
      <c r="I272" s="362"/>
      <c r="J272" s="362"/>
      <c r="K272" s="362"/>
      <c r="L272" s="363"/>
    </row>
    <row r="273" spans="1:12" outlineLevel="1" x14ac:dyDescent="0.25">
      <c r="B273" s="386"/>
      <c r="C273" s="166" t="s">
        <v>14</v>
      </c>
      <c r="D273" s="379" t="s">
        <v>29</v>
      </c>
      <c r="E273" s="354" t="s">
        <v>16</v>
      </c>
      <c r="F273" s="324" t="str">
        <f t="array" aca="1" ref="F273" ca="1">HYPERLINK(CONCATENATE(Cartelle!$D$5,F$1,"/",$C273,"/",MID($D273,1,FIND("_",$D273)-1),"/",INDIRECT(CONCATENATE("'" &amp; $C273 &amp; "'!",ADDRESS(MATCH($D273, INDIRECT("'" &amp; $C273 &amp; "'!$B:$B"), 0),MATCH(F$1, INDIRECT("'" &amp; $C273 &amp; "'!$1:$1"), 0)))),".",INDIRECT(CONCATENATE("'"&amp;$C273&amp;"'!",ADDRESS(MATCH($D273,INDIRECT("'"&amp;$C273&amp;"'!$B:$B"),0),3))),"#page=",F274),CONCATENATE("#Sharepoint//",$D273))</f>
        <v>#Sharepoint//FRS_Brake Control</v>
      </c>
      <c r="G273" s="388"/>
      <c r="H273" s="324" t="str">
        <f t="array" aca="1" ref="H273" ca="1">HYPERLINK(CONCATENATE(Cartelle!$D$5,INDEX(INDIRECT("'" &amp; $C273 &amp; "'!$1:$1"), 1, MATCH(INDIRECT(CONCATENATE("'" &amp; $C273 &amp; "'!",ADDRESS(MATCH($D273, INDIRECT("'" &amp; $C273 &amp; "'!$B:$B"), 0),MATCH(H$1, INDIRECT("'" &amp; $C273 &amp; "'!$1:$1"), 0)))),INDIRECT(CONCATENATE("'" &amp; $C273 &amp; "'!",MATCH($D273, INDIRECT("'" &amp; $C273 &amp; "'!$B:$B"), 0),":",MATCH($D273, INDIRECT("'" &amp; $C273 &amp; "'!$B:$B"), 0))),0)),"/",$C273,"/",MID($D273,1,FIND("_",$D273)-1),"/",INDIRECT(CONCATENATE("'" &amp; $C273 &amp; "'!",ADDRESS(MATCH($D273, INDIRECT("'" &amp; $C273 &amp; "'!$B:$B"), 0),MATCH(H$1, INDIRECT("'" &amp; $C273 &amp; "'!$1:$1"), 0)))),".",INDIRECT(CONCATENATE("'"&amp;$C273&amp;"'!",ADDRESS(MATCH($D273,INDIRECT("'"&amp;$C273&amp;"'!$B:$B"),0),3))),"#page=",H274),CONCATENATE("#Sharepoint//",$D273))</f>
        <v>#Sharepoint//FRS_Brake Control</v>
      </c>
      <c r="I273" s="324" t="str">
        <f t="array" aca="1" ref="I273" ca="1">HYPERLINK(CONCATENATE(Cartelle!$D$5,INDEX(INDIRECT("'" &amp; $C273 &amp; "'!$1:$1"), 1, MATCH(INDIRECT(CONCATENATE("'" &amp; $C273 &amp; "'!",ADDRESS(MATCH($D273, INDIRECT("'" &amp; $C273 &amp; "'!$B:$B"), 0),MATCH(I$1, INDIRECT("'" &amp; $C273 &amp; "'!$1:$1"), 0)))),INDIRECT(CONCATENATE("'" &amp; $C273 &amp; "'!",MATCH($D273, INDIRECT("'" &amp; $C273 &amp; "'!$B:$B"), 0),":",MATCH($D273, INDIRECT("'" &amp; $C273 &amp; "'!$B:$B"), 0))),0)),"/",$C273,"/",MID($D273,1,FIND("_",$D273)-1),"/",INDIRECT(CONCATENATE("'" &amp; $C273 &amp; "'!",ADDRESS(MATCH($D273, INDIRECT("'" &amp; $C273 &amp; "'!$B:$B"), 0),MATCH(I$1, INDIRECT("'" &amp; $C273 &amp; "'!$1:$1"), 0)))),".",INDIRECT(CONCATENATE("'"&amp;$C273&amp;"'!",ADDRESS(MATCH($D273,INDIRECT("'"&amp;$C273&amp;"'!$B:$B"),0),3))),"#page=",I274),CONCATENATE("#Sharepoint//",$D273))</f>
        <v>#Sharepoint//FRS_Brake Control</v>
      </c>
      <c r="J273" s="324" t="str">
        <f t="array" aca="1" ref="J273" ca="1">HYPERLINK(CONCATENATE(Cartelle!$D$5,INDEX(INDIRECT("'" &amp; $C273 &amp; "'!$1:$1"), 1, MATCH(INDIRECT(CONCATENATE("'" &amp; $C273 &amp; "'!",ADDRESS(MATCH($D273, INDIRECT("'" &amp; $C273 &amp; "'!$B:$B"), 0),MATCH(J$1, INDIRECT("'" &amp; $C273 &amp; "'!$1:$1"), 0)))),INDIRECT(CONCATENATE("'" &amp; $C273 &amp; "'!",MATCH($D273, INDIRECT("'" &amp; $C273 &amp; "'!$B:$B"), 0),":",MATCH($D273, INDIRECT("'" &amp; $C273 &amp; "'!$B:$B"), 0))),0)),"/",$C273,"/",MID($D273,1,FIND("_",$D273)-1),"/",INDIRECT(CONCATENATE("'" &amp; $C273 &amp; "'!",ADDRESS(MATCH($D273, INDIRECT("'" &amp; $C273 &amp; "'!$B:$B"), 0),MATCH(J$1, INDIRECT("'" &amp; $C273 &amp; "'!$1:$1"), 0)))),".",INDIRECT(CONCATENATE("'"&amp;$C273&amp;"'!",ADDRESS(MATCH($D273,INDIRECT("'"&amp;$C273&amp;"'!$B:$B"),0),3))),"#page=",J274),CONCATENATE("#Sharepoint//",$D273))</f>
        <v>#Sharepoint//FRS_Brake Control</v>
      </c>
      <c r="K273" s="356"/>
      <c r="L273" s="356"/>
    </row>
    <row r="274" spans="1:12" outlineLevel="2" x14ac:dyDescent="0.25">
      <c r="B274" s="386"/>
      <c r="D274" s="382"/>
      <c r="E274" s="364" t="s">
        <v>17</v>
      </c>
      <c r="F274" s="365">
        <v>234</v>
      </c>
      <c r="G274" s="365"/>
      <c r="H274" s="365">
        <v>247</v>
      </c>
      <c r="I274" s="365"/>
      <c r="J274" s="365"/>
      <c r="K274" s="365"/>
      <c r="L274" s="365"/>
    </row>
    <row r="275" spans="1:12" ht="14.25" customHeight="1" outlineLevel="2" x14ac:dyDescent="0.25">
      <c r="B275" s="386"/>
      <c r="D275" s="367"/>
      <c r="E275" s="471" t="s">
        <v>61</v>
      </c>
      <c r="F275" s="476"/>
      <c r="G275" s="476"/>
      <c r="H275" s="476"/>
      <c r="I275" s="476"/>
      <c r="J275" s="476"/>
      <c r="K275" s="476"/>
      <c r="L275" s="477"/>
    </row>
    <row r="276" spans="1:12" x14ac:dyDescent="0.25">
      <c r="A276" s="350" t="s">
        <v>185</v>
      </c>
      <c r="B276" s="385"/>
      <c r="C276" s="404"/>
      <c r="D276" s="378" t="s">
        <v>31</v>
      </c>
      <c r="E276" s="351"/>
      <c r="F276" s="352"/>
      <c r="G276" s="352"/>
      <c r="H276" s="352"/>
      <c r="I276" s="352"/>
      <c r="J276" s="352"/>
      <c r="K276" s="352"/>
      <c r="L276" s="353"/>
    </row>
    <row r="277" spans="1:12" outlineLevel="1" x14ac:dyDescent="0.25">
      <c r="B277" s="386"/>
      <c r="C277" s="166" t="s">
        <v>14</v>
      </c>
      <c r="D277" s="379" t="s">
        <v>40</v>
      </c>
      <c r="E277" s="354" t="s">
        <v>16</v>
      </c>
      <c r="F277" s="324" t="str">
        <f t="array" aca="1" ref="F277" ca="1">HYPERLINK(CONCATENATE(Cartelle!$D$5,F$1,"/",$C277,"/",MID($D277,1,FIND("_",$D277)-1),"/",INDIRECT(CONCATENATE("'" &amp; $C277 &amp; "'!",ADDRESS(MATCH($D277, INDIRECT("'" &amp; $C277 &amp; "'!$B:$B"), 0),MATCH(F$1, INDIRECT("'" &amp; $C277 &amp; "'!$1:$1"), 0)))),".",INDIRECT(CONCATENATE("'"&amp;$C277&amp;"'!",ADDRESS(MATCH($D277,INDIRECT("'"&amp;$C277&amp;"'!$B:$B"),0),3))),"#page=",F278),CONCATENATE("#Sharepoint//",$D277))</f>
        <v>#Sharepoint//FRS_Bogies</v>
      </c>
      <c r="G277" s="324" t="str">
        <f t="array" aca="1" ref="G277" ca="1">HYPERLINK(CONCATENATE(Cartelle!$D$5,INDEX(INDIRECT("'" &amp; $C277 &amp; "'!$1:$1"), 1, MATCH(INDIRECT(CONCATENATE("'" &amp; $C277 &amp; "'!",ADDRESS(MATCH($D277, INDIRECT("'" &amp; $C277 &amp; "'!$B:$B"), 0),MATCH(G$1, INDIRECT("'" &amp; $C277 &amp; "'!$1:$1"), 0)))),INDIRECT(CONCATENATE("'" &amp; $C277 &amp; "'!",MATCH($D277, INDIRECT("'" &amp; $C277 &amp; "'!$B:$B"), 0),":",MATCH($D277, INDIRECT("'" &amp; $C277 &amp; "'!$B:$B"), 0))),0)),"/",$C277,"/",MID($D277,1,FIND("_",$D277)-1),"/",INDIRECT(CONCATENATE("'" &amp; $C277 &amp; "'!",ADDRESS(MATCH($D277, INDIRECT("'" &amp; $C277 &amp; "'!$B:$B"), 0),MATCH(G$1, INDIRECT("'" &amp; $C277 &amp; "'!$1:$1"), 0)))),".",INDIRECT(CONCATENATE("'"&amp;$C277&amp;"'!",ADDRESS(MATCH($D277,INDIRECT("'"&amp;$C277&amp;"'!$B:$B"),0),3))),"#page=",G278),CONCATENATE("#Sharepoint//",$D277))</f>
        <v>#Sharepoint//FRS_Bogies</v>
      </c>
      <c r="H277" s="388"/>
      <c r="I277" s="355"/>
      <c r="J277" s="324" t="str">
        <f t="array" aca="1" ref="J277" ca="1">HYPERLINK(CONCATENATE(Cartelle!$D$5,INDEX(INDIRECT("'" &amp; $C277 &amp; "'!$1:$1"), 1, MATCH(INDIRECT(CONCATENATE("'" &amp; $C277 &amp; "'!",ADDRESS(MATCH($D277, INDIRECT("'" &amp; $C277 &amp; "'!$B:$B"), 0),MATCH(J$1, INDIRECT("'" &amp; $C277 &amp; "'!$1:$1"), 0)))),INDIRECT(CONCATENATE("'" &amp; $C277 &amp; "'!",MATCH($D277, INDIRECT("'" &amp; $C277 &amp; "'!$B:$B"), 0),":",MATCH($D277, INDIRECT("'" &amp; $C277 &amp; "'!$B:$B"), 0))),0)),"/",$C277,"/",MID($D277,1,FIND("_",$D277)-1),"/",INDIRECT(CONCATENATE("'" &amp; $C277 &amp; "'!",ADDRESS(MATCH($D277, INDIRECT("'" &amp; $C277 &amp; "'!$B:$B"), 0),MATCH(J$1, INDIRECT("'" &amp; $C277 &amp; "'!$1:$1"), 0)))),".",INDIRECT(CONCATENATE("'"&amp;$C277&amp;"'!",ADDRESS(MATCH($D277,INDIRECT("'"&amp;$C277&amp;"'!$B:$B"),0),3))),"#page=",J278),CONCATENATE("#Sharepoint//",$D277))</f>
        <v>#Sharepoint//FRS_Bogies</v>
      </c>
      <c r="K277" s="356"/>
      <c r="L277" s="356"/>
    </row>
    <row r="278" spans="1:12" outlineLevel="2" x14ac:dyDescent="0.25">
      <c r="B278" s="386"/>
      <c r="D278" s="383"/>
      <c r="E278" s="366" t="s">
        <v>17</v>
      </c>
      <c r="F278" s="367">
        <v>11</v>
      </c>
      <c r="G278" s="367">
        <v>10</v>
      </c>
      <c r="H278" s="367"/>
      <c r="I278" s="367"/>
      <c r="J278" s="367">
        <v>11</v>
      </c>
      <c r="K278" s="367"/>
      <c r="L278" s="367"/>
    </row>
    <row r="279" spans="1:12" ht="14.25" customHeight="1" outlineLevel="2" x14ac:dyDescent="0.25">
      <c r="B279" s="386"/>
      <c r="D279" s="367"/>
      <c r="E279" s="471" t="s">
        <v>61</v>
      </c>
      <c r="F279" s="476"/>
      <c r="G279" s="476"/>
      <c r="H279" s="476"/>
      <c r="I279" s="476"/>
      <c r="J279" s="476"/>
      <c r="K279" s="476"/>
      <c r="L279" s="477"/>
    </row>
    <row r="280" spans="1:12" x14ac:dyDescent="0.25">
      <c r="A280" s="360" t="s">
        <v>186</v>
      </c>
      <c r="B280" s="387"/>
      <c r="C280" s="404"/>
      <c r="D280" s="381" t="s">
        <v>31</v>
      </c>
      <c r="E280" s="361"/>
      <c r="F280" s="362"/>
      <c r="G280" s="362"/>
      <c r="H280" s="362"/>
      <c r="I280" s="362"/>
      <c r="J280" s="362"/>
      <c r="K280" s="362"/>
      <c r="L280" s="363"/>
    </row>
    <row r="281" spans="1:12" outlineLevel="1" x14ac:dyDescent="0.25">
      <c r="B281" s="386"/>
      <c r="C281" s="166" t="s">
        <v>14</v>
      </c>
      <c r="D281" s="379" t="s">
        <v>40</v>
      </c>
      <c r="E281" s="354" t="s">
        <v>16</v>
      </c>
      <c r="F281" s="324" t="str">
        <f t="array" aca="1" ref="F281" ca="1">HYPERLINK(CONCATENATE(Cartelle!$D$5,F$1,"/",$C281,"/",MID($D281,1,FIND("_",$D281)-1),"/",INDIRECT(CONCATENATE("'" &amp; $C281 &amp; "'!",ADDRESS(MATCH($D281, INDIRECT("'" &amp; $C281 &amp; "'!$B:$B"), 0),MATCH(F$1, INDIRECT("'" &amp; $C281 &amp; "'!$1:$1"), 0)))),".",INDIRECT(CONCATENATE("'"&amp;$C281&amp;"'!",ADDRESS(MATCH($D281,INDIRECT("'"&amp;$C281&amp;"'!$B:$B"),0),3))),"#page=",F282),CONCATENATE("#Sharepoint//",$D281))</f>
        <v>#Sharepoint//FRS_Bogies</v>
      </c>
      <c r="G281" s="324" t="str">
        <f t="array" aca="1" ref="G281" ca="1">HYPERLINK(CONCATENATE(Cartelle!$D$5,INDEX(INDIRECT("'" &amp; $C281 &amp; "'!$1:$1"), 1, MATCH(INDIRECT(CONCATENATE("'" &amp; $C281 &amp; "'!",ADDRESS(MATCH($D281, INDIRECT("'" &amp; $C281 &amp; "'!$B:$B"), 0),MATCH(G$1, INDIRECT("'" &amp; $C281 &amp; "'!$1:$1"), 0)))),INDIRECT(CONCATENATE("'" &amp; $C281 &amp; "'!",MATCH($D281, INDIRECT("'" &amp; $C281 &amp; "'!$B:$B"), 0),":",MATCH($D281, INDIRECT("'" &amp; $C281 &amp; "'!$B:$B"), 0))),0)),"/",$C281,"/",MID($D281,1,FIND("_",$D281)-1),"/",INDIRECT(CONCATENATE("'" &amp; $C281 &amp; "'!",ADDRESS(MATCH($D281, INDIRECT("'" &amp; $C281 &amp; "'!$B:$B"), 0),MATCH(G$1, INDIRECT("'" &amp; $C281 &amp; "'!$1:$1"), 0)))),".",INDIRECT(CONCATENATE("'"&amp;$C281&amp;"'!",ADDRESS(MATCH($D281,INDIRECT("'"&amp;$C281&amp;"'!$B:$B"),0),3))),"#page=",G282),CONCATENATE("#Sharepoint//",$D281))</f>
        <v>#Sharepoint//FRS_Bogies</v>
      </c>
      <c r="H281" s="388"/>
      <c r="I281" s="355"/>
      <c r="J281" s="324" t="str">
        <f t="array" aca="1" ref="J281" ca="1">HYPERLINK(CONCATENATE(Cartelle!$D$5,INDEX(INDIRECT("'" &amp; $C281 &amp; "'!$1:$1"), 1, MATCH(INDIRECT(CONCATENATE("'" &amp; $C281 &amp; "'!",ADDRESS(MATCH($D281, INDIRECT("'" &amp; $C281 &amp; "'!$B:$B"), 0),MATCH(J$1, INDIRECT("'" &amp; $C281 &amp; "'!$1:$1"), 0)))),INDIRECT(CONCATENATE("'" &amp; $C281 &amp; "'!",MATCH($D281, INDIRECT("'" &amp; $C281 &amp; "'!$B:$B"), 0),":",MATCH($D281, INDIRECT("'" &amp; $C281 &amp; "'!$B:$B"), 0))),0)),"/",$C281,"/",MID($D281,1,FIND("_",$D281)-1),"/",INDIRECT(CONCATENATE("'" &amp; $C281 &amp; "'!",ADDRESS(MATCH($D281, INDIRECT("'" &amp; $C281 &amp; "'!$B:$B"), 0),MATCH(J$1, INDIRECT("'" &amp; $C281 &amp; "'!$1:$1"), 0)))),".",INDIRECT(CONCATENATE("'"&amp;$C281&amp;"'!",ADDRESS(MATCH($D281,INDIRECT("'"&amp;$C281&amp;"'!$B:$B"),0),3))),"#page=",J282),CONCATENATE("#Sharepoint//",$D281))</f>
        <v>#Sharepoint//FRS_Bogies</v>
      </c>
      <c r="K281" s="356"/>
      <c r="L281" s="356"/>
    </row>
    <row r="282" spans="1:12" outlineLevel="2" x14ac:dyDescent="0.25">
      <c r="B282" s="386"/>
      <c r="D282" s="383"/>
      <c r="E282" s="366" t="s">
        <v>17</v>
      </c>
      <c r="F282" s="367">
        <v>14</v>
      </c>
      <c r="G282" s="367">
        <v>12</v>
      </c>
      <c r="H282" s="367"/>
      <c r="I282" s="367"/>
      <c r="J282" s="367">
        <v>14</v>
      </c>
      <c r="K282" s="367"/>
      <c r="L282" s="367"/>
    </row>
    <row r="283" spans="1:12" ht="14.25" customHeight="1" outlineLevel="2" x14ac:dyDescent="0.25">
      <c r="B283" s="386"/>
      <c r="D283" s="367"/>
      <c r="E283" s="471" t="s">
        <v>61</v>
      </c>
      <c r="F283" s="476"/>
      <c r="G283" s="476"/>
      <c r="H283" s="476"/>
      <c r="I283" s="476"/>
      <c r="J283" s="476"/>
      <c r="K283" s="476"/>
      <c r="L283" s="477"/>
    </row>
    <row r="284" spans="1:12" x14ac:dyDescent="0.25">
      <c r="A284" s="360" t="s">
        <v>187</v>
      </c>
      <c r="B284" s="387"/>
      <c r="C284" s="404"/>
      <c r="D284" s="381" t="s">
        <v>31</v>
      </c>
      <c r="E284" s="361"/>
      <c r="F284" s="362"/>
      <c r="G284" s="362"/>
      <c r="H284" s="362"/>
      <c r="I284" s="362"/>
      <c r="J284" s="362"/>
      <c r="K284" s="362"/>
      <c r="L284" s="363"/>
    </row>
    <row r="285" spans="1:12" outlineLevel="1" x14ac:dyDescent="0.25">
      <c r="B285" s="386"/>
      <c r="C285" s="166" t="s">
        <v>14</v>
      </c>
      <c r="D285" s="379" t="s">
        <v>40</v>
      </c>
      <c r="E285" s="354" t="s">
        <v>16</v>
      </c>
      <c r="F285" s="324" t="str">
        <f t="array" aca="1" ref="F285" ca="1">HYPERLINK(CONCATENATE(Cartelle!$D$5,F$1,"/",$C285,"/",MID($D285,1,FIND("_",$D285)-1),"/",INDIRECT(CONCATENATE("'" &amp; $C285 &amp; "'!",ADDRESS(MATCH($D285, INDIRECT("'" &amp; $C285 &amp; "'!$B:$B"), 0),MATCH(F$1, INDIRECT("'" &amp; $C285 &amp; "'!$1:$1"), 0)))),".",INDIRECT(CONCATENATE("'"&amp;$C285&amp;"'!",ADDRESS(MATCH($D285,INDIRECT("'"&amp;$C285&amp;"'!$B:$B"),0),3))),"#page=",F286),CONCATENATE("#Sharepoint//",$D285))</f>
        <v>#Sharepoint//FRS_Bogies</v>
      </c>
      <c r="G285" s="324" t="str">
        <f t="array" aca="1" ref="G285" ca="1">HYPERLINK(CONCATENATE(Cartelle!$D$5,INDEX(INDIRECT("'" &amp; $C285 &amp; "'!$1:$1"), 1, MATCH(INDIRECT(CONCATENATE("'" &amp; $C285 &amp; "'!",ADDRESS(MATCH($D285, INDIRECT("'" &amp; $C285 &amp; "'!$B:$B"), 0),MATCH(G$1, INDIRECT("'" &amp; $C285 &amp; "'!$1:$1"), 0)))),INDIRECT(CONCATENATE("'" &amp; $C285 &amp; "'!",MATCH($D285, INDIRECT("'" &amp; $C285 &amp; "'!$B:$B"), 0),":",MATCH($D285, INDIRECT("'" &amp; $C285 &amp; "'!$B:$B"), 0))),0)),"/",$C285,"/",MID($D285,1,FIND("_",$D285)-1),"/",INDIRECT(CONCATENATE("'" &amp; $C285 &amp; "'!",ADDRESS(MATCH($D285, INDIRECT("'" &amp; $C285 &amp; "'!$B:$B"), 0),MATCH(G$1, INDIRECT("'" &amp; $C285 &amp; "'!$1:$1"), 0)))),".",INDIRECT(CONCATENATE("'"&amp;$C285&amp;"'!",ADDRESS(MATCH($D285,INDIRECT("'"&amp;$C285&amp;"'!$B:$B"),0),3))),"#page=",G286),CONCATENATE("#Sharepoint//",$D285))</f>
        <v>#Sharepoint//FRS_Bogies</v>
      </c>
      <c r="H285" s="388"/>
      <c r="I285" s="355"/>
      <c r="J285" s="324" t="str">
        <f t="array" aca="1" ref="J285" ca="1">HYPERLINK(CONCATENATE(Cartelle!$D$5,INDEX(INDIRECT("'" &amp; $C285 &amp; "'!$1:$1"), 1, MATCH(INDIRECT(CONCATENATE("'" &amp; $C285 &amp; "'!",ADDRESS(MATCH($D285, INDIRECT("'" &amp; $C285 &amp; "'!$B:$B"), 0),MATCH(J$1, INDIRECT("'" &amp; $C285 &amp; "'!$1:$1"), 0)))),INDIRECT(CONCATENATE("'" &amp; $C285 &amp; "'!",MATCH($D285, INDIRECT("'" &amp; $C285 &amp; "'!$B:$B"), 0),":",MATCH($D285, INDIRECT("'" &amp; $C285 &amp; "'!$B:$B"), 0))),0)),"/",$C285,"/",MID($D285,1,FIND("_",$D285)-1),"/",INDIRECT(CONCATENATE("'" &amp; $C285 &amp; "'!",ADDRESS(MATCH($D285, INDIRECT("'" &amp; $C285 &amp; "'!$B:$B"), 0),MATCH(J$1, INDIRECT("'" &amp; $C285 &amp; "'!$1:$1"), 0)))),".",INDIRECT(CONCATENATE("'"&amp;$C285&amp;"'!",ADDRESS(MATCH($D285,INDIRECT("'"&amp;$C285&amp;"'!$B:$B"),0),3))),"#page=",J286),CONCATENATE("#Sharepoint//",$D285))</f>
        <v>#Sharepoint//FRS_Bogies</v>
      </c>
      <c r="K285" s="356"/>
      <c r="L285" s="356"/>
    </row>
    <row r="286" spans="1:12" outlineLevel="2" x14ac:dyDescent="0.25">
      <c r="B286" s="386"/>
      <c r="D286" s="383"/>
      <c r="E286" s="366" t="s">
        <v>17</v>
      </c>
      <c r="F286" s="367">
        <v>20</v>
      </c>
      <c r="G286" s="367">
        <v>20</v>
      </c>
      <c r="H286" s="367"/>
      <c r="I286" s="367"/>
      <c r="J286" s="367">
        <v>36</v>
      </c>
      <c r="K286" s="367"/>
      <c r="L286" s="367"/>
    </row>
    <row r="287" spans="1:12" ht="14.25" customHeight="1" outlineLevel="2" x14ac:dyDescent="0.25">
      <c r="B287" s="386"/>
      <c r="D287" s="367"/>
      <c r="E287" s="471" t="s">
        <v>61</v>
      </c>
      <c r="F287" s="476"/>
      <c r="G287" s="476"/>
      <c r="H287" s="476"/>
      <c r="I287" s="476"/>
      <c r="J287" s="476"/>
      <c r="K287" s="476"/>
      <c r="L287" s="477"/>
    </row>
    <row r="288" spans="1:12" x14ac:dyDescent="0.25">
      <c r="A288" s="360" t="s">
        <v>188</v>
      </c>
      <c r="B288" s="387"/>
      <c r="C288" s="404"/>
      <c r="D288" s="381" t="s">
        <v>31</v>
      </c>
      <c r="E288" s="361"/>
      <c r="F288" s="362"/>
      <c r="G288" s="362"/>
      <c r="H288" s="362"/>
      <c r="I288" s="362"/>
      <c r="J288" s="362"/>
      <c r="K288" s="362"/>
      <c r="L288" s="363"/>
    </row>
    <row r="289" spans="1:12" outlineLevel="1" x14ac:dyDescent="0.25">
      <c r="B289" s="386"/>
      <c r="C289" s="166" t="s">
        <v>14</v>
      </c>
      <c r="D289" s="379" t="s">
        <v>40</v>
      </c>
      <c r="E289" s="354" t="s">
        <v>16</v>
      </c>
      <c r="F289" s="324" t="str">
        <f t="array" aca="1" ref="F289" ca="1">HYPERLINK(CONCATENATE(Cartelle!$D$5,F$1,"/",$C289,"/",MID($D289,1,FIND("_",$D289)-1),"/",INDIRECT(CONCATENATE("'" &amp; $C289 &amp; "'!",ADDRESS(MATCH($D289, INDIRECT("'" &amp; $C289 &amp; "'!$B:$B"), 0),MATCH(F$1, INDIRECT("'" &amp; $C289 &amp; "'!$1:$1"), 0)))),".",INDIRECT(CONCATENATE("'"&amp;$C289&amp;"'!",ADDRESS(MATCH($D289,INDIRECT("'"&amp;$C289&amp;"'!$B:$B"),0),3))),"#page=",F290),CONCATENATE("#Sharepoint//",$D289))</f>
        <v>#Sharepoint//FRS_Bogies</v>
      </c>
      <c r="G289" s="324" t="str">
        <f t="array" aca="1" ref="G289" ca="1">HYPERLINK(CONCATENATE(Cartelle!$D$5,INDEX(INDIRECT("'" &amp; $C289 &amp; "'!$1:$1"), 1, MATCH(INDIRECT(CONCATENATE("'" &amp; $C289 &amp; "'!",ADDRESS(MATCH($D289, INDIRECT("'" &amp; $C289 &amp; "'!$B:$B"), 0),MATCH(G$1, INDIRECT("'" &amp; $C289 &amp; "'!$1:$1"), 0)))),INDIRECT(CONCATENATE("'" &amp; $C289 &amp; "'!",MATCH($D289, INDIRECT("'" &amp; $C289 &amp; "'!$B:$B"), 0),":",MATCH($D289, INDIRECT("'" &amp; $C289 &amp; "'!$B:$B"), 0))),0)),"/",$C289,"/",MID($D289,1,FIND("_",$D289)-1),"/",INDIRECT(CONCATENATE("'" &amp; $C289 &amp; "'!",ADDRESS(MATCH($D289, INDIRECT("'" &amp; $C289 &amp; "'!$B:$B"), 0),MATCH(G$1, INDIRECT("'" &amp; $C289 &amp; "'!$1:$1"), 0)))),".",INDIRECT(CONCATENATE("'"&amp;$C289&amp;"'!",ADDRESS(MATCH($D289,INDIRECT("'"&amp;$C289&amp;"'!$B:$B"),0),3))),"#page=",G290),CONCATENATE("#Sharepoint//",$D289))</f>
        <v>#Sharepoint//FRS_Bogies</v>
      </c>
      <c r="H289" s="388"/>
      <c r="I289" s="355"/>
      <c r="J289" s="324" t="str">
        <f t="array" aca="1" ref="J289" ca="1">HYPERLINK(CONCATENATE(Cartelle!$D$5,INDEX(INDIRECT("'" &amp; $C289 &amp; "'!$1:$1"), 1, MATCH(INDIRECT(CONCATENATE("'" &amp; $C289 &amp; "'!",ADDRESS(MATCH($D289, INDIRECT("'" &amp; $C289 &amp; "'!$B:$B"), 0),MATCH(J$1, INDIRECT("'" &amp; $C289 &amp; "'!$1:$1"), 0)))),INDIRECT(CONCATENATE("'" &amp; $C289 &amp; "'!",MATCH($D289, INDIRECT("'" &amp; $C289 &amp; "'!$B:$B"), 0),":",MATCH($D289, INDIRECT("'" &amp; $C289 &amp; "'!$B:$B"), 0))),0)),"/",$C289,"/",MID($D289,1,FIND("_",$D289)-1),"/",INDIRECT(CONCATENATE("'" &amp; $C289 &amp; "'!",ADDRESS(MATCH($D289, INDIRECT("'" &amp; $C289 &amp; "'!$B:$B"), 0),MATCH(J$1, INDIRECT("'" &amp; $C289 &amp; "'!$1:$1"), 0)))),".",INDIRECT(CONCATENATE("'"&amp;$C289&amp;"'!",ADDRESS(MATCH($D289,INDIRECT("'"&amp;$C289&amp;"'!$B:$B"),0),3))),"#page=",J290),CONCATENATE("#Sharepoint//",$D289))</f>
        <v>#Sharepoint//FRS_Bogies</v>
      </c>
      <c r="K289" s="356"/>
      <c r="L289" s="356"/>
    </row>
    <row r="290" spans="1:12" outlineLevel="2" x14ac:dyDescent="0.25">
      <c r="B290" s="386"/>
      <c r="D290" s="383"/>
      <c r="E290" s="366" t="s">
        <v>17</v>
      </c>
      <c r="F290" s="367">
        <v>29</v>
      </c>
      <c r="G290" s="367">
        <v>28</v>
      </c>
      <c r="H290" s="367"/>
      <c r="I290" s="367"/>
      <c r="J290" s="367">
        <v>43</v>
      </c>
      <c r="K290" s="367"/>
      <c r="L290" s="367"/>
    </row>
    <row r="291" spans="1:12" ht="14.25" customHeight="1" outlineLevel="2" x14ac:dyDescent="0.25">
      <c r="B291" s="386"/>
      <c r="D291" s="367"/>
      <c r="E291" s="471" t="s">
        <v>61</v>
      </c>
      <c r="F291" s="476"/>
      <c r="G291" s="476"/>
      <c r="H291" s="476"/>
      <c r="I291" s="476"/>
      <c r="J291" s="476"/>
      <c r="K291" s="476"/>
      <c r="L291" s="477"/>
    </row>
    <row r="292" spans="1:12" x14ac:dyDescent="0.25">
      <c r="A292" s="360" t="s">
        <v>189</v>
      </c>
      <c r="B292" s="387"/>
      <c r="C292" s="404"/>
      <c r="D292" s="381" t="s">
        <v>31</v>
      </c>
      <c r="E292" s="361"/>
      <c r="F292" s="362"/>
      <c r="G292" s="362"/>
      <c r="H292" s="362"/>
      <c r="I292" s="362"/>
      <c r="J292" s="362"/>
      <c r="K292" s="362"/>
      <c r="L292" s="363"/>
    </row>
    <row r="293" spans="1:12" outlineLevel="1" x14ac:dyDescent="0.25">
      <c r="B293" s="386"/>
      <c r="C293" s="166" t="s">
        <v>14</v>
      </c>
      <c r="D293" s="379" t="s">
        <v>40</v>
      </c>
      <c r="E293" s="354" t="s">
        <v>16</v>
      </c>
      <c r="F293" s="324" t="str">
        <f t="array" aca="1" ref="F293" ca="1">HYPERLINK(CONCATENATE(Cartelle!$D$5,F$1,"/",$C293,"/",MID($D293,1,FIND("_",$D293)-1),"/",INDIRECT(CONCATENATE("'" &amp; $C293 &amp; "'!",ADDRESS(MATCH($D293, INDIRECT("'" &amp; $C293 &amp; "'!$B:$B"), 0),MATCH(F$1, INDIRECT("'" &amp; $C293 &amp; "'!$1:$1"), 0)))),".",INDIRECT(CONCATENATE("'"&amp;$C293&amp;"'!",ADDRESS(MATCH($D293,INDIRECT("'"&amp;$C293&amp;"'!$B:$B"),0),3))),"#page=",F294),CONCATENATE("#Sharepoint//",$D293))</f>
        <v>#Sharepoint//FRS_Bogies</v>
      </c>
      <c r="G293" s="324" t="str">
        <f t="array" aca="1" ref="G293" ca="1">HYPERLINK(CONCATENATE(Cartelle!$D$5,INDEX(INDIRECT("'" &amp; $C293 &amp; "'!$1:$1"), 1, MATCH(INDIRECT(CONCATENATE("'" &amp; $C293 &amp; "'!",ADDRESS(MATCH($D293, INDIRECT("'" &amp; $C293 &amp; "'!$B:$B"), 0),MATCH(G$1, INDIRECT("'" &amp; $C293 &amp; "'!$1:$1"), 0)))),INDIRECT(CONCATENATE("'" &amp; $C293 &amp; "'!",MATCH($D293, INDIRECT("'" &amp; $C293 &amp; "'!$B:$B"), 0),":",MATCH($D293, INDIRECT("'" &amp; $C293 &amp; "'!$B:$B"), 0))),0)),"/",$C293,"/",MID($D293,1,FIND("_",$D293)-1),"/",INDIRECT(CONCATENATE("'" &amp; $C293 &amp; "'!",ADDRESS(MATCH($D293, INDIRECT("'" &amp; $C293 &amp; "'!$B:$B"), 0),MATCH(G$1, INDIRECT("'" &amp; $C293 &amp; "'!$1:$1"), 0)))),".",INDIRECT(CONCATENATE("'"&amp;$C293&amp;"'!",ADDRESS(MATCH($D293,INDIRECT("'"&amp;$C293&amp;"'!$B:$B"),0),3))),"#page=",G294),CONCATENATE("#Sharepoint//",$D293))</f>
        <v>#Sharepoint//FRS_Bogies</v>
      </c>
      <c r="H293" s="388"/>
      <c r="I293" s="355"/>
      <c r="J293" s="324" t="str">
        <f t="array" aca="1" ref="J293" ca="1">HYPERLINK(CONCATENATE(Cartelle!$D$5,INDEX(INDIRECT("'" &amp; $C293 &amp; "'!$1:$1"), 1, MATCH(INDIRECT(CONCATENATE("'" &amp; $C293 &amp; "'!",ADDRESS(MATCH($D293, INDIRECT("'" &amp; $C293 &amp; "'!$B:$B"), 0),MATCH(J$1, INDIRECT("'" &amp; $C293 &amp; "'!$1:$1"), 0)))),INDIRECT(CONCATENATE("'" &amp; $C293 &amp; "'!",MATCH($D293, INDIRECT("'" &amp; $C293 &amp; "'!$B:$B"), 0),":",MATCH($D293, INDIRECT("'" &amp; $C293 &amp; "'!$B:$B"), 0))),0)),"/",$C293,"/",MID($D293,1,FIND("_",$D293)-1),"/",INDIRECT(CONCATENATE("'" &amp; $C293 &amp; "'!",ADDRESS(MATCH($D293, INDIRECT("'" &amp; $C293 &amp; "'!$B:$B"), 0),MATCH(J$1, INDIRECT("'" &amp; $C293 &amp; "'!$1:$1"), 0)))),".",INDIRECT(CONCATENATE("'"&amp;$C293&amp;"'!",ADDRESS(MATCH($D293,INDIRECT("'"&amp;$C293&amp;"'!$B:$B"),0),3))),"#page=",J294),CONCATENATE("#Sharepoint//",$D293))</f>
        <v>#Sharepoint//FRS_Bogies</v>
      </c>
      <c r="K293" s="356"/>
      <c r="L293" s="356"/>
    </row>
    <row r="294" spans="1:12" outlineLevel="2" x14ac:dyDescent="0.25">
      <c r="B294" s="386"/>
      <c r="D294" s="382"/>
      <c r="E294" s="364" t="s">
        <v>17</v>
      </c>
      <c r="F294" s="365">
        <v>31</v>
      </c>
      <c r="G294" s="365">
        <v>29</v>
      </c>
      <c r="H294" s="365"/>
      <c r="I294" s="365">
        <v>29</v>
      </c>
      <c r="J294" s="365">
        <v>44</v>
      </c>
      <c r="K294" s="365"/>
      <c r="L294" s="365"/>
    </row>
    <row r="295" spans="1:12" ht="14.25" customHeight="1" outlineLevel="2" x14ac:dyDescent="0.25">
      <c r="B295" s="386"/>
      <c r="D295" s="367"/>
      <c r="E295" s="471" t="s">
        <v>61</v>
      </c>
      <c r="F295" s="476"/>
      <c r="G295" s="476"/>
      <c r="H295" s="476"/>
      <c r="I295" s="476"/>
      <c r="J295" s="476"/>
      <c r="K295" s="476"/>
      <c r="L295" s="477"/>
    </row>
  </sheetData>
  <pageMargins left="0.7" right="0.7" top="0.75" bottom="0.75" header="0.3" footer="0.3"/>
  <pageSetup paperSize="9" orientation="portrait"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oglio8">
    <tabColor rgb="FFFFCCFF"/>
    <outlinePr summaryBelow="0"/>
  </sheetPr>
  <dimension ref="A1:V100"/>
  <sheetViews>
    <sheetView zoomScaleNormal="100" workbookViewId="0">
      <pane xSplit="2" ySplit="2" topLeftCell="C35" activePane="bottomRight" state="frozen"/>
      <selection pane="topRight" activeCell="F1" sqref="F1"/>
      <selection pane="bottomLeft" activeCell="A3" sqref="A3"/>
      <selection pane="bottomRight" activeCell="I2" sqref="I2"/>
    </sheetView>
  </sheetViews>
  <sheetFormatPr defaultColWidth="8.7109375" defaultRowHeight="15" outlineLevelRow="3" x14ac:dyDescent="0.25"/>
  <cols>
    <col min="1" max="1" width="13.85546875" style="15" bestFit="1" customWidth="1"/>
    <col min="2" max="2" width="39.5703125" style="15" bestFit="1" customWidth="1"/>
    <col min="3" max="3" width="24.28515625" style="15" customWidth="1"/>
    <col min="4" max="4" width="18.7109375" style="15" bestFit="1" customWidth="1"/>
    <col min="5" max="10" width="16.5703125" style="15" customWidth="1"/>
    <col min="11" max="11" width="12.140625" style="239" customWidth="1"/>
    <col min="12" max="12" width="4.28515625" style="236" bestFit="1" customWidth="1"/>
    <col min="13" max="13" width="5.140625" style="236" bestFit="1" customWidth="1"/>
    <col min="14" max="14" width="8.7109375" style="239" customWidth="1"/>
    <col min="15" max="15" width="4.140625" style="236" bestFit="1" customWidth="1"/>
    <col min="16" max="16" width="5.140625" style="236" bestFit="1" customWidth="1"/>
    <col min="17" max="17" width="11.5703125" style="239" bestFit="1" customWidth="1"/>
    <col min="18" max="18" width="5.5703125" style="268" bestFit="1" customWidth="1"/>
    <col min="19" max="19" width="6.5703125" style="268" customWidth="1"/>
    <col min="20" max="20" width="8.7109375" style="268" customWidth="1"/>
    <col min="21" max="21" width="6.7109375" style="268" customWidth="1"/>
    <col min="22" max="22" width="8.7109375" style="268" customWidth="1"/>
    <col min="23" max="25" width="8.7109375" style="103" customWidth="1"/>
    <col min="26" max="16384" width="8.7109375" style="103"/>
  </cols>
  <sheetData>
    <row r="1" spans="1:22" s="105" customFormat="1" ht="31.5" customHeight="1" x14ac:dyDescent="0.25">
      <c r="A1" s="516" t="s">
        <v>1180</v>
      </c>
      <c r="B1" s="512" t="s">
        <v>1181</v>
      </c>
      <c r="C1" s="511" t="s">
        <v>1182</v>
      </c>
      <c r="D1" s="515" t="s">
        <v>1183</v>
      </c>
      <c r="E1" s="514"/>
      <c r="F1" s="514"/>
      <c r="G1" s="514"/>
      <c r="H1" s="514"/>
      <c r="I1" s="514"/>
      <c r="J1" s="509"/>
      <c r="K1" s="508" t="s">
        <v>1184</v>
      </c>
      <c r="L1" s="514"/>
      <c r="M1" s="509"/>
      <c r="N1" s="508" t="s">
        <v>1091</v>
      </c>
      <c r="O1" s="514"/>
      <c r="P1" s="509"/>
      <c r="Q1" s="508" t="s">
        <v>1185</v>
      </c>
      <c r="R1" s="509"/>
      <c r="S1" s="510" t="s">
        <v>1186</v>
      </c>
      <c r="T1" s="509"/>
      <c r="U1" s="510" t="s">
        <v>1187</v>
      </c>
      <c r="V1" s="509"/>
    </row>
    <row r="2" spans="1:22" s="105" customFormat="1" ht="31.5" customHeight="1" x14ac:dyDescent="0.25">
      <c r="A2" s="517"/>
      <c r="B2" s="513"/>
      <c r="C2" s="487"/>
      <c r="D2" s="136" t="s">
        <v>5</v>
      </c>
      <c r="E2" s="137" t="s">
        <v>6</v>
      </c>
      <c r="F2" s="137" t="s">
        <v>7</v>
      </c>
      <c r="G2" s="137" t="s">
        <v>8</v>
      </c>
      <c r="H2" s="137" t="s">
        <v>9</v>
      </c>
      <c r="I2" s="137" t="s">
        <v>10</v>
      </c>
      <c r="J2" s="138" t="s">
        <v>11</v>
      </c>
      <c r="K2" s="217" t="s">
        <v>1188</v>
      </c>
      <c r="L2" s="218" t="s">
        <v>1189</v>
      </c>
      <c r="M2" s="218" t="s">
        <v>16</v>
      </c>
      <c r="N2" s="217" t="s">
        <v>1188</v>
      </c>
      <c r="O2" s="218" t="s">
        <v>1189</v>
      </c>
      <c r="P2" s="219" t="s">
        <v>16</v>
      </c>
      <c r="Q2" s="220" t="s">
        <v>1190</v>
      </c>
      <c r="R2" s="219" t="s">
        <v>16</v>
      </c>
      <c r="S2" s="221" t="s">
        <v>1189</v>
      </c>
      <c r="T2" s="222" t="s">
        <v>16</v>
      </c>
      <c r="U2" s="221" t="s">
        <v>1189</v>
      </c>
      <c r="V2" s="222" t="s">
        <v>16</v>
      </c>
    </row>
    <row r="3" spans="1:22" x14ac:dyDescent="0.25">
      <c r="A3" s="203" t="s">
        <v>1191</v>
      </c>
      <c r="B3" s="204"/>
      <c r="C3" s="205"/>
      <c r="D3" s="203" t="s">
        <v>1192</v>
      </c>
      <c r="E3" s="206" t="s">
        <v>1192</v>
      </c>
      <c r="F3" s="206" t="s">
        <v>1192</v>
      </c>
      <c r="G3" s="206" t="s">
        <v>1192</v>
      </c>
      <c r="H3" s="206" t="s">
        <v>1192</v>
      </c>
      <c r="I3" s="206" t="s">
        <v>1192</v>
      </c>
      <c r="J3" s="204" t="s">
        <v>1192</v>
      </c>
      <c r="K3" s="223"/>
      <c r="L3" s="224"/>
      <c r="M3" s="224"/>
      <c r="N3" s="223"/>
      <c r="O3" s="224"/>
      <c r="P3" s="225"/>
      <c r="Q3" s="226"/>
      <c r="R3" s="227"/>
      <c r="S3" s="228"/>
      <c r="T3" s="227"/>
      <c r="U3" s="228"/>
      <c r="V3" s="227"/>
    </row>
    <row r="4" spans="1:22" outlineLevel="1" x14ac:dyDescent="0.25">
      <c r="A4" s="207"/>
      <c r="B4" s="118" t="s">
        <v>1193</v>
      </c>
      <c r="C4" s="209"/>
      <c r="D4" s="207" t="s">
        <v>1194</v>
      </c>
      <c r="E4" s="180" t="s">
        <v>1194</v>
      </c>
      <c r="F4" s="180" t="s">
        <v>1194</v>
      </c>
      <c r="G4" s="180" t="s">
        <v>1194</v>
      </c>
      <c r="H4" s="180" t="s">
        <v>1194</v>
      </c>
      <c r="I4" s="180" t="s">
        <v>1194</v>
      </c>
      <c r="J4" s="208" t="s">
        <v>1194</v>
      </c>
      <c r="K4" s="229"/>
      <c r="L4" s="230"/>
      <c r="M4" s="230"/>
      <c r="N4" s="229"/>
      <c r="O4" s="230"/>
      <c r="P4" s="231"/>
      <c r="Q4" s="232"/>
      <c r="R4" s="233"/>
      <c r="S4" s="234"/>
      <c r="T4" s="233"/>
      <c r="U4" s="234"/>
      <c r="V4" s="233"/>
    </row>
    <row r="5" spans="1:22" outlineLevel="2" x14ac:dyDescent="0.25">
      <c r="A5" s="109"/>
      <c r="B5" s="110" t="s">
        <v>1195</v>
      </c>
      <c r="C5" s="107">
        <v>10574479</v>
      </c>
      <c r="D5" s="109" t="s">
        <v>1196</v>
      </c>
      <c r="E5" s="15" t="s">
        <v>1196</v>
      </c>
      <c r="F5" s="15" t="s">
        <v>1197</v>
      </c>
      <c r="H5" s="15" t="s">
        <v>1196</v>
      </c>
      <c r="J5" s="110"/>
      <c r="K5" s="235" t="s">
        <v>1198</v>
      </c>
      <c r="L5" s="236">
        <v>161</v>
      </c>
      <c r="M5" s="237" t="e">
        <f>HYPERLINK(CONCATENATE(Cartelle!$A$2,Cartelle!$D$2,Cartelle!#REF!,'PBS (TBD)'!K5,"#page=",'PBS (TBD)'!L5),"#")</f>
        <v>#REF!</v>
      </c>
      <c r="N5" s="235" t="s">
        <v>1199</v>
      </c>
      <c r="O5" s="236">
        <v>93</v>
      </c>
      <c r="P5" s="238" t="e">
        <f>HYPERLINK(CONCATENATE(Cartelle!$A$2,Cartelle!#REF!,Cartelle!#REF!,'PBS (TBD)'!N5,"#page=",'PBS (TBD)'!O5),"#")</f>
        <v>#REF!</v>
      </c>
      <c r="R5" s="240"/>
      <c r="S5" s="241"/>
      <c r="T5" s="240"/>
      <c r="U5" s="241"/>
      <c r="V5" s="240"/>
    </row>
    <row r="6" spans="1:22" outlineLevel="2" x14ac:dyDescent="0.25">
      <c r="A6" s="109"/>
      <c r="B6" s="110" t="s">
        <v>1200</v>
      </c>
      <c r="C6" s="107">
        <v>10542152</v>
      </c>
      <c r="D6" s="109" t="s">
        <v>1201</v>
      </c>
      <c r="E6" s="15" t="s">
        <v>1201</v>
      </c>
      <c r="F6" s="15" t="s">
        <v>1197</v>
      </c>
      <c r="H6" s="15" t="s">
        <v>1201</v>
      </c>
      <c r="J6" s="110"/>
      <c r="K6" s="235" t="s">
        <v>1198</v>
      </c>
      <c r="L6" s="236">
        <v>180</v>
      </c>
      <c r="M6" s="237" t="e">
        <f>HYPERLINK(CONCATENATE(Cartelle!$A$2,Cartelle!$D$2,Cartelle!#REF!,'PBS (TBD)'!K6,"#page=",'PBS (TBD)'!L6),"#")</f>
        <v>#REF!</v>
      </c>
      <c r="N6" s="235" t="s">
        <v>1199</v>
      </c>
      <c r="O6" s="236">
        <v>33</v>
      </c>
      <c r="P6" s="238" t="e">
        <f>HYPERLINK(CONCATENATE(Cartelle!$A$2,Cartelle!#REF!,Cartelle!#REF!,'PBS (TBD)'!N6,"#page=",'PBS (TBD)'!O6),"#")</f>
        <v>#REF!</v>
      </c>
      <c r="R6" s="240"/>
      <c r="S6" s="241"/>
      <c r="T6" s="240"/>
      <c r="U6" s="241"/>
      <c r="V6" s="240"/>
    </row>
    <row r="7" spans="1:22" outlineLevel="2" x14ac:dyDescent="0.25">
      <c r="A7" s="109"/>
      <c r="B7" s="110" t="s">
        <v>1202</v>
      </c>
      <c r="C7" s="107"/>
      <c r="D7" s="109"/>
      <c r="J7" s="110"/>
      <c r="K7" s="235"/>
      <c r="M7" s="237"/>
      <c r="N7" s="235"/>
      <c r="P7" s="238"/>
      <c r="R7" s="240"/>
      <c r="S7" s="241"/>
      <c r="T7" s="240"/>
      <c r="U7" s="241"/>
      <c r="V7" s="240"/>
    </row>
    <row r="8" spans="1:22" outlineLevel="1" x14ac:dyDescent="0.25">
      <c r="A8" s="207"/>
      <c r="B8" s="118" t="s">
        <v>1203</v>
      </c>
      <c r="C8" s="209"/>
      <c r="D8" s="207" t="s">
        <v>1194</v>
      </c>
      <c r="E8" s="180" t="s">
        <v>1194</v>
      </c>
      <c r="F8" s="180" t="s">
        <v>1194</v>
      </c>
      <c r="G8" s="180" t="s">
        <v>1194</v>
      </c>
      <c r="H8" s="180" t="s">
        <v>1194</v>
      </c>
      <c r="I8" s="180" t="s">
        <v>1194</v>
      </c>
      <c r="J8" s="208" t="s">
        <v>1194</v>
      </c>
      <c r="K8" s="229"/>
      <c r="L8" s="230"/>
      <c r="M8" s="230"/>
      <c r="N8" s="229"/>
      <c r="O8" s="230"/>
      <c r="P8" s="231"/>
      <c r="Q8" s="232"/>
      <c r="R8" s="233"/>
      <c r="S8" s="234"/>
      <c r="T8" s="233"/>
      <c r="U8" s="234"/>
      <c r="V8" s="233"/>
    </row>
    <row r="9" spans="1:22" outlineLevel="2" x14ac:dyDescent="0.25">
      <c r="A9" s="109"/>
      <c r="B9" s="126" t="s">
        <v>1204</v>
      </c>
      <c r="C9" s="214" t="s">
        <v>1205</v>
      </c>
      <c r="D9" s="109" t="s">
        <v>1206</v>
      </c>
      <c r="J9" s="110"/>
      <c r="K9" s="235"/>
      <c r="N9" s="235"/>
      <c r="P9" s="242"/>
      <c r="R9" s="240"/>
      <c r="S9" s="241"/>
      <c r="T9" s="240"/>
      <c r="U9" s="241"/>
      <c r="V9" s="240"/>
    </row>
    <row r="10" spans="1:22" s="215" customFormat="1" outlineLevel="2" x14ac:dyDescent="0.25">
      <c r="A10" s="132"/>
      <c r="B10" s="128" t="s">
        <v>1204</v>
      </c>
      <c r="C10" s="129" t="s">
        <v>1207</v>
      </c>
      <c r="D10" s="130"/>
      <c r="E10" s="131" t="s">
        <v>1206</v>
      </c>
      <c r="F10" s="133"/>
      <c r="G10" s="133"/>
      <c r="H10" s="133"/>
      <c r="I10" s="133"/>
      <c r="J10" s="126"/>
      <c r="K10" s="243"/>
      <c r="L10" s="244"/>
      <c r="M10" s="244"/>
      <c r="N10" s="243"/>
      <c r="O10" s="244"/>
      <c r="P10" s="245"/>
      <c r="Q10" s="246" t="s">
        <v>1207</v>
      </c>
      <c r="R10" s="247" t="e">
        <f>HYPERLINK(CONCATENATE(Cartelle!$A$2,Cartelle!#REF!,'PBS (TBD)'!Q10),"#")</f>
        <v>#REF!</v>
      </c>
      <c r="S10" s="248"/>
      <c r="T10" s="249"/>
      <c r="U10" s="248"/>
      <c r="V10" s="249"/>
    </row>
    <row r="11" spans="1:22" outlineLevel="2" x14ac:dyDescent="0.25">
      <c r="A11" s="109"/>
      <c r="B11" s="210" t="s">
        <v>1204</v>
      </c>
      <c r="C11" s="211" t="s">
        <v>1208</v>
      </c>
      <c r="D11" s="216"/>
      <c r="E11" s="212"/>
      <c r="F11" s="212"/>
      <c r="G11" s="212"/>
      <c r="H11" s="212" t="s">
        <v>1206</v>
      </c>
      <c r="J11" s="110"/>
      <c r="K11" s="235"/>
      <c r="N11" s="235"/>
      <c r="P11" s="242"/>
      <c r="R11" s="238"/>
      <c r="S11" s="241"/>
      <c r="T11" s="240"/>
      <c r="U11" s="241"/>
      <c r="V11" s="240"/>
    </row>
    <row r="12" spans="1:22" x14ac:dyDescent="0.25">
      <c r="A12" s="203" t="s">
        <v>1209</v>
      </c>
      <c r="B12" s="213"/>
      <c r="C12" s="205"/>
      <c r="D12" s="203" t="s">
        <v>1192</v>
      </c>
      <c r="E12" s="206" t="s">
        <v>1192</v>
      </c>
      <c r="F12" s="206" t="s">
        <v>1192</v>
      </c>
      <c r="G12" s="206" t="s">
        <v>1192</v>
      </c>
      <c r="H12" s="206" t="s">
        <v>1192</v>
      </c>
      <c r="I12" s="206" t="s">
        <v>1192</v>
      </c>
      <c r="J12" s="204" t="s">
        <v>1192</v>
      </c>
      <c r="K12" s="223"/>
      <c r="L12" s="224"/>
      <c r="M12" s="224"/>
      <c r="N12" s="223"/>
      <c r="O12" s="224"/>
      <c r="P12" s="225"/>
      <c r="Q12" s="250"/>
      <c r="R12" s="227"/>
      <c r="S12" s="228"/>
      <c r="T12" s="227"/>
      <c r="U12" s="228"/>
      <c r="V12" s="227"/>
    </row>
    <row r="13" spans="1:22" outlineLevel="1" x14ac:dyDescent="0.25">
      <c r="A13" s="207"/>
      <c r="B13" s="118" t="s">
        <v>1203</v>
      </c>
      <c r="C13" s="209"/>
      <c r="D13" s="207" t="s">
        <v>1194</v>
      </c>
      <c r="E13" s="180" t="s">
        <v>1194</v>
      </c>
      <c r="F13" s="180" t="s">
        <v>1194</v>
      </c>
      <c r="G13" s="180" t="s">
        <v>1194</v>
      </c>
      <c r="H13" s="180" t="s">
        <v>1194</v>
      </c>
      <c r="I13" s="180" t="s">
        <v>1194</v>
      </c>
      <c r="J13" s="208" t="s">
        <v>1194</v>
      </c>
      <c r="K13" s="229"/>
      <c r="L13" s="230"/>
      <c r="M13" s="230"/>
      <c r="N13" s="229"/>
      <c r="O13" s="230"/>
      <c r="P13" s="231"/>
      <c r="Q13" s="232"/>
      <c r="R13" s="233"/>
      <c r="S13" s="234"/>
      <c r="T13" s="233"/>
      <c r="U13" s="234"/>
      <c r="V13" s="233"/>
    </row>
    <row r="14" spans="1:22" outlineLevel="2" x14ac:dyDescent="0.25">
      <c r="A14" s="109"/>
      <c r="B14" s="126" t="s">
        <v>1210</v>
      </c>
      <c r="C14" s="127" t="s">
        <v>1211</v>
      </c>
      <c r="D14" s="109" t="s">
        <v>1212</v>
      </c>
      <c r="E14" s="15" t="s">
        <v>1212</v>
      </c>
      <c r="J14" s="110"/>
      <c r="K14" s="235" t="s">
        <v>1213</v>
      </c>
      <c r="L14" s="236">
        <v>113</v>
      </c>
      <c r="M14" s="237" t="e">
        <f>HYPERLINK(CONCATENATE(Cartelle!$A$2,Cartelle!$D$2,Cartelle!#REF!,'PBS (TBD)'!K14,"#page=",'PBS (TBD)'!L14),"#")</f>
        <v>#REF!</v>
      </c>
      <c r="N14" s="235" t="s">
        <v>1214</v>
      </c>
      <c r="O14" s="236">
        <v>48</v>
      </c>
      <c r="P14" s="238" t="e">
        <f>HYPERLINK(CONCATENATE(Cartelle!$A$2,Cartelle!#REF!,Cartelle!#REF!,'PBS (TBD)'!N14,"#page=",'PBS (TBD)'!O14),"#")</f>
        <v>#REF!</v>
      </c>
      <c r="R14" s="240"/>
      <c r="S14" s="241"/>
      <c r="T14" s="240"/>
      <c r="U14" s="241"/>
      <c r="V14" s="240"/>
    </row>
    <row r="15" spans="1:22" outlineLevel="2" x14ac:dyDescent="0.25">
      <c r="A15" s="109"/>
      <c r="B15" s="126" t="s">
        <v>1215</v>
      </c>
      <c r="C15" s="127" t="s">
        <v>1216</v>
      </c>
      <c r="D15" s="109" t="s">
        <v>1217</v>
      </c>
      <c r="E15" s="15" t="s">
        <v>1217</v>
      </c>
      <c r="J15" s="110"/>
      <c r="K15" s="235" t="s">
        <v>1213</v>
      </c>
      <c r="L15" s="236">
        <v>121</v>
      </c>
      <c r="M15" s="237" t="e">
        <f>HYPERLINK(CONCATENATE(Cartelle!$A$2,Cartelle!$D$2,Cartelle!#REF!,'PBS (TBD)'!K15,"#page=",'PBS (TBD)'!L15),"#")</f>
        <v>#REF!</v>
      </c>
      <c r="N15" s="235" t="s">
        <v>1214</v>
      </c>
      <c r="O15" s="236">
        <v>52</v>
      </c>
      <c r="P15" s="238" t="e">
        <f>HYPERLINK(CONCATENATE(Cartelle!$A$2,Cartelle!#REF!,Cartelle!#REF!,'PBS (TBD)'!N15,"#page=",'PBS (TBD)'!O15),"#")</f>
        <v>#REF!</v>
      </c>
      <c r="R15" s="240"/>
      <c r="S15" s="241"/>
      <c r="T15" s="240"/>
      <c r="U15" s="241"/>
      <c r="V15" s="240"/>
    </row>
    <row r="16" spans="1:22" outlineLevel="2" x14ac:dyDescent="0.25">
      <c r="A16" s="109"/>
      <c r="B16" s="126" t="s">
        <v>1218</v>
      </c>
      <c r="C16" s="127" t="s">
        <v>1219</v>
      </c>
      <c r="D16" s="109" t="s">
        <v>1212</v>
      </c>
      <c r="E16" s="15" t="s">
        <v>1212</v>
      </c>
      <c r="J16" s="110"/>
      <c r="K16" s="235" t="s">
        <v>1213</v>
      </c>
      <c r="L16" s="236">
        <v>124</v>
      </c>
      <c r="M16" s="237" t="e">
        <f>HYPERLINK(CONCATENATE(Cartelle!$A$2,Cartelle!$D$2,Cartelle!#REF!,'PBS (TBD)'!K16,"#page=",'PBS (TBD)'!L16),"#")</f>
        <v>#REF!</v>
      </c>
      <c r="N16" s="235" t="s">
        <v>1214</v>
      </c>
      <c r="O16" s="236">
        <v>44</v>
      </c>
      <c r="P16" s="238" t="e">
        <f>HYPERLINK(CONCATENATE(Cartelle!$A$2,Cartelle!#REF!,Cartelle!#REF!,'PBS (TBD)'!N16,"#page=",'PBS (TBD)'!O16),"#")</f>
        <v>#REF!</v>
      </c>
      <c r="R16" s="240"/>
      <c r="S16" s="241"/>
      <c r="T16" s="240"/>
      <c r="U16" s="241"/>
      <c r="V16" s="240"/>
    </row>
    <row r="17" spans="1:22" outlineLevel="2" x14ac:dyDescent="0.25">
      <c r="A17" s="109"/>
      <c r="B17" s="126" t="s">
        <v>1220</v>
      </c>
      <c r="C17" s="127" t="s">
        <v>1221</v>
      </c>
      <c r="D17" s="109" t="s">
        <v>1212</v>
      </c>
      <c r="J17" s="110"/>
      <c r="K17" s="235" t="s">
        <v>1213</v>
      </c>
      <c r="L17" s="236">
        <v>175</v>
      </c>
      <c r="M17" s="237" t="e">
        <f>HYPERLINK(CONCATENATE(Cartelle!$A$2,Cartelle!$D$2,Cartelle!#REF!,'PBS (TBD)'!K17,"#page=",'PBS (TBD)'!L17),"#")</f>
        <v>#REF!</v>
      </c>
      <c r="N17" s="235" t="s">
        <v>1214</v>
      </c>
      <c r="O17" s="236">
        <v>70</v>
      </c>
      <c r="P17" s="238" t="e">
        <f>HYPERLINK(CONCATENATE(Cartelle!$A$2,Cartelle!#REF!,Cartelle!#REF!,'PBS (TBD)'!N17,"#page=",'PBS (TBD)'!O17),"#")</f>
        <v>#REF!</v>
      </c>
      <c r="R17" s="240"/>
      <c r="S17" s="241"/>
      <c r="T17" s="240"/>
      <c r="U17" s="241"/>
      <c r="V17" s="240"/>
    </row>
    <row r="18" spans="1:22" outlineLevel="2" x14ac:dyDescent="0.25">
      <c r="A18" s="109"/>
      <c r="B18" s="128" t="s">
        <v>1222</v>
      </c>
      <c r="C18" s="129" t="s">
        <v>1223</v>
      </c>
      <c r="D18" s="109"/>
      <c r="E18" s="131" t="s">
        <v>1212</v>
      </c>
      <c r="J18" s="110"/>
      <c r="K18" s="235"/>
      <c r="M18" s="237"/>
      <c r="N18" s="235" t="s">
        <v>1214</v>
      </c>
      <c r="O18" s="236">
        <v>28</v>
      </c>
      <c r="P18" s="238" t="e">
        <f>HYPERLINK(CONCATENATE(Cartelle!$A$2,Cartelle!#REF!,Cartelle!#REF!,'PBS (TBD)'!N18,"#page=",'PBS (TBD)'!O18),"#")</f>
        <v>#REF!</v>
      </c>
      <c r="R18" s="240"/>
      <c r="S18" s="241"/>
      <c r="T18" s="240"/>
      <c r="U18" s="241"/>
      <c r="V18" s="240"/>
    </row>
    <row r="19" spans="1:22" outlineLevel="2" x14ac:dyDescent="0.25">
      <c r="A19" s="109"/>
      <c r="B19" s="126" t="s">
        <v>1224</v>
      </c>
      <c r="C19" s="127" t="s">
        <v>1225</v>
      </c>
      <c r="D19" s="109" t="s">
        <v>1212</v>
      </c>
      <c r="J19" s="110"/>
      <c r="K19" s="235" t="s">
        <v>1213</v>
      </c>
      <c r="L19" s="236">
        <v>175</v>
      </c>
      <c r="M19" s="237" t="e">
        <f>HYPERLINK(CONCATENATE(Cartelle!$A$2,Cartelle!$D$2,Cartelle!#REF!,'PBS (TBD)'!K19,"#page=",'PBS (TBD)'!L19),"#")</f>
        <v>#REF!</v>
      </c>
      <c r="N19" s="235" t="s">
        <v>1214</v>
      </c>
      <c r="O19" s="236">
        <v>74</v>
      </c>
      <c r="P19" s="238" t="e">
        <f>HYPERLINK(CONCATENATE(Cartelle!$A$2,Cartelle!#REF!,Cartelle!#REF!,'PBS (TBD)'!N19,"#page=",'PBS (TBD)'!O19),"#")</f>
        <v>#REF!</v>
      </c>
      <c r="R19" s="240"/>
      <c r="S19" s="241"/>
      <c r="T19" s="240"/>
      <c r="U19" s="241"/>
      <c r="V19" s="240"/>
    </row>
    <row r="20" spans="1:22" outlineLevel="2" x14ac:dyDescent="0.25">
      <c r="A20" s="109"/>
      <c r="B20" s="128" t="s">
        <v>1226</v>
      </c>
      <c r="C20" s="129" t="s">
        <v>1227</v>
      </c>
      <c r="D20" s="109"/>
      <c r="E20" s="131" t="s">
        <v>1212</v>
      </c>
      <c r="J20" s="110"/>
      <c r="K20" s="235"/>
      <c r="M20" s="237"/>
      <c r="N20" s="235" t="s">
        <v>1214</v>
      </c>
      <c r="O20" s="236">
        <v>84</v>
      </c>
      <c r="P20" s="238" t="e">
        <f>HYPERLINK(CONCATENATE(Cartelle!$A$2,Cartelle!#REF!,Cartelle!#REF!,'PBS (TBD)'!N20,"#page=",'PBS (TBD)'!O20),"#")</f>
        <v>#REF!</v>
      </c>
      <c r="R20" s="240"/>
      <c r="S20" s="241"/>
      <c r="T20" s="240"/>
      <c r="U20" s="241"/>
      <c r="V20" s="240"/>
    </row>
    <row r="21" spans="1:22" outlineLevel="2" x14ac:dyDescent="0.25">
      <c r="A21" s="109"/>
      <c r="B21" s="126" t="s">
        <v>1228</v>
      </c>
      <c r="C21" s="127" t="s">
        <v>1229</v>
      </c>
      <c r="D21" s="109" t="s">
        <v>1230</v>
      </c>
      <c r="E21" s="15" t="s">
        <v>1230</v>
      </c>
      <c r="J21" s="110"/>
      <c r="K21" s="235" t="s">
        <v>1213</v>
      </c>
      <c r="L21" s="236">
        <v>175</v>
      </c>
      <c r="M21" s="237" t="e">
        <f>HYPERLINK(CONCATENATE(Cartelle!$A$2,Cartelle!$D$2,Cartelle!#REF!,'PBS (TBD)'!K21,"#page=",'PBS (TBD)'!L21),"#")</f>
        <v>#REF!</v>
      </c>
      <c r="N21" s="235" t="s">
        <v>1214</v>
      </c>
      <c r="O21" s="236">
        <v>76</v>
      </c>
      <c r="P21" s="238" t="e">
        <f>HYPERLINK(CONCATENATE(Cartelle!$A$2,Cartelle!#REF!,Cartelle!#REF!,'PBS (TBD)'!N21,"#page=",'PBS (TBD)'!O21),"#")</f>
        <v>#REF!</v>
      </c>
      <c r="R21" s="240"/>
      <c r="S21" s="241"/>
      <c r="T21" s="240"/>
      <c r="U21" s="241"/>
      <c r="V21" s="240"/>
    </row>
    <row r="22" spans="1:22" outlineLevel="2" x14ac:dyDescent="0.25">
      <c r="A22" s="109"/>
      <c r="B22" s="110" t="s">
        <v>1231</v>
      </c>
      <c r="C22" s="107" t="s">
        <v>1232</v>
      </c>
      <c r="D22" s="109" t="s">
        <v>1230</v>
      </c>
      <c r="E22" s="15" t="s">
        <v>1230</v>
      </c>
      <c r="J22" s="110"/>
      <c r="K22" s="235" t="s">
        <v>1213</v>
      </c>
      <c r="L22" s="236">
        <v>150</v>
      </c>
      <c r="M22" s="237" t="e">
        <f>HYPERLINK(CONCATENATE(Cartelle!$A$2,Cartelle!$D$2,Cartelle!#REF!,'PBS (TBD)'!K22,"#page=",'PBS (TBD)'!L22),"#")</f>
        <v>#REF!</v>
      </c>
      <c r="N22" s="235" t="s">
        <v>1214</v>
      </c>
      <c r="O22" s="236">
        <v>62</v>
      </c>
      <c r="P22" s="238" t="e">
        <f>HYPERLINK(CONCATENATE(Cartelle!$A$2,Cartelle!#REF!,Cartelle!#REF!,'PBS (TBD)'!N22,"#page=",'PBS (TBD)'!O22),"#")</f>
        <v>#REF!</v>
      </c>
      <c r="R22" s="240"/>
      <c r="S22" s="241"/>
      <c r="T22" s="240"/>
      <c r="U22" s="241"/>
      <c r="V22" s="240"/>
    </row>
    <row r="23" spans="1:22" outlineLevel="2" x14ac:dyDescent="0.25">
      <c r="A23" s="109"/>
      <c r="B23" s="110" t="s">
        <v>1233</v>
      </c>
      <c r="C23" s="107" t="s">
        <v>1234</v>
      </c>
      <c r="D23" s="109" t="s">
        <v>1235</v>
      </c>
      <c r="E23" s="133" t="s">
        <v>1235</v>
      </c>
      <c r="J23" s="110"/>
      <c r="K23" s="235" t="s">
        <v>1213</v>
      </c>
      <c r="L23" s="236">
        <v>151</v>
      </c>
      <c r="M23" s="237" t="e">
        <f>HYPERLINK(CONCATENATE(Cartelle!$A$2,Cartelle!$D$2,Cartelle!#REF!,'PBS (TBD)'!K23,"#page=",'PBS (TBD)'!L23),"#")</f>
        <v>#REF!</v>
      </c>
      <c r="N23" s="235" t="s">
        <v>1214</v>
      </c>
      <c r="O23" s="236">
        <v>82</v>
      </c>
      <c r="P23" s="238" t="e">
        <f>HYPERLINK(CONCATENATE(Cartelle!$A$2,Cartelle!#REF!,Cartelle!#REF!,'PBS (TBD)'!N23,"#page=",'PBS (TBD)'!O23),"#")</f>
        <v>#REF!</v>
      </c>
      <c r="R23" s="240"/>
      <c r="S23" s="241"/>
      <c r="T23" s="240"/>
      <c r="U23" s="241"/>
      <c r="V23" s="240"/>
    </row>
    <row r="24" spans="1:22" outlineLevel="2" x14ac:dyDescent="0.25">
      <c r="A24" s="109"/>
      <c r="B24" s="110" t="s">
        <v>1236</v>
      </c>
      <c r="C24" s="107" t="s">
        <v>1237</v>
      </c>
      <c r="D24" s="109" t="s">
        <v>1230</v>
      </c>
      <c r="E24" s="15" t="s">
        <v>1230</v>
      </c>
      <c r="J24" s="110"/>
      <c r="K24" s="235" t="s">
        <v>1213</v>
      </c>
      <c r="L24" s="236">
        <v>151</v>
      </c>
      <c r="M24" s="237" t="e">
        <f>HYPERLINK(CONCATENATE(Cartelle!$A$2,Cartelle!$D$2,Cartelle!#REF!,'PBS (TBD)'!K24,"#page=",'PBS (TBD)'!L24),"#")</f>
        <v>#REF!</v>
      </c>
      <c r="N24" s="235" t="s">
        <v>1214</v>
      </c>
      <c r="O24" s="236">
        <v>66</v>
      </c>
      <c r="P24" s="238" t="e">
        <f>HYPERLINK(CONCATENATE(Cartelle!$A$2,Cartelle!#REF!,Cartelle!#REF!,'PBS (TBD)'!N24,"#page=",'PBS (TBD)'!O24),"#")</f>
        <v>#REF!</v>
      </c>
      <c r="R24" s="240"/>
      <c r="S24" s="241"/>
      <c r="T24" s="240"/>
      <c r="U24" s="241"/>
      <c r="V24" s="240"/>
    </row>
    <row r="25" spans="1:22" outlineLevel="2" x14ac:dyDescent="0.25">
      <c r="A25" s="109"/>
      <c r="B25" s="210" t="s">
        <v>1238</v>
      </c>
      <c r="C25" s="211" t="s">
        <v>1239</v>
      </c>
      <c r="D25" s="109"/>
      <c r="H25" s="212" t="s">
        <v>1212</v>
      </c>
      <c r="I25" s="212" t="s">
        <v>1212</v>
      </c>
      <c r="J25" s="110"/>
      <c r="K25" s="235" t="s">
        <v>1240</v>
      </c>
      <c r="L25" s="236">
        <v>94</v>
      </c>
      <c r="M25" s="237" t="e">
        <f>HYPERLINK(CONCATENATE(Cartelle!$A$2,Cartelle!$D$2,Cartelle!#REF!,'PBS (TBD)'!K25,"#page=",'PBS (TBD)'!L25),"#")</f>
        <v>#REF!</v>
      </c>
      <c r="N25" s="235"/>
      <c r="O25" s="251"/>
      <c r="P25" s="238"/>
      <c r="R25" s="240"/>
      <c r="S25" s="241"/>
      <c r="T25" s="240"/>
      <c r="U25" s="241"/>
      <c r="V25" s="240"/>
    </row>
    <row r="26" spans="1:22" outlineLevel="2" x14ac:dyDescent="0.25">
      <c r="A26" s="109"/>
      <c r="B26" s="210" t="s">
        <v>1241</v>
      </c>
      <c r="C26" s="211" t="s">
        <v>1242</v>
      </c>
      <c r="D26" s="109"/>
      <c r="H26" s="212" t="s">
        <v>1212</v>
      </c>
      <c r="I26" s="212" t="s">
        <v>1212</v>
      </c>
      <c r="J26" s="110"/>
      <c r="K26" s="235"/>
      <c r="N26" s="235"/>
      <c r="P26" s="242"/>
      <c r="R26" s="240"/>
      <c r="S26" s="241"/>
      <c r="T26" s="240"/>
      <c r="U26" s="241"/>
      <c r="V26" s="240"/>
    </row>
    <row r="27" spans="1:22" outlineLevel="2" x14ac:dyDescent="0.25">
      <c r="A27" s="109"/>
      <c r="B27" s="210" t="s">
        <v>1243</v>
      </c>
      <c r="C27" s="211" t="s">
        <v>1244</v>
      </c>
      <c r="D27" s="109"/>
      <c r="H27" s="212" t="s">
        <v>1235</v>
      </c>
      <c r="I27" s="212" t="s">
        <v>1235</v>
      </c>
      <c r="J27" s="110"/>
      <c r="K27" s="235"/>
      <c r="N27" s="235"/>
      <c r="P27" s="242"/>
      <c r="R27" s="240"/>
      <c r="S27" s="241"/>
      <c r="T27" s="240"/>
      <c r="U27" s="241"/>
      <c r="V27" s="240"/>
    </row>
    <row r="28" spans="1:22" outlineLevel="2" x14ac:dyDescent="0.25">
      <c r="A28" s="109"/>
      <c r="B28" s="210" t="s">
        <v>1245</v>
      </c>
      <c r="C28" s="211" t="s">
        <v>1246</v>
      </c>
      <c r="D28" s="109"/>
      <c r="H28" s="212" t="s">
        <v>1235</v>
      </c>
      <c r="I28" s="212" t="s">
        <v>1235</v>
      </c>
      <c r="J28" s="110"/>
      <c r="K28" s="235"/>
      <c r="N28" s="235"/>
      <c r="P28" s="242"/>
      <c r="R28" s="240"/>
      <c r="S28" s="241"/>
      <c r="T28" s="240"/>
      <c r="U28" s="241"/>
      <c r="V28" s="240"/>
    </row>
    <row r="29" spans="1:22" outlineLevel="2" x14ac:dyDescent="0.25">
      <c r="A29" s="109"/>
      <c r="B29" s="210" t="s">
        <v>1247</v>
      </c>
      <c r="C29" s="211" t="s">
        <v>1248</v>
      </c>
      <c r="D29" s="109"/>
      <c r="H29" s="212" t="s">
        <v>1212</v>
      </c>
      <c r="I29" s="212" t="s">
        <v>1212</v>
      </c>
      <c r="J29" s="110"/>
      <c r="K29" s="235"/>
      <c r="N29" s="235"/>
      <c r="P29" s="242"/>
      <c r="R29" s="240"/>
      <c r="S29" s="241"/>
      <c r="T29" s="240"/>
      <c r="U29" s="241"/>
      <c r="V29" s="240"/>
    </row>
    <row r="30" spans="1:22" outlineLevel="2" x14ac:dyDescent="0.25">
      <c r="A30" s="109"/>
      <c r="B30" s="210" t="s">
        <v>1249</v>
      </c>
      <c r="C30" s="211" t="s">
        <v>1250</v>
      </c>
      <c r="D30" s="109"/>
      <c r="H30" s="212" t="s">
        <v>1212</v>
      </c>
      <c r="I30" s="212" t="s">
        <v>1212</v>
      </c>
      <c r="J30" s="110"/>
      <c r="K30" s="235"/>
      <c r="N30" s="235"/>
      <c r="P30" s="242"/>
      <c r="R30" s="240"/>
      <c r="S30" s="241"/>
      <c r="T30" s="240"/>
      <c r="U30" s="241"/>
      <c r="V30" s="240"/>
    </row>
    <row r="31" spans="1:22" outlineLevel="2" x14ac:dyDescent="0.25">
      <c r="A31" s="109"/>
      <c r="B31" s="210" t="s">
        <v>1251</v>
      </c>
      <c r="C31" s="211" t="s">
        <v>1252</v>
      </c>
      <c r="D31" s="109"/>
      <c r="H31" s="212" t="s">
        <v>1212</v>
      </c>
      <c r="I31" s="212" t="s">
        <v>1212</v>
      </c>
      <c r="J31" s="110"/>
      <c r="K31" s="235"/>
      <c r="N31" s="235" t="s">
        <v>1253</v>
      </c>
      <c r="O31" s="236">
        <v>40</v>
      </c>
      <c r="P31" s="238" t="e">
        <f>HYPERLINK(CONCATENATE(Cartelle!$A$2,Cartelle!#REF!,Cartelle!#REF!,'PBS (TBD)'!N31,"#page=",'PBS (TBD)'!O31),"#")</f>
        <v>#REF!</v>
      </c>
      <c r="R31" s="240"/>
      <c r="S31" s="241"/>
      <c r="T31" s="240"/>
      <c r="U31" s="241"/>
      <c r="V31" s="240"/>
    </row>
    <row r="32" spans="1:22" outlineLevel="2" x14ac:dyDescent="0.25">
      <c r="A32" s="109"/>
      <c r="B32" s="210" t="s">
        <v>1254</v>
      </c>
      <c r="C32" s="211" t="s">
        <v>1255</v>
      </c>
      <c r="D32" s="109"/>
      <c r="H32" s="212" t="s">
        <v>1201</v>
      </c>
      <c r="I32" s="212" t="s">
        <v>1201</v>
      </c>
      <c r="J32" s="110"/>
      <c r="K32" s="235"/>
      <c r="N32" s="235"/>
      <c r="P32" s="242"/>
      <c r="R32" s="240"/>
      <c r="S32" s="241"/>
      <c r="T32" s="240"/>
      <c r="U32" s="241"/>
      <c r="V32" s="240"/>
    </row>
    <row r="33" spans="1:22" outlineLevel="2" x14ac:dyDescent="0.25">
      <c r="A33" s="109"/>
      <c r="B33" s="210" t="s">
        <v>1256</v>
      </c>
      <c r="C33" s="211" t="s">
        <v>1257</v>
      </c>
      <c r="D33" s="109"/>
      <c r="H33" s="212" t="s">
        <v>1258</v>
      </c>
      <c r="I33" s="212" t="s">
        <v>1258</v>
      </c>
      <c r="J33" s="110"/>
      <c r="K33" s="235"/>
      <c r="N33" s="235"/>
      <c r="P33" s="242"/>
      <c r="R33" s="240"/>
      <c r="S33" s="241"/>
      <c r="T33" s="240"/>
      <c r="U33" s="241"/>
      <c r="V33" s="240"/>
    </row>
    <row r="34" spans="1:22" outlineLevel="2" x14ac:dyDescent="0.25">
      <c r="A34" s="109"/>
      <c r="B34" s="210" t="s">
        <v>1259</v>
      </c>
      <c r="C34" s="211" t="s">
        <v>1260</v>
      </c>
      <c r="D34" s="109"/>
      <c r="H34" s="212" t="s">
        <v>1196</v>
      </c>
      <c r="I34" s="212" t="s">
        <v>1196</v>
      </c>
      <c r="J34" s="110"/>
      <c r="K34" s="235"/>
      <c r="N34" s="235"/>
      <c r="P34" s="242"/>
      <c r="R34" s="240"/>
      <c r="S34" s="241"/>
      <c r="T34" s="240"/>
      <c r="U34" s="241"/>
      <c r="V34" s="240"/>
    </row>
    <row r="35" spans="1:22" ht="30" customHeight="1" outlineLevel="2" x14ac:dyDescent="0.25">
      <c r="A35" s="109"/>
      <c r="B35" s="210" t="s">
        <v>1261</v>
      </c>
      <c r="C35" s="211" t="s">
        <v>1262</v>
      </c>
      <c r="D35" s="109"/>
      <c r="H35" s="212" t="s">
        <v>1263</v>
      </c>
      <c r="I35" s="212" t="s">
        <v>1263</v>
      </c>
      <c r="J35" s="110"/>
      <c r="K35" s="235"/>
      <c r="N35" s="235"/>
      <c r="P35" s="242"/>
      <c r="R35" s="240"/>
      <c r="S35" s="241"/>
      <c r="T35" s="240"/>
      <c r="U35" s="241"/>
      <c r="V35" s="240"/>
    </row>
    <row r="36" spans="1:22" outlineLevel="2" x14ac:dyDescent="0.25">
      <c r="A36" s="109"/>
      <c r="B36" s="210" t="s">
        <v>1264</v>
      </c>
      <c r="C36" s="211" t="s">
        <v>1265</v>
      </c>
      <c r="D36" s="109"/>
      <c r="H36" s="212" t="s">
        <v>1196</v>
      </c>
      <c r="I36" s="212" t="s">
        <v>1196</v>
      </c>
      <c r="J36" s="110"/>
      <c r="K36" s="235"/>
      <c r="N36" s="235"/>
      <c r="P36" s="242"/>
      <c r="R36" s="240"/>
      <c r="S36" s="241"/>
      <c r="T36" s="240"/>
      <c r="U36" s="241"/>
      <c r="V36" s="240"/>
    </row>
    <row r="37" spans="1:22" outlineLevel="1" x14ac:dyDescent="0.25">
      <c r="A37" s="207"/>
      <c r="B37" s="118" t="s">
        <v>1266</v>
      </c>
      <c r="C37" s="209"/>
      <c r="D37" s="207" t="s">
        <v>1194</v>
      </c>
      <c r="E37" s="180" t="s">
        <v>1194</v>
      </c>
      <c r="F37" s="180" t="s">
        <v>1194</v>
      </c>
      <c r="G37" s="180" t="s">
        <v>1194</v>
      </c>
      <c r="H37" s="180" t="s">
        <v>1194</v>
      </c>
      <c r="I37" s="180" t="s">
        <v>1194</v>
      </c>
      <c r="J37" s="208" t="s">
        <v>1194</v>
      </c>
      <c r="K37" s="229"/>
      <c r="L37" s="230"/>
      <c r="M37" s="230"/>
      <c r="N37" s="229"/>
      <c r="O37" s="230"/>
      <c r="P37" s="231"/>
      <c r="Q37" s="232"/>
      <c r="R37" s="233"/>
      <c r="S37" s="234"/>
      <c r="T37" s="233"/>
      <c r="U37" s="234"/>
      <c r="V37" s="233"/>
    </row>
    <row r="38" spans="1:22" outlineLevel="2" x14ac:dyDescent="0.25">
      <c r="A38" s="109"/>
      <c r="B38" s="126" t="s">
        <v>1267</v>
      </c>
      <c r="C38" s="127" t="s">
        <v>1268</v>
      </c>
      <c r="D38" s="109" t="s">
        <v>1197</v>
      </c>
      <c r="J38" s="110"/>
      <c r="K38" s="235" t="s">
        <v>1213</v>
      </c>
      <c r="L38" s="236">
        <v>152</v>
      </c>
      <c r="M38" s="237" t="e">
        <f>HYPERLINK(CONCATENATE(Cartelle!$A$2,Cartelle!$D$2,Cartelle!#REF!,'PBS (TBD)'!K38,"#page=",'PBS (TBD)'!L38),"#")</f>
        <v>#REF!</v>
      </c>
      <c r="N38" s="235" t="s">
        <v>1214</v>
      </c>
      <c r="O38" s="236">
        <v>84</v>
      </c>
      <c r="P38" s="238" t="e">
        <f>HYPERLINK(CONCATENATE(Cartelle!$A$2,Cartelle!#REF!,Cartelle!#REF!,'PBS (TBD)'!N38,"#page=",'PBS (TBD)'!O38),"#")</f>
        <v>#REF!</v>
      </c>
      <c r="R38" s="240"/>
      <c r="S38" s="241"/>
      <c r="T38" s="240"/>
      <c r="U38" s="241"/>
      <c r="V38" s="240"/>
    </row>
    <row r="39" spans="1:22" outlineLevel="2" x14ac:dyDescent="0.25">
      <c r="A39" s="109"/>
      <c r="B39" s="128" t="s">
        <v>1269</v>
      </c>
      <c r="C39" s="129" t="s">
        <v>1270</v>
      </c>
      <c r="D39" s="130"/>
      <c r="E39" s="131" t="s">
        <v>1197</v>
      </c>
      <c r="J39" s="110"/>
      <c r="K39" s="235"/>
      <c r="N39" s="235" t="s">
        <v>1214</v>
      </c>
      <c r="O39" s="236">
        <v>32</v>
      </c>
      <c r="P39" s="238" t="e">
        <f>HYPERLINK(CONCATENATE(Cartelle!$A$2,Cartelle!#REF!,Cartelle!#REF!,'PBS (TBD)'!N39,"#page=",'PBS (TBD)'!O39),"#")</f>
        <v>#REF!</v>
      </c>
      <c r="R39" s="240"/>
      <c r="S39" s="241"/>
      <c r="T39" s="240"/>
      <c r="U39" s="241"/>
      <c r="V39" s="240"/>
    </row>
    <row r="40" spans="1:22" outlineLevel="2" x14ac:dyDescent="0.25">
      <c r="A40" s="109"/>
      <c r="B40" s="126" t="s">
        <v>1271</v>
      </c>
      <c r="C40" s="127" t="s">
        <v>1272</v>
      </c>
      <c r="D40" s="132" t="s">
        <v>1217</v>
      </c>
      <c r="E40" s="133" t="s">
        <v>1217</v>
      </c>
      <c r="J40" s="110"/>
      <c r="K40" s="235"/>
      <c r="N40" s="235" t="s">
        <v>1214</v>
      </c>
      <c r="O40" s="236">
        <v>32</v>
      </c>
      <c r="P40" s="238" t="e">
        <f>HYPERLINK(CONCATENATE(Cartelle!$A$2,Cartelle!#REF!,Cartelle!#REF!,'PBS (TBD)'!N40,"#page=",'PBS (TBD)'!O40),"#")</f>
        <v>#REF!</v>
      </c>
      <c r="R40" s="240"/>
      <c r="S40" s="241"/>
      <c r="T40" s="240"/>
      <c r="U40" s="241"/>
      <c r="V40" s="240"/>
    </row>
    <row r="41" spans="1:22" outlineLevel="2" x14ac:dyDescent="0.25">
      <c r="A41" s="109"/>
      <c r="B41" s="210" t="s">
        <v>1271</v>
      </c>
      <c r="C41" s="211" t="s">
        <v>1273</v>
      </c>
      <c r="D41" s="109"/>
      <c r="H41" s="212" t="s">
        <v>1217</v>
      </c>
      <c r="I41" s="212" t="s">
        <v>1217</v>
      </c>
      <c r="J41" s="110"/>
      <c r="K41" s="235" t="s">
        <v>1240</v>
      </c>
      <c r="L41" s="236">
        <v>98</v>
      </c>
      <c r="M41" s="237" t="e">
        <f>HYPERLINK(CONCATENATE(Cartelle!$A$2,Cartelle!$D$2,Cartelle!#REF!,'PBS (TBD)'!K41,"#page=",'PBS (TBD)'!L41),"#")</f>
        <v>#REF!</v>
      </c>
      <c r="N41" s="235"/>
      <c r="P41" s="242"/>
      <c r="R41" s="240"/>
      <c r="S41" s="241"/>
      <c r="T41" s="240"/>
      <c r="U41" s="241"/>
      <c r="V41" s="240"/>
    </row>
    <row r="42" spans="1:22" outlineLevel="1" x14ac:dyDescent="0.25">
      <c r="A42" s="207"/>
      <c r="B42" s="118" t="s">
        <v>1274</v>
      </c>
      <c r="C42" s="209"/>
      <c r="D42" s="207" t="s">
        <v>1194</v>
      </c>
      <c r="E42" s="180" t="s">
        <v>1194</v>
      </c>
      <c r="F42" s="180" t="s">
        <v>1194</v>
      </c>
      <c r="G42" s="180" t="s">
        <v>1194</v>
      </c>
      <c r="H42" s="180" t="s">
        <v>1194</v>
      </c>
      <c r="I42" s="180" t="s">
        <v>1194</v>
      </c>
      <c r="J42" s="208" t="s">
        <v>1194</v>
      </c>
      <c r="K42" s="229"/>
      <c r="L42" s="230"/>
      <c r="M42" s="230"/>
      <c r="N42" s="229"/>
      <c r="O42" s="230"/>
      <c r="P42" s="231"/>
      <c r="Q42" s="232"/>
      <c r="R42" s="233"/>
      <c r="S42" s="234"/>
      <c r="T42" s="233"/>
      <c r="U42" s="234"/>
      <c r="V42" s="233"/>
    </row>
    <row r="43" spans="1:22" outlineLevel="2" x14ac:dyDescent="0.25">
      <c r="A43" s="109"/>
      <c r="B43" s="110" t="s">
        <v>1275</v>
      </c>
      <c r="C43" s="107" t="s">
        <v>1276</v>
      </c>
      <c r="D43" s="109" t="s">
        <v>1235</v>
      </c>
      <c r="J43" s="110"/>
      <c r="K43" s="235" t="s">
        <v>1213</v>
      </c>
      <c r="L43" s="236">
        <v>163</v>
      </c>
      <c r="M43" s="237" t="e">
        <f>HYPERLINK(CONCATENATE(Cartelle!$A$2,Cartelle!$D$2,Cartelle!#REF!,'PBS (TBD)'!K43,"#page=",'PBS (TBD)'!L43),"#")</f>
        <v>#REF!</v>
      </c>
      <c r="N43" s="235" t="s">
        <v>1214</v>
      </c>
      <c r="O43" s="236">
        <v>32</v>
      </c>
      <c r="P43" s="238" t="e">
        <f>HYPERLINK(CONCATENATE(Cartelle!$A$2,Cartelle!#REF!,Cartelle!#REF!,'PBS (TBD)'!N43,"#page=",'PBS (TBD)'!O43),"#")</f>
        <v>#REF!</v>
      </c>
      <c r="R43" s="240"/>
      <c r="S43" s="241"/>
      <c r="T43" s="240"/>
      <c r="U43" s="241"/>
      <c r="V43" s="240"/>
    </row>
    <row r="44" spans="1:22" outlineLevel="2" x14ac:dyDescent="0.25">
      <c r="A44" s="109"/>
      <c r="B44" s="128" t="s">
        <v>1277</v>
      </c>
      <c r="C44" s="129" t="s">
        <v>1278</v>
      </c>
      <c r="D44" s="130"/>
      <c r="E44" s="131" t="s">
        <v>1235</v>
      </c>
      <c r="J44" s="110"/>
      <c r="K44" s="235"/>
      <c r="N44" s="235" t="s">
        <v>1214</v>
      </c>
      <c r="O44" s="236">
        <v>32</v>
      </c>
      <c r="P44" s="238" t="e">
        <f>HYPERLINK(CONCATENATE(Cartelle!$A$2,Cartelle!#REF!,Cartelle!#REF!,'PBS (TBD)'!N44,"#page=",'PBS (TBD)'!O44),"#")</f>
        <v>#REF!</v>
      </c>
      <c r="R44" s="240"/>
      <c r="S44" s="241"/>
      <c r="T44" s="240"/>
      <c r="U44" s="241"/>
      <c r="V44" s="240"/>
    </row>
    <row r="45" spans="1:22" outlineLevel="2" x14ac:dyDescent="0.25">
      <c r="A45" s="109"/>
      <c r="B45" s="110" t="s">
        <v>1279</v>
      </c>
      <c r="C45" s="107" t="s">
        <v>1280</v>
      </c>
      <c r="D45" s="109" t="s">
        <v>1212</v>
      </c>
      <c r="E45" s="15" t="s">
        <v>1212</v>
      </c>
      <c r="J45" s="110"/>
      <c r="K45" s="235" t="s">
        <v>1281</v>
      </c>
      <c r="L45" s="236">
        <v>113</v>
      </c>
      <c r="M45" s="237" t="e">
        <f>HYPERLINK(CONCATENATE(Cartelle!$A$2,Cartelle!$D$2,Cartelle!#REF!,'PBS (TBD)'!K45,"#page=",'PBS (TBD)'!L45),"#")</f>
        <v>#REF!</v>
      </c>
      <c r="N45" s="235" t="s">
        <v>1214</v>
      </c>
      <c r="O45" s="236">
        <v>58</v>
      </c>
      <c r="P45" s="238" t="e">
        <f>HYPERLINK(CONCATENATE(Cartelle!$A$2,Cartelle!#REF!,Cartelle!#REF!,'PBS (TBD)'!N45,"#page=",'PBS (TBD)'!O45),"#")</f>
        <v>#REF!</v>
      </c>
      <c r="R45" s="240"/>
      <c r="S45" s="241"/>
      <c r="T45" s="240"/>
      <c r="U45" s="241"/>
      <c r="V45" s="240"/>
    </row>
    <row r="46" spans="1:22" outlineLevel="2" x14ac:dyDescent="0.25">
      <c r="A46" s="109"/>
      <c r="B46" s="126" t="s">
        <v>1282</v>
      </c>
      <c r="C46" s="127" t="s">
        <v>1283</v>
      </c>
      <c r="D46" s="109" t="s">
        <v>1212</v>
      </c>
      <c r="J46" s="110"/>
      <c r="K46" s="235" t="s">
        <v>1213</v>
      </c>
      <c r="L46" s="236">
        <v>128</v>
      </c>
      <c r="M46" s="237" t="e">
        <f>HYPERLINK(CONCATENATE(Cartelle!$A$2,Cartelle!$D$2,Cartelle!#REF!,'PBS (TBD)'!K46,"#page=",'PBS (TBD)'!L46),"#")</f>
        <v>#REF!</v>
      </c>
      <c r="N46" s="235" t="s">
        <v>1214</v>
      </c>
      <c r="O46" s="236">
        <v>28</v>
      </c>
      <c r="P46" s="238" t="e">
        <f>HYPERLINK(CONCATENATE(Cartelle!$A$2,Cartelle!#REF!,Cartelle!#REF!,'PBS (TBD)'!N46,"#page=",'PBS (TBD)'!O46),"#")</f>
        <v>#REF!</v>
      </c>
      <c r="R46" s="240"/>
      <c r="S46" s="241"/>
      <c r="T46" s="240"/>
      <c r="U46" s="241"/>
      <c r="V46" s="240"/>
    </row>
    <row r="47" spans="1:22" outlineLevel="2" x14ac:dyDescent="0.25">
      <c r="A47" s="109"/>
      <c r="B47" s="128" t="s">
        <v>1282</v>
      </c>
      <c r="C47" s="129" t="s">
        <v>1284</v>
      </c>
      <c r="D47" s="130"/>
      <c r="E47" s="131" t="s">
        <v>1212</v>
      </c>
      <c r="J47" s="110"/>
      <c r="K47" s="235"/>
      <c r="N47" s="235" t="s">
        <v>1214</v>
      </c>
      <c r="O47" s="236">
        <v>28</v>
      </c>
      <c r="P47" s="238" t="e">
        <f>HYPERLINK(CONCATENATE(Cartelle!$A$2,Cartelle!#REF!,Cartelle!#REF!,'PBS (TBD)'!N47,"#page=",'PBS (TBD)'!O47),"#")</f>
        <v>#REF!</v>
      </c>
      <c r="R47" s="240"/>
      <c r="S47" s="241"/>
      <c r="T47" s="240"/>
      <c r="U47" s="241"/>
      <c r="V47" s="240"/>
    </row>
    <row r="48" spans="1:22" outlineLevel="2" x14ac:dyDescent="0.25">
      <c r="A48" s="109"/>
      <c r="B48" s="126" t="s">
        <v>1285</v>
      </c>
      <c r="C48" s="127" t="s">
        <v>1286</v>
      </c>
      <c r="D48" s="109" t="s">
        <v>1287</v>
      </c>
      <c r="J48" s="110"/>
      <c r="K48" s="235" t="s">
        <v>1213</v>
      </c>
      <c r="L48" s="236">
        <v>132</v>
      </c>
      <c r="M48" s="237" t="e">
        <f>HYPERLINK(CONCATENATE(Cartelle!$A$2,Cartelle!$D$2,Cartelle!#REF!,'PBS (TBD)'!K48,"#page=",'PBS (TBD)'!L48),"#")</f>
        <v>#REF!</v>
      </c>
      <c r="N48" s="235" t="s">
        <v>1214</v>
      </c>
      <c r="O48" s="236">
        <v>32</v>
      </c>
      <c r="P48" s="238" t="e">
        <f>HYPERLINK(CONCATENATE(Cartelle!$A$2,Cartelle!#REF!,Cartelle!#REF!,'PBS (TBD)'!N48,"#page=",'PBS (TBD)'!O48),"#")</f>
        <v>#REF!</v>
      </c>
      <c r="R48" s="240"/>
      <c r="S48" s="241"/>
      <c r="T48" s="240"/>
      <c r="U48" s="241"/>
      <c r="V48" s="240"/>
    </row>
    <row r="49" spans="1:22" outlineLevel="2" x14ac:dyDescent="0.25">
      <c r="A49" s="109"/>
      <c r="B49" s="124" t="s">
        <v>1285</v>
      </c>
      <c r="C49" s="125" t="s">
        <v>1288</v>
      </c>
      <c r="D49" s="109"/>
      <c r="E49" s="15" t="s">
        <v>1287</v>
      </c>
      <c r="J49" s="110"/>
      <c r="K49" s="235"/>
      <c r="N49" s="235" t="s">
        <v>1214</v>
      </c>
      <c r="O49" s="236">
        <v>32</v>
      </c>
      <c r="P49" s="238" t="e">
        <f>HYPERLINK(CONCATENATE(Cartelle!$A$2,Cartelle!#REF!,Cartelle!#REF!,'PBS (TBD)'!N49,"#page=",'PBS (TBD)'!O49),"#")</f>
        <v>#REF!</v>
      </c>
      <c r="R49" s="240"/>
      <c r="S49" s="241"/>
      <c r="T49" s="240"/>
      <c r="U49" s="241"/>
      <c r="V49" s="240"/>
    </row>
    <row r="50" spans="1:22" outlineLevel="2" x14ac:dyDescent="0.25">
      <c r="A50" s="109"/>
      <c r="B50" s="126" t="s">
        <v>1289</v>
      </c>
      <c r="C50" s="127" t="s">
        <v>1290</v>
      </c>
      <c r="D50" s="109" t="s">
        <v>1230</v>
      </c>
      <c r="J50" s="110"/>
      <c r="K50" s="235" t="s">
        <v>1213</v>
      </c>
      <c r="L50" s="236">
        <v>136</v>
      </c>
      <c r="M50" s="237" t="e">
        <f>HYPERLINK(CONCATENATE(Cartelle!$A$2,Cartelle!$D$2,Cartelle!#REF!,'PBS (TBD)'!K50,"#page=",'PBS (TBD)'!L50),"#")</f>
        <v>#REF!</v>
      </c>
      <c r="N50" s="235" t="s">
        <v>1214</v>
      </c>
      <c r="O50" s="236">
        <v>28</v>
      </c>
      <c r="P50" s="238" t="e">
        <f>HYPERLINK(CONCATENATE(Cartelle!$A$2,Cartelle!#REF!,Cartelle!#REF!,'PBS (TBD)'!N50,"#page=",'PBS (TBD)'!O50),"#")</f>
        <v>#REF!</v>
      </c>
      <c r="R50" s="240"/>
      <c r="S50" s="241"/>
      <c r="T50" s="240"/>
      <c r="U50" s="241"/>
      <c r="V50" s="240"/>
    </row>
    <row r="51" spans="1:22" outlineLevel="2" x14ac:dyDescent="0.25">
      <c r="A51" s="109"/>
      <c r="B51" s="128" t="s">
        <v>1289</v>
      </c>
      <c r="C51" s="129" t="s">
        <v>1291</v>
      </c>
      <c r="D51" s="130"/>
      <c r="E51" s="131" t="s">
        <v>1292</v>
      </c>
      <c r="J51" s="110"/>
      <c r="K51" s="235"/>
      <c r="N51" s="235" t="s">
        <v>1214</v>
      </c>
      <c r="O51" s="236">
        <v>28</v>
      </c>
      <c r="P51" s="238" t="e">
        <f>HYPERLINK(CONCATENATE(Cartelle!$A$2,Cartelle!#REF!,Cartelle!#REF!,'PBS (TBD)'!N51,"#page=",'PBS (TBD)'!O51),"#")</f>
        <v>#REF!</v>
      </c>
      <c r="R51" s="240"/>
      <c r="S51" s="241"/>
      <c r="T51" s="240"/>
      <c r="U51" s="241"/>
      <c r="V51" s="240"/>
    </row>
    <row r="52" spans="1:22" outlineLevel="2" x14ac:dyDescent="0.25">
      <c r="A52" s="109"/>
      <c r="B52" s="128" t="s">
        <v>1289</v>
      </c>
      <c r="C52" s="129" t="s">
        <v>1293</v>
      </c>
      <c r="D52" s="130"/>
      <c r="E52" s="131" t="s">
        <v>1294</v>
      </c>
      <c r="J52" s="110"/>
      <c r="K52" s="235"/>
      <c r="N52" s="235" t="s">
        <v>1214</v>
      </c>
      <c r="O52" s="236">
        <v>28</v>
      </c>
      <c r="P52" s="238" t="e">
        <f>HYPERLINK(CONCATENATE(Cartelle!$A$2,Cartelle!#REF!,Cartelle!#REF!,'PBS (TBD)'!N52,"#page=",'PBS (TBD)'!O52),"#")</f>
        <v>#REF!</v>
      </c>
      <c r="R52" s="240"/>
      <c r="S52" s="241"/>
      <c r="T52" s="240"/>
      <c r="U52" s="241"/>
      <c r="V52" s="240"/>
    </row>
    <row r="53" spans="1:22" outlineLevel="2" x14ac:dyDescent="0.25">
      <c r="A53" s="109"/>
      <c r="B53" s="110" t="s">
        <v>1295</v>
      </c>
      <c r="C53" s="107" t="s">
        <v>1296</v>
      </c>
      <c r="D53" s="109" t="s">
        <v>1297</v>
      </c>
      <c r="E53" s="15" t="s">
        <v>1297</v>
      </c>
      <c r="J53" s="110"/>
      <c r="K53" s="235" t="s">
        <v>1213</v>
      </c>
      <c r="L53" s="236">
        <v>137</v>
      </c>
      <c r="M53" s="237" t="e">
        <f>HYPERLINK(CONCATENATE(Cartelle!$A$2,Cartelle!$D$2,Cartelle!#REF!,'PBS (TBD)'!K53,"#page=",'PBS (TBD)'!L53),"#")</f>
        <v>#REF!</v>
      </c>
      <c r="N53" s="235" t="s">
        <v>1214</v>
      </c>
      <c r="O53" s="236">
        <v>30</v>
      </c>
      <c r="P53" s="238" t="e">
        <f>HYPERLINK(CONCATENATE(Cartelle!$A$2,Cartelle!#REF!,Cartelle!#REF!,'PBS (TBD)'!N53,"#page=",'PBS (TBD)'!O53),"#")</f>
        <v>#REF!</v>
      </c>
      <c r="R53" s="240"/>
      <c r="S53" s="241"/>
      <c r="T53" s="240"/>
      <c r="U53" s="241"/>
      <c r="V53" s="240"/>
    </row>
    <row r="54" spans="1:22" ht="30" customHeight="1" outlineLevel="2" x14ac:dyDescent="0.25">
      <c r="A54" s="109"/>
      <c r="B54" s="210" t="s">
        <v>1298</v>
      </c>
      <c r="C54" s="211" t="s">
        <v>1299</v>
      </c>
      <c r="D54" s="109"/>
      <c r="H54" s="212" t="s">
        <v>1230</v>
      </c>
      <c r="I54" s="212" t="s">
        <v>1230</v>
      </c>
      <c r="J54" s="110"/>
      <c r="K54" s="235"/>
      <c r="N54" s="235"/>
      <c r="P54" s="242"/>
      <c r="R54" s="240"/>
      <c r="S54" s="241"/>
      <c r="T54" s="240"/>
      <c r="U54" s="241"/>
      <c r="V54" s="240"/>
    </row>
    <row r="55" spans="1:22" ht="30" customHeight="1" outlineLevel="2" x14ac:dyDescent="0.25">
      <c r="A55" s="109"/>
      <c r="B55" s="210" t="s">
        <v>1300</v>
      </c>
      <c r="C55" s="211" t="s">
        <v>1301</v>
      </c>
      <c r="D55" s="109"/>
      <c r="H55" s="212" t="s">
        <v>1212</v>
      </c>
      <c r="I55" s="212" t="s">
        <v>1212</v>
      </c>
      <c r="J55" s="110"/>
      <c r="K55" s="235"/>
      <c r="N55" s="235"/>
      <c r="P55" s="242"/>
      <c r="R55" s="240"/>
      <c r="S55" s="241"/>
      <c r="T55" s="240"/>
      <c r="U55" s="241"/>
      <c r="V55" s="240"/>
    </row>
    <row r="56" spans="1:22" x14ac:dyDescent="0.25">
      <c r="A56" s="203" t="s">
        <v>1302</v>
      </c>
      <c r="B56" s="204"/>
      <c r="C56" s="205"/>
      <c r="D56" s="203" t="s">
        <v>1192</v>
      </c>
      <c r="E56" s="206" t="s">
        <v>1192</v>
      </c>
      <c r="F56" s="206" t="s">
        <v>1192</v>
      </c>
      <c r="G56" s="206" t="s">
        <v>1192</v>
      </c>
      <c r="H56" s="206" t="s">
        <v>1192</v>
      </c>
      <c r="I56" s="206" t="s">
        <v>1192</v>
      </c>
      <c r="J56" s="204" t="s">
        <v>1192</v>
      </c>
      <c r="K56" s="223"/>
      <c r="L56" s="224"/>
      <c r="M56" s="252"/>
      <c r="N56" s="223"/>
      <c r="O56" s="224"/>
      <c r="P56" s="253"/>
      <c r="Q56" s="250"/>
      <c r="R56" s="227"/>
      <c r="S56" s="228"/>
      <c r="T56" s="227"/>
      <c r="U56" s="228"/>
      <c r="V56" s="227"/>
    </row>
    <row r="57" spans="1:22" outlineLevel="1" x14ac:dyDescent="0.25">
      <c r="A57" s="117"/>
      <c r="B57" s="118" t="s">
        <v>1303</v>
      </c>
      <c r="C57" s="119"/>
      <c r="D57" s="207" t="s">
        <v>1194</v>
      </c>
      <c r="E57" s="180" t="s">
        <v>1194</v>
      </c>
      <c r="F57" s="180" t="s">
        <v>1194</v>
      </c>
      <c r="G57" s="180" t="s">
        <v>1194</v>
      </c>
      <c r="H57" s="180" t="s">
        <v>1194</v>
      </c>
      <c r="I57" s="180" t="s">
        <v>1194</v>
      </c>
      <c r="J57" s="208" t="s">
        <v>1194</v>
      </c>
      <c r="K57" s="254"/>
      <c r="L57" s="255"/>
      <c r="M57" s="255"/>
      <c r="N57" s="254"/>
      <c r="O57" s="255"/>
      <c r="P57" s="256"/>
      <c r="Q57" s="257"/>
      <c r="R57" s="258"/>
      <c r="S57" s="259"/>
      <c r="T57" s="258"/>
      <c r="U57" s="259"/>
      <c r="V57" s="258"/>
    </row>
    <row r="58" spans="1:22" ht="30" customHeight="1" outlineLevel="2" x14ac:dyDescent="0.25">
      <c r="A58" s="109"/>
      <c r="B58" s="110" t="s">
        <v>1304</v>
      </c>
      <c r="C58" s="107" t="s">
        <v>1305</v>
      </c>
      <c r="D58" s="109" t="s">
        <v>1306</v>
      </c>
      <c r="E58" s="15" t="s">
        <v>1306</v>
      </c>
      <c r="J58" s="110"/>
      <c r="K58" s="235"/>
      <c r="M58" s="237"/>
      <c r="N58" s="235"/>
      <c r="P58" s="242"/>
      <c r="R58" s="240"/>
      <c r="S58" s="241"/>
      <c r="T58" s="240"/>
      <c r="U58" s="241"/>
      <c r="V58" s="240"/>
    </row>
    <row r="59" spans="1:22" ht="30" customHeight="1" outlineLevel="3" x14ac:dyDescent="0.25">
      <c r="A59" s="109"/>
      <c r="B59" s="110" t="s">
        <v>1307</v>
      </c>
      <c r="C59" s="107" t="s">
        <v>1308</v>
      </c>
      <c r="D59" s="109" t="s">
        <v>1306</v>
      </c>
      <c r="E59" s="15" t="s">
        <v>1306</v>
      </c>
      <c r="J59" s="110"/>
      <c r="K59" s="235"/>
      <c r="M59" s="237"/>
      <c r="N59" s="235"/>
      <c r="P59" s="242"/>
      <c r="R59" s="240"/>
      <c r="S59" s="241"/>
      <c r="T59" s="240"/>
      <c r="U59" s="241"/>
      <c r="V59" s="240"/>
    </row>
    <row r="60" spans="1:22" ht="30" customHeight="1" outlineLevel="3" x14ac:dyDescent="0.25">
      <c r="A60" s="109"/>
      <c r="B60" s="110" t="s">
        <v>1309</v>
      </c>
      <c r="C60" s="107" t="s">
        <v>1310</v>
      </c>
      <c r="D60" s="109" t="s">
        <v>1306</v>
      </c>
      <c r="E60" s="15" t="s">
        <v>1306</v>
      </c>
      <c r="J60" s="110"/>
      <c r="K60" s="235"/>
      <c r="M60" s="237"/>
      <c r="N60" s="235"/>
      <c r="P60" s="242"/>
      <c r="R60" s="240"/>
      <c r="S60" s="241"/>
      <c r="T60" s="240"/>
      <c r="U60" s="241"/>
      <c r="V60" s="240"/>
    </row>
    <row r="61" spans="1:22" outlineLevel="2" x14ac:dyDescent="0.25">
      <c r="A61" s="109"/>
      <c r="B61" s="210" t="s">
        <v>1311</v>
      </c>
      <c r="C61" s="211" t="s">
        <v>1312</v>
      </c>
      <c r="D61" s="130"/>
      <c r="E61" s="131"/>
      <c r="F61" s="131"/>
      <c r="G61" s="131"/>
      <c r="H61" s="212" t="s">
        <v>1197</v>
      </c>
      <c r="I61" s="212" t="s">
        <v>1197</v>
      </c>
      <c r="J61" s="110"/>
      <c r="K61" s="235"/>
      <c r="M61" s="237"/>
      <c r="N61" s="235"/>
      <c r="P61" s="242"/>
      <c r="R61" s="240"/>
      <c r="S61" s="241"/>
      <c r="T61" s="240"/>
      <c r="U61" s="241"/>
      <c r="V61" s="240"/>
    </row>
    <row r="62" spans="1:22" outlineLevel="3" x14ac:dyDescent="0.25">
      <c r="A62" s="109"/>
      <c r="B62" s="210" t="s">
        <v>1313</v>
      </c>
      <c r="C62" s="211" t="s">
        <v>1314</v>
      </c>
      <c r="D62" s="130"/>
      <c r="E62" s="131"/>
      <c r="F62" s="131"/>
      <c r="G62" s="131"/>
      <c r="H62" s="212" t="s">
        <v>1197</v>
      </c>
      <c r="I62" s="212" t="s">
        <v>1197</v>
      </c>
      <c r="J62" s="110"/>
      <c r="K62" s="235"/>
      <c r="N62" s="235"/>
      <c r="P62" s="242"/>
      <c r="R62" s="240"/>
      <c r="S62" s="241"/>
      <c r="T62" s="240"/>
      <c r="U62" s="241"/>
      <c r="V62" s="240"/>
    </row>
    <row r="63" spans="1:22" outlineLevel="3" collapsed="1" x14ac:dyDescent="0.25">
      <c r="A63" s="109"/>
      <c r="B63" s="210" t="s">
        <v>1309</v>
      </c>
      <c r="C63" s="211" t="s">
        <v>1315</v>
      </c>
      <c r="D63" s="130"/>
      <c r="E63" s="131"/>
      <c r="F63" s="131"/>
      <c r="G63" s="131"/>
      <c r="H63" s="212" t="s">
        <v>1197</v>
      </c>
      <c r="I63" s="212" t="s">
        <v>1197</v>
      </c>
      <c r="J63" s="110"/>
      <c r="K63" s="235"/>
      <c r="N63" s="235"/>
      <c r="P63" s="242"/>
      <c r="R63" s="240"/>
      <c r="S63" s="241"/>
      <c r="T63" s="240"/>
      <c r="U63" s="241"/>
      <c r="V63" s="240"/>
    </row>
    <row r="64" spans="1:22" outlineLevel="1" x14ac:dyDescent="0.25">
      <c r="A64" s="117"/>
      <c r="B64" s="118" t="s">
        <v>1316</v>
      </c>
      <c r="C64" s="119"/>
      <c r="D64" s="207" t="s">
        <v>1194</v>
      </c>
      <c r="E64" s="180" t="s">
        <v>1194</v>
      </c>
      <c r="F64" s="180" t="s">
        <v>1194</v>
      </c>
      <c r="G64" s="180" t="s">
        <v>1194</v>
      </c>
      <c r="H64" s="180" t="s">
        <v>1194</v>
      </c>
      <c r="I64" s="180" t="s">
        <v>1194</v>
      </c>
      <c r="J64" s="208" t="s">
        <v>1194</v>
      </c>
      <c r="K64" s="254"/>
      <c r="L64" s="255"/>
      <c r="M64" s="255"/>
      <c r="N64" s="254"/>
      <c r="O64" s="255"/>
      <c r="P64" s="260"/>
      <c r="Q64" s="257"/>
      <c r="R64" s="258"/>
      <c r="S64" s="259"/>
      <c r="T64" s="258"/>
      <c r="U64" s="259"/>
      <c r="V64" s="258"/>
    </row>
    <row r="65" spans="1:22" ht="30" customHeight="1" outlineLevel="2" x14ac:dyDescent="0.25">
      <c r="A65" s="109"/>
      <c r="B65" s="110" t="s">
        <v>1317</v>
      </c>
      <c r="C65" s="107" t="s">
        <v>1318</v>
      </c>
      <c r="D65" s="109" t="s">
        <v>1306</v>
      </c>
      <c r="E65" s="15" t="s">
        <v>1306</v>
      </c>
      <c r="J65" s="110"/>
      <c r="K65" s="235"/>
      <c r="N65" s="235"/>
      <c r="P65" s="242"/>
      <c r="R65" s="240"/>
      <c r="S65" s="241"/>
      <c r="T65" s="240"/>
      <c r="U65" s="241"/>
      <c r="V65" s="240"/>
    </row>
    <row r="66" spans="1:22" ht="30" customHeight="1" outlineLevel="3" x14ac:dyDescent="0.25">
      <c r="A66" s="109"/>
      <c r="B66" s="110" t="s">
        <v>1319</v>
      </c>
      <c r="C66" s="107" t="s">
        <v>1308</v>
      </c>
      <c r="D66" s="109" t="s">
        <v>1306</v>
      </c>
      <c r="E66" s="15" t="s">
        <v>1306</v>
      </c>
      <c r="J66" s="110"/>
      <c r="K66" s="235"/>
      <c r="M66" s="237"/>
      <c r="N66" s="235"/>
      <c r="P66" s="242"/>
      <c r="R66" s="240"/>
      <c r="S66" s="241"/>
      <c r="T66" s="240"/>
      <c r="U66" s="241"/>
      <c r="V66" s="240"/>
    </row>
    <row r="67" spans="1:22" ht="30" customHeight="1" outlineLevel="3" x14ac:dyDescent="0.25">
      <c r="A67" s="109"/>
      <c r="B67" s="110" t="s">
        <v>1309</v>
      </c>
      <c r="C67" s="107" t="s">
        <v>1320</v>
      </c>
      <c r="D67" s="109" t="s">
        <v>1306</v>
      </c>
      <c r="E67" s="15" t="s">
        <v>1306</v>
      </c>
      <c r="J67" s="110"/>
      <c r="K67" s="235"/>
      <c r="M67" s="237"/>
      <c r="N67" s="235"/>
      <c r="P67" s="242"/>
      <c r="R67" s="240"/>
      <c r="S67" s="241"/>
      <c r="T67" s="240"/>
      <c r="U67" s="241"/>
      <c r="V67" s="240"/>
    </row>
    <row r="68" spans="1:22" outlineLevel="2" x14ac:dyDescent="0.25">
      <c r="A68" s="109"/>
      <c r="B68" s="210" t="s">
        <v>1321</v>
      </c>
      <c r="C68" s="211" t="s">
        <v>1322</v>
      </c>
      <c r="D68" s="130"/>
      <c r="E68" s="131"/>
      <c r="F68" s="131"/>
      <c r="G68" s="131"/>
      <c r="H68" s="212" t="s">
        <v>1197</v>
      </c>
      <c r="I68" s="212" t="s">
        <v>1197</v>
      </c>
      <c r="J68" s="110"/>
      <c r="K68" s="235"/>
      <c r="N68" s="235"/>
      <c r="P68" s="242"/>
      <c r="R68" s="240"/>
      <c r="S68" s="241"/>
      <c r="T68" s="240"/>
      <c r="U68" s="241"/>
      <c r="V68" s="240"/>
    </row>
    <row r="69" spans="1:22" outlineLevel="3" x14ac:dyDescent="0.25">
      <c r="A69" s="109"/>
      <c r="B69" s="123" t="s">
        <v>1323</v>
      </c>
      <c r="C69" s="121" t="s">
        <v>1324</v>
      </c>
      <c r="D69" s="120"/>
      <c r="E69" s="134"/>
      <c r="F69" s="134"/>
      <c r="G69" s="134"/>
      <c r="H69" s="134" t="s">
        <v>1197</v>
      </c>
      <c r="I69" s="134" t="s">
        <v>1197</v>
      </c>
      <c r="J69" s="110"/>
      <c r="K69" s="235"/>
      <c r="N69" s="235"/>
      <c r="P69" s="242"/>
      <c r="R69" s="240"/>
      <c r="S69" s="241"/>
      <c r="T69" s="240"/>
      <c r="U69" s="241"/>
      <c r="V69" s="240"/>
    </row>
    <row r="70" spans="1:22" outlineLevel="3" collapsed="1" x14ac:dyDescent="0.25">
      <c r="A70" s="109"/>
      <c r="B70" s="210" t="s">
        <v>1309</v>
      </c>
      <c r="C70" s="211" t="s">
        <v>1325</v>
      </c>
      <c r="D70" s="130"/>
      <c r="E70" s="131"/>
      <c r="F70" s="131"/>
      <c r="G70" s="131"/>
      <c r="H70" s="212" t="s">
        <v>1197</v>
      </c>
      <c r="I70" s="212" t="s">
        <v>1197</v>
      </c>
      <c r="J70" s="110"/>
      <c r="K70" s="235"/>
      <c r="N70" s="235"/>
      <c r="P70" s="242"/>
      <c r="R70" s="240"/>
      <c r="S70" s="241"/>
      <c r="T70" s="240"/>
      <c r="U70" s="241"/>
      <c r="V70" s="240"/>
    </row>
    <row r="71" spans="1:22" outlineLevel="1" x14ac:dyDescent="0.25">
      <c r="A71" s="117"/>
      <c r="B71" s="118" t="s">
        <v>1326</v>
      </c>
      <c r="C71" s="119"/>
      <c r="D71" s="207" t="s">
        <v>1194</v>
      </c>
      <c r="E71" s="180" t="s">
        <v>1194</v>
      </c>
      <c r="F71" s="180" t="s">
        <v>1194</v>
      </c>
      <c r="G71" s="180" t="s">
        <v>1194</v>
      </c>
      <c r="H71" s="180" t="s">
        <v>1194</v>
      </c>
      <c r="I71" s="180" t="s">
        <v>1194</v>
      </c>
      <c r="J71" s="208" t="s">
        <v>1194</v>
      </c>
      <c r="K71" s="254"/>
      <c r="L71" s="255"/>
      <c r="M71" s="255"/>
      <c r="N71" s="254"/>
      <c r="O71" s="255"/>
      <c r="P71" s="260"/>
      <c r="Q71" s="257"/>
      <c r="R71" s="258"/>
      <c r="S71" s="259"/>
      <c r="T71" s="258"/>
      <c r="U71" s="259"/>
      <c r="V71" s="258"/>
    </row>
    <row r="72" spans="1:22" ht="30" customHeight="1" outlineLevel="2" x14ac:dyDescent="0.25">
      <c r="A72" s="109"/>
      <c r="B72" s="110" t="s">
        <v>1327</v>
      </c>
      <c r="C72" s="107" t="s">
        <v>1328</v>
      </c>
      <c r="D72" s="109" t="s">
        <v>1306</v>
      </c>
      <c r="E72" s="15" t="s">
        <v>1306</v>
      </c>
      <c r="J72" s="110"/>
      <c r="K72" s="235"/>
      <c r="N72" s="235"/>
      <c r="P72" s="242"/>
      <c r="R72" s="240"/>
      <c r="S72" s="241"/>
      <c r="T72" s="240"/>
      <c r="U72" s="241"/>
      <c r="V72" s="240"/>
    </row>
    <row r="73" spans="1:22" ht="30" customHeight="1" outlineLevel="3" x14ac:dyDescent="0.25">
      <c r="A73" s="109"/>
      <c r="B73" s="110" t="s">
        <v>1329</v>
      </c>
      <c r="C73" s="107" t="s">
        <v>1308</v>
      </c>
      <c r="D73" s="109" t="s">
        <v>1306</v>
      </c>
      <c r="E73" s="15" t="s">
        <v>1306</v>
      </c>
      <c r="J73" s="110"/>
      <c r="K73" s="235"/>
      <c r="M73" s="237"/>
      <c r="N73" s="235"/>
      <c r="P73" s="242"/>
      <c r="R73" s="240"/>
      <c r="S73" s="241"/>
      <c r="T73" s="240"/>
      <c r="U73" s="241"/>
      <c r="V73" s="240"/>
    </row>
    <row r="74" spans="1:22" ht="30" customHeight="1" outlineLevel="3" x14ac:dyDescent="0.25">
      <c r="A74" s="109"/>
      <c r="B74" s="110" t="s">
        <v>1309</v>
      </c>
      <c r="C74" s="107" t="s">
        <v>1310</v>
      </c>
      <c r="D74" s="109" t="s">
        <v>1306</v>
      </c>
      <c r="E74" s="15" t="s">
        <v>1306</v>
      </c>
      <c r="J74" s="110"/>
      <c r="K74" s="235"/>
      <c r="M74" s="237"/>
      <c r="N74" s="235"/>
      <c r="P74" s="242"/>
      <c r="R74" s="240"/>
      <c r="S74" s="241"/>
      <c r="T74" s="240"/>
      <c r="U74" s="241"/>
      <c r="V74" s="240"/>
    </row>
    <row r="75" spans="1:22" outlineLevel="2" x14ac:dyDescent="0.25">
      <c r="A75" s="109"/>
      <c r="B75" s="210" t="s">
        <v>1330</v>
      </c>
      <c r="C75" s="211" t="s">
        <v>1331</v>
      </c>
      <c r="D75" s="130"/>
      <c r="E75" s="131"/>
      <c r="F75" s="131"/>
      <c r="G75" s="131"/>
      <c r="H75" s="212" t="s">
        <v>1197</v>
      </c>
      <c r="I75" s="212" t="s">
        <v>1197</v>
      </c>
      <c r="J75" s="110"/>
      <c r="K75" s="235"/>
      <c r="N75" s="235"/>
      <c r="P75" s="242"/>
      <c r="R75" s="240"/>
      <c r="S75" s="241"/>
      <c r="T75" s="240"/>
      <c r="U75" s="241"/>
      <c r="V75" s="240"/>
    </row>
    <row r="76" spans="1:22" outlineLevel="3" x14ac:dyDescent="0.25">
      <c r="A76" s="109"/>
      <c r="B76" s="210" t="s">
        <v>1313</v>
      </c>
      <c r="C76" s="211" t="s">
        <v>1332</v>
      </c>
      <c r="D76" s="130"/>
      <c r="E76" s="131"/>
      <c r="F76" s="131"/>
      <c r="G76" s="131"/>
      <c r="H76" s="212" t="s">
        <v>1197</v>
      </c>
      <c r="I76" s="212" t="s">
        <v>1197</v>
      </c>
      <c r="J76" s="110"/>
      <c r="K76" s="235"/>
      <c r="N76" s="235"/>
      <c r="P76" s="242"/>
      <c r="R76" s="240"/>
      <c r="S76" s="241"/>
      <c r="T76" s="240"/>
      <c r="U76" s="241"/>
      <c r="V76" s="240"/>
    </row>
    <row r="77" spans="1:22" outlineLevel="3" collapsed="1" x14ac:dyDescent="0.25">
      <c r="A77" s="109"/>
      <c r="B77" s="210" t="s">
        <v>1309</v>
      </c>
      <c r="C77" s="211" t="s">
        <v>1315</v>
      </c>
      <c r="D77" s="130"/>
      <c r="E77" s="131"/>
      <c r="F77" s="131"/>
      <c r="G77" s="131"/>
      <c r="H77" s="212" t="s">
        <v>1197</v>
      </c>
      <c r="I77" s="212" t="s">
        <v>1197</v>
      </c>
      <c r="J77" s="110"/>
      <c r="K77" s="235"/>
      <c r="N77" s="235"/>
      <c r="P77" s="242"/>
      <c r="R77" s="240"/>
      <c r="S77" s="241"/>
      <c r="T77" s="240"/>
      <c r="U77" s="241"/>
      <c r="V77" s="240"/>
    </row>
    <row r="78" spans="1:22" outlineLevel="1" x14ac:dyDescent="0.25">
      <c r="A78" s="117"/>
      <c r="B78" s="118" t="s">
        <v>1333</v>
      </c>
      <c r="C78" s="119"/>
      <c r="D78" s="207" t="s">
        <v>1194</v>
      </c>
      <c r="E78" s="180" t="s">
        <v>1194</v>
      </c>
      <c r="F78" s="180" t="s">
        <v>1194</v>
      </c>
      <c r="G78" s="180" t="s">
        <v>1194</v>
      </c>
      <c r="H78" s="180" t="s">
        <v>1194</v>
      </c>
      <c r="I78" s="180" t="s">
        <v>1194</v>
      </c>
      <c r="J78" s="208" t="s">
        <v>1194</v>
      </c>
      <c r="K78" s="254"/>
      <c r="L78" s="255"/>
      <c r="M78" s="255"/>
      <c r="N78" s="254"/>
      <c r="O78" s="255"/>
      <c r="P78" s="260"/>
      <c r="Q78" s="257"/>
      <c r="R78" s="258"/>
      <c r="S78" s="259"/>
      <c r="T78" s="258"/>
      <c r="U78" s="259"/>
      <c r="V78" s="258"/>
    </row>
    <row r="79" spans="1:22" ht="30" customHeight="1" outlineLevel="2" x14ac:dyDescent="0.25">
      <c r="A79" s="109"/>
      <c r="B79" s="110" t="s">
        <v>1334</v>
      </c>
      <c r="C79" s="107" t="s">
        <v>1335</v>
      </c>
      <c r="D79" s="109" t="s">
        <v>1306</v>
      </c>
      <c r="E79" s="15" t="s">
        <v>1306</v>
      </c>
      <c r="H79" s="15" t="s">
        <v>1197</v>
      </c>
      <c r="I79" s="15" t="s">
        <v>1197</v>
      </c>
      <c r="J79" s="110"/>
      <c r="K79" s="235"/>
      <c r="N79" s="235"/>
      <c r="P79" s="242"/>
      <c r="R79" s="240"/>
      <c r="S79" s="241"/>
      <c r="T79" s="240"/>
      <c r="U79" s="241"/>
      <c r="V79" s="240"/>
    </row>
    <row r="80" spans="1:22" outlineLevel="1" x14ac:dyDescent="0.25">
      <c r="A80" s="117"/>
      <c r="B80" s="118" t="s">
        <v>1336</v>
      </c>
      <c r="C80" s="119"/>
      <c r="D80" s="207" t="s">
        <v>1194</v>
      </c>
      <c r="E80" s="180" t="s">
        <v>1194</v>
      </c>
      <c r="F80" s="180" t="s">
        <v>1194</v>
      </c>
      <c r="G80" s="180" t="s">
        <v>1194</v>
      </c>
      <c r="H80" s="180" t="s">
        <v>1194</v>
      </c>
      <c r="I80" s="180" t="s">
        <v>1194</v>
      </c>
      <c r="J80" s="208" t="s">
        <v>1194</v>
      </c>
      <c r="K80" s="254"/>
      <c r="L80" s="255"/>
      <c r="M80" s="255"/>
      <c r="N80" s="254"/>
      <c r="O80" s="255"/>
      <c r="P80" s="260"/>
      <c r="Q80" s="257"/>
      <c r="R80" s="258"/>
      <c r="S80" s="259"/>
      <c r="T80" s="258"/>
      <c r="U80" s="259"/>
      <c r="V80" s="258"/>
    </row>
    <row r="81" spans="1:22" ht="30" customHeight="1" outlineLevel="2" x14ac:dyDescent="0.25">
      <c r="A81" s="109"/>
      <c r="B81" s="110" t="s">
        <v>1337</v>
      </c>
      <c r="C81" s="107" t="s">
        <v>1338</v>
      </c>
      <c r="D81" s="109" t="s">
        <v>1306</v>
      </c>
      <c r="E81" s="15" t="s">
        <v>1306</v>
      </c>
      <c r="J81" s="110"/>
      <c r="K81" s="235"/>
      <c r="N81" s="235"/>
      <c r="P81" s="242"/>
      <c r="R81" s="240"/>
      <c r="S81" s="241"/>
      <c r="T81" s="240"/>
      <c r="U81" s="241"/>
      <c r="V81" s="240"/>
    </row>
    <row r="82" spans="1:22" ht="30" customHeight="1" outlineLevel="3" x14ac:dyDescent="0.25">
      <c r="A82" s="109"/>
      <c r="B82" s="110" t="s">
        <v>1319</v>
      </c>
      <c r="C82" s="107" t="s">
        <v>1308</v>
      </c>
      <c r="D82" s="109" t="s">
        <v>1306</v>
      </c>
      <c r="E82" s="15" t="s">
        <v>1306</v>
      </c>
      <c r="J82" s="110"/>
      <c r="K82" s="235"/>
      <c r="N82" s="235"/>
      <c r="P82" s="242"/>
      <c r="R82" s="240"/>
      <c r="S82" s="241"/>
      <c r="T82" s="240"/>
      <c r="U82" s="241"/>
      <c r="V82" s="240"/>
    </row>
    <row r="83" spans="1:22" ht="30" customHeight="1" outlineLevel="3" x14ac:dyDescent="0.25">
      <c r="A83" s="109"/>
      <c r="B83" s="110" t="s">
        <v>1309</v>
      </c>
      <c r="C83" s="121" t="s">
        <v>1310</v>
      </c>
      <c r="D83" s="109" t="s">
        <v>1306</v>
      </c>
      <c r="E83" s="15" t="s">
        <v>1306</v>
      </c>
      <c r="J83" s="110"/>
      <c r="K83" s="235"/>
      <c r="N83" s="235"/>
      <c r="P83" s="242"/>
      <c r="R83" s="240"/>
      <c r="S83" s="241"/>
      <c r="T83" s="240"/>
      <c r="U83" s="241"/>
      <c r="V83" s="240"/>
    </row>
    <row r="84" spans="1:22" outlineLevel="2" x14ac:dyDescent="0.25">
      <c r="A84" s="109"/>
      <c r="B84" s="210" t="s">
        <v>1337</v>
      </c>
      <c r="C84" s="211" t="s">
        <v>1339</v>
      </c>
      <c r="D84" s="130"/>
      <c r="E84" s="131"/>
      <c r="F84" s="131"/>
      <c r="G84" s="131"/>
      <c r="H84" s="212" t="s">
        <v>1197</v>
      </c>
      <c r="I84" s="212" t="s">
        <v>1197</v>
      </c>
      <c r="J84" s="110"/>
      <c r="K84" s="235"/>
      <c r="N84" s="235"/>
      <c r="P84" s="242"/>
      <c r="R84" s="240"/>
      <c r="S84" s="241"/>
      <c r="T84" s="240"/>
      <c r="U84" s="241"/>
      <c r="V84" s="240"/>
    </row>
    <row r="85" spans="1:22" outlineLevel="3" x14ac:dyDescent="0.25">
      <c r="A85" s="109"/>
      <c r="B85" s="123" t="s">
        <v>1319</v>
      </c>
      <c r="C85" s="121" t="s">
        <v>1340</v>
      </c>
      <c r="D85" s="120"/>
      <c r="E85" s="134"/>
      <c r="F85" s="134"/>
      <c r="G85" s="134"/>
      <c r="H85" s="134" t="s">
        <v>1197</v>
      </c>
      <c r="I85" s="134" t="s">
        <v>1197</v>
      </c>
      <c r="J85" s="110"/>
      <c r="K85" s="235"/>
      <c r="N85" s="235"/>
      <c r="P85" s="242"/>
      <c r="R85" s="240"/>
      <c r="S85" s="241"/>
      <c r="T85" s="240"/>
      <c r="U85" s="241"/>
      <c r="V85" s="240"/>
    </row>
    <row r="86" spans="1:22" outlineLevel="3" collapsed="1" x14ac:dyDescent="0.25">
      <c r="A86" s="109"/>
      <c r="B86" s="123" t="s">
        <v>1309</v>
      </c>
      <c r="C86" s="121" t="s">
        <v>1340</v>
      </c>
      <c r="D86" s="120"/>
      <c r="E86" s="134"/>
      <c r="F86" s="134"/>
      <c r="G86" s="134"/>
      <c r="H86" s="134" t="s">
        <v>1197</v>
      </c>
      <c r="I86" s="134" t="s">
        <v>1197</v>
      </c>
      <c r="J86" s="110"/>
      <c r="K86" s="235"/>
      <c r="N86" s="235"/>
      <c r="P86" s="242"/>
      <c r="R86" s="240"/>
      <c r="S86" s="241"/>
      <c r="T86" s="240"/>
      <c r="U86" s="241"/>
      <c r="V86" s="240"/>
    </row>
    <row r="87" spans="1:22" x14ac:dyDescent="0.25">
      <c r="A87" s="109"/>
      <c r="B87" s="110"/>
      <c r="C87" s="107"/>
      <c r="D87" s="109"/>
      <c r="J87" s="110"/>
      <c r="K87" s="235"/>
      <c r="N87" s="235"/>
      <c r="P87" s="242"/>
      <c r="R87" s="240"/>
      <c r="S87" s="241"/>
      <c r="T87" s="240"/>
      <c r="U87" s="241"/>
      <c r="V87" s="240"/>
    </row>
    <row r="88" spans="1:22" x14ac:dyDescent="0.25">
      <c r="A88" s="109"/>
      <c r="B88" s="110"/>
      <c r="C88" s="107"/>
      <c r="D88" s="109"/>
      <c r="J88" s="110"/>
      <c r="K88" s="235"/>
      <c r="N88" s="235"/>
      <c r="P88" s="242"/>
      <c r="R88" s="240"/>
      <c r="S88" s="241"/>
      <c r="T88" s="240"/>
      <c r="U88" s="241"/>
      <c r="V88" s="240"/>
    </row>
    <row r="89" spans="1:22" x14ac:dyDescent="0.25">
      <c r="A89" s="109"/>
      <c r="B89" s="110"/>
      <c r="C89" s="107"/>
      <c r="D89" s="109"/>
      <c r="J89" s="110"/>
      <c r="K89" s="235"/>
      <c r="N89" s="235"/>
      <c r="P89" s="242"/>
      <c r="R89" s="240"/>
      <c r="S89" s="241"/>
      <c r="T89" s="240"/>
      <c r="U89" s="241"/>
      <c r="V89" s="240"/>
    </row>
    <row r="90" spans="1:22" x14ac:dyDescent="0.25">
      <c r="A90" s="109"/>
      <c r="B90" s="110"/>
      <c r="C90" s="107"/>
      <c r="D90" s="109"/>
      <c r="J90" s="110"/>
      <c r="K90" s="235"/>
      <c r="N90" s="235"/>
      <c r="P90" s="242"/>
      <c r="R90" s="240"/>
      <c r="S90" s="241"/>
      <c r="T90" s="240"/>
      <c r="U90" s="241"/>
      <c r="V90" s="240"/>
    </row>
    <row r="91" spans="1:22" x14ac:dyDescent="0.25">
      <c r="A91" s="109"/>
      <c r="B91" s="110" t="s">
        <v>1341</v>
      </c>
      <c r="C91" s="107" t="s">
        <v>1342</v>
      </c>
      <c r="D91" s="109"/>
      <c r="J91" s="110"/>
      <c r="K91" s="235"/>
      <c r="N91" s="235"/>
      <c r="P91" s="242"/>
      <c r="R91" s="240"/>
      <c r="S91" s="241"/>
      <c r="T91" s="240"/>
      <c r="U91" s="241"/>
      <c r="V91" s="240"/>
    </row>
    <row r="92" spans="1:22" x14ac:dyDescent="0.25">
      <c r="A92" s="109"/>
      <c r="B92" s="110" t="s">
        <v>1343</v>
      </c>
      <c r="C92" s="107" t="s">
        <v>1344</v>
      </c>
      <c r="D92" s="109"/>
      <c r="J92" s="110"/>
      <c r="K92" s="235"/>
      <c r="N92" s="235"/>
      <c r="P92" s="242"/>
      <c r="R92" s="240"/>
      <c r="S92" s="241"/>
      <c r="T92" s="240"/>
      <c r="U92" s="241"/>
      <c r="V92" s="240"/>
    </row>
    <row r="93" spans="1:22" ht="30" customHeight="1" x14ac:dyDescent="0.25">
      <c r="A93" s="109"/>
      <c r="B93" s="110" t="s">
        <v>1345</v>
      </c>
      <c r="C93" s="107" t="s">
        <v>1346</v>
      </c>
      <c r="D93" s="109"/>
      <c r="J93" s="110"/>
      <c r="K93" s="235"/>
      <c r="N93" s="235"/>
      <c r="P93" s="242"/>
      <c r="R93" s="240"/>
      <c r="S93" s="241"/>
      <c r="T93" s="240"/>
      <c r="U93" s="241"/>
      <c r="V93" s="240"/>
    </row>
    <row r="94" spans="1:22" x14ac:dyDescent="0.25">
      <c r="A94" s="109"/>
      <c r="B94" s="110" t="s">
        <v>1347</v>
      </c>
      <c r="C94" s="107" t="s">
        <v>1348</v>
      </c>
      <c r="D94" s="109"/>
      <c r="J94" s="110"/>
      <c r="K94" s="235"/>
      <c r="N94" s="235"/>
      <c r="P94" s="242"/>
      <c r="R94" s="240"/>
      <c r="S94" s="241"/>
      <c r="T94" s="240"/>
      <c r="U94" s="241"/>
      <c r="V94" s="240"/>
    </row>
    <row r="95" spans="1:22" x14ac:dyDescent="0.25">
      <c r="A95" s="109"/>
      <c r="B95" s="110" t="s">
        <v>1349</v>
      </c>
      <c r="C95" s="107" t="s">
        <v>1350</v>
      </c>
      <c r="D95" s="109"/>
      <c r="J95" s="110"/>
      <c r="K95" s="235"/>
      <c r="N95" s="235"/>
      <c r="P95" s="242"/>
      <c r="R95" s="240"/>
      <c r="S95" s="241"/>
      <c r="T95" s="240"/>
      <c r="U95" s="241"/>
      <c r="V95" s="240"/>
    </row>
    <row r="96" spans="1:22" x14ac:dyDescent="0.25">
      <c r="A96" s="109"/>
      <c r="B96" s="110" t="s">
        <v>1343</v>
      </c>
      <c r="C96" s="107" t="s">
        <v>1344</v>
      </c>
      <c r="D96" s="109"/>
      <c r="J96" s="110"/>
      <c r="K96" s="235"/>
      <c r="N96" s="235"/>
      <c r="P96" s="242"/>
      <c r="R96" s="240"/>
      <c r="S96" s="241"/>
      <c r="T96" s="240"/>
      <c r="U96" s="241"/>
      <c r="V96" s="240"/>
    </row>
    <row r="97" spans="1:22" ht="30" customHeight="1" x14ac:dyDescent="0.25">
      <c r="A97" s="109"/>
      <c r="B97" s="110" t="s">
        <v>1345</v>
      </c>
      <c r="C97" s="107" t="s">
        <v>1351</v>
      </c>
      <c r="D97" s="109"/>
      <c r="J97" s="110"/>
      <c r="K97" s="235"/>
      <c r="N97" s="235"/>
      <c r="P97" s="242"/>
      <c r="R97" s="240"/>
      <c r="S97" s="241"/>
      <c r="T97" s="240"/>
      <c r="U97" s="241"/>
      <c r="V97" s="240"/>
    </row>
    <row r="98" spans="1:22" x14ac:dyDescent="0.25">
      <c r="A98" s="109"/>
      <c r="B98" s="110" t="s">
        <v>1347</v>
      </c>
      <c r="C98" s="107" t="s">
        <v>1348</v>
      </c>
      <c r="D98" s="109"/>
      <c r="J98" s="110"/>
      <c r="K98" s="235"/>
      <c r="N98" s="235"/>
      <c r="P98" s="242"/>
      <c r="R98" s="240"/>
      <c r="S98" s="241"/>
      <c r="T98" s="240"/>
      <c r="U98" s="241"/>
      <c r="V98" s="240"/>
    </row>
    <row r="99" spans="1:22" x14ac:dyDescent="0.25">
      <c r="A99" s="109"/>
      <c r="B99" s="110"/>
      <c r="C99" s="107"/>
      <c r="D99" s="109"/>
      <c r="J99" s="110"/>
      <c r="K99" s="235"/>
      <c r="N99" s="235"/>
      <c r="P99" s="242"/>
      <c r="Q99" s="261"/>
      <c r="R99" s="240"/>
      <c r="S99" s="241"/>
      <c r="T99" s="240"/>
      <c r="U99" s="241"/>
      <c r="V99" s="240"/>
    </row>
    <row r="100" spans="1:22" x14ac:dyDescent="0.25">
      <c r="A100" s="111"/>
      <c r="B100" s="112"/>
      <c r="C100" s="108"/>
      <c r="D100" s="111"/>
      <c r="E100" s="113"/>
      <c r="F100" s="113"/>
      <c r="G100" s="113"/>
      <c r="H100" s="113"/>
      <c r="I100" s="113"/>
      <c r="J100" s="112"/>
      <c r="K100" s="262"/>
      <c r="L100" s="263"/>
      <c r="M100" s="263"/>
      <c r="N100" s="262"/>
      <c r="O100" s="263"/>
      <c r="P100" s="264"/>
      <c r="Q100" s="265"/>
      <c r="R100" s="266"/>
      <c r="S100" s="267"/>
      <c r="T100" s="266"/>
      <c r="U100" s="267"/>
      <c r="V100" s="266"/>
    </row>
  </sheetData>
  <autoFilter ref="A2:R86" xr:uid="{00000000-0009-0000-0000-000009000000}"/>
  <mergeCells count="9">
    <mergeCell ref="A1:A2"/>
    <mergeCell ref="K1:M1"/>
    <mergeCell ref="Q1:R1"/>
    <mergeCell ref="S1:T1"/>
    <mergeCell ref="U1:V1"/>
    <mergeCell ref="C1:C2"/>
    <mergeCell ref="B1:B2"/>
    <mergeCell ref="N1:P1"/>
    <mergeCell ref="D1:J1"/>
  </mergeCells>
  <pageMargins left="0.7" right="0.7" top="0.75" bottom="0.75" header="0.3" footer="0.3"/>
  <pageSetup paperSize="9" orientation="portrait"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oglio9"/>
  <dimension ref="A1:Z50"/>
  <sheetViews>
    <sheetView zoomScale="85" zoomScaleNormal="85" workbookViewId="0">
      <pane xSplit="2" ySplit="1" topLeftCell="C2" activePane="bottomRight" state="frozen"/>
      <selection pane="topRight" activeCell="C1" sqref="C1"/>
      <selection pane="bottomLeft" activeCell="A2" sqref="A2"/>
      <selection pane="bottomRight" activeCell="I6" sqref="I6"/>
    </sheetView>
  </sheetViews>
  <sheetFormatPr defaultRowHeight="15" x14ac:dyDescent="0.25"/>
  <cols>
    <col min="1" max="1" width="17.85546875" customWidth="1"/>
    <col min="2" max="2" width="14.42578125" customWidth="1"/>
    <col min="3" max="3" width="18.42578125" customWidth="1"/>
    <col min="4" max="4" width="15.85546875" customWidth="1"/>
    <col min="5" max="6" width="19.42578125" customWidth="1"/>
    <col min="7" max="7" width="14.42578125" customWidth="1"/>
    <col min="8" max="8" width="16.42578125" customWidth="1"/>
    <col min="9" max="9" width="23.85546875" customWidth="1"/>
    <col min="10" max="10" width="21.85546875" customWidth="1"/>
    <col min="11" max="11" width="11.42578125" customWidth="1"/>
    <col min="12" max="12" width="15.5703125" customWidth="1"/>
    <col min="13" max="13" width="19.85546875" customWidth="1"/>
    <col min="14" max="14" width="21.5703125" customWidth="1"/>
    <col min="15" max="15" width="12.140625" customWidth="1"/>
    <col min="16" max="16" width="15.5703125" customWidth="1"/>
    <col min="17" max="17" width="24.5703125" customWidth="1"/>
    <col min="18" max="18" width="26.85546875" customWidth="1"/>
    <col min="20" max="20" width="15.140625" customWidth="1"/>
    <col min="21" max="21" width="25.140625" customWidth="1"/>
    <col min="22" max="22" width="20.140625" customWidth="1"/>
    <col min="23" max="23" width="10" bestFit="1" customWidth="1"/>
    <col min="24" max="24" width="15.42578125" customWidth="1"/>
    <col min="25" max="25" width="20.42578125" customWidth="1"/>
    <col min="26" max="26" width="25.85546875" customWidth="1"/>
  </cols>
  <sheetData>
    <row r="1" spans="1:26" ht="15.75" customHeight="1" thickBot="1" x14ac:dyDescent="0.3">
      <c r="C1" s="549" t="s">
        <v>1352</v>
      </c>
      <c r="D1" s="520"/>
      <c r="E1" s="520"/>
      <c r="F1" s="550"/>
      <c r="G1" s="549" t="s">
        <v>1353</v>
      </c>
      <c r="H1" s="520"/>
      <c r="I1" s="520"/>
      <c r="J1" s="550"/>
      <c r="K1" s="549" t="s">
        <v>1354</v>
      </c>
      <c r="L1" s="520"/>
      <c r="M1" s="520"/>
      <c r="N1" s="550"/>
      <c r="O1" s="549" t="s">
        <v>1355</v>
      </c>
      <c r="P1" s="520"/>
      <c r="Q1" s="520"/>
      <c r="R1" s="550"/>
      <c r="S1" s="549" t="s">
        <v>1356</v>
      </c>
      <c r="T1" s="520"/>
      <c r="U1" s="520"/>
      <c r="V1" s="550"/>
      <c r="W1" s="549" t="s">
        <v>1357</v>
      </c>
      <c r="X1" s="520"/>
      <c r="Y1" s="520"/>
      <c r="Z1" s="550"/>
    </row>
    <row r="2" spans="1:26" ht="15.75" customHeight="1" thickBot="1" x14ac:dyDescent="0.3">
      <c r="A2" s="561" t="s">
        <v>1358</v>
      </c>
      <c r="B2" s="521"/>
      <c r="C2" s="17" t="s">
        <v>1182</v>
      </c>
      <c r="D2" s="18" t="s">
        <v>1359</v>
      </c>
      <c r="E2" s="18" t="s">
        <v>1182</v>
      </c>
      <c r="F2" s="19" t="s">
        <v>51</v>
      </c>
      <c r="G2" s="20" t="s">
        <v>1182</v>
      </c>
      <c r="H2" s="18" t="s">
        <v>1359</v>
      </c>
      <c r="I2" s="18" t="s">
        <v>1182</v>
      </c>
      <c r="J2" s="19" t="s">
        <v>51</v>
      </c>
      <c r="K2" s="20" t="s">
        <v>1182</v>
      </c>
      <c r="L2" s="18" t="s">
        <v>1359</v>
      </c>
      <c r="M2" s="18" t="s">
        <v>1182</v>
      </c>
      <c r="N2" s="19" t="s">
        <v>51</v>
      </c>
      <c r="O2" s="20" t="s">
        <v>1182</v>
      </c>
      <c r="P2" s="18" t="s">
        <v>1359</v>
      </c>
      <c r="Q2" s="18" t="s">
        <v>1182</v>
      </c>
      <c r="R2" s="19" t="s">
        <v>51</v>
      </c>
      <c r="S2" s="20" t="s">
        <v>1182</v>
      </c>
      <c r="T2" s="18" t="s">
        <v>1359</v>
      </c>
      <c r="U2" s="18" t="s">
        <v>1182</v>
      </c>
      <c r="V2" s="19" t="s">
        <v>51</v>
      </c>
      <c r="W2" s="20" t="s">
        <v>1182</v>
      </c>
      <c r="X2" s="18" t="s">
        <v>1359</v>
      </c>
      <c r="Y2" s="18" t="s">
        <v>1182</v>
      </c>
      <c r="Z2" s="19" t="s">
        <v>51</v>
      </c>
    </row>
    <row r="3" spans="1:26" ht="286.5" customHeight="1" x14ac:dyDescent="0.25">
      <c r="A3" s="544" t="s">
        <v>1360</v>
      </c>
      <c r="B3" s="543" t="s">
        <v>1361</v>
      </c>
      <c r="C3" s="522" t="s">
        <v>1362</v>
      </c>
      <c r="D3" s="22" t="s">
        <v>1363</v>
      </c>
      <c r="E3" s="15" t="s">
        <v>1364</v>
      </c>
      <c r="F3" s="23" t="s">
        <v>1365</v>
      </c>
      <c r="G3" s="522" t="s">
        <v>1362</v>
      </c>
      <c r="H3" s="22" t="s">
        <v>1363</v>
      </c>
      <c r="I3" s="15" t="s">
        <v>1364</v>
      </c>
      <c r="J3" s="23" t="s">
        <v>1365</v>
      </c>
      <c r="K3" s="559" t="s">
        <v>1366</v>
      </c>
      <c r="L3" s="24" t="s">
        <v>1363</v>
      </c>
      <c r="M3" s="25" t="s">
        <v>1364</v>
      </c>
      <c r="N3" s="26" t="s">
        <v>1367</v>
      </c>
      <c r="O3" s="522" t="s">
        <v>1368</v>
      </c>
      <c r="P3" s="22" t="s">
        <v>1363</v>
      </c>
      <c r="Q3" s="27"/>
      <c r="R3" s="28" t="s">
        <v>1369</v>
      </c>
      <c r="S3" s="530"/>
      <c r="T3" s="29" t="s">
        <v>1363</v>
      </c>
      <c r="U3" s="30"/>
      <c r="V3" s="31" t="s">
        <v>1370</v>
      </c>
      <c r="W3" s="522" t="s">
        <v>1371</v>
      </c>
      <c r="X3" s="22" t="s">
        <v>1363</v>
      </c>
      <c r="Y3" s="27"/>
      <c r="Z3" s="23" t="s">
        <v>1372</v>
      </c>
    </row>
    <row r="4" spans="1:26" x14ac:dyDescent="0.25">
      <c r="A4" s="526"/>
      <c r="B4" s="536"/>
      <c r="C4" s="523"/>
      <c r="D4" s="33" t="s">
        <v>1373</v>
      </c>
      <c r="E4" s="34">
        <v>13900244911</v>
      </c>
      <c r="F4" s="35"/>
      <c r="G4" s="523"/>
      <c r="H4" s="33" t="s">
        <v>1373</v>
      </c>
      <c r="I4" s="34">
        <v>13900244911</v>
      </c>
      <c r="J4" s="35"/>
      <c r="K4" s="523"/>
      <c r="L4" s="36" t="s">
        <v>1373</v>
      </c>
      <c r="M4" s="37">
        <v>13900244911</v>
      </c>
      <c r="N4" s="38"/>
      <c r="O4" s="523"/>
      <c r="P4" s="33" t="s">
        <v>1373</v>
      </c>
      <c r="Q4" s="39">
        <v>13900244911</v>
      </c>
      <c r="R4" s="35"/>
      <c r="S4" s="523"/>
      <c r="T4" s="40" t="s">
        <v>1373</v>
      </c>
      <c r="U4" s="41">
        <v>13900244911</v>
      </c>
      <c r="V4" s="42"/>
      <c r="W4" s="523"/>
      <c r="X4" s="33" t="s">
        <v>1373</v>
      </c>
      <c r="Y4" s="1"/>
      <c r="Z4" s="35"/>
    </row>
    <row r="5" spans="1:26" x14ac:dyDescent="0.25">
      <c r="A5" s="526"/>
      <c r="B5" s="536"/>
      <c r="C5" s="523"/>
      <c r="D5" s="33" t="s">
        <v>1374</v>
      </c>
      <c r="E5" s="1" t="s">
        <v>1375</v>
      </c>
      <c r="F5" s="35"/>
      <c r="G5" s="523"/>
      <c r="H5" s="33" t="s">
        <v>1374</v>
      </c>
      <c r="I5" s="1" t="s">
        <v>1375</v>
      </c>
      <c r="J5" s="35"/>
      <c r="K5" s="523"/>
      <c r="L5" s="36" t="s">
        <v>1374</v>
      </c>
      <c r="M5" s="43" t="s">
        <v>1375</v>
      </c>
      <c r="N5" s="38"/>
      <c r="O5" s="523"/>
      <c r="P5" s="33" t="s">
        <v>1374</v>
      </c>
      <c r="Q5" s="44" t="s">
        <v>1375</v>
      </c>
      <c r="R5" s="35"/>
      <c r="S5" s="523"/>
      <c r="T5" s="40" t="s">
        <v>1374</v>
      </c>
      <c r="U5" s="45" t="s">
        <v>1375</v>
      </c>
      <c r="V5" s="42"/>
      <c r="W5" s="523"/>
      <c r="X5" s="33" t="s">
        <v>1374</v>
      </c>
      <c r="Y5" s="1"/>
      <c r="Z5" s="35"/>
    </row>
    <row r="6" spans="1:26" ht="87" customHeight="1" x14ac:dyDescent="0.25">
      <c r="A6" s="526"/>
      <c r="B6" s="536"/>
      <c r="C6" s="523"/>
      <c r="D6" s="33" t="s">
        <v>1376</v>
      </c>
      <c r="E6" s="46" t="s">
        <v>1377</v>
      </c>
      <c r="F6" s="35"/>
      <c r="G6" s="523"/>
      <c r="H6" s="33" t="s">
        <v>1376</v>
      </c>
      <c r="I6" s="46" t="s">
        <v>1377</v>
      </c>
      <c r="J6" s="35"/>
      <c r="K6" s="523"/>
      <c r="L6" s="36" t="s">
        <v>1376</v>
      </c>
      <c r="M6" s="47" t="s">
        <v>1377</v>
      </c>
      <c r="N6" s="38"/>
      <c r="O6" s="523"/>
      <c r="P6" s="33" t="s">
        <v>1376</v>
      </c>
      <c r="Q6" s="48" t="s">
        <v>1377</v>
      </c>
      <c r="R6" s="35"/>
      <c r="S6" s="523"/>
      <c r="T6" s="40" t="s">
        <v>1376</v>
      </c>
      <c r="U6" s="49" t="s">
        <v>1377</v>
      </c>
      <c r="V6" s="42"/>
      <c r="W6" s="523"/>
      <c r="X6" s="33" t="s">
        <v>1376</v>
      </c>
      <c r="Y6" s="46" t="s">
        <v>1377</v>
      </c>
      <c r="Z6" s="35"/>
    </row>
    <row r="7" spans="1:26" x14ac:dyDescent="0.25">
      <c r="A7" s="526"/>
      <c r="B7" s="536"/>
      <c r="C7" s="523"/>
      <c r="D7" s="33" t="s">
        <v>1378</v>
      </c>
      <c r="E7" s="1" t="s">
        <v>1379</v>
      </c>
      <c r="F7" s="35"/>
      <c r="G7" s="523"/>
      <c r="H7" s="33" t="s">
        <v>1378</v>
      </c>
      <c r="I7" s="1" t="s">
        <v>1379</v>
      </c>
      <c r="J7" s="35"/>
      <c r="K7" s="523"/>
      <c r="L7" s="36" t="s">
        <v>1378</v>
      </c>
      <c r="M7" s="43" t="s">
        <v>1379</v>
      </c>
      <c r="N7" s="38"/>
      <c r="O7" s="523"/>
      <c r="P7" s="33" t="s">
        <v>1378</v>
      </c>
      <c r="Q7" s="44" t="s">
        <v>1379</v>
      </c>
      <c r="R7" s="35"/>
      <c r="S7" s="523"/>
      <c r="T7" s="40" t="s">
        <v>1378</v>
      </c>
      <c r="U7" s="45" t="s">
        <v>1379</v>
      </c>
      <c r="V7" s="42"/>
      <c r="W7" s="523"/>
      <c r="X7" s="33" t="s">
        <v>1378</v>
      </c>
      <c r="Y7" s="1"/>
      <c r="Z7" s="35"/>
    </row>
    <row r="8" spans="1:26" x14ac:dyDescent="0.25">
      <c r="A8" s="526"/>
      <c r="B8" s="494"/>
      <c r="C8" s="524"/>
      <c r="D8" s="33" t="s">
        <v>1380</v>
      </c>
      <c r="E8" s="1"/>
      <c r="F8" s="35" t="s">
        <v>1381</v>
      </c>
      <c r="G8" s="524"/>
      <c r="H8" s="33" t="s">
        <v>1380</v>
      </c>
      <c r="I8" s="1"/>
      <c r="J8" s="35" t="s">
        <v>1381</v>
      </c>
      <c r="K8" s="524"/>
      <c r="L8" s="36" t="s">
        <v>1380</v>
      </c>
      <c r="M8" s="43"/>
      <c r="N8" s="38"/>
      <c r="O8" s="524"/>
      <c r="P8" s="33" t="s">
        <v>1380</v>
      </c>
      <c r="Q8" s="44"/>
      <c r="R8" s="35"/>
      <c r="S8" s="524"/>
      <c r="T8" s="40" t="s">
        <v>1380</v>
      </c>
      <c r="U8" s="45"/>
      <c r="V8" s="42"/>
      <c r="W8" s="524"/>
      <c r="X8" s="33" t="s">
        <v>1380</v>
      </c>
      <c r="Y8" s="1"/>
      <c r="Z8" s="35"/>
    </row>
    <row r="9" spans="1:26" ht="30" customHeight="1" x14ac:dyDescent="0.25">
      <c r="A9" s="526"/>
      <c r="B9" s="564" t="s">
        <v>1382</v>
      </c>
      <c r="C9" s="552" t="s">
        <v>1383</v>
      </c>
      <c r="D9" s="33" t="s">
        <v>1384</v>
      </c>
      <c r="E9" s="50" t="s">
        <v>1385</v>
      </c>
      <c r="F9" s="35"/>
      <c r="G9" s="552" t="s">
        <v>1383</v>
      </c>
      <c r="H9" s="33" t="s">
        <v>1384</v>
      </c>
      <c r="I9" s="50" t="s">
        <v>1385</v>
      </c>
      <c r="J9" s="35"/>
      <c r="K9" s="553" t="s">
        <v>1386</v>
      </c>
      <c r="L9" s="36" t="s">
        <v>1384</v>
      </c>
      <c r="M9" s="51" t="s">
        <v>1385</v>
      </c>
      <c r="N9" s="38"/>
      <c r="O9" s="552" t="s">
        <v>1387</v>
      </c>
      <c r="P9" s="33" t="s">
        <v>1384</v>
      </c>
      <c r="Q9" s="50" t="s">
        <v>1385</v>
      </c>
      <c r="R9" s="35"/>
      <c r="S9" s="578"/>
      <c r="T9" s="40" t="s">
        <v>1384</v>
      </c>
      <c r="U9" s="45"/>
      <c r="V9" s="42"/>
      <c r="W9" s="575"/>
      <c r="X9" s="33" t="s">
        <v>1384</v>
      </c>
      <c r="Y9" s="1"/>
      <c r="Z9" s="35"/>
    </row>
    <row r="10" spans="1:26" x14ac:dyDescent="0.25">
      <c r="A10" s="526"/>
      <c r="B10" s="536"/>
      <c r="C10" s="523"/>
      <c r="D10" s="33" t="s">
        <v>1388</v>
      </c>
      <c r="E10" s="1"/>
      <c r="F10" s="35"/>
      <c r="G10" s="523"/>
      <c r="H10" s="33" t="s">
        <v>1388</v>
      </c>
      <c r="I10" s="1"/>
      <c r="J10" s="35"/>
      <c r="K10" s="523"/>
      <c r="L10" s="36" t="s">
        <v>1388</v>
      </c>
      <c r="M10" s="43"/>
      <c r="N10" s="38"/>
      <c r="O10" s="523"/>
      <c r="P10" s="33" t="s">
        <v>1388</v>
      </c>
      <c r="Q10" s="1"/>
      <c r="R10" s="35"/>
      <c r="S10" s="523"/>
      <c r="T10" s="40" t="s">
        <v>1388</v>
      </c>
      <c r="U10" s="45"/>
      <c r="V10" s="42"/>
      <c r="W10" s="523"/>
      <c r="X10" s="33" t="s">
        <v>1388</v>
      </c>
      <c r="Y10" s="1"/>
      <c r="Z10" s="35"/>
    </row>
    <row r="11" spans="1:26" x14ac:dyDescent="0.25">
      <c r="A11" s="526"/>
      <c r="B11" s="536"/>
      <c r="C11" s="523"/>
      <c r="D11" s="33" t="s">
        <v>1378</v>
      </c>
      <c r="E11" s="1"/>
      <c r="F11" s="35"/>
      <c r="G11" s="523"/>
      <c r="H11" s="33" t="s">
        <v>1378</v>
      </c>
      <c r="I11" s="1"/>
      <c r="J11" s="35"/>
      <c r="K11" s="523"/>
      <c r="L11" s="36" t="s">
        <v>1378</v>
      </c>
      <c r="M11" s="43"/>
      <c r="N11" s="38"/>
      <c r="O11" s="523"/>
      <c r="P11" s="33" t="s">
        <v>1378</v>
      </c>
      <c r="Q11" s="1"/>
      <c r="R11" s="35"/>
      <c r="S11" s="523"/>
      <c r="T11" s="40" t="s">
        <v>1378</v>
      </c>
      <c r="U11" s="45"/>
      <c r="V11" s="42"/>
      <c r="W11" s="523"/>
      <c r="X11" s="33" t="s">
        <v>1378</v>
      </c>
      <c r="Y11" s="1"/>
      <c r="Z11" s="35"/>
    </row>
    <row r="12" spans="1:26" ht="15.75" customHeight="1" thickBot="1" x14ac:dyDescent="0.3">
      <c r="A12" s="545"/>
      <c r="B12" s="494"/>
      <c r="C12" s="528"/>
      <c r="D12" s="52" t="s">
        <v>1380</v>
      </c>
      <c r="E12" s="53"/>
      <c r="F12" s="54"/>
      <c r="G12" s="528"/>
      <c r="H12" s="52" t="s">
        <v>1380</v>
      </c>
      <c r="I12" s="53"/>
      <c r="J12" s="54"/>
      <c r="K12" s="528"/>
      <c r="L12" s="55" t="s">
        <v>1380</v>
      </c>
      <c r="M12" s="56"/>
      <c r="N12" s="57"/>
      <c r="O12" s="528"/>
      <c r="P12" s="52" t="s">
        <v>1380</v>
      </c>
      <c r="Q12" s="53"/>
      <c r="R12" s="54"/>
      <c r="S12" s="528"/>
      <c r="T12" s="58" t="s">
        <v>1380</v>
      </c>
      <c r="U12" s="59"/>
      <c r="V12" s="60"/>
      <c r="W12" s="528"/>
      <c r="X12" s="52" t="s">
        <v>1380</v>
      </c>
      <c r="Y12" s="53"/>
      <c r="Z12" s="54"/>
    </row>
    <row r="13" spans="1:26" x14ac:dyDescent="0.25">
      <c r="A13" s="561" t="s">
        <v>1114</v>
      </c>
      <c r="B13" s="518" t="s">
        <v>1389</v>
      </c>
      <c r="C13" s="576">
        <v>100170460</v>
      </c>
      <c r="D13" s="61" t="s">
        <v>1390</v>
      </c>
      <c r="E13" s="62">
        <v>10573076</v>
      </c>
      <c r="F13" s="63"/>
      <c r="G13" s="563">
        <v>10949272</v>
      </c>
      <c r="H13" s="61" t="s">
        <v>1390</v>
      </c>
      <c r="I13" s="62">
        <v>10573076</v>
      </c>
      <c r="J13" s="63"/>
      <c r="K13" s="563">
        <v>10949272</v>
      </c>
      <c r="L13" s="61" t="s">
        <v>1390</v>
      </c>
      <c r="M13" s="62">
        <v>10573076</v>
      </c>
      <c r="N13" s="63"/>
      <c r="O13" s="576">
        <v>100170460</v>
      </c>
      <c r="P13" s="61" t="s">
        <v>1390</v>
      </c>
      <c r="Q13" s="62">
        <v>10573076</v>
      </c>
      <c r="R13" s="63"/>
      <c r="S13" s="567"/>
      <c r="T13" s="64" t="s">
        <v>1390</v>
      </c>
      <c r="U13" s="64"/>
      <c r="V13" s="65"/>
      <c r="W13" s="576"/>
      <c r="X13" s="61" t="s">
        <v>1390</v>
      </c>
      <c r="Y13" s="61"/>
      <c r="Z13" s="63"/>
    </row>
    <row r="14" spans="1:26" x14ac:dyDescent="0.25">
      <c r="A14" s="526"/>
      <c r="B14" s="536"/>
      <c r="C14" s="523"/>
      <c r="D14" s="1" t="s">
        <v>1391</v>
      </c>
      <c r="E14" s="12">
        <v>10561136</v>
      </c>
      <c r="F14" s="35"/>
      <c r="G14" s="523"/>
      <c r="H14" s="1" t="s">
        <v>1391</v>
      </c>
      <c r="I14" s="12">
        <v>10561136</v>
      </c>
      <c r="J14" s="35"/>
      <c r="K14" s="523"/>
      <c r="L14" s="1" t="s">
        <v>1391</v>
      </c>
      <c r="M14" s="12">
        <v>10561136</v>
      </c>
      <c r="N14" s="35"/>
      <c r="O14" s="523"/>
      <c r="P14" s="1" t="s">
        <v>1391</v>
      </c>
      <c r="Q14" s="44">
        <v>10561136</v>
      </c>
      <c r="R14" s="35"/>
      <c r="S14" s="523"/>
      <c r="T14" s="45" t="s">
        <v>1391</v>
      </c>
      <c r="U14" s="45"/>
      <c r="V14" s="42"/>
      <c r="W14" s="523"/>
      <c r="X14" s="1" t="s">
        <v>1391</v>
      </c>
      <c r="Y14" s="1"/>
      <c r="Z14" s="35" t="s">
        <v>1392</v>
      </c>
    </row>
    <row r="15" spans="1:26" x14ac:dyDescent="0.25">
      <c r="A15" s="526"/>
      <c r="B15" s="536"/>
      <c r="C15" s="523"/>
      <c r="D15" s="1" t="s">
        <v>1393</v>
      </c>
      <c r="E15" s="44" t="s">
        <v>1394</v>
      </c>
      <c r="F15" s="35"/>
      <c r="G15" s="523"/>
      <c r="H15" s="1" t="s">
        <v>1393</v>
      </c>
      <c r="I15" s="44" t="s">
        <v>1394</v>
      </c>
      <c r="J15" s="35"/>
      <c r="K15" s="523"/>
      <c r="L15" s="1" t="s">
        <v>1393</v>
      </c>
      <c r="M15" s="44" t="s">
        <v>1394</v>
      </c>
      <c r="N15" s="35"/>
      <c r="O15" s="523"/>
      <c r="P15" s="1" t="s">
        <v>1393</v>
      </c>
      <c r="Q15" s="12" t="s">
        <v>1394</v>
      </c>
      <c r="R15" s="35"/>
      <c r="S15" s="523"/>
      <c r="T15" s="45" t="s">
        <v>1393</v>
      </c>
      <c r="U15" s="45"/>
      <c r="V15" s="42"/>
      <c r="W15" s="523"/>
      <c r="X15" s="1" t="s">
        <v>1393</v>
      </c>
      <c r="Y15" s="1"/>
      <c r="Z15" s="35"/>
    </row>
    <row r="16" spans="1:26" x14ac:dyDescent="0.25">
      <c r="A16" s="526"/>
      <c r="B16" s="494"/>
      <c r="C16" s="524"/>
      <c r="D16" s="1" t="s">
        <v>1204</v>
      </c>
      <c r="E16" s="44">
        <v>102895</v>
      </c>
      <c r="F16" s="35"/>
      <c r="G16" s="524"/>
      <c r="H16" s="1" t="s">
        <v>1204</v>
      </c>
      <c r="I16" s="67" t="s">
        <v>1207</v>
      </c>
      <c r="J16" s="68" t="s">
        <v>1395</v>
      </c>
      <c r="K16" s="524"/>
      <c r="L16" s="1" t="s">
        <v>1204</v>
      </c>
      <c r="M16" s="67" t="s">
        <v>1208</v>
      </c>
      <c r="N16" s="68" t="s">
        <v>1395</v>
      </c>
      <c r="O16" s="524"/>
      <c r="P16" s="1" t="s">
        <v>1204</v>
      </c>
      <c r="Q16" s="67" t="s">
        <v>1396</v>
      </c>
      <c r="R16" s="69" t="s">
        <v>1397</v>
      </c>
      <c r="S16" s="524"/>
      <c r="T16" s="45" t="s">
        <v>1398</v>
      </c>
      <c r="U16" s="45"/>
      <c r="V16" s="42"/>
      <c r="W16" s="524"/>
      <c r="X16" s="1" t="s">
        <v>1204</v>
      </c>
      <c r="Y16" s="1"/>
      <c r="Z16" s="68" t="s">
        <v>1395</v>
      </c>
    </row>
    <row r="17" spans="1:26" x14ac:dyDescent="0.25">
      <c r="A17" s="526"/>
      <c r="B17" s="564" t="s">
        <v>1399</v>
      </c>
      <c r="C17" s="529">
        <v>100170464</v>
      </c>
      <c r="D17" s="33" t="s">
        <v>1390</v>
      </c>
      <c r="E17" s="70">
        <v>10573076</v>
      </c>
      <c r="F17" s="35"/>
      <c r="G17" s="548">
        <v>10949356</v>
      </c>
      <c r="H17" s="1" t="s">
        <v>1390</v>
      </c>
      <c r="I17" s="70">
        <v>10573076</v>
      </c>
      <c r="J17" s="35"/>
      <c r="K17" s="548">
        <v>10949356</v>
      </c>
      <c r="L17" s="1" t="s">
        <v>1390</v>
      </c>
      <c r="M17" s="70">
        <v>10573076</v>
      </c>
      <c r="N17" s="35"/>
      <c r="O17" s="529">
        <v>100170464</v>
      </c>
      <c r="P17" s="1" t="s">
        <v>1390</v>
      </c>
      <c r="Q17" s="14">
        <v>10573076</v>
      </c>
      <c r="R17" s="35"/>
      <c r="S17" s="560"/>
      <c r="T17" s="45" t="s">
        <v>1390</v>
      </c>
      <c r="U17" s="45"/>
      <c r="V17" s="42"/>
      <c r="W17" s="529"/>
      <c r="X17" s="1" t="s">
        <v>1390</v>
      </c>
      <c r="Y17" s="1"/>
      <c r="Z17" s="35"/>
    </row>
    <row r="18" spans="1:26" x14ac:dyDescent="0.25">
      <c r="A18" s="526"/>
      <c r="B18" s="536"/>
      <c r="C18" s="523"/>
      <c r="D18" s="33" t="s">
        <v>1391</v>
      </c>
      <c r="E18" s="71">
        <v>10572700</v>
      </c>
      <c r="F18" s="35"/>
      <c r="G18" s="523"/>
      <c r="H18" s="1" t="s">
        <v>1391</v>
      </c>
      <c r="I18" s="71">
        <v>10572700</v>
      </c>
      <c r="J18" s="35"/>
      <c r="K18" s="523"/>
      <c r="L18" s="1" t="s">
        <v>1391</v>
      </c>
      <c r="M18" s="71">
        <v>10572700</v>
      </c>
      <c r="N18" s="35"/>
      <c r="O18" s="523"/>
      <c r="P18" s="1" t="s">
        <v>1391</v>
      </c>
      <c r="Q18" s="72">
        <v>10572700</v>
      </c>
      <c r="R18" s="35" t="s">
        <v>1400</v>
      </c>
      <c r="S18" s="523"/>
      <c r="T18" s="45" t="s">
        <v>1391</v>
      </c>
      <c r="U18" s="45"/>
      <c r="V18" s="42"/>
      <c r="W18" s="523"/>
      <c r="X18" s="1" t="s">
        <v>1391</v>
      </c>
      <c r="Y18" s="1"/>
      <c r="Z18" s="35"/>
    </row>
    <row r="19" spans="1:26" x14ac:dyDescent="0.25">
      <c r="A19" s="526"/>
      <c r="B19" s="536"/>
      <c r="C19" s="523"/>
      <c r="D19" s="33" t="s">
        <v>1393</v>
      </c>
      <c r="E19" s="44" t="s">
        <v>1401</v>
      </c>
      <c r="F19" s="35"/>
      <c r="G19" s="523"/>
      <c r="H19" s="1" t="s">
        <v>1393</v>
      </c>
      <c r="I19" s="44" t="s">
        <v>1401</v>
      </c>
      <c r="J19" s="35"/>
      <c r="K19" s="523"/>
      <c r="L19" s="1" t="s">
        <v>1393</v>
      </c>
      <c r="M19" s="44" t="s">
        <v>1401</v>
      </c>
      <c r="N19" s="35"/>
      <c r="O19" s="523"/>
      <c r="P19" s="1" t="s">
        <v>1393</v>
      </c>
      <c r="Q19" s="67" t="s">
        <v>1402</v>
      </c>
      <c r="R19" s="35" t="s">
        <v>1403</v>
      </c>
      <c r="S19" s="523"/>
      <c r="T19" s="45" t="s">
        <v>1393</v>
      </c>
      <c r="U19" s="73" t="s">
        <v>1401</v>
      </c>
      <c r="V19" s="42"/>
      <c r="W19" s="523"/>
      <c r="X19" s="1" t="s">
        <v>1393</v>
      </c>
      <c r="Y19" s="44" t="s">
        <v>1401</v>
      </c>
      <c r="Z19" s="35"/>
    </row>
    <row r="20" spans="1:26" x14ac:dyDescent="0.25">
      <c r="A20" s="526"/>
      <c r="B20" s="494"/>
      <c r="C20" s="524"/>
      <c r="D20" s="1" t="s">
        <v>1204</v>
      </c>
      <c r="E20" s="12">
        <v>102895</v>
      </c>
      <c r="F20" s="35"/>
      <c r="G20" s="524"/>
      <c r="H20" s="1" t="s">
        <v>1204</v>
      </c>
      <c r="I20" s="67" t="s">
        <v>1207</v>
      </c>
      <c r="J20" s="68" t="s">
        <v>1395</v>
      </c>
      <c r="K20" s="524"/>
      <c r="L20" s="1" t="s">
        <v>1204</v>
      </c>
      <c r="M20" s="67" t="s">
        <v>1208</v>
      </c>
      <c r="N20" s="68" t="s">
        <v>1395</v>
      </c>
      <c r="O20" s="524"/>
      <c r="P20" s="1" t="s">
        <v>1204</v>
      </c>
      <c r="Q20" s="74">
        <v>102895</v>
      </c>
      <c r="R20" s="35"/>
      <c r="S20" s="524"/>
      <c r="T20" s="45" t="s">
        <v>1204</v>
      </c>
      <c r="U20" s="45"/>
      <c r="V20" s="42"/>
      <c r="W20" s="524"/>
      <c r="X20" s="1" t="s">
        <v>1204</v>
      </c>
      <c r="Y20" s="1"/>
      <c r="Z20" s="68" t="s">
        <v>1395</v>
      </c>
    </row>
    <row r="21" spans="1:26" x14ac:dyDescent="0.25">
      <c r="A21" s="526"/>
      <c r="B21" s="564" t="s">
        <v>1404</v>
      </c>
      <c r="C21" s="529" t="s">
        <v>1405</v>
      </c>
      <c r="D21" s="33" t="s">
        <v>1390</v>
      </c>
      <c r="E21" s="43"/>
      <c r="F21" s="38"/>
      <c r="G21" s="529" t="s">
        <v>1405</v>
      </c>
      <c r="H21" s="1" t="s">
        <v>1390</v>
      </c>
      <c r="I21" s="43"/>
      <c r="J21" s="38"/>
      <c r="K21" s="529" t="s">
        <v>1405</v>
      </c>
      <c r="L21" s="1" t="s">
        <v>1390</v>
      </c>
      <c r="M21" s="43"/>
      <c r="N21" s="38"/>
      <c r="O21" s="548">
        <v>10851208</v>
      </c>
      <c r="P21" s="1" t="s">
        <v>1390</v>
      </c>
      <c r="Q21" s="44">
        <v>10573076</v>
      </c>
      <c r="R21" s="35"/>
      <c r="S21" s="560"/>
      <c r="T21" s="45" t="s">
        <v>1390</v>
      </c>
      <c r="U21" s="45"/>
      <c r="V21" s="42"/>
      <c r="W21" s="529"/>
      <c r="X21" s="1" t="s">
        <v>1390</v>
      </c>
      <c r="Y21" s="43"/>
      <c r="Z21" s="38"/>
    </row>
    <row r="22" spans="1:26" x14ac:dyDescent="0.25">
      <c r="A22" s="526"/>
      <c r="B22" s="536"/>
      <c r="C22" s="523"/>
      <c r="D22" s="33" t="s">
        <v>1391</v>
      </c>
      <c r="E22" s="43"/>
      <c r="F22" s="38"/>
      <c r="G22" s="523"/>
      <c r="H22" s="1" t="s">
        <v>1391</v>
      </c>
      <c r="I22" s="43"/>
      <c r="J22" s="38"/>
      <c r="K22" s="523"/>
      <c r="L22" s="1" t="s">
        <v>1391</v>
      </c>
      <c r="M22" s="43"/>
      <c r="N22" s="38"/>
      <c r="O22" s="523"/>
      <c r="P22" s="1" t="s">
        <v>1391</v>
      </c>
      <c r="Q22" s="44">
        <v>10882275</v>
      </c>
      <c r="R22" s="35" t="s">
        <v>1406</v>
      </c>
      <c r="S22" s="523"/>
      <c r="T22" s="45" t="s">
        <v>1391</v>
      </c>
      <c r="U22" s="45"/>
      <c r="V22" s="42"/>
      <c r="W22" s="523"/>
      <c r="X22" s="1" t="s">
        <v>1391</v>
      </c>
      <c r="Y22" s="43"/>
      <c r="Z22" s="38"/>
    </row>
    <row r="23" spans="1:26" x14ac:dyDescent="0.25">
      <c r="A23" s="526"/>
      <c r="B23" s="536"/>
      <c r="C23" s="523"/>
      <c r="D23" s="33" t="s">
        <v>1393</v>
      </c>
      <c r="E23" s="43"/>
      <c r="F23" s="38"/>
      <c r="G23" s="523"/>
      <c r="H23" s="1" t="s">
        <v>1393</v>
      </c>
      <c r="I23" s="43"/>
      <c r="J23" s="38"/>
      <c r="K23" s="523"/>
      <c r="L23" s="1" t="s">
        <v>1393</v>
      </c>
      <c r="M23" s="43"/>
      <c r="N23" s="38"/>
      <c r="O23" s="523"/>
      <c r="P23" s="1" t="s">
        <v>1393</v>
      </c>
      <c r="Q23" s="44" t="s">
        <v>1407</v>
      </c>
      <c r="R23" s="35"/>
      <c r="S23" s="523"/>
      <c r="T23" s="45" t="s">
        <v>1393</v>
      </c>
      <c r="U23" s="45"/>
      <c r="V23" s="42"/>
      <c r="W23" s="523"/>
      <c r="X23" s="1" t="s">
        <v>1393</v>
      </c>
      <c r="Y23" s="43"/>
      <c r="Z23" s="38"/>
    </row>
    <row r="24" spans="1:26" x14ac:dyDescent="0.25">
      <c r="A24" s="526"/>
      <c r="B24" s="494"/>
      <c r="C24" s="524"/>
      <c r="D24" s="33" t="s">
        <v>1398</v>
      </c>
      <c r="E24" s="43"/>
      <c r="F24" s="38"/>
      <c r="G24" s="524"/>
      <c r="H24" s="1" t="s">
        <v>1398</v>
      </c>
      <c r="I24" s="43"/>
      <c r="J24" s="38"/>
      <c r="K24" s="524"/>
      <c r="L24" s="1" t="s">
        <v>1398</v>
      </c>
      <c r="M24" s="43"/>
      <c r="N24" s="38"/>
      <c r="O24" s="524"/>
      <c r="P24" s="1" t="s">
        <v>1204</v>
      </c>
      <c r="Q24" s="67" t="s">
        <v>1396</v>
      </c>
      <c r="R24" s="69" t="s">
        <v>1408</v>
      </c>
      <c r="S24" s="524"/>
      <c r="T24" s="45" t="s">
        <v>1398</v>
      </c>
      <c r="U24" s="45"/>
      <c r="V24" s="42"/>
      <c r="W24" s="524"/>
      <c r="X24" s="1" t="s">
        <v>1398</v>
      </c>
      <c r="Y24" s="43"/>
      <c r="Z24" s="38"/>
    </row>
    <row r="25" spans="1:26" x14ac:dyDescent="0.25">
      <c r="A25" s="526"/>
      <c r="B25" s="564" t="s">
        <v>1409</v>
      </c>
      <c r="C25" s="529" t="s">
        <v>1405</v>
      </c>
      <c r="D25" s="33" t="s">
        <v>1390</v>
      </c>
      <c r="E25" s="43"/>
      <c r="F25" s="38"/>
      <c r="G25" s="529" t="s">
        <v>1405</v>
      </c>
      <c r="H25" s="1" t="s">
        <v>1390</v>
      </c>
      <c r="I25" s="43"/>
      <c r="J25" s="38"/>
      <c r="K25" s="529" t="s">
        <v>1405</v>
      </c>
      <c r="L25" s="1" t="s">
        <v>1390</v>
      </c>
      <c r="M25" s="43"/>
      <c r="N25" s="38"/>
      <c r="O25" s="577"/>
      <c r="P25" s="43" t="s">
        <v>1390</v>
      </c>
      <c r="Q25" s="43"/>
      <c r="R25" s="38"/>
      <c r="S25" s="574"/>
      <c r="T25" s="45" t="s">
        <v>1390</v>
      </c>
      <c r="U25" s="45"/>
      <c r="V25" s="42"/>
      <c r="W25" s="527"/>
      <c r="X25" s="1" t="s">
        <v>1390</v>
      </c>
      <c r="Y25" s="43"/>
      <c r="Z25" s="38"/>
    </row>
    <row r="26" spans="1:26" x14ac:dyDescent="0.25">
      <c r="A26" s="526"/>
      <c r="B26" s="536"/>
      <c r="C26" s="523"/>
      <c r="D26" s="33" t="s">
        <v>1391</v>
      </c>
      <c r="E26" s="43"/>
      <c r="F26" s="38"/>
      <c r="G26" s="523"/>
      <c r="H26" s="1" t="s">
        <v>1391</v>
      </c>
      <c r="I26" s="43"/>
      <c r="J26" s="38"/>
      <c r="K26" s="523"/>
      <c r="L26" s="1" t="s">
        <v>1391</v>
      </c>
      <c r="M26" s="43"/>
      <c r="N26" s="38"/>
      <c r="O26" s="523"/>
      <c r="P26" s="43" t="s">
        <v>1391</v>
      </c>
      <c r="Q26" s="43"/>
      <c r="R26" s="38"/>
      <c r="S26" s="523"/>
      <c r="T26" s="45" t="s">
        <v>1391</v>
      </c>
      <c r="U26" s="45"/>
      <c r="V26" s="42"/>
      <c r="W26" s="523"/>
      <c r="X26" s="1" t="s">
        <v>1391</v>
      </c>
      <c r="Y26" s="43"/>
      <c r="Z26" s="38"/>
    </row>
    <row r="27" spans="1:26" x14ac:dyDescent="0.25">
      <c r="A27" s="526"/>
      <c r="B27" s="536"/>
      <c r="C27" s="523"/>
      <c r="D27" s="33" t="s">
        <v>1393</v>
      </c>
      <c r="E27" s="43"/>
      <c r="F27" s="38"/>
      <c r="G27" s="523"/>
      <c r="H27" s="1" t="s">
        <v>1393</v>
      </c>
      <c r="I27" s="43"/>
      <c r="J27" s="38"/>
      <c r="K27" s="523"/>
      <c r="L27" s="1" t="s">
        <v>1393</v>
      </c>
      <c r="M27" s="43"/>
      <c r="N27" s="38"/>
      <c r="O27" s="523"/>
      <c r="P27" s="43" t="s">
        <v>1393</v>
      </c>
      <c r="Q27" s="43"/>
      <c r="R27" s="38"/>
      <c r="S27" s="523"/>
      <c r="T27" s="45" t="s">
        <v>1393</v>
      </c>
      <c r="U27" s="45"/>
      <c r="V27" s="42"/>
      <c r="W27" s="523"/>
      <c r="X27" s="1" t="s">
        <v>1393</v>
      </c>
      <c r="Y27" s="43"/>
      <c r="Z27" s="38"/>
    </row>
    <row r="28" spans="1:26" ht="15.75" customHeight="1" thickBot="1" x14ac:dyDescent="0.3">
      <c r="A28" s="562"/>
      <c r="B28" s="494"/>
      <c r="C28" s="524"/>
      <c r="D28" s="52" t="s">
        <v>1398</v>
      </c>
      <c r="E28" s="56"/>
      <c r="F28" s="57"/>
      <c r="G28" s="524"/>
      <c r="H28" s="53" t="s">
        <v>1398</v>
      </c>
      <c r="I28" s="56"/>
      <c r="J28" s="57"/>
      <c r="K28" s="524"/>
      <c r="L28" s="53" t="s">
        <v>1398</v>
      </c>
      <c r="M28" s="56"/>
      <c r="N28" s="57"/>
      <c r="O28" s="528"/>
      <c r="P28" s="56" t="s">
        <v>1204</v>
      </c>
      <c r="Q28" s="56"/>
      <c r="R28" s="57"/>
      <c r="S28" s="528"/>
      <c r="T28" s="59" t="s">
        <v>1398</v>
      </c>
      <c r="U28" s="59"/>
      <c r="V28" s="60"/>
      <c r="W28" s="528"/>
      <c r="X28" s="53" t="s">
        <v>1398</v>
      </c>
      <c r="Y28" s="56"/>
      <c r="Z28" s="57"/>
    </row>
    <row r="29" spans="1:26" ht="101.45" customHeight="1" x14ac:dyDescent="0.25">
      <c r="A29" s="544" t="s">
        <v>1410</v>
      </c>
      <c r="B29" s="544" t="s">
        <v>1411</v>
      </c>
      <c r="C29" s="76"/>
      <c r="D29" s="77" t="s">
        <v>1412</v>
      </c>
      <c r="E29" s="61" t="s">
        <v>1211</v>
      </c>
      <c r="F29" s="63"/>
      <c r="G29" s="76"/>
      <c r="H29" s="77" t="s">
        <v>1412</v>
      </c>
      <c r="I29" s="61" t="s">
        <v>1211</v>
      </c>
      <c r="J29" s="63"/>
      <c r="K29" s="76"/>
      <c r="L29" s="77" t="s">
        <v>1412</v>
      </c>
      <c r="M29" s="571" t="s">
        <v>1413</v>
      </c>
      <c r="N29" s="556"/>
      <c r="O29" s="76"/>
      <c r="P29" s="77" t="s">
        <v>1412</v>
      </c>
      <c r="Q29" s="61" t="s">
        <v>1211</v>
      </c>
      <c r="R29" s="63"/>
      <c r="S29" s="76"/>
      <c r="T29" s="77" t="s">
        <v>1412</v>
      </c>
      <c r="U29" s="61" t="s">
        <v>1211</v>
      </c>
      <c r="V29" s="63"/>
      <c r="W29" s="78"/>
      <c r="X29" s="77" t="s">
        <v>1412</v>
      </c>
      <c r="Y29" s="61" t="s">
        <v>1414</v>
      </c>
      <c r="Z29" s="79" t="s">
        <v>1415</v>
      </c>
    </row>
    <row r="30" spans="1:26" x14ac:dyDescent="0.25">
      <c r="A30" s="526"/>
      <c r="B30" s="526"/>
      <c r="C30" s="80"/>
      <c r="D30" s="81" t="s">
        <v>1416</v>
      </c>
      <c r="E30" s="1" t="s">
        <v>1219</v>
      </c>
      <c r="F30" s="35"/>
      <c r="G30" s="80"/>
      <c r="H30" s="81" t="s">
        <v>1416</v>
      </c>
      <c r="I30" s="1" t="s">
        <v>1219</v>
      </c>
      <c r="J30" s="35"/>
      <c r="K30" s="80"/>
      <c r="L30" s="81" t="s">
        <v>1416</v>
      </c>
      <c r="M30" s="572"/>
      <c r="N30" s="537"/>
      <c r="O30" s="80"/>
      <c r="P30" s="81" t="s">
        <v>1416</v>
      </c>
      <c r="Q30" s="1" t="s">
        <v>1219</v>
      </c>
      <c r="R30" s="35"/>
      <c r="S30" s="80"/>
      <c r="T30" s="81" t="s">
        <v>1416</v>
      </c>
      <c r="U30" s="1" t="s">
        <v>1219</v>
      </c>
      <c r="V30" s="35"/>
      <c r="W30" s="5"/>
      <c r="X30" s="81" t="s">
        <v>1416</v>
      </c>
      <c r="Y30" s="1" t="s">
        <v>1417</v>
      </c>
      <c r="Z30" s="35"/>
    </row>
    <row r="31" spans="1:26" ht="144.6" customHeight="1" x14ac:dyDescent="0.25">
      <c r="A31" s="526"/>
      <c r="B31" s="545"/>
      <c r="C31" s="80"/>
      <c r="D31" s="82" t="s">
        <v>1418</v>
      </c>
      <c r="E31" s="46" t="s">
        <v>1419</v>
      </c>
      <c r="F31" s="35"/>
      <c r="G31" s="80"/>
      <c r="H31" s="82" t="s">
        <v>1418</v>
      </c>
      <c r="I31" s="83" t="s">
        <v>1420</v>
      </c>
      <c r="J31" s="84" t="s">
        <v>1421</v>
      </c>
      <c r="K31" s="80"/>
      <c r="L31" s="82" t="s">
        <v>1418</v>
      </c>
      <c r="M31" s="572"/>
      <c r="N31" s="537"/>
      <c r="O31" s="80"/>
      <c r="P31" s="82" t="s">
        <v>1418</v>
      </c>
      <c r="Q31" s="85" t="s">
        <v>1419</v>
      </c>
      <c r="R31" s="35"/>
      <c r="S31" s="80"/>
      <c r="T31" s="82" t="s">
        <v>1418</v>
      </c>
      <c r="U31" s="85" t="s">
        <v>1419</v>
      </c>
      <c r="V31" s="35"/>
      <c r="W31" s="5"/>
      <c r="X31" s="82" t="s">
        <v>1418</v>
      </c>
      <c r="Y31" s="86" t="s">
        <v>1420</v>
      </c>
      <c r="Z31" s="87" t="s">
        <v>1421</v>
      </c>
    </row>
    <row r="32" spans="1:26" ht="29.1" customHeight="1" x14ac:dyDescent="0.25">
      <c r="A32" s="526"/>
      <c r="B32" s="21" t="s">
        <v>1422</v>
      </c>
      <c r="C32" s="80"/>
      <c r="D32" s="82" t="s">
        <v>1269</v>
      </c>
      <c r="E32" s="46" t="s">
        <v>1268</v>
      </c>
      <c r="F32" s="35"/>
      <c r="G32" s="80"/>
      <c r="H32" s="82" t="s">
        <v>1269</v>
      </c>
      <c r="I32" s="88" t="s">
        <v>1270</v>
      </c>
      <c r="J32" s="69" t="s">
        <v>1423</v>
      </c>
      <c r="K32" s="80"/>
      <c r="L32" s="82" t="s">
        <v>1269</v>
      </c>
      <c r="M32" s="572"/>
      <c r="N32" s="537"/>
      <c r="O32" s="80"/>
      <c r="P32" s="82" t="s">
        <v>1269</v>
      </c>
      <c r="Q32" s="46" t="s">
        <v>1268</v>
      </c>
      <c r="R32" s="35"/>
      <c r="S32" s="80"/>
      <c r="T32" s="82" t="s">
        <v>1269</v>
      </c>
      <c r="U32" s="46" t="s">
        <v>1268</v>
      </c>
      <c r="V32" s="35"/>
      <c r="W32" s="5"/>
      <c r="X32" s="82" t="s">
        <v>1269</v>
      </c>
      <c r="Y32" s="1" t="s">
        <v>1270</v>
      </c>
      <c r="Z32" s="69" t="s">
        <v>1423</v>
      </c>
    </row>
    <row r="33" spans="1:26" x14ac:dyDescent="0.25">
      <c r="A33" s="526"/>
      <c r="B33" s="32" t="s">
        <v>1424</v>
      </c>
      <c r="C33" s="80"/>
      <c r="D33" s="81" t="s">
        <v>1271</v>
      </c>
      <c r="E33" s="1" t="s">
        <v>1272</v>
      </c>
      <c r="F33" s="35"/>
      <c r="G33" s="80"/>
      <c r="H33" s="81" t="s">
        <v>1271</v>
      </c>
      <c r="I33" s="1" t="s">
        <v>1272</v>
      </c>
      <c r="J33" s="35"/>
      <c r="K33" s="80"/>
      <c r="L33" s="81" t="s">
        <v>1425</v>
      </c>
      <c r="M33" s="572"/>
      <c r="N33" s="537"/>
      <c r="O33" s="80"/>
      <c r="P33" s="81" t="s">
        <v>1271</v>
      </c>
      <c r="Q33" s="1" t="s">
        <v>1272</v>
      </c>
      <c r="R33" s="35"/>
      <c r="S33" s="80"/>
      <c r="T33" s="81" t="s">
        <v>1271</v>
      </c>
      <c r="U33" s="1" t="s">
        <v>1272</v>
      </c>
      <c r="V33" s="35"/>
      <c r="W33" s="5"/>
      <c r="X33" s="81" t="s">
        <v>1271</v>
      </c>
      <c r="Y33" s="1" t="s">
        <v>1272</v>
      </c>
      <c r="Z33" s="35"/>
    </row>
    <row r="34" spans="1:26" ht="14.45" customHeight="1" x14ac:dyDescent="0.25">
      <c r="A34" s="526"/>
      <c r="B34" s="525" t="s">
        <v>1426</v>
      </c>
      <c r="C34" s="80"/>
      <c r="D34" s="81" t="s">
        <v>1427</v>
      </c>
      <c r="E34" s="1" t="s">
        <v>1286</v>
      </c>
      <c r="F34" s="35"/>
      <c r="G34" s="80"/>
      <c r="H34" s="81" t="s">
        <v>1427</v>
      </c>
      <c r="I34" s="88" t="s">
        <v>1288</v>
      </c>
      <c r="J34" s="565" t="s">
        <v>1421</v>
      </c>
      <c r="K34" s="80"/>
      <c r="L34" s="81" t="s">
        <v>1427</v>
      </c>
      <c r="M34" s="572"/>
      <c r="N34" s="537"/>
      <c r="O34" s="80"/>
      <c r="P34" s="81" t="s">
        <v>1427</v>
      </c>
      <c r="Q34" s="1" t="s">
        <v>1286</v>
      </c>
      <c r="R34" s="35"/>
      <c r="S34" s="80"/>
      <c r="T34" s="81" t="s">
        <v>1427</v>
      </c>
      <c r="U34" s="1" t="s">
        <v>1286</v>
      </c>
      <c r="V34" s="35"/>
      <c r="W34" s="5"/>
      <c r="X34" s="81" t="s">
        <v>1427</v>
      </c>
      <c r="Y34" s="1" t="s">
        <v>1288</v>
      </c>
      <c r="Z34" s="565" t="s">
        <v>1421</v>
      </c>
    </row>
    <row r="35" spans="1:26" x14ac:dyDescent="0.25">
      <c r="A35" s="526"/>
      <c r="B35" s="526"/>
      <c r="C35" s="80"/>
      <c r="D35" s="81" t="s">
        <v>1428</v>
      </c>
      <c r="E35" s="1" t="s">
        <v>1283</v>
      </c>
      <c r="F35" s="35"/>
      <c r="G35" s="80"/>
      <c r="H35" s="81" t="s">
        <v>1428</v>
      </c>
      <c r="I35" s="88" t="s">
        <v>1284</v>
      </c>
      <c r="J35" s="566"/>
      <c r="K35" s="80"/>
      <c r="L35" s="81" t="s">
        <v>1428</v>
      </c>
      <c r="M35" s="572"/>
      <c r="N35" s="537"/>
      <c r="O35" s="80"/>
      <c r="P35" s="81" t="s">
        <v>1428</v>
      </c>
      <c r="Q35" s="1" t="s">
        <v>1283</v>
      </c>
      <c r="R35" s="35"/>
      <c r="S35" s="80"/>
      <c r="T35" s="81" t="s">
        <v>1428</v>
      </c>
      <c r="U35" s="1" t="s">
        <v>1283</v>
      </c>
      <c r="V35" s="35"/>
      <c r="W35" s="5"/>
      <c r="X35" s="81" t="s">
        <v>1428</v>
      </c>
      <c r="Y35" s="1" t="s">
        <v>1284</v>
      </c>
      <c r="Z35" s="566"/>
    </row>
    <row r="36" spans="1:26" ht="15.75" customHeight="1" thickBot="1" x14ac:dyDescent="0.3">
      <c r="A36" s="545"/>
      <c r="B36" s="526"/>
      <c r="C36" s="89"/>
      <c r="D36" s="90" t="s">
        <v>1429</v>
      </c>
      <c r="E36" s="91" t="s">
        <v>1290</v>
      </c>
      <c r="F36" s="92"/>
      <c r="G36" s="89"/>
      <c r="H36" s="90" t="s">
        <v>1429</v>
      </c>
      <c r="I36" s="93" t="s">
        <v>1293</v>
      </c>
      <c r="J36" s="566"/>
      <c r="K36" s="89"/>
      <c r="L36" s="90" t="s">
        <v>1429</v>
      </c>
      <c r="M36" s="573"/>
      <c r="N36" s="540"/>
      <c r="O36" s="89"/>
      <c r="P36" s="90" t="s">
        <v>1429</v>
      </c>
      <c r="Q36" s="91" t="s">
        <v>1290</v>
      </c>
      <c r="R36" s="92"/>
      <c r="S36" s="89"/>
      <c r="T36" s="90" t="s">
        <v>1429</v>
      </c>
      <c r="U36" s="91" t="s">
        <v>1290</v>
      </c>
      <c r="V36" s="92"/>
      <c r="W36" s="94"/>
      <c r="X36" s="90" t="s">
        <v>1429</v>
      </c>
      <c r="Y36" s="91" t="s">
        <v>1293</v>
      </c>
      <c r="Z36" s="566"/>
    </row>
    <row r="37" spans="1:26" ht="15.75" customHeight="1" thickBot="1" x14ac:dyDescent="0.3">
      <c r="A37" s="66" t="s">
        <v>1430</v>
      </c>
      <c r="B37" s="16" t="s">
        <v>1431</v>
      </c>
      <c r="C37" s="532" t="s">
        <v>1405</v>
      </c>
      <c r="D37" s="520"/>
      <c r="E37" s="520"/>
      <c r="F37" s="521"/>
      <c r="G37" s="532" t="s">
        <v>1405</v>
      </c>
      <c r="H37" s="520"/>
      <c r="I37" s="520"/>
      <c r="J37" s="521"/>
      <c r="K37" s="542" t="s">
        <v>1432</v>
      </c>
      <c r="L37" s="520"/>
      <c r="M37" s="520"/>
      <c r="N37" s="521"/>
      <c r="O37" s="542" t="s">
        <v>1433</v>
      </c>
      <c r="P37" s="520"/>
      <c r="Q37" s="520"/>
      <c r="R37" s="521"/>
      <c r="S37" s="542" t="s">
        <v>1434</v>
      </c>
      <c r="T37" s="520"/>
      <c r="U37" s="520"/>
      <c r="V37" s="521"/>
      <c r="W37" s="542" t="s">
        <v>1434</v>
      </c>
      <c r="X37" s="520"/>
      <c r="Y37" s="520"/>
      <c r="Z37" s="521"/>
    </row>
    <row r="38" spans="1:26" ht="87" customHeight="1" x14ac:dyDescent="0.25">
      <c r="A38" s="544" t="s">
        <v>1388</v>
      </c>
      <c r="B38" s="518" t="s">
        <v>1435</v>
      </c>
      <c r="C38" s="76"/>
      <c r="D38" s="95" t="s">
        <v>1436</v>
      </c>
      <c r="E38" s="96" t="s">
        <v>1437</v>
      </c>
      <c r="F38" s="63"/>
      <c r="G38" s="76"/>
      <c r="H38" s="95" t="s">
        <v>1436</v>
      </c>
      <c r="I38" s="96" t="s">
        <v>1437</v>
      </c>
      <c r="J38" s="63"/>
      <c r="K38" s="76"/>
      <c r="L38" s="95" t="s">
        <v>1436</v>
      </c>
      <c r="M38" s="61"/>
      <c r="N38" s="63"/>
      <c r="O38" s="76"/>
      <c r="P38" s="95" t="s">
        <v>1436</v>
      </c>
      <c r="Q38" s="96" t="s">
        <v>1437</v>
      </c>
      <c r="R38" s="63"/>
      <c r="S38" s="76"/>
      <c r="T38" s="95" t="s">
        <v>1436</v>
      </c>
      <c r="U38" s="96" t="s">
        <v>1437</v>
      </c>
      <c r="V38" s="63"/>
      <c r="W38" s="76"/>
      <c r="X38" s="95" t="s">
        <v>1436</v>
      </c>
      <c r="Y38" s="61"/>
      <c r="Z38" s="63"/>
    </row>
    <row r="39" spans="1:26" ht="101.45" customHeight="1" x14ac:dyDescent="0.25">
      <c r="A39" s="526"/>
      <c r="B39" s="494"/>
      <c r="C39" s="80"/>
      <c r="D39" s="33" t="s">
        <v>1438</v>
      </c>
      <c r="E39" s="46" t="s">
        <v>1439</v>
      </c>
      <c r="F39" s="35"/>
      <c r="G39" s="80"/>
      <c r="H39" s="33" t="s">
        <v>1438</v>
      </c>
      <c r="I39" s="46" t="s">
        <v>1439</v>
      </c>
      <c r="J39" s="35"/>
      <c r="K39" s="80"/>
      <c r="L39" s="33" t="s">
        <v>1438</v>
      </c>
      <c r="M39" s="1"/>
      <c r="N39" s="35"/>
      <c r="O39" s="80"/>
      <c r="P39" s="33" t="s">
        <v>1438</v>
      </c>
      <c r="Q39" s="46" t="s">
        <v>1439</v>
      </c>
      <c r="R39" s="35"/>
      <c r="S39" s="80"/>
      <c r="T39" s="33" t="s">
        <v>1438</v>
      </c>
      <c r="U39" s="46" t="s">
        <v>1439</v>
      </c>
      <c r="V39" s="35"/>
      <c r="W39" s="80"/>
      <c r="X39" s="33" t="s">
        <v>1438</v>
      </c>
      <c r="Y39" s="1"/>
      <c r="Z39" s="35"/>
    </row>
    <row r="40" spans="1:26" x14ac:dyDescent="0.25">
      <c r="A40" s="526"/>
      <c r="B40" s="541" t="s">
        <v>1440</v>
      </c>
      <c r="C40" s="80"/>
      <c r="D40" s="33" t="s">
        <v>1441</v>
      </c>
      <c r="E40" s="97" t="s">
        <v>1442</v>
      </c>
      <c r="F40" s="35"/>
      <c r="G40" s="80"/>
      <c r="H40" s="33" t="s">
        <v>1441</v>
      </c>
      <c r="I40" s="97" t="s">
        <v>1442</v>
      </c>
      <c r="J40" s="35"/>
      <c r="K40" s="80"/>
      <c r="L40" s="33" t="s">
        <v>1441</v>
      </c>
      <c r="M40" s="1"/>
      <c r="N40" s="35"/>
      <c r="O40" s="80"/>
      <c r="P40" s="33" t="s">
        <v>1441</v>
      </c>
      <c r="Q40" s="97" t="s">
        <v>1442</v>
      </c>
      <c r="R40" s="35"/>
      <c r="S40" s="80"/>
      <c r="T40" s="33" t="s">
        <v>1441</v>
      </c>
      <c r="U40" s="97" t="s">
        <v>1442</v>
      </c>
      <c r="V40" s="35"/>
      <c r="W40" s="80"/>
      <c r="X40" s="33" t="s">
        <v>1441</v>
      </c>
      <c r="Y40" s="1"/>
      <c r="Z40" s="35"/>
    </row>
    <row r="41" spans="1:26" x14ac:dyDescent="0.25">
      <c r="A41" s="526"/>
      <c r="B41" s="535"/>
      <c r="C41" s="80"/>
      <c r="D41" s="33" t="s">
        <v>1443</v>
      </c>
      <c r="E41" s="1" t="s">
        <v>1444</v>
      </c>
      <c r="F41" s="35"/>
      <c r="G41" s="80"/>
      <c r="H41" s="33" t="s">
        <v>1443</v>
      </c>
      <c r="I41" s="1" t="s">
        <v>1444</v>
      </c>
      <c r="J41" s="35"/>
      <c r="K41" s="80"/>
      <c r="L41" s="33" t="s">
        <v>1443</v>
      </c>
      <c r="M41" s="1"/>
      <c r="N41" s="35"/>
      <c r="O41" s="80"/>
      <c r="P41" s="33" t="s">
        <v>1443</v>
      </c>
      <c r="Q41" s="1" t="s">
        <v>1444</v>
      </c>
      <c r="R41" s="35"/>
      <c r="S41" s="80"/>
      <c r="T41" s="33" t="s">
        <v>1443</v>
      </c>
      <c r="U41" s="1" t="s">
        <v>1444</v>
      </c>
      <c r="V41" s="35"/>
      <c r="W41" s="80"/>
      <c r="X41" s="33" t="s">
        <v>1443</v>
      </c>
      <c r="Y41" s="1"/>
      <c r="Z41" s="35"/>
    </row>
    <row r="42" spans="1:26" ht="15.75" customHeight="1" thickBot="1" x14ac:dyDescent="0.3">
      <c r="A42" s="545"/>
      <c r="B42" s="538"/>
      <c r="C42" s="89"/>
      <c r="D42" s="98" t="s">
        <v>1445</v>
      </c>
      <c r="E42" s="91" t="s">
        <v>1446</v>
      </c>
      <c r="F42" s="54" t="s">
        <v>1447</v>
      </c>
      <c r="G42" s="99"/>
      <c r="H42" s="52" t="s">
        <v>1445</v>
      </c>
      <c r="I42" s="91" t="s">
        <v>1446</v>
      </c>
      <c r="J42" s="54" t="s">
        <v>1447</v>
      </c>
      <c r="K42" s="99"/>
      <c r="L42" s="52" t="s">
        <v>1445</v>
      </c>
      <c r="M42" s="53" t="s">
        <v>1448</v>
      </c>
      <c r="N42" s="54" t="s">
        <v>1449</v>
      </c>
      <c r="O42" s="99"/>
      <c r="P42" s="52" t="s">
        <v>1445</v>
      </c>
      <c r="Q42" s="91" t="s">
        <v>1446</v>
      </c>
      <c r="R42" s="54" t="s">
        <v>1447</v>
      </c>
      <c r="S42" s="99"/>
      <c r="T42" s="52" t="s">
        <v>1445</v>
      </c>
      <c r="U42" s="53" t="s">
        <v>1448</v>
      </c>
      <c r="V42" s="54" t="s">
        <v>1449</v>
      </c>
      <c r="W42" s="99"/>
      <c r="X42" s="52" t="s">
        <v>1445</v>
      </c>
      <c r="Y42" s="53" t="s">
        <v>1448</v>
      </c>
      <c r="Z42" s="54" t="s">
        <v>1449</v>
      </c>
    </row>
    <row r="43" spans="1:26" x14ac:dyDescent="0.25">
      <c r="A43" s="544" t="s">
        <v>1450</v>
      </c>
      <c r="B43" s="518" t="s">
        <v>426</v>
      </c>
      <c r="C43" s="554" t="s">
        <v>1451</v>
      </c>
      <c r="D43" s="555"/>
      <c r="E43" s="555"/>
      <c r="F43" s="556"/>
      <c r="G43" s="554" t="s">
        <v>1451</v>
      </c>
      <c r="H43" s="555"/>
      <c r="I43" s="555"/>
      <c r="J43" s="556"/>
      <c r="K43" s="554" t="s">
        <v>1452</v>
      </c>
      <c r="L43" s="555"/>
      <c r="M43" s="555"/>
      <c r="N43" s="556"/>
      <c r="O43" s="554" t="s">
        <v>1451</v>
      </c>
      <c r="P43" s="555"/>
      <c r="Q43" s="555"/>
      <c r="R43" s="556"/>
      <c r="S43" s="554" t="s">
        <v>1451</v>
      </c>
      <c r="T43" s="555"/>
      <c r="U43" s="555"/>
      <c r="V43" s="556"/>
      <c r="W43" s="554" t="s">
        <v>1452</v>
      </c>
      <c r="X43" s="555"/>
      <c r="Y43" s="555"/>
      <c r="Z43" s="556"/>
    </row>
    <row r="44" spans="1:26" x14ac:dyDescent="0.25">
      <c r="A44" s="526"/>
      <c r="B44" s="494"/>
      <c r="C44" s="557"/>
      <c r="D44" s="494"/>
      <c r="E44" s="494"/>
      <c r="F44" s="558"/>
      <c r="G44" s="557"/>
      <c r="H44" s="494"/>
      <c r="I44" s="494"/>
      <c r="J44" s="558"/>
      <c r="K44" s="557"/>
      <c r="L44" s="494"/>
      <c r="M44" s="494"/>
      <c r="N44" s="558"/>
      <c r="O44" s="557"/>
      <c r="P44" s="494"/>
      <c r="Q44" s="494"/>
      <c r="R44" s="558"/>
      <c r="S44" s="557"/>
      <c r="T44" s="494"/>
      <c r="U44" s="494"/>
      <c r="V44" s="558"/>
      <c r="W44" s="557"/>
      <c r="X44" s="494"/>
      <c r="Y44" s="494"/>
      <c r="Z44" s="558"/>
    </row>
    <row r="45" spans="1:26" x14ac:dyDescent="0.25">
      <c r="A45" s="526"/>
      <c r="B45" s="541" t="s">
        <v>1453</v>
      </c>
      <c r="C45" s="533" t="s">
        <v>1454</v>
      </c>
      <c r="D45" s="514"/>
      <c r="E45" s="514"/>
      <c r="F45" s="534"/>
      <c r="G45" s="533" t="s">
        <v>1454</v>
      </c>
      <c r="H45" s="514"/>
      <c r="I45" s="514"/>
      <c r="J45" s="534"/>
      <c r="K45" s="568" t="s">
        <v>1455</v>
      </c>
      <c r="L45" s="514"/>
      <c r="M45" s="514"/>
      <c r="N45" s="534"/>
      <c r="O45" s="533" t="s">
        <v>1454</v>
      </c>
      <c r="P45" s="514"/>
      <c r="Q45" s="514"/>
      <c r="R45" s="534"/>
      <c r="S45" s="533" t="s">
        <v>1454</v>
      </c>
      <c r="T45" s="514"/>
      <c r="U45" s="514"/>
      <c r="V45" s="534"/>
      <c r="W45" s="568" t="s">
        <v>1456</v>
      </c>
      <c r="X45" s="514"/>
      <c r="Y45" s="514"/>
      <c r="Z45" s="534"/>
    </row>
    <row r="46" spans="1:26" x14ac:dyDescent="0.25">
      <c r="A46" s="526"/>
      <c r="B46" s="535"/>
      <c r="C46" s="535"/>
      <c r="D46" s="536"/>
      <c r="E46" s="536"/>
      <c r="F46" s="537"/>
      <c r="G46" s="535"/>
      <c r="H46" s="536"/>
      <c r="I46" s="536"/>
      <c r="J46" s="537"/>
      <c r="K46" s="535"/>
      <c r="L46" s="536"/>
      <c r="M46" s="536"/>
      <c r="N46" s="537"/>
      <c r="O46" s="535"/>
      <c r="P46" s="536"/>
      <c r="Q46" s="536"/>
      <c r="R46" s="537"/>
      <c r="S46" s="535"/>
      <c r="T46" s="536"/>
      <c r="U46" s="536"/>
      <c r="V46" s="537"/>
      <c r="W46" s="535"/>
      <c r="X46" s="536"/>
      <c r="Y46" s="536"/>
      <c r="Z46" s="537"/>
    </row>
    <row r="47" spans="1:26" ht="15.75" customHeight="1" thickBot="1" x14ac:dyDescent="0.3">
      <c r="A47" s="545"/>
      <c r="B47" s="538"/>
      <c r="C47" s="538"/>
      <c r="D47" s="539"/>
      <c r="E47" s="539"/>
      <c r="F47" s="540"/>
      <c r="G47" s="538"/>
      <c r="H47" s="539"/>
      <c r="I47" s="539"/>
      <c r="J47" s="540"/>
      <c r="K47" s="538"/>
      <c r="L47" s="539"/>
      <c r="M47" s="539"/>
      <c r="N47" s="540"/>
      <c r="O47" s="538"/>
      <c r="P47" s="539"/>
      <c r="Q47" s="539"/>
      <c r="R47" s="540"/>
      <c r="S47" s="538"/>
      <c r="T47" s="539"/>
      <c r="U47" s="539"/>
      <c r="V47" s="540"/>
      <c r="W47" s="538"/>
      <c r="X47" s="539"/>
      <c r="Y47" s="539"/>
      <c r="Z47" s="540"/>
    </row>
    <row r="48" spans="1:26" ht="29.45" customHeight="1" thickBot="1" x14ac:dyDescent="0.3">
      <c r="A48" s="100" t="s">
        <v>1457</v>
      </c>
      <c r="B48" s="101" t="s">
        <v>1431</v>
      </c>
      <c r="C48" s="569" t="s">
        <v>1458</v>
      </c>
      <c r="D48" s="520"/>
      <c r="E48" s="520"/>
      <c r="F48" s="521"/>
      <c r="G48" s="569" t="s">
        <v>1458</v>
      </c>
      <c r="H48" s="520"/>
      <c r="I48" s="520"/>
      <c r="J48" s="521"/>
      <c r="K48" s="519" t="s">
        <v>1459</v>
      </c>
      <c r="L48" s="520"/>
      <c r="M48" s="520"/>
      <c r="N48" s="521"/>
      <c r="O48" s="569" t="s">
        <v>1458</v>
      </c>
      <c r="P48" s="520"/>
      <c r="Q48" s="520"/>
      <c r="R48" s="521"/>
      <c r="S48" s="569" t="s">
        <v>1458</v>
      </c>
      <c r="T48" s="520"/>
      <c r="U48" s="520"/>
      <c r="V48" s="521"/>
      <c r="W48" s="531" t="s">
        <v>1460</v>
      </c>
      <c r="X48" s="520"/>
      <c r="Y48" s="520"/>
      <c r="Z48" s="521"/>
    </row>
    <row r="49" spans="1:26" ht="24" customHeight="1" x14ac:dyDescent="0.25">
      <c r="A49" s="561" t="s">
        <v>1461</v>
      </c>
      <c r="B49" s="102" t="s">
        <v>1462</v>
      </c>
      <c r="C49" s="554" t="s">
        <v>1463</v>
      </c>
      <c r="D49" s="503"/>
      <c r="E49" s="503"/>
      <c r="F49" s="547"/>
      <c r="G49" s="546" t="s">
        <v>1464</v>
      </c>
      <c r="H49" s="503"/>
      <c r="I49" s="503"/>
      <c r="J49" s="547"/>
      <c r="K49" s="546" t="s">
        <v>1465</v>
      </c>
      <c r="L49" s="503"/>
      <c r="M49" s="503"/>
      <c r="N49" s="547"/>
      <c r="O49" s="554" t="s">
        <v>1463</v>
      </c>
      <c r="P49" s="503"/>
      <c r="Q49" s="503"/>
      <c r="R49" s="547"/>
      <c r="S49" s="554" t="s">
        <v>1463</v>
      </c>
      <c r="T49" s="503"/>
      <c r="U49" s="503"/>
      <c r="V49" s="547"/>
      <c r="W49" s="546" t="s">
        <v>1464</v>
      </c>
      <c r="X49" s="503"/>
      <c r="Y49" s="503"/>
      <c r="Z49" s="547"/>
    </row>
    <row r="50" spans="1:26" ht="15.75" customHeight="1" thickBot="1" x14ac:dyDescent="0.3">
      <c r="A50" s="562"/>
      <c r="B50" s="75" t="s">
        <v>1466</v>
      </c>
      <c r="C50" s="551" t="s">
        <v>1467</v>
      </c>
      <c r="D50" s="539"/>
      <c r="E50" s="539"/>
      <c r="F50" s="540"/>
      <c r="G50" s="570" t="s">
        <v>1467</v>
      </c>
      <c r="H50" s="539"/>
      <c r="I50" s="539"/>
      <c r="J50" s="540"/>
      <c r="K50" s="570" t="s">
        <v>1468</v>
      </c>
      <c r="L50" s="539"/>
      <c r="M50" s="539"/>
      <c r="N50" s="540"/>
      <c r="O50" s="551" t="s">
        <v>1467</v>
      </c>
      <c r="P50" s="539"/>
      <c r="Q50" s="539"/>
      <c r="R50" s="540"/>
      <c r="S50" s="551" t="s">
        <v>1467</v>
      </c>
      <c r="T50" s="539"/>
      <c r="U50" s="539"/>
      <c r="V50" s="540"/>
      <c r="W50" s="551" t="s">
        <v>1405</v>
      </c>
      <c r="X50" s="539"/>
      <c r="Y50" s="539"/>
      <c r="Z50" s="540"/>
    </row>
  </sheetData>
  <mergeCells count="100">
    <mergeCell ref="W49:Z49"/>
    <mergeCell ref="O25:O28"/>
    <mergeCell ref="K43:N44"/>
    <mergeCell ref="A2:B2"/>
    <mergeCell ref="S9:S12"/>
    <mergeCell ref="G3:G8"/>
    <mergeCell ref="C17:C20"/>
    <mergeCell ref="W43:Z44"/>
    <mergeCell ref="O49:R49"/>
    <mergeCell ref="K13:K16"/>
    <mergeCell ref="W13:W16"/>
    <mergeCell ref="G21:G24"/>
    <mergeCell ref="S1:V1"/>
    <mergeCell ref="S17:S20"/>
    <mergeCell ref="C49:F49"/>
    <mergeCell ref="C25:C28"/>
    <mergeCell ref="A43:A47"/>
    <mergeCell ref="W45:Z47"/>
    <mergeCell ref="C13:C16"/>
    <mergeCell ref="S37:V37"/>
    <mergeCell ref="O13:O16"/>
    <mergeCell ref="C48:F48"/>
    <mergeCell ref="G45:J47"/>
    <mergeCell ref="O48:R48"/>
    <mergeCell ref="W9:W12"/>
    <mergeCell ref="W21:W24"/>
    <mergeCell ref="O21:O24"/>
    <mergeCell ref="W3:W8"/>
    <mergeCell ref="A3:A12"/>
    <mergeCell ref="B21:B24"/>
    <mergeCell ref="S49:V49"/>
    <mergeCell ref="A49:A50"/>
    <mergeCell ref="S25:S28"/>
    <mergeCell ref="B40:B42"/>
    <mergeCell ref="G17:G20"/>
    <mergeCell ref="S50:V50"/>
    <mergeCell ref="C43:F44"/>
    <mergeCell ref="O43:R44"/>
    <mergeCell ref="G37:J37"/>
    <mergeCell ref="B38:B39"/>
    <mergeCell ref="G50:J50"/>
    <mergeCell ref="O50:R50"/>
    <mergeCell ref="K50:N50"/>
    <mergeCell ref="B25:B28"/>
    <mergeCell ref="M29:N36"/>
    <mergeCell ref="G49:J49"/>
    <mergeCell ref="A29:A36"/>
    <mergeCell ref="B29:B31"/>
    <mergeCell ref="S13:S16"/>
    <mergeCell ref="C21:C24"/>
    <mergeCell ref="K45:N47"/>
    <mergeCell ref="B9:B12"/>
    <mergeCell ref="G48:J48"/>
    <mergeCell ref="C45:F47"/>
    <mergeCell ref="S48:V48"/>
    <mergeCell ref="J34:J36"/>
    <mergeCell ref="O45:R47"/>
    <mergeCell ref="C9:C12"/>
    <mergeCell ref="W1:Z1"/>
    <mergeCell ref="G25:G28"/>
    <mergeCell ref="O1:R1"/>
    <mergeCell ref="C50:F50"/>
    <mergeCell ref="W50:Z50"/>
    <mergeCell ref="O17:O20"/>
    <mergeCell ref="G9:G12"/>
    <mergeCell ref="K25:K28"/>
    <mergeCell ref="K9:K12"/>
    <mergeCell ref="G43:J44"/>
    <mergeCell ref="K3:K8"/>
    <mergeCell ref="O9:O12"/>
    <mergeCell ref="C3:C8"/>
    <mergeCell ref="S43:V44"/>
    <mergeCell ref="S21:S24"/>
    <mergeCell ref="K37:N37"/>
    <mergeCell ref="A38:A42"/>
    <mergeCell ref="K49:N49"/>
    <mergeCell ref="B13:B16"/>
    <mergeCell ref="K17:K20"/>
    <mergeCell ref="C1:F1"/>
    <mergeCell ref="A13:A28"/>
    <mergeCell ref="G13:G16"/>
    <mergeCell ref="B17:B20"/>
    <mergeCell ref="K1:N1"/>
    <mergeCell ref="G1:J1"/>
    <mergeCell ref="B43:B44"/>
    <mergeCell ref="K48:N48"/>
    <mergeCell ref="O3:O8"/>
    <mergeCell ref="B34:B36"/>
    <mergeCell ref="W25:W28"/>
    <mergeCell ref="K21:K24"/>
    <mergeCell ref="S3:S8"/>
    <mergeCell ref="W48:Z48"/>
    <mergeCell ref="C37:F37"/>
    <mergeCell ref="S45:V47"/>
    <mergeCell ref="B45:B47"/>
    <mergeCell ref="O37:R37"/>
    <mergeCell ref="B3:B8"/>
    <mergeCell ref="W17:W20"/>
    <mergeCell ref="W37:Z37"/>
    <mergeCell ref="Z34:Z3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1"/>
  <sheetViews>
    <sheetView topLeftCell="A12" workbookViewId="0">
      <selection activeCell="B40" sqref="B40"/>
    </sheetView>
  </sheetViews>
  <sheetFormatPr defaultColWidth="8.7109375" defaultRowHeight="15" x14ac:dyDescent="0.25"/>
  <cols>
    <col min="1" max="1" width="35.42578125" style="103" customWidth="1"/>
    <col min="2" max="2" width="65.42578125" style="13" customWidth="1"/>
    <col min="3" max="3" width="11.42578125" style="13" bestFit="1" customWidth="1"/>
    <col min="4" max="4" width="28.42578125" style="13" bestFit="1" customWidth="1"/>
    <col min="5" max="5" width="21.42578125" style="13" customWidth="1"/>
    <col min="6" max="7" width="35.5703125" style="13" customWidth="1"/>
    <col min="8" max="10" width="8.7109375" style="13" customWidth="1"/>
    <col min="11" max="16384" width="8.7109375" style="13"/>
  </cols>
  <sheetData>
    <row r="1" spans="1:7" ht="30" customHeight="1" x14ac:dyDescent="0.25">
      <c r="A1" s="164" t="s">
        <v>0</v>
      </c>
      <c r="B1" s="164" t="s">
        <v>1</v>
      </c>
      <c r="C1" s="122" t="s">
        <v>2</v>
      </c>
      <c r="D1" s="122" t="s">
        <v>3</v>
      </c>
      <c r="E1" s="122" t="s">
        <v>4</v>
      </c>
      <c r="F1" s="136" t="s">
        <v>5</v>
      </c>
      <c r="G1" s="136" t="s">
        <v>6</v>
      </c>
    </row>
    <row r="2" spans="1:7" x14ac:dyDescent="0.25">
      <c r="A2" s="182" t="s">
        <v>1469</v>
      </c>
      <c r="B2" s="182" t="s">
        <v>1469</v>
      </c>
      <c r="C2" s="401"/>
      <c r="D2" s="183"/>
      <c r="E2" s="168"/>
      <c r="F2" s="169"/>
      <c r="G2" s="169"/>
    </row>
    <row r="3" spans="1:7" x14ac:dyDescent="0.25">
      <c r="A3" s="106"/>
      <c r="B3" s="152"/>
      <c r="C3" s="166" t="s">
        <v>14</v>
      </c>
      <c r="D3" s="166" t="s">
        <v>15</v>
      </c>
      <c r="E3" s="193" t="s">
        <v>16</v>
      </c>
      <c r="F3" s="324" t="str">
        <f t="array" aca="1" ref="F3" ca="1">HYPERLINK(CONCATENATE(Cartelle!$D$5,F$1,"/",$C3,"/",MID($D3,1,FIND("_",$D3)-1),"/",INDIRECT(CONCATENATE("'" &amp; $C3 &amp; "'!",ADDRESS(MATCH($D3, INDIRECT("'" &amp; $C3 &amp; "'!$B:$B"), 0),MATCH(F$1, INDIRECT("'" &amp; $C3 &amp; "'!$1:$1"), 0)))),".pdf#page=",F4),CONCATENATE("#Sharepoint//",$D3))</f>
        <v>#Sharepoint//FS_DM1</v>
      </c>
      <c r="G3" s="324"/>
    </row>
    <row r="4" spans="1:7" ht="45" customHeight="1" x14ac:dyDescent="0.25">
      <c r="A4" s="103" t="s">
        <v>1470</v>
      </c>
      <c r="B4" s="14">
        <f ca="1">MATCH($D3, INDIRECT("'" &amp; $C3 &amp; "'!$B:$B"), 0)</f>
        <v>69</v>
      </c>
      <c r="C4" s="166" t="s">
        <v>14</v>
      </c>
      <c r="D4" s="166" t="s">
        <v>15</v>
      </c>
      <c r="E4" s="193" t="s">
        <v>16</v>
      </c>
      <c r="F4" s="13">
        <v>1</v>
      </c>
    </row>
    <row r="5" spans="1:7" ht="45" customHeight="1" x14ac:dyDescent="0.25">
      <c r="A5" s="103" t="s">
        <v>1471</v>
      </c>
      <c r="B5" s="14">
        <f ca="1">MATCH(F$1,INDIRECT("'"&amp;$C3&amp;"'!$1:$1"),0)</f>
        <v>4</v>
      </c>
      <c r="C5" s="166" t="s">
        <v>14</v>
      </c>
      <c r="D5" s="166" t="s">
        <v>15</v>
      </c>
      <c r="E5" s="193" t="s">
        <v>16</v>
      </c>
    </row>
    <row r="6" spans="1:7" ht="45" customHeight="1" x14ac:dyDescent="0.25">
      <c r="A6" s="103" t="s">
        <v>1472</v>
      </c>
      <c r="B6" s="14" t="str">
        <f ca="1">ADDRESS(MATCH($D3,INDIRECT("'"&amp;$C3&amp;"'!$B:$B"),0),MATCH(F$1,INDIRECT("'"&amp;$C3&amp;"'!$1:$1"),0))</f>
        <v>$D$69</v>
      </c>
      <c r="C6" s="166" t="s">
        <v>14</v>
      </c>
      <c r="D6" s="166" t="s">
        <v>15</v>
      </c>
      <c r="E6" s="193" t="s">
        <v>16</v>
      </c>
    </row>
    <row r="7" spans="1:7" ht="30" customHeight="1" x14ac:dyDescent="0.25">
      <c r="A7" s="103" t="s">
        <v>1473</v>
      </c>
      <c r="B7" s="14" t="str">
        <f ca="1">CONCATENATE("'" &amp; $C3 &amp; "'!",ADDRESS(MATCH($D3, INDIRECT("'" &amp; $C3 &amp; "'!$B:$B"), 0),MATCH(F$1, INDIRECT("'" &amp; $C3 &amp; "'!$1:$1"), 0)))</f>
        <v>'CONFIG'!$D$69</v>
      </c>
      <c r="C7" s="166" t="s">
        <v>14</v>
      </c>
      <c r="D7" s="166" t="s">
        <v>15</v>
      </c>
      <c r="E7" s="193" t="s">
        <v>16</v>
      </c>
    </row>
    <row r="8" spans="1:7" ht="60" customHeight="1" x14ac:dyDescent="0.25">
      <c r="A8" s="103" t="s">
        <v>1474</v>
      </c>
      <c r="B8" s="443" t="str">
        <f t="array" aca="1" ref="B8" ca="1">INDIRECT(CONCATENATE("'"&amp;$C3&amp;"'!",ADDRESS(MATCH($D3,INDIRECT("'"&amp;$C3&amp;"'!$B:$B"),0),MATCH(F$1,INDIRECT("'"&amp;$C3&amp;"'!$1:$1"),0))))</f>
        <v>3ECP502128-0001</v>
      </c>
      <c r="C8" s="166" t="s">
        <v>14</v>
      </c>
      <c r="D8" s="166" t="s">
        <v>15</v>
      </c>
      <c r="E8" s="193" t="s">
        <v>16</v>
      </c>
    </row>
    <row r="9" spans="1:7" ht="60" customHeight="1" x14ac:dyDescent="0.25">
      <c r="A9" s="103" t="s">
        <v>1475</v>
      </c>
      <c r="B9" s="443" t="str">
        <f>MID($D3,1,FIND("_",$D3)-1)</f>
        <v>FS</v>
      </c>
      <c r="C9" s="166" t="s">
        <v>14</v>
      </c>
      <c r="D9" s="166" t="s">
        <v>15</v>
      </c>
      <c r="E9" s="193" t="s">
        <v>16</v>
      </c>
    </row>
    <row r="10" spans="1:7" ht="165" customHeight="1" x14ac:dyDescent="0.25">
      <c r="A10" s="103" t="s">
        <v>1476</v>
      </c>
      <c r="B10" s="444" t="str">
        <f t="array" aca="1" ref="B10" ca="1">CONCATENATE(Cartelle!$D$5,F$1,"/",$C3,"/",MID($D3,1,FIND("_",$D3)-1),"/",INDIRECT(CONCATENATE("'" &amp; $C3 &amp; "'!",ADDRESS(MATCH($D3, INDIRECT("'" &amp; $C3 &amp; "'!$B:$B"), 0),MATCH(F$1, INDIRECT("'" &amp; $C3 &amp; "'!$1:$1"), 0)))),".pdf#page=",F4)</f>
        <v>https://gruppofsitaliane.sharepoint.com/:f:/r/sites/IngegneriaETReMezziLeggeri-Trenitalia/Shared%20Documents/DB_ETR1000/DOC_FLOTTE/VZI_Base/CONFIG/FS/3ECP502128-0001.pdf#page=1</v>
      </c>
      <c r="C10" s="166" t="s">
        <v>14</v>
      </c>
      <c r="D10" s="166" t="s">
        <v>15</v>
      </c>
      <c r="E10" s="193" t="s">
        <v>16</v>
      </c>
    </row>
    <row r="11" spans="1:7" x14ac:dyDescent="0.25">
      <c r="B11" s="103"/>
      <c r="C11" s="446"/>
      <c r="D11" s="446"/>
      <c r="E11" s="447"/>
    </row>
    <row r="12" spans="1:7" ht="45" customHeight="1" x14ac:dyDescent="0.25">
      <c r="A12" s="103" t="s">
        <v>1477</v>
      </c>
      <c r="B12" s="445" t="str">
        <f t="array" aca="1" ref="B12" ca="1">INDIRECT(CONCATENATE("'"&amp;$C7&amp;"'!",ADDRESS(MATCH($D3,INDIRECT("'"&amp;$C3&amp;"'!$B:$B"),0),3)))</f>
        <v>pdf</v>
      </c>
      <c r="C12" s="166" t="s">
        <v>14</v>
      </c>
      <c r="D12" s="166" t="s">
        <v>15</v>
      </c>
      <c r="E12" s="193" t="s">
        <v>16</v>
      </c>
      <c r="F12" s="324" t="str">
        <f t="array" aca="1" ref="F12" ca="1">HYPERLINK(CONCATENATE(Cartelle!$D$5,F$1,"/",$C12,"/",MID($D12,1,FIND("_",$D12)-1),"/",INDIRECT(CONCATENATE("'" &amp; $C12 &amp; "'!",ADDRESS(MATCH($D12, INDIRECT("'" &amp; $C12 &amp; "'!$B:$B"), 0),MATCH(F$1, INDIRECT("'" &amp; $C12 &amp; "'!$1:$1"), 0)))),".",INDIRECT(CONCATENATE("'"&amp;$C12&amp;"'!",ADDRESS(MATCH($D12,INDIRECT("'"&amp;$C12&amp;"'!$B:$B"),0),3))),"#page=",F13),CONCATENATE("#Sharepoint//",$D12))</f>
        <v>#Sharepoint//FS_DM1</v>
      </c>
    </row>
    <row r="13" spans="1:7" ht="60" customHeight="1" x14ac:dyDescent="0.25">
      <c r="A13" s="103" t="s">
        <v>1478</v>
      </c>
      <c r="B13" s="444" t="str">
        <f t="array" aca="1" ref="B13" ca="1">CONCATENATE(Cartelle!$D$5,F$1,"/",$C12,"/",MID($D12,1,FIND("_",$D12)-1),"/",INDIRECT(CONCATENATE("'" &amp; $C12 &amp; "'!",ADDRESS(MATCH($D12, INDIRECT("'" &amp; $C12 &amp; "'!$B:$B"), 0),MATCH(F$1, INDIRECT("'" &amp; $C12 &amp; "'!$1:$1"), 0)))),".",INDIRECT(CONCATENATE("'"&amp;$C12&amp;"'!",ADDRESS(MATCH($D12,INDIRECT("'"&amp;$C12&amp;"'!$B:$B"),0),3))),"#page=",F13)</f>
        <v>https://gruppofsitaliane.sharepoint.com/:f:/r/sites/IngegneriaETReMezziLeggeri-Trenitalia/Shared%20Documents/DB_ETR1000/DOC_FLOTTE/VZI_Base/CONFIG/FS/3ECP502128-0001.pdf#page=10</v>
      </c>
      <c r="F13" s="13">
        <v>10</v>
      </c>
    </row>
    <row r="14" spans="1:7" ht="30" customHeight="1" x14ac:dyDescent="0.25">
      <c r="A14" s="448" t="s">
        <v>1479</v>
      </c>
      <c r="B14" s="449"/>
      <c r="C14" s="166" t="s">
        <v>52</v>
      </c>
      <c r="D14" s="166" t="s">
        <v>1480</v>
      </c>
      <c r="E14" s="193" t="s">
        <v>16</v>
      </c>
      <c r="F14" s="324" t="e">
        <f t="array" aca="1" ref="F14" ca="1">HYPERLINK(CONCATENATE(Cartelle!$D$5,F$1,"/",$C14,"/",MID($D14,1,FIND("_",$D14)-1),"/",INDIRECT(CONCATENATE("'" &amp; $C14 &amp; "'!",ADDRESS(MATCH($D14, INDIRECT("'" &amp; $C14 &amp; "'!$B:$B"), 0),MATCH(F$1, INDIRECT("'" &amp; $C14 &amp; "'!$1:$1"), 0)))),".",INDIRECT(CONCATENATE("'"&amp;$C14&amp;"'!",ADDRESS(MATCH($D14,INDIRECT("'"&amp;$C14&amp;"'!$B:$B"),0),3))),"#page=",F15),CONCATENATE("#Sharepoint//",$D14))</f>
        <v>#N/A</v>
      </c>
    </row>
    <row r="15" spans="1:7" x14ac:dyDescent="0.25">
      <c r="F15" s="13">
        <v>1</v>
      </c>
    </row>
    <row r="17" spans="1:7" ht="30" customHeight="1" x14ac:dyDescent="0.25">
      <c r="A17" s="448" t="s">
        <v>1479</v>
      </c>
      <c r="B17" s="449"/>
      <c r="C17" s="166" t="s">
        <v>52</v>
      </c>
      <c r="D17" s="166" t="s">
        <v>1480</v>
      </c>
      <c r="E17" s="193" t="s">
        <v>16</v>
      </c>
      <c r="F17" s="324" t="e">
        <f t="array" aca="1" ref="F17" ca="1">HYPERLINK(CONCATENATE(Cartelle!$D$5,F$1,"/",$C17,"/",MID($D17,1,FIND("_",$D17)-1),"/",INDIRECT(CONCATENATE("'" &amp; $C17 &amp; "'!",ADDRESS(MATCH($D17, INDIRECT("'" &amp; $C17 &amp; "'!$B:$B"), 0),MATCH(F$1, INDIRECT("'" &amp; $C17 &amp; "'!$1:$1"), 0)))),".",INDIRECT(CONCATENATE("'"&amp;$C17&amp;"'!",ADDRESS(MATCH($D17,INDIRECT("'"&amp;$C17&amp;"'!$B:$B"),0),3))),"#page=",F18),CONCATENATE("#Sharepoint//",$D17))</f>
        <v>#N/A</v>
      </c>
    </row>
    <row r="18" spans="1:7" x14ac:dyDescent="0.25">
      <c r="F18" s="13">
        <v>1</v>
      </c>
    </row>
    <row r="19" spans="1:7" x14ac:dyDescent="0.25">
      <c r="A19" s="182" t="s">
        <v>1469</v>
      </c>
      <c r="B19" s="182" t="s">
        <v>1469</v>
      </c>
      <c r="C19" s="401"/>
      <c r="D19" s="183"/>
      <c r="E19" s="168"/>
      <c r="F19" s="169"/>
      <c r="G19" s="169"/>
    </row>
    <row r="20" spans="1:7" ht="30" customHeight="1" x14ac:dyDescent="0.25">
      <c r="A20" s="106" t="s">
        <v>1481</v>
      </c>
      <c r="B20" s="152" t="str">
        <f ca="1">ADDRESS(MATCH($D20, INDIRECT("'" &amp; $C20 &amp; "'!$B:$B"), 0),MATCH(G$1, INDIRECT("'" &amp; $C20 &amp; "'!$1:$1"), 0))</f>
        <v>$G$69</v>
      </c>
      <c r="C20" s="166" t="s">
        <v>14</v>
      </c>
      <c r="D20" s="166" t="s">
        <v>15</v>
      </c>
      <c r="E20" s="193" t="s">
        <v>16</v>
      </c>
      <c r="F20" s="324"/>
      <c r="G20" s="324" t="str">
        <f t="array" aca="1" ref="G20" ca="1">HYPERLINK(CONCATENATE(Cartelle!$D$5,INDEX(INDIRECT("'" &amp; $C20 &amp; "'!$1:$1"), 1, MATCH(INDIRECT(CONCATENATE("'" &amp; $C20 &amp; "'!",ADDRESS(MATCH($D20, INDIRECT("'" &amp; $C20 &amp; "'!$B:$B"), 0),MATCH(G$1, INDIRECT("'" &amp; $C20 &amp; "'!$1:$1"), 0)))),INDIRECT(CONCATENATE("'" &amp; $C20 &amp; "'!",MATCH($D20, INDIRECT("'" &amp; $C20 &amp; "'!$B:$B"), 0),":",MATCH($D20, INDIRECT("'" &amp; $C20 &amp; "'!$B:$B"), 0))),0)),"/",$C20,"/",MID($D20,1,FIND("_",$D20)-1),"/",INDIRECT(CONCATENATE("'" &amp; $C20 &amp; "'!",ADDRESS(MATCH($D20, INDIRECT("'" &amp; $C20 &amp; "'!$B:$B"), 0),MATCH(G$1, INDIRECT("'" &amp; $C20 &amp; "'!$1:$1"), 0)))),".",INDIRECT(CONCATENATE("'"&amp;$C20&amp;"'!",ADDRESS(MATCH($D20,INDIRECT("'"&amp;$C20&amp;"'!$B:$B"),0),3))),"#page=",G21),CONCATENATE("#Sharepoint//",$D20))</f>
        <v>#Sharepoint//FS_DM1</v>
      </c>
    </row>
    <row r="21" spans="1:7" x14ac:dyDescent="0.25">
      <c r="A21" s="103" t="s">
        <v>1482</v>
      </c>
      <c r="B21" s="14" t="str">
        <f t="array" aca="1" ref="B21" ca="1">INDIRECT(CONCATENATE("'" &amp; $C20 &amp; "'!",ADDRESS(MATCH($D20, INDIRECT("'" &amp; $C20 &amp; "'!$B:$B"), 0),MATCH(G$1, INDIRECT("'" &amp; $C20 &amp; "'!$1:$1"), 0))))</f>
        <v>3ECP307211-1401</v>
      </c>
      <c r="C21" s="166" t="s">
        <v>14</v>
      </c>
      <c r="D21" s="166" t="s">
        <v>497</v>
      </c>
      <c r="E21" s="193" t="s">
        <v>16</v>
      </c>
      <c r="F21" s="13">
        <v>1</v>
      </c>
    </row>
    <row r="22" spans="1:7" x14ac:dyDescent="0.25">
      <c r="B22" s="14" t="str">
        <f t="array" aca="1" ref="B22" ca="1">INDIRECT(CONCATENATE("'"&amp;$C20&amp;"'!",MATCH($D20,INDIRECT("'"&amp;$C20&amp;"'!$B:$B"),0),":",MATCH($D20,INDIRECT("'"&amp;$C20&amp;"'!$B:$B"),0)))</f>
        <v>Functional schematics DM1</v>
      </c>
      <c r="C22" s="166" t="s">
        <v>14</v>
      </c>
      <c r="D22" s="166" t="s">
        <v>497</v>
      </c>
      <c r="E22" s="193" t="s">
        <v>16</v>
      </c>
    </row>
    <row r="23" spans="1:7" x14ac:dyDescent="0.25">
      <c r="B23" s="14" t="e">
        <f t="array" aca="1" ref="B23" ca="1">MATCH(INDIRECT(CONCATENATE("'"&amp;$C20&amp;"'!",ADDRESS(MATCH($D20,INDIRECT("'"&amp;$C20&amp;"'!$B:$B"),0),MATCH(G$1,INDIRECT("'"&amp;$C20&amp;"'!$1:$1"),0)))),INDIRECT(CONCATENATE("'"&amp;$C20&amp;"'!",MATCH($D20,INDIRECT("'"&amp;$C20&amp;"'!$B:$B"),0),":",MATCH($D20,INDIRECT("'"&amp;$C20&amp;"'!$B:$B"),0))))</f>
        <v>#N/A</v>
      </c>
      <c r="C23" s="166" t="s">
        <v>14</v>
      </c>
      <c r="D23" s="166" t="s">
        <v>497</v>
      </c>
      <c r="E23" s="193" t="s">
        <v>16</v>
      </c>
    </row>
    <row r="24" spans="1:7" x14ac:dyDescent="0.25">
      <c r="B24" s="13" t="str">
        <f t="array" aca="1" ref="B24" ca="1">INDEX(INDIRECT("'" &amp; $C20 &amp; "'!$1:$1"), 1, MATCH(INDIRECT(CONCATENATE("'" &amp; $C20 &amp; "'!",ADDRESS(MATCH($D20, INDIRECT("'" &amp; $C20 &amp; "'!$B:$B"), 0),MATCH(G$1, INDIRECT("'" &amp; $C20 &amp; "'!$1:$1"), 0)))),INDIRECT(CONCATENATE("'" &amp; $C20 &amp; "'!",MATCH($D20, INDIRECT("'" &amp; $C20 &amp; "'!$B:$B"), 0),":",MATCH($D20, INDIRECT("'" &amp; $C20 &amp; "'!$B:$B"), 0))),0))</f>
        <v>VZI_New14</v>
      </c>
    </row>
    <row r="28" spans="1:7" s="103" customFormat="1" collapsed="1" x14ac:dyDescent="0.25">
      <c r="A28" s="152"/>
      <c r="B28" s="166" t="s">
        <v>49</v>
      </c>
      <c r="C28" s="172" t="s">
        <v>50</v>
      </c>
      <c r="D28" s="199" t="s">
        <v>16</v>
      </c>
      <c r="E28" s="324" t="e">
        <f t="array" aca="1" ref="E28" ca="1">HYPERLINK(CONCATENATE(Cartelle!$D$5,E$1,"/",$B28,"/",MID($C28,1,FIND("_",$C28)-1),"/",INDIRECT(CONCATENATE("'" &amp; $B28 &amp; "'!",ADDRESS(MATCH($C28, INDIRECT("'" &amp; $B28 &amp; "'!$B:$B"), 0),MATCH(E$1, INDIRECT("'" &amp; $B28 &amp; "'!$1:$1"), 0)))),".pdf#page=",E29),CONCATENATE("#Sharepoint//",$C28))</f>
        <v>#N/A</v>
      </c>
      <c r="F28" s="324" t="str">
        <f t="array" aca="1" ref="F28" ca="1">HYPERLINK(CONCATENATE(Cartelle!$D$5,INDEX(INDIRECT("'" &amp; $B28 &amp; "'!$1:$1"), 1, MATCH(INDIRECT(CONCATENATE("'" &amp; $B28 &amp; "'!",ADDRESS(MATCH($C28, INDIRECT("'" &amp; $B28 &amp; "'!$B:$B"), 0),MATCH(F$1, INDIRECT("'" &amp; $B28 &amp; "'!$1:$1"), 0)))),INDIRECT(CONCATENATE("'" &amp; $B28 &amp; "'!",MATCH($C28, INDIRECT("'" &amp; $B28 &amp; "'!$B:$B"), 0),":",MATCH($C28, INDIRECT("'" &amp; $B28 &amp; "'!$B:$B"), 0))),0)),"/",$B28,"/",MID($C28,1,FIND("_",$C28)-1),"/",INDIRECT(CONCATENATE("'" &amp; $B28 &amp; "'!",ADDRESS(MATCH($C28, INDIRECT("'" &amp; $B28 &amp; "'!$B:$B"), 0),MATCH(F$1, INDIRECT("'" &amp; $B28 &amp; "'!$1:$1"), 0)))),".pdf#page=",F29),CONCATENATE("#Sharepoint//",$C28))</f>
        <v>#Sharepoint//PBC_01A</v>
      </c>
      <c r="G28" s="166"/>
    </row>
    <row r="29" spans="1:7" s="103" customFormat="1" hidden="1" x14ac:dyDescent="0.25">
      <c r="A29" s="152"/>
      <c r="B29" s="106"/>
      <c r="C29" s="368"/>
      <c r="D29" s="194" t="s">
        <v>17</v>
      </c>
      <c r="E29" s="50">
        <v>1</v>
      </c>
      <c r="F29" s="50">
        <v>1</v>
      </c>
      <c r="G29" s="50"/>
    </row>
    <row r="30" spans="1:7" s="103" customFormat="1" hidden="1" x14ac:dyDescent="0.25">
      <c r="A30" s="152"/>
      <c r="B30" s="106"/>
      <c r="C30" s="108"/>
      <c r="D30" s="85" t="s">
        <v>51</v>
      </c>
      <c r="E30" s="50"/>
      <c r="F30" s="50"/>
      <c r="G30" s="50"/>
    </row>
    <row r="31" spans="1:7" s="103" customFormat="1" collapsed="1" x14ac:dyDescent="0.25">
      <c r="A31" s="152"/>
      <c r="B31" s="166" t="s">
        <v>56</v>
      </c>
      <c r="C31" s="172" t="s">
        <v>1483</v>
      </c>
      <c r="D31" s="199" t="s">
        <v>43</v>
      </c>
      <c r="E31" s="166"/>
      <c r="F31" s="166"/>
      <c r="G31" s="16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oglio10"/>
  <dimension ref="B1:I17"/>
  <sheetViews>
    <sheetView workbookViewId="0">
      <selection activeCell="F28" sqref="F28"/>
    </sheetView>
  </sheetViews>
  <sheetFormatPr defaultRowHeight="15" x14ac:dyDescent="0.25"/>
  <cols>
    <col min="2" max="2" width="41.85546875" customWidth="1"/>
    <col min="7" max="7" width="6.140625" bestFit="1" customWidth="1"/>
  </cols>
  <sheetData>
    <row r="1" spans="2:9" ht="15.75" customHeight="1" thickBot="1" x14ac:dyDescent="0.3"/>
    <row r="2" spans="2:9" ht="15.75" customHeight="1" thickBot="1" x14ac:dyDescent="0.3">
      <c r="C2" s="2" t="s">
        <v>1484</v>
      </c>
      <c r="D2" s="2" t="s">
        <v>1485</v>
      </c>
      <c r="E2" s="2" t="s">
        <v>1486</v>
      </c>
      <c r="F2" s="2" t="s">
        <v>1487</v>
      </c>
      <c r="G2" s="2" t="s">
        <v>1488</v>
      </c>
      <c r="H2" s="2" t="s">
        <v>1000</v>
      </c>
      <c r="I2" s="3" t="s">
        <v>1489</v>
      </c>
    </row>
    <row r="3" spans="2:9" ht="15.75" customHeight="1" thickBot="1" x14ac:dyDescent="0.3">
      <c r="B3" s="2" t="s">
        <v>1490</v>
      </c>
      <c r="C3" s="9"/>
      <c r="D3" s="8" t="s">
        <v>1491</v>
      </c>
      <c r="E3" s="8" t="s">
        <v>1491</v>
      </c>
      <c r="F3" s="8" t="s">
        <v>1491</v>
      </c>
      <c r="G3" s="8"/>
      <c r="H3" s="8" t="s">
        <v>1491</v>
      </c>
      <c r="I3" s="8" t="s">
        <v>1491</v>
      </c>
    </row>
    <row r="4" spans="2:9" ht="30.75" customHeight="1" thickBot="1" x14ac:dyDescent="0.3">
      <c r="B4" s="4" t="s">
        <v>1492</v>
      </c>
      <c r="C4" s="10"/>
      <c r="D4" s="7" t="s">
        <v>1491</v>
      </c>
      <c r="E4" s="7" t="s">
        <v>1491</v>
      </c>
      <c r="F4" s="7" t="s">
        <v>1491</v>
      </c>
      <c r="G4" s="7"/>
      <c r="H4" s="7" t="s">
        <v>1491</v>
      </c>
      <c r="I4" s="7" t="s">
        <v>1491</v>
      </c>
    </row>
    <row r="5" spans="2:9" ht="15.75" customHeight="1" thickBot="1" x14ac:dyDescent="0.3">
      <c r="B5" s="2" t="s">
        <v>1493</v>
      </c>
      <c r="C5" s="10"/>
      <c r="D5" s="7" t="s">
        <v>1491</v>
      </c>
      <c r="E5" s="7" t="s">
        <v>1491</v>
      </c>
      <c r="F5" s="7" t="s">
        <v>1491</v>
      </c>
      <c r="G5" s="7"/>
      <c r="H5" s="7" t="s">
        <v>1491</v>
      </c>
      <c r="I5" s="7" t="s">
        <v>1491</v>
      </c>
    </row>
    <row r="6" spans="2:9" ht="15.75" customHeight="1" thickBot="1" x14ac:dyDescent="0.3">
      <c r="B6" s="2" t="s">
        <v>1494</v>
      </c>
      <c r="C6" s="10"/>
      <c r="D6" s="7" t="s">
        <v>1491</v>
      </c>
      <c r="E6" s="7" t="s">
        <v>1491</v>
      </c>
      <c r="F6" s="7" t="s">
        <v>1491</v>
      </c>
      <c r="G6" s="7"/>
      <c r="H6" s="7" t="s">
        <v>1491</v>
      </c>
      <c r="I6" s="7" t="s">
        <v>1491</v>
      </c>
    </row>
    <row r="7" spans="2:9" ht="15.75" customHeight="1" thickBot="1" x14ac:dyDescent="0.3">
      <c r="B7" s="2" t="s">
        <v>1495</v>
      </c>
      <c r="C7" s="10"/>
      <c r="D7" s="7"/>
      <c r="E7" s="7"/>
      <c r="F7" s="7"/>
      <c r="G7" s="7"/>
      <c r="H7" s="7"/>
      <c r="I7" s="7"/>
    </row>
    <row r="8" spans="2:9" ht="15.75" customHeight="1" thickBot="1" x14ac:dyDescent="0.3">
      <c r="B8" s="2" t="s">
        <v>1496</v>
      </c>
      <c r="C8" s="10"/>
      <c r="D8" s="7" t="s">
        <v>1491</v>
      </c>
      <c r="E8" s="7" t="s">
        <v>1491</v>
      </c>
      <c r="F8" s="7" t="s">
        <v>1491</v>
      </c>
      <c r="G8" s="7"/>
      <c r="H8" s="7" t="s">
        <v>1491</v>
      </c>
      <c r="I8" s="7" t="s">
        <v>1491</v>
      </c>
    </row>
    <row r="9" spans="2:9" ht="15.75" customHeight="1" thickBot="1" x14ac:dyDescent="0.3">
      <c r="B9" s="2" t="s">
        <v>1497</v>
      </c>
      <c r="C9" s="10"/>
      <c r="D9" s="7"/>
      <c r="E9" s="7"/>
      <c r="F9" s="7"/>
      <c r="G9" s="7"/>
      <c r="H9" s="7"/>
      <c r="I9" s="7"/>
    </row>
    <row r="10" spans="2:9" ht="45.75" customHeight="1" thickBot="1" x14ac:dyDescent="0.3">
      <c r="B10" s="4" t="s">
        <v>1498</v>
      </c>
      <c r="C10" s="10"/>
      <c r="D10" s="7" t="s">
        <v>1491</v>
      </c>
      <c r="E10" s="7" t="s">
        <v>1491</v>
      </c>
      <c r="F10" s="7" t="s">
        <v>1491</v>
      </c>
      <c r="G10" s="7"/>
      <c r="H10" s="7" t="s">
        <v>1491</v>
      </c>
      <c r="I10" s="7" t="s">
        <v>1491</v>
      </c>
    </row>
    <row r="11" spans="2:9" ht="15.75" customHeight="1" thickBot="1" x14ac:dyDescent="0.3">
      <c r="B11" s="2" t="s">
        <v>1499</v>
      </c>
      <c r="C11" s="10"/>
      <c r="D11" s="7"/>
      <c r="E11" s="7"/>
      <c r="F11" s="7"/>
      <c r="G11" s="7"/>
      <c r="H11" s="7"/>
      <c r="I11" s="7"/>
    </row>
    <row r="12" spans="2:9" ht="15.75" customHeight="1" thickBot="1" x14ac:dyDescent="0.3">
      <c r="B12" s="2" t="s">
        <v>1500</v>
      </c>
      <c r="C12" s="5"/>
      <c r="D12" s="1"/>
      <c r="E12" s="1"/>
      <c r="F12" s="1"/>
      <c r="G12" s="1"/>
      <c r="H12" s="1"/>
      <c r="I12" s="1"/>
    </row>
    <row r="13" spans="2:9" ht="15.75" customHeight="1" thickBot="1" x14ac:dyDescent="0.3">
      <c r="B13" s="2" t="s">
        <v>1501</v>
      </c>
      <c r="C13" s="5"/>
      <c r="D13" s="1"/>
      <c r="E13" s="1"/>
      <c r="F13" s="1"/>
      <c r="G13" s="1"/>
      <c r="H13" s="1"/>
      <c r="I13" s="1"/>
    </row>
    <row r="14" spans="2:9" ht="15.75" customHeight="1" thickBot="1" x14ac:dyDescent="0.3">
      <c r="B14" s="6" t="s">
        <v>1502</v>
      </c>
      <c r="C14" s="5"/>
      <c r="D14" s="1"/>
      <c r="E14" s="1"/>
      <c r="F14" s="1"/>
      <c r="G14" s="1"/>
      <c r="H14" s="1"/>
      <c r="I14" s="1"/>
    </row>
    <row r="15" spans="2:9" ht="15.75" customHeight="1" thickBot="1" x14ac:dyDescent="0.3">
      <c r="B15" s="2" t="s">
        <v>1503</v>
      </c>
      <c r="C15" s="5"/>
      <c r="D15" s="1"/>
      <c r="E15" s="1"/>
      <c r="F15" s="1"/>
      <c r="G15" s="1"/>
      <c r="H15" s="1"/>
      <c r="I15" s="1"/>
    </row>
    <row r="16" spans="2:9" ht="15.75" customHeight="1" thickBot="1" x14ac:dyDescent="0.3">
      <c r="B16" s="2" t="s">
        <v>1504</v>
      </c>
      <c r="C16" s="5"/>
      <c r="D16" s="1"/>
      <c r="E16" s="1"/>
      <c r="F16" s="1"/>
      <c r="G16" s="1"/>
      <c r="H16" s="1"/>
      <c r="I16" s="1"/>
    </row>
    <row r="17" spans="2:9" ht="15.75" customHeight="1" thickBot="1" x14ac:dyDescent="0.3">
      <c r="B17" s="11" t="s">
        <v>1505</v>
      </c>
      <c r="C17" s="1"/>
      <c r="D17" s="1"/>
      <c r="E17" s="1"/>
      <c r="F17" s="1"/>
      <c r="G17" s="1"/>
      <c r="H17" s="1"/>
      <c r="I17" s="1"/>
    </row>
  </sheetData>
  <pageMargins left="0.7" right="0.7" top="0.75" bottom="0.75" header="0.3" footer="0.3"/>
  <headerFooter>
    <oddFooter>&amp;C&amp;"Aptos"&amp;10 &amp;K000000_x000D_# Informazione ad uso interno - Internal use information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13</vt:i4>
      </vt:variant>
    </vt:vector>
  </HeadingPairs>
  <TitlesOfParts>
    <vt:vector size="13" baseType="lpstr">
      <vt:lpstr>Issue</vt:lpstr>
      <vt:lpstr>ToDo</vt:lpstr>
      <vt:lpstr>Cartelle</vt:lpstr>
      <vt:lpstr>Flotte</vt:lpstr>
      <vt:lpstr>CONFIG</vt:lpstr>
      <vt:lpstr>GENERAL</vt:lpstr>
      <vt:lpstr>MAN_CPR</vt:lpstr>
      <vt:lpstr>DIAGNOSTIC</vt:lpstr>
      <vt:lpstr>Funzioni</vt:lpstr>
      <vt:lpstr>PBS (TBD)</vt:lpstr>
      <vt:lpstr>Struttura</vt:lpstr>
      <vt:lpstr>LINK F</vt:lpstr>
      <vt:lpstr>Modifiche progettuali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MIRANDA SIMONA</dc:creator>
  <cp:lastModifiedBy>CASINI GABRIELE</cp:lastModifiedBy>
  <dcterms:created xsi:type="dcterms:W3CDTF">2015-06-05T18:19:34Z</dcterms:created>
  <dcterms:modified xsi:type="dcterms:W3CDTF">2026-07-07T16:20:50Z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0x010100713C8E1CBF8C9C478FBCA521FF5AE747</vt:lpwstr>
  </property>
  <property fmtid="{D5CDD505-2E9C-101B-9397-08002B2CF9AE}" pid="3" name="MSIP_Label_886719c9-282b-4f1b-a005-55ab1b897fee_Enabled">
    <vt:lpwstr>true</vt:lpwstr>
  </property>
  <property fmtid="{D5CDD505-2E9C-101B-9397-08002B2CF9AE}" pid="4" name="MSIP_Label_886719c9-282b-4f1b-a005-55ab1b897fee_SetDate">
    <vt:lpwstr>2025-11-06T16:11:52Z</vt:lpwstr>
  </property>
  <property fmtid="{D5CDD505-2E9C-101B-9397-08002B2CF9AE}" pid="5" name="MSIP_Label_886719c9-282b-4f1b-a005-55ab1b897fee_Method">
    <vt:lpwstr>Standard</vt:lpwstr>
  </property>
  <property fmtid="{D5CDD505-2E9C-101B-9397-08002B2CF9AE}" pid="6" name="MSIP_Label_886719c9-282b-4f1b-a005-55ab1b897fee_Name">
    <vt:lpwstr>Internal use without protection</vt:lpwstr>
  </property>
  <property fmtid="{D5CDD505-2E9C-101B-9397-08002B2CF9AE}" pid="7" name="MSIP_Label_886719c9-282b-4f1b-a005-55ab1b897fee_SiteId">
    <vt:lpwstr>4c8a6547-459a-4b75-a3dc-f66efe3e9c4e</vt:lpwstr>
  </property>
  <property fmtid="{D5CDD505-2E9C-101B-9397-08002B2CF9AE}" pid="8" name="MSIP_Label_886719c9-282b-4f1b-a005-55ab1b897fee_ActionId">
    <vt:lpwstr>b7d0f9bc-0f68-4257-8c97-866d80925a8c</vt:lpwstr>
  </property>
  <property fmtid="{D5CDD505-2E9C-101B-9397-08002B2CF9AE}" pid="9" name="MSIP_Label_886719c9-282b-4f1b-a005-55ab1b897fee_ContentBits">
    <vt:lpwstr>2</vt:lpwstr>
  </property>
  <property fmtid="{D5CDD505-2E9C-101B-9397-08002B2CF9AE}" pid="10" name="MSIP_Label_886719c9-282b-4f1b-a005-55ab1b897fee_Tag">
    <vt:lpwstr>10, 3, 0, 1</vt:lpwstr>
  </property>
  <property fmtid="{D5CDD505-2E9C-101B-9397-08002B2CF9AE}" pid="11" name="MediaServiceImageTags">
    <vt:lpwstr/>
  </property>
</Properties>
</file>