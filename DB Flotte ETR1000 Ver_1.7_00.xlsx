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0"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PBS (TBD)" sheetId="10" state="visible" r:id="rId10"/>
    <sheet xmlns:r="http://schemas.openxmlformats.org/officeDocument/2006/relationships" name="Struttura" sheetId="11" state="visible" r:id="rId11"/>
    <sheet xmlns:r="http://schemas.openxmlformats.org/officeDocument/2006/relationships" name="LINK F" sheetId="12" state="visible" r:id="rId12"/>
    <sheet xmlns:r="http://schemas.openxmlformats.org/officeDocument/2006/relationships" name="Modifiche progettuali" sheetId="13" state="visible" r:id="rId13"/>
  </sheets>
  <definedNames>
    <definedName name="_xlnm._FilterDatabase" localSheetId="9" hidden="1">'PBS (TBD)'!$A$2:$R$86</definedName>
  </definedNames>
  <calcPr calcId="191029" fullCalcOnLoad="1"/>
</workbook>
</file>

<file path=xl/styles.xml><?xml version="1.0" encoding="utf-8"?>
<styleSheet xmlns="http://schemas.openxmlformats.org/spreadsheetml/2006/main">
  <numFmts count="1">
    <numFmt numFmtId="164" formatCode="[$-410]mmm\-yy;@"/>
  </numFmts>
  <fonts count="46">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b val="1"/>
      <strike val="1"/>
      <color theme="1"/>
      <sz val="11"/>
      <scheme val="minor"/>
    </font>
    <font>
      <name val="Calibri"/>
      <family val="2"/>
      <b val="1"/>
      <strike val="1"/>
      <color rgb="FFFF0000"/>
      <sz val="11"/>
      <scheme val="minor"/>
    </font>
    <font>
      <name val="Calibri"/>
      <family val="2"/>
      <strike val="1"/>
      <color theme="1"/>
      <sz val="11"/>
      <scheme val="minor"/>
    </font>
    <font>
      <name val="Calibri"/>
      <family val="2"/>
      <strike val="1"/>
      <color theme="10"/>
      <sz val="11"/>
      <u val="single"/>
      <scheme val="minor"/>
    </font>
    <font>
      <name val="Calibri"/>
      <family val="2"/>
      <strike val="1"/>
      <sz val="11"/>
      <scheme val="minor"/>
    </font>
    <font>
      <name val="Calibri"/>
      <family val="2"/>
      <strike val="1"/>
      <sz val="11"/>
      <u val="single"/>
      <scheme val="minor"/>
    </font>
    <font>
      <name val="Calibri"/>
      <family val="2"/>
      <b val="1"/>
      <strike val="1"/>
      <color theme="10"/>
      <sz val="11"/>
      <u val="single"/>
      <scheme val="minor"/>
    </font>
    <font>
      <name val="Calibri"/>
      <family val="2"/>
      <i val="1"/>
      <color rgb="FFFF0000"/>
      <sz val="11"/>
      <scheme val="minor"/>
    </font>
    <font>
      <name val="Calibri"/>
      <family val="2"/>
      <color theme="9"/>
      <sz val="11"/>
      <scheme val="minor"/>
    </font>
    <font>
      <name val="Calibri"/>
      <color rgb="FF00AA00"/>
      <sz val="11"/>
    </font>
    <font>
      <name val="Calibri"/>
      <color rgb="FFCC0000"/>
      <sz val="11"/>
    </font>
    <font>
      <name val="Calibri"/>
      <color rgb="FFCC0000"/>
      <sz val="11"/>
    </font>
    <font>
      <name val="Calibri"/>
      <color rgb="FF00AA00"/>
      <sz val="11"/>
    </font>
    <font>
      <name val="Calibri"/>
      <color rgb="FF00AA00"/>
      <sz val="11"/>
    </font>
    <font>
      <name val="Calibri"/>
      <color rgb="FFCC0000"/>
      <sz val="11"/>
    </font>
    <font>
      <name val="Calibri"/>
      <color rgb="FF000000"/>
      <sz val="11"/>
    </font>
    <font>
      <name val="Calibri"/>
      <color rgb="FFCC0000"/>
      <sz val="11"/>
    </font>
    <font>
      <name val="Calibri"/>
      <color rgb="FF00AA00"/>
      <sz val="11"/>
    </font>
    <font>
      <name val="Calibri"/>
      <family val="2"/>
      <b val="1"/>
      <color theme="1"/>
      <sz val="9"/>
    </font>
    <font>
      <name val="Tahoma"/>
      <charset val="1"/>
      <color indexed="81"/>
      <sz val="9"/>
    </font>
    <font>
      <name val="Tahoma"/>
      <charset val="1"/>
      <b val="1"/>
      <color indexed="81"/>
      <sz val="9"/>
    </font>
    <font>
      <name val="Tahoma"/>
      <family val="2"/>
      <b val="1"/>
      <color indexed="81"/>
      <sz val="9"/>
    </font>
    <font>
      <name val="Tahoma"/>
      <family val="2"/>
      <color indexed="81"/>
      <sz val="9"/>
    </font>
    <font>
      <color rgb="0000AA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12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right style="thin">
        <color indexed="64"/>
      </right>
      <top style="thin">
        <color indexed="64"/>
      </top>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top style="thin">
        <color auto="1"/>
      </top>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style="thin">
        <color auto="1"/>
      </left>
      <right/>
      <top/>
      <bottom/>
      <diagonal/>
    </border>
    <border>
      <left/>
      <right style="thin">
        <color indexed="64"/>
      </right>
      <top style="medium">
        <color indexed="64"/>
      </top>
      <bottom/>
      <diagonal/>
    </border>
  </borders>
  <cellStyleXfs count="2">
    <xf numFmtId="0" fontId="0" fillId="0" borderId="0"/>
    <xf numFmtId="0" fontId="15" fillId="0" borderId="0"/>
  </cellStyleXfs>
  <cellXfs count="638">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2" applyAlignment="1" pivotButton="0" quotePrefix="0" xfId="0">
      <alignment wrapText="1"/>
    </xf>
    <xf numFmtId="0" fontId="0" fillId="0" borderId="5" pivotButton="0" quotePrefix="0" xfId="0"/>
    <xf numFmtId="0" fontId="0" fillId="0" borderId="6" pivotButton="0" quotePrefix="0" xfId="0"/>
    <xf numFmtId="0" fontId="0" fillId="0" borderId="1" applyAlignment="1" pivotButton="0" quotePrefix="0" xfId="0">
      <alignment horizontal="center" vertical="center"/>
    </xf>
    <xf numFmtId="0" fontId="0" fillId="0" borderId="4"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8" applyAlignment="1" pivotButton="0" quotePrefix="0" xfId="0">
      <alignment horizontal="center" vertical="center"/>
    </xf>
    <xf numFmtId="0" fontId="3" fillId="0" borderId="9" applyAlignment="1" pivotButton="0" quotePrefix="0" xfId="0">
      <alignment horizontal="center" vertical="center"/>
    </xf>
    <xf numFmtId="0" fontId="3" fillId="0" borderId="12"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16" applyAlignment="1" pivotButton="0" quotePrefix="0" xfId="0">
      <alignment horizontal="center" vertical="center"/>
    </xf>
    <xf numFmtId="0" fontId="4" fillId="0" borderId="4" pivotButton="0" quotePrefix="0" xfId="0"/>
    <xf numFmtId="0" fontId="0" fillId="0" borderId="18" applyAlignment="1" pivotButton="0" quotePrefix="0" xfId="0">
      <alignment wrapText="1"/>
    </xf>
    <xf numFmtId="0" fontId="4" fillId="3" borderId="4" pivotButton="0" quotePrefix="0" xfId="0"/>
    <xf numFmtId="0" fontId="0" fillId="3" borderId="0" applyAlignment="1" pivotButton="0" quotePrefix="0" xfId="0">
      <alignment horizontal="center" vertical="center" wrapText="1"/>
    </xf>
    <xf numFmtId="0" fontId="0" fillId="3" borderId="18" applyAlignment="1" pivotButton="0" quotePrefix="0" xfId="0">
      <alignment wrapText="1"/>
    </xf>
    <xf numFmtId="0" fontId="0" fillId="0" borderId="4" pivotButton="0" quotePrefix="0" xfId="0"/>
    <xf numFmtId="0" fontId="6" fillId="0" borderId="18" applyAlignment="1" pivotButton="0" quotePrefix="0" xfId="0">
      <alignment wrapText="1"/>
    </xf>
    <xf numFmtId="0" fontId="4" fillId="2" borderId="4" pivotButton="0" quotePrefix="0" xfId="0"/>
    <xf numFmtId="0" fontId="0" fillId="2" borderId="4" pivotButton="0" quotePrefix="0" xfId="0"/>
    <xf numFmtId="0" fontId="0" fillId="2" borderId="18" applyAlignment="1" pivotButton="0" quotePrefix="0" xfId="0">
      <alignment wrapText="1"/>
    </xf>
    <xf numFmtId="0" fontId="3" fillId="0" borderId="20" applyAlignment="1" pivotButton="0" quotePrefix="0" xfId="0">
      <alignment horizontal="center" vertical="center"/>
    </xf>
    <xf numFmtId="0" fontId="4" fillId="0" borderId="1" pivotButton="0" quotePrefix="0" xfId="0"/>
    <xf numFmtId="3" fontId="0" fillId="0" borderId="1" applyAlignment="1" pivotButton="0" quotePrefix="0" xfId="0">
      <alignment horizontal="left"/>
    </xf>
    <xf numFmtId="0" fontId="0" fillId="0" borderId="21" pivotButton="0" quotePrefix="0" xfId="0"/>
    <xf numFmtId="0" fontId="4" fillId="3" borderId="1" pivotButton="0" quotePrefix="0" xfId="0"/>
    <xf numFmtId="3" fontId="0" fillId="3" borderId="1" applyAlignment="1" pivotButton="0" quotePrefix="0" xfId="0">
      <alignment horizontal="left"/>
    </xf>
    <xf numFmtId="0" fontId="0" fillId="3" borderId="21" pivotButton="0" quotePrefix="0" xfId="0"/>
    <xf numFmtId="3" fontId="0" fillId="0" borderId="1" applyAlignment="1" pivotButton="0" quotePrefix="0" xfId="0">
      <alignment horizontal="center"/>
    </xf>
    <xf numFmtId="0" fontId="4" fillId="2" borderId="1" pivotButton="0" quotePrefix="0" xfId="0"/>
    <xf numFmtId="3" fontId="0" fillId="2" borderId="1" applyAlignment="1" pivotButton="0" quotePrefix="0" xfId="0">
      <alignment horizontal="left"/>
    </xf>
    <xf numFmtId="0" fontId="0" fillId="2" borderId="21" pivotButton="0" quotePrefix="0" xfId="0"/>
    <xf numFmtId="0" fontId="0" fillId="3" borderId="1" pivotButton="0" quotePrefix="0" xfId="0"/>
    <xf numFmtId="0" fontId="0" fillId="0" borderId="1" applyAlignment="1" pivotButton="0" quotePrefix="0" xfId="0">
      <alignment horizontal="center"/>
    </xf>
    <xf numFmtId="0" fontId="0" fillId="2" borderId="1" pivotButton="0" quotePrefix="0" xfId="0"/>
    <xf numFmtId="0" fontId="0" fillId="0" borderId="1" applyAlignment="1" pivotButton="0" quotePrefix="0" xfId="0">
      <alignment wrapText="1"/>
    </xf>
    <xf numFmtId="0" fontId="0" fillId="3" borderId="1" applyAlignment="1" pivotButton="0" quotePrefix="0" xfId="0">
      <alignment wrapText="1"/>
    </xf>
    <xf numFmtId="0" fontId="0" fillId="0" borderId="1" applyAlignment="1" pivotButton="0" quotePrefix="0" xfId="0">
      <alignment horizontal="center" wrapText="1"/>
    </xf>
    <xf numFmtId="0" fontId="0" fillId="2" borderId="1" applyAlignment="1" pivotButton="0" quotePrefix="0" xfId="0">
      <alignment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4" fillId="0" borderId="25" pivotButton="0" quotePrefix="0" xfId="0"/>
    <xf numFmtId="0" fontId="0" fillId="0" borderId="25" pivotButton="0" quotePrefix="0" xfId="0"/>
    <xf numFmtId="0" fontId="0" fillId="0" borderId="26" pivotButton="0" quotePrefix="0" xfId="0"/>
    <xf numFmtId="0" fontId="4" fillId="3" borderId="25" pivotButton="0" quotePrefix="0" xfId="0"/>
    <xf numFmtId="0" fontId="0" fillId="3" borderId="25" pivotButton="0" quotePrefix="0" xfId="0"/>
    <xf numFmtId="0" fontId="0" fillId="3" borderId="26" pivotButton="0" quotePrefix="0" xfId="0"/>
    <xf numFmtId="0" fontId="4" fillId="2" borderId="25" pivotButton="0" quotePrefix="0" xfId="0"/>
    <xf numFmtId="0" fontId="0" fillId="2" borderId="25" pivotButton="0" quotePrefix="0" xfId="0"/>
    <xf numFmtId="0" fontId="0" fillId="2" borderId="26" pivotButton="0" quotePrefix="0" xfId="0"/>
    <xf numFmtId="0" fontId="0" fillId="0" borderId="29" pivotButton="0" quotePrefix="0" xfId="0"/>
    <xf numFmtId="0" fontId="0" fillId="0" borderId="29" applyAlignment="1" pivotButton="0" quotePrefix="0" xfId="0">
      <alignment horizontal="center"/>
    </xf>
    <xf numFmtId="0" fontId="0" fillId="0" borderId="30" pivotButton="0" quotePrefix="0" xfId="0"/>
    <xf numFmtId="0" fontId="0" fillId="2" borderId="29" pivotButton="0" quotePrefix="0" xfId="0"/>
    <xf numFmtId="0" fontId="0" fillId="2" borderId="30" pivotButton="0" quotePrefix="0" xfId="0"/>
    <xf numFmtId="0" fontId="3" fillId="0" borderId="31" applyAlignment="1" pivotButton="0" quotePrefix="0" xfId="0">
      <alignment horizontal="center" vertical="center"/>
    </xf>
    <xf numFmtId="0" fontId="5" fillId="0" borderId="1" applyAlignment="1" pivotButton="0" quotePrefix="0" xfId="0">
      <alignment horizontal="center"/>
    </xf>
    <xf numFmtId="0" fontId="7" fillId="0" borderId="21" pivotButton="0" quotePrefix="0" xfId="0"/>
    <xf numFmtId="0" fontId="8" fillId="0" borderId="21" pivotButton="0" quotePrefix="0" xfId="0"/>
    <xf numFmtId="0" fontId="0" fillId="0" borderId="4" applyAlignment="1" pivotButton="0" quotePrefix="0" xfId="0">
      <alignment horizontal="center"/>
    </xf>
    <xf numFmtId="0" fontId="9" fillId="0" borderId="0" applyAlignment="1" pivotButton="0" quotePrefix="0" xfId="0">
      <alignment horizontal="center"/>
    </xf>
    <xf numFmtId="0" fontId="10" fillId="0" borderId="1" applyAlignment="1" pivotButton="0" quotePrefix="0" xfId="0">
      <alignment horizontal="center" vertical="center"/>
    </xf>
    <xf numFmtId="0" fontId="0" fillId="2" borderId="1" applyAlignment="1" pivotButton="0" quotePrefix="0" xfId="0">
      <alignment horizontal="center"/>
    </xf>
    <xf numFmtId="0" fontId="11" fillId="0" borderId="1" applyAlignment="1" pivotButton="0" quotePrefix="0" xfId="0">
      <alignment horizontal="center"/>
    </xf>
    <xf numFmtId="0" fontId="3" fillId="0" borderId="6" applyAlignment="1" pivotButton="0" quotePrefix="0" xfId="0">
      <alignment horizontal="center" vertical="center"/>
    </xf>
    <xf numFmtId="0" fontId="0" fillId="0" borderId="28" pivotButton="0" quotePrefix="0" xfId="0"/>
    <xf numFmtId="0" fontId="4" fillId="0" borderId="27" pivotButton="0" quotePrefix="0" xfId="0"/>
    <xf numFmtId="0" fontId="0" fillId="0" borderId="34" pivotButton="0" quotePrefix="0" xfId="0"/>
    <xf numFmtId="0" fontId="0" fillId="0" borderId="30" applyAlignment="1" pivotButton="0" quotePrefix="0" xfId="0">
      <alignment wrapText="1"/>
    </xf>
    <xf numFmtId="0" fontId="0" fillId="0" borderId="32" pivotButton="0" quotePrefix="0" xfId="0"/>
    <xf numFmtId="0" fontId="4" fillId="0" borderId="20" pivotButton="0" quotePrefix="0" xfId="0"/>
    <xf numFmtId="0" fontId="4" fillId="0" borderId="20" applyAlignment="1" pivotButton="0" quotePrefix="0" xfId="0">
      <alignment vertical="center"/>
    </xf>
    <xf numFmtId="0" fontId="5" fillId="0" borderId="1" applyAlignment="1" pivotButton="0" quotePrefix="0" xfId="0">
      <alignment vertical="center" wrapText="1"/>
    </xf>
    <xf numFmtId="0" fontId="8" fillId="0" borderId="21" applyAlignment="1" pivotButton="0" quotePrefix="0" xfId="0">
      <alignment wrapText="1"/>
    </xf>
    <xf numFmtId="0" fontId="0" fillId="0" borderId="1" applyAlignment="1" pivotButton="0" quotePrefix="0" xfId="0">
      <alignment horizontal="left" vertical="center" wrapText="1"/>
    </xf>
    <xf numFmtId="0" fontId="0" fillId="0" borderId="1" applyAlignment="1" pivotButton="0" quotePrefix="0" xfId="0">
      <alignment vertical="center" wrapText="1"/>
    </xf>
    <xf numFmtId="0" fontId="8" fillId="0" borderId="21" applyAlignment="1" pivotButton="0" quotePrefix="0" xfId="0">
      <alignment vertical="center" wrapText="1"/>
    </xf>
    <xf numFmtId="0" fontId="5" fillId="0" borderId="1" pivotButton="0" quotePrefix="0" xfId="0"/>
    <xf numFmtId="0" fontId="0" fillId="0" borderId="23" pivotButton="0" quotePrefix="0" xfId="0"/>
    <xf numFmtId="0" fontId="4" fillId="0" borderId="41" pivotButton="0" quotePrefix="0" xfId="0"/>
    <xf numFmtId="0" fontId="0" fillId="0" borderId="42" pivotButton="0" quotePrefix="0" xfId="0"/>
    <xf numFmtId="0" fontId="0" fillId="0" borderId="39" pivotButton="0" quotePrefix="0" xfId="0"/>
    <xf numFmtId="0" fontId="5" fillId="0" borderId="42" pivotButton="0" quotePrefix="0" xfId="0"/>
    <xf numFmtId="0" fontId="0" fillId="0" borderId="45" pivotButton="0" quotePrefix="0" xfId="0"/>
    <xf numFmtId="0" fontId="4" fillId="0" borderId="29" pivotButton="0" quotePrefix="0" xfId="0"/>
    <xf numFmtId="0" fontId="0" fillId="0" borderId="29" applyAlignment="1" pivotButton="0" quotePrefix="0" xfId="0">
      <alignment wrapText="1"/>
    </xf>
    <xf numFmtId="0" fontId="6" fillId="0" borderId="1" pivotButton="0" quotePrefix="0" xfId="0"/>
    <xf numFmtId="0" fontId="4" fillId="0" borderId="42" pivotButton="0" quotePrefix="0" xfId="0"/>
    <xf numFmtId="0" fontId="0" fillId="0" borderId="49" pivotButton="0" quotePrefix="0" xfId="0"/>
    <xf numFmtId="0" fontId="3" fillId="0" borderId="2" applyAlignment="1" pivotButton="0" quotePrefix="0" xfId="0">
      <alignment horizontal="center" vertical="center" wrapText="1"/>
    </xf>
    <xf numFmtId="0" fontId="13" fillId="0" borderId="2" applyAlignment="1" pivotButton="0" quotePrefix="0" xfId="0">
      <alignment horizontal="center" vertical="center"/>
    </xf>
    <xf numFmtId="0" fontId="14" fillId="0" borderId="15"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35" applyAlignment="1" pivotButton="0" quotePrefix="0" xfId="0">
      <alignment horizontal="center" vertical="center" wrapText="1"/>
    </xf>
    <xf numFmtId="0" fontId="0" fillId="0" borderId="59" applyAlignment="1" pivotButton="0" quotePrefix="0" xfId="0">
      <alignment horizontal="center" vertical="center" wrapText="1"/>
    </xf>
    <xf numFmtId="0" fontId="0" fillId="0" borderId="57"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16" applyAlignment="1" pivotButton="0" quotePrefix="0" xfId="0">
      <alignment horizontal="center" vertical="center" wrapText="1"/>
    </xf>
    <xf numFmtId="0" fontId="0" fillId="0" borderId="58" applyAlignment="1" pivotButton="0" quotePrefix="0" xfId="0">
      <alignment horizontal="left" vertical="center" wrapText="1"/>
    </xf>
    <xf numFmtId="0" fontId="0" fillId="0" borderId="4" applyAlignment="1" pivotButton="0" quotePrefix="0" xfId="0">
      <alignment horizontal="left" vertical="center" wrapText="1"/>
    </xf>
    <xf numFmtId="0" fontId="0" fillId="0" borderId="35" applyAlignment="1" pivotButton="0" quotePrefix="0" xfId="0">
      <alignment horizontal="left" vertical="center" wrapText="1"/>
    </xf>
    <xf numFmtId="0" fontId="0" fillId="2" borderId="35" applyAlignment="1" pivotButton="0" quotePrefix="0" xfId="0">
      <alignment horizontal="center" vertical="center" wrapText="1"/>
    </xf>
    <xf numFmtId="0" fontId="0" fillId="2" borderId="59" applyAlignment="1" pivotButton="0" quotePrefix="0" xfId="0">
      <alignment horizontal="center" vertical="center" wrapText="1"/>
    </xf>
    <xf numFmtId="0" fontId="0" fillId="2" borderId="58" applyAlignment="1" pivotButton="0" quotePrefix="0" xfId="0">
      <alignment horizontal="center" vertical="center" wrapText="1"/>
    </xf>
    <xf numFmtId="0" fontId="16" fillId="0" borderId="35" applyAlignment="1" pivotButton="0" quotePrefix="0" xfId="0">
      <alignment horizontal="center" vertical="center" wrapText="1"/>
    </xf>
    <xf numFmtId="0" fontId="16" fillId="0" borderId="58" applyAlignment="1" pivotButton="0" quotePrefix="0" xfId="0">
      <alignment horizontal="center" vertical="center" wrapText="1"/>
    </xf>
    <xf numFmtId="0" fontId="3" fillId="5" borderId="1" applyAlignment="1" pivotButton="0" quotePrefix="0" xfId="0">
      <alignment horizontal="center" vertical="center" wrapText="1"/>
    </xf>
    <xf numFmtId="0" fontId="16" fillId="0" borderId="59" applyAlignment="1" pivotButton="0" quotePrefix="0" xfId="0">
      <alignment horizontal="center" vertical="center" wrapText="1"/>
    </xf>
    <xf numFmtId="0" fontId="17" fillId="0" borderId="59" applyAlignment="1" pivotButton="0" quotePrefix="0" xfId="0">
      <alignment horizontal="center" vertical="center" wrapText="1"/>
    </xf>
    <xf numFmtId="0" fontId="17" fillId="0" borderId="58" applyAlignment="1" pivotButton="0" quotePrefix="0" xfId="0">
      <alignment horizontal="center" vertical="center" wrapText="1"/>
    </xf>
    <xf numFmtId="0" fontId="9" fillId="0" borderId="59" applyAlignment="1" pivotButton="0" quotePrefix="0" xfId="0">
      <alignment horizontal="center" vertical="center" wrapText="1"/>
    </xf>
    <xf numFmtId="0" fontId="9" fillId="0" borderId="58" applyAlignment="1" pivotButton="0" quotePrefix="0" xfId="0">
      <alignment horizontal="center" vertical="center" wrapText="1"/>
    </xf>
    <xf numFmtId="0" fontId="2" fillId="0" borderId="59" applyAlignment="1" pivotButton="0" quotePrefix="0" xfId="0">
      <alignment horizontal="center" vertical="center" wrapText="1"/>
    </xf>
    <xf numFmtId="0" fontId="2" fillId="0" borderId="58" applyAlignment="1" pivotButton="0" quotePrefix="0" xfId="0">
      <alignment horizontal="center" vertical="center" wrapText="1"/>
    </xf>
    <xf numFmtId="0" fontId="2" fillId="0" borderId="35"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5"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57" applyAlignment="1" pivotButton="0" quotePrefix="0" xfId="0">
      <alignment horizontal="center" vertical="center" wrapText="1"/>
    </xf>
    <xf numFmtId="0" fontId="18" fillId="4" borderId="16" applyAlignment="1" pivotButton="0" quotePrefix="0" xfId="0">
      <alignment horizontal="center" vertical="center" wrapText="1"/>
    </xf>
    <xf numFmtId="0" fontId="18" fillId="4" borderId="7" applyAlignment="1" pivotButton="0" quotePrefix="0" xfId="0">
      <alignment horizontal="center" vertical="center" wrapText="1"/>
    </xf>
    <xf numFmtId="0" fontId="16" fillId="0" borderId="0" applyAlignment="1" pivotButton="0" quotePrefix="0" xfId="0">
      <alignment vertical="center"/>
    </xf>
    <xf numFmtId="0" fontId="0" fillId="0" borderId="1" applyAlignment="1" pivotButton="0" quotePrefix="0" xfId="0">
      <alignment vertical="center"/>
    </xf>
    <xf numFmtId="0" fontId="16" fillId="0" borderId="1" applyAlignment="1" pivotButton="0" quotePrefix="0" xfId="0">
      <alignment horizontal="center" vertical="center"/>
    </xf>
    <xf numFmtId="0" fontId="19" fillId="4" borderId="25" applyAlignment="1" pivotButton="0" quotePrefix="0" xfId="0">
      <alignment horizontal="center" vertical="center" wrapText="1"/>
    </xf>
    <xf numFmtId="49" fontId="19" fillId="4" borderId="25" applyAlignment="1" pivotButton="0" quotePrefix="0" xfId="0">
      <alignment horizontal="center" vertical="center" wrapText="1"/>
    </xf>
    <xf numFmtId="0" fontId="0" fillId="0" borderId="5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6" applyAlignment="1" pivotButton="0" quotePrefix="0" xfId="0">
      <alignment horizontal="center" vertical="center" wrapText="1"/>
    </xf>
    <xf numFmtId="0" fontId="9" fillId="0" borderId="16" applyAlignment="1" pivotButton="0" quotePrefix="0" xfId="0">
      <alignment horizontal="center" vertical="center" wrapText="1"/>
    </xf>
    <xf numFmtId="0" fontId="9" fillId="4" borderId="5" applyAlignment="1" pivotButton="0" quotePrefix="0" xfId="0">
      <alignment horizontal="center" vertical="center" wrapText="1"/>
    </xf>
    <xf numFmtId="0" fontId="9" fillId="4" borderId="57" applyAlignment="1" pivotButton="0" quotePrefix="0" xfId="0">
      <alignment horizontal="center" vertical="center" wrapText="1"/>
    </xf>
    <xf numFmtId="0" fontId="9" fillId="4" borderId="7" applyAlignment="1" pivotButton="0" quotePrefix="0" xfId="0">
      <alignment horizontal="center" vertical="center" wrapText="1"/>
    </xf>
    <xf numFmtId="0" fontId="9" fillId="4" borderId="20" applyAlignment="1" pivotButton="0" quotePrefix="0" xfId="0">
      <alignment horizontal="center" vertical="center" wrapText="1"/>
    </xf>
    <xf numFmtId="0" fontId="9" fillId="4" borderId="60" applyAlignment="1" pivotButton="0" quotePrefix="0" xfId="0">
      <alignment horizontal="center" vertical="center" wrapText="1"/>
    </xf>
    <xf numFmtId="0" fontId="0" fillId="8" borderId="35" applyAlignment="1" pivotButton="0" quotePrefix="0" xfId="0">
      <alignment horizontal="center" vertical="center" wrapText="1"/>
    </xf>
    <xf numFmtId="0" fontId="3" fillId="10" borderId="1" applyAlignment="1" pivotButton="0" quotePrefix="0" xfId="0">
      <alignment horizontal="center" vertical="center"/>
    </xf>
    <xf numFmtId="0" fontId="20" fillId="11" borderId="1" applyAlignment="1" pivotButton="0" quotePrefix="0" xfId="0">
      <alignment horizontal="center" vertical="center" wrapText="1"/>
    </xf>
    <xf numFmtId="0" fontId="0" fillId="7" borderId="1" applyAlignment="1" pivotButton="0" quotePrefix="0" xfId="0">
      <alignment horizontal="left" vertical="center" wrapText="1"/>
    </xf>
    <xf numFmtId="0" fontId="0" fillId="7" borderId="1" applyAlignment="1" pivotButton="0" quotePrefix="0" xfId="0">
      <alignment horizontal="center" vertical="center" wrapText="1"/>
    </xf>
    <xf numFmtId="0" fontId="16" fillId="0" borderId="1" applyAlignment="1" pivotButton="0" quotePrefix="0" xfId="0">
      <alignment horizontal="center" vertical="center" wrapText="1"/>
    </xf>
    <xf numFmtId="0" fontId="0" fillId="6" borderId="20" applyAlignment="1" pivotButton="0" quotePrefix="0" xfId="0">
      <alignment horizontal="left" vertical="center" wrapText="1"/>
    </xf>
    <xf numFmtId="0" fontId="0" fillId="6" borderId="20" applyAlignment="1" pivotButton="0" quotePrefix="0" xfId="0">
      <alignment horizontal="center" vertical="center" wrapText="1"/>
    </xf>
    <xf numFmtId="0" fontId="0" fillId="6" borderId="5" applyAlignment="1" pivotButton="0" quotePrefix="0" xfId="0">
      <alignment horizontal="center" vertical="center" wrapText="1"/>
    </xf>
    <xf numFmtId="0" fontId="0" fillId="8" borderId="59" applyAlignment="1" pivotButton="0" quotePrefix="0" xfId="0">
      <alignment horizontal="center" vertical="center" wrapText="1"/>
    </xf>
    <xf numFmtId="0" fontId="0" fillId="12" borderId="1" applyAlignment="1" pivotButton="0" quotePrefix="0" xfId="0">
      <alignment horizontal="center" vertical="center" wrapText="1"/>
    </xf>
    <xf numFmtId="0" fontId="0" fillId="0" borderId="59" applyAlignment="1" pivotButton="0" quotePrefix="1" xfId="0">
      <alignment horizontal="center" vertical="center" wrapText="1"/>
    </xf>
    <xf numFmtId="0" fontId="9" fillId="0" borderId="59" applyAlignment="1" pivotButton="0" quotePrefix="1" xfId="0">
      <alignment horizontal="center" vertical="center" wrapText="1"/>
    </xf>
    <xf numFmtId="0" fontId="16" fillId="0" borderId="59" applyAlignment="1" pivotButton="0" quotePrefix="1" xfId="0">
      <alignment horizontal="center" vertical="center" wrapText="1"/>
    </xf>
    <xf numFmtId="0" fontId="16" fillId="8" borderId="35" applyAlignment="1" pivotButton="0" quotePrefix="0" xfId="0">
      <alignment horizontal="center" vertical="center" wrapText="1"/>
    </xf>
    <xf numFmtId="0" fontId="16" fillId="0" borderId="7"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0" fillId="6" borderId="42" applyAlignment="1" pivotButton="0" quotePrefix="0" xfId="0">
      <alignment horizontal="left" vertical="center" wrapText="1"/>
    </xf>
    <xf numFmtId="0" fontId="15" fillId="6" borderId="1" applyAlignment="1" pivotButton="0" quotePrefix="0" xfId="1">
      <alignment horizontal="center" vertical="center"/>
    </xf>
    <xf numFmtId="0" fontId="9" fillId="6" borderId="1" applyAlignment="1" pivotButton="0" quotePrefix="0" xfId="0">
      <alignment horizontal="left" vertical="center" wrapText="1"/>
    </xf>
    <xf numFmtId="0" fontId="9" fillId="0" borderId="56" applyAlignment="1" pivotButton="0" quotePrefix="0" xfId="0">
      <alignment horizontal="left" vertical="center" wrapText="1"/>
    </xf>
    <xf numFmtId="0" fontId="9" fillId="0" borderId="45" applyAlignment="1" pivotButton="0" quotePrefix="0" xfId="0">
      <alignment horizontal="left" vertical="center" wrapText="1"/>
    </xf>
    <xf numFmtId="0" fontId="9" fillId="0" borderId="35" applyAlignment="1" pivotButton="0" quotePrefix="0" xfId="0">
      <alignment horizontal="left" vertical="center" wrapText="1"/>
    </xf>
    <xf numFmtId="0" fontId="9" fillId="0" borderId="59" applyAlignment="1" pivotButton="0" quotePrefix="0" xfId="0">
      <alignment horizontal="left" vertical="center" wrapText="1"/>
    </xf>
    <xf numFmtId="0" fontId="16" fillId="0" borderId="56" applyAlignment="1" pivotButton="0" quotePrefix="0" xfId="0">
      <alignment horizontal="left" vertical="center" wrapText="1"/>
    </xf>
    <xf numFmtId="0" fontId="16" fillId="0" borderId="45" applyAlignment="1" pivotButton="0" quotePrefix="0" xfId="0">
      <alignment horizontal="left" vertical="center" wrapText="1"/>
    </xf>
    <xf numFmtId="0" fontId="16" fillId="0" borderId="35" applyAlignment="1" pivotButton="0" quotePrefix="0" xfId="0">
      <alignment horizontal="left" vertical="center" wrapText="1"/>
    </xf>
    <xf numFmtId="0" fontId="16" fillId="0" borderId="59" applyAlignment="1" pivotButton="0" quotePrefix="0" xfId="0">
      <alignment horizontal="left" vertical="center" wrapText="1"/>
    </xf>
    <xf numFmtId="0" fontId="0" fillId="7" borderId="5" applyAlignment="1" pivotButton="0" quotePrefix="0" xfId="0">
      <alignment horizontal="left" vertical="center" wrapText="1"/>
    </xf>
    <xf numFmtId="0" fontId="0" fillId="0" borderId="5" applyAlignment="1" pivotButton="0" quotePrefix="0" xfId="0">
      <alignment horizontal="left" vertical="center" wrapText="1"/>
    </xf>
    <xf numFmtId="0" fontId="0" fillId="6" borderId="1" applyAlignment="1" pivotButton="0" quotePrefix="0" xfId="0">
      <alignment horizontal="center" vertical="center" wrapText="1"/>
    </xf>
    <xf numFmtId="0" fontId="3" fillId="0" borderId="0" applyAlignment="1" pivotButton="0" quotePrefix="0" xfId="0">
      <alignment horizontal="center" vertical="center"/>
    </xf>
    <xf numFmtId="14" fontId="0" fillId="0" borderId="1" applyAlignment="1" pivotButton="0" quotePrefix="0" xfId="0">
      <alignment horizontal="center" vertical="center"/>
    </xf>
    <xf numFmtId="0" fontId="15" fillId="0" borderId="0" applyAlignment="1" pivotButton="0" quotePrefix="0" xfId="1">
      <alignment horizontal="center" vertical="center"/>
    </xf>
    <xf numFmtId="0" fontId="0" fillId="12" borderId="1" applyAlignment="1" pivotButton="0" quotePrefix="0" xfId="0">
      <alignment horizontal="left" vertical="center" wrapText="1"/>
    </xf>
    <xf numFmtId="0" fontId="3" fillId="0" borderId="0" applyAlignment="1" pivotButton="0" quotePrefix="0" xfId="0">
      <alignment vertical="center"/>
    </xf>
    <xf numFmtId="0" fontId="3" fillId="2" borderId="1" applyAlignment="1" pivotButton="0" quotePrefix="0" xfId="0">
      <alignment horizontal="left" vertical="center" wrapText="1"/>
    </xf>
    <xf numFmtId="0" fontId="0" fillId="2" borderId="20" applyAlignment="1" pivotButton="0" quotePrefix="0" xfId="0">
      <alignment horizontal="center" vertical="center" wrapText="1"/>
    </xf>
    <xf numFmtId="0" fontId="3" fillId="10" borderId="35" applyAlignment="1" pivotButton="0" quotePrefix="0" xfId="0">
      <alignment horizontal="center" vertical="center" wrapText="1"/>
    </xf>
    <xf numFmtId="0" fontId="3" fillId="10" borderId="59" applyAlignment="1" pivotButton="0" quotePrefix="0" xfId="0">
      <alignment horizontal="center" vertical="center" wrapText="1"/>
    </xf>
    <xf numFmtId="0" fontId="3" fillId="10" borderId="58"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5" applyAlignment="1" pivotButton="0" quotePrefix="0" xfId="0">
      <alignment horizontal="center" vertical="center" wrapText="1"/>
    </xf>
    <xf numFmtId="0" fontId="3" fillId="2" borderId="59" applyAlignment="1" pivotButton="0" quotePrefix="0" xfId="0">
      <alignment horizontal="center" vertical="center" wrapText="1"/>
    </xf>
    <xf numFmtId="0" fontId="3" fillId="2" borderId="58" applyAlignment="1" pivotButton="0" quotePrefix="0" xfId="0">
      <alignment horizontal="center" vertical="center" wrapText="1"/>
    </xf>
    <xf numFmtId="0" fontId="21" fillId="0" borderId="59" applyAlignment="1" pivotButton="0" quotePrefix="0" xfId="0">
      <alignment horizontal="center" vertical="center" wrapText="1"/>
    </xf>
    <xf numFmtId="0" fontId="21" fillId="0" borderId="58"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59" applyAlignment="1" pivotButton="0" quotePrefix="0" xfId="0">
      <alignment horizontal="center" vertical="center" wrapText="1"/>
    </xf>
    <xf numFmtId="0" fontId="9" fillId="0" borderId="58" applyAlignment="1" pivotButton="0" quotePrefix="1" xfId="0">
      <alignment horizontal="center" vertical="center" wrapText="1"/>
    </xf>
    <xf numFmtId="0" fontId="9" fillId="0" borderId="0" applyAlignment="1" pivotButton="0" quotePrefix="0" xfId="0">
      <alignment vertical="center" wrapText="1"/>
    </xf>
    <xf numFmtId="0" fontId="21" fillId="0" borderId="35" applyAlignment="1" pivotButton="0" quotePrefix="0" xfId="0">
      <alignment horizontal="center" vertical="center" wrapText="1"/>
    </xf>
    <xf numFmtId="0" fontId="22" fillId="5" borderId="57" applyAlignment="1" pivotButton="0" quotePrefix="0" xfId="0">
      <alignment horizontal="center" vertical="center"/>
    </xf>
    <xf numFmtId="0" fontId="22" fillId="5" borderId="16" applyAlignment="1" pivotButton="0" quotePrefix="0" xfId="0">
      <alignment horizontal="center" vertical="center" wrapText="1"/>
    </xf>
    <xf numFmtId="0" fontId="22" fillId="5" borderId="7" applyAlignment="1" pivotButton="0" quotePrefix="0" xfId="0">
      <alignment horizontal="center" vertical="center" wrapText="1"/>
    </xf>
    <xf numFmtId="0" fontId="22" fillId="5" borderId="16" applyAlignment="1" pivotButton="0" quotePrefix="0" xfId="0">
      <alignment horizontal="center" vertical="center"/>
    </xf>
    <xf numFmtId="0" fontId="23" fillId="5" borderId="57" applyAlignment="1" pivotButton="0" quotePrefix="0" xfId="0">
      <alignment horizontal="center" vertical="center"/>
    </xf>
    <xf numFmtId="0" fontId="23" fillId="5" borderId="7" applyAlignment="1" pivotButton="0" quotePrefix="0" xfId="0">
      <alignment horizontal="center" vertical="center" wrapText="1"/>
    </xf>
    <xf numFmtId="0" fontId="22" fillId="10" borderId="35" applyAlignment="1" pivotButton="0" quotePrefix="0" xfId="0">
      <alignment horizontal="left" vertical="center"/>
    </xf>
    <xf numFmtId="0" fontId="22" fillId="10" borderId="0" applyAlignment="1" pivotButton="0" quotePrefix="0" xfId="0">
      <alignment horizontal="center" vertical="center" wrapText="1"/>
    </xf>
    <xf numFmtId="0" fontId="22" fillId="10" borderId="59" applyAlignment="1" pivotButton="0" quotePrefix="0" xfId="0">
      <alignment horizontal="center" vertical="center" wrapText="1"/>
    </xf>
    <xf numFmtId="0" fontId="23" fillId="10" borderId="0" applyAlignment="1" pivotButton="0" quotePrefix="0" xfId="0">
      <alignment horizontal="left" vertical="center"/>
    </xf>
    <xf numFmtId="0" fontId="22" fillId="10" borderId="59" applyAlignment="1" pivotButton="0" quotePrefix="0" xfId="0">
      <alignment vertical="center" wrapText="1"/>
    </xf>
    <xf numFmtId="0" fontId="22" fillId="10" borderId="35" applyAlignment="1" pivotButton="0" quotePrefix="0" xfId="0">
      <alignment vertical="center" wrapText="1"/>
    </xf>
    <xf numFmtId="0" fontId="22" fillId="2" borderId="35" applyAlignment="1" pivotButton="0" quotePrefix="0" xfId="0">
      <alignment horizontal="left" vertical="center"/>
    </xf>
    <xf numFmtId="0" fontId="22" fillId="2" borderId="0" applyAlignment="1" pivotButton="0" quotePrefix="0" xfId="0">
      <alignment horizontal="center" vertical="center" wrapText="1"/>
    </xf>
    <xf numFmtId="0" fontId="22" fillId="2" borderId="59" applyAlignment="1" pivotButton="0" quotePrefix="0" xfId="0">
      <alignment horizontal="center" vertical="center" wrapText="1"/>
    </xf>
    <xf numFmtId="0" fontId="23" fillId="2" borderId="0" applyAlignment="1" pivotButton="0" quotePrefix="0" xfId="0">
      <alignment horizontal="left" vertical="center"/>
    </xf>
    <xf numFmtId="0" fontId="22" fillId="2" borderId="59" applyAlignment="1" pivotButton="0" quotePrefix="0" xfId="0">
      <alignment vertical="center" wrapText="1"/>
    </xf>
    <xf numFmtId="0" fontId="22" fillId="2" borderId="35" applyAlignment="1" pivotButton="0" quotePrefix="0" xfId="0">
      <alignment vertical="center" wrapText="1"/>
    </xf>
    <xf numFmtId="0" fontId="24" fillId="0" borderId="35" applyAlignment="1" pivotButton="0" quotePrefix="0" xfId="0">
      <alignment horizontal="left" vertical="center"/>
    </xf>
    <xf numFmtId="0" fontId="24" fillId="0" borderId="0" applyAlignment="1" pivotButton="0" quotePrefix="0" xfId="0">
      <alignment horizontal="center" vertical="center" wrapText="1"/>
    </xf>
    <xf numFmtId="0" fontId="25" fillId="0" borderId="0" applyAlignment="1" pivotButton="0" quotePrefix="0" xfId="1">
      <alignment horizontal="center" vertical="center" wrapText="1"/>
    </xf>
    <xf numFmtId="0" fontId="25" fillId="0" borderId="59" applyAlignment="1" pivotButton="0" quotePrefix="0" xfId="1">
      <alignment horizontal="center" vertical="center" wrapText="1"/>
    </xf>
    <xf numFmtId="0" fontId="24" fillId="0" borderId="0" applyAlignment="1" pivotButton="0" quotePrefix="0" xfId="0">
      <alignment horizontal="left" vertical="center"/>
    </xf>
    <xf numFmtId="0" fontId="24" fillId="0" borderId="59" applyAlignment="1" pivotButton="0" quotePrefix="0" xfId="0">
      <alignment vertical="center" wrapText="1"/>
    </xf>
    <xf numFmtId="0" fontId="24" fillId="0" borderId="35" applyAlignment="1" pivotButton="0" quotePrefix="0" xfId="0">
      <alignment vertical="center" wrapText="1"/>
    </xf>
    <xf numFmtId="0" fontId="24" fillId="0" borderId="59" applyAlignment="1" pivotButton="0" quotePrefix="0" xfId="0">
      <alignment horizontal="center" vertical="center" wrapText="1"/>
    </xf>
    <xf numFmtId="0" fontId="26" fillId="0" borderId="35" applyAlignment="1" pivotButton="0" quotePrefix="0" xfId="0">
      <alignment horizontal="left" vertical="center"/>
    </xf>
    <xf numFmtId="0" fontId="26" fillId="0" borderId="0" applyAlignment="1" pivotButton="0" quotePrefix="0" xfId="0">
      <alignment horizontal="center" vertical="center" wrapText="1"/>
    </xf>
    <xf numFmtId="0" fontId="26" fillId="0" borderId="59" applyAlignment="1" pivotButton="0" quotePrefix="0" xfId="0">
      <alignment horizontal="center" vertical="center" wrapText="1"/>
    </xf>
    <xf numFmtId="0" fontId="26" fillId="0" borderId="0" applyAlignment="1" pivotButton="0" quotePrefix="0" xfId="0">
      <alignment horizontal="left" vertical="center"/>
    </xf>
    <xf numFmtId="0" fontId="27" fillId="0" borderId="59" applyAlignment="1" pivotButton="0" quotePrefix="0" xfId="1">
      <alignment horizontal="center" vertical="center" wrapText="1"/>
    </xf>
    <xf numFmtId="0" fontId="26" fillId="0" borderId="35" applyAlignment="1" pivotButton="0" quotePrefix="0" xfId="0">
      <alignment vertical="center" wrapText="1"/>
    </xf>
    <xf numFmtId="0" fontId="26" fillId="0" borderId="59" applyAlignment="1" pivotButton="0" quotePrefix="0" xfId="0">
      <alignment vertical="center" wrapText="1"/>
    </xf>
    <xf numFmtId="0" fontId="22" fillId="10" borderId="0" applyAlignment="1" pivotButton="0" quotePrefix="0" xfId="0">
      <alignment horizontal="left" vertical="center"/>
    </xf>
    <xf numFmtId="0" fontId="24" fillId="0" borderId="0" applyAlignment="1" pivotButton="0" quotePrefix="1" xfId="0">
      <alignment horizontal="center" vertical="center" wrapText="1"/>
    </xf>
    <xf numFmtId="0" fontId="28" fillId="10" borderId="0" applyAlignment="1" pivotButton="0" quotePrefix="0" xfId="1">
      <alignment horizontal="center" vertical="center" wrapText="1"/>
    </xf>
    <xf numFmtId="0" fontId="28" fillId="10" borderId="59" applyAlignment="1" pivotButton="0" quotePrefix="0" xfId="1">
      <alignment horizontal="center" vertical="center" wrapText="1"/>
    </xf>
    <xf numFmtId="0" fontId="24" fillId="2" borderId="35" applyAlignment="1" pivotButton="0" quotePrefix="0" xfId="0">
      <alignment horizontal="left" vertical="center"/>
    </xf>
    <xf numFmtId="0" fontId="24" fillId="2" borderId="0" applyAlignment="1" pivotButton="0" quotePrefix="0" xfId="0">
      <alignment horizontal="center" vertical="center" wrapText="1"/>
    </xf>
    <xf numFmtId="0" fontId="25" fillId="2" borderId="59" applyAlignment="1" pivotButton="0" quotePrefix="0" xfId="1">
      <alignment horizontal="center" vertical="center" wrapText="1"/>
    </xf>
    <xf numFmtId="0" fontId="24" fillId="2" borderId="0" applyAlignment="1" pivotButton="0" quotePrefix="0" xfId="0">
      <alignment horizontal="left" vertical="center"/>
    </xf>
    <xf numFmtId="0" fontId="24" fillId="2" borderId="59" applyAlignment="1" pivotButton="0" quotePrefix="0" xfId="0">
      <alignment vertical="center" wrapText="1"/>
    </xf>
    <xf numFmtId="0" fontId="24" fillId="2" borderId="35" applyAlignment="1" pivotButton="0" quotePrefix="0" xfId="0">
      <alignment vertical="center" wrapText="1"/>
    </xf>
    <xf numFmtId="0" fontId="24" fillId="2" borderId="59" applyAlignment="1" pivotButton="0" quotePrefix="0" xfId="0">
      <alignment horizontal="center" vertical="center" wrapText="1"/>
    </xf>
    <xf numFmtId="0" fontId="1" fillId="0" borderId="0" applyAlignment="1" pivotButton="0" quotePrefix="0" xfId="0">
      <alignment horizontal="left" vertical="center"/>
    </xf>
    <xf numFmtId="0" fontId="24" fillId="0" borderId="57" applyAlignment="1" pivotButton="0" quotePrefix="0" xfId="0">
      <alignment horizontal="left" vertical="center"/>
    </xf>
    <xf numFmtId="0" fontId="24" fillId="0" borderId="16" applyAlignment="1" pivotButton="0" quotePrefix="0" xfId="0">
      <alignment horizontal="center" vertical="center" wrapText="1"/>
    </xf>
    <xf numFmtId="0" fontId="24" fillId="0" borderId="7" applyAlignment="1" pivotButton="0" quotePrefix="0" xfId="0">
      <alignment horizontal="center" vertical="center" wrapText="1"/>
    </xf>
    <xf numFmtId="0" fontId="24" fillId="0" borderId="16" applyAlignment="1" pivotButton="0" quotePrefix="0" xfId="0">
      <alignment horizontal="left" vertical="center"/>
    </xf>
    <xf numFmtId="0" fontId="24" fillId="0" borderId="7" applyAlignment="1" pivotButton="0" quotePrefix="0" xfId="0">
      <alignment vertical="center" wrapText="1"/>
    </xf>
    <xf numFmtId="0" fontId="24" fillId="0" borderId="57" applyAlignment="1" pivotButton="0" quotePrefix="0" xfId="0">
      <alignment vertical="center" wrapText="1"/>
    </xf>
    <xf numFmtId="0" fontId="24" fillId="0" borderId="0" applyAlignment="1" pivotButton="0" quotePrefix="0" xfId="0">
      <alignment vertical="center" wrapText="1"/>
    </xf>
    <xf numFmtId="0" fontId="3" fillId="9" borderId="9" applyAlignment="1" pivotButton="0" quotePrefix="0" xfId="0">
      <alignment horizontal="center" vertical="center"/>
    </xf>
    <xf numFmtId="0" fontId="3" fillId="9" borderId="10" applyAlignment="1" pivotButton="0" quotePrefix="0" xfId="0">
      <alignment horizontal="center" vertical="center"/>
    </xf>
    <xf numFmtId="0" fontId="3" fillId="4" borderId="11" applyAlignment="1" pivotButton="0" quotePrefix="0" xfId="0">
      <alignment horizontal="center" vertical="center" wrapText="1"/>
    </xf>
    <xf numFmtId="0" fontId="3" fillId="10" borderId="2" applyAlignment="1" pivotButton="0" quotePrefix="0" xfId="0">
      <alignment horizontal="center" vertical="center"/>
    </xf>
    <xf numFmtId="0" fontId="3" fillId="10" borderId="46" applyAlignment="1" pivotButton="0" quotePrefix="0" xfId="0">
      <alignment horizontal="left" vertical="center"/>
    </xf>
    <xf numFmtId="0" fontId="0" fillId="10" borderId="46" applyAlignment="1" pivotButton="0" quotePrefix="0" xfId="0">
      <alignment horizontal="center" vertical="center"/>
    </xf>
    <xf numFmtId="0" fontId="0" fillId="10" borderId="3" applyAlignment="1" pivotButton="0" quotePrefix="0" xfId="0">
      <alignment horizontal="center" vertical="center"/>
    </xf>
    <xf numFmtId="0" fontId="3" fillId="4" borderId="62" applyAlignment="1" pivotButton="0" quotePrefix="0" xfId="0">
      <alignment horizontal="center" vertical="center" wrapText="1"/>
    </xf>
    <xf numFmtId="0" fontId="3" fillId="4" borderId="11" applyAlignment="1" pivotButton="0" quotePrefix="0" xfId="0">
      <alignment horizontal="center" vertical="center"/>
    </xf>
    <xf numFmtId="0" fontId="3" fillId="0" borderId="22" applyAlignment="1" pivotButton="0" quotePrefix="0" xfId="0">
      <alignment vertical="center"/>
    </xf>
    <xf numFmtId="0" fontId="3" fillId="0" borderId="4" applyAlignment="1" pivotButton="0" quotePrefix="1" xfId="0">
      <alignment horizontal="center" vertical="center"/>
    </xf>
    <xf numFmtId="0" fontId="3" fillId="0" borderId="18" applyAlignment="1" pivotButton="0" quotePrefix="1" xfId="0">
      <alignment horizontal="center" vertical="center"/>
    </xf>
    <xf numFmtId="0" fontId="10" fillId="0" borderId="7" applyAlignment="1" pivotButton="0" quotePrefix="0" xfId="0">
      <alignment horizontal="center" vertical="center"/>
    </xf>
    <xf numFmtId="0" fontId="3" fillId="0" borderId="18" applyAlignment="1" pivotButton="0" quotePrefix="0" xfId="0">
      <alignment horizontal="center" vertical="center" wrapText="1"/>
    </xf>
    <xf numFmtId="0" fontId="0" fillId="0" borderId="37" applyAlignment="1" pivotButton="0" quotePrefix="0" xfId="0">
      <alignment horizontal="center" vertical="center"/>
    </xf>
    <xf numFmtId="0" fontId="1" fillId="0" borderId="4" applyAlignment="1" pivotButton="0" quotePrefix="0" xfId="0">
      <alignment horizontal="center" vertical="center"/>
    </xf>
    <xf numFmtId="0" fontId="0" fillId="0" borderId="18" applyAlignment="1" pivotButton="0" quotePrefix="0" xfId="0">
      <alignment horizontal="center" vertical="center"/>
    </xf>
    <xf numFmtId="0" fontId="3" fillId="0" borderId="32" applyAlignment="1" pivotButton="0" quotePrefix="0" xfId="0">
      <alignment vertical="center" wrapText="1"/>
    </xf>
    <xf numFmtId="0" fontId="3" fillId="0" borderId="1" applyAlignment="1" pivotButton="0" quotePrefix="1" xfId="0">
      <alignment horizontal="center" vertical="center"/>
    </xf>
    <xf numFmtId="0" fontId="3" fillId="0" borderId="21" applyAlignment="1" pivotButton="0" quotePrefix="1" xfId="0">
      <alignment horizontal="center" vertical="center"/>
    </xf>
    <xf numFmtId="0" fontId="3" fillId="0" borderId="5" applyAlignment="1" pivotButton="0" quotePrefix="0" xfId="0">
      <alignment horizontal="center" vertical="center" wrapText="1"/>
    </xf>
    <xf numFmtId="0" fontId="3" fillId="0" borderId="21" applyAlignment="1" pivotButton="0" quotePrefix="0" xfId="0">
      <alignment horizontal="center" vertical="center" wrapText="1"/>
    </xf>
    <xf numFmtId="0" fontId="0" fillId="0" borderId="19" applyAlignment="1" pivotButton="0" quotePrefix="0" xfId="0">
      <alignment horizontal="center" vertical="center"/>
    </xf>
    <xf numFmtId="0" fontId="0" fillId="0" borderId="21" applyAlignment="1" pivotButton="0" quotePrefix="0" xfId="0">
      <alignment horizontal="center" vertical="center"/>
    </xf>
    <xf numFmtId="0" fontId="3" fillId="0" borderId="32" applyAlignment="1" pivotButton="0" quotePrefix="0" xfId="0">
      <alignment vertical="center"/>
    </xf>
    <xf numFmtId="0" fontId="18" fillId="0" borderId="32" applyAlignment="1" pivotButton="0" quotePrefix="0" xfId="0">
      <alignment vertical="center"/>
    </xf>
    <xf numFmtId="0" fontId="18" fillId="0" borderId="1" applyAlignment="1" pivotButton="0" quotePrefix="1" xfId="0">
      <alignment horizontal="center" vertical="center"/>
    </xf>
    <xf numFmtId="0" fontId="18" fillId="0" borderId="5" applyAlignment="1" pivotButton="0" quotePrefix="0" xfId="0">
      <alignment horizontal="center" vertical="center" wrapText="1"/>
    </xf>
    <xf numFmtId="0" fontId="18" fillId="0" borderId="21" applyAlignment="1" pivotButton="0" quotePrefix="0" xfId="0">
      <alignment horizontal="center" vertical="center" wrapText="1"/>
    </xf>
    <xf numFmtId="0" fontId="9" fillId="0" borderId="19" applyAlignment="1" pivotButton="0" quotePrefix="0" xfId="0">
      <alignment horizontal="center" vertical="center"/>
    </xf>
    <xf numFmtId="0" fontId="9" fillId="0" borderId="5" applyAlignment="1" pivotButton="0" quotePrefix="0" xfId="0">
      <alignment horizontal="center" vertical="center"/>
    </xf>
    <xf numFmtId="0" fontId="9" fillId="0" borderId="1" applyAlignment="1" pivotButton="0" quotePrefix="0" xfId="0">
      <alignment horizontal="center" vertical="center"/>
    </xf>
    <xf numFmtId="0" fontId="9" fillId="0" borderId="21" applyAlignment="1" pivotButton="0" quotePrefix="0" xfId="0">
      <alignment horizontal="center" vertical="center"/>
    </xf>
    <xf numFmtId="0" fontId="9" fillId="0" borderId="0" applyAlignment="1" pivotButton="0" quotePrefix="0" xfId="0">
      <alignment vertical="center"/>
    </xf>
    <xf numFmtId="0" fontId="10" fillId="0" borderId="21" applyAlignment="1" pivotButton="0" quotePrefix="0" xfId="0">
      <alignment horizontal="center" vertical="center" wrapText="1"/>
    </xf>
    <xf numFmtId="0" fontId="3" fillId="0" borderId="21" applyAlignment="1" pivotButton="0" quotePrefix="0" xfId="0">
      <alignment horizontal="center" vertical="center"/>
    </xf>
    <xf numFmtId="0" fontId="10" fillId="0" borderId="1" applyAlignment="1" pivotButton="0" quotePrefix="1" xfId="0">
      <alignment horizontal="center" vertical="center"/>
    </xf>
    <xf numFmtId="0" fontId="10" fillId="0" borderId="21" applyAlignment="1" pivotButton="0" quotePrefix="1" xfId="0">
      <alignment horizontal="center" vertical="center"/>
    </xf>
    <xf numFmtId="0" fontId="3" fillId="0" borderId="49" applyAlignment="1" pivotButton="0" quotePrefix="0" xfId="0">
      <alignment vertical="center"/>
    </xf>
    <xf numFmtId="0" fontId="3" fillId="0" borderId="25" applyAlignment="1" pivotButton="0" quotePrefix="1" xfId="0">
      <alignment horizontal="center" vertical="center"/>
    </xf>
    <xf numFmtId="0" fontId="10" fillId="0" borderId="26" applyAlignment="1" pivotButton="0" quotePrefix="1" xfId="0">
      <alignment horizontal="center" vertical="center"/>
    </xf>
    <xf numFmtId="0" fontId="3" fillId="0" borderId="61" applyAlignment="1" pivotButton="0" quotePrefix="0" xfId="0">
      <alignment horizontal="center" vertical="center"/>
    </xf>
    <xf numFmtId="0" fontId="3" fillId="0" borderId="26" applyAlignment="1" pivotButton="0" quotePrefix="0" xfId="0">
      <alignment horizontal="center" vertical="center"/>
    </xf>
    <xf numFmtId="0" fontId="0" fillId="0" borderId="24" applyAlignment="1" pivotButton="0" quotePrefix="0" xfId="0">
      <alignment horizontal="center" vertical="center"/>
    </xf>
    <xf numFmtId="0" fontId="0" fillId="0" borderId="61" applyAlignment="1" pivotButton="0" quotePrefix="0" xfId="0">
      <alignment horizontal="center" vertical="center"/>
    </xf>
    <xf numFmtId="0" fontId="0" fillId="0" borderId="25" applyAlignment="1" pivotButton="0" quotePrefix="0" xfId="0">
      <alignment horizontal="center" vertical="center"/>
    </xf>
    <xf numFmtId="0" fontId="0" fillId="0" borderId="26" applyAlignment="1" pivotButton="0" quotePrefix="0" xfId="0">
      <alignment horizontal="center" vertical="center"/>
    </xf>
    <xf numFmtId="14" fontId="0" fillId="0" borderId="0" applyAlignment="1" pivotButton="0" quotePrefix="0" xfId="0">
      <alignment horizontal="center" vertical="center"/>
    </xf>
    <xf numFmtId="0" fontId="9" fillId="8" borderId="35" applyAlignment="1" pivotButton="0" quotePrefix="0" xfId="0">
      <alignment horizontal="center" vertical="center" wrapText="1"/>
    </xf>
    <xf numFmtId="0" fontId="15" fillId="16" borderId="64" applyAlignment="1" pivotButton="0" quotePrefix="0" xfId="1">
      <alignment horizontal="center" vertical="center"/>
    </xf>
    <xf numFmtId="0" fontId="0" fillId="16" borderId="64" applyAlignment="1" pivotButton="0" quotePrefix="0" xfId="0">
      <alignment horizontal="center" vertical="center" wrapText="1"/>
    </xf>
    <xf numFmtId="0" fontId="0" fillId="16" borderId="76" applyAlignment="1" pivotButton="0" quotePrefix="0" xfId="0">
      <alignment horizontal="center" vertical="center" wrapText="1"/>
    </xf>
    <xf numFmtId="0" fontId="0" fillId="15" borderId="65" applyAlignment="1" pivotButton="0" quotePrefix="0" xfId="0">
      <alignment vertical="top" wrapText="1"/>
    </xf>
    <xf numFmtId="0" fontId="15" fillId="7" borderId="1" applyAlignment="1" pivotButton="0" quotePrefix="0" xfId="1">
      <alignment horizontal="center" vertical="center"/>
    </xf>
    <xf numFmtId="0" fontId="0" fillId="15" borderId="65" applyAlignment="1" pivotButton="0" quotePrefix="0" xfId="0">
      <alignment vertical="center"/>
    </xf>
    <xf numFmtId="0" fontId="0" fillId="6" borderId="65" applyAlignment="1" pivotButton="0" quotePrefix="0" xfId="0">
      <alignment vertical="center" wrapText="1"/>
    </xf>
    <xf numFmtId="0" fontId="0" fillId="15" borderId="66" applyAlignment="1" pivotButton="0" quotePrefix="0" xfId="0">
      <alignment vertical="center"/>
    </xf>
    <xf numFmtId="0" fontId="0" fillId="15" borderId="67" applyAlignment="1" pivotButton="0" quotePrefix="0" xfId="0">
      <alignment vertical="center"/>
    </xf>
    <xf numFmtId="0" fontId="0" fillId="15" borderId="68" applyAlignment="1" pivotButton="0" quotePrefix="0" xfId="0">
      <alignment vertical="center"/>
    </xf>
    <xf numFmtId="0" fontId="0" fillId="16" borderId="64" applyAlignment="1" pivotButton="0" quotePrefix="0" xfId="0">
      <alignment vertical="center"/>
    </xf>
    <xf numFmtId="0" fontId="0" fillId="0" borderId="64" applyAlignment="1" pivotButton="0" quotePrefix="0" xfId="0">
      <alignment vertical="center"/>
    </xf>
    <xf numFmtId="0" fontId="0" fillId="0" borderId="64" applyAlignment="1" pivotButton="0" quotePrefix="0" xfId="0">
      <alignment horizontal="center" vertical="center"/>
    </xf>
    <xf numFmtId="0" fontId="0" fillId="15" borderId="65" applyAlignment="1" pivotButton="0" quotePrefix="0" xfId="0">
      <alignment vertical="center" wrapText="1"/>
    </xf>
    <xf numFmtId="0" fontId="0" fillId="0" borderId="70" applyAlignment="1" pivotButton="0" quotePrefix="0" xfId="0">
      <alignment vertical="center"/>
    </xf>
    <xf numFmtId="0" fontId="0" fillId="0" borderId="70" applyAlignment="1" pivotButton="0" quotePrefix="0" xfId="0">
      <alignment horizontal="center" vertical="center"/>
    </xf>
    <xf numFmtId="0" fontId="0" fillId="15" borderId="71" applyAlignment="1" pivotButton="0" quotePrefix="0" xfId="0">
      <alignment vertical="center"/>
    </xf>
    <xf numFmtId="0" fontId="0" fillId="15" borderId="72" applyAlignment="1" pivotButton="0" quotePrefix="0" xfId="0">
      <alignment vertical="center"/>
    </xf>
    <xf numFmtId="0" fontId="0" fillId="15" borderId="73" applyAlignment="1" pivotButton="0" quotePrefix="0" xfId="0">
      <alignment vertical="center"/>
    </xf>
    <xf numFmtId="0" fontId="0" fillId="15" borderId="74" applyAlignment="1" pivotButton="0" quotePrefix="0" xfId="0">
      <alignment vertical="center"/>
    </xf>
    <xf numFmtId="0" fontId="0" fillId="16" borderId="76" applyAlignment="1" pivotButton="0" quotePrefix="0" xfId="0">
      <alignment vertical="center"/>
    </xf>
    <xf numFmtId="0" fontId="0" fillId="0" borderId="78" applyAlignment="1" pivotButton="0" quotePrefix="0" xfId="0">
      <alignment vertical="center"/>
    </xf>
    <xf numFmtId="0" fontId="0" fillId="0" borderId="78" applyAlignment="1" pivotButton="0" quotePrefix="0" xfId="0">
      <alignment horizontal="center" vertical="center"/>
    </xf>
    <xf numFmtId="0" fontId="0" fillId="15" borderId="79" applyAlignment="1" pivotButton="0" quotePrefix="0" xfId="0">
      <alignment vertical="center"/>
    </xf>
    <xf numFmtId="0" fontId="0" fillId="15" borderId="80" applyAlignment="1" pivotButton="0" quotePrefix="0" xfId="0">
      <alignment vertical="center"/>
    </xf>
    <xf numFmtId="0" fontId="0" fillId="15" borderId="81" applyAlignment="1" pivotButton="0" quotePrefix="0" xfId="0">
      <alignment vertical="center"/>
    </xf>
    <xf numFmtId="0" fontId="0" fillId="15" borderId="82" applyAlignment="1" pivotButton="0" quotePrefix="0" xfId="0">
      <alignment vertical="center"/>
    </xf>
    <xf numFmtId="0" fontId="0" fillId="0" borderId="84" applyAlignment="1" pivotButton="0" quotePrefix="0" xfId="0">
      <alignment vertical="center"/>
    </xf>
    <xf numFmtId="0" fontId="0" fillId="0" borderId="84" applyAlignment="1" pivotButton="0" quotePrefix="0" xfId="0">
      <alignment horizontal="center" vertical="center"/>
    </xf>
    <xf numFmtId="0" fontId="0" fillId="0" borderId="35" pivotButton="0" quotePrefix="0" xfId="0"/>
    <xf numFmtId="0" fontId="0" fillId="15" borderId="85" pivotButton="0" quotePrefix="0" xfId="0"/>
    <xf numFmtId="0" fontId="0" fillId="15" borderId="86" pivotButton="0" quotePrefix="0" xfId="0"/>
    <xf numFmtId="0" fontId="0" fillId="15" borderId="87" pivotButton="0" quotePrefix="0" xfId="0"/>
    <xf numFmtId="0" fontId="0" fillId="15" borderId="88" pivotButton="0" quotePrefix="0" xfId="0"/>
    <xf numFmtId="0" fontId="0" fillId="16" borderId="91" pivotButton="0" quotePrefix="0" xfId="0"/>
    <xf numFmtId="0" fontId="15" fillId="16" borderId="91" applyAlignment="1" pivotButton="0" quotePrefix="0" xfId="1">
      <alignment horizontal="center" vertical="center"/>
    </xf>
    <xf numFmtId="0" fontId="0" fillId="16" borderId="91" applyAlignment="1" pivotButton="0" quotePrefix="0" xfId="0">
      <alignment horizontal="center" vertical="center" wrapText="1"/>
    </xf>
    <xf numFmtId="0" fontId="0" fillId="0" borderId="92" pivotButton="0" quotePrefix="0" xfId="0"/>
    <xf numFmtId="0" fontId="0" fillId="0" borderId="91" pivotButton="0" quotePrefix="0" xfId="0"/>
    <xf numFmtId="0" fontId="0" fillId="0" borderId="91" applyAlignment="1" pivotButton="0" quotePrefix="0" xfId="0">
      <alignment horizontal="center"/>
    </xf>
    <xf numFmtId="0" fontId="0" fillId="15" borderId="93" pivotButton="0" quotePrefix="0" xfId="0"/>
    <xf numFmtId="0" fontId="0" fillId="15" borderId="94" pivotButton="0" quotePrefix="0" xfId="0"/>
    <xf numFmtId="0" fontId="0" fillId="15" borderId="95" pivotButton="0" quotePrefix="0" xfId="0"/>
    <xf numFmtId="0" fontId="0" fillId="15" borderId="96" pivotButton="0" quotePrefix="0" xfId="0"/>
    <xf numFmtId="0" fontId="0" fillId="0" borderId="98" pivotButton="0" quotePrefix="0" xfId="0"/>
    <xf numFmtId="0" fontId="0" fillId="0" borderId="98" applyAlignment="1" pivotButton="0" quotePrefix="0" xfId="0">
      <alignment horizontal="center"/>
    </xf>
    <xf numFmtId="0" fontId="0" fillId="0" borderId="100" pivotButton="0" quotePrefix="0" xfId="0"/>
    <xf numFmtId="0" fontId="0" fillId="0" borderId="100" applyAlignment="1" pivotButton="0" quotePrefix="0" xfId="0">
      <alignment horizontal="center"/>
    </xf>
    <xf numFmtId="0" fontId="0" fillId="0" borderId="42" applyAlignment="1" pivotButton="0" quotePrefix="0" xfId="0">
      <alignment horizontal="center" vertical="center" wrapText="1"/>
    </xf>
    <xf numFmtId="0" fontId="0" fillId="15" borderId="65" applyAlignment="1" pivotButton="0" quotePrefix="0" xfId="0">
      <alignment horizontal="center" vertical="center"/>
    </xf>
    <xf numFmtId="0" fontId="0" fillId="16" borderId="63" applyAlignment="1" pivotButton="0" quotePrefix="0" xfId="0">
      <alignment horizontal="center" vertical="center"/>
    </xf>
    <xf numFmtId="0" fontId="0" fillId="0" borderId="63" applyAlignment="1" pivotButton="0" quotePrefix="0" xfId="0">
      <alignment horizontal="center" vertical="center"/>
    </xf>
    <xf numFmtId="0" fontId="0" fillId="0" borderId="69" applyAlignment="1" pivotButton="0" quotePrefix="0" xfId="0">
      <alignment horizontal="center" vertical="center"/>
    </xf>
    <xf numFmtId="0" fontId="0" fillId="15" borderId="71" applyAlignment="1" pivotButton="0" quotePrefix="0" xfId="0">
      <alignment horizontal="center" vertical="center"/>
    </xf>
    <xf numFmtId="0" fontId="0" fillId="16" borderId="75" applyAlignment="1" pivotButton="0" quotePrefix="0" xfId="0">
      <alignment horizontal="center" vertical="center"/>
    </xf>
    <xf numFmtId="0" fontId="0" fillId="0" borderId="77" applyAlignment="1" pivotButton="0" quotePrefix="0" xfId="0">
      <alignment horizontal="center" vertical="center"/>
    </xf>
    <xf numFmtId="0" fontId="0" fillId="15" borderId="79" applyAlignment="1" pivotButton="0" quotePrefix="0" xfId="0">
      <alignment horizontal="center" vertical="center"/>
    </xf>
    <xf numFmtId="0" fontId="0" fillId="0" borderId="83" applyAlignment="1" pivotButton="0" quotePrefix="0" xfId="0">
      <alignment horizontal="center" vertical="center"/>
    </xf>
    <xf numFmtId="0" fontId="0" fillId="15" borderId="85" applyAlignment="1" pivotButton="0" quotePrefix="0" xfId="0">
      <alignment horizontal="center"/>
    </xf>
    <xf numFmtId="0" fontId="0" fillId="16" borderId="90" applyAlignment="1" pivotButton="0" quotePrefix="0" xfId="0">
      <alignment horizontal="center"/>
    </xf>
    <xf numFmtId="0" fontId="0" fillId="0" borderId="90" applyAlignment="1" pivotButton="0" quotePrefix="0" xfId="0">
      <alignment horizontal="center"/>
    </xf>
    <xf numFmtId="0" fontId="0" fillId="15" borderId="93" applyAlignment="1" pivotButton="0" quotePrefix="0" xfId="0">
      <alignment horizontal="center"/>
    </xf>
    <xf numFmtId="0" fontId="0" fillId="0" borderId="97" applyAlignment="1" pivotButton="0" quotePrefix="0" xfId="0">
      <alignment horizontal="center"/>
    </xf>
    <xf numFmtId="0" fontId="0" fillId="0" borderId="99" applyAlignment="1" pivotButton="0" quotePrefix="0" xfId="0">
      <alignment horizontal="center"/>
    </xf>
    <xf numFmtId="0" fontId="0" fillId="15" borderId="71" applyAlignment="1" pivotButton="0" quotePrefix="0" xfId="0">
      <alignment vertical="center" wrapText="1"/>
    </xf>
    <xf numFmtId="0" fontId="0" fillId="15" borderId="85" applyAlignment="1" pivotButton="0" quotePrefix="0" xfId="0">
      <alignment wrapText="1"/>
    </xf>
    <xf numFmtId="0" fontId="0" fillId="0" borderId="0" applyAlignment="1" pivotButton="0" quotePrefix="0" xfId="0">
      <alignment wrapText="1"/>
    </xf>
    <xf numFmtId="0" fontId="0" fillId="15" borderId="93" applyAlignment="1" pivotButton="0" quotePrefix="0" xfId="0">
      <alignment wrapText="1"/>
    </xf>
    <xf numFmtId="0" fontId="15" fillId="8" borderId="91" applyAlignment="1" pivotButton="0" quotePrefix="0" xfId="1">
      <alignment horizontal="center" vertical="center"/>
    </xf>
    <xf numFmtId="0" fontId="15" fillId="8" borderId="1" applyAlignment="1" pivotButton="0" quotePrefix="0" xfId="1">
      <alignment horizontal="center" vertical="center"/>
    </xf>
    <xf numFmtId="0" fontId="9" fillId="4" borderId="16" applyAlignment="1" pivotButton="0" quotePrefix="0" xfId="0">
      <alignment horizontal="center" vertical="center" wrapText="1"/>
    </xf>
    <xf numFmtId="0" fontId="0" fillId="5" borderId="104" applyAlignment="1" pivotButton="0" quotePrefix="0" xfId="0">
      <alignment horizontal="center" vertical="center"/>
    </xf>
    <xf numFmtId="0" fontId="19" fillId="4" borderId="107" applyAlignment="1" pivotButton="0" quotePrefix="0" xfId="0">
      <alignment horizontal="center" vertical="center" wrapText="1"/>
    </xf>
    <xf numFmtId="0" fontId="19" fillId="4" borderId="108" applyAlignment="1" pivotButton="0" quotePrefix="0" xfId="0">
      <alignment horizontal="center" vertical="center" wrapText="1"/>
    </xf>
    <xf numFmtId="49" fontId="19" fillId="4" borderId="109" applyAlignment="1" pivotButton="0" quotePrefix="0" xfId="0">
      <alignment horizontal="center" vertical="center" wrapText="1"/>
    </xf>
    <xf numFmtId="0" fontId="9" fillId="0" borderId="41" applyAlignment="1" pivotButton="0" quotePrefix="0" xfId="0">
      <alignment horizontal="left" vertical="center" wrapText="1"/>
    </xf>
    <xf numFmtId="0" fontId="9" fillId="0" borderId="0" applyAlignment="1" pivotButton="0" quotePrefix="0" xfId="0">
      <alignment horizontal="left" vertical="center" wrapText="1"/>
    </xf>
    <xf numFmtId="0" fontId="0" fillId="12" borderId="59" applyAlignment="1" pivotButton="0" quotePrefix="0" xfId="0">
      <alignment horizontal="left" vertical="center" wrapText="1"/>
    </xf>
    <xf numFmtId="0" fontId="0" fillId="2" borderId="95" applyAlignment="1" pivotButton="0" quotePrefix="0" xfId="0">
      <alignment horizontal="left" vertical="center" wrapText="1"/>
    </xf>
    <xf numFmtId="0" fontId="0" fillId="2" borderId="95" applyAlignment="1" pivotButton="0" quotePrefix="0" xfId="0">
      <alignment horizontal="center" vertical="center" wrapText="1"/>
    </xf>
    <xf numFmtId="0" fontId="0" fillId="6" borderId="100" applyAlignment="1" pivotButton="0" quotePrefix="0" xfId="0">
      <alignment horizontal="center" vertical="center" wrapText="1"/>
    </xf>
    <xf numFmtId="0" fontId="9" fillId="6" borderId="98" applyAlignment="1" pivotButton="0" quotePrefix="0" xfId="0">
      <alignment horizontal="center" vertical="center" wrapText="1"/>
    </xf>
    <xf numFmtId="0" fontId="16" fillId="6" borderId="98" applyAlignment="1" pivotButton="0" quotePrefix="0" xfId="0">
      <alignment horizontal="center" vertical="center" wrapText="1"/>
    </xf>
    <xf numFmtId="0" fontId="0" fillId="15" borderId="98" pivotButton="0" quotePrefix="0" xfId="0"/>
    <xf numFmtId="0" fontId="0" fillId="0" borderId="92" applyAlignment="1" pivotButton="0" quotePrefix="0" xfId="0">
      <alignment horizontal="center" vertical="center" wrapText="1"/>
    </xf>
    <xf numFmtId="0" fontId="9" fillId="4" borderId="95" applyAlignment="1" pivotButton="0" quotePrefix="0" xfId="0">
      <alignment horizontal="center" vertical="center" wrapText="1"/>
    </xf>
    <xf numFmtId="0" fontId="0" fillId="2" borderId="98" applyAlignment="1" pivotButton="0" quotePrefix="0" xfId="0">
      <alignment horizontal="center" vertical="center" wrapText="1"/>
    </xf>
    <xf numFmtId="0" fontId="9" fillId="4" borderId="94" applyAlignment="1" pivotButton="0" quotePrefix="0" xfId="0">
      <alignment horizontal="center" vertical="center" wrapText="1"/>
    </xf>
    <xf numFmtId="0" fontId="9" fillId="4" borderId="96" applyAlignment="1" pivotButton="0" quotePrefix="0" xfId="0">
      <alignment horizontal="center" vertical="center" wrapText="1"/>
    </xf>
    <xf numFmtId="0" fontId="0" fillId="2" borderId="94" applyAlignment="1" pivotButton="0" quotePrefix="0" xfId="0">
      <alignment horizontal="center" vertical="center" wrapText="1"/>
    </xf>
    <xf numFmtId="0" fontId="0" fillId="2" borderId="96" applyAlignment="1" pivotButton="0" quotePrefix="0" xfId="0">
      <alignment horizontal="center" vertical="center" wrapText="1"/>
    </xf>
    <xf numFmtId="0" fontId="9" fillId="4" borderId="92" applyAlignment="1" pivotButton="0" quotePrefix="0" xfId="0">
      <alignment horizontal="center" vertical="center" wrapText="1"/>
    </xf>
    <xf numFmtId="0" fontId="0" fillId="0" borderId="101" applyAlignment="1" pivotButton="0" quotePrefix="0" xfId="0">
      <alignment horizontal="center" vertical="center"/>
    </xf>
    <xf numFmtId="0" fontId="0" fillId="0" borderId="102" applyAlignment="1" pivotButton="0" quotePrefix="0" xfId="0">
      <alignment horizontal="center" vertical="center"/>
    </xf>
    <xf numFmtId="17" fontId="0" fillId="0" borderId="103" applyAlignment="1" pivotButton="0" quotePrefix="0" xfId="0">
      <alignment horizontal="center" vertical="center"/>
    </xf>
    <xf numFmtId="0" fontId="0" fillId="0" borderId="104" applyAlignment="1" pivotButton="0" quotePrefix="0" xfId="0">
      <alignment horizontal="center" vertical="center"/>
    </xf>
    <xf numFmtId="0" fontId="0" fillId="0" borderId="105" applyAlignment="1" pivotButton="0" quotePrefix="0" xfId="0">
      <alignment horizontal="center" vertical="center"/>
    </xf>
    <xf numFmtId="17" fontId="0" fillId="0" borderId="106" applyAlignment="1" pivotButton="0" quotePrefix="0" xfId="0">
      <alignment horizontal="center" vertical="center"/>
    </xf>
    <xf numFmtId="0" fontId="0" fillId="0" borderId="106" applyAlignment="1" pivotButton="0" quotePrefix="0" xfId="0">
      <alignment horizontal="center" vertical="center"/>
    </xf>
    <xf numFmtId="0" fontId="0" fillId="0" borderId="105" applyAlignment="1" pivotButton="0" quotePrefix="1" xfId="0">
      <alignment horizontal="center" vertical="center"/>
    </xf>
    <xf numFmtId="0" fontId="9" fillId="0" borderId="105" applyAlignment="1" pivotButton="0" quotePrefix="1" xfId="0">
      <alignment horizontal="center" vertical="center"/>
    </xf>
    <xf numFmtId="0" fontId="9" fillId="0" borderId="104" applyAlignment="1" pivotButton="0" quotePrefix="0" xfId="0">
      <alignment horizontal="center" vertical="center"/>
    </xf>
    <xf numFmtId="0" fontId="9" fillId="0" borderId="105" applyAlignment="1" pivotButton="0" quotePrefix="0" xfId="0">
      <alignment horizontal="center" vertical="center"/>
    </xf>
    <xf numFmtId="17" fontId="16" fillId="0" borderId="106" applyAlignment="1" pivotButton="0" quotePrefix="0" xfId="0">
      <alignment horizontal="center" vertical="center"/>
    </xf>
    <xf numFmtId="0" fontId="16" fillId="0" borderId="105" applyAlignment="1" pivotButton="0" quotePrefix="0" xfId="0">
      <alignment horizontal="center" vertical="center"/>
    </xf>
    <xf numFmtId="0" fontId="9" fillId="17" borderId="105" applyAlignment="1" pivotButton="0" quotePrefix="1" xfId="0">
      <alignment horizontal="center" vertical="center"/>
    </xf>
    <xf numFmtId="17" fontId="9" fillId="17" borderId="106" applyAlignment="1" pivotButton="0" quotePrefix="0" xfId="0">
      <alignment horizontal="center" vertical="center"/>
    </xf>
    <xf numFmtId="0" fontId="0" fillId="17" borderId="105" applyAlignment="1" pivotButton="0" quotePrefix="0" xfId="0">
      <alignment horizontal="center" vertical="center"/>
    </xf>
    <xf numFmtId="17" fontId="0" fillId="17" borderId="106" applyAlignment="1" pivotButton="0" quotePrefix="0" xfId="0">
      <alignment horizontal="center" vertical="center"/>
    </xf>
    <xf numFmtId="0" fontId="0" fillId="17" borderId="105" applyAlignment="1" pivotButton="0" quotePrefix="1" xfId="0">
      <alignment horizontal="center" vertical="center"/>
    </xf>
    <xf numFmtId="0" fontId="3" fillId="10" borderId="1" applyAlignment="1" pivotButton="0" quotePrefix="0" xfId="0">
      <alignment horizontal="center" vertical="center" wrapText="1"/>
    </xf>
    <xf numFmtId="0" fontId="0" fillId="18" borderId="0" applyAlignment="1" pivotButton="0" quotePrefix="0" xfId="0">
      <alignment vertical="center" wrapText="1"/>
    </xf>
    <xf numFmtId="0" fontId="0" fillId="19" borderId="35" applyAlignment="1" pivotButton="0" quotePrefix="0" xfId="0">
      <alignment horizontal="center" vertical="center" wrapText="1"/>
    </xf>
    <xf numFmtId="0" fontId="30" fillId="0" borderId="35" applyAlignment="1" pivotButton="0" quotePrefix="0" xfId="0">
      <alignment horizontal="center" vertical="center" wrapText="1"/>
    </xf>
    <xf numFmtId="0" fontId="30" fillId="0" borderId="59" applyAlignment="1" pivotButton="0" quotePrefix="0" xfId="0">
      <alignment horizontal="center" vertical="center" wrapText="1"/>
    </xf>
    <xf numFmtId="0" fontId="0" fillId="0" borderId="35" applyAlignment="1" pivotButton="0" quotePrefix="0" xfId="0">
      <alignment vertical="center" wrapText="1"/>
    </xf>
    <xf numFmtId="0" fontId="16" fillId="12" borderId="1" applyAlignment="1" pivotButton="0" quotePrefix="0" xfId="0">
      <alignment horizontal="left" vertical="center" wrapText="1"/>
    </xf>
    <xf numFmtId="0" fontId="16" fillId="12" borderId="98" applyAlignment="1" pivotButton="0" quotePrefix="0" xfId="0">
      <alignment horizontal="center" vertical="center" wrapText="1"/>
    </xf>
    <xf numFmtId="0" fontId="0" fillId="12" borderId="20" applyAlignment="1" pivotButton="0" quotePrefix="0" xfId="0">
      <alignment horizontal="left" vertical="center" wrapText="1"/>
    </xf>
    <xf numFmtId="0" fontId="0" fillId="12" borderId="20" applyAlignment="1" pivotButton="0" quotePrefix="0" xfId="0">
      <alignment horizontal="center" vertical="center" wrapText="1"/>
    </xf>
    <xf numFmtId="0" fontId="0" fillId="12" borderId="5"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98" applyAlignment="1" pivotButton="0" quotePrefix="0" xfId="0">
      <alignment horizontal="center" vertical="center" wrapText="1"/>
    </xf>
    <xf numFmtId="0" fontId="0" fillId="0" borderId="9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58" applyAlignment="1" pivotButton="0" quotePrefix="0" xfId="0">
      <alignment horizontal="left" vertical="center" wrapText="1"/>
    </xf>
    <xf numFmtId="0" fontId="0" fillId="20" borderId="35" applyAlignment="1" pivotButton="0" quotePrefix="0" xfId="0">
      <alignment horizontal="center" vertical="center" wrapText="1"/>
    </xf>
    <xf numFmtId="0" fontId="3" fillId="2" borderId="42" applyAlignment="1" pivotButton="0" quotePrefix="0" xfId="0">
      <alignment horizontal="left" vertical="center" wrapText="1"/>
    </xf>
    <xf numFmtId="0" fontId="3" fillId="2" borderId="89" applyAlignment="1" pivotButton="0" quotePrefix="0" xfId="0">
      <alignment horizontal="center" vertical="center" wrapText="1"/>
    </xf>
    <xf numFmtId="0" fontId="18" fillId="2" borderId="56" applyAlignment="1" pivotButton="0" quotePrefix="0" xfId="0">
      <alignment horizontal="center" vertical="center" wrapText="1"/>
    </xf>
    <xf numFmtId="0" fontId="18" fillId="2" borderId="41" applyAlignment="1" pivotButton="0" quotePrefix="0" xfId="0">
      <alignment horizontal="center" vertical="center" wrapText="1"/>
    </xf>
    <xf numFmtId="0" fontId="18" fillId="2" borderId="45" applyAlignment="1" pivotButton="0" quotePrefix="0" xfId="0">
      <alignment horizontal="center" vertical="center" wrapText="1"/>
    </xf>
    <xf numFmtId="0" fontId="3" fillId="2" borderId="58" applyAlignment="1" pivotButton="0" quotePrefix="0" xfId="0">
      <alignment horizontal="left" vertical="center" wrapText="1"/>
    </xf>
    <xf numFmtId="0" fontId="0" fillId="2" borderId="0" applyAlignment="1" pivotButton="0" quotePrefix="0" xfId="0">
      <alignment horizontal="center" vertical="center" wrapText="1"/>
    </xf>
    <xf numFmtId="0" fontId="16" fillId="2" borderId="35"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59" applyAlignment="1" pivotButton="0" quotePrefix="0" xfId="0">
      <alignment horizontal="center" vertical="center" wrapText="1"/>
    </xf>
    <xf numFmtId="0" fontId="29" fillId="2" borderId="35" applyAlignment="1" pivotButton="0" quotePrefix="0" xfId="0">
      <alignment horizontal="center" vertical="center" wrapText="1"/>
    </xf>
    <xf numFmtId="0" fontId="0" fillId="2" borderId="35" applyAlignment="1" pivotButton="0" quotePrefix="0" xfId="0">
      <alignment horizontal="left" vertical="center" wrapText="1"/>
    </xf>
    <xf numFmtId="0" fontId="3" fillId="2" borderId="100" applyAlignment="1" pivotButton="0" quotePrefix="0" xfId="0">
      <alignment horizontal="left" vertical="center" wrapText="1"/>
    </xf>
    <xf numFmtId="0" fontId="0" fillId="7" borderId="58" applyAlignment="1" pivotButton="0" quotePrefix="0" xfId="0">
      <alignment horizontal="left" vertical="center" wrapText="1"/>
    </xf>
    <xf numFmtId="0" fontId="29" fillId="2" borderId="58" applyAlignment="1" pivotButton="0" quotePrefix="0" xfId="0">
      <alignment horizontal="left" vertical="center" wrapText="1"/>
    </xf>
    <xf numFmtId="0" fontId="0" fillId="0" borderId="95" applyAlignment="1" pivotButton="0" quotePrefix="0" xfId="0">
      <alignment horizontal="left" vertical="center" wrapText="1"/>
    </xf>
    <xf numFmtId="0" fontId="0" fillId="0" borderId="95" applyAlignment="1" pivotButton="0" quotePrefix="0" xfId="0">
      <alignment horizontal="center" vertical="center" wrapText="1"/>
    </xf>
    <xf numFmtId="0" fontId="0" fillId="0" borderId="96" applyAlignment="1" pivotButton="0" quotePrefix="0" xfId="0">
      <alignment horizontal="center" vertical="center" wrapText="1"/>
    </xf>
    <xf numFmtId="0" fontId="0" fillId="0" borderId="98" applyAlignment="1" pivotButton="0" quotePrefix="0" xfId="0">
      <alignment horizontal="center" vertical="center"/>
    </xf>
    <xf numFmtId="0" fontId="0" fillId="0" borderId="94" applyAlignment="1" pivotButton="0" quotePrefix="0" xfId="0">
      <alignment vertical="center"/>
    </xf>
    <xf numFmtId="0" fontId="0" fillId="0" borderId="95" applyAlignment="1" pivotButton="0" quotePrefix="0" xfId="0">
      <alignment horizontal="center" vertical="center"/>
    </xf>
    <xf numFmtId="0" fontId="0" fillId="0" borderId="96" applyAlignment="1" pivotButton="0" quotePrefix="0" xfId="0">
      <alignment horizontal="center" vertical="center"/>
    </xf>
    <xf numFmtId="0" fontId="15" fillId="0" borderId="0" pivotButton="0" quotePrefix="0" xfId="1"/>
    <xf numFmtId="0" fontId="0" fillId="0" borderId="112" applyAlignment="1" pivotButton="0" quotePrefix="0" xfId="0">
      <alignment horizontal="center"/>
    </xf>
    <xf numFmtId="0" fontId="0" fillId="0" borderId="113" applyAlignment="1" pivotButton="0" quotePrefix="0" xfId="0">
      <alignment horizontal="center"/>
    </xf>
    <xf numFmtId="0" fontId="31" fillId="0" borderId="95" applyAlignment="1" pivotButton="0" quotePrefix="0" xfId="0">
      <alignment wrapText="1"/>
    </xf>
    <xf numFmtId="0" fontId="32" fillId="0" borderId="95" applyAlignment="1" pivotButton="0" quotePrefix="0" xfId="0">
      <alignment wrapText="1"/>
    </xf>
    <xf numFmtId="0" fontId="33" fillId="0" borderId="95" applyAlignment="1" pivotButton="0" quotePrefix="0" xfId="0">
      <alignment wrapText="1"/>
    </xf>
    <xf numFmtId="0" fontId="34" fillId="0" borderId="95" applyAlignment="1" pivotButton="0" quotePrefix="0" xfId="0">
      <alignment wrapText="1"/>
    </xf>
    <xf numFmtId="0" fontId="35" fillId="0" borderId="95" applyAlignment="1" pivotButton="0" quotePrefix="0" xfId="0">
      <alignment wrapText="1"/>
    </xf>
    <xf numFmtId="0" fontId="36" fillId="0" borderId="95" applyAlignment="1" pivotButton="0" quotePrefix="0" xfId="0">
      <alignment wrapText="1"/>
    </xf>
    <xf numFmtId="0" fontId="37" fillId="0" borderId="95" applyAlignment="1" pivotButton="0" quotePrefix="0" xfId="0">
      <alignment wrapText="1"/>
    </xf>
    <xf numFmtId="0" fontId="38" fillId="0" borderId="95" applyAlignment="1" pivotButton="0" quotePrefix="0" xfId="0">
      <alignment wrapText="1"/>
    </xf>
    <xf numFmtId="0" fontId="39" fillId="0" borderId="95" applyAlignment="1" pivotButton="0" quotePrefix="0" xfId="0">
      <alignment wrapText="1"/>
    </xf>
    <xf numFmtId="0" fontId="39" fillId="0" borderId="112" applyAlignment="1" pivotButton="0" quotePrefix="0" xfId="0">
      <alignment wrapText="1"/>
    </xf>
    <xf numFmtId="0" fontId="38" fillId="0" borderId="112" applyAlignment="1" pivotButton="0" quotePrefix="0" xfId="0">
      <alignment wrapText="1"/>
    </xf>
    <xf numFmtId="0" fontId="31" fillId="0" borderId="112" applyAlignment="1" pivotButton="0" quotePrefix="0" xfId="0">
      <alignment wrapText="1"/>
    </xf>
    <xf numFmtId="0" fontId="32" fillId="0" borderId="112" applyAlignment="1" pivotButton="0" quotePrefix="0" xfId="0">
      <alignment wrapText="1"/>
    </xf>
    <xf numFmtId="0" fontId="3" fillId="2" borderId="98"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110"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59" applyAlignment="1" pivotButton="0" quotePrefix="0" xfId="0">
      <alignment horizontal="center" vertical="center" wrapText="1"/>
    </xf>
    <xf numFmtId="0" fontId="0" fillId="20" borderId="59" applyAlignment="1" pivotButton="0" quotePrefix="1" xfId="0">
      <alignment horizontal="center" vertical="center" wrapText="1"/>
    </xf>
    <xf numFmtId="0" fontId="0" fillId="20" borderId="0" applyAlignment="1" pivotButton="0" quotePrefix="0" xfId="0">
      <alignment vertical="center" wrapText="1"/>
    </xf>
    <xf numFmtId="0" fontId="19" fillId="4" borderId="115" applyAlignment="1" pivotButton="0" quotePrefix="0" xfId="0">
      <alignment horizontal="center" vertical="center" wrapText="1"/>
    </xf>
    <xf numFmtId="164" fontId="19" fillId="4" borderId="25" applyAlignment="1" pivotButton="0" quotePrefix="0" xfId="0">
      <alignment horizontal="center" vertical="center" wrapText="1"/>
    </xf>
    <xf numFmtId="0" fontId="0" fillId="0" borderId="111" applyAlignment="1" pivotButton="0" quotePrefix="0" xfId="0">
      <alignment vertical="center"/>
    </xf>
    <xf numFmtId="0" fontId="0" fillId="0" borderId="111" applyAlignment="1" pivotButton="0" quotePrefix="0" xfId="0">
      <alignment horizontal="center" vertical="center"/>
    </xf>
    <xf numFmtId="0" fontId="0" fillId="0" borderId="116" applyAlignment="1" pivotButton="0" quotePrefix="0" xfId="0">
      <alignment horizontal="center" vertical="center"/>
    </xf>
    <xf numFmtId="0" fontId="0" fillId="0" borderId="114" applyAlignment="1" pivotButton="0" quotePrefix="0" xfId="0">
      <alignment horizontal="center" vertical="center"/>
    </xf>
    <xf numFmtId="0" fontId="0" fillId="0" borderId="27" applyAlignment="1" pivotButton="0" quotePrefix="0" xfId="0">
      <alignment horizontal="center" vertical="center"/>
    </xf>
    <xf numFmtId="0" fontId="0" fillId="0" borderId="27" applyAlignment="1" pivotButton="0" quotePrefix="1" xfId="0">
      <alignment horizontal="center" vertical="center"/>
    </xf>
    <xf numFmtId="164" fontId="0" fillId="0" borderId="34" applyAlignment="1" pivotButton="0" quotePrefix="0" xfId="0">
      <alignment horizontal="center" vertical="center"/>
    </xf>
    <xf numFmtId="0" fontId="0" fillId="0" borderId="94" applyAlignment="1" pivotButton="0" quotePrefix="0" xfId="0">
      <alignment horizontal="center" vertical="center"/>
    </xf>
    <xf numFmtId="0" fontId="0" fillId="0" borderId="16" applyAlignment="1" pivotButton="0" quotePrefix="0" xfId="0">
      <alignment horizontal="center" vertical="center"/>
    </xf>
    <xf numFmtId="164" fontId="0" fillId="0" borderId="96" applyAlignment="1" pivotButton="0" quotePrefix="0" xfId="0">
      <alignment horizontal="center" vertical="center"/>
    </xf>
    <xf numFmtId="0" fontId="0" fillId="0" borderId="114" applyAlignment="1" pivotButton="0" quotePrefix="1" xfId="0">
      <alignment horizontal="center" vertical="center"/>
    </xf>
    <xf numFmtId="164" fontId="0" fillId="0" borderId="34" applyAlignment="1" pivotButton="0" quotePrefix="1" xfId="0">
      <alignment horizontal="center" vertical="center"/>
    </xf>
    <xf numFmtId="0" fontId="0" fillId="0" borderId="98" applyAlignment="1" pivotButton="0" quotePrefix="1" xfId="0">
      <alignment vertical="center"/>
    </xf>
    <xf numFmtId="0" fontId="0" fillId="0" borderId="117" applyAlignment="1" pivotButton="0" quotePrefix="0" xfId="0">
      <alignment horizontal="center" vertical="center"/>
    </xf>
    <xf numFmtId="0" fontId="0" fillId="0" borderId="95" applyAlignment="1" pivotButton="0" quotePrefix="1" xfId="0">
      <alignment horizontal="center" vertical="center"/>
    </xf>
    <xf numFmtId="0" fontId="0" fillId="0" borderId="94" applyAlignment="1" pivotButton="0" quotePrefix="1" xfId="0">
      <alignment horizontal="center" vertical="center"/>
    </xf>
    <xf numFmtId="164" fontId="0" fillId="0" borderId="96" applyAlignment="1" pivotButton="0" quotePrefix="1" xfId="0">
      <alignment horizontal="center" vertical="center"/>
    </xf>
    <xf numFmtId="0" fontId="0" fillId="0" borderId="98" applyAlignment="1" pivotButton="0" quotePrefix="0" xfId="0">
      <alignment vertical="center"/>
    </xf>
    <xf numFmtId="0" fontId="16" fillId="0" borderId="98" applyAlignment="1" pivotButton="0" quotePrefix="0" xfId="0">
      <alignment horizontal="center" vertical="center"/>
    </xf>
    <xf numFmtId="0" fontId="0" fillId="0" borderId="92" applyAlignment="1" pivotButton="0" quotePrefix="0" xfId="0">
      <alignment horizontal="center" vertical="center"/>
    </xf>
    <xf numFmtId="0" fontId="0" fillId="12" borderId="94" applyAlignment="1" pivotButton="0" quotePrefix="0" xfId="0">
      <alignment horizontal="center" vertical="center"/>
    </xf>
    <xf numFmtId="0" fontId="0" fillId="12" borderId="95" applyAlignment="1" pivotButton="0" quotePrefix="0" xfId="0">
      <alignment horizontal="center" vertical="center"/>
    </xf>
    <xf numFmtId="164" fontId="0" fillId="12" borderId="96" applyAlignment="1" pivotButton="0" quotePrefix="0" xfId="0">
      <alignment horizontal="center" vertical="center"/>
    </xf>
    <xf numFmtId="0" fontId="0" fillId="0" borderId="96" applyAlignment="1" pivotButton="0" quotePrefix="1" xfId="0">
      <alignment horizontal="center" vertical="center"/>
    </xf>
    <xf numFmtId="164" fontId="9" fillId="0" borderId="96" applyAlignment="1" pivotButton="0" quotePrefix="0" xfId="0">
      <alignment horizontal="center" vertical="center"/>
    </xf>
    <xf numFmtId="0" fontId="9" fillId="0" borderId="98" applyAlignment="1" pivotButton="0" quotePrefix="0" xfId="0">
      <alignment vertical="center" wrapText="1"/>
    </xf>
    <xf numFmtId="0" fontId="9" fillId="0" borderId="98" applyAlignment="1" pivotButton="0" quotePrefix="0" xfId="0">
      <alignment horizontal="center" vertical="center"/>
    </xf>
    <xf numFmtId="17" fontId="9" fillId="0" borderId="106" applyAlignment="1" pivotButton="0" quotePrefix="0" xfId="0">
      <alignment horizontal="center" vertical="center"/>
    </xf>
    <xf numFmtId="0" fontId="9" fillId="0" borderId="94" applyAlignment="1" pivotButton="0" quotePrefix="0" xfId="0">
      <alignment horizontal="center" vertical="center"/>
    </xf>
    <xf numFmtId="0" fontId="9" fillId="0" borderId="95" applyAlignment="1" pivotButton="0" quotePrefix="0" xfId="0">
      <alignment horizontal="center" vertical="center"/>
    </xf>
    <xf numFmtId="0" fontId="16" fillId="0" borderId="94" applyAlignment="1" pivotButton="0" quotePrefix="0" xfId="0">
      <alignment horizontal="center" vertical="center"/>
    </xf>
    <xf numFmtId="0" fontId="16" fillId="0" borderId="95" applyAlignment="1" pivotButton="0" quotePrefix="0" xfId="0">
      <alignment horizontal="center" vertical="center"/>
    </xf>
    <xf numFmtId="164" fontId="16" fillId="0" borderId="96" applyAlignment="1" pivotButton="0" quotePrefix="0" xfId="0">
      <alignment horizontal="center" vertical="center"/>
    </xf>
    <xf numFmtId="0" fontId="9" fillId="0" borderId="98" applyAlignment="1" pivotButton="0" quotePrefix="0" xfId="0">
      <alignment horizontal="left" vertical="center" wrapText="1"/>
    </xf>
    <xf numFmtId="17" fontId="0" fillId="0" borderId="96" applyAlignment="1" pivotButton="0" quotePrefix="0" xfId="0">
      <alignment horizontal="center" vertical="center"/>
    </xf>
    <xf numFmtId="0" fontId="16" fillId="0" borderId="98" applyAlignment="1" pivotButton="0" quotePrefix="0" xfId="0">
      <alignment vertical="center" wrapText="1"/>
    </xf>
    <xf numFmtId="0" fontId="16" fillId="0" borderId="95" applyAlignment="1" pivotButton="0" quotePrefix="0" xfId="0">
      <alignment vertical="center"/>
    </xf>
    <xf numFmtId="164" fontId="0" fillId="0" borderId="0" applyAlignment="1" pivotButton="0" quotePrefix="0" xfId="0">
      <alignment horizontal="center" vertical="center"/>
    </xf>
    <xf numFmtId="0" fontId="3" fillId="5" borderId="1" applyAlignment="1" pivotButton="0" quotePrefix="0" xfId="0">
      <alignment horizontal="center" vertical="center" wrapText="1"/>
    </xf>
    <xf numFmtId="0" fontId="0" fillId="0" borderId="58" pivotButton="0" quotePrefix="0" xfId="0"/>
    <xf numFmtId="0" fontId="0" fillId="0" borderId="4" pivotButton="0" quotePrefix="0" xfId="0"/>
    <xf numFmtId="0" fontId="9" fillId="4" borderId="1" applyAlignment="1" pivotButton="0" quotePrefix="0" xfId="0">
      <alignment horizontal="center" vertical="center" wrapText="1"/>
    </xf>
    <xf numFmtId="0" fontId="0" fillId="0" borderId="20" pivotButton="0" quotePrefix="0" xfId="0"/>
    <xf numFmtId="0" fontId="0" fillId="0" borderId="5" pivotButton="0" quotePrefix="0" xfId="0"/>
    <xf numFmtId="0" fontId="18" fillId="4" borderId="1" applyAlignment="1" pivotButton="0" quotePrefix="0" xfId="0">
      <alignment horizontal="center" vertical="center" wrapText="1"/>
    </xf>
    <xf numFmtId="0" fontId="9" fillId="4" borderId="60" applyAlignment="1" pivotButton="0" quotePrefix="0" xfId="0">
      <alignment horizontal="center" vertical="center" wrapText="1"/>
    </xf>
    <xf numFmtId="0" fontId="3" fillId="5" borderId="98" applyAlignment="1" pivotButton="0" quotePrefix="0" xfId="0">
      <alignment horizontal="center" vertical="center" wrapText="1"/>
    </xf>
    <xf numFmtId="0" fontId="0" fillId="0" borderId="110" pivotButton="0" quotePrefix="0" xfId="0"/>
    <xf numFmtId="0" fontId="0" fillId="0" borderId="111" pivotButton="0" quotePrefix="0" xfId="0"/>
    <xf numFmtId="0" fontId="16" fillId="4" borderId="1" applyAlignment="1" pivotButton="0" quotePrefix="0" xfId="0">
      <alignment horizontal="center" vertical="center" wrapText="1"/>
    </xf>
    <xf numFmtId="0" fontId="18" fillId="4" borderId="16" applyAlignment="1" pivotButton="0" quotePrefix="0" xfId="0">
      <alignment horizontal="center" vertical="center" wrapText="1"/>
    </xf>
    <xf numFmtId="0" fontId="0" fillId="0" borderId="16" pivotButton="0" quotePrefix="0" xfId="0"/>
    <xf numFmtId="0" fontId="9" fillId="4" borderId="16" applyAlignment="1" pivotButton="0" quotePrefix="0" xfId="0">
      <alignment horizontal="center" vertical="center" wrapText="1"/>
    </xf>
    <xf numFmtId="0" fontId="18" fillId="4" borderId="60" applyAlignment="1" pivotButton="0" quotePrefix="0" xfId="0">
      <alignment horizontal="center" vertical="center" wrapText="1"/>
    </xf>
    <xf numFmtId="0" fontId="3" fillId="5" borderId="94" applyAlignment="1" pivotButton="0" quotePrefix="0" xfId="0">
      <alignment horizontal="center" vertical="center" wrapText="1"/>
    </xf>
    <xf numFmtId="0" fontId="0" fillId="0" borderId="92" pivotButton="0" quotePrefix="0" xfId="0"/>
    <xf numFmtId="0" fontId="18" fillId="4" borderId="93" applyAlignment="1" pivotButton="0" quotePrefix="0" xfId="0">
      <alignment horizontal="center" vertical="center" wrapText="1"/>
    </xf>
    <xf numFmtId="0" fontId="0" fillId="0" borderId="96" pivotButton="0" quotePrefix="0" xfId="0"/>
    <xf numFmtId="0" fontId="18" fillId="4" borderId="95" applyAlignment="1" pivotButton="0" quotePrefix="0" xfId="0">
      <alignment horizontal="center" vertical="center" wrapText="1"/>
    </xf>
    <xf numFmtId="0" fontId="0" fillId="0" borderId="95" pivotButton="0" quotePrefix="0" xfId="0"/>
    <xf numFmtId="0" fontId="18" fillId="4" borderId="114" applyAlignment="1" pivotButton="0" quotePrefix="1" xfId="0">
      <alignment horizontal="center" vertical="center" wrapText="1"/>
    </xf>
    <xf numFmtId="0" fontId="18" fillId="4" borderId="27" applyAlignment="1" pivotButton="0" quotePrefix="1" xfId="0">
      <alignment horizontal="center" vertical="center" wrapText="1"/>
    </xf>
    <xf numFmtId="0" fontId="18" fillId="4" borderId="34" applyAlignment="1" pivotButton="0" quotePrefix="1" xfId="0">
      <alignment horizontal="center" vertical="center" wrapText="1"/>
    </xf>
    <xf numFmtId="0" fontId="3" fillId="5" borderId="100" applyAlignment="1" pivotButton="0" quotePrefix="0" xfId="0">
      <alignment horizontal="center" vertical="center" wrapText="1"/>
    </xf>
    <xf numFmtId="0" fontId="3" fillId="5" borderId="111" applyAlignment="1" pivotButton="0" quotePrefix="0" xfId="0">
      <alignment horizontal="center" vertical="center" wrapText="1"/>
    </xf>
    <xf numFmtId="0" fontId="3" fillId="5" borderId="89" applyAlignment="1" pivotButton="0" quotePrefix="0" xfId="0">
      <alignment horizontal="center" vertical="center" wrapText="1"/>
    </xf>
    <xf numFmtId="0" fontId="3" fillId="5" borderId="92" applyAlignment="1" pivotButton="0" quotePrefix="0" xfId="0">
      <alignment horizontal="center" vertical="center" wrapText="1"/>
    </xf>
    <xf numFmtId="0" fontId="19" fillId="14" borderId="29" applyAlignment="1" pivotButton="0" quotePrefix="0" xfId="0">
      <alignment horizontal="center" vertical="center" wrapText="1"/>
    </xf>
    <xf numFmtId="0" fontId="19" fillId="14" borderId="25" applyAlignment="1" pivotButton="0" quotePrefix="0" xfId="0">
      <alignment horizontal="center" vertical="center" wrapText="1"/>
    </xf>
    <xf numFmtId="0" fontId="19" fillId="4" borderId="114" applyAlignment="1" pivotButton="0" quotePrefix="0" xfId="0">
      <alignment horizontal="center" vertical="center" wrapText="1"/>
    </xf>
    <xf numFmtId="0" fontId="19" fillId="4" borderId="27" applyAlignment="1" pivotButton="0" quotePrefix="0" xfId="0">
      <alignment horizontal="center" vertical="center" wrapText="1"/>
    </xf>
    <xf numFmtId="0" fontId="19" fillId="4" borderId="34" applyAlignment="1" pivotButton="0" quotePrefix="0" xfId="0">
      <alignment horizontal="center" vertical="center" wrapText="1"/>
    </xf>
    <xf numFmtId="0" fontId="18" fillId="4" borderId="114" applyAlignment="1" pivotButton="0" quotePrefix="0" xfId="0">
      <alignment horizontal="center" vertical="center" wrapText="1"/>
    </xf>
    <xf numFmtId="0" fontId="18" fillId="4" borderId="27" applyAlignment="1" pivotButton="0" quotePrefix="0" xfId="0">
      <alignment horizontal="center" vertical="center" wrapText="1"/>
    </xf>
    <xf numFmtId="0" fontId="18" fillId="4" borderId="34" applyAlignment="1" pivotButton="0" quotePrefix="0" xfId="0">
      <alignment horizontal="center" vertical="center" wrapText="1"/>
    </xf>
    <xf numFmtId="0" fontId="3" fillId="13" borderId="60" applyAlignment="1" pivotButton="0" quotePrefix="0" xfId="0">
      <alignment horizontal="center" vertical="center" wrapText="1"/>
    </xf>
    <xf numFmtId="0" fontId="0" fillId="0" borderId="57" pivotButton="0" quotePrefix="0" xfId="0"/>
    <xf numFmtId="0" fontId="22" fillId="5" borderId="42" applyAlignment="1" pivotButton="0" quotePrefix="0" xfId="0">
      <alignment horizontal="center" vertical="center" wrapText="1"/>
    </xf>
    <xf numFmtId="0" fontId="0" fillId="0" borderId="45" pivotButton="0" quotePrefix="0" xfId="0"/>
    <xf numFmtId="0" fontId="23" fillId="5" borderId="42"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5" applyAlignment="1" pivotButton="0" quotePrefix="0" xfId="0">
      <alignment horizontal="center" vertical="center" wrapText="1"/>
    </xf>
    <xf numFmtId="0" fontId="0" fillId="0" borderId="7" pivotButton="0" quotePrefix="0" xfId="0"/>
    <xf numFmtId="0" fontId="0" fillId="0" borderId="41" pivotButton="0" quotePrefix="0" xfId="0"/>
    <xf numFmtId="0" fontId="3" fillId="4" borderId="42" applyAlignment="1" pivotButton="0" quotePrefix="0" xfId="0">
      <alignment horizontal="center" vertical="center" wrapText="1"/>
    </xf>
    <xf numFmtId="0" fontId="5" fillId="0" borderId="15" applyAlignment="1" pivotButton="0" quotePrefix="0" xfId="0">
      <alignment horizontal="center" vertical="center"/>
    </xf>
    <xf numFmtId="0" fontId="0" fillId="0" borderId="27" pivotButton="0" quotePrefix="0" xfId="0"/>
    <xf numFmtId="0" fontId="0" fillId="0" borderId="55" pivotButton="0" quotePrefix="0" xfId="0"/>
    <xf numFmtId="0" fontId="0" fillId="3" borderId="49" applyAlignment="1" pivotButton="0" quotePrefix="0" xfId="0">
      <alignment horizontal="center" vertical="center"/>
    </xf>
    <xf numFmtId="0" fontId="0" fillId="0" borderId="17" pivotButton="0" quotePrefix="0" xfId="0"/>
    <xf numFmtId="0" fontId="0" fillId="0" borderId="14" pivotButton="0" quotePrefix="0" xfId="0"/>
    <xf numFmtId="0" fontId="3" fillId="0" borderId="2" applyAlignment="1" pivotButton="0" quotePrefix="0" xfId="0">
      <alignment horizontal="center" vertical="center"/>
    </xf>
    <xf numFmtId="0" fontId="0" fillId="0" borderId="3" pivotButton="0" quotePrefix="0" xfId="0"/>
    <xf numFmtId="0" fontId="0" fillId="0" borderId="15" applyAlignment="1" pivotButton="0" quotePrefix="0" xfId="0">
      <alignment horizontal="center" vertical="center"/>
    </xf>
    <xf numFmtId="0" fontId="0" fillId="0" borderId="50" pivotButton="0" quotePrefix="0" xfId="0"/>
    <xf numFmtId="0" fontId="0" fillId="0" borderId="33" pivotButton="0" quotePrefix="0" xfId="0"/>
    <xf numFmtId="0" fontId="0" fillId="0" borderId="51" pivotButton="0" quotePrefix="0" xfId="0"/>
    <xf numFmtId="0" fontId="0" fillId="0" borderId="52" pivotButton="0" quotePrefix="0" xfId="0"/>
    <xf numFmtId="0" fontId="3" fillId="2" borderId="49" applyAlignment="1" pivotButton="0" quotePrefix="0" xfId="0">
      <alignment horizontal="center" vertical="center"/>
    </xf>
    <xf numFmtId="0" fontId="3" fillId="0" borderId="22" applyAlignment="1" pivotButton="0" quotePrefix="0" xfId="0">
      <alignment horizontal="center" vertical="center" wrapText="1"/>
    </xf>
    <xf numFmtId="0" fontId="0" fillId="0" borderId="22" pivotButton="0" quotePrefix="0" xfId="0"/>
    <xf numFmtId="0" fontId="0" fillId="0" borderId="32" applyAlignment="1" pivotButton="0" quotePrefix="0" xfId="0">
      <alignment horizontal="center" vertical="center"/>
    </xf>
    <xf numFmtId="0" fontId="5" fillId="0" borderId="28" applyAlignment="1" pivotButton="0" quotePrefix="0" xfId="0">
      <alignment horizontal="center" vertical="center"/>
    </xf>
    <xf numFmtId="0" fontId="0" fillId="0" borderId="28" applyAlignment="1" pivotButton="0" quotePrefix="0" xfId="0">
      <alignment horizontal="center" vertical="center"/>
    </xf>
    <xf numFmtId="0" fontId="5" fillId="0" borderId="24" applyAlignment="1" pivotButton="0" quotePrefix="0" xfId="0">
      <alignment horizontal="center" vertical="center"/>
    </xf>
    <xf numFmtId="0" fontId="0" fillId="0" borderId="53" pivotButton="0" quotePrefix="0" xfId="0"/>
    <xf numFmtId="0" fontId="0" fillId="0" borderId="47" pivotButton="0" quotePrefix="0" xfId="0"/>
    <xf numFmtId="0" fontId="0" fillId="0" borderId="0" pivotButton="0" quotePrefix="0" xfId="0"/>
    <xf numFmtId="0" fontId="0" fillId="0" borderId="36" pivotButton="0" quotePrefix="0" xfId="0"/>
    <xf numFmtId="0" fontId="0" fillId="0" borderId="48" pivotButton="0" quotePrefix="0" xfId="0"/>
    <xf numFmtId="0" fontId="0" fillId="0" borderId="54" pivotButton="0" quotePrefix="0" xfId="0"/>
    <xf numFmtId="0" fontId="0" fillId="0" borderId="44" pivotButton="0" quotePrefix="0" xfId="0"/>
    <xf numFmtId="0" fontId="3" fillId="0" borderId="49" applyAlignment="1" pivotButton="0" quotePrefix="0" xfId="0">
      <alignment horizontal="center" vertical="center"/>
    </xf>
    <xf numFmtId="0" fontId="3" fillId="0" borderId="9" applyAlignment="1" pivotButton="0" quotePrefix="0" xfId="0">
      <alignment horizontal="center"/>
    </xf>
    <xf numFmtId="0" fontId="0" fillId="0" borderId="46" pivotButton="0" quotePrefix="0" xfId="0"/>
    <xf numFmtId="0" fontId="0" fillId="0" borderId="62" pivotButton="0" quotePrefix="0" xfId="0"/>
    <xf numFmtId="0" fontId="0" fillId="2" borderId="32" applyAlignment="1" pivotButton="0" quotePrefix="0" xfId="0">
      <alignment horizontal="center" vertical="center"/>
    </xf>
    <xf numFmtId="0" fontId="3" fillId="0" borderId="15" applyAlignment="1" pivotButton="0" quotePrefix="0" xfId="0">
      <alignment horizontal="center" vertical="center"/>
    </xf>
    <xf numFmtId="0" fontId="0" fillId="0" borderId="31" pivotButton="0" quotePrefix="0" xfId="0"/>
    <xf numFmtId="0" fontId="0" fillId="0" borderId="37" pivotButton="0" quotePrefix="0" xfId="0"/>
    <xf numFmtId="0" fontId="5" fillId="0" borderId="2" applyAlignment="1" pivotButton="0" quotePrefix="0" xfId="0">
      <alignment horizontal="center"/>
    </xf>
    <xf numFmtId="0" fontId="0" fillId="0" borderId="2" applyAlignment="1" pivotButton="0" quotePrefix="0" xfId="0">
      <alignment horizontal="center" vertical="center"/>
    </xf>
    <xf numFmtId="0" fontId="0" fillId="0" borderId="24" applyAlignment="1" pivotButton="0" quotePrefix="0" xfId="0">
      <alignment horizontal="center" vertical="center"/>
    </xf>
    <xf numFmtId="0" fontId="5" fillId="0" borderId="32" applyAlignment="1" pivotButton="0" quotePrefix="0" xfId="0">
      <alignment horizontal="center" vertical="center"/>
    </xf>
    <xf numFmtId="0" fontId="3" fillId="0" borderId="20" applyAlignment="1" pivotButton="0" quotePrefix="0" xfId="0">
      <alignment horizontal="center" vertical="center"/>
    </xf>
    <xf numFmtId="0" fontId="0" fillId="0" borderId="6" pivotButton="0" quotePrefix="0" xfId="0"/>
    <xf numFmtId="0" fontId="6" fillId="0" borderId="6" applyAlignment="1" pivotButton="0" quotePrefix="0" xfId="0">
      <alignment horizontal="center" vertical="center"/>
    </xf>
    <xf numFmtId="0" fontId="0" fillId="0" borderId="2" applyAlignment="1" pivotButton="0" quotePrefix="0" xfId="0">
      <alignment horizontal="center"/>
    </xf>
    <xf numFmtId="0" fontId="3" fillId="0" borderId="27" applyAlignment="1" pivotButton="0" quotePrefix="0" xfId="0">
      <alignment horizontal="center" vertical="center"/>
    </xf>
    <xf numFmtId="0" fontId="7" fillId="0" borderId="6" applyAlignment="1" pivotButton="0" quotePrefix="0" xfId="0">
      <alignment horizontal="center" vertical="center"/>
    </xf>
    <xf numFmtId="0" fontId="0" fillId="2" borderId="28" applyAlignment="1" pivotButton="0" quotePrefix="0" xfId="0">
      <alignment horizontal="center" vertical="center"/>
    </xf>
    <xf numFmtId="0" fontId="0" fillId="2" borderId="49" applyAlignment="1" pivotButton="0" quotePrefix="0" xfId="0">
      <alignment horizontal="center" vertical="center"/>
    </xf>
    <xf numFmtId="0" fontId="3" fillId="0" borderId="48" applyAlignment="1" pivotButton="0" quotePrefix="0" xfId="0">
      <alignment horizontal="center" vertical="center"/>
    </xf>
    <xf numFmtId="0" fontId="0" fillId="0" borderId="11" applyAlignment="1" pivotButton="0" quotePrefix="0" xfId="0">
      <alignment horizontal="center" vertical="center"/>
    </xf>
    <xf numFmtId="0" fontId="0" fillId="0" borderId="35" pivotButton="0" quotePrefix="0" xfId="0"/>
    <xf numFmtId="0" fontId="0" fillId="0" borderId="43" pivotButton="0" quotePrefix="0" xfId="0"/>
    <xf numFmtId="0" fontId="3" fillId="0" borderId="49" applyAlignment="1" pivotButton="0" quotePrefix="0" xfId="0">
      <alignment horizontal="center" vertical="center" wrapText="1"/>
    </xf>
    <xf numFmtId="0" fontId="5" fillId="0" borderId="49" applyAlignment="1" pivotButton="0" quotePrefix="0" xfId="0">
      <alignment horizontal="center" vertical="center" wrapText="1"/>
    </xf>
    <xf numFmtId="0" fontId="5" fillId="0" borderId="22" applyAlignment="1" pivotButton="0" quotePrefix="0" xfId="0">
      <alignment horizontal="center" vertical="center" wrapText="1"/>
    </xf>
    <xf numFmtId="0" fontId="3" fillId="0" borderId="38" applyAlignment="1" pivotButton="0" quotePrefix="0" xfId="0">
      <alignment horizontal="center" vertical="center"/>
    </xf>
    <xf numFmtId="0" fontId="0" fillId="0" borderId="49" applyAlignment="1" pivotButton="0" quotePrefix="0" xfId="0">
      <alignment horizontal="center" vertical="center"/>
    </xf>
    <xf numFmtId="0" fontId="3" fillId="2" borderId="22" applyAlignment="1" pivotButton="0" quotePrefix="0" xfId="0">
      <alignment horizontal="center" vertical="center"/>
    </xf>
    <xf numFmtId="0" fontId="3" fillId="0" borderId="16" applyAlignment="1" pivotButton="0" quotePrefix="0" xfId="0">
      <alignment horizontal="center" vertical="center"/>
    </xf>
    <xf numFmtId="0" fontId="12" fillId="0" borderId="39" applyAlignment="1" pivotButton="0" quotePrefix="0" xfId="0">
      <alignment horizontal="center" wrapText="1"/>
    </xf>
    <xf numFmtId="0" fontId="0" fillId="0" borderId="40" pivotButton="0" quotePrefix="0" xfId="0"/>
    <xf numFmtId="0" fontId="5" fillId="0" borderId="2" applyAlignment="1" pivotButton="0" quotePrefix="0" xfId="0">
      <alignment horizontal="center" vertical="center"/>
    </xf>
    <xf numFmtId="0" fontId="0" fillId="0" borderId="2" applyAlignment="1" pivotButton="0" quotePrefix="0" xfId="0">
      <alignment horizontal="center" vertical="center" wrapText="1"/>
    </xf>
    <xf numFmtId="0" fontId="19" fillId="4" borderId="29" applyAlignment="1" pivotButton="0" quotePrefix="0" xfId="0">
      <alignment horizontal="center" vertical="center" wrapText="1"/>
    </xf>
    <xf numFmtId="0" fontId="18" fillId="4" borderId="29" applyAlignment="1" pivotButton="0" quotePrefix="0" xfId="0">
      <alignment horizontal="center" vertical="center" wrapText="1"/>
    </xf>
    <xf numFmtId="0" fontId="18" fillId="4" borderId="29" applyAlignment="1" pivotButton="0" quotePrefix="1" xfId="0">
      <alignment horizontal="center" vertical="center" wrapText="1"/>
    </xf>
    <xf numFmtId="0" fontId="45" fillId="0" borderId="95" applyAlignment="1" pivotButton="0" quotePrefix="0" xfId="0">
      <alignment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MORBIDI MAURIZIO:
Non più applicabile?</t>
      </text>
    </comment>
    <comment ref="E47" authorId="0" shapeId="0">
      <text>
        <t>MORBIDI MAURIZIO:
Disponibile rev J</t>
      </text>
    </comment>
    <comment ref="K47" authorId="0" shapeId="0">
      <text>
        <t>MORBIDI MAURIZIO:
Disponibile rev A</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5"/>
  <sheetViews>
    <sheetView workbookViewId="0">
      <selection activeCell="B7" sqref="B7"/>
    </sheetView>
  </sheetViews>
  <sheetFormatPr baseColWidth="8" defaultColWidth="8.7109375" defaultRowHeight="15"/>
  <cols>
    <col width="10.85546875" customWidth="1" style="13" min="1" max="2"/>
    <col width="59" customWidth="1" style="13" min="3" max="3"/>
    <col width="8.7109375" customWidth="1" style="13" min="4" max="9"/>
    <col width="8.7109375" customWidth="1" style="13" min="10" max="16384"/>
  </cols>
  <sheetData>
    <row r="1" customFormat="1" s="188">
      <c r="A1" s="155" t="inlineStr">
        <is>
          <t>Rev</t>
        </is>
      </c>
      <c r="B1" s="155" t="inlineStr">
        <is>
          <t>Data</t>
        </is>
      </c>
      <c r="C1" s="155" t="inlineStr">
        <is>
          <t>Descrizione</t>
        </is>
      </c>
    </row>
    <row r="2">
      <c r="A2" s="7" t="inlineStr">
        <is>
          <t>1.0</t>
        </is>
      </c>
      <c r="B2" s="189" t="n">
        <v>46190</v>
      </c>
      <c r="C2" s="140" t="inlineStr">
        <is>
          <t>Presentazione bozza</t>
        </is>
      </c>
    </row>
    <row r="3">
      <c r="A3" s="140" t="n"/>
      <c r="B3" s="140" t="n"/>
      <c r="C3" s="140" t="n"/>
    </row>
    <row r="4">
      <c r="A4" s="140" t="n"/>
      <c r="B4" s="140" t="n"/>
      <c r="C4" s="140" t="n"/>
    </row>
    <row r="5">
      <c r="A5" s="140" t="n"/>
      <c r="B5" s="140" t="n"/>
      <c r="C5" s="14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14" min="1" max="1"/>
    <col width="13.85546875" customWidth="1" style="14" min="2" max="2"/>
    <col width="8.7109375" customWidth="1" style="14" min="3" max="3"/>
    <col width="120.7109375" customWidth="1" style="103" min="4" max="4"/>
    <col width="60.140625" customWidth="1" style="103" min="5" max="5"/>
    <col width="8.7109375" customWidth="1" style="13" min="6" max="11"/>
    <col width="8.7109375" customWidth="1" style="13" min="12" max="16384"/>
  </cols>
  <sheetData>
    <row r="1" ht="23.45" customFormat="1" customHeight="1" s="192">
      <c r="A1" s="155" t="inlineStr">
        <is>
          <t>Data</t>
        </is>
      </c>
      <c r="B1" s="155" t="inlineStr">
        <is>
          <t>Chi</t>
        </is>
      </c>
      <c r="C1" s="155" t="inlineStr">
        <is>
          <t>Priorità</t>
        </is>
      </c>
      <c r="D1" s="420" t="inlineStr">
        <is>
          <t>Descrizione</t>
        </is>
      </c>
      <c r="E1" s="420" t="inlineStr">
        <is>
          <t>Note</t>
        </is>
      </c>
    </row>
    <row r="2" ht="30" customHeight="1" s="594">
      <c r="A2" s="308" t="n">
        <v>46190</v>
      </c>
      <c r="B2" s="14" t="inlineStr">
        <is>
          <t>Federico</t>
        </is>
      </c>
      <c r="C2" s="14" t="inlineStr">
        <is>
          <t>Alta</t>
        </is>
      </c>
      <c r="D2" s="103" t="inlineStr">
        <is>
          <t>protezione azionamenti</t>
        </is>
      </c>
      <c r="E2" s="103" t="inlineStr">
        <is>
          <t>da ricercare all'interno dei documenti, una volta collezionati tutti i doc disponibili sulla trazione</t>
        </is>
      </c>
    </row>
    <row r="3">
      <c r="A3" s="308" t="n">
        <v>46190</v>
      </c>
      <c r="B3" s="14" t="inlineStr">
        <is>
          <t>Federico</t>
        </is>
      </c>
      <c r="C3" s="14" t="inlineStr">
        <is>
          <t>Alta</t>
        </is>
      </c>
      <c r="D3" s="103" t="inlineStr">
        <is>
          <t>ricerca doc propulsion</t>
        </is>
      </c>
      <c r="E3" s="103" t="inlineStr">
        <is>
          <t>in corso sui vari SGF</t>
        </is>
      </c>
    </row>
    <row r="4">
      <c r="A4" s="308" t="n">
        <v>46190</v>
      </c>
      <c r="B4" s="14" t="inlineStr">
        <is>
          <t>Maurizio</t>
        </is>
      </c>
      <c r="C4" s="14" t="inlineStr">
        <is>
          <t>Alta</t>
        </is>
      </c>
      <c r="D4" s="103" t="inlineStr">
        <is>
          <t>legare manuali e CPR a documenti CONF</t>
        </is>
      </c>
      <c r="E4" s="103" t="inlineStr">
        <is>
          <t>eseguito manualmente, TBD legame automatico (vedi pt sotto)</t>
        </is>
      </c>
    </row>
    <row r="5" ht="45" customHeight="1" s="594">
      <c r="A5" s="308" t="n">
        <v>46190</v>
      </c>
      <c r="B5" s="14" t="inlineStr">
        <is>
          <t>Federico</t>
        </is>
      </c>
      <c r="C5" s="14" t="inlineStr">
        <is>
          <t>Alta</t>
        </is>
      </c>
      <c r="D5" s="103" t="inlineStr">
        <is>
          <t>provare integrazione copilot</t>
        </is>
      </c>
      <c r="E5" s="103" t="inlineStr">
        <is>
          <t>Eseguita prova su FRS_Line_Voltage con compilazione automatica colonna B di Funzioni. Riutilizzabile per prossime FUNC ID</t>
        </is>
      </c>
    </row>
    <row r="6">
      <c r="A6" s="308" t="n">
        <v>46189</v>
      </c>
      <c r="B6" s="14" t="inlineStr">
        <is>
          <t>Maurizio</t>
        </is>
      </c>
      <c r="C6" s="14" t="inlineStr">
        <is>
          <t>Bassa</t>
        </is>
      </c>
      <c r="D6" s="103" t="inlineStr">
        <is>
          <t>Definire struttura codice FUNC ID</t>
        </is>
      </c>
      <c r="E6" s="103" t="inlineStr">
        <is>
          <t>Valutare se necessario</t>
        </is>
      </c>
    </row>
    <row r="7" ht="45" customHeight="1" s="594">
      <c r="A7" s="308" t="n">
        <v>46189</v>
      </c>
      <c r="B7" s="14" t="inlineStr">
        <is>
          <t>Maurizio</t>
        </is>
      </c>
      <c r="C7" s="14" t="inlineStr">
        <is>
          <t>Media</t>
        </is>
      </c>
      <c r="D7" s="103" t="inlineStr">
        <is>
          <t>Diagnostica:
- Reperire documentazione diagnostica EVENTI + AWO per flotta
- Definire modalità archiviazione file diagnostici per flotta e referenziazione in FUNZIONI</t>
        </is>
      </c>
      <c r="E7" s="103" t="inlineStr">
        <is>
          <t>Alcuni doc già recuperati, da definire criterio di archiviazione</t>
        </is>
      </c>
    </row>
    <row r="8">
      <c r="A8" s="308" t="n">
        <v>46189</v>
      </c>
      <c r="B8" s="14" t="inlineStr">
        <is>
          <t>Maurizio</t>
        </is>
      </c>
      <c r="C8" s="14" t="inlineStr">
        <is>
          <t>Bassa</t>
        </is>
      </c>
      <c r="D8" s="103" t="inlineStr">
        <is>
          <t>Rivedere/Completare PBS</t>
        </is>
      </c>
      <c r="E8" s="103" t="inlineStr">
        <is>
          <t>TBD</t>
        </is>
      </c>
    </row>
    <row r="9">
      <c r="A9" s="308" t="n">
        <v>46189</v>
      </c>
      <c r="B9" s="14" t="inlineStr">
        <is>
          <t>Maurizio</t>
        </is>
      </c>
      <c r="C9" s="14" t="inlineStr">
        <is>
          <t>Bassa</t>
        </is>
      </c>
      <c r="D9" s="106" t="inlineStr">
        <is>
          <t>Legare FUNZIONI a PBS ???</t>
        </is>
      </c>
      <c r="E9" s="103" t="inlineStr">
        <is>
          <t>TBD</t>
        </is>
      </c>
    </row>
    <row r="10">
      <c r="A10" s="308" t="n">
        <v>46189</v>
      </c>
      <c r="B10" s="14" t="inlineStr">
        <is>
          <t>Maurizio</t>
        </is>
      </c>
      <c r="C10" s="14" t="inlineStr">
        <is>
          <t>Bassa</t>
        </is>
      </c>
      <c r="D10" s="103" t="inlineStr">
        <is>
          <t>Pensare a come gestire in Funzioni, l'aggiornamento dei documenti richiamati. ES aggiungere campo data???</t>
        </is>
      </c>
      <c r="E10" s="103" t="inlineStr">
        <is>
          <t>TBD</t>
        </is>
      </c>
    </row>
    <row r="11" ht="60" customHeight="1" s="594">
      <c r="A11" s="308" t="n">
        <v>46196</v>
      </c>
      <c r="B11" s="14" t="inlineStr">
        <is>
          <t>Maurizio</t>
        </is>
      </c>
      <c r="C11" s="14" t="inlineStr">
        <is>
          <t>Alta</t>
        </is>
      </c>
      <c r="D11" s="421" t="inlineStr">
        <is>
          <t>Valutare se inserire colonna File Type in Conf Sheet per poter referenziare anche documenti diversi da pdf (es. file excel degli annex ICD)
In tal caso modificare la costruzione del link in Funzioni</t>
        </is>
      </c>
      <c r="E11" s="103" t="inlineStr">
        <is>
          <t>la diversa tipologia di doc a disposizione potrebbe generare problemi nel referenziare i doc tramite link. Agganciare i link ad una colonna che indica il tipo di documento bypassa il problema del formato</t>
        </is>
      </c>
    </row>
    <row r="12" ht="105" customHeight="1" s="594">
      <c r="A12" s="308" t="n">
        <v>46196</v>
      </c>
      <c r="B12" s="14" t="inlineStr">
        <is>
          <t>Maurizio</t>
        </is>
      </c>
      <c r="C12" s="14" t="inlineStr">
        <is>
          <t>Alta</t>
        </is>
      </c>
      <c r="D12" s="421"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103"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594">
      <c r="A13" s="308" t="n">
        <v>46197</v>
      </c>
      <c r="B13" s="14" t="inlineStr">
        <is>
          <t>Federico</t>
        </is>
      </c>
      <c r="C13" s="14" t="inlineStr">
        <is>
          <t>Media</t>
        </is>
      </c>
      <c r="D13" s="103" t="inlineStr">
        <is>
          <t>Pensare a come esportare il file in formato di HTML per poter essere navigabile via broswer</t>
        </is>
      </c>
      <c r="E13" s="103"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13" min="1" max="1"/>
    <col width="23.85546875" bestFit="1" customWidth="1" style="13" min="2" max="2"/>
    <col width="6.5703125" bestFit="1" customWidth="1" style="13" min="3" max="3"/>
    <col width="139.42578125" bestFit="1" customWidth="1" style="104" min="4" max="4"/>
    <col width="8.7109375" customWidth="1" style="14" min="5" max="5"/>
    <col width="8.7109375" customWidth="1" style="13" min="6" max="11"/>
    <col width="8.7109375" customWidth="1" style="13" min="12" max="16384"/>
  </cols>
  <sheetData>
    <row r="1" ht="21.6" customHeight="1" s="594">
      <c r="A1" s="171" t="inlineStr">
        <is>
          <t>DESCRIZIONE</t>
        </is>
      </c>
      <c r="B1" s="171" t="inlineStr">
        <is>
          <t>NOME</t>
        </is>
      </c>
      <c r="C1" s="171" t="inlineStr">
        <is>
          <t>Livello</t>
        </is>
      </c>
      <c r="D1" s="172" t="inlineStr">
        <is>
          <t>INDIRIZZO</t>
        </is>
      </c>
      <c r="E1" s="172" t="inlineStr">
        <is>
          <t>LINK</t>
        </is>
      </c>
    </row>
    <row r="2" ht="21.6" customHeight="1" s="594">
      <c r="A2" s="14" t="inlineStr">
        <is>
          <t>Root Sharepoint</t>
        </is>
      </c>
      <c r="B2" s="14" t="inlineStr">
        <is>
          <t>Sharepoint</t>
        </is>
      </c>
      <c r="C2" s="14" t="n">
        <v>0</v>
      </c>
      <c r="D2" s="170" t="inlineStr">
        <is>
          <t>https://gruppofsitaliane.sharepoint.com/:f:/r/sites/IngegneriaETReMezziLeggeri-Trenitalia/</t>
        </is>
      </c>
      <c r="E2" s="190">
        <f>HYPERLINK(D2,"🔗")</f>
        <v/>
      </c>
    </row>
    <row r="3" ht="21.6" customHeight="1" s="594">
      <c r="A3" s="14" t="inlineStr">
        <is>
          <t>Cartella Documenti Ingegneria</t>
        </is>
      </c>
      <c r="B3" s="14" t="inlineStr">
        <is>
          <t>Shared%20Documents/</t>
        </is>
      </c>
      <c r="C3" s="14" t="n">
        <v>1</v>
      </c>
      <c r="D3" s="170">
        <f>CONCATENATE($D$2,B3)</f>
        <v/>
      </c>
      <c r="E3" s="190">
        <f>HYPERLINK(D3,"🔗")</f>
        <v/>
      </c>
    </row>
    <row r="4" ht="21.6" customHeight="1" s="594">
      <c r="A4" s="14" t="inlineStr">
        <is>
          <t>Cartella Archiviazione doc ETR1000</t>
        </is>
      </c>
      <c r="B4" s="14" t="inlineStr">
        <is>
          <t>DB_ETR1000/</t>
        </is>
      </c>
      <c r="C4" s="14" t="n">
        <v>2</v>
      </c>
      <c r="D4" s="170">
        <f>CONCATENATE($D$3,B4)</f>
        <v/>
      </c>
      <c r="E4" s="190">
        <f>HYPERLINK(D4,"🔗")</f>
        <v/>
      </c>
    </row>
    <row r="5" ht="21.6" customHeight="1" s="594">
      <c r="A5" s="14" t="inlineStr">
        <is>
          <t>Documenti di configurazione</t>
        </is>
      </c>
      <c r="B5" s="14" t="inlineStr">
        <is>
          <t>DOC_FLOTTE/</t>
        </is>
      </c>
      <c r="C5" s="14" t="n">
        <v>3</v>
      </c>
      <c r="D5" s="170">
        <f>CONCATENATE($D$4,B5)</f>
        <v/>
      </c>
      <c r="E5" s="190">
        <f>HYPERLINK(D5,"🔗")</f>
        <v/>
      </c>
    </row>
    <row r="6" ht="21.6" customHeight="1" s="594">
      <c r="A6" s="14" t="inlineStr">
        <is>
          <t>Raccolta documentazione Funzioni</t>
        </is>
      </c>
      <c r="B6" s="14" t="inlineStr">
        <is>
          <t>DOC_FUNC/</t>
        </is>
      </c>
      <c r="C6" s="14" t="n">
        <v>3</v>
      </c>
      <c r="D6" s="170">
        <f>CONCATENATE($D$4,B6)</f>
        <v/>
      </c>
      <c r="E6" s="190">
        <f>HYPERLINK(D6,"🔗")</f>
        <v/>
      </c>
    </row>
    <row r="7" ht="21.95" customHeight="1" s="594"/>
    <row r="8" ht="21.95" customHeight="1" s="594"/>
    <row r="9" ht="21.95" customHeight="1" s="594"/>
    <row r="10" ht="21.95" customHeight="1" s="594">
      <c r="A10" s="13" t="inlineStr">
        <is>
          <t>VINCOLI</t>
        </is>
      </c>
    </row>
    <row r="11" ht="21.95" customHeight="1" s="594">
      <c r="A11" s="13" t="inlineStr">
        <is>
          <t>Id Flotta</t>
        </is>
      </c>
      <c r="B11" s="13" t="inlineStr">
        <is>
          <t>Riga 1</t>
        </is>
      </c>
    </row>
    <row r="12" ht="21.95" customHeight="1" s="594">
      <c r="A12" s="13" t="inlineStr">
        <is>
          <t>DOC ID</t>
        </is>
      </c>
      <c r="B12" s="13" t="inlineStr">
        <is>
          <t>Colonna B</t>
        </is>
      </c>
    </row>
    <row r="13">
      <c r="A13" s="13" t="inlineStr">
        <is>
          <t>DOC EXT</t>
        </is>
      </c>
      <c r="B13" s="13"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E19" sqref="E19"/>
    </sheetView>
  </sheetViews>
  <sheetFormatPr baseColWidth="8" defaultRowHeight="15"/>
  <cols>
    <col width="19.42578125" bestFit="1" customWidth="1" style="594" min="1" max="1"/>
    <col width="17.5703125" customWidth="1" style="594" min="2" max="3"/>
    <col width="15.42578125" customWidth="1" style="594" min="4" max="4"/>
    <col width="15.140625" customWidth="1" style="594" min="5" max="5"/>
    <col width="11" customWidth="1" style="12" min="6" max="6"/>
    <col width="3.85546875" bestFit="1" customWidth="1" style="12" min="7" max="52"/>
    <col width="2.85546875" bestFit="1" customWidth="1" style="12" min="53" max="69"/>
    <col width="3.85546875" bestFit="1" customWidth="1" style="12" min="70" max="75"/>
  </cols>
  <sheetData>
    <row r="1" ht="30.95" customFormat="1" customHeight="1" s="13" thickBot="1">
      <c r="A1" s="261" t="inlineStr">
        <is>
          <t>Nome flotta</t>
        </is>
      </c>
      <c r="B1" s="262" t="inlineStr">
        <is>
          <t>ID flotta</t>
        </is>
      </c>
      <c r="C1" s="269" t="inlineStr">
        <is>
          <t>ID flotta "nativa"</t>
        </is>
      </c>
      <c r="D1" s="268" t="inlineStr">
        <is>
          <t>Ultima BL rilasciata</t>
        </is>
      </c>
      <c r="E1" s="263" t="inlineStr">
        <is>
          <t>Conf Sheet aggiornata a BL</t>
        </is>
      </c>
      <c r="F1" s="264" t="inlineStr">
        <is>
          <t>TOT Treni</t>
        </is>
      </c>
      <c r="G1" s="265" t="inlineStr">
        <is>
          <t>NUMERI TRENO</t>
        </is>
      </c>
      <c r="H1" s="266" t="n"/>
      <c r="I1" s="266" t="n"/>
      <c r="J1" s="266" t="n"/>
      <c r="K1" s="266" t="n"/>
      <c r="L1" s="266" t="n"/>
      <c r="M1" s="266" t="n"/>
      <c r="N1" s="266" t="n"/>
      <c r="O1" s="266" t="n"/>
      <c r="P1" s="266" t="n"/>
      <c r="Q1" s="266" t="n"/>
      <c r="R1" s="266" t="n"/>
      <c r="S1" s="266" t="n"/>
      <c r="T1" s="266" t="n"/>
      <c r="U1" s="266" t="n"/>
      <c r="V1" s="266" t="n"/>
      <c r="W1" s="266" t="n"/>
      <c r="X1" s="266" t="n"/>
      <c r="Y1" s="266" t="n"/>
      <c r="Z1" s="266" t="n"/>
      <c r="AA1" s="266" t="n"/>
      <c r="AB1" s="266" t="n"/>
      <c r="AC1" s="266" t="n"/>
      <c r="AD1" s="266" t="n"/>
      <c r="AE1" s="266" t="n"/>
      <c r="AF1" s="266" t="n"/>
      <c r="AG1" s="266" t="n"/>
      <c r="AH1" s="266" t="n"/>
      <c r="AI1" s="266" t="n"/>
      <c r="AJ1" s="266" t="n"/>
      <c r="AK1" s="266" t="n"/>
      <c r="AL1" s="266" t="n"/>
      <c r="AM1" s="266" t="n"/>
      <c r="AN1" s="266" t="n"/>
      <c r="AO1" s="266" t="n"/>
      <c r="AP1" s="266" t="n"/>
      <c r="AQ1" s="266" t="n"/>
      <c r="AR1" s="266" t="n"/>
      <c r="AS1" s="266" t="n"/>
      <c r="AT1" s="266" t="n"/>
      <c r="AU1" s="266" t="n"/>
      <c r="AV1" s="266" t="n"/>
      <c r="AW1" s="266" t="n"/>
      <c r="AX1" s="266" t="n"/>
      <c r="AY1" s="266" t="n"/>
      <c r="AZ1" s="266" t="n"/>
      <c r="BA1" s="266" t="n"/>
      <c r="BB1" s="266" t="n"/>
      <c r="BC1" s="266" t="n"/>
      <c r="BD1" s="266" t="n"/>
      <c r="BE1" s="266" t="n"/>
      <c r="BF1" s="266" t="n"/>
      <c r="BG1" s="266" t="n"/>
      <c r="BH1" s="266" t="n"/>
      <c r="BI1" s="266" t="n"/>
      <c r="BJ1" s="266" t="n"/>
      <c r="BK1" s="266" t="n"/>
      <c r="BL1" s="266" t="n"/>
      <c r="BM1" s="266" t="n"/>
      <c r="BN1" s="266" t="n"/>
      <c r="BO1" s="266" t="n"/>
      <c r="BP1" s="266" t="n"/>
      <c r="BQ1" s="266" t="n"/>
      <c r="BR1" s="266" t="n"/>
      <c r="BS1" s="266" t="n"/>
      <c r="BT1" s="266" t="n"/>
      <c r="BU1" s="266" t="n"/>
      <c r="BV1" s="266" t="n"/>
      <c r="BW1" s="267" t="n"/>
    </row>
    <row r="2" ht="32.1" customFormat="1" customHeight="1" s="13">
      <c r="A2" s="270" t="inlineStr">
        <is>
          <t>VZI-50_IT Flotta base</t>
        </is>
      </c>
      <c r="B2" s="271" t="inlineStr">
        <is>
          <t>VZI_Base</t>
        </is>
      </c>
      <c r="C2" s="272" t="inlineStr">
        <is>
          <t>VZI_Base</t>
        </is>
      </c>
      <c r="D2" s="273" t="inlineStr">
        <is>
          <t>6.3 ?</t>
        </is>
      </c>
      <c r="E2" s="274" t="inlineStr">
        <is>
          <t>6.0
27/09/24</t>
        </is>
      </c>
      <c r="F2" s="275">
        <f>COUNTIF(G2:BW2,"&lt;&gt;")</f>
        <v/>
      </c>
      <c r="G2" s="9" t="n">
        <v>1</v>
      </c>
      <c r="H2" s="8" t="n">
        <v>2</v>
      </c>
      <c r="I2" s="8" t="n">
        <v>3</v>
      </c>
      <c r="J2" s="8" t="n">
        <v>4</v>
      </c>
      <c r="K2" s="8" t="n">
        <v>5</v>
      </c>
      <c r="L2" s="8" t="n">
        <v>6</v>
      </c>
      <c r="M2" s="8" t="n">
        <v>7</v>
      </c>
      <c r="N2" s="8" t="n">
        <v>8</v>
      </c>
      <c r="O2" s="8" t="n">
        <v>9</v>
      </c>
      <c r="P2" s="8" t="n">
        <v>10</v>
      </c>
      <c r="Q2" s="8" t="n">
        <v>11</v>
      </c>
      <c r="R2" s="8" t="n">
        <v>12</v>
      </c>
      <c r="S2" s="8" t="n">
        <v>13</v>
      </c>
      <c r="T2" s="8" t="n">
        <v>14</v>
      </c>
      <c r="U2" s="8" t="n"/>
      <c r="V2" s="8" t="n">
        <v>16</v>
      </c>
      <c r="W2" s="8" t="n">
        <v>17</v>
      </c>
      <c r="X2" s="8" t="n">
        <v>18</v>
      </c>
      <c r="Y2" s="8" t="n">
        <v>19</v>
      </c>
      <c r="Z2" s="8" t="n"/>
      <c r="AA2" s="276" t="n">
        <v>21</v>
      </c>
      <c r="AB2" s="8" t="n">
        <v>22</v>
      </c>
      <c r="AC2" s="8" t="n"/>
      <c r="AD2" s="8" t="n">
        <v>24</v>
      </c>
      <c r="AE2" s="8" t="n"/>
      <c r="AF2" s="8" t="n">
        <v>26</v>
      </c>
      <c r="AG2" s="8" t="n">
        <v>27</v>
      </c>
      <c r="AH2" s="8" t="n"/>
      <c r="AI2" s="8" t="n">
        <v>29</v>
      </c>
      <c r="AJ2" s="8" t="n">
        <v>30</v>
      </c>
      <c r="AK2" s="8" t="n"/>
      <c r="AL2" s="8" t="n">
        <v>32</v>
      </c>
      <c r="AM2" s="8" t="n">
        <v>33</v>
      </c>
      <c r="AN2" s="8" t="n">
        <v>34</v>
      </c>
      <c r="AO2" s="8" t="n"/>
      <c r="AP2" s="8" t="n">
        <v>36</v>
      </c>
      <c r="AQ2" s="8" t="n">
        <v>37</v>
      </c>
      <c r="AR2" s="8" t="n">
        <v>38</v>
      </c>
      <c r="AS2" s="8" t="n">
        <v>39</v>
      </c>
      <c r="AT2" s="8" t="n">
        <v>40</v>
      </c>
      <c r="AU2" s="8" t="n">
        <v>41</v>
      </c>
      <c r="AV2" s="8" t="n">
        <v>42</v>
      </c>
      <c r="AW2" s="8" t="n">
        <v>43</v>
      </c>
      <c r="AX2" s="8" t="n"/>
      <c r="AY2" s="8" t="n">
        <v>45</v>
      </c>
      <c r="AZ2" s="8" t="n">
        <v>46</v>
      </c>
      <c r="BA2" s="8" t="n"/>
      <c r="BB2" s="8" t="n">
        <v>48</v>
      </c>
      <c r="BC2" s="8" t="n"/>
      <c r="BD2" s="8" t="n"/>
      <c r="BE2" s="8" t="n">
        <v>46</v>
      </c>
      <c r="BF2" s="8" t="n">
        <v>47</v>
      </c>
      <c r="BG2" s="8" t="n">
        <v>48</v>
      </c>
      <c r="BH2" s="8" t="n">
        <v>49</v>
      </c>
      <c r="BI2" s="8" t="n">
        <v>50</v>
      </c>
      <c r="BJ2" s="8" t="n"/>
      <c r="BK2" s="8" t="n"/>
      <c r="BL2" s="8" t="n"/>
      <c r="BM2" s="8" t="n"/>
      <c r="BN2" s="8" t="n"/>
      <c r="BO2" s="8" t="n"/>
      <c r="BP2" s="8" t="n"/>
      <c r="BQ2" s="8" t="n"/>
      <c r="BR2" s="8" t="n"/>
      <c r="BS2" s="8" t="n"/>
      <c r="BT2" s="8" t="n"/>
      <c r="BU2" s="8" t="n"/>
      <c r="BV2" s="8" t="n"/>
      <c r="BW2" s="277" t="n"/>
    </row>
    <row r="3" ht="32.1" customFormat="1" customHeight="1" s="13">
      <c r="A3" s="278" t="inlineStr">
        <is>
          <t>VZI-51-58_IT
(New 14)</t>
        </is>
      </c>
      <c r="B3" s="279" t="inlineStr">
        <is>
          <t>VZI_New14</t>
        </is>
      </c>
      <c r="C3" s="280" t="inlineStr">
        <is>
          <t>VZI_Base</t>
        </is>
      </c>
      <c r="D3" s="281" t="inlineStr">
        <is>
          <t>4.3_14
17/12/2025</t>
        </is>
      </c>
      <c r="E3" s="282" t="inlineStr">
        <is>
          <t>4.2_14
30/01/2025</t>
        </is>
      </c>
      <c r="F3" s="283">
        <f>COUNTIF(G3:BW3,"&lt;&gt;")</f>
        <v/>
      </c>
      <c r="G3" s="10"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v>51</v>
      </c>
      <c r="BK3" s="7" t="n">
        <v>52</v>
      </c>
      <c r="BL3" s="7" t="n">
        <v>53</v>
      </c>
      <c r="BM3" s="7" t="n">
        <v>54</v>
      </c>
      <c r="BN3" s="7" t="n">
        <v>55</v>
      </c>
      <c r="BO3" s="7" t="n">
        <v>56</v>
      </c>
      <c r="BP3" s="7" t="n">
        <v>57</v>
      </c>
      <c r="BQ3" s="7" t="n">
        <v>58</v>
      </c>
      <c r="BR3" s="7" t="n"/>
      <c r="BS3" s="7" t="n"/>
      <c r="BT3" s="7" t="n"/>
      <c r="BU3" s="7" t="n"/>
      <c r="BV3" s="7" t="n"/>
      <c r="BW3" s="284" t="n"/>
    </row>
    <row r="4" ht="32.1" customFormat="1" customHeight="1" s="13">
      <c r="A4" s="285" t="inlineStr">
        <is>
          <t>VZ_IF Francia</t>
        </is>
      </c>
      <c r="B4" s="279" t="inlineStr">
        <is>
          <t>VZ_IF</t>
        </is>
      </c>
      <c r="C4" s="280" t="inlineStr">
        <is>
          <t>VZI_Base</t>
        </is>
      </c>
      <c r="D4" s="281" t="inlineStr">
        <is>
          <t>4.3_IF
04/04/2025</t>
        </is>
      </c>
      <c r="E4" s="282" t="inlineStr">
        <is>
          <t>4.0_F
10/04/2024</t>
        </is>
      </c>
      <c r="F4" s="283">
        <f>COUNTIF(G4:BW4,"&lt;&gt;")</f>
        <v/>
      </c>
      <c r="G4" s="10" t="n"/>
      <c r="H4" s="7" t="n"/>
      <c r="I4" s="7" t="n"/>
      <c r="J4" s="7" t="n"/>
      <c r="K4" s="7" t="n"/>
      <c r="L4" s="7" t="n"/>
      <c r="M4" s="7" t="n"/>
      <c r="N4" s="7" t="n"/>
      <c r="O4" s="7" t="n"/>
      <c r="P4" s="7" t="n"/>
      <c r="Q4" s="7" t="n"/>
      <c r="R4" s="7" t="n"/>
      <c r="S4" s="7" t="n"/>
      <c r="T4" s="7" t="n"/>
      <c r="U4" s="7" t="n">
        <v>15</v>
      </c>
      <c r="V4" s="7" t="n"/>
      <c r="W4" s="7" t="n"/>
      <c r="X4" s="7" t="n"/>
      <c r="Y4" s="7" t="n"/>
      <c r="Z4" s="7" t="n"/>
      <c r="AA4" s="7" t="n"/>
      <c r="AB4" s="7" t="n"/>
      <c r="AC4" s="7" t="n">
        <v>23</v>
      </c>
      <c r="AD4" s="7" t="n"/>
      <c r="AE4" s="7" t="n">
        <v>25</v>
      </c>
      <c r="AF4" s="7" t="n"/>
      <c r="AG4" s="7" t="n"/>
      <c r="AH4" s="7" t="n">
        <v>28</v>
      </c>
      <c r="AI4" s="7" t="n"/>
      <c r="AJ4" s="7" t="n"/>
      <c r="AK4" s="7" t="n">
        <v>31</v>
      </c>
      <c r="AL4" s="7" t="n"/>
      <c r="AM4" s="7" t="n"/>
      <c r="AN4" s="7" t="n"/>
      <c r="AO4" s="7" t="n"/>
      <c r="AP4" s="7" t="n"/>
      <c r="AQ4" s="7" t="n"/>
      <c r="AR4" s="7" t="n"/>
      <c r="AS4" s="7" t="n"/>
      <c r="AT4" s="7" t="n"/>
      <c r="AU4" s="7" t="n"/>
      <c r="AV4" s="7" t="n"/>
      <c r="AW4" s="7" t="n"/>
      <c r="AX4" s="7" t="n"/>
      <c r="AY4" s="7" t="n"/>
      <c r="AZ4" s="7" t="n"/>
      <c r="BA4" s="7" t="n">
        <v>47</v>
      </c>
      <c r="BB4" s="7" t="n"/>
      <c r="BC4" s="7" t="n">
        <v>49</v>
      </c>
      <c r="BD4" s="7" t="n">
        <v>50</v>
      </c>
      <c r="BE4" s="7" t="n"/>
      <c r="BF4" s="7" t="n"/>
      <c r="BG4" s="7" t="n"/>
      <c r="BH4" s="7" t="n"/>
      <c r="BI4" s="7" t="n"/>
      <c r="BJ4" s="7" t="n"/>
      <c r="BK4" s="7" t="n"/>
      <c r="BL4" s="7" t="n"/>
      <c r="BM4" s="7" t="n"/>
      <c r="BN4" s="7" t="n"/>
      <c r="BO4" s="7" t="n"/>
      <c r="BP4" s="7" t="n"/>
      <c r="BQ4" s="7" t="n"/>
      <c r="BR4" s="7" t="n"/>
      <c r="BS4" s="7" t="n"/>
      <c r="BT4" s="7" t="n"/>
      <c r="BU4" s="7" t="n"/>
      <c r="BV4" s="7" t="n"/>
      <c r="BW4" s="284" t="n"/>
    </row>
    <row r="5" ht="32.1" customFormat="1" customHeight="1" s="294">
      <c r="A5" s="286" t="inlineStr">
        <is>
          <t>VZ_ES Spagna</t>
        </is>
      </c>
      <c r="B5" s="287" t="inlineStr">
        <is>
          <t>VZ_ES</t>
        </is>
      </c>
      <c r="C5" s="279" t="inlineStr">
        <is>
          <t>VZI_New14</t>
        </is>
      </c>
      <c r="D5" s="288" t="inlineStr">
        <is>
          <t>2.8
16/04/2025</t>
        </is>
      </c>
      <c r="E5" s="289" t="inlineStr">
        <is>
          <t>2.4
09/03/2023</t>
        </is>
      </c>
      <c r="F5" s="290">
        <f>COUNTIF(G5:BW5,"&lt;&gt;")</f>
        <v/>
      </c>
      <c r="G5" s="291" t="n">
        <v>1</v>
      </c>
      <c r="H5" s="292" t="n">
        <v>2</v>
      </c>
      <c r="I5" s="292" t="n">
        <v>3</v>
      </c>
      <c r="J5" s="292" t="n">
        <v>4</v>
      </c>
      <c r="K5" s="292" t="n">
        <v>5</v>
      </c>
      <c r="L5" s="292" t="n">
        <v>6</v>
      </c>
      <c r="M5" s="292" t="n">
        <v>7</v>
      </c>
      <c r="N5" s="292" t="n">
        <v>8</v>
      </c>
      <c r="O5" s="292" t="n">
        <v>9</v>
      </c>
      <c r="P5" s="292" t="n">
        <v>10</v>
      </c>
      <c r="Q5" s="292" t="n">
        <v>11</v>
      </c>
      <c r="R5" s="292" t="n">
        <v>12</v>
      </c>
      <c r="S5" s="292" t="n">
        <v>13</v>
      </c>
      <c r="T5" s="292" t="n">
        <v>14</v>
      </c>
      <c r="U5" s="292" t="n">
        <v>15</v>
      </c>
      <c r="V5" s="292" t="n">
        <v>16</v>
      </c>
      <c r="W5" s="292" t="n">
        <v>17</v>
      </c>
      <c r="X5" s="292" t="n">
        <v>18</v>
      </c>
      <c r="Y5" s="292" t="n">
        <v>19</v>
      </c>
      <c r="Z5" s="292" t="n">
        <v>20</v>
      </c>
      <c r="AA5" s="141" t="n"/>
      <c r="AB5" s="141" t="n"/>
      <c r="AC5" s="141" t="n"/>
      <c r="AD5" s="292" t="n"/>
      <c r="AE5" s="292" t="n"/>
      <c r="AF5" s="292" t="n"/>
      <c r="AG5" s="292" t="n"/>
      <c r="AH5" s="292" t="n"/>
      <c r="AI5" s="292" t="n"/>
      <c r="AJ5" s="292" t="n"/>
      <c r="AK5" s="292" t="n"/>
      <c r="AL5" s="292" t="n"/>
      <c r="AM5" s="292" t="n"/>
      <c r="AN5" s="292" t="n"/>
      <c r="AO5" s="292" t="n"/>
      <c r="AP5" s="292" t="n"/>
      <c r="AQ5" s="292" t="n"/>
      <c r="AR5" s="292" t="n"/>
      <c r="AS5" s="292" t="n"/>
      <c r="AT5" s="292" t="n"/>
      <c r="AU5" s="292" t="n"/>
      <c r="AV5" s="292" t="n"/>
      <c r="AW5" s="292" t="n"/>
      <c r="AX5" s="292" t="n"/>
      <c r="AY5" s="292" t="n"/>
      <c r="AZ5" s="292" t="n"/>
      <c r="BA5" s="292" t="n"/>
      <c r="BB5" s="292" t="n"/>
      <c r="BC5" s="292" t="n"/>
      <c r="BD5" s="292" t="n"/>
      <c r="BE5" s="292" t="n"/>
      <c r="BF5" s="292" t="n"/>
      <c r="BG5" s="292" t="n"/>
      <c r="BH5" s="292" t="n"/>
      <c r="BI5" s="292" t="n"/>
      <c r="BJ5" s="292" t="n"/>
      <c r="BK5" s="292" t="n"/>
      <c r="BL5" s="292" t="n"/>
      <c r="BM5" s="292" t="n"/>
      <c r="BN5" s="292" t="n"/>
      <c r="BO5" s="292" t="n"/>
      <c r="BP5" s="292" t="n"/>
      <c r="BQ5" s="292" t="n"/>
      <c r="BR5" s="292" t="n"/>
      <c r="BS5" s="292" t="n"/>
      <c r="BT5" s="292" t="n"/>
      <c r="BU5" s="292" t="n"/>
      <c r="BV5" s="292" t="n"/>
      <c r="BW5" s="293" t="n"/>
    </row>
    <row r="6" ht="32.1" customFormat="1" customHeight="1" s="13">
      <c r="A6" s="278" t="inlineStr">
        <is>
          <t>VZI-6_IT Full HRI
(New 14)</t>
        </is>
      </c>
      <c r="B6" s="279" t="inlineStr">
        <is>
          <t>VZI-6_R1</t>
        </is>
      </c>
      <c r="C6" s="280" t="inlineStr">
        <is>
          <t>VZI-6_R1</t>
        </is>
      </c>
      <c r="D6" s="281" t="inlineStr">
        <is>
          <t>5.0
15/04/2026</t>
        </is>
      </c>
      <c r="E6" s="295" t="inlineStr">
        <is>
          <t>4.0 ?
xx/07/2025</t>
        </is>
      </c>
      <c r="F6" s="283">
        <f>COUNTIF(G6:BW6,"&lt;&gt;")</f>
        <v/>
      </c>
      <c r="G6" s="10" t="n">
        <v>101</v>
      </c>
      <c r="H6" s="7" t="n">
        <v>102</v>
      </c>
      <c r="I6" s="7" t="n">
        <v>103</v>
      </c>
      <c r="J6" s="7" t="n">
        <v>104</v>
      </c>
      <c r="K6" s="7" t="n">
        <v>105</v>
      </c>
      <c r="L6" s="7" t="n">
        <v>106</v>
      </c>
      <c r="M6" s="7" t="n"/>
      <c r="N6" s="7" t="n"/>
      <c r="O6" s="7" t="n"/>
      <c r="P6" s="7" t="n"/>
      <c r="Q6" s="7" t="n"/>
      <c r="R6" s="7" t="n"/>
      <c r="S6" s="7" t="n"/>
      <c r="T6" s="7" t="n"/>
      <c r="U6" s="7" t="n"/>
      <c r="V6" s="7" t="n"/>
      <c r="W6" s="7" t="n"/>
      <c r="X6" s="7" t="n"/>
      <c r="Y6" s="7" t="n"/>
      <c r="Z6" s="7" t="n"/>
      <c r="AA6" s="7" t="n"/>
      <c r="AB6" s="7" t="n"/>
      <c r="AC6" s="7" t="n"/>
      <c r="AD6" s="7" t="n"/>
      <c r="AE6" s="7" t="n"/>
      <c r="AF6" s="7" t="n"/>
      <c r="AG6" s="7" t="n"/>
      <c r="AH6" s="7" t="n"/>
      <c r="AI6" s="7" t="n"/>
      <c r="AJ6" s="7" t="n"/>
      <c r="AK6" s="7" t="n"/>
      <c r="AL6" s="7" t="n"/>
      <c r="AM6" s="7" t="n"/>
      <c r="AN6" s="7" t="n"/>
      <c r="AO6" s="7" t="n"/>
      <c r="AP6" s="7" t="n"/>
      <c r="AQ6" s="7" t="n"/>
      <c r="AR6" s="7" t="n"/>
      <c r="AS6" s="7" t="n"/>
      <c r="AT6" s="7" t="n"/>
      <c r="AU6" s="7" t="n"/>
      <c r="AV6" s="7" t="n"/>
      <c r="AW6" s="7" t="n"/>
      <c r="AX6" s="7" t="n"/>
      <c r="AY6" s="7" t="n"/>
      <c r="AZ6" s="7" t="n"/>
      <c r="BA6" s="7" t="n"/>
      <c r="BB6" s="7" t="n"/>
      <c r="BC6" s="7" t="n"/>
      <c r="BD6" s="7" t="n"/>
      <c r="BE6" s="7" t="n"/>
      <c r="BF6" s="7" t="n"/>
      <c r="BG6" s="7" t="n"/>
      <c r="BH6" s="7" t="n"/>
      <c r="BI6" s="7" t="n"/>
      <c r="BJ6" s="7" t="n"/>
      <c r="BK6" s="7" t="n"/>
      <c r="BL6" s="7" t="n"/>
      <c r="BM6" s="7" t="n"/>
      <c r="BN6" s="7" t="n"/>
      <c r="BO6" s="7" t="n"/>
      <c r="BP6" s="7" t="n"/>
      <c r="BQ6" s="7" t="n"/>
      <c r="BR6" s="7" t="n"/>
      <c r="BS6" s="7" t="n"/>
      <c r="BT6" s="7" t="n"/>
      <c r="BU6" s="7" t="n"/>
      <c r="BV6" s="7" t="n"/>
      <c r="BW6" s="284" t="n"/>
    </row>
    <row r="7" ht="32.1" customFormat="1" customHeight="1" s="13">
      <c r="A7" s="285" t="inlineStr">
        <is>
          <t>VZI-4_IT Full HRI</t>
        </is>
      </c>
      <c r="B7" s="279" t="inlineStr">
        <is>
          <t>VZI-4_R1</t>
        </is>
      </c>
      <c r="C7" s="280" t="inlineStr">
        <is>
          <t>VZI-6_R1</t>
        </is>
      </c>
      <c r="D7" s="281" t="inlineStr">
        <is>
          <t>1.0
15/04/2026</t>
        </is>
      </c>
      <c r="E7" s="296" t="inlineStr">
        <is>
          <t>?</t>
        </is>
      </c>
      <c r="F7" s="283">
        <f>COUNTIF(G7:BW7,"&lt;&gt;")</f>
        <v/>
      </c>
      <c r="G7" s="10" t="n"/>
      <c r="H7" s="7" t="n"/>
      <c r="I7" s="7" t="n"/>
      <c r="J7" s="7" t="n"/>
      <c r="K7" s="7" t="n"/>
      <c r="L7" s="7" t="n"/>
      <c r="M7" s="7" t="n">
        <v>107</v>
      </c>
      <c r="N7" s="7" t="n">
        <v>108</v>
      </c>
      <c r="O7" s="7" t="n">
        <v>109</v>
      </c>
      <c r="P7" s="7" t="n">
        <v>110</v>
      </c>
      <c r="Q7" s="7" t="n">
        <v>111</v>
      </c>
      <c r="R7" s="7" t="n">
        <v>112</v>
      </c>
      <c r="S7" s="7" t="n">
        <v>113</v>
      </c>
      <c r="T7" s="7" t="n">
        <v>114</v>
      </c>
      <c r="U7" s="7" t="n">
        <v>115</v>
      </c>
      <c r="V7" s="7" t="n">
        <v>116</v>
      </c>
      <c r="W7" s="7" t="n">
        <v>117</v>
      </c>
      <c r="X7" s="7" t="n">
        <v>118</v>
      </c>
      <c r="Y7" s="7" t="n">
        <v>119</v>
      </c>
      <c r="Z7" s="7" t="n">
        <v>120</v>
      </c>
      <c r="AA7" s="7" t="n">
        <v>121</v>
      </c>
      <c r="AB7" s="7" t="n">
        <v>122</v>
      </c>
      <c r="AC7" s="7" t="n">
        <v>123</v>
      </c>
      <c r="AD7" s="7" t="n">
        <v>124</v>
      </c>
      <c r="AE7" s="7" t="n">
        <v>125</v>
      </c>
      <c r="AF7" s="7" t="n">
        <v>126</v>
      </c>
      <c r="AG7" s="7" t="n">
        <v>127</v>
      </c>
      <c r="AH7" s="7" t="n">
        <v>128</v>
      </c>
      <c r="AI7" s="7" t="n">
        <v>129</v>
      </c>
      <c r="AJ7" s="7" t="n">
        <v>130</v>
      </c>
      <c r="AK7" s="7" t="n">
        <v>131</v>
      </c>
      <c r="AL7" s="7" t="n">
        <v>132</v>
      </c>
      <c r="AM7" s="7" t="n">
        <v>133</v>
      </c>
      <c r="AN7" s="7" t="n">
        <v>134</v>
      </c>
      <c r="AO7" s="7" t="n">
        <v>135</v>
      </c>
      <c r="AP7" s="7" t="n">
        <v>136</v>
      </c>
      <c r="AQ7" s="7" t="n">
        <v>137</v>
      </c>
      <c r="AR7" s="7" t="n">
        <v>138</v>
      </c>
      <c r="AS7" s="7" t="n">
        <v>139</v>
      </c>
      <c r="AT7" s="7" t="n">
        <v>140</v>
      </c>
      <c r="AU7" s="7" t="n">
        <v>141</v>
      </c>
      <c r="AV7" s="7" t="n">
        <v>142</v>
      </c>
      <c r="AW7" s="7" t="n">
        <v>143</v>
      </c>
      <c r="AX7" s="7" t="n">
        <v>144</v>
      </c>
      <c r="AY7" s="7" t="n">
        <v>145</v>
      </c>
      <c r="AZ7" s="7" t="n">
        <v>146</v>
      </c>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7" t="n"/>
      <c r="BW7" s="284" t="n"/>
    </row>
    <row r="8" ht="32.1" customFormat="1" customHeight="1" s="294">
      <c r="A8" s="286" t="inlineStr">
        <is>
          <t>VZ_ES Spagna Full HRI</t>
        </is>
      </c>
      <c r="B8" s="297" t="inlineStr">
        <is>
          <t>VZ_ESxx</t>
        </is>
      </c>
      <c r="C8" s="298" t="inlineStr">
        <is>
          <t>VZI-6_R1</t>
        </is>
      </c>
      <c r="D8" s="288" t="n"/>
      <c r="E8" s="289" t="n"/>
      <c r="F8" s="290">
        <f>COUNTIF(G8:BW8,"&lt;&gt;")</f>
        <v/>
      </c>
      <c r="G8" s="291" t="n"/>
      <c r="H8" s="292" t="n"/>
      <c r="I8" s="292" t="n"/>
      <c r="J8" s="292" t="n"/>
      <c r="K8" s="292" t="n"/>
      <c r="L8" s="292" t="n"/>
      <c r="M8" s="292" t="n"/>
      <c r="N8" s="292" t="n"/>
      <c r="O8" s="292" t="n"/>
      <c r="P8" s="292" t="n"/>
      <c r="Q8" s="292" t="n"/>
      <c r="R8" s="292" t="n"/>
      <c r="S8" s="292" t="n"/>
      <c r="T8" s="292" t="n"/>
      <c r="U8" s="292" t="n"/>
      <c r="V8" s="292" t="n"/>
      <c r="W8" s="292" t="n"/>
      <c r="X8" s="292" t="n"/>
      <c r="Y8" s="292" t="n"/>
      <c r="Z8" s="292" t="n"/>
      <c r="AA8" s="141" t="n">
        <v>21</v>
      </c>
      <c r="AB8" s="141" t="n">
        <v>22</v>
      </c>
      <c r="AC8" s="141" t="n">
        <v>23</v>
      </c>
      <c r="AD8" s="292" t="n"/>
      <c r="AE8" s="292" t="n"/>
      <c r="AF8" s="292" t="n"/>
      <c r="AG8" s="292" t="n"/>
      <c r="AH8" s="292" t="n"/>
      <c r="AI8" s="292" t="n"/>
      <c r="AJ8" s="292" t="n"/>
      <c r="AK8" s="292" t="n"/>
      <c r="AL8" s="292" t="n"/>
      <c r="AM8" s="292" t="n"/>
      <c r="AN8" s="292" t="n"/>
      <c r="AO8" s="292" t="n"/>
      <c r="AP8" s="292" t="n"/>
      <c r="AQ8" s="292" t="n"/>
      <c r="AR8" s="292" t="n"/>
      <c r="AS8" s="292" t="n"/>
      <c r="AT8" s="292" t="n"/>
      <c r="AU8" s="292" t="n"/>
      <c r="AV8" s="292" t="n"/>
      <c r="AW8" s="292" t="n"/>
      <c r="AX8" s="292" t="n"/>
      <c r="AY8" s="292" t="n"/>
      <c r="AZ8" s="292" t="n"/>
      <c r="BA8" s="292" t="n"/>
      <c r="BB8" s="292" t="n"/>
      <c r="BC8" s="292" t="n"/>
      <c r="BD8" s="292" t="n"/>
      <c r="BE8" s="292" t="n"/>
      <c r="BF8" s="292" t="n"/>
      <c r="BG8" s="292" t="n"/>
      <c r="BH8" s="292" t="n"/>
      <c r="BI8" s="292" t="n"/>
      <c r="BJ8" s="292" t="n"/>
      <c r="BK8" s="292" t="n"/>
      <c r="BL8" s="292" t="n"/>
      <c r="BM8" s="292" t="n"/>
      <c r="BN8" s="292" t="n"/>
      <c r="BO8" s="292" t="n"/>
      <c r="BP8" s="292" t="n"/>
      <c r="BQ8" s="292" t="n"/>
      <c r="BR8" s="292" t="n"/>
      <c r="BS8" s="292" t="n"/>
      <c r="BT8" s="292" t="n"/>
      <c r="BU8" s="292" t="n"/>
      <c r="BV8" s="292" t="n"/>
      <c r="BW8" s="293" t="n"/>
    </row>
    <row r="9" ht="32.1" customFormat="1" customHeight="1" s="13" thickBot="1">
      <c r="A9" s="299" t="inlineStr">
        <is>
          <t>VZ_DAI</t>
        </is>
      </c>
      <c r="B9" s="300" t="inlineStr">
        <is>
          <t>VZ_DAI</t>
        </is>
      </c>
      <c r="C9" s="301" t="inlineStr">
        <is>
          <t>VZI-6_R1</t>
        </is>
      </c>
      <c r="D9" s="302" t="n"/>
      <c r="E9" s="303" t="n"/>
      <c r="F9" s="609">
        <f>COUNTIF(G9:BW9,"&lt;&gt;")</f>
        <v/>
      </c>
      <c r="G9" s="305" t="n"/>
      <c r="H9" s="306" t="n"/>
      <c r="I9" s="306" t="n"/>
      <c r="J9" s="306" t="n"/>
      <c r="K9" s="306" t="n"/>
      <c r="L9" s="306" t="n"/>
      <c r="M9" s="306" t="n"/>
      <c r="N9" s="306" t="n"/>
      <c r="O9" s="306" t="n"/>
      <c r="P9" s="306" t="n"/>
      <c r="Q9" s="306" t="n"/>
      <c r="R9" s="306" t="n"/>
      <c r="S9" s="306" t="n"/>
      <c r="T9" s="306" t="n"/>
      <c r="U9" s="306" t="n"/>
      <c r="V9" s="306" t="n"/>
      <c r="W9" s="306" t="n"/>
      <c r="X9" s="306" t="n"/>
      <c r="Y9" s="306" t="n"/>
      <c r="Z9" s="306" t="n">
        <v>20</v>
      </c>
      <c r="AA9" s="306" t="n"/>
      <c r="AB9" s="306" t="n"/>
      <c r="AC9" s="306" t="n"/>
      <c r="AD9" s="306" t="n"/>
      <c r="AE9" s="306" t="n"/>
      <c r="AF9" s="306" t="n"/>
      <c r="AG9" s="306" t="n"/>
      <c r="AH9" s="306" t="n"/>
      <c r="AI9" s="306" t="n"/>
      <c r="AJ9" s="306" t="n"/>
      <c r="AK9" s="306" t="n"/>
      <c r="AL9" s="306" t="n"/>
      <c r="AM9" s="306" t="n"/>
      <c r="AN9" s="306" t="n"/>
      <c r="AO9" s="306" t="n">
        <v>35</v>
      </c>
      <c r="AP9" s="306" t="n"/>
      <c r="AQ9" s="306" t="n"/>
      <c r="AR9" s="306" t="n"/>
      <c r="AS9" s="306" t="n"/>
      <c r="AT9" s="306" t="n"/>
      <c r="AU9" s="306" t="n"/>
      <c r="AV9" s="306" t="n"/>
      <c r="AW9" s="306" t="n"/>
      <c r="AX9" s="306" t="n">
        <v>44</v>
      </c>
      <c r="AY9" s="306" t="n"/>
      <c r="AZ9" s="306" t="n"/>
      <c r="BA9" s="306" t="n"/>
      <c r="BB9" s="306" t="n"/>
      <c r="BC9" s="306" t="n"/>
      <c r="BD9" s="306" t="n"/>
      <c r="BE9" s="306" t="n"/>
      <c r="BF9" s="306" t="n"/>
      <c r="BG9" s="306" t="n"/>
      <c r="BH9" s="306" t="n"/>
      <c r="BI9" s="306" t="n"/>
      <c r="BJ9" s="306" t="n"/>
      <c r="BK9" s="306" t="n"/>
      <c r="BL9" s="306" t="n"/>
      <c r="BM9" s="306" t="n"/>
      <c r="BN9" s="306" t="n"/>
      <c r="BO9" s="306" t="n"/>
      <c r="BP9" s="306" t="n"/>
      <c r="BQ9" s="306" t="n"/>
      <c r="BR9" s="306" t="n"/>
      <c r="BS9" s="306" t="n"/>
      <c r="BT9" s="306" t="n"/>
      <c r="BU9" s="306" t="n"/>
      <c r="BV9" s="306" t="n"/>
      <c r="BW9" s="30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G118" activePane="bottomRight" state="frozen"/>
      <selection activeCell="B1" sqref="B1"/>
      <selection pane="topRight" activeCell="F1" sqref="F1"/>
      <selection pane="bottomLeft" activeCell="B4" sqref="B4"/>
      <selection pane="bottomRight" activeCell="D38" sqref="D38"/>
    </sheetView>
  </sheetViews>
  <sheetFormatPr baseColWidth="8" defaultColWidth="8.7109375" defaultRowHeight="15" outlineLevelRow="1"/>
  <cols>
    <col width="34.5703125" bestFit="1" customWidth="1" style="106" min="1" max="1"/>
    <col width="34.85546875" bestFit="1" customWidth="1" style="106" min="2" max="2"/>
    <col width="8.28515625" bestFit="1" customWidth="1" style="15" min="3" max="3"/>
    <col width="17.5703125" customWidth="1" style="15" min="4" max="4"/>
    <col width="4.42578125" bestFit="1" customWidth="1" style="15" min="5" max="5"/>
    <col width="18.42578125" customWidth="1" style="15" min="6" max="6"/>
    <col width="17.5703125" customWidth="1" style="15" min="7" max="7"/>
    <col width="4.7109375" bestFit="1" customWidth="1" style="15" min="8" max="8"/>
    <col width="17" bestFit="1" customWidth="1" style="15" min="9" max="9"/>
    <col width="17.5703125" customWidth="1" style="15" min="10" max="10"/>
    <col width="4.7109375" bestFit="1" customWidth="1" style="15" min="11" max="11"/>
    <col width="17" bestFit="1" customWidth="1" style="15" min="12" max="12"/>
    <col width="17.5703125" customWidth="1" style="15" min="13" max="13"/>
    <col width="4.42578125" bestFit="1" customWidth="1" style="15" min="14" max="14"/>
    <col width="17" customWidth="1" style="15" min="15" max="15"/>
    <col width="17.140625" customWidth="1" style="15" min="16" max="16"/>
    <col width="5.140625" customWidth="1" style="15" min="17" max="17"/>
    <col width="15.42578125" customWidth="1" style="15" min="18" max="18"/>
    <col width="4.42578125" customWidth="1" style="15" min="19" max="19"/>
    <col width="6.5703125" bestFit="1" customWidth="1" style="15" min="20" max="20"/>
    <col width="6.5703125" customWidth="1" style="15" min="21" max="21"/>
    <col width="6.5703125" bestFit="1" customWidth="1" style="15" min="22" max="22"/>
    <col width="6.5703125" customWidth="1" style="15" min="23" max="23"/>
    <col width="8.7109375" customWidth="1" style="103" min="24" max="29"/>
    <col width="8.7109375" customWidth="1" style="103" min="30" max="16384"/>
  </cols>
  <sheetData>
    <row r="1" customFormat="1" s="105">
      <c r="A1" s="525" t="inlineStr">
        <is>
          <t>DOC DESCRIPTION</t>
        </is>
      </c>
      <c r="B1" s="533" t="inlineStr">
        <is>
          <t>DOC ID</t>
        </is>
      </c>
      <c r="C1" s="525" t="inlineStr">
        <is>
          <t>DOC EXT</t>
        </is>
      </c>
      <c r="D1" s="531" t="inlineStr">
        <is>
          <t>VZI_Base</t>
        </is>
      </c>
      <c r="E1" s="529" t="n"/>
      <c r="F1" s="530" t="n"/>
      <c r="G1" s="540" t="inlineStr">
        <is>
          <t>VZI_New14</t>
        </is>
      </c>
      <c r="H1" s="529" t="n"/>
      <c r="I1" s="529" t="n"/>
      <c r="J1" s="531" t="inlineStr">
        <is>
          <t>VZ_FR</t>
        </is>
      </c>
      <c r="K1" s="529" t="n"/>
      <c r="L1" s="530" t="n"/>
      <c r="M1" s="537" t="inlineStr">
        <is>
          <t>VZ_ES</t>
        </is>
      </c>
      <c r="N1" s="538" t="n"/>
      <c r="O1" s="538" t="n"/>
      <c r="P1" s="531" t="inlineStr">
        <is>
          <t>VZI-6_R1</t>
        </is>
      </c>
      <c r="Q1" s="530" t="n"/>
      <c r="R1" s="531" t="inlineStr">
        <is>
          <t>VZI-4_R1</t>
        </is>
      </c>
      <c r="S1" s="530" t="n"/>
      <c r="T1" s="531" t="inlineStr">
        <is>
          <t>VZ_DAI</t>
        </is>
      </c>
      <c r="U1" s="530" t="n"/>
      <c r="V1" s="531" t="inlineStr">
        <is>
          <t>VZ_Esxx</t>
        </is>
      </c>
      <c r="W1" s="530" t="n"/>
    </row>
    <row r="2" ht="41.1" customFormat="1" customHeight="1" s="105">
      <c r="A2" s="526" t="n"/>
      <c r="B2" s="534" t="n"/>
      <c r="C2" s="526" t="n"/>
      <c r="D2" s="528" t="inlineStr">
        <is>
          <t>Doc BD130033980 - BL 6.0</t>
        </is>
      </c>
      <c r="E2" s="529" t="n"/>
      <c r="F2" s="530" t="n"/>
      <c r="G2" s="532" t="inlineStr">
        <is>
          <t>BD140036813 - BL 4.2</t>
        </is>
      </c>
      <c r="H2" s="529" t="n"/>
      <c r="I2" s="529" t="n"/>
      <c r="J2" s="528" t="inlineStr">
        <is>
          <t>3ECP414415-0001 - BL 4.0</t>
        </is>
      </c>
      <c r="K2" s="529" t="n"/>
      <c r="L2" s="530" t="n"/>
      <c r="M2" s="539" t="inlineStr">
        <is>
          <t>VZ-ES Spagna
BL 2.4</t>
        </is>
      </c>
      <c r="N2" s="538" t="n"/>
      <c r="O2" s="538" t="n"/>
      <c r="P2" s="528" t="inlineStr">
        <is>
          <t>VZI-6_IT [R1]
BL 4.0</t>
        </is>
      </c>
      <c r="Q2" s="530" t="n"/>
      <c r="R2" s="536" t="inlineStr">
        <is>
          <t>VZI-4_IT [R1]
BL 1.0</t>
        </is>
      </c>
      <c r="S2" s="530" t="n"/>
      <c r="T2" s="528" t="inlineStr">
        <is>
          <t>VZ-DAI
BL xxx</t>
        </is>
      </c>
      <c r="U2" s="530" t="n"/>
      <c r="V2" s="528" t="inlineStr">
        <is>
          <t>VZ_ES Full HRI
BL xxx</t>
        </is>
      </c>
      <c r="W2" s="530" t="n"/>
    </row>
    <row r="3" ht="30" customFormat="1" customHeight="1" s="105">
      <c r="A3" s="527" t="n"/>
      <c r="B3" s="535" t="n"/>
      <c r="C3" s="527" t="n"/>
      <c r="D3" s="152" t="inlineStr">
        <is>
          <t>File/Codice</t>
        </is>
      </c>
      <c r="E3" s="152" t="inlineStr">
        <is>
          <t>Rev</t>
        </is>
      </c>
      <c r="F3" s="149" t="inlineStr">
        <is>
          <t>Codice Config</t>
        </is>
      </c>
      <c r="G3" s="152" t="inlineStr">
        <is>
          <t>File/Codice</t>
        </is>
      </c>
      <c r="H3" s="152" t="inlineStr">
        <is>
          <t>Rev</t>
        </is>
      </c>
      <c r="I3" s="149" t="inlineStr">
        <is>
          <t>Codice Config</t>
        </is>
      </c>
      <c r="J3" s="152" t="inlineStr">
        <is>
          <t>File/Codice</t>
        </is>
      </c>
      <c r="K3" s="152" t="inlineStr">
        <is>
          <t>Rev</t>
        </is>
      </c>
      <c r="L3" s="149" t="inlineStr">
        <is>
          <t>Codice Config</t>
        </is>
      </c>
      <c r="M3" s="532" t="inlineStr">
        <is>
          <t>File/Codice</t>
        </is>
      </c>
      <c r="N3" s="152" t="inlineStr">
        <is>
          <t>Rev</t>
        </is>
      </c>
      <c r="O3" s="149" t="inlineStr">
        <is>
          <t>Codice Config</t>
        </is>
      </c>
      <c r="P3" s="150" t="inlineStr">
        <is>
          <t>Codice</t>
        </is>
      </c>
      <c r="Q3" s="151" t="inlineStr">
        <is>
          <t>Rev</t>
        </is>
      </c>
      <c r="R3" s="150" t="inlineStr">
        <is>
          <t>Codice</t>
        </is>
      </c>
      <c r="S3" s="151" t="inlineStr">
        <is>
          <t>Rev</t>
        </is>
      </c>
      <c r="T3" s="152" t="inlineStr">
        <is>
          <t>Codice</t>
        </is>
      </c>
      <c r="U3" s="149" t="inlineStr">
        <is>
          <t>Rev</t>
        </is>
      </c>
      <c r="V3" s="152" t="inlineStr">
        <is>
          <t>Codice</t>
        </is>
      </c>
      <c r="W3" s="149" t="inlineStr">
        <is>
          <t>Rev</t>
        </is>
      </c>
    </row>
    <row r="4" customFormat="1" s="105">
      <c r="A4" s="440" t="inlineStr">
        <is>
          <t>SW Configuration</t>
        </is>
      </c>
      <c r="B4" s="452" t="n"/>
      <c r="C4" s="441" t="n"/>
      <c r="D4" s="442" t="n"/>
      <c r="E4" s="443" t="n"/>
      <c r="F4" s="444" t="n"/>
      <c r="G4" s="442" t="n"/>
      <c r="H4" s="443" t="n"/>
      <c r="I4" s="444" t="n"/>
      <c r="J4" s="442" t="n"/>
      <c r="K4" s="443" t="n"/>
      <c r="L4" s="444" t="n"/>
      <c r="M4" s="442" t="n"/>
      <c r="N4" s="443" t="n"/>
      <c r="O4" s="444" t="n"/>
      <c r="P4" s="443" t="n"/>
      <c r="Q4" s="443" t="n"/>
      <c r="R4" s="442" t="n"/>
      <c r="S4" s="444" t="n"/>
      <c r="T4" s="443" t="n"/>
      <c r="U4" s="444" t="n"/>
      <c r="V4" s="443" t="n"/>
      <c r="W4" s="444" t="n"/>
    </row>
    <row r="5" outlineLevel="1" s="594">
      <c r="A5" s="114" t="inlineStr">
        <is>
          <t>SW Config. Matrix</t>
        </is>
      </c>
      <c r="B5" s="114" t="inlineStr">
        <is>
          <t>SW_Config</t>
        </is>
      </c>
      <c r="C5" s="109" t="inlineStr">
        <is>
          <t>pdf</t>
        </is>
      </c>
      <c r="D5" s="132" t="inlineStr">
        <is>
          <t>BD130033981</t>
        </is>
      </c>
      <c r="E5" s="15" t="inlineStr">
        <is>
          <t>_</t>
        </is>
      </c>
      <c r="F5" s="110" t="n"/>
      <c r="G5" s="132" t="inlineStr">
        <is>
          <t>3ECP414196-0001</t>
        </is>
      </c>
      <c r="H5" s="15" t="inlineStr">
        <is>
          <t>_</t>
        </is>
      </c>
      <c r="I5" s="126" t="n"/>
      <c r="J5" s="132" t="inlineStr">
        <is>
          <t>3ECP414332-0001</t>
        </is>
      </c>
      <c r="K5" s="133" t="inlineStr">
        <is>
          <t>_</t>
        </is>
      </c>
      <c r="L5" s="126" t="n"/>
      <c r="M5" s="132" t="inlineStr">
        <is>
          <t>3ECP414502-0001</t>
        </is>
      </c>
      <c r="N5" s="133" t="inlineStr">
        <is>
          <t>\</t>
        </is>
      </c>
      <c r="O5" s="126" t="n"/>
      <c r="P5" s="133" t="inlineStr">
        <is>
          <t>FT080031387</t>
        </is>
      </c>
      <c r="Q5" s="133" t="inlineStr">
        <is>
          <t>4.3</t>
        </is>
      </c>
      <c r="R5" s="132" t="inlineStr">
        <is>
          <t>FT080031387</t>
        </is>
      </c>
      <c r="S5" s="126" t="inlineStr">
        <is>
          <t>4.3</t>
        </is>
      </c>
      <c r="T5" s="133" t="n"/>
      <c r="U5" s="126" t="n"/>
      <c r="V5" s="133" t="n"/>
      <c r="W5" s="126" t="n"/>
    </row>
    <row r="6">
      <c r="A6" s="445" t="inlineStr">
        <is>
          <t>Functional principle diagrams (VISIO)</t>
        </is>
      </c>
      <c r="B6" s="445" t="n"/>
      <c r="C6" s="199" t="n"/>
      <c r="D6" s="117" t="n"/>
      <c r="E6" s="446" t="n"/>
      <c r="F6" s="118" t="n"/>
      <c r="G6" s="117" t="n"/>
      <c r="H6" s="446" t="n"/>
      <c r="I6" s="118" t="n"/>
      <c r="J6" s="117" t="n"/>
      <c r="K6" s="446" t="n"/>
      <c r="L6" s="118" t="n"/>
      <c r="M6" s="117" t="n"/>
      <c r="N6" s="446" t="n"/>
      <c r="O6" s="118" t="n"/>
      <c r="P6" s="446" t="n"/>
      <c r="Q6" s="446" t="n"/>
      <c r="R6" s="117" t="n"/>
      <c r="S6" s="118" t="n"/>
      <c r="T6" s="446" t="n"/>
      <c r="U6" s="118" t="n"/>
      <c r="V6" s="446" t="n"/>
      <c r="W6" s="118" t="n"/>
    </row>
    <row r="7" outlineLevel="1" ht="30" customHeight="1" s="594">
      <c r="A7" s="114" t="inlineStr">
        <is>
          <t>Drive Control</t>
        </is>
      </c>
      <c r="B7" s="114" t="inlineStr">
        <is>
          <t>FPD_Drive Control</t>
        </is>
      </c>
      <c r="C7" s="109" t="inlineStr">
        <is>
          <t>pdf</t>
        </is>
      </c>
      <c r="D7" s="132" t="inlineStr">
        <is>
          <t>3ECP410467-0001</t>
        </is>
      </c>
      <c r="E7" s="15" t="inlineStr">
        <is>
          <t>B</t>
        </is>
      </c>
      <c r="F7" s="110" t="n"/>
      <c r="G7" s="132" t="inlineStr">
        <is>
          <t>3ECP400500-0005</t>
        </is>
      </c>
      <c r="H7" s="133" t="inlineStr">
        <is>
          <t>_</t>
        </is>
      </c>
      <c r="I7" s="126" t="n"/>
      <c r="J7" s="132" t="inlineStr">
        <is>
          <t>3ECP410467-0001</t>
        </is>
      </c>
      <c r="K7" s="15" t="inlineStr">
        <is>
          <t>B</t>
        </is>
      </c>
      <c r="L7" s="110" t="n"/>
      <c r="M7" s="132" t="inlineStr">
        <is>
          <t>3ECP413651-0005</t>
        </is>
      </c>
      <c r="N7" s="15" t="inlineStr">
        <is>
          <t>_</t>
        </is>
      </c>
      <c r="O7" s="110" t="n"/>
      <c r="P7" s="133" t="inlineStr">
        <is>
          <t>FA010024090</t>
        </is>
      </c>
      <c r="Q7" s="134" t="inlineStr">
        <is>
          <t>00.2</t>
        </is>
      </c>
      <c r="R7" s="109" t="inlineStr">
        <is>
          <t>FA010024090</t>
        </is>
      </c>
      <c r="S7" s="123" t="inlineStr">
        <is>
          <t>00.2</t>
        </is>
      </c>
      <c r="U7" s="110" t="n"/>
      <c r="W7" s="110" t="n"/>
    </row>
    <row r="8" outlineLevel="1" ht="30" customHeight="1" s="594">
      <c r="A8" s="114" t="inlineStr">
        <is>
          <t>Conventional Train Control</t>
        </is>
      </c>
      <c r="B8" s="114" t="inlineStr">
        <is>
          <t>FPD_Conventional Train Control</t>
        </is>
      </c>
      <c r="C8" s="109" t="inlineStr">
        <is>
          <t>pdf</t>
        </is>
      </c>
      <c r="D8" s="132" t="inlineStr">
        <is>
          <t>3ECP410476-0001</t>
        </is>
      </c>
      <c r="E8" s="15" t="inlineStr">
        <is>
          <t>C</t>
        </is>
      </c>
      <c r="F8" s="110" t="n"/>
      <c r="G8" s="132" t="inlineStr">
        <is>
          <t>3ECP400500-0014</t>
        </is>
      </c>
      <c r="H8" s="133" t="inlineStr">
        <is>
          <t>A</t>
        </is>
      </c>
      <c r="I8" s="126" t="n"/>
      <c r="J8" s="132" t="inlineStr">
        <is>
          <t>3ECP307072-0001</t>
        </is>
      </c>
      <c r="K8" s="15" t="inlineStr">
        <is>
          <t>C</t>
        </is>
      </c>
      <c r="L8" s="110" t="n"/>
      <c r="M8" s="132" t="inlineStr">
        <is>
          <t>3ECP413651-0014</t>
        </is>
      </c>
      <c r="N8" s="15" t="inlineStr">
        <is>
          <t>A</t>
        </is>
      </c>
      <c r="O8" s="110" t="n"/>
      <c r="P8" s="133" t="inlineStr">
        <is>
          <t>FA010024089</t>
        </is>
      </c>
      <c r="Q8" s="134" t="inlineStr">
        <is>
          <t>03.2</t>
        </is>
      </c>
      <c r="R8" s="109" t="inlineStr">
        <is>
          <t>FA010024089</t>
        </is>
      </c>
      <c r="S8" s="123" t="inlineStr">
        <is>
          <t>03.2</t>
        </is>
      </c>
      <c r="U8" s="110" t="n"/>
      <c r="W8" s="110" t="n"/>
    </row>
    <row r="9" outlineLevel="1" ht="30" customHeight="1" s="594">
      <c r="A9" s="114" t="inlineStr">
        <is>
          <t>Train Protection - ATP</t>
        </is>
      </c>
      <c r="B9" s="114" t="inlineStr">
        <is>
          <t>FPD_Train Protection - ATP</t>
        </is>
      </c>
      <c r="C9" s="109" t="inlineStr">
        <is>
          <t>pdf</t>
        </is>
      </c>
      <c r="D9" s="132" t="inlineStr">
        <is>
          <t>3ECP410482-0001</t>
        </is>
      </c>
      <c r="E9" s="15" t="inlineStr">
        <is>
          <t>C</t>
        </is>
      </c>
      <c r="F9" s="126" t="n"/>
      <c r="G9" s="132" t="inlineStr">
        <is>
          <t>3ECP400500-0020</t>
        </is>
      </c>
      <c r="H9" s="133" t="inlineStr">
        <is>
          <t>A</t>
        </is>
      </c>
      <c r="I9" s="126" t="n"/>
      <c r="J9" s="132" t="inlineStr">
        <is>
          <t>3ECP410482-0001</t>
        </is>
      </c>
      <c r="K9" s="15" t="inlineStr">
        <is>
          <t>C</t>
        </is>
      </c>
      <c r="L9" s="110" t="n"/>
      <c r="M9" s="132" t="inlineStr">
        <is>
          <t>3ECP413651-0020</t>
        </is>
      </c>
      <c r="N9" s="15" t="inlineStr">
        <is>
          <t>D</t>
        </is>
      </c>
      <c r="O9" s="110" t="n"/>
      <c r="P9" s="133" t="inlineStr">
        <is>
          <t>FA010024100</t>
        </is>
      </c>
      <c r="Q9" s="134" t="inlineStr">
        <is>
          <t>03.2</t>
        </is>
      </c>
      <c r="R9" s="109" t="inlineStr">
        <is>
          <t>FA010024100</t>
        </is>
      </c>
      <c r="S9" s="123" t="inlineStr">
        <is>
          <t>03.2</t>
        </is>
      </c>
      <c r="U9" s="110" t="n"/>
      <c r="W9" s="110" t="n"/>
    </row>
    <row r="10" outlineLevel="1" ht="30" customHeight="1" s="594">
      <c r="A10" s="114" t="inlineStr">
        <is>
          <t>TCMS Architecture</t>
        </is>
      </c>
      <c r="B10" s="114" t="inlineStr">
        <is>
          <t>FPD_TCMS Architecture</t>
        </is>
      </c>
      <c r="C10" s="109" t="inlineStr">
        <is>
          <t>pdf</t>
        </is>
      </c>
      <c r="D10" s="132" t="inlineStr">
        <is>
          <t>\</t>
        </is>
      </c>
      <c r="E10" s="15" t="inlineStr">
        <is>
          <t>\</t>
        </is>
      </c>
      <c r="F10" s="110" t="n"/>
      <c r="G10" s="132" t="inlineStr">
        <is>
          <t>\</t>
        </is>
      </c>
      <c r="H10" s="133" t="inlineStr">
        <is>
          <t>\</t>
        </is>
      </c>
      <c r="I10" s="126" t="n"/>
      <c r="J10" s="132" t="inlineStr">
        <is>
          <t>3ECP307076-0001</t>
        </is>
      </c>
      <c r="K10" s="15" t="inlineStr">
        <is>
          <t>_</t>
        </is>
      </c>
      <c r="L10" s="110" t="n"/>
      <c r="M10" s="132" t="inlineStr">
        <is>
          <t>3ECP307255-0001</t>
        </is>
      </c>
      <c r="N10" s="15" t="inlineStr">
        <is>
          <t>D</t>
        </is>
      </c>
      <c r="O10" s="110" t="n"/>
      <c r="P10" s="133" t="inlineStr">
        <is>
          <t>FA010024104</t>
        </is>
      </c>
      <c r="Q10" s="134" t="inlineStr">
        <is>
          <t>00.2</t>
        </is>
      </c>
      <c r="R10" s="109" t="inlineStr">
        <is>
          <t>FA010024104</t>
        </is>
      </c>
      <c r="S10" s="123" t="inlineStr">
        <is>
          <t>00.2</t>
        </is>
      </c>
      <c r="U10" s="110" t="n"/>
      <c r="W10" s="110" t="n"/>
    </row>
    <row r="11" outlineLevel="1" ht="30" customHeight="1" s="594">
      <c r="A11" s="114" t="inlineStr">
        <is>
          <t>Propulsion and Auxiliary</t>
        </is>
      </c>
      <c r="B11" s="114" t="inlineStr">
        <is>
          <t>FPD_Propulsion and Auxiliary</t>
        </is>
      </c>
      <c r="C11" s="109" t="inlineStr">
        <is>
          <t>pdf</t>
        </is>
      </c>
      <c r="D11" s="132" t="inlineStr">
        <is>
          <t>\</t>
        </is>
      </c>
      <c r="E11" s="15" t="inlineStr">
        <is>
          <t>\</t>
        </is>
      </c>
      <c r="F11" s="110" t="n"/>
      <c r="G11" s="132" t="inlineStr">
        <is>
          <t>\</t>
        </is>
      </c>
      <c r="H11" s="133" t="inlineStr">
        <is>
          <t>\</t>
        </is>
      </c>
      <c r="I11" s="126" t="n"/>
      <c r="J11" s="132" t="n"/>
      <c r="L11" s="110" t="n"/>
      <c r="M11" s="132" t="inlineStr">
        <is>
          <t>\</t>
        </is>
      </c>
      <c r="N11" s="15" t="inlineStr">
        <is>
          <t>\</t>
        </is>
      </c>
      <c r="O11" s="110" t="n"/>
      <c r="P11" s="133" t="inlineStr">
        <is>
          <t>FA010024103</t>
        </is>
      </c>
      <c r="Q11" s="134" t="inlineStr">
        <is>
          <t>01.2</t>
        </is>
      </c>
      <c r="R11" s="109" t="inlineStr">
        <is>
          <t>FA010024103</t>
        </is>
      </c>
      <c r="S11" s="123" t="inlineStr">
        <is>
          <t>01.2</t>
        </is>
      </c>
      <c r="U11" s="110" t="n"/>
      <c r="W11" s="110" t="n"/>
    </row>
    <row r="12" outlineLevel="1" ht="30" customHeight="1" s="594">
      <c r="A12" s="114" t="inlineStr">
        <is>
          <t>Line Voltage</t>
        </is>
      </c>
      <c r="B12" s="114" t="inlineStr">
        <is>
          <t>FPD_Line Voltage</t>
        </is>
      </c>
      <c r="C12" s="109" t="inlineStr">
        <is>
          <t>pdf</t>
        </is>
      </c>
      <c r="D12" s="132" t="inlineStr">
        <is>
          <t>3ECP410475-0001</t>
        </is>
      </c>
      <c r="E12" s="15" t="inlineStr">
        <is>
          <t>B</t>
        </is>
      </c>
      <c r="F12" s="110" t="n"/>
      <c r="G12" s="132" t="inlineStr">
        <is>
          <t>3ECP400500-0013</t>
        </is>
      </c>
      <c r="H12" s="133" t="inlineStr">
        <is>
          <t>C</t>
        </is>
      </c>
      <c r="I12" s="126" t="n"/>
      <c r="J12" s="132" t="inlineStr">
        <is>
          <t>3ECP307079-0001</t>
        </is>
      </c>
      <c r="K12" s="15" t="inlineStr">
        <is>
          <t>A</t>
        </is>
      </c>
      <c r="L12" s="110" t="n"/>
      <c r="M12" s="132" t="inlineStr">
        <is>
          <t>3ECP413651-0013</t>
        </is>
      </c>
      <c r="N12" s="15" t="inlineStr">
        <is>
          <t>_</t>
        </is>
      </c>
      <c r="O12" s="110" t="n"/>
      <c r="P12" s="133" t="inlineStr">
        <is>
          <t>FA010024096</t>
        </is>
      </c>
      <c r="Q12" s="134" t="inlineStr">
        <is>
          <t>03.2</t>
        </is>
      </c>
      <c r="R12" s="109" t="inlineStr">
        <is>
          <t>FA010024096</t>
        </is>
      </c>
      <c r="S12" s="123" t="inlineStr">
        <is>
          <t>03.2</t>
        </is>
      </c>
      <c r="U12" s="110" t="n"/>
      <c r="W12" s="110" t="n"/>
    </row>
    <row r="13" outlineLevel="1" ht="30" customHeight="1" s="594">
      <c r="A13" s="114" t="inlineStr">
        <is>
          <t>Auxiliary Electrical Supply</t>
        </is>
      </c>
      <c r="B13" s="114" t="inlineStr">
        <is>
          <t>FPD_Auxiliary Electrical Supply</t>
        </is>
      </c>
      <c r="C13" s="109" t="inlineStr">
        <is>
          <t>pdf</t>
        </is>
      </c>
      <c r="D13" s="132" t="inlineStr">
        <is>
          <t>3ECP410465-0001</t>
        </is>
      </c>
      <c r="E13" s="15" t="inlineStr">
        <is>
          <t>B</t>
        </is>
      </c>
      <c r="F13" s="110" t="n"/>
      <c r="G13" s="132" t="inlineStr">
        <is>
          <t>3ECP400500-0003</t>
        </is>
      </c>
      <c r="H13" s="15" t="inlineStr">
        <is>
          <t>C</t>
        </is>
      </c>
      <c r="I13" s="126" t="n"/>
      <c r="J13" s="132" t="inlineStr">
        <is>
          <t>3ECP410465-0001</t>
        </is>
      </c>
      <c r="K13" s="15" t="inlineStr">
        <is>
          <t>B</t>
        </is>
      </c>
      <c r="L13" s="110" t="n"/>
      <c r="M13" s="132" t="inlineStr">
        <is>
          <t>3ECP413651-0003</t>
        </is>
      </c>
      <c r="N13" s="134" t="inlineStr">
        <is>
          <t>A</t>
        </is>
      </c>
      <c r="O13" s="110" t="n"/>
      <c r="P13" s="133" t="inlineStr">
        <is>
          <t>FA010024083</t>
        </is>
      </c>
      <c r="Q13" s="134" t="inlineStr">
        <is>
          <t>01.2</t>
        </is>
      </c>
      <c r="R13" s="109" t="inlineStr">
        <is>
          <t>FA010024083</t>
        </is>
      </c>
      <c r="S13" s="123" t="inlineStr">
        <is>
          <t>01.2</t>
        </is>
      </c>
      <c r="U13" s="110" t="n"/>
      <c r="W13" s="110" t="n"/>
    </row>
    <row r="14" outlineLevel="1" ht="30" customHeight="1" s="594">
      <c r="A14" s="114" t="inlineStr">
        <is>
          <t>Battery</t>
        </is>
      </c>
      <c r="B14" s="114" t="inlineStr">
        <is>
          <t>FPD_Battery</t>
        </is>
      </c>
      <c r="C14" s="109" t="inlineStr">
        <is>
          <t>pdf</t>
        </is>
      </c>
      <c r="D14" s="132" t="inlineStr">
        <is>
          <t>3ECP410477-0001</t>
        </is>
      </c>
      <c r="E14" s="15" t="inlineStr">
        <is>
          <t>B</t>
        </is>
      </c>
      <c r="F14" s="110" t="n"/>
      <c r="G14" s="132" t="inlineStr">
        <is>
          <t>3ECP400500-0015</t>
        </is>
      </c>
      <c r="H14" s="133" t="inlineStr">
        <is>
          <t>_</t>
        </is>
      </c>
      <c r="I14" s="126" t="n"/>
      <c r="J14" s="132" t="inlineStr">
        <is>
          <t>3ECP410477-0001</t>
        </is>
      </c>
      <c r="K14" s="15" t="inlineStr">
        <is>
          <t>B</t>
        </is>
      </c>
      <c r="L14" s="110" t="n"/>
      <c r="M14" s="132" t="inlineStr">
        <is>
          <t>3ECP413651-0015</t>
        </is>
      </c>
      <c r="N14" s="15" t="inlineStr">
        <is>
          <t>_</t>
        </is>
      </c>
      <c r="O14" s="110" t="n"/>
      <c r="P14" s="133" t="inlineStr">
        <is>
          <t>FA010024084</t>
        </is>
      </c>
      <c r="Q14" s="134" t="inlineStr">
        <is>
          <t>01.2</t>
        </is>
      </c>
      <c r="R14" s="109" t="inlineStr">
        <is>
          <t>FA010024084</t>
        </is>
      </c>
      <c r="S14" s="123" t="inlineStr">
        <is>
          <t>01.2</t>
        </is>
      </c>
      <c r="U14" s="110" t="n"/>
      <c r="W14" s="110" t="n"/>
    </row>
    <row r="15" outlineLevel="1" ht="30" customHeight="1" s="594">
      <c r="A15" s="114" t="inlineStr">
        <is>
          <t>Air Supply</t>
        </is>
      </c>
      <c r="B15" s="114" t="inlineStr">
        <is>
          <t>FPD_Air Supply</t>
        </is>
      </c>
      <c r="C15" s="109" t="inlineStr">
        <is>
          <t>pdf</t>
        </is>
      </c>
      <c r="D15" s="132" t="inlineStr">
        <is>
          <t>3ECP410463-0001</t>
        </is>
      </c>
      <c r="E15" s="15" t="inlineStr">
        <is>
          <t>B</t>
        </is>
      </c>
      <c r="F15" s="110" t="n"/>
      <c r="G15" s="132" t="inlineStr">
        <is>
          <t>3ECP400500-0002</t>
        </is>
      </c>
      <c r="H15" s="15" t="inlineStr">
        <is>
          <t>A</t>
        </is>
      </c>
      <c r="I15" s="126" t="n"/>
      <c r="J15" s="132" t="inlineStr">
        <is>
          <t>3ECP410463-0001</t>
        </is>
      </c>
      <c r="K15" s="15" t="inlineStr">
        <is>
          <t>B</t>
        </is>
      </c>
      <c r="L15" s="110" t="n"/>
      <c r="M15" s="132" t="inlineStr">
        <is>
          <t>3ECP413651-0002</t>
        </is>
      </c>
      <c r="N15" s="15" t="inlineStr">
        <is>
          <t>A</t>
        </is>
      </c>
      <c r="O15" s="110" t="n"/>
      <c r="P15" s="133" t="inlineStr">
        <is>
          <t>FA010024081</t>
        </is>
      </c>
      <c r="Q15" s="134" t="inlineStr">
        <is>
          <t>01.2</t>
        </is>
      </c>
      <c r="R15" s="109" t="inlineStr">
        <is>
          <t>FA010024081</t>
        </is>
      </c>
      <c r="S15" s="123" t="inlineStr">
        <is>
          <t>01.2</t>
        </is>
      </c>
      <c r="U15" s="110" t="n"/>
      <c r="W15" s="110" t="n"/>
    </row>
    <row r="16" outlineLevel="1" ht="30" customHeight="1" s="594">
      <c r="A16" s="114" t="inlineStr">
        <is>
          <t>Brake Control</t>
        </is>
      </c>
      <c r="B16" s="114" t="inlineStr">
        <is>
          <t>FPD_Brake Control</t>
        </is>
      </c>
      <c r="C16" s="109" t="inlineStr">
        <is>
          <t>pdf</t>
        </is>
      </c>
      <c r="D16" s="132" t="inlineStr">
        <is>
          <t>3ECP410480-0001</t>
        </is>
      </c>
      <c r="E16" s="15" t="inlineStr">
        <is>
          <t>C</t>
        </is>
      </c>
      <c r="F16" s="110" t="n"/>
      <c r="G16" s="132" t="inlineStr">
        <is>
          <t>3ECP400500-0018</t>
        </is>
      </c>
      <c r="H16" s="15" t="inlineStr">
        <is>
          <t>B</t>
        </is>
      </c>
      <c r="I16" s="126" t="n"/>
      <c r="J16" s="132" t="inlineStr">
        <is>
          <t>3ECP307074-0001</t>
        </is>
      </c>
      <c r="K16" s="134" t="inlineStr">
        <is>
          <t>E</t>
        </is>
      </c>
      <c r="L16" s="110" t="n"/>
      <c r="M16" s="132" t="inlineStr">
        <is>
          <t>3ECP413651-0018</t>
        </is>
      </c>
      <c r="N16" s="15" t="inlineStr">
        <is>
          <t>A</t>
        </is>
      </c>
      <c r="O16" s="110" t="n"/>
      <c r="P16" s="133" t="inlineStr">
        <is>
          <t>FA010024086</t>
        </is>
      </c>
      <c r="Q16" s="134" t="inlineStr">
        <is>
          <t>02.2</t>
        </is>
      </c>
      <c r="R16" s="109" t="inlineStr">
        <is>
          <t>FA010024086</t>
        </is>
      </c>
      <c r="S16" s="123" t="inlineStr">
        <is>
          <t>02.2</t>
        </is>
      </c>
      <c r="U16" s="110" t="n"/>
      <c r="W16" s="110" t="n"/>
    </row>
    <row r="17" outlineLevel="1" ht="30" customHeight="1" s="594">
      <c r="A17" s="114" t="inlineStr">
        <is>
          <t>Bogie</t>
        </is>
      </c>
      <c r="B17" s="114" t="inlineStr">
        <is>
          <t>FPD_Bogie</t>
        </is>
      </c>
      <c r="C17" s="109" t="inlineStr">
        <is>
          <t>pdf</t>
        </is>
      </c>
      <c r="D17" s="132" t="inlineStr">
        <is>
          <t>3ECP410466-0001</t>
        </is>
      </c>
      <c r="E17" s="134" t="inlineStr">
        <is>
          <t>D</t>
        </is>
      </c>
      <c r="F17" s="110" t="n"/>
      <c r="G17" s="132" t="inlineStr">
        <is>
          <t>3ECP400500-0004</t>
        </is>
      </c>
      <c r="H17" s="15" t="inlineStr">
        <is>
          <t>B</t>
        </is>
      </c>
      <c r="I17" s="126" t="n"/>
      <c r="J17" s="132" t="inlineStr">
        <is>
          <t>3ECP307081-0001</t>
        </is>
      </c>
      <c r="K17" s="134" t="inlineStr">
        <is>
          <t>B</t>
        </is>
      </c>
      <c r="L17" s="110" t="n"/>
      <c r="M17" s="132" t="inlineStr">
        <is>
          <t>3ECP413651-0004</t>
        </is>
      </c>
      <c r="N17" s="15" t="inlineStr">
        <is>
          <t>_</t>
        </is>
      </c>
      <c r="O17" s="110" t="n"/>
      <c r="P17" s="133" t="inlineStr">
        <is>
          <t>FA010024085</t>
        </is>
      </c>
      <c r="Q17" s="134" t="inlineStr">
        <is>
          <t>01.2</t>
        </is>
      </c>
      <c r="R17" s="109" t="inlineStr">
        <is>
          <t>FA010024085</t>
        </is>
      </c>
      <c r="S17" s="123" t="inlineStr">
        <is>
          <t>01.2</t>
        </is>
      </c>
      <c r="U17" s="110" t="n"/>
      <c r="W17" s="110" t="n"/>
    </row>
    <row r="18" outlineLevel="1" ht="30" customHeight="1" s="594">
      <c r="A18" s="114" t="inlineStr">
        <is>
          <t>Wash Wiper</t>
        </is>
      </c>
      <c r="B18" s="114" t="inlineStr">
        <is>
          <t>FPD_Wash Wiper</t>
        </is>
      </c>
      <c r="C18" s="109" t="inlineStr">
        <is>
          <t>pdf</t>
        </is>
      </c>
      <c r="D18" s="132" t="inlineStr">
        <is>
          <t>3ECP410473-0001</t>
        </is>
      </c>
      <c r="E18" s="15" t="inlineStr">
        <is>
          <t>B</t>
        </is>
      </c>
      <c r="F18" s="110" t="n"/>
      <c r="G18" s="132" t="inlineStr">
        <is>
          <t>3ECP400500-0011</t>
        </is>
      </c>
      <c r="H18" s="15" t="inlineStr">
        <is>
          <t>_</t>
        </is>
      </c>
      <c r="I18" s="126" t="n"/>
      <c r="J18" s="132" t="inlineStr">
        <is>
          <t>3ECP307082-0001</t>
        </is>
      </c>
      <c r="K18" s="15" t="inlineStr">
        <is>
          <t>_</t>
        </is>
      </c>
      <c r="L18" s="110" t="n"/>
      <c r="M18" s="132" t="inlineStr">
        <is>
          <t>3ECP413651-0011</t>
        </is>
      </c>
      <c r="N18" s="15" t="inlineStr">
        <is>
          <t>_</t>
        </is>
      </c>
      <c r="O18" s="110" t="n"/>
      <c r="P18" s="133" t="inlineStr">
        <is>
          <t>FA010024101</t>
        </is>
      </c>
      <c r="Q18" s="134" t="inlineStr">
        <is>
          <t>00.2</t>
        </is>
      </c>
      <c r="R18" s="109" t="inlineStr">
        <is>
          <t>FA010024101</t>
        </is>
      </c>
      <c r="S18" s="123" t="inlineStr">
        <is>
          <t>00.2</t>
        </is>
      </c>
      <c r="U18" s="110" t="n"/>
      <c r="W18" s="110" t="n"/>
    </row>
    <row r="19" outlineLevel="1" ht="30" customHeight="1" s="594">
      <c r="A19" s="114" t="inlineStr">
        <is>
          <t>Windscreen heater</t>
        </is>
      </c>
      <c r="B19" s="114" t="inlineStr">
        <is>
          <t>FPD_Windscreen heater</t>
        </is>
      </c>
      <c r="C19" s="109" t="inlineStr">
        <is>
          <t>pdf</t>
        </is>
      </c>
      <c r="D19" s="132" t="inlineStr">
        <is>
          <t>3ECP410474-0001</t>
        </is>
      </c>
      <c r="E19" s="15" t="inlineStr">
        <is>
          <t>B</t>
        </is>
      </c>
      <c r="F19" s="110" t="n"/>
      <c r="G19" s="132" t="inlineStr">
        <is>
          <t>3ECP400500-0012</t>
        </is>
      </c>
      <c r="H19" s="15" t="inlineStr">
        <is>
          <t>_</t>
        </is>
      </c>
      <c r="I19" s="126" t="n"/>
      <c r="J19" s="132" t="inlineStr">
        <is>
          <t>3ECP410474-0001</t>
        </is>
      </c>
      <c r="K19" s="15" t="inlineStr">
        <is>
          <t>B</t>
        </is>
      </c>
      <c r="L19" s="110" t="n"/>
      <c r="M19" s="132" t="inlineStr">
        <is>
          <t>3ECP413651-0012</t>
        </is>
      </c>
      <c r="N19" s="15" t="inlineStr">
        <is>
          <t>_</t>
        </is>
      </c>
      <c r="O19" s="110" t="n"/>
      <c r="P19" s="133" t="inlineStr">
        <is>
          <t>FA010024102</t>
        </is>
      </c>
      <c r="Q19" s="134" t="inlineStr">
        <is>
          <t>00.2</t>
        </is>
      </c>
      <c r="R19" s="109" t="inlineStr">
        <is>
          <t>FA010024102</t>
        </is>
      </c>
      <c r="S19" s="123" t="inlineStr">
        <is>
          <t>00.2</t>
        </is>
      </c>
      <c r="U19" s="110" t="n"/>
      <c r="W19" s="110" t="n"/>
    </row>
    <row r="20" outlineLevel="1" ht="30" customHeight="1" s="594">
      <c r="A20" s="114" t="inlineStr">
        <is>
          <t>Automatic Coupler</t>
        </is>
      </c>
      <c r="B20" s="114" t="inlineStr">
        <is>
          <t>FPD_Automatic Coupler</t>
        </is>
      </c>
      <c r="C20" s="109" t="inlineStr">
        <is>
          <t>pdf</t>
        </is>
      </c>
      <c r="D20" s="132" t="inlineStr">
        <is>
          <t>3ECP410481-0001</t>
        </is>
      </c>
      <c r="E20" s="15" t="inlineStr">
        <is>
          <t>C</t>
        </is>
      </c>
      <c r="F20" s="110" t="n"/>
      <c r="G20" s="132" t="inlineStr">
        <is>
          <t>3ECP400500-0019</t>
        </is>
      </c>
      <c r="H20" s="15" t="inlineStr">
        <is>
          <t>A</t>
        </is>
      </c>
      <c r="I20" s="126" t="n"/>
      <c r="J20" s="132" t="inlineStr">
        <is>
          <t>3ECP307077-0001</t>
        </is>
      </c>
      <c r="K20" s="134" t="inlineStr">
        <is>
          <t>B</t>
        </is>
      </c>
      <c r="L20" s="110" t="n"/>
      <c r="M20" s="132" t="inlineStr">
        <is>
          <t>3ECP413651-0019</t>
        </is>
      </c>
      <c r="N20" s="15" t="inlineStr">
        <is>
          <t>A</t>
        </is>
      </c>
      <c r="O20" s="110" t="n"/>
      <c r="P20" s="133" t="inlineStr">
        <is>
          <t>FA010024082</t>
        </is>
      </c>
      <c r="Q20" s="134" t="inlineStr">
        <is>
          <t>02.2</t>
        </is>
      </c>
      <c r="R20" s="109" t="inlineStr">
        <is>
          <t>FA010024082</t>
        </is>
      </c>
      <c r="S20" s="123" t="inlineStr">
        <is>
          <t>02.2</t>
        </is>
      </c>
      <c r="U20" s="110" t="n"/>
      <c r="W20" s="110" t="n"/>
    </row>
    <row r="21" outlineLevel="1" ht="30" customHeight="1" s="594">
      <c r="A21" s="114" t="inlineStr">
        <is>
          <t>Horn</t>
        </is>
      </c>
      <c r="B21" s="114" t="inlineStr">
        <is>
          <t>FPD_Horn</t>
        </is>
      </c>
      <c r="C21" s="109" t="inlineStr">
        <is>
          <t>pdf</t>
        </is>
      </c>
      <c r="D21" s="132" t="inlineStr">
        <is>
          <t>3ECP410468-0001</t>
        </is>
      </c>
      <c r="E21" s="15" t="inlineStr">
        <is>
          <t>B</t>
        </is>
      </c>
      <c r="F21" s="110" t="n"/>
      <c r="G21" s="132" t="inlineStr">
        <is>
          <t>3ECP400500-0006</t>
        </is>
      </c>
      <c r="H21" s="133" t="inlineStr">
        <is>
          <t>_</t>
        </is>
      </c>
      <c r="I21" s="126" t="n"/>
      <c r="J21" s="132" t="inlineStr">
        <is>
          <t>3ECP410468-0001</t>
        </is>
      </c>
      <c r="K21" s="15" t="inlineStr">
        <is>
          <t>B</t>
        </is>
      </c>
      <c r="L21" s="110" t="n"/>
      <c r="M21" s="132" t="inlineStr">
        <is>
          <t>3ECP413651-0006</t>
        </is>
      </c>
      <c r="N21" s="15" t="inlineStr">
        <is>
          <t>_</t>
        </is>
      </c>
      <c r="O21" s="110" t="n"/>
      <c r="P21" s="133" t="inlineStr">
        <is>
          <t>FA010024094</t>
        </is>
      </c>
      <c r="Q21" s="134" t="inlineStr">
        <is>
          <t>00.2</t>
        </is>
      </c>
      <c r="R21" s="109" t="inlineStr">
        <is>
          <t>FA010024094</t>
        </is>
      </c>
      <c r="S21" s="123" t="inlineStr">
        <is>
          <t>00.2</t>
        </is>
      </c>
      <c r="U21" s="110" t="n"/>
      <c r="W21" s="110" t="n"/>
    </row>
    <row r="22" outlineLevel="1" ht="30" customHeight="1" s="594">
      <c r="A22" s="114" t="inlineStr">
        <is>
          <t>Exterior and Interior Doors</t>
        </is>
      </c>
      <c r="B22" s="114" t="inlineStr">
        <is>
          <t>FPD_Exterior and Interior Doors</t>
        </is>
      </c>
      <c r="C22" s="109" t="inlineStr">
        <is>
          <t>pdf</t>
        </is>
      </c>
      <c r="D22" s="132" t="inlineStr">
        <is>
          <t>3ECP410462-0001</t>
        </is>
      </c>
      <c r="E22" s="15" t="inlineStr">
        <is>
          <t>C</t>
        </is>
      </c>
      <c r="F22" s="110" t="n"/>
      <c r="G22" s="132" t="inlineStr">
        <is>
          <t>3ECP400500-0001</t>
        </is>
      </c>
      <c r="H22" s="15" t="inlineStr">
        <is>
          <t>A</t>
        </is>
      </c>
      <c r="I22" s="126" t="n"/>
      <c r="J22" s="132" t="inlineStr">
        <is>
          <t>3ECP307073-0001</t>
        </is>
      </c>
      <c r="K22" s="134" t="inlineStr">
        <is>
          <t>D</t>
        </is>
      </c>
      <c r="L22" s="110" t="n"/>
      <c r="M22" s="132" t="inlineStr">
        <is>
          <t>3ECP413651-0001</t>
        </is>
      </c>
      <c r="N22" s="15" t="inlineStr">
        <is>
          <t>A</t>
        </is>
      </c>
      <c r="O22" s="110" t="n"/>
      <c r="P22" s="133" t="inlineStr">
        <is>
          <t>FA010024091</t>
        </is>
      </c>
      <c r="Q22" s="134" t="inlineStr">
        <is>
          <t>02.2</t>
        </is>
      </c>
      <c r="R22" s="109" t="inlineStr">
        <is>
          <t>FA010024091</t>
        </is>
      </c>
      <c r="S22" s="123" t="inlineStr">
        <is>
          <t>02.2</t>
        </is>
      </c>
      <c r="U22" s="110" t="n"/>
      <c r="W22" s="110" t="n"/>
    </row>
    <row r="23" outlineLevel="1" ht="30" customHeight="1" s="594">
      <c r="A23" s="114" t="inlineStr">
        <is>
          <t>Cab HVAC</t>
        </is>
      </c>
      <c r="B23" s="114" t="inlineStr">
        <is>
          <t>FPD_Cab HVAC</t>
        </is>
      </c>
      <c r="C23" s="109" t="inlineStr">
        <is>
          <t>pdf</t>
        </is>
      </c>
      <c r="D23" s="132" t="inlineStr">
        <is>
          <t>3ECP410470-0001</t>
        </is>
      </c>
      <c r="E23" s="15" t="inlineStr">
        <is>
          <t>B</t>
        </is>
      </c>
      <c r="F23" s="110" t="n"/>
      <c r="G23" s="132" t="inlineStr">
        <is>
          <t>3ECP400500-0008</t>
        </is>
      </c>
      <c r="H23" s="15" t="inlineStr">
        <is>
          <t>A</t>
        </is>
      </c>
      <c r="I23" s="126" t="n"/>
      <c r="J23" s="132" t="inlineStr">
        <is>
          <t>3ECP307084-0001</t>
        </is>
      </c>
      <c r="K23" s="15" t="inlineStr">
        <is>
          <t>_</t>
        </is>
      </c>
      <c r="L23" s="110" t="n"/>
      <c r="M23" s="132" t="inlineStr">
        <is>
          <t>3ECP413651-0008</t>
        </is>
      </c>
      <c r="N23" s="134" t="inlineStr">
        <is>
          <t>A</t>
        </is>
      </c>
      <c r="O23" s="110" t="n"/>
      <c r="P23" s="133" t="inlineStr">
        <is>
          <t>FA010024087</t>
        </is>
      </c>
      <c r="Q23" s="134" t="inlineStr">
        <is>
          <t>00.2</t>
        </is>
      </c>
      <c r="R23" s="109" t="inlineStr">
        <is>
          <t>FA010024087</t>
        </is>
      </c>
      <c r="S23" s="123" t="inlineStr">
        <is>
          <t>00.2</t>
        </is>
      </c>
      <c r="U23" s="110" t="n"/>
      <c r="W23" s="110" t="n"/>
    </row>
    <row r="24" outlineLevel="1" ht="30" customHeight="1" s="594">
      <c r="A24" s="114" t="inlineStr">
        <is>
          <t>Saloon HVAC</t>
        </is>
      </c>
      <c r="B24" s="114" t="inlineStr">
        <is>
          <t>FPD_Saloon HVAC</t>
        </is>
      </c>
      <c r="C24" s="109" t="inlineStr">
        <is>
          <t>pdf</t>
        </is>
      </c>
      <c r="D24" s="132" t="inlineStr">
        <is>
          <t>3ECP410471-0001</t>
        </is>
      </c>
      <c r="E24" s="15" t="inlineStr">
        <is>
          <t>B</t>
        </is>
      </c>
      <c r="F24" s="110" t="n"/>
      <c r="G24" s="132" t="inlineStr">
        <is>
          <t>3ECP400500-0009</t>
        </is>
      </c>
      <c r="H24" s="15" t="inlineStr">
        <is>
          <t>A</t>
        </is>
      </c>
      <c r="I24" s="126" t="n"/>
      <c r="J24" s="132" t="inlineStr">
        <is>
          <t>3ECP307080-0001</t>
        </is>
      </c>
      <c r="K24" s="15" t="inlineStr">
        <is>
          <t>_</t>
        </is>
      </c>
      <c r="L24" s="110" t="n"/>
      <c r="M24" s="132" t="inlineStr">
        <is>
          <t>3ECP413651-0009</t>
        </is>
      </c>
      <c r="N24" s="15" t="inlineStr">
        <is>
          <t>_</t>
        </is>
      </c>
      <c r="O24" s="110" t="n"/>
      <c r="P24" s="133" t="inlineStr">
        <is>
          <t>FA010024098</t>
        </is>
      </c>
      <c r="Q24" s="134" t="inlineStr">
        <is>
          <t>00.2</t>
        </is>
      </c>
      <c r="R24" s="109" t="inlineStr">
        <is>
          <t>FA010024098</t>
        </is>
      </c>
      <c r="S24" s="123" t="inlineStr">
        <is>
          <t>00.2</t>
        </is>
      </c>
      <c r="U24" s="110" t="n"/>
      <c r="W24" s="110" t="n"/>
    </row>
    <row r="25" outlineLevel="1" ht="30" customHeight="1" s="594">
      <c r="A25" s="114" t="inlineStr">
        <is>
          <t>Fire Protection and Extinguishing</t>
        </is>
      </c>
      <c r="B25" s="114" t="inlineStr">
        <is>
          <t>FPD_FPS</t>
        </is>
      </c>
      <c r="C25" s="109" t="inlineStr">
        <is>
          <t>pdf</t>
        </is>
      </c>
      <c r="D25" s="132" t="inlineStr">
        <is>
          <t>3ECP410469-0001</t>
        </is>
      </c>
      <c r="E25" s="15" t="inlineStr">
        <is>
          <t>B</t>
        </is>
      </c>
      <c r="F25" s="110" t="n"/>
      <c r="G25" s="132" t="inlineStr">
        <is>
          <t>3ECP400500-0007</t>
        </is>
      </c>
      <c r="H25" s="133" t="inlineStr">
        <is>
          <t>_</t>
        </is>
      </c>
      <c r="I25" s="126" t="n"/>
      <c r="J25" s="132" t="inlineStr">
        <is>
          <t>3ECP307083-0001</t>
        </is>
      </c>
      <c r="K25" s="15" t="inlineStr">
        <is>
          <t>_</t>
        </is>
      </c>
      <c r="L25" s="110" t="n"/>
      <c r="M25" s="132" t="inlineStr">
        <is>
          <t>3ECP413651-0007</t>
        </is>
      </c>
      <c r="N25" s="134" t="inlineStr">
        <is>
          <t>A</t>
        </is>
      </c>
      <c r="O25" s="110" t="n"/>
      <c r="P25" s="133" t="inlineStr">
        <is>
          <t>FA010024093</t>
        </is>
      </c>
      <c r="Q25" s="134" t="inlineStr">
        <is>
          <t>02.2</t>
        </is>
      </c>
      <c r="R25" s="109" t="inlineStr">
        <is>
          <t>FA010024093</t>
        </is>
      </c>
      <c r="S25" s="123" t="inlineStr">
        <is>
          <t>02.2</t>
        </is>
      </c>
      <c r="U25" s="110" t="n"/>
      <c r="W25" s="110" t="n"/>
    </row>
    <row r="26" outlineLevel="1" ht="30" customHeight="1" s="594">
      <c r="A26" s="114" t="inlineStr">
        <is>
          <t>Toilet</t>
        </is>
      </c>
      <c r="B26" s="114" t="inlineStr">
        <is>
          <t>FPD_Toilet</t>
        </is>
      </c>
      <c r="C26" s="109" t="inlineStr">
        <is>
          <t>pdf</t>
        </is>
      </c>
      <c r="D26" s="132" t="inlineStr">
        <is>
          <t>3ECP410472-0001</t>
        </is>
      </c>
      <c r="E26" s="15" t="inlineStr">
        <is>
          <t>B</t>
        </is>
      </c>
      <c r="F26" s="110" t="n"/>
      <c r="G26" s="132" t="inlineStr">
        <is>
          <t>3ECP400500-0010</t>
        </is>
      </c>
      <c r="H26" s="15" t="inlineStr">
        <is>
          <t>B</t>
        </is>
      </c>
      <c r="I26" s="126" t="n"/>
      <c r="J26" s="132" t="inlineStr">
        <is>
          <t>3ECP410472-0001</t>
        </is>
      </c>
      <c r="K26" s="15" t="inlineStr">
        <is>
          <t>B</t>
        </is>
      </c>
      <c r="L26" s="110" t="n"/>
      <c r="M26" s="132" t="inlineStr">
        <is>
          <t>3ECP413651-0010</t>
        </is>
      </c>
      <c r="N26" s="15" t="inlineStr">
        <is>
          <t>_</t>
        </is>
      </c>
      <c r="O26" s="110" t="n"/>
      <c r="P26" s="133" t="inlineStr">
        <is>
          <t>FA010024099</t>
        </is>
      </c>
      <c r="Q26" s="134" t="inlineStr">
        <is>
          <t>01.2</t>
        </is>
      </c>
      <c r="R26" s="109" t="inlineStr">
        <is>
          <t>FA010024099</t>
        </is>
      </c>
      <c r="S26" s="123" t="inlineStr">
        <is>
          <t>01.2</t>
        </is>
      </c>
      <c r="U26" s="110" t="n"/>
      <c r="W26" s="110" t="n"/>
    </row>
    <row r="27" outlineLevel="1" ht="30" customHeight="1" s="594">
      <c r="A27" s="114" t="inlineStr">
        <is>
          <t>Catering</t>
        </is>
      </c>
      <c r="B27" s="114" t="inlineStr">
        <is>
          <t>FPD_Catering</t>
        </is>
      </c>
      <c r="C27" s="109" t="inlineStr">
        <is>
          <t>pdf</t>
        </is>
      </c>
      <c r="D27" s="132" t="inlineStr">
        <is>
          <t>3ECP410484-0001</t>
        </is>
      </c>
      <c r="E27" s="15" t="inlineStr">
        <is>
          <t>B</t>
        </is>
      </c>
      <c r="F27" s="110" t="n"/>
      <c r="G27" s="132" t="inlineStr">
        <is>
          <t>3ECP400500-0022</t>
        </is>
      </c>
      <c r="H27" s="133" t="inlineStr">
        <is>
          <t>_</t>
        </is>
      </c>
      <c r="I27" s="126" t="n"/>
      <c r="J27" s="132" t="inlineStr">
        <is>
          <t>3ECP410484-0001</t>
        </is>
      </c>
      <c r="K27" s="15" t="inlineStr">
        <is>
          <t>B</t>
        </is>
      </c>
      <c r="L27" s="110" t="n"/>
      <c r="M27" s="132" t="inlineStr">
        <is>
          <t>3ECP413651-0022</t>
        </is>
      </c>
      <c r="N27" s="15" t="inlineStr">
        <is>
          <t>B</t>
        </is>
      </c>
      <c r="O27" s="110" t="n"/>
      <c r="P27" s="133" t="inlineStr">
        <is>
          <t>FA010024088</t>
        </is>
      </c>
      <c r="Q27" s="134" t="inlineStr">
        <is>
          <t>01.2</t>
        </is>
      </c>
      <c r="R27" s="109" t="inlineStr">
        <is>
          <t>FA010024088</t>
        </is>
      </c>
      <c r="S27" s="123" t="inlineStr">
        <is>
          <t>01.2</t>
        </is>
      </c>
      <c r="U27" s="110" t="n"/>
      <c r="W27" s="110" t="n"/>
    </row>
    <row r="28" outlineLevel="1" ht="30" customHeight="1" s="594">
      <c r="A28" s="114" t="inlineStr">
        <is>
          <t>PIS CCTV</t>
        </is>
      </c>
      <c r="B28" s="114" t="inlineStr">
        <is>
          <t>FPD_PIS CCTV</t>
        </is>
      </c>
      <c r="C28" s="109" t="inlineStr">
        <is>
          <t>pdf</t>
        </is>
      </c>
      <c r="D28" s="132" t="inlineStr">
        <is>
          <t>3ECP410479-0001</t>
        </is>
      </c>
      <c r="E28" s="15" t="inlineStr">
        <is>
          <t>B</t>
        </is>
      </c>
      <c r="F28" s="110" t="n"/>
      <c r="G28" s="132" t="inlineStr">
        <is>
          <t>3ECP400500-0017</t>
        </is>
      </c>
      <c r="H28" s="15" t="inlineStr">
        <is>
          <t>A</t>
        </is>
      </c>
      <c r="I28" s="126" t="n"/>
      <c r="J28" s="132" t="inlineStr">
        <is>
          <t>3ECP410479-0001</t>
        </is>
      </c>
      <c r="K28" s="15" t="inlineStr">
        <is>
          <t>B</t>
        </is>
      </c>
      <c r="L28" s="110" t="n"/>
      <c r="M28" s="132" t="inlineStr">
        <is>
          <t>3ECP413651-0017</t>
        </is>
      </c>
      <c r="N28" s="134" t="inlineStr">
        <is>
          <t>B</t>
        </is>
      </c>
      <c r="O28" s="110" t="n"/>
      <c r="P28" s="133" t="inlineStr">
        <is>
          <t>FA010024097</t>
        </is>
      </c>
      <c r="Q28" s="134" t="inlineStr">
        <is>
          <t>02.2</t>
        </is>
      </c>
      <c r="R28" s="109" t="inlineStr">
        <is>
          <t>FA010024097</t>
        </is>
      </c>
      <c r="S28" s="123" t="inlineStr">
        <is>
          <t>02.2</t>
        </is>
      </c>
      <c r="U28" s="110" t="n"/>
      <c r="W28" s="110" t="n"/>
    </row>
    <row r="29" outlineLevel="1" ht="30" customHeight="1" s="594">
      <c r="A29" s="114" t="inlineStr">
        <is>
          <t>Exterior Lighting</t>
        </is>
      </c>
      <c r="B29" s="114" t="inlineStr">
        <is>
          <t>FPD_Exterior Lighting</t>
        </is>
      </c>
      <c r="C29" s="109" t="inlineStr">
        <is>
          <t>pdf</t>
        </is>
      </c>
      <c r="D29" s="132" t="inlineStr">
        <is>
          <t>3ECP410483-0001</t>
        </is>
      </c>
      <c r="E29" s="15" t="inlineStr">
        <is>
          <t>C</t>
        </is>
      </c>
      <c r="F29" s="110" t="n"/>
      <c r="G29" s="132" t="inlineStr">
        <is>
          <t>3ECP400500-0021</t>
        </is>
      </c>
      <c r="H29" s="15" t="inlineStr">
        <is>
          <t>B</t>
        </is>
      </c>
      <c r="I29" s="126" t="n"/>
      <c r="J29" s="132" t="inlineStr">
        <is>
          <t>3ECP307075-0001</t>
        </is>
      </c>
      <c r="K29" s="15" t="inlineStr">
        <is>
          <t>B</t>
        </is>
      </c>
      <c r="L29" s="110" t="n"/>
      <c r="M29" s="132" t="inlineStr">
        <is>
          <t>3ECP413651-0021</t>
        </is>
      </c>
      <c r="N29" s="15" t="inlineStr">
        <is>
          <t>_</t>
        </is>
      </c>
      <c r="O29" s="110" t="n"/>
      <c r="P29" s="133" t="inlineStr">
        <is>
          <t>FA010024092</t>
        </is>
      </c>
      <c r="Q29" s="134" t="inlineStr">
        <is>
          <t>00.2</t>
        </is>
      </c>
      <c r="R29" s="109" t="inlineStr">
        <is>
          <t>FA010024092</t>
        </is>
      </c>
      <c r="S29" s="123" t="inlineStr">
        <is>
          <t>00.2</t>
        </is>
      </c>
      <c r="U29" s="110" t="n"/>
      <c r="W29" s="110" t="n"/>
    </row>
    <row r="30" outlineLevel="1" ht="30" customHeight="1" s="594">
      <c r="A30" s="114" t="inlineStr">
        <is>
          <t>Interior Lighting</t>
        </is>
      </c>
      <c r="B30" s="114" t="inlineStr">
        <is>
          <t>FPD_Interior Lighting</t>
        </is>
      </c>
      <c r="C30" s="109" t="inlineStr">
        <is>
          <t>pdf</t>
        </is>
      </c>
      <c r="D30" s="132" t="inlineStr">
        <is>
          <t>3ECP410478-0001</t>
        </is>
      </c>
      <c r="E30" s="15" t="inlineStr">
        <is>
          <t>B</t>
        </is>
      </c>
      <c r="F30" s="110" t="n"/>
      <c r="G30" s="132" t="inlineStr">
        <is>
          <t>3ECP400500-0016</t>
        </is>
      </c>
      <c r="H30" s="133" t="inlineStr">
        <is>
          <t>_</t>
        </is>
      </c>
      <c r="I30" s="126" t="n"/>
      <c r="J30" s="132" t="inlineStr">
        <is>
          <t>3ECP410478-0001</t>
        </is>
      </c>
      <c r="K30" s="15" t="inlineStr">
        <is>
          <t>B</t>
        </is>
      </c>
      <c r="L30" s="110" t="n"/>
      <c r="M30" s="132" t="inlineStr">
        <is>
          <t>3ECP413651-0016</t>
        </is>
      </c>
      <c r="N30" s="15" t="inlineStr">
        <is>
          <t>A</t>
        </is>
      </c>
      <c r="O30" s="110" t="n"/>
      <c r="P30" s="133" t="inlineStr">
        <is>
          <t>FA010024095</t>
        </is>
      </c>
      <c r="Q30" s="134" t="inlineStr">
        <is>
          <t>01.2</t>
        </is>
      </c>
      <c r="R30" s="109" t="inlineStr">
        <is>
          <t>FA010024095</t>
        </is>
      </c>
      <c r="S30" s="123" t="inlineStr">
        <is>
          <t>01.2</t>
        </is>
      </c>
      <c r="U30" s="110" t="n"/>
      <c r="W30" s="110" t="n"/>
    </row>
    <row r="31" outlineLevel="1" s="594">
      <c r="A31" s="114" t="inlineStr">
        <is>
          <t>Train Control Design System</t>
        </is>
      </c>
      <c r="B31" s="114" t="inlineStr">
        <is>
          <t>FPD_Train Control</t>
        </is>
      </c>
      <c r="C31" s="109" t="inlineStr">
        <is>
          <t>pdf</t>
        </is>
      </c>
      <c r="D31" s="132" t="inlineStr">
        <is>
          <t>\</t>
        </is>
      </c>
      <c r="E31" s="15" t="inlineStr">
        <is>
          <t>\</t>
        </is>
      </c>
      <c r="F31" s="110" t="n"/>
      <c r="G31" s="132" t="n"/>
      <c r="H31" s="133" t="n"/>
      <c r="I31" s="126" t="n"/>
      <c r="J31" s="154" t="inlineStr">
        <is>
          <t>3ECP307076-0001</t>
        </is>
      </c>
      <c r="K31" s="15" t="inlineStr">
        <is>
          <t>A</t>
        </is>
      </c>
      <c r="L31" s="163" t="inlineStr">
        <is>
          <t>manca</t>
        </is>
      </c>
      <c r="M31" s="132" t="n"/>
      <c r="O31" s="110" t="n"/>
      <c r="P31" s="133" t="n"/>
      <c r="Q31" s="134" t="n"/>
      <c r="R31" s="109" t="n"/>
      <c r="S31" s="123" t="n"/>
      <c r="U31" s="110" t="n"/>
      <c r="W31" s="110" t="n"/>
    </row>
    <row r="32" outlineLevel="1" ht="30" customHeight="1" s="594">
      <c r="A32" s="114" t="inlineStr">
        <is>
          <t>Schematic diagram for French ATP MU</t>
        </is>
      </c>
      <c r="B32" s="114" t="inlineStr">
        <is>
          <t>FPD_ATP-MU</t>
        </is>
      </c>
      <c r="C32" s="109" t="inlineStr">
        <is>
          <t>pdf</t>
        </is>
      </c>
      <c r="D32" s="132" t="n"/>
      <c r="F32" s="110" t="n"/>
      <c r="G32" s="132" t="n"/>
      <c r="H32" s="133" t="n"/>
      <c r="I32" s="126" t="n"/>
      <c r="J32" s="154" t="inlineStr">
        <is>
          <t>90000056.D04</t>
        </is>
      </c>
      <c r="K32" s="15" t="inlineStr">
        <is>
          <t>5.0</t>
        </is>
      </c>
      <c r="L32" s="163" t="inlineStr">
        <is>
          <t>manca</t>
        </is>
      </c>
      <c r="M32" s="132" t="n"/>
      <c r="O32" s="110" t="n"/>
      <c r="P32" s="133" t="n"/>
      <c r="Q32" s="134" t="n"/>
      <c r="R32" s="109" t="n"/>
      <c r="S32" s="123" t="n"/>
      <c r="U32" s="110" t="n"/>
      <c r="W32" s="110" t="n"/>
    </row>
    <row r="33" outlineLevel="1" s="594">
      <c r="A33" s="438" t="inlineStr">
        <is>
          <t>Energy Meter System</t>
        </is>
      </c>
      <c r="B33" s="438" t="inlineStr">
        <is>
          <t>FPD_EMS</t>
        </is>
      </c>
      <c r="C33" s="439" t="inlineStr">
        <is>
          <t>pdf</t>
        </is>
      </c>
      <c r="D33" s="132" t="n"/>
      <c r="F33" s="110" t="n"/>
      <c r="G33" s="132" t="n"/>
      <c r="H33" s="133" t="n"/>
      <c r="I33" s="126" t="n"/>
      <c r="J33" s="109" t="inlineStr">
        <is>
          <t>FA010031914</t>
        </is>
      </c>
      <c r="K33" s="15" t="inlineStr">
        <is>
          <t>00.1</t>
        </is>
      </c>
      <c r="L33" s="110" t="n"/>
      <c r="M33" s="132" t="n"/>
      <c r="O33" s="110" t="n"/>
      <c r="P33" s="133" t="n"/>
      <c r="Q33" s="134" t="n"/>
      <c r="R33" s="109" t="n"/>
      <c r="S33" s="123" t="n"/>
      <c r="U33" s="110" t="n"/>
      <c r="W33" s="110" t="n"/>
    </row>
    <row r="34" ht="30" customHeight="1" s="594">
      <c r="A34" s="445" t="inlineStr">
        <is>
          <t>Functional Requirement Specification (FRS)</t>
        </is>
      </c>
      <c r="B34" s="445" t="n"/>
      <c r="C34" s="199" t="n"/>
      <c r="D34" s="117" t="n"/>
      <c r="E34" s="446" t="n"/>
      <c r="F34" s="118" t="n"/>
      <c r="G34" s="117" t="n"/>
      <c r="H34" s="446" t="n"/>
      <c r="I34" s="118" t="n"/>
      <c r="J34" s="117" t="n"/>
      <c r="K34" s="446" t="n"/>
      <c r="L34" s="118" t="n"/>
      <c r="M34" s="117" t="n"/>
      <c r="N34" s="446" t="n"/>
      <c r="O34" s="118" t="n"/>
      <c r="P34" s="446" t="n"/>
      <c r="Q34" s="446" t="n"/>
      <c r="R34" s="117" t="n"/>
      <c r="S34" s="118" t="n"/>
      <c r="T34" s="446" t="n"/>
      <c r="U34" s="118" t="n"/>
      <c r="V34" s="446" t="n"/>
      <c r="W34" s="118" t="n"/>
    </row>
    <row r="35" outlineLevel="1" ht="30" customHeight="1" s="594">
      <c r="A35" s="114" t="inlineStr">
        <is>
          <t>Functional Vehicle Requirement Specification</t>
        </is>
      </c>
      <c r="B35" s="114" t="inlineStr">
        <is>
          <t>FRS_Vehicle</t>
        </is>
      </c>
      <c r="C35" s="109" t="inlineStr">
        <is>
          <t>pdf</t>
        </is>
      </c>
      <c r="D35" s="109" t="inlineStr">
        <is>
          <t>3EST000224-9984</t>
        </is>
      </c>
      <c r="E35" s="15" t="inlineStr">
        <is>
          <t>C</t>
        </is>
      </c>
      <c r="F35" s="110" t="inlineStr">
        <is>
          <t>3EST000224-9984</t>
        </is>
      </c>
      <c r="G35" s="109" t="n"/>
      <c r="I35" s="110" t="n"/>
      <c r="J35" s="109" t="n"/>
      <c r="L35" s="110" t="n"/>
      <c r="M35" s="132" t="inlineStr">
        <is>
          <t>3ECP413839-0001</t>
        </is>
      </c>
      <c r="N35" s="133" t="inlineStr">
        <is>
          <t>B</t>
        </is>
      </c>
      <c r="O35" s="126" t="inlineStr">
        <is>
          <t>3ECP413839-0001</t>
        </is>
      </c>
      <c r="P35" s="133" t="inlineStr">
        <is>
          <t>\</t>
        </is>
      </c>
      <c r="Q35" s="135" t="inlineStr">
        <is>
          <t>\</t>
        </is>
      </c>
      <c r="R35" s="109" t="n"/>
      <c r="S35" s="165" t="inlineStr">
        <is>
          <t>\</t>
        </is>
      </c>
      <c r="U35" s="110" t="n"/>
      <c r="W35" s="110" t="n"/>
    </row>
    <row r="36" outlineLevel="1" ht="60" customHeight="1" s="594">
      <c r="A36" s="114" t="inlineStr">
        <is>
          <t>Drive Control</t>
        </is>
      </c>
      <c r="B36" s="114" t="inlineStr">
        <is>
          <t>FRS_Drive Control</t>
        </is>
      </c>
      <c r="C36" s="109" t="inlineStr">
        <is>
          <t>pdf</t>
        </is>
      </c>
      <c r="D36" s="132" t="inlineStr">
        <is>
          <t>3EST000225-7909</t>
        </is>
      </c>
      <c r="E36" s="15" t="inlineStr">
        <is>
          <t>A</t>
        </is>
      </c>
      <c r="F36" s="126" t="inlineStr">
        <is>
          <t>3EST000225-7909</t>
        </is>
      </c>
      <c r="G36" s="132" t="inlineStr">
        <is>
          <t>3EST000225-7909</t>
        </is>
      </c>
      <c r="H36" s="15" t="inlineStr">
        <is>
          <t>A</t>
        </is>
      </c>
      <c r="I36" s="126" t="n"/>
      <c r="J36" s="132" t="inlineStr">
        <is>
          <t>3ECP413571-0501</t>
        </is>
      </c>
      <c r="K36" s="15" t="inlineStr">
        <is>
          <t>_</t>
        </is>
      </c>
      <c r="L36" s="110" t="n"/>
      <c r="M36" s="132" t="inlineStr">
        <is>
          <t>3EST000225-7909</t>
        </is>
      </c>
      <c r="N36" s="133" t="inlineStr">
        <is>
          <t>A</t>
        </is>
      </c>
      <c r="O36" s="126" t="inlineStr">
        <is>
          <t>3EST000225-7909</t>
        </is>
      </c>
      <c r="P36" s="133" t="inlineStr">
        <is>
          <t>FA020022675</t>
        </is>
      </c>
      <c r="Q36" s="145" t="inlineStr">
        <is>
          <t>03.2
4.0?</t>
        </is>
      </c>
      <c r="R36" s="132" t="inlineStr">
        <is>
          <t>FA020022675</t>
        </is>
      </c>
      <c r="S36" s="166" t="inlineStr">
        <is>
          <t>03.2
4.0?</t>
        </is>
      </c>
      <c r="U36" s="110" t="n"/>
      <c r="W36" s="110" t="n"/>
    </row>
    <row r="37" outlineLevel="1" ht="30" customHeight="1" s="594">
      <c r="A37" s="114" t="inlineStr">
        <is>
          <t>Conventional Train Control</t>
        </is>
      </c>
      <c r="B37" s="114" t="inlineStr">
        <is>
          <t>FRS_Conventional Train Control</t>
        </is>
      </c>
      <c r="C37" s="109" t="inlineStr">
        <is>
          <t>pdf</t>
        </is>
      </c>
      <c r="D37" s="132" t="inlineStr">
        <is>
          <t>3EST000225-7916</t>
        </is>
      </c>
      <c r="E37" s="15" t="inlineStr">
        <is>
          <t>A</t>
        </is>
      </c>
      <c r="F37" s="126" t="inlineStr">
        <is>
          <t>3EST000225-7916</t>
        </is>
      </c>
      <c r="G37" s="154" t="inlineStr">
        <is>
          <t>3ECP413719-0903</t>
        </is>
      </c>
      <c r="H37" s="15" t="inlineStr">
        <is>
          <t>_</t>
        </is>
      </c>
      <c r="I37" s="163" t="inlineStr">
        <is>
          <t>manca</t>
        </is>
      </c>
      <c r="J37" s="132" t="inlineStr">
        <is>
          <t>FA02P021958B</t>
        </is>
      </c>
      <c r="K37" s="133" t="inlineStr">
        <is>
          <t>2.0</t>
        </is>
      </c>
      <c r="L37" s="110" t="inlineStr">
        <is>
          <t>3ECP413719-0903</t>
        </is>
      </c>
      <c r="M37" s="132" t="inlineStr">
        <is>
          <t>3ECP413922-0903</t>
        </is>
      </c>
      <c r="N37" s="133" t="inlineStr">
        <is>
          <t>_</t>
        </is>
      </c>
      <c r="O37" s="133" t="inlineStr">
        <is>
          <t>3ECP413922-0903</t>
        </is>
      </c>
      <c r="P37" s="133" t="inlineStr">
        <is>
          <t>FA020023107</t>
        </is>
      </c>
      <c r="Q37" s="146" t="inlineStr">
        <is>
          <t>06.3</t>
        </is>
      </c>
      <c r="R37" s="109" t="inlineStr">
        <is>
          <t>FA020023107</t>
        </is>
      </c>
      <c r="S37" s="167" t="inlineStr">
        <is>
          <t>06.3</t>
        </is>
      </c>
      <c r="U37" s="110" t="n"/>
      <c r="W37" s="110" t="n"/>
    </row>
    <row r="38" outlineLevel="1" ht="30" customHeight="1" s="594">
      <c r="A38" s="114" t="inlineStr">
        <is>
          <t>Train Protection - ATP</t>
        </is>
      </c>
      <c r="B38" s="114" t="inlineStr">
        <is>
          <t>FRS_Train Protection - ATP</t>
        </is>
      </c>
      <c r="C38" s="109" t="inlineStr">
        <is>
          <t>pdf</t>
        </is>
      </c>
      <c r="D38" s="132" t="inlineStr">
        <is>
          <t>FA020013231</t>
        </is>
      </c>
      <c r="E38" s="135" t="inlineStr">
        <is>
          <t>01</t>
        </is>
      </c>
      <c r="F38" s="126" t="inlineStr">
        <is>
          <t>3EST000225-7889
EC01P008999B</t>
        </is>
      </c>
      <c r="G38" s="132" t="inlineStr">
        <is>
          <t>FA020013231</t>
        </is>
      </c>
      <c r="H38" s="135" t="inlineStr">
        <is>
          <t>01</t>
        </is>
      </c>
      <c r="I38" s="123" t="inlineStr">
        <is>
          <t>3ECP414246-0902</t>
        </is>
      </c>
      <c r="J38" s="132" t="inlineStr">
        <is>
          <t>FA020013231</t>
        </is>
      </c>
      <c r="K38" s="135" t="inlineStr">
        <is>
          <t>01</t>
        </is>
      </c>
      <c r="L38" s="126" t="inlineStr">
        <is>
          <t>3EST000225-7889
EC01P008999B</t>
        </is>
      </c>
      <c r="M38" s="109" t="inlineStr">
        <is>
          <t>FA020007630</t>
        </is>
      </c>
      <c r="N38" s="135" t="inlineStr">
        <is>
          <t>04</t>
        </is>
      </c>
      <c r="O38" s="123" t="inlineStr">
        <is>
          <t>3ECP413922-0902</t>
        </is>
      </c>
      <c r="P38" s="133" t="inlineStr">
        <is>
          <t>FA020025863</t>
        </is>
      </c>
      <c r="Q38" s="15" t="inlineStr">
        <is>
          <t>01.3</t>
        </is>
      </c>
      <c r="R38" s="109" t="inlineStr">
        <is>
          <t>FA020025863</t>
        </is>
      </c>
      <c r="S38" s="110" t="inlineStr">
        <is>
          <t>01.3</t>
        </is>
      </c>
      <c r="U38" s="110" t="n"/>
      <c r="W38" s="110" t="n"/>
    </row>
    <row r="39" outlineLevel="1" ht="30" customHeight="1" s="594">
      <c r="A39" s="114" t="inlineStr">
        <is>
          <t>Diagnostics</t>
        </is>
      </c>
      <c r="B39" s="114" t="inlineStr">
        <is>
          <t>FRS_Diagnostics</t>
        </is>
      </c>
      <c r="C39" s="109" t="inlineStr">
        <is>
          <t>pdf</t>
        </is>
      </c>
      <c r="D39" s="132" t="inlineStr">
        <is>
          <t>3EST000225-7918</t>
        </is>
      </c>
      <c r="E39" s="15" t="inlineStr">
        <is>
          <t>B</t>
        </is>
      </c>
      <c r="F39" s="126" t="inlineStr">
        <is>
          <t>3EST000225-7918</t>
        </is>
      </c>
      <c r="G39" s="132" t="inlineStr">
        <is>
          <t>3EST000225-7918</t>
        </is>
      </c>
      <c r="H39" s="15" t="inlineStr">
        <is>
          <t>B</t>
        </is>
      </c>
      <c r="I39" s="126" t="inlineStr">
        <is>
          <t>3EST000225-7918</t>
        </is>
      </c>
      <c r="J39" s="132" t="inlineStr">
        <is>
          <t>3EST000225-7918</t>
        </is>
      </c>
      <c r="K39" s="15" t="inlineStr">
        <is>
          <t>B</t>
        </is>
      </c>
      <c r="L39" s="126" t="inlineStr">
        <is>
          <t>3EST000225-7918</t>
        </is>
      </c>
      <c r="M39" s="132" t="inlineStr">
        <is>
          <t>3ECP413922-1001</t>
        </is>
      </c>
      <c r="N39" s="133" t="inlineStr">
        <is>
          <t>_</t>
        </is>
      </c>
      <c r="O39" s="126" t="inlineStr">
        <is>
          <t>3ECP413922-1001</t>
        </is>
      </c>
      <c r="P39" s="133" t="inlineStr">
        <is>
          <t>FA020023413</t>
        </is>
      </c>
      <c r="Q39" s="146" t="inlineStr">
        <is>
          <t>01.2</t>
        </is>
      </c>
      <c r="R39" s="109" t="inlineStr">
        <is>
          <t>FA020023413</t>
        </is>
      </c>
      <c r="S39" s="167" t="inlineStr">
        <is>
          <t>01.2</t>
        </is>
      </c>
      <c r="U39" s="110" t="n"/>
      <c r="W39" s="110" t="n"/>
    </row>
    <row r="40" outlineLevel="1" ht="30" customHeight="1" s="594">
      <c r="A40" s="114" t="inlineStr">
        <is>
          <t>Visualisation - MMI</t>
        </is>
      </c>
      <c r="B40" s="114" t="inlineStr">
        <is>
          <t>FRS_Visualisation - MMI</t>
        </is>
      </c>
      <c r="C40" s="109" t="inlineStr">
        <is>
          <t>pdf</t>
        </is>
      </c>
      <c r="D40" s="132" t="inlineStr">
        <is>
          <t>3EST000225-7919</t>
        </is>
      </c>
      <c r="E40" s="15" t="inlineStr">
        <is>
          <t>B</t>
        </is>
      </c>
      <c r="F40" s="126" t="inlineStr">
        <is>
          <t>3EST000225-7919</t>
        </is>
      </c>
      <c r="G40" s="132" t="inlineStr">
        <is>
          <t>3EST000225-7919</t>
        </is>
      </c>
      <c r="H40" s="15" t="inlineStr">
        <is>
          <t>B</t>
        </is>
      </c>
      <c r="I40" s="126" t="inlineStr">
        <is>
          <t>3EST000225-7919</t>
        </is>
      </c>
      <c r="J40" s="132" t="inlineStr">
        <is>
          <t>3EST000225-7919</t>
        </is>
      </c>
      <c r="K40" s="15" t="inlineStr">
        <is>
          <t>B</t>
        </is>
      </c>
      <c r="L40" s="126" t="inlineStr">
        <is>
          <t>3EST000225-7919</t>
        </is>
      </c>
      <c r="M40" s="132" t="inlineStr">
        <is>
          <t>3ECP413922-1003</t>
        </is>
      </c>
      <c r="N40" s="133" t="inlineStr">
        <is>
          <t>_</t>
        </is>
      </c>
      <c r="O40" s="126" t="inlineStr">
        <is>
          <t>3ECP413922-1003</t>
        </is>
      </c>
      <c r="P40" s="133" t="inlineStr">
        <is>
          <t>FA020027681</t>
        </is>
      </c>
      <c r="Q40" s="146" t="inlineStr">
        <is>
          <t>03.2</t>
        </is>
      </c>
      <c r="R40" s="109" t="inlineStr">
        <is>
          <t>FA020027681</t>
        </is>
      </c>
      <c r="S40" s="167" t="inlineStr">
        <is>
          <t>03.2</t>
        </is>
      </c>
      <c r="U40" s="110" t="n"/>
      <c r="W40" s="110" t="n"/>
    </row>
    <row r="41" outlineLevel="1" ht="30" customHeight="1" s="594">
      <c r="A41" s="114" t="inlineStr">
        <is>
          <t>TCMS - Operational</t>
        </is>
      </c>
      <c r="B41" s="114" t="inlineStr">
        <is>
          <t>FRS_TCMS - Operational</t>
        </is>
      </c>
      <c r="C41" s="109" t="inlineStr">
        <is>
          <t>pdf</t>
        </is>
      </c>
      <c r="D41" s="132" t="inlineStr">
        <is>
          <t>3EST000225-7917</t>
        </is>
      </c>
      <c r="E41" s="15" t="inlineStr">
        <is>
          <t>B</t>
        </is>
      </c>
      <c r="F41" s="126" t="inlineStr">
        <is>
          <t>3EST000225-7917</t>
        </is>
      </c>
      <c r="G41" s="132" t="inlineStr">
        <is>
          <t>3EST000225-7917</t>
        </is>
      </c>
      <c r="H41" s="15" t="inlineStr">
        <is>
          <t>B</t>
        </is>
      </c>
      <c r="I41" s="126" t="inlineStr">
        <is>
          <t>3EST000225-7917</t>
        </is>
      </c>
      <c r="J41" s="132" t="inlineStr">
        <is>
          <t>3EST000225-7917</t>
        </is>
      </c>
      <c r="K41" s="15" t="inlineStr">
        <is>
          <t>B</t>
        </is>
      </c>
      <c r="L41" s="126" t="inlineStr">
        <is>
          <t>3EST000225-7917</t>
        </is>
      </c>
      <c r="M41" s="132" t="inlineStr">
        <is>
          <t>3ECP413922-0904</t>
        </is>
      </c>
      <c r="N41" s="133" t="inlineStr">
        <is>
          <t>_</t>
        </is>
      </c>
      <c r="O41" s="126" t="inlineStr">
        <is>
          <t>3ECP413922-0904</t>
        </is>
      </c>
      <c r="P41" s="133" t="inlineStr">
        <is>
          <t>FA020026278</t>
        </is>
      </c>
      <c r="Q41" s="146" t="inlineStr">
        <is>
          <t>02.2</t>
        </is>
      </c>
      <c r="R41" s="109" t="inlineStr">
        <is>
          <t>FA020026278</t>
        </is>
      </c>
      <c r="S41" s="167" t="inlineStr">
        <is>
          <t>02.2</t>
        </is>
      </c>
      <c r="U41" s="110" t="n"/>
      <c r="W41" s="110" t="n"/>
    </row>
    <row r="42" outlineLevel="1" ht="30" customHeight="1" s="594">
      <c r="A42" s="114" t="inlineStr">
        <is>
          <t>Train to Wayside Communication (Teledia)</t>
        </is>
      </c>
      <c r="B42" s="114" t="inlineStr">
        <is>
          <t>FRS_Teledia</t>
        </is>
      </c>
      <c r="C42" s="109" t="inlineStr">
        <is>
          <t>pdf</t>
        </is>
      </c>
      <c r="D42" s="132" t="inlineStr">
        <is>
          <t>3ECP413176-0001</t>
        </is>
      </c>
      <c r="E42" s="15" t="inlineStr">
        <is>
          <t>_</t>
        </is>
      </c>
      <c r="F42" s="126" t="inlineStr">
        <is>
          <t>3ECP413176-0001</t>
        </is>
      </c>
      <c r="G42" s="132" t="inlineStr">
        <is>
          <t>3ECP413719-1200</t>
        </is>
      </c>
      <c r="H42" s="133" t="inlineStr">
        <is>
          <t>_</t>
        </is>
      </c>
      <c r="I42" s="126" t="inlineStr">
        <is>
          <t>3ECP413719-1200</t>
        </is>
      </c>
      <c r="J42" s="132" t="inlineStr">
        <is>
          <t>3ECP413176-0001</t>
        </is>
      </c>
      <c r="K42" s="15" t="inlineStr">
        <is>
          <t>_</t>
        </is>
      </c>
      <c r="L42" s="126" t="inlineStr">
        <is>
          <t>3ECP413176-0001</t>
        </is>
      </c>
      <c r="M42" s="132" t="inlineStr">
        <is>
          <t>3ECP413719-1200</t>
        </is>
      </c>
      <c r="N42" s="133" t="inlineStr">
        <is>
          <t>_</t>
        </is>
      </c>
      <c r="O42" s="126" t="inlineStr">
        <is>
          <t>3ECP413719-1200</t>
        </is>
      </c>
      <c r="P42" s="133" t="inlineStr">
        <is>
          <t>\</t>
        </is>
      </c>
      <c r="Q42" s="15" t="inlineStr">
        <is>
          <t>\</t>
        </is>
      </c>
      <c r="R42" s="109" t="inlineStr">
        <is>
          <t>\</t>
        </is>
      </c>
      <c r="S42" s="110" t="inlineStr">
        <is>
          <t>\</t>
        </is>
      </c>
      <c r="U42" s="110" t="n"/>
      <c r="W42" s="110" t="n"/>
    </row>
    <row r="43" outlineLevel="1" ht="30" customHeight="1" s="594">
      <c r="A43" s="114" t="inlineStr">
        <is>
          <t>Line Voltage</t>
        </is>
      </c>
      <c r="B43" s="453" t="inlineStr">
        <is>
          <t>FRS_Line Voltage</t>
        </is>
      </c>
      <c r="C43" s="109" t="inlineStr">
        <is>
          <t>pdf</t>
        </is>
      </c>
      <c r="D43" s="132" t="inlineStr">
        <is>
          <t>3EST000225-7907</t>
        </is>
      </c>
      <c r="E43" s="15" t="inlineStr">
        <is>
          <t>C</t>
        </is>
      </c>
      <c r="F43" s="126" t="inlineStr">
        <is>
          <t>3EST000225-7907</t>
        </is>
      </c>
      <c r="G43" s="309" t="inlineStr">
        <is>
          <t>3ECP413719-0401</t>
        </is>
      </c>
      <c r="H43" s="133" t="inlineStr">
        <is>
          <t>_</t>
        </is>
      </c>
      <c r="I43" s="163" t="inlineStr">
        <is>
          <t>manca</t>
        </is>
      </c>
      <c r="J43" s="132" t="inlineStr">
        <is>
          <t>3ECP413571-0401</t>
        </is>
      </c>
      <c r="K43" s="133" t="inlineStr">
        <is>
          <t>A</t>
        </is>
      </c>
      <c r="L43" s="110" t="n"/>
      <c r="M43" s="132" t="inlineStr">
        <is>
          <t>3EGH489028-2358</t>
        </is>
      </c>
      <c r="N43" s="133" t="inlineStr">
        <is>
          <t>B</t>
        </is>
      </c>
      <c r="O43" s="126" t="inlineStr">
        <is>
          <t>3EGH489028-2358</t>
        </is>
      </c>
      <c r="P43" s="133" t="inlineStr">
        <is>
          <t>FA020022045</t>
        </is>
      </c>
      <c r="Q43" s="146" t="inlineStr">
        <is>
          <t>06.2</t>
        </is>
      </c>
      <c r="R43" s="109" t="inlineStr">
        <is>
          <t>FA020022045</t>
        </is>
      </c>
      <c r="S43" s="167" t="inlineStr">
        <is>
          <t>06.2</t>
        </is>
      </c>
      <c r="U43" s="110" t="n"/>
      <c r="W43" s="110" t="n"/>
    </row>
    <row r="44" outlineLevel="1" ht="30" customHeight="1" s="594">
      <c r="A44" s="114" t="inlineStr">
        <is>
          <t>Aux Electrical Supply</t>
        </is>
      </c>
      <c r="B44" s="453" t="inlineStr">
        <is>
          <t>FRS_Aux Electrical Supply</t>
        </is>
      </c>
      <c r="C44" s="109" t="inlineStr">
        <is>
          <t>pdf</t>
        </is>
      </c>
      <c r="D44" s="132" t="inlineStr">
        <is>
          <t>3EST000225-7914</t>
        </is>
      </c>
      <c r="E44" s="15" t="inlineStr">
        <is>
          <t>B</t>
        </is>
      </c>
      <c r="F44" s="126" t="inlineStr">
        <is>
          <t>3EST000225-7914</t>
        </is>
      </c>
      <c r="G44" s="132" t="inlineStr">
        <is>
          <t>3EST000225-7914</t>
        </is>
      </c>
      <c r="H44" s="15" t="inlineStr">
        <is>
          <t>B</t>
        </is>
      </c>
      <c r="I44" s="126" t="inlineStr">
        <is>
          <t>3EST000225-7914</t>
        </is>
      </c>
      <c r="J44" s="132" t="inlineStr">
        <is>
          <t>3ECP413571-0601</t>
        </is>
      </c>
      <c r="K44" s="15" t="inlineStr">
        <is>
          <t>_</t>
        </is>
      </c>
      <c r="L44" s="110" t="n"/>
      <c r="M44" s="132" t="inlineStr">
        <is>
          <t>3EST000225-7914</t>
        </is>
      </c>
      <c r="N44" s="133" t="inlineStr">
        <is>
          <t>B</t>
        </is>
      </c>
      <c r="O44" s="126" t="inlineStr">
        <is>
          <t>3EST000225-7914</t>
        </is>
      </c>
      <c r="P44" s="133" t="inlineStr">
        <is>
          <t>FA020024537</t>
        </is>
      </c>
      <c r="Q44" s="146" t="inlineStr">
        <is>
          <t>03.2</t>
        </is>
      </c>
      <c r="R44" s="109" t="inlineStr">
        <is>
          <t>FA020024537</t>
        </is>
      </c>
      <c r="S44" s="167" t="inlineStr">
        <is>
          <t>03.2</t>
        </is>
      </c>
      <c r="U44" s="110" t="n"/>
      <c r="W44" s="110" t="n"/>
    </row>
    <row r="45" outlineLevel="1" ht="30" customHeight="1" s="594">
      <c r="A45" s="114" t="inlineStr">
        <is>
          <t>Battery</t>
        </is>
      </c>
      <c r="B45" s="453" t="inlineStr">
        <is>
          <t>FRS_Battery</t>
        </is>
      </c>
      <c r="C45" s="109" t="inlineStr">
        <is>
          <t>pdf</t>
        </is>
      </c>
      <c r="D45" s="132" t="inlineStr">
        <is>
          <t>3EST000225-7908</t>
        </is>
      </c>
      <c r="E45" s="15" t="inlineStr">
        <is>
          <t>B</t>
        </is>
      </c>
      <c r="F45" s="126" t="inlineStr">
        <is>
          <t>3EST000225-7908</t>
        </is>
      </c>
      <c r="G45" s="132" t="inlineStr">
        <is>
          <t>3EST000225-7908</t>
        </is>
      </c>
      <c r="H45" s="15" t="inlineStr">
        <is>
          <t>B</t>
        </is>
      </c>
      <c r="I45" s="126" t="inlineStr">
        <is>
          <t>3EST000225-7908</t>
        </is>
      </c>
      <c r="J45" s="132" t="inlineStr">
        <is>
          <t>3EST000225-7908</t>
        </is>
      </c>
      <c r="K45" s="15" t="inlineStr">
        <is>
          <t>B</t>
        </is>
      </c>
      <c r="L45" s="126" t="inlineStr">
        <is>
          <t>3EST000225-7908</t>
        </is>
      </c>
      <c r="M45" s="132" t="inlineStr">
        <is>
          <t>3EST000225-7908</t>
        </is>
      </c>
      <c r="N45" s="133" t="inlineStr">
        <is>
          <t>B</t>
        </is>
      </c>
      <c r="O45" s="126" t="inlineStr">
        <is>
          <t>3EST000225-7908</t>
        </is>
      </c>
      <c r="P45" s="133" t="inlineStr">
        <is>
          <t>FA020024538</t>
        </is>
      </c>
      <c r="Q45" s="146" t="inlineStr">
        <is>
          <t>03.2</t>
        </is>
      </c>
      <c r="R45" s="109" t="inlineStr">
        <is>
          <t>FA020024538</t>
        </is>
      </c>
      <c r="S45" s="167" t="inlineStr">
        <is>
          <t>03.2</t>
        </is>
      </c>
      <c r="U45" s="110" t="n"/>
      <c r="W45" s="110" t="n"/>
    </row>
    <row r="46" outlineLevel="1" ht="30" customHeight="1" s="594">
      <c r="A46" s="114" t="inlineStr">
        <is>
          <t>Air Supply</t>
        </is>
      </c>
      <c r="B46" s="453" t="inlineStr">
        <is>
          <t>FRS_Air Supply</t>
        </is>
      </c>
      <c r="C46" s="109" t="inlineStr">
        <is>
          <t>pdf</t>
        </is>
      </c>
      <c r="D46" s="132" t="inlineStr">
        <is>
          <t>3EST000225-7915</t>
        </is>
      </c>
      <c r="E46" s="15" t="inlineStr">
        <is>
          <t>D</t>
        </is>
      </c>
      <c r="F46" s="126" t="inlineStr">
        <is>
          <t>3EST000225-7915</t>
        </is>
      </c>
      <c r="G46" s="132" t="inlineStr">
        <is>
          <t>3ECP413719-0603</t>
        </is>
      </c>
      <c r="H46" s="133" t="inlineStr">
        <is>
          <t>_</t>
        </is>
      </c>
      <c r="I46" s="126" t="inlineStr">
        <is>
          <t>3ECP413719-0603</t>
        </is>
      </c>
      <c r="J46" s="132" t="inlineStr">
        <is>
          <t>3EST000225-7915</t>
        </is>
      </c>
      <c r="K46" s="15" t="inlineStr">
        <is>
          <t>D</t>
        </is>
      </c>
      <c r="L46" s="126" t="inlineStr">
        <is>
          <t>3EST000225-7915</t>
        </is>
      </c>
      <c r="M46" s="132" t="inlineStr">
        <is>
          <t>3ECP413719-0603</t>
        </is>
      </c>
      <c r="N46" s="133" t="inlineStr">
        <is>
          <t>_</t>
        </is>
      </c>
      <c r="O46" s="126" t="inlineStr">
        <is>
          <t>3ECP413719-0603</t>
        </is>
      </c>
      <c r="P46" s="133" t="inlineStr">
        <is>
          <t>FA020024531</t>
        </is>
      </c>
      <c r="Q46" s="146" t="inlineStr">
        <is>
          <t>01.3</t>
        </is>
      </c>
      <c r="R46" s="109" t="inlineStr">
        <is>
          <t>FA020024531</t>
        </is>
      </c>
      <c r="S46" s="167" t="inlineStr">
        <is>
          <t>01.3</t>
        </is>
      </c>
      <c r="U46" s="110" t="n"/>
      <c r="W46" s="110" t="n"/>
    </row>
    <row r="47" outlineLevel="1" ht="30" customHeight="1" s="594">
      <c r="A47" s="114" t="inlineStr">
        <is>
          <t>Brake Control</t>
        </is>
      </c>
      <c r="B47" s="453" t="inlineStr">
        <is>
          <t>FRS_Brake Control</t>
        </is>
      </c>
      <c r="C47" s="109" t="inlineStr">
        <is>
          <t>pdf</t>
        </is>
      </c>
      <c r="D47" s="132" t="inlineStr">
        <is>
          <t>3EST000225-7910</t>
        </is>
      </c>
      <c r="E47" s="134" t="inlineStr">
        <is>
          <t>L</t>
        </is>
      </c>
      <c r="F47" s="126" t="inlineStr">
        <is>
          <t>3EST000225-7910</t>
        </is>
      </c>
      <c r="G47" s="154" t="inlineStr">
        <is>
          <t>3ECP413719-0502</t>
        </is>
      </c>
      <c r="H47" s="15" t="inlineStr">
        <is>
          <t>A</t>
        </is>
      </c>
      <c r="I47" s="163" t="inlineStr">
        <is>
          <t>manca</t>
        </is>
      </c>
      <c r="J47" s="132" t="inlineStr">
        <is>
          <t>3ECP413571-0502</t>
        </is>
      </c>
      <c r="K47" s="134" t="inlineStr">
        <is>
          <t>C</t>
        </is>
      </c>
      <c r="L47" s="110" t="n"/>
      <c r="M47" s="109" t="inlineStr">
        <is>
          <t>3ECP413922-0502</t>
        </is>
      </c>
      <c r="N47" s="133" t="inlineStr">
        <is>
          <t>A</t>
        </is>
      </c>
      <c r="O47" s="110" t="inlineStr">
        <is>
          <t>3ECP413922-0502</t>
        </is>
      </c>
      <c r="P47" s="133" t="inlineStr">
        <is>
          <t>FA020023100</t>
        </is>
      </c>
      <c r="Q47" s="146" t="inlineStr">
        <is>
          <t>02.3</t>
        </is>
      </c>
      <c r="R47" s="109" t="inlineStr">
        <is>
          <t>FA020023100</t>
        </is>
      </c>
      <c r="S47" s="167" t="inlineStr">
        <is>
          <t>02.3</t>
        </is>
      </c>
      <c r="U47" s="110" t="n"/>
      <c r="W47" s="110" t="n"/>
    </row>
    <row r="48" outlineLevel="1" ht="30" customHeight="1" s="594">
      <c r="A48" s="114" t="inlineStr">
        <is>
          <t>Bogies</t>
        </is>
      </c>
      <c r="B48" s="453" t="inlineStr">
        <is>
          <t>FRS_Bogies</t>
        </is>
      </c>
      <c r="C48" s="109" t="inlineStr">
        <is>
          <t>pdf</t>
        </is>
      </c>
      <c r="D48" s="132" t="inlineStr">
        <is>
          <t>3EST000225-7906</t>
        </is>
      </c>
      <c r="E48" s="134" t="inlineStr">
        <is>
          <t>D</t>
        </is>
      </c>
      <c r="F48" s="126" t="inlineStr">
        <is>
          <t>3EST000225-7906</t>
        </is>
      </c>
      <c r="G48" s="132" t="inlineStr">
        <is>
          <t>3ECP413719-0300</t>
        </is>
      </c>
      <c r="H48" s="133" t="inlineStr">
        <is>
          <t>_</t>
        </is>
      </c>
      <c r="I48" s="126" t="inlineStr">
        <is>
          <t>3ECP413719-0300</t>
        </is>
      </c>
      <c r="J48" s="309" t="inlineStr">
        <is>
          <t>3ECP413571-0300</t>
        </is>
      </c>
      <c r="K48" s="173" t="inlineStr">
        <is>
          <t>A</t>
        </is>
      </c>
      <c r="L48" s="163" t="inlineStr">
        <is>
          <t>manca</t>
        </is>
      </c>
      <c r="M48" s="132" t="inlineStr">
        <is>
          <t>3ECP413719-0300</t>
        </is>
      </c>
      <c r="N48" s="133" t="inlineStr">
        <is>
          <t>_</t>
        </is>
      </c>
      <c r="O48" s="126" t="inlineStr">
        <is>
          <t>3ECP413719-0300</t>
        </is>
      </c>
      <c r="P48" s="133" t="inlineStr">
        <is>
          <t>FA020030729</t>
        </is>
      </c>
      <c r="Q48" s="146" t="inlineStr">
        <is>
          <t>04.3</t>
        </is>
      </c>
      <c r="R48" s="109" t="inlineStr">
        <is>
          <t>FA020030729</t>
        </is>
      </c>
      <c r="S48" s="167" t="inlineStr">
        <is>
          <t>04.3</t>
        </is>
      </c>
      <c r="U48" s="110" t="n"/>
      <c r="W48" s="110" t="n"/>
    </row>
    <row r="49" outlineLevel="1" ht="30" customHeight="1" s="594">
      <c r="A49" s="114" t="inlineStr">
        <is>
          <t>Wash Wiper</t>
        </is>
      </c>
      <c r="B49" s="114" t="inlineStr">
        <is>
          <t>FRS_Wash Wiper</t>
        </is>
      </c>
      <c r="C49" s="109" t="inlineStr">
        <is>
          <t>pdf</t>
        </is>
      </c>
      <c r="D49" s="132" t="inlineStr">
        <is>
          <t>3EST000225-7900</t>
        </is>
      </c>
      <c r="E49" s="15" t="inlineStr">
        <is>
          <t>A</t>
        </is>
      </c>
      <c r="F49" s="126" t="inlineStr">
        <is>
          <t>3EST000225-7900</t>
        </is>
      </c>
      <c r="G49" s="132" t="inlineStr">
        <is>
          <t>3EST000225-7900</t>
        </is>
      </c>
      <c r="H49" s="15" t="inlineStr">
        <is>
          <t>A</t>
        </is>
      </c>
      <c r="I49" s="126" t="inlineStr">
        <is>
          <t>3EST000225-7900</t>
        </is>
      </c>
      <c r="J49" s="132" t="inlineStr">
        <is>
          <t>3EST000225-7900</t>
        </is>
      </c>
      <c r="K49" s="15" t="inlineStr">
        <is>
          <t>A</t>
        </is>
      </c>
      <c r="L49" s="126" t="inlineStr">
        <is>
          <t>3EST000225-7900</t>
        </is>
      </c>
      <c r="M49" s="132" t="inlineStr">
        <is>
          <t>3EST000225-7900</t>
        </is>
      </c>
      <c r="N49" s="133" t="inlineStr">
        <is>
          <t>A</t>
        </is>
      </c>
      <c r="O49" s="126" t="inlineStr">
        <is>
          <t>3EST000225-7900</t>
        </is>
      </c>
      <c r="P49" s="133" t="inlineStr">
        <is>
          <t>FA020026344</t>
        </is>
      </c>
      <c r="Q49" s="146" t="inlineStr">
        <is>
          <t>00.3</t>
        </is>
      </c>
      <c r="R49" s="109" t="inlineStr">
        <is>
          <t>FA020026344</t>
        </is>
      </c>
      <c r="S49" s="167" t="inlineStr">
        <is>
          <t>00.3</t>
        </is>
      </c>
      <c r="U49" s="110" t="n"/>
      <c r="W49" s="110" t="n"/>
    </row>
    <row r="50" outlineLevel="1" ht="30" customHeight="1" s="594">
      <c r="A50" s="114" t="inlineStr">
        <is>
          <t>Windscreen</t>
        </is>
      </c>
      <c r="B50" s="114" t="inlineStr">
        <is>
          <t>FRS_Windscreen</t>
        </is>
      </c>
      <c r="C50" s="109" t="inlineStr">
        <is>
          <t>pdf</t>
        </is>
      </c>
      <c r="D50" s="132" t="inlineStr">
        <is>
          <t>3EST000225-7902</t>
        </is>
      </c>
      <c r="E50" s="15" t="inlineStr">
        <is>
          <t>A</t>
        </is>
      </c>
      <c r="F50" s="126" t="inlineStr">
        <is>
          <t>3EST000225-7902</t>
        </is>
      </c>
      <c r="G50" s="132" t="inlineStr">
        <is>
          <t>3EST000225-7902</t>
        </is>
      </c>
      <c r="H50" s="15" t="inlineStr">
        <is>
          <t>A</t>
        </is>
      </c>
      <c r="I50" s="126" t="inlineStr">
        <is>
          <t>3EST000225-7902</t>
        </is>
      </c>
      <c r="J50" s="132" t="inlineStr">
        <is>
          <t>3EST000225-7902</t>
        </is>
      </c>
      <c r="K50" s="15" t="inlineStr">
        <is>
          <t>A</t>
        </is>
      </c>
      <c r="L50" s="126" t="inlineStr">
        <is>
          <t>3EST000225-7902</t>
        </is>
      </c>
      <c r="M50" s="132" t="inlineStr">
        <is>
          <t>3EST000225-7902</t>
        </is>
      </c>
      <c r="N50" s="133" t="inlineStr">
        <is>
          <t>A</t>
        </is>
      </c>
      <c r="O50" s="126" t="inlineStr">
        <is>
          <t>3EST000225-7902</t>
        </is>
      </c>
      <c r="P50" s="133" t="inlineStr">
        <is>
          <t>FA020026347</t>
        </is>
      </c>
      <c r="Q50" s="146" t="inlineStr">
        <is>
          <t>00.3</t>
        </is>
      </c>
      <c r="R50" s="109" t="inlineStr">
        <is>
          <t>FA020026347</t>
        </is>
      </c>
      <c r="S50" s="167" t="inlineStr">
        <is>
          <t>00.3</t>
        </is>
      </c>
      <c r="U50" s="110" t="n"/>
      <c r="W50" s="110" t="n"/>
    </row>
    <row r="51" outlineLevel="1" ht="30" customHeight="1" s="594">
      <c r="A51" s="114" t="inlineStr">
        <is>
          <t>Coupler</t>
        </is>
      </c>
      <c r="B51" s="114" t="inlineStr">
        <is>
          <t>FRS_Coupler</t>
        </is>
      </c>
      <c r="C51" s="109" t="inlineStr">
        <is>
          <t>pdf</t>
        </is>
      </c>
      <c r="D51" s="132" t="inlineStr">
        <is>
          <t>3EST000225-7903</t>
        </is>
      </c>
      <c r="E51" s="134" t="inlineStr">
        <is>
          <t>C</t>
        </is>
      </c>
      <c r="F51" s="126" t="inlineStr">
        <is>
          <t>3EST000225-7903</t>
        </is>
      </c>
      <c r="G51" s="154" t="inlineStr">
        <is>
          <t>3ECP413719-0204</t>
        </is>
      </c>
      <c r="H51" s="15" t="inlineStr">
        <is>
          <t>A</t>
        </is>
      </c>
      <c r="I51" s="163" t="inlineStr">
        <is>
          <t>manca</t>
        </is>
      </c>
      <c r="J51" s="309" t="inlineStr">
        <is>
          <t>3ECP413571-0204</t>
        </is>
      </c>
      <c r="K51" s="173" t="inlineStr">
        <is>
          <t>_</t>
        </is>
      </c>
      <c r="L51" s="163" t="inlineStr">
        <is>
          <t>manca</t>
        </is>
      </c>
      <c r="M51" s="132" t="inlineStr">
        <is>
          <t>3ECP413922-0204</t>
        </is>
      </c>
      <c r="N51" s="133" t="inlineStr">
        <is>
          <t>_</t>
        </is>
      </c>
      <c r="O51" s="126" t="inlineStr">
        <is>
          <t>3ECP413922-0204</t>
        </is>
      </c>
      <c r="P51" s="133" t="inlineStr">
        <is>
          <t>FA020026357</t>
        </is>
      </c>
      <c r="Q51" s="146" t="inlineStr">
        <is>
          <t>02.2</t>
        </is>
      </c>
      <c r="R51" s="109" t="inlineStr">
        <is>
          <t>FA020026357</t>
        </is>
      </c>
      <c r="S51" s="167" t="inlineStr">
        <is>
          <t>02.2</t>
        </is>
      </c>
      <c r="U51" s="110" t="n"/>
      <c r="W51" s="110" t="n"/>
    </row>
    <row r="52" outlineLevel="1" ht="30" customHeight="1" s="594">
      <c r="A52" s="114" t="inlineStr">
        <is>
          <t>Horn</t>
        </is>
      </c>
      <c r="B52" s="114" t="inlineStr">
        <is>
          <t>FRS_Horn</t>
        </is>
      </c>
      <c r="C52" s="109" t="inlineStr">
        <is>
          <t>pdf</t>
        </is>
      </c>
      <c r="D52" s="132" t="inlineStr">
        <is>
          <t>3EST000225-7905</t>
        </is>
      </c>
      <c r="E52" s="15" t="inlineStr">
        <is>
          <t>A</t>
        </is>
      </c>
      <c r="F52" s="126" t="inlineStr">
        <is>
          <t>3EST000225-7905</t>
        </is>
      </c>
      <c r="G52" s="132" t="inlineStr">
        <is>
          <t>3EST000225-7905</t>
        </is>
      </c>
      <c r="H52" s="15" t="inlineStr">
        <is>
          <t>A</t>
        </is>
      </c>
      <c r="I52" s="126" t="inlineStr">
        <is>
          <t>3EST000225-7905</t>
        </is>
      </c>
      <c r="J52" s="132" t="inlineStr">
        <is>
          <t>3EST000225-7905</t>
        </is>
      </c>
      <c r="K52" s="15" t="inlineStr">
        <is>
          <t>A</t>
        </is>
      </c>
      <c r="L52" s="126" t="inlineStr">
        <is>
          <t>3EST000225-7905</t>
        </is>
      </c>
      <c r="M52" s="132" t="inlineStr">
        <is>
          <t>3EST000225-7905</t>
        </is>
      </c>
      <c r="N52" s="133" t="inlineStr">
        <is>
          <t>A</t>
        </is>
      </c>
      <c r="O52" s="126" t="inlineStr">
        <is>
          <t>3EST000225-7905</t>
        </is>
      </c>
      <c r="P52" s="133" t="inlineStr">
        <is>
          <t>FA020026338</t>
        </is>
      </c>
      <c r="Q52" s="146" t="inlineStr">
        <is>
          <t>00.3</t>
        </is>
      </c>
      <c r="R52" s="109" t="inlineStr">
        <is>
          <t>FA020026338</t>
        </is>
      </c>
      <c r="S52" s="167" t="inlineStr">
        <is>
          <t>00.3</t>
        </is>
      </c>
      <c r="U52" s="110" t="n"/>
      <c r="W52" s="110" t="n"/>
    </row>
    <row r="53" outlineLevel="1" ht="30" customHeight="1" s="594">
      <c r="A53" s="114" t="inlineStr">
        <is>
          <t>Wheelchair Lifts</t>
        </is>
      </c>
      <c r="B53" s="114" t="inlineStr">
        <is>
          <t>FRS_Wheelchair Lifts</t>
        </is>
      </c>
      <c r="C53" s="109" t="inlineStr">
        <is>
          <t>pdf</t>
        </is>
      </c>
      <c r="D53" s="132" t="inlineStr">
        <is>
          <t>3EST000225-7887</t>
        </is>
      </c>
      <c r="E53" s="15" t="inlineStr">
        <is>
          <t>_</t>
        </is>
      </c>
      <c r="F53" s="126" t="inlineStr">
        <is>
          <t>3EST000225-7887</t>
        </is>
      </c>
      <c r="G53" s="132" t="inlineStr">
        <is>
          <t>3EST000225-7887</t>
        </is>
      </c>
      <c r="H53" s="15" t="inlineStr">
        <is>
          <t>_</t>
        </is>
      </c>
      <c r="I53" s="126" t="inlineStr">
        <is>
          <t>3EST000225-7887</t>
        </is>
      </c>
      <c r="J53" s="132" t="inlineStr">
        <is>
          <t>3EST000225-7887</t>
        </is>
      </c>
      <c r="K53" s="15" t="inlineStr">
        <is>
          <t>_</t>
        </is>
      </c>
      <c r="L53" s="126" t="inlineStr">
        <is>
          <t>3EST000225-7887</t>
        </is>
      </c>
      <c r="M53" s="132" t="inlineStr">
        <is>
          <t>3EST000225-7887</t>
        </is>
      </c>
      <c r="N53" s="133" t="inlineStr">
        <is>
          <t>_</t>
        </is>
      </c>
      <c r="O53" s="126" t="inlineStr">
        <is>
          <t>3EST000225-7887</t>
        </is>
      </c>
      <c r="P53" s="133" t="inlineStr">
        <is>
          <t>FA020025254</t>
        </is>
      </c>
      <c r="Q53" s="146" t="inlineStr">
        <is>
          <t>02.2</t>
        </is>
      </c>
      <c r="R53" s="109" t="inlineStr">
        <is>
          <t>FA020025254</t>
        </is>
      </c>
      <c r="S53" s="167" t="inlineStr">
        <is>
          <t>02.2</t>
        </is>
      </c>
      <c r="U53" s="110" t="n"/>
      <c r="W53" s="110" t="n"/>
    </row>
    <row r="54" outlineLevel="1" ht="30" customHeight="1" s="594">
      <c r="A54" s="114" t="inlineStr">
        <is>
          <t>Exterior Door and Step Systems</t>
        </is>
      </c>
      <c r="B54" s="114" t="inlineStr">
        <is>
          <t>FRS_Exterior Door and Step Systems</t>
        </is>
      </c>
      <c r="C54" s="109" t="inlineStr">
        <is>
          <t>pdf</t>
        </is>
      </c>
      <c r="D54" s="132" t="inlineStr">
        <is>
          <t>EC01P008887B</t>
        </is>
      </c>
      <c r="E54" s="135" t="inlineStr">
        <is>
          <t>09</t>
        </is>
      </c>
      <c r="F54" s="126" t="inlineStr">
        <is>
          <t>3EST000225-7893</t>
        </is>
      </c>
      <c r="G54" s="132" t="inlineStr">
        <is>
          <t>EC01P008887B</t>
        </is>
      </c>
      <c r="H54" s="135" t="inlineStr">
        <is>
          <t>09</t>
        </is>
      </c>
      <c r="I54" s="110" t="inlineStr">
        <is>
          <t>3ECP413719-1400</t>
        </is>
      </c>
      <c r="J54" s="132" t="inlineStr">
        <is>
          <t>FA020000711</t>
        </is>
      </c>
      <c r="K54" s="135" t="inlineStr">
        <is>
          <t>00</t>
        </is>
      </c>
      <c r="L54" s="110" t="inlineStr">
        <is>
          <t>3ECP413571-1400</t>
        </is>
      </c>
      <c r="M54" s="132" t="inlineStr">
        <is>
          <t>EC01P008887B</t>
        </is>
      </c>
      <c r="N54" s="135" t="inlineStr">
        <is>
          <t>09</t>
        </is>
      </c>
      <c r="O54" s="110" t="inlineStr">
        <is>
          <t>3ECP413922-1400</t>
        </is>
      </c>
      <c r="P54" s="133" t="inlineStr">
        <is>
          <t>FA020025252</t>
        </is>
      </c>
      <c r="Q54" s="146" t="inlineStr">
        <is>
          <t>04.2</t>
        </is>
      </c>
      <c r="R54" s="109" t="inlineStr">
        <is>
          <t>FA020025252</t>
        </is>
      </c>
      <c r="S54" s="167" t="inlineStr">
        <is>
          <t>04.2</t>
        </is>
      </c>
      <c r="U54" s="110" t="n"/>
      <c r="W54" s="110" t="n"/>
    </row>
    <row r="55" outlineLevel="1" ht="30" customHeight="1" s="594">
      <c r="A55" s="114" t="inlineStr">
        <is>
          <t>Interior Doors</t>
        </is>
      </c>
      <c r="B55" s="114" t="inlineStr">
        <is>
          <t>FRS_Interior Doors</t>
        </is>
      </c>
      <c r="C55" s="109" t="inlineStr">
        <is>
          <t>pdf</t>
        </is>
      </c>
      <c r="D55" s="132" t="inlineStr">
        <is>
          <t>EC01P008873B</t>
        </is>
      </c>
      <c r="E55" s="135" t="inlineStr">
        <is>
          <t>01</t>
        </is>
      </c>
      <c r="F55" s="126" t="inlineStr">
        <is>
          <t>3EST000225-7886</t>
        </is>
      </c>
      <c r="G55" s="132" t="inlineStr">
        <is>
          <t>EC01P008873B</t>
        </is>
      </c>
      <c r="H55" s="135" t="inlineStr">
        <is>
          <t>01</t>
        </is>
      </c>
      <c r="I55" s="126" t="inlineStr">
        <is>
          <t>3EST000225-7886</t>
        </is>
      </c>
      <c r="J55" s="132" t="inlineStr">
        <is>
          <t>EC01P008873B</t>
        </is>
      </c>
      <c r="K55" s="135" t="inlineStr">
        <is>
          <t>01</t>
        </is>
      </c>
      <c r="L55" s="133" t="inlineStr">
        <is>
          <t>3EST000225-7886</t>
        </is>
      </c>
      <c r="M55" s="132" t="inlineStr">
        <is>
          <t>EC01P008873B</t>
        </is>
      </c>
      <c r="N55" s="135" t="inlineStr">
        <is>
          <t>01</t>
        </is>
      </c>
      <c r="O55" s="126" t="inlineStr">
        <is>
          <t>3EST000225-7886</t>
        </is>
      </c>
      <c r="P55" s="133" t="inlineStr">
        <is>
          <t>FA020025253</t>
        </is>
      </c>
      <c r="Q55" s="146" t="inlineStr">
        <is>
          <t>04.2</t>
        </is>
      </c>
      <c r="R55" s="109" t="inlineStr">
        <is>
          <t>FA020025253</t>
        </is>
      </c>
      <c r="S55" s="167" t="inlineStr">
        <is>
          <t>04.2</t>
        </is>
      </c>
      <c r="U55" s="110" t="n"/>
      <c r="W55" s="110" t="n"/>
    </row>
    <row r="56" outlineLevel="1" ht="30" customHeight="1" s="594">
      <c r="A56" s="114" t="inlineStr">
        <is>
          <t>Cab HVAC</t>
        </is>
      </c>
      <c r="B56" s="114" t="inlineStr">
        <is>
          <t>FRS_Cab HVAC</t>
        </is>
      </c>
      <c r="C56" s="109" t="inlineStr">
        <is>
          <t>pdf</t>
        </is>
      </c>
      <c r="D56" s="132" t="inlineStr">
        <is>
          <t>EC01P009028B</t>
        </is>
      </c>
      <c r="E56" s="15" t="inlineStr">
        <is>
          <t>00.4</t>
        </is>
      </c>
      <c r="F56" s="126" t="inlineStr">
        <is>
          <t>3EST000225-7894</t>
        </is>
      </c>
      <c r="G56" s="132" t="inlineStr">
        <is>
          <t>EC01P009028B</t>
        </is>
      </c>
      <c r="H56" s="15" t="inlineStr">
        <is>
          <t>00.4</t>
        </is>
      </c>
      <c r="I56" s="126" t="inlineStr">
        <is>
          <t>3EST000225-7894</t>
        </is>
      </c>
      <c r="J56" s="132" t="inlineStr">
        <is>
          <t>EC01P009028B</t>
        </is>
      </c>
      <c r="K56" s="15" t="inlineStr">
        <is>
          <t>00.4</t>
        </is>
      </c>
      <c r="L56" s="133" t="inlineStr">
        <is>
          <t>3EST000225-7894</t>
        </is>
      </c>
      <c r="M56" s="132" t="inlineStr">
        <is>
          <t>EC01P009028B</t>
        </is>
      </c>
      <c r="N56" s="15" t="inlineStr">
        <is>
          <t>00.4</t>
        </is>
      </c>
      <c r="O56" s="126" t="inlineStr">
        <is>
          <t>3EST000225-7894</t>
        </is>
      </c>
      <c r="P56" s="133" t="inlineStr">
        <is>
          <t>FA020026562</t>
        </is>
      </c>
      <c r="Q56" s="146" t="inlineStr">
        <is>
          <t>00.2</t>
        </is>
      </c>
      <c r="R56" s="109" t="inlineStr">
        <is>
          <t>FA020026562</t>
        </is>
      </c>
      <c r="S56" s="167" t="inlineStr">
        <is>
          <t>00.2</t>
        </is>
      </c>
      <c r="U56" s="110" t="n"/>
      <c r="W56" s="110" t="n"/>
    </row>
    <row r="57" outlineLevel="1" ht="30" customHeight="1" s="594">
      <c r="A57" s="114" t="inlineStr">
        <is>
          <t>Saloon HVAC</t>
        </is>
      </c>
      <c r="B57" s="114" t="inlineStr">
        <is>
          <t>FRS_Saloon HVAC</t>
        </is>
      </c>
      <c r="C57" s="109" t="inlineStr">
        <is>
          <t>pdf</t>
        </is>
      </c>
      <c r="D57" s="132" t="inlineStr">
        <is>
          <t>EC01P008880B</t>
        </is>
      </c>
      <c r="E57" s="15" t="inlineStr">
        <is>
          <t>00.8</t>
        </is>
      </c>
      <c r="F57" s="126" t="inlineStr">
        <is>
          <t>3EST000225-7897</t>
        </is>
      </c>
      <c r="G57" s="132" t="inlineStr">
        <is>
          <t>3EST000225-7897</t>
        </is>
      </c>
      <c r="H57" s="15" t="inlineStr">
        <is>
          <t>A</t>
        </is>
      </c>
      <c r="I57" s="126" t="inlineStr">
        <is>
          <t>3EST000225-7897</t>
        </is>
      </c>
      <c r="J57" s="132" t="inlineStr">
        <is>
          <t>EC01P008880B</t>
        </is>
      </c>
      <c r="K57" s="15" t="inlineStr">
        <is>
          <t>00.8</t>
        </is>
      </c>
      <c r="L57" s="133" t="inlineStr">
        <is>
          <t>3EST000225-7897</t>
        </is>
      </c>
      <c r="M57" s="109" t="inlineStr">
        <is>
          <t>3EST000225-7897</t>
        </is>
      </c>
      <c r="N57" s="15" t="inlineStr">
        <is>
          <t>00.8</t>
        </is>
      </c>
      <c r="O57" s="126" t="inlineStr">
        <is>
          <t>EC01P008880B</t>
        </is>
      </c>
      <c r="P57" s="133" t="inlineStr">
        <is>
          <t>FA020026563</t>
        </is>
      </c>
      <c r="Q57" s="146" t="inlineStr">
        <is>
          <t>02.2</t>
        </is>
      </c>
      <c r="R57" s="109" t="inlineStr">
        <is>
          <t>FA020026563</t>
        </is>
      </c>
      <c r="S57" s="167" t="inlineStr">
        <is>
          <t>02.2</t>
        </is>
      </c>
      <c r="U57" s="110" t="n"/>
      <c r="W57" s="110" t="n"/>
    </row>
    <row r="58" outlineLevel="1" ht="30" customHeight="1" s="594">
      <c r="A58" s="114" t="inlineStr">
        <is>
          <t>Fire Protection and Extinction</t>
        </is>
      </c>
      <c r="B58" s="114" t="inlineStr">
        <is>
          <t>FRS_FPS</t>
        </is>
      </c>
      <c r="C58" s="109" t="inlineStr">
        <is>
          <t>pdf</t>
        </is>
      </c>
      <c r="D58" s="132" t="inlineStr">
        <is>
          <t>EC01P008884B</t>
        </is>
      </c>
      <c r="E58" s="135" t="inlineStr">
        <is>
          <t>04</t>
        </is>
      </c>
      <c r="F58" s="126" t="inlineStr">
        <is>
          <t>3EST000225-7879</t>
        </is>
      </c>
      <c r="G58" s="132" t="inlineStr">
        <is>
          <t>3EST000225-7879</t>
        </is>
      </c>
      <c r="H58" s="15" t="inlineStr">
        <is>
          <t>A</t>
        </is>
      </c>
      <c r="I58" s="126" t="inlineStr">
        <is>
          <t>3EST000225-7879</t>
        </is>
      </c>
      <c r="J58" s="132" t="inlineStr">
        <is>
          <t>EC01P008884B</t>
        </is>
      </c>
      <c r="K58" s="135" t="inlineStr">
        <is>
          <t>04</t>
        </is>
      </c>
      <c r="L58" s="133" t="inlineStr">
        <is>
          <t>3EST000225-7879</t>
        </is>
      </c>
      <c r="M58" s="109" t="inlineStr">
        <is>
          <t>3ECP413922-0604</t>
        </is>
      </c>
      <c r="N58" s="135" t="inlineStr">
        <is>
          <t>04</t>
        </is>
      </c>
      <c r="O58" s="110" t="inlineStr">
        <is>
          <t>EC01P008884B</t>
        </is>
      </c>
      <c r="P58" s="133" t="inlineStr">
        <is>
          <t>FA020025419</t>
        </is>
      </c>
      <c r="Q58" s="146" t="inlineStr">
        <is>
          <t>03.2</t>
        </is>
      </c>
      <c r="R58" s="109" t="inlineStr">
        <is>
          <t>FA020025419</t>
        </is>
      </c>
      <c r="S58" s="167" t="inlineStr">
        <is>
          <t>03.2</t>
        </is>
      </c>
      <c r="U58" s="110" t="n"/>
      <c r="W58" s="110" t="n"/>
    </row>
    <row r="59" outlineLevel="1" ht="30" customHeight="1" s="594">
      <c r="A59" s="114" t="inlineStr">
        <is>
          <t>Toilet</t>
        </is>
      </c>
      <c r="B59" s="114" t="inlineStr">
        <is>
          <t>FRS_Toilet</t>
        </is>
      </c>
      <c r="C59" s="109" t="inlineStr">
        <is>
          <t>pdf</t>
        </is>
      </c>
      <c r="D59" s="132" t="inlineStr">
        <is>
          <t>EC01P008888B</t>
        </is>
      </c>
      <c r="E59" s="145" t="inlineStr">
        <is>
          <t>02</t>
        </is>
      </c>
      <c r="F59" s="126" t="inlineStr">
        <is>
          <t>3EST000225-7883</t>
        </is>
      </c>
      <c r="G59" s="132" t="inlineStr">
        <is>
          <t>EC01P008888B</t>
        </is>
      </c>
      <c r="H59" s="145" t="inlineStr">
        <is>
          <t>02</t>
        </is>
      </c>
      <c r="I59" s="110" t="inlineStr">
        <is>
          <t>3ECP413719-0802</t>
        </is>
      </c>
      <c r="J59" s="132" t="inlineStr">
        <is>
          <t>EC01P008888B</t>
        </is>
      </c>
      <c r="K59" s="145" t="inlineStr">
        <is>
          <t>02</t>
        </is>
      </c>
      <c r="L59" s="133" t="inlineStr">
        <is>
          <t>3EST000225-7883</t>
        </is>
      </c>
      <c r="M59" s="132" t="inlineStr">
        <is>
          <t>EC01P008888B</t>
        </is>
      </c>
      <c r="N59" s="145" t="inlineStr">
        <is>
          <t>02</t>
        </is>
      </c>
      <c r="O59" s="110" t="inlineStr">
        <is>
          <t>3ECP413719-0802</t>
        </is>
      </c>
      <c r="P59" s="133" t="inlineStr">
        <is>
          <t>FA020026053</t>
        </is>
      </c>
      <c r="Q59" s="146" t="inlineStr">
        <is>
          <t>01.2</t>
        </is>
      </c>
      <c r="R59" s="109" t="inlineStr">
        <is>
          <t>FA020026053</t>
        </is>
      </c>
      <c r="S59" s="167" t="inlineStr">
        <is>
          <t>01.2</t>
        </is>
      </c>
      <c r="U59" s="110" t="n"/>
      <c r="W59" s="110" t="n"/>
    </row>
    <row r="60" outlineLevel="1" s="594">
      <c r="A60" s="114" t="inlineStr">
        <is>
          <t>Catering - Bistrot</t>
        </is>
      </c>
      <c r="B60" s="114" t="inlineStr">
        <is>
          <t>FRS_Catering</t>
        </is>
      </c>
      <c r="C60" s="109" t="inlineStr">
        <is>
          <t>pdf</t>
        </is>
      </c>
      <c r="D60" s="132" t="inlineStr">
        <is>
          <t>EC01P008889B</t>
        </is>
      </c>
      <c r="E60" s="135" t="inlineStr">
        <is>
          <t>03</t>
        </is>
      </c>
      <c r="F60" s="126" t="inlineStr">
        <is>
          <t>3EST000225-7885</t>
        </is>
      </c>
      <c r="G60" s="132" t="inlineStr">
        <is>
          <t>EC01P008889B</t>
        </is>
      </c>
      <c r="H60" s="135" t="inlineStr">
        <is>
          <t>03</t>
        </is>
      </c>
      <c r="I60" s="126" t="inlineStr">
        <is>
          <t>3EST000225-7885</t>
        </is>
      </c>
      <c r="J60" s="132" t="inlineStr">
        <is>
          <t>EC01P008889B</t>
        </is>
      </c>
      <c r="K60" s="135" t="inlineStr">
        <is>
          <t>03</t>
        </is>
      </c>
      <c r="L60" s="133" t="inlineStr">
        <is>
          <t>3EST000225-7885</t>
        </is>
      </c>
      <c r="M60" s="132" t="inlineStr">
        <is>
          <t>EC01P008889B</t>
        </is>
      </c>
      <c r="N60" s="135" t="inlineStr">
        <is>
          <t>03</t>
        </is>
      </c>
      <c r="O60" s="126" t="inlineStr">
        <is>
          <t>3EST000225-7885</t>
        </is>
      </c>
      <c r="P60" s="133" t="inlineStr">
        <is>
          <t>\</t>
        </is>
      </c>
      <c r="Q60" s="15" t="inlineStr">
        <is>
          <t>\</t>
        </is>
      </c>
      <c r="R60" s="109" t="inlineStr">
        <is>
          <t>\</t>
        </is>
      </c>
      <c r="S60" s="110" t="inlineStr">
        <is>
          <t>\</t>
        </is>
      </c>
      <c r="U60" s="110" t="n"/>
      <c r="W60" s="110" t="n"/>
    </row>
    <row r="61" outlineLevel="1" ht="30" customHeight="1" s="594">
      <c r="A61" s="114" t="inlineStr">
        <is>
          <t>PIES</t>
        </is>
      </c>
      <c r="B61" s="114" t="inlineStr">
        <is>
          <t>FRS_PIS</t>
        </is>
      </c>
      <c r="C61" s="109" t="inlineStr">
        <is>
          <t>pdf</t>
        </is>
      </c>
      <c r="D61" s="132" t="inlineStr">
        <is>
          <t>EC01P009000B</t>
        </is>
      </c>
      <c r="E61" s="135" t="inlineStr">
        <is>
          <t>02</t>
        </is>
      </c>
      <c r="F61" s="126" t="inlineStr">
        <is>
          <t>3EST000225-7890</t>
        </is>
      </c>
      <c r="G61" s="132" t="inlineStr">
        <is>
          <t>EC010008563</t>
        </is>
      </c>
      <c r="H61" s="135" t="inlineStr">
        <is>
          <t>00</t>
        </is>
      </c>
      <c r="I61" s="126" t="inlineStr">
        <is>
          <t>3ECP413719-1100</t>
        </is>
      </c>
      <c r="J61" s="132" t="inlineStr">
        <is>
          <t>EC01P009000B</t>
        </is>
      </c>
      <c r="K61" s="135" t="inlineStr">
        <is>
          <t>02</t>
        </is>
      </c>
      <c r="L61" s="133" t="inlineStr">
        <is>
          <t>3EST000225-7890</t>
        </is>
      </c>
      <c r="M61" s="109" t="inlineStr">
        <is>
          <t>EC010008581</t>
        </is>
      </c>
      <c r="N61" s="135" t="inlineStr">
        <is>
          <t>00</t>
        </is>
      </c>
      <c r="O61" s="110" t="inlineStr">
        <is>
          <t>3ECP413922-1100</t>
        </is>
      </c>
      <c r="P61" s="133" t="inlineStr">
        <is>
          <t>FA020025354</t>
        </is>
      </c>
      <c r="Q61" s="146" t="inlineStr">
        <is>
          <t>00.3</t>
        </is>
      </c>
      <c r="R61" s="109" t="inlineStr">
        <is>
          <t>FA020025354</t>
        </is>
      </c>
      <c r="S61" s="167" t="inlineStr">
        <is>
          <t>00.3</t>
        </is>
      </c>
      <c r="U61" s="110" t="n"/>
      <c r="W61" s="110" t="n"/>
    </row>
    <row r="62" outlineLevel="1" ht="30" customHeight="1" s="594">
      <c r="A62" s="114" t="inlineStr">
        <is>
          <t>PIS 2.0</t>
        </is>
      </c>
      <c r="B62" s="114" t="inlineStr">
        <is>
          <t>FRS_PIS 2.0</t>
        </is>
      </c>
      <c r="C62" s="109" t="inlineStr">
        <is>
          <t>pdf</t>
        </is>
      </c>
      <c r="D62" s="132" t="inlineStr">
        <is>
          <t>\</t>
        </is>
      </c>
      <c r="E62" s="15" t="inlineStr">
        <is>
          <t>\</t>
        </is>
      </c>
      <c r="F62" s="110" t="inlineStr">
        <is>
          <t>\</t>
        </is>
      </c>
      <c r="G62" s="109" t="inlineStr">
        <is>
          <t>\</t>
        </is>
      </c>
      <c r="H62" s="15" t="inlineStr">
        <is>
          <t>\</t>
        </is>
      </c>
      <c r="I62" s="110" t="inlineStr">
        <is>
          <t>\</t>
        </is>
      </c>
      <c r="J62" s="132" t="n"/>
      <c r="L62" s="110" t="n"/>
      <c r="M62" s="109" t="inlineStr">
        <is>
          <t>\</t>
        </is>
      </c>
      <c r="N62" s="15" t="inlineStr">
        <is>
          <t>\</t>
        </is>
      </c>
      <c r="O62" s="110" t="inlineStr">
        <is>
          <t>\</t>
        </is>
      </c>
      <c r="P62" s="134" t="inlineStr">
        <is>
          <t>FA020047983</t>
        </is>
      </c>
      <c r="Q62" s="15" t="inlineStr">
        <is>
          <t>00.1</t>
        </is>
      </c>
      <c r="R62" s="109" t="inlineStr">
        <is>
          <t>FA020047983</t>
        </is>
      </c>
      <c r="S62" s="110" t="inlineStr">
        <is>
          <t>00.1</t>
        </is>
      </c>
      <c r="U62" s="110" t="n"/>
      <c r="W62" s="110" t="n"/>
    </row>
    <row r="63" outlineLevel="1" ht="30" customHeight="1" s="594">
      <c r="A63" s="114" t="inlineStr">
        <is>
          <t>CCTV</t>
        </is>
      </c>
      <c r="B63" s="114" t="inlineStr">
        <is>
          <t>FRS_CCTV</t>
        </is>
      </c>
      <c r="C63" s="109" t="inlineStr">
        <is>
          <t>pdf</t>
        </is>
      </c>
      <c r="D63" s="132" t="inlineStr">
        <is>
          <t>EC01P009001B</t>
        </is>
      </c>
      <c r="E63" s="135" t="inlineStr">
        <is>
          <t>01</t>
        </is>
      </c>
      <c r="F63" s="126" t="inlineStr">
        <is>
          <t>3EST000225-7891</t>
        </is>
      </c>
      <c r="G63" s="132" t="inlineStr">
        <is>
          <t>EC01P009001B</t>
        </is>
      </c>
      <c r="H63" s="135" t="inlineStr">
        <is>
          <t>01</t>
        </is>
      </c>
      <c r="I63" s="126" t="inlineStr">
        <is>
          <t>3EST000225-7891</t>
        </is>
      </c>
      <c r="J63" s="132" t="inlineStr">
        <is>
          <t>3EST000225-7891</t>
        </is>
      </c>
      <c r="K63" s="15" t="inlineStr">
        <is>
          <t>A</t>
        </is>
      </c>
      <c r="L63" s="110" t="n"/>
      <c r="M63" s="132" t="inlineStr">
        <is>
          <t>EC01P009001B</t>
        </is>
      </c>
      <c r="N63" s="135" t="inlineStr">
        <is>
          <t>01</t>
        </is>
      </c>
      <c r="O63" s="126" t="inlineStr">
        <is>
          <t>3EST000225-7891</t>
        </is>
      </c>
      <c r="P63" s="133" t="inlineStr">
        <is>
          <t>FA020025360</t>
        </is>
      </c>
      <c r="Q63" s="146" t="inlineStr">
        <is>
          <t>01.2</t>
        </is>
      </c>
      <c r="R63" s="109" t="inlineStr">
        <is>
          <t>FA020025360</t>
        </is>
      </c>
      <c r="S63" s="167" t="inlineStr">
        <is>
          <t>01.2</t>
        </is>
      </c>
      <c r="U63" s="110" t="n"/>
      <c r="W63" s="110" t="n"/>
    </row>
    <row r="64" outlineLevel="1" ht="30" customHeight="1" s="594">
      <c r="A64" s="114" t="inlineStr">
        <is>
          <t>Exterior Lighting</t>
        </is>
      </c>
      <c r="B64" s="114" t="inlineStr">
        <is>
          <t>FRS_Exterior Lighting</t>
        </is>
      </c>
      <c r="C64" s="109" t="inlineStr">
        <is>
          <t>pdf</t>
        </is>
      </c>
      <c r="D64" s="132" t="inlineStr">
        <is>
          <t>3EST000225-7904</t>
        </is>
      </c>
      <c r="E64" s="15" t="inlineStr">
        <is>
          <t>B</t>
        </is>
      </c>
      <c r="F64" s="126" t="inlineStr">
        <is>
          <t>3EST000225-7904</t>
        </is>
      </c>
      <c r="G64" s="132" t="inlineStr">
        <is>
          <t>3EST000225-7904</t>
        </is>
      </c>
      <c r="H64" s="15" t="inlineStr">
        <is>
          <t>B</t>
        </is>
      </c>
      <c r="I64" s="126" t="inlineStr">
        <is>
          <t>3EST000225-7904</t>
        </is>
      </c>
      <c r="J64" s="132" t="inlineStr">
        <is>
          <t>3ECP413571-0206</t>
        </is>
      </c>
      <c r="K64" s="15" t="inlineStr">
        <is>
          <t>_</t>
        </is>
      </c>
      <c r="L64" s="110" t="n"/>
      <c r="M64" s="109" t="inlineStr">
        <is>
          <t>3EST000225-7904</t>
        </is>
      </c>
      <c r="N64" s="15" t="inlineStr">
        <is>
          <t>B</t>
        </is>
      </c>
      <c r="O64" s="110" t="inlineStr">
        <is>
          <t>3EST000225-7904</t>
        </is>
      </c>
      <c r="P64" s="133" t="inlineStr">
        <is>
          <t>3EST000225-7904</t>
        </is>
      </c>
      <c r="Q64" s="15" t="inlineStr">
        <is>
          <t>B.1</t>
        </is>
      </c>
      <c r="R64" s="109" t="inlineStr">
        <is>
          <t>3EST000225-7904</t>
        </is>
      </c>
      <c r="S64" s="110" t="inlineStr">
        <is>
          <t>B.1</t>
        </is>
      </c>
      <c r="U64" s="110" t="n"/>
      <c r="W64" s="110" t="n"/>
    </row>
    <row r="65" outlineLevel="1" ht="30" customHeight="1" s="594">
      <c r="A65" s="114" t="inlineStr">
        <is>
          <t>Interior Lighting</t>
        </is>
      </c>
      <c r="B65" s="114" t="inlineStr">
        <is>
          <t>FRS_Interior Lighting</t>
        </is>
      </c>
      <c r="C65" s="109" t="inlineStr">
        <is>
          <t>pdf</t>
        </is>
      </c>
      <c r="D65" s="132" t="inlineStr">
        <is>
          <t>EC01P008890B</t>
        </is>
      </c>
      <c r="E65" s="15" t="inlineStr">
        <is>
          <t>01.3</t>
        </is>
      </c>
      <c r="F65" s="126" t="inlineStr">
        <is>
          <t>3EST000225-7882</t>
        </is>
      </c>
      <c r="G65" s="132" t="inlineStr">
        <is>
          <t>EC01P008890B</t>
        </is>
      </c>
      <c r="H65" s="15" t="inlineStr">
        <is>
          <t>01.3</t>
        </is>
      </c>
      <c r="I65" s="126" t="inlineStr">
        <is>
          <t>3EST000225-7882</t>
        </is>
      </c>
      <c r="J65" s="109" t="inlineStr">
        <is>
          <t>3EST000225-7882</t>
        </is>
      </c>
      <c r="K65" s="15" t="inlineStr">
        <is>
          <t>B</t>
        </is>
      </c>
      <c r="L65" s="110" t="n"/>
      <c r="M65" s="109" t="inlineStr">
        <is>
          <t>FA020011254</t>
        </is>
      </c>
      <c r="N65" s="135" t="inlineStr">
        <is>
          <t>00</t>
        </is>
      </c>
      <c r="O65" s="110" t="inlineStr">
        <is>
          <t>3ECP413922-0801</t>
        </is>
      </c>
      <c r="P65" s="133" t="inlineStr">
        <is>
          <t>FA020011254</t>
        </is>
      </c>
      <c r="Q65" s="146" t="inlineStr">
        <is>
          <t>00.2</t>
        </is>
      </c>
      <c r="R65" s="109" t="inlineStr">
        <is>
          <t>FA020011254</t>
        </is>
      </c>
      <c r="S65" s="167" t="inlineStr">
        <is>
          <t>00.2</t>
        </is>
      </c>
      <c r="U65" s="110" t="n"/>
      <c r="W65" s="110" t="n"/>
    </row>
    <row r="66" outlineLevel="1" s="594">
      <c r="A66" s="114" t="inlineStr">
        <is>
          <t>Train Protection - ATP (France)</t>
        </is>
      </c>
      <c r="B66" s="114" t="inlineStr">
        <is>
          <t>FRS_Train Protection_France</t>
        </is>
      </c>
      <c r="C66" s="109" t="inlineStr">
        <is>
          <t>pdf</t>
        </is>
      </c>
      <c r="D66" s="132" t="n"/>
      <c r="E66" s="135" t="n"/>
      <c r="F66" s="126" t="n"/>
      <c r="G66" s="132" t="n"/>
      <c r="I66" s="123" t="n"/>
      <c r="J66" s="109" t="inlineStr">
        <is>
          <t>3ECP413571-0902</t>
        </is>
      </c>
      <c r="K66" s="15" t="inlineStr">
        <is>
          <t>B</t>
        </is>
      </c>
      <c r="L66" s="110" t="n"/>
      <c r="M66" s="109" t="n"/>
      <c r="N66" s="135" t="n"/>
      <c r="O66" s="123" t="n"/>
      <c r="P66" s="133" t="n"/>
      <c r="R66" s="109" t="n"/>
      <c r="S66" s="110" t="n"/>
      <c r="U66" s="110" t="n"/>
      <c r="W66" s="110" t="n"/>
    </row>
    <row r="67" outlineLevel="1" s="594">
      <c r="A67" s="438" t="inlineStr">
        <is>
          <t>Energy Meter System</t>
        </is>
      </c>
      <c r="B67" s="438" t="inlineStr">
        <is>
          <t>FRS_EMS</t>
        </is>
      </c>
      <c r="C67" s="439" t="inlineStr">
        <is>
          <t>pdf</t>
        </is>
      </c>
      <c r="D67" s="132" t="n"/>
      <c r="E67" s="135" t="n"/>
      <c r="F67" s="126" t="n"/>
      <c r="G67" s="132" t="n"/>
      <c r="I67" s="123" t="n"/>
      <c r="J67" s="109" t="inlineStr">
        <is>
          <t>EC010029076</t>
        </is>
      </c>
      <c r="K67" s="15" t="inlineStr">
        <is>
          <t>00.1</t>
        </is>
      </c>
      <c r="L67" s="110" t="n"/>
      <c r="M67" s="109" t="n"/>
      <c r="N67" s="135" t="n"/>
      <c r="O67" s="123" t="n"/>
      <c r="P67" s="133" t="inlineStr">
        <is>
          <t>EC010019484</t>
        </is>
      </c>
      <c r="Q67" s="15" t="inlineStr">
        <is>
          <t>01</t>
        </is>
      </c>
      <c r="R67" s="109" t="n"/>
      <c r="S67" s="110" t="n"/>
      <c r="U67" s="110" t="n"/>
      <c r="W67" s="110" t="n"/>
    </row>
    <row r="68">
      <c r="A68" s="445" t="inlineStr">
        <is>
          <t>Functional schematics</t>
        </is>
      </c>
      <c r="B68" s="445" t="n"/>
      <c r="C68" s="199" t="n"/>
      <c r="D68" s="117" t="n"/>
      <c r="E68" s="446" t="n"/>
      <c r="F68" s="118" t="n"/>
      <c r="G68" s="117" t="n"/>
      <c r="H68" s="446" t="n"/>
      <c r="I68" s="118" t="n"/>
      <c r="J68" s="117" t="n"/>
      <c r="K68" s="446" t="n"/>
      <c r="L68" s="118" t="n"/>
      <c r="M68" s="117" t="n"/>
      <c r="N68" s="446" t="n"/>
      <c r="O68" s="118" t="n"/>
      <c r="P68" s="446" t="n"/>
      <c r="Q68" s="446" t="n"/>
      <c r="R68" s="117" t="inlineStr">
        <is>
          <t>mancanti</t>
        </is>
      </c>
      <c r="S68" s="118" t="n"/>
      <c r="T68" s="446" t="n"/>
      <c r="U68" s="118" t="n"/>
      <c r="V68" s="446" t="n"/>
      <c r="W68" s="118" t="n"/>
    </row>
    <row r="69" outlineLevel="1" ht="30" customHeight="1" s="594">
      <c r="A69" s="114" t="inlineStr">
        <is>
          <t>Functional schematics DM1</t>
        </is>
      </c>
      <c r="B69" s="114" t="inlineStr">
        <is>
          <t>FS_DM1</t>
        </is>
      </c>
      <c r="C69" s="109" t="inlineStr">
        <is>
          <t>pdf</t>
        </is>
      </c>
      <c r="D69" s="109" t="inlineStr">
        <is>
          <t>3ECP502128-0001</t>
        </is>
      </c>
      <c r="E69" s="15" t="inlineStr">
        <is>
          <t>M</t>
        </is>
      </c>
      <c r="F69" s="110" t="n"/>
      <c r="G69" s="109" t="inlineStr">
        <is>
          <t>3ECP307211-1401</t>
        </is>
      </c>
      <c r="H69" s="134" t="inlineStr">
        <is>
          <t>C</t>
        </is>
      </c>
      <c r="I69" s="110" t="n"/>
      <c r="J69" s="109" t="inlineStr">
        <is>
          <t>3ECP307051-0001</t>
        </is>
      </c>
      <c r="K69" s="15" t="inlineStr">
        <is>
          <t>E</t>
        </is>
      </c>
      <c r="L69" s="110" t="n"/>
      <c r="M69" s="109" t="inlineStr">
        <is>
          <t>3ECP307251-0001</t>
        </is>
      </c>
      <c r="N69" s="134" t="inlineStr">
        <is>
          <t>G</t>
        </is>
      </c>
      <c r="O69" s="110" t="n"/>
      <c r="P69" s="15" t="inlineStr">
        <is>
          <t>FS020022117-001</t>
        </is>
      </c>
      <c r="Q69" s="134" t="inlineStr">
        <is>
          <t>05.2</t>
        </is>
      </c>
      <c r="R69" s="168" t="inlineStr">
        <is>
          <t>FS020036994-001</t>
        </is>
      </c>
      <c r="S69" s="126" t="inlineStr">
        <is>
          <t>01.2</t>
        </is>
      </c>
      <c r="U69" s="110" t="n"/>
      <c r="W69" s="110" t="n"/>
    </row>
    <row r="70" outlineLevel="1" ht="30" customHeight="1" s="594">
      <c r="A70" s="114" t="inlineStr">
        <is>
          <t>Functional schematics TT2</t>
        </is>
      </c>
      <c r="B70" s="114" t="inlineStr">
        <is>
          <t>FS_TT2</t>
        </is>
      </c>
      <c r="C70" s="109" t="inlineStr">
        <is>
          <t>pdf</t>
        </is>
      </c>
      <c r="D70" s="109" t="inlineStr">
        <is>
          <t>3ECP502129-0001</t>
        </is>
      </c>
      <c r="E70" s="134" t="inlineStr">
        <is>
          <t>J</t>
        </is>
      </c>
      <c r="F70" s="110" t="n"/>
      <c r="G70" s="109" t="inlineStr">
        <is>
          <t>3ECP307211-0002</t>
        </is>
      </c>
      <c r="H70" s="15" t="inlineStr">
        <is>
          <t>D</t>
        </is>
      </c>
      <c r="I70" s="110" t="n"/>
      <c r="J70" s="109" t="inlineStr">
        <is>
          <t>3ECP307059-0001</t>
        </is>
      </c>
      <c r="K70" s="15" t="inlineStr">
        <is>
          <t>D</t>
        </is>
      </c>
      <c r="L70" s="110" t="n"/>
      <c r="M70" s="109" t="inlineStr">
        <is>
          <t>3ECP307251-0002</t>
        </is>
      </c>
      <c r="N70" s="134" t="inlineStr">
        <is>
          <t>G</t>
        </is>
      </c>
      <c r="O70" s="110" t="n"/>
      <c r="P70" s="15" t="inlineStr">
        <is>
          <t>FS020022117-002</t>
        </is>
      </c>
      <c r="Q70" s="134" t="inlineStr">
        <is>
          <t>05.2</t>
        </is>
      </c>
      <c r="R70" s="168" t="inlineStr">
        <is>
          <t>FS020036994-002</t>
        </is>
      </c>
      <c r="S70" s="126" t="inlineStr">
        <is>
          <t>01.2</t>
        </is>
      </c>
      <c r="U70" s="110" t="n"/>
      <c r="W70" s="110" t="n"/>
    </row>
    <row r="71" outlineLevel="1" ht="30" customHeight="1" s="594">
      <c r="A71" s="114" t="inlineStr">
        <is>
          <t>Functional schematics M3</t>
        </is>
      </c>
      <c r="B71" s="114" t="inlineStr">
        <is>
          <t>FS_M3</t>
        </is>
      </c>
      <c r="C71" s="109" t="inlineStr">
        <is>
          <t>pdf</t>
        </is>
      </c>
      <c r="D71" s="109" t="inlineStr">
        <is>
          <t>3ECP502130-0001</t>
        </is>
      </c>
      <c r="E71" s="134" t="inlineStr">
        <is>
          <t>J</t>
        </is>
      </c>
      <c r="F71" s="110" t="n"/>
      <c r="G71" s="109" t="inlineStr">
        <is>
          <t>3ECP307211-0003</t>
        </is>
      </c>
      <c r="H71" s="15" t="inlineStr">
        <is>
          <t>D</t>
        </is>
      </c>
      <c r="I71" s="110" t="n"/>
      <c r="J71" s="109" t="inlineStr">
        <is>
          <t>3ECP307157-0001</t>
        </is>
      </c>
      <c r="K71" s="15" t="inlineStr">
        <is>
          <t>C</t>
        </is>
      </c>
      <c r="L71" s="110" t="n"/>
      <c r="M71" s="109" t="inlineStr">
        <is>
          <t>3ECP307251-0003</t>
        </is>
      </c>
      <c r="N71" s="134" t="inlineStr">
        <is>
          <t>G</t>
        </is>
      </c>
      <c r="O71" s="110" t="n"/>
      <c r="P71" s="15" t="inlineStr">
        <is>
          <t>FS020022117-003</t>
        </is>
      </c>
      <c r="Q71" s="134" t="inlineStr">
        <is>
          <t>05.2</t>
        </is>
      </c>
      <c r="R71" s="168" t="inlineStr">
        <is>
          <t>FS020036994-003</t>
        </is>
      </c>
      <c r="S71" s="126" t="inlineStr">
        <is>
          <t>01.2</t>
        </is>
      </c>
      <c r="U71" s="110" t="n"/>
      <c r="W71" s="110" t="n"/>
    </row>
    <row r="72" outlineLevel="1" ht="30" customHeight="1" s="594">
      <c r="A72" s="114" t="inlineStr">
        <is>
          <t>Functional schematics T4</t>
        </is>
      </c>
      <c r="B72" s="114" t="inlineStr">
        <is>
          <t>FS_T4</t>
        </is>
      </c>
      <c r="C72" s="109" t="inlineStr">
        <is>
          <t>pdf</t>
        </is>
      </c>
      <c r="D72" s="109" t="inlineStr">
        <is>
          <t>3ECP502131-0001</t>
        </is>
      </c>
      <c r="E72" s="134" t="inlineStr">
        <is>
          <t>J</t>
        </is>
      </c>
      <c r="F72" s="110" t="n"/>
      <c r="G72" s="109" t="inlineStr">
        <is>
          <t>3ECP307211-0004</t>
        </is>
      </c>
      <c r="H72" s="15" t="inlineStr">
        <is>
          <t>D</t>
        </is>
      </c>
      <c r="I72" s="110" t="n"/>
      <c r="J72" s="109" t="inlineStr">
        <is>
          <t>3ECP307158-0001</t>
        </is>
      </c>
      <c r="K72" s="15" t="inlineStr">
        <is>
          <t>C</t>
        </is>
      </c>
      <c r="L72" s="110" t="n"/>
      <c r="M72" s="109" t="inlineStr">
        <is>
          <t>3ECP307251-0004</t>
        </is>
      </c>
      <c r="N72" s="134" t="inlineStr">
        <is>
          <t>G</t>
        </is>
      </c>
      <c r="O72" s="110" t="n"/>
      <c r="P72" s="15" t="inlineStr">
        <is>
          <t>FS020022117-004</t>
        </is>
      </c>
      <c r="Q72" s="134" t="inlineStr">
        <is>
          <t>05.2</t>
        </is>
      </c>
      <c r="R72" s="168" t="inlineStr">
        <is>
          <t>FS020036994-004</t>
        </is>
      </c>
      <c r="S72" s="126" t="inlineStr">
        <is>
          <t>01.2</t>
        </is>
      </c>
      <c r="U72" s="110" t="n"/>
      <c r="W72" s="110" t="n"/>
    </row>
    <row r="73" outlineLevel="1" ht="30" customHeight="1" s="594">
      <c r="A73" s="114" t="inlineStr">
        <is>
          <t>Functional schematics T5</t>
        </is>
      </c>
      <c r="B73" s="114" t="inlineStr">
        <is>
          <t>FS_T5</t>
        </is>
      </c>
      <c r="C73" s="109" t="inlineStr">
        <is>
          <t>pdf</t>
        </is>
      </c>
      <c r="D73" s="109" t="inlineStr">
        <is>
          <t>3ECP502132-0001</t>
        </is>
      </c>
      <c r="E73" s="134" t="inlineStr">
        <is>
          <t>J</t>
        </is>
      </c>
      <c r="F73" s="110" t="n"/>
      <c r="G73" s="109" t="inlineStr">
        <is>
          <t>3ECP307211-0005</t>
        </is>
      </c>
      <c r="H73" s="15" t="inlineStr">
        <is>
          <t>D</t>
        </is>
      </c>
      <c r="I73" s="110" t="n"/>
      <c r="J73" s="109" t="inlineStr">
        <is>
          <t>3ECP307159-0001</t>
        </is>
      </c>
      <c r="K73" s="15" t="inlineStr">
        <is>
          <t>C</t>
        </is>
      </c>
      <c r="L73" s="110" t="n"/>
      <c r="M73" s="109" t="inlineStr">
        <is>
          <t>3ECP307251-0005</t>
        </is>
      </c>
      <c r="N73" s="134" t="inlineStr">
        <is>
          <t>G</t>
        </is>
      </c>
      <c r="O73" s="110" t="n"/>
      <c r="P73" s="15" t="inlineStr">
        <is>
          <t>FS020022117-005</t>
        </is>
      </c>
      <c r="Q73" s="134" t="inlineStr">
        <is>
          <t>05.2</t>
        </is>
      </c>
      <c r="R73" s="168" t="inlineStr">
        <is>
          <t>FS020036994-005</t>
        </is>
      </c>
      <c r="S73" s="126" t="inlineStr">
        <is>
          <t>01.2</t>
        </is>
      </c>
      <c r="U73" s="110" t="n"/>
      <c r="W73" s="110" t="n"/>
    </row>
    <row r="74" outlineLevel="1" ht="30" customHeight="1" s="594">
      <c r="A74" s="114" t="inlineStr">
        <is>
          <t>Functional schematics M6</t>
        </is>
      </c>
      <c r="B74" s="114" t="inlineStr">
        <is>
          <t>FS_M6</t>
        </is>
      </c>
      <c r="C74" s="109" t="inlineStr">
        <is>
          <t>pdf</t>
        </is>
      </c>
      <c r="D74" s="109" t="inlineStr">
        <is>
          <t>3ECP502133-0001</t>
        </is>
      </c>
      <c r="E74" s="134" t="inlineStr">
        <is>
          <t>J</t>
        </is>
      </c>
      <c r="F74" s="110" t="n"/>
      <c r="G74" s="109" t="inlineStr">
        <is>
          <t>3ECP307211-0006</t>
        </is>
      </c>
      <c r="H74" s="15" t="inlineStr">
        <is>
          <t>D</t>
        </is>
      </c>
      <c r="I74" s="110" t="n"/>
      <c r="J74" s="109" t="inlineStr">
        <is>
          <t>3ECP307160-0001</t>
        </is>
      </c>
      <c r="K74" s="15" t="inlineStr">
        <is>
          <t>C</t>
        </is>
      </c>
      <c r="L74" s="110" t="n"/>
      <c r="M74" s="109" t="inlineStr">
        <is>
          <t>3ECP307251-0006</t>
        </is>
      </c>
      <c r="N74" s="134" t="inlineStr">
        <is>
          <t>G</t>
        </is>
      </c>
      <c r="O74" s="110" t="n"/>
      <c r="P74" s="15" t="inlineStr">
        <is>
          <t>FS020022117-006</t>
        </is>
      </c>
      <c r="Q74" s="134" t="inlineStr">
        <is>
          <t>05.2</t>
        </is>
      </c>
      <c r="R74" s="168" t="inlineStr">
        <is>
          <t>FS020036994-006</t>
        </is>
      </c>
      <c r="S74" s="126" t="inlineStr">
        <is>
          <t>01.2</t>
        </is>
      </c>
      <c r="U74" s="110" t="n"/>
      <c r="W74" s="110" t="n"/>
    </row>
    <row r="75" outlineLevel="1" ht="30" customHeight="1" s="594">
      <c r="A75" s="114" t="inlineStr">
        <is>
          <t>Functional schematics TT7</t>
        </is>
      </c>
      <c r="B75" s="114" t="inlineStr">
        <is>
          <t>FS_TT7</t>
        </is>
      </c>
      <c r="C75" s="109" t="inlineStr">
        <is>
          <t>pdf</t>
        </is>
      </c>
      <c r="D75" s="109" t="inlineStr">
        <is>
          <t>3ECP502134-0001</t>
        </is>
      </c>
      <c r="E75" s="134" t="inlineStr">
        <is>
          <t>J</t>
        </is>
      </c>
      <c r="F75" s="110" t="n"/>
      <c r="G75" s="109" t="inlineStr">
        <is>
          <t>3ECP307211-0007</t>
        </is>
      </c>
      <c r="H75" s="15" t="inlineStr">
        <is>
          <t>C</t>
        </is>
      </c>
      <c r="I75" s="110" t="n"/>
      <c r="J75" s="109" t="inlineStr">
        <is>
          <t>3ECP307060-0001</t>
        </is>
      </c>
      <c r="K75" s="15" t="inlineStr">
        <is>
          <t>D</t>
        </is>
      </c>
      <c r="L75" s="110" t="n"/>
      <c r="M75" s="109" t="inlineStr">
        <is>
          <t>3ECP307251-0007</t>
        </is>
      </c>
      <c r="N75" s="134" t="inlineStr">
        <is>
          <t>G</t>
        </is>
      </c>
      <c r="O75" s="110" t="n"/>
      <c r="P75" s="15" t="inlineStr">
        <is>
          <t>FS020022117-007</t>
        </is>
      </c>
      <c r="Q75" s="134" t="inlineStr">
        <is>
          <t>05.2</t>
        </is>
      </c>
      <c r="R75" s="168" t="inlineStr">
        <is>
          <t>FS020036994-007</t>
        </is>
      </c>
      <c r="S75" s="126" t="inlineStr">
        <is>
          <t>01.2</t>
        </is>
      </c>
      <c r="U75" s="110" t="n"/>
      <c r="W75" s="110" t="n"/>
    </row>
    <row r="76" outlineLevel="1" ht="30" customHeight="1" s="594">
      <c r="A76" s="114" t="inlineStr">
        <is>
          <t>Functional schematics DM8</t>
        </is>
      </c>
      <c r="B76" s="114" t="inlineStr">
        <is>
          <t>FS_DM8</t>
        </is>
      </c>
      <c r="C76" s="109" t="inlineStr">
        <is>
          <t>pdf</t>
        </is>
      </c>
      <c r="D76" s="109" t="inlineStr">
        <is>
          <t>3ECP502135-0001</t>
        </is>
      </c>
      <c r="E76" s="15" t="inlineStr">
        <is>
          <t>N</t>
        </is>
      </c>
      <c r="F76" s="110" t="n"/>
      <c r="G76" s="109" t="inlineStr">
        <is>
          <t>3ECP307211-1408</t>
        </is>
      </c>
      <c r="H76" s="134" t="inlineStr">
        <is>
          <t>C</t>
        </is>
      </c>
      <c r="I76" s="110" t="n"/>
      <c r="J76" s="109" t="inlineStr">
        <is>
          <t>3ECP307052-0001</t>
        </is>
      </c>
      <c r="K76" s="15" t="inlineStr">
        <is>
          <t>G</t>
        </is>
      </c>
      <c r="L76" s="110" t="n"/>
      <c r="M76" s="109" t="inlineStr">
        <is>
          <t>3ECP307251-0008</t>
        </is>
      </c>
      <c r="N76" s="134" t="inlineStr">
        <is>
          <t>G</t>
        </is>
      </c>
      <c r="O76" s="110" t="n"/>
      <c r="P76" s="15" t="inlineStr">
        <is>
          <t>FS020022117-008</t>
        </is>
      </c>
      <c r="Q76" s="134" t="inlineStr">
        <is>
          <t>05.2</t>
        </is>
      </c>
      <c r="R76" s="168" t="inlineStr">
        <is>
          <t>FS020036994-008</t>
        </is>
      </c>
      <c r="S76" s="126" t="inlineStr">
        <is>
          <t>01.2</t>
        </is>
      </c>
      <c r="U76" s="110" t="n"/>
      <c r="W76" s="110" t="n"/>
    </row>
    <row r="77" ht="30" customHeight="1" s="594">
      <c r="A77" s="445" t="inlineStr">
        <is>
          <t>Wiring table</t>
        </is>
      </c>
      <c r="B77" s="445" t="n"/>
      <c r="C77" s="199" t="n"/>
      <c r="D77" s="447" t="n"/>
      <c r="E77" s="446" t="n"/>
      <c r="F77" s="118" t="n"/>
      <c r="G77" s="117" t="n"/>
      <c r="H77" s="446" t="n"/>
      <c r="I77" s="118" t="n"/>
      <c r="J77" s="117" t="n"/>
      <c r="K77" s="446" t="n"/>
      <c r="L77" s="118" t="n"/>
      <c r="M77" s="117" t="n"/>
      <c r="N77" s="446" t="n"/>
      <c r="O77" s="118" t="n"/>
      <c r="P77" s="446" t="inlineStr">
        <is>
          <t>FS020022117-009</t>
        </is>
      </c>
      <c r="Q77" s="448" t="inlineStr">
        <is>
          <t>05.2</t>
        </is>
      </c>
      <c r="R77" s="447" t="inlineStr">
        <is>
          <t>FS020036994-009</t>
        </is>
      </c>
      <c r="S77" s="449" t="inlineStr">
        <is>
          <t>01.2</t>
        </is>
      </c>
      <c r="T77" s="446" t="n"/>
      <c r="U77" s="118" t="n"/>
      <c r="V77" s="446" t="n"/>
      <c r="W77" s="118" t="n"/>
    </row>
    <row r="78" outlineLevel="1" s="594">
      <c r="A78" s="114" t="inlineStr">
        <is>
          <t>Wiring table DM1</t>
        </is>
      </c>
      <c r="B78" s="114" t="inlineStr">
        <is>
          <t>WT_DM1</t>
        </is>
      </c>
      <c r="C78" s="154" t="inlineStr">
        <is>
          <t>TBD</t>
        </is>
      </c>
      <c r="D78" s="109" t="inlineStr">
        <is>
          <t>3ECP502136-0001</t>
        </is>
      </c>
      <c r="E78" s="15" t="inlineStr">
        <is>
          <t>M</t>
        </is>
      </c>
      <c r="F78" s="123" t="n"/>
      <c r="G78" s="109" t="inlineStr">
        <is>
          <t>3ECP307212-1401</t>
        </is>
      </c>
      <c r="H78" s="134" t="inlineStr">
        <is>
          <t>B</t>
        </is>
      </c>
      <c r="I78" s="110" t="n"/>
      <c r="J78" s="109" t="inlineStr">
        <is>
          <t>3ECP307053-0001</t>
        </is>
      </c>
      <c r="K78" s="15" t="inlineStr">
        <is>
          <t>E</t>
        </is>
      </c>
      <c r="L78" s="110" t="n"/>
      <c r="M78" s="109" t="inlineStr">
        <is>
          <t>3ECP307252-0001</t>
        </is>
      </c>
      <c r="N78" s="134" t="inlineStr">
        <is>
          <t>G</t>
        </is>
      </c>
      <c r="O78" s="110" t="n"/>
      <c r="R78" s="109" t="n"/>
      <c r="S78" s="110" t="n"/>
      <c r="U78" s="110" t="n"/>
      <c r="W78" s="110" t="n"/>
    </row>
    <row r="79" outlineLevel="1" s="594">
      <c r="A79" s="114" t="inlineStr">
        <is>
          <t>Wiring table TT2</t>
        </is>
      </c>
      <c r="B79" s="114" t="inlineStr">
        <is>
          <t>WT_TT2</t>
        </is>
      </c>
      <c r="C79" s="154" t="inlineStr">
        <is>
          <t>TBD</t>
        </is>
      </c>
      <c r="D79" s="109" t="inlineStr">
        <is>
          <t>3ECP502137-0001</t>
        </is>
      </c>
      <c r="E79" s="134" t="inlineStr">
        <is>
          <t>J</t>
        </is>
      </c>
      <c r="F79" s="123" t="n"/>
      <c r="G79" s="109" t="inlineStr">
        <is>
          <t>3ECP307212-0002</t>
        </is>
      </c>
      <c r="H79" s="134" t="inlineStr">
        <is>
          <t>D</t>
        </is>
      </c>
      <c r="I79" s="110" t="n"/>
      <c r="J79" s="109" t="inlineStr">
        <is>
          <t>3ECP307061-0001</t>
        </is>
      </c>
      <c r="K79" s="15" t="inlineStr">
        <is>
          <t>D</t>
        </is>
      </c>
      <c r="L79" s="110" t="n"/>
      <c r="M79" s="109" t="inlineStr">
        <is>
          <t>3ECP307252-0002</t>
        </is>
      </c>
      <c r="N79" s="134" t="inlineStr">
        <is>
          <t>G</t>
        </is>
      </c>
      <c r="O79" s="110" t="n"/>
      <c r="R79" s="109" t="n"/>
      <c r="S79" s="110" t="n"/>
      <c r="U79" s="110" t="n"/>
      <c r="W79" s="110" t="n"/>
    </row>
    <row r="80" outlineLevel="1" s="594">
      <c r="A80" s="114" t="inlineStr">
        <is>
          <t>Wiring table M3</t>
        </is>
      </c>
      <c r="B80" s="114" t="inlineStr">
        <is>
          <t>WT_M3</t>
        </is>
      </c>
      <c r="C80" s="154" t="inlineStr">
        <is>
          <t>TBD</t>
        </is>
      </c>
      <c r="D80" s="109" t="inlineStr">
        <is>
          <t>3ECP502138-0001</t>
        </is>
      </c>
      <c r="E80" s="134" t="inlineStr">
        <is>
          <t>J</t>
        </is>
      </c>
      <c r="F80" s="123" t="n"/>
      <c r="G80" s="109" t="inlineStr">
        <is>
          <t>3ECP307212-0003</t>
        </is>
      </c>
      <c r="H80" s="134" t="inlineStr">
        <is>
          <t>D</t>
        </is>
      </c>
      <c r="I80" s="110" t="n"/>
      <c r="J80" s="109" t="inlineStr">
        <is>
          <t>3ECP307153-0001</t>
        </is>
      </c>
      <c r="K80" s="15" t="inlineStr">
        <is>
          <t>C</t>
        </is>
      </c>
      <c r="L80" s="110" t="n"/>
      <c r="M80" s="109" t="inlineStr">
        <is>
          <t>3ECP307252-0003</t>
        </is>
      </c>
      <c r="N80" s="134" t="inlineStr">
        <is>
          <t>G</t>
        </is>
      </c>
      <c r="O80" s="110" t="n"/>
      <c r="R80" s="109" t="n"/>
      <c r="S80" s="110" t="n"/>
      <c r="U80" s="110" t="n"/>
      <c r="W80" s="110" t="n"/>
    </row>
    <row r="81" outlineLevel="1" s="594">
      <c r="A81" s="114" t="inlineStr">
        <is>
          <t>Wiring table T4</t>
        </is>
      </c>
      <c r="B81" s="114" t="inlineStr">
        <is>
          <t>WT_T4</t>
        </is>
      </c>
      <c r="C81" s="154" t="inlineStr">
        <is>
          <t>TBD</t>
        </is>
      </c>
      <c r="D81" s="109" t="inlineStr">
        <is>
          <t>3ECP502139-0001</t>
        </is>
      </c>
      <c r="E81" s="134" t="inlineStr">
        <is>
          <t>J</t>
        </is>
      </c>
      <c r="F81" s="123" t="n"/>
      <c r="G81" s="109" t="inlineStr">
        <is>
          <t>3ECP307212-0004</t>
        </is>
      </c>
      <c r="H81" s="134" t="inlineStr">
        <is>
          <t>D</t>
        </is>
      </c>
      <c r="I81" s="110" t="n"/>
      <c r="J81" s="109" t="inlineStr">
        <is>
          <t>3ECP307154-0001</t>
        </is>
      </c>
      <c r="K81" s="15" t="inlineStr">
        <is>
          <t>C</t>
        </is>
      </c>
      <c r="L81" s="110" t="n"/>
      <c r="M81" s="109" t="inlineStr">
        <is>
          <t>3ECP307252-0004</t>
        </is>
      </c>
      <c r="N81" s="134" t="inlineStr">
        <is>
          <t>G</t>
        </is>
      </c>
      <c r="O81" s="110" t="n"/>
      <c r="R81" s="109" t="n"/>
      <c r="S81" s="110" t="n"/>
      <c r="U81" s="110" t="n"/>
      <c r="W81" s="110" t="n"/>
    </row>
    <row r="82" outlineLevel="1" s="594">
      <c r="A82" s="114" t="inlineStr">
        <is>
          <t>Wiring table T5</t>
        </is>
      </c>
      <c r="B82" s="114" t="inlineStr">
        <is>
          <t>WT_T5</t>
        </is>
      </c>
      <c r="C82" s="154" t="inlineStr">
        <is>
          <t>TBD</t>
        </is>
      </c>
      <c r="D82" s="109" t="inlineStr">
        <is>
          <t>3ECP502140-0001</t>
        </is>
      </c>
      <c r="E82" s="134" t="inlineStr">
        <is>
          <t>J</t>
        </is>
      </c>
      <c r="F82" s="123" t="n"/>
      <c r="G82" s="109" t="inlineStr">
        <is>
          <t>3ECP307212-0005</t>
        </is>
      </c>
      <c r="H82" s="134" t="inlineStr">
        <is>
          <t>D</t>
        </is>
      </c>
      <c r="I82" s="110" t="n"/>
      <c r="J82" s="109" t="inlineStr">
        <is>
          <t>3ECP307155-0001</t>
        </is>
      </c>
      <c r="K82" s="15" t="inlineStr">
        <is>
          <t>C</t>
        </is>
      </c>
      <c r="L82" s="110" t="n"/>
      <c r="M82" s="109" t="inlineStr">
        <is>
          <t>3ECP307252-0005</t>
        </is>
      </c>
      <c r="N82" s="134" t="inlineStr">
        <is>
          <t>G</t>
        </is>
      </c>
      <c r="O82" s="110" t="n"/>
      <c r="R82" s="109" t="n"/>
      <c r="S82" s="110" t="n"/>
      <c r="U82" s="110" t="n"/>
      <c r="W82" s="110" t="n"/>
    </row>
    <row r="83" outlineLevel="1" s="594">
      <c r="A83" s="114" t="inlineStr">
        <is>
          <t>Wiring table M6</t>
        </is>
      </c>
      <c r="B83" s="114" t="inlineStr">
        <is>
          <t>WT_M6</t>
        </is>
      </c>
      <c r="C83" s="154" t="inlineStr">
        <is>
          <t>TBD</t>
        </is>
      </c>
      <c r="D83" s="109" t="inlineStr">
        <is>
          <t>3ECP502141-0001</t>
        </is>
      </c>
      <c r="E83" s="134" t="inlineStr">
        <is>
          <t>J</t>
        </is>
      </c>
      <c r="F83" s="123" t="n"/>
      <c r="G83" s="109" t="inlineStr">
        <is>
          <t>3ECP307212-0006</t>
        </is>
      </c>
      <c r="H83" s="134" t="inlineStr">
        <is>
          <t>D</t>
        </is>
      </c>
      <c r="I83" s="110" t="n"/>
      <c r="J83" s="109" t="inlineStr">
        <is>
          <t>3ECP307156-0001</t>
        </is>
      </c>
      <c r="K83" s="15" t="inlineStr">
        <is>
          <t>C</t>
        </is>
      </c>
      <c r="L83" s="110" t="n"/>
      <c r="M83" s="109" t="inlineStr">
        <is>
          <t>3ECP307252-0006</t>
        </is>
      </c>
      <c r="N83" s="134" t="inlineStr">
        <is>
          <t>G</t>
        </is>
      </c>
      <c r="O83" s="110" t="n"/>
      <c r="R83" s="109" t="n"/>
      <c r="S83" s="110" t="n"/>
      <c r="U83" s="110" t="n"/>
      <c r="W83" s="110" t="n"/>
    </row>
    <row r="84" outlineLevel="1" s="594">
      <c r="A84" s="114" t="inlineStr">
        <is>
          <t>Wiring table TT7</t>
        </is>
      </c>
      <c r="B84" s="114" t="inlineStr">
        <is>
          <t>WT_TT7</t>
        </is>
      </c>
      <c r="C84" s="154" t="inlineStr">
        <is>
          <t>TBD</t>
        </is>
      </c>
      <c r="D84" s="109" t="inlineStr">
        <is>
          <t>3ECP502142-0001</t>
        </is>
      </c>
      <c r="E84" s="134" t="inlineStr">
        <is>
          <t>J</t>
        </is>
      </c>
      <c r="F84" s="123" t="n"/>
      <c r="G84" s="109" t="inlineStr">
        <is>
          <t>3ECP307212-0007</t>
        </is>
      </c>
      <c r="H84" s="134" t="inlineStr">
        <is>
          <t>D</t>
        </is>
      </c>
      <c r="I84" s="110" t="n"/>
      <c r="J84" s="109" t="inlineStr">
        <is>
          <t>3ECP307062-0001</t>
        </is>
      </c>
      <c r="K84" s="15" t="inlineStr">
        <is>
          <t>D</t>
        </is>
      </c>
      <c r="L84" s="110" t="n"/>
      <c r="M84" s="109" t="inlineStr">
        <is>
          <t>3ECP307252-0007</t>
        </is>
      </c>
      <c r="N84" s="134" t="inlineStr">
        <is>
          <t>G</t>
        </is>
      </c>
      <c r="O84" s="110" t="n"/>
      <c r="R84" s="109" t="n"/>
      <c r="S84" s="110" t="n"/>
      <c r="U84" s="110" t="n"/>
      <c r="W84" s="110" t="n"/>
    </row>
    <row r="85" outlineLevel="1" s="594">
      <c r="A85" s="114" t="inlineStr">
        <is>
          <t>Wiring table DM8</t>
        </is>
      </c>
      <c r="B85" s="114" t="inlineStr">
        <is>
          <t>WT_DM8</t>
        </is>
      </c>
      <c r="C85" s="154" t="inlineStr">
        <is>
          <t>TBD</t>
        </is>
      </c>
      <c r="D85" s="109" t="inlineStr">
        <is>
          <t>3ECP502143-0001</t>
        </is>
      </c>
      <c r="E85" s="15" t="inlineStr">
        <is>
          <t>N</t>
        </is>
      </c>
      <c r="F85" s="123" t="n"/>
      <c r="G85" s="109" t="inlineStr">
        <is>
          <t>3ECP307212-1408</t>
        </is>
      </c>
      <c r="H85" s="134" t="inlineStr">
        <is>
          <t>C</t>
        </is>
      </c>
      <c r="I85" s="110" t="n"/>
      <c r="J85" s="109" t="inlineStr">
        <is>
          <t>3ECP307054-0001</t>
        </is>
      </c>
      <c r="K85" s="15" t="inlineStr">
        <is>
          <t>G</t>
        </is>
      </c>
      <c r="L85" s="110" t="n"/>
      <c r="M85" s="109" t="inlineStr">
        <is>
          <t>3ECP307252-0008</t>
        </is>
      </c>
      <c r="N85" s="134" t="inlineStr">
        <is>
          <t>G</t>
        </is>
      </c>
      <c r="O85" s="110" t="n"/>
      <c r="R85" s="109" t="n"/>
      <c r="S85" s="110" t="n"/>
      <c r="U85" s="110" t="n"/>
      <c r="W85" s="110" t="n"/>
    </row>
    <row r="86">
      <c r="A86" s="445" t="inlineStr">
        <is>
          <t>Electric Part lists</t>
        </is>
      </c>
      <c r="B86" s="445" t="n"/>
      <c r="C86" s="199" t="n"/>
      <c r="D86" s="447" t="n"/>
      <c r="E86" s="446" t="n"/>
      <c r="F86" s="118" t="n"/>
      <c r="G86" s="117" t="n"/>
      <c r="H86" s="446" t="n"/>
      <c r="I86" s="118" t="n"/>
      <c r="J86" s="117" t="n"/>
      <c r="K86" s="446" t="n"/>
      <c r="L86" s="118" t="n"/>
      <c r="M86" s="117" t="n"/>
      <c r="N86" s="446" t="n"/>
      <c r="O86" s="118" t="n"/>
      <c r="P86" s="446" t="n"/>
      <c r="Q86" s="446" t="n"/>
      <c r="R86" s="117" t="n"/>
      <c r="S86" s="118" t="n"/>
      <c r="T86" s="446" t="n"/>
      <c r="U86" s="118" t="n"/>
      <c r="V86" s="446" t="n"/>
      <c r="W86" s="118" t="n"/>
    </row>
    <row r="87" outlineLevel="1" s="594">
      <c r="A87" s="114" t="inlineStr">
        <is>
          <t>Electric Part List DM1</t>
        </is>
      </c>
      <c r="B87" s="114" t="inlineStr">
        <is>
          <t>EPL_DM1</t>
        </is>
      </c>
      <c r="C87" s="154" t="inlineStr">
        <is>
          <t>TBD</t>
        </is>
      </c>
      <c r="D87" s="109" t="inlineStr">
        <is>
          <t>3ECP502144-0001</t>
        </is>
      </c>
      <c r="E87" s="15" t="inlineStr">
        <is>
          <t>M</t>
        </is>
      </c>
      <c r="F87" s="123" t="n"/>
      <c r="G87" s="109" t="inlineStr">
        <is>
          <t>3ECP307213-1401</t>
        </is>
      </c>
      <c r="H87" s="134" t="inlineStr">
        <is>
          <t>C</t>
        </is>
      </c>
      <c r="I87" s="110" t="n"/>
      <c r="J87" s="109" t="inlineStr">
        <is>
          <t>3ECP307055-0001</t>
        </is>
      </c>
      <c r="K87" s="15" t="inlineStr">
        <is>
          <t>E</t>
        </is>
      </c>
      <c r="L87" s="110" t="n"/>
      <c r="M87" s="109" t="inlineStr">
        <is>
          <t>3ECP307253-0001</t>
        </is>
      </c>
      <c r="N87" s="134" t="inlineStr">
        <is>
          <t>G</t>
        </is>
      </c>
      <c r="O87" s="110" t="n"/>
      <c r="R87" s="109" t="n"/>
      <c r="S87" s="110" t="n"/>
      <c r="U87" s="110" t="n"/>
      <c r="W87" s="110" t="n"/>
    </row>
    <row r="88" outlineLevel="1" s="594">
      <c r="A88" s="114" t="inlineStr">
        <is>
          <t>Electric Part List TT2</t>
        </is>
      </c>
      <c r="B88" s="114" t="inlineStr">
        <is>
          <t>EPL_TT2</t>
        </is>
      </c>
      <c r="C88" s="154" t="inlineStr">
        <is>
          <t>TBD</t>
        </is>
      </c>
      <c r="D88" s="109" t="inlineStr">
        <is>
          <t>3ECP502145-0001</t>
        </is>
      </c>
      <c r="E88" s="134" t="inlineStr">
        <is>
          <t>J</t>
        </is>
      </c>
      <c r="F88" s="123" t="n"/>
      <c r="G88" s="109" t="inlineStr">
        <is>
          <t>3ECP307213-0002</t>
        </is>
      </c>
      <c r="H88" s="134" t="inlineStr">
        <is>
          <t>D</t>
        </is>
      </c>
      <c r="I88" s="110" t="n"/>
      <c r="J88" s="109" t="inlineStr">
        <is>
          <t>3ECP307063-0001</t>
        </is>
      </c>
      <c r="K88" s="15" t="inlineStr">
        <is>
          <t>D</t>
        </is>
      </c>
      <c r="L88" s="110" t="n"/>
      <c r="M88" s="109" t="inlineStr">
        <is>
          <t>3ECP307253-0002</t>
        </is>
      </c>
      <c r="N88" s="134" t="inlineStr">
        <is>
          <t>G</t>
        </is>
      </c>
      <c r="O88" s="110" t="n"/>
      <c r="R88" s="109" t="n"/>
      <c r="S88" s="110" t="n"/>
      <c r="U88" s="110" t="n"/>
      <c r="W88" s="110" t="n"/>
    </row>
    <row r="89" outlineLevel="1" s="594">
      <c r="A89" s="114" t="inlineStr">
        <is>
          <t>Electric Part List M3</t>
        </is>
      </c>
      <c r="B89" s="114" t="inlineStr">
        <is>
          <t>EPL_M3</t>
        </is>
      </c>
      <c r="C89" s="154" t="inlineStr">
        <is>
          <t>TBD</t>
        </is>
      </c>
      <c r="D89" s="109" t="inlineStr">
        <is>
          <t>3ECP502146-0001</t>
        </is>
      </c>
      <c r="E89" s="134" t="inlineStr">
        <is>
          <t>J</t>
        </is>
      </c>
      <c r="F89" s="123" t="n"/>
      <c r="G89" s="109" t="inlineStr">
        <is>
          <t>3ECP307213-0003</t>
        </is>
      </c>
      <c r="H89" s="134" t="inlineStr">
        <is>
          <t>D</t>
        </is>
      </c>
      <c r="I89" s="110" t="n"/>
      <c r="J89" s="109" t="inlineStr">
        <is>
          <t>3ECP307161-0001</t>
        </is>
      </c>
      <c r="K89" s="15" t="inlineStr">
        <is>
          <t>C</t>
        </is>
      </c>
      <c r="L89" s="110" t="n"/>
      <c r="M89" s="109" t="inlineStr">
        <is>
          <t>3ECP307253-0003</t>
        </is>
      </c>
      <c r="N89" s="134" t="inlineStr">
        <is>
          <t>G</t>
        </is>
      </c>
      <c r="O89" s="110" t="n"/>
      <c r="R89" s="109" t="n"/>
      <c r="S89" s="110" t="n"/>
      <c r="U89" s="110" t="n"/>
      <c r="W89" s="110" t="n"/>
    </row>
    <row r="90" outlineLevel="1" s="594">
      <c r="A90" s="114" t="inlineStr">
        <is>
          <t>Electric Part List T4</t>
        </is>
      </c>
      <c r="B90" s="114" t="inlineStr">
        <is>
          <t>EPL_T4</t>
        </is>
      </c>
      <c r="C90" s="154" t="inlineStr">
        <is>
          <t>TBD</t>
        </is>
      </c>
      <c r="D90" s="109" t="inlineStr">
        <is>
          <t>3ECP502147-0001</t>
        </is>
      </c>
      <c r="E90" s="134" t="inlineStr">
        <is>
          <t>J</t>
        </is>
      </c>
      <c r="F90" s="123" t="n"/>
      <c r="G90" s="109" t="inlineStr">
        <is>
          <t>3ECP307213-0004</t>
        </is>
      </c>
      <c r="H90" s="134" t="inlineStr">
        <is>
          <t>D</t>
        </is>
      </c>
      <c r="I90" s="110" t="n"/>
      <c r="J90" s="109" t="inlineStr">
        <is>
          <t>3ECP307162-0001</t>
        </is>
      </c>
      <c r="K90" s="15" t="inlineStr">
        <is>
          <t>C</t>
        </is>
      </c>
      <c r="L90" s="110" t="n"/>
      <c r="M90" s="109" t="inlineStr">
        <is>
          <t>3ECP307253-0004</t>
        </is>
      </c>
      <c r="N90" s="134" t="inlineStr">
        <is>
          <t>G</t>
        </is>
      </c>
      <c r="O90" s="110" t="n"/>
      <c r="R90" s="109" t="n"/>
      <c r="S90" s="110" t="n"/>
      <c r="U90" s="110" t="n"/>
      <c r="W90" s="110" t="n"/>
    </row>
    <row r="91" outlineLevel="1" s="594">
      <c r="A91" s="114" t="inlineStr">
        <is>
          <t>Electric Part List T5</t>
        </is>
      </c>
      <c r="B91" s="114" t="inlineStr">
        <is>
          <t>EPL_T5</t>
        </is>
      </c>
      <c r="C91" s="154" t="inlineStr">
        <is>
          <t>TBD</t>
        </is>
      </c>
      <c r="D91" s="109" t="inlineStr">
        <is>
          <t>3ECP502148-0001</t>
        </is>
      </c>
      <c r="E91" s="134" t="inlineStr">
        <is>
          <t>J</t>
        </is>
      </c>
      <c r="F91" s="123" t="n"/>
      <c r="G91" s="109" t="inlineStr">
        <is>
          <t>3ECP307213-0005</t>
        </is>
      </c>
      <c r="H91" s="134" t="inlineStr">
        <is>
          <t>D</t>
        </is>
      </c>
      <c r="I91" s="110" t="n"/>
      <c r="J91" s="109" t="inlineStr">
        <is>
          <t>3ECP307163-0001</t>
        </is>
      </c>
      <c r="K91" s="15" t="inlineStr">
        <is>
          <t>C</t>
        </is>
      </c>
      <c r="L91" s="110" t="n"/>
      <c r="M91" s="109" t="inlineStr">
        <is>
          <t>3ECP307253-0005</t>
        </is>
      </c>
      <c r="N91" s="134" t="inlineStr">
        <is>
          <t>G</t>
        </is>
      </c>
      <c r="O91" s="110" t="n"/>
      <c r="R91" s="109" t="n"/>
      <c r="S91" s="110" t="n"/>
      <c r="U91" s="110" t="n"/>
      <c r="W91" s="110" t="n"/>
    </row>
    <row r="92" outlineLevel="1" s="594">
      <c r="A92" s="114" t="inlineStr">
        <is>
          <t>Electric Part List M6</t>
        </is>
      </c>
      <c r="B92" s="114" t="inlineStr">
        <is>
          <t>EPL_M6</t>
        </is>
      </c>
      <c r="C92" s="154" t="inlineStr">
        <is>
          <t>TBD</t>
        </is>
      </c>
      <c r="D92" s="109" t="inlineStr">
        <is>
          <t>3ECP502149-0001</t>
        </is>
      </c>
      <c r="E92" s="134" t="inlineStr">
        <is>
          <t>J</t>
        </is>
      </c>
      <c r="F92" s="123" t="n"/>
      <c r="G92" s="109" t="inlineStr">
        <is>
          <t>3ECP307213-0006</t>
        </is>
      </c>
      <c r="H92" s="134" t="inlineStr">
        <is>
          <t>D</t>
        </is>
      </c>
      <c r="I92" s="110" t="n"/>
      <c r="J92" s="109" t="inlineStr">
        <is>
          <t>3ECP307164-0001</t>
        </is>
      </c>
      <c r="K92" s="15" t="inlineStr">
        <is>
          <t>C</t>
        </is>
      </c>
      <c r="L92" s="110" t="n"/>
      <c r="M92" s="109" t="inlineStr">
        <is>
          <t>3ECP307253-0006</t>
        </is>
      </c>
      <c r="N92" s="134" t="inlineStr">
        <is>
          <t>G</t>
        </is>
      </c>
      <c r="O92" s="110" t="n"/>
      <c r="R92" s="109" t="n"/>
      <c r="S92" s="110" t="n"/>
      <c r="U92" s="110" t="n"/>
      <c r="W92" s="110" t="n"/>
    </row>
    <row r="93" outlineLevel="1" s="594">
      <c r="A93" s="114" t="inlineStr">
        <is>
          <t>Electric Part List TT7</t>
        </is>
      </c>
      <c r="B93" s="114" t="inlineStr">
        <is>
          <t>EPL_TT7</t>
        </is>
      </c>
      <c r="C93" s="154" t="inlineStr">
        <is>
          <t>TBD</t>
        </is>
      </c>
      <c r="D93" s="109" t="inlineStr">
        <is>
          <t>3ECP502150-0001</t>
        </is>
      </c>
      <c r="E93" s="134" t="inlineStr">
        <is>
          <t>J</t>
        </is>
      </c>
      <c r="F93" s="123" t="n"/>
      <c r="G93" s="109" t="inlineStr">
        <is>
          <t>3ECP307213-0007</t>
        </is>
      </c>
      <c r="H93" s="134" t="inlineStr">
        <is>
          <t>D</t>
        </is>
      </c>
      <c r="I93" s="110" t="n"/>
      <c r="J93" s="109" t="inlineStr">
        <is>
          <t>3ECP307164-0001</t>
        </is>
      </c>
      <c r="K93" s="15" t="inlineStr">
        <is>
          <t>D</t>
        </is>
      </c>
      <c r="L93" s="110" t="n"/>
      <c r="M93" s="109" t="inlineStr">
        <is>
          <t>3ECP307253-0007</t>
        </is>
      </c>
      <c r="N93" s="134" t="inlineStr">
        <is>
          <t>G</t>
        </is>
      </c>
      <c r="O93" s="110" t="n"/>
      <c r="R93" s="109" t="n"/>
      <c r="S93" s="110" t="n"/>
      <c r="U93" s="110" t="n"/>
      <c r="W93" s="110" t="n"/>
    </row>
    <row r="94" outlineLevel="1" s="594">
      <c r="A94" s="114" t="inlineStr">
        <is>
          <t>Electric Part List DM8</t>
        </is>
      </c>
      <c r="B94" s="114" t="inlineStr">
        <is>
          <t>EPL_DM8</t>
        </is>
      </c>
      <c r="C94" s="154" t="inlineStr">
        <is>
          <t>TBD</t>
        </is>
      </c>
      <c r="D94" s="109" t="inlineStr">
        <is>
          <t>3ECP502151-0001</t>
        </is>
      </c>
      <c r="E94" s="15" t="inlineStr">
        <is>
          <t>N</t>
        </is>
      </c>
      <c r="F94" s="123" t="n"/>
      <c r="G94" s="109" t="inlineStr">
        <is>
          <t>3ECP307213-1408</t>
        </is>
      </c>
      <c r="H94" s="134" t="inlineStr">
        <is>
          <t>C</t>
        </is>
      </c>
      <c r="I94" s="110" t="n"/>
      <c r="J94" s="109" t="inlineStr">
        <is>
          <t>3ECP307056-0001</t>
        </is>
      </c>
      <c r="K94" s="15" t="inlineStr">
        <is>
          <t>G</t>
        </is>
      </c>
      <c r="L94" s="110" t="n"/>
      <c r="M94" s="109" t="inlineStr">
        <is>
          <t>3ECP307253-0008</t>
        </is>
      </c>
      <c r="N94" s="134" t="inlineStr">
        <is>
          <t>G</t>
        </is>
      </c>
      <c r="O94" s="110" t="n"/>
      <c r="R94" s="109" t="n"/>
      <c r="S94" s="110" t="n"/>
      <c r="U94" s="110" t="n"/>
      <c r="W94" s="110" t="n"/>
    </row>
    <row r="95">
      <c r="A95" s="445" t="inlineStr">
        <is>
          <t>Interface Control Document</t>
        </is>
      </c>
      <c r="B95" s="454" t="inlineStr">
        <is>
          <t>NOTA</t>
        </is>
      </c>
      <c r="C95" s="450" t="n"/>
      <c r="D95" s="451" t="n"/>
      <c r="E95" s="446" t="n"/>
      <c r="F95" s="118" t="n"/>
      <c r="G95" s="117" t="n"/>
      <c r="H95" s="446" t="n"/>
      <c r="I95" s="118" t="n"/>
      <c r="J95" s="117" t="n"/>
      <c r="K95" s="446" t="n"/>
      <c r="L95" s="118" t="n"/>
      <c r="M95" s="117" t="n"/>
      <c r="N95" s="446" t="n"/>
      <c r="O95" s="118" t="n"/>
      <c r="P95" s="446" t="n"/>
      <c r="Q95" s="446" t="n"/>
      <c r="R95" s="117" t="n"/>
      <c r="S95" s="118" t="n"/>
      <c r="T95" s="446" t="n"/>
      <c r="U95" s="118" t="n"/>
      <c r="V95" s="446" t="n"/>
      <c r="W95" s="118" t="n"/>
    </row>
    <row r="96" outlineLevel="1" ht="30" customHeight="1" s="594">
      <c r="A96" s="114" t="inlineStr">
        <is>
          <t>ICD Sistema TCMS</t>
        </is>
      </c>
      <c r="B96" s="114" t="inlineStr">
        <is>
          <t>ICD_TCMS</t>
        </is>
      </c>
      <c r="C96" s="109" t="inlineStr">
        <is>
          <t>pdf</t>
        </is>
      </c>
      <c r="D96" s="15" t="inlineStr">
        <is>
          <t>3EST000225-0120</t>
        </is>
      </c>
      <c r="E96" s="15" t="inlineStr">
        <is>
          <t>D</t>
        </is>
      </c>
      <c r="F96" s="15" t="inlineStr">
        <is>
          <t>3EST000225-0120</t>
        </is>
      </c>
      <c r="G96" s="109" t="n"/>
      <c r="I96" s="110" t="n"/>
      <c r="J96" s="109" t="n"/>
      <c r="L96" s="110" t="n"/>
      <c r="M96" s="109" t="n"/>
      <c r="O96" s="110" t="n"/>
      <c r="P96" s="133" t="inlineStr">
        <is>
          <t>EC130021271</t>
        </is>
      </c>
      <c r="Q96" s="15" t="inlineStr">
        <is>
          <t>01.2</t>
        </is>
      </c>
      <c r="R96" s="423" t="inlineStr">
        <is>
          <t>EC130021271</t>
        </is>
      </c>
      <c r="S96" s="424" t="inlineStr">
        <is>
          <t>01.2</t>
        </is>
      </c>
      <c r="U96" s="110" t="n"/>
      <c r="W96" s="110" t="n"/>
    </row>
    <row r="97" outlineLevel="1" ht="30" customHeight="1" s="594">
      <c r="A97" s="114" t="inlineStr">
        <is>
          <t>ICD Sistema TCMS - Annex</t>
        </is>
      </c>
      <c r="B97" s="114" t="n"/>
      <c r="C97" s="109" t="inlineStr">
        <is>
          <t>xslx</t>
        </is>
      </c>
      <c r="D97" s="109" t="inlineStr">
        <is>
          <t>\</t>
        </is>
      </c>
      <c r="F97" s="110" t="inlineStr">
        <is>
          <t>\</t>
        </is>
      </c>
      <c r="G97" s="109" t="n"/>
      <c r="I97" s="110" t="n"/>
      <c r="J97" s="109" t="n"/>
      <c r="L97" s="110" t="n"/>
      <c r="M97" s="109" t="n"/>
      <c r="O97" s="110" t="n"/>
      <c r="P97" s="133" t="inlineStr">
        <is>
          <t>EC130021272</t>
        </is>
      </c>
      <c r="Q97" s="15" t="inlineStr">
        <is>
          <t>03.2</t>
        </is>
      </c>
      <c r="R97" s="423" t="inlineStr">
        <is>
          <t>EC130021272</t>
        </is>
      </c>
      <c r="S97" s="424" t="inlineStr">
        <is>
          <t>03.2</t>
        </is>
      </c>
      <c r="U97" s="110" t="n"/>
      <c r="W97" s="110" t="n"/>
    </row>
    <row r="98" outlineLevel="1" ht="30" customHeight="1" s="594">
      <c r="A98" s="114" t="inlineStr">
        <is>
          <t>ICD GTW IPTCOM-TRDP</t>
        </is>
      </c>
      <c r="B98" s="114" t="inlineStr">
        <is>
          <t>ICD_GTW</t>
        </is>
      </c>
      <c r="C98" s="109" t="inlineStr">
        <is>
          <t>pdf</t>
        </is>
      </c>
      <c r="D98" s="109" t="inlineStr">
        <is>
          <t>\</t>
        </is>
      </c>
      <c r="F98" s="110" t="inlineStr">
        <is>
          <t>\</t>
        </is>
      </c>
      <c r="G98" s="109" t="n"/>
      <c r="I98" s="110" t="n"/>
      <c r="J98" s="109" t="n"/>
      <c r="L98" s="110" t="n"/>
      <c r="M98" s="109" t="n"/>
      <c r="O98" s="110" t="n"/>
      <c r="P98" s="133" t="inlineStr">
        <is>
          <t>EC130019965</t>
        </is>
      </c>
      <c r="Q98" s="15" t="inlineStr">
        <is>
          <t>03.2</t>
        </is>
      </c>
      <c r="R98" s="423" t="inlineStr">
        <is>
          <t>EC130019965</t>
        </is>
      </c>
      <c r="S98" s="424" t="inlineStr">
        <is>
          <t>03.2</t>
        </is>
      </c>
      <c r="U98" s="110" t="n"/>
      <c r="W98" s="110" t="n"/>
    </row>
    <row r="99" outlineLevel="1" ht="30" customHeight="1" s="594">
      <c r="A99" s="114" t="inlineStr">
        <is>
          <t>ICD GTW IPTCOM-TRDP - Annex</t>
        </is>
      </c>
      <c r="B99" s="114" t="n"/>
      <c r="C99" s="109" t="inlineStr">
        <is>
          <t>xslx</t>
        </is>
      </c>
      <c r="D99" s="109" t="inlineStr">
        <is>
          <t>\</t>
        </is>
      </c>
      <c r="F99" s="110" t="inlineStr">
        <is>
          <t>\</t>
        </is>
      </c>
      <c r="G99" s="109" t="n"/>
      <c r="I99" s="110" t="n"/>
      <c r="J99" s="109" t="n"/>
      <c r="L99" s="110" t="n"/>
      <c r="M99" s="109" t="n"/>
      <c r="O99" s="110" t="n"/>
      <c r="P99" s="133" t="inlineStr">
        <is>
          <t>EC130019966</t>
        </is>
      </c>
      <c r="Q99" s="15" t="inlineStr">
        <is>
          <t>01.2</t>
        </is>
      </c>
      <c r="R99" s="423" t="inlineStr">
        <is>
          <t>EC130019966</t>
        </is>
      </c>
      <c r="S99" s="424" t="inlineStr">
        <is>
          <t>01.2</t>
        </is>
      </c>
      <c r="U99" s="110" t="n"/>
      <c r="W99" s="110" t="n"/>
    </row>
    <row r="100" outlineLevel="1" ht="30" customHeight="1" s="594">
      <c r="A100" s="114" t="inlineStr">
        <is>
          <t>ICD Sistema Propulsion TCU</t>
        </is>
      </c>
      <c r="B100" s="114" t="inlineStr">
        <is>
          <t>ICD_Propulsion</t>
        </is>
      </c>
      <c r="C100" s="109" t="inlineStr">
        <is>
          <t>pdf</t>
        </is>
      </c>
      <c r="D100" s="109" t="inlineStr">
        <is>
          <t>3EST000225-5108</t>
        </is>
      </c>
      <c r="E100" s="15" t="inlineStr">
        <is>
          <t>E</t>
        </is>
      </c>
      <c r="F100" s="110" t="inlineStr">
        <is>
          <t>\</t>
        </is>
      </c>
      <c r="G100" s="109" t="n"/>
      <c r="I100" s="110" t="n"/>
      <c r="J100" s="109" t="n"/>
      <c r="L100" s="110" t="n"/>
      <c r="M100" s="109" t="n"/>
      <c r="O100" s="110" t="n"/>
      <c r="P100" s="133" t="inlineStr">
        <is>
          <t>EC130019102</t>
        </is>
      </c>
      <c r="Q100" s="15" t="inlineStr">
        <is>
          <t>02.2</t>
        </is>
      </c>
      <c r="R100" s="423" t="inlineStr">
        <is>
          <t>EC130019102</t>
        </is>
      </c>
      <c r="S100" s="424" t="inlineStr">
        <is>
          <t>02.2</t>
        </is>
      </c>
      <c r="U100" s="110" t="n"/>
      <c r="W100" s="110" t="n"/>
    </row>
    <row r="101" outlineLevel="1" ht="30" customHeight="1" s="594">
      <c r="A101" s="114" t="inlineStr">
        <is>
          <t>ICD Sistema Propulsion TCU - Annex</t>
        </is>
      </c>
      <c r="B101" s="114" t="n"/>
      <c r="C101" s="109" t="inlineStr">
        <is>
          <t>xslx</t>
        </is>
      </c>
      <c r="D101" s="109" t="inlineStr">
        <is>
          <t>\</t>
        </is>
      </c>
      <c r="F101" s="110" t="inlineStr">
        <is>
          <t>\</t>
        </is>
      </c>
      <c r="G101" s="109" t="n"/>
      <c r="I101" s="110" t="n"/>
      <c r="J101" s="109" t="n"/>
      <c r="L101" s="110" t="n"/>
      <c r="M101" s="109" t="n"/>
      <c r="O101" s="110" t="n"/>
      <c r="P101" s="133" t="inlineStr">
        <is>
          <t>EC130019104</t>
        </is>
      </c>
      <c r="Q101" s="15" t="inlineStr">
        <is>
          <t>05.2</t>
        </is>
      </c>
      <c r="R101" s="423" t="inlineStr">
        <is>
          <t>EC130019104</t>
        </is>
      </c>
      <c r="S101" s="424" t="inlineStr">
        <is>
          <t>05.2</t>
        </is>
      </c>
      <c r="U101" s="110" t="n"/>
      <c r="W101" s="110" t="n"/>
    </row>
    <row r="102" outlineLevel="1" ht="30" customHeight="1" s="594">
      <c r="A102" s="114" t="inlineStr">
        <is>
          <t>ICD Pantografo</t>
        </is>
      </c>
      <c r="B102" s="114" t="inlineStr">
        <is>
          <t>ICD_Panto</t>
        </is>
      </c>
      <c r="C102" s="109" t="inlineStr">
        <is>
          <t>pdf</t>
        </is>
      </c>
      <c r="D102" s="109" t="inlineStr">
        <is>
          <t>3EST000225-7432</t>
        </is>
      </c>
      <c r="E102" s="15" t="inlineStr">
        <is>
          <t>C</t>
        </is>
      </c>
      <c r="F102" s="110" t="inlineStr">
        <is>
          <t>\</t>
        </is>
      </c>
      <c r="G102" s="109" t="n"/>
      <c r="I102" s="110" t="n"/>
      <c r="J102" s="109" t="n"/>
      <c r="L102" s="110" t="n"/>
      <c r="M102" s="109" t="n"/>
      <c r="O102" s="110" t="n"/>
      <c r="P102" s="133" t="inlineStr">
        <is>
          <t>EC130021259</t>
        </is>
      </c>
      <c r="Q102" s="15" t="inlineStr">
        <is>
          <t>00.3</t>
        </is>
      </c>
      <c r="R102" s="423" t="inlineStr">
        <is>
          <t>EC130021259</t>
        </is>
      </c>
      <c r="S102" s="424" t="inlineStr">
        <is>
          <t>00.3</t>
        </is>
      </c>
      <c r="U102" s="110" t="n"/>
      <c r="W102" s="110" t="n"/>
    </row>
    <row r="103" outlineLevel="1" ht="30" customHeight="1" s="594">
      <c r="A103" s="114" t="inlineStr">
        <is>
          <t>ICD Pantografo - Annex</t>
        </is>
      </c>
      <c r="B103" s="114" t="n"/>
      <c r="C103" s="109" t="inlineStr">
        <is>
          <t>xslx</t>
        </is>
      </c>
      <c r="D103" s="109" t="inlineStr">
        <is>
          <t>\</t>
        </is>
      </c>
      <c r="F103" s="110" t="inlineStr">
        <is>
          <t>\</t>
        </is>
      </c>
      <c r="G103" s="109" t="n"/>
      <c r="I103" s="110" t="n"/>
      <c r="J103" s="109" t="n"/>
      <c r="L103" s="110" t="n"/>
      <c r="M103" s="109" t="n"/>
      <c r="O103" s="110" t="n"/>
      <c r="P103" s="133" t="inlineStr">
        <is>
          <t>EC130021260</t>
        </is>
      </c>
      <c r="Q103" s="15" t="inlineStr">
        <is>
          <t>03.2</t>
        </is>
      </c>
      <c r="R103" s="423" t="inlineStr">
        <is>
          <t>EC130021260</t>
        </is>
      </c>
      <c r="S103" s="424" t="inlineStr">
        <is>
          <t>03.2</t>
        </is>
      </c>
      <c r="U103" s="110" t="n"/>
      <c r="W103" s="110" t="n"/>
    </row>
    <row r="104" outlineLevel="1" ht="30" customHeight="1" s="594">
      <c r="A104" s="114" t="inlineStr">
        <is>
          <t>ICD Sistema BCU</t>
        </is>
      </c>
      <c r="B104" s="114" t="inlineStr">
        <is>
          <t>ICD_Brake</t>
        </is>
      </c>
      <c r="C104" s="109" t="inlineStr">
        <is>
          <t>pdf</t>
        </is>
      </c>
      <c r="D104" s="109" t="inlineStr">
        <is>
          <t>3EST000225-7431</t>
        </is>
      </c>
      <c r="E104" s="15" t="inlineStr">
        <is>
          <t>D</t>
        </is>
      </c>
      <c r="F104" s="110" t="inlineStr">
        <is>
          <t>\</t>
        </is>
      </c>
      <c r="G104" s="109" t="n"/>
      <c r="I104" s="110" t="n"/>
      <c r="J104" s="109" t="n"/>
      <c r="L104" s="110" t="n"/>
      <c r="M104" s="109" t="n"/>
      <c r="O104" s="110" t="n"/>
      <c r="P104" s="133" t="inlineStr">
        <is>
          <t>EC130019100</t>
        </is>
      </c>
      <c r="Q104" s="15" t="inlineStr">
        <is>
          <t>02.2</t>
        </is>
      </c>
      <c r="R104" s="423" t="inlineStr">
        <is>
          <t>EC130019100</t>
        </is>
      </c>
      <c r="S104" s="424" t="inlineStr">
        <is>
          <t>02.2</t>
        </is>
      </c>
      <c r="U104" s="110" t="n"/>
      <c r="W104" s="110" t="n"/>
    </row>
    <row r="105" outlineLevel="1" ht="30" customHeight="1" s="594">
      <c r="A105" s="114" t="inlineStr">
        <is>
          <t>ICD Sistema BCU - Annex</t>
        </is>
      </c>
      <c r="B105" s="114" t="inlineStr">
        <is>
          <t>ICD_Brake_Annex</t>
        </is>
      </c>
      <c r="C105" s="109" t="inlineStr">
        <is>
          <t>xslx</t>
        </is>
      </c>
      <c r="D105" s="422" t="inlineStr">
        <is>
          <t>3EST000225-7431_Annex</t>
        </is>
      </c>
      <c r="F105" s="110" t="inlineStr">
        <is>
          <t>\</t>
        </is>
      </c>
      <c r="G105" s="109" t="n"/>
      <c r="I105" s="110" t="n"/>
      <c r="J105" s="109" t="n"/>
      <c r="L105" s="110" t="n"/>
      <c r="M105" s="109" t="n"/>
      <c r="O105" s="110" t="n"/>
      <c r="P105" s="133" t="inlineStr">
        <is>
          <t>EC130019101</t>
        </is>
      </c>
      <c r="Q105" s="15" t="inlineStr">
        <is>
          <t>03.3</t>
        </is>
      </c>
      <c r="R105" s="423" t="inlineStr">
        <is>
          <t>EC130019101</t>
        </is>
      </c>
      <c r="S105" s="424" t="inlineStr">
        <is>
          <t>03.3</t>
        </is>
      </c>
      <c r="U105" s="110" t="n"/>
      <c r="W105" s="110" t="n"/>
    </row>
    <row r="106" outlineLevel="1" ht="30" customHeight="1" s="594">
      <c r="A106" s="114" t="inlineStr">
        <is>
          <t>ICD Sistema Segnalamento</t>
        </is>
      </c>
      <c r="B106" s="114" t="inlineStr">
        <is>
          <t>ICD_ATP</t>
        </is>
      </c>
      <c r="C106" s="109" t="inlineStr">
        <is>
          <t>pdf</t>
        </is>
      </c>
      <c r="D106" s="109" t="inlineStr">
        <is>
          <t>\</t>
        </is>
      </c>
      <c r="F106" s="110" t="inlineStr">
        <is>
          <t>\</t>
        </is>
      </c>
      <c r="G106" s="109" t="n"/>
      <c r="I106" s="110" t="n"/>
      <c r="J106" s="109" t="n"/>
      <c r="L106" s="110" t="n"/>
      <c r="M106" s="109" t="n"/>
      <c r="O106" s="110" t="n"/>
      <c r="P106" s="133" t="inlineStr">
        <is>
          <t>EC130020522</t>
        </is>
      </c>
      <c r="Q106" s="15" t="inlineStr">
        <is>
          <t>01.3</t>
        </is>
      </c>
      <c r="R106" s="423" t="inlineStr">
        <is>
          <t>EC130020522</t>
        </is>
      </c>
      <c r="S106" s="424" t="inlineStr">
        <is>
          <t>01.3</t>
        </is>
      </c>
      <c r="U106" s="110" t="n"/>
      <c r="W106" s="110" t="n"/>
    </row>
    <row r="107" outlineLevel="1" ht="30" customHeight="1" s="594">
      <c r="A107" s="114" t="inlineStr">
        <is>
          <t>ICD Sistema Segnalamento - Annex</t>
        </is>
      </c>
      <c r="B107" s="114" t="n"/>
      <c r="C107" s="109" t="inlineStr">
        <is>
          <t>xslx</t>
        </is>
      </c>
      <c r="D107" s="109" t="inlineStr">
        <is>
          <t>\</t>
        </is>
      </c>
      <c r="F107" s="110" t="inlineStr">
        <is>
          <t>\</t>
        </is>
      </c>
      <c r="G107" s="109" t="n"/>
      <c r="I107" s="110" t="n"/>
      <c r="J107" s="109" t="n"/>
      <c r="L107" s="110" t="n"/>
      <c r="M107" s="109" t="n"/>
      <c r="O107" s="110" t="n"/>
      <c r="P107" s="133" t="inlineStr">
        <is>
          <t>EC130020523</t>
        </is>
      </c>
      <c r="Q107" s="15" t="inlineStr">
        <is>
          <t>03.2</t>
        </is>
      </c>
      <c r="R107" s="423" t="inlineStr">
        <is>
          <t>EC130020523</t>
        </is>
      </c>
      <c r="S107" s="424" t="inlineStr">
        <is>
          <t>03.2</t>
        </is>
      </c>
      <c r="U107" s="110" t="n"/>
      <c r="W107" s="110" t="n"/>
    </row>
    <row r="108" outlineLevel="1" ht="30" customHeight="1" s="594">
      <c r="A108" s="114" t="inlineStr">
        <is>
          <t>ICD Sistema PIS</t>
        </is>
      </c>
      <c r="B108" s="114" t="inlineStr">
        <is>
          <t>ICD_PIS</t>
        </is>
      </c>
      <c r="C108" s="109" t="inlineStr">
        <is>
          <t>pdf</t>
        </is>
      </c>
      <c r="D108" s="109" t="inlineStr">
        <is>
          <t>3EST000225-7439</t>
        </is>
      </c>
      <c r="E108" s="15" t="inlineStr">
        <is>
          <t>B</t>
        </is>
      </c>
      <c r="F108" s="110" t="inlineStr">
        <is>
          <t>\</t>
        </is>
      </c>
      <c r="G108" s="109" t="n"/>
      <c r="I108" s="110" t="n"/>
      <c r="J108" s="109" t="n"/>
      <c r="L108" s="110" t="n"/>
      <c r="M108" s="109" t="n"/>
      <c r="O108" s="110" t="n"/>
      <c r="P108" s="133" t="inlineStr">
        <is>
          <t>EC130021261</t>
        </is>
      </c>
      <c r="Q108" s="15" t="inlineStr">
        <is>
          <t>00.3</t>
        </is>
      </c>
      <c r="R108" s="423" t="inlineStr">
        <is>
          <t>EC130021261</t>
        </is>
      </c>
      <c r="S108" s="424" t="inlineStr">
        <is>
          <t>00.3</t>
        </is>
      </c>
      <c r="U108" s="110" t="n"/>
      <c r="W108" s="110" t="n"/>
    </row>
    <row r="109" outlineLevel="1" ht="30" customHeight="1" s="594">
      <c r="A109" s="114" t="inlineStr">
        <is>
          <t>ICD Sistema PIS - Annex</t>
        </is>
      </c>
      <c r="B109" s="114" t="n"/>
      <c r="C109" s="109" t="inlineStr">
        <is>
          <t>xslx</t>
        </is>
      </c>
      <c r="D109" s="109" t="inlineStr">
        <is>
          <t>\</t>
        </is>
      </c>
      <c r="F109" s="110" t="inlineStr">
        <is>
          <t>\</t>
        </is>
      </c>
      <c r="G109" s="109" t="n"/>
      <c r="I109" s="110" t="n"/>
      <c r="J109" s="109" t="n"/>
      <c r="L109" s="110" t="n"/>
      <c r="M109" s="109" t="n"/>
      <c r="O109" s="110" t="n"/>
      <c r="P109" s="133" t="inlineStr">
        <is>
          <t>EC130021262</t>
        </is>
      </c>
      <c r="Q109" s="15" t="inlineStr">
        <is>
          <t>01.3</t>
        </is>
      </c>
      <c r="R109" s="423" t="inlineStr">
        <is>
          <t>EC130021262</t>
        </is>
      </c>
      <c r="S109" s="424" t="inlineStr">
        <is>
          <t>01.3</t>
        </is>
      </c>
      <c r="U109" s="110" t="n"/>
      <c r="W109" s="110" t="n"/>
    </row>
    <row r="110" outlineLevel="1" ht="30" customHeight="1" s="594">
      <c r="A110" s="114" t="inlineStr">
        <is>
          <t>ICD Sistema Toilette</t>
        </is>
      </c>
      <c r="B110" s="114" t="inlineStr">
        <is>
          <t>ICD_Toilet</t>
        </is>
      </c>
      <c r="C110" s="109" t="inlineStr">
        <is>
          <t>pdf</t>
        </is>
      </c>
      <c r="D110" s="109" t="inlineStr">
        <is>
          <t>3EST000225-7438</t>
        </is>
      </c>
      <c r="E110" s="15" t="inlineStr">
        <is>
          <t>E</t>
        </is>
      </c>
      <c r="F110" s="110" t="inlineStr">
        <is>
          <t>\</t>
        </is>
      </c>
      <c r="G110" s="109" t="n"/>
      <c r="I110" s="110" t="n"/>
      <c r="J110" s="109" t="n"/>
      <c r="L110" s="110" t="n"/>
      <c r="M110" s="109" t="n"/>
      <c r="O110" s="110" t="n"/>
      <c r="P110" s="133" t="inlineStr">
        <is>
          <t>EC130021264</t>
        </is>
      </c>
      <c r="Q110" s="15" t="inlineStr">
        <is>
          <t>00.3</t>
        </is>
      </c>
      <c r="R110" s="423" t="inlineStr">
        <is>
          <t>EC130021264</t>
        </is>
      </c>
      <c r="S110" s="424" t="inlineStr">
        <is>
          <t>00.3</t>
        </is>
      </c>
      <c r="U110" s="110" t="n"/>
      <c r="W110" s="110" t="n"/>
    </row>
    <row r="111" outlineLevel="1" ht="30" customHeight="1" s="594">
      <c r="A111" s="114" t="inlineStr">
        <is>
          <t>ICD Sistema Toilette - Annex</t>
        </is>
      </c>
      <c r="B111" s="114" t="n"/>
      <c r="C111" s="109" t="inlineStr">
        <is>
          <t>xslx</t>
        </is>
      </c>
      <c r="D111" s="109" t="inlineStr">
        <is>
          <t>\</t>
        </is>
      </c>
      <c r="F111" s="110" t="inlineStr">
        <is>
          <t>\</t>
        </is>
      </c>
      <c r="G111" s="109" t="n"/>
      <c r="I111" s="110" t="n"/>
      <c r="J111" s="109" t="n"/>
      <c r="L111" s="110" t="n"/>
      <c r="M111" s="109" t="n"/>
      <c r="O111" s="110" t="n"/>
      <c r="P111" s="133" t="inlineStr">
        <is>
          <t>EC130021265</t>
        </is>
      </c>
      <c r="Q111" s="15" t="inlineStr">
        <is>
          <t>02.2</t>
        </is>
      </c>
      <c r="R111" s="423" t="inlineStr">
        <is>
          <t>EC130021265</t>
        </is>
      </c>
      <c r="S111" s="424" t="inlineStr">
        <is>
          <t>02.2</t>
        </is>
      </c>
      <c r="U111" s="110" t="n"/>
      <c r="W111" s="110" t="n"/>
    </row>
    <row r="112" outlineLevel="1" ht="30" customHeight="1" s="594">
      <c r="A112" s="114" t="inlineStr">
        <is>
          <t>ICD Sistema Anticendio</t>
        </is>
      </c>
      <c r="B112" s="114" t="inlineStr">
        <is>
          <t>ICD_FPS</t>
        </is>
      </c>
      <c r="C112" s="109" t="inlineStr">
        <is>
          <t>pdf</t>
        </is>
      </c>
      <c r="D112" s="109" t="inlineStr">
        <is>
          <t>3EST000225-7440</t>
        </is>
      </c>
      <c r="E112" s="15" t="inlineStr">
        <is>
          <t>E</t>
        </is>
      </c>
      <c r="F112" s="110" t="inlineStr">
        <is>
          <t>\</t>
        </is>
      </c>
      <c r="G112" s="109" t="n"/>
      <c r="I112" s="110" t="n"/>
      <c r="J112" s="109" t="n"/>
      <c r="L112" s="110" t="n"/>
      <c r="M112" s="109" t="n"/>
      <c r="O112" s="110" t="n"/>
      <c r="P112" s="133" t="inlineStr">
        <is>
          <t>EC130021300</t>
        </is>
      </c>
      <c r="Q112" s="15" t="inlineStr">
        <is>
          <t>00.5</t>
        </is>
      </c>
      <c r="R112" s="423" t="inlineStr">
        <is>
          <t>EC130021300</t>
        </is>
      </c>
      <c r="S112" s="424" t="inlineStr">
        <is>
          <t>00.5</t>
        </is>
      </c>
      <c r="U112" s="110" t="n"/>
      <c r="W112" s="110" t="n"/>
    </row>
    <row r="113" outlineLevel="1" ht="30" customHeight="1" s="594">
      <c r="A113" s="114" t="inlineStr">
        <is>
          <t>ICD Sistema Anticendio - Annex</t>
        </is>
      </c>
      <c r="B113" s="114" t="n"/>
      <c r="C113" s="109" t="inlineStr">
        <is>
          <t>xslx</t>
        </is>
      </c>
      <c r="D113" s="109" t="inlineStr">
        <is>
          <t>\</t>
        </is>
      </c>
      <c r="F113" s="110" t="inlineStr">
        <is>
          <t>\</t>
        </is>
      </c>
      <c r="G113" s="109" t="n"/>
      <c r="I113" s="110" t="n"/>
      <c r="J113" s="109" t="n"/>
      <c r="L113" s="110" t="n"/>
      <c r="M113" s="109" t="n"/>
      <c r="O113" s="110" t="n"/>
      <c r="P113" s="133" t="inlineStr">
        <is>
          <t>EC130021301</t>
        </is>
      </c>
      <c r="Q113" s="15" t="inlineStr">
        <is>
          <t>04.2</t>
        </is>
      </c>
      <c r="R113" s="423" t="inlineStr">
        <is>
          <t>EC130021301</t>
        </is>
      </c>
      <c r="S113" s="424" t="inlineStr">
        <is>
          <t>04.2</t>
        </is>
      </c>
      <c r="U113" s="110" t="n"/>
      <c r="W113" s="110" t="n"/>
    </row>
    <row r="114" outlineLevel="1" ht="30" customHeight="1" s="594">
      <c r="A114" s="114" t="inlineStr">
        <is>
          <t>ICD Sistema Porte</t>
        </is>
      </c>
      <c r="B114" s="114" t="inlineStr">
        <is>
          <t>ICD_Doors</t>
        </is>
      </c>
      <c r="C114" s="109" t="inlineStr">
        <is>
          <t>pdf</t>
        </is>
      </c>
      <c r="D114" s="109" t="inlineStr">
        <is>
          <t>3EST000225-7437</t>
        </is>
      </c>
      <c r="E114" s="15" t="inlineStr">
        <is>
          <t>C</t>
        </is>
      </c>
      <c r="F114" s="110" t="inlineStr">
        <is>
          <t>\</t>
        </is>
      </c>
      <c r="G114" s="109" t="n"/>
      <c r="I114" s="110" t="n"/>
      <c r="J114" s="109" t="n"/>
      <c r="L114" s="110" t="n"/>
      <c r="M114" s="109" t="n"/>
      <c r="O114" s="110" t="n"/>
      <c r="P114" s="133" t="inlineStr">
        <is>
          <t>EC130021266</t>
        </is>
      </c>
      <c r="Q114" s="15" t="inlineStr">
        <is>
          <t>00.3</t>
        </is>
      </c>
      <c r="R114" s="423" t="inlineStr">
        <is>
          <t>EC130021266</t>
        </is>
      </c>
      <c r="S114" s="424" t="inlineStr">
        <is>
          <t>00.3</t>
        </is>
      </c>
      <c r="U114" s="110" t="n"/>
      <c r="W114" s="110" t="n"/>
    </row>
    <row r="115" outlineLevel="1" ht="30" customHeight="1" s="594">
      <c r="A115" s="114" t="inlineStr">
        <is>
          <t>ICD Sistema Porte - Annex</t>
        </is>
      </c>
      <c r="B115" s="114" t="n"/>
      <c r="C115" s="109" t="inlineStr">
        <is>
          <t>xslx</t>
        </is>
      </c>
      <c r="D115" s="109" t="inlineStr">
        <is>
          <t>\</t>
        </is>
      </c>
      <c r="F115" s="110" t="inlineStr">
        <is>
          <t>\</t>
        </is>
      </c>
      <c r="G115" s="109" t="n"/>
      <c r="I115" s="110" t="n"/>
      <c r="J115" s="109" t="n"/>
      <c r="L115" s="110" t="n"/>
      <c r="M115" s="109" t="n"/>
      <c r="O115" s="110" t="n"/>
      <c r="P115" s="133" t="inlineStr">
        <is>
          <t>EC130021268</t>
        </is>
      </c>
      <c r="Q115" s="15" t="inlineStr">
        <is>
          <t>01.2</t>
        </is>
      </c>
      <c r="R115" s="423" t="inlineStr">
        <is>
          <t>EC130021268</t>
        </is>
      </c>
      <c r="S115" s="424" t="inlineStr">
        <is>
          <t>01.2</t>
        </is>
      </c>
      <c r="U115" s="110" t="n"/>
      <c r="W115" s="110" t="n"/>
    </row>
    <row r="116" outlineLevel="1" ht="30" customHeight="1" s="594">
      <c r="A116" s="114" t="inlineStr">
        <is>
          <t>ICD Sistema HVSP</t>
        </is>
      </c>
      <c r="B116" s="114" t="inlineStr">
        <is>
          <t>ICD_HVSP</t>
        </is>
      </c>
      <c r="C116" s="109" t="inlineStr">
        <is>
          <t>pdf</t>
        </is>
      </c>
      <c r="D116" s="109" t="inlineStr">
        <is>
          <t>\</t>
        </is>
      </c>
      <c r="F116" s="110" t="inlineStr">
        <is>
          <t>\</t>
        </is>
      </c>
      <c r="G116" s="109" t="n"/>
      <c r="I116" s="110" t="n"/>
      <c r="J116" s="109" t="n"/>
      <c r="L116" s="110" t="n"/>
      <c r="M116" s="109" t="n"/>
      <c r="O116" s="110" t="n"/>
      <c r="P116" s="133" t="inlineStr">
        <is>
          <t>EC130023723</t>
        </is>
      </c>
      <c r="Q116" s="15" t="inlineStr">
        <is>
          <t>01.2</t>
        </is>
      </c>
      <c r="R116" s="423" t="inlineStr">
        <is>
          <t>EC130023723</t>
        </is>
      </c>
      <c r="S116" s="424" t="inlineStr">
        <is>
          <t>01.2</t>
        </is>
      </c>
      <c r="U116" s="110" t="n"/>
      <c r="W116" s="110" t="n"/>
    </row>
    <row r="117" outlineLevel="1" ht="30" customHeight="1" s="594">
      <c r="A117" s="114" t="inlineStr">
        <is>
          <t>ICD Sistema HVSP  - Annex</t>
        </is>
      </c>
      <c r="B117" s="114" t="n"/>
      <c r="C117" s="109" t="inlineStr">
        <is>
          <t>xslx</t>
        </is>
      </c>
      <c r="D117" s="109" t="inlineStr">
        <is>
          <t>\</t>
        </is>
      </c>
      <c r="F117" s="110" t="inlineStr">
        <is>
          <t>\</t>
        </is>
      </c>
      <c r="G117" s="109" t="n"/>
      <c r="I117" s="110" t="n"/>
      <c r="J117" s="109" t="n"/>
      <c r="L117" s="110" t="n"/>
      <c r="M117" s="109" t="n"/>
      <c r="O117" s="110" t="n"/>
      <c r="P117" s="133" t="inlineStr">
        <is>
          <t>EC130023724</t>
        </is>
      </c>
      <c r="Q117" s="15" t="inlineStr">
        <is>
          <t>04.2</t>
        </is>
      </c>
      <c r="R117" s="423" t="inlineStr">
        <is>
          <t>EC130023724</t>
        </is>
      </c>
      <c r="S117" s="424" t="inlineStr">
        <is>
          <t>04.2</t>
        </is>
      </c>
      <c r="U117" s="110" t="n"/>
      <c r="W117" s="110" t="n"/>
    </row>
    <row r="118" outlineLevel="1" ht="30" customHeight="1" s="594">
      <c r="A118" s="114" t="inlineStr">
        <is>
          <t>ICD Sistema Carica Batterie</t>
        </is>
      </c>
      <c r="B118" s="114" t="inlineStr">
        <is>
          <t>ICD_Battery charger</t>
        </is>
      </c>
      <c r="C118" s="109" t="inlineStr">
        <is>
          <t>pdf</t>
        </is>
      </c>
      <c r="D118" s="109" t="inlineStr">
        <is>
          <t>3EST000225-7435</t>
        </is>
      </c>
      <c r="E118" s="15" t="inlineStr">
        <is>
          <t>C</t>
        </is>
      </c>
      <c r="F118" s="110" t="inlineStr">
        <is>
          <t>\</t>
        </is>
      </c>
      <c r="G118" s="109" t="n"/>
      <c r="I118" s="110" t="n"/>
      <c r="J118" s="109" t="n"/>
      <c r="L118" s="110" t="n"/>
      <c r="M118" s="109" t="n"/>
      <c r="O118" s="110" t="n"/>
      <c r="P118" s="133" t="inlineStr">
        <is>
          <t>EC130021254</t>
        </is>
      </c>
      <c r="Q118" s="15" t="inlineStr">
        <is>
          <t>00.4</t>
        </is>
      </c>
      <c r="R118" s="423" t="inlineStr">
        <is>
          <t>EC130021254</t>
        </is>
      </c>
      <c r="S118" s="424" t="inlineStr">
        <is>
          <t>00.4</t>
        </is>
      </c>
      <c r="U118" s="110" t="n"/>
      <c r="W118" s="110" t="n"/>
    </row>
    <row r="119" outlineLevel="1" ht="30" customHeight="1" s="594">
      <c r="A119" s="114" t="inlineStr">
        <is>
          <t>ICD Sistema Carica Batterie - Annex</t>
        </is>
      </c>
      <c r="B119" s="114" t="n"/>
      <c r="C119" s="109" t="inlineStr">
        <is>
          <t>xslx</t>
        </is>
      </c>
      <c r="D119" s="109" t="inlineStr">
        <is>
          <t>\</t>
        </is>
      </c>
      <c r="F119" s="110" t="inlineStr">
        <is>
          <t>\</t>
        </is>
      </c>
      <c r="G119" s="109" t="n"/>
      <c r="I119" s="110" t="n"/>
      <c r="J119" s="109" t="n"/>
      <c r="L119" s="110" t="n"/>
      <c r="M119" s="109" t="n"/>
      <c r="O119" s="110" t="n"/>
      <c r="P119" s="133" t="inlineStr">
        <is>
          <t>EC130021255</t>
        </is>
      </c>
      <c r="Q119" s="15" t="inlineStr">
        <is>
          <t>01.2</t>
        </is>
      </c>
      <c r="R119" s="423" t="inlineStr">
        <is>
          <t>EC130021255</t>
        </is>
      </c>
      <c r="S119" s="424" t="inlineStr">
        <is>
          <t>01.2</t>
        </is>
      </c>
      <c r="U119" s="110" t="n"/>
      <c r="W119" s="110" t="n"/>
    </row>
    <row r="120" outlineLevel="1" ht="30" customHeight="1" s="594">
      <c r="A120" s="114" t="inlineStr">
        <is>
          <t>ICD HVAC</t>
        </is>
      </c>
      <c r="B120" s="114" t="inlineStr">
        <is>
          <t>ICD_HVAC</t>
        </is>
      </c>
      <c r="C120" s="109" t="inlineStr">
        <is>
          <t>pdf</t>
        </is>
      </c>
      <c r="D120" s="109" t="inlineStr">
        <is>
          <t>3EST000225-7436</t>
        </is>
      </c>
      <c r="E120" s="15" t="inlineStr">
        <is>
          <t>C</t>
        </is>
      </c>
      <c r="F120" s="110" t="inlineStr">
        <is>
          <t>\</t>
        </is>
      </c>
      <c r="G120" s="109" t="n"/>
      <c r="I120" s="110" t="n"/>
      <c r="J120" s="109" t="n"/>
      <c r="L120" s="110" t="n"/>
      <c r="M120" s="109" t="n"/>
      <c r="O120" s="110" t="n"/>
      <c r="P120" s="133" t="inlineStr">
        <is>
          <t>EC130021304</t>
        </is>
      </c>
      <c r="Q120" s="15" t="inlineStr">
        <is>
          <t>00.4</t>
        </is>
      </c>
      <c r="R120" s="423" t="inlineStr">
        <is>
          <t>EC130021304</t>
        </is>
      </c>
      <c r="S120" s="424" t="inlineStr">
        <is>
          <t>00.4</t>
        </is>
      </c>
      <c r="U120" s="110" t="n"/>
      <c r="W120" s="110" t="n"/>
    </row>
    <row r="121" outlineLevel="1" ht="30" customHeight="1" s="594">
      <c r="A121" s="114" t="inlineStr">
        <is>
          <t>ICD HVAC - Annex</t>
        </is>
      </c>
      <c r="B121" s="114" t="n"/>
      <c r="C121" s="109" t="inlineStr">
        <is>
          <t>xslx</t>
        </is>
      </c>
      <c r="D121" s="109" t="inlineStr">
        <is>
          <t>\</t>
        </is>
      </c>
      <c r="F121" s="110" t="inlineStr">
        <is>
          <t>\</t>
        </is>
      </c>
      <c r="G121" s="109" t="n"/>
      <c r="I121" s="110" t="n"/>
      <c r="J121" s="109" t="n"/>
      <c r="L121" s="110" t="n"/>
      <c r="M121" s="109" t="n"/>
      <c r="O121" s="110" t="n"/>
      <c r="P121" s="133" t="inlineStr">
        <is>
          <t>EC130021305</t>
        </is>
      </c>
      <c r="Q121" s="15" t="inlineStr">
        <is>
          <t>02.2</t>
        </is>
      </c>
      <c r="R121" s="423" t="inlineStr">
        <is>
          <t>EC130021305</t>
        </is>
      </c>
      <c r="S121" s="424" t="inlineStr">
        <is>
          <t>02.2</t>
        </is>
      </c>
      <c r="U121" s="110" t="n"/>
      <c r="W121" s="110" t="n"/>
    </row>
    <row r="122" outlineLevel="1" ht="30" customHeight="1" s="594">
      <c r="A122" s="114" t="inlineStr">
        <is>
          <t>ICD Energy Measurement System</t>
        </is>
      </c>
      <c r="B122" s="114" t="inlineStr">
        <is>
          <t>ICD_EMS</t>
        </is>
      </c>
      <c r="C122" s="109" t="inlineStr">
        <is>
          <t>pdf</t>
        </is>
      </c>
      <c r="D122" s="109" t="inlineStr">
        <is>
          <t>\</t>
        </is>
      </c>
      <c r="F122" s="110" t="inlineStr">
        <is>
          <t>\</t>
        </is>
      </c>
      <c r="G122" s="109" t="n"/>
      <c r="I122" s="110" t="n"/>
      <c r="J122" s="109" t="n"/>
      <c r="L122" s="110" t="n"/>
      <c r="M122" s="109" t="n"/>
      <c r="O122" s="110" t="n"/>
      <c r="P122" s="133" t="inlineStr">
        <is>
          <t>EC130023132</t>
        </is>
      </c>
      <c r="Q122" s="15" t="inlineStr">
        <is>
          <t>01.2</t>
        </is>
      </c>
      <c r="R122" s="423" t="inlineStr">
        <is>
          <t>EC130023132</t>
        </is>
      </c>
      <c r="S122" s="424" t="inlineStr">
        <is>
          <t>01.2</t>
        </is>
      </c>
      <c r="U122" s="110" t="n"/>
      <c r="W122" s="110" t="n"/>
    </row>
    <row r="123" outlineLevel="1" ht="30" customHeight="1" s="594">
      <c r="A123" s="114" t="inlineStr">
        <is>
          <t>ICD Energy Measurement System - Annex</t>
        </is>
      </c>
      <c r="B123" s="114" t="n"/>
      <c r="C123" s="109" t="inlineStr">
        <is>
          <t>xslx</t>
        </is>
      </c>
      <c r="D123" s="109" t="inlineStr">
        <is>
          <t>\</t>
        </is>
      </c>
      <c r="F123" s="110" t="inlineStr">
        <is>
          <t>\</t>
        </is>
      </c>
      <c r="G123" s="109" t="n"/>
      <c r="I123" s="110" t="n"/>
      <c r="J123" s="109" t="n"/>
      <c r="L123" s="110" t="n"/>
      <c r="M123" s="109" t="n"/>
      <c r="O123" s="110" t="n"/>
      <c r="P123" s="133" t="inlineStr">
        <is>
          <t>EC130023133</t>
        </is>
      </c>
      <c r="Q123" s="15" t="inlineStr">
        <is>
          <t>02.2</t>
        </is>
      </c>
      <c r="R123" s="423" t="inlineStr">
        <is>
          <t>EC130023133</t>
        </is>
      </c>
      <c r="S123" s="424" t="inlineStr">
        <is>
          <t>02.2</t>
        </is>
      </c>
      <c r="U123" s="110" t="n"/>
      <c r="W123" s="110" t="n"/>
    </row>
    <row r="124">
      <c r="A124" s="445" t="inlineStr">
        <is>
          <t>General Vehicle Document</t>
        </is>
      </c>
      <c r="B124" s="445" t="n"/>
      <c r="C124" s="199" t="n"/>
      <c r="D124" s="117" t="n"/>
      <c r="E124" s="446" t="n"/>
      <c r="F124" s="118" t="n"/>
      <c r="G124" s="117" t="n"/>
      <c r="H124" s="446" t="n"/>
      <c r="I124" s="118" t="n"/>
      <c r="J124" s="117" t="n"/>
      <c r="K124" s="446" t="n"/>
      <c r="L124" s="118" t="n"/>
      <c r="M124" s="117" t="n"/>
      <c r="N124" s="446" t="n"/>
      <c r="O124" s="118" t="n"/>
      <c r="P124" s="446" t="n"/>
      <c r="Q124" s="446" t="n"/>
      <c r="R124" s="117" t="n"/>
      <c r="S124" s="118" t="n"/>
      <c r="T124" s="446" t="n"/>
      <c r="U124" s="118" t="n"/>
      <c r="V124" s="446" t="n"/>
      <c r="W124" s="118" t="n"/>
    </row>
    <row r="125" outlineLevel="1" ht="30" customHeight="1" s="594">
      <c r="A125" s="114" t="inlineStr">
        <is>
          <t>Train Performances</t>
        </is>
      </c>
      <c r="B125" s="114">
        <f>CONCATENATE("GVN_",A125)</f>
        <v/>
      </c>
      <c r="C125" s="109" t="inlineStr">
        <is>
          <t>pdf</t>
        </is>
      </c>
      <c r="D125" s="109" t="n"/>
      <c r="F125" s="110" t="n"/>
      <c r="G125" s="109" t="n"/>
      <c r="I125" s="110" t="n"/>
      <c r="J125" s="109" t="n"/>
      <c r="L125" s="110" t="n"/>
      <c r="M125" s="109" t="n"/>
      <c r="O125" s="110" t="n"/>
      <c r="P125" s="133" t="inlineStr">
        <is>
          <t>ED040019912</t>
        </is>
      </c>
      <c r="Q125" s="134" t="inlineStr">
        <is>
          <t>03.2</t>
        </is>
      </c>
      <c r="R125" s="109" t="inlineStr">
        <is>
          <t>ED040019912</t>
        </is>
      </c>
      <c r="S125" s="123" t="inlineStr">
        <is>
          <t>03.2</t>
        </is>
      </c>
      <c r="U125" s="110" t="n"/>
      <c r="W125" s="110" t="n"/>
    </row>
    <row r="126" outlineLevel="1" ht="30" customHeight="1" s="594">
      <c r="A126" s="114" t="inlineStr">
        <is>
          <t>Train System Architecture</t>
        </is>
      </c>
      <c r="B126" s="114">
        <f>CONCATENATE("GVN_",A126)</f>
        <v/>
      </c>
      <c r="C126" s="109" t="inlineStr">
        <is>
          <t>pdf</t>
        </is>
      </c>
      <c r="D126" s="109" t="n"/>
      <c r="F126" s="110" t="n"/>
      <c r="G126" s="109" t="n"/>
      <c r="I126" s="110" t="n"/>
      <c r="J126" s="109" t="n"/>
      <c r="L126" s="110" t="n"/>
      <c r="M126" s="109" t="n"/>
      <c r="O126" s="110" t="n"/>
      <c r="P126" s="133" t="inlineStr">
        <is>
          <t>FF010020369</t>
        </is>
      </c>
      <c r="Q126" s="134" t="inlineStr">
        <is>
          <t>01.2</t>
        </is>
      </c>
      <c r="R126" s="109" t="inlineStr">
        <is>
          <t>FF010020369</t>
        </is>
      </c>
      <c r="S126" s="123" t="inlineStr">
        <is>
          <t>01.2</t>
        </is>
      </c>
      <c r="U126" s="110" t="n"/>
      <c r="W126" s="110" t="n"/>
    </row>
    <row r="127" outlineLevel="1" ht="30" customHeight="1" s="594">
      <c r="A127" s="114" t="inlineStr">
        <is>
          <t>Train Running Simulations</t>
        </is>
      </c>
      <c r="B127" s="114">
        <f>CONCATENATE("GVN_",A127)</f>
        <v/>
      </c>
      <c r="C127" s="109" t="inlineStr">
        <is>
          <t>pdf</t>
        </is>
      </c>
      <c r="D127" s="109" t="n"/>
      <c r="F127" s="110" t="n"/>
      <c r="G127" s="109" t="n"/>
      <c r="I127" s="110" t="n"/>
      <c r="J127" s="109" t="n"/>
      <c r="L127" s="110" t="n"/>
      <c r="M127" s="109" t="n"/>
      <c r="O127" s="110" t="n"/>
      <c r="P127" s="133" t="inlineStr">
        <is>
          <t>ED180020963</t>
        </is>
      </c>
      <c r="Q127" s="134" t="inlineStr">
        <is>
          <t>01.2</t>
        </is>
      </c>
      <c r="R127" s="109" t="inlineStr">
        <is>
          <t>ED180020963</t>
        </is>
      </c>
      <c r="S127" s="123" t="inlineStr">
        <is>
          <t>01.2</t>
        </is>
      </c>
      <c r="U127" s="110" t="n"/>
      <c r="W127" s="110" t="n"/>
    </row>
    <row r="128" outlineLevel="1" ht="30" customHeight="1" s="594">
      <c r="A128" s="114" t="inlineStr">
        <is>
          <t>SyFD Propulsion System</t>
        </is>
      </c>
      <c r="B128" s="114">
        <f>CONCATENATE("GVN_",A128)</f>
        <v/>
      </c>
      <c r="C128" s="109" t="inlineStr">
        <is>
          <t>pdf</t>
        </is>
      </c>
      <c r="D128" s="109" t="n"/>
      <c r="F128" s="110" t="n"/>
      <c r="G128" s="109" t="n"/>
      <c r="I128" s="110" t="n"/>
      <c r="J128" s="109" t="n"/>
      <c r="L128" s="110" t="n"/>
      <c r="M128" s="109" t="n"/>
      <c r="O128" s="110" t="n"/>
      <c r="P128" s="133" t="inlineStr">
        <is>
          <t>FE010020176</t>
        </is>
      </c>
      <c r="Q128" s="134" t="inlineStr">
        <is>
          <t>00.4</t>
        </is>
      </c>
      <c r="R128" s="109" t="inlineStr">
        <is>
          <t>FE010020176</t>
        </is>
      </c>
      <c r="S128" s="123" t="inlineStr">
        <is>
          <t>00.4</t>
        </is>
      </c>
      <c r="U128" s="110" t="n"/>
      <c r="W128" s="110" t="n"/>
    </row>
    <row r="129" outlineLevel="1" ht="30" customHeight="1" s="594">
      <c r="A129" s="114" t="inlineStr">
        <is>
          <t>SyFD Train Control and Management System</t>
        </is>
      </c>
      <c r="B129" s="114">
        <f>CONCATENATE("GVN_",A129)</f>
        <v/>
      </c>
      <c r="C129" s="109" t="inlineStr">
        <is>
          <t>pdf</t>
        </is>
      </c>
      <c r="D129" s="109" t="n"/>
      <c r="F129" s="110" t="n"/>
      <c r="G129" s="109" t="n"/>
      <c r="I129" s="110" t="n"/>
      <c r="J129" s="109" t="n"/>
      <c r="L129" s="110" t="n"/>
      <c r="M129" s="109" t="n"/>
      <c r="O129" s="110" t="n"/>
      <c r="P129" s="133" t="inlineStr">
        <is>
          <t>FT170023207</t>
        </is>
      </c>
      <c r="Q129" s="134" t="inlineStr">
        <is>
          <t>00.6</t>
        </is>
      </c>
      <c r="R129" s="109" t="inlineStr">
        <is>
          <t>FT170023207</t>
        </is>
      </c>
      <c r="S129" s="123" t="inlineStr">
        <is>
          <t>00.6</t>
        </is>
      </c>
      <c r="U129" s="110" t="n"/>
      <c r="W129" s="110" t="n"/>
    </row>
    <row r="130" outlineLevel="1" ht="30" customHeight="1" s="594">
      <c r="A130" s="115" t="inlineStr">
        <is>
          <t>SyFD Ethernet Train Communication Network</t>
        </is>
      </c>
      <c r="B130" s="115">
        <f>CONCATENATE("GVN_",A130)</f>
        <v/>
      </c>
      <c r="C130" s="394" t="inlineStr">
        <is>
          <t>pdf</t>
        </is>
      </c>
      <c r="D130" s="111" t="n"/>
      <c r="E130" s="113" t="n"/>
      <c r="F130" s="112" t="n"/>
      <c r="G130" s="111" t="n"/>
      <c r="H130" s="113" t="n"/>
      <c r="I130" s="112" t="n"/>
      <c r="J130" s="111" t="n"/>
      <c r="K130" s="113" t="n"/>
      <c r="L130" s="112" t="n"/>
      <c r="M130" s="111" t="n"/>
      <c r="N130" s="113" t="n"/>
      <c r="O130" s="112" t="n"/>
      <c r="P130" s="148" t="inlineStr">
        <is>
          <t>FE020026857</t>
        </is>
      </c>
      <c r="Q130" s="147" t="inlineStr">
        <is>
          <t>02.2</t>
        </is>
      </c>
      <c r="R130" s="111" t="inlineStr">
        <is>
          <t>FE020026857</t>
        </is>
      </c>
      <c r="S130" s="169" t="inlineStr">
        <is>
          <t>02.2</t>
        </is>
      </c>
      <c r="T130" s="113" t="n"/>
      <c r="U130" s="112" t="n"/>
      <c r="V130" s="113" t="n"/>
      <c r="W130" s="112"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F7" activePane="bottomRight" state="frozen"/>
      <selection activeCell="B1" sqref="B1"/>
      <selection pane="topRight" activeCell="F1" sqref="F1"/>
      <selection pane="bottomLeft" activeCell="B4" sqref="B4"/>
      <selection pane="bottomRight" activeCell="B29" sqref="B29"/>
    </sheetView>
  </sheetViews>
  <sheetFormatPr baseColWidth="8" defaultColWidth="8.7109375" defaultRowHeight="15"/>
  <cols>
    <col width="36.5703125" customWidth="1" style="106" min="1" max="1"/>
    <col width="34.85546875" bestFit="1" customWidth="1" style="106" min="2" max="2"/>
    <col width="8.42578125" bestFit="1" customWidth="1" style="15" min="3" max="3"/>
    <col width="17.5703125" customWidth="1" style="15" min="4" max="4"/>
    <col width="4.42578125" bestFit="1" customWidth="1" style="15" min="5" max="5"/>
    <col width="17.5703125" customWidth="1" style="15" min="6" max="6"/>
    <col width="4.7109375" bestFit="1" customWidth="1" style="15" min="7" max="7"/>
    <col width="17.5703125" customWidth="1" style="15" min="8" max="8"/>
    <col width="4.7109375" bestFit="1" customWidth="1" style="15" min="9" max="9"/>
    <col width="17.5703125" customWidth="1" style="15" min="10" max="10"/>
    <col width="4.42578125" bestFit="1" customWidth="1" style="15" min="11" max="11"/>
    <col width="17.140625" customWidth="1" style="15" min="12" max="12"/>
    <col width="5.140625" customWidth="1" style="15" min="13" max="13"/>
    <col width="15.42578125" customWidth="1" style="15" min="14" max="14"/>
    <col width="4.42578125" customWidth="1" style="15" min="15" max="15"/>
    <col width="6.5703125" bestFit="1" customWidth="1" style="15" min="16" max="16"/>
    <col width="6.5703125" customWidth="1" style="15" min="17" max="17"/>
    <col width="6.5703125" bestFit="1" customWidth="1" style="15" min="18" max="18"/>
    <col width="6.5703125" customWidth="1" style="15" min="19" max="19"/>
    <col width="8.7109375" customWidth="1" style="103" min="20" max="25"/>
    <col width="8.7109375" customWidth="1" style="103" min="26" max="16384"/>
  </cols>
  <sheetData>
    <row r="1" ht="26.45" customFormat="1" customHeight="1" s="105">
      <c r="A1" s="525" t="inlineStr">
        <is>
          <t>DOC DESCRIPTION</t>
        </is>
      </c>
      <c r="B1" s="541" t="inlineStr">
        <is>
          <t>DOC ID</t>
        </is>
      </c>
      <c r="C1" s="533" t="inlineStr">
        <is>
          <t>DOC EXT</t>
        </is>
      </c>
      <c r="D1" s="545" t="inlineStr">
        <is>
          <t>VZI_Base</t>
        </is>
      </c>
      <c r="E1" s="546" t="n"/>
      <c r="F1" s="543" t="inlineStr">
        <is>
          <t>VZI_New14</t>
        </is>
      </c>
      <c r="G1" s="544" t="n"/>
      <c r="H1" s="545" t="inlineStr">
        <is>
          <t>VZ_FR</t>
        </is>
      </c>
      <c r="I1" s="546" t="n"/>
      <c r="J1" s="543" t="inlineStr">
        <is>
          <t>VZ_ES</t>
        </is>
      </c>
      <c r="K1" s="544" t="n"/>
      <c r="L1" s="545" t="inlineStr">
        <is>
          <t>VZI-6_R1</t>
        </is>
      </c>
      <c r="M1" s="546" t="n"/>
      <c r="N1" s="543" t="inlineStr">
        <is>
          <t>VZI-4_R1</t>
        </is>
      </c>
      <c r="O1" s="544" t="n"/>
      <c r="P1" s="545" t="inlineStr">
        <is>
          <t>VZ_DAI</t>
        </is>
      </c>
      <c r="Q1" s="546" t="n"/>
      <c r="R1" s="543" t="inlineStr">
        <is>
          <t>VZ_Esxx</t>
        </is>
      </c>
      <c r="S1" s="544" t="n"/>
    </row>
    <row r="2" ht="26.45" customFormat="1" customHeight="1" s="105">
      <c r="A2" s="527" t="n"/>
      <c r="B2" s="542" t="n"/>
      <c r="C2" s="535" t="n"/>
      <c r="D2" s="395" t="inlineStr">
        <is>
          <t>File/Codice</t>
        </is>
      </c>
      <c r="E2" s="152" t="inlineStr">
        <is>
          <t>Rev</t>
        </is>
      </c>
      <c r="F2" s="397" t="inlineStr">
        <is>
          <t>File/Codice</t>
        </is>
      </c>
      <c r="G2" s="398" t="inlineStr">
        <is>
          <t>Rev</t>
        </is>
      </c>
      <c r="H2" s="395" t="inlineStr">
        <is>
          <t>File/Codice</t>
        </is>
      </c>
      <c r="I2" s="152" t="inlineStr">
        <is>
          <t>Rev</t>
        </is>
      </c>
      <c r="J2" s="397" t="inlineStr">
        <is>
          <t>File/Codice</t>
        </is>
      </c>
      <c r="K2" s="398" t="inlineStr">
        <is>
          <t>Rev</t>
        </is>
      </c>
      <c r="L2" s="539" t="inlineStr">
        <is>
          <t>Codice</t>
        </is>
      </c>
      <c r="M2" s="539" t="inlineStr">
        <is>
          <t>Rev</t>
        </is>
      </c>
      <c r="N2" s="401" t="inlineStr">
        <is>
          <t>Codice</t>
        </is>
      </c>
      <c r="O2" s="151" t="inlineStr">
        <is>
          <t>Rev</t>
        </is>
      </c>
      <c r="P2" s="395" t="inlineStr">
        <is>
          <t>Codice</t>
        </is>
      </c>
      <c r="Q2" s="395" t="inlineStr">
        <is>
          <t>Rev</t>
        </is>
      </c>
      <c r="R2" s="397" t="inlineStr">
        <is>
          <t>Codice</t>
        </is>
      </c>
      <c r="S2" s="398" t="inlineStr">
        <is>
          <t>Rev</t>
        </is>
      </c>
    </row>
    <row r="3">
      <c r="A3" s="193" t="inlineStr">
        <is>
          <t>Functional Doc &amp; Specification</t>
        </is>
      </c>
      <c r="B3" s="388" t="n"/>
      <c r="C3" s="396" t="n"/>
      <c r="D3" s="389" t="n"/>
      <c r="E3" s="194" t="n"/>
      <c r="F3" s="399" t="n"/>
      <c r="G3" s="400" t="n"/>
      <c r="H3" s="389" t="n"/>
      <c r="I3" s="194" t="n"/>
      <c r="J3" s="399" t="n"/>
      <c r="K3" s="400" t="n"/>
      <c r="L3" s="389" t="n"/>
      <c r="M3" s="389" t="n"/>
      <c r="N3" s="399" t="n"/>
      <c r="O3" s="400" t="n"/>
      <c r="P3" s="389" t="n"/>
      <c r="Q3" s="389" t="n"/>
      <c r="R3" s="399" t="n"/>
      <c r="S3" s="400" t="n"/>
    </row>
    <row r="4" ht="30" customHeight="1" s="594">
      <c r="A4" s="106" t="inlineStr">
        <is>
          <t>Architettura di Controllo Treno ed Interfacce di Comando</t>
        </is>
      </c>
      <c r="B4" s="106" t="inlineStr">
        <is>
          <t>FD_TCMS</t>
        </is>
      </c>
      <c r="C4" s="107" t="inlineStr">
        <is>
          <t>pdf</t>
        </is>
      </c>
      <c r="D4" s="15" t="inlineStr">
        <is>
          <t>3ECP410429-0001</t>
        </is>
      </c>
      <c r="E4" s="15" t="inlineStr">
        <is>
          <t>L</t>
        </is>
      </c>
      <c r="F4" s="109" t="inlineStr">
        <is>
          <t>3ECP413973-0001</t>
        </is>
      </c>
      <c r="G4" s="110" t="inlineStr">
        <is>
          <t>A</t>
        </is>
      </c>
      <c r="J4" s="109" t="n"/>
      <c r="K4" s="110" t="n"/>
      <c r="L4" s="15" t="inlineStr">
        <is>
          <t>FE010019098</t>
        </is>
      </c>
      <c r="M4" s="15" t="inlineStr">
        <is>
          <t>1.02</t>
        </is>
      </c>
      <c r="N4" s="109" t="n"/>
      <c r="O4" s="110" t="n"/>
      <c r="R4" s="109" t="n"/>
      <c r="S4" s="110" t="n"/>
    </row>
    <row r="5">
      <c r="A5" s="106" t="inlineStr">
        <is>
          <t>Brake System</t>
        </is>
      </c>
      <c r="B5" s="106" t="inlineStr">
        <is>
          <t>FD_Brake</t>
        </is>
      </c>
      <c r="C5" s="107" t="inlineStr">
        <is>
          <t>pdf</t>
        </is>
      </c>
      <c r="D5" s="15" t="inlineStr">
        <is>
          <t>3EGH489013-3044</t>
        </is>
      </c>
      <c r="E5" s="15" t="inlineStr">
        <is>
          <t>F</t>
        </is>
      </c>
      <c r="F5" s="109" t="n"/>
      <c r="G5" s="110" t="n"/>
      <c r="J5" s="109" t="n"/>
      <c r="K5" s="110" t="n"/>
      <c r="N5" s="109" t="n"/>
      <c r="O5" s="110" t="n"/>
      <c r="R5" s="109" t="n"/>
      <c r="S5" s="110" t="n"/>
    </row>
    <row r="6">
      <c r="A6" s="106" t="inlineStr">
        <is>
          <t>Air Supply</t>
        </is>
      </c>
      <c r="B6" s="106" t="inlineStr">
        <is>
          <t>FD_Air Supply</t>
        </is>
      </c>
      <c r="C6" s="107" t="inlineStr">
        <is>
          <t>pdf</t>
        </is>
      </c>
      <c r="D6" s="15" t="inlineStr">
        <is>
          <t>3EGH489013-4928</t>
        </is>
      </c>
      <c r="E6" s="15" t="inlineStr">
        <is>
          <t>A</t>
        </is>
      </c>
      <c r="F6" s="109" t="n"/>
      <c r="G6" s="110" t="n"/>
      <c r="J6" s="109" t="n"/>
      <c r="K6" s="110" t="n"/>
      <c r="N6" s="109" t="n"/>
      <c r="O6" s="110" t="n"/>
      <c r="R6" s="109" t="n"/>
      <c r="S6" s="110" t="n"/>
    </row>
    <row r="7">
      <c r="A7" s="106" t="inlineStr">
        <is>
          <t>Descrizione SW PCU</t>
        </is>
      </c>
      <c r="B7" s="106" t="inlineStr">
        <is>
          <t>FD_PCU</t>
        </is>
      </c>
      <c r="C7" s="107" t="inlineStr">
        <is>
          <t>pdf</t>
        </is>
      </c>
      <c r="D7" s="15" t="inlineStr">
        <is>
          <t>3EST000225-5111</t>
        </is>
      </c>
      <c r="E7" s="15" t="inlineStr">
        <is>
          <t>C</t>
        </is>
      </c>
      <c r="F7" s="109" t="n"/>
      <c r="G7" s="110" t="n"/>
      <c r="J7" s="109" t="n"/>
      <c r="K7" s="110" t="n"/>
      <c r="N7" s="109" t="n"/>
      <c r="O7" s="110" t="n"/>
      <c r="R7" s="109" t="n"/>
      <c r="S7" s="110" t="n"/>
    </row>
    <row r="8">
      <c r="A8" s="106" t="inlineStr">
        <is>
          <t>Descrizione SW Alta Tensione</t>
        </is>
      </c>
      <c r="B8" s="106" t="inlineStr">
        <is>
          <t>FD_High Voltage</t>
        </is>
      </c>
      <c r="C8" s="107" t="inlineStr">
        <is>
          <t>pdf</t>
        </is>
      </c>
      <c r="D8" s="15" t="inlineStr">
        <is>
          <t>3EST000225-5113</t>
        </is>
      </c>
      <c r="E8" s="15" t="inlineStr">
        <is>
          <t>C</t>
        </is>
      </c>
      <c r="F8" s="109" t="n"/>
      <c r="G8" s="110" t="n"/>
      <c r="J8" s="109" t="n"/>
      <c r="K8" s="110" t="n"/>
      <c r="N8" s="109" t="n"/>
      <c r="O8" s="110" t="n"/>
      <c r="R8" s="109" t="n"/>
      <c r="S8" s="110" t="n"/>
    </row>
    <row r="9">
      <c r="A9" s="106" t="inlineStr">
        <is>
          <t>Descrizione SW Propulsione</t>
        </is>
      </c>
      <c r="B9" s="106" t="inlineStr">
        <is>
          <t>FD_Propulsion</t>
        </is>
      </c>
      <c r="C9" s="107" t="inlineStr">
        <is>
          <t>pdf</t>
        </is>
      </c>
      <c r="D9" s="15" t="inlineStr">
        <is>
          <t>3EST000225-5115</t>
        </is>
      </c>
      <c r="E9" s="15" t="inlineStr">
        <is>
          <t>C</t>
        </is>
      </c>
      <c r="F9" s="109" t="n"/>
      <c r="G9" s="110" t="n"/>
      <c r="J9" s="109" t="n"/>
      <c r="K9" s="110" t="n"/>
      <c r="N9" s="109" t="n"/>
      <c r="O9" s="110" t="n"/>
      <c r="R9" s="109" t="n"/>
      <c r="S9" s="110" t="n"/>
    </row>
    <row r="10">
      <c r="A10" s="106" t="inlineStr">
        <is>
          <t>Descrizione SW DCU/L</t>
        </is>
      </c>
      <c r="B10" s="106" t="inlineStr">
        <is>
          <t>FD_DCU/L</t>
        </is>
      </c>
      <c r="C10" s="107" t="inlineStr">
        <is>
          <t>pdf</t>
        </is>
      </c>
      <c r="D10" s="15" t="inlineStr">
        <is>
          <t>3EST000225-5117</t>
        </is>
      </c>
      <c r="E10" s="15" t="inlineStr">
        <is>
          <t>B</t>
        </is>
      </c>
      <c r="F10" s="109" t="n"/>
      <c r="G10" s="110" t="n"/>
      <c r="J10" s="109" t="n"/>
      <c r="K10" s="110" t="n"/>
      <c r="N10" s="109" t="n"/>
      <c r="O10" s="110" t="n"/>
      <c r="R10" s="109" t="n"/>
      <c r="S10" s="110" t="n"/>
    </row>
    <row r="11">
      <c r="A11" s="106" t="inlineStr">
        <is>
          <t>Descrizione SW DCU/M</t>
        </is>
      </c>
      <c r="B11" s="106" t="inlineStr">
        <is>
          <t>FD_DCU/M</t>
        </is>
      </c>
      <c r="C11" s="107" t="inlineStr">
        <is>
          <t>pdf</t>
        </is>
      </c>
      <c r="D11" s="15" t="inlineStr">
        <is>
          <t>3EST000225-5118</t>
        </is>
      </c>
      <c r="E11" s="15" t="inlineStr">
        <is>
          <t>G</t>
        </is>
      </c>
      <c r="F11" s="109" t="n"/>
      <c r="G11" s="110" t="n"/>
      <c r="J11" s="109" t="n"/>
      <c r="K11" s="110" t="n"/>
      <c r="N11" s="109" t="n"/>
      <c r="O11" s="110" t="n"/>
      <c r="R11" s="109" t="n"/>
      <c r="S11" s="110" t="n"/>
    </row>
    <row r="12">
      <c r="A12" s="106" t="inlineStr">
        <is>
          <t>Descrizione SW ACM</t>
        </is>
      </c>
      <c r="B12" s="106" t="inlineStr">
        <is>
          <t>FD_ACM</t>
        </is>
      </c>
      <c r="C12" s="107" t="inlineStr">
        <is>
          <t>pdf</t>
        </is>
      </c>
      <c r="D12" s="15" t="inlineStr">
        <is>
          <t>3EST000225-5119</t>
        </is>
      </c>
      <c r="E12" s="15" t="inlineStr">
        <is>
          <t>E</t>
        </is>
      </c>
      <c r="F12" s="109" t="n"/>
      <c r="G12" s="110" t="n"/>
      <c r="J12" s="109" t="n"/>
      <c r="K12" s="110" t="n"/>
      <c r="N12" s="109" t="n"/>
      <c r="O12" s="110" t="n"/>
      <c r="R12" s="109" t="n"/>
      <c r="S12" s="110" t="n"/>
    </row>
    <row r="13">
      <c r="A13" s="106" t="inlineStr">
        <is>
          <t>Descrizione SW DCU/C</t>
        </is>
      </c>
      <c r="B13" s="106" t="inlineStr">
        <is>
          <t>FD_DCU/C</t>
        </is>
      </c>
      <c r="C13" s="107" t="inlineStr">
        <is>
          <t>pdf</t>
        </is>
      </c>
      <c r="D13" s="15" t="inlineStr">
        <is>
          <t>3EST000225-5120</t>
        </is>
      </c>
      <c r="E13" s="15" t="inlineStr">
        <is>
          <t>C</t>
        </is>
      </c>
      <c r="F13" s="109" t="n"/>
      <c r="G13" s="110" t="n"/>
      <c r="J13" s="109" t="n"/>
      <c r="K13" s="110" t="n"/>
      <c r="N13" s="109" t="n"/>
      <c r="O13" s="110" t="n"/>
      <c r="R13" s="109" t="n"/>
      <c r="S13" s="110" t="n"/>
    </row>
    <row r="14">
      <c r="A14" s="106" t="inlineStr">
        <is>
          <t>Descrizione SW LIM</t>
        </is>
      </c>
      <c r="B14" s="106" t="inlineStr">
        <is>
          <t>FD_LIM</t>
        </is>
      </c>
      <c r="C14" s="107" t="inlineStr">
        <is>
          <t>pdf</t>
        </is>
      </c>
      <c r="D14" s="15" t="inlineStr">
        <is>
          <t>3EST000225-5132</t>
        </is>
      </c>
      <c r="E14" s="15" t="inlineStr">
        <is>
          <t>_</t>
        </is>
      </c>
      <c r="F14" s="109" t="n"/>
      <c r="G14" s="110" t="n"/>
      <c r="J14" s="109" t="n"/>
      <c r="K14" s="110" t="n"/>
      <c r="N14" s="109" t="n"/>
      <c r="O14" s="110" t="n"/>
      <c r="R14" s="109" t="n"/>
      <c r="S14" s="110" t="n"/>
    </row>
    <row r="15">
      <c r="C15" s="107" t="n"/>
      <c r="F15" s="109" t="n"/>
      <c r="G15" s="110" t="n"/>
      <c r="J15" s="109" t="n"/>
      <c r="K15" s="110" t="n"/>
      <c r="N15" s="109" t="n"/>
      <c r="O15" s="110" t="n"/>
      <c r="R15" s="109" t="n"/>
      <c r="S15" s="110" t="n"/>
    </row>
    <row r="16">
      <c r="A16" s="193" t="inlineStr">
        <is>
          <t>Product Description</t>
        </is>
      </c>
      <c r="B16" s="388" t="n"/>
      <c r="C16" s="396" t="n"/>
      <c r="D16" s="389" t="n"/>
      <c r="E16" s="194" t="n"/>
      <c r="F16" s="399" t="n"/>
      <c r="G16" s="400" t="n"/>
      <c r="H16" s="389" t="n"/>
      <c r="I16" s="194" t="n"/>
      <c r="J16" s="399" t="n"/>
      <c r="K16" s="400" t="n"/>
      <c r="L16" s="389" t="n"/>
      <c r="M16" s="389" t="n"/>
      <c r="N16" s="399" t="n"/>
      <c r="O16" s="400" t="n"/>
      <c r="P16" s="389" t="n"/>
      <c r="Q16" s="389" t="n"/>
      <c r="R16" s="399" t="n"/>
      <c r="S16" s="400" t="n"/>
    </row>
    <row r="17">
      <c r="A17" s="106" t="inlineStr">
        <is>
          <t>Converter unit TC1120</t>
        </is>
      </c>
      <c r="B17" s="106" t="inlineStr">
        <is>
          <t>PDES_Converter</t>
        </is>
      </c>
      <c r="C17" s="107" t="inlineStr">
        <is>
          <t>pdf</t>
        </is>
      </c>
      <c r="D17" s="15" t="inlineStr">
        <is>
          <t>3EST000228-5653</t>
        </is>
      </c>
      <c r="E17" s="15" t="inlineStr">
        <is>
          <t>B</t>
        </is>
      </c>
      <c r="F17" s="109" t="n"/>
      <c r="G17" s="110" t="n"/>
      <c r="J17" s="109" t="n"/>
      <c r="K17" s="110" t="n"/>
      <c r="N17" s="109" t="n"/>
      <c r="O17" s="110" t="n"/>
      <c r="R17" s="109" t="n"/>
      <c r="S17" s="110" t="n"/>
    </row>
    <row r="18" ht="30" customHeight="1" s="594">
      <c r="A18" s="106" t="inlineStr">
        <is>
          <t>Auxiliary converter module, CM-C S 15/10 WA V02</t>
        </is>
      </c>
      <c r="B18" s="106" t="inlineStr">
        <is>
          <t>PDES_Auxiliary module</t>
        </is>
      </c>
      <c r="C18" s="107" t="inlineStr">
        <is>
          <t>pdf</t>
        </is>
      </c>
      <c r="D18" s="15" t="inlineStr">
        <is>
          <t>3EST000226-1993</t>
        </is>
      </c>
      <c r="E18" s="15" t="inlineStr">
        <is>
          <t>A</t>
        </is>
      </c>
      <c r="F18" s="109" t="n"/>
      <c r="G18" s="110" t="n"/>
      <c r="J18" s="109" t="n"/>
      <c r="K18" s="110" t="n"/>
      <c r="N18" s="109" t="n"/>
      <c r="O18" s="110" t="n"/>
      <c r="R18" s="109" t="n"/>
      <c r="S18" s="110" t="n"/>
    </row>
    <row r="19" ht="30" customHeight="1" s="594">
      <c r="A19" s="106" t="inlineStr">
        <is>
          <t>Chopper converter module, CM-C L 30/07 WC V01</t>
        </is>
      </c>
      <c r="B19" s="106" t="inlineStr">
        <is>
          <t>PDES_Chopper module</t>
        </is>
      </c>
      <c r="C19" s="107" t="inlineStr">
        <is>
          <t>pdf</t>
        </is>
      </c>
      <c r="D19" s="15" t="inlineStr">
        <is>
          <t>3EST000226-1995</t>
        </is>
      </c>
      <c r="E19" s="15" t="inlineStr">
        <is>
          <t>B</t>
        </is>
      </c>
      <c r="F19" s="109" t="n"/>
      <c r="G19" s="110" t="n"/>
      <c r="J19" s="109" t="n"/>
      <c r="K19" s="110" t="n"/>
      <c r="N19" s="109" t="n"/>
      <c r="O19" s="110" t="n"/>
      <c r="R19" s="109" t="n"/>
      <c r="S19" s="110" t="n"/>
    </row>
    <row r="20" ht="30" customHeight="1" s="594">
      <c r="A20" s="106" t="inlineStr">
        <is>
          <t>Line converter module, CM-C M 15/15 WL V06</t>
        </is>
      </c>
      <c r="B20" s="106" t="inlineStr">
        <is>
          <t>PDES_Line Module</t>
        </is>
      </c>
      <c r="C20" s="107" t="inlineStr">
        <is>
          <t>pdf</t>
        </is>
      </c>
      <c r="D20" s="15" t="inlineStr">
        <is>
          <t>3EST000226-1994</t>
        </is>
      </c>
      <c r="E20" s="15" t="inlineStr">
        <is>
          <t>B</t>
        </is>
      </c>
      <c r="F20" s="109" t="n"/>
      <c r="G20" s="110" t="n"/>
      <c r="J20" s="109" t="n"/>
      <c r="K20" s="110" t="n"/>
      <c r="N20" s="109" t="n"/>
      <c r="O20" s="110" t="n"/>
      <c r="R20" s="109" t="n"/>
      <c r="S20" s="110" t="n"/>
    </row>
    <row r="21" ht="30" customHeight="1" s="594">
      <c r="A21" s="106" t="inlineStr">
        <is>
          <t>Motor converter module, CM-C S 15/10 WM V02</t>
        </is>
      </c>
      <c r="B21" s="106" t="inlineStr">
        <is>
          <t>PDES_Motor Module</t>
        </is>
      </c>
      <c r="C21" s="107" t="inlineStr">
        <is>
          <t>pdf</t>
        </is>
      </c>
      <c r="D21" s="15" t="inlineStr">
        <is>
          <t>3EST000226-1992</t>
        </is>
      </c>
      <c r="E21" s="15" t="inlineStr">
        <is>
          <t>B</t>
        </is>
      </c>
      <c r="F21" s="109" t="n"/>
      <c r="G21" s="110" t="n"/>
      <c r="J21" s="109" t="n"/>
      <c r="K21" s="110" t="n"/>
      <c r="N21" s="109" t="n"/>
      <c r="O21" s="110" t="n"/>
      <c r="R21" s="109" t="n"/>
      <c r="S21" s="110" t="n"/>
    </row>
    <row r="22">
      <c r="A22" s="106" t="inlineStr">
        <is>
          <t>TCMS Tech Description</t>
        </is>
      </c>
      <c r="B22" s="106" t="inlineStr">
        <is>
          <t>PDES_TCMS</t>
        </is>
      </c>
      <c r="C22" s="107" t="inlineStr">
        <is>
          <t>pdf</t>
        </is>
      </c>
      <c r="D22" s="15" t="inlineStr">
        <is>
          <t>3EST000225-4855</t>
        </is>
      </c>
      <c r="E22" s="15" t="inlineStr">
        <is>
          <t>E</t>
        </is>
      </c>
      <c r="F22" s="109" t="n"/>
      <c r="G22" s="110" t="n"/>
      <c r="J22" s="109" t="n"/>
      <c r="K22" s="110" t="n"/>
      <c r="N22" s="109" t="n"/>
      <c r="O22" s="110" t="n"/>
      <c r="R22" s="109" t="n"/>
      <c r="S22" s="110" t="n"/>
    </row>
    <row r="23">
      <c r="A23" s="106" t="inlineStr">
        <is>
          <t>Brake Tech Description</t>
        </is>
      </c>
      <c r="B23" s="106" t="inlineStr">
        <is>
          <t>PDES_Brake</t>
        </is>
      </c>
      <c r="C23" s="107" t="inlineStr">
        <is>
          <t>pdf</t>
        </is>
      </c>
      <c r="D23" s="15" t="inlineStr">
        <is>
          <t>FTIT10002-I01TDE</t>
        </is>
      </c>
      <c r="E23" s="15" t="inlineStr">
        <is>
          <t>F00</t>
        </is>
      </c>
      <c r="F23" s="109" t="n"/>
      <c r="G23" s="110" t="n"/>
      <c r="J23" s="109" t="n"/>
      <c r="K23" s="110" t="n"/>
      <c r="N23" s="109" t="n"/>
      <c r="O23" s="110" t="n"/>
      <c r="R23" s="109" t="n"/>
      <c r="S23" s="110" t="n"/>
    </row>
    <row r="24">
      <c r="C24" s="107" t="n"/>
      <c r="F24" s="109" t="n"/>
      <c r="G24" s="110" t="n"/>
      <c r="J24" s="109" t="n"/>
      <c r="K24" s="110" t="n"/>
      <c r="N24" s="109" t="n"/>
      <c r="O24" s="110" t="n"/>
      <c r="R24" s="109" t="n"/>
      <c r="S24" s="110" t="n"/>
    </row>
    <row r="25">
      <c r="A25" s="193" t="inlineStr">
        <is>
          <t>Test Specification &amp; Report</t>
        </is>
      </c>
      <c r="B25" s="388" t="n"/>
      <c r="C25" s="396" t="n"/>
      <c r="D25" s="389" t="n"/>
      <c r="E25" s="194" t="n"/>
      <c r="F25" s="399" t="n"/>
      <c r="G25" s="400" t="n"/>
      <c r="H25" s="389" t="n"/>
      <c r="I25" s="194" t="n"/>
      <c r="J25" s="399" t="n"/>
      <c r="K25" s="400" t="n"/>
      <c r="L25" s="389" t="n"/>
      <c r="M25" s="389" t="n"/>
      <c r="N25" s="399" t="n"/>
      <c r="O25" s="400" t="n"/>
      <c r="P25" s="389" t="n"/>
      <c r="Q25" s="389" t="n"/>
      <c r="R25" s="399" t="n"/>
      <c r="S25" s="400" t="n"/>
    </row>
    <row r="26">
      <c r="A26" s="106" t="inlineStr">
        <is>
          <t>System Test Specification</t>
        </is>
      </c>
      <c r="B26" s="106" t="inlineStr">
        <is>
          <t>TS_VZI_Base</t>
        </is>
      </c>
      <c r="C26" s="107" t="inlineStr">
        <is>
          <t>pdf</t>
        </is>
      </c>
      <c r="D26" s="15" t="inlineStr">
        <is>
          <t>3EST000225-6042</t>
        </is>
      </c>
      <c r="E26" s="15" t="inlineStr">
        <is>
          <t>C</t>
        </is>
      </c>
      <c r="F26" s="109" t="n"/>
      <c r="G26" s="110" t="n"/>
      <c r="J26" s="109" t="n"/>
      <c r="K26" s="110" t="n"/>
      <c r="N26" s="109" t="n"/>
      <c r="O26" s="110" t="n"/>
      <c r="R26" s="109" t="n"/>
      <c r="S26" s="110" t="n"/>
    </row>
    <row r="27" ht="30" customHeight="1" s="594">
      <c r="A27" s="106" t="inlineStr">
        <is>
          <t>EPVE63 Test Intervento protezioni azionamento</t>
        </is>
      </c>
      <c r="B27" s="106" t="inlineStr">
        <is>
          <t xml:space="preserve">TS_Test Protezioni azionamento EPVE63 </t>
        </is>
      </c>
      <c r="C27" s="107" t="inlineStr">
        <is>
          <t>pdf</t>
        </is>
      </c>
      <c r="F27" s="109" t="n"/>
      <c r="G27" s="110" t="n"/>
      <c r="J27" s="109" t="n"/>
      <c r="K27" s="110" t="n"/>
      <c r="L27" s="15" t="inlineStr">
        <is>
          <t>DC08060VE63</t>
        </is>
      </c>
      <c r="M27" s="165" t="inlineStr">
        <is>
          <t>01</t>
        </is>
      </c>
      <c r="N27" s="109" t="n"/>
      <c r="O27" s="110" t="n"/>
      <c r="P27" s="109" t="n"/>
      <c r="Q27" s="110" t="n"/>
      <c r="R27" s="109" t="n"/>
      <c r="S27" s="110" t="n"/>
      <c r="T27" s="425" t="n"/>
    </row>
    <row r="28" ht="30" customHeight="1" s="594">
      <c r="A28" s="106" t="inlineStr">
        <is>
          <t>EPVE63 Report Intervento protezioni
azionamento</t>
        </is>
      </c>
      <c r="B28" s="106" t="inlineStr">
        <is>
          <t>TS_Report Protezioni azionamento EPVE63</t>
        </is>
      </c>
      <c r="C28" s="107" t="inlineStr">
        <is>
          <t>pdf</t>
        </is>
      </c>
      <c r="F28" s="109" t="n"/>
      <c r="G28" s="110" t="n"/>
      <c r="J28" s="109" t="n"/>
      <c r="K28" s="110" t="n"/>
      <c r="L28" s="15" t="inlineStr">
        <is>
          <t>DD04060VE63</t>
        </is>
      </c>
      <c r="M28" s="165" t="inlineStr">
        <is>
          <t>00</t>
        </is>
      </c>
      <c r="N28" s="109" t="n"/>
      <c r="O28" s="110" t="n"/>
      <c r="P28" s="109" t="n"/>
      <c r="Q28" s="110" t="n"/>
      <c r="R28" s="109" t="n"/>
      <c r="S28" s="110" t="n"/>
      <c r="T28" s="425" t="n"/>
    </row>
    <row r="29">
      <c r="A29" s="106" t="inlineStr">
        <is>
          <t>Test Report HVSP</t>
        </is>
      </c>
      <c r="B29" s="106" t="inlineStr">
        <is>
          <t>TS_Report HVSP</t>
        </is>
      </c>
      <c r="C29" s="107" t="inlineStr">
        <is>
          <t>pdf</t>
        </is>
      </c>
      <c r="F29" s="109" t="n"/>
      <c r="G29" s="110" t="n"/>
      <c r="J29" s="109" t="n"/>
      <c r="K29" s="110" t="n"/>
      <c r="L29" s="15" t="inlineStr">
        <is>
          <t>DD040031058</t>
        </is>
      </c>
      <c r="M29" s="110" t="inlineStr">
        <is>
          <t>00.6</t>
        </is>
      </c>
      <c r="N29" s="109" t="n"/>
      <c r="O29" s="110" t="n"/>
      <c r="P29" s="109" t="n"/>
      <c r="Q29" s="110" t="n"/>
      <c r="R29" s="109" t="n"/>
      <c r="S29" s="110" t="n"/>
      <c r="T29" s="425" t="n"/>
    </row>
    <row r="30">
      <c r="A30" s="106" t="inlineStr">
        <is>
          <t>Test High Voltage</t>
        </is>
      </c>
      <c r="B30" s="106" t="inlineStr">
        <is>
          <t>TS_Test High Voltage</t>
        </is>
      </c>
      <c r="C30" s="107" t="inlineStr">
        <is>
          <t>pdf</t>
        </is>
      </c>
      <c r="F30" s="109" t="n"/>
      <c r="G30" s="110" t="n"/>
      <c r="J30" s="109" t="n"/>
      <c r="K30" s="110" t="n"/>
      <c r="L30" s="15" t="inlineStr">
        <is>
          <t>EC070028470</t>
        </is>
      </c>
      <c r="M30" s="110" t="inlineStr">
        <is>
          <t>1.0</t>
        </is>
      </c>
      <c r="N30" s="109" t="n"/>
      <c r="O30" s="110" t="n"/>
      <c r="P30" s="109" t="n"/>
      <c r="Q30" s="110" t="n"/>
      <c r="R30" s="109" t="n"/>
      <c r="S30" s="110" t="n"/>
      <c r="T30" s="425" t="n"/>
    </row>
    <row r="31">
      <c r="A31" s="106" t="inlineStr">
        <is>
          <t>Test Driver Control</t>
        </is>
      </c>
      <c r="B31" s="106" t="inlineStr">
        <is>
          <t>TS_Test Driver Control</t>
        </is>
      </c>
      <c r="C31" s="107" t="inlineStr">
        <is>
          <t>pdf</t>
        </is>
      </c>
      <c r="F31" s="109" t="n"/>
      <c r="G31" s="110" t="n"/>
      <c r="J31" s="109" t="n"/>
      <c r="K31" s="110" t="n"/>
      <c r="L31" s="15" t="inlineStr">
        <is>
          <t>EC070028753</t>
        </is>
      </c>
      <c r="M31" s="110" t="inlineStr">
        <is>
          <t>1.0</t>
        </is>
      </c>
      <c r="N31" s="109" t="n"/>
      <c r="O31" s="110" t="n"/>
      <c r="P31" s="109" t="n"/>
      <c r="Q31" s="110" t="n"/>
      <c r="R31" s="109" t="n"/>
      <c r="S31" s="110" t="n"/>
      <c r="T31" s="425" t="n"/>
    </row>
    <row r="32" ht="30" customHeight="1" s="594">
      <c r="A32" s="106" t="inlineStr">
        <is>
          <t>Test Intervento protezioni azionamento</t>
        </is>
      </c>
      <c r="B32" s="106" t="inlineStr">
        <is>
          <t>TS_Test Protezioni azionamento</t>
        </is>
      </c>
      <c r="C32" s="107" t="inlineStr">
        <is>
          <t>pdf</t>
        </is>
      </c>
      <c r="F32" s="109" t="n"/>
      <c r="G32" s="110" t="n"/>
      <c r="J32" s="109" t="n"/>
      <c r="K32" s="110" t="n"/>
      <c r="L32" s="15" t="inlineStr">
        <is>
          <t>EC070045631</t>
        </is>
      </c>
      <c r="M32" s="110" t="inlineStr">
        <is>
          <t>2.0</t>
        </is>
      </c>
      <c r="N32" s="109" t="n"/>
      <c r="O32" s="110" t="n"/>
      <c r="P32" s="109" t="n"/>
      <c r="Q32" s="110" t="n"/>
      <c r="R32" s="109" t="n"/>
      <c r="S32" s="110" t="n"/>
      <c r="T32" s="425" t="n"/>
    </row>
    <row r="33">
      <c r="A33" s="106" t="inlineStr">
        <is>
          <t>Combined test specification</t>
        </is>
      </c>
      <c r="B33" s="106" t="inlineStr">
        <is>
          <t>TS_Test Combined</t>
        </is>
      </c>
      <c r="C33" s="107" t="inlineStr">
        <is>
          <t>pdf</t>
        </is>
      </c>
      <c r="F33" s="109" t="n"/>
      <c r="G33" s="110" t="n"/>
      <c r="J33" s="109" t="n"/>
      <c r="K33" s="110" t="n"/>
      <c r="L33" s="15" t="inlineStr">
        <is>
          <t>EC070027996</t>
        </is>
      </c>
      <c r="M33" s="110" t="inlineStr">
        <is>
          <t>2.0</t>
        </is>
      </c>
      <c r="N33" s="109" t="n"/>
      <c r="O33" s="110" t="n"/>
      <c r="P33" s="109" t="n"/>
      <c r="Q33" s="110" t="n"/>
      <c r="R33" s="109" t="n"/>
      <c r="S33" s="110" t="n"/>
      <c r="T33" s="425" t="n"/>
    </row>
    <row r="34">
      <c r="A34" s="106" t="inlineStr">
        <is>
          <t>Prove HVSP in combined test</t>
        </is>
      </c>
      <c r="B34" s="106" t="inlineStr">
        <is>
          <t>TS_Test HVSP Combined</t>
        </is>
      </c>
      <c r="C34" s="107" t="inlineStr">
        <is>
          <t>pdf</t>
        </is>
      </c>
      <c r="F34" s="109" t="n"/>
      <c r="G34" s="110" t="n"/>
      <c r="J34" s="109" t="n"/>
      <c r="K34" s="110" t="n"/>
      <c r="L34" s="15" t="inlineStr">
        <is>
          <t>EC070030298</t>
        </is>
      </c>
      <c r="M34" s="110" t="inlineStr">
        <is>
          <t>00.2</t>
        </is>
      </c>
      <c r="N34" s="109" t="n"/>
      <c r="O34" s="110" t="n"/>
      <c r="P34" s="109" t="n"/>
      <c r="Q34" s="110" t="n"/>
      <c r="R34" s="109" t="n"/>
      <c r="S34" s="110" t="n"/>
      <c r="T34" s="425" t="n"/>
    </row>
    <row r="35">
      <c r="A35" s="478" t="inlineStr">
        <is>
          <t>Manuals (other)</t>
        </is>
      </c>
      <c r="B35" s="388" t="n"/>
      <c r="C35" s="396" t="n"/>
      <c r="D35" s="389" t="n"/>
      <c r="E35" s="389" t="n"/>
      <c r="F35" s="399" t="n"/>
      <c r="G35" s="400" t="n"/>
      <c r="H35" s="389" t="n"/>
      <c r="I35" s="389" t="n"/>
      <c r="J35" s="399" t="n"/>
      <c r="K35" s="400" t="n"/>
      <c r="L35" s="389" t="n"/>
      <c r="M35" s="389" t="n"/>
      <c r="N35" s="399" t="n"/>
      <c r="O35" s="400" t="n"/>
      <c r="P35" s="389" t="n"/>
      <c r="Q35" s="389" t="n"/>
      <c r="R35" s="399" t="n"/>
      <c r="S35" s="400" t="n"/>
    </row>
    <row r="36" ht="30" customFormat="1" customHeight="1" s="484">
      <c r="A36" s="479" t="inlineStr">
        <is>
          <t>Manuale uso e depannage - Apparecchiature Segnalamento Francia</t>
        </is>
      </c>
      <c r="B36" s="479" t="inlineStr">
        <is>
          <t>MAN_GDA-VZI_Base</t>
        </is>
      </c>
      <c r="C36" s="480" t="inlineStr">
        <is>
          <t>pdf</t>
        </is>
      </c>
      <c r="D36" s="481" t="n"/>
      <c r="E36" s="481" t="n"/>
      <c r="F36" s="439" t="n"/>
      <c r="G36" s="482" t="n"/>
      <c r="H36" s="481" t="n"/>
      <c r="I36" s="481" t="n"/>
      <c r="J36" s="439" t="inlineStr">
        <is>
          <t>ETR1000V300_FR-DC100002740</t>
        </is>
      </c>
      <c r="K36" s="483" t="inlineStr">
        <is>
          <t>03</t>
        </is>
      </c>
      <c r="L36" s="481" t="n"/>
      <c r="M36" s="481" t="n"/>
      <c r="N36" s="439" t="n"/>
      <c r="O36" s="482" t="n"/>
      <c r="P36" s="481" t="n"/>
      <c r="Q36" s="481" t="n"/>
      <c r="R36" s="439" t="n"/>
      <c r="S36" s="482"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topLeftCell="A25" zoomScale="85" zoomScaleNormal="85" workbookViewId="0">
      <selection activeCell="O53" sqref="O53"/>
    </sheetView>
  </sheetViews>
  <sheetFormatPr baseColWidth="8" defaultColWidth="8.7109375" defaultRowHeight="15"/>
  <cols>
    <col width="58.140625" bestFit="1" customWidth="1" style="13" min="1" max="1"/>
    <col width="20.7109375" bestFit="1" customWidth="1" style="14" min="2" max="2"/>
    <col width="8.140625" bestFit="1" customWidth="1" style="14" min="3" max="3"/>
    <col width="4.85546875" bestFit="1" customWidth="1" style="14" min="4" max="4"/>
    <col width="12.85546875" customWidth="1" style="14" min="5" max="5"/>
    <col width="32" bestFit="1" customWidth="1" style="14" min="6" max="6"/>
    <col width="27.85546875" bestFit="1" customWidth="1" style="14" min="7" max="7"/>
    <col width="4.140625" bestFit="1" customWidth="1" style="14" min="8" max="8"/>
    <col width="7.140625" bestFit="1" customWidth="1" style="14" min="9" max="9"/>
    <col width="32" bestFit="1" customWidth="1" style="14" min="10" max="10"/>
    <col width="27.85546875" bestFit="1" customWidth="1" style="14" min="11" max="11"/>
    <col width="4.140625" bestFit="1" customWidth="1" style="14" min="12" max="12"/>
    <col width="7.140625" bestFit="1" customWidth="1" style="14" min="13" max="13"/>
    <col width="26.85546875" customWidth="1" style="14" min="14" max="14"/>
    <col width="26.85546875" customWidth="1" style="13" min="15" max="15"/>
    <col width="4.42578125" bestFit="1" customWidth="1" style="14" min="16" max="16"/>
    <col width="7.42578125" bestFit="1" customWidth="1" style="524" min="17" max="17"/>
    <col width="23" bestFit="1" customWidth="1" style="14" min="18" max="18"/>
    <col width="25.7109375" bestFit="1" customWidth="1" style="14" min="19" max="19"/>
    <col width="4.42578125" bestFit="1" customWidth="1" style="14" min="20" max="20"/>
    <col width="6.85546875" bestFit="1" customWidth="1" style="524" min="21" max="21"/>
    <col width="25.7109375" bestFit="1" customWidth="1" style="14" min="22" max="22"/>
    <col width="28.42578125" bestFit="1" customWidth="1" style="14" min="23" max="23"/>
    <col width="16.140625" customWidth="1" style="14" min="24" max="25"/>
    <col width="23.5703125" bestFit="1" customWidth="1" style="14" min="26" max="26"/>
    <col width="26.42578125" bestFit="1" customWidth="1" style="14" min="27" max="27"/>
    <col width="4.42578125" bestFit="1" customWidth="1" style="14" min="28" max="28"/>
    <col width="8.85546875" bestFit="1" customWidth="1" style="524" min="29" max="29"/>
    <col width="8.7109375" customWidth="1" style="13" min="30" max="16384"/>
  </cols>
  <sheetData>
    <row r="1" ht="29.45" customHeight="1" s="594">
      <c r="A1" s="533" t="inlineStr">
        <is>
          <t>DOC DESCRIPTION</t>
        </is>
      </c>
      <c r="B1" s="541" t="inlineStr">
        <is>
          <t>DOC ID</t>
        </is>
      </c>
      <c r="C1" s="541" t="inlineStr">
        <is>
          <t>DOC EXT</t>
        </is>
      </c>
      <c r="D1" s="554" t="inlineStr">
        <is>
          <t>TIPO</t>
        </is>
      </c>
      <c r="E1" s="554" t="inlineStr">
        <is>
          <t>VOLUME
SUBVOLUME
_TOMO</t>
        </is>
      </c>
      <c r="F1" s="634" t="inlineStr">
        <is>
          <t>VZI_Base</t>
        </is>
      </c>
      <c r="G1" s="573" t="n"/>
      <c r="H1" s="573" t="n"/>
      <c r="I1" s="78" t="n"/>
      <c r="J1" s="634" t="inlineStr">
        <is>
          <t>VZI_New14</t>
        </is>
      </c>
      <c r="K1" s="573" t="n"/>
      <c r="L1" s="573" t="n"/>
      <c r="M1" s="78" t="n"/>
      <c r="N1" s="635" t="inlineStr">
        <is>
          <t>VZ_FR</t>
        </is>
      </c>
      <c r="O1" s="573" t="n"/>
      <c r="P1" s="573" t="n"/>
      <c r="Q1" s="78" t="n"/>
      <c r="R1" s="635" t="inlineStr">
        <is>
          <t>VZ-ES</t>
        </is>
      </c>
      <c r="S1" s="573" t="n"/>
      <c r="T1" s="573" t="n"/>
      <c r="U1" s="78" t="n"/>
      <c r="V1" s="636" t="inlineStr">
        <is>
          <t>VZI-6_R1</t>
        </is>
      </c>
      <c r="W1" s="573" t="n"/>
      <c r="X1" s="573" t="n"/>
      <c r="Y1" s="78" t="n"/>
      <c r="Z1" s="636" t="inlineStr">
        <is>
          <t>VZI-4_R1</t>
        </is>
      </c>
      <c r="AA1" s="573" t="n"/>
      <c r="AB1" s="573" t="n"/>
      <c r="AC1" s="78" t="n"/>
    </row>
    <row r="2" ht="29.45" customHeight="1" s="594" thickBot="1">
      <c r="A2" s="535" t="n"/>
      <c r="B2" s="542" t="n"/>
      <c r="C2" s="542" t="n"/>
      <c r="D2" s="527" t="n"/>
      <c r="E2" s="527" t="n"/>
      <c r="F2" s="382" t="inlineStr">
        <is>
          <t>NOME FILE</t>
        </is>
      </c>
      <c r="G2" s="485" t="inlineStr">
        <is>
          <t>CODICE</t>
        </is>
      </c>
      <c r="H2" s="383" t="inlineStr">
        <is>
          <t>REV</t>
        </is>
      </c>
      <c r="I2" s="384" t="inlineStr">
        <is>
          <t>DATA</t>
        </is>
      </c>
      <c r="J2" s="382" t="inlineStr">
        <is>
          <t>NOME FILE</t>
        </is>
      </c>
      <c r="K2" s="485" t="inlineStr">
        <is>
          <t>CODICE</t>
        </is>
      </c>
      <c r="L2" s="383" t="inlineStr">
        <is>
          <t>REV</t>
        </is>
      </c>
      <c r="M2" s="384" t="inlineStr">
        <is>
          <t>DATA</t>
        </is>
      </c>
      <c r="N2" s="382" t="inlineStr">
        <is>
          <t>NOME FILE</t>
        </is>
      </c>
      <c r="O2" s="485" t="inlineStr">
        <is>
          <t>CODICE</t>
        </is>
      </c>
      <c r="P2" s="142" t="inlineStr">
        <is>
          <t>REV</t>
        </is>
      </c>
      <c r="Q2" s="143" t="inlineStr">
        <is>
          <t>DATA</t>
        </is>
      </c>
      <c r="R2" s="382" t="inlineStr">
        <is>
          <t>NOME FILE</t>
        </is>
      </c>
      <c r="S2" s="485" t="inlineStr">
        <is>
          <t>CODICE</t>
        </is>
      </c>
      <c r="T2" s="142" t="inlineStr">
        <is>
          <t>REV</t>
        </is>
      </c>
      <c r="U2" s="486" t="inlineStr">
        <is>
          <t>DATA</t>
        </is>
      </c>
      <c r="V2" s="382" t="inlineStr">
        <is>
          <t>NOME FILE</t>
        </is>
      </c>
      <c r="W2" s="485" t="inlineStr">
        <is>
          <t>CODICE</t>
        </is>
      </c>
      <c r="X2" s="142" t="inlineStr">
        <is>
          <t>REV</t>
        </is>
      </c>
      <c r="Y2" s="143" t="inlineStr">
        <is>
          <t>DATA</t>
        </is>
      </c>
      <c r="Z2" s="382" t="inlineStr">
        <is>
          <t>NOME FILE</t>
        </is>
      </c>
      <c r="AA2" s="485" t="inlineStr">
        <is>
          <t>CODICE</t>
        </is>
      </c>
      <c r="AB2" s="142" t="inlineStr">
        <is>
          <t>REV</t>
        </is>
      </c>
      <c r="AC2" s="486" t="inlineStr">
        <is>
          <t>DATA</t>
        </is>
      </c>
    </row>
    <row r="3">
      <c r="A3" s="487" t="inlineStr">
        <is>
          <t>Descrizione generale e funzionamento</t>
        </is>
      </c>
      <c r="B3" s="488">
        <f>CONCATENATE(D3,"_",E3)</f>
        <v/>
      </c>
      <c r="C3" s="488" t="inlineStr">
        <is>
          <t>pdf</t>
        </is>
      </c>
      <c r="D3" s="488" t="inlineStr">
        <is>
          <t>PBC</t>
        </is>
      </c>
      <c r="E3" s="488" t="inlineStr">
        <is>
          <t>01A</t>
        </is>
      </c>
      <c r="F3" s="402">
        <f>CONCATENATE("ETR1000V300-",$D3,"-",$E3)</f>
        <v/>
      </c>
      <c r="G3" s="489">
        <f>CONCATENATE(F3,"-",H3)</f>
        <v/>
      </c>
      <c r="H3" s="403" t="n">
        <v>14</v>
      </c>
      <c r="I3" s="404" t="n">
        <v>46113</v>
      </c>
      <c r="J3" s="402">
        <f>$F3</f>
        <v/>
      </c>
      <c r="K3" s="489">
        <f>$G3</f>
        <v/>
      </c>
      <c r="L3" s="403">
        <f>$H3</f>
        <v/>
      </c>
      <c r="M3" s="404">
        <f>$I3</f>
        <v/>
      </c>
      <c r="N3" s="490">
        <f>CONCATENATE("ETR1000V300_FR-",$D3,"-",$E3)</f>
        <v/>
      </c>
      <c r="O3" s="491">
        <f>CONCATENATE(N3,"-",P3)</f>
        <v/>
      </c>
      <c r="P3" s="492" t="inlineStr">
        <is>
          <t>03</t>
        </is>
      </c>
      <c r="Q3" s="493" t="n">
        <v>43922</v>
      </c>
      <c r="R3" s="494">
        <f>CONCATENATE("ETR1000V300_ES-",$D3,"-",$E3)</f>
        <v/>
      </c>
      <c r="S3" s="495">
        <f>CONCATENATE(R3,"-",T3)</f>
        <v/>
      </c>
      <c r="T3" s="492" t="inlineStr">
        <is>
          <t>03</t>
        </is>
      </c>
      <c r="U3" s="496" t="n">
        <v>45566</v>
      </c>
      <c r="V3" s="494">
        <f>CONCATENATE("ETR1000V300_R1-",$D3,"-",$E3)</f>
        <v/>
      </c>
      <c r="W3" s="495">
        <f>CONCATENATE(V3,"-",X3)</f>
        <v/>
      </c>
      <c r="X3" s="492" t="inlineStr">
        <is>
          <t>06</t>
        </is>
      </c>
      <c r="Y3" s="496" t="n">
        <v>45870</v>
      </c>
      <c r="Z3" s="497">
        <f>V3</f>
        <v/>
      </c>
      <c r="AA3" s="492">
        <f>W3</f>
        <v/>
      </c>
      <c r="AB3" s="492">
        <f>X3</f>
        <v/>
      </c>
      <c r="AC3" s="498">
        <f>Y3</f>
        <v/>
      </c>
    </row>
    <row r="4">
      <c r="A4" s="499" t="inlineStr">
        <is>
          <t>Norme d’Uso ed Interventi di Emergenza</t>
        </is>
      </c>
      <c r="B4" s="458">
        <f>CONCATENATE(D4,"_",E4)</f>
        <v/>
      </c>
      <c r="C4" s="488" t="inlineStr">
        <is>
          <t>pdf</t>
        </is>
      </c>
      <c r="D4" s="458" t="inlineStr">
        <is>
          <t>PBC</t>
        </is>
      </c>
      <c r="E4" s="458" t="inlineStr">
        <is>
          <t>01B</t>
        </is>
      </c>
      <c r="F4" s="405">
        <f>CONCATENATE("ETR1000V300-",$D4,"-",$E4)</f>
        <v/>
      </c>
      <c r="G4" s="500">
        <f>CONCATENATE(F4,"-",H4)</f>
        <v/>
      </c>
      <c r="H4" s="406" t="n">
        <v>14</v>
      </c>
      <c r="I4" s="407" t="n">
        <v>45748</v>
      </c>
      <c r="J4" s="405">
        <f>$F4</f>
        <v/>
      </c>
      <c r="K4" s="500">
        <f>$G4</f>
        <v/>
      </c>
      <c r="L4" s="406">
        <f>$H4</f>
        <v/>
      </c>
      <c r="M4" s="407">
        <f>$I4</f>
        <v/>
      </c>
      <c r="N4" s="494">
        <f>CONCATENATE("ETR1000V300_FR-",$D4,"-",$E4)</f>
        <v/>
      </c>
      <c r="O4" s="495">
        <f>CONCATENATE(N4,"-",P4)</f>
        <v/>
      </c>
      <c r="P4" s="460" t="inlineStr">
        <is>
          <t>03</t>
        </is>
      </c>
      <c r="Q4" s="496" t="n">
        <v>43922</v>
      </c>
      <c r="R4" s="494">
        <f>CONCATENATE("ETR1000V300_ES-",$D4,"-",$E4)</f>
        <v/>
      </c>
      <c r="S4" s="460">
        <f>CONCATENATE(R4,"-",T4)</f>
        <v/>
      </c>
      <c r="T4" s="460" t="inlineStr">
        <is>
          <t>03</t>
        </is>
      </c>
      <c r="U4" s="496" t="n">
        <v>45566</v>
      </c>
      <c r="V4" s="494">
        <f>CONCATENATE("ETR1000V300_R1-",$D4,"-",$E4)</f>
        <v/>
      </c>
      <c r="W4" s="495">
        <f>CONCATENATE(V4,"-",X4)</f>
        <v/>
      </c>
      <c r="X4" s="501" t="inlineStr">
        <is>
          <t>09</t>
        </is>
      </c>
      <c r="Y4" s="496" t="n">
        <v>45870</v>
      </c>
      <c r="Z4" s="502">
        <f>V4</f>
        <v/>
      </c>
      <c r="AA4" s="501">
        <f>W4</f>
        <v/>
      </c>
      <c r="AB4" s="501">
        <f>X4</f>
        <v/>
      </c>
      <c r="AC4" s="503">
        <f>Y4</f>
        <v/>
      </c>
    </row>
    <row r="5">
      <c r="A5" s="504" t="inlineStr">
        <is>
          <t>Manuale per il Personale di Bordo addetto alla Scorta</t>
        </is>
      </c>
      <c r="B5" s="458">
        <f>CONCATENATE(D5,"_",E5)</f>
        <v/>
      </c>
      <c r="C5" s="488" t="inlineStr">
        <is>
          <t>pdf</t>
        </is>
      </c>
      <c r="D5" s="458" t="inlineStr">
        <is>
          <t>PBS</t>
        </is>
      </c>
      <c r="E5" s="458" t="inlineStr">
        <is>
          <t>01A</t>
        </is>
      </c>
      <c r="F5" s="405">
        <f>CONCATENATE("ETR1000V300-",$D5,"-",$E5)</f>
        <v/>
      </c>
      <c r="G5" s="500">
        <f>CONCATENATE(F5,"-",H5)</f>
        <v/>
      </c>
      <c r="H5" s="409" t="inlineStr">
        <is>
          <t>04</t>
        </is>
      </c>
      <c r="I5" s="407" t="n">
        <v>45748</v>
      </c>
      <c r="J5" s="405">
        <f>$F5</f>
        <v/>
      </c>
      <c r="K5" s="500">
        <f>$G5</f>
        <v/>
      </c>
      <c r="L5" s="409">
        <f>$H5</f>
        <v/>
      </c>
      <c r="M5" s="407">
        <f>$I5</f>
        <v/>
      </c>
      <c r="N5" s="494">
        <f>CONCATENATE("ETR1000V300_FR-",$D5,"-",$E5)</f>
        <v/>
      </c>
      <c r="O5" s="495">
        <f>CONCATENATE(N5,"-",P5)</f>
        <v/>
      </c>
      <c r="P5" s="501" t="inlineStr">
        <is>
          <t>01</t>
        </is>
      </c>
      <c r="Q5" s="496" t="n">
        <v>43922</v>
      </c>
      <c r="R5" s="494">
        <f>CONCATENATE("ETR1000V300_ES-",$D5,"-",$E5)</f>
        <v/>
      </c>
      <c r="S5" s="460">
        <f>CONCATENATE(R5,"-",T5)</f>
        <v/>
      </c>
      <c r="T5" s="460" t="inlineStr">
        <is>
          <t>03</t>
        </is>
      </c>
      <c r="U5" s="496" t="n">
        <v>45566</v>
      </c>
      <c r="V5" s="494">
        <f>CONCATENATE("ETR1000V300_R1-",$D5,"-",$E5)</f>
        <v/>
      </c>
      <c r="W5" s="495">
        <f>CONCATENATE(V5,"-",X5)</f>
        <v/>
      </c>
      <c r="X5" s="501" t="inlineStr">
        <is>
          <t>03</t>
        </is>
      </c>
      <c r="Y5" s="496" t="n">
        <v>45901</v>
      </c>
      <c r="Z5" s="502">
        <f>V5</f>
        <v/>
      </c>
      <c r="AA5" s="501">
        <f>W5</f>
        <v/>
      </c>
      <c r="AB5" s="501">
        <f>X5</f>
        <v/>
      </c>
      <c r="AC5" s="503">
        <f>Y5</f>
        <v/>
      </c>
    </row>
    <row r="6">
      <c r="A6" s="504" t="inlineStr">
        <is>
          <t>Cassa</t>
        </is>
      </c>
      <c r="B6" s="458">
        <f>CONCATENATE(D6,"_",E6)</f>
        <v/>
      </c>
      <c r="C6" s="488" t="inlineStr">
        <is>
          <t>pdf</t>
        </is>
      </c>
      <c r="D6" s="458" t="inlineStr">
        <is>
          <t>MR1</t>
        </is>
      </c>
      <c r="E6" s="505" t="inlineStr">
        <is>
          <t>01A</t>
        </is>
      </c>
      <c r="F6" s="405">
        <f>CONCATENATE("ETR1000V300-",$D6,"-",$E6)</f>
        <v/>
      </c>
      <c r="G6" s="500">
        <f>CONCATENATE(F6,"-",H6)</f>
        <v/>
      </c>
      <c r="H6" s="415" t="inlineStr">
        <is>
          <t>08</t>
        </is>
      </c>
      <c r="I6" s="416" t="n">
        <v>46113</v>
      </c>
      <c r="J6" s="405">
        <f>$F6</f>
        <v/>
      </c>
      <c r="K6" s="500">
        <f>$G6</f>
        <v/>
      </c>
      <c r="L6" s="415">
        <f>$H6</f>
        <v/>
      </c>
      <c r="M6" s="416">
        <f>$I6</f>
        <v/>
      </c>
      <c r="N6" s="506">
        <f>CONCATENATE("ETR1000V300_FR-",$D6,"-",$E6)</f>
        <v/>
      </c>
      <c r="O6" s="495">
        <f>CONCATENATE(N6,"-",P6)</f>
        <v/>
      </c>
      <c r="P6" s="501" t="inlineStr">
        <is>
          <t>01</t>
        </is>
      </c>
      <c r="Q6" s="496" t="n">
        <v>44105</v>
      </c>
      <c r="R6" s="507" t="inlineStr">
        <is>
          <t>TBD</t>
        </is>
      </c>
      <c r="S6" s="508" t="n"/>
      <c r="T6" s="508" t="n"/>
      <c r="U6" s="509" t="n"/>
      <c r="V6" s="494">
        <f>CONCATENATE("ETR1000V300_R1-",$D6,"-",$E6)</f>
        <v/>
      </c>
      <c r="W6" s="495">
        <f>CONCATENATE(V6,"-",X6)</f>
        <v/>
      </c>
      <c r="X6" s="501" t="inlineStr">
        <is>
          <t>05</t>
        </is>
      </c>
      <c r="Y6" s="510" t="inlineStr">
        <is>
          <t>gen-2026</t>
        </is>
      </c>
      <c r="Z6" s="502">
        <f>V6</f>
        <v/>
      </c>
      <c r="AA6" s="501">
        <f>W6</f>
        <v/>
      </c>
      <c r="AB6" s="501">
        <f>X6</f>
        <v/>
      </c>
      <c r="AC6" s="503">
        <f>Y6</f>
        <v/>
      </c>
    </row>
    <row r="7">
      <c r="A7" s="504" t="inlineStr">
        <is>
          <t>Carrello</t>
        </is>
      </c>
      <c r="B7" s="458">
        <f>CONCATENATE(D7,"_",E7)</f>
        <v/>
      </c>
      <c r="C7" s="488" t="inlineStr">
        <is>
          <t>pdf</t>
        </is>
      </c>
      <c r="D7" s="458" t="inlineStr">
        <is>
          <t>MR1</t>
        </is>
      </c>
      <c r="E7" s="458" t="inlineStr">
        <is>
          <t>02A</t>
        </is>
      </c>
      <c r="F7" s="405">
        <f>CONCATENATE("ETR1000V300-",$D7,"-",$E7)</f>
        <v/>
      </c>
      <c r="G7" s="500">
        <f>CONCATENATE(F7,"-",H7)</f>
        <v/>
      </c>
      <c r="H7" s="417" t="n">
        <v>14</v>
      </c>
      <c r="I7" s="416" t="n">
        <v>46113</v>
      </c>
      <c r="J7" s="405">
        <f>$F7</f>
        <v/>
      </c>
      <c r="K7" s="500">
        <f>$G7</f>
        <v/>
      </c>
      <c r="L7" s="417">
        <f>$H7</f>
        <v/>
      </c>
      <c r="M7" s="416">
        <f>$I7</f>
        <v/>
      </c>
      <c r="N7" s="506">
        <f>CONCATENATE("ETR1000V300_FR-",$D7,"-",$E7)</f>
        <v/>
      </c>
      <c r="O7" s="495">
        <f>CONCATENATE(N7,"-",P7)</f>
        <v/>
      </c>
      <c r="P7" s="501" t="inlineStr">
        <is>
          <t>02</t>
        </is>
      </c>
      <c r="Q7" s="496" t="n">
        <v>44713</v>
      </c>
      <c r="R7" s="494" t="n"/>
      <c r="S7" s="460" t="n"/>
      <c r="T7" s="460" t="n"/>
      <c r="U7" s="496" t="n"/>
      <c r="V7" s="494">
        <f>CONCATENATE("ETR1000V300_R1-",$D7,"-",$E7)</f>
        <v/>
      </c>
      <c r="W7" s="495">
        <f>CONCATENATE(V7,"-",X7)</f>
        <v/>
      </c>
      <c r="X7" s="501" t="inlineStr">
        <is>
          <t>08</t>
        </is>
      </c>
      <c r="Y7" s="510" t="inlineStr">
        <is>
          <t>gen-2026</t>
        </is>
      </c>
      <c r="Z7" s="502">
        <f>V7</f>
        <v/>
      </c>
      <c r="AA7" s="501">
        <f>W7</f>
        <v/>
      </c>
      <c r="AB7" s="501">
        <f>X7</f>
        <v/>
      </c>
      <c r="AC7" s="503">
        <f>Y7</f>
        <v/>
      </c>
    </row>
    <row r="8">
      <c r="A8" s="504" t="inlineStr">
        <is>
          <t>Impianto pneumatico e freno</t>
        </is>
      </c>
      <c r="B8" s="458">
        <f>CONCATENATE(D8,"_",E8)</f>
        <v/>
      </c>
      <c r="C8" s="488" t="inlineStr">
        <is>
          <t>pdf</t>
        </is>
      </c>
      <c r="D8" s="458" t="inlineStr">
        <is>
          <t>MR1</t>
        </is>
      </c>
      <c r="E8" s="458" t="inlineStr">
        <is>
          <t>03A</t>
        </is>
      </c>
      <c r="F8" s="405">
        <f>CONCATENATE("ETR1000V300-",$D8,"-",$E8)</f>
        <v/>
      </c>
      <c r="G8" s="500">
        <f>CONCATENATE(F8,"-",H8)</f>
        <v/>
      </c>
      <c r="H8" s="415" t="inlineStr">
        <is>
          <t>09</t>
        </is>
      </c>
      <c r="I8" s="416" t="n">
        <v>46113</v>
      </c>
      <c r="J8" s="405">
        <f>$F8</f>
        <v/>
      </c>
      <c r="K8" s="500">
        <f>$G8</f>
        <v/>
      </c>
      <c r="L8" s="415">
        <f>$H8</f>
        <v/>
      </c>
      <c r="M8" s="416">
        <f>$I8</f>
        <v/>
      </c>
      <c r="N8" s="506">
        <f>CONCATENATE("ETR1000V300_FR-",$D8,"-",$E8)</f>
        <v/>
      </c>
      <c r="O8" s="495">
        <f>CONCATENATE(N8,"-",P8)</f>
        <v/>
      </c>
      <c r="P8" s="501" t="inlineStr">
        <is>
          <t>02</t>
        </is>
      </c>
      <c r="Q8" s="496" t="n">
        <v>44713</v>
      </c>
      <c r="R8" s="494" t="n"/>
      <c r="S8" s="460" t="n"/>
      <c r="T8" s="460" t="n"/>
      <c r="U8" s="496" t="n"/>
      <c r="V8" s="494">
        <f>CONCATENATE("ETR1000V300_R1-",$D8,"-",$E8)</f>
        <v/>
      </c>
      <c r="W8" s="495">
        <f>CONCATENATE(V8,"-",X8)</f>
        <v/>
      </c>
      <c r="X8" s="501" t="inlineStr">
        <is>
          <t>04</t>
        </is>
      </c>
      <c r="Y8" s="496" t="n">
        <v>45992</v>
      </c>
      <c r="Z8" s="502">
        <f>V8</f>
        <v/>
      </c>
      <c r="AA8" s="501">
        <f>W8</f>
        <v/>
      </c>
      <c r="AB8" s="501">
        <f>X8</f>
        <v/>
      </c>
      <c r="AC8" s="503">
        <f>Y8</f>
        <v/>
      </c>
    </row>
    <row r="9">
      <c r="A9" s="504" t="inlineStr">
        <is>
          <t>Equipaggiamento elettrico ed elettropneumatico</t>
        </is>
      </c>
      <c r="B9" s="458">
        <f>CONCATENATE(D9,"_",E9)</f>
        <v/>
      </c>
      <c r="C9" s="488" t="inlineStr">
        <is>
          <t>pdf</t>
        </is>
      </c>
      <c r="D9" s="458" t="inlineStr">
        <is>
          <t>MR1</t>
        </is>
      </c>
      <c r="E9" s="505" t="inlineStr">
        <is>
          <t>04A</t>
        </is>
      </c>
      <c r="F9" s="405">
        <f>CONCATENATE("ETR1000V300-",$D9,"-",$E9)</f>
        <v/>
      </c>
      <c r="G9" s="500">
        <f>CONCATENATE(F9,"-",H9)</f>
        <v/>
      </c>
      <c r="H9" s="415" t="n">
        <v>10</v>
      </c>
      <c r="I9" s="416" t="n">
        <v>46113</v>
      </c>
      <c r="J9" s="405">
        <f>$F9</f>
        <v/>
      </c>
      <c r="K9" s="500">
        <f>$G9</f>
        <v/>
      </c>
      <c r="L9" s="415">
        <f>$H9</f>
        <v/>
      </c>
      <c r="M9" s="416">
        <f>$I9</f>
        <v/>
      </c>
      <c r="N9" s="506">
        <f>CONCATENATE("ETR1000V300_FR-",$D9,"-",$E9)</f>
        <v/>
      </c>
      <c r="O9" s="495">
        <f>CONCATENATE(N9,"-",P9)</f>
        <v/>
      </c>
      <c r="P9" s="501" t="inlineStr">
        <is>
          <t>05</t>
        </is>
      </c>
      <c r="Q9" s="496" t="n">
        <v>45931</v>
      </c>
      <c r="R9" s="494" t="n"/>
      <c r="S9" s="460" t="n"/>
      <c r="T9" s="460" t="n"/>
      <c r="U9" s="496" t="n"/>
      <c r="V9" s="494">
        <f>CONCATENATE("ETR1000V300_R1-",$D9,"-",$E9)</f>
        <v/>
      </c>
      <c r="W9" s="495">
        <f>CONCATENATE(V9,"-",X9)</f>
        <v/>
      </c>
      <c r="X9" s="501" t="inlineStr">
        <is>
          <t>05</t>
        </is>
      </c>
      <c r="Y9" s="510" t="inlineStr">
        <is>
          <t>gen-2026</t>
        </is>
      </c>
      <c r="Z9" s="502">
        <f>V9</f>
        <v/>
      </c>
      <c r="AA9" s="501">
        <f>W9</f>
        <v/>
      </c>
      <c r="AB9" s="501">
        <f>X9</f>
        <v/>
      </c>
      <c r="AC9" s="503">
        <f>Y9</f>
        <v/>
      </c>
    </row>
    <row r="10">
      <c r="A10" s="504" t="inlineStr">
        <is>
          <t>Logica di comando</t>
        </is>
      </c>
      <c r="B10" s="458">
        <f>CONCATENATE(D10,"_",E10)</f>
        <v/>
      </c>
      <c r="C10" s="488" t="inlineStr">
        <is>
          <t>pdf</t>
        </is>
      </c>
      <c r="D10" s="458" t="inlineStr">
        <is>
          <t>MR1</t>
        </is>
      </c>
      <c r="E10" s="458" t="inlineStr">
        <is>
          <t>05A</t>
        </is>
      </c>
      <c r="F10" s="405">
        <f>CONCATENATE("ETR1000V300-",$D10,"-",$E10)</f>
        <v/>
      </c>
      <c r="G10" s="500">
        <f>CONCATENATE(F10,"-",H10)</f>
        <v/>
      </c>
      <c r="H10" s="415" t="inlineStr">
        <is>
          <t>04</t>
        </is>
      </c>
      <c r="I10" s="416" t="n">
        <v>46113</v>
      </c>
      <c r="J10" s="405">
        <f>$F10</f>
        <v/>
      </c>
      <c r="K10" s="500">
        <f>$G10</f>
        <v/>
      </c>
      <c r="L10" s="415">
        <f>$H10</f>
        <v/>
      </c>
      <c r="M10" s="416">
        <f>$I10</f>
        <v/>
      </c>
      <c r="N10" s="494">
        <f>$F10</f>
        <v/>
      </c>
      <c r="O10" s="495">
        <f>$G10</f>
        <v/>
      </c>
      <c r="P10" s="460">
        <f>$H10</f>
        <v/>
      </c>
      <c r="Q10" s="511">
        <f>$I10</f>
        <v/>
      </c>
      <c r="R10" s="494" t="n"/>
      <c r="S10" s="460" t="n"/>
      <c r="T10" s="460" t="n"/>
      <c r="U10" s="496" t="n"/>
      <c r="V10" s="494">
        <f>CONCATENATE("ETR1000V300_R1-",$D10,"-",$E10)</f>
        <v/>
      </c>
      <c r="W10" s="495">
        <f>CONCATENATE(V10,"-",X10)</f>
        <v/>
      </c>
      <c r="X10" s="501" t="inlineStr">
        <is>
          <t>03</t>
        </is>
      </c>
      <c r="Y10" s="496" t="n">
        <v>45931</v>
      </c>
      <c r="Z10" s="502">
        <f>V10</f>
        <v/>
      </c>
      <c r="AA10" s="501">
        <f>W10</f>
        <v/>
      </c>
      <c r="AB10" s="501">
        <f>X10</f>
        <v/>
      </c>
      <c r="AC10" s="503">
        <f>Y10</f>
        <v/>
      </c>
    </row>
    <row r="11">
      <c r="A11" s="504" t="inlineStr">
        <is>
          <t>Logica di comando - Nodo TCN</t>
        </is>
      </c>
      <c r="B11" s="458">
        <f>CONCATENATE(D11,"_",E11)</f>
        <v/>
      </c>
      <c r="C11" s="488" t="inlineStr">
        <is>
          <t>pdf</t>
        </is>
      </c>
      <c r="D11" s="458" t="inlineStr">
        <is>
          <t>MR1</t>
        </is>
      </c>
      <c r="E11" s="458" t="inlineStr">
        <is>
          <t>05B</t>
        </is>
      </c>
      <c r="F11" s="405">
        <f>CONCATENATE("ETR1000V300-",$D11,"-",$E11)</f>
        <v/>
      </c>
      <c r="G11" s="500">
        <f>CONCATENATE(F11,"-",H11)</f>
        <v/>
      </c>
      <c r="H11" s="409" t="inlineStr">
        <is>
          <t>02</t>
        </is>
      </c>
      <c r="I11" s="408" t="inlineStr">
        <is>
          <t>giu-17</t>
        </is>
      </c>
      <c r="J11" s="405">
        <f>$F11</f>
        <v/>
      </c>
      <c r="K11" s="500">
        <f>$G11</f>
        <v/>
      </c>
      <c r="L11" s="409">
        <f>$H11</f>
        <v/>
      </c>
      <c r="M11" s="408">
        <f>$I11</f>
        <v/>
      </c>
      <c r="N11" s="494">
        <f>$F11</f>
        <v/>
      </c>
      <c r="O11" s="495">
        <f>$G11</f>
        <v/>
      </c>
      <c r="P11" s="460">
        <f>$H11</f>
        <v/>
      </c>
      <c r="Q11" s="496">
        <f>$I11</f>
        <v/>
      </c>
      <c r="R11" s="494" t="n"/>
      <c r="S11" s="460" t="n"/>
      <c r="T11" s="460" t="n"/>
      <c r="U11" s="496" t="n"/>
      <c r="V11" s="494" t="inlineStr">
        <is>
          <t>\</t>
        </is>
      </c>
      <c r="W11" s="495" t="inlineStr">
        <is>
          <t>\</t>
        </is>
      </c>
      <c r="X11" s="501" t="inlineStr">
        <is>
          <t>\</t>
        </is>
      </c>
      <c r="Y11" s="496" t="inlineStr">
        <is>
          <t>\</t>
        </is>
      </c>
      <c r="Z11" s="502">
        <f>V11</f>
        <v/>
      </c>
      <c r="AA11" s="501">
        <f>W11</f>
        <v/>
      </c>
      <c r="AB11" s="501">
        <f>X11</f>
        <v/>
      </c>
      <c r="AC11" s="503">
        <f>Y11</f>
        <v/>
      </c>
    </row>
    <row r="12">
      <c r="A12" s="504" t="inlineStr">
        <is>
          <t>Azionamento di trazione</t>
        </is>
      </c>
      <c r="B12" s="458">
        <f>CONCATENATE(D12,"_",E12)</f>
        <v/>
      </c>
      <c r="C12" s="488" t="inlineStr">
        <is>
          <t>pdf</t>
        </is>
      </c>
      <c r="D12" s="458" t="inlineStr">
        <is>
          <t>MR1</t>
        </is>
      </c>
      <c r="E12" s="458" t="inlineStr">
        <is>
          <t>06A</t>
        </is>
      </c>
      <c r="F12" s="405">
        <f>CONCATENATE("ETR1000V300-",$D12,"-",$E12)</f>
        <v/>
      </c>
      <c r="G12" s="500">
        <f>CONCATENATE(F12,"-",H12)</f>
        <v/>
      </c>
      <c r="H12" s="415" t="inlineStr">
        <is>
          <t>05</t>
        </is>
      </c>
      <c r="I12" s="416" t="n">
        <v>46113</v>
      </c>
      <c r="J12" s="405">
        <f>$F12</f>
        <v/>
      </c>
      <c r="K12" s="500">
        <f>$G12</f>
        <v/>
      </c>
      <c r="L12" s="415">
        <f>$H12</f>
        <v/>
      </c>
      <c r="M12" s="416">
        <f>$I12</f>
        <v/>
      </c>
      <c r="N12" s="494">
        <f>$F12</f>
        <v/>
      </c>
      <c r="O12" s="460">
        <f>$G12</f>
        <v/>
      </c>
      <c r="P12" s="460">
        <f>$H12</f>
        <v/>
      </c>
      <c r="Q12" s="496">
        <f>$I12</f>
        <v/>
      </c>
      <c r="R12" s="494" t="n"/>
      <c r="S12" s="460" t="n"/>
      <c r="T12" s="460" t="n"/>
      <c r="U12" s="496" t="n"/>
      <c r="V12" s="494">
        <f>CONCATENATE("ETR1000V300_R1-",$D12,"-",$E12)</f>
        <v/>
      </c>
      <c r="W12" s="495">
        <f>CONCATENATE(V12,"-",X12)</f>
        <v/>
      </c>
      <c r="X12" s="501" t="inlineStr">
        <is>
          <t>04</t>
        </is>
      </c>
      <c r="Y12" s="496" t="n">
        <v>45992</v>
      </c>
      <c r="Z12" s="502">
        <f>V12</f>
        <v/>
      </c>
      <c r="AA12" s="501">
        <f>W12</f>
        <v/>
      </c>
      <c r="AB12" s="501">
        <f>X12</f>
        <v/>
      </c>
      <c r="AC12" s="503">
        <f>Y12</f>
        <v/>
      </c>
    </row>
    <row r="13">
      <c r="A13" s="504" t="inlineStr">
        <is>
          <t>Motore di trazione</t>
        </is>
      </c>
      <c r="B13" s="458">
        <f>CONCATENATE(D13,"_",E13)</f>
        <v/>
      </c>
      <c r="C13" s="488" t="inlineStr">
        <is>
          <t>pdf</t>
        </is>
      </c>
      <c r="D13" s="458" t="inlineStr">
        <is>
          <t>MR1</t>
        </is>
      </c>
      <c r="E13" s="458" t="inlineStr">
        <is>
          <t>07A</t>
        </is>
      </c>
      <c r="F13" s="405">
        <f>CONCATENATE("ETR1000V300-",$D13,"-",$E13)</f>
        <v/>
      </c>
      <c r="G13" s="500">
        <f>CONCATENATE(F13,"-",H13)</f>
        <v/>
      </c>
      <c r="H13" s="415" t="inlineStr">
        <is>
          <t>07</t>
        </is>
      </c>
      <c r="I13" s="416" t="n">
        <v>46113</v>
      </c>
      <c r="J13" s="405">
        <f>$F13</f>
        <v/>
      </c>
      <c r="K13" s="500">
        <f>$G13</f>
        <v/>
      </c>
      <c r="L13" s="415">
        <f>$H13</f>
        <v/>
      </c>
      <c r="M13" s="416">
        <f>$I13</f>
        <v/>
      </c>
      <c r="N13" s="494">
        <f>$F13</f>
        <v/>
      </c>
      <c r="O13" s="460">
        <f>$G13</f>
        <v/>
      </c>
      <c r="P13" s="460">
        <f>$H13</f>
        <v/>
      </c>
      <c r="Q13" s="496">
        <f>$I13</f>
        <v/>
      </c>
      <c r="R13" s="494" t="n"/>
      <c r="S13" s="460" t="n"/>
      <c r="T13" s="460" t="n"/>
      <c r="U13" s="496" t="n"/>
      <c r="V13" s="494">
        <f>CONCATENATE("ETR1000V300_R1-",$D13,"-",$E13)</f>
        <v/>
      </c>
      <c r="W13" s="495">
        <f>CONCATENATE(V13,"-",X13)</f>
        <v/>
      </c>
      <c r="X13" s="501" t="inlineStr">
        <is>
          <t>04</t>
        </is>
      </c>
      <c r="Y13" s="496" t="n">
        <v>45931</v>
      </c>
      <c r="Z13" s="502">
        <f>V13</f>
        <v/>
      </c>
      <c r="AA13" s="501">
        <f>W13</f>
        <v/>
      </c>
      <c r="AB13" s="501">
        <f>X13</f>
        <v/>
      </c>
      <c r="AC13" s="503">
        <f>Y13</f>
        <v/>
      </c>
    </row>
    <row r="14">
      <c r="A14" s="504" t="inlineStr">
        <is>
          <t>Passaggi esterni</t>
        </is>
      </c>
      <c r="B14" s="458">
        <f>CONCATENATE(D14,"_",E14)</f>
        <v/>
      </c>
      <c r="C14" s="488" t="inlineStr">
        <is>
          <t>pdf</t>
        </is>
      </c>
      <c r="D14" s="458" t="inlineStr">
        <is>
          <t>MR1</t>
        </is>
      </c>
      <c r="E14" s="505" t="inlineStr">
        <is>
          <t>08A</t>
        </is>
      </c>
      <c r="F14" s="405">
        <f>CONCATENATE("ETR1000V300-",$D14,"-",$E14)</f>
        <v/>
      </c>
      <c r="G14" s="500">
        <f>CONCATENATE(F14,"-",H14)</f>
        <v/>
      </c>
      <c r="H14" s="415" t="inlineStr">
        <is>
          <t>05</t>
        </is>
      </c>
      <c r="I14" s="416" t="n">
        <v>46113</v>
      </c>
      <c r="J14" s="405">
        <f>$F14</f>
        <v/>
      </c>
      <c r="K14" s="500">
        <f>$G14</f>
        <v/>
      </c>
      <c r="L14" s="415">
        <f>$H14</f>
        <v/>
      </c>
      <c r="M14" s="416">
        <f>$I14</f>
        <v/>
      </c>
      <c r="N14" s="494">
        <f>$F14</f>
        <v/>
      </c>
      <c r="O14" s="460">
        <f>$G14</f>
        <v/>
      </c>
      <c r="P14" s="460">
        <f>$H14</f>
        <v/>
      </c>
      <c r="Q14" s="496">
        <f>$I14</f>
        <v/>
      </c>
      <c r="R14" s="494" t="n"/>
      <c r="S14" s="460" t="n"/>
      <c r="T14" s="460" t="n"/>
      <c r="U14" s="496" t="n"/>
      <c r="V14" s="494">
        <f>CONCATENATE("ETR1000V300_R1-",$D14,"-",$E14)</f>
        <v/>
      </c>
      <c r="W14" s="495">
        <f>CONCATENATE(V14,"-",X14)</f>
        <v/>
      </c>
      <c r="X14" s="501" t="inlineStr">
        <is>
          <t>04</t>
        </is>
      </c>
      <c r="Y14" s="496" t="n">
        <v>45931</v>
      </c>
      <c r="Z14" s="502">
        <f>V14</f>
        <v/>
      </c>
      <c r="AA14" s="501">
        <f>W14</f>
        <v/>
      </c>
      <c r="AB14" s="501">
        <f>X14</f>
        <v/>
      </c>
      <c r="AC14" s="503">
        <f>Y14</f>
        <v/>
      </c>
    </row>
    <row r="15">
      <c r="A15" s="504" t="inlineStr">
        <is>
          <t>Sottosistema di climatizzazione</t>
        </is>
      </c>
      <c r="B15" s="458">
        <f>CONCATENATE(D15,"_",E15)</f>
        <v/>
      </c>
      <c r="C15" s="488" t="inlineStr">
        <is>
          <t>pdf</t>
        </is>
      </c>
      <c r="D15" s="458" t="inlineStr">
        <is>
          <t>MR1</t>
        </is>
      </c>
      <c r="E15" s="458" t="inlineStr">
        <is>
          <t>09A</t>
        </is>
      </c>
      <c r="F15" s="405">
        <f>CONCATENATE("ETR1000V300-",$D15,"-",$E15)</f>
        <v/>
      </c>
      <c r="G15" s="500">
        <f>CONCATENATE(F15,"-",H15)</f>
        <v/>
      </c>
      <c r="H15" s="415" t="inlineStr">
        <is>
          <t>05</t>
        </is>
      </c>
      <c r="I15" s="416" t="n">
        <v>46113</v>
      </c>
      <c r="J15" s="405">
        <f>$F15</f>
        <v/>
      </c>
      <c r="K15" s="500">
        <f>$G15</f>
        <v/>
      </c>
      <c r="L15" s="415">
        <f>$H15</f>
        <v/>
      </c>
      <c r="M15" s="416">
        <f>$I15</f>
        <v/>
      </c>
      <c r="N15" s="494">
        <f>$F15</f>
        <v/>
      </c>
      <c r="O15" s="460">
        <f>$G15</f>
        <v/>
      </c>
      <c r="P15" s="460">
        <f>$H15</f>
        <v/>
      </c>
      <c r="Q15" s="496">
        <f>$I15</f>
        <v/>
      </c>
      <c r="R15" s="494" t="n"/>
      <c r="S15" s="460" t="n"/>
      <c r="T15" s="460" t="n"/>
      <c r="U15" s="496" t="n"/>
      <c r="V15" s="494">
        <f>CONCATENATE("ETR1000V300_R1-",$D15,"-",$E15)</f>
        <v/>
      </c>
      <c r="W15" s="495">
        <f>CONCATENATE(V15,"-",X15)</f>
        <v/>
      </c>
      <c r="X15" s="501" t="inlineStr">
        <is>
          <t>04</t>
        </is>
      </c>
      <c r="Y15" s="496" t="n">
        <v>45931</v>
      </c>
      <c r="Z15" s="502">
        <f>V15</f>
        <v/>
      </c>
      <c r="AA15" s="501">
        <f>W15</f>
        <v/>
      </c>
      <c r="AB15" s="501">
        <f>X15</f>
        <v/>
      </c>
      <c r="AC15" s="503">
        <f>Y15</f>
        <v/>
      </c>
    </row>
    <row r="16">
      <c r="A16" s="504" t="inlineStr">
        <is>
          <t>Sottosistema di comunicazione</t>
        </is>
      </c>
      <c r="B16" s="458">
        <f>CONCATENATE(D16,"_",E16)</f>
        <v/>
      </c>
      <c r="C16" s="488" t="inlineStr">
        <is>
          <t>pdf</t>
        </is>
      </c>
      <c r="D16" s="458" t="inlineStr">
        <is>
          <t>MR1</t>
        </is>
      </c>
      <c r="E16" s="458" t="inlineStr">
        <is>
          <t>10A</t>
        </is>
      </c>
      <c r="F16" s="405">
        <f>CONCATENATE("ETR1000V300-",$D16,"-",$E16)</f>
        <v/>
      </c>
      <c r="G16" s="500">
        <f>CONCATENATE(F16,"-",H16)</f>
        <v/>
      </c>
      <c r="H16" s="415" t="inlineStr">
        <is>
          <t>05</t>
        </is>
      </c>
      <c r="I16" s="416" t="n">
        <v>46113</v>
      </c>
      <c r="J16" s="405">
        <f>$F16</f>
        <v/>
      </c>
      <c r="K16" s="500">
        <f>$G16</f>
        <v/>
      </c>
      <c r="L16" s="415">
        <f>$H16</f>
        <v/>
      </c>
      <c r="M16" s="416">
        <f>$I16</f>
        <v/>
      </c>
      <c r="N16" s="494">
        <f>$F16</f>
        <v/>
      </c>
      <c r="O16" s="460">
        <f>$G16</f>
        <v/>
      </c>
      <c r="P16" s="460">
        <f>$H16</f>
        <v/>
      </c>
      <c r="Q16" s="496">
        <f>$I16</f>
        <v/>
      </c>
      <c r="R16" s="494" t="n"/>
      <c r="S16" s="460" t="n"/>
      <c r="T16" s="460" t="n"/>
      <c r="U16" s="496" t="n"/>
      <c r="V16" s="494">
        <f>CONCATENATE("ETR1000V300_R1-",$D16,"-",$E16)</f>
        <v/>
      </c>
      <c r="W16" s="495">
        <f>CONCATENATE(V16,"-",X16)</f>
        <v/>
      </c>
      <c r="X16" s="501" t="inlineStr">
        <is>
          <t>03</t>
        </is>
      </c>
      <c r="Y16" s="496" t="n">
        <v>45901</v>
      </c>
      <c r="Z16" s="502">
        <f>V16</f>
        <v/>
      </c>
      <c r="AA16" s="501">
        <f>W16</f>
        <v/>
      </c>
      <c r="AB16" s="501">
        <f>X16</f>
        <v/>
      </c>
      <c r="AC16" s="503">
        <f>Y16</f>
        <v/>
      </c>
    </row>
    <row r="17">
      <c r="A17" s="504" t="inlineStr">
        <is>
          <t>Convertitore servizi ausiliari e caricabatterie</t>
        </is>
      </c>
      <c r="B17" s="458">
        <f>CONCATENATE(D17,"_",E17)</f>
        <v/>
      </c>
      <c r="C17" s="488" t="inlineStr">
        <is>
          <t>pdf</t>
        </is>
      </c>
      <c r="D17" s="458" t="inlineStr">
        <is>
          <t>MR1</t>
        </is>
      </c>
      <c r="E17" s="458" t="inlineStr">
        <is>
          <t>11A</t>
        </is>
      </c>
      <c r="F17" s="405">
        <f>CONCATENATE("ETR1000V300-",$D17,"-",$E17)</f>
        <v/>
      </c>
      <c r="G17" s="500">
        <f>CONCATENATE(F17,"-",H17)</f>
        <v/>
      </c>
      <c r="H17" s="415" t="inlineStr">
        <is>
          <t>03</t>
        </is>
      </c>
      <c r="I17" s="416" t="n">
        <v>46113</v>
      </c>
      <c r="J17" s="405">
        <f>$F17</f>
        <v/>
      </c>
      <c r="K17" s="500">
        <f>$G17</f>
        <v/>
      </c>
      <c r="L17" s="415">
        <f>$H17</f>
        <v/>
      </c>
      <c r="M17" s="416">
        <f>$I17</f>
        <v/>
      </c>
      <c r="N17" s="494">
        <f>$F17</f>
        <v/>
      </c>
      <c r="O17" s="460">
        <f>$G17</f>
        <v/>
      </c>
      <c r="P17" s="460">
        <f>$H17</f>
        <v/>
      </c>
      <c r="Q17" s="496">
        <f>$I17</f>
        <v/>
      </c>
      <c r="R17" s="494" t="n"/>
      <c r="S17" s="460" t="n"/>
      <c r="T17" s="460" t="n"/>
      <c r="U17" s="496" t="n"/>
      <c r="V17" s="494">
        <f>CONCATENATE("ETR1000V300_R1-",$D17,"-",$E17)</f>
        <v/>
      </c>
      <c r="W17" s="495">
        <f>CONCATENATE(V17,"-",X17)</f>
        <v/>
      </c>
      <c r="X17" s="501" t="inlineStr">
        <is>
          <t>03</t>
        </is>
      </c>
      <c r="Y17" s="496" t="n">
        <v>45992</v>
      </c>
      <c r="Z17" s="502">
        <f>V17</f>
        <v/>
      </c>
      <c r="AA17" s="501">
        <f>W17</f>
        <v/>
      </c>
      <c r="AB17" s="501">
        <f>X17</f>
        <v/>
      </c>
      <c r="AC17" s="503">
        <f>Y17</f>
        <v/>
      </c>
    </row>
    <row r="18">
      <c r="A18" s="504" t="inlineStr">
        <is>
          <t>Sottosistema diagnostica di bordo</t>
        </is>
      </c>
      <c r="B18" s="458">
        <f>CONCATENATE(D18,"_",E18)</f>
        <v/>
      </c>
      <c r="C18" s="488" t="inlineStr">
        <is>
          <t>pdf</t>
        </is>
      </c>
      <c r="D18" s="458" t="inlineStr">
        <is>
          <t>MR1</t>
        </is>
      </c>
      <c r="E18" s="458" t="inlineStr">
        <is>
          <t>13A</t>
        </is>
      </c>
      <c r="F18" s="405">
        <f>CONCATENATE("ETR1000V300-",$D18,"-",$E18)</f>
        <v/>
      </c>
      <c r="G18" s="500">
        <f>CONCATENATE(F18,"-",H18)</f>
        <v/>
      </c>
      <c r="H18" s="415" t="inlineStr">
        <is>
          <t>03</t>
        </is>
      </c>
      <c r="I18" s="416" t="n">
        <v>46113</v>
      </c>
      <c r="J18" s="405">
        <f>$F18</f>
        <v/>
      </c>
      <c r="K18" s="500">
        <f>$G18</f>
        <v/>
      </c>
      <c r="L18" s="415">
        <f>$H18</f>
        <v/>
      </c>
      <c r="M18" s="416">
        <f>$I18</f>
        <v/>
      </c>
      <c r="N18" s="494">
        <f>$F18</f>
        <v/>
      </c>
      <c r="O18" s="460">
        <f>$G18</f>
        <v/>
      </c>
      <c r="P18" s="460">
        <f>$H18</f>
        <v/>
      </c>
      <c r="Q18" s="496">
        <f>$I18</f>
        <v/>
      </c>
      <c r="R18" s="494" t="n"/>
      <c r="S18" s="460" t="n"/>
      <c r="T18" s="460" t="n"/>
      <c r="U18" s="496" t="n"/>
      <c r="V18" s="494">
        <f>CONCATENATE("ETR1000V300_R1-",$D18,"-",$E18)</f>
        <v/>
      </c>
      <c r="W18" s="495">
        <f>CONCATENATE(V18,"-",X18)</f>
        <v/>
      </c>
      <c r="X18" s="501" t="inlineStr">
        <is>
          <t>03</t>
        </is>
      </c>
      <c r="Y18" s="496" t="n">
        <v>45931</v>
      </c>
      <c r="Z18" s="502">
        <f>V18</f>
        <v/>
      </c>
      <c r="AA18" s="501">
        <f>W18</f>
        <v/>
      </c>
      <c r="AB18" s="501">
        <f>X18</f>
        <v/>
      </c>
      <c r="AC18" s="503">
        <f>Y18</f>
        <v/>
      </c>
    </row>
    <row r="19">
      <c r="A19" s="504" t="inlineStr">
        <is>
          <t>Allestimenti interni</t>
        </is>
      </c>
      <c r="B19" s="458">
        <f>CONCATENATE(D19,"_",E19)</f>
        <v/>
      </c>
      <c r="C19" s="488" t="inlineStr">
        <is>
          <t>pdf</t>
        </is>
      </c>
      <c r="D19" s="458" t="inlineStr">
        <is>
          <t>MR1</t>
        </is>
      </c>
      <c r="E19" s="458" t="inlineStr">
        <is>
          <t>14A</t>
        </is>
      </c>
      <c r="F19" s="411">
        <f>CONCATENATE("ETR1000V300-",$D19,"-",$E19)</f>
        <v/>
      </c>
      <c r="G19" s="500">
        <f>CONCATENATE(F19,"-",H19)</f>
        <v/>
      </c>
      <c r="H19" s="415" t="inlineStr">
        <is>
          <t>06</t>
        </is>
      </c>
      <c r="I19" s="416" t="n">
        <v>46113</v>
      </c>
      <c r="J19" s="411">
        <f>$F19</f>
        <v/>
      </c>
      <c r="K19" s="500">
        <f>$G19</f>
        <v/>
      </c>
      <c r="L19" s="415">
        <f>$H19</f>
        <v/>
      </c>
      <c r="M19" s="416">
        <f>$I19</f>
        <v/>
      </c>
      <c r="N19" s="494">
        <f>$F19</f>
        <v/>
      </c>
      <c r="O19" s="460">
        <f>$G19</f>
        <v/>
      </c>
      <c r="P19" s="460">
        <f>$H19</f>
        <v/>
      </c>
      <c r="Q19" s="496">
        <f>$I19</f>
        <v/>
      </c>
      <c r="R19" s="494" t="n"/>
      <c r="S19" s="460" t="n"/>
      <c r="T19" s="460" t="n"/>
      <c r="U19" s="496" t="n"/>
      <c r="V19" s="494" t="n"/>
      <c r="W19" s="495" t="n"/>
      <c r="X19" s="501" t="n"/>
      <c r="Y19" s="496" t="n"/>
      <c r="Z19" s="494" t="n"/>
      <c r="AA19" s="460" t="n"/>
      <c r="AB19" s="460" t="n"/>
      <c r="AC19" s="496" t="n"/>
    </row>
    <row r="20">
      <c r="A20" s="504" t="inlineStr">
        <is>
          <t>Allestimenti interni - Arredi comparto e cabina di guida</t>
        </is>
      </c>
      <c r="B20" s="458">
        <f>CONCATENATE(D20,"_",E20)</f>
        <v/>
      </c>
      <c r="C20" s="488" t="inlineStr">
        <is>
          <t>pdf</t>
        </is>
      </c>
      <c r="D20" s="458" t="inlineStr">
        <is>
          <t>MR1</t>
        </is>
      </c>
      <c r="E20" s="458" t="inlineStr">
        <is>
          <t>14B</t>
        </is>
      </c>
      <c r="F20" s="405">
        <f>CONCATENATE("ETR1000V300-",$D20,"-",$E20)</f>
        <v/>
      </c>
      <c r="G20" s="500" t="inlineStr">
        <is>
          <t>\</t>
        </is>
      </c>
      <c r="H20" s="412" t="inlineStr">
        <is>
          <t>\</t>
        </is>
      </c>
      <c r="I20" s="408" t="inlineStr">
        <is>
          <t>\</t>
        </is>
      </c>
      <c r="J20" s="405">
        <f>$F20</f>
        <v/>
      </c>
      <c r="K20" s="500">
        <f>$G20</f>
        <v/>
      </c>
      <c r="L20" s="412">
        <f>$H20</f>
        <v/>
      </c>
      <c r="M20" s="408">
        <f>$I20</f>
        <v/>
      </c>
      <c r="N20" s="494">
        <f>$G20</f>
        <v/>
      </c>
      <c r="O20" s="460">
        <f>$G20</f>
        <v/>
      </c>
      <c r="P20" s="460">
        <f>$H20</f>
        <v/>
      </c>
      <c r="Q20" s="496">
        <f>$I20</f>
        <v/>
      </c>
      <c r="R20" s="494" t="n"/>
      <c r="S20" s="460" t="n"/>
      <c r="T20" s="460" t="n"/>
      <c r="U20" s="496" t="n"/>
      <c r="V20" s="494">
        <f>CONCATENATE("ETR1000V300_R1-",$D20,"-",$E20)</f>
        <v/>
      </c>
      <c r="W20" s="495">
        <f>CONCATENATE(V20,"-",X20)</f>
        <v/>
      </c>
      <c r="X20" s="501" t="inlineStr">
        <is>
          <t>03</t>
        </is>
      </c>
      <c r="Y20" s="496" t="n">
        <v>45992</v>
      </c>
      <c r="Z20" s="502">
        <f>V20</f>
        <v/>
      </c>
      <c r="AA20" s="501">
        <f>W20</f>
        <v/>
      </c>
      <c r="AB20" s="501">
        <f>X20</f>
        <v/>
      </c>
      <c r="AC20" s="503">
        <f>Y20</f>
        <v/>
      </c>
    </row>
    <row r="21">
      <c r="A21" s="504" t="inlineStr">
        <is>
          <t>Servizi Generali di Bordo - Toilette</t>
        </is>
      </c>
      <c r="B21" s="458">
        <f>CONCATENATE(D21,"_",E21)</f>
        <v/>
      </c>
      <c r="C21" s="488" t="inlineStr">
        <is>
          <t>pdf</t>
        </is>
      </c>
      <c r="D21" s="458" t="inlineStr">
        <is>
          <t>MR1</t>
        </is>
      </c>
      <c r="E21" s="458" t="inlineStr">
        <is>
          <t>15A</t>
        </is>
      </c>
      <c r="F21" s="405">
        <f>CONCATENATE("ETR1000V300-",$D21,"-",$E21)</f>
        <v/>
      </c>
      <c r="G21" s="500">
        <f>CONCATENATE(F21,"-",H21)</f>
        <v/>
      </c>
      <c r="H21" s="415" t="inlineStr">
        <is>
          <t>06</t>
        </is>
      </c>
      <c r="I21" s="416" t="n">
        <v>46113</v>
      </c>
      <c r="J21" s="405">
        <f>$F21</f>
        <v/>
      </c>
      <c r="K21" s="500">
        <f>$G21</f>
        <v/>
      </c>
      <c r="L21" s="415">
        <f>$H21</f>
        <v/>
      </c>
      <c r="M21" s="416">
        <f>$I21</f>
        <v/>
      </c>
      <c r="N21" s="494">
        <f>$F21</f>
        <v/>
      </c>
      <c r="O21" s="460">
        <f>$G21</f>
        <v/>
      </c>
      <c r="P21" s="460">
        <f>$H21</f>
        <v/>
      </c>
      <c r="Q21" s="496">
        <f>$I21</f>
        <v/>
      </c>
      <c r="R21" s="494" t="n"/>
      <c r="S21" s="460" t="n"/>
      <c r="T21" s="460" t="n"/>
      <c r="U21" s="496" t="n"/>
      <c r="V21" s="494">
        <f>CONCATENATE("ETR1000V300_R1-",$D21,"-",$E21)</f>
        <v/>
      </c>
      <c r="W21" s="495">
        <f>CONCATENATE(V21,"-",X21)</f>
        <v/>
      </c>
      <c r="X21" s="501" t="inlineStr">
        <is>
          <t>03</t>
        </is>
      </c>
      <c r="Y21" s="510" t="inlineStr">
        <is>
          <t>gen-2026</t>
        </is>
      </c>
      <c r="Z21" s="502">
        <f>V21</f>
        <v/>
      </c>
      <c r="AA21" s="501">
        <f>W21</f>
        <v/>
      </c>
      <c r="AB21" s="501">
        <f>X21</f>
        <v/>
      </c>
      <c r="AC21" s="503">
        <f>Y21</f>
        <v/>
      </c>
    </row>
    <row r="22">
      <c r="A22" s="504" t="inlineStr">
        <is>
          <t>Servizi Generali di Bordo - Bar Bistrot</t>
        </is>
      </c>
      <c r="B22" s="458">
        <f>CONCATENATE(D22,"_",E22)</f>
        <v/>
      </c>
      <c r="C22" s="488" t="inlineStr">
        <is>
          <t>pdf</t>
        </is>
      </c>
      <c r="D22" s="458" t="inlineStr">
        <is>
          <t>MR1</t>
        </is>
      </c>
      <c r="E22" s="458" t="inlineStr">
        <is>
          <t>15B</t>
        </is>
      </c>
      <c r="F22" s="405">
        <f>CONCATENATE("ETR1000V300-",$D22,"-",$E22)</f>
        <v/>
      </c>
      <c r="G22" s="500" t="inlineStr">
        <is>
          <t>\</t>
        </is>
      </c>
      <c r="H22" s="406" t="inlineStr">
        <is>
          <t>\</t>
        </is>
      </c>
      <c r="I22" s="408" t="inlineStr">
        <is>
          <t>\</t>
        </is>
      </c>
      <c r="J22" s="405">
        <f>$F22</f>
        <v/>
      </c>
      <c r="K22" s="500">
        <f>$G22</f>
        <v/>
      </c>
      <c r="L22" s="406">
        <f>$H22</f>
        <v/>
      </c>
      <c r="M22" s="408">
        <f>$I22</f>
        <v/>
      </c>
      <c r="N22" s="494">
        <f>$G22</f>
        <v/>
      </c>
      <c r="O22" s="460">
        <f>$G22</f>
        <v/>
      </c>
      <c r="P22" s="460">
        <f>$H22</f>
        <v/>
      </c>
      <c r="Q22" s="496">
        <f>$I22</f>
        <v/>
      </c>
      <c r="R22" s="494" t="n"/>
      <c r="S22" s="460" t="n"/>
      <c r="T22" s="460" t="n"/>
      <c r="U22" s="496" t="n"/>
      <c r="V22" s="494" t="n"/>
      <c r="W22" s="495" t="n"/>
      <c r="X22" s="501" t="n"/>
      <c r="Y22" s="496" t="n"/>
      <c r="Z22" s="502" t="n"/>
      <c r="AA22" s="501" t="n"/>
      <c r="AB22" s="501" t="n"/>
      <c r="AC22" s="503" t="n"/>
    </row>
    <row r="23">
      <c r="A23" s="504" t="inlineStr">
        <is>
          <t>Emergenza e recupero</t>
        </is>
      </c>
      <c r="B23" s="458">
        <f>CONCATENATE(D23,"_",E23)</f>
        <v/>
      </c>
      <c r="C23" s="488" t="inlineStr">
        <is>
          <t>pdf</t>
        </is>
      </c>
      <c r="D23" s="458" t="inlineStr">
        <is>
          <t>MR1</t>
        </is>
      </c>
      <c r="E23" s="458" t="inlineStr">
        <is>
          <t>16A</t>
        </is>
      </c>
      <c r="F23" s="405">
        <f>CONCATENATE("ETR1000V300-",$D23,"-",$E23)</f>
        <v/>
      </c>
      <c r="G23" s="500">
        <f>CONCATENATE(F23,"-",H23)</f>
        <v/>
      </c>
      <c r="H23" s="410" t="inlineStr">
        <is>
          <t>07</t>
        </is>
      </c>
      <c r="I23" s="407" t="n">
        <v>44228</v>
      </c>
      <c r="J23" s="405">
        <f>$F23</f>
        <v/>
      </c>
      <c r="K23" s="500">
        <f>$G23</f>
        <v/>
      </c>
      <c r="L23" s="410">
        <f>$H23</f>
        <v/>
      </c>
      <c r="M23" s="407">
        <f>$I23</f>
        <v/>
      </c>
      <c r="N23" s="494">
        <f>$F23</f>
        <v/>
      </c>
      <c r="O23" s="460">
        <f>$G23</f>
        <v/>
      </c>
      <c r="P23" s="460">
        <f>$H23</f>
        <v/>
      </c>
      <c r="Q23" s="496">
        <f>$I23</f>
        <v/>
      </c>
      <c r="R23" s="494" t="n"/>
      <c r="S23" s="460" t="n"/>
      <c r="T23" s="460" t="n"/>
      <c r="U23" s="496" t="n"/>
      <c r="V23" s="494" t="n"/>
      <c r="W23" s="495" t="n"/>
      <c r="X23" s="501" t="n"/>
      <c r="Y23" s="496" t="n"/>
      <c r="Z23" s="502" t="n"/>
      <c r="AA23" s="501" t="n"/>
      <c r="AB23" s="501" t="n"/>
      <c r="AC23" s="503" t="n"/>
    </row>
    <row r="24">
      <c r="A24" s="504" t="inlineStr">
        <is>
          <t>Telecomunicazioni TT</t>
        </is>
      </c>
      <c r="B24" s="458">
        <f>CONCATENATE(D24,"_",E24)</f>
        <v/>
      </c>
      <c r="C24" s="488" t="inlineStr">
        <is>
          <t>pdf</t>
        </is>
      </c>
      <c r="D24" s="458" t="inlineStr">
        <is>
          <t>MR1</t>
        </is>
      </c>
      <c r="E24" s="458" t="inlineStr">
        <is>
          <t>18A</t>
        </is>
      </c>
      <c r="F24" s="405">
        <f>CONCATENATE("ETR1000V300-",$D24,"-",$E24)</f>
        <v/>
      </c>
      <c r="G24" s="500">
        <f>CONCATENATE(F24,"-",H24)</f>
        <v/>
      </c>
      <c r="H24" s="415" t="inlineStr">
        <is>
          <t>05</t>
        </is>
      </c>
      <c r="I24" s="416" t="n">
        <v>46113</v>
      </c>
      <c r="J24" s="405">
        <f>$F24</f>
        <v/>
      </c>
      <c r="K24" s="500">
        <f>$G24</f>
        <v/>
      </c>
      <c r="L24" s="415">
        <f>$H24</f>
        <v/>
      </c>
      <c r="M24" s="416">
        <f>$I24</f>
        <v/>
      </c>
      <c r="N24" s="494">
        <f>$F24</f>
        <v/>
      </c>
      <c r="O24" s="460">
        <f>$G24</f>
        <v/>
      </c>
      <c r="P24" s="460">
        <f>$H24</f>
        <v/>
      </c>
      <c r="Q24" s="496">
        <f>$I24</f>
        <v/>
      </c>
      <c r="R24" s="494" t="n"/>
      <c r="S24" s="460" t="n"/>
      <c r="T24" s="460" t="n"/>
      <c r="U24" s="496" t="n"/>
      <c r="V24" s="494">
        <f>CONCATENATE("ETR1000V300_R1-",$D24,"-",$E24)</f>
        <v/>
      </c>
      <c r="W24" s="495">
        <f>CONCATENATE(V24,"-",X24)</f>
        <v/>
      </c>
      <c r="X24" s="501" t="inlineStr">
        <is>
          <t>03</t>
        </is>
      </c>
      <c r="Y24" s="496" t="n">
        <v>45931</v>
      </c>
      <c r="Z24" s="502">
        <f>V24</f>
        <v/>
      </c>
      <c r="AA24" s="501">
        <f>W24</f>
        <v/>
      </c>
      <c r="AB24" s="501">
        <f>X24</f>
        <v/>
      </c>
      <c r="AC24" s="503">
        <f>Y24</f>
        <v/>
      </c>
    </row>
    <row r="25">
      <c r="A25" s="504" t="inlineStr">
        <is>
          <t>Sottosistema di bordo generale</t>
        </is>
      </c>
      <c r="B25" s="458">
        <f>CONCATENATE(D25,"_",E25)</f>
        <v/>
      </c>
      <c r="C25" s="488" t="inlineStr">
        <is>
          <t>pdf</t>
        </is>
      </c>
      <c r="D25" s="458" t="inlineStr">
        <is>
          <t>MR1</t>
        </is>
      </c>
      <c r="E25" s="458" t="inlineStr">
        <is>
          <t>20A</t>
        </is>
      </c>
      <c r="F25" s="381">
        <f>CONCATENATE("ETR1000V300-",$D25,"-",$E25)</f>
        <v/>
      </c>
      <c r="G25" s="500">
        <f>CONCATENATE(F25,"-",H25)</f>
        <v/>
      </c>
      <c r="H25" s="409" t="inlineStr">
        <is>
          <t>03</t>
        </is>
      </c>
      <c r="I25" s="408" t="inlineStr">
        <is>
          <t>giu-20</t>
        </is>
      </c>
      <c r="J25" s="381">
        <f>$F25</f>
        <v/>
      </c>
      <c r="K25" s="500">
        <f>$G25</f>
        <v/>
      </c>
      <c r="L25" s="409">
        <f>$H25</f>
        <v/>
      </c>
      <c r="M25" s="408">
        <f>$I25</f>
        <v/>
      </c>
      <c r="N25" s="506" t="inlineStr">
        <is>
          <t>\</t>
        </is>
      </c>
      <c r="O25" s="460" t="inlineStr">
        <is>
          <t>\</t>
        </is>
      </c>
      <c r="P25" s="460" t="inlineStr">
        <is>
          <t>\</t>
        </is>
      </c>
      <c r="Q25" s="496" t="inlineStr">
        <is>
          <t>\</t>
        </is>
      </c>
      <c r="R25" s="494" t="n"/>
      <c r="S25" s="460" t="n"/>
      <c r="T25" s="460" t="n"/>
      <c r="U25" s="496" t="n"/>
      <c r="V25" s="494">
        <f>CONCATENATE("ETR1000V300_R1-",$D25,"-",$E25)</f>
        <v/>
      </c>
      <c r="W25" s="495">
        <f>CONCATENATE(V25,"-",X25)</f>
        <v/>
      </c>
      <c r="X25" s="501" t="inlineStr">
        <is>
          <t>05</t>
        </is>
      </c>
      <c r="Y25" s="510" t="inlineStr">
        <is>
          <t>gen-2026</t>
        </is>
      </c>
      <c r="Z25" s="502">
        <f>V25</f>
        <v/>
      </c>
      <c r="AA25" s="501">
        <f>W25</f>
        <v/>
      </c>
      <c r="AB25" s="501">
        <f>X25</f>
        <v/>
      </c>
      <c r="AC25" s="503">
        <f>Y25</f>
        <v/>
      </c>
    </row>
    <row r="26">
      <c r="A26" s="504" t="inlineStr">
        <is>
          <t>Sottosistema di bordo ETCS specifico del treno</t>
        </is>
      </c>
      <c r="B26" s="458">
        <f>CONCATENATE(D26,"_",E26)</f>
        <v/>
      </c>
      <c r="C26" s="488" t="inlineStr">
        <is>
          <t>pdf</t>
        </is>
      </c>
      <c r="D26" s="458" t="inlineStr">
        <is>
          <t>MR1</t>
        </is>
      </c>
      <c r="E26" s="458" t="inlineStr">
        <is>
          <t>20B</t>
        </is>
      </c>
      <c r="F26" s="381">
        <f>CONCATENATE("ETR1000V300-",$D26,"-",$E26)</f>
        <v/>
      </c>
      <c r="G26" s="500">
        <f>CONCATENATE(F26,"-",H26)</f>
        <v/>
      </c>
      <c r="H26" s="409" t="inlineStr">
        <is>
          <t>01</t>
        </is>
      </c>
      <c r="I26" s="408" t="inlineStr">
        <is>
          <t>lug-17</t>
        </is>
      </c>
      <c r="J26" s="381">
        <f>$F26</f>
        <v/>
      </c>
      <c r="K26" s="500">
        <f>$G26</f>
        <v/>
      </c>
      <c r="L26" s="409">
        <f>$H26</f>
        <v/>
      </c>
      <c r="M26" s="408">
        <f>$I26</f>
        <v/>
      </c>
      <c r="N26" s="506" t="inlineStr">
        <is>
          <t>\</t>
        </is>
      </c>
      <c r="O26" s="460" t="inlineStr">
        <is>
          <t>\</t>
        </is>
      </c>
      <c r="P26" s="460" t="inlineStr">
        <is>
          <t>\</t>
        </is>
      </c>
      <c r="Q26" s="496" t="inlineStr">
        <is>
          <t>\</t>
        </is>
      </c>
      <c r="R26" s="494" t="n"/>
      <c r="S26" s="460" t="n"/>
      <c r="T26" s="460" t="n"/>
      <c r="U26" s="496" t="n"/>
      <c r="V26" s="494">
        <f>CONCATENATE("ETR1000V300_R1-",$D26,"-",$E26)</f>
        <v/>
      </c>
      <c r="W26" s="495">
        <f>CONCATENATE(V26,"-",X26)</f>
        <v/>
      </c>
      <c r="X26" s="501" t="inlineStr">
        <is>
          <t>02</t>
        </is>
      </c>
      <c r="Y26" s="496" t="n">
        <v>45931</v>
      </c>
      <c r="Z26" s="502">
        <f>V26</f>
        <v/>
      </c>
      <c r="AA26" s="501">
        <f>W26</f>
        <v/>
      </c>
      <c r="AB26" s="501">
        <f>X26</f>
        <v/>
      </c>
      <c r="AC26" s="503">
        <f>Y26</f>
        <v/>
      </c>
    </row>
    <row r="27">
      <c r="A27" s="504" t="inlineStr">
        <is>
          <t>Sottosistema di bordo generale - Linea francese</t>
        </is>
      </c>
      <c r="B27" s="458">
        <f>CONCATENATE(D27,"_",E27)</f>
        <v/>
      </c>
      <c r="C27" s="488" t="inlineStr">
        <is>
          <t>pdf</t>
        </is>
      </c>
      <c r="D27" s="458" t="inlineStr">
        <is>
          <t>MR1</t>
        </is>
      </c>
      <c r="E27" s="458" t="inlineStr">
        <is>
          <t>20C</t>
        </is>
      </c>
      <c r="F27" s="405" t="inlineStr">
        <is>
          <t>\</t>
        </is>
      </c>
      <c r="G27" s="500" t="inlineStr">
        <is>
          <t>\</t>
        </is>
      </c>
      <c r="H27" s="409" t="inlineStr">
        <is>
          <t>\</t>
        </is>
      </c>
      <c r="I27" s="408" t="inlineStr">
        <is>
          <t>\</t>
        </is>
      </c>
      <c r="J27" s="405">
        <f>$F27</f>
        <v/>
      </c>
      <c r="K27" s="500">
        <f>$G27</f>
        <v/>
      </c>
      <c r="L27" s="409">
        <f>$H27</f>
        <v/>
      </c>
      <c r="M27" s="408">
        <f>$I27</f>
        <v/>
      </c>
      <c r="N27" s="506">
        <f>CONCATENATE("ETR1000V300_FR-",$D27,"-",$E27)</f>
        <v/>
      </c>
      <c r="O27" s="495">
        <f>CONCATENATE(N27,"-",P27)</f>
        <v/>
      </c>
      <c r="P27" s="501" t="inlineStr">
        <is>
          <t>02</t>
        </is>
      </c>
      <c r="Q27" s="496" t="n">
        <v>44409</v>
      </c>
      <c r="R27" s="494" t="n"/>
      <c r="S27" s="460" t="n"/>
      <c r="T27" s="460" t="n"/>
      <c r="U27" s="496" t="n"/>
      <c r="V27" s="494" t="inlineStr">
        <is>
          <t>\</t>
        </is>
      </c>
      <c r="W27" s="495" t="inlineStr">
        <is>
          <t>\</t>
        </is>
      </c>
      <c r="X27" s="501" t="inlineStr">
        <is>
          <t>\</t>
        </is>
      </c>
      <c r="Y27" s="496" t="inlineStr">
        <is>
          <t>\</t>
        </is>
      </c>
      <c r="Z27" s="502">
        <f>V27</f>
        <v/>
      </c>
      <c r="AA27" s="501">
        <f>W27</f>
        <v/>
      </c>
      <c r="AB27" s="501">
        <f>X27</f>
        <v/>
      </c>
      <c r="AC27" s="503">
        <f>Y27</f>
        <v/>
      </c>
    </row>
    <row r="28">
      <c r="A28" s="504" t="inlineStr">
        <is>
          <t>Sottosistema di bordo specifico - Linea francese</t>
        </is>
      </c>
      <c r="B28" s="458">
        <f>CONCATENATE(D28,"_",E28)</f>
        <v/>
      </c>
      <c r="C28" s="488" t="inlineStr">
        <is>
          <t>pdf</t>
        </is>
      </c>
      <c r="D28" s="458" t="inlineStr">
        <is>
          <t>MR1</t>
        </is>
      </c>
      <c r="E28" s="458" t="inlineStr">
        <is>
          <t>20D</t>
        </is>
      </c>
      <c r="F28" s="405" t="inlineStr">
        <is>
          <t>\</t>
        </is>
      </c>
      <c r="G28" s="500" t="inlineStr">
        <is>
          <t>\</t>
        </is>
      </c>
      <c r="H28" s="409" t="inlineStr">
        <is>
          <t>\</t>
        </is>
      </c>
      <c r="I28" s="408" t="inlineStr">
        <is>
          <t>\</t>
        </is>
      </c>
      <c r="J28" s="405">
        <f>$F28</f>
        <v/>
      </c>
      <c r="K28" s="500">
        <f>$G28</f>
        <v/>
      </c>
      <c r="L28" s="409">
        <f>$H28</f>
        <v/>
      </c>
      <c r="M28" s="408">
        <f>$I28</f>
        <v/>
      </c>
      <c r="N28" s="506">
        <f>CONCATENATE("ETR1000V300_FR-",$D28,"-",$E28)</f>
        <v/>
      </c>
      <c r="O28" s="495">
        <f>CONCATENATE(N28,"-",P28)</f>
        <v/>
      </c>
      <c r="P28" s="501" t="inlineStr">
        <is>
          <t>01</t>
        </is>
      </c>
      <c r="Q28" s="496" t="n">
        <v>44136</v>
      </c>
      <c r="R28" s="494" t="n"/>
      <c r="S28" s="460" t="n"/>
      <c r="T28" s="460" t="n"/>
      <c r="U28" s="496" t="n"/>
      <c r="V28" s="494" t="inlineStr">
        <is>
          <t>\</t>
        </is>
      </c>
      <c r="W28" s="495" t="inlineStr">
        <is>
          <t>\</t>
        </is>
      </c>
      <c r="X28" s="501" t="inlineStr">
        <is>
          <t>\</t>
        </is>
      </c>
      <c r="Y28" s="496" t="inlineStr">
        <is>
          <t>\</t>
        </is>
      </c>
      <c r="Z28" s="502">
        <f>V28</f>
        <v/>
      </c>
      <c r="AA28" s="501">
        <f>W28</f>
        <v/>
      </c>
      <c r="AB28" s="501">
        <f>X28</f>
        <v/>
      </c>
      <c r="AC28" s="503">
        <f>Y28</f>
        <v/>
      </c>
    </row>
    <row r="29" ht="30" customFormat="1" customHeight="1" s="139">
      <c r="A29" s="512" t="inlineStr">
        <is>
          <t>SSB ERTMS/SCMT (ALA) - MANUALE GENERICO USO E
MANUTENZIONE (B60A.000012.640.06I)</t>
        </is>
      </c>
      <c r="B29" s="513">
        <f>CONCATENATE(D29,"_",E29)</f>
        <v/>
      </c>
      <c r="C29" s="488" t="inlineStr">
        <is>
          <t>pdf</t>
        </is>
      </c>
      <c r="D29" s="513" t="inlineStr">
        <is>
          <t>MR1</t>
        </is>
      </c>
      <c r="E29" s="505" t="inlineStr">
        <is>
          <t>20A_ALA</t>
        </is>
      </c>
      <c r="F29" s="381">
        <f>CONCATENATE("ETR1000V300-",$D29,"-",$E29)</f>
        <v/>
      </c>
      <c r="G29" s="500">
        <f>CONCATENATE(F29,"-",H29)</f>
        <v/>
      </c>
      <c r="H29" s="410" t="inlineStr">
        <is>
          <t>08</t>
        </is>
      </c>
      <c r="I29" s="514" t="n">
        <v>43966</v>
      </c>
      <c r="J29" s="381">
        <f>$F29</f>
        <v/>
      </c>
      <c r="K29" s="500">
        <f>$G29</f>
        <v/>
      </c>
      <c r="L29" s="410">
        <f>$H29</f>
        <v/>
      </c>
      <c r="M29" s="514">
        <f>$I29</f>
        <v/>
      </c>
      <c r="N29" s="515" t="inlineStr">
        <is>
          <t>\</t>
        </is>
      </c>
      <c r="O29" s="516" t="inlineStr">
        <is>
          <t>\</t>
        </is>
      </c>
      <c r="P29" s="516" t="inlineStr">
        <is>
          <t>\</t>
        </is>
      </c>
      <c r="Q29" s="511" t="inlineStr">
        <is>
          <t>\</t>
        </is>
      </c>
      <c r="R29" s="517" t="n"/>
      <c r="S29" s="518" t="n"/>
      <c r="T29" s="518" t="n"/>
      <c r="U29" s="519" t="n"/>
      <c r="V29" s="494" t="n"/>
      <c r="W29" s="495" t="n"/>
      <c r="X29" s="501" t="n"/>
      <c r="Y29" s="496" t="n"/>
      <c r="Z29" s="517" t="n"/>
      <c r="AA29" s="518" t="n"/>
      <c r="AB29" s="518" t="n"/>
      <c r="AC29" s="519" t="n"/>
    </row>
    <row r="30" ht="30" customFormat="1" customHeight="1" s="139">
      <c r="A30" s="512" t="inlineStr">
        <is>
          <t>SSB ERTMS/SCMT (ELO) - MANUALE GENERICO USO E
MANUTENZIONE (B60X.0100506.G00.00IT rev.02.00)</t>
        </is>
      </c>
      <c r="B30" s="513">
        <f>CONCATENATE(D30,"_",E30)</f>
        <v/>
      </c>
      <c r="C30" s="488" t="inlineStr">
        <is>
          <t>pdf</t>
        </is>
      </c>
      <c r="D30" s="513" t="inlineStr">
        <is>
          <t>MR1</t>
        </is>
      </c>
      <c r="E30" s="505" t="inlineStr">
        <is>
          <t>20A_ELO</t>
        </is>
      </c>
      <c r="F30" s="405">
        <f>CONCATENATE("ETR1000V300-",$D30,"-",$E30)</f>
        <v/>
      </c>
      <c r="G30" s="500">
        <f>CONCATENATE(F30,"-",H30)</f>
        <v/>
      </c>
      <c r="H30" s="415" t="inlineStr">
        <is>
          <t>05</t>
        </is>
      </c>
      <c r="I30" s="416" t="n">
        <v>46113</v>
      </c>
      <c r="J30" s="405">
        <f>$F30</f>
        <v/>
      </c>
      <c r="K30" s="500">
        <f>$G30</f>
        <v/>
      </c>
      <c r="L30" s="415">
        <f>$H30</f>
        <v/>
      </c>
      <c r="M30" s="416">
        <f>$I30</f>
        <v/>
      </c>
      <c r="N30" s="515" t="inlineStr">
        <is>
          <t>\</t>
        </is>
      </c>
      <c r="O30" s="516" t="inlineStr">
        <is>
          <t>\</t>
        </is>
      </c>
      <c r="P30" s="516" t="inlineStr">
        <is>
          <t>\</t>
        </is>
      </c>
      <c r="Q30" s="511" t="inlineStr">
        <is>
          <t>\</t>
        </is>
      </c>
      <c r="R30" s="517" t="n"/>
      <c r="S30" s="518" t="n"/>
      <c r="T30" s="518" t="n"/>
      <c r="U30" s="519" t="n"/>
      <c r="V30" s="494" t="n"/>
      <c r="W30" s="495" t="n"/>
      <c r="X30" s="501" t="n"/>
      <c r="Y30" s="496" t="n"/>
      <c r="Z30" s="517" t="n"/>
      <c r="AA30" s="518" t="n"/>
      <c r="AB30" s="518" t="n"/>
      <c r="AC30" s="519" t="n"/>
    </row>
    <row r="31" ht="30" customFormat="1" customHeight="1" s="139">
      <c r="A31" s="512" t="inlineStr">
        <is>
          <t>Sotto Sistema di Bordo ERTMS BL3 CON SCMT INTEGRATO (B60A.0100914.G00.00IT)</t>
        </is>
      </c>
      <c r="B31" s="513">
        <f>CONCATENATE(D31,"_",E31)</f>
        <v/>
      </c>
      <c r="C31" s="488" t="inlineStr">
        <is>
          <t>pdf</t>
        </is>
      </c>
      <c r="D31" s="513" t="inlineStr">
        <is>
          <t>MR1</t>
        </is>
      </c>
      <c r="E31" s="505" t="inlineStr">
        <is>
          <t>20B_ELO</t>
        </is>
      </c>
      <c r="F31" s="405">
        <f>CONCATENATE("ETR1000V300-",$D31,"-",$E31)</f>
        <v/>
      </c>
      <c r="G31" s="500">
        <f>CONCATENATE(F31,"-",H31)</f>
        <v/>
      </c>
      <c r="H31" s="415" t="inlineStr">
        <is>
          <t>02</t>
        </is>
      </c>
      <c r="I31" s="416" t="n">
        <v>45717</v>
      </c>
      <c r="J31" s="405">
        <f>$F31</f>
        <v/>
      </c>
      <c r="K31" s="500">
        <f>$G31</f>
        <v/>
      </c>
      <c r="L31" s="415">
        <f>$H31</f>
        <v/>
      </c>
      <c r="M31" s="416">
        <f>$I31</f>
        <v/>
      </c>
      <c r="N31" s="515" t="inlineStr">
        <is>
          <t>\</t>
        </is>
      </c>
      <c r="O31" s="516" t="inlineStr">
        <is>
          <t>\</t>
        </is>
      </c>
      <c r="P31" s="516" t="inlineStr">
        <is>
          <t>\</t>
        </is>
      </c>
      <c r="Q31" s="511" t="inlineStr">
        <is>
          <t>\</t>
        </is>
      </c>
      <c r="R31" s="517" t="n"/>
      <c r="S31" s="518" t="n"/>
      <c r="T31" s="518" t="n"/>
      <c r="U31" s="519" t="n"/>
      <c r="V31" s="494" t="n"/>
      <c r="W31" s="495" t="n"/>
      <c r="X31" s="501" t="n"/>
      <c r="Y31" s="496" t="n"/>
      <c r="Z31" s="517" t="n"/>
      <c r="AA31" s="518" t="n"/>
      <c r="AB31" s="518" t="n"/>
      <c r="AC31" s="519" t="n"/>
    </row>
    <row r="32" ht="30" customFormat="1" customHeight="1" s="139">
      <c r="A32" s="520" t="inlineStr">
        <is>
          <t>PGDJ DIS-JRU FTP - PRODOTTO GENERICO DIS-JRU (FT11P035105GE03B)</t>
        </is>
      </c>
      <c r="B32" s="513">
        <f>CONCATENATE(D32,"_",E32)</f>
        <v/>
      </c>
      <c r="C32" s="488" t="inlineStr">
        <is>
          <t>pdf</t>
        </is>
      </c>
      <c r="D32" s="513" t="inlineStr">
        <is>
          <t>MR1</t>
        </is>
      </c>
      <c r="E32" s="505" t="inlineStr">
        <is>
          <t>31A_JRU</t>
        </is>
      </c>
      <c r="F32" s="381">
        <f>CONCATENATE("ETR1000V300-",$D32,"-",$E32)</f>
        <v/>
      </c>
      <c r="G32" s="500">
        <f>CONCATENATE(F32,"-",H32)</f>
        <v/>
      </c>
      <c r="H32" s="412" t="inlineStr">
        <is>
          <t>\</t>
        </is>
      </c>
      <c r="I32" s="514" t="n">
        <v>44256</v>
      </c>
      <c r="J32" s="381">
        <f>$F32</f>
        <v/>
      </c>
      <c r="K32" s="500">
        <f>$G32</f>
        <v/>
      </c>
      <c r="L32" s="412">
        <f>$H32</f>
        <v/>
      </c>
      <c r="M32" s="514">
        <f>$I32</f>
        <v/>
      </c>
      <c r="N32" s="515" t="inlineStr">
        <is>
          <t>\</t>
        </is>
      </c>
      <c r="O32" s="516" t="inlineStr">
        <is>
          <t>\</t>
        </is>
      </c>
      <c r="P32" s="516" t="inlineStr">
        <is>
          <t>\</t>
        </is>
      </c>
      <c r="Q32" s="511" t="inlineStr">
        <is>
          <t>\</t>
        </is>
      </c>
      <c r="R32" s="517" t="n"/>
      <c r="S32" s="518" t="n"/>
      <c r="T32" s="518" t="n"/>
      <c r="U32" s="519" t="n"/>
      <c r="V32" s="494" t="n"/>
      <c r="W32" s="495" t="n"/>
      <c r="X32" s="501" t="n"/>
      <c r="Y32" s="496" t="n"/>
      <c r="Z32" s="517" t="n"/>
      <c r="AA32" s="518" t="n"/>
      <c r="AB32" s="518" t="n"/>
      <c r="AC32" s="519" t="n"/>
    </row>
    <row r="33">
      <c r="A33" s="504" t="inlineStr">
        <is>
          <t>Sistema informativo di condotta Generale (DIS)</t>
        </is>
      </c>
      <c r="B33" s="458">
        <f>CONCATENATE(D33,"_",E33)</f>
        <v/>
      </c>
      <c r="C33" s="488" t="inlineStr">
        <is>
          <t>pdf</t>
        </is>
      </c>
      <c r="D33" s="458" t="inlineStr">
        <is>
          <t>MR1</t>
        </is>
      </c>
      <c r="E33" s="458" t="inlineStr">
        <is>
          <t>31A</t>
        </is>
      </c>
      <c r="F33" s="405">
        <f>CONCATENATE("ETR1000V300-",$D33,"-",$E33)</f>
        <v/>
      </c>
      <c r="G33" s="500">
        <f>CONCATENATE(F33,"-",H33)</f>
        <v/>
      </c>
      <c r="H33" s="409" t="inlineStr">
        <is>
          <t>02</t>
        </is>
      </c>
      <c r="I33" s="408" t="inlineStr">
        <is>
          <t>gen-18</t>
        </is>
      </c>
      <c r="J33" s="405">
        <f>$F33</f>
        <v/>
      </c>
      <c r="K33" s="500">
        <f>$G33</f>
        <v/>
      </c>
      <c r="L33" s="409">
        <f>$H33</f>
        <v/>
      </c>
      <c r="M33" s="408">
        <f>$I33</f>
        <v/>
      </c>
      <c r="N33" s="506">
        <f>CONCATENATE("ETR1000V300_FR-",$D33,"-",$E33)</f>
        <v/>
      </c>
      <c r="O33" s="495">
        <f>CONCATENATE(N33,"-",P33)</f>
        <v/>
      </c>
      <c r="P33" s="501" t="inlineStr">
        <is>
          <t>01</t>
        </is>
      </c>
      <c r="Q33" s="496" t="n">
        <v>44136</v>
      </c>
      <c r="R33" s="494" t="n"/>
      <c r="S33" s="460" t="n"/>
      <c r="T33" s="460" t="n"/>
      <c r="U33" s="496" t="n"/>
      <c r="V33" s="494">
        <f>CONCATENATE("ETR1000V300_R1-",$D33,"-",$E33)</f>
        <v/>
      </c>
      <c r="W33" s="495">
        <f>CONCATENATE(V33,"-",X33)</f>
        <v/>
      </c>
      <c r="X33" s="501" t="inlineStr">
        <is>
          <t>04</t>
        </is>
      </c>
      <c r="Y33" s="510" t="inlineStr">
        <is>
          <t>gen-2026</t>
        </is>
      </c>
      <c r="Z33" s="502">
        <f>V33</f>
        <v/>
      </c>
      <c r="AA33" s="501">
        <f>W33</f>
        <v/>
      </c>
      <c r="AB33" s="501">
        <f>X33</f>
        <v/>
      </c>
      <c r="AC33" s="503">
        <f>Y33</f>
        <v/>
      </c>
    </row>
    <row r="34">
      <c r="A34" s="504" t="inlineStr">
        <is>
          <t>Cassa</t>
        </is>
      </c>
      <c r="B34" s="458">
        <f>CONCATENATE(D34,"_",E34)</f>
        <v/>
      </c>
      <c r="C34" s="488" t="inlineStr">
        <is>
          <t>pdf</t>
        </is>
      </c>
      <c r="D34" s="458" t="inlineStr">
        <is>
          <t>MR2</t>
        </is>
      </c>
      <c r="E34" s="458" t="inlineStr">
        <is>
          <t>01A</t>
        </is>
      </c>
      <c r="F34" s="405">
        <f>CONCATENATE("ETR1000V300-",$D34,"-",$E34)</f>
        <v/>
      </c>
      <c r="G34" s="500">
        <f>CONCATENATE(F34,"-",H34)</f>
        <v/>
      </c>
      <c r="H34" s="419" t="inlineStr">
        <is>
          <t>07</t>
        </is>
      </c>
      <c r="I34" s="416" t="n">
        <v>46113</v>
      </c>
      <c r="J34" s="405">
        <f>$F34</f>
        <v/>
      </c>
      <c r="K34" s="500">
        <f>$G34</f>
        <v/>
      </c>
      <c r="L34" s="419">
        <f>$H34</f>
        <v/>
      </c>
      <c r="M34" s="416">
        <f>$I34</f>
        <v/>
      </c>
      <c r="N34" s="506">
        <f>CONCATENATE("ETR1000V300_FR-",$D34,"-",$E34)</f>
        <v/>
      </c>
      <c r="O34" s="495">
        <f>CONCATENATE(N34,"-",P34)</f>
        <v/>
      </c>
      <c r="P34" s="501" t="inlineStr">
        <is>
          <t>01</t>
        </is>
      </c>
      <c r="Q34" s="496" t="n">
        <v>44105</v>
      </c>
      <c r="R34" s="494" t="n"/>
      <c r="S34" s="460" t="n"/>
      <c r="T34" s="460" t="n"/>
      <c r="U34" s="496" t="n"/>
      <c r="V34" s="494">
        <f>CONCATENATE("ETR1000V300_R1-",$D34,"-",$E34)</f>
        <v/>
      </c>
      <c r="W34" s="495">
        <f>CONCATENATE(V34,"-",X34)</f>
        <v/>
      </c>
      <c r="X34" s="501" t="inlineStr">
        <is>
          <t>02</t>
        </is>
      </c>
      <c r="Y34" s="521" t="n">
        <v>45809</v>
      </c>
      <c r="Z34" s="494">
        <f>V34</f>
        <v/>
      </c>
      <c r="AA34" s="460">
        <f>W34</f>
        <v/>
      </c>
      <c r="AB34" s="460">
        <f>X34</f>
        <v/>
      </c>
      <c r="AC34" s="496">
        <f>Y34</f>
        <v/>
      </c>
    </row>
    <row r="35">
      <c r="A35" s="504" t="inlineStr">
        <is>
          <t>Carrello</t>
        </is>
      </c>
      <c r="B35" s="458">
        <f>CONCATENATE(D35,"_",E35)</f>
        <v/>
      </c>
      <c r="C35" s="488" t="inlineStr">
        <is>
          <t>pdf</t>
        </is>
      </c>
      <c r="D35" s="458" t="inlineStr">
        <is>
          <t>MR2</t>
        </is>
      </c>
      <c r="E35" s="458" t="inlineStr">
        <is>
          <t>02A</t>
        </is>
      </c>
      <c r="F35" s="405">
        <f>CONCATENATE("ETR1000V300-",$D35,"-",$E35)</f>
        <v/>
      </c>
      <c r="G35" s="500">
        <f>CONCATENATE(F35,"-",H35)</f>
        <v/>
      </c>
      <c r="H35" s="419" t="n">
        <v>13</v>
      </c>
      <c r="I35" s="416" t="n">
        <v>46113</v>
      </c>
      <c r="J35" s="405">
        <f>$F35</f>
        <v/>
      </c>
      <c r="K35" s="500">
        <f>$G35</f>
        <v/>
      </c>
      <c r="L35" s="419">
        <f>$H35</f>
        <v/>
      </c>
      <c r="M35" s="416">
        <f>$I35</f>
        <v/>
      </c>
      <c r="N35" s="506">
        <f>CONCATENATE("ETR1000V300_FR-",$D35,"-",$E35)</f>
        <v/>
      </c>
      <c r="O35" s="495">
        <f>CONCATENATE(N35,"-",P35)</f>
        <v/>
      </c>
      <c r="P35" s="501" t="inlineStr">
        <is>
          <t>03</t>
        </is>
      </c>
      <c r="Q35" s="496" t="n">
        <v>44713</v>
      </c>
      <c r="R35" s="494" t="n"/>
      <c r="S35" s="460" t="n"/>
      <c r="T35" s="460" t="n"/>
      <c r="U35" s="496" t="n"/>
      <c r="V35" s="494">
        <f>CONCATENATE("ETR1000V300_R1-",$D35,"-",$E35)</f>
        <v/>
      </c>
      <c r="W35" s="495">
        <f>CONCATENATE(V35,"-",X35)</f>
        <v/>
      </c>
      <c r="X35" s="501" t="inlineStr">
        <is>
          <t>04</t>
        </is>
      </c>
      <c r="Y35" s="521" t="n">
        <v>45901</v>
      </c>
      <c r="Z35" s="494">
        <f>V35</f>
        <v/>
      </c>
      <c r="AA35" s="460">
        <f>W35</f>
        <v/>
      </c>
      <c r="AB35" s="460">
        <f>X35</f>
        <v/>
      </c>
      <c r="AC35" s="496">
        <f>Y35</f>
        <v/>
      </c>
    </row>
    <row r="36">
      <c r="A36" s="504" t="inlineStr">
        <is>
          <t>Impianto pneumatico e freno</t>
        </is>
      </c>
      <c r="B36" s="458">
        <f>CONCATENATE(D36,"_",E36)</f>
        <v/>
      </c>
      <c r="C36" s="488" t="inlineStr">
        <is>
          <t>pdf</t>
        </is>
      </c>
      <c r="D36" s="458" t="inlineStr">
        <is>
          <t>MR2</t>
        </is>
      </c>
      <c r="E36" s="458" t="inlineStr">
        <is>
          <t>03A</t>
        </is>
      </c>
      <c r="F36" s="405">
        <f>CONCATENATE("ETR1000V300-",$D36,"-",$E36)</f>
        <v/>
      </c>
      <c r="G36" s="500">
        <f>CONCATENATE(F36,"-",H36)</f>
        <v/>
      </c>
      <c r="H36" s="419" t="inlineStr">
        <is>
          <t>06</t>
        </is>
      </c>
      <c r="I36" s="416" t="n">
        <v>46113</v>
      </c>
      <c r="J36" s="405">
        <f>$F36</f>
        <v/>
      </c>
      <c r="K36" s="500">
        <f>$G36</f>
        <v/>
      </c>
      <c r="L36" s="419">
        <f>$H36</f>
        <v/>
      </c>
      <c r="M36" s="416">
        <f>$I36</f>
        <v/>
      </c>
      <c r="N36" s="506">
        <f>CONCATENATE("ETR1000V300_FR-",$D36,"-",$E36)</f>
        <v/>
      </c>
      <c r="O36" s="495">
        <f>CONCATENATE(N36,"-",P36)</f>
        <v/>
      </c>
      <c r="P36" s="501" t="inlineStr">
        <is>
          <t>02</t>
        </is>
      </c>
      <c r="Q36" s="496" t="n">
        <v>44713</v>
      </c>
      <c r="R36" s="494" t="n"/>
      <c r="S36" s="460" t="n"/>
      <c r="T36" s="460" t="n"/>
      <c r="U36" s="496" t="n"/>
      <c r="V36" s="494">
        <f>CONCATENATE("ETR1000V300_R1-",$D36,"-",$E36)</f>
        <v/>
      </c>
      <c r="W36" s="495">
        <f>CONCATENATE(V36,"-",X36)</f>
        <v/>
      </c>
      <c r="X36" s="501" t="inlineStr">
        <is>
          <t>02</t>
        </is>
      </c>
      <c r="Y36" s="521" t="n">
        <v>45809</v>
      </c>
      <c r="Z36" s="494">
        <f>V36</f>
        <v/>
      </c>
      <c r="AA36" s="460">
        <f>W36</f>
        <v/>
      </c>
      <c r="AB36" s="460">
        <f>X36</f>
        <v/>
      </c>
      <c r="AC36" s="496">
        <f>Y36</f>
        <v/>
      </c>
    </row>
    <row r="37">
      <c r="A37" s="504" t="inlineStr">
        <is>
          <t>Equipaggiamento elettrico ed elettropneumatico</t>
        </is>
      </c>
      <c r="B37" s="458">
        <f>CONCATENATE(D37,"_",E37)</f>
        <v/>
      </c>
      <c r="C37" s="488" t="inlineStr">
        <is>
          <t>pdf</t>
        </is>
      </c>
      <c r="D37" s="458" t="inlineStr">
        <is>
          <t>MR2</t>
        </is>
      </c>
      <c r="E37" s="505" t="inlineStr">
        <is>
          <t>04A</t>
        </is>
      </c>
      <c r="F37" s="405">
        <f>CONCATENATE("ETR1000V300-",$D37,"-",$E37)</f>
        <v/>
      </c>
      <c r="G37" s="500">
        <f>CONCATENATE(F37,"-",H37)</f>
        <v/>
      </c>
      <c r="H37" s="419" t="n">
        <v>10</v>
      </c>
      <c r="I37" s="416" t="n">
        <v>46113</v>
      </c>
      <c r="J37" s="405">
        <f>$F37</f>
        <v/>
      </c>
      <c r="K37" s="500">
        <f>$G37</f>
        <v/>
      </c>
      <c r="L37" s="419">
        <f>$H37</f>
        <v/>
      </c>
      <c r="M37" s="416">
        <f>$I37</f>
        <v/>
      </c>
      <c r="N37" s="506">
        <f>CONCATENATE("ETR1000V300_FR-",$D37,"-",$E37)</f>
        <v/>
      </c>
      <c r="O37" s="495">
        <f>CONCATENATE(N37,"-",P37)</f>
        <v/>
      </c>
      <c r="P37" s="501" t="inlineStr">
        <is>
          <t>05</t>
        </is>
      </c>
      <c r="Q37" s="496" t="n">
        <v>45931</v>
      </c>
      <c r="R37" s="494" t="n"/>
      <c r="S37" s="460" t="n"/>
      <c r="T37" s="460" t="n"/>
      <c r="U37" s="496" t="n"/>
      <c r="V37" s="494">
        <f>CONCATENATE("ETR1000V300_R1-",$D37,"-",$E37)</f>
        <v/>
      </c>
      <c r="W37" s="495">
        <f>CONCATENATE(V37,"-",X37)</f>
        <v/>
      </c>
      <c r="X37" s="501" t="inlineStr">
        <is>
          <t>02</t>
        </is>
      </c>
      <c r="Y37" s="521" t="n">
        <v>45809</v>
      </c>
      <c r="Z37" s="494">
        <f>V37</f>
        <v/>
      </c>
      <c r="AA37" s="460">
        <f>W37</f>
        <v/>
      </c>
      <c r="AB37" s="460">
        <f>X37</f>
        <v/>
      </c>
      <c r="AC37" s="496">
        <f>Y37</f>
        <v/>
      </c>
    </row>
    <row r="38">
      <c r="A38" s="504" t="inlineStr">
        <is>
          <t>Logica di comando</t>
        </is>
      </c>
      <c r="B38" s="458">
        <f>CONCATENATE(D38,"_",E38)</f>
        <v/>
      </c>
      <c r="C38" s="488" t="inlineStr">
        <is>
          <t>pdf</t>
        </is>
      </c>
      <c r="D38" s="458" t="inlineStr">
        <is>
          <t>MR2</t>
        </is>
      </c>
      <c r="E38" s="458" t="inlineStr">
        <is>
          <t>05A</t>
        </is>
      </c>
      <c r="F38" s="405">
        <f>CONCATENATE("ETR1000V300-",$D38,"-",$E38)</f>
        <v/>
      </c>
      <c r="G38" s="500">
        <f>CONCATENATE(F38,"-",H38)</f>
        <v/>
      </c>
      <c r="H38" s="419" t="inlineStr">
        <is>
          <t>03</t>
        </is>
      </c>
      <c r="I38" s="416" t="n">
        <v>46113</v>
      </c>
      <c r="J38" s="405">
        <f>$F38</f>
        <v/>
      </c>
      <c r="K38" s="500">
        <f>$G38</f>
        <v/>
      </c>
      <c r="L38" s="419">
        <f>$H38</f>
        <v/>
      </c>
      <c r="M38" s="416">
        <f>$I38</f>
        <v/>
      </c>
      <c r="N38" s="494">
        <f>$F38</f>
        <v/>
      </c>
      <c r="O38" s="460">
        <f>$G38</f>
        <v/>
      </c>
      <c r="P38" s="460">
        <f>$H38</f>
        <v/>
      </c>
      <c r="Q38" s="496">
        <f>$I38</f>
        <v/>
      </c>
      <c r="R38" s="494" t="n"/>
      <c r="S38" s="460" t="n"/>
      <c r="T38" s="460" t="n"/>
      <c r="U38" s="496" t="n"/>
      <c r="V38" s="494">
        <f>CONCATENATE("ETR1000V300_R1-",$D38,"-",$E38)</f>
        <v/>
      </c>
      <c r="W38" s="495">
        <f>CONCATENATE(V38,"-",X38)</f>
        <v/>
      </c>
      <c r="X38" s="501" t="inlineStr">
        <is>
          <t>03</t>
        </is>
      </c>
      <c r="Y38" s="521" t="n">
        <v>45931</v>
      </c>
      <c r="Z38" s="494">
        <f>V38</f>
        <v/>
      </c>
      <c r="AA38" s="460">
        <f>W38</f>
        <v/>
      </c>
      <c r="AB38" s="460">
        <f>X38</f>
        <v/>
      </c>
      <c r="AC38" s="496">
        <f>Y38</f>
        <v/>
      </c>
    </row>
    <row r="39">
      <c r="A39" s="504" t="inlineStr">
        <is>
          <t>Logica di comando - Nodo TCN</t>
        </is>
      </c>
      <c r="B39" s="458">
        <f>CONCATENATE(D39,"_",E39)</f>
        <v/>
      </c>
      <c r="C39" s="488" t="inlineStr">
        <is>
          <t>pdf</t>
        </is>
      </c>
      <c r="D39" s="458" t="inlineStr">
        <is>
          <t>MR2</t>
        </is>
      </c>
      <c r="E39" s="458" t="inlineStr">
        <is>
          <t>05B</t>
        </is>
      </c>
      <c r="F39" s="405">
        <f>CONCATENATE("ETR1000V300-",$D39,"-",$E39)</f>
        <v/>
      </c>
      <c r="G39" s="500">
        <f>CONCATENATE(F39,"-",H39)</f>
        <v/>
      </c>
      <c r="H39" s="409" t="inlineStr">
        <is>
          <t>02</t>
        </is>
      </c>
      <c r="I39" s="408" t="inlineStr">
        <is>
          <t>giu-17</t>
        </is>
      </c>
      <c r="J39" s="405">
        <f>$F39</f>
        <v/>
      </c>
      <c r="K39" s="500">
        <f>$G39</f>
        <v/>
      </c>
      <c r="L39" s="409">
        <f>$H39</f>
        <v/>
      </c>
      <c r="M39" s="408">
        <f>$I39</f>
        <v/>
      </c>
      <c r="N39" s="494">
        <f>$F39</f>
        <v/>
      </c>
      <c r="O39" s="460">
        <f>$G39</f>
        <v/>
      </c>
      <c r="P39" s="460">
        <f>$H39</f>
        <v/>
      </c>
      <c r="Q39" s="496">
        <f>$I39</f>
        <v/>
      </c>
      <c r="R39" s="494" t="n"/>
      <c r="S39" s="460" t="n"/>
      <c r="T39" s="460" t="n"/>
      <c r="U39" s="496" t="n"/>
      <c r="V39" s="494" t="n"/>
      <c r="W39" s="460" t="n"/>
      <c r="X39" s="460" t="n"/>
      <c r="Y39" s="461" t="n"/>
      <c r="Z39" s="494" t="n"/>
      <c r="AA39" s="460" t="n"/>
      <c r="AB39" s="460" t="n"/>
      <c r="AC39" s="496" t="n"/>
    </row>
    <row r="40">
      <c r="A40" s="504" t="inlineStr">
        <is>
          <t>Azionamento di trazione</t>
        </is>
      </c>
      <c r="B40" s="458">
        <f>CONCATENATE(D40,"_",E40)</f>
        <v/>
      </c>
      <c r="C40" s="488" t="inlineStr">
        <is>
          <t>pdf</t>
        </is>
      </c>
      <c r="D40" s="458" t="inlineStr">
        <is>
          <t>MR2</t>
        </is>
      </c>
      <c r="E40" s="458" t="inlineStr">
        <is>
          <t>06A</t>
        </is>
      </c>
      <c r="F40" s="405">
        <f>CONCATENATE("ETR1000V300-",$D40,"-",$E40)</f>
        <v/>
      </c>
      <c r="G40" s="500">
        <f>CONCATENATE(F40,"-",H40)</f>
        <v/>
      </c>
      <c r="H40" s="419" t="inlineStr">
        <is>
          <t>04</t>
        </is>
      </c>
      <c r="I40" s="416" t="n">
        <v>46113</v>
      </c>
      <c r="J40" s="405">
        <f>$F40</f>
        <v/>
      </c>
      <c r="K40" s="500">
        <f>$G40</f>
        <v/>
      </c>
      <c r="L40" s="419">
        <f>$H40</f>
        <v/>
      </c>
      <c r="M40" s="416">
        <f>$I40</f>
        <v/>
      </c>
      <c r="N40" s="494">
        <f>$F40</f>
        <v/>
      </c>
      <c r="O40" s="460">
        <f>$G40</f>
        <v/>
      </c>
      <c r="P40" s="460">
        <f>$H40</f>
        <v/>
      </c>
      <c r="Q40" s="496">
        <f>$I40</f>
        <v/>
      </c>
      <c r="R40" s="494" t="n"/>
      <c r="S40" s="460" t="n"/>
      <c r="T40" s="460" t="n"/>
      <c r="U40" s="496" t="n"/>
      <c r="V40" s="494">
        <f>CONCATENATE("ETR1000V300_R1-",$D40,"-",$E40)</f>
        <v/>
      </c>
      <c r="W40" s="495">
        <f>CONCATENATE(V40,"-",X40)</f>
        <v/>
      </c>
      <c r="X40" s="501" t="inlineStr">
        <is>
          <t>02</t>
        </is>
      </c>
      <c r="Y40" s="521" t="n">
        <v>45809</v>
      </c>
      <c r="Z40" s="494">
        <f>V40</f>
        <v/>
      </c>
      <c r="AA40" s="460">
        <f>W40</f>
        <v/>
      </c>
      <c r="AB40" s="460">
        <f>X40</f>
        <v/>
      </c>
      <c r="AC40" s="496">
        <f>Y40</f>
        <v/>
      </c>
    </row>
    <row r="41">
      <c r="A41" s="504" t="inlineStr">
        <is>
          <t>Motore di trazione</t>
        </is>
      </c>
      <c r="B41" s="458">
        <f>CONCATENATE(D41,"_",E41)</f>
        <v/>
      </c>
      <c r="C41" s="488" t="inlineStr">
        <is>
          <t>pdf</t>
        </is>
      </c>
      <c r="D41" s="458" t="inlineStr">
        <is>
          <t>MR2</t>
        </is>
      </c>
      <c r="E41" s="458" t="inlineStr">
        <is>
          <t>07A</t>
        </is>
      </c>
      <c r="F41" s="405">
        <f>CONCATENATE("ETR1000V300-",$D41,"-",$E41)</f>
        <v/>
      </c>
      <c r="G41" s="500">
        <f>CONCATENATE(F41,"-",H41)</f>
        <v/>
      </c>
      <c r="H41" s="419" t="inlineStr">
        <is>
          <t>05</t>
        </is>
      </c>
      <c r="I41" s="416" t="n">
        <v>46113</v>
      </c>
      <c r="J41" s="405">
        <f>$F41</f>
        <v/>
      </c>
      <c r="K41" s="500">
        <f>$G41</f>
        <v/>
      </c>
      <c r="L41" s="419">
        <f>$H41</f>
        <v/>
      </c>
      <c r="M41" s="416">
        <f>$I41</f>
        <v/>
      </c>
      <c r="N41" s="494">
        <f>$F41</f>
        <v/>
      </c>
      <c r="O41" s="460">
        <f>$G41</f>
        <v/>
      </c>
      <c r="P41" s="460">
        <f>$H41</f>
        <v/>
      </c>
      <c r="Q41" s="496">
        <f>$I41</f>
        <v/>
      </c>
      <c r="R41" s="494" t="n"/>
      <c r="S41" s="460" t="n"/>
      <c r="T41" s="460" t="n"/>
      <c r="U41" s="496" t="n"/>
      <c r="V41" s="494">
        <f>CONCATENATE("ETR1000V300_R1-",$D41,"-",$E41)</f>
        <v/>
      </c>
      <c r="W41" s="495">
        <f>CONCATENATE(V41,"-",X41)</f>
        <v/>
      </c>
      <c r="X41" s="501" t="inlineStr">
        <is>
          <t>03</t>
        </is>
      </c>
      <c r="Y41" s="521" t="n">
        <v>45931</v>
      </c>
      <c r="Z41" s="494">
        <f>V41</f>
        <v/>
      </c>
      <c r="AA41" s="460">
        <f>W41</f>
        <v/>
      </c>
      <c r="AB41" s="460">
        <f>X41</f>
        <v/>
      </c>
      <c r="AC41" s="496">
        <f>Y41</f>
        <v/>
      </c>
    </row>
    <row r="42">
      <c r="A42" s="504" t="inlineStr">
        <is>
          <t>Passaggi esterni</t>
        </is>
      </c>
      <c r="B42" s="458">
        <f>CONCATENATE(D42,"_",E42)</f>
        <v/>
      </c>
      <c r="C42" s="488" t="inlineStr">
        <is>
          <t>pdf</t>
        </is>
      </c>
      <c r="D42" s="458" t="inlineStr">
        <is>
          <t>MR2</t>
        </is>
      </c>
      <c r="E42" s="458" t="inlineStr">
        <is>
          <t>08A</t>
        </is>
      </c>
      <c r="F42" s="405">
        <f>CONCATENATE("ETR1000V300-",$D42,"-",$E42)</f>
        <v/>
      </c>
      <c r="G42" s="500">
        <f>CONCATENATE(F42,"-",H42)</f>
        <v/>
      </c>
      <c r="H42" s="419" t="inlineStr">
        <is>
          <t>04</t>
        </is>
      </c>
      <c r="I42" s="416" t="n">
        <v>46113</v>
      </c>
      <c r="J42" s="405">
        <f>$F42</f>
        <v/>
      </c>
      <c r="K42" s="500">
        <f>$G42</f>
        <v/>
      </c>
      <c r="L42" s="419">
        <f>$H42</f>
        <v/>
      </c>
      <c r="M42" s="416">
        <f>$I42</f>
        <v/>
      </c>
      <c r="N42" s="494">
        <f>$F42</f>
        <v/>
      </c>
      <c r="O42" s="460">
        <f>$G42</f>
        <v/>
      </c>
      <c r="P42" s="460">
        <f>$H42</f>
        <v/>
      </c>
      <c r="Q42" s="496">
        <f>$I42</f>
        <v/>
      </c>
      <c r="R42" s="494" t="n"/>
      <c r="S42" s="460" t="n"/>
      <c r="T42" s="460" t="n"/>
      <c r="U42" s="496" t="n"/>
      <c r="V42" s="494">
        <f>CONCATENATE("ETR1000V300_R1-",$D42,"-",$E42)</f>
        <v/>
      </c>
      <c r="W42" s="495">
        <f>CONCATENATE(V42,"-",X42)</f>
        <v/>
      </c>
      <c r="X42" s="501" t="inlineStr">
        <is>
          <t>03</t>
        </is>
      </c>
      <c r="Y42" s="521" t="n">
        <v>45931</v>
      </c>
      <c r="Z42" s="494">
        <f>V42</f>
        <v/>
      </c>
      <c r="AA42" s="460">
        <f>W42</f>
        <v/>
      </c>
      <c r="AB42" s="460">
        <f>X42</f>
        <v/>
      </c>
      <c r="AC42" s="496">
        <f>Y42</f>
        <v/>
      </c>
    </row>
    <row r="43">
      <c r="A43" s="504" t="inlineStr">
        <is>
          <t>Sottosistema di climatizzazione</t>
        </is>
      </c>
      <c r="B43" s="458">
        <f>CONCATENATE(D43,"_",E43)</f>
        <v/>
      </c>
      <c r="C43" s="488" t="inlineStr">
        <is>
          <t>pdf</t>
        </is>
      </c>
      <c r="D43" s="458" t="inlineStr">
        <is>
          <t>MR2</t>
        </is>
      </c>
      <c r="E43" s="458" t="inlineStr">
        <is>
          <t>09A</t>
        </is>
      </c>
      <c r="F43" s="405">
        <f>CONCATENATE("ETR1000V300-",$D43,"-",$E43)</f>
        <v/>
      </c>
      <c r="G43" s="500">
        <f>CONCATENATE(F43,"-",H43)</f>
        <v/>
      </c>
      <c r="H43" s="419" t="inlineStr">
        <is>
          <t>04</t>
        </is>
      </c>
      <c r="I43" s="416" t="n">
        <v>46113</v>
      </c>
      <c r="J43" s="405">
        <f>$F43</f>
        <v/>
      </c>
      <c r="K43" s="500">
        <f>$G43</f>
        <v/>
      </c>
      <c r="L43" s="419">
        <f>$H43</f>
        <v/>
      </c>
      <c r="M43" s="416">
        <f>$I43</f>
        <v/>
      </c>
      <c r="N43" s="494">
        <f>$F43</f>
        <v/>
      </c>
      <c r="O43" s="460">
        <f>$G43</f>
        <v/>
      </c>
      <c r="P43" s="460">
        <f>$H43</f>
        <v/>
      </c>
      <c r="Q43" s="496">
        <f>$I43</f>
        <v/>
      </c>
      <c r="R43" s="494" t="n"/>
      <c r="S43" s="460" t="n"/>
      <c r="T43" s="460" t="n"/>
      <c r="U43" s="496" t="n"/>
      <c r="V43" s="494">
        <f>CONCATENATE("ETR1000V300_R1-",$D43,"-",$E43)</f>
        <v/>
      </c>
      <c r="W43" s="495">
        <f>CONCATENATE(V43,"-",X43)</f>
        <v/>
      </c>
      <c r="X43" s="501" t="inlineStr">
        <is>
          <t>03</t>
        </is>
      </c>
      <c r="Y43" s="521" t="n">
        <v>45931</v>
      </c>
      <c r="Z43" s="494">
        <f>V43</f>
        <v/>
      </c>
      <c r="AA43" s="460">
        <f>W43</f>
        <v/>
      </c>
      <c r="AB43" s="460">
        <f>X43</f>
        <v/>
      </c>
      <c r="AC43" s="496">
        <f>Y43</f>
        <v/>
      </c>
    </row>
    <row r="44">
      <c r="A44" s="504" t="inlineStr">
        <is>
          <t>Convertitore servizi ausiliari e caricabatterie</t>
        </is>
      </c>
      <c r="B44" s="458">
        <f>CONCATENATE(D44,"_",E44)</f>
        <v/>
      </c>
      <c r="C44" s="488" t="inlineStr">
        <is>
          <t>pdf</t>
        </is>
      </c>
      <c r="D44" s="458" t="inlineStr">
        <is>
          <t>MR2</t>
        </is>
      </c>
      <c r="E44" s="458" t="inlineStr">
        <is>
          <t>11A</t>
        </is>
      </c>
      <c r="F44" s="405">
        <f>CONCATENATE("ETR1000V300-",$D44,"-",$E44)</f>
        <v/>
      </c>
      <c r="G44" s="500">
        <f>CONCATENATE(F44,"-",H44)</f>
        <v/>
      </c>
      <c r="H44" s="419" t="inlineStr">
        <is>
          <t>03</t>
        </is>
      </c>
      <c r="I44" s="416" t="n">
        <v>46113</v>
      </c>
      <c r="J44" s="405">
        <f>$F44</f>
        <v/>
      </c>
      <c r="K44" s="500">
        <f>$G44</f>
        <v/>
      </c>
      <c r="L44" s="419">
        <f>$H44</f>
        <v/>
      </c>
      <c r="M44" s="416">
        <f>$I44</f>
        <v/>
      </c>
      <c r="N44" s="494">
        <f>$F44</f>
        <v/>
      </c>
      <c r="O44" s="460">
        <f>$G44</f>
        <v/>
      </c>
      <c r="P44" s="460">
        <f>$H44</f>
        <v/>
      </c>
      <c r="Q44" s="496">
        <f>$I44</f>
        <v/>
      </c>
      <c r="R44" s="494" t="n"/>
      <c r="S44" s="460" t="n"/>
      <c r="T44" s="460" t="n"/>
      <c r="U44" s="496" t="n"/>
      <c r="V44" s="494">
        <f>CONCATENATE("ETR1000V300_R1-",$D44,"-",$E44)</f>
        <v/>
      </c>
      <c r="W44" s="495">
        <f>CONCATENATE(V44,"-",X44)</f>
        <v/>
      </c>
      <c r="X44" s="501" t="inlineStr">
        <is>
          <t>02</t>
        </is>
      </c>
      <c r="Y44" s="521" t="n">
        <v>45809</v>
      </c>
      <c r="Z44" s="494">
        <f>V44</f>
        <v/>
      </c>
      <c r="AA44" s="460">
        <f>W44</f>
        <v/>
      </c>
      <c r="AB44" s="460">
        <f>X44</f>
        <v/>
      </c>
      <c r="AC44" s="496">
        <f>Y44</f>
        <v/>
      </c>
    </row>
    <row r="45">
      <c r="A45" s="504" t="inlineStr">
        <is>
          <t>Sottosistema diagnostica di bordo</t>
        </is>
      </c>
      <c r="B45" s="458">
        <f>CONCATENATE(D45,"_",E45)</f>
        <v/>
      </c>
      <c r="C45" s="488" t="inlineStr">
        <is>
          <t>pdf</t>
        </is>
      </c>
      <c r="D45" s="458" t="inlineStr">
        <is>
          <t>MR2</t>
        </is>
      </c>
      <c r="E45" s="458" t="inlineStr">
        <is>
          <t>13A</t>
        </is>
      </c>
      <c r="F45" s="405">
        <f>CONCATENATE("ETR1000V300-",$D45,"-",$E45)</f>
        <v/>
      </c>
      <c r="G45" s="500">
        <f>CONCATENATE(F45,"-",H45)</f>
        <v/>
      </c>
      <c r="H45" s="419" t="inlineStr">
        <is>
          <t>03</t>
        </is>
      </c>
      <c r="I45" s="416" t="n">
        <v>46113</v>
      </c>
      <c r="J45" s="405">
        <f>$F45</f>
        <v/>
      </c>
      <c r="K45" s="500">
        <f>$G45</f>
        <v/>
      </c>
      <c r="L45" s="419">
        <f>$H45</f>
        <v/>
      </c>
      <c r="M45" s="416">
        <f>$I45</f>
        <v/>
      </c>
      <c r="N45" s="494">
        <f>$F45</f>
        <v/>
      </c>
      <c r="O45" s="460">
        <f>$G45</f>
        <v/>
      </c>
      <c r="P45" s="460">
        <f>$H45</f>
        <v/>
      </c>
      <c r="Q45" s="496">
        <f>$I45</f>
        <v/>
      </c>
      <c r="R45" s="494" t="n"/>
      <c r="S45" s="460" t="n"/>
      <c r="T45" s="460" t="n"/>
      <c r="U45" s="496" t="n"/>
      <c r="V45" s="494">
        <f>CONCATENATE("ETR1000V300_R1-",$D45,"-",$E45)</f>
        <v/>
      </c>
      <c r="W45" s="495">
        <f>CONCATENATE(V45,"-",X45)</f>
        <v/>
      </c>
      <c r="X45" s="501" t="inlineStr">
        <is>
          <t>03</t>
        </is>
      </c>
      <c r="Y45" s="521" t="n">
        <v>45931</v>
      </c>
      <c r="Z45" s="494">
        <f>V45</f>
        <v/>
      </c>
      <c r="AA45" s="460">
        <f>W45</f>
        <v/>
      </c>
      <c r="AB45" s="460">
        <f>X45</f>
        <v/>
      </c>
      <c r="AC45" s="496">
        <f>Y45</f>
        <v/>
      </c>
    </row>
    <row r="46">
      <c r="A46" s="504" t="inlineStr">
        <is>
          <t>Allestimenti interni</t>
        </is>
      </c>
      <c r="B46" s="458">
        <f>CONCATENATE(D46,"_",E46)</f>
        <v/>
      </c>
      <c r="C46" s="488" t="inlineStr">
        <is>
          <t>pdf</t>
        </is>
      </c>
      <c r="D46" s="458" t="inlineStr">
        <is>
          <t>MR2</t>
        </is>
      </c>
      <c r="E46" s="458" t="inlineStr">
        <is>
          <t>14A</t>
        </is>
      </c>
      <c r="F46" s="405">
        <f>CONCATENATE("ETR1000V300-",$D46,"-",$E46)</f>
        <v/>
      </c>
      <c r="G46" s="500">
        <f>CONCATENATE(F46,"-",H46)</f>
        <v/>
      </c>
      <c r="H46" s="419" t="inlineStr">
        <is>
          <t>05</t>
        </is>
      </c>
      <c r="I46" s="416" t="n">
        <v>46113</v>
      </c>
      <c r="J46" s="405">
        <f>$F46</f>
        <v/>
      </c>
      <c r="K46" s="500">
        <f>$G46</f>
        <v/>
      </c>
      <c r="L46" s="419">
        <f>$H46</f>
        <v/>
      </c>
      <c r="M46" s="416">
        <f>$I46</f>
        <v/>
      </c>
      <c r="N46" s="494">
        <f>$F46</f>
        <v/>
      </c>
      <c r="O46" s="460">
        <f>$G46</f>
        <v/>
      </c>
      <c r="P46" s="460">
        <f>$H46</f>
        <v/>
      </c>
      <c r="Q46" s="496">
        <f>$I46</f>
        <v/>
      </c>
      <c r="R46" s="494" t="n"/>
      <c r="S46" s="460" t="n"/>
      <c r="T46" s="460" t="n"/>
      <c r="U46" s="496" t="n"/>
      <c r="V46" s="494">
        <f>CONCATENATE("ETR1000V300_R1-",$D46,"-",$E46)</f>
        <v/>
      </c>
      <c r="W46" s="495">
        <f>CONCATENATE(V46,"-",X46)</f>
        <v/>
      </c>
      <c r="X46" s="501" t="inlineStr">
        <is>
          <t>02</t>
        </is>
      </c>
      <c r="Y46" s="521" t="n">
        <v>45809</v>
      </c>
      <c r="Z46" s="494">
        <f>V46</f>
        <v/>
      </c>
      <c r="AA46" s="460">
        <f>W46</f>
        <v/>
      </c>
      <c r="AB46" s="460">
        <f>X46</f>
        <v/>
      </c>
      <c r="AC46" s="496">
        <f>Y46</f>
        <v/>
      </c>
    </row>
    <row r="47">
      <c r="A47" s="504" t="inlineStr">
        <is>
          <t>Allestimenti interni - Arredi comparto e cabina di guida</t>
        </is>
      </c>
      <c r="B47" s="458">
        <f>CONCATENATE(D47,"_",E47)</f>
        <v/>
      </c>
      <c r="C47" s="488" t="inlineStr">
        <is>
          <t>pdf</t>
        </is>
      </c>
      <c r="D47" s="458" t="inlineStr">
        <is>
          <t>MR2</t>
        </is>
      </c>
      <c r="E47" s="458" t="inlineStr">
        <is>
          <t>14B</t>
        </is>
      </c>
      <c r="F47" s="405" t="inlineStr">
        <is>
          <t>\</t>
        </is>
      </c>
      <c r="G47" s="500" t="inlineStr">
        <is>
          <t>\</t>
        </is>
      </c>
      <c r="H47" s="409" t="inlineStr">
        <is>
          <t>\</t>
        </is>
      </c>
      <c r="I47" s="514" t="inlineStr">
        <is>
          <t>\</t>
        </is>
      </c>
      <c r="J47" s="405">
        <f>$F47</f>
        <v/>
      </c>
      <c r="K47" s="500">
        <f>$G47</f>
        <v/>
      </c>
      <c r="L47" s="409">
        <f>$H47</f>
        <v/>
      </c>
      <c r="M47" s="514">
        <f>$I47</f>
        <v/>
      </c>
      <c r="N47" s="494">
        <f>$F47</f>
        <v/>
      </c>
      <c r="O47" s="460">
        <f>$G47</f>
        <v/>
      </c>
      <c r="P47" s="460">
        <f>$H47</f>
        <v/>
      </c>
      <c r="Q47" s="496">
        <f>$I47</f>
        <v/>
      </c>
      <c r="R47" s="494" t="n"/>
      <c r="S47" s="460" t="n"/>
      <c r="T47" s="460" t="n"/>
      <c r="U47" s="496" t="n"/>
      <c r="V47" s="494">
        <f>CONCATENATE("ETR1000V300_R1-",$D47,"-",$E47)</f>
        <v/>
      </c>
      <c r="W47" s="495">
        <f>CONCATENATE(V47,"-",X47)</f>
        <v/>
      </c>
      <c r="X47" s="501" t="inlineStr">
        <is>
          <t>02</t>
        </is>
      </c>
      <c r="Y47" s="521" t="n">
        <v>45809</v>
      </c>
      <c r="Z47" s="494">
        <f>V47</f>
        <v/>
      </c>
      <c r="AA47" s="460">
        <f>W47</f>
        <v/>
      </c>
      <c r="AB47" s="460">
        <f>X47</f>
        <v/>
      </c>
      <c r="AC47" s="496">
        <f>Y47</f>
        <v/>
      </c>
    </row>
    <row r="48">
      <c r="A48" s="504" t="inlineStr">
        <is>
          <t>Servizi Generali di Bordo - Toilette</t>
        </is>
      </c>
      <c r="B48" s="458">
        <f>CONCATENATE(D48,"_",E48)</f>
        <v/>
      </c>
      <c r="C48" s="488" t="inlineStr">
        <is>
          <t>pdf</t>
        </is>
      </c>
      <c r="D48" s="458" t="inlineStr">
        <is>
          <t>MR2</t>
        </is>
      </c>
      <c r="E48" s="458" t="inlineStr">
        <is>
          <t>15A</t>
        </is>
      </c>
      <c r="F48" s="405">
        <f>CONCATENATE("ETR1000V300-",$D48,"-",$E48)</f>
        <v/>
      </c>
      <c r="G48" s="500">
        <f>CONCATENATE(F48,"-",H48)</f>
        <v/>
      </c>
      <c r="H48" s="419" t="inlineStr">
        <is>
          <t>05</t>
        </is>
      </c>
      <c r="I48" s="416" t="n">
        <v>46113</v>
      </c>
      <c r="J48" s="405">
        <f>$F48</f>
        <v/>
      </c>
      <c r="K48" s="500">
        <f>$G48</f>
        <v/>
      </c>
      <c r="L48" s="419">
        <f>$H48</f>
        <v/>
      </c>
      <c r="M48" s="416">
        <f>$I48</f>
        <v/>
      </c>
      <c r="N48" s="494">
        <f>$F48</f>
        <v/>
      </c>
      <c r="O48" s="460">
        <f>$G48</f>
        <v/>
      </c>
      <c r="P48" s="460">
        <f>$H48</f>
        <v/>
      </c>
      <c r="Q48" s="496">
        <f>$I48</f>
        <v/>
      </c>
      <c r="R48" s="494" t="n"/>
      <c r="S48" s="460" t="n"/>
      <c r="T48" s="460" t="n"/>
      <c r="U48" s="496" t="n"/>
      <c r="V48" s="494">
        <f>CONCATENATE("ETR1000V300_R1-",$D48,"-",$E48)</f>
        <v/>
      </c>
      <c r="W48" s="495">
        <f>CONCATENATE(V48,"-",X48)</f>
        <v/>
      </c>
      <c r="X48" s="501" t="inlineStr">
        <is>
          <t>01</t>
        </is>
      </c>
      <c r="Y48" s="521" t="n">
        <v>45809</v>
      </c>
      <c r="Z48" s="494">
        <f>V48</f>
        <v/>
      </c>
      <c r="AA48" s="460">
        <f>W48</f>
        <v/>
      </c>
      <c r="AB48" s="460">
        <f>X48</f>
        <v/>
      </c>
      <c r="AC48" s="496">
        <f>Y48</f>
        <v/>
      </c>
    </row>
    <row r="49">
      <c r="A49" s="504" t="inlineStr">
        <is>
          <t>Servizi Generali di Bordo - Bar Bistrot</t>
        </is>
      </c>
      <c r="B49" s="458">
        <f>CONCATENATE(D49,"_",E49)</f>
        <v/>
      </c>
      <c r="C49" s="488" t="inlineStr">
        <is>
          <t>pdf</t>
        </is>
      </c>
      <c r="D49" s="458" t="inlineStr">
        <is>
          <t>MR2</t>
        </is>
      </c>
      <c r="E49" s="458" t="inlineStr">
        <is>
          <t>15B</t>
        </is>
      </c>
      <c r="F49" s="405" t="inlineStr">
        <is>
          <t>\</t>
        </is>
      </c>
      <c r="G49" s="500" t="inlineStr">
        <is>
          <t>\</t>
        </is>
      </c>
      <c r="H49" s="409" t="inlineStr">
        <is>
          <t>\</t>
        </is>
      </c>
      <c r="I49" s="514" t="inlineStr">
        <is>
          <t>\</t>
        </is>
      </c>
      <c r="J49" s="405">
        <f>$F49</f>
        <v/>
      </c>
      <c r="K49" s="500">
        <f>$G49</f>
        <v/>
      </c>
      <c r="L49" s="419">
        <f>$H49</f>
        <v/>
      </c>
      <c r="M49" s="416">
        <f>$I49</f>
        <v/>
      </c>
      <c r="N49" s="494">
        <f>$F49</f>
        <v/>
      </c>
      <c r="O49" s="460">
        <f>$G49</f>
        <v/>
      </c>
      <c r="P49" s="460">
        <f>$H49</f>
        <v/>
      </c>
      <c r="Q49" s="496">
        <f>$I49</f>
        <v/>
      </c>
      <c r="R49" s="494" t="n"/>
      <c r="S49" s="460" t="n"/>
      <c r="T49" s="460" t="n"/>
      <c r="U49" s="496" t="n"/>
      <c r="V49" s="494">
        <f>CONCATENATE("ETR1000V300_R1-",$D49,"-",$E49)</f>
        <v/>
      </c>
      <c r="W49" s="495">
        <f>CONCATENATE(V49,"-",X49)</f>
        <v/>
      </c>
      <c r="X49" s="501" t="inlineStr">
        <is>
          <t>02</t>
        </is>
      </c>
      <c r="Y49" s="521" t="n">
        <v>45809</v>
      </c>
      <c r="Z49" s="494">
        <f>V49</f>
        <v/>
      </c>
      <c r="AA49" s="460">
        <f>W49</f>
        <v/>
      </c>
      <c r="AB49" s="460">
        <f>X49</f>
        <v/>
      </c>
      <c r="AC49" s="496">
        <f>Y49</f>
        <v/>
      </c>
    </row>
    <row r="50">
      <c r="A50" s="504" t="inlineStr">
        <is>
          <t>Documentazione circuiti elettronici</t>
        </is>
      </c>
      <c r="B50" s="458">
        <f>CONCATENATE(D50,"_",E50)</f>
        <v/>
      </c>
      <c r="C50" s="488" t="inlineStr">
        <is>
          <t>pdf</t>
        </is>
      </c>
      <c r="D50" s="458" t="inlineStr">
        <is>
          <t>MR2</t>
        </is>
      </c>
      <c r="E50" s="458" t="inlineStr">
        <is>
          <t>17A</t>
        </is>
      </c>
      <c r="F50" s="405">
        <f>CONCATENATE("ETR1000V300-",$D50,"-",$E50)</f>
        <v/>
      </c>
      <c r="G50" s="500">
        <f>CONCATENATE(F50,"-",H50)</f>
        <v/>
      </c>
      <c r="H50" s="409" t="inlineStr">
        <is>
          <t>00</t>
        </is>
      </c>
      <c r="I50" s="407" t="n">
        <v>41913</v>
      </c>
      <c r="J50" s="405">
        <f>$F50</f>
        <v/>
      </c>
      <c r="K50" s="500">
        <f>$G50</f>
        <v/>
      </c>
      <c r="L50" s="409">
        <f>$H50</f>
        <v/>
      </c>
      <c r="M50" s="407">
        <f>$I50</f>
        <v/>
      </c>
      <c r="N50" s="494">
        <f>$F50</f>
        <v/>
      </c>
      <c r="O50" s="460">
        <f>$G50</f>
        <v/>
      </c>
      <c r="P50" s="460">
        <f>$H50</f>
        <v/>
      </c>
      <c r="Q50" s="496">
        <f>$I50</f>
        <v/>
      </c>
      <c r="R50" s="494" t="n"/>
      <c r="S50" s="460" t="n"/>
      <c r="T50" s="460" t="n"/>
      <c r="U50" s="496" t="n"/>
      <c r="V50" s="502" t="n"/>
      <c r="W50" s="501" t="n"/>
      <c r="X50" s="501" t="n"/>
      <c r="Y50" s="510" t="n"/>
      <c r="Z50" s="502" t="n"/>
      <c r="AA50" s="501" t="n"/>
      <c r="AB50" s="501" t="n"/>
      <c r="AC50" s="503">
        <f>Y50</f>
        <v/>
      </c>
    </row>
    <row r="51">
      <c r="A51" s="504" t="inlineStr">
        <is>
          <t>Messa in servizio (tomo 1 di 5)</t>
        </is>
      </c>
      <c r="B51" s="458">
        <f>CONCATENATE(D51,"_",E51)</f>
        <v/>
      </c>
      <c r="C51" s="488" t="inlineStr">
        <is>
          <t>pdf</t>
        </is>
      </c>
      <c r="D51" s="458" t="inlineStr">
        <is>
          <t>MR2</t>
        </is>
      </c>
      <c r="E51" s="458" t="inlineStr">
        <is>
          <t>30A</t>
        </is>
      </c>
      <c r="F51" s="405">
        <f>CONCATENATE("ETR1000V300-",$D51,"-",$E51)</f>
        <v/>
      </c>
      <c r="G51" s="500">
        <f>CONCATENATE(F51,"-",H51)</f>
        <v/>
      </c>
      <c r="H51" s="409" t="inlineStr">
        <is>
          <t>01</t>
        </is>
      </c>
      <c r="I51" s="408" t="inlineStr">
        <is>
          <t>mag-16</t>
        </is>
      </c>
      <c r="J51" s="405">
        <f>$F51</f>
        <v/>
      </c>
      <c r="K51" s="500">
        <f>$G51</f>
        <v/>
      </c>
      <c r="L51" s="409">
        <f>$H51</f>
        <v/>
      </c>
      <c r="M51" s="408">
        <f>$I51</f>
        <v/>
      </c>
      <c r="N51" s="494">
        <f>$F51</f>
        <v/>
      </c>
      <c r="O51" s="460">
        <f>$G51</f>
        <v/>
      </c>
      <c r="P51" s="460">
        <f>$H51</f>
        <v/>
      </c>
      <c r="Q51" s="496">
        <f>$I51</f>
        <v/>
      </c>
      <c r="R51" s="494" t="n"/>
      <c r="S51" s="460" t="n"/>
      <c r="T51" s="460" t="n"/>
      <c r="U51" s="496" t="n"/>
      <c r="V51" s="494">
        <f>CONCATENATE("ETR1000V300_R1-",$D51,"-",$E51)</f>
        <v/>
      </c>
      <c r="W51" s="495">
        <f>CONCATENATE(V51,"-",X51)</f>
        <v/>
      </c>
      <c r="X51" s="501" t="inlineStr">
        <is>
          <t>02</t>
        </is>
      </c>
      <c r="Y51" s="521" t="n">
        <v>45627</v>
      </c>
      <c r="Z51" s="494">
        <f>V51</f>
        <v/>
      </c>
      <c r="AA51" s="460">
        <f>W51</f>
        <v/>
      </c>
      <c r="AB51" s="460">
        <f>X51</f>
        <v/>
      </c>
      <c r="AC51" s="496">
        <f>Y51</f>
        <v/>
      </c>
    </row>
    <row r="52">
      <c r="A52" s="504" t="inlineStr">
        <is>
          <t>Cassa veicoli di estremità</t>
        </is>
      </c>
      <c r="B52" s="458">
        <f>CONCATENATE(D52,"_",E52)</f>
        <v/>
      </c>
      <c r="C52" s="488" t="inlineStr">
        <is>
          <t>pdf</t>
        </is>
      </c>
      <c r="D52" s="458" t="inlineStr">
        <is>
          <t>CPR</t>
        </is>
      </c>
      <c r="E52" s="458" t="inlineStr">
        <is>
          <t>01A</t>
        </is>
      </c>
      <c r="F52" s="405">
        <f>CONCATENATE("ETR1000V300-",$D52,"-",$E52)</f>
        <v/>
      </c>
      <c r="G52" s="458" t="inlineStr">
        <is>
          <t>2.05.993</t>
        </is>
      </c>
      <c r="H52" s="406" t="inlineStr">
        <is>
          <t>\</t>
        </is>
      </c>
      <c r="I52" s="408" t="inlineStr">
        <is>
          <t>mag-22</t>
        </is>
      </c>
      <c r="J52" s="405">
        <f>$F52</f>
        <v/>
      </c>
      <c r="K52" s="458">
        <f>$G52</f>
        <v/>
      </c>
      <c r="L52" s="406">
        <f>$H52</f>
        <v/>
      </c>
      <c r="M52" s="408">
        <f>$I52</f>
        <v/>
      </c>
      <c r="N52" s="506">
        <f>CONCATENATE("ETR1000V300_FR-",$D52,"-",$E52)</f>
        <v/>
      </c>
      <c r="O52" s="495" t="inlineStr">
        <is>
          <t>2.05.1232</t>
        </is>
      </c>
      <c r="P52" s="460" t="inlineStr">
        <is>
          <t>\</t>
        </is>
      </c>
      <c r="Q52" s="496" t="n">
        <v>44136</v>
      </c>
      <c r="R52" s="494" t="n"/>
      <c r="S52" s="460" t="n"/>
      <c r="T52" s="460" t="n"/>
      <c r="U52" s="496" t="n"/>
      <c r="V52" s="506">
        <f>CONCATENATE("ETR1000V300_R1-",$D52,"-",$E52)</f>
        <v/>
      </c>
      <c r="W52" s="501" t="inlineStr">
        <is>
          <t>2.05.1397</t>
        </is>
      </c>
      <c r="X52" s="501" t="inlineStr">
        <is>
          <t>01</t>
        </is>
      </c>
      <c r="Y52" s="496" t="n">
        <v>45901</v>
      </c>
      <c r="Z52" s="502">
        <f>V52</f>
        <v/>
      </c>
      <c r="AA52" s="501">
        <f>W52</f>
        <v/>
      </c>
      <c r="AB52" s="501">
        <f>X52</f>
        <v/>
      </c>
      <c r="AC52" s="503">
        <f>Y52</f>
        <v/>
      </c>
    </row>
    <row r="53">
      <c r="A53" s="504" t="inlineStr">
        <is>
          <t>Cassa veicoli intermedi</t>
        </is>
      </c>
      <c r="B53" s="458">
        <f>CONCATENATE(D53,"_",E53)</f>
        <v/>
      </c>
      <c r="C53" s="488" t="inlineStr">
        <is>
          <t>pdf</t>
        </is>
      </c>
      <c r="D53" s="458" t="inlineStr">
        <is>
          <t>CPR</t>
        </is>
      </c>
      <c r="E53" s="458" t="inlineStr">
        <is>
          <t>01B</t>
        </is>
      </c>
      <c r="F53" s="405">
        <f>CONCATENATE("ETR1000V300-",$D53,"-",$E53)</f>
        <v/>
      </c>
      <c r="G53" s="458" t="inlineStr">
        <is>
          <t>2.05.994</t>
        </is>
      </c>
      <c r="H53" s="406" t="inlineStr">
        <is>
          <t>\</t>
        </is>
      </c>
      <c r="I53" s="408" t="inlineStr">
        <is>
          <t>mag-22</t>
        </is>
      </c>
      <c r="J53" s="405">
        <f>$F53</f>
        <v/>
      </c>
      <c r="K53" s="458">
        <f>$G53</f>
        <v/>
      </c>
      <c r="L53" s="406">
        <f>$H53</f>
        <v/>
      </c>
      <c r="M53" s="408">
        <f>$I53</f>
        <v/>
      </c>
      <c r="N53" s="506">
        <f>CONCATENATE("ETR1000V300_FR-",$D53,"-",$E53)</f>
        <v/>
      </c>
      <c r="O53" s="495" t="inlineStr">
        <is>
          <t>2.05.1233</t>
        </is>
      </c>
      <c r="P53" s="460" t="inlineStr">
        <is>
          <t>\</t>
        </is>
      </c>
      <c r="Q53" s="496" t="n">
        <v>44136</v>
      </c>
      <c r="R53" s="494" t="n"/>
      <c r="S53" s="460" t="n"/>
      <c r="T53" s="460" t="n"/>
      <c r="U53" s="496" t="n"/>
      <c r="V53" s="506">
        <f>CONCATENATE("ETR1000V300_R1-",$D53,"-",$E53)</f>
        <v/>
      </c>
      <c r="W53" s="501" t="inlineStr">
        <is>
          <t>2.05.1398</t>
        </is>
      </c>
      <c r="X53" s="501" t="inlineStr">
        <is>
          <t>01</t>
        </is>
      </c>
      <c r="Y53" s="496" t="n">
        <v>45901</v>
      </c>
      <c r="Z53" s="502">
        <f>V53</f>
        <v/>
      </c>
      <c r="AA53" s="501">
        <f>W53</f>
        <v/>
      </c>
      <c r="AB53" s="501">
        <f>X53</f>
        <v/>
      </c>
      <c r="AC53" s="503">
        <f>Y53</f>
        <v/>
      </c>
    </row>
    <row r="54">
      <c r="A54" s="504" t="inlineStr">
        <is>
          <t>Accoppiatore automatico-asta semipermanente</t>
        </is>
      </c>
      <c r="B54" s="458">
        <f>CONCATENATE(D54,"_",E54)</f>
        <v/>
      </c>
      <c r="C54" s="488" t="inlineStr">
        <is>
          <t>pdf</t>
        </is>
      </c>
      <c r="D54" s="458" t="inlineStr">
        <is>
          <t>CPR</t>
        </is>
      </c>
      <c r="E54" s="458" t="inlineStr">
        <is>
          <t>01C</t>
        </is>
      </c>
      <c r="F54" s="405">
        <f>CONCATENATE("ETR1000V300-",$D54,"-",$E54)</f>
        <v/>
      </c>
      <c r="G54" s="458" t="inlineStr">
        <is>
          <t>2.05.995</t>
        </is>
      </c>
      <c r="H54" s="406" t="inlineStr">
        <is>
          <t>\</t>
        </is>
      </c>
      <c r="I54" s="408" t="inlineStr">
        <is>
          <t>mag-22</t>
        </is>
      </c>
      <c r="J54" s="405">
        <f>$F54</f>
        <v/>
      </c>
      <c r="K54" s="458">
        <f>$G54</f>
        <v/>
      </c>
      <c r="L54" s="406">
        <f>$H54</f>
        <v/>
      </c>
      <c r="M54" s="408">
        <f>$I54</f>
        <v/>
      </c>
      <c r="N54" s="494">
        <f>F54</f>
        <v/>
      </c>
      <c r="O54" s="460">
        <f>G54</f>
        <v/>
      </c>
      <c r="P54" s="460">
        <f>H54</f>
        <v/>
      </c>
      <c r="Q54" s="461">
        <f>I54</f>
        <v/>
      </c>
      <c r="R54" s="494" t="n"/>
      <c r="S54" s="460" t="n"/>
      <c r="T54" s="460" t="n"/>
      <c r="U54" s="496" t="n"/>
      <c r="V54" s="494" t="n"/>
      <c r="W54" s="460" t="n"/>
      <c r="X54" s="460" t="n"/>
      <c r="Y54" s="496" t="n"/>
      <c r="Z54" s="494" t="n"/>
      <c r="AA54" s="460" t="n"/>
      <c r="AB54" s="460" t="n"/>
      <c r="AC54" s="496" t="n"/>
    </row>
    <row r="55">
      <c r="A55" s="504" t="inlineStr">
        <is>
          <t>Musetto mobile</t>
        </is>
      </c>
      <c r="B55" s="458">
        <f>CONCATENATE(D55,"_",E55)</f>
        <v/>
      </c>
      <c r="C55" s="488" t="inlineStr">
        <is>
          <t>pdf</t>
        </is>
      </c>
      <c r="D55" s="458" t="inlineStr">
        <is>
          <t>CPR</t>
        </is>
      </c>
      <c r="E55" s="458" t="inlineStr">
        <is>
          <t>01D</t>
        </is>
      </c>
      <c r="F55" s="405">
        <f>CONCATENATE("ETR1000V300-",$D55,"-",$E55)</f>
        <v/>
      </c>
      <c r="G55" s="458" t="inlineStr">
        <is>
          <t>2.05.996</t>
        </is>
      </c>
      <c r="H55" s="406" t="inlineStr">
        <is>
          <t>\</t>
        </is>
      </c>
      <c r="I55" s="408" t="inlineStr">
        <is>
          <t>mag-22</t>
        </is>
      </c>
      <c r="J55" s="405">
        <f>$F55</f>
        <v/>
      </c>
      <c r="K55" s="458">
        <f>$G55</f>
        <v/>
      </c>
      <c r="L55" s="406">
        <f>$H55</f>
        <v/>
      </c>
      <c r="M55" s="408">
        <f>$I55</f>
        <v/>
      </c>
      <c r="N55" s="506">
        <f>CONCATENATE("ETR1000V300_FR-",$D55,"-",$E55)</f>
        <v/>
      </c>
      <c r="O55" s="495" t="inlineStr">
        <is>
          <t>2.05.1234</t>
        </is>
      </c>
      <c r="P55" s="460" t="inlineStr">
        <is>
          <t>\</t>
        </is>
      </c>
      <c r="Q55" s="496" t="n">
        <v>44136</v>
      </c>
      <c r="R55" s="494" t="n"/>
      <c r="S55" s="460" t="n"/>
      <c r="T55" s="460" t="n"/>
      <c r="U55" s="496" t="n"/>
      <c r="V55" s="506">
        <f>CONCATENATE("ETR1000V300_R1-",$D55,"-",$E55)</f>
        <v/>
      </c>
      <c r="W55" s="501" t="inlineStr">
        <is>
          <t>2.05.1400</t>
        </is>
      </c>
      <c r="X55" s="501" t="inlineStr">
        <is>
          <t>01</t>
        </is>
      </c>
      <c r="Y55" s="496" t="n">
        <v>45931</v>
      </c>
      <c r="Z55" s="502">
        <f>V55</f>
        <v/>
      </c>
      <c r="AA55" s="501">
        <f>W55</f>
        <v/>
      </c>
      <c r="AB55" s="501">
        <f>X55</f>
        <v/>
      </c>
      <c r="AC55" s="503">
        <f>Y55</f>
        <v/>
      </c>
    </row>
    <row r="56">
      <c r="A56" s="504" t="inlineStr">
        <is>
          <t>Carrello</t>
        </is>
      </c>
      <c r="B56" s="458">
        <f>CONCATENATE(D56,"_",E56)</f>
        <v/>
      </c>
      <c r="C56" s="488" t="inlineStr">
        <is>
          <t>pdf</t>
        </is>
      </c>
      <c r="D56" s="458" t="inlineStr">
        <is>
          <t>CPR</t>
        </is>
      </c>
      <c r="E56" s="458" t="inlineStr">
        <is>
          <t>02A</t>
        </is>
      </c>
      <c r="F56" s="405">
        <f>CONCATENATE("ETR1000V300-",$D56,"-",$E56)</f>
        <v/>
      </c>
      <c r="G56" s="458" t="inlineStr">
        <is>
          <t>2.05.997</t>
        </is>
      </c>
      <c r="H56" s="406" t="inlineStr">
        <is>
          <t>\</t>
        </is>
      </c>
      <c r="I56" s="408" t="inlineStr">
        <is>
          <t>mar-21</t>
        </is>
      </c>
      <c r="J56" s="405">
        <f>$F56</f>
        <v/>
      </c>
      <c r="K56" s="458">
        <f>$G56</f>
        <v/>
      </c>
      <c r="L56" s="406">
        <f>$H56</f>
        <v/>
      </c>
      <c r="M56" s="408">
        <f>$I56</f>
        <v/>
      </c>
      <c r="N56" s="506">
        <f>CONCATENATE("ETR1000V300_FR-",$D56,"-",$E56)</f>
        <v/>
      </c>
      <c r="O56" s="495" t="inlineStr">
        <is>
          <t>2.05.1235</t>
        </is>
      </c>
      <c r="P56" s="460" t="inlineStr">
        <is>
          <t>\</t>
        </is>
      </c>
      <c r="Q56" s="496" t="n">
        <v>43617</v>
      </c>
      <c r="R56" s="494" t="n"/>
      <c r="S56" s="460" t="n"/>
      <c r="T56" s="460" t="n"/>
      <c r="U56" s="496" t="n"/>
      <c r="V56" s="506">
        <f>CONCATENATE("ETR1000V300_R1-",$D56,"-",$E56)</f>
        <v/>
      </c>
      <c r="W56" s="501" t="inlineStr">
        <is>
          <t>2.05.1401</t>
        </is>
      </c>
      <c r="X56" s="501" t="inlineStr">
        <is>
          <t>02</t>
        </is>
      </c>
      <c r="Y56" s="496" t="n">
        <v>45931</v>
      </c>
      <c r="Z56" s="502">
        <f>V56</f>
        <v/>
      </c>
      <c r="AA56" s="501">
        <f>W56</f>
        <v/>
      </c>
      <c r="AB56" s="501">
        <f>X56</f>
        <v/>
      </c>
      <c r="AC56" s="503">
        <f>Y56</f>
        <v/>
      </c>
    </row>
    <row r="57">
      <c r="A57" s="504" t="inlineStr">
        <is>
          <t>Impianto pneumatico e freno - sistemazioni</t>
        </is>
      </c>
      <c r="B57" s="458">
        <f>CONCATENATE(D57,"_",E57)</f>
        <v/>
      </c>
      <c r="C57" s="488" t="inlineStr">
        <is>
          <t>pdf</t>
        </is>
      </c>
      <c r="D57" s="458" t="inlineStr">
        <is>
          <t>CPR</t>
        </is>
      </c>
      <c r="E57" s="458" t="inlineStr">
        <is>
          <t>03A</t>
        </is>
      </c>
      <c r="F57" s="405">
        <f>CONCATENATE("ETR1000V300-",$D57,"-",$E57)</f>
        <v/>
      </c>
      <c r="G57" s="458" t="inlineStr">
        <is>
          <t>2.05.998</t>
        </is>
      </c>
      <c r="H57" s="406" t="inlineStr">
        <is>
          <t>\</t>
        </is>
      </c>
      <c r="I57" s="408" t="inlineStr">
        <is>
          <t>lug-17</t>
        </is>
      </c>
      <c r="J57" s="405">
        <f>$F57</f>
        <v/>
      </c>
      <c r="K57" s="458">
        <f>$G57</f>
        <v/>
      </c>
      <c r="L57" s="406">
        <f>$H57</f>
        <v/>
      </c>
      <c r="M57" s="408">
        <f>$I57</f>
        <v/>
      </c>
      <c r="N57" s="506">
        <f>CONCATENATE("ETR1000V300_FR-",$D57,"-",$E57)</f>
        <v/>
      </c>
      <c r="O57" s="495" t="inlineStr">
        <is>
          <t>2.05.1236</t>
        </is>
      </c>
      <c r="P57" s="460" t="inlineStr">
        <is>
          <t>\</t>
        </is>
      </c>
      <c r="Q57" s="496" t="n">
        <v>43922</v>
      </c>
      <c r="R57" s="494" t="n"/>
      <c r="S57" s="460" t="n"/>
      <c r="T57" s="460" t="n"/>
      <c r="U57" s="496" t="n"/>
      <c r="V57" s="506">
        <f>CONCATENATE("ETR1000V300_R1-",$D57,"-",$E57)</f>
        <v/>
      </c>
      <c r="W57" s="501" t="inlineStr">
        <is>
          <t>2.05.1402</t>
        </is>
      </c>
      <c r="X57" s="501" t="inlineStr">
        <is>
          <t>02</t>
        </is>
      </c>
      <c r="Y57" s="496" t="n">
        <v>45931</v>
      </c>
      <c r="Z57" s="502">
        <f>V57</f>
        <v/>
      </c>
      <c r="AA57" s="501">
        <f>W57</f>
        <v/>
      </c>
      <c r="AB57" s="501">
        <f>X57</f>
        <v/>
      </c>
      <c r="AC57" s="503">
        <f>Y57</f>
        <v/>
      </c>
    </row>
    <row r="58">
      <c r="A58" s="504" t="inlineStr">
        <is>
          <t>Impianto pneumatico e freno - componenti</t>
        </is>
      </c>
      <c r="B58" s="458">
        <f>CONCATENATE(D58,"_",E58)</f>
        <v/>
      </c>
      <c r="C58" s="488" t="inlineStr">
        <is>
          <t>pdf</t>
        </is>
      </c>
      <c r="D58" s="458" t="inlineStr">
        <is>
          <t>CPR</t>
        </is>
      </c>
      <c r="E58" s="458" t="inlineStr">
        <is>
          <t>03B</t>
        </is>
      </c>
      <c r="F58" s="405">
        <f>CONCATENATE("ETR1000V300-",$D58,"-",$E58)</f>
        <v/>
      </c>
      <c r="G58" s="458" t="inlineStr">
        <is>
          <t>2.05.999</t>
        </is>
      </c>
      <c r="H58" s="406" t="inlineStr">
        <is>
          <t>\</t>
        </is>
      </c>
      <c r="I58" s="418" t="n">
        <v>46113</v>
      </c>
      <c r="J58" s="405">
        <f>$F58</f>
        <v/>
      </c>
      <c r="K58" s="458">
        <f>$G58</f>
        <v/>
      </c>
      <c r="L58" s="406">
        <f>$H58</f>
        <v/>
      </c>
      <c r="M58" s="418">
        <f>$I58</f>
        <v/>
      </c>
      <c r="N58" s="506">
        <f>CONCATENATE("ETR1000V300_FR-",$D58,"-",$E58)</f>
        <v/>
      </c>
      <c r="O58" s="495" t="inlineStr">
        <is>
          <t>2.05.1237</t>
        </is>
      </c>
      <c r="P58" s="460" t="inlineStr">
        <is>
          <t>\</t>
        </is>
      </c>
      <c r="Q58" s="496" t="n">
        <v>44317</v>
      </c>
      <c r="R58" s="494" t="n"/>
      <c r="S58" s="460" t="n"/>
      <c r="T58" s="460" t="n"/>
      <c r="U58" s="496" t="n"/>
      <c r="V58" s="506">
        <f>CONCATENATE("ETR1000V300_R1-",$D58,"-",$E58)</f>
        <v/>
      </c>
      <c r="W58" s="501" t="inlineStr">
        <is>
          <t>2.05.1403</t>
        </is>
      </c>
      <c r="X58" s="501" t="inlineStr">
        <is>
          <t>02</t>
        </is>
      </c>
      <c r="Y58" s="496" t="n">
        <v>45931</v>
      </c>
      <c r="Z58" s="502">
        <f>V58</f>
        <v/>
      </c>
      <c r="AA58" s="501">
        <f>W58</f>
        <v/>
      </c>
      <c r="AB58" s="501">
        <f>X58</f>
        <v/>
      </c>
      <c r="AC58" s="503">
        <f>Y58</f>
        <v/>
      </c>
    </row>
    <row r="59">
      <c r="A59" s="504" t="inlineStr">
        <is>
          <t>Equipaggiamento elettrico ed elettropneumatico - sistemazioni</t>
        </is>
      </c>
      <c r="B59" s="458">
        <f>CONCATENATE(D59,"_",E59)</f>
        <v/>
      </c>
      <c r="C59" s="488" t="inlineStr">
        <is>
          <t>pdf</t>
        </is>
      </c>
      <c r="D59" s="458" t="inlineStr">
        <is>
          <t>CPR</t>
        </is>
      </c>
      <c r="E59" s="458" t="inlineStr">
        <is>
          <t>04A</t>
        </is>
      </c>
      <c r="F59" s="405">
        <f>CONCATENATE("ETR1000V300-",$D59,"-",$E59)</f>
        <v/>
      </c>
      <c r="G59" s="458" t="inlineStr">
        <is>
          <t>2.05.1000</t>
        </is>
      </c>
      <c r="H59" s="406" t="inlineStr">
        <is>
          <t>\</t>
        </is>
      </c>
      <c r="I59" s="418" t="n">
        <v>45748</v>
      </c>
      <c r="J59" s="405">
        <f>$F59</f>
        <v/>
      </c>
      <c r="K59" s="458">
        <f>$G59</f>
        <v/>
      </c>
      <c r="L59" s="406">
        <f>$H59</f>
        <v/>
      </c>
      <c r="M59" s="418">
        <f>$I59</f>
        <v/>
      </c>
      <c r="N59" s="506">
        <f>CONCATENATE("ETR1000V300_FR-",$D59,"-",$E59)</f>
        <v/>
      </c>
      <c r="O59" s="495" t="inlineStr">
        <is>
          <t>2.05.1238</t>
        </is>
      </c>
      <c r="P59" s="460" t="inlineStr">
        <is>
          <t>\</t>
        </is>
      </c>
      <c r="Q59" s="496" t="n">
        <v>43922</v>
      </c>
      <c r="R59" s="494" t="n"/>
      <c r="S59" s="460" t="n"/>
      <c r="T59" s="460" t="n"/>
      <c r="U59" s="496" t="n"/>
      <c r="V59" s="506">
        <f>CONCATENATE("ETR1000V300_R1-",$D59,"-",$E59)</f>
        <v/>
      </c>
      <c r="W59" s="501" t="inlineStr">
        <is>
          <t>2.05.1404</t>
        </is>
      </c>
      <c r="X59" s="501" t="inlineStr">
        <is>
          <t>01</t>
        </is>
      </c>
      <c r="Y59" s="496" t="n">
        <v>45901</v>
      </c>
      <c r="Z59" s="502">
        <f>V59</f>
        <v/>
      </c>
      <c r="AA59" s="501">
        <f>W59</f>
        <v/>
      </c>
      <c r="AB59" s="501">
        <f>X59</f>
        <v/>
      </c>
      <c r="AC59" s="503">
        <f>Y59</f>
        <v/>
      </c>
    </row>
    <row r="60">
      <c r="A60" s="504" t="inlineStr">
        <is>
          <t>Equipaggiamento elettrico ed elettropneumatico - componenti</t>
        </is>
      </c>
      <c r="B60" s="458">
        <f>CONCATENATE(D60,"_",E60)</f>
        <v/>
      </c>
      <c r="C60" s="488" t="inlineStr">
        <is>
          <t>pdf</t>
        </is>
      </c>
      <c r="D60" s="458" t="inlineStr">
        <is>
          <t>CPR</t>
        </is>
      </c>
      <c r="E60" s="458" t="inlineStr">
        <is>
          <t>04B</t>
        </is>
      </c>
      <c r="F60" s="405">
        <f>CONCATENATE("ETR1000V300-",$D60,"-",$E60)</f>
        <v/>
      </c>
      <c r="G60" s="458" t="inlineStr">
        <is>
          <t>2.05.1001</t>
        </is>
      </c>
      <c r="H60" s="406" t="inlineStr">
        <is>
          <t>\</t>
        </is>
      </c>
      <c r="I60" s="418" t="n">
        <v>46082</v>
      </c>
      <c r="J60" s="405">
        <f>$F60</f>
        <v/>
      </c>
      <c r="K60" s="458">
        <f>$G60</f>
        <v/>
      </c>
      <c r="L60" s="406">
        <f>$H60</f>
        <v/>
      </c>
      <c r="M60" s="418">
        <f>$I60</f>
        <v/>
      </c>
      <c r="N60" s="506">
        <f>CONCATENATE("ETR1000V300_FR-",$D60,"-",$E60)</f>
        <v/>
      </c>
      <c r="O60" s="495" t="inlineStr">
        <is>
          <t>2.05.1239</t>
        </is>
      </c>
      <c r="P60" s="460" t="inlineStr">
        <is>
          <t>\</t>
        </is>
      </c>
      <c r="Q60" s="496" t="n">
        <v>43952</v>
      </c>
      <c r="R60" s="494" t="n"/>
      <c r="S60" s="460" t="n"/>
      <c r="T60" s="460" t="n"/>
      <c r="U60" s="496" t="n"/>
      <c r="V60" s="506">
        <f>CONCATENATE("ETR1000V300_R1-",$D60,"-",$E60)</f>
        <v/>
      </c>
      <c r="W60" s="501" t="inlineStr">
        <is>
          <t>2.05.1405</t>
        </is>
      </c>
      <c r="X60" s="501" t="inlineStr">
        <is>
          <t>01</t>
        </is>
      </c>
      <c r="Y60" s="496" t="n">
        <v>45931</v>
      </c>
      <c r="Z60" s="502">
        <f>V60</f>
        <v/>
      </c>
      <c r="AA60" s="501">
        <f>W60</f>
        <v/>
      </c>
      <c r="AB60" s="501">
        <f>X60</f>
        <v/>
      </c>
      <c r="AC60" s="503">
        <f>Y60</f>
        <v/>
      </c>
    </row>
    <row r="61">
      <c r="A61" s="504" t="inlineStr">
        <is>
          <t>Pantografi</t>
        </is>
      </c>
      <c r="B61" s="458">
        <f>CONCATENATE(D61,"_",E61)</f>
        <v/>
      </c>
      <c r="C61" s="488" t="inlineStr">
        <is>
          <t>pdf</t>
        </is>
      </c>
      <c r="D61" s="458" t="inlineStr">
        <is>
          <t>CPR</t>
        </is>
      </c>
      <c r="E61" s="458" t="inlineStr">
        <is>
          <t>04C</t>
        </is>
      </c>
      <c r="F61" s="405">
        <f>CONCATENATE("ETR1000V300-",$D61,"-",$E61)</f>
        <v/>
      </c>
      <c r="G61" s="458" t="inlineStr">
        <is>
          <t>2.05.1002</t>
        </is>
      </c>
      <c r="H61" s="406" t="inlineStr">
        <is>
          <t>\</t>
        </is>
      </c>
      <c r="I61" s="408" t="inlineStr">
        <is>
          <t>mar-21</t>
        </is>
      </c>
      <c r="J61" s="405">
        <f>$F61</f>
        <v/>
      </c>
      <c r="K61" s="458">
        <f>$G61</f>
        <v/>
      </c>
      <c r="L61" s="406">
        <f>$H61</f>
        <v/>
      </c>
      <c r="M61" s="408">
        <f>$I61</f>
        <v/>
      </c>
      <c r="N61" s="506">
        <f>CONCATENATE("ETR1000V300_FR-",$D61,"-",$E61)</f>
        <v/>
      </c>
      <c r="O61" s="495" t="inlineStr">
        <is>
          <t>2.05.1240</t>
        </is>
      </c>
      <c r="P61" s="460" t="inlineStr">
        <is>
          <t>\</t>
        </is>
      </c>
      <c r="Q61" s="496" t="n">
        <v>43922</v>
      </c>
      <c r="R61" s="494" t="n"/>
      <c r="S61" s="460" t="n"/>
      <c r="T61" s="460" t="n"/>
      <c r="U61" s="496" t="n"/>
      <c r="V61" s="506">
        <f>CONCATENATE("ETR1000V300_R1-",$D61,"-",$E61)</f>
        <v/>
      </c>
      <c r="W61" s="501" t="inlineStr">
        <is>
          <t>2.05.1406</t>
        </is>
      </c>
      <c r="X61" s="501" t="inlineStr">
        <is>
          <t>01</t>
        </is>
      </c>
      <c r="Y61" s="496" t="n">
        <v>45931</v>
      </c>
      <c r="Z61" s="502">
        <f>V61</f>
        <v/>
      </c>
      <c r="AA61" s="501">
        <f>W61</f>
        <v/>
      </c>
      <c r="AB61" s="501">
        <f>X61</f>
        <v/>
      </c>
      <c r="AC61" s="503">
        <f>Y61</f>
        <v/>
      </c>
    </row>
    <row r="62">
      <c r="A62" s="504" t="inlineStr">
        <is>
          <t>Quadri elettrici</t>
        </is>
      </c>
      <c r="B62" s="458">
        <f>CONCATENATE(D62,"_",E62)</f>
        <v/>
      </c>
      <c r="C62" s="488" t="inlineStr">
        <is>
          <t>pdf</t>
        </is>
      </c>
      <c r="D62" s="458" t="inlineStr">
        <is>
          <t>CPR</t>
        </is>
      </c>
      <c r="E62" s="458" t="inlineStr">
        <is>
          <t>04D</t>
        </is>
      </c>
      <c r="F62" s="405">
        <f>CONCATENATE("ETR1000V300-",$D62,"-",$E62)</f>
        <v/>
      </c>
      <c r="G62" s="458" t="inlineStr">
        <is>
          <t>2.05.1003</t>
        </is>
      </c>
      <c r="H62" s="406" t="inlineStr">
        <is>
          <t>\</t>
        </is>
      </c>
      <c r="I62" s="418" t="n">
        <v>45748</v>
      </c>
      <c r="J62" s="405">
        <f>$F62</f>
        <v/>
      </c>
      <c r="K62" s="458">
        <f>$G62</f>
        <v/>
      </c>
      <c r="L62" s="406">
        <f>$H62</f>
        <v/>
      </c>
      <c r="M62" s="418">
        <f>$I62</f>
        <v/>
      </c>
      <c r="N62" s="506">
        <f>CONCATENATE("ETR1000V300_FR-",$D62,"-",$E62)</f>
        <v/>
      </c>
      <c r="O62" s="495" t="inlineStr">
        <is>
          <t>2.05.1241</t>
        </is>
      </c>
      <c r="P62" s="460" t="inlineStr">
        <is>
          <t>\</t>
        </is>
      </c>
      <c r="Q62" s="496" t="n">
        <v>43952</v>
      </c>
      <c r="R62" s="494" t="n"/>
      <c r="S62" s="460" t="n"/>
      <c r="T62" s="460" t="n"/>
      <c r="U62" s="496" t="n"/>
      <c r="V62" s="494" t="n"/>
      <c r="W62" s="460" t="n"/>
      <c r="X62" s="460" t="n"/>
      <c r="Y62" s="496" t="n"/>
      <c r="Z62" s="494" t="n"/>
      <c r="AA62" s="460" t="n"/>
      <c r="AB62" s="460" t="n"/>
      <c r="AC62" s="496" t="n"/>
    </row>
    <row r="63">
      <c r="A63" s="504" t="inlineStr">
        <is>
          <t>Logica di comando</t>
        </is>
      </c>
      <c r="B63" s="458">
        <f>CONCATENATE(D63,"_",E63)</f>
        <v/>
      </c>
      <c r="C63" s="488" t="inlineStr">
        <is>
          <t>pdf</t>
        </is>
      </c>
      <c r="D63" s="458" t="inlineStr">
        <is>
          <t>CPR</t>
        </is>
      </c>
      <c r="E63" s="458" t="inlineStr">
        <is>
          <t>05A</t>
        </is>
      </c>
      <c r="F63" s="405">
        <f>CONCATENATE("ETR1000V300-",$D63,"-",$E63)</f>
        <v/>
      </c>
      <c r="G63" s="458" t="inlineStr">
        <is>
          <t>2.05.1004</t>
        </is>
      </c>
      <c r="H63" s="406" t="inlineStr">
        <is>
          <t>\</t>
        </is>
      </c>
      <c r="I63" s="407" t="n">
        <v>44287</v>
      </c>
      <c r="J63" s="405">
        <f>$F63</f>
        <v/>
      </c>
      <c r="K63" s="458">
        <f>$G63</f>
        <v/>
      </c>
      <c r="L63" s="406">
        <f>$H63</f>
        <v/>
      </c>
      <c r="M63" s="407">
        <f>$I63</f>
        <v/>
      </c>
      <c r="N63" s="494">
        <f>F63</f>
        <v/>
      </c>
      <c r="O63" s="460">
        <f>G63</f>
        <v/>
      </c>
      <c r="P63" s="460">
        <f>H63</f>
        <v/>
      </c>
      <c r="Q63" s="521">
        <f>I63</f>
        <v/>
      </c>
      <c r="R63" s="494" t="n"/>
      <c r="S63" s="460" t="n"/>
      <c r="T63" s="460" t="n"/>
      <c r="U63" s="496" t="n"/>
      <c r="V63" s="506">
        <f>CONCATENATE("ETR1000V300_R1-",$D63,"-",$E63)</f>
        <v/>
      </c>
      <c r="W63" s="501" t="inlineStr">
        <is>
          <t>2.05.1408</t>
        </is>
      </c>
      <c r="X63" s="501" t="inlineStr">
        <is>
          <t>02</t>
        </is>
      </c>
      <c r="Y63" s="496" t="n">
        <v>45931</v>
      </c>
      <c r="Z63" s="502">
        <f>V63</f>
        <v/>
      </c>
      <c r="AA63" s="501">
        <f>W63</f>
        <v/>
      </c>
      <c r="AB63" s="501">
        <f>X63</f>
        <v/>
      </c>
      <c r="AC63" s="503">
        <f>Y63</f>
        <v/>
      </c>
    </row>
    <row r="64">
      <c r="A64" s="504" t="inlineStr">
        <is>
          <t>Azionamento di trazione</t>
        </is>
      </c>
      <c r="B64" s="458">
        <f>CONCATENATE(D64,"_",E64)</f>
        <v/>
      </c>
      <c r="C64" s="488" t="inlineStr">
        <is>
          <t>pdf</t>
        </is>
      </c>
      <c r="D64" s="458" t="inlineStr">
        <is>
          <t>CPR</t>
        </is>
      </c>
      <c r="E64" s="458" t="inlineStr">
        <is>
          <t>06A</t>
        </is>
      </c>
      <c r="F64" s="405">
        <f>CONCATENATE("ETR1000V300-",$D64,"-",$E64)</f>
        <v/>
      </c>
      <c r="G64" s="458" t="inlineStr">
        <is>
          <t>2.05.1005</t>
        </is>
      </c>
      <c r="H64" s="406" t="inlineStr">
        <is>
          <t>\</t>
        </is>
      </c>
      <c r="I64" s="407" t="n">
        <v>44287</v>
      </c>
      <c r="J64" s="405">
        <f>$F64</f>
        <v/>
      </c>
      <c r="K64" s="458">
        <f>$G64</f>
        <v/>
      </c>
      <c r="L64" s="406">
        <f>$H64</f>
        <v/>
      </c>
      <c r="M64" s="407">
        <f>$I64</f>
        <v/>
      </c>
      <c r="N64" s="494">
        <f>F64</f>
        <v/>
      </c>
      <c r="O64" s="460">
        <f>G64</f>
        <v/>
      </c>
      <c r="P64" s="460">
        <f>H64</f>
        <v/>
      </c>
      <c r="Q64" s="521">
        <f>I64</f>
        <v/>
      </c>
      <c r="R64" s="494" t="n"/>
      <c r="S64" s="460" t="n"/>
      <c r="T64" s="460" t="n"/>
      <c r="U64" s="496" t="n"/>
      <c r="V64" s="506">
        <f>CONCATENATE("ETR1000V300_R1-",$D64,"-",$E64)</f>
        <v/>
      </c>
      <c r="W64" s="501" t="inlineStr">
        <is>
          <t>2.05.1409</t>
        </is>
      </c>
      <c r="X64" s="501" t="inlineStr">
        <is>
          <t>02</t>
        </is>
      </c>
      <c r="Y64" s="496" t="n">
        <v>45931</v>
      </c>
      <c r="Z64" s="502">
        <f>V64</f>
        <v/>
      </c>
      <c r="AA64" s="501">
        <f>W64</f>
        <v/>
      </c>
      <c r="AB64" s="501">
        <f>X64</f>
        <v/>
      </c>
      <c r="AC64" s="503">
        <f>Y64</f>
        <v/>
      </c>
    </row>
    <row r="65">
      <c r="A65" s="504" t="inlineStr">
        <is>
          <t>Motore di trazione</t>
        </is>
      </c>
      <c r="B65" s="458">
        <f>CONCATENATE(D65,"_",E65)</f>
        <v/>
      </c>
      <c r="C65" s="488" t="inlineStr">
        <is>
          <t>pdf</t>
        </is>
      </c>
      <c r="D65" s="458" t="inlineStr">
        <is>
          <t>CPR</t>
        </is>
      </c>
      <c r="E65" s="458" t="inlineStr">
        <is>
          <t>07A</t>
        </is>
      </c>
      <c r="F65" s="405">
        <f>CONCATENATE("ETR1000V300-",$D65,"-",$E65)</f>
        <v/>
      </c>
      <c r="G65" s="458" t="inlineStr">
        <is>
          <t>2.05.1006</t>
        </is>
      </c>
      <c r="H65" s="406" t="inlineStr">
        <is>
          <t>\</t>
        </is>
      </c>
      <c r="I65" s="408" t="inlineStr">
        <is>
          <t>mag-17</t>
        </is>
      </c>
      <c r="J65" s="405">
        <f>$F65</f>
        <v/>
      </c>
      <c r="K65" s="458">
        <f>$G65</f>
        <v/>
      </c>
      <c r="L65" s="406">
        <f>$H65</f>
        <v/>
      </c>
      <c r="M65" s="408">
        <f>$I65</f>
        <v/>
      </c>
      <c r="N65" s="494">
        <f>F65</f>
        <v/>
      </c>
      <c r="O65" s="460">
        <f>G65</f>
        <v/>
      </c>
      <c r="P65" s="460">
        <f>H65</f>
        <v/>
      </c>
      <c r="Q65" s="521">
        <f>I65</f>
        <v/>
      </c>
      <c r="R65" s="494" t="n"/>
      <c r="S65" s="460" t="n"/>
      <c r="T65" s="460" t="n"/>
      <c r="U65" s="496" t="n"/>
      <c r="V65" s="506">
        <f>CONCATENATE("ETR1000V300_R1-",$D65,"-",$E65)</f>
        <v/>
      </c>
      <c r="W65" s="501" t="inlineStr">
        <is>
          <t>2.05.1410</t>
        </is>
      </c>
      <c r="X65" s="501" t="inlineStr">
        <is>
          <t>01</t>
        </is>
      </c>
      <c r="Y65" s="496" t="n">
        <v>45931</v>
      </c>
      <c r="Z65" s="494">
        <f>V65</f>
        <v/>
      </c>
      <c r="AA65" s="460">
        <f>W65</f>
        <v/>
      </c>
      <c r="AB65" s="460">
        <f>X65</f>
        <v/>
      </c>
      <c r="AC65" s="496">
        <f>Y65</f>
        <v/>
      </c>
    </row>
    <row r="66">
      <c r="A66" s="504" t="inlineStr">
        <is>
          <t>Porte di salita passeggeri</t>
        </is>
      </c>
      <c r="B66" s="458">
        <f>CONCATENATE(D66,"_",E66)</f>
        <v/>
      </c>
      <c r="C66" s="488" t="inlineStr">
        <is>
          <t>pdf</t>
        </is>
      </c>
      <c r="D66" s="458" t="inlineStr">
        <is>
          <t>CPR</t>
        </is>
      </c>
      <c r="E66" s="458" t="inlineStr">
        <is>
          <t>08A</t>
        </is>
      </c>
      <c r="F66" s="405">
        <f>CONCATENATE("ETR1000V300-",$D66,"-",$E66)</f>
        <v/>
      </c>
      <c r="G66" s="458" t="inlineStr">
        <is>
          <t>2.05.1007</t>
        </is>
      </c>
      <c r="H66" s="406" t="inlineStr">
        <is>
          <t>\</t>
        </is>
      </c>
      <c r="I66" s="408" t="inlineStr">
        <is>
          <t>lug-17</t>
        </is>
      </c>
      <c r="J66" s="405">
        <f>$F66</f>
        <v/>
      </c>
      <c r="K66" s="458">
        <f>$G66</f>
        <v/>
      </c>
      <c r="L66" s="406">
        <f>$H66</f>
        <v/>
      </c>
      <c r="M66" s="408">
        <f>$I66</f>
        <v/>
      </c>
      <c r="N66" s="494">
        <f>F66</f>
        <v/>
      </c>
      <c r="O66" s="460">
        <f>G66</f>
        <v/>
      </c>
      <c r="P66" s="460">
        <f>H66</f>
        <v/>
      </c>
      <c r="Q66" s="521">
        <f>I66</f>
        <v/>
      </c>
      <c r="R66" s="494" t="n"/>
      <c r="S66" s="460" t="n"/>
      <c r="T66" s="460" t="n"/>
      <c r="U66" s="496" t="n"/>
      <c r="V66" s="506">
        <f>CONCATENATE("ETR1000V300_R1-",$D66,"-",$E66)</f>
        <v/>
      </c>
      <c r="W66" s="501" t="inlineStr">
        <is>
          <t>2.05.1411</t>
        </is>
      </c>
      <c r="X66" s="501" t="inlineStr">
        <is>
          <t>02</t>
        </is>
      </c>
      <c r="Y66" s="496" t="n">
        <v>45932</v>
      </c>
      <c r="Z66" s="502">
        <f>V66</f>
        <v/>
      </c>
      <c r="AA66" s="501">
        <f>W66</f>
        <v/>
      </c>
      <c r="AB66" s="501">
        <f>X66</f>
        <v/>
      </c>
      <c r="AC66" s="503">
        <f>Y66</f>
        <v/>
      </c>
    </row>
    <row r="67">
      <c r="A67" s="504" t="inlineStr">
        <is>
          <t>Porte interne e intercomunicanti</t>
        </is>
      </c>
      <c r="B67" s="458">
        <f>CONCATENATE(D67,"_",E67)</f>
        <v/>
      </c>
      <c r="C67" s="488" t="inlineStr">
        <is>
          <t>pdf</t>
        </is>
      </c>
      <c r="D67" s="458" t="inlineStr">
        <is>
          <t>CPR</t>
        </is>
      </c>
      <c r="E67" s="458" t="inlineStr">
        <is>
          <t>08B</t>
        </is>
      </c>
      <c r="F67" s="405">
        <f>CONCATENATE("ETR1000V300-",$D67,"-",$E67)</f>
        <v/>
      </c>
      <c r="G67" s="458" t="inlineStr">
        <is>
          <t>2.05.1008</t>
        </is>
      </c>
      <c r="H67" s="406" t="inlineStr">
        <is>
          <t>\</t>
        </is>
      </c>
      <c r="I67" s="408" t="inlineStr">
        <is>
          <t>lug-15</t>
        </is>
      </c>
      <c r="J67" s="405">
        <f>$F67</f>
        <v/>
      </c>
      <c r="K67" s="458">
        <f>$G67</f>
        <v/>
      </c>
      <c r="L67" s="406">
        <f>$H67</f>
        <v/>
      </c>
      <c r="M67" s="408">
        <f>$I67</f>
        <v/>
      </c>
      <c r="N67" s="494">
        <f>F67</f>
        <v/>
      </c>
      <c r="O67" s="460">
        <f>G67</f>
        <v/>
      </c>
      <c r="P67" s="460">
        <f>H67</f>
        <v/>
      </c>
      <c r="Q67" s="521">
        <f>I67</f>
        <v/>
      </c>
      <c r="R67" s="494" t="n"/>
      <c r="S67" s="460" t="n"/>
      <c r="T67" s="460" t="n"/>
      <c r="U67" s="496" t="n"/>
      <c r="V67" s="506">
        <f>CONCATENATE("ETR1000V300_R1-",$D67,"-",$E67)</f>
        <v/>
      </c>
      <c r="W67" s="501" t="inlineStr">
        <is>
          <t>2.05.1412</t>
        </is>
      </c>
      <c r="X67" s="501" t="inlineStr">
        <is>
          <t>02</t>
        </is>
      </c>
      <c r="Y67" s="496" t="n">
        <v>45931</v>
      </c>
      <c r="Z67" s="502">
        <f>V67</f>
        <v/>
      </c>
      <c r="AA67" s="501">
        <f>W67</f>
        <v/>
      </c>
      <c r="AB67" s="501">
        <f>X67</f>
        <v/>
      </c>
      <c r="AC67" s="503">
        <f>Y67</f>
        <v/>
      </c>
    </row>
    <row r="68">
      <c r="A68" s="504" t="inlineStr">
        <is>
          <t>Sollevatore hk</t>
        </is>
      </c>
      <c r="B68" s="458">
        <f>CONCATENATE(D68,"_",E68)</f>
        <v/>
      </c>
      <c r="C68" s="488" t="inlineStr">
        <is>
          <t>pdf</t>
        </is>
      </c>
      <c r="D68" s="458" t="inlineStr">
        <is>
          <t>CPR</t>
        </is>
      </c>
      <c r="E68" s="458" t="inlineStr">
        <is>
          <t>08C</t>
        </is>
      </c>
      <c r="F68" s="405">
        <f>CONCATENATE("ETR1000V300-",$D68,"-",$E68)</f>
        <v/>
      </c>
      <c r="G68" s="458" t="inlineStr">
        <is>
          <t>2.05.1009</t>
        </is>
      </c>
      <c r="H68" s="406" t="inlineStr">
        <is>
          <t>\</t>
        </is>
      </c>
      <c r="I68" s="408" t="inlineStr">
        <is>
          <t>dic-15</t>
        </is>
      </c>
      <c r="J68" s="405">
        <f>$F68</f>
        <v/>
      </c>
      <c r="K68" s="458">
        <f>$G68</f>
        <v/>
      </c>
      <c r="L68" s="406">
        <f>$H68</f>
        <v/>
      </c>
      <c r="M68" s="408">
        <f>$I68</f>
        <v/>
      </c>
      <c r="N68" s="494">
        <f>F68</f>
        <v/>
      </c>
      <c r="O68" s="460">
        <f>G68</f>
        <v/>
      </c>
      <c r="P68" s="460">
        <f>H68</f>
        <v/>
      </c>
      <c r="Q68" s="521">
        <f>I68</f>
        <v/>
      </c>
      <c r="R68" s="494" t="n"/>
      <c r="S68" s="460" t="n"/>
      <c r="T68" s="460" t="n"/>
      <c r="U68" s="496" t="n"/>
      <c r="V68" s="506">
        <f>CONCATENATE("ETR1000V300_R1-",$D68,"-",$E68)</f>
        <v/>
      </c>
      <c r="W68" s="501" t="inlineStr">
        <is>
          <t>2.05.1413</t>
        </is>
      </c>
      <c r="X68" s="501" t="inlineStr">
        <is>
          <t>02</t>
        </is>
      </c>
      <c r="Y68" s="496" t="n">
        <v>45931</v>
      </c>
      <c r="Z68" s="502">
        <f>V68</f>
        <v/>
      </c>
      <c r="AA68" s="501">
        <f>W68</f>
        <v/>
      </c>
      <c r="AB68" s="501">
        <f>X68</f>
        <v/>
      </c>
      <c r="AC68" s="503">
        <f>Y68</f>
        <v/>
      </c>
    </row>
    <row r="69">
      <c r="A69" s="504" t="inlineStr">
        <is>
          <t>Sottosistema di climatizzazione</t>
        </is>
      </c>
      <c r="B69" s="458">
        <f>CONCATENATE(D69,"_",E69)</f>
        <v/>
      </c>
      <c r="C69" s="488" t="inlineStr">
        <is>
          <t>pdf</t>
        </is>
      </c>
      <c r="D69" s="458" t="inlineStr">
        <is>
          <t>CPR</t>
        </is>
      </c>
      <c r="E69" s="458" t="inlineStr">
        <is>
          <t>09A</t>
        </is>
      </c>
      <c r="F69" s="405">
        <f>CONCATENATE("ETR1000V300-",$D69,"-",$E69)</f>
        <v/>
      </c>
      <c r="G69" s="458" t="inlineStr">
        <is>
          <t>2.05.1010</t>
        </is>
      </c>
      <c r="H69" s="406" t="inlineStr">
        <is>
          <t>\</t>
        </is>
      </c>
      <c r="I69" s="408" t="inlineStr">
        <is>
          <t>feb-21</t>
        </is>
      </c>
      <c r="J69" s="405">
        <f>$F69</f>
        <v/>
      </c>
      <c r="K69" s="458">
        <f>$G69</f>
        <v/>
      </c>
      <c r="L69" s="406">
        <f>$H69</f>
        <v/>
      </c>
      <c r="M69" s="408">
        <f>$I69</f>
        <v/>
      </c>
      <c r="N69" s="494">
        <f>F69</f>
        <v/>
      </c>
      <c r="O69" s="460">
        <f>G69</f>
        <v/>
      </c>
      <c r="P69" s="460">
        <f>H69</f>
        <v/>
      </c>
      <c r="Q69" s="521">
        <f>I69</f>
        <v/>
      </c>
      <c r="R69" s="494" t="n"/>
      <c r="S69" s="460" t="n"/>
      <c r="T69" s="460" t="n"/>
      <c r="U69" s="496" t="n"/>
      <c r="V69" s="494" t="n"/>
      <c r="W69" s="460" t="n"/>
      <c r="X69" s="460" t="n"/>
      <c r="Y69" s="496" t="n"/>
      <c r="Z69" s="494" t="n"/>
      <c r="AA69" s="460" t="n"/>
      <c r="AB69" s="460" t="n"/>
      <c r="AC69" s="496" t="n"/>
    </row>
    <row r="70">
      <c r="A70" s="504" t="inlineStr">
        <is>
          <t>Sottosistema di comunicazione</t>
        </is>
      </c>
      <c r="B70" s="458">
        <f>CONCATENATE(D70,"_",E70)</f>
        <v/>
      </c>
      <c r="C70" s="488" t="inlineStr">
        <is>
          <t>pdf</t>
        </is>
      </c>
      <c r="D70" s="458" t="inlineStr">
        <is>
          <t>CPR</t>
        </is>
      </c>
      <c r="E70" s="458" t="inlineStr">
        <is>
          <t>10A</t>
        </is>
      </c>
      <c r="F70" s="405">
        <f>CONCATENATE("ETR1000V300-",$D70,"-",$E70)</f>
        <v/>
      </c>
      <c r="G70" s="458" t="inlineStr">
        <is>
          <t>2.05.1011</t>
        </is>
      </c>
      <c r="H70" s="406" t="inlineStr">
        <is>
          <t>\</t>
        </is>
      </c>
      <c r="I70" s="408" t="inlineStr">
        <is>
          <t>mag-22</t>
        </is>
      </c>
      <c r="J70" s="405">
        <f>$F70</f>
        <v/>
      </c>
      <c r="K70" s="458">
        <f>$G70</f>
        <v/>
      </c>
      <c r="L70" s="406">
        <f>$H70</f>
        <v/>
      </c>
      <c r="M70" s="408">
        <f>$I70</f>
        <v/>
      </c>
      <c r="N70" s="494">
        <f>F70</f>
        <v/>
      </c>
      <c r="O70" s="460">
        <f>G70</f>
        <v/>
      </c>
      <c r="P70" s="460">
        <f>H70</f>
        <v/>
      </c>
      <c r="Q70" s="521">
        <f>I70</f>
        <v/>
      </c>
      <c r="R70" s="494" t="n"/>
      <c r="S70" s="460" t="n"/>
      <c r="T70" s="460" t="n"/>
      <c r="U70" s="496" t="n"/>
      <c r="V70" s="506">
        <f>CONCATENATE("ETR1000V300_R1-",$D70,"-",$E70)</f>
        <v/>
      </c>
      <c r="W70" s="501" t="inlineStr">
        <is>
          <t>2.05.1415</t>
        </is>
      </c>
      <c r="X70" s="501" t="inlineStr">
        <is>
          <t>02</t>
        </is>
      </c>
      <c r="Y70" s="496" t="n">
        <v>45931</v>
      </c>
      <c r="Z70" s="502">
        <f>V70</f>
        <v/>
      </c>
      <c r="AA70" s="501">
        <f>W70</f>
        <v/>
      </c>
      <c r="AB70" s="501">
        <f>X70</f>
        <v/>
      </c>
      <c r="AC70" s="503">
        <f>Y70</f>
        <v/>
      </c>
    </row>
    <row r="71">
      <c r="A71" s="504" t="inlineStr">
        <is>
          <t>Convertitore servizi ausiliari e caricabatterie</t>
        </is>
      </c>
      <c r="B71" s="458">
        <f>CONCATENATE(D71,"_",E71)</f>
        <v/>
      </c>
      <c r="C71" s="488" t="inlineStr">
        <is>
          <t>pdf</t>
        </is>
      </c>
      <c r="D71" s="458" t="inlineStr">
        <is>
          <t>CPR</t>
        </is>
      </c>
      <c r="E71" s="458" t="inlineStr">
        <is>
          <t>11A</t>
        </is>
      </c>
      <c r="F71" s="405">
        <f>CONCATENATE("ETR1000V300-",$D71,"-",$E71)</f>
        <v/>
      </c>
      <c r="G71" s="458" t="inlineStr">
        <is>
          <t>2.05.1012</t>
        </is>
      </c>
      <c r="H71" s="406" t="inlineStr">
        <is>
          <t>\</t>
        </is>
      </c>
      <c r="I71" s="407" t="n">
        <v>44287</v>
      </c>
      <c r="J71" s="405">
        <f>$F71</f>
        <v/>
      </c>
      <c r="K71" s="458">
        <f>$G71</f>
        <v/>
      </c>
      <c r="L71" s="406">
        <f>$H71</f>
        <v/>
      </c>
      <c r="M71" s="407">
        <f>$I71</f>
        <v/>
      </c>
      <c r="N71" s="494">
        <f>F71</f>
        <v/>
      </c>
      <c r="O71" s="460">
        <f>G71</f>
        <v/>
      </c>
      <c r="P71" s="460">
        <f>H71</f>
        <v/>
      </c>
      <c r="Q71" s="521">
        <f>I71</f>
        <v/>
      </c>
      <c r="R71" s="494" t="n"/>
      <c r="S71" s="460" t="n"/>
      <c r="T71" s="460" t="n"/>
      <c r="U71" s="496" t="n"/>
      <c r="V71" s="506">
        <f>CONCATENATE("ETR1000V300_R1-",$D71,"-",$E71)</f>
        <v/>
      </c>
      <c r="W71" s="501" t="inlineStr">
        <is>
          <t>2.05.1416</t>
        </is>
      </c>
      <c r="X71" s="501" t="inlineStr">
        <is>
          <t>02</t>
        </is>
      </c>
      <c r="Y71" s="496" t="n">
        <v>45931</v>
      </c>
      <c r="Z71" s="502">
        <f>V71</f>
        <v/>
      </c>
      <c r="AA71" s="501">
        <f>W71</f>
        <v/>
      </c>
      <c r="AB71" s="501">
        <f>X71</f>
        <v/>
      </c>
      <c r="AC71" s="503">
        <f>Y71</f>
        <v/>
      </c>
    </row>
    <row r="72">
      <c r="A72" s="504" t="inlineStr">
        <is>
          <t>Allestimenti interni - dotazioni di bordo</t>
        </is>
      </c>
      <c r="B72" s="458">
        <f>CONCATENATE(D72,"_",E72)</f>
        <v/>
      </c>
      <c r="C72" s="488" t="inlineStr">
        <is>
          <t>pdf</t>
        </is>
      </c>
      <c r="D72" s="458" t="inlineStr">
        <is>
          <t>CPR</t>
        </is>
      </c>
      <c r="E72" s="458" t="inlineStr">
        <is>
          <t>14A</t>
        </is>
      </c>
      <c r="F72" s="405">
        <f>CONCATENATE("ETR1000V300-",$D72,"-",$E72)</f>
        <v/>
      </c>
      <c r="G72" s="458" t="inlineStr">
        <is>
          <t>2.05.1013</t>
        </is>
      </c>
      <c r="H72" s="406" t="inlineStr">
        <is>
          <t>\</t>
        </is>
      </c>
      <c r="I72" s="408" t="inlineStr">
        <is>
          <t>mag-22</t>
        </is>
      </c>
      <c r="J72" s="405">
        <f>$F72</f>
        <v/>
      </c>
      <c r="K72" s="458">
        <f>$G72</f>
        <v/>
      </c>
      <c r="L72" s="406">
        <f>$H72</f>
        <v/>
      </c>
      <c r="M72" s="408">
        <f>$I72</f>
        <v/>
      </c>
      <c r="N72" s="494">
        <f>F72</f>
        <v/>
      </c>
      <c r="O72" s="460">
        <f>G72</f>
        <v/>
      </c>
      <c r="P72" s="460">
        <f>H72</f>
        <v/>
      </c>
      <c r="Q72" s="521">
        <f>I72</f>
        <v/>
      </c>
      <c r="R72" s="494" t="n"/>
      <c r="S72" s="460" t="n"/>
      <c r="T72" s="460" t="n"/>
      <c r="U72" s="496" t="n"/>
      <c r="V72" s="494" t="n"/>
      <c r="W72" s="460" t="n"/>
      <c r="X72" s="460" t="n"/>
      <c r="Y72" s="496" t="n"/>
      <c r="Z72" s="494" t="n"/>
      <c r="AA72" s="460" t="n"/>
      <c r="AB72" s="460" t="n"/>
      <c r="AC72" s="496" t="n"/>
    </row>
    <row r="73">
      <c r="A73" s="504" t="inlineStr">
        <is>
          <t>Sedili passeggeri e cabina guida</t>
        </is>
      </c>
      <c r="B73" s="458">
        <f>CONCATENATE(D73,"_",E73)</f>
        <v/>
      </c>
      <c r="C73" s="488" t="inlineStr">
        <is>
          <t>pdf</t>
        </is>
      </c>
      <c r="D73" s="458" t="inlineStr">
        <is>
          <t>CPR</t>
        </is>
      </c>
      <c r="E73" s="458" t="inlineStr">
        <is>
          <t>14B</t>
        </is>
      </c>
      <c r="F73" s="405">
        <f>CONCATENATE("ETR1000V300-",$D73,"-",$E73)</f>
        <v/>
      </c>
      <c r="G73" s="458" t="inlineStr">
        <is>
          <t>2.05.1014</t>
        </is>
      </c>
      <c r="H73" s="406" t="inlineStr">
        <is>
          <t>\</t>
        </is>
      </c>
      <c r="I73" s="418" t="n">
        <v>46174</v>
      </c>
      <c r="J73" s="405">
        <f>$F73</f>
        <v/>
      </c>
      <c r="K73" s="458">
        <f>$G73</f>
        <v/>
      </c>
      <c r="L73" s="406">
        <f>$H73</f>
        <v/>
      </c>
      <c r="M73" s="418">
        <f>$I73</f>
        <v/>
      </c>
      <c r="N73" s="494">
        <f>F73</f>
        <v/>
      </c>
      <c r="O73" s="460">
        <f>G73</f>
        <v/>
      </c>
      <c r="P73" s="460">
        <f>H73</f>
        <v/>
      </c>
      <c r="Q73" s="521">
        <f>I73</f>
        <v/>
      </c>
      <c r="R73" s="494" t="n"/>
      <c r="S73" s="460" t="n"/>
      <c r="T73" s="460" t="n"/>
      <c r="U73" s="496" t="n"/>
      <c r="V73" s="494" t="n"/>
      <c r="W73" s="460" t="n"/>
      <c r="X73" s="460" t="n"/>
      <c r="Y73" s="496" t="n"/>
      <c r="Z73" s="494" t="n"/>
      <c r="AA73" s="460" t="n"/>
      <c r="AB73" s="460" t="n"/>
      <c r="AC73" s="496" t="n"/>
    </row>
    <row r="74">
      <c r="A74" s="504" t="inlineStr">
        <is>
          <t>Arredamento comparto</t>
        </is>
      </c>
      <c r="B74" s="458">
        <f>CONCATENATE(D74,"_",E74)</f>
        <v/>
      </c>
      <c r="C74" s="488" t="inlineStr">
        <is>
          <t>pdf</t>
        </is>
      </c>
      <c r="D74" s="458" t="inlineStr">
        <is>
          <t>CPR</t>
        </is>
      </c>
      <c r="E74" s="458" t="inlineStr">
        <is>
          <t>14C</t>
        </is>
      </c>
      <c r="F74" s="405">
        <f>CONCATENATE("ETR1000V300-",$D74,"-",$E74)</f>
        <v/>
      </c>
      <c r="G74" s="458" t="inlineStr">
        <is>
          <t>2.05.1015</t>
        </is>
      </c>
      <c r="H74" s="406" t="inlineStr">
        <is>
          <t>\</t>
        </is>
      </c>
      <c r="I74" s="408" t="inlineStr">
        <is>
          <t>mag-22</t>
        </is>
      </c>
      <c r="J74" s="405">
        <f>$F74</f>
        <v/>
      </c>
      <c r="K74" s="458">
        <f>$G74</f>
        <v/>
      </c>
      <c r="L74" s="406">
        <f>$H74</f>
        <v/>
      </c>
      <c r="M74" s="408">
        <f>$I74</f>
        <v/>
      </c>
      <c r="N74" s="494">
        <f>F74</f>
        <v/>
      </c>
      <c r="O74" s="460">
        <f>G74</f>
        <v/>
      </c>
      <c r="P74" s="460">
        <f>H74</f>
        <v/>
      </c>
      <c r="Q74" s="521">
        <f>I74</f>
        <v/>
      </c>
      <c r="R74" s="494" t="n"/>
      <c r="S74" s="460" t="n"/>
      <c r="T74" s="460" t="n"/>
      <c r="U74" s="496" t="n"/>
      <c r="V74" s="494" t="n"/>
      <c r="W74" s="460" t="n"/>
      <c r="X74" s="460" t="n"/>
      <c r="Y74" s="496" t="n"/>
      <c r="Z74" s="494" t="n"/>
      <c r="AA74" s="460" t="n"/>
      <c r="AB74" s="460" t="n"/>
      <c r="AC74" s="496" t="n"/>
    </row>
    <row r="75">
      <c r="A75" s="504" t="inlineStr">
        <is>
          <t>Arredamento vestiboli</t>
        </is>
      </c>
      <c r="B75" s="458">
        <f>CONCATENATE(D75,"_",E75)</f>
        <v/>
      </c>
      <c r="C75" s="488" t="inlineStr">
        <is>
          <t>pdf</t>
        </is>
      </c>
      <c r="D75" s="458" t="inlineStr">
        <is>
          <t>CPR</t>
        </is>
      </c>
      <c r="E75" s="458" t="inlineStr">
        <is>
          <t>14D</t>
        </is>
      </c>
      <c r="F75" s="405">
        <f>CONCATENATE("ETR1000V300-",$D75,"-",$E75)</f>
        <v/>
      </c>
      <c r="G75" s="458" t="inlineStr">
        <is>
          <t>2.05.1016</t>
        </is>
      </c>
      <c r="H75" s="406" t="inlineStr">
        <is>
          <t>\</t>
        </is>
      </c>
      <c r="I75" s="408" t="inlineStr">
        <is>
          <t>mag-22</t>
        </is>
      </c>
      <c r="J75" s="405">
        <f>$F75</f>
        <v/>
      </c>
      <c r="K75" s="458">
        <f>$G75</f>
        <v/>
      </c>
      <c r="L75" s="406">
        <f>$H75</f>
        <v/>
      </c>
      <c r="M75" s="408">
        <f>$I75</f>
        <v/>
      </c>
      <c r="N75" s="494">
        <f>F75</f>
        <v/>
      </c>
      <c r="O75" s="460">
        <f>G75</f>
        <v/>
      </c>
      <c r="P75" s="460">
        <f>H75</f>
        <v/>
      </c>
      <c r="Q75" s="521">
        <f>I75</f>
        <v/>
      </c>
      <c r="R75" s="494" t="n"/>
      <c r="S75" s="460" t="n"/>
      <c r="T75" s="460" t="n"/>
      <c r="U75" s="496" t="n"/>
      <c r="V75" s="506">
        <f>CONCATENATE("ETR1000V300_R1-",$D75,"-",$E75)</f>
        <v/>
      </c>
      <c r="W75" s="501" t="inlineStr">
        <is>
          <t>2.05.1420</t>
        </is>
      </c>
      <c r="X75" s="501" t="inlineStr">
        <is>
          <t>01</t>
        </is>
      </c>
      <c r="Y75" s="496" t="n">
        <v>45931</v>
      </c>
      <c r="Z75" s="494">
        <f>V75</f>
        <v/>
      </c>
      <c r="AA75" s="460">
        <f>W75</f>
        <v/>
      </c>
      <c r="AB75" s="460">
        <f>X75</f>
        <v/>
      </c>
      <c r="AC75" s="496">
        <f>Y75</f>
        <v/>
      </c>
    </row>
    <row r="76">
      <c r="A76" s="504" t="inlineStr">
        <is>
          <t>Servizi Generali di Bordo - Toilet</t>
        </is>
      </c>
      <c r="B76" s="458">
        <f>CONCATENATE(D76,"_",E76)</f>
        <v/>
      </c>
      <c r="C76" s="488" t="inlineStr">
        <is>
          <t>pdf</t>
        </is>
      </c>
      <c r="D76" s="458" t="inlineStr">
        <is>
          <t>CPR</t>
        </is>
      </c>
      <c r="E76" s="458" t="inlineStr">
        <is>
          <t>15A</t>
        </is>
      </c>
      <c r="F76" s="405">
        <f>CONCATENATE("ETR1000V300-",$D76,"-",$E76)</f>
        <v/>
      </c>
      <c r="G76" s="458" t="inlineStr">
        <is>
          <t>2.05.1017</t>
        </is>
      </c>
      <c r="H76" s="406" t="inlineStr">
        <is>
          <t>\</t>
        </is>
      </c>
      <c r="I76" s="408" t="inlineStr">
        <is>
          <t>mag-22</t>
        </is>
      </c>
      <c r="J76" s="405">
        <f>$F76</f>
        <v/>
      </c>
      <c r="K76" s="458">
        <f>$G76</f>
        <v/>
      </c>
      <c r="L76" s="406">
        <f>$H76</f>
        <v/>
      </c>
      <c r="M76" s="408">
        <f>$I76</f>
        <v/>
      </c>
      <c r="N76" s="494">
        <f>F76</f>
        <v/>
      </c>
      <c r="O76" s="460">
        <f>G76</f>
        <v/>
      </c>
      <c r="P76" s="460">
        <f>H76</f>
        <v/>
      </c>
      <c r="Q76" s="521">
        <f>I76</f>
        <v/>
      </c>
      <c r="R76" s="494" t="n"/>
      <c r="S76" s="460" t="n"/>
      <c r="T76" s="460" t="n"/>
      <c r="U76" s="496" t="n"/>
      <c r="V76" s="494" t="n"/>
      <c r="W76" s="460" t="n"/>
      <c r="X76" s="460" t="n"/>
      <c r="Y76" s="496" t="n"/>
      <c r="Z76" s="494" t="n"/>
      <c r="AA76" s="460" t="n"/>
      <c r="AB76" s="460" t="n"/>
      <c r="AC76" s="496" t="n"/>
    </row>
    <row r="77">
      <c r="A77" s="504" t="inlineStr">
        <is>
          <t>Servizi Generali di Bordo - Bar Bistrò</t>
        </is>
      </c>
      <c r="B77" s="458">
        <f>CONCATENATE(D77,"_",E77)</f>
        <v/>
      </c>
      <c r="C77" s="488" t="inlineStr">
        <is>
          <t>pdf</t>
        </is>
      </c>
      <c r="D77" s="458" t="inlineStr">
        <is>
          <t>CPR</t>
        </is>
      </c>
      <c r="E77" s="458" t="inlineStr">
        <is>
          <t>15B</t>
        </is>
      </c>
      <c r="F77" s="405">
        <f>CONCATENATE("ETR1000V300-",$D77,"-",$E77)</f>
        <v/>
      </c>
      <c r="G77" s="458" t="inlineStr">
        <is>
          <t>2.05.1018</t>
        </is>
      </c>
      <c r="H77" s="406" t="inlineStr">
        <is>
          <t>\</t>
        </is>
      </c>
      <c r="I77" s="408" t="inlineStr">
        <is>
          <t>mag-22</t>
        </is>
      </c>
      <c r="J77" s="405">
        <f>$F77</f>
        <v/>
      </c>
      <c r="K77" s="458">
        <f>$G77</f>
        <v/>
      </c>
      <c r="L77" s="406">
        <f>$H77</f>
        <v/>
      </c>
      <c r="M77" s="408">
        <f>$I77</f>
        <v/>
      </c>
      <c r="N77" s="494">
        <f>F77</f>
        <v/>
      </c>
      <c r="O77" s="460">
        <f>G77</f>
        <v/>
      </c>
      <c r="P77" s="460">
        <f>H77</f>
        <v/>
      </c>
      <c r="Q77" s="521">
        <f>I77</f>
        <v/>
      </c>
      <c r="R77" s="494" t="n"/>
      <c r="S77" s="460" t="n"/>
      <c r="T77" s="460" t="n"/>
      <c r="U77" s="496" t="n"/>
      <c r="V77" s="494" t="n"/>
      <c r="W77" s="460" t="n"/>
      <c r="X77" s="460" t="n"/>
      <c r="Y77" s="496" t="n"/>
      <c r="Z77" s="494" t="n"/>
      <c r="AA77" s="460" t="n"/>
      <c r="AB77" s="460" t="n"/>
      <c r="AC77" s="496" t="n"/>
    </row>
    <row r="78">
      <c r="A78" s="504" t="inlineStr">
        <is>
          <t>Sistemi tecnologici di bordo</t>
        </is>
      </c>
      <c r="B78" s="458">
        <f>CONCATENATE(D78,"_",E78)</f>
        <v/>
      </c>
      <c r="C78" s="488" t="inlineStr">
        <is>
          <t>pdf</t>
        </is>
      </c>
      <c r="D78" s="458" t="inlineStr">
        <is>
          <t>CPR</t>
        </is>
      </c>
      <c r="E78" s="458" t="inlineStr">
        <is>
          <t>31A</t>
        </is>
      </c>
      <c r="F78" s="405">
        <f>CONCATENATE("ETR1000V300-",$D78,"-",$E78)</f>
        <v/>
      </c>
      <c r="G78" s="458" t="inlineStr">
        <is>
          <t>2.05.1019</t>
        </is>
      </c>
      <c r="H78" s="406" t="inlineStr">
        <is>
          <t>\</t>
        </is>
      </c>
      <c r="I78" s="418" t="n">
        <v>45717</v>
      </c>
      <c r="J78" s="405">
        <f>$F78</f>
        <v/>
      </c>
      <c r="K78" s="458">
        <f>$G78</f>
        <v/>
      </c>
      <c r="L78" s="406">
        <f>$H78</f>
        <v/>
      </c>
      <c r="M78" s="418">
        <f>$I78</f>
        <v/>
      </c>
      <c r="N78" s="494">
        <f>F78</f>
        <v/>
      </c>
      <c r="O78" s="460">
        <f>G78</f>
        <v/>
      </c>
      <c r="P78" s="460">
        <f>H78</f>
        <v/>
      </c>
      <c r="Q78" s="521">
        <f>I78</f>
        <v/>
      </c>
      <c r="R78" s="494" t="n"/>
      <c r="S78" s="460" t="n"/>
      <c r="T78" s="460" t="n"/>
      <c r="U78" s="496" t="n"/>
      <c r="V78" s="506">
        <f>CONCATENATE("ETR1000V300_R1-",$D78,"-",$E78)</f>
        <v/>
      </c>
      <c r="W78" s="501" t="inlineStr">
        <is>
          <t>2.05.1423</t>
        </is>
      </c>
      <c r="X78" s="501" t="inlineStr">
        <is>
          <t>02</t>
        </is>
      </c>
      <c r="Y78" s="496" t="n">
        <v>45931</v>
      </c>
      <c r="Z78" s="502">
        <f>V78</f>
        <v/>
      </c>
      <c r="AA78" s="501">
        <f>W78</f>
        <v/>
      </c>
      <c r="AB78" s="501">
        <f>X78</f>
        <v/>
      </c>
      <c r="AC78" s="503">
        <f>Y78</f>
        <v/>
      </c>
    </row>
    <row r="79" customFormat="1" s="139">
      <c r="A79" s="522" t="inlineStr">
        <is>
          <t>SOTTOSISTEMA DI BORDO ERTMS/BL3 PIATTAFORMA ELO</t>
        </is>
      </c>
      <c r="B79" s="505">
        <f>CONCATENATE(D79,"_",E79)</f>
        <v/>
      </c>
      <c r="C79" s="488" t="inlineStr">
        <is>
          <t>pdf</t>
        </is>
      </c>
      <c r="D79" s="505" t="inlineStr">
        <is>
          <t>CPR</t>
        </is>
      </c>
      <c r="E79" s="505" t="inlineStr">
        <is>
          <t>20A</t>
        </is>
      </c>
      <c r="F79" s="405">
        <f>CONCATENATE("ETR1000V300-",$D79,"-",$E79)</f>
        <v/>
      </c>
      <c r="G79" s="505" t="inlineStr">
        <is>
          <t>B60A.0100914.G00.01IT</t>
        </is>
      </c>
      <c r="H79" s="414" t="inlineStr">
        <is>
          <t>\</t>
        </is>
      </c>
      <c r="I79" s="413" t="n">
        <v>45017</v>
      </c>
      <c r="J79" s="405">
        <f>$F79</f>
        <v/>
      </c>
      <c r="K79" s="505">
        <f>$G79</f>
        <v/>
      </c>
      <c r="L79" s="414">
        <f>$H79</f>
        <v/>
      </c>
      <c r="M79" s="413">
        <f>$I79</f>
        <v/>
      </c>
      <c r="N79" s="517" t="inlineStr">
        <is>
          <t>\</t>
        </is>
      </c>
      <c r="O79" s="523" t="inlineStr">
        <is>
          <t>\</t>
        </is>
      </c>
      <c r="P79" s="460" t="inlineStr">
        <is>
          <t>\</t>
        </is>
      </c>
      <c r="Q79" s="519" t="inlineStr">
        <is>
          <t>\</t>
        </is>
      </c>
      <c r="R79" s="517" t="n"/>
      <c r="S79" s="518" t="n"/>
      <c r="T79" s="518" t="n"/>
      <c r="U79" s="519" t="n"/>
      <c r="V79" s="517" t="n"/>
      <c r="W79" s="518" t="n"/>
      <c r="X79" s="518" t="n"/>
      <c r="Y79" s="496" t="n"/>
      <c r="Z79" s="517" t="n"/>
      <c r="AA79" s="518" t="n"/>
      <c r="AB79" s="518" t="n"/>
      <c r="AC79" s="519"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activeCell="B1" sqref="B1"/>
      <selection pane="topRight" activeCell="F1" sqref="F1"/>
      <selection pane="bottomLeft" activeCell="B4" sqref="B4"/>
      <selection pane="bottomRight" activeCell="H16" sqref="H16"/>
    </sheetView>
  </sheetViews>
  <sheetFormatPr baseColWidth="8" defaultColWidth="8.7109375" defaultRowHeight="15"/>
  <cols>
    <col width="36.5703125" customWidth="1" style="106" min="1" max="1"/>
    <col width="34.85546875" bestFit="1" customWidth="1" style="106" min="2" max="2"/>
    <col width="8.42578125" bestFit="1" customWidth="1" style="15" min="3" max="3"/>
    <col width="24.85546875" bestFit="1" customWidth="1" style="15" min="4" max="4"/>
    <col width="6.42578125" bestFit="1" customWidth="1" style="15" min="5" max="5"/>
    <col width="33.5703125" bestFit="1" customWidth="1" style="15" min="6" max="6"/>
    <col width="4.7109375" bestFit="1" customWidth="1" style="15" min="7" max="7"/>
    <col width="33.5703125" bestFit="1" customWidth="1" style="15" min="8" max="8"/>
    <col width="4.7109375" bestFit="1" customWidth="1" style="15" min="9" max="9"/>
    <col width="33.5703125" bestFit="1" customWidth="1" style="15" min="10" max="10"/>
    <col width="4.42578125" bestFit="1" customWidth="1" style="15" min="11" max="11"/>
    <col width="27.42578125" bestFit="1" customWidth="1" style="15" min="12" max="12"/>
    <col width="5.42578125" bestFit="1" customWidth="1" style="15" min="13" max="13"/>
    <col width="15.42578125" customWidth="1" style="15" min="14" max="14"/>
    <col width="4.42578125" customWidth="1" style="15" min="15" max="15"/>
    <col width="6.5703125" bestFit="1" customWidth="1" style="15" min="16" max="16"/>
    <col width="6.5703125" customWidth="1" style="15" min="17" max="17"/>
    <col width="6.5703125" bestFit="1" customWidth="1" style="15" min="18" max="18"/>
    <col width="6.5703125" customWidth="1" style="15" min="19" max="19"/>
    <col width="8.7109375" customWidth="1" style="103" min="20" max="25"/>
    <col width="8.7109375" customWidth="1" style="103" min="26" max="16384"/>
  </cols>
  <sheetData>
    <row r="1" ht="21.6" customFormat="1" customHeight="1" s="105">
      <c r="A1" s="525" t="inlineStr">
        <is>
          <t>DOC DESCRIPTION</t>
        </is>
      </c>
      <c r="B1" s="541" t="inlineStr">
        <is>
          <t>DOC ID</t>
        </is>
      </c>
      <c r="C1" s="541" t="inlineStr">
        <is>
          <t>DOC EXT</t>
        </is>
      </c>
      <c r="D1" s="545" t="inlineStr">
        <is>
          <t>VZI_Base</t>
        </is>
      </c>
      <c r="E1" s="546" t="n"/>
      <c r="F1" s="543" t="inlineStr">
        <is>
          <t>VZI_New14</t>
        </is>
      </c>
      <c r="G1" s="544" t="n"/>
      <c r="H1" s="545" t="inlineStr">
        <is>
          <t>VZ_FR</t>
        </is>
      </c>
      <c r="I1" s="546" t="n"/>
      <c r="J1" s="543" t="inlineStr">
        <is>
          <t>VZ_ES</t>
        </is>
      </c>
      <c r="K1" s="544" t="n"/>
      <c r="L1" s="545" t="inlineStr">
        <is>
          <t>VZI-6_R1</t>
        </is>
      </c>
      <c r="M1" s="546" t="n"/>
      <c r="N1" s="543" t="inlineStr">
        <is>
          <t>VZI-4_R1</t>
        </is>
      </c>
      <c r="O1" s="544" t="n"/>
      <c r="P1" s="545" t="inlineStr">
        <is>
          <t>VZ_DAI</t>
        </is>
      </c>
      <c r="Q1" s="546" t="n"/>
      <c r="R1" s="543" t="inlineStr">
        <is>
          <t>VZ_Esxx</t>
        </is>
      </c>
      <c r="S1" s="544" t="n"/>
    </row>
    <row r="2" ht="21.6" customFormat="1" customHeight="1" s="105">
      <c r="A2" s="527" t="n"/>
      <c r="B2" s="542" t="n"/>
      <c r="C2" s="542" t="n"/>
      <c r="D2" s="395" t="inlineStr">
        <is>
          <t>File/Codice</t>
        </is>
      </c>
      <c r="E2" s="152" t="inlineStr">
        <is>
          <t>Rev</t>
        </is>
      </c>
      <c r="F2" s="397" t="inlineStr">
        <is>
          <t>File/Codice</t>
        </is>
      </c>
      <c r="G2" s="398" t="inlineStr">
        <is>
          <t>Rev</t>
        </is>
      </c>
      <c r="H2" s="395" t="inlineStr">
        <is>
          <t>File/Codice</t>
        </is>
      </c>
      <c r="I2" s="152" t="inlineStr">
        <is>
          <t>Rev</t>
        </is>
      </c>
      <c r="J2" s="397" t="inlineStr">
        <is>
          <t>File/Codice</t>
        </is>
      </c>
      <c r="K2" s="398" t="inlineStr">
        <is>
          <t>Rev</t>
        </is>
      </c>
      <c r="L2" s="539" t="inlineStr">
        <is>
          <t>Codice</t>
        </is>
      </c>
      <c r="M2" s="539" t="inlineStr">
        <is>
          <t>Rev</t>
        </is>
      </c>
      <c r="N2" s="401" t="inlineStr">
        <is>
          <t>Codice</t>
        </is>
      </c>
      <c r="O2" s="151" t="inlineStr">
        <is>
          <t>Rev</t>
        </is>
      </c>
      <c r="P2" s="395" t="inlineStr">
        <is>
          <t>Codice</t>
        </is>
      </c>
      <c r="Q2" s="395" t="inlineStr">
        <is>
          <t>Rev</t>
        </is>
      </c>
      <c r="R2" s="397" t="inlineStr">
        <is>
          <t>Codice</t>
        </is>
      </c>
      <c r="S2" s="398" t="inlineStr">
        <is>
          <t>Rev</t>
        </is>
      </c>
    </row>
    <row r="3">
      <c r="A3" s="193" t="inlineStr">
        <is>
          <t>Telediagnostica</t>
        </is>
      </c>
      <c r="B3" s="396" t="n"/>
      <c r="C3" s="396" t="n"/>
      <c r="D3" s="389" t="n"/>
      <c r="E3" s="194" t="n"/>
      <c r="F3" s="399" t="n"/>
      <c r="G3" s="400" t="n"/>
      <c r="H3" s="389" t="n"/>
      <c r="I3" s="194" t="n"/>
      <c r="J3" s="399" t="n"/>
      <c r="K3" s="400" t="n"/>
      <c r="L3" s="389" t="n"/>
      <c r="M3" s="389" t="n"/>
      <c r="N3" s="399" t="n"/>
      <c r="O3" s="400" t="n"/>
      <c r="P3" s="389" t="n"/>
      <c r="Q3" s="389" t="n"/>
      <c r="R3" s="399" t="n"/>
      <c r="S3" s="400" t="n"/>
    </row>
    <row r="4" ht="30" customHeight="1" s="594">
      <c r="A4" s="114" t="inlineStr">
        <is>
          <t>Sviluppo regole (Algoritmi Diagnostici)</t>
        </is>
      </c>
      <c r="B4" s="106" t="inlineStr">
        <is>
          <t>DIA_Regole</t>
        </is>
      </c>
      <c r="C4" s="107" t="inlineStr">
        <is>
          <t>xlsm</t>
        </is>
      </c>
      <c r="D4" s="15" t="inlineStr">
        <is>
          <t>Sviluppo_Regole_TI_rev1.1</t>
        </is>
      </c>
      <c r="E4" s="15" t="inlineStr">
        <is>
          <t>\</t>
        </is>
      </c>
      <c r="F4" s="109" t="inlineStr">
        <is>
          <t>SVILUPPO REGOLE_ 14_FR_SP_Rev_0.1</t>
        </is>
      </c>
      <c r="G4" s="110" t="inlineStr">
        <is>
          <t>\</t>
        </is>
      </c>
      <c r="H4" s="15" t="inlineStr">
        <is>
          <t>SVILUPPO REGOLE_ 14_FR_SP_Rev_0.1</t>
        </is>
      </c>
      <c r="I4" s="110" t="inlineStr">
        <is>
          <t>\</t>
        </is>
      </c>
      <c r="J4" s="109" t="inlineStr">
        <is>
          <t>SVILUPPO REGOLE_ 14_FR_SP_Rev_0.1</t>
        </is>
      </c>
      <c r="K4" s="110" t="inlineStr">
        <is>
          <t>\</t>
        </is>
      </c>
      <c r="N4" s="109" t="n"/>
      <c r="O4" s="110" t="n"/>
      <c r="R4" s="109" t="n"/>
      <c r="S4" s="110" t="n"/>
    </row>
    <row r="5">
      <c r="A5" s="114" t="inlineStr">
        <is>
          <t>Event Report/List</t>
        </is>
      </c>
      <c r="B5" s="106" t="inlineStr">
        <is>
          <t>DIA_Event</t>
        </is>
      </c>
      <c r="C5" s="107" t="inlineStr">
        <is>
          <t>xlsx</t>
        </is>
      </c>
      <c r="D5" s="15" t="inlineStr">
        <is>
          <t>EventReport_VZI_3.9.0.3</t>
        </is>
      </c>
      <c r="E5" s="15" t="inlineStr">
        <is>
          <t>\</t>
        </is>
      </c>
      <c r="F5" s="109" t="inlineStr">
        <is>
          <t>EventReport_VZI14_BL3_5.1.0.3 2</t>
        </is>
      </c>
      <c r="G5" s="110" t="inlineStr">
        <is>
          <t>\</t>
        </is>
      </c>
      <c r="H5" s="15" t="inlineStr">
        <is>
          <t>EventReport VZIF 11.4.0</t>
        </is>
      </c>
      <c r="I5" s="15" t="inlineStr">
        <is>
          <t>\</t>
        </is>
      </c>
      <c r="J5" s="109" t="inlineStr">
        <is>
          <t>EventReport_VZS 21.2.0.3</t>
        </is>
      </c>
      <c r="K5" s="110" t="n"/>
      <c r="L5" s="15" t="inlineStr">
        <is>
          <t>FP010036055</t>
        </is>
      </c>
      <c r="M5" s="15" t="inlineStr">
        <is>
          <t>3.32</t>
        </is>
      </c>
      <c r="N5" s="109" t="n"/>
      <c r="O5" s="110" t="n"/>
      <c r="R5" s="109" t="n"/>
      <c r="S5" s="110" t="n"/>
    </row>
    <row r="6">
      <c r="A6" s="114" t="inlineStr">
        <is>
          <t>Teledia Signal List</t>
        </is>
      </c>
      <c r="B6" s="106" t="inlineStr">
        <is>
          <t>DIA_Signal</t>
        </is>
      </c>
      <c r="C6" s="107" t="inlineStr">
        <is>
          <t>xlsx</t>
        </is>
      </c>
      <c r="F6" s="109" t="n"/>
      <c r="G6" s="110" t="n"/>
      <c r="I6" s="135" t="n"/>
      <c r="J6" s="109" t="n"/>
      <c r="K6" s="110" t="n"/>
      <c r="L6" s="15" t="inlineStr">
        <is>
          <t>FP020046917</t>
        </is>
      </c>
      <c r="M6" s="15" t="inlineStr">
        <is>
          <t>3.32</t>
        </is>
      </c>
      <c r="N6" s="109" t="n"/>
      <c r="O6" s="110" t="n"/>
      <c r="R6" s="109" t="n"/>
      <c r="S6" s="110" t="n"/>
    </row>
    <row r="7" ht="30" customHeight="1" s="594">
      <c r="A7" s="114" t="inlineStr">
        <is>
          <t>PropulsionDiagnosticDataset</t>
        </is>
      </c>
      <c r="B7" s="106" t="inlineStr">
        <is>
          <t>DIA_Dataset_Propulsion</t>
        </is>
      </c>
      <c r="C7" s="107" t="inlineStr">
        <is>
          <t>xlsx</t>
        </is>
      </c>
      <c r="F7" s="109" t="n"/>
      <c r="G7" s="110" t="n"/>
      <c r="I7" s="135" t="n"/>
      <c r="J7" s="109" t="n"/>
      <c r="K7" s="110" t="n"/>
      <c r="L7" s="15" t="inlineStr">
        <is>
          <t>PropulsionDiagnosticDataset</t>
        </is>
      </c>
      <c r="M7" s="135" t="inlineStr">
        <is>
          <t>00.12</t>
        </is>
      </c>
      <c r="N7" s="109" t="n"/>
      <c r="O7" s="110" t="n"/>
      <c r="R7" s="109" t="n"/>
      <c r="S7" s="110" t="n"/>
    </row>
    <row r="8">
      <c r="A8" s="114" t="inlineStr">
        <is>
          <t>EMS ICD diagnostic event</t>
        </is>
      </c>
      <c r="B8" s="106" t="inlineStr">
        <is>
          <t>DIA_Event EMS</t>
        </is>
      </c>
      <c r="C8" s="107" t="inlineStr">
        <is>
          <t>xlsx</t>
        </is>
      </c>
      <c r="F8" s="109" t="n"/>
      <c r="G8" s="110" t="n"/>
      <c r="H8" s="15" t="inlineStr">
        <is>
          <t>EC130034365</t>
        </is>
      </c>
      <c r="I8" s="135" t="inlineStr">
        <is>
          <t>00</t>
        </is>
      </c>
      <c r="J8" s="109" t="n"/>
      <c r="K8" s="110" t="n"/>
      <c r="N8" s="109" t="n"/>
      <c r="O8" s="110" t="n"/>
      <c r="R8" s="109" t="n"/>
      <c r="S8" s="110" t="n"/>
    </row>
    <row r="9">
      <c r="A9" s="114" t="n"/>
      <c r="C9" s="107" t="n"/>
      <c r="F9" s="109" t="n"/>
      <c r="G9" s="110" t="n"/>
      <c r="I9" s="135" t="n"/>
      <c r="J9" s="109" t="n"/>
      <c r="K9" s="110" t="n"/>
      <c r="N9" s="109" t="n"/>
      <c r="O9" s="110" t="n"/>
      <c r="R9" s="109" t="n"/>
      <c r="S9" s="110" t="n"/>
    </row>
    <row r="10">
      <c r="A10" s="114" t="n"/>
      <c r="C10" s="107" t="n"/>
      <c r="F10" s="109" t="n"/>
      <c r="G10" s="110" t="n"/>
      <c r="I10" s="135" t="n"/>
      <c r="J10" s="109" t="n"/>
      <c r="K10" s="110" t="n"/>
      <c r="N10" s="109" t="n"/>
      <c r="O10" s="110" t="n"/>
      <c r="R10" s="109" t="n"/>
      <c r="S10" s="110" t="n"/>
    </row>
    <row r="11">
      <c r="A11" s="114" t="n"/>
      <c r="C11" s="107" t="n"/>
      <c r="F11" s="109" t="n"/>
      <c r="G11" s="110" t="n"/>
      <c r="I11" s="135" t="n"/>
      <c r="J11" s="109" t="n"/>
      <c r="K11" s="110" t="n"/>
      <c r="N11" s="109" t="n"/>
      <c r="O11" s="110" t="n"/>
      <c r="R11" s="109" t="n"/>
      <c r="S11" s="110" t="n"/>
    </row>
    <row r="12">
      <c r="A12" s="114" t="n"/>
      <c r="C12" s="107" t="n"/>
      <c r="F12" s="109" t="n"/>
      <c r="G12" s="110" t="n"/>
      <c r="I12" s="135" t="n"/>
      <c r="J12" s="109" t="n"/>
      <c r="K12" s="110" t="n"/>
      <c r="N12" s="109" t="n"/>
      <c r="O12" s="110" t="n"/>
      <c r="R12" s="109" t="n"/>
      <c r="S12" s="110" t="n"/>
    </row>
    <row r="13">
      <c r="A13" s="114" t="n"/>
      <c r="C13" s="107" t="n"/>
      <c r="F13" s="109" t="n"/>
      <c r="G13" s="110" t="n"/>
      <c r="I13" s="135" t="n"/>
      <c r="J13" s="109" t="n"/>
      <c r="K13" s="110" t="n"/>
      <c r="N13" s="109" t="n"/>
      <c r="O13" s="110" t="n"/>
      <c r="R13" s="109" t="n"/>
      <c r="S13" s="110" t="n"/>
    </row>
    <row r="14">
      <c r="A14" s="114" t="n"/>
      <c r="C14" s="107" t="n"/>
      <c r="F14" s="109" t="n"/>
      <c r="G14" s="110" t="n"/>
      <c r="I14" s="135" t="n"/>
      <c r="J14" s="109" t="n"/>
      <c r="K14" s="110" t="n"/>
      <c r="N14" s="109" t="n"/>
      <c r="O14" s="110" t="n"/>
      <c r="R14" s="109" t="n"/>
      <c r="S14" s="110" t="n"/>
    </row>
    <row r="15">
      <c r="A15" s="114" t="n"/>
      <c r="C15" s="107" t="n"/>
      <c r="F15" s="109" t="n"/>
      <c r="G15" s="110" t="n"/>
      <c r="I15" s="135" t="n"/>
      <c r="J15" s="109" t="n"/>
      <c r="K15" s="110" t="n"/>
      <c r="N15" s="109" t="n"/>
      <c r="O15" s="110" t="n"/>
      <c r="R15" s="109" t="n"/>
      <c r="S15" s="110" t="n"/>
    </row>
    <row r="16">
      <c r="A16" s="114" t="n"/>
      <c r="C16" s="107" t="n"/>
      <c r="F16" s="109" t="n"/>
      <c r="G16" s="110" t="n"/>
      <c r="I16" s="135" t="n"/>
      <c r="J16" s="109" t="n"/>
      <c r="K16" s="110" t="n"/>
      <c r="N16" s="109" t="n"/>
      <c r="O16" s="110" t="n"/>
      <c r="R16" s="109" t="n"/>
      <c r="S16" s="110" t="n"/>
    </row>
    <row r="17">
      <c r="A17" s="114" t="n"/>
      <c r="C17" s="107" t="n"/>
      <c r="F17" s="109" t="n"/>
      <c r="G17" s="110" t="n"/>
      <c r="I17" s="135" t="n"/>
      <c r="J17" s="109" t="n"/>
      <c r="K17" s="110" t="n"/>
      <c r="N17" s="109" t="n"/>
      <c r="O17" s="110" t="n"/>
      <c r="R17" s="109" t="n"/>
      <c r="S17" s="110" t="n"/>
    </row>
    <row r="18">
      <c r="A18" s="114" t="n"/>
      <c r="C18" s="107" t="n"/>
      <c r="F18" s="109" t="n"/>
      <c r="G18" s="110" t="n"/>
      <c r="I18" s="135" t="n"/>
      <c r="J18" s="109" t="n"/>
      <c r="K18" s="110" t="n"/>
      <c r="N18" s="109" t="n"/>
      <c r="O18" s="110" t="n"/>
      <c r="R18" s="109" t="n"/>
      <c r="S18" s="110" t="n"/>
    </row>
    <row r="19">
      <c r="A19" s="114" t="n"/>
      <c r="C19" s="107" t="n"/>
      <c r="F19" s="109" t="n"/>
      <c r="G19" s="110" t="n"/>
      <c r="I19" s="135" t="n"/>
      <c r="J19" s="109" t="n"/>
      <c r="K19" s="110" t="n"/>
      <c r="N19" s="109" t="n"/>
      <c r="O19" s="110" t="n"/>
      <c r="R19" s="109" t="n"/>
      <c r="S19" s="110" t="n"/>
    </row>
    <row r="20">
      <c r="A20" s="114" t="n"/>
      <c r="C20" s="107" t="n"/>
      <c r="F20" s="109" t="n"/>
      <c r="G20" s="110" t="n"/>
      <c r="I20" s="135" t="n"/>
      <c r="J20" s="109" t="n"/>
      <c r="K20" s="110" t="n"/>
      <c r="N20" s="109" t="n"/>
      <c r="O20" s="110" t="n"/>
      <c r="R20" s="109" t="n"/>
      <c r="S20" s="110"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95"/>
  <sheetViews>
    <sheetView tabSelected="1" zoomScale="40" zoomScaleNormal="40" workbookViewId="0">
      <pane xSplit="2" ySplit="1" topLeftCell="E234" activePane="bottomRight" state="frozen"/>
      <selection pane="topRight" activeCell="F1" sqref="F1"/>
      <selection pane="bottomLeft" activeCell="A3" sqref="A3"/>
      <selection pane="bottomRight" activeCell="F295" sqref="F295:J295"/>
    </sheetView>
  </sheetViews>
  <sheetFormatPr baseColWidth="8" defaultColWidth="8.7109375" defaultRowHeight="15" outlineLevelRow="2"/>
  <cols>
    <col width="22.140625" bestFit="1" customWidth="1" style="106" min="1" max="1"/>
    <col width="65.42578125" customWidth="1" style="106" min="2" max="2"/>
    <col width="14" bestFit="1" customWidth="1" style="106" min="3" max="3"/>
    <col width="28.42578125" bestFit="1" customWidth="1" style="15" min="4" max="4"/>
    <col width="21.42578125" customWidth="1" style="106" min="5" max="5"/>
    <col width="35.5703125" customWidth="1" style="15" min="6" max="10"/>
    <col width="14.85546875" customWidth="1" style="15" min="11" max="12"/>
    <col width="8.7109375" customWidth="1" style="103" min="13" max="13"/>
    <col width="33.140625" customWidth="1" style="103" min="14" max="14"/>
    <col width="8.7109375" customWidth="1" style="103" min="15" max="20"/>
    <col width="8.7109375" customWidth="1" style="103" min="21" max="16384"/>
  </cols>
  <sheetData>
    <row r="1" ht="30" customFormat="1" customHeight="1" s="105">
      <c r="A1" s="156" t="inlineStr">
        <is>
          <t>FUNC ID</t>
        </is>
      </c>
      <c r="B1" s="156" t="inlineStr">
        <is>
          <t>DESCRIZIONE FUNZIONE</t>
        </is>
      </c>
      <c r="C1" s="525" t="inlineStr">
        <is>
          <t>DOC
CARTELLA</t>
        </is>
      </c>
      <c r="D1" s="525" t="inlineStr">
        <is>
          <t>DOC ID</t>
        </is>
      </c>
      <c r="E1" s="525" t="inlineStr">
        <is>
          <t>Info DOC</t>
        </is>
      </c>
      <c r="F1" s="136" t="inlineStr">
        <is>
          <t>VZI_Base</t>
        </is>
      </c>
      <c r="G1" s="136" t="inlineStr">
        <is>
          <t>VZI_New14</t>
        </is>
      </c>
      <c r="H1" s="537" t="inlineStr">
        <is>
          <t>VZ_FR</t>
        </is>
      </c>
      <c r="I1" s="537" t="inlineStr">
        <is>
          <t>VZ_ES</t>
        </is>
      </c>
      <c r="J1" s="537" t="inlineStr">
        <is>
          <t>VZI-6_R1</t>
        </is>
      </c>
      <c r="K1" s="537" t="inlineStr">
        <is>
          <t>VZI-4_R1</t>
        </is>
      </c>
      <c r="L1" s="138" t="inlineStr">
        <is>
          <t>VZ_DAI</t>
        </is>
      </c>
    </row>
    <row r="2">
      <c r="A2" s="174" t="inlineStr">
        <is>
          <t>Park_Brake_01</t>
        </is>
      </c>
      <c r="B2" s="174" t="inlineStr">
        <is>
          <t>Comando applicazione/rilascio FAM da banco di manovra</t>
        </is>
      </c>
      <c r="C2" s="390" t="n"/>
      <c r="D2" s="175">
        <f>IF($A2="","",HYPERLINK(CONCATENATE(Cartelle!$D$6,$A2),CONCATENATE("#Sharepoint//",$A2)))</f>
        <v/>
      </c>
      <c r="E2" s="160" t="n"/>
      <c r="F2" s="161" t="n"/>
      <c r="G2" s="161" t="n"/>
      <c r="H2" s="161" t="n"/>
      <c r="I2" s="161" t="n"/>
      <c r="J2" s="161" t="n"/>
      <c r="K2" s="161" t="n"/>
      <c r="L2" s="162" t="n"/>
    </row>
    <row r="3" outlineLevel="1" s="594">
      <c r="B3" s="144" t="n"/>
      <c r="C3" s="158" t="inlineStr">
        <is>
          <t>CONFIG</t>
        </is>
      </c>
      <c r="D3" s="158" t="inlineStr">
        <is>
          <t>FS_DM1</t>
        </is>
      </c>
      <c r="E3" s="185" t="inlineStr">
        <is>
          <t>Link</t>
        </is>
      </c>
      <c r="F3" s="314">
        <f t="array" ref="F3">HYPERLINK(CONCATENATE(Cartelle!$D$5,F$1,"/",$C3,"/",MID($D3,1,FIND("_",$D3)-1),"/",INDIRECT(CONCATENATE("'" &amp; $C3 &amp; "'!",ADDRESS(MATCH($D3, INDIRECT("'" &amp; $C3 &amp; "'!$B:$B"), 0),MATCH(F$1, INDIRECT("'" &amp; $C3 &amp; "'!$1:$1"), 0)))),".",INDIRECT(CONCATENATE("'"&amp;$C3&amp;"'!",ADDRESS(MATCH($D3,INDIRECT("'"&amp;$C3&amp;"'!$B:$B"),0),3))),"#page=",F4),CONCATENATE("#Sharepoint//",$D3))</f>
        <v/>
      </c>
      <c r="G3" s="314" t="n"/>
      <c r="H3" s="158" t="n"/>
      <c r="I3" s="158" t="n"/>
      <c r="J3" s="314">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157" t="n"/>
      <c r="L3" s="158" t="n"/>
    </row>
    <row r="4" outlineLevel="2" s="594">
      <c r="B4" s="144" t="n"/>
      <c r="D4" s="358" t="n"/>
      <c r="E4" s="186" t="inlineStr">
        <is>
          <t>Rif. Pagina</t>
        </is>
      </c>
      <c r="F4" s="50" t="n">
        <v>276</v>
      </c>
      <c r="G4" s="164" t="n">
        <v>243</v>
      </c>
      <c r="H4" s="50" t="n"/>
      <c r="I4" s="50" t="n"/>
      <c r="J4" s="50" t="n">
        <v>144</v>
      </c>
      <c r="K4" s="85" t="n"/>
      <c r="L4" s="50" t="n"/>
    </row>
    <row r="5" outlineLevel="2" ht="75" customHeight="1" s="594">
      <c r="B5" s="144" t="n"/>
      <c r="D5" s="107" t="n"/>
      <c r="E5" s="186" t="inlineStr">
        <is>
          <t>Componenti circuito elettrico</t>
        </is>
      </c>
      <c r="F5" s="85" t="inlineStr">
        <is>
          <t>GG-A024 = Pulsante parking
JE-K0005 = MIO-S-DX4</t>
        </is>
      </c>
      <c r="G5" s="50" t="n"/>
      <c r="H5" s="50" t="n"/>
      <c r="I5" s="50" t="n"/>
      <c r="J5" s="85" t="inlineStr">
        <is>
          <t>GG-A024 = Pulsante parking
GC-K025 = Relè abilitazione cabina
GC-K018 = Relè temporizz
GC-K011 = Relè abilitazione cabina
JE-K005 = RIO-LP MASTER</t>
        </is>
      </c>
      <c r="K5" s="159" t="n"/>
      <c r="L5" s="50" t="n"/>
    </row>
    <row r="6" outlineLevel="2" ht="330" customHeight="1" s="594">
      <c r="B6" s="144" t="n"/>
      <c r="D6" s="108" t="n"/>
      <c r="E6" s="186" t="inlineStr">
        <is>
          <t>Descrizione circuitale</t>
        </is>
      </c>
      <c r="F6" s="85" t="inlineStr">
        <is>
          <t>La pressione di GG-A024 chiude 2 contatti interni (1 ordinario, 1 ridondato), collegando 2 linee 110V a 2 ingressi della MIO: BRA_PARK_COM
Le 2 linee 110 derivano direttamente dal bus  180, tramite due fusibili rispettivamente JE-F007 e JE-F009.</t>
        </is>
      </c>
      <c r="G6" s="50" t="n"/>
      <c r="H6" s="50" t="n"/>
      <c r="I6" s="50" t="n"/>
      <c r="J6" s="85"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6" s="50" t="n"/>
      <c r="L6" s="50" t="n"/>
    </row>
    <row r="7" outlineLevel="1" s="594">
      <c r="B7" s="144" t="n"/>
      <c r="C7" s="158" t="inlineStr">
        <is>
          <t>CONFIG</t>
        </is>
      </c>
      <c r="D7" s="158" t="inlineStr">
        <is>
          <t>FS_TT2</t>
        </is>
      </c>
      <c r="E7" s="185" t="inlineStr">
        <is>
          <t>Link</t>
        </is>
      </c>
      <c r="F7" s="314">
        <f t="array" ref="F7">HYPERLINK(CONCATENATE(Cartelle!$D$5,F$1,"/",$C7,"/",MID($D7,1,FIND("_",$D7)-1),"/",INDIRECT(CONCATENATE("'" &amp; $C7 &amp; "'!",ADDRESS(MATCH($D7, INDIRECT("'" &amp; $C7 &amp; "'!$B:$B"), 0),MATCH(F$1, INDIRECT("'" &amp; $C7 &amp; "'!$1:$1"), 0)))),".",INDIRECT(CONCATENATE("'"&amp;$C7&amp;"'!",ADDRESS(MATCH($D7,INDIRECT("'"&amp;$C7&amp;"'!$B:$B"),0),3))),"#page=",F8),CONCATENATE("#Sharepoint//",$D7))</f>
        <v/>
      </c>
      <c r="G7" s="158" t="n"/>
      <c r="H7" s="158" t="n"/>
      <c r="I7" s="158" t="n"/>
      <c r="J7" s="314">
        <f t="array" ref="J7">HYPERLINK(CONCATENATE(Cartelle!$D$5,INDEX(INDIRECT("'" &amp; $C7 &amp; "'!$1:$1"), 1, MATCH(INDIRECT(CONCATENATE("'" &amp; $C7 &amp; "'!",ADDRESS(MATCH($D7, INDIRECT("'" &amp; $C7 &amp; "'!$B:$B"), 0),MATCH(J$1, INDIRECT("'" &amp; $C7 &amp; "'!$1:$1"), 0)))),INDIRECT(CONCATENATE("'" &amp; $C7 &amp; "'!",MATCH($D7, INDIRECT("'" &amp; $C7 &amp; "'!$B:$B"), 0),":",MATCH($D7, INDIRECT("'" &amp; $C7 &amp; "'!$B:$B"), 0))),0)),"/",$C7,"/",MID($D7,1,FIND("_",$D7)-1),"/",INDIRECT(CONCATENATE("'" &amp; $C7 &amp; "'!",ADDRESS(MATCH($D7, INDIRECT("'" &amp; $C7 &amp; "'!$B:$B"), 0),MATCH(J$1, INDIRECT("'" &amp; $C7 &amp; "'!$1:$1"), 0)))),".",INDIRECT(CONCATENATE("'"&amp;$C7&amp;"'!",ADDRESS(MATCH($D7,INDIRECT("'"&amp;$C7&amp;"'!$B:$B"),0),3))),"#page=",J8),CONCATENATE("#Sharepoint//",$D7))</f>
        <v/>
      </c>
      <c r="K7" s="157" t="n"/>
      <c r="L7" s="158" t="n"/>
    </row>
    <row r="8" outlineLevel="2" s="594">
      <c r="B8" s="144" t="n"/>
      <c r="D8" s="358" t="n"/>
      <c r="E8" s="186" t="inlineStr">
        <is>
          <t>Rif. Pagina</t>
        </is>
      </c>
      <c r="F8" s="50" t="n">
        <v>171</v>
      </c>
      <c r="G8" s="50" t="n"/>
      <c r="H8" s="50" t="n"/>
      <c r="I8" s="50" t="n"/>
      <c r="J8" s="50" t="n">
        <v>131</v>
      </c>
      <c r="K8" s="85" t="n"/>
      <c r="L8" s="50" t="n"/>
    </row>
    <row r="9" outlineLevel="2" ht="120" customHeight="1" s="594">
      <c r="B9" s="144" t="n"/>
      <c r="D9" s="107" t="n"/>
      <c r="E9" s="186" t="inlineStr">
        <is>
          <t>Componenti circuito elettrico</t>
        </is>
      </c>
      <c r="F9" s="85" t="inlineStr">
        <is>
          <t>EVFS1 = Valvola applicazione parking brake
JE-K009 = RIO
JE-K010 = RIO
GG-K016 = Relè RER</t>
        </is>
      </c>
      <c r="G9" s="50" t="n"/>
      <c r="H9" s="50" t="n"/>
      <c r="I9" s="50" t="n"/>
      <c r="J9" s="85" t="inlineStr">
        <is>
          <t>GG-K016 = Relè RER
GG-K028 = Relè di taglio per il comando di rilascio del PB dato da TCMS attraverso BRA_EVFS1_COM
EVFS1 = Valvola applicazione parking brake
JE-K009 = RIO
JE-K010 = RIO</t>
        </is>
      </c>
      <c r="K9" s="159" t="n"/>
      <c r="L9" s="50" t="n"/>
    </row>
    <row r="10" outlineLevel="2" ht="270" customHeight="1" s="594">
      <c r="B10" s="144" t="n"/>
      <c r="D10" s="108" t="n"/>
      <c r="E10" s="186" t="inlineStr">
        <is>
          <t>Descrizione circuitale</t>
        </is>
      </c>
      <c r="F10" s="85"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10" s="50" t="n"/>
      <c r="H10" s="50" t="n"/>
      <c r="I10" s="50" t="n"/>
      <c r="J10" s="85"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10" s="50" t="n"/>
      <c r="L10" s="50" t="n"/>
    </row>
    <row r="11" outlineLevel="1" s="594">
      <c r="B11" s="144" t="n"/>
      <c r="C11" s="158" t="inlineStr">
        <is>
          <t>CONFIG</t>
        </is>
      </c>
      <c r="D11" s="158" t="inlineStr">
        <is>
          <t>FRS_Brake Control</t>
        </is>
      </c>
      <c r="E11" s="185" t="inlineStr">
        <is>
          <t>Link</t>
        </is>
      </c>
      <c r="F11" s="314">
        <f t="array" ref="F11">HYPERLINK(CONCATENATE(Cartelle!$D$5,F$1,"/",$C11,"/",MID($D11,1,FIND("_",$D11)-1),"/",INDIRECT(CONCATENATE("'" &amp; $C11 &amp; "'!",ADDRESS(MATCH($D11, INDIRECT("'" &amp; $C11 &amp; "'!$B:$B"), 0),MATCH(F$1, INDIRECT("'" &amp; $C11 &amp; "'!$1:$1"), 0)))),".",INDIRECT(CONCATENATE("'"&amp;$C11&amp;"'!",ADDRESS(MATCH($D11,INDIRECT("'"&amp;$C11&amp;"'!$B:$B"),0),3))),"#page=",F12),CONCATENATE("#Sharepoint//",$D11))</f>
        <v/>
      </c>
      <c r="G11" s="158" t="n"/>
      <c r="H11" s="158" t="n"/>
      <c r="I11" s="158" t="n"/>
      <c r="J11" s="314">
        <f t="array" ref="J11">HYPERLINK(CONCATENATE(Cartelle!$D$5,INDEX(INDIRECT("'" &amp; $C11 &amp; "'!$1:$1"), 1, MATCH(INDIRECT(CONCATENATE("'" &amp; $C11 &amp; "'!",ADDRESS(MATCH($D11, INDIRECT("'" &amp; $C11 &amp; "'!$B:$B"), 0),MATCH(J$1, INDIRECT("'" &amp; $C11 &amp; "'!$1:$1"), 0)))),INDIRECT(CONCATENATE("'" &amp; $C11 &amp; "'!",MATCH($D11, INDIRECT("'" &amp; $C11 &amp; "'!$B:$B"), 0),":",MATCH($D11, INDIRECT("'" &amp; $C11 &amp; "'!$B:$B"), 0))),0)),"/",$C11,"/",MID($D11,1,FIND("_",$D11)-1),"/",INDIRECT(CONCATENATE("'" &amp; $C11 &amp; "'!",ADDRESS(MATCH($D11, INDIRECT("'" &amp; $C11 &amp; "'!$B:$B"), 0),MATCH(J$1, INDIRECT("'" &amp; $C11 &amp; "'!$1:$1"), 0)))),".",INDIRECT(CONCATENATE("'"&amp;$C11&amp;"'!",ADDRESS(MATCH($D11,INDIRECT("'"&amp;$C11&amp;"'!$B:$B"),0),3))),"#page=",J12),CONCATENATE("#Sharepoint//",$D11))</f>
        <v/>
      </c>
      <c r="K11" s="158" t="n"/>
      <c r="L11" s="158" t="n"/>
    </row>
    <row r="12" outlineLevel="2" s="594">
      <c r="B12" s="144" t="n"/>
      <c r="D12" s="358" t="n"/>
      <c r="E12" s="186" t="inlineStr">
        <is>
          <t>Rif. Pagina</t>
        </is>
      </c>
      <c r="F12" s="50" t="n">
        <v>117</v>
      </c>
      <c r="G12" s="50" t="n"/>
      <c r="H12" s="50" t="n"/>
      <c r="I12" s="50" t="n"/>
      <c r="J12" s="50" t="n">
        <v>154</v>
      </c>
      <c r="K12" s="50" t="n"/>
      <c r="L12" s="50" t="n"/>
    </row>
    <row r="13" outlineLevel="2" ht="240" customHeight="1" s="594">
      <c r="B13" s="144" t="n"/>
      <c r="D13" s="108" t="n"/>
      <c r="E13" s="186" t="inlineStr">
        <is>
          <t>Requisiti specifici</t>
        </is>
      </c>
      <c r="F13" s="50" t="inlineStr">
        <is>
          <t>\</t>
        </is>
      </c>
      <c r="G13" s="50" t="n"/>
      <c r="H13" s="50" t="n"/>
      <c r="I13" s="50" t="n"/>
      <c r="J13" s="85"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13" s="50" t="n"/>
      <c r="L13" s="50" t="n"/>
    </row>
    <row r="14" outlineLevel="1" s="594">
      <c r="B14" s="144" t="n"/>
      <c r="C14" s="158" t="inlineStr">
        <is>
          <t>CONFIG</t>
        </is>
      </c>
      <c r="D14" s="158" t="inlineStr">
        <is>
          <t>FPD_Brake Control</t>
        </is>
      </c>
      <c r="E14" s="185" t="inlineStr">
        <is>
          <t>Link</t>
        </is>
      </c>
      <c r="F14" s="314">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158" t="n"/>
      <c r="H14" s="158" t="n"/>
      <c r="I14" s="158" t="n"/>
      <c r="J14" s="314">
        <f t="array" ref="J14">HYPERLINK(CONCATENATE(Cartelle!$D$5,INDEX(INDIRECT("'" &amp; $C14 &amp; "'!$1:$1"), 1, MATCH(INDIRECT(CONCATENATE("'" &amp; $C14 &amp; "'!",ADDRESS(MATCH($D14, INDIRECT("'" &amp; $C14 &amp; "'!$B:$B"), 0),MATCH(J$1, INDIRECT("'" &amp; $C14 &amp; "'!$1:$1"), 0)))),INDIRECT(CONCATENATE("'" &amp; $C14 &amp; "'!",MATCH($D14, INDIRECT("'" &amp; $C14 &amp; "'!$B:$B"), 0),":",MATCH($D14, INDIRECT("'" &amp; $C14 &amp; "'!$B:$B"), 0))),0)),"/",$C14,"/",MID($D14,1,FIND("_",$D14)-1),"/",INDIRECT(CONCATENATE("'" &amp; $C14 &amp; "'!",ADDRESS(MATCH($D14, INDIRECT("'" &amp; $C14 &amp; "'!$B:$B"), 0),MATCH(J$1, INDIRECT("'" &amp; $C14 &amp; "'!$1:$1"), 0)))),".",INDIRECT(CONCATENATE("'"&amp;$C14&amp;"'!",ADDRESS(MATCH($D14,INDIRECT("'"&amp;$C14&amp;"'!$B:$B"),0),3))),"#page=",J15),CONCATENATE("#Sharepoint//",$D14))</f>
        <v/>
      </c>
      <c r="K14" s="158" t="n"/>
      <c r="L14" s="158" t="n"/>
    </row>
    <row r="15" outlineLevel="2" s="594">
      <c r="A15" s="116" t="n"/>
      <c r="B15" s="144" t="n"/>
      <c r="D15" s="50" t="n"/>
      <c r="E15" s="186" t="inlineStr">
        <is>
          <t>Rif. Pagina</t>
        </is>
      </c>
      <c r="F15" s="50" t="n">
        <v>18</v>
      </c>
      <c r="G15" s="50" t="n"/>
      <c r="H15" s="50" t="n"/>
      <c r="I15" s="50" t="n"/>
      <c r="J15" s="50" t="n">
        <v>18</v>
      </c>
      <c r="K15" s="50" t="n"/>
      <c r="L15" s="50" t="n"/>
    </row>
    <row r="16">
      <c r="A16" s="176" t="inlineStr">
        <is>
          <t>Hot_Axle_Box_01</t>
        </is>
      </c>
      <c r="B16" s="176" t="inlineStr">
        <is>
          <t>Funzione di monitoraggio Hot Axle Box Detection (HABD)</t>
        </is>
      </c>
      <c r="C16" s="391" t="n"/>
      <c r="D16" s="175">
        <f>IF($A16="","",HYPERLINK(CONCATENATE(Cartelle!$D$6,$A16),CONCATENATE("#Sharepoint//",$A16)))</f>
        <v/>
      </c>
      <c r="E16" s="160" t="n"/>
      <c r="F16" s="161" t="n"/>
      <c r="G16" s="161" t="n"/>
      <c r="H16" s="161" t="n"/>
      <c r="I16" s="161" t="n"/>
      <c r="J16" s="161" t="n"/>
      <c r="K16" s="161" t="n"/>
      <c r="L16" s="162" t="n"/>
    </row>
    <row r="17" outlineLevel="1" s="594">
      <c r="A17" s="177" t="n"/>
      <c r="B17" s="385" t="n"/>
      <c r="C17" s="158" t="inlineStr">
        <is>
          <t>CONFIG</t>
        </is>
      </c>
      <c r="D17" s="158" t="inlineStr">
        <is>
          <t>FS_DM1</t>
        </is>
      </c>
      <c r="E17" s="185" t="inlineStr">
        <is>
          <t>Link</t>
        </is>
      </c>
      <c r="F17" s="314">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158" t="n"/>
      <c r="H17" s="158" t="n"/>
      <c r="I17" s="158" t="n"/>
      <c r="J17" s="314">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157" t="n"/>
      <c r="L17" s="158" t="n"/>
    </row>
    <row r="18" outlineLevel="2" s="594">
      <c r="A18" s="179" t="n"/>
      <c r="B18" s="386" t="n"/>
      <c r="C18" s="180" t="n"/>
      <c r="D18" s="50" t="n"/>
      <c r="E18" s="186" t="inlineStr">
        <is>
          <t>Rif. Pagina</t>
        </is>
      </c>
      <c r="F18" s="50" t="n">
        <v>388</v>
      </c>
      <c r="G18" s="50" t="n"/>
      <c r="H18" s="50" t="n"/>
      <c r="I18" s="50" t="n"/>
      <c r="J18" s="50" t="n">
        <v>264</v>
      </c>
      <c r="K18" s="85" t="n"/>
      <c r="L18" s="50" t="n"/>
    </row>
    <row r="19" outlineLevel="2" ht="150" customHeight="1" s="594">
      <c r="A19" s="179" t="n"/>
      <c r="B19" s="386" t="n"/>
      <c r="C19" s="180" t="n"/>
      <c r="D19" s="50" t="n"/>
      <c r="E19" s="186" t="inlineStr">
        <is>
          <t>Componenti circuito elettrico</t>
        </is>
      </c>
      <c r="F19" s="85"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19" s="50" t="n"/>
      <c r="H19" s="50" t="n"/>
      <c r="I19" s="50" t="n"/>
      <c r="J19" s="85" t="inlineStr">
        <is>
          <t>JB-K003 = Relè apertura Loop HABD
JB-K004 = Relè apertura Loop HABD
JE-K009 = RIO OTC_FUSE_LOOP
JE-K010 = RIO OTC_FUSE LOOP
GC-A018 H2B = spia HABD Alarm</t>
        </is>
      </c>
      <c r="K19" s="85" t="n"/>
      <c r="L19" s="50" t="n"/>
    </row>
    <row r="20" outlineLevel="2" ht="345" customHeight="1" s="594">
      <c r="A20" s="179" t="n"/>
      <c r="B20" s="386" t="n"/>
      <c r="C20" s="180" t="n"/>
      <c r="D20" s="50" t="n"/>
      <c r="E20" s="186" t="inlineStr">
        <is>
          <t>Descrizione circuitale</t>
        </is>
      </c>
      <c r="F20" s="85"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0" s="50" t="n"/>
      <c r="H20" s="50" t="n"/>
      <c r="I20" s="50" t="n"/>
      <c r="J20" s="85"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0" s="85" t="n"/>
      <c r="L20" s="50" t="n"/>
    </row>
    <row r="21" outlineLevel="1" s="594">
      <c r="A21" s="179" t="n"/>
      <c r="B21" s="386" t="n"/>
      <c r="C21" s="158" t="inlineStr">
        <is>
          <t>CONFIG</t>
        </is>
      </c>
      <c r="D21" s="158" t="inlineStr">
        <is>
          <t>FRS_Bogies</t>
        </is>
      </c>
      <c r="E21" s="185" t="inlineStr">
        <is>
          <t>Link</t>
        </is>
      </c>
      <c r="F21" s="314">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14">
        <f t="array" ref="G21">HYPERLINK(CONCATENATE(Cartelle!$D$5,INDEX(INDIRECT("'" &amp; $C21 &amp; "'!$1:$1"), 1, MATCH(INDIRECT(CONCATENATE("'" &amp; $C21 &amp; "'!",ADDRESS(MATCH($D21, INDIRECT("'" &amp; $C21 &amp; "'!$B:$B"), 0),MATCH(G$1, INDIRECT("'" &amp; $C21 &amp; "'!$1:$1"), 0)))),INDIRECT(CONCATENATE("'" &amp; $C21 &amp; "'!",MATCH($D21, INDIRECT("'" &amp; $C21 &amp; "'!$B:$B"), 0),":",MATCH($D21, INDIRECT("'" &amp; $C21 &amp; "'!$B:$B"), 0))),0)),"/",$C21,"/",MID($D21,1,FIND("_",$D21)-1),"/",INDIRECT(CONCATENATE("'" &amp; $C21 &amp; "'!",ADDRESS(MATCH($D21, INDIRECT("'" &amp; $C21 &amp; "'!$B:$B"), 0),MATCH(G$1, INDIRECT("'" &amp; $C21 &amp; "'!$1:$1"), 0)))),".",INDIRECT(CONCATENATE("'"&amp;$C21&amp;"'!",ADDRESS(MATCH($D21,INDIRECT("'"&amp;$C21&amp;"'!$B:$B"),0),3))),"#page=",G22),CONCATENATE("#Sharepoint//",$D21))</f>
        <v/>
      </c>
      <c r="H21" s="158" t="n"/>
      <c r="I21" s="158" t="n"/>
      <c r="J21" s="314">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158" t="n"/>
      <c r="L21" s="158" t="n"/>
    </row>
    <row r="22" outlineLevel="2" s="594">
      <c r="A22" s="179" t="n"/>
      <c r="C22" s="180" t="n"/>
      <c r="D22" s="358" t="n"/>
      <c r="E22" s="186" t="inlineStr">
        <is>
          <t>Rif. Pagina</t>
        </is>
      </c>
      <c r="F22" s="50" t="n">
        <v>14</v>
      </c>
      <c r="G22" s="50" t="n">
        <v>12</v>
      </c>
      <c r="H22" s="50" t="n"/>
      <c r="I22" s="50" t="n"/>
      <c r="J22" s="50" t="n">
        <v>1</v>
      </c>
      <c r="K22" s="50" t="n"/>
      <c r="L22" s="50" t="n"/>
    </row>
    <row r="23" outlineLevel="2" ht="409.5" customHeight="1" s="594">
      <c r="A23" s="179" t="n"/>
      <c r="B23" s="386" t="n"/>
      <c r="C23" s="180" t="n"/>
      <c r="D23" s="108" t="n"/>
      <c r="E23" s="186" t="inlineStr">
        <is>
          <t>Requisiti specifici</t>
        </is>
      </c>
      <c r="F23" s="85" t="inlineStr">
        <is>
          <t>Europe.CONCEPT.392: in caso di bypass DNRA, limite velocità a 200 km/h
Europe.CONCEPT.355: evento di warning se Temp gearbox &gt;= 145 °C</t>
        </is>
      </c>
      <c r="G23" s="85"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3" s="50" t="n"/>
      <c r="I23" s="50" t="n"/>
      <c r="J23" s="50" t="inlineStr">
        <is>
          <t>TBD</t>
        </is>
      </c>
      <c r="K23" s="50" t="n"/>
      <c r="L23" s="50" t="n"/>
    </row>
    <row r="24" outlineLevel="1" s="594">
      <c r="A24" s="179" t="n"/>
      <c r="B24" s="386" t="n"/>
      <c r="C24" s="158" t="inlineStr">
        <is>
          <t>CONFIG</t>
        </is>
      </c>
      <c r="D24" s="158" t="inlineStr">
        <is>
          <t>FPD_xx</t>
        </is>
      </c>
      <c r="E24" s="185" t="inlineStr">
        <is>
          <t>Link</t>
        </is>
      </c>
      <c r="F24" s="314">
        <f t="array" ref="F24">HYPERLINK(CONCATENATE(Cartelle!$D$5,F$1,"/",$C24,"/",MID($D24,1,FIND("_",$D24)-1),"/",INDIRECT(CONCATENATE("'" &amp; $C24 &amp; "'!",ADDRESS(MATCH($D24, INDIRECT("'" &amp; $C24 &amp; "'!$B:$B"), 0),MATCH(F$1, INDIRECT("'" &amp; $C24 &amp; "'!$1:$1"), 0)))),".pdf#page=",F25),CONCATENATE("#Sharepoint//",$D24))</f>
        <v/>
      </c>
      <c r="G24" s="158" t="n"/>
      <c r="H24" s="158" t="n"/>
      <c r="I24" s="158" t="n"/>
      <c r="J24" s="314">
        <f t="array" ref="J24">HYPERLINK(CONCATENATE(Cartelle!$D$5,J$1,"/CONFIG/",MID($D24,1,FIND("_",$D24)-1),"/",INDIRECT(CONCATENATE("'CONFIG'!",ADDRESS(MATCH($D24, CONFIG!$B:$B, 0),MATCH(J$1, CONFIG!$1:$1, 0)))),".pdf#page=",J25),CONCATENATE("#Sharepoint//",$D24))</f>
        <v/>
      </c>
      <c r="K24" s="158" t="n"/>
      <c r="L24" s="158" t="n"/>
    </row>
    <row r="25" outlineLevel="2" s="594">
      <c r="A25" s="179" t="n"/>
      <c r="B25" s="180" t="n"/>
      <c r="C25" s="180" t="n"/>
      <c r="D25" s="50" t="n"/>
      <c r="E25" s="186" t="inlineStr">
        <is>
          <t>Rif. Pagina</t>
        </is>
      </c>
      <c r="F25" s="50" t="n">
        <v>1</v>
      </c>
      <c r="G25" s="50" t="n"/>
      <c r="H25" s="50" t="n"/>
      <c r="I25" s="50" t="n"/>
      <c r="J25" s="50" t="n">
        <v>1</v>
      </c>
      <c r="K25" s="50" t="n"/>
      <c r="L25" s="50" t="n"/>
    </row>
    <row r="26">
      <c r="A26" s="426" t="inlineStr">
        <is>
          <t>Func_XXX</t>
        </is>
      </c>
      <c r="B26" s="426" t="inlineStr">
        <is>
          <t>xxxxx</t>
        </is>
      </c>
      <c r="C26" s="427" t="inlineStr">
        <is>
          <t>HW  + SW</t>
        </is>
      </c>
      <c r="D26" s="164" t="inlineStr">
        <is>
          <t>\</t>
        </is>
      </c>
      <c r="E26" s="428" t="n"/>
      <c r="F26" s="429" t="n"/>
      <c r="G26" s="429" t="n"/>
      <c r="H26" s="429" t="n"/>
      <c r="I26" s="429" t="n"/>
      <c r="J26" s="429" t="n"/>
      <c r="K26" s="429" t="n"/>
      <c r="L26" s="430" t="n"/>
    </row>
    <row r="27" outlineLevel="1" s="594">
      <c r="A27" s="181" t="n"/>
      <c r="B27" s="182" t="n"/>
      <c r="C27" s="158" t="inlineStr">
        <is>
          <t>CONFIG</t>
        </is>
      </c>
      <c r="D27" s="158" t="inlineStr">
        <is>
          <t>FS_DM1</t>
        </is>
      </c>
      <c r="E27" s="185" t="inlineStr">
        <is>
          <t>Link</t>
        </is>
      </c>
      <c r="F27" s="314">
        <f t="array" ref="F27">HYPERLINK(CONCATENATE(Cartelle!$D$5,F$1,"/",$C27,"/",MID($D27,1,FIND("_",$D27)-1),"/",INDIRECT(CONCATENATE("'" &amp; $C27 &amp; "'!",ADDRESS(MATCH($D27, INDIRECT("'" &amp; $C27 &amp; "'!$B:$B"), 0),MATCH(F$1, INDIRECT("'" &amp; $C27 &amp; "'!$1:$1"), 0)))),".",INDIRECT(CONCATENATE("'"&amp;$C27&amp;"'!",ADDRESS(MATCH($D27,INDIRECT("'"&amp;$C27&amp;"'!$B:$B"),0),3))),"#page=",F28),CONCATENATE("#Sharepoint//",$D27))</f>
        <v/>
      </c>
      <c r="G27" s="158" t="n"/>
      <c r="H27" s="158" t="n"/>
      <c r="I27" s="158" t="n"/>
      <c r="J27" s="314">
        <f t="array" ref="J27">HYPERLINK(CONCATENATE(Cartelle!$D$5,INDEX(INDIRECT("'" &amp; $C27 &amp; "'!$1:$1"), 1, MATCH(INDIRECT(CONCATENATE("'" &amp; $C27 &amp; "'!",ADDRESS(MATCH($D27, INDIRECT("'" &amp; $C27 &amp; "'!$B:$B"), 0),MATCH(J$1, INDIRECT("'" &amp; $C27 &amp; "'!$1:$1"), 0)))),INDIRECT(CONCATENATE("'" &amp; $C27 &amp; "'!",MATCH($D27, INDIRECT("'" &amp; $C27 &amp; "'!$B:$B"), 0),":",MATCH($D27, INDIRECT("'" &amp; $C27 &amp; "'!$B:$B"), 0))),0)),"/",$C27,"/",MID($D27,1,FIND("_",$D27)-1),"/",INDIRECT(CONCATENATE("'" &amp; $C27 &amp; "'!",ADDRESS(MATCH($D27, INDIRECT("'" &amp; $C27 &amp; "'!$B:$B"), 0),MATCH(J$1, INDIRECT("'" &amp; $C27 &amp; "'!$1:$1"), 0)))),".",INDIRECT(CONCATENATE("'"&amp;$C27&amp;"'!",ADDRESS(MATCH($D27,INDIRECT("'"&amp;$C27&amp;"'!$B:$B"),0),3))),"#page=",J28),CONCATENATE("#Sharepoint//",$D27))</f>
        <v/>
      </c>
      <c r="K27" s="157" t="n"/>
      <c r="L27" s="158" t="n"/>
    </row>
    <row r="28" outlineLevel="2" s="594">
      <c r="A28" s="183" t="n"/>
      <c r="B28" s="184">
        <f t="array" ref="B28">INDIRECT("'" &amp; $C33 &amp; "'!B5")</f>
        <v/>
      </c>
      <c r="C28" s="178" t="n"/>
      <c r="D28" s="50" t="n"/>
      <c r="E28" s="186" t="inlineStr">
        <is>
          <t>Rif. Pagina</t>
        </is>
      </c>
      <c r="F28" s="50" t="n">
        <v>1</v>
      </c>
      <c r="G28" s="50" t="n"/>
      <c r="H28" s="50" t="n"/>
      <c r="I28" s="50" t="n"/>
      <c r="J28" s="50" t="n">
        <v>1</v>
      </c>
      <c r="K28" s="85" t="n"/>
      <c r="L28" s="50" t="n"/>
    </row>
    <row r="29" outlineLevel="1" s="594">
      <c r="A29" s="183" t="n"/>
      <c r="B29" s="184" t="n"/>
      <c r="C29" s="158" t="inlineStr">
        <is>
          <t>CONFIG</t>
        </is>
      </c>
      <c r="D29" s="158" t="inlineStr">
        <is>
          <t>FRS_xx</t>
        </is>
      </c>
      <c r="E29" s="185" t="inlineStr">
        <is>
          <t>Link</t>
        </is>
      </c>
      <c r="F29" s="314">
        <f t="array" ref="F29">HYPERLINK(CONCATENATE(Cartelle!$D$5,F$1,"/CONFIG/",MID($D29,1,FIND("_",$D29)-1),"/",INDIRECT(CONCATENATE("'CONFIG'!",ADDRESS(MATCH($D29, CONFIG!$B:$B, 0),MATCH(F$1, CONFIG!$1:$1, 0)))),".pdf#page=",F30),CONCATENATE("#Sharepoint//",$D29))</f>
        <v/>
      </c>
      <c r="G29" s="158" t="n"/>
      <c r="H29" s="158" t="n"/>
      <c r="I29" s="158" t="n"/>
      <c r="J29" s="314">
        <f t="array" ref="J29">HYPERLINK(CONCATENATE(Cartelle!$D$5,J$1,"/CONFIG/",MID($D29,1,FIND("_",$D29)-1),"/",INDIRECT(CONCATENATE("'CONFIG'!",ADDRESS(MATCH($D29, CONFIG!$B:$B, 0),MATCH(J$1, CONFIG!$1:$1, 0)))),".pdf#page=",J30),CONCATENATE("#Sharepoint//",$D29))</f>
        <v/>
      </c>
      <c r="K29" s="158" t="n"/>
      <c r="L29" s="158" t="n"/>
    </row>
    <row r="30" outlineLevel="2" s="594">
      <c r="A30" s="183" t="n"/>
      <c r="B30" s="184" t="n"/>
      <c r="C30" s="178" t="n"/>
      <c r="D30" s="50" t="n"/>
      <c r="E30" s="186" t="inlineStr">
        <is>
          <t>Rif. Pagina</t>
        </is>
      </c>
      <c r="F30" s="50" t="n">
        <v>1</v>
      </c>
      <c r="G30" s="50" t="n"/>
      <c r="H30" s="50" t="n"/>
      <c r="I30" s="50" t="n"/>
      <c r="J30" s="50" t="n">
        <v>1</v>
      </c>
      <c r="K30" s="50" t="n"/>
      <c r="L30" s="50" t="n"/>
    </row>
    <row r="31" outlineLevel="1" s="594">
      <c r="A31" s="183" t="n"/>
      <c r="B31" s="184" t="n"/>
      <c r="C31" s="158" t="inlineStr">
        <is>
          <t>CONFIG</t>
        </is>
      </c>
      <c r="D31" s="158" t="inlineStr">
        <is>
          <t>FPD_xx</t>
        </is>
      </c>
      <c r="E31" s="185" t="inlineStr">
        <is>
          <t>Link</t>
        </is>
      </c>
      <c r="F31" s="314">
        <f t="array" ref="F31">HYPERLINK(CONCATENATE(Cartelle!$D$5,F$1,"/CONFIG/",MID($D31,1,FIND("_",$D31)-1),"/",INDIRECT(CONCATENATE("'CONFIG'!",ADDRESS(MATCH($D31, CONFIG!$B:$B, 0),MATCH(F$1, CONFIG!$1:$1, 0)))),".pdf#page=",F32),CONCATENATE("#Sharepoint//",$D31))</f>
        <v/>
      </c>
      <c r="G31" s="158" t="n"/>
      <c r="H31" s="158" t="n"/>
      <c r="I31" s="158" t="n"/>
      <c r="J31" s="314">
        <f t="array" ref="J31">HYPERLINK(CONCATENATE(Cartelle!$D$5,J$1,"/CONFIG/",MID($D31,1,FIND("_",$D31)-1),"/",INDIRECT(CONCATENATE("'CONFIG'!",ADDRESS(MATCH($D31, CONFIG!$B:$B, 0),MATCH(J$1, CONFIG!$1:$1, 0)))),".pdf#page=",J32),CONCATENATE("#Sharepoint//",$D31))</f>
        <v/>
      </c>
      <c r="K31" s="158" t="n"/>
      <c r="L31" s="158" t="n"/>
    </row>
    <row r="32" outlineLevel="2" s="594">
      <c r="A32" s="183" t="n"/>
      <c r="B32" s="184" t="n"/>
      <c r="C32" s="184" t="n"/>
      <c r="D32" s="50" t="n"/>
      <c r="E32" s="186" t="inlineStr">
        <is>
          <t>Rif. Pagina</t>
        </is>
      </c>
      <c r="F32" s="50" t="n">
        <v>1</v>
      </c>
      <c r="G32" s="50" t="n"/>
      <c r="H32" s="50" t="n"/>
      <c r="I32" s="50" t="n"/>
      <c r="J32" s="50" t="n">
        <v>1</v>
      </c>
      <c r="K32" s="50" t="n"/>
      <c r="L32" s="50" t="n"/>
    </row>
    <row r="33" outlineLevel="1" s="594">
      <c r="A33" s="116" t="n"/>
      <c r="B33" s="144" t="n"/>
      <c r="C33" s="158" t="inlineStr">
        <is>
          <t>MAN_CPR</t>
        </is>
      </c>
      <c r="D33" s="164" t="inlineStr">
        <is>
          <t>PBC_01A</t>
        </is>
      </c>
      <c r="E33" s="191" t="inlineStr">
        <is>
          <t>Link</t>
        </is>
      </c>
      <c r="F33" s="314">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14">
        <f t="array" ref="G33">HYPERLINK(CONCATENATE(Cartelle!$D$5,INDEX(INDIRECT("'" &amp; $C33 &amp; "'!$1:$1"), 1, MATCH(INDIRECT(CONCATENATE("'" &amp; $C33 &amp; "'!",ADDRESS(MATCH($D33, INDIRECT("'" &amp; $C33 &amp; "'!$B:$B"), 0),MATCH(G$1, INDIRECT("'" &amp; $C33 &amp; "'!$1:$1"), 0)))),INDIRECT(CONCATENATE("'" &amp; $C33 &amp; "'!",MATCH($D33, INDIRECT("'" &amp; $C33 &amp; "'!$B:$B"), 0),":",MATCH($D33, INDIRECT("'" &amp; $C33 &amp; "'!$B:$B"), 0))),0)),"/",$C33,"/",MID($D33,1,FIND("_",$D33)-1),"/",INDIRECT(CONCATENATE("'" &amp; $C33 &amp; "'!",ADDRESS(MATCH($D33, INDIRECT("'" &amp; $C33 &amp; "'!$B:$B"), 0),MATCH(G$1, INDIRECT("'" &amp; $C33 &amp; "'!$1:$1"), 0)))),".",INDIRECT(CONCATENATE("'"&amp;$C33&amp;"'!",ADDRESS(MATCH($D33,INDIRECT("'"&amp;$C33&amp;"'!$B:$B"),0),3))),"#page=",G34),CONCATENATE("#Sharepoint//",$D33))</f>
        <v/>
      </c>
      <c r="H33" s="158" t="n"/>
      <c r="I33" s="158" t="n"/>
      <c r="J33" s="158" t="n"/>
      <c r="K33" s="158" t="n"/>
      <c r="L33" s="158" t="n"/>
    </row>
    <row r="34" outlineLevel="2" s="594">
      <c r="A34" s="116" t="n"/>
      <c r="B34" s="144" t="n"/>
      <c r="D34" s="358" t="n"/>
      <c r="E34" s="186" t="inlineStr">
        <is>
          <t>Rif. Pagina</t>
        </is>
      </c>
      <c r="F34" s="50" t="n">
        <v>1</v>
      </c>
      <c r="G34" s="50" t="n">
        <v>1</v>
      </c>
      <c r="H34" s="50" t="n"/>
      <c r="I34" s="50" t="n"/>
      <c r="J34" s="50" t="n"/>
      <c r="K34" s="50" t="n"/>
      <c r="L34" s="50" t="n"/>
    </row>
    <row r="35" outlineLevel="2" s="594">
      <c r="A35" s="116" t="n"/>
      <c r="B35" s="144" t="n"/>
      <c r="D35" s="108" t="n"/>
      <c r="E35" s="85" t="inlineStr">
        <is>
          <t>Descrizione</t>
        </is>
      </c>
      <c r="F35" s="50" t="n"/>
      <c r="G35" s="50" t="n"/>
      <c r="H35" s="50" t="n"/>
      <c r="I35" s="50" t="n"/>
      <c r="J35" s="50" t="n"/>
      <c r="K35" s="50" t="n"/>
      <c r="L35" s="50" t="n"/>
    </row>
    <row r="36" outlineLevel="1" s="594">
      <c r="A36" s="116" t="n"/>
      <c r="B36" s="144" t="n"/>
      <c r="C36" s="158" t="inlineStr">
        <is>
          <t>DIAGNOSTIC</t>
        </is>
      </c>
      <c r="D36" s="164" t="inlineStr">
        <is>
          <t>DIA_Regole</t>
        </is>
      </c>
      <c r="E36" s="191" t="inlineStr">
        <is>
          <t>Link</t>
        </is>
      </c>
      <c r="F36" s="314">
        <f t="array" ref="F36">HYPERLINK(CONCATENATE(Cartelle!$D$5,F$1,"/",$C36,"/",MID($D36,1,FIND("_",$D36)-1),"/",INDIRECT(CONCATENATE("'" &amp; $C36 &amp; "'!",ADDRESS(MATCH($D36, INDIRECT("'" &amp; $C36 &amp; "'!$B:$B"), 0),MATCH(F$1, INDIRECT("'" &amp; $C36 &amp; "'!$1:$1"), 0)))),".",INDIRECT(CONCATENATE("'"&amp;$C36&amp;"'!",ADDRESS(MATCH($D36,INDIRECT("'"&amp;$C36&amp;"'!$B:$B"),0),3))),"#page=",F37),CONCATENATE("#Sharepoint//",$D36))</f>
        <v/>
      </c>
      <c r="G36" s="158" t="n"/>
      <c r="H36" s="158" t="n"/>
      <c r="I36" s="158" t="n"/>
      <c r="J36" s="158" t="n"/>
      <c r="K36" s="158" t="n"/>
      <c r="L36" s="158" t="n"/>
    </row>
    <row r="37" outlineLevel="2" s="594">
      <c r="A37" s="116" t="n"/>
      <c r="B37" s="144" t="n"/>
      <c r="D37" s="358" t="n"/>
      <c r="E37" s="85" t="inlineStr">
        <is>
          <t>Pagina</t>
        </is>
      </c>
      <c r="F37" s="50" t="n">
        <v>1</v>
      </c>
      <c r="G37" s="50" t="n"/>
      <c r="H37" s="50" t="n"/>
      <c r="I37" s="50" t="n"/>
      <c r="J37" s="50" t="n"/>
      <c r="K37" s="50" t="n"/>
      <c r="L37" s="50" t="n"/>
    </row>
    <row r="38" outlineLevel="1" s="594">
      <c r="A38" s="116" t="n"/>
      <c r="B38" s="387" t="inlineStr">
        <is>
          <t>TBD Sottocartelle GENERAL sulla base del prefisso</t>
        </is>
      </c>
      <c r="C38" s="158" t="inlineStr">
        <is>
          <t>GENERAL</t>
        </is>
      </c>
      <c r="D38" s="164" t="inlineStr">
        <is>
          <t>FD_TCMS</t>
        </is>
      </c>
      <c r="E38" s="191" t="inlineStr">
        <is>
          <t>Link</t>
        </is>
      </c>
      <c r="F38" s="462">
        <f t="array" ref="F38">HYPERLINK(CONCATENATE(Cartelle!$D$5,F$1,"/",$C38,"/",MID($D38,1,FIND("_",$D38)-1),"/",INDIRECT(CONCATENATE("'" &amp; $C38 &amp; "'!",ADDRESS(MATCH($D38, INDIRECT("'" &amp; $C38 &amp; "'!$B:$B"), 0),MATCH(F$1, INDIRECT("'" &amp; $C38 &amp; "'!$1:$1"), 0)))),".",INDIRECT(CONCATENATE("'"&amp;$C38&amp;"'!",ADDRESS(MATCH($D38,INDIRECT("'"&amp;$C38&amp;"'!$B:$B"),0),3))),"#page=",F39),CONCATENATE("#Sharepoint//",$D38))</f>
        <v/>
      </c>
      <c r="G38" s="158" t="n"/>
      <c r="H38" s="158" t="n"/>
      <c r="I38" s="158" t="n"/>
      <c r="J38" s="158" t="n"/>
      <c r="K38" s="158" t="n"/>
      <c r="L38" s="158" t="n"/>
    </row>
    <row r="39" outlineLevel="2" s="594">
      <c r="A39" s="116" t="n"/>
      <c r="B39" s="144" t="n"/>
      <c r="D39" s="358" t="n"/>
      <c r="E39" s="85" t="inlineStr">
        <is>
          <t>Pagina</t>
        </is>
      </c>
      <c r="F39" s="50" t="n">
        <v>1</v>
      </c>
      <c r="G39" s="50" t="n"/>
      <c r="H39" s="50" t="n"/>
      <c r="I39" s="50" t="n"/>
      <c r="J39" s="50" t="n"/>
      <c r="K39" s="50" t="n"/>
      <c r="L39" s="50" t="n"/>
    </row>
    <row r="40" ht="30" customHeight="1" s="594">
      <c r="A40" s="176" t="inlineStr">
        <is>
          <t>LV_Country_code_selection</t>
        </is>
      </c>
      <c r="B40" s="176" t="inlineStr">
        <is>
          <t>Selezione su IDU del paese corrente, per informare la PCU sui pantografi selezionabili</t>
        </is>
      </c>
      <c r="C40" s="392" t="n"/>
      <c r="D40" s="187" t="inlineStr">
        <is>
          <t>\</t>
        </is>
      </c>
      <c r="E40" s="160" t="n"/>
      <c r="F40" s="161" t="n"/>
      <c r="G40" s="161" t="n"/>
      <c r="H40" s="161" t="n"/>
      <c r="I40" s="161" t="n"/>
      <c r="J40" s="161" t="n"/>
      <c r="K40" s="161" t="n"/>
      <c r="L40" s="162" t="n"/>
    </row>
    <row r="41" outlineLevel="1" s="594">
      <c r="A41" s="181" t="n"/>
      <c r="B41" s="182" t="n"/>
      <c r="C41" s="158" t="inlineStr">
        <is>
          <t>CONFIG</t>
        </is>
      </c>
      <c r="D41" s="158" t="inlineStr">
        <is>
          <t>FRS_Line Voltage</t>
        </is>
      </c>
      <c r="E41" s="185" t="inlineStr">
        <is>
          <t>Link</t>
        </is>
      </c>
      <c r="F41" s="314">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79" t="n"/>
      <c r="H41" s="314">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14">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14">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157" t="n"/>
      <c r="L41" s="158" t="n"/>
    </row>
    <row r="42" outlineLevel="2" s="594">
      <c r="A42" s="183" t="n"/>
      <c r="B42" s="184" t="n"/>
      <c r="C42" s="184" t="n"/>
      <c r="D42" s="50" t="n"/>
      <c r="E42" s="186" t="inlineStr">
        <is>
          <t>Rif. Pagina</t>
        </is>
      </c>
      <c r="F42" s="50" t="n">
        <v>7</v>
      </c>
      <c r="G42" s="50" t="n"/>
      <c r="H42" s="50" t="n">
        <v>7</v>
      </c>
      <c r="I42" s="50" t="n">
        <v>7</v>
      </c>
      <c r="J42" s="50" t="n">
        <v>12</v>
      </c>
      <c r="K42" s="85" t="n"/>
      <c r="L42" s="50" t="n"/>
    </row>
    <row r="43" outlineLevel="2" s="594">
      <c r="A43" s="183" t="n"/>
      <c r="B43" s="184" t="n"/>
      <c r="C43" s="184" t="n"/>
      <c r="D43" s="434" t="n"/>
      <c r="E43" s="455" t="inlineStr">
        <is>
          <t>Funzioni AI</t>
        </is>
      </c>
      <c r="F43" s="637" t="inlineStr">
        <is>
          <t>La funzione ferroviaria LV_Country_code_selection è una selezione su IDU del paese corrente per informare la PCU sui pantografi selezionabili. Coinvolti sono il sistema di controllo elettronico (IDU), la PCU (Power Control Unit) e il sistema di propulsione. La funzione viene attivata quando il driver seleziona un paese corrente dall'IDU, che viene poi inviato alle PCU per configurare i pantografi appropriati. In caso di fallimento, il sistema deve essere rilevato e corretto dal driver.
Analisi — Funzione equivalente tra le seguenti configurazioni: VZI_Base, VZ_FR, VZ_ES, VZI-6_R1.
Pagina iniziale: 7 — Pagina finale: 17.</t>
        </is>
      </c>
      <c r="G43" s="456" t="n"/>
      <c r="H43" s="637" t="inlineStr">
        <is>
          <t>La funzione ferroviaria LV_Country_code_selection è una selezione su IDU del paese corrente per informare la PCU sui pantografi selezionabili. È coinvolta nella gestione della configurazione elettrica del treno, specificamente per la scelta del paese di operazione che influenza la selezione dei pantografi adatto alla linea di corrente. La funzione è attivata quando il driver seleziona un paese dal IDU, e invia il codice di paese selezionato alle PCU del treno per configurare i pantografi in base al tipo di corrente utilizzata nella zona operativa.
Analisi — Funzione equivalente tra le seguenti configurazioni: VZI_Base, VZ_FR, VZ_ES, VZI-6_R1.
Pagina iniziale: 7 — Pagina finale: 17.</t>
        </is>
      </c>
      <c r="I43" s="637" t="inlineStr">
        <is>
          <t>La funzione ferroviaria LV_Country_code_selection seleziona l'IDU del paese corrente per informare la PCU sui pantografi selezionabili. Coinvolti sono il sistema di gestione dell'IDU, la PCU e i componenti elettrici/meccanici del treno. La funzione è attivata quando si seleziona un paese diverso da quello previsto, con una logica di funzionamento che invia l'informazione al sistema di gestione dell'IDU e alla PCU. La funzione è progettata per garantire la sicurezza e la conformità alle normative, con requisiti di SIL 2 e ridondanze per evitare errori o fallimenti.
Analisi — Funzione equivalente tra le seguenti configurazioni: VZI_Base, VZ_FR, VZ_ES, VZI-6_R1.
Pagina iniziale: 7 — Pagina finale: 17.</t>
        </is>
      </c>
      <c r="J43" s="637" t="inlineStr">
        <is>
          <t>La funzione ferroviaria LV_Country_code_selection è una selezione su IDU del paese corrente per informare la PCU sui pantografi selezionabili. Coinvolti sono il sistema di gestione della velocità (TCMS), l'IDU (Interface Device Unit) e la PCU (Power Control Unit). La funzione è attivata quando si seleziona un paese non italiano, in cui caso viene visualizzato un messaggio all'operatore. La logica di funzionamento prevede la verifica della disponibilità del paese selezionato e l'invio di una notifica al driver se il paese è non disponibile.
Analisi — Funzione equivalente tra le seguenti configurazioni: VZI_Base, VZ_FR, VZ_ES, VZI-6_R1.
Pagina iniziale: 12 — Pagina finale: 22.</t>
        </is>
      </c>
      <c r="K43" s="455" t="n"/>
      <c r="L43" s="457" t="n"/>
    </row>
    <row r="44" ht="30" customHeight="1" s="594">
      <c r="A44" s="176" t="inlineStr">
        <is>
          <t>LV_Pantograph_Lifting</t>
        </is>
      </c>
      <c r="B44" s="176" t="inlineStr">
        <is>
          <t>Comando di alzamento pantografo 1 o 2 sulla base di tensione di linea (switch) e paese (IDU) selezionati</t>
        </is>
      </c>
      <c r="C44" s="392" t="n"/>
      <c r="D44" s="187" t="inlineStr">
        <is>
          <t>\</t>
        </is>
      </c>
      <c r="E44" s="160" t="n"/>
      <c r="F44" s="161" t="n"/>
      <c r="G44" s="161" t="n"/>
      <c r="H44" s="161" t="n"/>
      <c r="I44" s="161" t="n"/>
      <c r="J44" s="161" t="n"/>
      <c r="K44" s="161" t="n"/>
      <c r="L44" s="162" t="n"/>
    </row>
    <row r="45" outlineLevel="1" s="594">
      <c r="A45" s="181" t="n"/>
      <c r="B45" s="182" t="n"/>
      <c r="C45" s="158" t="inlineStr">
        <is>
          <t>CONFIG</t>
        </is>
      </c>
      <c r="D45" s="158" t="inlineStr">
        <is>
          <t>FRS_Line Voltage</t>
        </is>
      </c>
      <c r="E45" s="185" t="inlineStr">
        <is>
          <t>Link</t>
        </is>
      </c>
      <c r="F45" s="314">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79" t="n"/>
      <c r="H45" s="314">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14">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14">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157" t="n"/>
      <c r="L45" s="158" t="n"/>
    </row>
    <row r="46" outlineLevel="2" s="594">
      <c r="A46" s="183" t="n"/>
      <c r="B46" s="184" t="n"/>
      <c r="C46" s="184" t="n"/>
      <c r="D46" s="50" t="n"/>
      <c r="E46" s="186" t="inlineStr">
        <is>
          <t>Rif. Pagina</t>
        </is>
      </c>
      <c r="F46" s="50" t="n">
        <v>8</v>
      </c>
      <c r="G46" s="50" t="n"/>
      <c r="H46" s="50" t="n">
        <v>8</v>
      </c>
      <c r="I46" s="50" t="n">
        <v>8</v>
      </c>
      <c r="J46" s="50" t="n">
        <v>13</v>
      </c>
      <c r="K46" s="85" t="n"/>
      <c r="L46" s="50" t="n"/>
    </row>
    <row r="47" outlineLevel="2" s="594">
      <c r="A47" s="183" t="n"/>
      <c r="B47" s="184" t="n"/>
      <c r="C47" s="184" t="n"/>
      <c r="D47" s="434" t="n"/>
      <c r="E47" s="455" t="inlineStr">
        <is>
          <t>Funzioni AI</t>
        </is>
      </c>
      <c r="F47" s="637" t="inlineStr">
        <is>
          <t>La funzione ferroviaria LV_Pantograph_Lifting è un comando che regola l'alzamento del pantografo 1 o 2 sulla base di tensione di linea e paese selezionati. I componenti principali coinvolti sono il sistema di controllo del pantografo, il sistema di gestione della tensione di linea e il sistema di comunicazione tra il Control Center e la Unità di Comando (PCU). La funzione è attivata quando il driver seleziona una line voltage system e un paese, e viene disattivata se non si verifica l'alzamento del pantografo entro 35 secondi. In caso di fallimento, il sistema invia segnali di allarme e blocca il pantografo.
Analisi — Funzione equivalente tra le seguenti configurazioni: VZI_Base, VZ_FR, VZ_ES, VZI-6_R1.
Pagina iniziale: 8 — Pagina finale: 18.</t>
        </is>
      </c>
      <c r="G47" s="456" t="n"/>
      <c r="H47" s="637" t="inlineStr">
        <is>
          <t>La funzione ferroviaria LV_Pantograph_Lifting è un comando che regola l'alzamento del pantografo 1 o 2 in base alla tensione di linea e al paese selezionati. I componenti principali coinvolti sono il sistema di controllo del pantografo, il sistema di gestione della tensione di linea e il sistema di comunicazione tra il Control Center e il Pantografo. La funzione è attivata quando il driver seleziona una line voltage system e un paese, e viene disattivata se non si verifica l'alzamento del pantografo entro 35 secondi o se si verificano condizioni di fallimento come la mancata risposta del pantografo o la presenza di un sistema di gestione della tensione di linea invalido.
Analisi — Funzione equivalente tra le seguenti configurazioni: VZI_Base, VZ_FR, VZ_ES, VZI-6_R1.
Pagina iniziale: 8 — Pagina finale: 18.</t>
        </is>
      </c>
      <c r="I47" s="637" t="inlineStr">
        <is>
          <t>La funzione ferroviaria LV_Pantograph_Lifting è un comando che controlla l'alzamento del pantografo 1 o 2 in base alla tensione di linea e al paese selezionati. I componenti principali coinvolti sono il sistema di controllo del pantografo, la console di guida (PCU) e il sistema di gestione della tensione di linea (TCMS). La funzione è attivata quando il driver seleziona una line voltage system e un paese corretto, e viene eseguita automaticamente o manualmente. In caso di fallimento, la funzione verifica se il pantografo non si alza dopo 35 secondi e se la pressione del serbatoio è superiore a 750 kPa.
Analisi — Funzione equivalente tra le seguenti configurazioni: VZI_Base, VZ_FR, VZ_ES, VZI-6_R1.
Pagina iniziale: 8 — Pagina finale: 18.</t>
        </is>
      </c>
      <c r="J47" s="637" t="inlineStr">
        <is>
          <t>La funzione ferroviaria LV_Pantograph_Lifting è un comando che controlla l'alzamento del pantografo 1 o 2 sulla base di tensione di linea (switch) e paese (IDU) selezionati, utilizzando il sistema TCMS. La logica di funzionamento attiva il comando in base alla validazione del paese selezionato e alla presenza di una corretta tensione di linea, mentre l'eventuale ridondanza è garantita dalla comunicazione con i PCU (Pantograph Control) e HVSP (High Voltage Switching Panel).
Analisi — Funzione equivalente tra le seguenti configurazioni: VZI_Base, VZ_FR, VZ_ES, VZI-6_R1.
Pagina iniziale: 13 — Pagina finale: 23.</t>
        </is>
      </c>
      <c r="K47" s="455" t="n"/>
      <c r="L47" s="457" t="n"/>
    </row>
    <row r="48" ht="30" customHeight="1" s="594">
      <c r="A48" s="176" t="inlineStr">
        <is>
          <t>LV_Pantograph_Lowering</t>
        </is>
      </c>
      <c r="B48" s="176" t="inlineStr">
        <is>
          <t>Comando di abbassamento pantografo manuale/automatico</t>
        </is>
      </c>
      <c r="C48" s="392" t="n"/>
      <c r="D48" s="187" t="inlineStr">
        <is>
          <t>\</t>
        </is>
      </c>
      <c r="E48" s="160" t="n"/>
      <c r="F48" s="161" t="n"/>
      <c r="G48" s="161" t="n"/>
      <c r="H48" s="161" t="n"/>
      <c r="I48" s="161" t="n"/>
      <c r="J48" s="161" t="n"/>
      <c r="K48" s="161" t="n"/>
      <c r="L48" s="162" t="n"/>
    </row>
    <row r="49" outlineLevel="1" s="594">
      <c r="A49" s="181" t="n"/>
      <c r="B49" s="182" t="n"/>
      <c r="C49" s="158" t="inlineStr">
        <is>
          <t>CONFIG</t>
        </is>
      </c>
      <c r="D49" s="158" t="inlineStr">
        <is>
          <t>FRS_Line Voltage</t>
        </is>
      </c>
      <c r="E49" s="185" t="inlineStr">
        <is>
          <t>Link</t>
        </is>
      </c>
      <c r="F49" s="314">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79" t="n"/>
      <c r="H49" s="314">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14">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14">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157" t="n"/>
      <c r="L49" s="158" t="n"/>
    </row>
    <row r="50" outlineLevel="2" s="594">
      <c r="A50" s="183" t="n"/>
      <c r="B50" s="184" t="n"/>
      <c r="C50" s="184" t="n"/>
      <c r="D50" s="50" t="n"/>
      <c r="E50" s="186" t="inlineStr">
        <is>
          <t>Rif. Pagina</t>
        </is>
      </c>
      <c r="F50" s="50" t="n">
        <v>14</v>
      </c>
      <c r="G50" s="50" t="n"/>
      <c r="H50" s="50" t="n">
        <v>16</v>
      </c>
      <c r="I50" s="50" t="n">
        <v>14</v>
      </c>
      <c r="J50" s="50" t="n">
        <v>19</v>
      </c>
      <c r="K50" s="85" t="n"/>
      <c r="L50" s="50" t="n"/>
    </row>
    <row r="51" outlineLevel="2" s="594">
      <c r="A51" s="183" t="n"/>
      <c r="B51" s="184" t="n"/>
      <c r="C51" s="184" t="n"/>
      <c r="D51" s="434" t="n"/>
      <c r="E51" s="455" t="inlineStr">
        <is>
          <t>Funzioni AI</t>
        </is>
      </c>
      <c r="F51" s="637" t="inlineStr">
        <is>
          <t>La funzione ferroviaria LV_Pantograph_Lowering (Comando di abbassamento pantografo) è finalizzata a ridurre il pantografo in modo sicuro e controllato quando si deattiva la linea elettrica. La funzione coinvolge il sistema elettrico, meccanico e software del treno, con l'uso di comandi manuali o automatici (come il pulsante di emergenza) per attivare la riduzione del pantografo. La logica di funzionamento prevede l'interruzione dei circuitti di corrente prima dell'abbassamento del pantografo, tranne in caso di emergenza. La funzione è progettata con un livello di sicurezza SIL 0 e prevede la bloccatura del pantografo in caso di fallimento per garantire la sicurezza del treno.
Analisi — Funzione equivalente tra le seguenti configurazioni: VZI_Base, VZ_FR, VZ_ES, VZI-6_R1.
Pagina iniziale: 14 — Pagina finale: 24.</t>
        </is>
      </c>
      <c r="G51" s="456" t="n"/>
      <c r="H51" s="637" t="inlineStr">
        <is>
          <t>La funzione ferroviaria LV_Pantograph_Lowering (Comando di abbassamento pantografo) è un comando manuale/automatico che attiva l'abbassamento del pantografo in caso di deattivazione della linea elettrica o di emergenza. I componenti principali coinvolti sono il sistema di controllo elettronico, il sistema di sicurezza e i comandi manuali (pantograph down, pulsante d'emergenza). La funzione è attivata quando la linea elettrica viene deattivata o in caso di emergenza, e il pantografo viene abbassato per evitare la scossa elettromagnetica. La funzione è progettata con un livello di sicurezza SIL 0 e prevede la presenza di comandi manuali per garantire la sicurezza in caso di fallimento del sistema.
Analisi — Funzione equivalente tra le seguenti configurazioni: VZI_Base, VZ_FR, VZ_ES, VZI-6_R1.
Pagina iniziale: 16 — Pagina finale: 26.</t>
        </is>
      </c>
      <c r="I51" s="465" t="n"/>
      <c r="J51" s="465" t="n"/>
      <c r="K51" s="455" t="n"/>
      <c r="L51" s="457" t="n"/>
    </row>
    <row r="52" ht="30" customFormat="1" customHeight="1" s="13">
      <c r="A52" s="315" t="inlineStr">
        <is>
          <t>LV_Automatic_Dropping_Device_(ADD)</t>
        </is>
      </c>
      <c r="B52" s="316" t="inlineStr">
        <is>
          <t>Dispositivo di abbassamento automatico del pantografo in caso di guasto</t>
        </is>
      </c>
      <c r="C52" s="393" t="n"/>
      <c r="D52" s="359" t="inlineStr">
        <is>
          <t>\</t>
        </is>
      </c>
      <c r="E52" s="317" t="n"/>
      <c r="F52" s="318" t="n"/>
      <c r="G52" s="318" t="n"/>
      <c r="H52" s="318" t="n"/>
      <c r="I52" s="318" t="n"/>
      <c r="J52" s="318" t="n"/>
      <c r="K52" s="318" t="n"/>
      <c r="L52" s="319" t="n"/>
    </row>
    <row r="53" outlineLevel="1" customFormat="1" s="13">
      <c r="B53" s="103" t="n"/>
      <c r="C53" s="158" t="inlineStr">
        <is>
          <t>CONFIG</t>
        </is>
      </c>
      <c r="D53" s="158" t="inlineStr">
        <is>
          <t>FRS_Line Voltage</t>
        </is>
      </c>
      <c r="E53" s="185" t="inlineStr">
        <is>
          <t>Link</t>
        </is>
      </c>
      <c r="F53" s="314">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79" t="n"/>
      <c r="H53" s="314">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14">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14">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11" t="n"/>
      <c r="L53" s="311" t="n"/>
    </row>
    <row r="54" outlineLevel="2" customFormat="1" s="13">
      <c r="B54" s="103" t="n"/>
      <c r="C54" s="542" t="n"/>
      <c r="D54" s="361" t="n"/>
      <c r="E54" s="321" t="inlineStr">
        <is>
          <t>Rif. Pagina</t>
        </is>
      </c>
      <c r="F54" s="322" t="n">
        <v>16</v>
      </c>
      <c r="G54" s="322" t="n"/>
      <c r="H54" s="322" t="n">
        <v>18</v>
      </c>
      <c r="I54" s="322" t="n">
        <v>16</v>
      </c>
      <c r="J54" s="322" t="n">
        <v>22</v>
      </c>
      <c r="K54" s="322" t="n"/>
      <c r="L54" s="322" t="n"/>
    </row>
    <row r="55" outlineLevel="2" customFormat="1" s="13">
      <c r="B55" s="103" t="n"/>
      <c r="C55" s="542" t="n"/>
      <c r="D55" s="458" t="n"/>
      <c r="E55" s="459" t="inlineStr">
        <is>
          <t>Funzioni AI</t>
        </is>
      </c>
      <c r="F55" s="465" t="n"/>
      <c r="G55" s="460" t="n"/>
      <c r="H55" s="465" t="n"/>
      <c r="I55" s="465" t="n"/>
      <c r="J55" s="465" t="n"/>
      <c r="K55" s="460" t="n"/>
      <c r="L55" s="461" t="n"/>
    </row>
    <row r="56" ht="45" customFormat="1" customHeight="1" s="13">
      <c r="A56" s="315" t="inlineStr">
        <is>
          <t>LV_Pantograph_Interlock</t>
        </is>
      </c>
      <c r="B56" s="323" t="inlineStr">
        <is>
          <t>Interblocco automatico dei pantografi in caso di guasto rilevato. Il Pdc può bloccare anche manualmente un pantografo per impedirne la selezione</t>
        </is>
      </c>
      <c r="C56" s="393" t="n"/>
      <c r="D56" s="359" t="inlineStr">
        <is>
          <t>\</t>
        </is>
      </c>
      <c r="E56" s="317" t="n"/>
      <c r="F56" s="318" t="n"/>
      <c r="G56" s="318" t="n"/>
      <c r="H56" s="318" t="n"/>
      <c r="I56" s="318" t="n"/>
      <c r="J56" s="318" t="n"/>
      <c r="K56" s="318" t="n"/>
      <c r="L56" s="319" t="n"/>
    </row>
    <row r="57" outlineLevel="1" customFormat="1" s="13">
      <c r="B57" s="103" t="n"/>
      <c r="C57" s="158" t="inlineStr">
        <is>
          <t>CONFIG</t>
        </is>
      </c>
      <c r="D57" s="158" t="inlineStr">
        <is>
          <t>FRS_Line Voltage</t>
        </is>
      </c>
      <c r="E57" s="185" t="inlineStr">
        <is>
          <t>Link</t>
        </is>
      </c>
      <c r="F57" s="314">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79" t="n"/>
      <c r="H57" s="314">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14">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14">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11" t="n"/>
      <c r="L57" s="311" t="n"/>
    </row>
    <row r="58" outlineLevel="2" customFormat="1" s="13">
      <c r="B58" s="103" t="n"/>
      <c r="C58" s="542" t="n"/>
      <c r="D58" s="361" t="n"/>
      <c r="E58" s="321" t="inlineStr">
        <is>
          <t>Rif. Pagina</t>
        </is>
      </c>
      <c r="F58" s="322" t="n">
        <v>18</v>
      </c>
      <c r="G58" s="322" t="n"/>
      <c r="H58" s="322" t="n">
        <v>21</v>
      </c>
      <c r="I58" s="322" t="n">
        <v>21</v>
      </c>
      <c r="J58" s="322" t="n">
        <v>26</v>
      </c>
      <c r="K58" s="322" t="n"/>
      <c r="L58" s="322" t="n"/>
    </row>
    <row r="59" outlineLevel="2" customFormat="1" s="13">
      <c r="B59" s="103" t="n"/>
      <c r="C59" s="542" t="n"/>
      <c r="D59" s="458" t="n"/>
      <c r="E59" s="459" t="inlineStr">
        <is>
          <t>Funzioni AI</t>
        </is>
      </c>
      <c r="F59" s="465" t="n"/>
      <c r="G59" s="460" t="n"/>
      <c r="H59" s="465" t="n"/>
      <c r="I59" s="465" t="n"/>
      <c r="J59" s="465" t="n"/>
      <c r="K59" s="460" t="n"/>
      <c r="L59" s="461" t="n"/>
    </row>
    <row r="60" ht="30" customFormat="1" customHeight="1" s="13">
      <c r="A60" s="315" t="inlineStr">
        <is>
          <t>LV_Pantograph_Selection</t>
        </is>
      </c>
      <c r="B60" s="323" t="inlineStr">
        <is>
          <t>Selezione del pantografo in base al paese (tipologia/dimensioni pantografo) e al sistema di alimentazione (AC/DC) selezionato</t>
        </is>
      </c>
      <c r="C60" s="393" t="n"/>
      <c r="D60" s="359" t="inlineStr">
        <is>
          <t>\</t>
        </is>
      </c>
      <c r="E60" s="317" t="n"/>
      <c r="F60" s="318" t="n"/>
      <c r="G60" s="318" t="n"/>
      <c r="H60" s="318" t="n"/>
      <c r="I60" s="318" t="n"/>
      <c r="J60" s="318" t="n"/>
      <c r="K60" s="318" t="n"/>
      <c r="L60" s="319" t="n"/>
    </row>
    <row r="61" outlineLevel="1" customFormat="1" s="13">
      <c r="B61" s="103" t="n"/>
      <c r="C61" s="158" t="inlineStr">
        <is>
          <t>CONFIG</t>
        </is>
      </c>
      <c r="D61" s="158" t="inlineStr">
        <is>
          <t>FRS_Line Voltage</t>
        </is>
      </c>
      <c r="E61" s="185" t="inlineStr">
        <is>
          <t>Link</t>
        </is>
      </c>
      <c r="F61" s="314">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79" t="n"/>
      <c r="H61" s="314">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14">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14">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11" t="n"/>
      <c r="L61" s="311" t="n"/>
    </row>
    <row r="62" outlineLevel="2" customFormat="1" s="13">
      <c r="B62" s="103" t="n"/>
      <c r="C62" s="542" t="n"/>
      <c r="D62" s="361" t="n"/>
      <c r="E62" s="321" t="inlineStr">
        <is>
          <t>Rif. Pagina</t>
        </is>
      </c>
      <c r="F62" s="322" t="n">
        <v>20</v>
      </c>
      <c r="G62" s="322" t="n"/>
      <c r="H62" s="322" t="n">
        <v>22</v>
      </c>
      <c r="I62" s="322" t="n">
        <v>22</v>
      </c>
      <c r="J62" s="322" t="n">
        <v>28</v>
      </c>
      <c r="K62" s="322" t="n"/>
      <c r="L62" s="322" t="n"/>
    </row>
    <row r="63" outlineLevel="2" customFormat="1" s="13">
      <c r="B63" s="103" t="n"/>
      <c r="C63" s="542" t="n"/>
      <c r="D63" s="458" t="n"/>
      <c r="E63" s="459" t="inlineStr">
        <is>
          <t>Funzioni AI</t>
        </is>
      </c>
      <c r="F63" s="465" t="n"/>
      <c r="G63" s="460" t="n"/>
      <c r="H63" s="465" t="n"/>
      <c r="I63" s="465" t="n"/>
      <c r="J63" s="465" t="n"/>
      <c r="K63" s="460" t="n"/>
      <c r="L63" s="461" t="n"/>
    </row>
    <row r="64" ht="45" customFormat="1" customHeight="1" s="13">
      <c r="A64" s="315" t="inlineStr">
        <is>
          <t>LV_Pantograph_Control_of_Static_Contact_Force</t>
        </is>
      </c>
      <c r="B64" s="323" t="inlineStr">
        <is>
          <t>Controllo della forza statica/pressione del pantografo alzato in funzione del sistema di tensione, della velocità, della direzione di marcia e della posizione del pantografo stesso</t>
        </is>
      </c>
      <c r="C64" s="393" t="n"/>
      <c r="D64" s="359" t="inlineStr">
        <is>
          <t>\</t>
        </is>
      </c>
      <c r="E64" s="317" t="n"/>
      <c r="F64" s="318" t="n"/>
      <c r="G64" s="318" t="n"/>
      <c r="H64" s="318" t="n"/>
      <c r="I64" s="318" t="n"/>
      <c r="J64" s="318" t="n"/>
      <c r="K64" s="318" t="n"/>
      <c r="L64" s="319" t="n"/>
    </row>
    <row r="65" outlineLevel="1" customFormat="1" s="13">
      <c r="B65" s="103" t="n"/>
      <c r="C65" s="158" t="inlineStr">
        <is>
          <t>CONFIG</t>
        </is>
      </c>
      <c r="D65" s="158" t="inlineStr">
        <is>
          <t>FRS_Line Voltage</t>
        </is>
      </c>
      <c r="E65" s="185" t="inlineStr">
        <is>
          <t>Link</t>
        </is>
      </c>
      <c r="F65" s="314">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79" t="n"/>
      <c r="H65" s="314">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14">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14">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11" t="n"/>
      <c r="L65" s="311" t="n"/>
    </row>
    <row r="66" outlineLevel="2" customFormat="1" s="13">
      <c r="B66" s="103" t="n"/>
      <c r="C66" s="542" t="n"/>
      <c r="D66" s="361" t="n"/>
      <c r="E66" s="321" t="inlineStr">
        <is>
          <t>Rif. Pagina</t>
        </is>
      </c>
      <c r="F66" s="322" t="n">
        <v>21</v>
      </c>
      <c r="G66" s="322" t="n"/>
      <c r="H66" s="322" t="n">
        <v>24</v>
      </c>
      <c r="I66" s="322" t="n">
        <v>23</v>
      </c>
      <c r="J66" s="322" t="n">
        <v>29</v>
      </c>
      <c r="K66" s="322" t="n"/>
      <c r="L66" s="322" t="n"/>
    </row>
    <row r="67" outlineLevel="2" customFormat="1" s="13">
      <c r="B67" s="103" t="n"/>
      <c r="C67" s="542" t="n"/>
      <c r="D67" s="458" t="n"/>
      <c r="E67" s="459" t="inlineStr">
        <is>
          <t>Funzioni AI</t>
        </is>
      </c>
      <c r="F67" s="465" t="n"/>
      <c r="G67" s="460" t="n"/>
      <c r="H67" s="465" t="n"/>
      <c r="I67" s="465" t="n"/>
      <c r="J67" s="465" t="n"/>
      <c r="K67" s="460" t="n"/>
      <c r="L67" s="461" t="n"/>
    </row>
    <row r="68" ht="30" customFormat="1" customHeight="1" s="13">
      <c r="A68" s="315" t="inlineStr">
        <is>
          <t>LV_Line_Voltage_Supervision</t>
        </is>
      </c>
      <c r="B68" s="323" t="inlineStr">
        <is>
          <t>Controllo della tensione di linea tramite sensori di tensione letti dal sistema di propulsione</t>
        </is>
      </c>
      <c r="C68" s="393" t="n"/>
      <c r="D68" s="359" t="inlineStr">
        <is>
          <t>\</t>
        </is>
      </c>
      <c r="E68" s="317" t="n"/>
      <c r="F68" s="318" t="n"/>
      <c r="G68" s="318" t="n"/>
      <c r="H68" s="318" t="n"/>
      <c r="I68" s="318" t="n"/>
      <c r="J68" s="318" t="n"/>
      <c r="K68" s="318" t="n"/>
      <c r="L68" s="319" t="n"/>
    </row>
    <row r="69" outlineLevel="1" customFormat="1" s="13">
      <c r="B69" s="103" t="n"/>
      <c r="C69" s="158" t="inlineStr">
        <is>
          <t>CONFIG</t>
        </is>
      </c>
      <c r="D69" s="158" t="inlineStr">
        <is>
          <t>FRS_Line Voltage</t>
        </is>
      </c>
      <c r="E69" s="185" t="inlineStr">
        <is>
          <t>Link</t>
        </is>
      </c>
      <c r="F69" s="314">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79" t="n"/>
      <c r="H69" s="314">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14">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14">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11" t="n"/>
      <c r="L69" s="311" t="n"/>
    </row>
    <row r="70" outlineLevel="2" customFormat="1" s="13">
      <c r="B70" s="103" t="n"/>
      <c r="C70" s="542" t="n"/>
      <c r="D70" s="361" t="n"/>
      <c r="E70" s="321" t="inlineStr">
        <is>
          <t>Rif. Pagina</t>
        </is>
      </c>
      <c r="F70" s="322" t="n">
        <v>23</v>
      </c>
      <c r="G70" s="322" t="n"/>
      <c r="H70" s="322" t="n">
        <v>25</v>
      </c>
      <c r="I70" s="322" t="n">
        <v>24</v>
      </c>
      <c r="J70" s="322" t="n">
        <v>30</v>
      </c>
      <c r="K70" s="322" t="n"/>
      <c r="L70" s="322" t="n"/>
    </row>
    <row r="71" outlineLevel="2" customFormat="1" s="13">
      <c r="B71" s="103" t="n"/>
      <c r="C71" s="542" t="n"/>
      <c r="D71" s="458" t="n"/>
      <c r="E71" s="459" t="inlineStr">
        <is>
          <t>Funzioni AI</t>
        </is>
      </c>
      <c r="F71" s="465" t="n"/>
      <c r="G71" s="460" t="n"/>
      <c r="H71" s="465" t="n"/>
      <c r="I71" s="466" t="n"/>
      <c r="J71" s="465" t="n"/>
      <c r="K71" s="460" t="n"/>
      <c r="L71" s="461" t="n"/>
    </row>
    <row r="72" customFormat="1" s="13">
      <c r="A72" s="315" t="inlineStr">
        <is>
          <t>LV_Line_Current_Supervision</t>
        </is>
      </c>
      <c r="B72" s="323" t="inlineStr">
        <is>
          <t>Controllo della corrente di linea</t>
        </is>
      </c>
      <c r="C72" s="393" t="n"/>
      <c r="D72" s="359" t="inlineStr">
        <is>
          <t>\</t>
        </is>
      </c>
      <c r="E72" s="317" t="n"/>
      <c r="F72" s="318" t="n"/>
      <c r="G72" s="318" t="n"/>
      <c r="H72" s="318" t="n"/>
      <c r="I72" s="318" t="n"/>
      <c r="J72" s="318" t="n"/>
      <c r="K72" s="318" t="n"/>
      <c r="L72" s="319" t="n"/>
    </row>
    <row r="73" outlineLevel="1" customFormat="1" s="13">
      <c r="B73" s="103" t="n"/>
      <c r="C73" s="158" t="inlineStr">
        <is>
          <t>CONFIG</t>
        </is>
      </c>
      <c r="D73" s="158" t="inlineStr">
        <is>
          <t>FRS_Line Voltage</t>
        </is>
      </c>
      <c r="E73" s="185" t="inlineStr">
        <is>
          <t>Link</t>
        </is>
      </c>
      <c r="F73" s="314">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79" t="n"/>
      <c r="H73" s="314">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14">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14">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11" t="n"/>
      <c r="L73" s="311" t="n"/>
    </row>
    <row r="74" outlineLevel="2" customFormat="1" s="13">
      <c r="B74" s="103" t="n"/>
      <c r="C74" s="542" t="n"/>
      <c r="D74" s="361" t="n"/>
      <c r="E74" s="321" t="inlineStr">
        <is>
          <t>Rif. Pagina</t>
        </is>
      </c>
      <c r="F74" s="322" t="n">
        <v>25</v>
      </c>
      <c r="G74" s="322" t="n"/>
      <c r="H74" s="322" t="n">
        <v>29</v>
      </c>
      <c r="I74" s="322" t="n">
        <v>27</v>
      </c>
      <c r="J74" s="322" t="n">
        <v>36</v>
      </c>
      <c r="K74" s="322" t="n"/>
      <c r="L74" s="322" t="n"/>
    </row>
    <row r="75" outlineLevel="2" customFormat="1" s="13">
      <c r="B75" s="103" t="n"/>
      <c r="C75" s="542" t="n"/>
      <c r="D75" s="458" t="n"/>
      <c r="E75" s="459" t="inlineStr">
        <is>
          <t>Funzioni AI</t>
        </is>
      </c>
      <c r="F75" s="466" t="n"/>
      <c r="G75" s="460" t="n"/>
      <c r="H75" s="466" t="n"/>
      <c r="I75" s="466" t="n"/>
      <c r="J75" s="466" t="n"/>
      <c r="K75" s="460" t="n"/>
      <c r="L75" s="461" t="n"/>
    </row>
    <row r="76" customFormat="1" s="13">
      <c r="A76" s="315" t="inlineStr">
        <is>
          <t>LV_Line_Interference_Monitor</t>
        </is>
      </c>
      <c r="B76" s="323" t="inlineStr">
        <is>
          <t>Controllo correnti/interferenze indesiderate di linea</t>
        </is>
      </c>
      <c r="C76" s="393" t="n"/>
      <c r="D76" s="359" t="inlineStr">
        <is>
          <t>\</t>
        </is>
      </c>
      <c r="E76" s="317" t="n"/>
      <c r="F76" s="318" t="n"/>
      <c r="G76" s="318" t="n"/>
      <c r="H76" s="318" t="n"/>
      <c r="I76" s="318" t="n"/>
      <c r="J76" s="318" t="n"/>
      <c r="K76" s="318" t="n"/>
      <c r="L76" s="319" t="n"/>
    </row>
    <row r="77" outlineLevel="1" customFormat="1" s="13">
      <c r="B77" s="103" t="n"/>
      <c r="C77" s="158" t="inlineStr">
        <is>
          <t>CONFIG</t>
        </is>
      </c>
      <c r="D77" s="158" t="inlineStr">
        <is>
          <t>FRS_Line Voltage</t>
        </is>
      </c>
      <c r="E77" s="185" t="inlineStr">
        <is>
          <t>Link</t>
        </is>
      </c>
      <c r="F77" s="314">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79" t="n"/>
      <c r="H77" s="314">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14">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14">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11" t="n"/>
      <c r="L77" s="311" t="n"/>
    </row>
    <row r="78" outlineLevel="2" customFormat="1" s="13">
      <c r="B78" s="103" t="n"/>
      <c r="C78" s="542" t="n"/>
      <c r="D78" s="361" t="n"/>
      <c r="E78" s="321" t="inlineStr">
        <is>
          <t>Rif. Pagina</t>
        </is>
      </c>
      <c r="F78" s="322" t="n">
        <v>27</v>
      </c>
      <c r="G78" s="322" t="n"/>
      <c r="H78" s="322" t="n">
        <v>31</v>
      </c>
      <c r="I78" s="322" t="n">
        <v>29</v>
      </c>
      <c r="J78" s="322" t="n">
        <v>39</v>
      </c>
      <c r="K78" s="322" t="n"/>
      <c r="L78" s="322" t="n"/>
    </row>
    <row r="79" outlineLevel="2" customFormat="1" s="13">
      <c r="B79" s="103" t="n"/>
      <c r="C79" s="542" t="n"/>
      <c r="D79" s="458" t="n"/>
      <c r="E79" s="459" t="inlineStr">
        <is>
          <t>Funzioni AI</t>
        </is>
      </c>
      <c r="F79" s="465" t="n"/>
      <c r="G79" s="460" t="n"/>
      <c r="H79" s="466" t="n"/>
      <c r="I79" s="465" t="n"/>
      <c r="J79" s="465" t="n"/>
      <c r="K79" s="460" t="n"/>
      <c r="L79" s="461" t="n"/>
    </row>
    <row r="80" customFormat="1" s="13">
      <c r="A80" s="315" t="inlineStr">
        <is>
          <t>LV_LIM_50Hz_protection_bypass</t>
        </is>
      </c>
      <c r="B80" s="323" t="inlineStr">
        <is>
          <t>Bypass della protezione LIM 50 Hz</t>
        </is>
      </c>
      <c r="C80" s="393" t="n"/>
      <c r="D80" s="359" t="inlineStr">
        <is>
          <t>\</t>
        </is>
      </c>
      <c r="E80" s="317" t="n"/>
      <c r="F80" s="318" t="n"/>
      <c r="G80" s="318" t="n"/>
      <c r="H80" s="318" t="n"/>
      <c r="I80" s="318" t="n"/>
      <c r="J80" s="318" t="n"/>
      <c r="K80" s="318" t="n"/>
      <c r="L80" s="319" t="n"/>
    </row>
    <row r="81" outlineLevel="1" customFormat="1" s="13">
      <c r="B81" s="103" t="n"/>
      <c r="C81" s="158" t="inlineStr">
        <is>
          <t>CONFIG</t>
        </is>
      </c>
      <c r="D81" s="158" t="inlineStr">
        <is>
          <t>FRS_Line Voltage</t>
        </is>
      </c>
      <c r="E81" s="185" t="inlineStr">
        <is>
          <t>Link</t>
        </is>
      </c>
      <c r="F81" s="314">
        <f t="array" ref="F81">HYPERLINK(CONCATENATE(Cartelle!$D$5,F$1,"/",$C81,"/",MID($D81,1,FIND("_",$D81)-1),"/",INDIRECT(CONCATENATE("'" &amp; $C81 &amp; "'!",ADDRESS(MATCH($D81, INDIRECT("'" &amp; $C81 &amp; "'!$B:$B"), 0),MATCH(F$1, INDIRECT("'" &amp; $C81 &amp; "'!$1:$1"), 0)))),".",INDIRECT(CONCATENATE("'"&amp;$C81&amp;"'!",ADDRESS(MATCH($D81,INDIRECT("'"&amp;$C81&amp;"'!$B:$B"),0),3))),"#page=",F82),CONCATENATE("#Sharepoint//",$D81))</f>
        <v/>
      </c>
      <c r="G81" s="379" t="n"/>
      <c r="H81" s="314">
        <f t="array" ref="H81">HYPERLINK(CONCATENATE(Cartelle!$D$5,INDEX(INDIRECT("'" &amp; $C81 &amp; "'!$1:$1"), 1, MATCH(INDIRECT(CONCATENATE("'" &amp; $C81 &amp; "'!",ADDRESS(MATCH($D81, INDIRECT("'" &amp; $C81 &amp; "'!$B:$B"), 0),MATCH(H$1, INDIRECT("'" &amp; $C81 &amp; "'!$1:$1"), 0)))),INDIRECT(CONCATENATE("'" &amp; $C81 &amp; "'!",MATCH($D81, INDIRECT("'" &amp; $C81 &amp; "'!$B:$B"), 0),":",MATCH($D81, INDIRECT("'" &amp; $C81 &amp; "'!$B:$B"), 0))),0)),"/",$C81,"/",MID($D81,1,FIND("_",$D81)-1),"/",INDIRECT(CONCATENATE("'" &amp; $C81 &amp; "'!",ADDRESS(MATCH($D81, INDIRECT("'" &amp; $C81 &amp; "'!$B:$B"), 0),MATCH(H$1, INDIRECT("'" &amp; $C81 &amp; "'!$1:$1"), 0)))),".",INDIRECT(CONCATENATE("'"&amp;$C81&amp;"'!",ADDRESS(MATCH($D81,INDIRECT("'"&amp;$C81&amp;"'!$B:$B"),0),3))),"#page=",H82),CONCATENATE("#Sharepoint//",$D81))</f>
        <v/>
      </c>
      <c r="I81" s="314">
        <f t="array" ref="I81">HYPERLINK(CONCATENATE(Cartelle!$D$5,INDEX(INDIRECT("'" &amp; $C81 &amp; "'!$1:$1"), 1, MATCH(INDIRECT(CONCATENATE("'" &amp; $C81 &amp; "'!",ADDRESS(MATCH($D81, INDIRECT("'" &amp; $C81 &amp; "'!$B:$B"), 0),MATCH(I$1, INDIRECT("'" &amp; $C81 &amp; "'!$1:$1"), 0)))),INDIRECT(CONCATENATE("'" &amp; $C81 &amp; "'!",MATCH($D81, INDIRECT("'" &amp; $C81 &amp; "'!$B:$B"), 0),":",MATCH($D81, INDIRECT("'" &amp; $C81 &amp; "'!$B:$B"), 0))),0)),"/",$C81,"/",MID($D81,1,FIND("_",$D81)-1),"/",INDIRECT(CONCATENATE("'" &amp; $C81 &amp; "'!",ADDRESS(MATCH($D81, INDIRECT("'" &amp; $C81 &amp; "'!$B:$B"), 0),MATCH(I$1, INDIRECT("'" &amp; $C81 &amp; "'!$1:$1"), 0)))),".",INDIRECT(CONCATENATE("'"&amp;$C81&amp;"'!",ADDRESS(MATCH($D81,INDIRECT("'"&amp;$C81&amp;"'!$B:$B"),0),3))),"#page=",I82),CONCATENATE("#Sharepoint//",$D81))</f>
        <v/>
      </c>
      <c r="J81" s="314">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11" t="n"/>
      <c r="L81" s="311" t="n"/>
    </row>
    <row r="82" outlineLevel="2" customFormat="1" s="13">
      <c r="B82" s="103" t="n"/>
      <c r="C82" s="542" t="n"/>
      <c r="D82" s="361" t="n"/>
      <c r="E82" s="321" t="inlineStr">
        <is>
          <t>Rif. Pagina</t>
        </is>
      </c>
      <c r="F82" s="322" t="n">
        <v>29</v>
      </c>
      <c r="G82" s="322" t="n"/>
      <c r="H82" s="322" t="n">
        <v>34</v>
      </c>
      <c r="I82" s="322" t="n">
        <v>31</v>
      </c>
      <c r="J82" s="322" t="n">
        <v>42</v>
      </c>
      <c r="K82" s="322" t="n"/>
      <c r="L82" s="322" t="n"/>
    </row>
    <row r="83" outlineLevel="2" customFormat="1" s="13">
      <c r="B83" s="103" t="n"/>
      <c r="C83" s="542" t="n"/>
      <c r="D83" s="458" t="n"/>
      <c r="E83" s="459" t="inlineStr">
        <is>
          <t>Funzioni AI</t>
        </is>
      </c>
      <c r="F83" s="469" t="n"/>
      <c r="G83" s="460" t="n"/>
      <c r="H83" s="469" t="n"/>
      <c r="I83" s="469" t="n"/>
      <c r="J83" s="469" t="n"/>
      <c r="K83" s="460" t="n"/>
      <c r="L83" s="461" t="n"/>
    </row>
    <row r="84" ht="60" customFormat="1" customHeight="1" s="13">
      <c r="A84" s="315" t="inlineStr">
        <is>
          <t>LV_Neutral_Section_Passing</t>
        </is>
      </c>
      <c r="B84" s="323" t="inlineStr">
        <is>
          <t>Gestione del passaggio in sezione neutra:
- automatica da ATP in caso di tratto neutro al cambio fase
- inizializzata da ATP con selezione manuale deò PdC della tensione di linea, in caso di tratto neutro al cambio tensione</t>
        </is>
      </c>
      <c r="C84" s="393" t="n"/>
      <c r="D84" s="359" t="inlineStr">
        <is>
          <t>\</t>
        </is>
      </c>
      <c r="E84" s="317" t="n"/>
      <c r="F84" s="318" t="n"/>
      <c r="G84" s="318" t="n"/>
      <c r="H84" s="318" t="n"/>
      <c r="I84" s="318" t="n"/>
      <c r="J84" s="318" t="n"/>
      <c r="K84" s="318" t="n"/>
      <c r="L84" s="319" t="n"/>
    </row>
    <row r="85" outlineLevel="1" customFormat="1" s="13">
      <c r="B85" s="103" t="n"/>
      <c r="C85" s="158" t="inlineStr">
        <is>
          <t>CONFIG</t>
        </is>
      </c>
      <c r="D85" s="158" t="inlineStr">
        <is>
          <t>FRS_Line Voltage</t>
        </is>
      </c>
      <c r="E85" s="185" t="inlineStr">
        <is>
          <t>Link</t>
        </is>
      </c>
      <c r="F85" s="314">
        <f t="array" ref="F85">HYPERLINK(CONCATENATE(Cartelle!$D$5,F$1,"/",$C85,"/",MID($D85,1,FIND("_",$D85)-1),"/",INDIRECT(CONCATENATE("'" &amp; $C85 &amp; "'!",ADDRESS(MATCH($D85, INDIRECT("'" &amp; $C85 &amp; "'!$B:$B"), 0),MATCH(F$1, INDIRECT("'" &amp; $C85 &amp; "'!$1:$1"), 0)))),".",INDIRECT(CONCATENATE("'"&amp;$C85&amp;"'!",ADDRESS(MATCH($D85,INDIRECT("'"&amp;$C85&amp;"'!$B:$B"),0),3))),"#page=",F86),CONCATENATE("#Sharepoint//",$D85))</f>
        <v/>
      </c>
      <c r="G85" s="379" t="n"/>
      <c r="H85" s="314">
        <f t="array" ref="H85">HYPERLINK(CONCATENATE(Cartelle!$D$5,INDEX(INDIRECT("'" &amp; $C85 &amp; "'!$1:$1"), 1, MATCH(INDIRECT(CONCATENATE("'" &amp; $C85 &amp; "'!",ADDRESS(MATCH($D85, INDIRECT("'" &amp; $C85 &amp; "'!$B:$B"), 0),MATCH(H$1, INDIRECT("'" &amp; $C85 &amp; "'!$1:$1"), 0)))),INDIRECT(CONCATENATE("'" &amp; $C85 &amp; "'!",MATCH($D85, INDIRECT("'" &amp; $C85 &amp; "'!$B:$B"), 0),":",MATCH($D85, INDIRECT("'" &amp; $C85 &amp; "'!$B:$B"), 0))),0)),"/",$C85,"/",MID($D85,1,FIND("_",$D85)-1),"/",INDIRECT(CONCATENATE("'" &amp; $C85 &amp; "'!",ADDRESS(MATCH($D85, INDIRECT("'" &amp; $C85 &amp; "'!$B:$B"), 0),MATCH(H$1, INDIRECT("'" &amp; $C85 &amp; "'!$1:$1"), 0)))),".",INDIRECT(CONCATENATE("'"&amp;$C85&amp;"'!",ADDRESS(MATCH($D85,INDIRECT("'"&amp;$C85&amp;"'!$B:$B"),0),3))),"#page=",H86),CONCATENATE("#Sharepoint//",$D85))</f>
        <v/>
      </c>
      <c r="I85" s="314">
        <f t="array" ref="I85">HYPERLINK(CONCATENATE(Cartelle!$D$5,INDEX(INDIRECT("'" &amp; $C85 &amp; "'!$1:$1"), 1, MATCH(INDIRECT(CONCATENATE("'" &amp; $C85 &amp; "'!",ADDRESS(MATCH($D85, INDIRECT("'" &amp; $C85 &amp; "'!$B:$B"), 0),MATCH(I$1, INDIRECT("'" &amp; $C85 &amp; "'!$1:$1"), 0)))),INDIRECT(CONCATENATE("'" &amp; $C85 &amp; "'!",MATCH($D85, INDIRECT("'" &amp; $C85 &amp; "'!$B:$B"), 0),":",MATCH($D85, INDIRECT("'" &amp; $C85 &amp; "'!$B:$B"), 0))),0)),"/",$C85,"/",MID($D85,1,FIND("_",$D85)-1),"/",INDIRECT(CONCATENATE("'" &amp; $C85 &amp; "'!",ADDRESS(MATCH($D85, INDIRECT("'" &amp; $C85 &amp; "'!$B:$B"), 0),MATCH(I$1, INDIRECT("'" &amp; $C85 &amp; "'!$1:$1"), 0)))),".",INDIRECT(CONCATENATE("'"&amp;$C85&amp;"'!",ADDRESS(MATCH($D85,INDIRECT("'"&amp;$C85&amp;"'!$B:$B"),0),3))),"#page=",I86),CONCATENATE("#Sharepoint//",$D85))</f>
        <v/>
      </c>
      <c r="J85" s="314">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11" t="n"/>
      <c r="L85" s="311" t="n"/>
    </row>
    <row r="86" outlineLevel="2" customFormat="1" s="13">
      <c r="B86" s="103" t="n"/>
      <c r="C86" s="542" t="n"/>
      <c r="D86" s="361" t="n"/>
      <c r="E86" s="321" t="inlineStr">
        <is>
          <t>Rif. Pagina</t>
        </is>
      </c>
      <c r="F86" s="322" t="n">
        <v>30</v>
      </c>
      <c r="G86" s="322" t="n"/>
      <c r="H86" s="322" t="n">
        <v>35</v>
      </c>
      <c r="I86" s="322" t="n">
        <v>32</v>
      </c>
      <c r="J86" s="322" t="n">
        <v>43</v>
      </c>
      <c r="K86" s="322" t="n"/>
      <c r="L86" s="322" t="n"/>
    </row>
    <row r="87" outlineLevel="2" customFormat="1" s="13">
      <c r="B87" s="103" t="n"/>
      <c r="C87" s="542" t="n"/>
      <c r="D87" s="458" t="n"/>
      <c r="E87" s="459" t="inlineStr">
        <is>
          <t>Funzioni AI</t>
        </is>
      </c>
      <c r="F87" s="469" t="n"/>
      <c r="G87" s="460" t="n"/>
      <c r="H87" s="469" t="n"/>
      <c r="I87" s="469" t="n"/>
      <c r="J87" s="469" t="n"/>
      <c r="K87" s="460" t="n"/>
      <c r="L87" s="461" t="n"/>
    </row>
    <row r="88" ht="30" customFormat="1" customHeight="1" s="13">
      <c r="A88" s="315" t="inlineStr">
        <is>
          <t>LV_System_Selection</t>
        </is>
      </c>
      <c r="B88" s="323" t="inlineStr">
        <is>
          <t>Selezione tramite commutatore a 4 posizioni della tensione di linea (25 kV AC, 15 kV AC, 3 kV DC o 1,5 kV DC)</t>
        </is>
      </c>
      <c r="C88" s="393" t="n"/>
      <c r="D88" s="359" t="inlineStr">
        <is>
          <t>\</t>
        </is>
      </c>
      <c r="E88" s="317" t="n"/>
      <c r="F88" s="318" t="n"/>
      <c r="G88" s="318" t="n"/>
      <c r="H88" s="318" t="n"/>
      <c r="I88" s="318" t="n"/>
      <c r="J88" s="318" t="n"/>
      <c r="K88" s="318" t="n"/>
      <c r="L88" s="319" t="n"/>
    </row>
    <row r="89" outlineLevel="1" customFormat="1" s="13">
      <c r="B89" s="103" t="n"/>
      <c r="C89" s="158" t="inlineStr">
        <is>
          <t>CONFIG</t>
        </is>
      </c>
      <c r="D89" s="158" t="inlineStr">
        <is>
          <t>FRS_Line Voltage</t>
        </is>
      </c>
      <c r="E89" s="185" t="inlineStr">
        <is>
          <t>Link</t>
        </is>
      </c>
      <c r="F89" s="314">
        <f t="array" ref="F89">HYPERLINK(CONCATENATE(Cartelle!$D$5,F$1,"/",$C89,"/",MID($D89,1,FIND("_",$D89)-1),"/",INDIRECT(CONCATENATE("'" &amp; $C89 &amp; "'!",ADDRESS(MATCH($D89, INDIRECT("'" &amp; $C89 &amp; "'!$B:$B"), 0),MATCH(F$1, INDIRECT("'" &amp; $C89 &amp; "'!$1:$1"), 0)))),".",INDIRECT(CONCATENATE("'"&amp;$C89&amp;"'!",ADDRESS(MATCH($D89,INDIRECT("'"&amp;$C89&amp;"'!$B:$B"),0),3))),"#page=",F90),CONCATENATE("#Sharepoint//",$D89))</f>
        <v/>
      </c>
      <c r="G89" s="379" t="n"/>
      <c r="H89" s="314">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14">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14">
        <f t="array" ref="J89">HYPERLINK(CONCATENATE(Cartelle!$D$5,INDEX(INDIRECT("'" &amp; $C89 &amp; "'!$1:$1"), 1, MATCH(INDIRECT(CONCATENATE("'" &amp; $C89 &amp; "'!",ADDRESS(MATCH($D89, INDIRECT("'" &amp; $C89 &amp; "'!$B:$B"), 0),MATCH(J$1, INDIRECT("'" &amp; $C89 &amp; "'!$1:$1"), 0)))),INDIRECT(CONCATENATE("'" &amp; $C89 &amp; "'!",MATCH($D89, INDIRECT("'" &amp; $C89 &amp; "'!$B:$B"), 0),":",MATCH($D89, INDIRECT("'" &amp; $C89 &amp; "'!$B:$B"), 0))),0)),"/",$C89,"/",MID($D89,1,FIND("_",$D89)-1),"/",INDIRECT(CONCATENATE("'" &amp; $C89 &amp; "'!",ADDRESS(MATCH($D89, INDIRECT("'" &amp; $C89 &amp; "'!$B:$B"), 0),MATCH(J$1, INDIRECT("'" &amp; $C89 &amp; "'!$1:$1"), 0)))),".",INDIRECT(CONCATENATE("'"&amp;$C89&amp;"'!",ADDRESS(MATCH($D89,INDIRECT("'"&amp;$C89&amp;"'!$B:$B"),0),3))),"#page=",J90),CONCATENATE("#Sharepoint//",$D89))</f>
        <v/>
      </c>
      <c r="K89" s="311" t="n"/>
      <c r="L89" s="311" t="n"/>
    </row>
    <row r="90" outlineLevel="2" customFormat="1" s="13">
      <c r="B90" s="103" t="n"/>
      <c r="C90" s="542" t="n"/>
      <c r="D90" s="361" t="n"/>
      <c r="E90" s="321" t="inlineStr">
        <is>
          <t>Rif. Pagina</t>
        </is>
      </c>
      <c r="F90" s="322" t="n">
        <v>34</v>
      </c>
      <c r="G90" s="322" t="n"/>
      <c r="H90" s="322" t="n">
        <v>39</v>
      </c>
      <c r="I90" s="322" t="n">
        <v>35</v>
      </c>
      <c r="J90" s="322" t="n">
        <v>47</v>
      </c>
      <c r="K90" s="322" t="n"/>
      <c r="L90" s="322" t="n"/>
    </row>
    <row r="91" outlineLevel="2" customFormat="1" s="13">
      <c r="B91" s="103" t="n"/>
      <c r="C91" s="542" t="n"/>
      <c r="D91" s="458" t="n"/>
      <c r="E91" s="459" t="inlineStr">
        <is>
          <t>Funzioni AI</t>
        </is>
      </c>
      <c r="F91" s="469" t="n"/>
      <c r="G91" s="460" t="n"/>
      <c r="H91" s="469" t="n"/>
      <c r="I91" s="469" t="n"/>
      <c r="J91" s="469" t="n"/>
      <c r="K91" s="460" t="n"/>
      <c r="L91" s="461" t="n"/>
    </row>
    <row r="92" ht="30" customFormat="1" customHeight="1" s="13">
      <c r="A92" s="315" t="inlineStr">
        <is>
          <t>LV_Line_Circuit_Breaker_Closing</t>
        </is>
      </c>
      <c r="B92" s="323" t="inlineStr">
        <is>
          <t>Chiusura dell’interruttore di linea (LCB) per collegare la tensione di linea al treno</t>
        </is>
      </c>
      <c r="C92" s="393" t="n"/>
      <c r="D92" s="359" t="inlineStr">
        <is>
          <t>\</t>
        </is>
      </c>
      <c r="E92" s="317" t="n"/>
      <c r="F92" s="318" t="n"/>
      <c r="G92" s="318" t="n"/>
      <c r="H92" s="318" t="n"/>
      <c r="I92" s="318" t="n"/>
      <c r="J92" s="318" t="n"/>
      <c r="K92" s="318" t="n"/>
      <c r="L92" s="319" t="n"/>
    </row>
    <row r="93" outlineLevel="1" customFormat="1" s="13">
      <c r="B93" s="103" t="n"/>
      <c r="C93" s="158" t="inlineStr">
        <is>
          <t>CONFIG</t>
        </is>
      </c>
      <c r="D93" s="158" t="inlineStr">
        <is>
          <t>FRS_Line Voltage</t>
        </is>
      </c>
      <c r="E93" s="185" t="inlineStr">
        <is>
          <t>Link</t>
        </is>
      </c>
      <c r="F93" s="314">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79" t="n"/>
      <c r="H93" s="314">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14">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14">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11" t="n"/>
      <c r="L93" s="311" t="n"/>
    </row>
    <row r="94" outlineLevel="2" customFormat="1" s="13">
      <c r="B94" s="103" t="n"/>
      <c r="C94" s="542" t="n"/>
      <c r="D94" s="361" t="n"/>
      <c r="E94" s="321" t="inlineStr">
        <is>
          <t>Rif. Pagina</t>
        </is>
      </c>
      <c r="F94" s="322" t="n">
        <v>37</v>
      </c>
      <c r="G94" s="322" t="n"/>
      <c r="H94" s="322" t="n">
        <v>42</v>
      </c>
      <c r="I94" s="322" t="n">
        <v>38</v>
      </c>
      <c r="J94" s="322" t="n">
        <v>50</v>
      </c>
      <c r="K94" s="322" t="n"/>
      <c r="L94" s="322" t="n"/>
    </row>
    <row r="95" outlineLevel="2" customFormat="1" s="13">
      <c r="B95" s="103" t="n"/>
      <c r="C95" s="542" t="n"/>
      <c r="D95" s="458" t="n"/>
      <c r="E95" s="459" t="inlineStr">
        <is>
          <t>Funzioni AI</t>
        </is>
      </c>
      <c r="F95" s="470" t="n"/>
      <c r="G95" s="460" t="n"/>
      <c r="H95" s="466" t="n"/>
      <c r="I95" s="469" t="n"/>
      <c r="J95" s="469" t="n"/>
      <c r="K95" s="460" t="n"/>
      <c r="L95" s="461" t="n"/>
    </row>
    <row r="96" customFormat="1" s="13">
      <c r="A96" s="315" t="inlineStr">
        <is>
          <t>LV_Line_Circuit_Breaker_Opening</t>
        </is>
      </c>
      <c r="B96" s="323" t="inlineStr">
        <is>
          <t>Apertura LCB su comando o per intervento protezione</t>
        </is>
      </c>
      <c r="C96" s="393" t="n"/>
      <c r="D96" s="359" t="inlineStr">
        <is>
          <t>\</t>
        </is>
      </c>
      <c r="E96" s="317" t="n"/>
      <c r="F96" s="318" t="n"/>
      <c r="G96" s="318" t="n"/>
      <c r="H96" s="318" t="n"/>
      <c r="I96" s="318" t="n"/>
      <c r="J96" s="318" t="n"/>
      <c r="K96" s="318" t="n"/>
      <c r="L96" s="319" t="n"/>
    </row>
    <row r="97" outlineLevel="1" customFormat="1" s="13">
      <c r="B97" s="103" t="n"/>
      <c r="C97" s="158" t="inlineStr">
        <is>
          <t>CONFIG</t>
        </is>
      </c>
      <c r="D97" s="158" t="inlineStr">
        <is>
          <t>FRS_Line Voltage</t>
        </is>
      </c>
      <c r="E97" s="185" t="inlineStr">
        <is>
          <t>Link</t>
        </is>
      </c>
      <c r="F97" s="314">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79" t="n"/>
      <c r="H97" s="314">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14">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14">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11" t="n"/>
      <c r="L97" s="311" t="n"/>
    </row>
    <row r="98" outlineLevel="2" customFormat="1" s="13">
      <c r="B98" s="103" t="n"/>
      <c r="C98" s="542" t="n"/>
      <c r="D98" s="361" t="n"/>
      <c r="E98" s="321" t="inlineStr">
        <is>
          <t>Rif. Pagina</t>
        </is>
      </c>
      <c r="F98" s="322" t="n">
        <v>40</v>
      </c>
      <c r="G98" s="322" t="n"/>
      <c r="H98" s="322" t="n">
        <v>46</v>
      </c>
      <c r="I98" s="322" t="n">
        <v>42</v>
      </c>
      <c r="J98" s="322" t="n">
        <v>56</v>
      </c>
      <c r="K98" s="322" t="n"/>
      <c r="L98" s="322" t="n"/>
    </row>
    <row r="99" outlineLevel="2" customFormat="1" s="13">
      <c r="B99" s="103" t="n"/>
      <c r="C99" s="542" t="n"/>
      <c r="D99" s="458" t="n"/>
      <c r="E99" s="459" t="inlineStr">
        <is>
          <t>Funzioni AI</t>
        </is>
      </c>
      <c r="F99" s="472" t="n"/>
      <c r="G99" s="460" t="n"/>
      <c r="H99" s="472" t="n"/>
      <c r="I99" s="472" t="n"/>
      <c r="J99" s="472" t="n"/>
      <c r="K99" s="460" t="n"/>
      <c r="L99" s="461" t="n"/>
    </row>
    <row r="100" ht="30" customFormat="1" customHeight="1" s="13">
      <c r="A100" s="315" t="inlineStr">
        <is>
          <t>LV_Isolate_High_Voltage</t>
        </is>
      </c>
      <c r="B100" s="323" t="inlineStr">
        <is>
          <t>Isolamento di sezioni HV guaste per mantenere disponibile parte della trazione</t>
        </is>
      </c>
      <c r="C100" s="393" t="n"/>
      <c r="D100" s="359" t="inlineStr">
        <is>
          <t>\</t>
        </is>
      </c>
      <c r="E100" s="317" t="n"/>
      <c r="F100" s="318" t="n"/>
      <c r="G100" s="318" t="n"/>
      <c r="H100" s="318" t="n"/>
      <c r="I100" s="318" t="n"/>
      <c r="J100" s="318" t="n"/>
      <c r="K100" s="318" t="n"/>
      <c r="L100" s="319" t="n"/>
    </row>
    <row r="101" outlineLevel="1" customFormat="1" s="13">
      <c r="B101" s="103" t="n"/>
      <c r="C101" s="158" t="inlineStr">
        <is>
          <t>CONFIG</t>
        </is>
      </c>
      <c r="D101" s="158" t="inlineStr">
        <is>
          <t>FRS_Line Voltage</t>
        </is>
      </c>
      <c r="E101" s="185" t="inlineStr">
        <is>
          <t>Link</t>
        </is>
      </c>
      <c r="F101" s="314">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79" t="n"/>
      <c r="H101" s="314">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14">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14">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11" t="n"/>
      <c r="L101" s="311" t="n"/>
    </row>
    <row r="102" outlineLevel="2" customFormat="1" s="13">
      <c r="B102" s="103" t="n"/>
      <c r="C102" s="542" t="n"/>
      <c r="D102" s="361" t="n"/>
      <c r="E102" s="321" t="inlineStr">
        <is>
          <t>Rif. Pagina</t>
        </is>
      </c>
      <c r="F102" s="322" t="n">
        <v>45</v>
      </c>
      <c r="G102" s="322" t="n"/>
      <c r="H102" s="322" t="n">
        <v>52</v>
      </c>
      <c r="I102" s="322" t="n">
        <v>47</v>
      </c>
      <c r="J102" s="322" t="n">
        <v>61</v>
      </c>
      <c r="K102" s="322" t="n"/>
      <c r="L102" s="322" t="n"/>
    </row>
    <row r="103" outlineLevel="2" customFormat="1" s="13">
      <c r="B103" s="103" t="n"/>
      <c r="C103" s="542" t="n"/>
      <c r="D103" s="458" t="n"/>
      <c r="E103" s="459" t="inlineStr">
        <is>
          <t>Funzioni AI</t>
        </is>
      </c>
      <c r="F103" s="473" t="n"/>
      <c r="G103" s="460" t="n"/>
      <c r="H103" s="473" t="n"/>
      <c r="I103" s="473" t="n"/>
      <c r="J103" s="473" t="n"/>
      <c r="K103" s="460" t="n"/>
      <c r="L103" s="461" t="n"/>
    </row>
    <row r="104" ht="30" customFormat="1" customHeight="1" s="13">
      <c r="A104" s="315" t="inlineStr">
        <is>
          <t>LV_Main_Transformer_cooling_control</t>
        </is>
      </c>
      <c r="B104" s="323" t="inlineStr">
        <is>
          <t>Controllo da parte della PCU della velocità delle ventole del circuito di raffreddamento ad olio</t>
        </is>
      </c>
      <c r="C104" s="393" t="n"/>
      <c r="D104" s="359" t="inlineStr">
        <is>
          <t>\</t>
        </is>
      </c>
      <c r="E104" s="317" t="n"/>
      <c r="F104" s="318" t="n"/>
      <c r="G104" s="318" t="n"/>
      <c r="H104" s="318" t="n"/>
      <c r="I104" s="318" t="n"/>
      <c r="J104" s="318" t="n"/>
      <c r="K104" s="318" t="n"/>
      <c r="L104" s="319" t="n"/>
    </row>
    <row r="105" outlineLevel="1" customFormat="1" s="13">
      <c r="B105" s="103" t="n"/>
      <c r="C105" s="158" t="inlineStr">
        <is>
          <t>CONFIG</t>
        </is>
      </c>
      <c r="D105" s="360" t="inlineStr">
        <is>
          <t>FRS_Line Voltage</t>
        </is>
      </c>
      <c r="E105" s="320" t="inlineStr">
        <is>
          <t>Link</t>
        </is>
      </c>
      <c r="F105" s="310" t="n"/>
      <c r="G105" s="310" t="n"/>
      <c r="H105" s="310" t="n"/>
      <c r="I105" s="310" t="n"/>
      <c r="J105" s="314">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11" t="n"/>
      <c r="L105" s="311" t="n"/>
    </row>
    <row r="106" outlineLevel="2" customFormat="1" s="13">
      <c r="B106" s="103" t="n"/>
      <c r="C106" s="542" t="n"/>
      <c r="D106" s="361" t="n"/>
      <c r="E106" s="321" t="inlineStr">
        <is>
          <t>Rif. Pagina</t>
        </is>
      </c>
      <c r="F106" s="322" t="n"/>
      <c r="G106" s="322" t="n"/>
      <c r="H106" s="322" t="n"/>
      <c r="I106" s="322" t="n"/>
      <c r="J106" s="322" t="n">
        <v>65</v>
      </c>
      <c r="K106" s="322" t="n"/>
      <c r="L106" s="322" t="n"/>
    </row>
    <row r="107" outlineLevel="2" customFormat="1" s="13">
      <c r="B107" s="103" t="n"/>
      <c r="C107" s="542" t="n"/>
      <c r="D107" s="458" t="n"/>
      <c r="E107" s="459" t="inlineStr">
        <is>
          <t>Funzioni AI</t>
        </is>
      </c>
      <c r="F107" s="460" t="n"/>
      <c r="G107" s="460" t="n"/>
      <c r="H107" s="460" t="n"/>
      <c r="I107" s="460" t="n"/>
      <c r="J107" s="471" t="n"/>
      <c r="K107" s="460" t="n"/>
      <c r="L107" s="461" t="n"/>
    </row>
    <row r="108" ht="30" customFormat="1" customHeight="1" s="13">
      <c r="A108" s="315" t="inlineStr">
        <is>
          <t>LV_Main_Transformer_Supervision</t>
        </is>
      </c>
      <c r="B108" s="323" t="inlineStr">
        <is>
          <t>Controllo da parte della PCU della temperatura del trasformatore e degli induttori linea</t>
        </is>
      </c>
      <c r="C108" s="393" t="n"/>
      <c r="D108" s="359" t="inlineStr">
        <is>
          <t>\</t>
        </is>
      </c>
      <c r="E108" s="317" t="n"/>
      <c r="F108" s="318" t="n"/>
      <c r="G108" s="318" t="n"/>
      <c r="H108" s="318" t="n"/>
      <c r="I108" s="318" t="n"/>
      <c r="J108" s="318" t="n"/>
      <c r="K108" s="318" t="n"/>
      <c r="L108" s="319" t="n"/>
    </row>
    <row r="109" outlineLevel="1" customFormat="1" s="13">
      <c r="B109" s="103" t="n"/>
      <c r="C109" s="158" t="inlineStr">
        <is>
          <t>CONFIG</t>
        </is>
      </c>
      <c r="D109" s="360" t="inlineStr">
        <is>
          <t>FRS_Line Voltage</t>
        </is>
      </c>
      <c r="E109" s="320" t="inlineStr">
        <is>
          <t>Link</t>
        </is>
      </c>
      <c r="F109" s="310" t="n"/>
      <c r="G109" s="310" t="n"/>
      <c r="H109" s="310" t="n"/>
      <c r="I109" s="310" t="n"/>
      <c r="J109" s="314">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11" t="n"/>
      <c r="L109" s="311" t="n"/>
    </row>
    <row r="110" outlineLevel="2" customFormat="1" s="13">
      <c r="B110" s="103" t="n"/>
      <c r="C110" s="542" t="n"/>
      <c r="D110" s="361" t="n"/>
      <c r="E110" s="321" t="inlineStr">
        <is>
          <t>Rif. Pagina</t>
        </is>
      </c>
      <c r="F110" s="322" t="n"/>
      <c r="G110" s="322" t="n"/>
      <c r="H110" s="322" t="n"/>
      <c r="I110" s="322" t="n"/>
      <c r="J110" s="322" t="n">
        <v>68</v>
      </c>
      <c r="K110" s="322" t="n"/>
      <c r="L110" s="322" t="n"/>
    </row>
    <row r="111" outlineLevel="2" customFormat="1" s="13">
      <c r="B111" s="103" t="n"/>
      <c r="C111" s="542" t="n"/>
      <c r="D111" s="458" t="n"/>
      <c r="E111" s="459" t="inlineStr">
        <is>
          <t>Funzioni AI</t>
        </is>
      </c>
      <c r="F111" s="460" t="n"/>
      <c r="G111" s="460" t="n"/>
      <c r="H111" s="460" t="n"/>
      <c r="I111" s="460" t="n"/>
      <c r="J111" s="471" t="n"/>
      <c r="K111" s="460" t="n"/>
      <c r="L111" s="461" t="n"/>
    </row>
    <row r="112" ht="30" customFormat="1" customHeight="1" s="13">
      <c r="A112" s="315" t="inlineStr">
        <is>
          <t>LV_Energy_Meter</t>
        </is>
      </c>
      <c r="B112" s="323" t="inlineStr">
        <is>
          <t>Sistema di lettura dell'evergia assorbita dal treno e invio a terra dei dati</t>
        </is>
      </c>
      <c r="C112" s="393" t="n"/>
      <c r="D112" s="359" t="inlineStr">
        <is>
          <t>\</t>
        </is>
      </c>
      <c r="E112" s="317" t="n"/>
      <c r="F112" s="318" t="n"/>
      <c r="G112" s="318" t="n"/>
      <c r="H112" s="318" t="n"/>
      <c r="I112" s="318" t="n"/>
      <c r="J112" s="318" t="n"/>
      <c r="K112" s="318" t="n"/>
      <c r="L112" s="319" t="n"/>
    </row>
    <row r="113" outlineLevel="1" customFormat="1" s="13">
      <c r="B113" s="103" t="n"/>
      <c r="C113" s="158" t="inlineStr">
        <is>
          <t>CONFIG</t>
        </is>
      </c>
      <c r="D113" s="360" t="inlineStr">
        <is>
          <t>FRS_Line Voltage</t>
        </is>
      </c>
      <c r="E113" s="320" t="inlineStr">
        <is>
          <t>Link</t>
        </is>
      </c>
      <c r="F113" s="310" t="n"/>
      <c r="G113" s="310" t="n"/>
      <c r="H113" s="314">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14">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14">
        <f t="array" ref="J113">HYPERLINK(CONCATENATE(Cartelle!$D$5,J$1,"/CONFIG/",MID($D113,1,FIND("_",$D113)-1),"/",INDIRECT(CONCATENATE("'CONFIG'!",ADDRESS(MATCH($D113, CONFIG!$B:$B, 0),MATCH(J$1, CONFIG!$1:$1, 0)))),".pdf#page=",J114),CONCATENATE("#Sharepoint//",$D113))</f>
        <v/>
      </c>
      <c r="K113" s="311" t="n"/>
      <c r="L113" s="311" t="n"/>
    </row>
    <row r="114" outlineLevel="2" customFormat="1" s="13">
      <c r="B114" s="103" t="n"/>
      <c r="C114" s="542" t="n"/>
      <c r="D114" s="361" t="n"/>
      <c r="E114" s="321" t="inlineStr">
        <is>
          <t>Rif. Pagina</t>
        </is>
      </c>
      <c r="F114" s="322" t="n"/>
      <c r="G114" s="322" t="n"/>
      <c r="H114" s="322" t="n">
        <v>54</v>
      </c>
      <c r="I114" s="322" t="n">
        <v>49</v>
      </c>
      <c r="J114" s="322" t="n">
        <v>71</v>
      </c>
      <c r="K114" s="322" t="n"/>
      <c r="L114" s="322" t="n"/>
    </row>
    <row r="115" outlineLevel="2" customFormat="1" s="13">
      <c r="B115" s="103" t="n"/>
      <c r="C115" s="542" t="n"/>
      <c r="D115" s="458" t="n"/>
      <c r="E115" s="459" t="inlineStr">
        <is>
          <t>Funzioni AI</t>
        </is>
      </c>
      <c r="F115" s="460" t="n"/>
      <c r="G115" s="460" t="n"/>
      <c r="H115" s="473" t="n"/>
      <c r="I115" s="473" t="n"/>
      <c r="J115" s="473" t="n"/>
      <c r="K115" s="460" t="n"/>
      <c r="L115" s="461" t="n"/>
    </row>
    <row r="116" customFormat="1" s="13">
      <c r="A116" s="315" t="inlineStr">
        <is>
          <t>LV_Key_interlocking</t>
        </is>
      </c>
      <c r="B116" s="313" t="inlineStr">
        <is>
          <t>Interblocco tramite giro chiavi del sistema alta tensione</t>
        </is>
      </c>
      <c r="C116" s="393" t="n"/>
      <c r="D116" s="359" t="inlineStr">
        <is>
          <t>\</t>
        </is>
      </c>
      <c r="E116" s="317" t="n"/>
      <c r="F116" s="318" t="n"/>
      <c r="G116" s="318" t="n"/>
      <c r="H116" s="318" t="n"/>
      <c r="I116" s="318" t="n"/>
      <c r="J116" s="318" t="n"/>
      <c r="K116" s="318" t="n"/>
      <c r="L116" s="319" t="n"/>
    </row>
    <row r="117" outlineLevel="1" customFormat="1" s="13">
      <c r="B117" s="103" t="n"/>
      <c r="C117" s="158" t="inlineStr">
        <is>
          <t>CONFIG</t>
        </is>
      </c>
      <c r="D117" s="158" t="inlineStr">
        <is>
          <t>FRS_Line Voltage</t>
        </is>
      </c>
      <c r="E117" s="185" t="inlineStr">
        <is>
          <t>Link</t>
        </is>
      </c>
      <c r="F117" s="314">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79" t="n"/>
      <c r="H117" s="314">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14">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14">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11" t="n"/>
      <c r="L117" s="311" t="n"/>
    </row>
    <row r="118" outlineLevel="2" customFormat="1" s="13">
      <c r="B118" s="103" t="n"/>
      <c r="C118" s="542" t="n"/>
      <c r="D118" s="361" t="n"/>
      <c r="E118" s="321" t="inlineStr">
        <is>
          <t>Rif. Pagina</t>
        </is>
      </c>
      <c r="F118" s="322" t="n">
        <v>48</v>
      </c>
      <c r="G118" s="322" t="n"/>
      <c r="H118" s="322" t="n">
        <v>55</v>
      </c>
      <c r="I118" s="322" t="n">
        <v>51</v>
      </c>
      <c r="J118" s="322" t="n">
        <v>73</v>
      </c>
      <c r="K118" s="322" t="n"/>
      <c r="L118" s="322" t="n"/>
    </row>
    <row r="119" outlineLevel="2" customFormat="1" s="13">
      <c r="B119" s="103" t="n"/>
      <c r="C119" s="542" t="n"/>
      <c r="D119" s="458" t="n"/>
      <c r="E119" s="459" t="inlineStr">
        <is>
          <t>Funzioni AI</t>
        </is>
      </c>
      <c r="F119" s="472" t="n"/>
      <c r="G119" s="460" t="n"/>
      <c r="H119" s="473" t="n"/>
      <c r="I119" s="473" t="n"/>
      <c r="J119" s="473" t="n"/>
      <c r="K119" s="460" t="n"/>
      <c r="L119" s="461" t="n"/>
    </row>
    <row r="120" ht="30" customFormat="1" customHeight="1" s="13">
      <c r="A120" s="315" t="inlineStr">
        <is>
          <t>LV_Function_Earthing_of_High_Voltage_Supply</t>
        </is>
      </c>
      <c r="B120" s="313" t="inlineStr">
        <is>
          <t>Messa a terra dell'alta tensione per consentire la manutenzione in sicurezza</t>
        </is>
      </c>
      <c r="C120" s="393" t="n"/>
      <c r="D120" s="359" t="inlineStr">
        <is>
          <t>\</t>
        </is>
      </c>
      <c r="E120" s="317" t="n"/>
      <c r="F120" s="318" t="n"/>
      <c r="G120" s="318" t="n"/>
      <c r="H120" s="318" t="n"/>
      <c r="I120" s="318" t="n"/>
      <c r="J120" s="318" t="n"/>
      <c r="K120" s="318" t="n"/>
      <c r="L120" s="319" t="n"/>
    </row>
    <row r="121" outlineLevel="1" customFormat="1" s="13">
      <c r="B121" s="103" t="n"/>
      <c r="C121" s="158" t="inlineStr">
        <is>
          <t>CONFIG</t>
        </is>
      </c>
      <c r="D121" s="158" t="inlineStr">
        <is>
          <t>FRS_Line Voltage</t>
        </is>
      </c>
      <c r="E121" s="185" t="inlineStr">
        <is>
          <t>Link</t>
        </is>
      </c>
      <c r="F121" s="314">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79" t="n"/>
      <c r="H121" s="314">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14">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14">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11" t="n"/>
      <c r="L121" s="311" t="n"/>
    </row>
    <row r="122" outlineLevel="2" customFormat="1" s="13">
      <c r="B122" s="103" t="n"/>
      <c r="C122" s="542" t="n"/>
      <c r="D122" s="361" t="n"/>
      <c r="E122" s="321" t="inlineStr">
        <is>
          <t>Rif. Pagina</t>
        </is>
      </c>
      <c r="F122" s="322" t="n">
        <v>49</v>
      </c>
      <c r="G122" s="322" t="n"/>
      <c r="H122" s="322" t="n">
        <v>56</v>
      </c>
      <c r="I122" s="322" t="n">
        <v>52</v>
      </c>
      <c r="J122" s="322" t="n">
        <v>74</v>
      </c>
      <c r="K122" s="322" t="n"/>
      <c r="L122" s="322" t="n"/>
    </row>
    <row r="123" outlineLevel="2" customFormat="1" s="13">
      <c r="B123" s="103" t="n"/>
      <c r="C123" s="542" t="n"/>
      <c r="D123" s="458" t="n"/>
      <c r="E123" s="459" t="inlineStr">
        <is>
          <t>Funzioni AI</t>
        </is>
      </c>
      <c r="F123" s="473" t="n"/>
      <c r="G123" s="460" t="n"/>
      <c r="H123" s="473" t="n"/>
      <c r="I123" s="473" t="n"/>
      <c r="J123" s="473" t="n"/>
      <c r="K123" s="460" t="n"/>
      <c r="L123" s="461" t="n"/>
    </row>
    <row r="124" ht="30" customFormat="1" customHeight="1" s="13">
      <c r="A124" s="315" t="inlineStr">
        <is>
          <t>LV_Function_Earthing_of_Converter_boxes</t>
        </is>
      </c>
      <c r="B124" s="313" t="inlineStr">
        <is>
          <t>Messa a terra dei box convertitori per consentire l’accesso e la manutenzione in sicurezza</t>
        </is>
      </c>
      <c r="C124" s="393" t="n"/>
      <c r="D124" s="359" t="inlineStr">
        <is>
          <t>\</t>
        </is>
      </c>
      <c r="E124" s="317" t="n"/>
      <c r="F124" s="318" t="n"/>
      <c r="G124" s="318" t="n"/>
      <c r="H124" s="318" t="n"/>
      <c r="I124" s="318" t="n"/>
      <c r="J124" s="318" t="n"/>
      <c r="K124" s="318" t="n"/>
      <c r="L124" s="319" t="n"/>
    </row>
    <row r="125" outlineLevel="1" customFormat="1" s="13">
      <c r="B125" s="103" t="n"/>
      <c r="C125" s="158" t="inlineStr">
        <is>
          <t>CONFIG</t>
        </is>
      </c>
      <c r="D125" s="158" t="inlineStr">
        <is>
          <t>FRS_Line Voltage</t>
        </is>
      </c>
      <c r="E125" s="185" t="inlineStr">
        <is>
          <t>Link</t>
        </is>
      </c>
      <c r="F125" s="314">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79" t="n"/>
      <c r="H125" s="314">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14">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14">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11" t="n"/>
      <c r="L125" s="311" t="n"/>
    </row>
    <row r="126" outlineLevel="2" customFormat="1" s="13">
      <c r="B126" s="103" t="n"/>
      <c r="C126" s="542" t="n"/>
      <c r="D126" s="361" t="n"/>
      <c r="E126" s="321" t="inlineStr">
        <is>
          <t>Rif. Pagina</t>
        </is>
      </c>
      <c r="F126" s="322" t="n">
        <v>52</v>
      </c>
      <c r="G126" s="322" t="n"/>
      <c r="H126" s="322" t="n">
        <v>59</v>
      </c>
      <c r="I126" s="322" t="n">
        <v>55</v>
      </c>
      <c r="J126" s="322" t="n">
        <v>77</v>
      </c>
      <c r="K126" s="322" t="n"/>
      <c r="L126" s="322" t="n"/>
    </row>
    <row r="127" outlineLevel="2" customFormat="1" s="13">
      <c r="B127" s="103" t="n"/>
      <c r="C127" s="542" t="n"/>
      <c r="D127" s="458" t="n"/>
      <c r="E127" s="459" t="inlineStr">
        <is>
          <t>Funzioni AI</t>
        </is>
      </c>
      <c r="F127" s="467" t="n"/>
      <c r="G127" s="460" t="n"/>
      <c r="H127" s="467" t="n"/>
      <c r="I127" s="467" t="n"/>
      <c r="J127" s="467" t="n"/>
      <c r="K127" s="460" t="n"/>
      <c r="L127" s="461" t="n"/>
    </row>
    <row r="128" customFormat="1" s="13">
      <c r="A128" s="315" t="inlineStr">
        <is>
          <t>LV_HVAC_pre-conditioning_on_DC_line</t>
        </is>
      </c>
      <c r="B128" s="313" t="inlineStr">
        <is>
          <t>Funzione per alimentare gli HVAC senza superare i limiti di corrente</t>
        </is>
      </c>
      <c r="C128" s="393" t="n"/>
      <c r="D128" s="359" t="inlineStr">
        <is>
          <t>\</t>
        </is>
      </c>
      <c r="E128" s="317" t="n"/>
      <c r="F128" s="318" t="n"/>
      <c r="G128" s="318" t="n"/>
      <c r="H128" s="318" t="n"/>
      <c r="I128" s="318" t="n"/>
      <c r="J128" s="318" t="n"/>
      <c r="K128" s="318" t="n"/>
      <c r="L128" s="319" t="n"/>
    </row>
    <row r="129" outlineLevel="1" customFormat="1" s="13">
      <c r="B129" s="103" t="n"/>
      <c r="C129" s="158" t="inlineStr">
        <is>
          <t>CONFIG</t>
        </is>
      </c>
      <c r="D129" s="158" t="inlineStr">
        <is>
          <t>FRS_Line Voltage</t>
        </is>
      </c>
      <c r="E129" s="185" t="inlineStr">
        <is>
          <t>Link</t>
        </is>
      </c>
      <c r="F129" s="314">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79" t="n"/>
      <c r="H129" s="314">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14">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14">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11" t="n"/>
      <c r="L129" s="311" t="n"/>
    </row>
    <row r="130" outlineLevel="2" customFormat="1" s="13">
      <c r="B130" s="103" t="n"/>
      <c r="C130" s="542" t="n"/>
      <c r="D130" s="362" t="n"/>
      <c r="E130" s="324" t="inlineStr">
        <is>
          <t>Rif. Pagina</t>
        </is>
      </c>
      <c r="F130" s="325" t="n">
        <v>55</v>
      </c>
      <c r="G130" s="325" t="n"/>
      <c r="H130" s="325" t="n">
        <v>62</v>
      </c>
      <c r="I130" s="325" t="n">
        <v>58</v>
      </c>
      <c r="J130" s="325" t="n">
        <v>80</v>
      </c>
      <c r="K130" s="325" t="n"/>
      <c r="L130" s="325" t="n"/>
    </row>
    <row r="131" outlineLevel="2" customFormat="1" s="13">
      <c r="B131" s="103" t="n"/>
      <c r="C131" s="542" t="n"/>
      <c r="D131" s="458" t="n"/>
      <c r="E131" s="459" t="inlineStr">
        <is>
          <t>Funzioni AI</t>
        </is>
      </c>
      <c r="F131" s="467" t="n"/>
      <c r="G131" s="460" t="n"/>
      <c r="H131" s="467" t="n"/>
      <c r="I131" s="467" t="n"/>
      <c r="J131" s="467" t="n"/>
      <c r="K131" s="460" t="n"/>
      <c r="L131" s="461" t="n"/>
    </row>
    <row r="132" customFormat="1" s="13">
      <c r="A132" s="326" t="inlineStr">
        <is>
          <t>AUX_Function_General</t>
        </is>
      </c>
      <c r="B132" s="374" t="n"/>
      <c r="C132" s="393" t="n"/>
      <c r="D132" s="363" t="inlineStr">
        <is>
          <t>\</t>
        </is>
      </c>
      <c r="E132" s="327" t="n"/>
      <c r="F132" s="328" t="n"/>
      <c r="G132" s="328" t="n"/>
      <c r="H132" s="328" t="n"/>
      <c r="I132" s="328" t="n"/>
      <c r="J132" s="328" t="n"/>
      <c r="K132" s="328" t="n"/>
      <c r="L132" s="329" t="n"/>
    </row>
    <row r="133" outlineLevel="1" customFormat="1" s="13">
      <c r="B133" s="103" t="n"/>
      <c r="C133" s="158" t="inlineStr">
        <is>
          <t>CONFIG</t>
        </is>
      </c>
      <c r="D133" s="364" t="inlineStr">
        <is>
          <t>FRS_Aux Electrical Supply</t>
        </is>
      </c>
      <c r="E133" s="330" t="inlineStr">
        <is>
          <t>Link</t>
        </is>
      </c>
      <c r="F133" s="314">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14" t="n"/>
      <c r="H133" s="314">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14">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14">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12" t="n"/>
      <c r="L133" s="312" t="n"/>
    </row>
    <row r="134" outlineLevel="2" customFormat="1" s="13">
      <c r="B134" s="103" t="n"/>
      <c r="C134" s="621" t="n"/>
      <c r="D134" s="365" t="n"/>
      <c r="E134" s="331" t="inlineStr">
        <is>
          <t>Rif. Pagina</t>
        </is>
      </c>
      <c r="F134" s="332" t="n">
        <v>5</v>
      </c>
      <c r="G134" s="332" t="n"/>
      <c r="H134" s="332" t="n">
        <v>5</v>
      </c>
      <c r="I134" s="332" t="n">
        <v>5</v>
      </c>
      <c r="J134" s="332" t="n">
        <v>6</v>
      </c>
      <c r="K134" s="332" t="n"/>
      <c r="L134" s="332" t="n"/>
    </row>
    <row r="135" outlineLevel="2" customFormat="1" s="13">
      <c r="B135" s="103" t="n"/>
      <c r="C135" s="542" t="n"/>
      <c r="D135" s="458" t="n"/>
      <c r="E135" s="459" t="inlineStr">
        <is>
          <t>Funzioni AI</t>
        </is>
      </c>
      <c r="F135" s="468" t="n"/>
      <c r="G135" s="460" t="n"/>
      <c r="H135" s="468" t="n"/>
      <c r="I135" s="473" t="n"/>
      <c r="J135" s="473" t="n"/>
      <c r="K135" s="460" t="n"/>
      <c r="L135" s="461" t="n"/>
    </row>
    <row r="136" customFormat="1" s="13">
      <c r="A136" s="333" t="inlineStr">
        <is>
          <t>AUX_Activation_and_Synchronisation_of_ACM</t>
        </is>
      </c>
      <c r="B136" s="374" t="n"/>
      <c r="C136" s="393" t="n"/>
      <c r="D136" s="366" t="inlineStr">
        <is>
          <t>\</t>
        </is>
      </c>
      <c r="E136" s="334" t="n"/>
      <c r="F136" s="335" t="n"/>
      <c r="G136" s="335" t="n"/>
      <c r="H136" s="335" t="n"/>
      <c r="I136" s="335" t="n"/>
      <c r="J136" s="335" t="n"/>
      <c r="K136" s="335" t="n"/>
      <c r="L136" s="336" t="n"/>
    </row>
    <row r="137" outlineLevel="1" customFormat="1" s="13">
      <c r="B137" s="103" t="n"/>
      <c r="C137" s="158" t="inlineStr">
        <is>
          <t>CONFIG</t>
        </is>
      </c>
      <c r="D137" s="364" t="inlineStr">
        <is>
          <t>FRS_Aux Electrical Supply</t>
        </is>
      </c>
      <c r="E137" s="330" t="inlineStr">
        <is>
          <t>Link</t>
        </is>
      </c>
      <c r="F137" s="314">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14" t="n"/>
      <c r="H137" s="314">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14">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14">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12" t="n"/>
      <c r="L137" s="312" t="n"/>
    </row>
    <row r="138" outlineLevel="2" customFormat="1" s="13">
      <c r="B138" s="103" t="n"/>
      <c r="C138" s="621" t="n"/>
      <c r="D138" s="365" t="n"/>
      <c r="E138" s="331" t="inlineStr">
        <is>
          <t>Rif. Pagina</t>
        </is>
      </c>
      <c r="F138" s="332" t="n">
        <v>7</v>
      </c>
      <c r="G138" s="332" t="n"/>
      <c r="H138" s="332" t="n">
        <v>7</v>
      </c>
      <c r="I138" s="332" t="n">
        <v>7</v>
      </c>
      <c r="J138" s="332" t="n">
        <v>8</v>
      </c>
      <c r="K138" s="332" t="n"/>
      <c r="L138" s="332" t="n"/>
    </row>
    <row r="139" outlineLevel="2" customFormat="1" s="13">
      <c r="B139" s="103" t="n"/>
      <c r="C139" s="542" t="n"/>
      <c r="D139" s="458" t="n"/>
      <c r="E139" s="459" t="inlineStr">
        <is>
          <t>Funzioni AI</t>
        </is>
      </c>
      <c r="F139" s="473" t="n"/>
      <c r="G139" s="460" t="n"/>
      <c r="H139" s="473" t="n"/>
      <c r="I139" s="473" t="n"/>
      <c r="J139" s="473" t="n"/>
      <c r="K139" s="460" t="n"/>
      <c r="L139" s="461" t="n"/>
    </row>
    <row r="140" customFormat="1" s="13">
      <c r="A140" s="333" t="inlineStr">
        <is>
          <t>AUX_ACM_reset</t>
        </is>
      </c>
      <c r="B140" s="374" t="n"/>
      <c r="C140" s="393" t="n"/>
      <c r="D140" s="366" t="inlineStr">
        <is>
          <t>\</t>
        </is>
      </c>
      <c r="E140" s="334" t="n"/>
      <c r="F140" s="335" t="n"/>
      <c r="G140" s="335" t="n"/>
      <c r="H140" s="335" t="n"/>
      <c r="I140" s="335" t="n"/>
      <c r="J140" s="335" t="n"/>
      <c r="K140" s="335" t="n"/>
      <c r="L140" s="336" t="n"/>
    </row>
    <row r="141" outlineLevel="1" customFormat="1" s="13">
      <c r="B141" s="103" t="n"/>
      <c r="C141" s="158" t="inlineStr">
        <is>
          <t>CONFIG</t>
        </is>
      </c>
      <c r="D141" s="364" t="inlineStr">
        <is>
          <t>FRS_Aux Electrical Supply</t>
        </is>
      </c>
      <c r="E141" s="330" t="inlineStr">
        <is>
          <t>Link</t>
        </is>
      </c>
      <c r="F141" s="314">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14" t="n"/>
      <c r="H141" s="314">
        <f t="array" ref="H141">HYPERLINK(CONCATENATE(Cartelle!$D$5,INDEX(INDIRECT("'" &amp; $C141 &amp; "'!$1:$1"), 1, MATCH(INDIRECT(CONCATENATE("'" &amp; $C141 &amp; "'!",ADDRESS(MATCH($D141, INDIRECT("'" &amp; $C141 &amp; "'!$B:$B"), 0),MATCH(H$1, INDIRECT("'" &amp; $C141 &amp; "'!$1:$1"), 0)))),INDIRECT(CONCATENATE("'" &amp; $C141 &amp; "'!",MATCH($D141, INDIRECT("'" &amp; $C141 &amp; "'!$B:$B"), 0),":",MATCH($D141, INDIRECT("'" &amp; $C141 &amp; "'!$B:$B"), 0))),0)),"/",$C141,"/",MID($D141,1,FIND("_",$D141)-1),"/",INDIRECT(CONCATENATE("'" &amp; $C141 &amp; "'!",ADDRESS(MATCH($D141, INDIRECT("'" &amp; $C141 &amp; "'!$B:$B"), 0),MATCH(H$1, INDIRECT("'" &amp; $C141 &amp; "'!$1:$1"), 0)))),".",INDIRECT(CONCATENATE("'"&amp;$C141&amp;"'!",ADDRESS(MATCH($D141,INDIRECT("'"&amp;$C141&amp;"'!$B:$B"),0),3))),"#page=",H142),CONCATENATE("#Sharepoint//",$D141))</f>
        <v/>
      </c>
      <c r="I141" s="314">
        <f t="array" ref="I141">HYPERLINK(CONCATENATE(Cartelle!$D$5,INDEX(INDIRECT("'" &amp; $C141 &amp; "'!$1:$1"), 1, MATCH(INDIRECT(CONCATENATE("'" &amp; $C141 &amp; "'!",ADDRESS(MATCH($D141, INDIRECT("'" &amp; $C141 &amp; "'!$B:$B"), 0),MATCH(I$1, INDIRECT("'" &amp; $C141 &amp; "'!$1:$1"), 0)))),INDIRECT(CONCATENATE("'" &amp; $C141 &amp; "'!",MATCH($D141, INDIRECT("'" &amp; $C141 &amp; "'!$B:$B"), 0),":",MATCH($D141, INDIRECT("'" &amp; $C141 &amp; "'!$B:$B"), 0))),0)),"/",$C141,"/",MID($D141,1,FIND("_",$D141)-1),"/",INDIRECT(CONCATENATE("'" &amp; $C141 &amp; "'!",ADDRESS(MATCH($D141, INDIRECT("'" &amp; $C141 &amp; "'!$B:$B"), 0),MATCH(I$1, INDIRECT("'" &amp; $C141 &amp; "'!$1:$1"), 0)))),".",INDIRECT(CONCATENATE("'"&amp;$C141&amp;"'!",ADDRESS(MATCH($D141,INDIRECT("'"&amp;$C141&amp;"'!$B:$B"),0),3))),"#page=",I142),CONCATENATE("#Sharepoint//",$D141))</f>
        <v/>
      </c>
      <c r="J141" s="314">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12" t="n"/>
      <c r="L141" s="312" t="n"/>
    </row>
    <row r="142" outlineLevel="2" customFormat="1" s="13">
      <c r="B142" s="103" t="n"/>
      <c r="C142" s="621" t="n"/>
      <c r="D142" s="365" t="n"/>
      <c r="E142" s="331" t="inlineStr">
        <is>
          <t>Rif. Pagina</t>
        </is>
      </c>
      <c r="F142" s="332" t="n">
        <v>9</v>
      </c>
      <c r="G142" s="332" t="n"/>
      <c r="H142" s="332" t="n">
        <v>9</v>
      </c>
      <c r="I142" s="332" t="n">
        <v>9</v>
      </c>
      <c r="J142" s="332" t="n">
        <v>9</v>
      </c>
      <c r="K142" s="332" t="n"/>
      <c r="L142" s="332" t="n"/>
    </row>
    <row r="143" outlineLevel="2" customFormat="1" s="13">
      <c r="B143" s="103" t="n"/>
      <c r="C143" s="542" t="n"/>
      <c r="D143" s="458" t="n"/>
      <c r="E143" s="459" t="inlineStr">
        <is>
          <t>Funzioni AI</t>
        </is>
      </c>
      <c r="F143" s="473" t="n"/>
      <c r="G143" s="460" t="n"/>
      <c r="H143" s="473" t="n"/>
      <c r="I143" s="473" t="n"/>
      <c r="J143" s="473" t="n"/>
      <c r="K143" s="460" t="n"/>
      <c r="L143" s="461" t="n"/>
    </row>
    <row r="144" customFormat="1" s="13">
      <c r="A144" s="333" t="inlineStr">
        <is>
          <t>AUX_AC_on_Board_Supply_System</t>
        </is>
      </c>
      <c r="B144" s="374" t="n"/>
      <c r="C144" s="393" t="n"/>
      <c r="D144" s="366" t="inlineStr">
        <is>
          <t>\</t>
        </is>
      </c>
      <c r="E144" s="334" t="n"/>
      <c r="F144" s="335" t="n"/>
      <c r="G144" s="335" t="n"/>
      <c r="H144" s="335" t="n"/>
      <c r="I144" s="335" t="n"/>
      <c r="J144" s="335" t="n"/>
      <c r="K144" s="335" t="n"/>
      <c r="L144" s="336" t="n"/>
    </row>
    <row r="145" outlineLevel="1" customFormat="1" s="13">
      <c r="B145" s="103" t="n"/>
      <c r="C145" s="158" t="inlineStr">
        <is>
          <t>CONFIG</t>
        </is>
      </c>
      <c r="D145" s="364" t="inlineStr">
        <is>
          <t>FRS_Aux Electrical Supply</t>
        </is>
      </c>
      <c r="E145" s="330" t="inlineStr">
        <is>
          <t>Link</t>
        </is>
      </c>
      <c r="F145" s="314">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14" t="n"/>
      <c r="H145" s="314">
        <f t="array" ref="H145">HYPERLINK(CONCATENATE(Cartelle!$D$5,INDEX(INDIRECT("'" &amp; $C145 &amp; "'!$1:$1"), 1, MATCH(INDIRECT(CONCATENATE("'" &amp; $C145 &amp; "'!",ADDRESS(MATCH($D145, INDIRECT("'" &amp; $C145 &amp; "'!$B:$B"), 0),MATCH(H$1, INDIRECT("'" &amp; $C145 &amp; "'!$1:$1"), 0)))),INDIRECT(CONCATENATE("'" &amp; $C145 &amp; "'!",MATCH($D145, INDIRECT("'" &amp; $C145 &amp; "'!$B:$B"), 0),":",MATCH($D145, INDIRECT("'" &amp; $C145 &amp; "'!$B:$B"), 0))),0)),"/",$C145,"/",MID($D145,1,FIND("_",$D145)-1),"/",INDIRECT(CONCATENATE("'" &amp; $C145 &amp; "'!",ADDRESS(MATCH($D145, INDIRECT("'" &amp; $C145 &amp; "'!$B:$B"), 0),MATCH(H$1, INDIRECT("'" &amp; $C145 &amp; "'!$1:$1"), 0)))),".",INDIRECT(CONCATENATE("'"&amp;$C145&amp;"'!",ADDRESS(MATCH($D145,INDIRECT("'"&amp;$C145&amp;"'!$B:$B"),0),3))),"#page=",H146),CONCATENATE("#Sharepoint//",$D145))</f>
        <v/>
      </c>
      <c r="I145" s="314">
        <f t="array" ref="I145">HYPERLINK(CONCATENATE(Cartelle!$D$5,INDEX(INDIRECT("'" &amp; $C145 &amp; "'!$1:$1"), 1, MATCH(INDIRECT(CONCATENATE("'" &amp; $C145 &amp; "'!",ADDRESS(MATCH($D145, INDIRECT("'" &amp; $C145 &amp; "'!$B:$B"), 0),MATCH(I$1, INDIRECT("'" &amp; $C145 &amp; "'!$1:$1"), 0)))),INDIRECT(CONCATENATE("'" &amp; $C145 &amp; "'!",MATCH($D145, INDIRECT("'" &amp; $C145 &amp; "'!$B:$B"), 0),":",MATCH($D145, INDIRECT("'" &amp; $C145 &amp; "'!$B:$B"), 0))),0)),"/",$C145,"/",MID($D145,1,FIND("_",$D145)-1),"/",INDIRECT(CONCATENATE("'" &amp; $C145 &amp; "'!",ADDRESS(MATCH($D145, INDIRECT("'" &amp; $C145 &amp; "'!$B:$B"), 0),MATCH(I$1, INDIRECT("'" &amp; $C145 &amp; "'!$1:$1"), 0)))),".",INDIRECT(CONCATENATE("'"&amp;$C145&amp;"'!",ADDRESS(MATCH($D145,INDIRECT("'"&amp;$C145&amp;"'!$B:$B"),0),3))),"#page=",I146),CONCATENATE("#Sharepoint//",$D145))</f>
        <v/>
      </c>
      <c r="J145" s="314">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12" t="n"/>
      <c r="L145" s="312" t="n"/>
    </row>
    <row r="146" outlineLevel="2" customFormat="1" s="13">
      <c r="B146" s="103" t="n"/>
      <c r="C146" s="621" t="n"/>
      <c r="D146" s="365" t="n"/>
      <c r="E146" s="331" t="inlineStr">
        <is>
          <t>Rif. Pagina</t>
        </is>
      </c>
      <c r="F146" s="332" t="n">
        <v>10</v>
      </c>
      <c r="G146" s="332" t="n"/>
      <c r="H146" s="332" t="n">
        <v>10</v>
      </c>
      <c r="I146" s="332" t="n">
        <v>10</v>
      </c>
      <c r="J146" s="332" t="n">
        <v>10</v>
      </c>
      <c r="K146" s="332" t="n"/>
      <c r="L146" s="332" t="n"/>
    </row>
    <row r="147" outlineLevel="2" customFormat="1" s="13">
      <c r="B147" s="103" t="n"/>
      <c r="C147" s="542" t="n"/>
      <c r="D147" s="458" t="n"/>
      <c r="E147" s="459" t="inlineStr">
        <is>
          <t>Funzioni AI</t>
        </is>
      </c>
      <c r="F147" s="473" t="n"/>
      <c r="G147" s="460" t="n"/>
      <c r="H147" s="473" t="n"/>
      <c r="I147" s="473" t="n"/>
      <c r="J147" s="473" t="n"/>
      <c r="K147" s="460" t="n"/>
      <c r="L147" s="461" t="n"/>
    </row>
    <row r="148" customFormat="1" s="13">
      <c r="A148" s="333" t="inlineStr">
        <is>
          <t>AUX_External_Power_Supply</t>
        </is>
      </c>
      <c r="B148" s="374" t="n"/>
      <c r="C148" s="393" t="n"/>
      <c r="D148" s="366" t="inlineStr">
        <is>
          <t>\</t>
        </is>
      </c>
      <c r="E148" s="334" t="n"/>
      <c r="F148" s="335" t="n"/>
      <c r="G148" s="335" t="n"/>
      <c r="H148" s="335" t="n"/>
      <c r="I148" s="335" t="n"/>
      <c r="J148" s="335" t="n"/>
      <c r="K148" s="335" t="n"/>
      <c r="L148" s="336" t="n"/>
    </row>
    <row r="149" outlineLevel="1" customFormat="1" s="13">
      <c r="B149" s="103" t="n"/>
      <c r="C149" s="158" t="inlineStr">
        <is>
          <t>CONFIG</t>
        </is>
      </c>
      <c r="D149" s="364" t="inlineStr">
        <is>
          <t>FRS_Aux Electrical Supply</t>
        </is>
      </c>
      <c r="E149" s="330" t="inlineStr">
        <is>
          <t>Link</t>
        </is>
      </c>
      <c r="F149" s="314">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14" t="n"/>
      <c r="H149" s="314">
        <f t="array" ref="H149">HYPERLINK(CONCATENATE(Cartelle!$D$5,INDEX(INDIRECT("'" &amp; $C149 &amp; "'!$1:$1"), 1, MATCH(INDIRECT(CONCATENATE("'" &amp; $C149 &amp; "'!",ADDRESS(MATCH($D149, INDIRECT("'" &amp; $C149 &amp; "'!$B:$B"), 0),MATCH(H$1, INDIRECT("'" &amp; $C149 &amp; "'!$1:$1"), 0)))),INDIRECT(CONCATENATE("'" &amp; $C149 &amp; "'!",MATCH($D149, INDIRECT("'" &amp; $C149 &amp; "'!$B:$B"), 0),":",MATCH($D149, INDIRECT("'" &amp; $C149 &amp; "'!$B:$B"), 0))),0)),"/",$C149,"/",MID($D149,1,FIND("_",$D149)-1),"/",INDIRECT(CONCATENATE("'" &amp; $C149 &amp; "'!",ADDRESS(MATCH($D149, INDIRECT("'" &amp; $C149 &amp; "'!$B:$B"), 0),MATCH(H$1, INDIRECT("'" &amp; $C149 &amp; "'!$1:$1"), 0)))),".",INDIRECT(CONCATENATE("'"&amp;$C149&amp;"'!",ADDRESS(MATCH($D149,INDIRECT("'"&amp;$C149&amp;"'!$B:$B"),0),3))),"#page=",H150),CONCATENATE("#Sharepoint//",$D149))</f>
        <v/>
      </c>
      <c r="I149" s="314">
        <f t="array" ref="I149">HYPERLINK(CONCATENATE(Cartelle!$D$5,INDEX(INDIRECT("'" &amp; $C149 &amp; "'!$1:$1"), 1, MATCH(INDIRECT(CONCATENATE("'" &amp; $C149 &amp; "'!",ADDRESS(MATCH($D149, INDIRECT("'" &amp; $C149 &amp; "'!$B:$B"), 0),MATCH(I$1, INDIRECT("'" &amp; $C149 &amp; "'!$1:$1"), 0)))),INDIRECT(CONCATENATE("'" &amp; $C149 &amp; "'!",MATCH($D149, INDIRECT("'" &amp; $C149 &amp; "'!$B:$B"), 0),":",MATCH($D149, INDIRECT("'" &amp; $C149 &amp; "'!$B:$B"), 0))),0)),"/",$C149,"/",MID($D149,1,FIND("_",$D149)-1),"/",INDIRECT(CONCATENATE("'" &amp; $C149 &amp; "'!",ADDRESS(MATCH($D149, INDIRECT("'" &amp; $C149 &amp; "'!$B:$B"), 0),MATCH(I$1, INDIRECT("'" &amp; $C149 &amp; "'!$1:$1"), 0)))),".",INDIRECT(CONCATENATE("'"&amp;$C149&amp;"'!",ADDRESS(MATCH($D149,INDIRECT("'"&amp;$C149&amp;"'!$B:$B"),0),3))),"#page=",I150),CONCATENATE("#Sharepoint//",$D149))</f>
        <v/>
      </c>
      <c r="J149" s="314">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12" t="n"/>
      <c r="L149" s="312" t="n"/>
    </row>
    <row r="150" outlineLevel="2" customFormat="1" s="13">
      <c r="B150" s="103" t="n"/>
      <c r="C150" s="621" t="n"/>
      <c r="D150" s="365" t="n"/>
      <c r="E150" s="331" t="inlineStr">
        <is>
          <t>Rif. Pagina</t>
        </is>
      </c>
      <c r="F150" s="332" t="n">
        <v>18</v>
      </c>
      <c r="G150" s="332" t="n"/>
      <c r="H150" s="332" t="n">
        <v>19</v>
      </c>
      <c r="I150" s="332" t="n">
        <v>18</v>
      </c>
      <c r="J150" s="332" t="n">
        <v>18</v>
      </c>
      <c r="K150" s="332" t="n"/>
      <c r="L150" s="332" t="n"/>
    </row>
    <row r="151" outlineLevel="2" customFormat="1" s="13">
      <c r="B151" s="103" t="n"/>
      <c r="C151" s="542" t="n"/>
      <c r="D151" s="458" t="n"/>
      <c r="E151" s="459" t="inlineStr">
        <is>
          <t>Funzioni AI</t>
        </is>
      </c>
      <c r="F151" s="473" t="n"/>
      <c r="G151" s="460" t="n"/>
      <c r="H151" s="473" t="n"/>
      <c r="I151" s="473" t="n"/>
      <c r="J151" s="473" t="n"/>
      <c r="K151" s="460" t="n"/>
      <c r="L151" s="461" t="n"/>
    </row>
    <row r="152" customFormat="1" s="13">
      <c r="A152" s="333" t="inlineStr">
        <is>
          <t>AUX_Earthing_switch</t>
        </is>
      </c>
      <c r="B152" s="374" t="n"/>
      <c r="C152" s="393" t="n"/>
      <c r="D152" s="366" t="inlineStr">
        <is>
          <t>\</t>
        </is>
      </c>
      <c r="E152" s="334" t="n"/>
      <c r="F152" s="335" t="n"/>
      <c r="G152" s="335" t="n"/>
      <c r="H152" s="335" t="n"/>
      <c r="I152" s="335" t="n"/>
      <c r="J152" s="335" t="n"/>
      <c r="K152" s="335" t="n"/>
      <c r="L152" s="336" t="n"/>
    </row>
    <row r="153" outlineLevel="1" customFormat="1" s="13">
      <c r="B153" s="103" t="n"/>
      <c r="C153" s="158" t="inlineStr">
        <is>
          <t>CONFIG</t>
        </is>
      </c>
      <c r="D153" s="364" t="inlineStr">
        <is>
          <t>FRS_Aux Electrical Supply</t>
        </is>
      </c>
      <c r="E153" s="330" t="inlineStr">
        <is>
          <t>Link</t>
        </is>
      </c>
      <c r="F153" s="314">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14" t="n"/>
      <c r="H153" s="314">
        <f t="array" ref="H153">HYPERLINK(CONCATENATE(Cartelle!$D$5,INDEX(INDIRECT("'" &amp; $C153 &amp; "'!$1:$1"), 1, MATCH(INDIRECT(CONCATENATE("'" &amp; $C153 &amp; "'!",ADDRESS(MATCH($D153, INDIRECT("'" &amp; $C153 &amp; "'!$B:$B"), 0),MATCH(H$1, INDIRECT("'" &amp; $C153 &amp; "'!$1:$1"), 0)))),INDIRECT(CONCATENATE("'" &amp; $C153 &amp; "'!",MATCH($D153, INDIRECT("'" &amp; $C153 &amp; "'!$B:$B"), 0),":",MATCH($D153, INDIRECT("'" &amp; $C153 &amp; "'!$B:$B"), 0))),0)),"/",$C153,"/",MID($D153,1,FIND("_",$D153)-1),"/",INDIRECT(CONCATENATE("'" &amp; $C153 &amp; "'!",ADDRESS(MATCH($D153, INDIRECT("'" &amp; $C153 &amp; "'!$B:$B"), 0),MATCH(H$1, INDIRECT("'" &amp; $C153 &amp; "'!$1:$1"), 0)))),".",INDIRECT(CONCATENATE("'"&amp;$C153&amp;"'!",ADDRESS(MATCH($D153,INDIRECT("'"&amp;$C153&amp;"'!$B:$B"),0),3))),"#page=",H154),CONCATENATE("#Sharepoint//",$D153))</f>
        <v/>
      </c>
      <c r="I153" s="314">
        <f t="array" ref="I153">HYPERLINK(CONCATENATE(Cartelle!$D$5,INDEX(INDIRECT("'" &amp; $C153 &amp; "'!$1:$1"), 1, MATCH(INDIRECT(CONCATENATE("'" &amp; $C153 &amp; "'!",ADDRESS(MATCH($D153, INDIRECT("'" &amp; $C153 &amp; "'!$B:$B"), 0),MATCH(I$1, INDIRECT("'" &amp; $C153 &amp; "'!$1:$1"), 0)))),INDIRECT(CONCATENATE("'" &amp; $C153 &amp; "'!",MATCH($D153, INDIRECT("'" &amp; $C153 &amp; "'!$B:$B"), 0),":",MATCH($D153, INDIRECT("'" &amp; $C153 &amp; "'!$B:$B"), 0))),0)),"/",$C153,"/",MID($D153,1,FIND("_",$D153)-1),"/",INDIRECT(CONCATENATE("'" &amp; $C153 &amp; "'!",ADDRESS(MATCH($D153, INDIRECT("'" &amp; $C153 &amp; "'!$B:$B"), 0),MATCH(I$1, INDIRECT("'" &amp; $C153 &amp; "'!$1:$1"), 0)))),".",INDIRECT(CONCATENATE("'"&amp;$C153&amp;"'!",ADDRESS(MATCH($D153,INDIRECT("'"&amp;$C153&amp;"'!$B:$B"),0),3))),"#page=",I154),CONCATENATE("#Sharepoint//",$D153))</f>
        <v/>
      </c>
      <c r="J153" s="314">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12" t="n"/>
      <c r="L153" s="312" t="n"/>
    </row>
    <row r="154" outlineLevel="2" customFormat="1" s="13">
      <c r="B154" s="103" t="n"/>
      <c r="C154" s="621" t="n"/>
      <c r="D154" s="365" t="n"/>
      <c r="E154" s="331" t="inlineStr">
        <is>
          <t>Rif. Pagina</t>
        </is>
      </c>
      <c r="F154" s="332" t="n">
        <v>22</v>
      </c>
      <c r="G154" s="332" t="n"/>
      <c r="H154" s="332" t="n">
        <v>23</v>
      </c>
      <c r="I154" s="332" t="n">
        <v>22</v>
      </c>
      <c r="J154" s="332" t="n">
        <v>22</v>
      </c>
      <c r="K154" s="332" t="n"/>
      <c r="L154" s="332" t="n"/>
    </row>
    <row r="155" outlineLevel="2" customFormat="1" s="13">
      <c r="B155" s="103" t="n"/>
      <c r="C155" s="542" t="n"/>
      <c r="D155" s="458" t="n"/>
      <c r="E155" s="459" t="inlineStr">
        <is>
          <t>Funzioni AI</t>
        </is>
      </c>
      <c r="F155" s="472" t="n"/>
      <c r="G155" s="460" t="n"/>
      <c r="H155" s="472" t="n"/>
      <c r="I155" s="472" t="n"/>
      <c r="J155" s="472" t="n"/>
      <c r="K155" s="460" t="n"/>
      <c r="L155" s="461" t="n"/>
    </row>
    <row r="156" customFormat="1" s="13">
      <c r="A156" s="333" t="inlineStr">
        <is>
          <t>AUX_230V,_50Hz_Sockets</t>
        </is>
      </c>
      <c r="B156" s="374" t="n"/>
      <c r="C156" s="393" t="n"/>
      <c r="D156" s="366" t="inlineStr">
        <is>
          <t>\</t>
        </is>
      </c>
      <c r="E156" s="334" t="n"/>
      <c r="F156" s="335" t="n"/>
      <c r="G156" s="335" t="n"/>
      <c r="H156" s="335" t="n"/>
      <c r="I156" s="335" t="n"/>
      <c r="J156" s="335" t="n"/>
      <c r="K156" s="335" t="n"/>
      <c r="L156" s="336" t="n"/>
    </row>
    <row r="157" outlineLevel="1" customFormat="1" s="13">
      <c r="B157" s="103" t="n"/>
      <c r="C157" s="158" t="inlineStr">
        <is>
          <t>CONFIG</t>
        </is>
      </c>
      <c r="D157" s="364" t="inlineStr">
        <is>
          <t>FRS_Aux Electrical Supply</t>
        </is>
      </c>
      <c r="E157" s="330" t="inlineStr">
        <is>
          <t>Link</t>
        </is>
      </c>
      <c r="F157" s="314">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14" t="n"/>
      <c r="H157" s="314">
        <f t="array" ref="H157">HYPERLINK(CONCATENATE(Cartelle!$D$5,INDEX(INDIRECT("'" &amp; $C157 &amp; "'!$1:$1"), 1, MATCH(INDIRECT(CONCATENATE("'" &amp; $C157 &amp; "'!",ADDRESS(MATCH($D157, INDIRECT("'" &amp; $C157 &amp; "'!$B:$B"), 0),MATCH(H$1, INDIRECT("'" &amp; $C157 &amp; "'!$1:$1"), 0)))),INDIRECT(CONCATENATE("'" &amp; $C157 &amp; "'!",MATCH($D157, INDIRECT("'" &amp; $C157 &amp; "'!$B:$B"), 0),":",MATCH($D157, INDIRECT("'" &amp; $C157 &amp; "'!$B:$B"), 0))),0)),"/",$C157,"/",MID($D157,1,FIND("_",$D157)-1),"/",INDIRECT(CONCATENATE("'" &amp; $C157 &amp; "'!",ADDRESS(MATCH($D157, INDIRECT("'" &amp; $C157 &amp; "'!$B:$B"), 0),MATCH(H$1, INDIRECT("'" &amp; $C157 &amp; "'!$1:$1"), 0)))),".",INDIRECT(CONCATENATE("'"&amp;$C157&amp;"'!",ADDRESS(MATCH($D157,INDIRECT("'"&amp;$C157&amp;"'!$B:$B"),0),3))),"#page=",H158),CONCATENATE("#Sharepoint//",$D157))</f>
        <v/>
      </c>
      <c r="I157" s="314">
        <f t="array" ref="I157">HYPERLINK(CONCATENATE(Cartelle!$D$5,INDEX(INDIRECT("'" &amp; $C157 &amp; "'!$1:$1"), 1, MATCH(INDIRECT(CONCATENATE("'" &amp; $C157 &amp; "'!",ADDRESS(MATCH($D157, INDIRECT("'" &amp; $C157 &amp; "'!$B:$B"), 0),MATCH(I$1, INDIRECT("'" &amp; $C157 &amp; "'!$1:$1"), 0)))),INDIRECT(CONCATENATE("'" &amp; $C157 &amp; "'!",MATCH($D157, INDIRECT("'" &amp; $C157 &amp; "'!$B:$B"), 0),":",MATCH($D157, INDIRECT("'" &amp; $C157 &amp; "'!$B:$B"), 0))),0)),"/",$C157,"/",MID($D157,1,FIND("_",$D157)-1),"/",INDIRECT(CONCATENATE("'" &amp; $C157 &amp; "'!",ADDRESS(MATCH($D157, INDIRECT("'" &amp; $C157 &amp; "'!$B:$B"), 0),MATCH(I$1, INDIRECT("'" &amp; $C157 &amp; "'!$1:$1"), 0)))),".",INDIRECT(CONCATENATE("'"&amp;$C157&amp;"'!",ADDRESS(MATCH($D157,INDIRECT("'"&amp;$C157&amp;"'!$B:$B"),0),3))),"#page=",I158),CONCATENATE("#Sharepoint//",$D157))</f>
        <v/>
      </c>
      <c r="J157" s="314">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12" t="n"/>
      <c r="L157" s="312" t="n"/>
    </row>
    <row r="158" outlineLevel="2" customFormat="1" s="13">
      <c r="B158" s="103" t="n"/>
      <c r="C158" s="621" t="n"/>
      <c r="D158" s="365" t="n"/>
      <c r="E158" s="331" t="inlineStr">
        <is>
          <t>Rif. Pagina</t>
        </is>
      </c>
      <c r="F158" s="332" t="n">
        <v>23</v>
      </c>
      <c r="G158" s="332" t="n"/>
      <c r="H158" s="332" t="n">
        <v>24</v>
      </c>
      <c r="I158" s="332" t="n">
        <v>23</v>
      </c>
      <c r="J158" s="332" t="n">
        <v>23</v>
      </c>
      <c r="K158" s="332" t="n"/>
      <c r="L158" s="332" t="n"/>
    </row>
    <row r="159" outlineLevel="2" customFormat="1" s="13">
      <c r="B159" s="103" t="n"/>
      <c r="C159" s="542" t="n"/>
      <c r="D159" s="458" t="n"/>
      <c r="E159" s="459" t="inlineStr">
        <is>
          <t>Funzioni AI</t>
        </is>
      </c>
      <c r="F159" s="473" t="n"/>
      <c r="G159" s="460" t="n"/>
      <c r="H159" s="473" t="n"/>
      <c r="I159" s="473" t="n"/>
      <c r="J159" s="473" t="n"/>
      <c r="K159" s="460" t="n"/>
      <c r="L159" s="461" t="n"/>
    </row>
    <row r="160" customFormat="1" s="13">
      <c r="A160" s="333" t="inlineStr">
        <is>
          <t>AUX_Mini_Circuit_Breaker_Supervision</t>
        </is>
      </c>
      <c r="B160" s="374" t="n"/>
      <c r="C160" s="393" t="n"/>
      <c r="D160" s="366" t="inlineStr">
        <is>
          <t>\</t>
        </is>
      </c>
      <c r="E160" s="334" t="n"/>
      <c r="F160" s="335" t="n"/>
      <c r="G160" s="335" t="n"/>
      <c r="H160" s="335" t="n"/>
      <c r="I160" s="335" t="n"/>
      <c r="J160" s="335" t="n"/>
      <c r="K160" s="335" t="n"/>
      <c r="L160" s="336" t="n"/>
    </row>
    <row r="161" outlineLevel="1" customFormat="1" s="13">
      <c r="B161" s="103" t="n"/>
      <c r="C161" s="158" t="inlineStr">
        <is>
          <t>CONFIG</t>
        </is>
      </c>
      <c r="D161" s="364" t="inlineStr">
        <is>
          <t>FRS_Aux Electrical Supply</t>
        </is>
      </c>
      <c r="E161" s="330" t="inlineStr">
        <is>
          <t>Link</t>
        </is>
      </c>
      <c r="F161" s="314">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14" t="n"/>
      <c r="H161" s="314">
        <f t="array" ref="H161">HYPERLINK(CONCATENATE(Cartelle!$D$5,INDEX(INDIRECT("'" &amp; $C161 &amp; "'!$1:$1"), 1, MATCH(INDIRECT(CONCATENATE("'" &amp; $C161 &amp; "'!",ADDRESS(MATCH($D161, INDIRECT("'" &amp; $C161 &amp; "'!$B:$B"), 0),MATCH(H$1, INDIRECT("'" &amp; $C161 &amp; "'!$1:$1"), 0)))),INDIRECT(CONCATENATE("'" &amp; $C161 &amp; "'!",MATCH($D161, INDIRECT("'" &amp; $C161 &amp; "'!$B:$B"), 0),":",MATCH($D161, INDIRECT("'" &amp; $C161 &amp; "'!$B:$B"), 0))),0)),"/",$C161,"/",MID($D161,1,FIND("_",$D161)-1),"/",INDIRECT(CONCATENATE("'" &amp; $C161 &amp; "'!",ADDRESS(MATCH($D161, INDIRECT("'" &amp; $C161 &amp; "'!$B:$B"), 0),MATCH(H$1, INDIRECT("'" &amp; $C161 &amp; "'!$1:$1"), 0)))),".",INDIRECT(CONCATENATE("'"&amp;$C161&amp;"'!",ADDRESS(MATCH($D161,INDIRECT("'"&amp;$C161&amp;"'!$B:$B"),0),3))),"#page=",H162),CONCATENATE("#Sharepoint//",$D161))</f>
        <v/>
      </c>
      <c r="I161" s="314">
        <f t="array" ref="I161">HYPERLINK(CONCATENATE(Cartelle!$D$5,INDEX(INDIRECT("'" &amp; $C161 &amp; "'!$1:$1"), 1, MATCH(INDIRECT(CONCATENATE("'" &amp; $C161 &amp; "'!",ADDRESS(MATCH($D161, INDIRECT("'" &amp; $C161 &amp; "'!$B:$B"), 0),MATCH(I$1, INDIRECT("'" &amp; $C161 &amp; "'!$1:$1"), 0)))),INDIRECT(CONCATENATE("'" &amp; $C161 &amp; "'!",MATCH($D161, INDIRECT("'" &amp; $C161 &amp; "'!$B:$B"), 0),":",MATCH($D161, INDIRECT("'" &amp; $C161 &amp; "'!$B:$B"), 0))),0)),"/",$C161,"/",MID($D161,1,FIND("_",$D161)-1),"/",INDIRECT(CONCATENATE("'" &amp; $C161 &amp; "'!",ADDRESS(MATCH($D161, INDIRECT("'" &amp; $C161 &amp; "'!$B:$B"), 0),MATCH(I$1, INDIRECT("'" &amp; $C161 &amp; "'!$1:$1"), 0)))),".",INDIRECT(CONCATENATE("'"&amp;$C161&amp;"'!",ADDRESS(MATCH($D161,INDIRECT("'"&amp;$C161&amp;"'!$B:$B"),0),3))),"#page=",I162),CONCATENATE("#Sharepoint//",$D161))</f>
        <v/>
      </c>
      <c r="J161" s="314">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12" t="n"/>
      <c r="L161" s="312" t="n"/>
    </row>
    <row r="162" outlineLevel="2" customFormat="1" s="13">
      <c r="B162" s="103" t="n"/>
      <c r="C162" s="542" t="n"/>
      <c r="D162" s="367" t="n"/>
      <c r="E162" s="337" t="inlineStr">
        <is>
          <t>Rif. Pagina</t>
        </is>
      </c>
      <c r="F162" s="338" t="n">
        <v>24</v>
      </c>
      <c r="G162" s="338" t="n">
        <v>24</v>
      </c>
      <c r="H162" s="338" t="n">
        <v>25</v>
      </c>
      <c r="I162" s="338" t="n">
        <v>24</v>
      </c>
      <c r="J162" s="338" t="n">
        <v>24</v>
      </c>
      <c r="K162" s="338" t="n"/>
      <c r="L162" s="338" t="n"/>
    </row>
    <row r="163" outlineLevel="2" customFormat="1" s="13">
      <c r="B163" s="103" t="n"/>
      <c r="C163" s="542" t="n"/>
      <c r="D163" s="458" t="n"/>
      <c r="E163" s="459" t="inlineStr">
        <is>
          <t>Funzioni AI</t>
        </is>
      </c>
      <c r="F163" s="472" t="n"/>
      <c r="G163" s="460" t="n"/>
      <c r="H163" s="472" t="n"/>
      <c r="I163" s="472" t="n"/>
      <c r="J163" s="472" t="n"/>
      <c r="K163" s="460" t="n"/>
      <c r="L163" s="461" t="n"/>
    </row>
    <row r="164">
      <c r="A164" s="340" t="inlineStr">
        <is>
          <t>BAT_Failure_cases_battery_system</t>
        </is>
      </c>
      <c r="B164" s="375" t="n"/>
      <c r="C164" s="393" t="n"/>
      <c r="D164" s="368" t="inlineStr">
        <is>
          <t>\</t>
        </is>
      </c>
      <c r="E164" s="341" t="n"/>
      <c r="F164" s="342" t="n"/>
      <c r="G164" s="342" t="n"/>
      <c r="H164" s="342" t="n"/>
      <c r="I164" s="342" t="n"/>
      <c r="J164" s="342" t="n"/>
      <c r="K164" s="342" t="n"/>
      <c r="L164" s="343" t="n"/>
    </row>
    <row r="165" outlineLevel="1" s="594">
      <c r="B165" s="376" t="n"/>
      <c r="C165" s="158" t="inlineStr">
        <is>
          <t>CONFIG</t>
        </is>
      </c>
      <c r="D165" s="369" t="inlineStr">
        <is>
          <t>FRS_Battery</t>
        </is>
      </c>
      <c r="E165" s="344" t="inlineStr">
        <is>
          <t>Link</t>
        </is>
      </c>
      <c r="F165" s="314">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14" t="n"/>
      <c r="H165" s="314" t="n"/>
      <c r="I165" s="314" t="n"/>
      <c r="J165" s="314">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46" t="n"/>
      <c r="L165" s="346" t="n"/>
    </row>
    <row r="166" outlineLevel="2" s="594">
      <c r="B166" s="376" t="n"/>
      <c r="D166" s="370" t="n"/>
      <c r="E166" s="348" t="inlineStr">
        <is>
          <t>Rif. Pagina</t>
        </is>
      </c>
      <c r="F166" s="349" t="n">
        <v>8</v>
      </c>
      <c r="G166" s="349" t="n">
        <v>8</v>
      </c>
      <c r="H166" s="349" t="n">
        <v>8</v>
      </c>
      <c r="I166" s="349" t="n">
        <v>8</v>
      </c>
      <c r="J166" s="349" t="n">
        <v>8</v>
      </c>
      <c r="K166" s="349" t="n"/>
      <c r="L166" s="349" t="n"/>
    </row>
    <row r="167" outlineLevel="2" customFormat="1" s="13">
      <c r="B167" s="103" t="n"/>
      <c r="C167" s="542" t="n"/>
      <c r="D167" s="458" t="n"/>
      <c r="E167" s="459" t="inlineStr">
        <is>
          <t>Funzioni AI</t>
        </is>
      </c>
      <c r="F167" s="473" t="n"/>
      <c r="G167" s="460" t="n"/>
      <c r="H167" s="460" t="n"/>
      <c r="I167" s="460" t="n"/>
      <c r="J167" s="473" t="n"/>
      <c r="K167" s="460" t="n"/>
      <c r="L167" s="461" t="n"/>
    </row>
    <row r="168">
      <c r="A168" s="350" t="inlineStr">
        <is>
          <t>BAT_Function_Battery_Isolation</t>
        </is>
      </c>
      <c r="B168" s="377" t="n"/>
      <c r="C168" s="393" t="n"/>
      <c r="D168" s="371" t="inlineStr">
        <is>
          <t>\</t>
        </is>
      </c>
      <c r="E168" s="351" t="n"/>
      <c r="F168" s="352" t="n"/>
      <c r="G168" s="352" t="n"/>
      <c r="H168" s="352" t="n"/>
      <c r="I168" s="352" t="n"/>
      <c r="J168" s="352" t="n"/>
      <c r="K168" s="352" t="n"/>
      <c r="L168" s="353" t="n"/>
    </row>
    <row r="169" outlineLevel="1" s="594">
      <c r="B169" s="376" t="n"/>
      <c r="C169" s="158" t="inlineStr">
        <is>
          <t>CONFIG</t>
        </is>
      </c>
      <c r="D169" s="369" t="inlineStr">
        <is>
          <t>FRS_Battery</t>
        </is>
      </c>
      <c r="E169" s="344" t="inlineStr">
        <is>
          <t>Link</t>
        </is>
      </c>
      <c r="F169" s="314">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14" t="n"/>
      <c r="H169" s="314" t="n"/>
      <c r="I169" s="314" t="n"/>
      <c r="J169" s="314">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46" t="n"/>
      <c r="L169" s="346" t="n"/>
    </row>
    <row r="170" outlineLevel="2" s="594">
      <c r="B170" s="376" t="n"/>
      <c r="D170" s="370" t="n"/>
      <c r="E170" s="348" t="inlineStr">
        <is>
          <t>Rif. Pagina</t>
        </is>
      </c>
      <c r="F170" s="349" t="n">
        <v>9</v>
      </c>
      <c r="G170" s="349" t="n"/>
      <c r="H170" s="349" t="n"/>
      <c r="I170" s="349" t="n"/>
      <c r="J170" s="349" t="n">
        <v>9</v>
      </c>
      <c r="K170" s="349" t="n"/>
      <c r="L170" s="349" t="n"/>
    </row>
    <row r="171" outlineLevel="2" customFormat="1" s="13">
      <c r="B171" s="103" t="n"/>
      <c r="C171" s="542" t="n"/>
      <c r="D171" s="458" t="n"/>
      <c r="E171" s="459" t="inlineStr">
        <is>
          <t>Funzioni AI</t>
        </is>
      </c>
      <c r="F171" s="473" t="n"/>
      <c r="G171" s="460" t="n"/>
      <c r="H171" s="460" t="n"/>
      <c r="I171" s="460" t="n"/>
      <c r="J171" s="473" t="n"/>
      <c r="K171" s="460" t="n"/>
      <c r="L171" s="461" t="n"/>
    </row>
    <row r="172">
      <c r="A172" s="350" t="inlineStr">
        <is>
          <t>BAT_Battery_Contactors</t>
        </is>
      </c>
      <c r="B172" s="377" t="n"/>
      <c r="C172" s="393" t="n"/>
      <c r="D172" s="371" t="inlineStr">
        <is>
          <t>\</t>
        </is>
      </c>
      <c r="E172" s="351" t="n"/>
      <c r="F172" s="352" t="n"/>
      <c r="G172" s="352" t="n"/>
      <c r="H172" s="352" t="n"/>
      <c r="I172" s="352" t="n"/>
      <c r="J172" s="352" t="n"/>
      <c r="K172" s="352" t="n"/>
      <c r="L172" s="353" t="n"/>
    </row>
    <row r="173" outlineLevel="1" s="594">
      <c r="B173" s="376" t="n"/>
      <c r="C173" s="158" t="inlineStr">
        <is>
          <t>CONFIG</t>
        </is>
      </c>
      <c r="D173" s="369" t="inlineStr">
        <is>
          <t>FRS_Battery</t>
        </is>
      </c>
      <c r="E173" s="344" t="inlineStr">
        <is>
          <t>Link</t>
        </is>
      </c>
      <c r="F173" s="314">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14" t="n"/>
      <c r="H173" s="314" t="n"/>
      <c r="I173" s="314" t="n"/>
      <c r="J173" s="314">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46" t="n"/>
      <c r="L173" s="346" t="n"/>
    </row>
    <row r="174" outlineLevel="2" s="594">
      <c r="B174" s="376" t="n"/>
      <c r="D174" s="370" t="n"/>
      <c r="E174" s="348" t="inlineStr">
        <is>
          <t>Rif. Pagina</t>
        </is>
      </c>
      <c r="F174" s="349" t="n">
        <v>11</v>
      </c>
      <c r="G174" s="349" t="n"/>
      <c r="H174" s="349" t="n"/>
      <c r="I174" s="349" t="n"/>
      <c r="J174" s="349" t="n">
        <v>11</v>
      </c>
      <c r="K174" s="349" t="n"/>
      <c r="L174" s="349" t="n"/>
    </row>
    <row r="175" outlineLevel="2" customFormat="1" s="13">
      <c r="B175" s="103" t="n"/>
      <c r="C175" s="542" t="n"/>
      <c r="D175" s="458" t="n"/>
      <c r="E175" s="459" t="inlineStr">
        <is>
          <t>Funzioni AI</t>
        </is>
      </c>
      <c r="F175" s="473" t="n"/>
      <c r="G175" s="460" t="n"/>
      <c r="H175" s="460" t="n"/>
      <c r="I175" s="460" t="n"/>
      <c r="J175" s="473" t="n"/>
      <c r="K175" s="460" t="n"/>
      <c r="L175" s="461" t="n"/>
    </row>
    <row r="176">
      <c r="A176" s="350" t="inlineStr">
        <is>
          <t>BAT_Load_Shed_Contactors</t>
        </is>
      </c>
      <c r="B176" s="377" t="n"/>
      <c r="C176" s="393" t="n"/>
      <c r="D176" s="371" t="inlineStr">
        <is>
          <t>\</t>
        </is>
      </c>
      <c r="E176" s="351" t="n"/>
      <c r="F176" s="352" t="n"/>
      <c r="G176" s="352" t="n"/>
      <c r="H176" s="352" t="n"/>
      <c r="I176" s="352" t="n"/>
      <c r="J176" s="352" t="n"/>
      <c r="K176" s="352" t="n"/>
      <c r="L176" s="353" t="n"/>
    </row>
    <row r="177" outlineLevel="1" s="594">
      <c r="B177" s="376" t="n"/>
      <c r="C177" s="158" t="inlineStr">
        <is>
          <t>CONFIG</t>
        </is>
      </c>
      <c r="D177" s="369" t="inlineStr">
        <is>
          <t>FRS_Battery</t>
        </is>
      </c>
      <c r="E177" s="344" t="inlineStr">
        <is>
          <t>Link</t>
        </is>
      </c>
      <c r="F177" s="314">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14" t="n"/>
      <c r="H177" s="314" t="n"/>
      <c r="I177" s="314" t="n"/>
      <c r="J177" s="314">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46" t="n"/>
      <c r="L177" s="346" t="n"/>
    </row>
    <row r="178" outlineLevel="2" s="594">
      <c r="B178" s="376" t="n"/>
      <c r="D178" s="370" t="n"/>
      <c r="E178" s="348" t="inlineStr">
        <is>
          <t>Rif. Pagina</t>
        </is>
      </c>
      <c r="F178" s="349" t="n">
        <v>16</v>
      </c>
      <c r="G178" s="349" t="n"/>
      <c r="H178" s="349" t="n"/>
      <c r="I178" s="349" t="n"/>
      <c r="J178" s="349" t="n">
        <v>16</v>
      </c>
      <c r="K178" s="349" t="n"/>
      <c r="L178" s="349" t="n"/>
    </row>
    <row r="179" outlineLevel="2" customFormat="1" s="13">
      <c r="B179" s="103" t="n"/>
      <c r="C179" s="542" t="n"/>
      <c r="D179" s="458" t="n"/>
      <c r="E179" s="459" t="inlineStr">
        <is>
          <t>Funzioni AI</t>
        </is>
      </c>
      <c r="F179" s="473" t="n"/>
      <c r="G179" s="460" t="n"/>
      <c r="H179" s="460" t="n"/>
      <c r="I179" s="460" t="n"/>
      <c r="J179" s="473" t="n"/>
      <c r="K179" s="460" t="n"/>
      <c r="L179" s="461" t="n"/>
    </row>
    <row r="180">
      <c r="A180" s="350" t="inlineStr">
        <is>
          <t>BAT_DC_Busline_Distribution</t>
        </is>
      </c>
      <c r="B180" s="377" t="n"/>
      <c r="C180" s="393" t="n"/>
      <c r="D180" s="371" t="inlineStr">
        <is>
          <t>\</t>
        </is>
      </c>
      <c r="E180" s="351" t="n"/>
      <c r="F180" s="352" t="n"/>
      <c r="G180" s="352" t="n"/>
      <c r="H180" s="352" t="n"/>
      <c r="I180" s="352" t="n"/>
      <c r="J180" s="352" t="n"/>
      <c r="K180" s="352" t="n"/>
      <c r="L180" s="353" t="n"/>
    </row>
    <row r="181" outlineLevel="1" s="594">
      <c r="B181" s="376" t="n"/>
      <c r="C181" s="158" t="inlineStr">
        <is>
          <t>CONFIG</t>
        </is>
      </c>
      <c r="D181" s="369" t="inlineStr">
        <is>
          <t>FRS_Battery</t>
        </is>
      </c>
      <c r="E181" s="344" t="inlineStr">
        <is>
          <t>Link</t>
        </is>
      </c>
      <c r="F181" s="314">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14" t="n"/>
      <c r="H181" s="314" t="n"/>
      <c r="I181" s="314" t="n"/>
      <c r="J181" s="314">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46" t="n"/>
      <c r="L181" s="346" t="n"/>
    </row>
    <row r="182" outlineLevel="2" s="594">
      <c r="B182" s="376" t="n"/>
      <c r="D182" s="370" t="n"/>
      <c r="E182" s="348" t="inlineStr">
        <is>
          <t>Rif. Pagina</t>
        </is>
      </c>
      <c r="F182" s="349" t="n">
        <v>19</v>
      </c>
      <c r="G182" s="349" t="n"/>
      <c r="H182" s="349" t="n"/>
      <c r="I182" s="349" t="n"/>
      <c r="J182" s="349" t="n">
        <v>19</v>
      </c>
      <c r="K182" s="349" t="n"/>
      <c r="L182" s="349" t="n"/>
    </row>
    <row r="183" outlineLevel="2" customFormat="1" s="13">
      <c r="B183" s="103" t="n"/>
      <c r="C183" s="542" t="n"/>
      <c r="D183" s="458" t="n"/>
      <c r="E183" s="459" t="inlineStr">
        <is>
          <t>Funzioni AI</t>
        </is>
      </c>
      <c r="F183" s="473" t="n"/>
      <c r="G183" s="460" t="n"/>
      <c r="H183" s="460" t="n"/>
      <c r="I183" s="460" t="n"/>
      <c r="J183" s="473" t="n"/>
      <c r="K183" s="460" t="n"/>
      <c r="L183" s="461" t="n"/>
    </row>
    <row r="184">
      <c r="A184" s="350" t="inlineStr">
        <is>
          <t>BAT_Battery_Charging</t>
        </is>
      </c>
      <c r="B184" s="377" t="n"/>
      <c r="C184" s="393" t="n"/>
      <c r="D184" s="371" t="inlineStr">
        <is>
          <t>\</t>
        </is>
      </c>
      <c r="E184" s="351" t="n"/>
      <c r="F184" s="352" t="n"/>
      <c r="G184" s="352" t="n"/>
      <c r="H184" s="352" t="n"/>
      <c r="I184" s="352" t="n"/>
      <c r="J184" s="352" t="n"/>
      <c r="K184" s="352" t="n"/>
      <c r="L184" s="353" t="n"/>
    </row>
    <row r="185" outlineLevel="1" s="594">
      <c r="B185" s="376" t="n"/>
      <c r="C185" s="158" t="inlineStr">
        <is>
          <t>CONFIG</t>
        </is>
      </c>
      <c r="D185" s="369" t="inlineStr">
        <is>
          <t>FRS_Battery</t>
        </is>
      </c>
      <c r="E185" s="344" t="inlineStr">
        <is>
          <t>Link</t>
        </is>
      </c>
      <c r="F185" s="314">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14" t="n"/>
      <c r="H185" s="314" t="n"/>
      <c r="I185" s="314" t="n"/>
      <c r="J185" s="314">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46" t="n"/>
      <c r="L185" s="346" t="n"/>
    </row>
    <row r="186" outlineLevel="2" s="594">
      <c r="B186" s="376" t="n"/>
      <c r="D186" s="372" t="n"/>
      <c r="E186" s="354" t="inlineStr">
        <is>
          <t>Rif. Pagina</t>
        </is>
      </c>
      <c r="F186" s="355" t="n">
        <v>21</v>
      </c>
      <c r="G186" s="355" t="n">
        <v>21</v>
      </c>
      <c r="H186" s="355" t="n">
        <v>21</v>
      </c>
      <c r="I186" s="355" t="n">
        <v>21</v>
      </c>
      <c r="J186" s="355" t="n">
        <v>21</v>
      </c>
      <c r="K186" s="355" t="n"/>
      <c r="L186" s="355" t="n"/>
    </row>
    <row r="187" outlineLevel="2" customFormat="1" s="13">
      <c r="B187" s="103" t="n"/>
      <c r="C187" s="542" t="n"/>
      <c r="D187" s="458" t="n"/>
      <c r="E187" s="459" t="inlineStr">
        <is>
          <t>Funzioni AI</t>
        </is>
      </c>
      <c r="F187" s="473" t="n"/>
      <c r="G187" s="460" t="n"/>
      <c r="H187" s="460" t="n"/>
      <c r="I187" s="460" t="n"/>
      <c r="J187" s="473" t="n"/>
      <c r="K187" s="460" t="n"/>
      <c r="L187" s="461" t="n"/>
    </row>
    <row r="188">
      <c r="A188" s="340" t="inlineStr">
        <is>
          <t>AIR_Control_of_Main_Compressor</t>
        </is>
      </c>
      <c r="B188" s="375" t="n"/>
      <c r="C188" s="393" t="n"/>
      <c r="D188" s="368" t="inlineStr">
        <is>
          <t>\</t>
        </is>
      </c>
      <c r="E188" s="341" t="n"/>
      <c r="F188" s="342" t="n"/>
      <c r="G188" s="342" t="n"/>
      <c r="H188" s="342" t="n"/>
      <c r="I188" s="342" t="n"/>
      <c r="J188" s="342" t="n"/>
      <c r="K188" s="342" t="n"/>
      <c r="L188" s="343" t="n"/>
    </row>
    <row r="189" outlineLevel="1" s="594">
      <c r="B189" s="376" t="n"/>
      <c r="C189" s="158" t="inlineStr">
        <is>
          <t>CONFIG</t>
        </is>
      </c>
      <c r="D189" s="369" t="inlineStr">
        <is>
          <t>FRS_Air Supply</t>
        </is>
      </c>
      <c r="E189" s="344" t="inlineStr">
        <is>
          <t>Link</t>
        </is>
      </c>
      <c r="F189" s="314">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14">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45" t="n"/>
      <c r="I189" s="345" t="n"/>
      <c r="J189" s="314">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46" t="n"/>
      <c r="L189" s="346" t="n"/>
    </row>
    <row r="190" outlineLevel="2" s="594">
      <c r="B190" s="376" t="n"/>
      <c r="D190" s="373" t="n"/>
      <c r="E190" s="356" t="inlineStr">
        <is>
          <t>Rif. Pagina</t>
        </is>
      </c>
      <c r="F190" s="357" t="n">
        <v>6</v>
      </c>
      <c r="G190" s="357" t="n">
        <v>6</v>
      </c>
      <c r="H190" s="357" t="n">
        <v>6</v>
      </c>
      <c r="I190" s="357" t="n">
        <v>6</v>
      </c>
      <c r="J190" s="357" t="n">
        <v>6</v>
      </c>
      <c r="K190" s="357" t="n"/>
      <c r="L190" s="357" t="n"/>
    </row>
    <row r="191" outlineLevel="2" customFormat="1" s="13">
      <c r="B191" s="103" t="n"/>
      <c r="C191" s="542" t="n"/>
      <c r="D191" s="458" t="n"/>
      <c r="E191" s="459" t="inlineStr">
        <is>
          <t>Funzioni AI</t>
        </is>
      </c>
      <c r="F191" s="473" t="n"/>
      <c r="G191" s="473" t="n"/>
      <c r="H191" s="460" t="n"/>
      <c r="I191" s="460" t="n"/>
      <c r="J191" s="473" t="n"/>
      <c r="K191" s="460" t="n"/>
      <c r="L191" s="461" t="n"/>
    </row>
    <row r="192">
      <c r="A192" s="350" t="inlineStr">
        <is>
          <t>AIR_Monitoring_of_Main_Compressor</t>
        </is>
      </c>
      <c r="B192" s="377" t="n"/>
      <c r="C192" s="393" t="n"/>
      <c r="D192" s="371" t="inlineStr">
        <is>
          <t>\</t>
        </is>
      </c>
      <c r="E192" s="351" t="n"/>
      <c r="F192" s="352" t="n"/>
      <c r="G192" s="352" t="n"/>
      <c r="H192" s="352" t="n"/>
      <c r="I192" s="352" t="n"/>
      <c r="J192" s="352" t="n"/>
      <c r="K192" s="352" t="n"/>
      <c r="L192" s="353" t="n"/>
    </row>
    <row r="193" outlineLevel="1" s="594">
      <c r="B193" s="376" t="n"/>
      <c r="C193" s="158" t="inlineStr">
        <is>
          <t>CONFIG</t>
        </is>
      </c>
      <c r="D193" s="369" t="inlineStr">
        <is>
          <t>FRS_Air Supply</t>
        </is>
      </c>
      <c r="E193" s="344" t="inlineStr">
        <is>
          <t>Link</t>
        </is>
      </c>
      <c r="F193" s="314">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14">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45" t="n"/>
      <c r="I193" s="345" t="n"/>
      <c r="J193" s="314">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46" t="n"/>
      <c r="L193" s="346" t="n"/>
    </row>
    <row r="194" outlineLevel="2" s="594">
      <c r="B194" s="376" t="n"/>
      <c r="D194" s="373" t="n"/>
      <c r="E194" s="356" t="inlineStr">
        <is>
          <t>Rif. Pagina</t>
        </is>
      </c>
      <c r="F194" s="357" t="n">
        <v>11</v>
      </c>
      <c r="G194" s="357" t="n">
        <v>12</v>
      </c>
      <c r="H194" s="357" t="n">
        <v>11</v>
      </c>
      <c r="I194" s="357" t="n">
        <v>12</v>
      </c>
      <c r="J194" s="357" t="n">
        <v>11</v>
      </c>
      <c r="K194" s="357" t="n"/>
      <c r="L194" s="357" t="n"/>
    </row>
    <row r="195" outlineLevel="2" customFormat="1" s="13">
      <c r="B195" s="103" t="n"/>
      <c r="C195" s="542" t="n"/>
      <c r="D195" s="458" t="n"/>
      <c r="E195" s="459" t="inlineStr">
        <is>
          <t>Funzioni AI</t>
        </is>
      </c>
      <c r="F195" s="473" t="n"/>
      <c r="G195" s="473" t="n"/>
      <c r="H195" s="460" t="n"/>
      <c r="I195" s="460" t="n"/>
      <c r="J195" s="473" t="n"/>
      <c r="K195" s="460" t="n"/>
      <c r="L195" s="461" t="n"/>
    </row>
    <row r="196">
      <c r="A196" s="350" t="inlineStr">
        <is>
          <t>AIR_Forcing_of_Main_compressor</t>
        </is>
      </c>
      <c r="B196" s="377" t="n"/>
      <c r="C196" s="393" t="n"/>
      <c r="D196" s="371" t="inlineStr">
        <is>
          <t>\</t>
        </is>
      </c>
      <c r="E196" s="351" t="n"/>
      <c r="F196" s="352" t="n"/>
      <c r="G196" s="352" t="n"/>
      <c r="H196" s="352" t="n"/>
      <c r="I196" s="352" t="n"/>
      <c r="J196" s="352" t="n"/>
      <c r="K196" s="352" t="n"/>
      <c r="L196" s="353" t="n"/>
    </row>
    <row r="197" outlineLevel="1" s="594">
      <c r="B197" s="376" t="n"/>
      <c r="C197" s="158" t="inlineStr">
        <is>
          <t>CONFIG</t>
        </is>
      </c>
      <c r="D197" s="369" t="inlineStr">
        <is>
          <t>FRS_Air Supply</t>
        </is>
      </c>
      <c r="E197" s="344" t="inlineStr">
        <is>
          <t>Link</t>
        </is>
      </c>
      <c r="F197" s="314">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14">
        <f t="array" ref="G197">HYPERLINK(CONCATENATE(Cartelle!$D$5,INDEX(INDIRECT("'" &amp; $C197 &amp; "'!$1:$1"), 1, MATCH(INDIRECT(CONCATENATE("'" &amp; $C197 &amp; "'!",ADDRESS(MATCH($D197, INDIRECT("'" &amp; $C197 &amp; "'!$B:$B"), 0),MATCH(G$1, INDIRECT("'" &amp; $C197 &amp; "'!$1:$1"), 0)))),INDIRECT(CONCATENATE("'" &amp; $C197 &amp; "'!",MATCH($D197, INDIRECT("'" &amp; $C197 &amp; "'!$B:$B"), 0),":",MATCH($D197, INDIRECT("'" &amp; $C197 &amp; "'!$B:$B"), 0))),0)),"/",$C197,"/",MID($D197,1,FIND("_",$D197)-1),"/",INDIRECT(CONCATENATE("'" &amp; $C197 &amp; "'!",ADDRESS(MATCH($D197, INDIRECT("'" &amp; $C197 &amp; "'!$B:$B"), 0),MATCH(G$1, INDIRECT("'" &amp; $C197 &amp; "'!$1:$1"), 0)))),".",INDIRECT(CONCATENATE("'"&amp;$C197&amp;"'!",ADDRESS(MATCH($D197,INDIRECT("'"&amp;$C197&amp;"'!$B:$B"),0),3))),"#page=",G198),CONCATENATE("#Sharepoint//",$D197))</f>
        <v/>
      </c>
      <c r="H197" s="345" t="n"/>
      <c r="I197" s="345" t="n"/>
      <c r="J197" s="314">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46" t="n"/>
      <c r="L197" s="346" t="n"/>
    </row>
    <row r="198" outlineLevel="2" s="594">
      <c r="B198" s="376" t="n"/>
      <c r="D198" s="373" t="n"/>
      <c r="E198" s="356" t="inlineStr">
        <is>
          <t>Rif. Pagina</t>
        </is>
      </c>
      <c r="F198" s="357" t="n">
        <v>14</v>
      </c>
      <c r="G198" s="357" t="n">
        <v>14</v>
      </c>
      <c r="H198" s="357" t="n">
        <v>14</v>
      </c>
      <c r="I198" s="357" t="n">
        <v>14</v>
      </c>
      <c r="J198" s="357" t="n">
        <v>14</v>
      </c>
      <c r="K198" s="357" t="n"/>
      <c r="L198" s="357" t="n"/>
    </row>
    <row r="199" outlineLevel="2" customFormat="1" s="13">
      <c r="B199" s="103" t="n"/>
      <c r="C199" s="542" t="n"/>
      <c r="D199" s="458" t="n"/>
      <c r="E199" s="459" t="inlineStr">
        <is>
          <t>Funzioni AI</t>
        </is>
      </c>
      <c r="F199" s="472" t="n"/>
      <c r="G199" s="472" t="n"/>
      <c r="H199" s="460" t="n"/>
      <c r="I199" s="460" t="n"/>
      <c r="J199" s="472" t="n"/>
      <c r="K199" s="460" t="n"/>
      <c r="L199" s="461" t="n"/>
    </row>
    <row r="200">
      <c r="A200" s="350" t="inlineStr">
        <is>
          <t>AIR_Air_Dryer</t>
        </is>
      </c>
      <c r="B200" s="377" t="n"/>
      <c r="C200" s="393" t="n"/>
      <c r="D200" s="371" t="inlineStr">
        <is>
          <t>\</t>
        </is>
      </c>
      <c r="E200" s="351" t="n"/>
      <c r="F200" s="352" t="n"/>
      <c r="G200" s="352" t="n"/>
      <c r="H200" s="352" t="n"/>
      <c r="I200" s="352" t="n"/>
      <c r="J200" s="352" t="n"/>
      <c r="K200" s="352" t="n"/>
      <c r="L200" s="353" t="n"/>
    </row>
    <row r="201" outlineLevel="1" s="594">
      <c r="B201" s="376" t="n"/>
      <c r="C201" s="158" t="inlineStr">
        <is>
          <t>CONFIG</t>
        </is>
      </c>
      <c r="D201" s="369" t="inlineStr">
        <is>
          <t>FRS_Air Supply</t>
        </is>
      </c>
      <c r="E201" s="344" t="inlineStr">
        <is>
          <t>Link</t>
        </is>
      </c>
      <c r="F201" s="314">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14">
        <f t="array" ref="G201">HYPERLINK(CONCATENATE(Cartelle!$D$5,INDEX(INDIRECT("'" &amp; $C201 &amp; "'!$1:$1"), 1, MATCH(INDIRECT(CONCATENATE("'" &amp; $C201 &amp; "'!",ADDRESS(MATCH($D201, INDIRECT("'" &amp; $C201 &amp; "'!$B:$B"), 0),MATCH(G$1, INDIRECT("'" &amp; $C201 &amp; "'!$1:$1"), 0)))),INDIRECT(CONCATENATE("'" &amp; $C201 &amp; "'!",MATCH($D201, INDIRECT("'" &amp; $C201 &amp; "'!$B:$B"), 0),":",MATCH($D201, INDIRECT("'" &amp; $C201 &amp; "'!$B:$B"), 0))),0)),"/",$C201,"/",MID($D201,1,FIND("_",$D201)-1),"/",INDIRECT(CONCATENATE("'" &amp; $C201 &amp; "'!",ADDRESS(MATCH($D201, INDIRECT("'" &amp; $C201 &amp; "'!$B:$B"), 0),MATCH(G$1, INDIRECT("'" &amp; $C201 &amp; "'!$1:$1"), 0)))),".",INDIRECT(CONCATENATE("'"&amp;$C201&amp;"'!",ADDRESS(MATCH($D201,INDIRECT("'"&amp;$C201&amp;"'!$B:$B"),0),3))),"#page=",G202),CONCATENATE("#Sharepoint//",$D201))</f>
        <v/>
      </c>
      <c r="H201" s="345" t="n"/>
      <c r="I201" s="345" t="n"/>
      <c r="J201" s="314">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46" t="n"/>
      <c r="L201" s="346" t="n"/>
    </row>
    <row r="202" outlineLevel="2" s="594">
      <c r="B202" s="376" t="n"/>
      <c r="D202" s="373" t="n"/>
      <c r="E202" s="356" t="inlineStr">
        <is>
          <t>Rif. Pagina</t>
        </is>
      </c>
      <c r="F202" s="357" t="n">
        <v>18</v>
      </c>
      <c r="G202" s="357" t="n">
        <v>16</v>
      </c>
      <c r="H202" s="357" t="n">
        <v>18</v>
      </c>
      <c r="I202" s="357" t="n">
        <v>16</v>
      </c>
      <c r="J202" s="357" t="n">
        <v>16</v>
      </c>
      <c r="K202" s="357" t="n"/>
      <c r="L202" s="357" t="n"/>
    </row>
    <row r="203" outlineLevel="2" customFormat="1" s="13">
      <c r="B203" s="103" t="n"/>
      <c r="C203" s="542" t="n"/>
      <c r="D203" s="458" t="n"/>
      <c r="E203" s="459" t="inlineStr">
        <is>
          <t>Funzioni AI</t>
        </is>
      </c>
      <c r="F203" s="473" t="n"/>
      <c r="G203" s="466" t="n"/>
      <c r="H203" s="460" t="n"/>
      <c r="I203" s="460" t="n"/>
      <c r="J203" s="466" t="n"/>
      <c r="K203" s="460" t="n"/>
      <c r="L203" s="461" t="n"/>
    </row>
    <row r="204">
      <c r="A204" s="350" t="inlineStr">
        <is>
          <t>AIR_External_Air_Supply</t>
        </is>
      </c>
      <c r="B204" s="377" t="n"/>
      <c r="C204" s="393" t="n"/>
      <c r="D204" s="371" t="inlineStr">
        <is>
          <t>\</t>
        </is>
      </c>
      <c r="E204" s="351" t="n"/>
      <c r="F204" s="352" t="n"/>
      <c r="G204" s="352" t="n"/>
      <c r="H204" s="352" t="n"/>
      <c r="I204" s="352" t="n"/>
      <c r="J204" s="352" t="n"/>
      <c r="K204" s="352" t="n"/>
      <c r="L204" s="353" t="n"/>
    </row>
    <row r="205" outlineLevel="1" s="594">
      <c r="B205" s="376" t="n"/>
      <c r="C205" s="158" t="inlineStr">
        <is>
          <t>CONFIG</t>
        </is>
      </c>
      <c r="D205" s="369" t="inlineStr">
        <is>
          <t>FRS_Air Supply</t>
        </is>
      </c>
      <c r="E205" s="344" t="inlineStr">
        <is>
          <t>Link</t>
        </is>
      </c>
      <c r="F205" s="314">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14">
        <f t="array" ref="G205">HYPERLINK(CONCATENATE(Cartelle!$D$5,INDEX(INDIRECT("'" &amp; $C205 &amp; "'!$1:$1"), 1, MATCH(INDIRECT(CONCATENATE("'" &amp; $C205 &amp; "'!",ADDRESS(MATCH($D205, INDIRECT("'" &amp; $C205 &amp; "'!$B:$B"), 0),MATCH(G$1, INDIRECT("'" &amp; $C205 &amp; "'!$1:$1"), 0)))),INDIRECT(CONCATENATE("'" &amp; $C205 &amp; "'!",MATCH($D205, INDIRECT("'" &amp; $C205 &amp; "'!$B:$B"), 0),":",MATCH($D205, INDIRECT("'" &amp; $C205 &amp; "'!$B:$B"), 0))),0)),"/",$C205,"/",MID($D205,1,FIND("_",$D205)-1),"/",INDIRECT(CONCATENATE("'" &amp; $C205 &amp; "'!",ADDRESS(MATCH($D205, INDIRECT("'" &amp; $C205 &amp; "'!$B:$B"), 0),MATCH(G$1, INDIRECT("'" &amp; $C205 &amp; "'!$1:$1"), 0)))),".",INDIRECT(CONCATENATE("'"&amp;$C205&amp;"'!",ADDRESS(MATCH($D205,INDIRECT("'"&amp;$C205&amp;"'!$B:$B"),0),3))),"#page=",G206),CONCATENATE("#Sharepoint//",$D205))</f>
        <v/>
      </c>
      <c r="H205" s="345" t="n"/>
      <c r="I205" s="345" t="n"/>
      <c r="J205" s="314">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46" t="n"/>
      <c r="L205" s="346" t="n"/>
    </row>
    <row r="206" outlineLevel="2" s="594">
      <c r="B206" s="376" t="n"/>
      <c r="D206" s="373" t="n"/>
      <c r="E206" s="356" t="inlineStr">
        <is>
          <t>Rif. Pagina</t>
        </is>
      </c>
      <c r="F206" s="357" t="n">
        <v>20</v>
      </c>
      <c r="G206" s="357" t="n">
        <v>18</v>
      </c>
      <c r="H206" s="357" t="n">
        <v>20</v>
      </c>
      <c r="I206" s="357" t="n">
        <v>18</v>
      </c>
      <c r="J206" s="357" t="n">
        <v>17</v>
      </c>
      <c r="K206" s="357" t="n"/>
      <c r="L206" s="357" t="n"/>
    </row>
    <row r="207" outlineLevel="2" customFormat="1" s="13">
      <c r="B207" s="103" t="n"/>
      <c r="C207" s="542" t="n"/>
      <c r="D207" s="458" t="n"/>
      <c r="E207" s="459" t="inlineStr">
        <is>
          <t>Funzioni AI</t>
        </is>
      </c>
      <c r="F207" s="473" t="n"/>
      <c r="G207" s="473" t="n"/>
      <c r="H207" s="460" t="n"/>
      <c r="I207" s="460" t="n"/>
      <c r="J207" s="473" t="n"/>
      <c r="K207" s="460" t="n"/>
      <c r="L207" s="461" t="n"/>
    </row>
    <row r="208">
      <c r="A208" s="350" t="inlineStr">
        <is>
          <t>AIR_Control_of_Auxiliary_Compressor</t>
        </is>
      </c>
      <c r="B208" s="377" t="n"/>
      <c r="C208" s="393" t="n"/>
      <c r="D208" s="371" t="inlineStr">
        <is>
          <t>\</t>
        </is>
      </c>
      <c r="E208" s="351" t="n"/>
      <c r="F208" s="352" t="n"/>
      <c r="G208" s="352" t="n"/>
      <c r="H208" s="352" t="n"/>
      <c r="I208" s="352" t="n"/>
      <c r="J208" s="352" t="n"/>
      <c r="K208" s="352" t="n"/>
      <c r="L208" s="353" t="n"/>
    </row>
    <row r="209" outlineLevel="1" s="594">
      <c r="B209" s="376" t="n"/>
      <c r="C209" s="158" t="inlineStr">
        <is>
          <t>CONFIG</t>
        </is>
      </c>
      <c r="D209" s="369" t="inlineStr">
        <is>
          <t>FRS_Air Supply</t>
        </is>
      </c>
      <c r="E209" s="344" t="inlineStr">
        <is>
          <t>Link</t>
        </is>
      </c>
      <c r="F209" s="314">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14">
        <f t="array" ref="G209">HYPERLINK(CONCATENATE(Cartelle!$D$5,INDEX(INDIRECT("'" &amp; $C209 &amp; "'!$1:$1"), 1, MATCH(INDIRECT(CONCATENATE("'" &amp; $C209 &amp; "'!",ADDRESS(MATCH($D209, INDIRECT("'" &amp; $C209 &amp; "'!$B:$B"), 0),MATCH(G$1, INDIRECT("'" &amp; $C209 &amp; "'!$1:$1"), 0)))),INDIRECT(CONCATENATE("'" &amp; $C209 &amp; "'!",MATCH($D209, INDIRECT("'" &amp; $C209 &amp; "'!$B:$B"), 0),":",MATCH($D209, INDIRECT("'" &amp; $C209 &amp; "'!$B:$B"), 0))),0)),"/",$C209,"/",MID($D209,1,FIND("_",$D209)-1),"/",INDIRECT(CONCATENATE("'" &amp; $C209 &amp; "'!",ADDRESS(MATCH($D209, INDIRECT("'" &amp; $C209 &amp; "'!$B:$B"), 0),MATCH(G$1, INDIRECT("'" &amp; $C209 &amp; "'!$1:$1"), 0)))),".",INDIRECT(CONCATENATE("'"&amp;$C209&amp;"'!",ADDRESS(MATCH($D209,INDIRECT("'"&amp;$C209&amp;"'!$B:$B"),0),3))),"#page=",G210),CONCATENATE("#Sharepoint//",$D209))</f>
        <v/>
      </c>
      <c r="H209" s="345" t="n"/>
      <c r="I209" s="345" t="n"/>
      <c r="J209" s="314">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46" t="n"/>
      <c r="L209" s="346" t="n"/>
    </row>
    <row r="210" outlineLevel="2" s="594">
      <c r="B210" s="376" t="n"/>
      <c r="D210" s="373" t="n"/>
      <c r="E210" s="356" t="inlineStr">
        <is>
          <t>Rif. Pagina</t>
        </is>
      </c>
      <c r="F210" s="357" t="n">
        <v>22</v>
      </c>
      <c r="G210" s="357" t="n">
        <v>19</v>
      </c>
      <c r="H210" s="357" t="n">
        <v>22</v>
      </c>
      <c r="I210" s="357" t="n">
        <v>19</v>
      </c>
      <c r="J210" s="357" t="n">
        <v>18</v>
      </c>
      <c r="K210" s="357" t="n"/>
      <c r="L210" s="357" t="n"/>
    </row>
    <row r="211" outlineLevel="2" customFormat="1" s="13">
      <c r="B211" s="103" t="n"/>
      <c r="C211" s="542" t="n"/>
      <c r="D211" s="458" t="n"/>
      <c r="E211" s="459" t="inlineStr">
        <is>
          <t>Funzioni AI</t>
        </is>
      </c>
      <c r="F211" s="473" t="n"/>
      <c r="G211" s="473" t="n"/>
      <c r="H211" s="460" t="n"/>
      <c r="I211" s="460" t="n"/>
      <c r="J211" s="473" t="n"/>
      <c r="K211" s="460" t="n"/>
      <c r="L211" s="461" t="n"/>
    </row>
    <row r="212">
      <c r="A212" s="350" t="inlineStr">
        <is>
          <t>AIR_Suspension_Supervision</t>
        </is>
      </c>
      <c r="B212" s="377" t="n"/>
      <c r="C212" s="393" t="n"/>
      <c r="D212" s="371" t="inlineStr">
        <is>
          <t>\</t>
        </is>
      </c>
      <c r="E212" s="351" t="n"/>
      <c r="F212" s="352" t="n"/>
      <c r="G212" s="352" t="n"/>
      <c r="H212" s="352" t="n"/>
      <c r="I212" s="352" t="n"/>
      <c r="J212" s="352" t="n"/>
      <c r="K212" s="352" t="n"/>
      <c r="L212" s="353" t="n"/>
    </row>
    <row r="213" outlineLevel="1" s="594">
      <c r="B213" s="376" t="n"/>
      <c r="C213" s="158" t="inlineStr">
        <is>
          <t>CONFIG</t>
        </is>
      </c>
      <c r="D213" s="369" t="inlineStr">
        <is>
          <t>FRS_Air Supply</t>
        </is>
      </c>
      <c r="E213" s="344" t="inlineStr">
        <is>
          <t>Link</t>
        </is>
      </c>
      <c r="F213" s="314">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14">
        <f t="array" ref="G213">HYPERLINK(CONCATENATE(Cartelle!$D$5,INDEX(INDIRECT("'" &amp; $C213 &amp; "'!$1:$1"), 1, MATCH(INDIRECT(CONCATENATE("'" &amp; $C213 &amp; "'!",ADDRESS(MATCH($D213, INDIRECT("'" &amp; $C213 &amp; "'!$B:$B"), 0),MATCH(G$1, INDIRECT("'" &amp; $C213 &amp; "'!$1:$1"), 0)))),INDIRECT(CONCATENATE("'" &amp; $C213 &amp; "'!",MATCH($D213, INDIRECT("'" &amp; $C213 &amp; "'!$B:$B"), 0),":",MATCH($D213, INDIRECT("'" &amp; $C213 &amp; "'!$B:$B"), 0))),0)),"/",$C213,"/",MID($D213,1,FIND("_",$D213)-1),"/",INDIRECT(CONCATENATE("'" &amp; $C213 &amp; "'!",ADDRESS(MATCH($D213, INDIRECT("'" &amp; $C213 &amp; "'!$B:$B"), 0),MATCH(G$1, INDIRECT("'" &amp; $C213 &amp; "'!$1:$1"), 0)))),".",INDIRECT(CONCATENATE("'"&amp;$C213&amp;"'!",ADDRESS(MATCH($D213,INDIRECT("'"&amp;$C213&amp;"'!$B:$B"),0),3))),"#page=",G214),CONCATENATE("#Sharepoint//",$D213))</f>
        <v/>
      </c>
      <c r="H213" s="345" t="n"/>
      <c r="I213" s="345" t="n"/>
      <c r="J213" s="314">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46" t="n"/>
      <c r="L213" s="346" t="n"/>
    </row>
    <row r="214" outlineLevel="2" s="594">
      <c r="B214" s="376" t="n"/>
      <c r="D214" s="373" t="n"/>
      <c r="E214" s="356" t="inlineStr">
        <is>
          <t>Rif. Pagina</t>
        </is>
      </c>
      <c r="F214" s="357" t="n">
        <v>26</v>
      </c>
      <c r="G214" s="357" t="n">
        <v>22</v>
      </c>
      <c r="H214" s="357" t="n">
        <v>26</v>
      </c>
      <c r="I214" s="357" t="n">
        <v>22</v>
      </c>
      <c r="J214" s="357" t="n">
        <v>21</v>
      </c>
      <c r="K214" s="357" t="n"/>
      <c r="L214" s="357" t="n"/>
    </row>
    <row r="215" outlineLevel="2" customFormat="1" s="13">
      <c r="B215" s="103" t="n"/>
      <c r="C215" s="542" t="n"/>
      <c r="D215" s="458" t="n"/>
      <c r="E215" s="459" t="inlineStr">
        <is>
          <t>Funzioni AI</t>
        </is>
      </c>
      <c r="F215" s="473" t="n"/>
      <c r="G215" s="473" t="n"/>
      <c r="H215" s="460" t="n"/>
      <c r="I215" s="460" t="n"/>
      <c r="J215" s="473" t="n"/>
      <c r="K215" s="460" t="n"/>
      <c r="L215" s="461" t="n"/>
    </row>
    <row r="216">
      <c r="A216" s="350" t="inlineStr">
        <is>
          <t>AIR_Provision_for_Tilt_system</t>
        </is>
      </c>
      <c r="B216" s="377" t="n"/>
      <c r="C216" s="393" t="n"/>
      <c r="D216" s="371" t="inlineStr">
        <is>
          <t>\</t>
        </is>
      </c>
      <c r="E216" s="351" t="n"/>
      <c r="F216" s="352" t="n"/>
      <c r="G216" s="352" t="n"/>
      <c r="H216" s="352" t="n"/>
      <c r="I216" s="352" t="n"/>
      <c r="J216" s="352" t="n"/>
      <c r="K216" s="352" t="n"/>
      <c r="L216" s="353" t="n"/>
    </row>
    <row r="217" outlineLevel="1" s="594">
      <c r="B217" s="376" t="n"/>
      <c r="C217" s="158" t="inlineStr">
        <is>
          <t>CONFIG</t>
        </is>
      </c>
      <c r="D217" s="369" t="inlineStr">
        <is>
          <t>FRS_Air Supply</t>
        </is>
      </c>
      <c r="E217" s="344" t="inlineStr">
        <is>
          <t>Link</t>
        </is>
      </c>
      <c r="F217" s="314">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14">
        <f t="array" ref="G217">HYPERLINK(CONCATENATE(Cartelle!$D$5,INDEX(INDIRECT("'" &amp; $C217 &amp; "'!$1:$1"), 1, MATCH(INDIRECT(CONCATENATE("'" &amp; $C217 &amp; "'!",ADDRESS(MATCH($D217, INDIRECT("'" &amp; $C217 &amp; "'!$B:$B"), 0),MATCH(G$1, INDIRECT("'" &amp; $C217 &amp; "'!$1:$1"), 0)))),INDIRECT(CONCATENATE("'" &amp; $C217 &amp; "'!",MATCH($D217, INDIRECT("'" &amp; $C217 &amp; "'!$B:$B"), 0),":",MATCH($D217, INDIRECT("'" &amp; $C217 &amp; "'!$B:$B"), 0))),0)),"/",$C217,"/",MID($D217,1,FIND("_",$D217)-1),"/",INDIRECT(CONCATENATE("'" &amp; $C217 &amp; "'!",ADDRESS(MATCH($D217, INDIRECT("'" &amp; $C217 &amp; "'!$B:$B"), 0),MATCH(G$1, INDIRECT("'" &amp; $C217 &amp; "'!$1:$1"), 0)))),".",INDIRECT(CONCATENATE("'"&amp;$C217&amp;"'!",ADDRESS(MATCH($D217,INDIRECT("'"&amp;$C217&amp;"'!$B:$B"),0),3))),"#page=",G218),CONCATENATE("#Sharepoint//",$D217))</f>
        <v/>
      </c>
      <c r="H217" s="345" t="n"/>
      <c r="I217" s="345" t="n"/>
      <c r="J217" s="314">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46" t="n"/>
      <c r="L217" s="346" t="n"/>
    </row>
    <row r="218" outlineLevel="2" s="594">
      <c r="B218" s="376" t="n"/>
      <c r="D218" s="372" t="n"/>
      <c r="E218" s="354" t="inlineStr">
        <is>
          <t>Rif. Pagina</t>
        </is>
      </c>
      <c r="F218" s="355" t="n">
        <v>28</v>
      </c>
      <c r="G218" s="355" t="n">
        <v>23</v>
      </c>
      <c r="H218" s="355" t="n">
        <v>28</v>
      </c>
      <c r="I218" s="355" t="n">
        <v>23</v>
      </c>
      <c r="J218" s="355" t="n">
        <v>22</v>
      </c>
      <c r="K218" s="355" t="n"/>
      <c r="L218" s="355" t="n"/>
    </row>
    <row r="219" outlineLevel="2" customFormat="1" s="13">
      <c r="B219" s="103" t="n"/>
      <c r="C219" s="542" t="n"/>
      <c r="D219" s="458" t="n"/>
      <c r="E219" s="459" t="inlineStr">
        <is>
          <t>Funzioni AI</t>
        </is>
      </c>
      <c r="F219" s="473" t="n"/>
      <c r="G219" s="473" t="n"/>
      <c r="H219" s="460" t="n"/>
      <c r="I219" s="460" t="n"/>
      <c r="J219" s="473" t="n"/>
      <c r="K219" s="460" t="n"/>
      <c r="L219" s="461" t="n"/>
    </row>
    <row r="220">
      <c r="A220" s="340" t="inlineStr">
        <is>
          <t>BRK_Service_Brake_Direct_Electro-Pneumatic_Brake</t>
        </is>
      </c>
      <c r="B220" s="375" t="n"/>
      <c r="C220" s="393" t="n"/>
      <c r="D220" s="368" t="inlineStr">
        <is>
          <t>\</t>
        </is>
      </c>
      <c r="E220" s="341" t="n"/>
      <c r="F220" s="342" t="n"/>
      <c r="G220" s="342" t="n"/>
      <c r="H220" s="342" t="n"/>
      <c r="I220" s="342" t="n"/>
      <c r="J220" s="342" t="n"/>
      <c r="K220" s="342" t="n"/>
      <c r="L220" s="343" t="n"/>
    </row>
    <row r="221" outlineLevel="1" s="594">
      <c r="B221" s="376" t="n"/>
      <c r="C221" s="158" t="inlineStr">
        <is>
          <t>CONFIG</t>
        </is>
      </c>
      <c r="D221" s="369" t="inlineStr">
        <is>
          <t>FRS_Brake Control</t>
        </is>
      </c>
      <c r="E221" s="344" t="inlineStr">
        <is>
          <t>Link</t>
        </is>
      </c>
      <c r="F221" s="314">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78" t="n"/>
      <c r="H221" s="314">
        <f t="array" ref="H221">HYPERLINK(CONCATENATE(Cartelle!$D$5,INDEX(INDIRECT("'" &amp; $C221 &amp; "'!$1:$1"), 1, MATCH(INDIRECT(CONCATENATE("'" &amp; $C221 &amp; "'!",ADDRESS(MATCH($D221, INDIRECT("'" &amp; $C221 &amp; "'!$B:$B"), 0),MATCH(H$1, INDIRECT("'" &amp; $C221 &amp; "'!$1:$1"), 0)))),INDIRECT(CONCATENATE("'" &amp; $C221 &amp; "'!",MATCH($D221, INDIRECT("'" &amp; $C221 &amp; "'!$B:$B"), 0),":",MATCH($D221, INDIRECT("'" &amp; $C221 &amp; "'!$B:$B"), 0))),0)),"/",$C221,"/",MID($D221,1,FIND("_",$D221)-1),"/",INDIRECT(CONCATENATE("'" &amp; $C221 &amp; "'!",ADDRESS(MATCH($D221, INDIRECT("'" &amp; $C221 &amp; "'!$B:$B"), 0),MATCH(H$1, INDIRECT("'" &amp; $C221 &amp; "'!$1:$1"), 0)))),".",INDIRECT(CONCATENATE("'"&amp;$C221&amp;"'!",ADDRESS(MATCH($D221,INDIRECT("'"&amp;$C221&amp;"'!$B:$B"),0),3))),"#page=",H222),CONCATENATE("#Sharepoint//",$D221))</f>
        <v/>
      </c>
      <c r="I221" s="314">
        <f t="array" ref="I221">HYPERLINK(CONCATENATE(Cartelle!$D$5,INDEX(INDIRECT("'" &amp; $C221 &amp; "'!$1:$1"), 1, MATCH(INDIRECT(CONCATENATE("'" &amp; $C221 &amp; "'!",ADDRESS(MATCH($D221, INDIRECT("'" &amp; $C221 &amp; "'!$B:$B"), 0),MATCH(I$1, INDIRECT("'" &amp; $C221 &amp; "'!$1:$1"), 0)))),INDIRECT(CONCATENATE("'" &amp; $C221 &amp; "'!",MATCH($D221, INDIRECT("'" &amp; $C221 &amp; "'!$B:$B"), 0),":",MATCH($D221, INDIRECT("'" &amp; $C221 &amp; "'!$B:$B"), 0))),0)),"/",$C221,"/",MID($D221,1,FIND("_",$D221)-1),"/",INDIRECT(CONCATENATE("'" &amp; $C221 &amp; "'!",ADDRESS(MATCH($D221, INDIRECT("'" &amp; $C221 &amp; "'!$B:$B"), 0),MATCH(I$1, INDIRECT("'" &amp; $C221 &amp; "'!$1:$1"), 0)))),".",INDIRECT(CONCATENATE("'"&amp;$C221&amp;"'!",ADDRESS(MATCH($D221,INDIRECT("'"&amp;$C221&amp;"'!$B:$B"),0),3))),"#page=",I222),CONCATENATE("#Sharepoint//",$D221))</f>
        <v/>
      </c>
      <c r="J221" s="314">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6" t="n"/>
      <c r="L221" s="346" t="n"/>
    </row>
    <row r="222" outlineLevel="2" s="594">
      <c r="B222" s="376" t="n"/>
      <c r="D222" s="373" t="n"/>
      <c r="E222" s="356" t="inlineStr">
        <is>
          <t>Rif. Pagina</t>
        </is>
      </c>
      <c r="F222" s="357" t="n">
        <v>14</v>
      </c>
      <c r="G222" s="357" t="n"/>
      <c r="H222" s="357" t="n">
        <v>14</v>
      </c>
      <c r="I222" s="357" t="n">
        <v>14</v>
      </c>
      <c r="J222" s="357" t="n">
        <v>19</v>
      </c>
      <c r="K222" s="357" t="n"/>
      <c r="L222" s="357" t="n"/>
    </row>
    <row r="223" outlineLevel="2" customFormat="1" s="13">
      <c r="B223" s="103" t="n"/>
      <c r="C223" s="542" t="n"/>
      <c r="D223" s="458" t="n"/>
      <c r="E223" s="459" t="inlineStr">
        <is>
          <t>Funzioni AI</t>
        </is>
      </c>
      <c r="F223" s="473" t="n"/>
      <c r="G223" s="460" t="n"/>
      <c r="H223" s="473" t="n"/>
      <c r="I223" s="473" t="n"/>
      <c r="J223" s="473" t="n"/>
      <c r="K223" s="460" t="n"/>
      <c r="L223" s="461" t="n"/>
    </row>
    <row r="224">
      <c r="A224" s="350" t="inlineStr">
        <is>
          <t>BRK_Service_Brake_Indirect_Brake</t>
        </is>
      </c>
      <c r="B224" s="377" t="n"/>
      <c r="C224" s="393" t="n"/>
      <c r="D224" s="371" t="inlineStr">
        <is>
          <t>\</t>
        </is>
      </c>
      <c r="E224" s="351" t="n"/>
      <c r="F224" s="352" t="n"/>
      <c r="G224" s="352" t="n"/>
      <c r="H224" s="352" t="n"/>
      <c r="I224" s="352" t="n"/>
      <c r="J224" s="352" t="n"/>
      <c r="K224" s="352" t="n"/>
      <c r="L224" s="353" t="n"/>
    </row>
    <row r="225" outlineLevel="1" s="594">
      <c r="B225" s="376" t="n"/>
      <c r="C225" s="158" t="inlineStr">
        <is>
          <t>CONFIG</t>
        </is>
      </c>
      <c r="D225" s="369" t="inlineStr">
        <is>
          <t>FRS_Brake Control</t>
        </is>
      </c>
      <c r="E225" s="344" t="inlineStr">
        <is>
          <t>Link</t>
        </is>
      </c>
      <c r="F225" s="314">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78" t="n"/>
      <c r="H225" s="314">
        <f t="array" ref="H225">HYPERLINK(CONCATENATE(Cartelle!$D$5,INDEX(INDIRECT("'" &amp; $C225 &amp; "'!$1:$1"), 1, MATCH(INDIRECT(CONCATENATE("'" &amp; $C225 &amp; "'!",ADDRESS(MATCH($D225, INDIRECT("'" &amp; $C225 &amp; "'!$B:$B"), 0),MATCH(H$1, INDIRECT("'" &amp; $C225 &amp; "'!$1:$1"), 0)))),INDIRECT(CONCATENATE("'" &amp; $C225 &amp; "'!",MATCH($D225, INDIRECT("'" &amp; $C225 &amp; "'!$B:$B"), 0),":",MATCH($D225, INDIRECT("'" &amp; $C225 &amp; "'!$B:$B"), 0))),0)),"/",$C225,"/",MID($D225,1,FIND("_",$D225)-1),"/",INDIRECT(CONCATENATE("'" &amp; $C225 &amp; "'!",ADDRESS(MATCH($D225, INDIRECT("'" &amp; $C225 &amp; "'!$B:$B"), 0),MATCH(H$1, INDIRECT("'" &amp; $C225 &amp; "'!$1:$1"), 0)))),".",INDIRECT(CONCATENATE("'"&amp;$C225&amp;"'!",ADDRESS(MATCH($D225,INDIRECT("'"&amp;$C225&amp;"'!$B:$B"),0),3))),"#page=",H226),CONCATENATE("#Sharepoint//",$D225))</f>
        <v/>
      </c>
      <c r="I225" s="314">
        <f t="array" ref="I225">HYPERLINK(CONCATENATE(Cartelle!$D$5,INDEX(INDIRECT("'" &amp; $C225 &amp; "'!$1:$1"), 1, MATCH(INDIRECT(CONCATENATE("'" &amp; $C225 &amp; "'!",ADDRESS(MATCH($D225, INDIRECT("'" &amp; $C225 &amp; "'!$B:$B"), 0),MATCH(I$1, INDIRECT("'" &amp; $C225 &amp; "'!$1:$1"), 0)))),INDIRECT(CONCATENATE("'" &amp; $C225 &amp; "'!",MATCH($D225, INDIRECT("'" &amp; $C225 &amp; "'!$B:$B"), 0),":",MATCH($D225, INDIRECT("'" &amp; $C225 &amp; "'!$B:$B"), 0))),0)),"/",$C225,"/",MID($D225,1,FIND("_",$D225)-1),"/",INDIRECT(CONCATENATE("'" &amp; $C225 &amp; "'!",ADDRESS(MATCH($D225, INDIRECT("'" &amp; $C225 &amp; "'!$B:$B"), 0),MATCH(I$1, INDIRECT("'" &amp; $C225 &amp; "'!$1:$1"), 0)))),".",INDIRECT(CONCATENATE("'"&amp;$C225&amp;"'!",ADDRESS(MATCH($D225,INDIRECT("'"&amp;$C225&amp;"'!$B:$B"),0),3))),"#page=",I226),CONCATENATE("#Sharepoint//",$D225))</f>
        <v/>
      </c>
      <c r="J225" s="314">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6" t="n"/>
      <c r="L225" s="346" t="n"/>
    </row>
    <row r="226" outlineLevel="2" s="594">
      <c r="B226" s="376" t="n"/>
      <c r="D226" s="373" t="n"/>
      <c r="E226" s="356" t="inlineStr">
        <is>
          <t>Rif. Pagina</t>
        </is>
      </c>
      <c r="F226" s="357" t="n">
        <v>50</v>
      </c>
      <c r="G226" s="357" t="n"/>
      <c r="H226" s="357" t="n">
        <v>54</v>
      </c>
      <c r="I226" s="357" t="n">
        <v>50</v>
      </c>
      <c r="J226" s="357" t="n">
        <v>95</v>
      </c>
      <c r="K226" s="357" t="n"/>
      <c r="L226" s="357" t="n"/>
    </row>
    <row r="227" outlineLevel="2" customFormat="1" s="13">
      <c r="B227" s="103" t="n"/>
      <c r="C227" s="542" t="n"/>
      <c r="D227" s="458" t="n"/>
      <c r="E227" s="459" t="inlineStr">
        <is>
          <t>Funzioni AI</t>
        </is>
      </c>
      <c r="F227" s="473" t="n"/>
      <c r="G227" s="460" t="n"/>
      <c r="H227" s="473" t="n"/>
      <c r="I227" s="473" t="n"/>
      <c r="J227" s="473" t="n"/>
      <c r="K227" s="460" t="n"/>
      <c r="L227" s="461" t="n"/>
    </row>
    <row r="228">
      <c r="A228" s="350" t="inlineStr">
        <is>
          <t>BRK_Holding_Brake</t>
        </is>
      </c>
      <c r="B228" s="377" t="n"/>
      <c r="C228" s="393" t="n"/>
      <c r="D228" s="371" t="inlineStr">
        <is>
          <t>\</t>
        </is>
      </c>
      <c r="E228" s="351" t="n"/>
      <c r="F228" s="352" t="n"/>
      <c r="G228" s="352" t="n"/>
      <c r="H228" s="352" t="n"/>
      <c r="I228" s="352" t="n"/>
      <c r="J228" s="352" t="n"/>
      <c r="K228" s="352" t="n"/>
      <c r="L228" s="353" t="n"/>
    </row>
    <row r="229" outlineLevel="1" s="594">
      <c r="B229" s="376" t="n"/>
      <c r="C229" s="158" t="inlineStr">
        <is>
          <t>CONFIG</t>
        </is>
      </c>
      <c r="D229" s="369" t="inlineStr">
        <is>
          <t>FRS_Brake Control</t>
        </is>
      </c>
      <c r="E229" s="344" t="inlineStr">
        <is>
          <t>Link</t>
        </is>
      </c>
      <c r="F229" s="314">
        <f t="array" ref="F229">HYPERLINK(CONCATENATE(Cartelle!$D$5,F$1,"/",$C229,"/",MID($D229,1,FIND("_",$D229)-1),"/",INDIRECT(CONCATENATE("'" &amp; $C229 &amp; "'!",ADDRESS(MATCH($D229, INDIRECT("'" &amp; $C229 &amp; "'!$B:$B"), 0),MATCH(F$1, INDIRECT("'" &amp; $C229 &amp; "'!$1:$1"), 0)))),".",INDIRECT(CONCATENATE("'"&amp;$C229&amp;"'!",ADDRESS(MATCH($D229,INDIRECT("'"&amp;$C229&amp;"'!$B:$B"),0),3))),"#page=",F230),CONCATENATE("#Sharepoint//",$D229))</f>
        <v/>
      </c>
      <c r="G229" s="378" t="n"/>
      <c r="H229" s="314">
        <f t="array" ref="H229">HYPERLINK(CONCATENATE(Cartelle!$D$5,INDEX(INDIRECT("'" &amp; $C229 &amp; "'!$1:$1"), 1, MATCH(INDIRECT(CONCATENATE("'" &amp; $C229 &amp; "'!",ADDRESS(MATCH($D229, INDIRECT("'" &amp; $C229 &amp; "'!$B:$B"), 0),MATCH(H$1, INDIRECT("'" &amp; $C229 &amp; "'!$1:$1"), 0)))),INDIRECT(CONCATENATE("'" &amp; $C229 &amp; "'!",MATCH($D229, INDIRECT("'" &amp; $C229 &amp; "'!$B:$B"), 0),":",MATCH($D229, INDIRECT("'" &amp; $C229 &amp; "'!$B:$B"), 0))),0)),"/",$C229,"/",MID($D229,1,FIND("_",$D229)-1),"/",INDIRECT(CONCATENATE("'" &amp; $C229 &amp; "'!",ADDRESS(MATCH($D229, INDIRECT("'" &amp; $C229 &amp; "'!$B:$B"), 0),MATCH(H$1, INDIRECT("'" &amp; $C229 &amp; "'!$1:$1"), 0)))),".",INDIRECT(CONCATENATE("'"&amp;$C229&amp;"'!",ADDRESS(MATCH($D229,INDIRECT("'"&amp;$C229&amp;"'!$B:$B"),0),3))),"#page=",H230),CONCATENATE("#Sharepoint//",$D229))</f>
        <v/>
      </c>
      <c r="I229" s="314">
        <f t="array" ref="I229">HYPERLINK(CONCATENATE(Cartelle!$D$5,INDEX(INDIRECT("'" &amp; $C229 &amp; "'!$1:$1"), 1, MATCH(INDIRECT(CONCATENATE("'" &amp; $C229 &amp; "'!",ADDRESS(MATCH($D229, INDIRECT("'" &amp; $C229 &amp; "'!$B:$B"), 0),MATCH(I$1, INDIRECT("'" &amp; $C229 &amp; "'!$1:$1"), 0)))),INDIRECT(CONCATENATE("'" &amp; $C229 &amp; "'!",MATCH($D229, INDIRECT("'" &amp; $C229 &amp; "'!$B:$B"), 0),":",MATCH($D229, INDIRECT("'" &amp; $C229 &amp; "'!$B:$B"), 0))),0)),"/",$C229,"/",MID($D229,1,FIND("_",$D229)-1),"/",INDIRECT(CONCATENATE("'" &amp; $C229 &amp; "'!",ADDRESS(MATCH($D229, INDIRECT("'" &amp; $C229 &amp; "'!$B:$B"), 0),MATCH(I$1, INDIRECT("'" &amp; $C229 &amp; "'!$1:$1"), 0)))),".",INDIRECT(CONCATENATE("'"&amp;$C229&amp;"'!",ADDRESS(MATCH($D229,INDIRECT("'"&amp;$C229&amp;"'!$B:$B"),0),3))),"#page=",I230),CONCATENATE("#Sharepoint//",$D229))</f>
        <v/>
      </c>
      <c r="J229" s="314">
        <f t="array" ref="J229">HYPERLINK(CONCATENATE(Cartelle!$D$5,INDEX(INDIRECT("'" &amp; $C229 &amp; "'!$1:$1"), 1, MATCH(INDIRECT(CONCATENATE("'" &amp; $C229 &amp; "'!",ADDRESS(MATCH($D229, INDIRECT("'" &amp; $C229 &amp; "'!$B:$B"), 0),MATCH(J$1, INDIRECT("'" &amp; $C229 &amp; "'!$1:$1"), 0)))),INDIRECT(CONCATENATE("'" &amp; $C229 &amp; "'!",MATCH($D229, INDIRECT("'" &amp; $C229 &amp; "'!$B:$B"), 0),":",MATCH($D229, INDIRECT("'" &amp; $C229 &amp; "'!$B:$B"), 0))),0)),"/",$C229,"/",MID($D229,1,FIND("_",$D229)-1),"/",INDIRECT(CONCATENATE("'" &amp; $C229 &amp; "'!",ADDRESS(MATCH($D229, INDIRECT("'" &amp; $C229 &amp; "'!$B:$B"), 0),MATCH(J$1, INDIRECT("'" &amp; $C229 &amp; "'!$1:$1"), 0)))),".",INDIRECT(CONCATENATE("'"&amp;$C229&amp;"'!",ADDRESS(MATCH($D229,INDIRECT("'"&amp;$C229&amp;"'!$B:$B"),0),3))),"#page=",J230),CONCATENATE("#Sharepoint//",$D229))</f>
        <v/>
      </c>
      <c r="K229" s="346" t="n"/>
      <c r="L229" s="346" t="n"/>
    </row>
    <row r="230" outlineLevel="2" s="594">
      <c r="B230" s="376" t="n"/>
      <c r="D230" s="373" t="n"/>
      <c r="E230" s="356" t="inlineStr">
        <is>
          <t>Rif. Pagina</t>
        </is>
      </c>
      <c r="F230" s="357" t="n">
        <v>87</v>
      </c>
      <c r="G230" s="357" t="n"/>
      <c r="H230" s="357" t="n">
        <v>94</v>
      </c>
      <c r="I230" s="357" t="n">
        <v>86</v>
      </c>
      <c r="J230" s="357" t="n">
        <v>129</v>
      </c>
      <c r="K230" s="357" t="n"/>
      <c r="L230" s="357" t="n"/>
    </row>
    <row r="231" outlineLevel="2" customFormat="1" s="13">
      <c r="B231" s="103" t="n"/>
      <c r="C231" s="542" t="n"/>
      <c r="D231" s="458" t="n"/>
      <c r="E231" s="459" t="inlineStr">
        <is>
          <t>Funzioni AI</t>
        </is>
      </c>
      <c r="F231" s="473" t="n"/>
      <c r="G231" s="460" t="n"/>
      <c r="H231" s="473" t="n"/>
      <c r="I231" s="473" t="n"/>
      <c r="J231" s="473" t="n"/>
      <c r="K231" s="460" t="n"/>
      <c r="L231" s="461" t="n"/>
    </row>
    <row r="232">
      <c r="A232" s="350" t="inlineStr">
        <is>
          <t>BRK_Urgency_Brake_(Optional)</t>
        </is>
      </c>
      <c r="B232" s="377" t="n"/>
      <c r="C232" s="393" t="n"/>
      <c r="D232" s="371" t="inlineStr">
        <is>
          <t>\</t>
        </is>
      </c>
      <c r="E232" s="351" t="n"/>
      <c r="F232" s="352" t="n"/>
      <c r="G232" s="352" t="n"/>
      <c r="H232" s="352" t="n"/>
      <c r="I232" s="352" t="n"/>
      <c r="J232" s="352" t="n"/>
      <c r="K232" s="352" t="n"/>
      <c r="L232" s="353" t="n"/>
    </row>
    <row r="233" outlineLevel="1" s="594">
      <c r="B233" s="376" t="n"/>
      <c r="C233" s="158" t="inlineStr">
        <is>
          <t>CONFIG</t>
        </is>
      </c>
      <c r="D233" s="369" t="inlineStr">
        <is>
          <t>FRS_Brake Control</t>
        </is>
      </c>
      <c r="E233" s="344" t="inlineStr">
        <is>
          <t>Link</t>
        </is>
      </c>
      <c r="F233" s="314">
        <f t="array" ref="F233">HYPERLINK(CONCATENATE(Cartelle!$D$5,F$1,"/",$C233,"/",MID($D233,1,FIND("_",$D233)-1),"/",INDIRECT(CONCATENATE("'" &amp; $C233 &amp; "'!",ADDRESS(MATCH($D233, INDIRECT("'" &amp; $C233 &amp; "'!$B:$B"), 0),MATCH(F$1, INDIRECT("'" &amp; $C233 &amp; "'!$1:$1"), 0)))),".",INDIRECT(CONCATENATE("'"&amp;$C233&amp;"'!",ADDRESS(MATCH($D233,INDIRECT("'"&amp;$C233&amp;"'!$B:$B"),0),3))),"#page=",F234),CONCATENATE("#Sharepoint//",$D233))</f>
        <v/>
      </c>
      <c r="G233" s="378" t="n"/>
      <c r="H233" s="314">
        <f t="array" ref="H233">HYPERLINK(CONCATENATE(Cartelle!$D$5,INDEX(INDIRECT("'" &amp; $C233 &amp; "'!$1:$1"), 1, MATCH(INDIRECT(CONCATENATE("'" &amp; $C233 &amp; "'!",ADDRESS(MATCH($D233, INDIRECT("'" &amp; $C233 &amp; "'!$B:$B"), 0),MATCH(H$1, INDIRECT("'" &amp; $C233 &amp; "'!$1:$1"), 0)))),INDIRECT(CONCATENATE("'" &amp; $C233 &amp; "'!",MATCH($D233, INDIRECT("'" &amp; $C233 &amp; "'!$B:$B"), 0),":",MATCH($D233, INDIRECT("'" &amp; $C233 &amp; "'!$B:$B"), 0))),0)),"/",$C233,"/",MID($D233,1,FIND("_",$D233)-1),"/",INDIRECT(CONCATENATE("'" &amp; $C233 &amp; "'!",ADDRESS(MATCH($D233, INDIRECT("'" &amp; $C233 &amp; "'!$B:$B"), 0),MATCH(H$1, INDIRECT("'" &amp; $C233 &amp; "'!$1:$1"), 0)))),".",INDIRECT(CONCATENATE("'"&amp;$C233&amp;"'!",ADDRESS(MATCH($D233,INDIRECT("'"&amp;$C233&amp;"'!$B:$B"),0),3))),"#page=",H234),CONCATENATE("#Sharepoint//",$D233))</f>
        <v/>
      </c>
      <c r="I233" s="314">
        <f t="array" ref="I233">HYPERLINK(CONCATENATE(Cartelle!$D$5,INDEX(INDIRECT("'" &amp; $C233 &amp; "'!$1:$1"), 1, MATCH(INDIRECT(CONCATENATE("'" &amp; $C233 &amp; "'!",ADDRESS(MATCH($D233, INDIRECT("'" &amp; $C233 &amp; "'!$B:$B"), 0),MATCH(I$1, INDIRECT("'" &amp; $C233 &amp; "'!$1:$1"), 0)))),INDIRECT(CONCATENATE("'" &amp; $C233 &amp; "'!",MATCH($D233, INDIRECT("'" &amp; $C233 &amp; "'!$B:$B"), 0),":",MATCH($D233, INDIRECT("'" &amp; $C233 &amp; "'!$B:$B"), 0))),0)),"/",$C233,"/",MID($D233,1,FIND("_",$D233)-1),"/",INDIRECT(CONCATENATE("'" &amp; $C233 &amp; "'!",ADDRESS(MATCH($D233, INDIRECT("'" &amp; $C233 &amp; "'!$B:$B"), 0),MATCH(I$1, INDIRECT("'" &amp; $C233 &amp; "'!$1:$1"), 0)))),".",INDIRECT(CONCATENATE("'"&amp;$C233&amp;"'!",ADDRESS(MATCH($D233,INDIRECT("'"&amp;$C233&amp;"'!$B:$B"),0),3))),"#page=",I234),CONCATENATE("#Sharepoint//",$D233))</f>
        <v/>
      </c>
      <c r="J233" s="314">
        <f t="array" ref="J233">HYPERLINK(CONCATENATE(Cartelle!$D$5,INDEX(INDIRECT("'" &amp; $C233 &amp; "'!$1:$1"), 1, MATCH(INDIRECT(CONCATENATE("'" &amp; $C233 &amp; "'!",ADDRESS(MATCH($D233, INDIRECT("'" &amp; $C233 &amp; "'!$B:$B"), 0),MATCH(J$1, INDIRECT("'" &amp; $C233 &amp; "'!$1:$1"), 0)))),INDIRECT(CONCATENATE("'" &amp; $C233 &amp; "'!",MATCH($D233, INDIRECT("'" &amp; $C233 &amp; "'!$B:$B"), 0),":",MATCH($D233, INDIRECT("'" &amp; $C233 &amp; "'!$B:$B"), 0))),0)),"/",$C233,"/",MID($D233,1,FIND("_",$D233)-1),"/",INDIRECT(CONCATENATE("'" &amp; $C233 &amp; "'!",ADDRESS(MATCH($D233, INDIRECT("'" &amp; $C233 &amp; "'!$B:$B"), 0),MATCH(J$1, INDIRECT("'" &amp; $C233 &amp; "'!$1:$1"), 0)))),".",INDIRECT(CONCATENATE("'"&amp;$C233&amp;"'!",ADDRESS(MATCH($D233,INDIRECT("'"&amp;$C233&amp;"'!$B:$B"),0),3))),"#page=",J234),CONCATENATE("#Sharepoint//",$D233))</f>
        <v/>
      </c>
      <c r="K233" s="346" t="n"/>
      <c r="L233" s="346" t="n"/>
    </row>
    <row r="234" outlineLevel="2" s="594">
      <c r="B234" s="376" t="n"/>
      <c r="D234" s="373" t="n"/>
      <c r="E234" s="356" t="inlineStr">
        <is>
          <t>Rif. Pagina</t>
        </is>
      </c>
      <c r="F234" s="357" t="n">
        <v>91</v>
      </c>
      <c r="G234" s="357" t="n"/>
      <c r="H234" s="357" t="n">
        <v>99</v>
      </c>
      <c r="I234" s="357" t="n">
        <v>90</v>
      </c>
      <c r="J234" s="357" t="n">
        <v>133</v>
      </c>
      <c r="K234" s="357" t="n"/>
      <c r="L234" s="357" t="n"/>
    </row>
    <row r="235" outlineLevel="2" customFormat="1" s="13">
      <c r="B235" s="103" t="n"/>
      <c r="C235" s="542" t="n"/>
      <c r="D235" s="458" t="n"/>
      <c r="E235" s="459" t="inlineStr">
        <is>
          <t>Funzioni AI</t>
        </is>
      </c>
      <c r="F235" s="473" t="n"/>
      <c r="G235" s="460" t="n"/>
      <c r="H235" s="473" t="n"/>
      <c r="I235" s="473" t="n"/>
      <c r="J235" s="473" t="n"/>
      <c r="K235" s="460" t="n"/>
      <c r="L235" s="461" t="n"/>
    </row>
    <row r="236">
      <c r="A236" s="350" t="inlineStr">
        <is>
          <t>BRK_Emergency_Brake</t>
        </is>
      </c>
      <c r="B236" s="377" t="n"/>
      <c r="C236" s="393" t="n"/>
      <c r="D236" s="371" t="inlineStr">
        <is>
          <t>\</t>
        </is>
      </c>
      <c r="E236" s="351" t="n"/>
      <c r="F236" s="352" t="n"/>
      <c r="G236" s="352" t="n"/>
      <c r="H236" s="352" t="n"/>
      <c r="I236" s="352" t="n"/>
      <c r="J236" s="352" t="n"/>
      <c r="K236" s="352" t="n"/>
      <c r="L236" s="353" t="n"/>
    </row>
    <row r="237" outlineLevel="1" s="594">
      <c r="B237" s="376" t="n"/>
      <c r="C237" s="158" t="inlineStr">
        <is>
          <t>CONFIG</t>
        </is>
      </c>
      <c r="D237" s="369" t="inlineStr">
        <is>
          <t>FRS_Brake Control</t>
        </is>
      </c>
      <c r="E237" s="344" t="inlineStr">
        <is>
          <t>Link</t>
        </is>
      </c>
      <c r="F237" s="314">
        <f t="array" ref="F237">HYPERLINK(CONCATENATE(Cartelle!$D$5,F$1,"/",$C237,"/",MID($D237,1,FIND("_",$D237)-1),"/",INDIRECT(CONCATENATE("'" &amp; $C237 &amp; "'!",ADDRESS(MATCH($D237, INDIRECT("'" &amp; $C237 &amp; "'!$B:$B"), 0),MATCH(F$1, INDIRECT("'" &amp; $C237 &amp; "'!$1:$1"), 0)))),".",INDIRECT(CONCATENATE("'"&amp;$C237&amp;"'!",ADDRESS(MATCH($D237,INDIRECT("'"&amp;$C237&amp;"'!$B:$B"),0),3))),"#page=",F238),CONCATENATE("#Sharepoint//",$D237))</f>
        <v/>
      </c>
      <c r="G237" s="378" t="n"/>
      <c r="H237" s="314">
        <f t="array" ref="H237">HYPERLINK(CONCATENATE(Cartelle!$D$5,INDEX(INDIRECT("'" &amp; $C237 &amp; "'!$1:$1"), 1, MATCH(INDIRECT(CONCATENATE("'" &amp; $C237 &amp; "'!",ADDRESS(MATCH($D237, INDIRECT("'" &amp; $C237 &amp; "'!$B:$B"), 0),MATCH(H$1, INDIRECT("'" &amp; $C237 &amp; "'!$1:$1"), 0)))),INDIRECT(CONCATENATE("'" &amp; $C237 &amp; "'!",MATCH($D237, INDIRECT("'" &amp; $C237 &amp; "'!$B:$B"), 0),":",MATCH($D237, INDIRECT("'" &amp; $C237 &amp; "'!$B:$B"), 0))),0)),"/",$C237,"/",MID($D237,1,FIND("_",$D237)-1),"/",INDIRECT(CONCATENATE("'" &amp; $C237 &amp; "'!",ADDRESS(MATCH($D237, INDIRECT("'" &amp; $C237 &amp; "'!$B:$B"), 0),MATCH(H$1, INDIRECT("'" &amp; $C237 &amp; "'!$1:$1"), 0)))),".",INDIRECT(CONCATENATE("'"&amp;$C237&amp;"'!",ADDRESS(MATCH($D237,INDIRECT("'"&amp;$C237&amp;"'!$B:$B"),0),3))),"#page=",H238),CONCATENATE("#Sharepoint//",$D237))</f>
        <v/>
      </c>
      <c r="I237" s="314">
        <f t="array" ref="I237">HYPERLINK(CONCATENATE(Cartelle!$D$5,INDEX(INDIRECT("'" &amp; $C237 &amp; "'!$1:$1"), 1, MATCH(INDIRECT(CONCATENATE("'" &amp; $C237 &amp; "'!",ADDRESS(MATCH($D237, INDIRECT("'" &amp; $C237 &amp; "'!$B:$B"), 0),MATCH(I$1, INDIRECT("'" &amp; $C237 &amp; "'!$1:$1"), 0)))),INDIRECT(CONCATENATE("'" &amp; $C237 &amp; "'!",MATCH($D237, INDIRECT("'" &amp; $C237 &amp; "'!$B:$B"), 0),":",MATCH($D237, INDIRECT("'" &amp; $C237 &amp; "'!$B:$B"), 0))),0)),"/",$C237,"/",MID($D237,1,FIND("_",$D237)-1),"/",INDIRECT(CONCATENATE("'" &amp; $C237 &amp; "'!",ADDRESS(MATCH($D237, INDIRECT("'" &amp; $C237 &amp; "'!$B:$B"), 0),MATCH(I$1, INDIRECT("'" &amp; $C237 &amp; "'!$1:$1"), 0)))),".",INDIRECT(CONCATENATE("'"&amp;$C237&amp;"'!",ADDRESS(MATCH($D237,INDIRECT("'"&amp;$C237&amp;"'!$B:$B"),0),3))),"#page=",I238),CONCATENATE("#Sharepoint//",$D237))</f>
        <v/>
      </c>
      <c r="J237" s="314">
        <f t="array" ref="J237">HYPERLINK(CONCATENATE(Cartelle!$D$5,INDEX(INDIRECT("'" &amp; $C237 &amp; "'!$1:$1"), 1, MATCH(INDIRECT(CONCATENATE("'" &amp; $C237 &amp; "'!",ADDRESS(MATCH($D237, INDIRECT("'" &amp; $C237 &amp; "'!$B:$B"), 0),MATCH(J$1, INDIRECT("'" &amp; $C237 &amp; "'!$1:$1"), 0)))),INDIRECT(CONCATENATE("'" &amp; $C237 &amp; "'!",MATCH($D237, INDIRECT("'" &amp; $C237 &amp; "'!$B:$B"), 0),":",MATCH($D237, INDIRECT("'" &amp; $C237 &amp; "'!$B:$B"), 0))),0)),"/",$C237,"/",MID($D237,1,FIND("_",$D237)-1),"/",INDIRECT(CONCATENATE("'" &amp; $C237 &amp; "'!",ADDRESS(MATCH($D237, INDIRECT("'" &amp; $C237 &amp; "'!$B:$B"), 0),MATCH(J$1, INDIRECT("'" &amp; $C237 &amp; "'!$1:$1"), 0)))),".",INDIRECT(CONCATENATE("'"&amp;$C237&amp;"'!",ADDRESS(MATCH($D237,INDIRECT("'"&amp;$C237&amp;"'!$B:$B"),0),3))),"#page=",J238),CONCATENATE("#Sharepoint//",$D237))</f>
        <v/>
      </c>
      <c r="K237" s="346" t="n"/>
      <c r="L237" s="346" t="n"/>
    </row>
    <row r="238" outlineLevel="2" s="594">
      <c r="B238" s="376" t="n"/>
      <c r="D238" s="373" t="n"/>
      <c r="E238" s="356" t="inlineStr">
        <is>
          <t>Rif. Pagina</t>
        </is>
      </c>
      <c r="F238" s="357" t="n">
        <v>97</v>
      </c>
      <c r="G238" s="357" t="n"/>
      <c r="H238" s="357" t="n">
        <v>102</v>
      </c>
      <c r="I238" s="357" t="n">
        <v>93</v>
      </c>
      <c r="J238" s="357" t="n">
        <v>136</v>
      </c>
      <c r="K238" s="357" t="n"/>
      <c r="L238" s="357" t="n"/>
    </row>
    <row r="239" outlineLevel="2" s="594">
      <c r="B239" s="376" t="n"/>
      <c r="D239" s="357" t="n"/>
      <c r="E239" s="459" t="inlineStr">
        <is>
          <t>Funzioni AI</t>
        </is>
      </c>
      <c r="F239" s="474" t="n"/>
      <c r="G239" s="463" t="n"/>
      <c r="H239" s="474" t="n"/>
      <c r="I239" s="474" t="n"/>
      <c r="J239" s="474" t="n"/>
      <c r="K239" s="463" t="n"/>
      <c r="L239" s="464" t="n"/>
    </row>
    <row r="240">
      <c r="A240" s="350" t="inlineStr">
        <is>
          <t>BRK_Parking_Brake</t>
        </is>
      </c>
      <c r="B240" s="377" t="n"/>
      <c r="C240" s="393" t="n"/>
      <c r="D240" s="371" t="inlineStr">
        <is>
          <t>\</t>
        </is>
      </c>
      <c r="E240" s="351" t="n"/>
      <c r="F240" s="352" t="n"/>
      <c r="G240" s="352" t="n"/>
      <c r="H240" s="352" t="n"/>
      <c r="I240" s="352" t="n"/>
      <c r="J240" s="352" t="n"/>
      <c r="K240" s="352" t="n"/>
      <c r="L240" s="353" t="n"/>
    </row>
    <row r="241" outlineLevel="1" s="594">
      <c r="B241" s="376" t="n"/>
      <c r="C241" s="158" t="inlineStr">
        <is>
          <t>CONFIG</t>
        </is>
      </c>
      <c r="D241" s="369" t="inlineStr">
        <is>
          <t>FRS_Brake Control</t>
        </is>
      </c>
      <c r="E241" s="344" t="inlineStr">
        <is>
          <t>Link</t>
        </is>
      </c>
      <c r="F241" s="314">
        <f t="array" ref="F241">HYPERLINK(CONCATENATE(Cartelle!$D$5,F$1,"/",$C241,"/",MID($D241,1,FIND("_",$D241)-1),"/",INDIRECT(CONCATENATE("'" &amp; $C241 &amp; "'!",ADDRESS(MATCH($D241, INDIRECT("'" &amp; $C241 &amp; "'!$B:$B"), 0),MATCH(F$1, INDIRECT("'" &amp; $C241 &amp; "'!$1:$1"), 0)))),".",INDIRECT(CONCATENATE("'"&amp;$C241&amp;"'!",ADDRESS(MATCH($D241,INDIRECT("'"&amp;$C241&amp;"'!$B:$B"),0),3))),"#page=",F242),CONCATENATE("#Sharepoint//",$D241))</f>
        <v/>
      </c>
      <c r="G241" s="378" t="n"/>
      <c r="H241" s="314">
        <f t="array" ref="H241">HYPERLINK(CONCATENATE(Cartelle!$D$5,INDEX(INDIRECT("'" &amp; $C241 &amp; "'!$1:$1"), 1, MATCH(INDIRECT(CONCATENATE("'" &amp; $C241 &amp; "'!",ADDRESS(MATCH($D241, INDIRECT("'" &amp; $C241 &amp; "'!$B:$B"), 0),MATCH(H$1, INDIRECT("'" &amp; $C241 &amp; "'!$1:$1"), 0)))),INDIRECT(CONCATENATE("'" &amp; $C241 &amp; "'!",MATCH($D241, INDIRECT("'" &amp; $C241 &amp; "'!$B:$B"), 0),":",MATCH($D241, INDIRECT("'" &amp; $C241 &amp; "'!$B:$B"), 0))),0)),"/",$C241,"/",MID($D241,1,FIND("_",$D241)-1),"/",INDIRECT(CONCATENATE("'" &amp; $C241 &amp; "'!",ADDRESS(MATCH($D241, INDIRECT("'" &amp; $C241 &amp; "'!$B:$B"), 0),MATCH(H$1, INDIRECT("'" &amp; $C241 &amp; "'!$1:$1"), 0)))),".",INDIRECT(CONCATENATE("'"&amp;$C241&amp;"'!",ADDRESS(MATCH($D241,INDIRECT("'"&amp;$C241&amp;"'!$B:$B"),0),3))),"#page=",H242),CONCATENATE("#Sharepoint//",$D241))</f>
        <v/>
      </c>
      <c r="I241" s="314">
        <f t="array" ref="I241">HYPERLINK(CONCATENATE(Cartelle!$D$5,INDEX(INDIRECT("'" &amp; $C241 &amp; "'!$1:$1"), 1, MATCH(INDIRECT(CONCATENATE("'" &amp; $C241 &amp; "'!",ADDRESS(MATCH($D241, INDIRECT("'" &amp; $C241 &amp; "'!$B:$B"), 0),MATCH(I$1, INDIRECT("'" &amp; $C241 &amp; "'!$1:$1"), 0)))),INDIRECT(CONCATENATE("'" &amp; $C241 &amp; "'!",MATCH($D241, INDIRECT("'" &amp; $C241 &amp; "'!$B:$B"), 0),":",MATCH($D241, INDIRECT("'" &amp; $C241 &amp; "'!$B:$B"), 0))),0)),"/",$C241,"/",MID($D241,1,FIND("_",$D241)-1),"/",INDIRECT(CONCATENATE("'" &amp; $C241 &amp; "'!",ADDRESS(MATCH($D241, INDIRECT("'" &amp; $C241 &amp; "'!$B:$B"), 0),MATCH(I$1, INDIRECT("'" &amp; $C241 &amp; "'!$1:$1"), 0)))),".",INDIRECT(CONCATENATE("'"&amp;$C241&amp;"'!",ADDRESS(MATCH($D241,INDIRECT("'"&amp;$C241&amp;"'!$B:$B"),0),3))),"#page=",I242),CONCATENATE("#Sharepoint//",$D241))</f>
        <v/>
      </c>
      <c r="J241" s="314">
        <f t="array" ref="J241">HYPERLINK(CONCATENATE(Cartelle!$D$5,INDEX(INDIRECT("'" &amp; $C241 &amp; "'!$1:$1"), 1, MATCH(INDIRECT(CONCATENATE("'" &amp; $C241 &amp; "'!",ADDRESS(MATCH($D241, INDIRECT("'" &amp; $C241 &amp; "'!$B:$B"), 0),MATCH(J$1, INDIRECT("'" &amp; $C241 &amp; "'!$1:$1"), 0)))),INDIRECT(CONCATENATE("'" &amp; $C241 &amp; "'!",MATCH($D241, INDIRECT("'" &amp; $C241 &amp; "'!$B:$B"), 0),":",MATCH($D241, INDIRECT("'" &amp; $C241 &amp; "'!$B:$B"), 0))),0)),"/",$C241,"/",MID($D241,1,FIND("_",$D241)-1),"/",INDIRECT(CONCATENATE("'" &amp; $C241 &amp; "'!",ADDRESS(MATCH($D241, INDIRECT("'" &amp; $C241 &amp; "'!$B:$B"), 0),MATCH(J$1, INDIRECT("'" &amp; $C241 &amp; "'!$1:$1"), 0)))),".",INDIRECT(CONCATENATE("'"&amp;$C241&amp;"'!",ADDRESS(MATCH($D241,INDIRECT("'"&amp;$C241&amp;"'!$B:$B"),0),3))),"#page=",J242),CONCATENATE("#Sharepoint//",$D241))</f>
        <v/>
      </c>
      <c r="K241" s="346" t="n"/>
      <c r="L241" s="346" t="n"/>
    </row>
    <row r="242" outlineLevel="2" s="594">
      <c r="B242" s="376" t="n"/>
      <c r="D242" s="373" t="n"/>
      <c r="E242" s="356" t="inlineStr">
        <is>
          <t>Rif. Pagina</t>
        </is>
      </c>
      <c r="F242" s="357" t="n">
        <v>117</v>
      </c>
      <c r="G242" s="357" t="n"/>
      <c r="H242" s="357" t="n">
        <v>127</v>
      </c>
      <c r="I242" s="357" t="n">
        <v>113</v>
      </c>
      <c r="J242" s="357" t="n">
        <v>154</v>
      </c>
      <c r="K242" s="357" t="n"/>
      <c r="L242" s="357" t="n"/>
    </row>
    <row r="243" outlineLevel="2" s="594">
      <c r="B243" s="376" t="n"/>
      <c r="D243" s="357" t="n"/>
      <c r="E243" s="459" t="inlineStr">
        <is>
          <t>Funzioni AI</t>
        </is>
      </c>
      <c r="F243" s="474" t="n"/>
      <c r="G243" s="463" t="n"/>
      <c r="H243" s="474" t="n"/>
      <c r="I243" s="474" t="n"/>
      <c r="J243" s="474" t="n"/>
      <c r="K243" s="463" t="n"/>
      <c r="L243" s="464" t="n"/>
    </row>
    <row r="244">
      <c r="A244" s="350" t="inlineStr">
        <is>
          <t>BRK_Wheel_Slide_Protection</t>
        </is>
      </c>
      <c r="B244" s="377" t="n"/>
      <c r="C244" s="393" t="n"/>
      <c r="D244" s="371" t="inlineStr">
        <is>
          <t>\</t>
        </is>
      </c>
      <c r="E244" s="351" t="n"/>
      <c r="F244" s="352" t="n"/>
      <c r="G244" s="352" t="n"/>
      <c r="H244" s="352" t="n"/>
      <c r="I244" s="352" t="n"/>
      <c r="J244" s="352" t="n"/>
      <c r="K244" s="352" t="n"/>
      <c r="L244" s="353" t="n"/>
    </row>
    <row r="245" outlineLevel="1" s="594">
      <c r="B245" s="376" t="n"/>
      <c r="C245" s="158" t="inlineStr">
        <is>
          <t>CONFIG</t>
        </is>
      </c>
      <c r="D245" s="369" t="inlineStr">
        <is>
          <t>FRS_Brake Control</t>
        </is>
      </c>
      <c r="E245" s="344" t="inlineStr">
        <is>
          <t>Link</t>
        </is>
      </c>
      <c r="F245" s="314">
        <f t="array" ref="F245">HYPERLINK(CONCATENATE(Cartelle!$D$5,F$1,"/",$C245,"/",MID($D245,1,FIND("_",$D245)-1),"/",INDIRECT(CONCATENATE("'" &amp; $C245 &amp; "'!",ADDRESS(MATCH($D245, INDIRECT("'" &amp; $C245 &amp; "'!$B:$B"), 0),MATCH(F$1, INDIRECT("'" &amp; $C245 &amp; "'!$1:$1"), 0)))),".",INDIRECT(CONCATENATE("'"&amp;$C245&amp;"'!",ADDRESS(MATCH($D245,INDIRECT("'"&amp;$C245&amp;"'!$B:$B"),0),3))),"#page=",F246),CONCATENATE("#Sharepoint//",$D245))</f>
        <v/>
      </c>
      <c r="G245" s="378" t="n"/>
      <c r="H245" s="314">
        <f t="array" ref="H245">HYPERLINK(CONCATENATE(Cartelle!$D$5,INDEX(INDIRECT("'" &amp; $C245 &amp; "'!$1:$1"), 1, MATCH(INDIRECT(CONCATENATE("'" &amp; $C245 &amp; "'!",ADDRESS(MATCH($D245, INDIRECT("'" &amp; $C245 &amp; "'!$B:$B"), 0),MATCH(H$1, INDIRECT("'" &amp; $C245 &amp; "'!$1:$1"), 0)))),INDIRECT(CONCATENATE("'" &amp; $C245 &amp; "'!",MATCH($D245, INDIRECT("'" &amp; $C245 &amp; "'!$B:$B"), 0),":",MATCH($D245, INDIRECT("'" &amp; $C245 &amp; "'!$B:$B"), 0))),0)),"/",$C245,"/",MID($D245,1,FIND("_",$D245)-1),"/",INDIRECT(CONCATENATE("'" &amp; $C245 &amp; "'!",ADDRESS(MATCH($D245, INDIRECT("'" &amp; $C245 &amp; "'!$B:$B"), 0),MATCH(H$1, INDIRECT("'" &amp; $C245 &amp; "'!$1:$1"), 0)))),".",INDIRECT(CONCATENATE("'"&amp;$C245&amp;"'!",ADDRESS(MATCH($D245,INDIRECT("'"&amp;$C245&amp;"'!$B:$B"),0),3))),"#page=",H246),CONCATENATE("#Sharepoint//",$D245))</f>
        <v/>
      </c>
      <c r="I245" s="314">
        <f t="array" ref="I245">HYPERLINK(CONCATENATE(Cartelle!$D$5,INDEX(INDIRECT("'" &amp; $C245 &amp; "'!$1:$1"), 1, MATCH(INDIRECT(CONCATENATE("'" &amp; $C245 &amp; "'!",ADDRESS(MATCH($D245, INDIRECT("'" &amp; $C245 &amp; "'!$B:$B"), 0),MATCH(I$1, INDIRECT("'" &amp; $C245 &amp; "'!$1:$1"), 0)))),INDIRECT(CONCATENATE("'" &amp; $C245 &amp; "'!",MATCH($D245, INDIRECT("'" &amp; $C245 &amp; "'!$B:$B"), 0),":",MATCH($D245, INDIRECT("'" &amp; $C245 &amp; "'!$B:$B"), 0))),0)),"/",$C245,"/",MID($D245,1,FIND("_",$D245)-1),"/",INDIRECT(CONCATENATE("'" &amp; $C245 &amp; "'!",ADDRESS(MATCH($D245, INDIRECT("'" &amp; $C245 &amp; "'!$B:$B"), 0),MATCH(I$1, INDIRECT("'" &amp; $C245 &amp; "'!$1:$1"), 0)))),".",INDIRECT(CONCATENATE("'"&amp;$C245&amp;"'!",ADDRESS(MATCH($D245,INDIRECT("'"&amp;$C245&amp;"'!$B:$B"),0),3))),"#page=",I246),CONCATENATE("#Sharepoint//",$D245))</f>
        <v/>
      </c>
      <c r="J245" s="314">
        <f t="array" ref="J245">HYPERLINK(CONCATENATE(Cartelle!$D$5,INDEX(INDIRECT("'" &amp; $C245 &amp; "'!$1:$1"), 1, MATCH(INDIRECT(CONCATENATE("'" &amp; $C245 &amp; "'!",ADDRESS(MATCH($D245, INDIRECT("'" &amp; $C245 &amp; "'!$B:$B"), 0),MATCH(J$1, INDIRECT("'" &amp; $C245 &amp; "'!$1:$1"), 0)))),INDIRECT(CONCATENATE("'" &amp; $C245 &amp; "'!",MATCH($D245, INDIRECT("'" &amp; $C245 &amp; "'!$B:$B"), 0),":",MATCH($D245, INDIRECT("'" &amp; $C245 &amp; "'!$B:$B"), 0))),0)),"/",$C245,"/",MID($D245,1,FIND("_",$D245)-1),"/",INDIRECT(CONCATENATE("'" &amp; $C245 &amp; "'!",ADDRESS(MATCH($D245, INDIRECT("'" &amp; $C245 &amp; "'!$B:$B"), 0),MATCH(J$1, INDIRECT("'" &amp; $C245 &amp; "'!$1:$1"), 0)))),".",INDIRECT(CONCATENATE("'"&amp;$C245&amp;"'!",ADDRESS(MATCH($D245,INDIRECT("'"&amp;$C245&amp;"'!$B:$B"),0),3))),"#page=",J246),CONCATENATE("#Sharepoint//",$D245))</f>
        <v/>
      </c>
      <c r="K245" s="346" t="n"/>
      <c r="L245" s="346" t="n"/>
    </row>
    <row r="246" outlineLevel="2" s="594">
      <c r="B246" s="376" t="n"/>
      <c r="D246" s="373" t="n"/>
      <c r="E246" s="356" t="inlineStr">
        <is>
          <t>Rif. Pagina</t>
        </is>
      </c>
      <c r="F246" s="357" t="n">
        <v>131</v>
      </c>
      <c r="G246" s="357" t="n"/>
      <c r="H246" s="357" t="n">
        <v>142</v>
      </c>
      <c r="I246" s="357" t="n">
        <v>131</v>
      </c>
      <c r="J246" s="357" t="n">
        <v>171</v>
      </c>
      <c r="K246" s="357" t="n"/>
      <c r="L246" s="357" t="n"/>
    </row>
    <row r="247" outlineLevel="2" s="594">
      <c r="B247" s="376" t="n"/>
      <c r="D247" s="357" t="n"/>
      <c r="E247" s="459" t="inlineStr">
        <is>
          <t>Funzioni AI</t>
        </is>
      </c>
      <c r="F247" s="474" t="n"/>
      <c r="G247" s="463" t="n"/>
      <c r="H247" s="474" t="n"/>
      <c r="I247" s="474" t="n"/>
      <c r="J247" s="474" t="n"/>
      <c r="K247" s="463" t="n"/>
      <c r="L247" s="464" t="n"/>
    </row>
    <row r="248">
      <c r="A248" s="350" t="inlineStr">
        <is>
          <t>BRK_Detection_of_Non-Rotating_Axle_(DNRA)</t>
        </is>
      </c>
      <c r="B248" s="377" t="n"/>
      <c r="C248" s="393" t="n"/>
      <c r="D248" s="371" t="inlineStr">
        <is>
          <t>\</t>
        </is>
      </c>
      <c r="E248" s="351" t="n"/>
      <c r="F248" s="352" t="n"/>
      <c r="G248" s="352" t="n"/>
      <c r="H248" s="352" t="n"/>
      <c r="I248" s="352" t="n"/>
      <c r="J248" s="352" t="n"/>
      <c r="K248" s="352" t="n"/>
      <c r="L248" s="353" t="n"/>
    </row>
    <row r="249" outlineLevel="1" s="594">
      <c r="B249" s="376" t="n"/>
      <c r="C249" s="158" t="inlineStr">
        <is>
          <t>CONFIG</t>
        </is>
      </c>
      <c r="D249" s="369" t="inlineStr">
        <is>
          <t>FRS_Brake Control</t>
        </is>
      </c>
      <c r="E249" s="344" t="inlineStr">
        <is>
          <t>Link</t>
        </is>
      </c>
      <c r="F249" s="314">
        <f t="array" ref="F249">HYPERLINK(CONCATENATE(Cartelle!$D$5,F$1,"/",$C249,"/",MID($D249,1,FIND("_",$D249)-1),"/",INDIRECT(CONCATENATE("'" &amp; $C249 &amp; "'!",ADDRESS(MATCH($D249, INDIRECT("'" &amp; $C249 &amp; "'!$B:$B"), 0),MATCH(F$1, INDIRECT("'" &amp; $C249 &amp; "'!$1:$1"), 0)))),".",INDIRECT(CONCATENATE("'"&amp;$C249&amp;"'!",ADDRESS(MATCH($D249,INDIRECT("'"&amp;$C249&amp;"'!$B:$B"),0),3))),"#page=",F250),CONCATENATE("#Sharepoint//",$D249))</f>
        <v/>
      </c>
      <c r="G249" s="378" t="n"/>
      <c r="H249" s="314">
        <f t="array" ref="H249">HYPERLINK(CONCATENATE(Cartelle!$D$5,INDEX(INDIRECT("'" &amp; $C249 &amp; "'!$1:$1"), 1, MATCH(INDIRECT(CONCATENATE("'" &amp; $C249 &amp; "'!",ADDRESS(MATCH($D249, INDIRECT("'" &amp; $C249 &amp; "'!$B:$B"), 0),MATCH(H$1, INDIRECT("'" &amp; $C249 &amp; "'!$1:$1"), 0)))),INDIRECT(CONCATENATE("'" &amp; $C249 &amp; "'!",MATCH($D249, INDIRECT("'" &amp; $C249 &amp; "'!$B:$B"), 0),":",MATCH($D249, INDIRECT("'" &amp; $C249 &amp; "'!$B:$B"), 0))),0)),"/",$C249,"/",MID($D249,1,FIND("_",$D249)-1),"/",INDIRECT(CONCATENATE("'" &amp; $C249 &amp; "'!",ADDRESS(MATCH($D249, INDIRECT("'" &amp; $C249 &amp; "'!$B:$B"), 0),MATCH(H$1, INDIRECT("'" &amp; $C249 &amp; "'!$1:$1"), 0)))),".",INDIRECT(CONCATENATE("'"&amp;$C249&amp;"'!",ADDRESS(MATCH($D249,INDIRECT("'"&amp;$C249&amp;"'!$B:$B"),0),3))),"#page=",H250),CONCATENATE("#Sharepoint//",$D249))</f>
        <v/>
      </c>
      <c r="I249" s="314">
        <f t="array" ref="I249">HYPERLINK(CONCATENATE(Cartelle!$D$5,INDEX(INDIRECT("'" &amp; $C249 &amp; "'!$1:$1"), 1, MATCH(INDIRECT(CONCATENATE("'" &amp; $C249 &amp; "'!",ADDRESS(MATCH($D249, INDIRECT("'" &amp; $C249 &amp; "'!$B:$B"), 0),MATCH(I$1, INDIRECT("'" &amp; $C249 &amp; "'!$1:$1"), 0)))),INDIRECT(CONCATENATE("'" &amp; $C249 &amp; "'!",MATCH($D249, INDIRECT("'" &amp; $C249 &amp; "'!$B:$B"), 0),":",MATCH($D249, INDIRECT("'" &amp; $C249 &amp; "'!$B:$B"), 0))),0)),"/",$C249,"/",MID($D249,1,FIND("_",$D249)-1),"/",INDIRECT(CONCATENATE("'" &amp; $C249 &amp; "'!",ADDRESS(MATCH($D249, INDIRECT("'" &amp; $C249 &amp; "'!$B:$B"), 0),MATCH(I$1, INDIRECT("'" &amp; $C249 &amp; "'!$1:$1"), 0)))),".",INDIRECT(CONCATENATE("'"&amp;$C249&amp;"'!",ADDRESS(MATCH($D249,INDIRECT("'"&amp;$C249&amp;"'!$B:$B"),0),3))),"#page=",I250),CONCATENATE("#Sharepoint//",$D249))</f>
        <v/>
      </c>
      <c r="J249" s="314">
        <f t="array" ref="J249">HYPERLINK(CONCATENATE(Cartelle!$D$5,INDEX(INDIRECT("'" &amp; $C249 &amp; "'!$1:$1"), 1, MATCH(INDIRECT(CONCATENATE("'" &amp; $C249 &amp; "'!",ADDRESS(MATCH($D249, INDIRECT("'" &amp; $C249 &amp; "'!$B:$B"), 0),MATCH(J$1, INDIRECT("'" &amp; $C249 &amp; "'!$1:$1"), 0)))),INDIRECT(CONCATENATE("'" &amp; $C249 &amp; "'!",MATCH($D249, INDIRECT("'" &amp; $C249 &amp; "'!$B:$B"), 0),":",MATCH($D249, INDIRECT("'" &amp; $C249 &amp; "'!$B:$B"), 0))),0)),"/",$C249,"/",MID($D249,1,FIND("_",$D249)-1),"/",INDIRECT(CONCATENATE("'" &amp; $C249 &amp; "'!",ADDRESS(MATCH($D249, INDIRECT("'" &amp; $C249 &amp; "'!$B:$B"), 0),MATCH(J$1, INDIRECT("'" &amp; $C249 &amp; "'!$1:$1"), 0)))),".",INDIRECT(CONCATENATE("'"&amp;$C249&amp;"'!",ADDRESS(MATCH($D249,INDIRECT("'"&amp;$C249&amp;"'!$B:$B"),0),3))),"#page=",J250),CONCATENATE("#Sharepoint//",$D249))</f>
        <v/>
      </c>
      <c r="K249" s="346" t="n"/>
      <c r="L249" s="346" t="n"/>
    </row>
    <row r="250" outlineLevel="2" s="594">
      <c r="B250" s="376" t="n"/>
      <c r="D250" s="373" t="n"/>
      <c r="E250" s="356" t="inlineStr">
        <is>
          <t>Rif. Pagina</t>
        </is>
      </c>
      <c r="F250" s="357" t="n">
        <v>145</v>
      </c>
      <c r="G250" s="357" t="n"/>
      <c r="H250" s="357" t="n">
        <v>157</v>
      </c>
      <c r="I250" s="357" t="n">
        <v>144</v>
      </c>
      <c r="J250" s="357" t="n">
        <v>189</v>
      </c>
      <c r="K250" s="357" t="n"/>
      <c r="L250" s="357" t="n"/>
    </row>
    <row r="251" outlineLevel="2" s="594">
      <c r="B251" s="376" t="n"/>
      <c r="D251" s="357" t="n"/>
      <c r="E251" s="459" t="inlineStr">
        <is>
          <t>Funzioni AI</t>
        </is>
      </c>
      <c r="F251" s="474" t="n"/>
      <c r="G251" s="463" t="n"/>
      <c r="H251" s="474" t="n"/>
      <c r="I251" s="474" t="n"/>
      <c r="J251" s="474" t="n"/>
      <c r="K251" s="463" t="n"/>
      <c r="L251" s="464" t="n"/>
    </row>
    <row r="252">
      <c r="A252" s="350" t="inlineStr">
        <is>
          <t>BRK_Passenger_Emergency_Brake</t>
        </is>
      </c>
      <c r="B252" s="377" t="n"/>
      <c r="C252" s="393" t="n"/>
      <c r="D252" s="371" t="inlineStr">
        <is>
          <t>\</t>
        </is>
      </c>
      <c r="E252" s="351" t="n"/>
      <c r="F252" s="352" t="n"/>
      <c r="G252" s="352" t="n"/>
      <c r="H252" s="352" t="n"/>
      <c r="I252" s="352" t="n"/>
      <c r="J252" s="352" t="n"/>
      <c r="K252" s="352" t="n"/>
      <c r="L252" s="353" t="n"/>
    </row>
    <row r="253" outlineLevel="1" s="594">
      <c r="B253" s="376" t="n"/>
      <c r="C253" s="158" t="inlineStr">
        <is>
          <t>CONFIG</t>
        </is>
      </c>
      <c r="D253" s="369" t="inlineStr">
        <is>
          <t>FRS_Brake Control</t>
        </is>
      </c>
      <c r="E253" s="344" t="inlineStr">
        <is>
          <t>Link</t>
        </is>
      </c>
      <c r="F253" s="314">
        <f t="array" ref="F253">HYPERLINK(CONCATENATE(Cartelle!$D$5,F$1,"/",$C253,"/",MID($D253,1,FIND("_",$D253)-1),"/",INDIRECT(CONCATENATE("'" &amp; $C253 &amp; "'!",ADDRESS(MATCH($D253, INDIRECT("'" &amp; $C253 &amp; "'!$B:$B"), 0),MATCH(F$1, INDIRECT("'" &amp; $C253 &amp; "'!$1:$1"), 0)))),".",INDIRECT(CONCATENATE("'"&amp;$C253&amp;"'!",ADDRESS(MATCH($D253,INDIRECT("'"&amp;$C253&amp;"'!$B:$B"),0),3))),"#page=",F254),CONCATENATE("#Sharepoint//",$D253))</f>
        <v/>
      </c>
      <c r="G253" s="378" t="n"/>
      <c r="H253" s="314">
        <f t="array" ref="H253">HYPERLINK(CONCATENATE(Cartelle!$D$5,INDEX(INDIRECT("'" &amp; $C253 &amp; "'!$1:$1"), 1, MATCH(INDIRECT(CONCATENATE("'" &amp; $C253 &amp; "'!",ADDRESS(MATCH($D253, INDIRECT("'" &amp; $C253 &amp; "'!$B:$B"), 0),MATCH(H$1, INDIRECT("'" &amp; $C253 &amp; "'!$1:$1"), 0)))),INDIRECT(CONCATENATE("'" &amp; $C253 &amp; "'!",MATCH($D253, INDIRECT("'" &amp; $C253 &amp; "'!$B:$B"), 0),":",MATCH($D253, INDIRECT("'" &amp; $C253 &amp; "'!$B:$B"), 0))),0)),"/",$C253,"/",MID($D253,1,FIND("_",$D253)-1),"/",INDIRECT(CONCATENATE("'" &amp; $C253 &amp; "'!",ADDRESS(MATCH($D253, INDIRECT("'" &amp; $C253 &amp; "'!$B:$B"), 0),MATCH(H$1, INDIRECT("'" &amp; $C253 &amp; "'!$1:$1"), 0)))),".",INDIRECT(CONCATENATE("'"&amp;$C253&amp;"'!",ADDRESS(MATCH($D253,INDIRECT("'"&amp;$C253&amp;"'!$B:$B"),0),3))),"#page=",H254),CONCATENATE("#Sharepoint//",$D253))</f>
        <v/>
      </c>
      <c r="I253" s="314">
        <f t="array" ref="I253">HYPERLINK(CONCATENATE(Cartelle!$D$5,INDEX(INDIRECT("'" &amp; $C253 &amp; "'!$1:$1"), 1, MATCH(INDIRECT(CONCATENATE("'" &amp; $C253 &amp; "'!",ADDRESS(MATCH($D253, INDIRECT("'" &amp; $C253 &amp; "'!$B:$B"), 0),MATCH(I$1, INDIRECT("'" &amp; $C253 &amp; "'!$1:$1"), 0)))),INDIRECT(CONCATENATE("'" &amp; $C253 &amp; "'!",MATCH($D253, INDIRECT("'" &amp; $C253 &amp; "'!$B:$B"), 0),":",MATCH($D253, INDIRECT("'" &amp; $C253 &amp; "'!$B:$B"), 0))),0)),"/",$C253,"/",MID($D253,1,FIND("_",$D253)-1),"/",INDIRECT(CONCATENATE("'" &amp; $C253 &amp; "'!",ADDRESS(MATCH($D253, INDIRECT("'" &amp; $C253 &amp; "'!$B:$B"), 0),MATCH(I$1, INDIRECT("'" &amp; $C253 &amp; "'!$1:$1"), 0)))),".",INDIRECT(CONCATENATE("'"&amp;$C253&amp;"'!",ADDRESS(MATCH($D253,INDIRECT("'"&amp;$C253&amp;"'!$B:$B"),0),3))),"#page=",I254),CONCATENATE("#Sharepoint//",$D253))</f>
        <v/>
      </c>
      <c r="J253" s="314">
        <f t="array" ref="J253">HYPERLINK(CONCATENATE(Cartelle!$D$5,INDEX(INDIRECT("'" &amp; $C253 &amp; "'!$1:$1"), 1, MATCH(INDIRECT(CONCATENATE("'" &amp; $C253 &amp; "'!",ADDRESS(MATCH($D253, INDIRECT("'" &amp; $C253 &amp; "'!$B:$B"), 0),MATCH(J$1, INDIRECT("'" &amp; $C253 &amp; "'!$1:$1"), 0)))),INDIRECT(CONCATENATE("'" &amp; $C253 &amp; "'!",MATCH($D253, INDIRECT("'" &amp; $C253 &amp; "'!$B:$B"), 0),":",MATCH($D253, INDIRECT("'" &amp; $C253 &amp; "'!$B:$B"), 0))),0)),"/",$C253,"/",MID($D253,1,FIND("_",$D253)-1),"/",INDIRECT(CONCATENATE("'" &amp; $C253 &amp; "'!",ADDRESS(MATCH($D253, INDIRECT("'" &amp; $C253 &amp; "'!$B:$B"), 0),MATCH(J$1, INDIRECT("'" &amp; $C253 &amp; "'!$1:$1"), 0)))),".",INDIRECT(CONCATENATE("'"&amp;$C253&amp;"'!",ADDRESS(MATCH($D253,INDIRECT("'"&amp;$C253&amp;"'!$B:$B"),0),3))),"#page=",J254),CONCATENATE("#Sharepoint//",$D253))</f>
        <v/>
      </c>
      <c r="K253" s="346" t="n"/>
      <c r="L253" s="346" t="n"/>
    </row>
    <row r="254" outlineLevel="2" s="594">
      <c r="B254" s="376" t="n"/>
      <c r="D254" s="373" t="n"/>
      <c r="E254" s="356" t="inlineStr">
        <is>
          <t>Rif. Pagina</t>
        </is>
      </c>
      <c r="F254" s="357" t="n">
        <v>153</v>
      </c>
      <c r="G254" s="357" t="n"/>
      <c r="H254" s="357" t="n">
        <v>165</v>
      </c>
      <c r="I254" s="357" t="n">
        <v>166</v>
      </c>
      <c r="J254" s="357" t="n">
        <v>192</v>
      </c>
      <c r="K254" s="357" t="n"/>
      <c r="L254" s="357" t="n"/>
    </row>
    <row r="255" outlineLevel="2" s="594">
      <c r="B255" s="376" t="n"/>
      <c r="D255" s="357" t="n"/>
      <c r="E255" s="459" t="inlineStr">
        <is>
          <t>Funzioni AI</t>
        </is>
      </c>
      <c r="F255" s="474" t="n"/>
      <c r="G255" s="463" t="n"/>
      <c r="H255" s="474" t="n"/>
      <c r="I255" s="474" t="n"/>
      <c r="J255" s="474" t="n"/>
      <c r="K255" s="463" t="n"/>
      <c r="L255" s="464" t="n"/>
    </row>
    <row r="256">
      <c r="A256" s="350" t="inlineStr">
        <is>
          <t>BRK_Sanding</t>
        </is>
      </c>
      <c r="B256" s="377" t="n"/>
      <c r="C256" s="393" t="n"/>
      <c r="D256" s="371" t="inlineStr">
        <is>
          <t>\</t>
        </is>
      </c>
      <c r="E256" s="351" t="n"/>
      <c r="F256" s="352" t="n"/>
      <c r="G256" s="352" t="n"/>
      <c r="H256" s="352" t="n"/>
      <c r="I256" s="352" t="n"/>
      <c r="J256" s="352" t="n"/>
      <c r="K256" s="352" t="n"/>
      <c r="L256" s="353" t="n"/>
    </row>
    <row r="257" outlineLevel="1" s="594">
      <c r="B257" s="376" t="n"/>
      <c r="C257" s="158" t="inlineStr">
        <is>
          <t>CONFIG</t>
        </is>
      </c>
      <c r="D257" s="369" t="inlineStr">
        <is>
          <t>FRS_Brake Control</t>
        </is>
      </c>
      <c r="E257" s="344" t="inlineStr">
        <is>
          <t>Link</t>
        </is>
      </c>
      <c r="F257" s="314">
        <f t="array" ref="F257">HYPERLINK(CONCATENATE(Cartelle!$D$5,F$1,"/",$C257,"/",MID($D257,1,FIND("_",$D257)-1),"/",INDIRECT(CONCATENATE("'" &amp; $C257 &amp; "'!",ADDRESS(MATCH($D257, INDIRECT("'" &amp; $C257 &amp; "'!$B:$B"), 0),MATCH(F$1, INDIRECT("'" &amp; $C257 &amp; "'!$1:$1"), 0)))),".",INDIRECT(CONCATENATE("'"&amp;$C257&amp;"'!",ADDRESS(MATCH($D257,INDIRECT("'"&amp;$C257&amp;"'!$B:$B"),0),3))),"#page=",F258),CONCATENATE("#Sharepoint//",$D257))</f>
        <v/>
      </c>
      <c r="G257" s="378" t="n"/>
      <c r="H257" s="314">
        <f t="array" ref="H257">HYPERLINK(CONCATENATE(Cartelle!$D$5,INDEX(INDIRECT("'" &amp; $C257 &amp; "'!$1:$1"), 1, MATCH(INDIRECT(CONCATENATE("'" &amp; $C257 &amp; "'!",ADDRESS(MATCH($D257, INDIRECT("'" &amp; $C257 &amp; "'!$B:$B"), 0),MATCH(H$1, INDIRECT("'" &amp; $C257 &amp; "'!$1:$1"), 0)))),INDIRECT(CONCATENATE("'" &amp; $C257 &amp; "'!",MATCH($D257, INDIRECT("'" &amp; $C257 &amp; "'!$B:$B"), 0),":",MATCH($D257, INDIRECT("'" &amp; $C257 &amp; "'!$B:$B"), 0))),0)),"/",$C257,"/",MID($D257,1,FIND("_",$D257)-1),"/",INDIRECT(CONCATENATE("'" &amp; $C257 &amp; "'!",ADDRESS(MATCH($D257, INDIRECT("'" &amp; $C257 &amp; "'!$B:$B"), 0),MATCH(H$1, INDIRECT("'" &amp; $C257 &amp; "'!$1:$1"), 0)))),".",INDIRECT(CONCATENATE("'"&amp;$C257&amp;"'!",ADDRESS(MATCH($D257,INDIRECT("'"&amp;$C257&amp;"'!$B:$B"),0),3))),"#page=",H258),CONCATENATE("#Sharepoint//",$D257))</f>
        <v/>
      </c>
      <c r="I257" s="314">
        <f t="array" ref="I257">HYPERLINK(CONCATENATE(Cartelle!$D$5,INDEX(INDIRECT("'" &amp; $C257 &amp; "'!$1:$1"), 1, MATCH(INDIRECT(CONCATENATE("'" &amp; $C257 &amp; "'!",ADDRESS(MATCH($D257, INDIRECT("'" &amp; $C257 &amp; "'!$B:$B"), 0),MATCH(I$1, INDIRECT("'" &amp; $C257 &amp; "'!$1:$1"), 0)))),INDIRECT(CONCATENATE("'" &amp; $C257 &amp; "'!",MATCH($D257, INDIRECT("'" &amp; $C257 &amp; "'!$B:$B"), 0),":",MATCH($D257, INDIRECT("'" &amp; $C257 &amp; "'!$B:$B"), 0))),0)),"/",$C257,"/",MID($D257,1,FIND("_",$D257)-1),"/",INDIRECT(CONCATENATE("'" &amp; $C257 &amp; "'!",ADDRESS(MATCH($D257, INDIRECT("'" &amp; $C257 &amp; "'!$B:$B"), 0),MATCH(I$1, INDIRECT("'" &amp; $C257 &amp; "'!$1:$1"), 0)))),".",INDIRECT(CONCATENATE("'"&amp;$C257&amp;"'!",ADDRESS(MATCH($D257,INDIRECT("'"&amp;$C257&amp;"'!$B:$B"),0),3))),"#page=",I258),CONCATENATE("#Sharepoint//",$D257))</f>
        <v/>
      </c>
      <c r="J257" s="314">
        <f t="array" ref="J257">HYPERLINK(CONCATENATE(Cartelle!$D$5,INDEX(INDIRECT("'" &amp; $C257 &amp; "'!$1:$1"), 1, MATCH(INDIRECT(CONCATENATE("'" &amp; $C257 &amp; "'!",ADDRESS(MATCH($D257, INDIRECT("'" &amp; $C257 &amp; "'!$B:$B"), 0),MATCH(J$1, INDIRECT("'" &amp; $C257 &amp; "'!$1:$1"), 0)))),INDIRECT(CONCATENATE("'" &amp; $C257 &amp; "'!",MATCH($D257, INDIRECT("'" &amp; $C257 &amp; "'!$B:$B"), 0),":",MATCH($D257, INDIRECT("'" &amp; $C257 &amp; "'!$B:$B"), 0))),0)),"/",$C257,"/",MID($D257,1,FIND("_",$D257)-1),"/",INDIRECT(CONCATENATE("'" &amp; $C257 &amp; "'!",ADDRESS(MATCH($D257, INDIRECT("'" &amp; $C257 &amp; "'!$B:$B"), 0),MATCH(J$1, INDIRECT("'" &amp; $C257 &amp; "'!$1:$1"), 0)))),".",INDIRECT(CONCATENATE("'"&amp;$C257&amp;"'!",ADDRESS(MATCH($D257,INDIRECT("'"&amp;$C257&amp;"'!$B:$B"),0),3))),"#page=",J258),CONCATENATE("#Sharepoint//",$D257))</f>
        <v/>
      </c>
      <c r="K257" s="346" t="n"/>
      <c r="L257" s="346" t="n"/>
    </row>
    <row r="258" outlineLevel="2" s="594">
      <c r="B258" s="376" t="n"/>
      <c r="D258" s="373" t="n"/>
      <c r="E258" s="356" t="inlineStr">
        <is>
          <t>Rif. Pagina</t>
        </is>
      </c>
      <c r="F258" s="357" t="n">
        <v>163</v>
      </c>
      <c r="G258" s="357" t="n"/>
      <c r="H258" s="357" t="n">
        <v>173</v>
      </c>
      <c r="I258" s="357" t="n">
        <v>177</v>
      </c>
      <c r="J258" s="357" t="n">
        <v>204</v>
      </c>
      <c r="K258" s="357" t="n"/>
      <c r="L258" s="357" t="n"/>
    </row>
    <row r="259" outlineLevel="2" s="594">
      <c r="B259" s="376" t="n"/>
      <c r="D259" s="357" t="n"/>
      <c r="E259" s="459" t="inlineStr">
        <is>
          <t>Funzioni AI</t>
        </is>
      </c>
      <c r="F259" s="474" t="n"/>
      <c r="G259" s="463" t="n"/>
      <c r="H259" s="474" t="n"/>
      <c r="I259" s="474" t="n"/>
      <c r="J259" s="474" t="n"/>
      <c r="K259" s="463" t="n"/>
      <c r="L259" s="464" t="n"/>
    </row>
    <row r="260">
      <c r="A260" s="350" t="inlineStr">
        <is>
          <t>BRK_Brake_Test</t>
        </is>
      </c>
      <c r="B260" s="377" t="n"/>
      <c r="C260" s="393" t="n"/>
      <c r="D260" s="371" t="inlineStr">
        <is>
          <t>\</t>
        </is>
      </c>
      <c r="E260" s="351" t="n"/>
      <c r="F260" s="352" t="n"/>
      <c r="G260" s="352" t="n"/>
      <c r="H260" s="352" t="n"/>
      <c r="I260" s="352" t="n"/>
      <c r="J260" s="352" t="n"/>
      <c r="K260" s="352" t="n"/>
      <c r="L260" s="353" t="n"/>
    </row>
    <row r="261" outlineLevel="1" s="594">
      <c r="B261" s="376" t="n"/>
      <c r="C261" s="158" t="inlineStr">
        <is>
          <t>CONFIG</t>
        </is>
      </c>
      <c r="D261" s="369" t="inlineStr">
        <is>
          <t>FRS_Brake Control</t>
        </is>
      </c>
      <c r="E261" s="344" t="inlineStr">
        <is>
          <t>Link</t>
        </is>
      </c>
      <c r="F261" s="314">
        <f t="array" ref="F261">HYPERLINK(CONCATENATE(Cartelle!$D$5,F$1,"/",$C261,"/",MID($D261,1,FIND("_",$D261)-1),"/",INDIRECT(CONCATENATE("'" &amp; $C261 &amp; "'!",ADDRESS(MATCH($D261, INDIRECT("'" &amp; $C261 &amp; "'!$B:$B"), 0),MATCH(F$1, INDIRECT("'" &amp; $C261 &amp; "'!$1:$1"), 0)))),".",INDIRECT(CONCATENATE("'"&amp;$C261&amp;"'!",ADDRESS(MATCH($D261,INDIRECT("'"&amp;$C261&amp;"'!$B:$B"),0),3))),"#page=",F262),CONCATENATE("#Sharepoint//",$D261))</f>
        <v/>
      </c>
      <c r="G261" s="378" t="n"/>
      <c r="H261" s="314">
        <f t="array" ref="H261">HYPERLINK(CONCATENATE(Cartelle!$D$5,INDEX(INDIRECT("'" &amp; $C261 &amp; "'!$1:$1"), 1, MATCH(INDIRECT(CONCATENATE("'" &amp; $C261 &amp; "'!",ADDRESS(MATCH($D261, INDIRECT("'" &amp; $C261 &amp; "'!$B:$B"), 0),MATCH(H$1, INDIRECT("'" &amp; $C261 &amp; "'!$1:$1"), 0)))),INDIRECT(CONCATENATE("'" &amp; $C261 &amp; "'!",MATCH($D261, INDIRECT("'" &amp; $C261 &amp; "'!$B:$B"), 0),":",MATCH($D261, INDIRECT("'" &amp; $C261 &amp; "'!$B:$B"), 0))),0)),"/",$C261,"/",MID($D261,1,FIND("_",$D261)-1),"/",INDIRECT(CONCATENATE("'" &amp; $C261 &amp; "'!",ADDRESS(MATCH($D261, INDIRECT("'" &amp; $C261 &amp; "'!$B:$B"), 0),MATCH(H$1, INDIRECT("'" &amp; $C261 &amp; "'!$1:$1"), 0)))),".",INDIRECT(CONCATENATE("'"&amp;$C261&amp;"'!",ADDRESS(MATCH($D261,INDIRECT("'"&amp;$C261&amp;"'!$B:$B"),0),3))),"#page=",H262),CONCATENATE("#Sharepoint//",$D261))</f>
        <v/>
      </c>
      <c r="I261" s="314">
        <f t="array" ref="I261">HYPERLINK(CONCATENATE(Cartelle!$D$5,INDEX(INDIRECT("'" &amp; $C261 &amp; "'!$1:$1"), 1, MATCH(INDIRECT(CONCATENATE("'" &amp; $C261 &amp; "'!",ADDRESS(MATCH($D261, INDIRECT("'" &amp; $C261 &amp; "'!$B:$B"), 0),MATCH(I$1, INDIRECT("'" &amp; $C261 &amp; "'!$1:$1"), 0)))),INDIRECT(CONCATENATE("'" &amp; $C261 &amp; "'!",MATCH($D261, INDIRECT("'" &amp; $C261 &amp; "'!$B:$B"), 0),":",MATCH($D261, INDIRECT("'" &amp; $C261 &amp; "'!$B:$B"), 0))),0)),"/",$C261,"/",MID($D261,1,FIND("_",$D261)-1),"/",INDIRECT(CONCATENATE("'" &amp; $C261 &amp; "'!",ADDRESS(MATCH($D261, INDIRECT("'" &amp; $C261 &amp; "'!$B:$B"), 0),MATCH(I$1, INDIRECT("'" &amp; $C261 &amp; "'!$1:$1"), 0)))),".",INDIRECT(CONCATENATE("'"&amp;$C261&amp;"'!",ADDRESS(MATCH($D261,INDIRECT("'"&amp;$C261&amp;"'!$B:$B"),0),3))),"#page=",I262),CONCATENATE("#Sharepoint//",$D261))</f>
        <v/>
      </c>
      <c r="J261" s="314">
        <f t="array" ref="J261">HYPERLINK(CONCATENATE(Cartelle!$D$5,INDEX(INDIRECT("'" &amp; $C261 &amp; "'!$1:$1"), 1, MATCH(INDIRECT(CONCATENATE("'" &amp; $C261 &amp; "'!",ADDRESS(MATCH($D261, INDIRECT("'" &amp; $C261 &amp; "'!$B:$B"), 0),MATCH(J$1, INDIRECT("'" &amp; $C261 &amp; "'!$1:$1"), 0)))),INDIRECT(CONCATENATE("'" &amp; $C261 &amp; "'!",MATCH($D261, INDIRECT("'" &amp; $C261 &amp; "'!$B:$B"), 0),":",MATCH($D261, INDIRECT("'" &amp; $C261 &amp; "'!$B:$B"), 0))),0)),"/",$C261,"/",MID($D261,1,FIND("_",$D261)-1),"/",INDIRECT(CONCATENATE("'" &amp; $C261 &amp; "'!",ADDRESS(MATCH($D261, INDIRECT("'" &amp; $C261 &amp; "'!$B:$B"), 0),MATCH(J$1, INDIRECT("'" &amp; $C261 &amp; "'!$1:$1"), 0)))),".",INDIRECT(CONCATENATE("'"&amp;$C261&amp;"'!",ADDRESS(MATCH($D261,INDIRECT("'"&amp;$C261&amp;"'!$B:$B"),0),3))),"#page=",J262),CONCATENATE("#Sharepoint//",$D261))</f>
        <v/>
      </c>
      <c r="K261" s="346" t="n"/>
      <c r="L261" s="346" t="n"/>
    </row>
    <row r="262" outlineLevel="2" s="594">
      <c r="B262" s="376" t="n"/>
      <c r="D262" s="373" t="n"/>
      <c r="E262" s="356" t="inlineStr">
        <is>
          <t>Rif. Pagina</t>
        </is>
      </c>
      <c r="F262" s="357" t="n">
        <v>172</v>
      </c>
      <c r="G262" s="357" t="n"/>
      <c r="H262" s="357" t="n">
        <v>184</v>
      </c>
      <c r="I262" s="357" t="n">
        <v>186</v>
      </c>
      <c r="J262" s="357" t="n">
        <v>213</v>
      </c>
      <c r="K262" s="357" t="n"/>
      <c r="L262" s="357" t="n"/>
    </row>
    <row r="263" outlineLevel="2" s="594">
      <c r="B263" s="376" t="n"/>
      <c r="D263" s="357" t="n"/>
      <c r="E263" s="459" t="inlineStr">
        <is>
          <t>Funzioni AI</t>
        </is>
      </c>
      <c r="F263" s="475" t="n"/>
      <c r="G263" s="463" t="n"/>
      <c r="H263" s="475" t="n"/>
      <c r="I263" s="475" t="n"/>
      <c r="J263" s="475" t="n"/>
      <c r="K263" s="463" t="n"/>
      <c r="L263" s="464" t="n"/>
    </row>
    <row r="264">
      <c r="A264" s="350" t="inlineStr">
        <is>
          <t>BRK_Towing</t>
        </is>
      </c>
      <c r="B264" s="377" t="n"/>
      <c r="C264" s="393" t="n"/>
      <c r="D264" s="371" t="inlineStr">
        <is>
          <t>\</t>
        </is>
      </c>
      <c r="E264" s="351" t="n"/>
      <c r="F264" s="352" t="n"/>
      <c r="G264" s="352" t="n"/>
      <c r="H264" s="352" t="n"/>
      <c r="I264" s="352" t="n"/>
      <c r="J264" s="352" t="n"/>
      <c r="K264" s="352" t="n"/>
      <c r="L264" s="353" t="n"/>
    </row>
    <row r="265" outlineLevel="1" s="594">
      <c r="B265" s="376" t="n"/>
      <c r="C265" s="158" t="inlineStr">
        <is>
          <t>CONFIG</t>
        </is>
      </c>
      <c r="D265" s="369" t="inlineStr">
        <is>
          <t>FRS_Brake Control</t>
        </is>
      </c>
      <c r="E265" s="344" t="inlineStr">
        <is>
          <t>Link</t>
        </is>
      </c>
      <c r="F265" s="314">
        <f t="array" ref="F265">HYPERLINK(CONCATENATE(Cartelle!$D$5,F$1,"/",$C265,"/",MID($D265,1,FIND("_",$D265)-1),"/",INDIRECT(CONCATENATE("'" &amp; $C265 &amp; "'!",ADDRESS(MATCH($D265, INDIRECT("'" &amp; $C265 &amp; "'!$B:$B"), 0),MATCH(F$1, INDIRECT("'" &amp; $C265 &amp; "'!$1:$1"), 0)))),".",INDIRECT(CONCATENATE("'"&amp;$C265&amp;"'!",ADDRESS(MATCH($D265,INDIRECT("'"&amp;$C265&amp;"'!$B:$B"),0),3))),"#page=",F266),CONCATENATE("#Sharepoint//",$D265))</f>
        <v/>
      </c>
      <c r="G265" s="378" t="n"/>
      <c r="H265" s="314">
        <f t="array" ref="H265">HYPERLINK(CONCATENATE(Cartelle!$D$5,INDEX(INDIRECT("'" &amp; $C265 &amp; "'!$1:$1"), 1, MATCH(INDIRECT(CONCATENATE("'" &amp; $C265 &amp; "'!",ADDRESS(MATCH($D265, INDIRECT("'" &amp; $C265 &amp; "'!$B:$B"), 0),MATCH(H$1, INDIRECT("'" &amp; $C265 &amp; "'!$1:$1"), 0)))),INDIRECT(CONCATENATE("'" &amp; $C265 &amp; "'!",MATCH($D265, INDIRECT("'" &amp; $C265 &amp; "'!$B:$B"), 0),":",MATCH($D265, INDIRECT("'" &amp; $C265 &amp; "'!$B:$B"), 0))),0)),"/",$C265,"/",MID($D265,1,FIND("_",$D265)-1),"/",INDIRECT(CONCATENATE("'" &amp; $C265 &amp; "'!",ADDRESS(MATCH($D265, INDIRECT("'" &amp; $C265 &amp; "'!$B:$B"), 0),MATCH(H$1, INDIRECT("'" &amp; $C265 &amp; "'!$1:$1"), 0)))),".",INDIRECT(CONCATENATE("'"&amp;$C265&amp;"'!",ADDRESS(MATCH($D265,INDIRECT("'"&amp;$C265&amp;"'!$B:$B"),0),3))),"#page=",H266),CONCATENATE("#Sharepoint//",$D265))</f>
        <v/>
      </c>
      <c r="I265" s="314">
        <f t="array" ref="I265">HYPERLINK(CONCATENATE(Cartelle!$D$5,INDEX(INDIRECT("'" &amp; $C265 &amp; "'!$1:$1"), 1, MATCH(INDIRECT(CONCATENATE("'" &amp; $C265 &amp; "'!",ADDRESS(MATCH($D265, INDIRECT("'" &amp; $C265 &amp; "'!$B:$B"), 0),MATCH(I$1, INDIRECT("'" &amp; $C265 &amp; "'!$1:$1"), 0)))),INDIRECT(CONCATENATE("'" &amp; $C265 &amp; "'!",MATCH($D265, INDIRECT("'" &amp; $C265 &amp; "'!$B:$B"), 0),":",MATCH($D265, INDIRECT("'" &amp; $C265 &amp; "'!$B:$B"), 0))),0)),"/",$C265,"/",MID($D265,1,FIND("_",$D265)-1),"/",INDIRECT(CONCATENATE("'" &amp; $C265 &amp; "'!",ADDRESS(MATCH($D265, INDIRECT("'" &amp; $C265 &amp; "'!$B:$B"), 0),MATCH(I$1, INDIRECT("'" &amp; $C265 &amp; "'!$1:$1"), 0)))),".",INDIRECT(CONCATENATE("'"&amp;$C265&amp;"'!",ADDRESS(MATCH($D265,INDIRECT("'"&amp;$C265&amp;"'!$B:$B"),0),3))),"#page=",I266),CONCATENATE("#Sharepoint//",$D265))</f>
        <v/>
      </c>
      <c r="J265" s="314">
        <f t="array" ref="J265">HYPERLINK(CONCATENATE(Cartelle!$D$5,INDEX(INDIRECT("'" &amp; $C265 &amp; "'!$1:$1"), 1, MATCH(INDIRECT(CONCATENATE("'" &amp; $C265 &amp; "'!",ADDRESS(MATCH($D265, INDIRECT("'" &amp; $C265 &amp; "'!$B:$B"), 0),MATCH(J$1, INDIRECT("'" &amp; $C265 &amp; "'!$1:$1"), 0)))),INDIRECT(CONCATENATE("'" &amp; $C265 &amp; "'!",MATCH($D265, INDIRECT("'" &amp; $C265 &amp; "'!$B:$B"), 0),":",MATCH($D265, INDIRECT("'" &amp; $C265 &amp; "'!$B:$B"), 0))),0)),"/",$C265,"/",MID($D265,1,FIND("_",$D265)-1),"/",INDIRECT(CONCATENATE("'" &amp; $C265 &amp; "'!",ADDRESS(MATCH($D265, INDIRECT("'" &amp; $C265 &amp; "'!$B:$B"), 0),MATCH(J$1, INDIRECT("'" &amp; $C265 &amp; "'!$1:$1"), 0)))),".",INDIRECT(CONCATENATE("'"&amp;$C265&amp;"'!",ADDRESS(MATCH($D265,INDIRECT("'"&amp;$C265&amp;"'!$B:$B"),0),3))),"#page=",J266),CONCATENATE("#Sharepoint//",$D265))</f>
        <v/>
      </c>
      <c r="K265" s="346" t="n"/>
      <c r="L265" s="346" t="n"/>
    </row>
    <row r="266" outlineLevel="2" s="594">
      <c r="B266" s="376" t="n"/>
      <c r="D266" s="373" t="n"/>
      <c r="E266" s="356" t="inlineStr">
        <is>
          <t>Rif. Pagina</t>
        </is>
      </c>
      <c r="F266" s="357" t="n">
        <v>224</v>
      </c>
      <c r="G266" s="357" t="n"/>
      <c r="H266" s="357" t="n">
        <v>238</v>
      </c>
      <c r="I266" s="357" t="n">
        <v>234</v>
      </c>
      <c r="J266" s="357" t="n">
        <v>262</v>
      </c>
      <c r="K266" s="357" t="n"/>
      <c r="L266" s="357" t="n"/>
    </row>
    <row r="267" outlineLevel="2" s="594">
      <c r="B267" s="376" t="n"/>
      <c r="D267" s="357" t="n"/>
      <c r="E267" s="459" t="inlineStr">
        <is>
          <t>Funzioni AI</t>
        </is>
      </c>
      <c r="F267" s="474" t="n"/>
      <c r="G267" s="463" t="n"/>
      <c r="H267" s="474" t="n"/>
      <c r="I267" s="474" t="n"/>
      <c r="J267" s="474" t="n"/>
      <c r="K267" s="463" t="n"/>
      <c r="L267" s="464" t="n"/>
    </row>
    <row r="268">
      <c r="A268" s="350" t="inlineStr">
        <is>
          <t>BRK_Fire_Safety_&amp;_Running_Capability</t>
        </is>
      </c>
      <c r="B268" s="377" t="n"/>
      <c r="C268" s="393" t="n"/>
      <c r="D268" s="371" t="inlineStr">
        <is>
          <t>\</t>
        </is>
      </c>
      <c r="E268" s="351" t="n"/>
      <c r="F268" s="352" t="n"/>
      <c r="G268" s="352" t="n"/>
      <c r="H268" s="352" t="n"/>
      <c r="I268" s="352" t="n"/>
      <c r="J268" s="352" t="n"/>
      <c r="K268" s="352" t="n"/>
      <c r="L268" s="353" t="n"/>
    </row>
    <row r="269" outlineLevel="1" s="594">
      <c r="B269" s="376" t="n"/>
      <c r="C269" s="158" t="inlineStr">
        <is>
          <t>CONFIG</t>
        </is>
      </c>
      <c r="D269" s="369" t="inlineStr">
        <is>
          <t>FRS_Brake Control</t>
        </is>
      </c>
      <c r="E269" s="344" t="inlineStr">
        <is>
          <t>Link</t>
        </is>
      </c>
      <c r="F269" s="314">
        <f t="array" ref="F269">HYPERLINK(CONCATENATE(Cartelle!$D$5,F$1,"/",$C269,"/",MID($D269,1,FIND("_",$D269)-1),"/",INDIRECT(CONCATENATE("'" &amp; $C269 &amp; "'!",ADDRESS(MATCH($D269, INDIRECT("'" &amp; $C269 &amp; "'!$B:$B"), 0),MATCH(F$1, INDIRECT("'" &amp; $C269 &amp; "'!$1:$1"), 0)))),".",INDIRECT(CONCATENATE("'"&amp;$C269&amp;"'!",ADDRESS(MATCH($D269,INDIRECT("'"&amp;$C269&amp;"'!$B:$B"),0),3))),"#page=",F270),CONCATENATE("#Sharepoint//",$D269))</f>
        <v/>
      </c>
      <c r="G269" s="378" t="n"/>
      <c r="H269" s="314">
        <f t="array" ref="H269">HYPERLINK(CONCATENATE(Cartelle!$D$5,INDEX(INDIRECT("'" &amp; $C269 &amp; "'!$1:$1"), 1, MATCH(INDIRECT(CONCATENATE("'" &amp; $C269 &amp; "'!",ADDRESS(MATCH($D269, INDIRECT("'" &amp; $C269 &amp; "'!$B:$B"), 0),MATCH(H$1, INDIRECT("'" &amp; $C269 &amp; "'!$1:$1"), 0)))),INDIRECT(CONCATENATE("'" &amp; $C269 &amp; "'!",MATCH($D269, INDIRECT("'" &amp; $C269 &amp; "'!$B:$B"), 0),":",MATCH($D269, INDIRECT("'" &amp; $C269 &amp; "'!$B:$B"), 0))),0)),"/",$C269,"/",MID($D269,1,FIND("_",$D269)-1),"/",INDIRECT(CONCATENATE("'" &amp; $C269 &amp; "'!",ADDRESS(MATCH($D269, INDIRECT("'" &amp; $C269 &amp; "'!$B:$B"), 0),MATCH(H$1, INDIRECT("'" &amp; $C269 &amp; "'!$1:$1"), 0)))),".",INDIRECT(CONCATENATE("'"&amp;$C269&amp;"'!",ADDRESS(MATCH($D269,INDIRECT("'"&amp;$C269&amp;"'!$B:$B"),0),3))),"#page=",H270),CONCATENATE("#Sharepoint//",$D269))</f>
        <v/>
      </c>
      <c r="I269" s="314">
        <f t="array" ref="I269">HYPERLINK(CONCATENATE(Cartelle!$D$5,INDEX(INDIRECT("'" &amp; $C269 &amp; "'!$1:$1"), 1, MATCH(INDIRECT(CONCATENATE("'" &amp; $C269 &amp; "'!",ADDRESS(MATCH($D269, INDIRECT("'" &amp; $C269 &amp; "'!$B:$B"), 0),MATCH(I$1, INDIRECT("'" &amp; $C269 &amp; "'!$1:$1"), 0)))),INDIRECT(CONCATENATE("'" &amp; $C269 &amp; "'!",MATCH($D269, INDIRECT("'" &amp; $C269 &amp; "'!$B:$B"), 0),":",MATCH($D269, INDIRECT("'" &amp; $C269 &amp; "'!$B:$B"), 0))),0)),"/",$C269,"/",MID($D269,1,FIND("_",$D269)-1),"/",INDIRECT(CONCATENATE("'" &amp; $C269 &amp; "'!",ADDRESS(MATCH($D269, INDIRECT("'" &amp; $C269 &amp; "'!$B:$B"), 0),MATCH(I$1, INDIRECT("'" &amp; $C269 &amp; "'!$1:$1"), 0)))),".",INDIRECT(CONCATENATE("'"&amp;$C269&amp;"'!",ADDRESS(MATCH($D269,INDIRECT("'"&amp;$C269&amp;"'!$B:$B"),0),3))),"#page=",I270),CONCATENATE("#Sharepoint//",$D269))</f>
        <v/>
      </c>
      <c r="J269" s="314">
        <f t="array" ref="J269">HYPERLINK(CONCATENATE(Cartelle!$D$5,INDEX(INDIRECT("'" &amp; $C269 &amp; "'!$1:$1"), 1, MATCH(INDIRECT(CONCATENATE("'" &amp; $C269 &amp; "'!",ADDRESS(MATCH($D269, INDIRECT("'" &amp; $C269 &amp; "'!$B:$B"), 0),MATCH(J$1, INDIRECT("'" &amp; $C269 &amp; "'!$1:$1"), 0)))),INDIRECT(CONCATENATE("'" &amp; $C269 &amp; "'!",MATCH($D269, INDIRECT("'" &amp; $C269 &amp; "'!$B:$B"), 0),":",MATCH($D269, INDIRECT("'" &amp; $C269 &amp; "'!$B:$B"), 0))),0)),"/",$C269,"/",MID($D269,1,FIND("_",$D269)-1),"/",INDIRECT(CONCATENATE("'" &amp; $C269 &amp; "'!",ADDRESS(MATCH($D269, INDIRECT("'" &amp; $C269 &amp; "'!$B:$B"), 0),MATCH(J$1, INDIRECT("'" &amp; $C269 &amp; "'!$1:$1"), 0)))),".",INDIRECT(CONCATENATE("'"&amp;$C269&amp;"'!",ADDRESS(MATCH($D269,INDIRECT("'"&amp;$C269&amp;"'!$B:$B"),0),3))),"#page=",J270),CONCATENATE("#Sharepoint//",$D269))</f>
        <v/>
      </c>
      <c r="K269" s="346" t="n"/>
      <c r="L269" s="346" t="n"/>
    </row>
    <row r="270" outlineLevel="2" s="594">
      <c r="B270" s="376" t="n"/>
      <c r="D270" s="373" t="n"/>
      <c r="E270" s="356" t="inlineStr">
        <is>
          <t>Rif. Pagina</t>
        </is>
      </c>
      <c r="F270" s="357" t="n">
        <v>233</v>
      </c>
      <c r="G270" s="357" t="n"/>
      <c r="H270" s="357" t="n">
        <v>246</v>
      </c>
      <c r="I270" s="357" t="n">
        <v>242</v>
      </c>
      <c r="J270" s="357" t="n">
        <v>270</v>
      </c>
      <c r="K270" s="357" t="n"/>
      <c r="L270" s="357" t="n"/>
    </row>
    <row r="271" outlineLevel="2" s="594">
      <c r="B271" s="376" t="n"/>
      <c r="D271" s="357" t="n"/>
      <c r="E271" s="459" t="inlineStr">
        <is>
          <t>Funzioni AI</t>
        </is>
      </c>
      <c r="F271" s="474" t="n"/>
      <c r="G271" s="463" t="n"/>
      <c r="H271" s="474" t="n"/>
      <c r="I271" s="474" t="n"/>
      <c r="J271" s="474" t="n"/>
      <c r="K271" s="463" t="n"/>
      <c r="L271" s="464" t="n"/>
    </row>
    <row r="272">
      <c r="A272" s="350" t="inlineStr">
        <is>
          <t>BRK_Magnetic_Track_Brake_Optional</t>
        </is>
      </c>
      <c r="B272" s="377" t="n"/>
      <c r="C272" s="393" t="n"/>
      <c r="D272" s="371" t="inlineStr">
        <is>
          <t>\</t>
        </is>
      </c>
      <c r="E272" s="351" t="n"/>
      <c r="F272" s="352" t="n"/>
      <c r="G272" s="352" t="n"/>
      <c r="H272" s="352" t="n"/>
      <c r="I272" s="352" t="n"/>
      <c r="J272" s="352" t="n"/>
      <c r="K272" s="352" t="n"/>
      <c r="L272" s="353" t="n"/>
    </row>
    <row r="273" outlineLevel="1" s="594">
      <c r="B273" s="376" t="n"/>
      <c r="C273" s="158" t="inlineStr">
        <is>
          <t>CONFIG</t>
        </is>
      </c>
      <c r="D273" s="369" t="inlineStr">
        <is>
          <t>FRS_Brake Control</t>
        </is>
      </c>
      <c r="E273" s="344" t="inlineStr">
        <is>
          <t>Link</t>
        </is>
      </c>
      <c r="F273" s="314">
        <f t="array" ref="F273">HYPERLINK(CONCATENATE(Cartelle!$D$5,F$1,"/",$C273,"/",MID($D273,1,FIND("_",$D273)-1),"/",INDIRECT(CONCATENATE("'" &amp; $C273 &amp; "'!",ADDRESS(MATCH($D273, INDIRECT("'" &amp; $C273 &amp; "'!$B:$B"), 0),MATCH(F$1, INDIRECT("'" &amp; $C273 &amp; "'!$1:$1"), 0)))),".",INDIRECT(CONCATENATE("'"&amp;$C273&amp;"'!",ADDRESS(MATCH($D273,INDIRECT("'"&amp;$C273&amp;"'!$B:$B"),0),3))),"#page=",F274),CONCATENATE("#Sharepoint//",$D273))</f>
        <v/>
      </c>
      <c r="G273" s="378" t="n"/>
      <c r="H273" s="314">
        <f t="array" ref="H273">HYPERLINK(CONCATENATE(Cartelle!$D$5,INDEX(INDIRECT("'" &amp; $C273 &amp; "'!$1:$1"), 1, MATCH(INDIRECT(CONCATENATE("'" &amp; $C273 &amp; "'!",ADDRESS(MATCH($D273, INDIRECT("'" &amp; $C273 &amp; "'!$B:$B"), 0),MATCH(H$1, INDIRECT("'" &amp; $C273 &amp; "'!$1:$1"), 0)))),INDIRECT(CONCATENATE("'" &amp; $C273 &amp; "'!",MATCH($D273, INDIRECT("'" &amp; $C273 &amp; "'!$B:$B"), 0),":",MATCH($D273, INDIRECT("'" &amp; $C273 &amp; "'!$B:$B"), 0))),0)),"/",$C273,"/",MID($D273,1,FIND("_",$D273)-1),"/",INDIRECT(CONCATENATE("'" &amp; $C273 &amp; "'!",ADDRESS(MATCH($D273, INDIRECT("'" &amp; $C273 &amp; "'!$B:$B"), 0),MATCH(H$1, INDIRECT("'" &amp; $C273 &amp; "'!$1:$1"), 0)))),".",INDIRECT(CONCATENATE("'"&amp;$C273&amp;"'!",ADDRESS(MATCH($D273,INDIRECT("'"&amp;$C273&amp;"'!$B:$B"),0),3))),"#page=",H274),CONCATENATE("#Sharepoint//",$D273))</f>
        <v/>
      </c>
      <c r="I273" s="314">
        <f t="array" ref="I273">HYPERLINK(CONCATENATE(Cartelle!$D$5,INDEX(INDIRECT("'" &amp; $C273 &amp; "'!$1:$1"), 1, MATCH(INDIRECT(CONCATENATE("'" &amp; $C273 &amp; "'!",ADDRESS(MATCH($D273, INDIRECT("'" &amp; $C273 &amp; "'!$B:$B"), 0),MATCH(I$1, INDIRECT("'" &amp; $C273 &amp; "'!$1:$1"), 0)))),INDIRECT(CONCATENATE("'" &amp; $C273 &amp; "'!",MATCH($D273, INDIRECT("'" &amp; $C273 &amp; "'!$B:$B"), 0),":",MATCH($D273, INDIRECT("'" &amp; $C273 &amp; "'!$B:$B"), 0))),0)),"/",$C273,"/",MID($D273,1,FIND("_",$D273)-1),"/",INDIRECT(CONCATENATE("'" &amp; $C273 &amp; "'!",ADDRESS(MATCH($D273, INDIRECT("'" &amp; $C273 &amp; "'!$B:$B"), 0),MATCH(I$1, INDIRECT("'" &amp; $C273 &amp; "'!$1:$1"), 0)))),".",INDIRECT(CONCATENATE("'"&amp;$C273&amp;"'!",ADDRESS(MATCH($D273,INDIRECT("'"&amp;$C273&amp;"'!$B:$B"),0),3))),"#page=",I274),CONCATENATE("#Sharepoint//",$D273))</f>
        <v/>
      </c>
      <c r="J273" s="314">
        <f t="array" ref="J273">HYPERLINK(CONCATENATE(Cartelle!$D$5,INDEX(INDIRECT("'" &amp; $C273 &amp; "'!$1:$1"), 1, MATCH(INDIRECT(CONCATENATE("'" &amp; $C273 &amp; "'!",ADDRESS(MATCH($D273, INDIRECT("'" &amp; $C273 &amp; "'!$B:$B"), 0),MATCH(J$1, INDIRECT("'" &amp; $C273 &amp; "'!$1:$1"), 0)))),INDIRECT(CONCATENATE("'" &amp; $C273 &amp; "'!",MATCH($D273, INDIRECT("'" &amp; $C273 &amp; "'!$B:$B"), 0),":",MATCH($D273, INDIRECT("'" &amp; $C273 &amp; "'!$B:$B"), 0))),0)),"/",$C273,"/",MID($D273,1,FIND("_",$D273)-1),"/",INDIRECT(CONCATENATE("'" &amp; $C273 &amp; "'!",ADDRESS(MATCH($D273, INDIRECT("'" &amp; $C273 &amp; "'!$B:$B"), 0),MATCH(J$1, INDIRECT("'" &amp; $C273 &amp; "'!$1:$1"), 0)))),".",INDIRECT(CONCATENATE("'"&amp;$C273&amp;"'!",ADDRESS(MATCH($D273,INDIRECT("'"&amp;$C273&amp;"'!$B:$B"),0),3))),"#page=",J274),CONCATENATE("#Sharepoint//",$D273))</f>
        <v/>
      </c>
      <c r="K273" s="346" t="n"/>
      <c r="L273" s="346" t="n"/>
    </row>
    <row r="274" outlineLevel="2" s="594">
      <c r="B274" s="376" t="n"/>
      <c r="D274" s="372" t="n"/>
      <c r="E274" s="354" t="inlineStr">
        <is>
          <t>Rif. Pagina</t>
        </is>
      </c>
      <c r="F274" s="355" t="n">
        <v>234</v>
      </c>
      <c r="G274" s="355" t="n"/>
      <c r="H274" s="355" t="n">
        <v>247</v>
      </c>
      <c r="I274" s="355" t="n"/>
      <c r="J274" s="355" t="n"/>
      <c r="K274" s="355" t="n"/>
      <c r="L274" s="355" t="n"/>
    </row>
    <row r="275" outlineLevel="2" s="594">
      <c r="B275" s="376" t="n"/>
      <c r="D275" s="357" t="n"/>
      <c r="E275" s="459" t="inlineStr">
        <is>
          <t>Funzioni AI</t>
        </is>
      </c>
      <c r="F275" s="474" t="n"/>
      <c r="G275" s="463" t="n"/>
      <c r="H275" s="474" t="n"/>
      <c r="I275" s="474" t="n"/>
      <c r="J275" s="474" t="n"/>
      <c r="K275" s="463" t="n"/>
      <c r="L275" s="464" t="n"/>
    </row>
    <row r="276">
      <c r="A276" s="340" t="inlineStr">
        <is>
          <t>BOG_Flange_Lubrication</t>
        </is>
      </c>
      <c r="B276" s="375" t="n"/>
      <c r="C276" s="393" t="n"/>
      <c r="D276" s="368" t="inlineStr">
        <is>
          <t>\</t>
        </is>
      </c>
      <c r="E276" s="341" t="n"/>
      <c r="F276" s="342" t="n"/>
      <c r="G276" s="342" t="n"/>
      <c r="H276" s="342" t="n"/>
      <c r="I276" s="342" t="n"/>
      <c r="J276" s="342" t="n"/>
      <c r="K276" s="342" t="n"/>
      <c r="L276" s="343" t="n"/>
    </row>
    <row r="277" outlineLevel="1" s="594">
      <c r="B277" s="376" t="n"/>
      <c r="C277" s="158" t="inlineStr">
        <is>
          <t>CONFIG</t>
        </is>
      </c>
      <c r="D277" s="369" t="inlineStr">
        <is>
          <t>FRS_Bogies</t>
        </is>
      </c>
      <c r="E277" s="344" t="inlineStr">
        <is>
          <t>Link</t>
        </is>
      </c>
      <c r="F277" s="314">
        <f t="array" ref="F277">HYPERLINK(CONCATENATE(Cartelle!$D$5,F$1,"/",$C277,"/",MID($D277,1,FIND("_",$D277)-1),"/",INDIRECT(CONCATENATE("'" &amp; $C277 &amp; "'!",ADDRESS(MATCH($D277, INDIRECT("'" &amp; $C277 &amp; "'!$B:$B"), 0),MATCH(F$1, INDIRECT("'" &amp; $C277 &amp; "'!$1:$1"), 0)))),".",INDIRECT(CONCATENATE("'"&amp;$C277&amp;"'!",ADDRESS(MATCH($D277,INDIRECT("'"&amp;$C277&amp;"'!$B:$B"),0),3))),"#page=",F278),CONCATENATE("#Sharepoint//",$D277))</f>
        <v/>
      </c>
      <c r="G277" s="314">
        <f t="array" ref="G277">HYPERLINK(CONCATENATE(Cartelle!$D$5,INDEX(INDIRECT("'" &amp; $C277 &amp; "'!$1:$1"), 1, MATCH(INDIRECT(CONCATENATE("'" &amp; $C277 &amp; "'!",ADDRESS(MATCH($D277, INDIRECT("'" &amp; $C277 &amp; "'!$B:$B"), 0),MATCH(G$1, INDIRECT("'" &amp; $C277 &amp; "'!$1:$1"), 0)))),INDIRECT(CONCATENATE("'" &amp; $C277 &amp; "'!",MATCH($D277, INDIRECT("'" &amp; $C277 &amp; "'!$B:$B"), 0),":",MATCH($D277, INDIRECT("'" &amp; $C277 &amp; "'!$B:$B"), 0))),0)),"/",$C277,"/",MID($D277,1,FIND("_",$D277)-1),"/",INDIRECT(CONCATENATE("'" &amp; $C277 &amp; "'!",ADDRESS(MATCH($D277, INDIRECT("'" &amp; $C277 &amp; "'!$B:$B"), 0),MATCH(G$1, INDIRECT("'" &amp; $C277 &amp; "'!$1:$1"), 0)))),".",INDIRECT(CONCATENATE("'"&amp;$C277&amp;"'!",ADDRESS(MATCH($D277,INDIRECT("'"&amp;$C277&amp;"'!$B:$B"),0),3))),"#page=",G278),CONCATENATE("#Sharepoint//",$D277))</f>
        <v/>
      </c>
      <c r="H277" s="378" t="n"/>
      <c r="I277" s="345" t="n"/>
      <c r="J277" s="314">
        <f t="array" ref="J277">HYPERLINK(CONCATENATE(Cartelle!$D$5,INDEX(INDIRECT("'" &amp; $C277 &amp; "'!$1:$1"), 1, MATCH(INDIRECT(CONCATENATE("'" &amp; $C277 &amp; "'!",ADDRESS(MATCH($D277, INDIRECT("'" &amp; $C277 &amp; "'!$B:$B"), 0),MATCH(J$1, INDIRECT("'" &amp; $C277 &amp; "'!$1:$1"), 0)))),INDIRECT(CONCATENATE("'" &amp; $C277 &amp; "'!",MATCH($D277, INDIRECT("'" &amp; $C277 &amp; "'!$B:$B"), 0),":",MATCH($D277, INDIRECT("'" &amp; $C277 &amp; "'!$B:$B"), 0))),0)),"/",$C277,"/",MID($D277,1,FIND("_",$D277)-1),"/",INDIRECT(CONCATENATE("'" &amp; $C277 &amp; "'!",ADDRESS(MATCH($D277, INDIRECT("'" &amp; $C277 &amp; "'!$B:$B"), 0),MATCH(J$1, INDIRECT("'" &amp; $C277 &amp; "'!$1:$1"), 0)))),".",INDIRECT(CONCATENATE("'"&amp;$C277&amp;"'!",ADDRESS(MATCH($D277,INDIRECT("'"&amp;$C277&amp;"'!$B:$B"),0),3))),"#page=",J278),CONCATENATE("#Sharepoint//",$D277))</f>
        <v/>
      </c>
      <c r="K277" s="346" t="n"/>
      <c r="L277" s="346" t="n"/>
    </row>
    <row r="278" outlineLevel="2" s="594">
      <c r="B278" s="376" t="n"/>
      <c r="D278" s="373" t="n"/>
      <c r="E278" s="356" t="inlineStr">
        <is>
          <t>Rif. Pagina</t>
        </is>
      </c>
      <c r="F278" s="357" t="n">
        <v>11</v>
      </c>
      <c r="G278" s="357" t="n">
        <v>10</v>
      </c>
      <c r="H278" s="357" t="n"/>
      <c r="I278" s="357" t="n"/>
      <c r="J278" s="357" t="n">
        <v>11</v>
      </c>
      <c r="K278" s="357" t="n"/>
      <c r="L278" s="357" t="n"/>
    </row>
    <row r="279" outlineLevel="2" s="594">
      <c r="B279" s="376" t="n"/>
      <c r="D279" s="357" t="n"/>
      <c r="E279" s="459" t="inlineStr">
        <is>
          <t>Funzioni AI</t>
        </is>
      </c>
      <c r="F279" s="474" t="n"/>
      <c r="G279" s="474" t="n"/>
      <c r="H279" s="463" t="n"/>
      <c r="I279" s="463" t="n"/>
      <c r="J279" s="474" t="n"/>
      <c r="K279" s="463" t="n"/>
      <c r="L279" s="464" t="n"/>
    </row>
    <row r="280">
      <c r="A280" s="350" t="inlineStr">
        <is>
          <t>BOG_Hotbox_Detection</t>
        </is>
      </c>
      <c r="B280" s="377" t="n"/>
      <c r="C280" s="393" t="n"/>
      <c r="D280" s="371" t="inlineStr">
        <is>
          <t>\</t>
        </is>
      </c>
      <c r="E280" s="351" t="n"/>
      <c r="F280" s="352" t="n"/>
      <c r="G280" s="352" t="n"/>
      <c r="H280" s="352" t="n"/>
      <c r="I280" s="352" t="n"/>
      <c r="J280" s="352" t="n"/>
      <c r="K280" s="352" t="n"/>
      <c r="L280" s="353" t="n"/>
    </row>
    <row r="281" outlineLevel="1" s="594">
      <c r="B281" s="376" t="n"/>
      <c r="C281" s="158" t="inlineStr">
        <is>
          <t>CONFIG</t>
        </is>
      </c>
      <c r="D281" s="369" t="inlineStr">
        <is>
          <t>FRS_Bogies</t>
        </is>
      </c>
      <c r="E281" s="344" t="inlineStr">
        <is>
          <t>Link</t>
        </is>
      </c>
      <c r="F281" s="314">
        <f t="array" ref="F281">HYPERLINK(CONCATENATE(Cartelle!$D$5,F$1,"/",$C281,"/",MID($D281,1,FIND("_",$D281)-1),"/",INDIRECT(CONCATENATE("'" &amp; $C281 &amp; "'!",ADDRESS(MATCH($D281, INDIRECT("'" &amp; $C281 &amp; "'!$B:$B"), 0),MATCH(F$1, INDIRECT("'" &amp; $C281 &amp; "'!$1:$1"), 0)))),".",INDIRECT(CONCATENATE("'"&amp;$C281&amp;"'!",ADDRESS(MATCH($D281,INDIRECT("'"&amp;$C281&amp;"'!$B:$B"),0),3))),"#page=",F282),CONCATENATE("#Sharepoint//",$D281))</f>
        <v/>
      </c>
      <c r="G281" s="314">
        <f t="array" ref="G281">HYPERLINK(CONCATENATE(Cartelle!$D$5,INDEX(INDIRECT("'" &amp; $C281 &amp; "'!$1:$1"), 1, MATCH(INDIRECT(CONCATENATE("'" &amp; $C281 &amp; "'!",ADDRESS(MATCH($D281, INDIRECT("'" &amp; $C281 &amp; "'!$B:$B"), 0),MATCH(G$1, INDIRECT("'" &amp; $C281 &amp; "'!$1:$1"), 0)))),INDIRECT(CONCATENATE("'" &amp; $C281 &amp; "'!",MATCH($D281, INDIRECT("'" &amp; $C281 &amp; "'!$B:$B"), 0),":",MATCH($D281, INDIRECT("'" &amp; $C281 &amp; "'!$B:$B"), 0))),0)),"/",$C281,"/",MID($D281,1,FIND("_",$D281)-1),"/",INDIRECT(CONCATENATE("'" &amp; $C281 &amp; "'!",ADDRESS(MATCH($D281, INDIRECT("'" &amp; $C281 &amp; "'!$B:$B"), 0),MATCH(G$1, INDIRECT("'" &amp; $C281 &amp; "'!$1:$1"), 0)))),".",INDIRECT(CONCATENATE("'"&amp;$C281&amp;"'!",ADDRESS(MATCH($D281,INDIRECT("'"&amp;$C281&amp;"'!$B:$B"),0),3))),"#page=",G282),CONCATENATE("#Sharepoint//",$D281))</f>
        <v/>
      </c>
      <c r="H281" s="378" t="n"/>
      <c r="I281" s="345" t="n"/>
      <c r="J281" s="314">
        <f t="array" ref="J281">HYPERLINK(CONCATENATE(Cartelle!$D$5,INDEX(INDIRECT("'" &amp; $C281 &amp; "'!$1:$1"), 1, MATCH(INDIRECT(CONCATENATE("'" &amp; $C281 &amp; "'!",ADDRESS(MATCH($D281, INDIRECT("'" &amp; $C281 &amp; "'!$B:$B"), 0),MATCH(J$1, INDIRECT("'" &amp; $C281 &amp; "'!$1:$1"), 0)))),INDIRECT(CONCATENATE("'" &amp; $C281 &amp; "'!",MATCH($D281, INDIRECT("'" &amp; $C281 &amp; "'!$B:$B"), 0),":",MATCH($D281, INDIRECT("'" &amp; $C281 &amp; "'!$B:$B"), 0))),0)),"/",$C281,"/",MID($D281,1,FIND("_",$D281)-1),"/",INDIRECT(CONCATENATE("'" &amp; $C281 &amp; "'!",ADDRESS(MATCH($D281, INDIRECT("'" &amp; $C281 &amp; "'!$B:$B"), 0),MATCH(J$1, INDIRECT("'" &amp; $C281 &amp; "'!$1:$1"), 0)))),".",INDIRECT(CONCATENATE("'"&amp;$C281&amp;"'!",ADDRESS(MATCH($D281,INDIRECT("'"&amp;$C281&amp;"'!$B:$B"),0),3))),"#page=",J282),CONCATENATE("#Sharepoint//",$D281))</f>
        <v/>
      </c>
      <c r="K281" s="346" t="n"/>
      <c r="L281" s="346" t="n"/>
    </row>
    <row r="282" outlineLevel="2" s="594">
      <c r="B282" s="376" t="n"/>
      <c r="D282" s="373" t="n"/>
      <c r="E282" s="356" t="inlineStr">
        <is>
          <t>Rif. Pagina</t>
        </is>
      </c>
      <c r="F282" s="357" t="n">
        <v>14</v>
      </c>
      <c r="G282" s="357" t="n">
        <v>12</v>
      </c>
      <c r="H282" s="357" t="n"/>
      <c r="I282" s="357" t="n"/>
      <c r="J282" s="357" t="n">
        <v>14</v>
      </c>
      <c r="K282" s="357" t="n"/>
      <c r="L282" s="357" t="n"/>
    </row>
    <row r="283" outlineLevel="2" s="594">
      <c r="B283" s="376" t="n"/>
      <c r="D283" s="357" t="n"/>
      <c r="E283" s="459" t="inlineStr">
        <is>
          <t>Funzioni AI</t>
        </is>
      </c>
      <c r="F283" s="474" t="n"/>
      <c r="G283" s="477" t="n"/>
      <c r="H283" s="463" t="n"/>
      <c r="I283" s="463" t="n"/>
      <c r="J283" s="475" t="n"/>
      <c r="K283" s="463" t="n"/>
      <c r="L283" s="464" t="n"/>
    </row>
    <row r="284">
      <c r="A284" s="350" t="inlineStr">
        <is>
          <t>BOG_Instability_Monitoring</t>
        </is>
      </c>
      <c r="B284" s="377" t="n"/>
      <c r="C284" s="393" t="n"/>
      <c r="D284" s="371" t="inlineStr">
        <is>
          <t>\</t>
        </is>
      </c>
      <c r="E284" s="351" t="n"/>
      <c r="F284" s="352" t="n"/>
      <c r="G284" s="352" t="n"/>
      <c r="H284" s="352" t="n"/>
      <c r="I284" s="352" t="n"/>
      <c r="J284" s="352" t="n"/>
      <c r="K284" s="352" t="n"/>
      <c r="L284" s="353" t="n"/>
    </row>
    <row r="285" outlineLevel="1" s="594">
      <c r="B285" s="376" t="n"/>
      <c r="C285" s="158" t="inlineStr">
        <is>
          <t>CONFIG</t>
        </is>
      </c>
      <c r="D285" s="369" t="inlineStr">
        <is>
          <t>FRS_Bogies</t>
        </is>
      </c>
      <c r="E285" s="344" t="inlineStr">
        <is>
          <t>Link</t>
        </is>
      </c>
      <c r="F285" s="314">
        <f t="array" ref="F285">HYPERLINK(CONCATENATE(Cartelle!$D$5,F$1,"/",$C285,"/",MID($D285,1,FIND("_",$D285)-1),"/",INDIRECT(CONCATENATE("'" &amp; $C285 &amp; "'!",ADDRESS(MATCH($D285, INDIRECT("'" &amp; $C285 &amp; "'!$B:$B"), 0),MATCH(F$1, INDIRECT("'" &amp; $C285 &amp; "'!$1:$1"), 0)))),".",INDIRECT(CONCATENATE("'"&amp;$C285&amp;"'!",ADDRESS(MATCH($D285,INDIRECT("'"&amp;$C285&amp;"'!$B:$B"),0),3))),"#page=",F286),CONCATENATE("#Sharepoint//",$D285))</f>
        <v/>
      </c>
      <c r="G285" s="314">
        <f t="array" ref="G285">HYPERLINK(CONCATENATE(Cartelle!$D$5,INDEX(INDIRECT("'" &amp; $C285 &amp; "'!$1:$1"), 1, MATCH(INDIRECT(CONCATENATE("'" &amp; $C285 &amp; "'!",ADDRESS(MATCH($D285, INDIRECT("'" &amp; $C285 &amp; "'!$B:$B"), 0),MATCH(G$1, INDIRECT("'" &amp; $C285 &amp; "'!$1:$1"), 0)))),INDIRECT(CONCATENATE("'" &amp; $C285 &amp; "'!",MATCH($D285, INDIRECT("'" &amp; $C285 &amp; "'!$B:$B"), 0),":",MATCH($D285, INDIRECT("'" &amp; $C285 &amp; "'!$B:$B"), 0))),0)),"/",$C285,"/",MID($D285,1,FIND("_",$D285)-1),"/",INDIRECT(CONCATENATE("'" &amp; $C285 &amp; "'!",ADDRESS(MATCH($D285, INDIRECT("'" &amp; $C285 &amp; "'!$B:$B"), 0),MATCH(G$1, INDIRECT("'" &amp; $C285 &amp; "'!$1:$1"), 0)))),".",INDIRECT(CONCATENATE("'"&amp;$C285&amp;"'!",ADDRESS(MATCH($D285,INDIRECT("'"&amp;$C285&amp;"'!$B:$B"),0),3))),"#page=",G286),CONCATENATE("#Sharepoint//",$D285))</f>
        <v/>
      </c>
      <c r="H285" s="378" t="n"/>
      <c r="I285" s="345" t="n"/>
      <c r="J285" s="314">
        <f t="array" ref="J285">HYPERLINK(CONCATENATE(Cartelle!$D$5,INDEX(INDIRECT("'" &amp; $C285 &amp; "'!$1:$1"), 1, MATCH(INDIRECT(CONCATENATE("'" &amp; $C285 &amp; "'!",ADDRESS(MATCH($D285, INDIRECT("'" &amp; $C285 &amp; "'!$B:$B"), 0),MATCH(J$1, INDIRECT("'" &amp; $C285 &amp; "'!$1:$1"), 0)))),INDIRECT(CONCATENATE("'" &amp; $C285 &amp; "'!",MATCH($D285, INDIRECT("'" &amp; $C285 &amp; "'!$B:$B"), 0),":",MATCH($D285, INDIRECT("'" &amp; $C285 &amp; "'!$B:$B"), 0))),0)),"/",$C285,"/",MID($D285,1,FIND("_",$D285)-1),"/",INDIRECT(CONCATENATE("'" &amp; $C285 &amp; "'!",ADDRESS(MATCH($D285, INDIRECT("'" &amp; $C285 &amp; "'!$B:$B"), 0),MATCH(J$1, INDIRECT("'" &amp; $C285 &amp; "'!$1:$1"), 0)))),".",INDIRECT(CONCATENATE("'"&amp;$C285&amp;"'!",ADDRESS(MATCH($D285,INDIRECT("'"&amp;$C285&amp;"'!$B:$B"),0),3))),"#page=",J286),CONCATENATE("#Sharepoint//",$D285))</f>
        <v/>
      </c>
      <c r="K285" s="346" t="n"/>
      <c r="L285" s="346" t="n"/>
    </row>
    <row r="286" outlineLevel="2" s="594">
      <c r="B286" s="376" t="n"/>
      <c r="D286" s="373" t="n"/>
      <c r="E286" s="356" t="inlineStr">
        <is>
          <t>Rif. Pagina</t>
        </is>
      </c>
      <c r="F286" s="357" t="n">
        <v>20</v>
      </c>
      <c r="G286" s="357" t="n">
        <v>20</v>
      </c>
      <c r="H286" s="357" t="n"/>
      <c r="I286" s="357" t="n"/>
      <c r="J286" s="357" t="n">
        <v>36</v>
      </c>
      <c r="K286" s="357" t="n"/>
      <c r="L286" s="357" t="n"/>
    </row>
    <row r="287" outlineLevel="2" s="594">
      <c r="B287" s="376" t="n"/>
      <c r="D287" s="357" t="n"/>
      <c r="E287" s="459" t="inlineStr">
        <is>
          <t>Funzioni AI</t>
        </is>
      </c>
      <c r="F287" s="474" t="n"/>
      <c r="G287" s="474" t="n"/>
      <c r="H287" s="463" t="n"/>
      <c r="I287" s="463" t="n"/>
      <c r="J287" s="474" t="n"/>
      <c r="K287" s="463" t="n"/>
      <c r="L287" s="464" t="n"/>
    </row>
    <row r="288">
      <c r="A288" s="350" t="inlineStr">
        <is>
          <t>BOG_Active_Lateral_Suspension_(ALS)</t>
        </is>
      </c>
      <c r="B288" s="377" t="n"/>
      <c r="C288" s="393" t="n"/>
      <c r="D288" s="371" t="inlineStr">
        <is>
          <t>\</t>
        </is>
      </c>
      <c r="E288" s="351" t="n"/>
      <c r="F288" s="352" t="n"/>
      <c r="G288" s="352" t="n"/>
      <c r="H288" s="352" t="n"/>
      <c r="I288" s="352" t="n"/>
      <c r="J288" s="352" t="n"/>
      <c r="K288" s="352" t="n"/>
      <c r="L288" s="353" t="n"/>
    </row>
    <row r="289" outlineLevel="1" s="594">
      <c r="B289" s="376" t="n"/>
      <c r="C289" s="158" t="inlineStr">
        <is>
          <t>CONFIG</t>
        </is>
      </c>
      <c r="D289" s="369" t="inlineStr">
        <is>
          <t>FRS_Bogies</t>
        </is>
      </c>
      <c r="E289" s="344" t="inlineStr">
        <is>
          <t>Link</t>
        </is>
      </c>
      <c r="F289" s="314">
        <f t="array" ref="F289">HYPERLINK(CONCATENATE(Cartelle!$D$5,F$1,"/",$C289,"/",MID($D289,1,FIND("_",$D289)-1),"/",INDIRECT(CONCATENATE("'" &amp; $C289 &amp; "'!",ADDRESS(MATCH($D289, INDIRECT("'" &amp; $C289 &amp; "'!$B:$B"), 0),MATCH(F$1, INDIRECT("'" &amp; $C289 &amp; "'!$1:$1"), 0)))),".",INDIRECT(CONCATENATE("'"&amp;$C289&amp;"'!",ADDRESS(MATCH($D289,INDIRECT("'"&amp;$C289&amp;"'!$B:$B"),0),3))),"#page=",F290),CONCATENATE("#Sharepoint//",$D289))</f>
        <v/>
      </c>
      <c r="G289" s="314">
        <f t="array" ref="G289">HYPERLINK(CONCATENATE(Cartelle!$D$5,INDEX(INDIRECT("'" &amp; $C289 &amp; "'!$1:$1"), 1, MATCH(INDIRECT(CONCATENATE("'" &amp; $C289 &amp; "'!",ADDRESS(MATCH($D289, INDIRECT("'" &amp; $C289 &amp; "'!$B:$B"), 0),MATCH(G$1, INDIRECT("'" &amp; $C289 &amp; "'!$1:$1"), 0)))),INDIRECT(CONCATENATE("'" &amp; $C289 &amp; "'!",MATCH($D289, INDIRECT("'" &amp; $C289 &amp; "'!$B:$B"), 0),":",MATCH($D289, INDIRECT("'" &amp; $C289 &amp; "'!$B:$B"), 0))),0)),"/",$C289,"/",MID($D289,1,FIND("_",$D289)-1),"/",INDIRECT(CONCATENATE("'" &amp; $C289 &amp; "'!",ADDRESS(MATCH($D289, INDIRECT("'" &amp; $C289 &amp; "'!$B:$B"), 0),MATCH(G$1, INDIRECT("'" &amp; $C289 &amp; "'!$1:$1"), 0)))),".",INDIRECT(CONCATENATE("'"&amp;$C289&amp;"'!",ADDRESS(MATCH($D289,INDIRECT("'"&amp;$C289&amp;"'!$B:$B"),0),3))),"#page=",G290),CONCATENATE("#Sharepoint//",$D289))</f>
        <v/>
      </c>
      <c r="H289" s="378" t="n"/>
      <c r="I289" s="345" t="n"/>
      <c r="J289" s="314">
        <f t="array" ref="J289">HYPERLINK(CONCATENATE(Cartelle!$D$5,INDEX(INDIRECT("'" &amp; $C289 &amp; "'!$1:$1"), 1, MATCH(INDIRECT(CONCATENATE("'" &amp; $C289 &amp; "'!",ADDRESS(MATCH($D289, INDIRECT("'" &amp; $C289 &amp; "'!$B:$B"), 0),MATCH(J$1, INDIRECT("'" &amp; $C289 &amp; "'!$1:$1"), 0)))),INDIRECT(CONCATENATE("'" &amp; $C289 &amp; "'!",MATCH($D289, INDIRECT("'" &amp; $C289 &amp; "'!$B:$B"), 0),":",MATCH($D289, INDIRECT("'" &amp; $C289 &amp; "'!$B:$B"), 0))),0)),"/",$C289,"/",MID($D289,1,FIND("_",$D289)-1),"/",INDIRECT(CONCATENATE("'" &amp; $C289 &amp; "'!",ADDRESS(MATCH($D289, INDIRECT("'" &amp; $C289 &amp; "'!$B:$B"), 0),MATCH(J$1, INDIRECT("'" &amp; $C289 &amp; "'!$1:$1"), 0)))),".",INDIRECT(CONCATENATE("'"&amp;$C289&amp;"'!",ADDRESS(MATCH($D289,INDIRECT("'"&amp;$C289&amp;"'!$B:$B"),0),3))),"#page=",J290),CONCATENATE("#Sharepoint//",$D289))</f>
        <v/>
      </c>
      <c r="K289" s="346" t="n"/>
      <c r="L289" s="346" t="n"/>
    </row>
    <row r="290" outlineLevel="2" s="594">
      <c r="B290" s="376" t="n"/>
      <c r="D290" s="373" t="n"/>
      <c r="E290" s="356" t="inlineStr">
        <is>
          <t>Rif. Pagina</t>
        </is>
      </c>
      <c r="F290" s="357" t="n">
        <v>29</v>
      </c>
      <c r="G290" s="357" t="n">
        <v>28</v>
      </c>
      <c r="H290" s="357" t="n"/>
      <c r="I290" s="357" t="n"/>
      <c r="J290" s="357" t="n">
        <v>43</v>
      </c>
      <c r="K290" s="357" t="n"/>
      <c r="L290" s="357" t="n"/>
    </row>
    <row r="291" outlineLevel="2" s="594">
      <c r="B291" s="376" t="n"/>
      <c r="D291" s="357" t="n"/>
      <c r="E291" s="459" t="inlineStr">
        <is>
          <t>Funzioni AI</t>
        </is>
      </c>
      <c r="F291" s="476" t="n"/>
      <c r="G291" s="474" t="n"/>
      <c r="H291" s="463" t="n"/>
      <c r="I291" s="463" t="n"/>
      <c r="J291" s="474" t="n"/>
      <c r="K291" s="463" t="n"/>
      <c r="L291" s="464" t="n"/>
    </row>
    <row r="292">
      <c r="A292" s="350" t="inlineStr">
        <is>
          <t>BOG_Diagnostics_&amp;_CBM</t>
        </is>
      </c>
      <c r="B292" s="377" t="n"/>
      <c r="C292" s="393" t="n"/>
      <c r="D292" s="371" t="inlineStr">
        <is>
          <t>\</t>
        </is>
      </c>
      <c r="E292" s="351" t="n"/>
      <c r="F292" s="352" t="n"/>
      <c r="G292" s="352" t="n"/>
      <c r="H292" s="352" t="n"/>
      <c r="I292" s="352" t="n"/>
      <c r="J292" s="352" t="n"/>
      <c r="K292" s="352" t="n"/>
      <c r="L292" s="353" t="n"/>
    </row>
    <row r="293" outlineLevel="1" s="594">
      <c r="B293" s="376" t="n"/>
      <c r="C293" s="158" t="inlineStr">
        <is>
          <t>CONFIG</t>
        </is>
      </c>
      <c r="D293" s="369" t="inlineStr">
        <is>
          <t>FRS_Bogies</t>
        </is>
      </c>
      <c r="E293" s="344" t="inlineStr">
        <is>
          <t>Link</t>
        </is>
      </c>
      <c r="F293" s="314">
        <f t="array" ref="F293">HYPERLINK(CONCATENATE(Cartelle!$D$5,F$1,"/",$C293,"/",MID($D293,1,FIND("_",$D293)-1),"/",INDIRECT(CONCATENATE("'" &amp; $C293 &amp; "'!",ADDRESS(MATCH($D293, INDIRECT("'" &amp; $C293 &amp; "'!$B:$B"), 0),MATCH(F$1, INDIRECT("'" &amp; $C293 &amp; "'!$1:$1"), 0)))),".",INDIRECT(CONCATENATE("'"&amp;$C293&amp;"'!",ADDRESS(MATCH($D293,INDIRECT("'"&amp;$C293&amp;"'!$B:$B"),0),3))),"#page=",F294),CONCATENATE("#Sharepoint//",$D293))</f>
        <v/>
      </c>
      <c r="G293" s="314">
        <f t="array" ref="G293">HYPERLINK(CONCATENATE(Cartelle!$D$5,INDEX(INDIRECT("'" &amp; $C293 &amp; "'!$1:$1"), 1, MATCH(INDIRECT(CONCATENATE("'" &amp; $C293 &amp; "'!",ADDRESS(MATCH($D293, INDIRECT("'" &amp; $C293 &amp; "'!$B:$B"), 0),MATCH(G$1, INDIRECT("'" &amp; $C293 &amp; "'!$1:$1"), 0)))),INDIRECT(CONCATENATE("'" &amp; $C293 &amp; "'!",MATCH($D293, INDIRECT("'" &amp; $C293 &amp; "'!$B:$B"), 0),":",MATCH($D293, INDIRECT("'" &amp; $C293 &amp; "'!$B:$B"), 0))),0)),"/",$C293,"/",MID($D293,1,FIND("_",$D293)-1),"/",INDIRECT(CONCATENATE("'" &amp; $C293 &amp; "'!",ADDRESS(MATCH($D293, INDIRECT("'" &amp; $C293 &amp; "'!$B:$B"), 0),MATCH(G$1, INDIRECT("'" &amp; $C293 &amp; "'!$1:$1"), 0)))),".",INDIRECT(CONCATENATE("'"&amp;$C293&amp;"'!",ADDRESS(MATCH($D293,INDIRECT("'"&amp;$C293&amp;"'!$B:$B"),0),3))),"#page=",G294),CONCATENATE("#Sharepoint//",$D293))</f>
        <v/>
      </c>
      <c r="H293" s="378" t="n"/>
      <c r="I293" s="345" t="n"/>
      <c r="J293" s="314">
        <f t="array" ref="J293">HYPERLINK(CONCATENATE(Cartelle!$D$5,INDEX(INDIRECT("'" &amp; $C293 &amp; "'!$1:$1"), 1, MATCH(INDIRECT(CONCATENATE("'" &amp; $C293 &amp; "'!",ADDRESS(MATCH($D293, INDIRECT("'" &amp; $C293 &amp; "'!$B:$B"), 0),MATCH(J$1, INDIRECT("'" &amp; $C293 &amp; "'!$1:$1"), 0)))),INDIRECT(CONCATENATE("'" &amp; $C293 &amp; "'!",MATCH($D293, INDIRECT("'" &amp; $C293 &amp; "'!$B:$B"), 0),":",MATCH($D293, INDIRECT("'" &amp; $C293 &amp; "'!$B:$B"), 0))),0)),"/",$C293,"/",MID($D293,1,FIND("_",$D293)-1),"/",INDIRECT(CONCATENATE("'" &amp; $C293 &amp; "'!",ADDRESS(MATCH($D293, INDIRECT("'" &amp; $C293 &amp; "'!$B:$B"), 0),MATCH(J$1, INDIRECT("'" &amp; $C293 &amp; "'!$1:$1"), 0)))),".",INDIRECT(CONCATENATE("'"&amp;$C293&amp;"'!",ADDRESS(MATCH($D293,INDIRECT("'"&amp;$C293&amp;"'!$B:$B"),0),3))),"#page=",J294),CONCATENATE("#Sharepoint//",$D293))</f>
        <v/>
      </c>
      <c r="K293" s="346" t="n"/>
      <c r="L293" s="346" t="n"/>
    </row>
    <row r="294" outlineLevel="2" s="594">
      <c r="B294" s="376" t="n"/>
      <c r="D294" s="372" t="n"/>
      <c r="E294" s="354" t="inlineStr">
        <is>
          <t>Rif. Pagina</t>
        </is>
      </c>
      <c r="F294" s="355" t="n">
        <v>31</v>
      </c>
      <c r="G294" s="355" t="n">
        <v>29</v>
      </c>
      <c r="H294" s="355" t="n"/>
      <c r="I294" s="355" t="n">
        <v>29</v>
      </c>
      <c r="J294" s="355" t="n">
        <v>44</v>
      </c>
      <c r="K294" s="355" t="n"/>
      <c r="L294" s="355" t="n"/>
    </row>
    <row r="295" outlineLevel="2" s="594">
      <c r="B295" s="376" t="n"/>
      <c r="D295" s="357" t="n"/>
      <c r="E295" s="459" t="inlineStr">
        <is>
          <t>Funzioni AI</t>
        </is>
      </c>
      <c r="F295" s="474" t="n"/>
      <c r="G295" s="474" t="n"/>
      <c r="H295" s="463" t="n"/>
      <c r="I295" s="463" t="n"/>
      <c r="J295" s="474" t="n"/>
      <c r="K295" s="463" t="n"/>
      <c r="L295" s="464"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codeName="Foglio8">
    <tabColor rgb="FFFFCCFF"/>
    <outlinePr summaryBelow="0"/>
    <pageSetUpPr/>
  </sheetPr>
  <dimension ref="A1:V100"/>
  <sheetViews>
    <sheetView zoomScaleNormal="100" workbookViewId="0">
      <pane xSplit="2" ySplit="2" topLeftCell="C35" activePane="bottomRight" state="frozen"/>
      <selection pane="topRight" activeCell="F1" sqref="F1"/>
      <selection pane="bottomLeft" activeCell="A3" sqref="A3"/>
      <selection pane="bottomRight" activeCell="I2" sqref="I2"/>
    </sheetView>
  </sheetViews>
  <sheetFormatPr baseColWidth="8" defaultColWidth="8.7109375" defaultRowHeight="15" outlineLevelRow="3"/>
  <cols>
    <col width="13.85546875" bestFit="1" customWidth="1" style="15" min="1" max="1"/>
    <col width="39.5703125" bestFit="1" customWidth="1" style="15" min="2" max="2"/>
    <col width="24.28515625" customWidth="1" style="15" min="3" max="3"/>
    <col width="18.7109375" bestFit="1" customWidth="1" style="15" min="4" max="4"/>
    <col width="16.5703125" customWidth="1" style="15" min="5" max="10"/>
    <col width="12.140625" customWidth="1" style="231" min="11" max="11"/>
    <col width="4.28515625" bestFit="1" customWidth="1" style="228" min="12" max="12"/>
    <col width="5.140625" bestFit="1" customWidth="1" style="228" min="13" max="13"/>
    <col width="8.7109375" customWidth="1" style="231" min="14" max="14"/>
    <col width="4.140625" bestFit="1" customWidth="1" style="228" min="15" max="15"/>
    <col width="5.140625" bestFit="1" customWidth="1" style="228" min="16" max="16"/>
    <col width="11.5703125" bestFit="1" customWidth="1" style="231" min="17" max="17"/>
    <col width="5.5703125" bestFit="1" customWidth="1" style="260" min="18" max="18"/>
    <col width="6.5703125" customWidth="1" style="260" min="19" max="19"/>
    <col width="8.7109375" customWidth="1" style="260" min="20" max="20"/>
    <col width="6.7109375" customWidth="1" style="260" min="21" max="21"/>
    <col width="8.7109375" customWidth="1" style="260" min="22" max="22"/>
    <col width="8.7109375" customWidth="1" style="103" min="23" max="28"/>
    <col width="8.7109375" customWidth="1" style="103" min="29" max="16384"/>
  </cols>
  <sheetData>
    <row r="1" ht="31.5" customFormat="1" customHeight="1" s="105">
      <c r="A1" s="562" t="inlineStr">
        <is>
          <t>Impianto</t>
        </is>
      </c>
      <c r="B1" s="568" t="inlineStr">
        <is>
          <t>Gruppo/Componente</t>
        </is>
      </c>
      <c r="C1" s="567" t="inlineStr">
        <is>
          <t>P/N</t>
        </is>
      </c>
      <c r="D1" s="571" t="inlineStr">
        <is>
          <t>Applicabilità flotte</t>
        </is>
      </c>
      <c r="E1" s="570" t="n"/>
      <c r="F1" s="570" t="n"/>
      <c r="G1" s="570" t="n"/>
      <c r="H1" s="570" t="n"/>
      <c r="I1" s="570" t="n"/>
      <c r="J1" s="565" t="n"/>
      <c r="K1" s="564" t="inlineStr">
        <is>
          <t>Manuale</t>
        </is>
      </c>
      <c r="L1" s="570" t="n"/>
      <c r="M1" s="565" t="n"/>
      <c r="N1" s="564" t="inlineStr">
        <is>
          <t>CPR</t>
        </is>
      </c>
      <c r="O1" s="570" t="n"/>
      <c r="P1" s="565" t="n"/>
      <c r="Q1" s="564" t="inlineStr">
        <is>
          <t>Raccolta doc</t>
        </is>
      </c>
      <c r="R1" s="565" t="n"/>
      <c r="S1" s="566" t="inlineStr">
        <is>
          <t>Schema elettrico</t>
        </is>
      </c>
      <c r="T1" s="565" t="n"/>
      <c r="U1" s="566" t="inlineStr">
        <is>
          <t>Schema Pneumatico</t>
        </is>
      </c>
      <c r="V1" s="565" t="n"/>
    </row>
    <row r="2" ht="31.5" customFormat="1" customHeight="1" s="105">
      <c r="A2" s="563" t="n"/>
      <c r="B2" s="569" t="n"/>
      <c r="C2" s="527" t="n"/>
      <c r="D2" s="136" t="inlineStr">
        <is>
          <t>VZI_Base</t>
        </is>
      </c>
      <c r="E2" s="537" t="inlineStr">
        <is>
          <t>VZI_New14</t>
        </is>
      </c>
      <c r="F2" s="537" t="inlineStr">
        <is>
          <t>VZ_FR</t>
        </is>
      </c>
      <c r="G2" s="537" t="inlineStr">
        <is>
          <t>VZ_ES</t>
        </is>
      </c>
      <c r="H2" s="537" t="inlineStr">
        <is>
          <t>VZI-6_R1</t>
        </is>
      </c>
      <c r="I2" s="537" t="inlineStr">
        <is>
          <t>VZI-4_R1</t>
        </is>
      </c>
      <c r="J2" s="138" t="inlineStr">
        <is>
          <t>VZ_DAI</t>
        </is>
      </c>
      <c r="K2" s="209" t="inlineStr">
        <is>
          <t>File</t>
        </is>
      </c>
      <c r="L2" s="210" t="inlineStr">
        <is>
          <t>Pag</t>
        </is>
      </c>
      <c r="M2" s="210" t="inlineStr">
        <is>
          <t>Link</t>
        </is>
      </c>
      <c r="N2" s="209" t="inlineStr">
        <is>
          <t>File</t>
        </is>
      </c>
      <c r="O2" s="210" t="inlineStr">
        <is>
          <t>Pag</t>
        </is>
      </c>
      <c r="P2" s="211" t="inlineStr">
        <is>
          <t>Link</t>
        </is>
      </c>
      <c r="Q2" s="212" t="inlineStr">
        <is>
          <t>Cartella</t>
        </is>
      </c>
      <c r="R2" s="211" t="inlineStr">
        <is>
          <t>Link</t>
        </is>
      </c>
      <c r="S2" s="213" t="inlineStr">
        <is>
          <t>Pag</t>
        </is>
      </c>
      <c r="T2" s="214" t="inlineStr">
        <is>
          <t>Link</t>
        </is>
      </c>
      <c r="U2" s="213" t="inlineStr">
        <is>
          <t>Pag</t>
        </is>
      </c>
      <c r="V2" s="214" t="inlineStr">
        <is>
          <t>Link</t>
        </is>
      </c>
    </row>
    <row r="3">
      <c r="A3" s="195" t="inlineStr">
        <is>
          <t>PANTOGRAFO</t>
        </is>
      </c>
      <c r="B3" s="196" t="n"/>
      <c r="C3" s="197" t="n"/>
      <c r="D3" s="195" t="inlineStr">
        <is>
          <t>.</t>
        </is>
      </c>
      <c r="E3" s="198" t="inlineStr">
        <is>
          <t>.</t>
        </is>
      </c>
      <c r="F3" s="198" t="inlineStr">
        <is>
          <t>.</t>
        </is>
      </c>
      <c r="G3" s="198" t="inlineStr">
        <is>
          <t>.</t>
        </is>
      </c>
      <c r="H3" s="198" t="inlineStr">
        <is>
          <t>.</t>
        </is>
      </c>
      <c r="I3" s="198" t="inlineStr">
        <is>
          <t>.</t>
        </is>
      </c>
      <c r="J3" s="196" t="inlineStr">
        <is>
          <t>.</t>
        </is>
      </c>
      <c r="K3" s="215" t="n"/>
      <c r="L3" s="216" t="n"/>
      <c r="M3" s="216" t="n"/>
      <c r="N3" s="215" t="n"/>
      <c r="O3" s="216" t="n"/>
      <c r="P3" s="217" t="n"/>
      <c r="Q3" s="218" t="n"/>
      <c r="R3" s="219" t="n"/>
      <c r="S3" s="220" t="n"/>
      <c r="T3" s="219" t="n"/>
      <c r="U3" s="220" t="n"/>
      <c r="V3" s="219" t="n"/>
    </row>
    <row r="4" outlineLevel="1" s="594">
      <c r="A4" s="199" t="n"/>
      <c r="B4" s="118" t="inlineStr">
        <is>
          <t>CAPTAZIONE</t>
        </is>
      </c>
      <c r="C4" s="201" t="n"/>
      <c r="D4" s="199" t="inlineStr">
        <is>
          <t>..</t>
        </is>
      </c>
      <c r="E4" s="172" t="inlineStr">
        <is>
          <t>..</t>
        </is>
      </c>
      <c r="F4" s="172" t="inlineStr">
        <is>
          <t>..</t>
        </is>
      </c>
      <c r="G4" s="172" t="inlineStr">
        <is>
          <t>..</t>
        </is>
      </c>
      <c r="H4" s="172" t="inlineStr">
        <is>
          <t>..</t>
        </is>
      </c>
      <c r="I4" s="172" t="inlineStr">
        <is>
          <t>..</t>
        </is>
      </c>
      <c r="J4" s="200" t="inlineStr">
        <is>
          <t>..</t>
        </is>
      </c>
      <c r="K4" s="221" t="n"/>
      <c r="L4" s="222" t="n"/>
      <c r="M4" s="222" t="n"/>
      <c r="N4" s="221" t="n"/>
      <c r="O4" s="222" t="n"/>
      <c r="P4" s="223" t="n"/>
      <c r="Q4" s="224" t="n"/>
      <c r="R4" s="225" t="n"/>
      <c r="S4" s="226" t="n"/>
      <c r="T4" s="225" t="n"/>
      <c r="U4" s="226" t="n"/>
      <c r="V4" s="225" t="n"/>
    </row>
    <row r="5" outlineLevel="2" s="594">
      <c r="A5" s="109" t="n"/>
      <c r="B5" s="110" t="inlineStr">
        <is>
          <t>Pantografo 25 kV</t>
        </is>
      </c>
      <c r="C5" s="107" t="n">
        <v>10574479</v>
      </c>
      <c r="D5" s="109" t="inlineStr">
        <is>
          <t>T4-T5</t>
        </is>
      </c>
      <c r="E5" s="15" t="inlineStr">
        <is>
          <t>T4-T5</t>
        </is>
      </c>
      <c r="F5" s="15" t="inlineStr">
        <is>
          <t>X</t>
        </is>
      </c>
      <c r="H5" s="15" t="inlineStr">
        <is>
          <t>T4-T5</t>
        </is>
      </c>
      <c r="J5" s="110" t="n"/>
      <c r="K5" s="227" t="inlineStr">
        <is>
          <t>ETR1000V300-MR1-04A-Equip elettrico ed elettropneumatico-06 - TOMO 1.pdf</t>
        </is>
      </c>
      <c r="L5" s="228" t="n">
        <v>161</v>
      </c>
      <c r="M5" s="229">
        <f>HYPERLINK(CONCATENATE(Cartelle!$A$2,Cartelle!$D$2,Cartelle!#REF!,'PBS (TBD)'!K5,"#page=",'PBS (TBD)'!L5),"#")</f>
        <v/>
      </c>
      <c r="N5" s="227" t="inlineStr">
        <is>
          <t>ETR1000-CPR_04C_2.05.1002_Pantografo_Mar21.pdf</t>
        </is>
      </c>
      <c r="O5" s="228" t="n">
        <v>93</v>
      </c>
      <c r="P5" s="230">
        <f>HYPERLINK(CONCATENATE(Cartelle!$A$2,Cartelle!#REF!,Cartelle!#REF!,'PBS (TBD)'!N5,"#page=",'PBS (TBD)'!O5),"#")</f>
        <v/>
      </c>
      <c r="R5" s="232" t="n"/>
      <c r="S5" s="233" t="n"/>
      <c r="T5" s="232" t="n"/>
      <c r="U5" s="233" t="n"/>
      <c r="V5" s="232" t="n"/>
    </row>
    <row r="6" outlineLevel="2" s="594">
      <c r="A6" s="109" t="n"/>
      <c r="B6" s="110" t="inlineStr">
        <is>
          <t>Pantografo 3 kV</t>
        </is>
      </c>
      <c r="C6" s="107" t="n">
        <v>10542152</v>
      </c>
      <c r="D6" s="109" t="inlineStr">
        <is>
          <t>TT2-TT7</t>
        </is>
      </c>
      <c r="E6" s="15" t="inlineStr">
        <is>
          <t>TT2-TT7</t>
        </is>
      </c>
      <c r="F6" s="15" t="inlineStr">
        <is>
          <t>X</t>
        </is>
      </c>
      <c r="H6" s="15" t="inlineStr">
        <is>
          <t>TT2-TT7</t>
        </is>
      </c>
      <c r="J6" s="110" t="n"/>
      <c r="K6" s="227" t="inlineStr">
        <is>
          <t>ETR1000V300-MR1-04A-Equip elettrico ed elettropneumatico-06 - TOMO 1.pdf</t>
        </is>
      </c>
      <c r="L6" s="228" t="n">
        <v>180</v>
      </c>
      <c r="M6" s="229">
        <f>HYPERLINK(CONCATENATE(Cartelle!$A$2,Cartelle!$D$2,Cartelle!#REF!,'PBS (TBD)'!K6,"#page=",'PBS (TBD)'!L6),"#")</f>
        <v/>
      </c>
      <c r="N6" s="227" t="inlineStr">
        <is>
          <t>ETR1000-CPR_04C_2.05.1002_Pantografo_Mar21.pdf</t>
        </is>
      </c>
      <c r="O6" s="228" t="n">
        <v>33</v>
      </c>
      <c r="P6" s="230">
        <f>HYPERLINK(CONCATENATE(Cartelle!$A$2,Cartelle!#REF!,Cartelle!#REF!,'PBS (TBD)'!N6,"#page=",'PBS (TBD)'!O6),"#")</f>
        <v/>
      </c>
      <c r="R6" s="232" t="n"/>
      <c r="S6" s="233" t="n"/>
      <c r="T6" s="232" t="n"/>
      <c r="U6" s="233" t="n"/>
      <c r="V6" s="232" t="n"/>
    </row>
    <row r="7" outlineLevel="2" s="594">
      <c r="A7" s="109" t="n"/>
      <c r="B7" s="110" t="inlineStr">
        <is>
          <t>Pantografo 1,5 kV</t>
        </is>
      </c>
      <c r="C7" s="107" t="n"/>
      <c r="D7" s="109" t="n"/>
      <c r="J7" s="110" t="n"/>
      <c r="K7" s="227" t="n"/>
      <c r="M7" s="229" t="n"/>
      <c r="N7" s="227" t="n"/>
      <c r="P7" s="230" t="n"/>
      <c r="R7" s="232" t="n"/>
      <c r="S7" s="233" t="n"/>
      <c r="T7" s="232" t="n"/>
      <c r="U7" s="233" t="n"/>
      <c r="V7" s="232" t="n"/>
    </row>
    <row r="8" outlineLevel="1" s="594">
      <c r="A8" s="199" t="n"/>
      <c r="B8" s="118" t="inlineStr">
        <is>
          <t>CONTROLLO</t>
        </is>
      </c>
      <c r="C8" s="201" t="n"/>
      <c r="D8" s="199" t="inlineStr">
        <is>
          <t>..</t>
        </is>
      </c>
      <c r="E8" s="172" t="inlineStr">
        <is>
          <t>..</t>
        </is>
      </c>
      <c r="F8" s="172" t="inlineStr">
        <is>
          <t>..</t>
        </is>
      </c>
      <c r="G8" s="172" t="inlineStr">
        <is>
          <t>..</t>
        </is>
      </c>
      <c r="H8" s="172" t="inlineStr">
        <is>
          <t>..</t>
        </is>
      </c>
      <c r="I8" s="172" t="inlineStr">
        <is>
          <t>..</t>
        </is>
      </c>
      <c r="J8" s="200" t="inlineStr">
        <is>
          <t>..</t>
        </is>
      </c>
      <c r="K8" s="221" t="n"/>
      <c r="L8" s="222" t="n"/>
      <c r="M8" s="222" t="n"/>
      <c r="N8" s="221" t="n"/>
      <c r="O8" s="222" t="n"/>
      <c r="P8" s="223" t="n"/>
      <c r="Q8" s="224" t="n"/>
      <c r="R8" s="225" t="n"/>
      <c r="S8" s="226" t="n"/>
      <c r="T8" s="225" t="n"/>
      <c r="U8" s="226" t="n"/>
      <c r="V8" s="225" t="n"/>
    </row>
    <row r="9" outlineLevel="2" s="594">
      <c r="A9" s="109" t="n"/>
      <c r="B9" s="126" t="inlineStr">
        <is>
          <t>PPU</t>
        </is>
      </c>
      <c r="C9" s="206" t="inlineStr">
        <is>
          <t>0102895</t>
        </is>
      </c>
      <c r="D9" s="109" t="inlineStr">
        <is>
          <t>TT2-T4-T5-TT7</t>
        </is>
      </c>
      <c r="J9" s="110" t="n"/>
      <c r="K9" s="227" t="n"/>
      <c r="N9" s="227" t="n"/>
      <c r="P9" s="234" t="n"/>
      <c r="R9" s="232" t="n"/>
      <c r="S9" s="233" t="n"/>
      <c r="T9" s="232" t="n"/>
      <c r="U9" s="233" t="n"/>
      <c r="V9" s="232" t="n"/>
    </row>
    <row r="10" outlineLevel="2" customFormat="1" s="207">
      <c r="A10" s="132" t="n"/>
      <c r="B10" s="128" t="inlineStr">
        <is>
          <t>PPU</t>
        </is>
      </c>
      <c r="C10" s="129" t="inlineStr">
        <is>
          <t>232C10395F</t>
        </is>
      </c>
      <c r="D10" s="130" t="n"/>
      <c r="E10" s="131" t="inlineStr">
        <is>
          <t>TT2-T4-T5-TT7</t>
        </is>
      </c>
      <c r="F10" s="133" t="n"/>
      <c r="G10" s="133" t="n"/>
      <c r="H10" s="133" t="n"/>
      <c r="I10" s="133" t="n"/>
      <c r="J10" s="126" t="n"/>
      <c r="K10" s="235" t="n"/>
      <c r="L10" s="236" t="n"/>
      <c r="M10" s="236" t="n"/>
      <c r="N10" s="235" t="n"/>
      <c r="O10" s="236" t="n"/>
      <c r="P10" s="237" t="n"/>
      <c r="Q10" s="238" t="inlineStr">
        <is>
          <t>232C10395F</t>
        </is>
      </c>
      <c r="R10" s="239">
        <f>HYPERLINK(CONCATENATE(Cartelle!$A$2,Cartelle!#REF!,'PBS (TBD)'!Q10),"#")</f>
        <v/>
      </c>
      <c r="S10" s="240" t="n"/>
      <c r="T10" s="241" t="n"/>
      <c r="U10" s="240" t="n"/>
      <c r="V10" s="241" t="n"/>
    </row>
    <row r="11" outlineLevel="2" s="594">
      <c r="A11" s="109" t="n"/>
      <c r="B11" s="202" t="inlineStr">
        <is>
          <t>PPU</t>
        </is>
      </c>
      <c r="C11" s="203" t="inlineStr">
        <is>
          <t>231C100036B</t>
        </is>
      </c>
      <c r="D11" s="208" t="n"/>
      <c r="E11" s="204" t="n"/>
      <c r="F11" s="204" t="n"/>
      <c r="G11" s="204" t="n"/>
      <c r="H11" s="204" t="inlineStr">
        <is>
          <t>TT2-T4-T5-TT7</t>
        </is>
      </c>
      <c r="J11" s="110" t="n"/>
      <c r="K11" s="227" t="n"/>
      <c r="N11" s="227" t="n"/>
      <c r="P11" s="234" t="n"/>
      <c r="R11" s="230" t="n"/>
      <c r="S11" s="233" t="n"/>
      <c r="T11" s="232" t="n"/>
      <c r="U11" s="233" t="n"/>
      <c r="V11" s="232" t="n"/>
    </row>
    <row r="12">
      <c r="A12" s="195" t="inlineStr">
        <is>
          <t>TCMS</t>
        </is>
      </c>
      <c r="B12" s="205" t="n"/>
      <c r="C12" s="197" t="n"/>
      <c r="D12" s="195" t="inlineStr">
        <is>
          <t>.</t>
        </is>
      </c>
      <c r="E12" s="198" t="inlineStr">
        <is>
          <t>.</t>
        </is>
      </c>
      <c r="F12" s="198" t="inlineStr">
        <is>
          <t>.</t>
        </is>
      </c>
      <c r="G12" s="198" t="inlineStr">
        <is>
          <t>.</t>
        </is>
      </c>
      <c r="H12" s="198" t="inlineStr">
        <is>
          <t>.</t>
        </is>
      </c>
      <c r="I12" s="198" t="inlineStr">
        <is>
          <t>.</t>
        </is>
      </c>
      <c r="J12" s="196" t="inlineStr">
        <is>
          <t>.</t>
        </is>
      </c>
      <c r="K12" s="215" t="n"/>
      <c r="L12" s="216" t="n"/>
      <c r="M12" s="216" t="n"/>
      <c r="N12" s="215" t="n"/>
      <c r="O12" s="216" t="n"/>
      <c r="P12" s="217" t="n"/>
      <c r="Q12" s="242" t="n"/>
      <c r="R12" s="219" t="n"/>
      <c r="S12" s="220" t="n"/>
      <c r="T12" s="219" t="n"/>
      <c r="U12" s="220" t="n"/>
      <c r="V12" s="219" t="n"/>
    </row>
    <row r="13" outlineLevel="1" s="594">
      <c r="A13" s="199" t="n"/>
      <c r="B13" s="118" t="inlineStr">
        <is>
          <t>CONTROLLO</t>
        </is>
      </c>
      <c r="C13" s="201" t="n"/>
      <c r="D13" s="199" t="inlineStr">
        <is>
          <t>..</t>
        </is>
      </c>
      <c r="E13" s="172" t="inlineStr">
        <is>
          <t>..</t>
        </is>
      </c>
      <c r="F13" s="172" t="inlineStr">
        <is>
          <t>..</t>
        </is>
      </c>
      <c r="G13" s="172" t="inlineStr">
        <is>
          <t>..</t>
        </is>
      </c>
      <c r="H13" s="172" t="inlineStr">
        <is>
          <t>..</t>
        </is>
      </c>
      <c r="I13" s="172" t="inlineStr">
        <is>
          <t>..</t>
        </is>
      </c>
      <c r="J13" s="200" t="inlineStr">
        <is>
          <t>..</t>
        </is>
      </c>
      <c r="K13" s="221" t="n"/>
      <c r="L13" s="222" t="n"/>
      <c r="M13" s="222" t="n"/>
      <c r="N13" s="221" t="n"/>
      <c r="O13" s="222" t="n"/>
      <c r="P13" s="223" t="n"/>
      <c r="Q13" s="224" t="n"/>
      <c r="R13" s="225" t="n"/>
      <c r="S13" s="226" t="n"/>
      <c r="T13" s="225" t="n"/>
      <c r="U13" s="226" t="n"/>
      <c r="V13" s="225" t="n"/>
    </row>
    <row r="14" outlineLevel="2" s="594">
      <c r="A14" s="109" t="n"/>
      <c r="B14" s="126" t="inlineStr">
        <is>
          <t>CCU-O Dual MVB (DCY1110B)</t>
        </is>
      </c>
      <c r="C14" s="127" t="inlineStr">
        <is>
          <t>3EST000225-5707</t>
        </is>
      </c>
      <c r="D14" s="109" t="inlineStr">
        <is>
          <t>DM1-DM8</t>
        </is>
      </c>
      <c r="E14" s="15" t="inlineStr">
        <is>
          <t>DM1-DM8</t>
        </is>
      </c>
      <c r="J14" s="110" t="n"/>
      <c r="K14" s="227" t="inlineStr">
        <is>
          <t>ETR1000V300-MR1-05A-Logica di comando-03.pdf</t>
        </is>
      </c>
      <c r="L14" s="228" t="n">
        <v>113</v>
      </c>
      <c r="M14" s="229">
        <f>HYPERLINK(CONCATENATE(Cartelle!$A$2,Cartelle!$D$2,Cartelle!#REF!,'PBS (TBD)'!K14,"#page=",'PBS (TBD)'!L14),"#")</f>
        <v/>
      </c>
      <c r="N14" s="227" t="inlineStr">
        <is>
          <t>ETR1000-CPR_05_2.05.1004_Logica di comando_Aprile2021.pdf</t>
        </is>
      </c>
      <c r="O14" s="228" t="n">
        <v>48</v>
      </c>
      <c r="P14" s="230">
        <f>HYPERLINK(CONCATENATE(Cartelle!$A$2,Cartelle!#REF!,Cartelle!#REF!,'PBS (TBD)'!N14,"#page=",'PBS (TBD)'!O14),"#")</f>
        <v/>
      </c>
      <c r="R14" s="232" t="n"/>
      <c r="S14" s="233" t="n"/>
      <c r="T14" s="232" t="n"/>
      <c r="U14" s="233" t="n"/>
      <c r="V14" s="232" t="n"/>
    </row>
    <row r="15" outlineLevel="2" s="594">
      <c r="A15" s="109" t="n"/>
      <c r="B15" s="126" t="inlineStr">
        <is>
          <t>CCU-C 2ETH (DCY1550A)</t>
        </is>
      </c>
      <c r="C15" s="127" t="inlineStr">
        <is>
          <t>3EST000225-5711</t>
        </is>
      </c>
      <c r="D15" s="109" t="inlineStr">
        <is>
          <t>DM1-M3-DM8</t>
        </is>
      </c>
      <c r="E15" s="15" t="inlineStr">
        <is>
          <t>DM1-M3-DM8</t>
        </is>
      </c>
      <c r="J15" s="110" t="n"/>
      <c r="K15" s="227" t="inlineStr">
        <is>
          <t>ETR1000V300-MR1-05A-Logica di comando-03.pdf</t>
        </is>
      </c>
      <c r="L15" s="228" t="n">
        <v>121</v>
      </c>
      <c r="M15" s="229">
        <f>HYPERLINK(CONCATENATE(Cartelle!$A$2,Cartelle!$D$2,Cartelle!#REF!,'PBS (TBD)'!K15,"#page=",'PBS (TBD)'!L15),"#")</f>
        <v/>
      </c>
      <c r="N15" s="227" t="inlineStr">
        <is>
          <t>ETR1000-CPR_05_2.05.1004_Logica di comando_Aprile2021.pdf</t>
        </is>
      </c>
      <c r="O15" s="228" t="n">
        <v>52</v>
      </c>
      <c r="P15" s="230">
        <f>HYPERLINK(CONCATENATE(Cartelle!$A$2,Cartelle!#REF!,Cartelle!#REF!,'PBS (TBD)'!N15,"#page=",'PBS (TBD)'!O15),"#")</f>
        <v/>
      </c>
      <c r="R15" s="232" t="n"/>
      <c r="S15" s="233" t="n"/>
      <c r="T15" s="232" t="n"/>
      <c r="U15" s="233" t="n"/>
      <c r="V15" s="232" t="n"/>
    </row>
    <row r="16" outlineLevel="2" s="594">
      <c r="A16" s="109" t="n"/>
      <c r="B16" s="126" t="inlineStr">
        <is>
          <t>CCU-S (DCY 1660A)</t>
        </is>
      </c>
      <c r="C16" s="127" t="inlineStr">
        <is>
          <t>3EST000221-6430</t>
        </is>
      </c>
      <c r="D16" s="109" t="inlineStr">
        <is>
          <t>DM1-DM8</t>
        </is>
      </c>
      <c r="E16" s="15" t="inlineStr">
        <is>
          <t>DM1-DM8</t>
        </is>
      </c>
      <c r="J16" s="110" t="n"/>
      <c r="K16" s="227" t="inlineStr">
        <is>
          <t>ETR1000V300-MR1-05A-Logica di comando-03.pdf</t>
        </is>
      </c>
      <c r="L16" s="228" t="n">
        <v>124</v>
      </c>
      <c r="M16" s="229">
        <f>HYPERLINK(CONCATENATE(Cartelle!$A$2,Cartelle!$D$2,Cartelle!#REF!,'PBS (TBD)'!K16,"#page=",'PBS (TBD)'!L16),"#")</f>
        <v/>
      </c>
      <c r="N16" s="227" t="inlineStr">
        <is>
          <t>ETR1000-CPR_05_2.05.1004_Logica di comando_Aprile2021.pdf</t>
        </is>
      </c>
      <c r="O16" s="228" t="n">
        <v>44</v>
      </c>
      <c r="P16" s="230">
        <f>HYPERLINK(CONCATENATE(Cartelle!$A$2,Cartelle!#REF!,Cartelle!#REF!,'PBS (TBD)'!N16,"#page=",'PBS (TBD)'!O16),"#")</f>
        <v/>
      </c>
      <c r="R16" s="232" t="n"/>
      <c r="S16" s="233" t="n"/>
      <c r="T16" s="232" t="n"/>
      <c r="U16" s="233" t="n"/>
      <c r="V16" s="232" t="n"/>
    </row>
    <row r="17" outlineLevel="2" s="594">
      <c r="A17" s="109" t="n"/>
      <c r="B17" s="126" t="inlineStr">
        <is>
          <t>MIO-DXH4-S (DCS 2222B)</t>
        </is>
      </c>
      <c r="C17" s="127" t="inlineStr">
        <is>
          <t>3EST000228-0629</t>
        </is>
      </c>
      <c r="D17" s="109" t="inlineStr">
        <is>
          <t>DM1-DM8</t>
        </is>
      </c>
      <c r="J17" s="110" t="n"/>
      <c r="K17" s="227" t="inlineStr">
        <is>
          <t>ETR1000V300-MR1-05A-Logica di comando-03.pdf</t>
        </is>
      </c>
      <c r="L17" s="228" t="n">
        <v>175</v>
      </c>
      <c r="M17" s="229">
        <f>HYPERLINK(CONCATENATE(Cartelle!$A$2,Cartelle!$D$2,Cartelle!#REF!,'PBS (TBD)'!K17,"#page=",'PBS (TBD)'!L17),"#")</f>
        <v/>
      </c>
      <c r="N17" s="227" t="inlineStr">
        <is>
          <t>ETR1000-CPR_05_2.05.1004_Logica di comando_Aprile2021.pdf</t>
        </is>
      </c>
      <c r="O17" s="228" t="n">
        <v>70</v>
      </c>
      <c r="P17" s="230">
        <f>HYPERLINK(CONCATENATE(Cartelle!$A$2,Cartelle!#REF!,Cartelle!#REF!,'PBS (TBD)'!N17,"#page=",'PBS (TBD)'!O17),"#")</f>
        <v/>
      </c>
      <c r="R17" s="232" t="n"/>
      <c r="S17" s="233" t="n"/>
      <c r="T17" s="232" t="n"/>
      <c r="U17" s="233" t="n"/>
      <c r="V17" s="232" t="n"/>
    </row>
    <row r="18" outlineLevel="2" s="594">
      <c r="A18" s="109" t="n"/>
      <c r="B18" s="128" t="inlineStr">
        <is>
          <t>MIO-S (DCS 2222C)</t>
        </is>
      </c>
      <c r="C18" s="129" t="inlineStr">
        <is>
          <t>3EST000230-5830</t>
        </is>
      </c>
      <c r="D18" s="109" t="n"/>
      <c r="E18" s="131" t="inlineStr">
        <is>
          <t>DM1-DM8</t>
        </is>
      </c>
      <c r="J18" s="110" t="n"/>
      <c r="K18" s="227" t="n"/>
      <c r="M18" s="229" t="n"/>
      <c r="N18" s="227" t="inlineStr">
        <is>
          <t>ETR1000-CPR_05_2.05.1004_Logica di comando_Aprile2021.pdf</t>
        </is>
      </c>
      <c r="O18" s="228" t="n">
        <v>28</v>
      </c>
      <c r="P18" s="230">
        <f>HYPERLINK(CONCATENATE(Cartelle!$A$2,Cartelle!#REF!,Cartelle!#REF!,'PBS (TBD)'!N18,"#page=",'PBS (TBD)'!O18),"#")</f>
        <v/>
      </c>
      <c r="R18" s="232" t="n"/>
      <c r="S18" s="233" t="n"/>
      <c r="T18" s="232" t="n"/>
      <c r="U18" s="233" t="n"/>
      <c r="V18" s="232" t="n"/>
    </row>
    <row r="19" outlineLevel="2" s="594">
      <c r="A19" s="109" t="n"/>
      <c r="B19" s="126" t="inlineStr">
        <is>
          <t>MIO-S-AI1+DXH3 (DCS 7222B)</t>
        </is>
      </c>
      <c r="C19" s="127" t="inlineStr">
        <is>
          <t>3EST000228-3395</t>
        </is>
      </c>
      <c r="D19" s="109" t="inlineStr">
        <is>
          <t>DM1-DM8</t>
        </is>
      </c>
      <c r="J19" s="110" t="n"/>
      <c r="K19" s="227" t="inlineStr">
        <is>
          <t>ETR1000V300-MR1-05A-Logica di comando-03.pdf</t>
        </is>
      </c>
      <c r="L19" s="228" t="n">
        <v>175</v>
      </c>
      <c r="M19" s="229">
        <f>HYPERLINK(CONCATENATE(Cartelle!$A$2,Cartelle!$D$2,Cartelle!#REF!,'PBS (TBD)'!K19,"#page=",'PBS (TBD)'!L19),"#")</f>
        <v/>
      </c>
      <c r="N19" s="227" t="inlineStr">
        <is>
          <t>ETR1000-CPR_05_2.05.1004_Logica di comando_Aprile2021.pdf</t>
        </is>
      </c>
      <c r="O19" s="228" t="n">
        <v>74</v>
      </c>
      <c r="P19" s="230">
        <f>HYPERLINK(CONCATENATE(Cartelle!$A$2,Cartelle!#REF!,Cartelle!#REF!,'PBS (TBD)'!N19,"#page=",'PBS (TBD)'!O19),"#")</f>
        <v/>
      </c>
      <c r="R19" s="232" t="n"/>
      <c r="S19" s="233" t="n"/>
      <c r="T19" s="232" t="n"/>
      <c r="U19" s="233" t="n"/>
      <c r="V19" s="232" t="n"/>
    </row>
    <row r="20" outlineLevel="2" s="594">
      <c r="A20" s="109" t="n"/>
      <c r="B20" s="128" t="inlineStr">
        <is>
          <t>MIO-S (DCS 7222B)</t>
        </is>
      </c>
      <c r="C20" s="129" t="inlineStr">
        <is>
          <t>3EST000230-5833</t>
        </is>
      </c>
      <c r="D20" s="109" t="n"/>
      <c r="E20" s="131" t="inlineStr">
        <is>
          <t>DM1-DM8</t>
        </is>
      </c>
      <c r="J20" s="110" t="n"/>
      <c r="K20" s="227" t="n"/>
      <c r="M20" s="229" t="n"/>
      <c r="N20" s="227" t="inlineStr">
        <is>
          <t>ETR1000-CPR_05_2.05.1004_Logica di comando_Aprile2021.pdf</t>
        </is>
      </c>
      <c r="O20" s="228" t="n">
        <v>84</v>
      </c>
      <c r="P20" s="230">
        <f>HYPERLINK(CONCATENATE(Cartelle!$A$2,Cartelle!#REF!,Cartelle!#REF!,'PBS (TBD)'!N20,"#page=",'PBS (TBD)'!O20),"#")</f>
        <v/>
      </c>
      <c r="R20" s="232" t="n"/>
      <c r="S20" s="233" t="n"/>
      <c r="T20" s="232" t="n"/>
      <c r="U20" s="233" t="n"/>
      <c r="V20" s="232" t="n"/>
    </row>
    <row r="21" outlineLevel="2" s="594">
      <c r="A21" s="109" t="n"/>
      <c r="B21" s="126" t="inlineStr">
        <is>
          <t>MIO-S-AI1+DXH2 (DCS 7220B)</t>
        </is>
      </c>
      <c r="C21" s="127" t="inlineStr">
        <is>
          <t>3EST000228-3394</t>
        </is>
      </c>
      <c r="D21" s="109" t="inlineStr">
        <is>
          <t>Tutte</t>
        </is>
      </c>
      <c r="E21" s="15" t="inlineStr">
        <is>
          <t>Tutte</t>
        </is>
      </c>
      <c r="J21" s="110" t="n"/>
      <c r="K21" s="227" t="inlineStr">
        <is>
          <t>ETR1000V300-MR1-05A-Logica di comando-03.pdf</t>
        </is>
      </c>
      <c r="L21" s="228" t="n">
        <v>175</v>
      </c>
      <c r="M21" s="229">
        <f>HYPERLINK(CONCATENATE(Cartelle!$A$2,Cartelle!$D$2,Cartelle!#REF!,'PBS (TBD)'!K21,"#page=",'PBS (TBD)'!L21),"#")</f>
        <v/>
      </c>
      <c r="N21" s="227" t="inlineStr">
        <is>
          <t>ETR1000-CPR_05_2.05.1004_Logica di comando_Aprile2021.pdf</t>
        </is>
      </c>
      <c r="O21" s="228" t="n">
        <v>76</v>
      </c>
      <c r="P21" s="230">
        <f>HYPERLINK(CONCATENATE(Cartelle!$A$2,Cartelle!#REF!,Cartelle!#REF!,'PBS (TBD)'!N21,"#page=",'PBS (TBD)'!O21),"#")</f>
        <v/>
      </c>
      <c r="R21" s="232" t="n"/>
      <c r="S21" s="233" t="n"/>
      <c r="T21" s="232" t="n"/>
      <c r="U21" s="233" t="n"/>
      <c r="V21" s="232" t="n"/>
    </row>
    <row r="22" outlineLevel="2" s="594">
      <c r="A22" s="109" t="n"/>
      <c r="B22" s="110" t="inlineStr">
        <is>
          <t>MIO-DXH4 (DCX 2222A)</t>
        </is>
      </c>
      <c r="C22" s="107" t="inlineStr">
        <is>
          <t>3EST000209-5696</t>
        </is>
      </c>
      <c r="D22" s="109" t="inlineStr">
        <is>
          <t>Tutte</t>
        </is>
      </c>
      <c r="E22" s="15" t="inlineStr">
        <is>
          <t>Tutte</t>
        </is>
      </c>
      <c r="J22" s="110" t="n"/>
      <c r="K22" s="227" t="inlineStr">
        <is>
          <t>ETR1000V300-MR1-05A-Logica di comando-03.pdf</t>
        </is>
      </c>
      <c r="L22" s="228" t="n">
        <v>150</v>
      </c>
      <c r="M22" s="229">
        <f>HYPERLINK(CONCATENATE(Cartelle!$A$2,Cartelle!$D$2,Cartelle!#REF!,'PBS (TBD)'!K22,"#page=",'PBS (TBD)'!L22),"#")</f>
        <v/>
      </c>
      <c r="N22" s="227" t="inlineStr">
        <is>
          <t>ETR1000-CPR_05_2.05.1004_Logica di comando_Aprile2021.pdf</t>
        </is>
      </c>
      <c r="O22" s="228" t="n">
        <v>62</v>
      </c>
      <c r="P22" s="230">
        <f>HYPERLINK(CONCATENATE(Cartelle!$A$2,Cartelle!#REF!,Cartelle!#REF!,'PBS (TBD)'!N22,"#page=",'PBS (TBD)'!O22),"#")</f>
        <v/>
      </c>
      <c r="R22" s="232" t="n"/>
      <c r="S22" s="233" t="n"/>
      <c r="T22" s="232" t="n"/>
      <c r="U22" s="233" t="n"/>
      <c r="V22" s="232" t="n"/>
    </row>
    <row r="23" outlineLevel="2" s="594">
      <c r="A23" s="109" t="n"/>
      <c r="B23" s="110" t="inlineStr">
        <is>
          <t>MIO-DX1H (DCX 2000A)</t>
        </is>
      </c>
      <c r="C23" s="107" t="inlineStr">
        <is>
          <t>3EST000209-5690</t>
        </is>
      </c>
      <c r="D23" s="109" t="inlineStr">
        <is>
          <t>M3</t>
        </is>
      </c>
      <c r="E23" s="133" t="inlineStr">
        <is>
          <t>M3</t>
        </is>
      </c>
      <c r="J23" s="110" t="n"/>
      <c r="K23" s="227" t="inlineStr">
        <is>
          <t>ETR1000V300-MR1-05A-Logica di comando-03.pdf</t>
        </is>
      </c>
      <c r="L23" s="228" t="n">
        <v>151</v>
      </c>
      <c r="M23" s="229">
        <f>HYPERLINK(CONCATENATE(Cartelle!$A$2,Cartelle!$D$2,Cartelle!#REF!,'PBS (TBD)'!K23,"#page=",'PBS (TBD)'!L23),"#")</f>
        <v/>
      </c>
      <c r="N23" s="227" t="inlineStr">
        <is>
          <t>ETR1000-CPR_05_2.05.1004_Logica di comando_Aprile2021.pdf</t>
        </is>
      </c>
      <c r="O23" s="228" t="n">
        <v>82</v>
      </c>
      <c r="P23" s="230">
        <f>HYPERLINK(CONCATENATE(Cartelle!$A$2,Cartelle!#REF!,Cartelle!#REF!,'PBS (TBD)'!N23,"#page=",'PBS (TBD)'!O23),"#")</f>
        <v/>
      </c>
      <c r="R23" s="232" t="n"/>
      <c r="S23" s="233" t="n"/>
      <c r="T23" s="232" t="n"/>
      <c r="U23" s="233" t="n"/>
      <c r="V23" s="232" t="n"/>
    </row>
    <row r="24" outlineLevel="2" s="594">
      <c r="A24" s="109" t="n"/>
      <c r="B24" s="110" t="inlineStr">
        <is>
          <t>MIO-DX3H (DCX 2220A)</t>
        </is>
      </c>
      <c r="C24" s="107" t="inlineStr">
        <is>
          <t>3EST000209-5694</t>
        </is>
      </c>
      <c r="D24" s="109" t="inlineStr">
        <is>
          <t>Tutte</t>
        </is>
      </c>
      <c r="E24" s="15" t="inlineStr">
        <is>
          <t>Tutte</t>
        </is>
      </c>
      <c r="J24" s="110" t="n"/>
      <c r="K24" s="227" t="inlineStr">
        <is>
          <t>ETR1000V300-MR1-05A-Logica di comando-03.pdf</t>
        </is>
      </c>
      <c r="L24" s="228" t="n">
        <v>151</v>
      </c>
      <c r="M24" s="229">
        <f>HYPERLINK(CONCATENATE(Cartelle!$A$2,Cartelle!$D$2,Cartelle!#REF!,'PBS (TBD)'!K24,"#page=",'PBS (TBD)'!L24),"#")</f>
        <v/>
      </c>
      <c r="N24" s="227" t="inlineStr">
        <is>
          <t>ETR1000-CPR_05_2.05.1004_Logica di comando_Aprile2021.pdf</t>
        </is>
      </c>
      <c r="O24" s="228" t="n">
        <v>66</v>
      </c>
      <c r="P24" s="230">
        <f>HYPERLINK(CONCATENATE(Cartelle!$A$2,Cartelle!#REF!,Cartelle!#REF!,'PBS (TBD)'!N24,"#page=",'PBS (TBD)'!O24),"#")</f>
        <v/>
      </c>
      <c r="R24" s="232" t="n"/>
      <c r="S24" s="233" t="n"/>
      <c r="T24" s="232" t="n"/>
      <c r="U24" s="233" t="n"/>
      <c r="V24" s="232" t="n"/>
    </row>
    <row r="25" outlineLevel="2" s="594">
      <c r="A25" s="109" t="n"/>
      <c r="B25" s="202" t="inlineStr">
        <is>
          <t>CDU-H03</t>
        </is>
      </c>
      <c r="C25" s="203" t="inlineStr">
        <is>
          <t>HW01107958-00</t>
        </is>
      </c>
      <c r="D25" s="109" t="n"/>
      <c r="H25" s="204" t="inlineStr">
        <is>
          <t>DM1-DM8</t>
        </is>
      </c>
      <c r="I25" s="204" t="inlineStr">
        <is>
          <t>DM1-DM8</t>
        </is>
      </c>
      <c r="J25" s="110" t="n"/>
      <c r="K25" s="227" t="inlineStr">
        <is>
          <t>ETR1000-V300ZEFIRO-R1_MR1-05A_R03.pdf</t>
        </is>
      </c>
      <c r="L25" s="228" t="n">
        <v>94</v>
      </c>
      <c r="M25" s="229">
        <f>HYPERLINK(CONCATENATE(Cartelle!$A$2,Cartelle!$D$2,Cartelle!#REF!,'PBS (TBD)'!K25,"#page=",'PBS (TBD)'!L25),"#")</f>
        <v/>
      </c>
      <c r="N25" s="227" t="n"/>
      <c r="O25" s="243" t="n"/>
      <c r="P25" s="230" t="n"/>
      <c r="R25" s="232" t="n"/>
      <c r="S25" s="233" t="n"/>
      <c r="T25" s="232" t="n"/>
      <c r="U25" s="233" t="n"/>
      <c r="V25" s="232" t="n"/>
    </row>
    <row r="26" outlineLevel="2" s="594">
      <c r="A26" s="109" t="n"/>
      <c r="B26" s="202" t="inlineStr">
        <is>
          <t>DU-H03</t>
        </is>
      </c>
      <c r="C26" s="203" t="inlineStr">
        <is>
          <t>HW02298449-00</t>
        </is>
      </c>
      <c r="D26" s="109" t="n"/>
      <c r="H26" s="204" t="inlineStr">
        <is>
          <t>DM1-DM8</t>
        </is>
      </c>
      <c r="I26" s="204" t="inlineStr">
        <is>
          <t>DM1-DM8</t>
        </is>
      </c>
      <c r="J26" s="110" t="n"/>
      <c r="K26" s="227" t="n"/>
      <c r="N26" s="227" t="n"/>
      <c r="P26" s="234" t="n"/>
      <c r="R26" s="232" t="n"/>
      <c r="S26" s="233" t="n"/>
      <c r="T26" s="232" t="n"/>
      <c r="U26" s="233" t="n"/>
      <c r="V26" s="232" t="n"/>
    </row>
    <row r="27" outlineLevel="2" s="594">
      <c r="A27" s="109" t="n"/>
      <c r="B27" s="202" t="inlineStr">
        <is>
          <t>DU-H04 (OBS)</t>
        </is>
      </c>
      <c r="C27" s="203" t="inlineStr">
        <is>
          <t>HW02298458-00</t>
        </is>
      </c>
      <c r="D27" s="109" t="n"/>
      <c r="H27" s="204" t="inlineStr">
        <is>
          <t>M3</t>
        </is>
      </c>
      <c r="I27" s="204" t="inlineStr">
        <is>
          <t>M3</t>
        </is>
      </c>
      <c r="J27" s="110" t="n"/>
      <c r="K27" s="227" t="n"/>
      <c r="N27" s="227" t="n"/>
      <c r="P27" s="234" t="n"/>
      <c r="R27" s="232" t="n"/>
      <c r="S27" s="233" t="n"/>
      <c r="T27" s="232" t="n"/>
      <c r="U27" s="233" t="n"/>
      <c r="V27" s="232" t="n"/>
    </row>
    <row r="28" outlineLevel="2" s="594">
      <c r="A28" s="109" t="n"/>
      <c r="B28" s="202" t="inlineStr">
        <is>
          <t>DU-H05 (PIS-ALG)</t>
        </is>
      </c>
      <c r="C28" s="203" t="inlineStr">
        <is>
          <t>HW02298473-00</t>
        </is>
      </c>
      <c r="D28" s="109" t="n"/>
      <c r="H28" s="204" t="inlineStr">
        <is>
          <t>M3</t>
        </is>
      </c>
      <c r="I28" s="204" t="inlineStr">
        <is>
          <t>M3</t>
        </is>
      </c>
      <c r="J28" s="110" t="n"/>
      <c r="K28" s="227" t="n"/>
      <c r="N28" s="227" t="n"/>
      <c r="P28" s="234" t="n"/>
      <c r="R28" s="232" t="n"/>
      <c r="S28" s="233" t="n"/>
      <c r="T28" s="232" t="n"/>
      <c r="U28" s="233" t="n"/>
      <c r="V28" s="232" t="n"/>
    </row>
    <row r="29" outlineLevel="2" s="594">
      <c r="A29" s="109" t="n"/>
      <c r="B29" s="202" t="inlineStr">
        <is>
          <t>RIO-LP (CUSFE684-H05)</t>
        </is>
      </c>
      <c r="C29" s="203" t="inlineStr">
        <is>
          <t>HW01107911-00</t>
        </is>
      </c>
      <c r="D29" s="109" t="n"/>
      <c r="H29" s="204" t="inlineStr">
        <is>
          <t>DM1-DM8</t>
        </is>
      </c>
      <c r="I29" s="204" t="inlineStr">
        <is>
          <t>DM1-DM8</t>
        </is>
      </c>
      <c r="J29" s="110" t="n"/>
      <c r="K29" s="227" t="n"/>
      <c r="N29" s="227" t="n"/>
      <c r="P29" s="234" t="n"/>
      <c r="R29" s="232" t="n"/>
      <c r="S29" s="233" t="n"/>
      <c r="T29" s="232" t="n"/>
      <c r="U29" s="233" t="n"/>
      <c r="V29" s="232" t="n"/>
    </row>
    <row r="30" outlineLevel="2" s="594">
      <c r="A30" s="109" t="n"/>
      <c r="B30" s="202" t="inlineStr">
        <is>
          <t>RIO-C5/C6 (CUSFE684-H06)</t>
        </is>
      </c>
      <c r="C30" s="203" t="inlineStr">
        <is>
          <t>HW01107914-00</t>
        </is>
      </c>
      <c r="D30" s="109" t="n"/>
      <c r="H30" s="204" t="inlineStr">
        <is>
          <t>DM1-DM8</t>
        </is>
      </c>
      <c r="I30" s="204" t="inlineStr">
        <is>
          <t>DM1-DM8</t>
        </is>
      </c>
      <c r="J30" s="110" t="n"/>
      <c r="K30" s="227" t="n"/>
      <c r="N30" s="227" t="n"/>
      <c r="P30" s="234" t="n"/>
      <c r="R30" s="232" t="n"/>
      <c r="S30" s="233" t="n"/>
      <c r="T30" s="232" t="n"/>
      <c r="U30" s="233" t="n"/>
      <c r="V30" s="232" t="n"/>
    </row>
    <row r="31" outlineLevel="2" s="594">
      <c r="A31" s="109" t="n"/>
      <c r="B31" s="202" t="inlineStr">
        <is>
          <t>RIO-EB-01 (CUSFE684-H01)</t>
        </is>
      </c>
      <c r="C31" s="203" t="inlineStr">
        <is>
          <t>HW01107901-00</t>
        </is>
      </c>
      <c r="D31" s="109" t="n"/>
      <c r="H31" s="204" t="inlineStr">
        <is>
          <t>DM1-DM8</t>
        </is>
      </c>
      <c r="I31" s="204" t="inlineStr">
        <is>
          <t>DM1-DM8</t>
        </is>
      </c>
      <c r="J31" s="110" t="n"/>
      <c r="K31" s="227" t="n"/>
      <c r="N31" s="227" t="inlineStr">
        <is>
          <t>ETR1000-V300ZEFIRO-R1_CPR-05A_2.05.1408_R02.pdf</t>
        </is>
      </c>
      <c r="O31" s="228" t="n">
        <v>40</v>
      </c>
      <c r="P31" s="230">
        <f>HYPERLINK(CONCATENATE(Cartelle!$A$2,Cartelle!#REF!,Cartelle!#REF!,'PBS (TBD)'!N31,"#page=",'PBS (TBD)'!O31),"#")</f>
        <v/>
      </c>
      <c r="R31" s="232" t="n"/>
      <c r="S31" s="233" t="n"/>
      <c r="T31" s="232" t="n"/>
      <c r="U31" s="233" t="n"/>
      <c r="V31" s="232" t="n"/>
    </row>
    <row r="32" outlineLevel="2" s="594">
      <c r="A32" s="109" t="n"/>
      <c r="B32" s="202" t="inlineStr">
        <is>
          <t>RIO-EB-02 (CUSFE684-H02)</t>
        </is>
      </c>
      <c r="C32" s="203" t="inlineStr">
        <is>
          <t>HW01107904-00</t>
        </is>
      </c>
      <c r="D32" s="109" t="n"/>
      <c r="H32" s="204" t="inlineStr">
        <is>
          <t>TT2-TT7</t>
        </is>
      </c>
      <c r="I32" s="204" t="inlineStr">
        <is>
          <t>TT2-TT7</t>
        </is>
      </c>
      <c r="J32" s="110" t="n"/>
      <c r="K32" s="227" t="n"/>
      <c r="N32" s="227" t="n"/>
      <c r="P32" s="234" t="n"/>
      <c r="R32" s="232" t="n"/>
      <c r="S32" s="233" t="n"/>
      <c r="T32" s="232" t="n"/>
      <c r="U32" s="233" t="n"/>
      <c r="V32" s="232" t="n"/>
    </row>
    <row r="33" outlineLevel="2" s="594">
      <c r="A33" s="109" t="n"/>
      <c r="B33" s="202" t="inlineStr">
        <is>
          <t>RIO-EB-03 (CUSFE684-H03)</t>
        </is>
      </c>
      <c r="C33" s="203" t="inlineStr">
        <is>
          <t>HW01107905-00</t>
        </is>
      </c>
      <c r="D33" s="109" t="n"/>
      <c r="H33" s="204" t="inlineStr">
        <is>
          <t>M3-M6</t>
        </is>
      </c>
      <c r="I33" s="204" t="inlineStr">
        <is>
          <t>M3-M6</t>
        </is>
      </c>
      <c r="J33" s="110" t="n"/>
      <c r="K33" s="227" t="n"/>
      <c r="N33" s="227" t="n"/>
      <c r="P33" s="234" t="n"/>
      <c r="R33" s="232" t="n"/>
      <c r="S33" s="233" t="n"/>
      <c r="T33" s="232" t="n"/>
      <c r="U33" s="233" t="n"/>
      <c r="V33" s="232" t="n"/>
    </row>
    <row r="34" outlineLevel="2" s="594">
      <c r="A34" s="109" t="n"/>
      <c r="B34" s="202" t="inlineStr">
        <is>
          <t>RIO-EB-04 (CUSFE684-H04)</t>
        </is>
      </c>
      <c r="C34" s="203" t="inlineStr">
        <is>
          <t>HW01107908-00</t>
        </is>
      </c>
      <c r="D34" s="109" t="n"/>
      <c r="H34" s="204" t="inlineStr">
        <is>
          <t>T4-T5</t>
        </is>
      </c>
      <c r="I34" s="204" t="inlineStr">
        <is>
          <t>T4-T5</t>
        </is>
      </c>
      <c r="J34" s="110" t="n"/>
      <c r="K34" s="227" t="n"/>
      <c r="N34" s="227" t="n"/>
      <c r="P34" s="234" t="n"/>
      <c r="R34" s="232" t="n"/>
      <c r="S34" s="233" t="n"/>
      <c r="T34" s="232" t="n"/>
      <c r="U34" s="233" t="n"/>
      <c r="V34" s="232" t="n"/>
    </row>
    <row r="35" outlineLevel="2" ht="30" customHeight="1" s="594">
      <c r="A35" s="109" t="n"/>
      <c r="B35" s="202" t="inlineStr">
        <is>
          <t>RIO-C2-01 (CURSE32-H01)</t>
        </is>
      </c>
      <c r="C35" s="203" t="inlineStr">
        <is>
          <t>HW01107953-00</t>
        </is>
      </c>
      <c r="D35" s="109" t="n"/>
      <c r="H35" s="204" t="inlineStr">
        <is>
          <t>DM1-TT2-M3-M6-TT7-DM8</t>
        </is>
      </c>
      <c r="I35" s="204" t="inlineStr">
        <is>
          <t>DM1-TT2-M3-M6-TT7-DM8</t>
        </is>
      </c>
      <c r="J35" s="110" t="n"/>
      <c r="K35" s="227" t="n"/>
      <c r="N35" s="227" t="n"/>
      <c r="P35" s="234" t="n"/>
      <c r="R35" s="232" t="n"/>
      <c r="S35" s="233" t="n"/>
      <c r="T35" s="232" t="n"/>
      <c r="U35" s="233" t="n"/>
      <c r="V35" s="232" t="n"/>
    </row>
    <row r="36" outlineLevel="2" s="594">
      <c r="A36" s="109" t="n"/>
      <c r="B36" s="202" t="inlineStr">
        <is>
          <t>RIO-C2-02 (CURSE32-H02)</t>
        </is>
      </c>
      <c r="C36" s="203" t="inlineStr">
        <is>
          <t>HW01107954-00</t>
        </is>
      </c>
      <c r="D36" s="109" t="n"/>
      <c r="H36" s="204" t="inlineStr">
        <is>
          <t>T4-T5</t>
        </is>
      </c>
      <c r="I36" s="204" t="inlineStr">
        <is>
          <t>T4-T5</t>
        </is>
      </c>
      <c r="J36" s="110" t="n"/>
      <c r="K36" s="227" t="n"/>
      <c r="N36" s="227" t="n"/>
      <c r="P36" s="234" t="n"/>
      <c r="R36" s="232" t="n"/>
      <c r="S36" s="233" t="n"/>
      <c r="T36" s="232" t="n"/>
      <c r="U36" s="233" t="n"/>
      <c r="V36" s="232" t="n"/>
    </row>
    <row r="37" outlineLevel="1" s="594">
      <c r="A37" s="199" t="n"/>
      <c r="B37" s="118" t="inlineStr">
        <is>
          <t>DIAGNOSTICA</t>
        </is>
      </c>
      <c r="C37" s="201" t="n"/>
      <c r="D37" s="199" t="inlineStr">
        <is>
          <t>..</t>
        </is>
      </c>
      <c r="E37" s="172" t="inlineStr">
        <is>
          <t>..</t>
        </is>
      </c>
      <c r="F37" s="172" t="inlineStr">
        <is>
          <t>..</t>
        </is>
      </c>
      <c r="G37" s="172" t="inlineStr">
        <is>
          <t>..</t>
        </is>
      </c>
      <c r="H37" s="172" t="inlineStr">
        <is>
          <t>..</t>
        </is>
      </c>
      <c r="I37" s="172" t="inlineStr">
        <is>
          <t>..</t>
        </is>
      </c>
      <c r="J37" s="200" t="inlineStr">
        <is>
          <t>..</t>
        </is>
      </c>
      <c r="K37" s="221" t="n"/>
      <c r="L37" s="222" t="n"/>
      <c r="M37" s="222" t="n"/>
      <c r="N37" s="221" t="n"/>
      <c r="O37" s="222" t="n"/>
      <c r="P37" s="223" t="n"/>
      <c r="Q37" s="224" t="n"/>
      <c r="R37" s="225" t="n"/>
      <c r="S37" s="226" t="n"/>
      <c r="T37" s="225" t="n"/>
      <c r="U37" s="226" t="n"/>
      <c r="V37" s="225" t="n"/>
    </row>
    <row r="38" outlineLevel="2" s="594">
      <c r="A38" s="109" t="n"/>
      <c r="B38" s="126" t="inlineStr">
        <is>
          <t>MCG (DCZ 2424B)</t>
        </is>
      </c>
      <c r="C38" s="127" t="inlineStr">
        <is>
          <t>3EST000225-7169</t>
        </is>
      </c>
      <c r="D38" s="109" t="inlineStr">
        <is>
          <t>X</t>
        </is>
      </c>
      <c r="J38" s="110" t="n"/>
      <c r="K38" s="227" t="inlineStr">
        <is>
          <t>ETR1000V300-MR1-05A-Logica di comando-03.pdf</t>
        </is>
      </c>
      <c r="L38" s="228" t="n">
        <v>152</v>
      </c>
      <c r="M38" s="229">
        <f>HYPERLINK(CONCATENATE(Cartelle!$A$2,Cartelle!$D$2,Cartelle!#REF!,'PBS (TBD)'!K38,"#page=",'PBS (TBD)'!L38),"#")</f>
        <v/>
      </c>
      <c r="N38" s="227" t="inlineStr">
        <is>
          <t>ETR1000-CPR_05_2.05.1004_Logica di comando_Aprile2021.pdf</t>
        </is>
      </c>
      <c r="O38" s="228" t="n">
        <v>84</v>
      </c>
      <c r="P38" s="230">
        <f>HYPERLINK(CONCATENATE(Cartelle!$A$2,Cartelle!#REF!,Cartelle!#REF!,'PBS (TBD)'!N38,"#page=",'PBS (TBD)'!O38),"#")</f>
        <v/>
      </c>
      <c r="R38" s="232" t="n"/>
      <c r="S38" s="233" t="n"/>
      <c r="T38" s="232" t="n"/>
      <c r="U38" s="233" t="n"/>
      <c r="V38" s="232" t="n"/>
    </row>
    <row r="39" outlineLevel="2" s="594">
      <c r="A39" s="109" t="n"/>
      <c r="B39" s="128" t="inlineStr">
        <is>
          <t>MCG</t>
        </is>
      </c>
      <c r="C39" s="129" t="inlineStr">
        <is>
          <t>3EST000234-1560</t>
        </is>
      </c>
      <c r="D39" s="130" t="n"/>
      <c r="E39" s="131" t="inlineStr">
        <is>
          <t>X</t>
        </is>
      </c>
      <c r="J39" s="110" t="n"/>
      <c r="K39" s="227" t="n"/>
      <c r="N39" s="227" t="inlineStr">
        <is>
          <t>ETR1000-CPR_05_2.05.1004_Logica di comando_Aprile2021.pdf</t>
        </is>
      </c>
      <c r="O39" s="228" t="n">
        <v>32</v>
      </c>
      <c r="P39" s="230">
        <f>HYPERLINK(CONCATENATE(Cartelle!$A$2,Cartelle!#REF!,Cartelle!#REF!,'PBS (TBD)'!N39,"#page=",'PBS (TBD)'!O39),"#")</f>
        <v/>
      </c>
      <c r="R39" s="232" t="n"/>
      <c r="S39" s="233" t="n"/>
      <c r="T39" s="232" t="n"/>
      <c r="U39" s="233" t="n"/>
      <c r="V39" s="232" t="n"/>
    </row>
    <row r="40" outlineLevel="2" s="594">
      <c r="A40" s="109" t="n"/>
      <c r="B40" s="126" t="inlineStr">
        <is>
          <t>IDU</t>
        </is>
      </c>
      <c r="C40" s="127" t="inlineStr">
        <is>
          <t>3EST000223-8802</t>
        </is>
      </c>
      <c r="D40" s="132" t="inlineStr">
        <is>
          <t>DM1-M3-DM8</t>
        </is>
      </c>
      <c r="E40" s="133" t="inlineStr">
        <is>
          <t>DM1-M3-DM8</t>
        </is>
      </c>
      <c r="J40" s="110" t="n"/>
      <c r="K40" s="227" t="n"/>
      <c r="N40" s="227" t="inlineStr">
        <is>
          <t>ETR1000-CPR_05_2.05.1004_Logica di comando_Aprile2021.pdf</t>
        </is>
      </c>
      <c r="O40" s="228" t="n">
        <v>32</v>
      </c>
      <c r="P40" s="230">
        <f>HYPERLINK(CONCATENATE(Cartelle!$A$2,Cartelle!#REF!,Cartelle!#REF!,'PBS (TBD)'!N40,"#page=",'PBS (TBD)'!O40),"#")</f>
        <v/>
      </c>
      <c r="R40" s="232" t="n"/>
      <c r="S40" s="233" t="n"/>
      <c r="T40" s="232" t="n"/>
      <c r="U40" s="233" t="n"/>
      <c r="V40" s="232" t="n"/>
    </row>
    <row r="41" outlineLevel="2" s="594">
      <c r="A41" s="109" t="n"/>
      <c r="B41" s="202" t="inlineStr">
        <is>
          <t>IDU</t>
        </is>
      </c>
      <c r="C41" s="203" t="inlineStr">
        <is>
          <t>EC030021237P01</t>
        </is>
      </c>
      <c r="D41" s="109" t="n"/>
      <c r="H41" s="204" t="inlineStr">
        <is>
          <t>DM1-M3-DM8</t>
        </is>
      </c>
      <c r="I41" s="204" t="inlineStr">
        <is>
          <t>DM1-M3-DM8</t>
        </is>
      </c>
      <c r="J41" s="110" t="n"/>
      <c r="K41" s="227" t="inlineStr">
        <is>
          <t>ETR1000-V300ZEFIRO-R1_MR1-05A_R03.pdf</t>
        </is>
      </c>
      <c r="L41" s="228" t="n">
        <v>98</v>
      </c>
      <c r="M41" s="229">
        <f>HYPERLINK(CONCATENATE(Cartelle!$A$2,Cartelle!$D$2,Cartelle!#REF!,'PBS (TBD)'!K41,"#page=",'PBS (TBD)'!L41),"#")</f>
        <v/>
      </c>
      <c r="N41" s="227" t="n"/>
      <c r="P41" s="234" t="n"/>
      <c r="R41" s="232" t="n"/>
      <c r="S41" s="233" t="n"/>
      <c r="T41" s="232" t="n"/>
      <c r="U41" s="233" t="n"/>
      <c r="V41" s="232" t="n"/>
    </row>
    <row r="42" outlineLevel="1" s="594">
      <c r="A42" s="199" t="n"/>
      <c r="B42" s="118" t="inlineStr">
        <is>
          <t>RETE / COMUNICAZIONE</t>
        </is>
      </c>
      <c r="C42" s="201" t="n"/>
      <c r="D42" s="199" t="inlineStr">
        <is>
          <t>..</t>
        </is>
      </c>
      <c r="E42" s="172" t="inlineStr">
        <is>
          <t>..</t>
        </is>
      </c>
      <c r="F42" s="172" t="inlineStr">
        <is>
          <t>..</t>
        </is>
      </c>
      <c r="G42" s="172" t="inlineStr">
        <is>
          <t>..</t>
        </is>
      </c>
      <c r="H42" s="172" t="inlineStr">
        <is>
          <t>..</t>
        </is>
      </c>
      <c r="I42" s="172" t="inlineStr">
        <is>
          <t>..</t>
        </is>
      </c>
      <c r="J42" s="200" t="inlineStr">
        <is>
          <t>..</t>
        </is>
      </c>
      <c r="K42" s="221" t="n"/>
      <c r="L42" s="222" t="n"/>
      <c r="M42" s="222" t="n"/>
      <c r="N42" s="221" t="n"/>
      <c r="O42" s="222" t="n"/>
      <c r="P42" s="223" t="n"/>
      <c r="Q42" s="224" t="n"/>
      <c r="R42" s="225" t="n"/>
      <c r="S42" s="226" t="n"/>
      <c r="T42" s="225" t="n"/>
      <c r="U42" s="226" t="n"/>
      <c r="V42" s="225" t="n"/>
    </row>
    <row r="43" outlineLevel="2" s="594">
      <c r="A43" s="109" t="n"/>
      <c r="B43" s="110" t="inlineStr">
        <is>
          <t>MCG Antenna WLAN/GSM GPS</t>
        </is>
      </c>
      <c r="C43" s="107" t="inlineStr">
        <is>
          <t>3EST000212-2155</t>
        </is>
      </c>
      <c r="D43" s="109" t="inlineStr">
        <is>
          <t>M3</t>
        </is>
      </c>
      <c r="J43" s="110" t="n"/>
      <c r="K43" s="227" t="inlineStr">
        <is>
          <t>ETR1000V300-MR1-05A-Logica di comando-03.pdf</t>
        </is>
      </c>
      <c r="L43" s="228" t="n">
        <v>163</v>
      </c>
      <c r="M43" s="229">
        <f>HYPERLINK(CONCATENATE(Cartelle!$A$2,Cartelle!$D$2,Cartelle!#REF!,'PBS (TBD)'!K43,"#page=",'PBS (TBD)'!L43),"#")</f>
        <v/>
      </c>
      <c r="N43" s="227" t="inlineStr">
        <is>
          <t>ETR1000-CPR_05_2.05.1004_Logica di comando_Aprile2021.pdf</t>
        </is>
      </c>
      <c r="O43" s="228" t="n">
        <v>32</v>
      </c>
      <c r="P43" s="230">
        <f>HYPERLINK(CONCATENATE(Cartelle!$A$2,Cartelle!#REF!,Cartelle!#REF!,'PBS (TBD)'!N43,"#page=",'PBS (TBD)'!O43),"#")</f>
        <v/>
      </c>
      <c r="R43" s="232" t="n"/>
      <c r="S43" s="233" t="n"/>
      <c r="T43" s="232" t="n"/>
      <c r="U43" s="233" t="n"/>
      <c r="V43" s="232" t="n"/>
    </row>
    <row r="44" outlineLevel="2" s="594">
      <c r="A44" s="109" t="n"/>
      <c r="B44" s="128" t="inlineStr">
        <is>
          <t xml:space="preserve"> MCG Antenna WLAN/GSM GPS</t>
        </is>
      </c>
      <c r="C44" s="129" t="inlineStr">
        <is>
          <t>3EH-232550R0005</t>
        </is>
      </c>
      <c r="D44" s="130" t="n"/>
      <c r="E44" s="131" t="inlineStr">
        <is>
          <t>M3</t>
        </is>
      </c>
      <c r="J44" s="110" t="n"/>
      <c r="K44" s="227" t="n"/>
      <c r="N44" s="227" t="inlineStr">
        <is>
          <t>ETR1000-CPR_05_2.05.1004_Logica di comando_Aprile2021.pdf</t>
        </is>
      </c>
      <c r="O44" s="228" t="n">
        <v>32</v>
      </c>
      <c r="P44" s="230">
        <f>HYPERLINK(CONCATENATE(Cartelle!$A$2,Cartelle!#REF!,Cartelle!#REF!,'PBS (TBD)'!N44,"#page=",'PBS (TBD)'!O44),"#")</f>
        <v/>
      </c>
      <c r="R44" s="232" t="n"/>
      <c r="S44" s="233" t="n"/>
      <c r="T44" s="232" t="n"/>
      <c r="U44" s="233" t="n"/>
      <c r="V44" s="232" t="n"/>
    </row>
    <row r="45" outlineLevel="2" s="594">
      <c r="A45" s="109" t="n"/>
      <c r="B45" s="110" t="inlineStr">
        <is>
          <t>TCN GW-S DCY 1703A</t>
        </is>
      </c>
      <c r="C45" s="107" t="inlineStr">
        <is>
          <t>EST000221-6460</t>
        </is>
      </c>
      <c r="D45" s="109" t="inlineStr">
        <is>
          <t>DM1-DM8</t>
        </is>
      </c>
      <c r="E45" s="15" t="inlineStr">
        <is>
          <t>DM1-DM8</t>
        </is>
      </c>
      <c r="J45" s="110" t="n"/>
      <c r="K45" s="227" t="inlineStr">
        <is>
          <t>ETR1000V300-MR1-05B-02- Logica di comando - Nodo TCN.pdf</t>
        </is>
      </c>
      <c r="L45" s="228" t="n">
        <v>113</v>
      </c>
      <c r="M45" s="229">
        <f>HYPERLINK(CONCATENATE(Cartelle!$A$2,Cartelle!$D$2,Cartelle!#REF!,'PBS (TBD)'!K45,"#page=",'PBS (TBD)'!L45),"#")</f>
        <v/>
      </c>
      <c r="N45" s="227" t="inlineStr">
        <is>
          <t>ETR1000-CPR_05_2.05.1004_Logica di comando_Aprile2021.pdf</t>
        </is>
      </c>
      <c r="O45" s="228" t="n">
        <v>58</v>
      </c>
      <c r="P45" s="230">
        <f>HYPERLINK(CONCATENATE(Cartelle!$A$2,Cartelle!#REF!,Cartelle!#REF!,'PBS (TBD)'!N45,"#page=",'PBS (TBD)'!O45),"#")</f>
        <v/>
      </c>
      <c r="R45" s="232" t="n"/>
      <c r="S45" s="233" t="n"/>
      <c r="T45" s="232" t="n"/>
      <c r="U45" s="233" t="n"/>
      <c r="V45" s="232" t="n"/>
    </row>
    <row r="46" outlineLevel="2" s="594">
      <c r="A46" s="109" t="n"/>
      <c r="B46" s="126" t="inlineStr">
        <is>
          <t>IP Train Switch</t>
        </is>
      </c>
      <c r="C46" s="127" t="inlineStr">
        <is>
          <t>3EST000212-3000</t>
        </is>
      </c>
      <c r="D46" s="109" t="inlineStr">
        <is>
          <t>DM1-DM8</t>
        </is>
      </c>
      <c r="J46" s="110" t="n"/>
      <c r="K46" s="227" t="inlineStr">
        <is>
          <t>ETR1000V300-MR1-05A-Logica di comando-03.pdf</t>
        </is>
      </c>
      <c r="L46" s="228" t="n">
        <v>128</v>
      </c>
      <c r="M46" s="229">
        <f>HYPERLINK(CONCATENATE(Cartelle!$A$2,Cartelle!$D$2,Cartelle!#REF!,'PBS (TBD)'!K46,"#page=",'PBS (TBD)'!L46),"#")</f>
        <v/>
      </c>
      <c r="N46" s="227" t="inlineStr">
        <is>
          <t>ETR1000-CPR_05_2.05.1004_Logica di comando_Aprile2021.pdf</t>
        </is>
      </c>
      <c r="O46" s="228" t="n">
        <v>28</v>
      </c>
      <c r="P46" s="230">
        <f>HYPERLINK(CONCATENATE(Cartelle!$A$2,Cartelle!#REF!,Cartelle!#REF!,'PBS (TBD)'!N46,"#page=",'PBS (TBD)'!O46),"#")</f>
        <v/>
      </c>
      <c r="R46" s="232" t="n"/>
      <c r="S46" s="233" t="n"/>
      <c r="T46" s="232" t="n"/>
      <c r="U46" s="233" t="n"/>
      <c r="V46" s="232" t="n"/>
    </row>
    <row r="47" outlineLevel="2" s="594">
      <c r="A47" s="109" t="n"/>
      <c r="B47" s="128" t="inlineStr">
        <is>
          <t>IP Train Switch</t>
        </is>
      </c>
      <c r="C47" s="129" t="inlineStr">
        <is>
          <t>3EST000236-6769</t>
        </is>
      </c>
      <c r="D47" s="130" t="n"/>
      <c r="E47" s="131" t="inlineStr">
        <is>
          <t>DM1-DM8</t>
        </is>
      </c>
      <c r="J47" s="110" t="n"/>
      <c r="K47" s="227" t="n"/>
      <c r="N47" s="227" t="inlineStr">
        <is>
          <t>ETR1000-CPR_05_2.05.1004_Logica di comando_Aprile2021.pdf</t>
        </is>
      </c>
      <c r="O47" s="228" t="n">
        <v>28</v>
      </c>
      <c r="P47" s="230">
        <f>HYPERLINK(CONCATENATE(Cartelle!$A$2,Cartelle!#REF!,Cartelle!#REF!,'PBS (TBD)'!N47,"#page=",'PBS (TBD)'!O47),"#")</f>
        <v/>
      </c>
      <c r="R47" s="232" t="n"/>
      <c r="S47" s="233" t="n"/>
      <c r="T47" s="232" t="n"/>
      <c r="U47" s="233" t="n"/>
      <c r="V47" s="232" t="n"/>
    </row>
    <row r="48" outlineLevel="2" s="594">
      <c r="A48" s="109" t="n"/>
      <c r="B48" s="126" t="inlineStr">
        <is>
          <t>IP Train Repeater</t>
        </is>
      </c>
      <c r="C48" s="127" t="inlineStr">
        <is>
          <t>3EST000212-3010</t>
        </is>
      </c>
      <c r="D48" s="109" t="inlineStr">
        <is>
          <t>M3-T4-T5</t>
        </is>
      </c>
      <c r="J48" s="110" t="n"/>
      <c r="K48" s="227" t="inlineStr">
        <is>
          <t>ETR1000V300-MR1-05A-Logica di comando-03.pdf</t>
        </is>
      </c>
      <c r="L48" s="228" t="n">
        <v>132</v>
      </c>
      <c r="M48" s="229">
        <f>HYPERLINK(CONCATENATE(Cartelle!$A$2,Cartelle!$D$2,Cartelle!#REF!,'PBS (TBD)'!K48,"#page=",'PBS (TBD)'!L48),"#")</f>
        <v/>
      </c>
      <c r="N48" s="227" t="inlineStr">
        <is>
          <t>ETR1000-CPR_05_2.05.1004_Logica di comando_Aprile2021.pdf</t>
        </is>
      </c>
      <c r="O48" s="228" t="n">
        <v>32</v>
      </c>
      <c r="P48" s="230">
        <f>HYPERLINK(CONCATENATE(Cartelle!$A$2,Cartelle!#REF!,Cartelle!#REF!,'PBS (TBD)'!N48,"#page=",'PBS (TBD)'!O48),"#")</f>
        <v/>
      </c>
      <c r="R48" s="232" t="n"/>
      <c r="S48" s="233" t="n"/>
      <c r="T48" s="232" t="n"/>
      <c r="U48" s="233" t="n"/>
      <c r="V48" s="232" t="n"/>
    </row>
    <row r="49" outlineLevel="2" s="594">
      <c r="A49" s="109" t="n"/>
      <c r="B49" s="124" t="inlineStr">
        <is>
          <t>IP Train Repeater</t>
        </is>
      </c>
      <c r="C49" s="125" t="inlineStr">
        <is>
          <t>3EST000236-6770</t>
        </is>
      </c>
      <c r="D49" s="109" t="n"/>
      <c r="E49" s="15" t="inlineStr">
        <is>
          <t>M3-T4-T5</t>
        </is>
      </c>
      <c r="J49" s="110" t="n"/>
      <c r="K49" s="227" t="n"/>
      <c r="N49" s="227" t="inlineStr">
        <is>
          <t>ETR1000-CPR_05_2.05.1004_Logica di comando_Aprile2021.pdf</t>
        </is>
      </c>
      <c r="O49" s="228" t="n">
        <v>32</v>
      </c>
      <c r="P49" s="230">
        <f>HYPERLINK(CONCATENATE(Cartelle!$A$2,Cartelle!#REF!,Cartelle!#REF!,'PBS (TBD)'!N49,"#page=",'PBS (TBD)'!O49),"#")</f>
        <v/>
      </c>
      <c r="R49" s="232" t="n"/>
      <c r="S49" s="233" t="n"/>
      <c r="T49" s="232" t="n"/>
      <c r="U49" s="233" t="n"/>
      <c r="V49" s="232" t="n"/>
    </row>
    <row r="50" outlineLevel="2" s="594">
      <c r="A50" s="109" t="n"/>
      <c r="B50" s="126" t="inlineStr">
        <is>
          <t>IP Ring Switch</t>
        </is>
      </c>
      <c r="C50" s="127" t="inlineStr">
        <is>
          <t>3EST000225-7297</t>
        </is>
      </c>
      <c r="D50" s="109" t="inlineStr">
        <is>
          <t>Tutte</t>
        </is>
      </c>
      <c r="J50" s="110" t="n"/>
      <c r="K50" s="227" t="inlineStr">
        <is>
          <t>ETR1000V300-MR1-05A-Logica di comando-03.pdf</t>
        </is>
      </c>
      <c r="L50" s="228" t="n">
        <v>136</v>
      </c>
      <c r="M50" s="229">
        <f>HYPERLINK(CONCATENATE(Cartelle!$A$2,Cartelle!$D$2,Cartelle!#REF!,'PBS (TBD)'!K50,"#page=",'PBS (TBD)'!L50),"#")</f>
        <v/>
      </c>
      <c r="N50" s="227" t="inlineStr">
        <is>
          <t>ETR1000-CPR_05_2.05.1004_Logica di comando_Aprile2021.pdf</t>
        </is>
      </c>
      <c r="O50" s="228" t="n">
        <v>28</v>
      </c>
      <c r="P50" s="230">
        <f>HYPERLINK(CONCATENATE(Cartelle!$A$2,Cartelle!#REF!,Cartelle!#REF!,'PBS (TBD)'!N50,"#page=",'PBS (TBD)'!O50),"#")</f>
        <v/>
      </c>
      <c r="R50" s="232" t="n"/>
      <c r="S50" s="233" t="n"/>
      <c r="T50" s="232" t="n"/>
      <c r="U50" s="233" t="n"/>
      <c r="V50" s="232" t="n"/>
    </row>
    <row r="51" outlineLevel="2" s="594">
      <c r="A51" s="109" t="n"/>
      <c r="B51" s="128" t="inlineStr">
        <is>
          <t>IP Ring Switch</t>
        </is>
      </c>
      <c r="C51" s="129" t="inlineStr">
        <is>
          <t>3EST000235-7837</t>
        </is>
      </c>
      <c r="D51" s="130" t="n"/>
      <c r="E51" s="131" t="inlineStr">
        <is>
          <t>DM1</t>
        </is>
      </c>
      <c r="J51" s="110" t="n"/>
      <c r="K51" s="227" t="n"/>
      <c r="N51" s="227" t="inlineStr">
        <is>
          <t>ETR1000-CPR_05_2.05.1004_Logica di comando_Aprile2021.pdf</t>
        </is>
      </c>
      <c r="O51" s="228" t="n">
        <v>28</v>
      </c>
      <c r="P51" s="230">
        <f>HYPERLINK(CONCATENATE(Cartelle!$A$2,Cartelle!#REF!,Cartelle!#REF!,'PBS (TBD)'!N51,"#page=",'PBS (TBD)'!O51),"#")</f>
        <v/>
      </c>
      <c r="R51" s="232" t="n"/>
      <c r="S51" s="233" t="n"/>
      <c r="T51" s="232" t="n"/>
      <c r="U51" s="233" t="n"/>
      <c r="V51" s="232" t="n"/>
    </row>
    <row r="52" outlineLevel="2" s="594">
      <c r="A52" s="109" t="n"/>
      <c r="B52" s="128" t="inlineStr">
        <is>
          <t>IP Ring Switch</t>
        </is>
      </c>
      <c r="C52" s="129" t="inlineStr">
        <is>
          <t>3EST000234-7837</t>
        </is>
      </c>
      <c r="D52" s="130" t="n"/>
      <c r="E52" s="131" t="inlineStr">
        <is>
          <t>DM8</t>
        </is>
      </c>
      <c r="J52" s="110" t="n"/>
      <c r="K52" s="227" t="n"/>
      <c r="N52" s="227" t="inlineStr">
        <is>
          <t>ETR1000-CPR_05_2.05.1004_Logica di comando_Aprile2021.pdf</t>
        </is>
      </c>
      <c r="O52" s="228" t="n">
        <v>28</v>
      </c>
      <c r="P52" s="230">
        <f>HYPERLINK(CONCATENATE(Cartelle!$A$2,Cartelle!#REF!,Cartelle!#REF!,'PBS (TBD)'!N52,"#page=",'PBS (TBD)'!O52),"#")</f>
        <v/>
      </c>
      <c r="R52" s="232" t="n"/>
      <c r="S52" s="233" t="n"/>
      <c r="T52" s="232" t="n"/>
      <c r="U52" s="233" t="n"/>
      <c r="V52" s="232" t="n"/>
    </row>
    <row r="53" outlineLevel="2" s="594">
      <c r="A53" s="109" t="n"/>
      <c r="B53" s="110" t="inlineStr">
        <is>
          <t>BUS Coupler BCT 12KF04</t>
        </is>
      </c>
      <c r="C53" s="107" t="inlineStr">
        <is>
          <t>EGM032400R0001</t>
        </is>
      </c>
      <c r="D53" s="109" t="inlineStr">
        <is>
          <t>TT2-T5-TT7</t>
        </is>
      </c>
      <c r="E53" s="15" t="inlineStr">
        <is>
          <t>TT2-T5-TT7</t>
        </is>
      </c>
      <c r="J53" s="110" t="n"/>
      <c r="K53" s="227" t="inlineStr">
        <is>
          <t>ETR1000V300-MR1-05A-Logica di comando-03.pdf</t>
        </is>
      </c>
      <c r="L53" s="228" t="n">
        <v>137</v>
      </c>
      <c r="M53" s="229">
        <f>HYPERLINK(CONCATENATE(Cartelle!$A$2,Cartelle!$D$2,Cartelle!#REF!,'PBS (TBD)'!K53,"#page=",'PBS (TBD)'!L53),"#")</f>
        <v/>
      </c>
      <c r="N53" s="227" t="inlineStr">
        <is>
          <t>ETR1000-CPR_05_2.05.1004_Logica di comando_Aprile2021.pdf</t>
        </is>
      </c>
      <c r="O53" s="228" t="n">
        <v>30</v>
      </c>
      <c r="P53" s="230">
        <f>HYPERLINK(CONCATENATE(Cartelle!$A$2,Cartelle!#REF!,Cartelle!#REF!,'PBS (TBD)'!N53,"#page=",'PBS (TBD)'!O53),"#")</f>
        <v/>
      </c>
      <c r="R53" s="232" t="n"/>
      <c r="S53" s="233" t="n"/>
      <c r="T53" s="232" t="n"/>
      <c r="U53" s="233" t="n"/>
      <c r="V53" s="232" t="n"/>
    </row>
    <row r="54" outlineLevel="2" ht="30" customHeight="1" s="594">
      <c r="A54" s="109" t="n"/>
      <c r="B54" s="202" t="inlineStr">
        <is>
          <t>Switch CS 14P NoPoE 1ByPX (NODC14NC02)</t>
        </is>
      </c>
      <c r="C54" s="203" t="inlineStr">
        <is>
          <t>EC030021125P14C001</t>
        </is>
      </c>
      <c r="D54" s="109" t="n"/>
      <c r="H54" s="204" t="inlineStr">
        <is>
          <t>Tutte</t>
        </is>
      </c>
      <c r="I54" s="204" t="inlineStr">
        <is>
          <t>Tutte</t>
        </is>
      </c>
      <c r="J54" s="110" t="n"/>
      <c r="K54" s="227" t="n"/>
      <c r="N54" s="227" t="n"/>
      <c r="P54" s="234" t="n"/>
      <c r="R54" s="232" t="n"/>
      <c r="S54" s="233" t="n"/>
      <c r="T54" s="232" t="n"/>
      <c r="U54" s="233" t="n"/>
      <c r="V54" s="232" t="n"/>
    </row>
    <row r="55" outlineLevel="2" ht="30" customHeight="1" s="594">
      <c r="A55" s="109" t="n"/>
      <c r="B55" s="202" t="inlineStr">
        <is>
          <t>Switch ETBN 14P NoPoE 2ByPX (NODC14NI01)</t>
        </is>
      </c>
      <c r="C55" s="203" t="inlineStr">
        <is>
          <t>EC030021126P14C001</t>
        </is>
      </c>
      <c r="D55" s="109" t="n"/>
      <c r="H55" s="204" t="inlineStr">
        <is>
          <t>DM1-DM8</t>
        </is>
      </c>
      <c r="I55" s="204" t="inlineStr">
        <is>
          <t>DM1-DM8</t>
        </is>
      </c>
      <c r="J55" s="110" t="n"/>
      <c r="K55" s="227" t="n"/>
      <c r="N55" s="227" t="n"/>
      <c r="P55" s="234" t="n"/>
      <c r="R55" s="232" t="n"/>
      <c r="S55" s="233" t="n"/>
      <c r="T55" s="232" t="n"/>
      <c r="U55" s="233" t="n"/>
      <c r="V55" s="232" t="n"/>
    </row>
    <row r="56">
      <c r="A56" s="195" t="inlineStr">
        <is>
          <t>TRAZIONE</t>
        </is>
      </c>
      <c r="B56" s="196" t="n"/>
      <c r="C56" s="197" t="n"/>
      <c r="D56" s="195" t="inlineStr">
        <is>
          <t>.</t>
        </is>
      </c>
      <c r="E56" s="198" t="inlineStr">
        <is>
          <t>.</t>
        </is>
      </c>
      <c r="F56" s="198" t="inlineStr">
        <is>
          <t>.</t>
        </is>
      </c>
      <c r="G56" s="198" t="inlineStr">
        <is>
          <t>.</t>
        </is>
      </c>
      <c r="H56" s="198" t="inlineStr">
        <is>
          <t>.</t>
        </is>
      </c>
      <c r="I56" s="198" t="inlineStr">
        <is>
          <t>.</t>
        </is>
      </c>
      <c r="J56" s="196" t="inlineStr">
        <is>
          <t>.</t>
        </is>
      </c>
      <c r="K56" s="215" t="n"/>
      <c r="L56" s="216" t="n"/>
      <c r="M56" s="244" t="n"/>
      <c r="N56" s="215" t="n"/>
      <c r="O56" s="216" t="n"/>
      <c r="P56" s="245" t="n"/>
      <c r="Q56" s="242" t="n"/>
      <c r="R56" s="219" t="n"/>
      <c r="S56" s="220" t="n"/>
      <c r="T56" s="219" t="n"/>
      <c r="U56" s="220" t="n"/>
      <c r="V56" s="219" t="n"/>
    </row>
    <row r="57" outlineLevel="1" s="594">
      <c r="A57" s="117" t="n"/>
      <c r="B57" s="118" t="inlineStr">
        <is>
          <t>SEZIONE 4M / MCM (MOTORI)</t>
        </is>
      </c>
      <c r="C57" s="119" t="n"/>
      <c r="D57" s="199" t="inlineStr">
        <is>
          <t>..</t>
        </is>
      </c>
      <c r="E57" s="172" t="inlineStr">
        <is>
          <t>..</t>
        </is>
      </c>
      <c r="F57" s="172" t="inlineStr">
        <is>
          <t>..</t>
        </is>
      </c>
      <c r="G57" s="172" t="inlineStr">
        <is>
          <t>..</t>
        </is>
      </c>
      <c r="H57" s="172" t="inlineStr">
        <is>
          <t>..</t>
        </is>
      </c>
      <c r="I57" s="172" t="inlineStr">
        <is>
          <t>..</t>
        </is>
      </c>
      <c r="J57" s="200" t="inlineStr">
        <is>
          <t>..</t>
        </is>
      </c>
      <c r="K57" s="246" t="n"/>
      <c r="L57" s="247" t="n"/>
      <c r="M57" s="247" t="n"/>
      <c r="N57" s="246" t="n"/>
      <c r="O57" s="247" t="n"/>
      <c r="P57" s="248" t="n"/>
      <c r="Q57" s="249" t="n"/>
      <c r="R57" s="250" t="n"/>
      <c r="S57" s="251" t="n"/>
      <c r="T57" s="250" t="n"/>
      <c r="U57" s="251" t="n"/>
      <c r="V57" s="250" t="n"/>
    </row>
    <row r="58" outlineLevel="2" ht="30" customHeight="1" s="594">
      <c r="A58" s="109" t="n"/>
      <c r="B58" s="110" t="inlineStr">
        <is>
          <t>Modulo convertitore MCM (15/10 WM V02)</t>
        </is>
      </c>
      <c r="C58" s="107" t="inlineStr">
        <is>
          <t>3EST000222-0850</t>
        </is>
      </c>
      <c r="D58" s="109" t="inlineStr">
        <is>
          <t>DM1-M3-M6-DM8</t>
        </is>
      </c>
      <c r="E58" s="15" t="inlineStr">
        <is>
          <t>DM1-M3-M6-DM8</t>
        </is>
      </c>
      <c r="J58" s="110" t="n"/>
      <c r="K58" s="227" t="n"/>
      <c r="M58" s="229" t="n"/>
      <c r="N58" s="227" t="n"/>
      <c r="P58" s="234" t="n"/>
      <c r="R58" s="232" t="n"/>
      <c r="S58" s="233" t="n"/>
      <c r="T58" s="232" t="n"/>
      <c r="U58" s="233" t="n"/>
      <c r="V58" s="232" t="n"/>
    </row>
    <row r="59" outlineLevel="3" ht="30" customHeight="1" s="594">
      <c r="A59" s="109" t="n"/>
      <c r="B59" s="110" t="inlineStr">
        <is>
          <t>Centralina DCU/M</t>
        </is>
      </c>
      <c r="C59" s="107" t="inlineStr">
        <is>
          <t>3EST000222-1018</t>
        </is>
      </c>
      <c r="D59" s="109" t="inlineStr">
        <is>
          <t>DM1-M3-M6-DM8</t>
        </is>
      </c>
      <c r="E59" s="15" t="inlineStr">
        <is>
          <t>DM1-M3-M6-DM8</t>
        </is>
      </c>
      <c r="J59" s="110" t="n"/>
      <c r="K59" s="227" t="n"/>
      <c r="M59" s="229" t="n"/>
      <c r="N59" s="227" t="n"/>
      <c r="P59" s="234" t="n"/>
      <c r="R59" s="232" t="n"/>
      <c r="S59" s="233" t="n"/>
      <c r="T59" s="232" t="n"/>
      <c r="U59" s="233" t="n"/>
      <c r="V59" s="232" t="n"/>
    </row>
    <row r="60" outlineLevel="3" ht="30" customHeight="1" s="594">
      <c r="A60" s="109" t="n"/>
      <c r="B60" s="110" t="inlineStr">
        <is>
          <t>Modulo IGBT</t>
        </is>
      </c>
      <c r="C60" s="107" t="inlineStr">
        <is>
          <t>3EST000214-9948</t>
        </is>
      </c>
      <c r="D60" s="109" t="inlineStr">
        <is>
          <t>DM1-M3-M6-DM8</t>
        </is>
      </c>
      <c r="E60" s="15" t="inlineStr">
        <is>
          <t>DM1-M3-M6-DM8</t>
        </is>
      </c>
      <c r="J60" s="110" t="n"/>
      <c r="K60" s="227" t="n"/>
      <c r="M60" s="229" t="n"/>
      <c r="N60" s="227" t="n"/>
      <c r="P60" s="234" t="n"/>
      <c r="R60" s="232" t="n"/>
      <c r="S60" s="233" t="n"/>
      <c r="T60" s="232" t="n"/>
      <c r="U60" s="233" t="n"/>
      <c r="V60" s="232" t="n"/>
    </row>
    <row r="61" outlineLevel="2" s="594">
      <c r="A61" s="109" t="n"/>
      <c r="B61" s="202" t="inlineStr">
        <is>
          <t>Modulo convertitore MCM</t>
        </is>
      </c>
      <c r="C61" s="203" t="inlineStr">
        <is>
          <t>HW02250828-00</t>
        </is>
      </c>
      <c r="D61" s="130" t="n"/>
      <c r="E61" s="131" t="n"/>
      <c r="F61" s="131" t="n"/>
      <c r="G61" s="131" t="n"/>
      <c r="H61" s="204" t="inlineStr">
        <is>
          <t>X</t>
        </is>
      </c>
      <c r="I61" s="204" t="inlineStr">
        <is>
          <t>X</t>
        </is>
      </c>
      <c r="J61" s="110" t="n"/>
      <c r="K61" s="227" t="n"/>
      <c r="M61" s="229" t="n"/>
      <c r="N61" s="227" t="n"/>
      <c r="P61" s="234" t="n"/>
      <c r="R61" s="232" t="n"/>
      <c r="S61" s="233" t="n"/>
      <c r="T61" s="232" t="n"/>
      <c r="U61" s="233" t="n"/>
      <c r="V61" s="232" t="n"/>
    </row>
    <row r="62" outlineLevel="3" s="594">
      <c r="A62" s="109" t="n"/>
      <c r="B62" s="202" t="inlineStr">
        <is>
          <t>Centralina Assieme MOCU</t>
        </is>
      </c>
      <c r="C62" s="203" t="inlineStr">
        <is>
          <t>HW04821017-00</t>
        </is>
      </c>
      <c r="D62" s="130" t="n"/>
      <c r="E62" s="131" t="n"/>
      <c r="F62" s="131" t="n"/>
      <c r="G62" s="131" t="n"/>
      <c r="H62" s="204" t="inlineStr">
        <is>
          <t>X</t>
        </is>
      </c>
      <c r="I62" s="204" t="inlineStr">
        <is>
          <t>X</t>
        </is>
      </c>
      <c r="J62" s="110" t="n"/>
      <c r="K62" s="227" t="n"/>
      <c r="N62" s="227" t="n"/>
      <c r="P62" s="234" t="n"/>
      <c r="R62" s="232" t="n"/>
      <c r="S62" s="233" t="n"/>
      <c r="T62" s="232" t="n"/>
      <c r="U62" s="233" t="n"/>
      <c r="V62" s="232" t="n"/>
    </row>
    <row r="63" outlineLevel="3" collapsed="1" s="594">
      <c r="A63" s="109" t="n"/>
      <c r="B63" s="202" t="inlineStr">
        <is>
          <t>Modulo IGBT</t>
        </is>
      </c>
      <c r="C63" s="203" t="inlineStr">
        <is>
          <t>EC030020031</t>
        </is>
      </c>
      <c r="D63" s="130" t="n"/>
      <c r="E63" s="131" t="n"/>
      <c r="F63" s="131" t="n"/>
      <c r="G63" s="131" t="n"/>
      <c r="H63" s="204" t="inlineStr">
        <is>
          <t>X</t>
        </is>
      </c>
      <c r="I63" s="204" t="inlineStr">
        <is>
          <t>X</t>
        </is>
      </c>
      <c r="J63" s="110" t="n"/>
      <c r="K63" s="227" t="n"/>
      <c r="N63" s="227" t="n"/>
      <c r="P63" s="234" t="n"/>
      <c r="R63" s="232" t="n"/>
      <c r="S63" s="233" t="n"/>
      <c r="T63" s="232" t="n"/>
      <c r="U63" s="233" t="n"/>
      <c r="V63" s="232" t="n"/>
    </row>
    <row r="64" outlineLevel="1" s="594">
      <c r="A64" s="117" t="n"/>
      <c r="B64" s="118" t="inlineStr">
        <is>
          <t>SEZIONE LCM (LINEA AC)</t>
        </is>
      </c>
      <c r="C64" s="119" t="n"/>
      <c r="D64" s="199" t="inlineStr">
        <is>
          <t>..</t>
        </is>
      </c>
      <c r="E64" s="172" t="inlineStr">
        <is>
          <t>..</t>
        </is>
      </c>
      <c r="F64" s="172" t="inlineStr">
        <is>
          <t>..</t>
        </is>
      </c>
      <c r="G64" s="172" t="inlineStr">
        <is>
          <t>..</t>
        </is>
      </c>
      <c r="H64" s="172" t="inlineStr">
        <is>
          <t>..</t>
        </is>
      </c>
      <c r="I64" s="172" t="inlineStr">
        <is>
          <t>..</t>
        </is>
      </c>
      <c r="J64" s="200" t="inlineStr">
        <is>
          <t>..</t>
        </is>
      </c>
      <c r="K64" s="246" t="n"/>
      <c r="L64" s="247" t="n"/>
      <c r="M64" s="247" t="n"/>
      <c r="N64" s="246" t="n"/>
      <c r="O64" s="247" t="n"/>
      <c r="P64" s="252" t="n"/>
      <c r="Q64" s="249" t="n"/>
      <c r="R64" s="250" t="n"/>
      <c r="S64" s="251" t="n"/>
      <c r="T64" s="250" t="n"/>
      <c r="U64" s="251" t="n"/>
      <c r="V64" s="250" t="n"/>
    </row>
    <row r="65" outlineLevel="2" ht="30" customHeight="1" s="594">
      <c r="A65" s="109" t="n"/>
      <c r="B65" s="110" t="inlineStr">
        <is>
          <t>Modulo convertitore LCM (15/15 WL V06)</t>
        </is>
      </c>
      <c r="C65" s="107" t="inlineStr">
        <is>
          <t>3EST000222-0610</t>
        </is>
      </c>
      <c r="D65" s="109" t="inlineStr">
        <is>
          <t>DM1-M3-M6-DM8</t>
        </is>
      </c>
      <c r="E65" s="15" t="inlineStr">
        <is>
          <t>DM1-M3-M6-DM8</t>
        </is>
      </c>
      <c r="J65" s="110" t="n"/>
      <c r="K65" s="227" t="n"/>
      <c r="N65" s="227" t="n"/>
      <c r="P65" s="234" t="n"/>
      <c r="R65" s="232" t="n"/>
      <c r="S65" s="233" t="n"/>
      <c r="T65" s="232" t="n"/>
      <c r="U65" s="233" t="n"/>
      <c r="V65" s="232" t="n"/>
    </row>
    <row r="66" outlineLevel="3" ht="30" customHeight="1" s="594">
      <c r="A66" s="109" t="n"/>
      <c r="B66" s="110" t="inlineStr">
        <is>
          <t>Centralina DCU</t>
        </is>
      </c>
      <c r="C66" s="107" t="inlineStr">
        <is>
          <t>3EST000222-1018</t>
        </is>
      </c>
      <c r="D66" s="109" t="inlineStr">
        <is>
          <t>DM1-M3-M6-DM8</t>
        </is>
      </c>
      <c r="E66" s="15" t="inlineStr">
        <is>
          <t>DM1-M3-M6-DM8</t>
        </is>
      </c>
      <c r="J66" s="110" t="n"/>
      <c r="K66" s="227" t="n"/>
      <c r="M66" s="229" t="n"/>
      <c r="N66" s="227" t="n"/>
      <c r="P66" s="234" t="n"/>
      <c r="R66" s="232" t="n"/>
      <c r="S66" s="233" t="n"/>
      <c r="T66" s="232" t="n"/>
      <c r="U66" s="233" t="n"/>
      <c r="V66" s="232" t="n"/>
    </row>
    <row r="67" outlineLevel="3" ht="30" customHeight="1" s="594">
      <c r="A67" s="109" t="n"/>
      <c r="B67" s="110" t="inlineStr">
        <is>
          <t>Modulo IGBT</t>
        </is>
      </c>
      <c r="C67" s="107" t="inlineStr">
        <is>
          <t>3EST000214-9825</t>
        </is>
      </c>
      <c r="D67" s="109" t="inlineStr">
        <is>
          <t>DM1-M3-M6-DM8</t>
        </is>
      </c>
      <c r="E67" s="15" t="inlineStr">
        <is>
          <t>DM1-M3-M6-DM8</t>
        </is>
      </c>
      <c r="J67" s="110" t="n"/>
      <c r="K67" s="227" t="n"/>
      <c r="M67" s="229" t="n"/>
      <c r="N67" s="227" t="n"/>
      <c r="P67" s="234" t="n"/>
      <c r="R67" s="232" t="n"/>
      <c r="S67" s="233" t="n"/>
      <c r="T67" s="232" t="n"/>
      <c r="U67" s="233" t="n"/>
      <c r="V67" s="232" t="n"/>
    </row>
    <row r="68" outlineLevel="2" s="594">
      <c r="A68" s="109" t="n"/>
      <c r="B68" s="202" t="inlineStr">
        <is>
          <t>Modulo convertitore LCM</t>
        </is>
      </c>
      <c r="C68" s="203" t="inlineStr">
        <is>
          <t>3EST000222-0610-HR</t>
        </is>
      </c>
      <c r="D68" s="130" t="n"/>
      <c r="E68" s="131" t="n"/>
      <c r="F68" s="131" t="n"/>
      <c r="G68" s="131" t="n"/>
      <c r="H68" s="204" t="inlineStr">
        <is>
          <t>X</t>
        </is>
      </c>
      <c r="I68" s="204" t="inlineStr">
        <is>
          <t>X</t>
        </is>
      </c>
      <c r="J68" s="110" t="n"/>
      <c r="K68" s="227" t="n"/>
      <c r="N68" s="227" t="n"/>
      <c r="P68" s="234" t="n"/>
      <c r="R68" s="232" t="n"/>
      <c r="S68" s="233" t="n"/>
      <c r="T68" s="232" t="n"/>
      <c r="U68" s="233" t="n"/>
      <c r="V68" s="232" t="n"/>
    </row>
    <row r="69" outlineLevel="3" s="594">
      <c r="A69" s="109" t="n"/>
      <c r="B69" s="123" t="inlineStr">
        <is>
          <t>Centralina DCU/L</t>
        </is>
      </c>
      <c r="C69" s="121" t="inlineStr">
        <is>
          <t>3EST000299-9665-HR</t>
        </is>
      </c>
      <c r="D69" s="120" t="n"/>
      <c r="E69" s="134" t="n"/>
      <c r="F69" s="134" t="n"/>
      <c r="G69" s="134" t="n"/>
      <c r="H69" s="134" t="inlineStr">
        <is>
          <t>X</t>
        </is>
      </c>
      <c r="I69" s="134" t="inlineStr">
        <is>
          <t>X</t>
        </is>
      </c>
      <c r="J69" s="110" t="n"/>
      <c r="K69" s="227" t="n"/>
      <c r="N69" s="227" t="n"/>
      <c r="P69" s="234" t="n"/>
      <c r="R69" s="232" t="n"/>
      <c r="S69" s="233" t="n"/>
      <c r="T69" s="232" t="n"/>
      <c r="U69" s="233" t="n"/>
      <c r="V69" s="232" t="n"/>
    </row>
    <row r="70" outlineLevel="3" collapsed="1" s="594">
      <c r="A70" s="109" t="n"/>
      <c r="B70" s="202" t="inlineStr">
        <is>
          <t>Modulo IGBT</t>
        </is>
      </c>
      <c r="C70" s="203" t="inlineStr">
        <is>
          <t>3EST000223-1474-HR</t>
        </is>
      </c>
      <c r="D70" s="130" t="n"/>
      <c r="E70" s="131" t="n"/>
      <c r="F70" s="131" t="n"/>
      <c r="G70" s="131" t="n"/>
      <c r="H70" s="204" t="inlineStr">
        <is>
          <t>X</t>
        </is>
      </c>
      <c r="I70" s="204" t="inlineStr">
        <is>
          <t>X</t>
        </is>
      </c>
      <c r="J70" s="110" t="n"/>
      <c r="K70" s="227" t="n"/>
      <c r="N70" s="227" t="n"/>
      <c r="P70" s="234" t="n"/>
      <c r="R70" s="232" t="n"/>
      <c r="S70" s="233" t="n"/>
      <c r="T70" s="232" t="n"/>
      <c r="U70" s="233" t="n"/>
      <c r="V70" s="232" t="n"/>
    </row>
    <row r="71" outlineLevel="1" s="594">
      <c r="A71" s="117" t="n"/>
      <c r="B71" s="118" t="inlineStr">
        <is>
          <t>SEZIONE CCM (LINEA DC)</t>
        </is>
      </c>
      <c r="C71" s="119" t="n"/>
      <c r="D71" s="199" t="inlineStr">
        <is>
          <t>..</t>
        </is>
      </c>
      <c r="E71" s="172" t="inlineStr">
        <is>
          <t>..</t>
        </is>
      </c>
      <c r="F71" s="172" t="inlineStr">
        <is>
          <t>..</t>
        </is>
      </c>
      <c r="G71" s="172" t="inlineStr">
        <is>
          <t>..</t>
        </is>
      </c>
      <c r="H71" s="172" t="inlineStr">
        <is>
          <t>..</t>
        </is>
      </c>
      <c r="I71" s="172" t="inlineStr">
        <is>
          <t>..</t>
        </is>
      </c>
      <c r="J71" s="200" t="inlineStr">
        <is>
          <t>..</t>
        </is>
      </c>
      <c r="K71" s="246" t="n"/>
      <c r="L71" s="247" t="n"/>
      <c r="M71" s="247" t="n"/>
      <c r="N71" s="246" t="n"/>
      <c r="O71" s="247" t="n"/>
      <c r="P71" s="252" t="n"/>
      <c r="Q71" s="249" t="n"/>
      <c r="R71" s="250" t="n"/>
      <c r="S71" s="251" t="n"/>
      <c r="T71" s="250" t="n"/>
      <c r="U71" s="251" t="n"/>
      <c r="V71" s="250" t="n"/>
    </row>
    <row r="72" outlineLevel="2" ht="30" customHeight="1" s="594">
      <c r="A72" s="109" t="n"/>
      <c r="B72" s="110" t="inlineStr">
        <is>
          <t>Modulo Convertitore CCM (30/07 WC V01)</t>
        </is>
      </c>
      <c r="C72" s="107" t="inlineStr">
        <is>
          <t>3EST000222-1010</t>
        </is>
      </c>
      <c r="D72" s="109" t="inlineStr">
        <is>
          <t>DM1-M3-M6-DM8</t>
        </is>
      </c>
      <c r="E72" s="15" t="inlineStr">
        <is>
          <t>DM1-M3-M6-DM8</t>
        </is>
      </c>
      <c r="J72" s="110" t="n"/>
      <c r="K72" s="227" t="n"/>
      <c r="N72" s="227" t="n"/>
      <c r="P72" s="234" t="n"/>
      <c r="R72" s="232" t="n"/>
      <c r="S72" s="233" t="n"/>
      <c r="T72" s="232" t="n"/>
      <c r="U72" s="233" t="n"/>
      <c r="V72" s="232" t="n"/>
    </row>
    <row r="73" outlineLevel="3" ht="30" customHeight="1" s="594">
      <c r="A73" s="109" t="n"/>
      <c r="B73" s="110" t="inlineStr">
        <is>
          <t>Centralina DCU/C</t>
        </is>
      </c>
      <c r="C73" s="107" t="inlineStr">
        <is>
          <t>3EST000222-1018</t>
        </is>
      </c>
      <c r="D73" s="109" t="inlineStr">
        <is>
          <t>DM1-M3-M6-DM8</t>
        </is>
      </c>
      <c r="E73" s="15" t="inlineStr">
        <is>
          <t>DM1-M3-M6-DM8</t>
        </is>
      </c>
      <c r="J73" s="110" t="n"/>
      <c r="K73" s="227" t="n"/>
      <c r="M73" s="229" t="n"/>
      <c r="N73" s="227" t="n"/>
      <c r="P73" s="234" t="n"/>
      <c r="R73" s="232" t="n"/>
      <c r="S73" s="233" t="n"/>
      <c r="T73" s="232" t="n"/>
      <c r="U73" s="233" t="n"/>
      <c r="V73" s="232" t="n"/>
    </row>
    <row r="74" outlineLevel="3" ht="30" customHeight="1" s="594">
      <c r="A74" s="109" t="n"/>
      <c r="B74" s="110" t="inlineStr">
        <is>
          <t>Modulo IGBT</t>
        </is>
      </c>
      <c r="C74" s="107" t="inlineStr">
        <is>
          <t>3EST000214-9948</t>
        </is>
      </c>
      <c r="D74" s="109" t="inlineStr">
        <is>
          <t>DM1-M3-M6-DM8</t>
        </is>
      </c>
      <c r="E74" s="15" t="inlineStr">
        <is>
          <t>DM1-M3-M6-DM8</t>
        </is>
      </c>
      <c r="J74" s="110" t="n"/>
      <c r="K74" s="227" t="n"/>
      <c r="M74" s="229" t="n"/>
      <c r="N74" s="227" t="n"/>
      <c r="P74" s="234" t="n"/>
      <c r="R74" s="232" t="n"/>
      <c r="S74" s="233" t="n"/>
      <c r="T74" s="232" t="n"/>
      <c r="U74" s="233" t="n"/>
      <c r="V74" s="232" t="n"/>
    </row>
    <row r="75" outlineLevel="2" s="594">
      <c r="A75" s="109" t="n"/>
      <c r="B75" s="202" t="inlineStr">
        <is>
          <t>Modulo convertitore CCM</t>
        </is>
      </c>
      <c r="C75" s="203" t="inlineStr">
        <is>
          <t>HW02250827-00</t>
        </is>
      </c>
      <c r="D75" s="130" t="n"/>
      <c r="E75" s="131" t="n"/>
      <c r="F75" s="131" t="n"/>
      <c r="G75" s="131" t="n"/>
      <c r="H75" s="204" t="inlineStr">
        <is>
          <t>X</t>
        </is>
      </c>
      <c r="I75" s="204" t="inlineStr">
        <is>
          <t>X</t>
        </is>
      </c>
      <c r="J75" s="110" t="n"/>
      <c r="K75" s="227" t="n"/>
      <c r="N75" s="227" t="n"/>
      <c r="P75" s="234" t="n"/>
      <c r="R75" s="232" t="n"/>
      <c r="S75" s="233" t="n"/>
      <c r="T75" s="232" t="n"/>
      <c r="U75" s="233" t="n"/>
      <c r="V75" s="232" t="n"/>
    </row>
    <row r="76" outlineLevel="3" s="594">
      <c r="A76" s="109" t="n"/>
      <c r="B76" s="202" t="inlineStr">
        <is>
          <t>Centralina Assieme MOCU</t>
        </is>
      </c>
      <c r="C76" s="203" t="inlineStr">
        <is>
          <t>HW05869752-00</t>
        </is>
      </c>
      <c r="D76" s="130" t="n"/>
      <c r="E76" s="131" t="n"/>
      <c r="F76" s="131" t="n"/>
      <c r="G76" s="131" t="n"/>
      <c r="H76" s="204" t="inlineStr">
        <is>
          <t>X</t>
        </is>
      </c>
      <c r="I76" s="204" t="inlineStr">
        <is>
          <t>X</t>
        </is>
      </c>
      <c r="J76" s="110" t="n"/>
      <c r="K76" s="227" t="n"/>
      <c r="N76" s="227" t="n"/>
      <c r="P76" s="234" t="n"/>
      <c r="R76" s="232" t="n"/>
      <c r="S76" s="233" t="n"/>
      <c r="T76" s="232" t="n"/>
      <c r="U76" s="233" t="n"/>
      <c r="V76" s="232" t="n"/>
    </row>
    <row r="77" outlineLevel="3" collapsed="1" s="594">
      <c r="A77" s="109" t="n"/>
      <c r="B77" s="202" t="inlineStr">
        <is>
          <t>Modulo IGBT</t>
        </is>
      </c>
      <c r="C77" s="203" t="inlineStr">
        <is>
          <t>EC030020031</t>
        </is>
      </c>
      <c r="D77" s="130" t="n"/>
      <c r="E77" s="131" t="n"/>
      <c r="F77" s="131" t="n"/>
      <c r="G77" s="131" t="n"/>
      <c r="H77" s="204" t="inlineStr">
        <is>
          <t>X</t>
        </is>
      </c>
      <c r="I77" s="204" t="inlineStr">
        <is>
          <t>X</t>
        </is>
      </c>
      <c r="J77" s="110" t="n"/>
      <c r="K77" s="227" t="n"/>
      <c r="N77" s="227" t="n"/>
      <c r="P77" s="234" t="n"/>
      <c r="R77" s="232" t="n"/>
      <c r="S77" s="233" t="n"/>
      <c r="T77" s="232" t="n"/>
      <c r="U77" s="233" t="n"/>
      <c r="V77" s="232" t="n"/>
    </row>
    <row r="78" outlineLevel="1" s="594">
      <c r="A78" s="117" t="n"/>
      <c r="B78" s="118" t="inlineStr">
        <is>
          <t>SEZIONE CS (RAFFREDDAMENTO)</t>
        </is>
      </c>
      <c r="C78" s="119" t="n"/>
      <c r="D78" s="199" t="inlineStr">
        <is>
          <t>..</t>
        </is>
      </c>
      <c r="E78" s="172" t="inlineStr">
        <is>
          <t>..</t>
        </is>
      </c>
      <c r="F78" s="172" t="inlineStr">
        <is>
          <t>..</t>
        </is>
      </c>
      <c r="G78" s="172" t="inlineStr">
        <is>
          <t>..</t>
        </is>
      </c>
      <c r="H78" s="172" t="inlineStr">
        <is>
          <t>..</t>
        </is>
      </c>
      <c r="I78" s="172" t="inlineStr">
        <is>
          <t>..</t>
        </is>
      </c>
      <c r="J78" s="200" t="inlineStr">
        <is>
          <t>..</t>
        </is>
      </c>
      <c r="K78" s="246" t="n"/>
      <c r="L78" s="247" t="n"/>
      <c r="M78" s="247" t="n"/>
      <c r="N78" s="246" t="n"/>
      <c r="O78" s="247" t="n"/>
      <c r="P78" s="252" t="n"/>
      <c r="Q78" s="249" t="n"/>
      <c r="R78" s="250" t="n"/>
      <c r="S78" s="251" t="n"/>
      <c r="T78" s="250" t="n"/>
      <c r="U78" s="251" t="n"/>
      <c r="V78" s="250" t="n"/>
    </row>
    <row r="79" outlineLevel="2" ht="30" customHeight="1" s="594">
      <c r="A79" s="109" t="n"/>
      <c r="B79" s="110" t="inlineStr">
        <is>
          <t>Modulo raffreddamento</t>
        </is>
      </c>
      <c r="C79" s="107" t="inlineStr">
        <is>
          <t>3EST000225-0304</t>
        </is>
      </c>
      <c r="D79" s="109" t="inlineStr">
        <is>
          <t>DM1-M3-M6-DM8</t>
        </is>
      </c>
      <c r="E79" s="15" t="inlineStr">
        <is>
          <t>DM1-M3-M6-DM8</t>
        </is>
      </c>
      <c r="H79" s="15" t="inlineStr">
        <is>
          <t>X</t>
        </is>
      </c>
      <c r="I79" s="15" t="inlineStr">
        <is>
          <t>X</t>
        </is>
      </c>
      <c r="J79" s="110" t="n"/>
      <c r="K79" s="227" t="n"/>
      <c r="N79" s="227" t="n"/>
      <c r="P79" s="234" t="n"/>
      <c r="R79" s="232" t="n"/>
      <c r="S79" s="233" t="n"/>
      <c r="T79" s="232" t="n"/>
      <c r="U79" s="233" t="n"/>
      <c r="V79" s="232" t="n"/>
    </row>
    <row r="80" outlineLevel="1" s="594">
      <c r="A80" s="117" t="n"/>
      <c r="B80" s="118" t="inlineStr">
        <is>
          <t>SEZIONE AE (AUSILIARI)</t>
        </is>
      </c>
      <c r="C80" s="119" t="n"/>
      <c r="D80" s="199" t="inlineStr">
        <is>
          <t>..</t>
        </is>
      </c>
      <c r="E80" s="172" t="inlineStr">
        <is>
          <t>..</t>
        </is>
      </c>
      <c r="F80" s="172" t="inlineStr">
        <is>
          <t>..</t>
        </is>
      </c>
      <c r="G80" s="172" t="inlineStr">
        <is>
          <t>..</t>
        </is>
      </c>
      <c r="H80" s="172" t="inlineStr">
        <is>
          <t>..</t>
        </is>
      </c>
      <c r="I80" s="172" t="inlineStr">
        <is>
          <t>..</t>
        </is>
      </c>
      <c r="J80" s="200" t="inlineStr">
        <is>
          <t>..</t>
        </is>
      </c>
      <c r="K80" s="246" t="n"/>
      <c r="L80" s="247" t="n"/>
      <c r="M80" s="247" t="n"/>
      <c r="N80" s="246" t="n"/>
      <c r="O80" s="247" t="n"/>
      <c r="P80" s="252" t="n"/>
      <c r="Q80" s="249" t="n"/>
      <c r="R80" s="250" t="n"/>
      <c r="S80" s="251" t="n"/>
      <c r="T80" s="250" t="n"/>
      <c r="U80" s="251" t="n"/>
      <c r="V80" s="250" t="n"/>
    </row>
    <row r="81" outlineLevel="2" ht="30" customHeight="1" s="594">
      <c r="A81" s="109" t="n"/>
      <c r="B81" s="110" t="inlineStr">
        <is>
          <t>Modulo convertitore ACM</t>
        </is>
      </c>
      <c r="C81" s="107" t="inlineStr">
        <is>
          <t>3EST000222-0910</t>
        </is>
      </c>
      <c r="D81" s="109" t="inlineStr">
        <is>
          <t>DM1-M3-M6-DM8</t>
        </is>
      </c>
      <c r="E81" s="15" t="inlineStr">
        <is>
          <t>DM1-M3-M6-DM8</t>
        </is>
      </c>
      <c r="J81" s="110" t="n"/>
      <c r="K81" s="227" t="n"/>
      <c r="N81" s="227" t="n"/>
      <c r="P81" s="234" t="n"/>
      <c r="R81" s="232" t="n"/>
      <c r="S81" s="233" t="n"/>
      <c r="T81" s="232" t="n"/>
      <c r="U81" s="233" t="n"/>
      <c r="V81" s="232" t="n"/>
    </row>
    <row r="82" outlineLevel="3" ht="30" customHeight="1" s="594">
      <c r="A82" s="109" t="n"/>
      <c r="B82" s="110" t="inlineStr">
        <is>
          <t>Centralina DCU</t>
        </is>
      </c>
      <c r="C82" s="107" t="inlineStr">
        <is>
          <t>3EST000222-1018</t>
        </is>
      </c>
      <c r="D82" s="109" t="inlineStr">
        <is>
          <t>DM1-M3-M6-DM8</t>
        </is>
      </c>
      <c r="E82" s="15" t="inlineStr">
        <is>
          <t>DM1-M3-M6-DM8</t>
        </is>
      </c>
      <c r="J82" s="110" t="n"/>
      <c r="K82" s="227" t="n"/>
      <c r="N82" s="227" t="n"/>
      <c r="P82" s="234" t="n"/>
      <c r="R82" s="232" t="n"/>
      <c r="S82" s="233" t="n"/>
      <c r="T82" s="232" t="n"/>
      <c r="U82" s="233" t="n"/>
      <c r="V82" s="232" t="n"/>
    </row>
    <row r="83" outlineLevel="3" ht="30" customHeight="1" s="594">
      <c r="A83" s="109" t="n"/>
      <c r="B83" s="110" t="inlineStr">
        <is>
          <t>Modulo IGBT</t>
        </is>
      </c>
      <c r="C83" s="121" t="inlineStr">
        <is>
          <t>3EST000214-9948</t>
        </is>
      </c>
      <c r="D83" s="109" t="inlineStr">
        <is>
          <t>DM1-M3-M6-DM8</t>
        </is>
      </c>
      <c r="E83" s="15" t="inlineStr">
        <is>
          <t>DM1-M3-M6-DM8</t>
        </is>
      </c>
      <c r="J83" s="110" t="n"/>
      <c r="K83" s="227" t="n"/>
      <c r="N83" s="227" t="n"/>
      <c r="P83" s="234" t="n"/>
      <c r="R83" s="232" t="n"/>
      <c r="S83" s="233" t="n"/>
      <c r="T83" s="232" t="n"/>
      <c r="U83" s="233" t="n"/>
      <c r="V83" s="232" t="n"/>
    </row>
    <row r="84" outlineLevel="2" s="594">
      <c r="A84" s="109" t="n"/>
      <c r="B84" s="202" t="inlineStr">
        <is>
          <t>Modulo convertitore ACM</t>
        </is>
      </c>
      <c r="C84" s="203" t="inlineStr">
        <is>
          <t>3EST000222-0910-HR</t>
        </is>
      </c>
      <c r="D84" s="130" t="n"/>
      <c r="E84" s="131" t="n"/>
      <c r="F84" s="131" t="n"/>
      <c r="G84" s="131" t="n"/>
      <c r="H84" s="204" t="inlineStr">
        <is>
          <t>X</t>
        </is>
      </c>
      <c r="I84" s="204" t="inlineStr">
        <is>
          <t>X</t>
        </is>
      </c>
      <c r="J84" s="110" t="n"/>
      <c r="K84" s="227" t="n"/>
      <c r="N84" s="227" t="n"/>
      <c r="P84" s="234" t="n"/>
      <c r="R84" s="232" t="n"/>
      <c r="S84" s="233" t="n"/>
      <c r="T84" s="232" t="n"/>
      <c r="U84" s="233" t="n"/>
      <c r="V84" s="232" t="n"/>
    </row>
    <row r="85" outlineLevel="3" s="594">
      <c r="A85" s="109" t="n"/>
      <c r="B85" s="123" t="inlineStr">
        <is>
          <t>Centralina DCU</t>
        </is>
      </c>
      <c r="C85" s="121" t="inlineStr">
        <is>
          <t>???</t>
        </is>
      </c>
      <c r="D85" s="120" t="n"/>
      <c r="E85" s="134" t="n"/>
      <c r="F85" s="134" t="n"/>
      <c r="G85" s="134" t="n"/>
      <c r="H85" s="134" t="inlineStr">
        <is>
          <t>X</t>
        </is>
      </c>
      <c r="I85" s="134" t="inlineStr">
        <is>
          <t>X</t>
        </is>
      </c>
      <c r="J85" s="110" t="n"/>
      <c r="K85" s="227" t="n"/>
      <c r="N85" s="227" t="n"/>
      <c r="P85" s="234" t="n"/>
      <c r="R85" s="232" t="n"/>
      <c r="S85" s="233" t="n"/>
      <c r="T85" s="232" t="n"/>
      <c r="U85" s="233" t="n"/>
      <c r="V85" s="232" t="n"/>
    </row>
    <row r="86" outlineLevel="3" collapsed="1" s="594">
      <c r="A86" s="109" t="n"/>
      <c r="B86" s="123" t="inlineStr">
        <is>
          <t>Modulo IGBT</t>
        </is>
      </c>
      <c r="C86" s="121" t="inlineStr">
        <is>
          <t>???</t>
        </is>
      </c>
      <c r="D86" s="120" t="n"/>
      <c r="E86" s="134" t="n"/>
      <c r="F86" s="134" t="n"/>
      <c r="G86" s="134" t="n"/>
      <c r="H86" s="134" t="inlineStr">
        <is>
          <t>X</t>
        </is>
      </c>
      <c r="I86" s="134" t="inlineStr">
        <is>
          <t>X</t>
        </is>
      </c>
      <c r="J86" s="110" t="n"/>
      <c r="K86" s="227" t="n"/>
      <c r="N86" s="227" t="n"/>
      <c r="P86" s="234" t="n"/>
      <c r="R86" s="232" t="n"/>
      <c r="S86" s="233" t="n"/>
      <c r="T86" s="232" t="n"/>
      <c r="U86" s="233" t="n"/>
      <c r="V86" s="232" t="n"/>
    </row>
    <row r="87">
      <c r="A87" s="109" t="n"/>
      <c r="B87" s="110" t="n"/>
      <c r="C87" s="107" t="n"/>
      <c r="D87" s="109" t="n"/>
      <c r="J87" s="110" t="n"/>
      <c r="K87" s="227" t="n"/>
      <c r="N87" s="227" t="n"/>
      <c r="P87" s="234" t="n"/>
      <c r="R87" s="232" t="n"/>
      <c r="S87" s="233" t="n"/>
      <c r="T87" s="232" t="n"/>
      <c r="U87" s="233" t="n"/>
      <c r="V87" s="232" t="n"/>
    </row>
    <row r="88">
      <c r="A88" s="109" t="n"/>
      <c r="B88" s="110" t="n"/>
      <c r="C88" s="107" t="n"/>
      <c r="D88" s="109" t="n"/>
      <c r="J88" s="110" t="n"/>
      <c r="K88" s="227" t="n"/>
      <c r="N88" s="227" t="n"/>
      <c r="P88" s="234" t="n"/>
      <c r="R88" s="232" t="n"/>
      <c r="S88" s="233" t="n"/>
      <c r="T88" s="232" t="n"/>
      <c r="U88" s="233" t="n"/>
      <c r="V88" s="232" t="n"/>
    </row>
    <row r="89">
      <c r="A89" s="109" t="n"/>
      <c r="B89" s="110" t="n"/>
      <c r="C89" s="107" t="n"/>
      <c r="D89" s="109" t="n"/>
      <c r="J89" s="110" t="n"/>
      <c r="K89" s="227" t="n"/>
      <c r="N89" s="227" t="n"/>
      <c r="P89" s="234" t="n"/>
      <c r="R89" s="232" t="n"/>
      <c r="S89" s="233" t="n"/>
      <c r="T89" s="232" t="n"/>
      <c r="U89" s="233" t="n"/>
      <c r="V89" s="232" t="n"/>
    </row>
    <row r="90">
      <c r="A90" s="109" t="n"/>
      <c r="B90" s="110" t="n"/>
      <c r="C90" s="107" t="n"/>
      <c r="D90" s="109" t="n"/>
      <c r="J90" s="110" t="n"/>
      <c r="K90" s="227" t="n"/>
      <c r="N90" s="227" t="n"/>
      <c r="P90" s="234" t="n"/>
      <c r="R90" s="232" t="n"/>
      <c r="S90" s="233" t="n"/>
      <c r="T90" s="232" t="n"/>
      <c r="U90" s="233" t="n"/>
      <c r="V90" s="232" t="n"/>
    </row>
    <row r="91">
      <c r="A91" s="109" t="n"/>
      <c r="B91" s="110" t="inlineStr">
        <is>
          <t>Antincendio DM1</t>
        </is>
      </c>
      <c r="C91" s="107" t="inlineStr">
        <is>
          <t>3ECP502022-0001</t>
        </is>
      </c>
      <c r="D91" s="109" t="n"/>
      <c r="J91" s="110" t="n"/>
      <c r="K91" s="227" t="n"/>
      <c r="N91" s="227" t="n"/>
      <c r="P91" s="234" t="n"/>
      <c r="R91" s="232" t="n"/>
      <c r="S91" s="233" t="n"/>
      <c r="T91" s="232" t="n"/>
      <c r="U91" s="233" t="n"/>
      <c r="V91" s="232" t="n"/>
    </row>
    <row r="92">
      <c r="A92" s="109" t="n"/>
      <c r="B92" s="110" t="inlineStr">
        <is>
          <t>UNITA' MAU 150/80</t>
        </is>
      </c>
      <c r="C92" s="107" t="inlineStr">
        <is>
          <t>3ECP502624-0001</t>
        </is>
      </c>
      <c r="D92" s="109" t="n"/>
      <c r="J92" s="110" t="n"/>
      <c r="K92" s="227" t="n"/>
      <c r="N92" s="227" t="n"/>
      <c r="P92" s="234" t="n"/>
      <c r="R92" s="232" t="n"/>
      <c r="S92" s="233" t="n"/>
      <c r="T92" s="232" t="n"/>
      <c r="U92" s="233" t="n"/>
      <c r="V92" s="232" t="n"/>
    </row>
    <row r="93" ht="30" customHeight="1" s="594">
      <c r="A93" s="109" t="n"/>
      <c r="B93" s="110" t="inlineStr">
        <is>
          <t>SISTEMA DI RILEVAMENTO</t>
        </is>
      </c>
      <c r="C93" s="107" t="inlineStr">
        <is>
          <t>000203-UMN002-0001.1.A-DM1</t>
        </is>
      </c>
      <c r="D93" s="109" t="n"/>
      <c r="J93" s="110" t="n"/>
      <c r="K93" s="227" t="n"/>
      <c r="N93" s="227" t="n"/>
      <c r="P93" s="234" t="n"/>
      <c r="R93" s="232" t="n"/>
      <c r="S93" s="233" t="n"/>
      <c r="T93" s="232" t="n"/>
      <c r="U93" s="233" t="n"/>
      <c r="V93" s="232" t="n"/>
    </row>
    <row r="94">
      <c r="A94" s="109" t="n"/>
      <c r="B94" s="110" t="inlineStr">
        <is>
          <t>SISTEMA AEROSOL</t>
        </is>
      </c>
      <c r="C94" s="107" t="inlineStr">
        <is>
          <t>985-MCO72318</t>
        </is>
      </c>
      <c r="D94" s="109" t="n"/>
      <c r="J94" s="110" t="n"/>
      <c r="K94" s="227" t="n"/>
      <c r="N94" s="227" t="n"/>
      <c r="P94" s="234" t="n"/>
      <c r="R94" s="232" t="n"/>
      <c r="S94" s="233" t="n"/>
      <c r="T94" s="232" t="n"/>
      <c r="U94" s="233" t="n"/>
      <c r="V94" s="232" t="n"/>
    </row>
    <row r="95">
      <c r="A95" s="109" t="n"/>
      <c r="B95" s="110" t="inlineStr">
        <is>
          <t>Antincendio DM8</t>
        </is>
      </c>
      <c r="C95" s="107" t="inlineStr">
        <is>
          <t>3EGH489009-5958</t>
        </is>
      </c>
      <c r="D95" s="109" t="n"/>
      <c r="J95" s="110" t="n"/>
      <c r="K95" s="227" t="n"/>
      <c r="N95" s="227" t="n"/>
      <c r="P95" s="234" t="n"/>
      <c r="R95" s="232" t="n"/>
      <c r="S95" s="233" t="n"/>
      <c r="T95" s="232" t="n"/>
      <c r="U95" s="233" t="n"/>
      <c r="V95" s="232" t="n"/>
    </row>
    <row r="96">
      <c r="A96" s="109" t="n"/>
      <c r="B96" s="110" t="inlineStr">
        <is>
          <t>UNITA' MAU 150/80</t>
        </is>
      </c>
      <c r="C96" s="107" t="inlineStr">
        <is>
          <t>3ECP502624-0001</t>
        </is>
      </c>
      <c r="D96" s="109" t="n"/>
      <c r="J96" s="110" t="n"/>
      <c r="K96" s="227" t="n"/>
      <c r="N96" s="227" t="n"/>
      <c r="P96" s="234" t="n"/>
      <c r="R96" s="232" t="n"/>
      <c r="S96" s="233" t="n"/>
      <c r="T96" s="232" t="n"/>
      <c r="U96" s="233" t="n"/>
      <c r="V96" s="232" t="n"/>
    </row>
    <row r="97" ht="30" customHeight="1" s="594">
      <c r="A97" s="109" t="n"/>
      <c r="B97" s="110" t="inlineStr">
        <is>
          <t>SISTEMA DI RILEVAMENTO</t>
        </is>
      </c>
      <c r="C97" s="107" t="inlineStr">
        <is>
          <t>000203-UMN002-0001.1.A-DM8</t>
        </is>
      </c>
      <c r="D97" s="109" t="n"/>
      <c r="J97" s="110" t="n"/>
      <c r="K97" s="227" t="n"/>
      <c r="N97" s="227" t="n"/>
      <c r="P97" s="234" t="n"/>
      <c r="R97" s="232" t="n"/>
      <c r="S97" s="233" t="n"/>
      <c r="T97" s="232" t="n"/>
      <c r="U97" s="233" t="n"/>
      <c r="V97" s="232" t="n"/>
    </row>
    <row r="98">
      <c r="A98" s="109" t="n"/>
      <c r="B98" s="110" t="inlineStr">
        <is>
          <t>SISTEMA AEROSOL</t>
        </is>
      </c>
      <c r="C98" s="107" t="inlineStr">
        <is>
          <t>985-MCO72318</t>
        </is>
      </c>
      <c r="D98" s="109" t="n"/>
      <c r="J98" s="110" t="n"/>
      <c r="K98" s="227" t="n"/>
      <c r="N98" s="227" t="n"/>
      <c r="P98" s="234" t="n"/>
      <c r="R98" s="232" t="n"/>
      <c r="S98" s="233" t="n"/>
      <c r="T98" s="232" t="n"/>
      <c r="U98" s="233" t="n"/>
      <c r="V98" s="232" t="n"/>
    </row>
    <row r="99">
      <c r="A99" s="109" t="n"/>
      <c r="B99" s="110" t="n"/>
      <c r="C99" s="107" t="n"/>
      <c r="D99" s="109" t="n"/>
      <c r="J99" s="110" t="n"/>
      <c r="K99" s="227" t="n"/>
      <c r="N99" s="227" t="n"/>
      <c r="P99" s="234" t="n"/>
      <c r="Q99" s="253" t="n"/>
      <c r="R99" s="232" t="n"/>
      <c r="S99" s="233" t="n"/>
      <c r="T99" s="232" t="n"/>
      <c r="U99" s="233" t="n"/>
      <c r="V99" s="232" t="n"/>
    </row>
    <row r="100">
      <c r="A100" s="111" t="n"/>
      <c r="B100" s="112" t="n"/>
      <c r="C100" s="108" t="n"/>
      <c r="D100" s="111" t="n"/>
      <c r="E100" s="113" t="n"/>
      <c r="F100" s="113" t="n"/>
      <c r="G100" s="113" t="n"/>
      <c r="H100" s="113" t="n"/>
      <c r="I100" s="113" t="n"/>
      <c r="J100" s="112" t="n"/>
      <c r="K100" s="254" t="n"/>
      <c r="L100" s="255" t="n"/>
      <c r="M100" s="255" t="n"/>
      <c r="N100" s="254" t="n"/>
      <c r="O100" s="255" t="n"/>
      <c r="P100" s="256" t="n"/>
      <c r="Q100" s="257" t="n"/>
      <c r="R100" s="258" t="n"/>
      <c r="S100" s="259" t="n"/>
      <c r="T100" s="258" t="n"/>
      <c r="U100" s="259" t="n"/>
      <c r="V100" s="258" t="n"/>
    </row>
  </sheetData>
  <autoFilter ref="A2:R86"/>
  <mergeCells count="9">
    <mergeCell ref="Q1:R1"/>
    <mergeCell ref="S1:T1"/>
    <mergeCell ref="U1:V1"/>
    <mergeCell ref="C1:C2"/>
    <mergeCell ref="B1:B2"/>
    <mergeCell ref="N1:P1"/>
    <mergeCell ref="D1:J1"/>
    <mergeCell ref="A1:A2"/>
    <mergeCell ref="K1:M1"/>
  </mergeCells>
  <pageMargins left="0.7" right="0.7" top="0.75" bottom="0.75" header="0.3" footer="0.3"/>
  <pageSetup orientation="portrait" paperSize="9" verticalDpi="0"/>
</worksheet>
</file>

<file path=xl/worksheets/sheet11.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2"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594" min="1" max="1"/>
    <col width="14.42578125" customWidth="1" style="594" min="2" max="2"/>
    <col width="18.42578125" customWidth="1" style="594" min="3" max="3"/>
    <col width="15.85546875" customWidth="1" style="594" min="4" max="4"/>
    <col width="19.42578125" customWidth="1" style="594" min="5" max="6"/>
    <col width="14.42578125" customWidth="1" style="594" min="7" max="7"/>
    <col width="16.42578125" customWidth="1" style="594" min="8" max="8"/>
    <col width="23.85546875" customWidth="1" style="594" min="9" max="9"/>
    <col width="21.85546875" customWidth="1" style="594" min="10" max="10"/>
    <col width="11.42578125" customWidth="1" style="594" min="11" max="11"/>
    <col width="15.5703125" customWidth="1" style="594" min="12" max="12"/>
    <col width="19.85546875" customWidth="1" style="594" min="13" max="13"/>
    <col width="21.5703125" customWidth="1" style="594" min="14" max="14"/>
    <col width="12.140625" customWidth="1" style="594" min="15" max="15"/>
    <col width="15.5703125" customWidth="1" style="594" min="16" max="16"/>
    <col width="24.5703125" customWidth="1" style="594" min="17" max="17"/>
    <col width="26.85546875" customWidth="1" style="594" min="18" max="18"/>
    <col width="15.140625" customWidth="1" style="594" min="20" max="20"/>
    <col width="25.140625" customWidth="1" style="594" min="21" max="21"/>
    <col width="20.140625" customWidth="1" style="594" min="22" max="22"/>
    <col width="10" bestFit="1" customWidth="1" style="594" min="23" max="23"/>
    <col width="15.42578125" customWidth="1" style="594" min="24" max="24"/>
    <col width="20.42578125" customWidth="1" style="594" min="25" max="25"/>
    <col width="25.85546875" customWidth="1" style="594" min="26" max="26"/>
  </cols>
  <sheetData>
    <row r="1" ht="15.75" customHeight="1" s="594" thickBot="1">
      <c r="C1" s="600" t="inlineStr">
        <is>
          <t>IT 50 treni (flotta base)</t>
        </is>
      </c>
      <c r="D1" s="601" t="n"/>
      <c r="E1" s="601" t="n"/>
      <c r="F1" s="602" t="n"/>
      <c r="G1" s="600" t="inlineStr">
        <is>
          <t>IT 8 treni (51-58)</t>
        </is>
      </c>
      <c r="H1" s="601" t="n"/>
      <c r="I1" s="601" t="n"/>
      <c r="J1" s="602" t="n"/>
      <c r="K1" s="600" t="inlineStr">
        <is>
          <t>IT 6+30 treni (101-136)</t>
        </is>
      </c>
      <c r="L1" s="601" t="n"/>
      <c r="M1" s="601" t="n"/>
      <c r="N1" s="602" t="n"/>
      <c r="O1" s="600" t="inlineStr">
        <is>
          <t>I-FR 9 treni</t>
        </is>
      </c>
      <c r="P1" s="601" t="n"/>
      <c r="Q1" s="601" t="n"/>
      <c r="R1" s="602" t="n"/>
      <c r="S1" s="600" t="inlineStr">
        <is>
          <t>DAI 9 treni</t>
        </is>
      </c>
      <c r="T1" s="601" t="n"/>
      <c r="U1" s="601" t="n"/>
      <c r="V1" s="602" t="n"/>
      <c r="W1" s="600" t="inlineStr">
        <is>
          <t>ES 20 treni</t>
        </is>
      </c>
      <c r="X1" s="601" t="n"/>
      <c r="Y1" s="601" t="n"/>
      <c r="Z1" s="602" t="n"/>
    </row>
    <row r="2" ht="15.75" customHeight="1" s="594" thickBot="1">
      <c r="A2" s="578" t="inlineStr">
        <is>
          <t>Sottosistema</t>
        </is>
      </c>
      <c r="B2" s="579" t="n"/>
      <c r="C2" s="17" t="inlineStr">
        <is>
          <t>P/N</t>
        </is>
      </c>
      <c r="D2" s="18" t="inlineStr">
        <is>
          <t>Id</t>
        </is>
      </c>
      <c r="E2" s="18" t="inlineStr">
        <is>
          <t>P/N</t>
        </is>
      </c>
      <c r="F2" s="19" t="inlineStr">
        <is>
          <t>Descrizione</t>
        </is>
      </c>
      <c r="G2" s="20" t="inlineStr">
        <is>
          <t>P/N</t>
        </is>
      </c>
      <c r="H2" s="18" t="inlineStr">
        <is>
          <t>Id</t>
        </is>
      </c>
      <c r="I2" s="18" t="inlineStr">
        <is>
          <t>P/N</t>
        </is>
      </c>
      <c r="J2" s="19" t="inlineStr">
        <is>
          <t>Descrizione</t>
        </is>
      </c>
      <c r="K2" s="20" t="inlineStr">
        <is>
          <t>P/N</t>
        </is>
      </c>
      <c r="L2" s="18" t="inlineStr">
        <is>
          <t>Id</t>
        </is>
      </c>
      <c r="M2" s="18" t="inlineStr">
        <is>
          <t>P/N</t>
        </is>
      </c>
      <c r="N2" s="19" t="inlineStr">
        <is>
          <t>Descrizione</t>
        </is>
      </c>
      <c r="O2" s="20" t="inlineStr">
        <is>
          <t>P/N</t>
        </is>
      </c>
      <c r="P2" s="18" t="inlineStr">
        <is>
          <t>Id</t>
        </is>
      </c>
      <c r="Q2" s="18" t="inlineStr">
        <is>
          <t>P/N</t>
        </is>
      </c>
      <c r="R2" s="19" t="inlineStr">
        <is>
          <t>Descrizione</t>
        </is>
      </c>
      <c r="S2" s="20" t="inlineStr">
        <is>
          <t>P/N</t>
        </is>
      </c>
      <c r="T2" s="18" t="inlineStr">
        <is>
          <t>Id</t>
        </is>
      </c>
      <c r="U2" s="18" t="inlineStr">
        <is>
          <t>P/N</t>
        </is>
      </c>
      <c r="V2" s="19" t="inlineStr">
        <is>
          <t>Descrizione</t>
        </is>
      </c>
      <c r="W2" s="20" t="inlineStr">
        <is>
          <t>P/N</t>
        </is>
      </c>
      <c r="X2" s="18" t="inlineStr">
        <is>
          <t>Id</t>
        </is>
      </c>
      <c r="Y2" s="18" t="inlineStr">
        <is>
          <t>P/N</t>
        </is>
      </c>
      <c r="Z2" s="19" t="inlineStr">
        <is>
          <t>Descrizione</t>
        </is>
      </c>
    </row>
    <row r="3" ht="286.5" customHeight="1" s="594">
      <c r="A3" s="604" t="inlineStr">
        <is>
          <t>Carrelli</t>
        </is>
      </c>
      <c r="B3" s="629" t="inlineStr">
        <is>
          <t>Motori</t>
        </is>
      </c>
      <c r="C3" s="586" t="inlineStr">
        <is>
          <t>100360301
100360302
100360303
100360304</t>
        </is>
      </c>
      <c r="D3" s="22" t="inlineStr">
        <is>
          <t>Sala Montata</t>
        </is>
      </c>
      <c r="E3" s="15" t="inlineStr">
        <is>
          <t>100360402
100360403</t>
        </is>
      </c>
      <c r="F3" s="23" t="inlineStr">
        <is>
          <t>Sensoristica ERTMS-SCMT carrelli DM
Sala senza boccole: 100360064</t>
        </is>
      </c>
      <c r="G3" s="586" t="inlineStr">
        <is>
          <t>100360301
100360302
100360303
100360304</t>
        </is>
      </c>
      <c r="H3" s="22" t="inlineStr">
        <is>
          <t>Sala Montata</t>
        </is>
      </c>
      <c r="I3" s="15" t="inlineStr">
        <is>
          <t>100360402
100360403</t>
        </is>
      </c>
      <c r="J3" s="23" t="inlineStr">
        <is>
          <t>Sensoristica ERTMS-SCMT carrelli DM
Sala senza boccole: 100360064</t>
        </is>
      </c>
      <c r="K3" s="625" t="inlineStr">
        <is>
          <t>100360301
100360302
100360303
100360304
(EN45545)</t>
        </is>
      </c>
      <c r="L3" s="24" t="inlineStr">
        <is>
          <t>Sala Montata</t>
        </is>
      </c>
      <c r="M3" s="25" t="inlineStr">
        <is>
          <t>100360402
100360403</t>
        </is>
      </c>
      <c r="N3" s="26" t="inlineStr">
        <is>
          <t>Sensoristica ERTMS-SCMT carrelli DM</t>
        </is>
      </c>
      <c r="O3" s="586" t="inlineStr">
        <is>
          <t>100329688
100329689
100360303
100360304</t>
        </is>
      </c>
      <c r="P3" s="22" t="inlineStr">
        <is>
          <t>Sala Montata</t>
        </is>
      </c>
      <c r="Q3" s="527" t="n"/>
      <c r="R3" s="28" t="inlineStr">
        <is>
          <t>Sensoristica ERTMS-SCMT, Memor brush, ETCS antenna su carrelli ant. DM1/8
Sensori Wiegand su post. DM1/8
Sensori Wiegand su ant. TT2/7
Sala senza boccole: 100360064</t>
        </is>
      </c>
      <c r="S3" s="628" t="n"/>
      <c r="T3" s="29" t="inlineStr">
        <is>
          <t>Sala Montata</t>
        </is>
      </c>
      <c r="U3" s="30" t="n"/>
      <c r="V3" s="31" t="inlineStr">
        <is>
          <t>tbd sensori boccola DM</t>
        </is>
      </c>
      <c r="W3" s="586" t="inlineStr">
        <is>
          <t>DM: 100437987
100470644</t>
        </is>
      </c>
      <c r="X3" s="22" t="inlineStr">
        <is>
          <t>Sala Montata</t>
        </is>
      </c>
      <c r="Y3" s="527" t="n"/>
      <c r="Z3" s="23" t="inlineStr">
        <is>
          <t>Sensoristica ETCS-ASFA-LZB carrelli DM</t>
        </is>
      </c>
    </row>
    <row r="4">
      <c r="A4" s="605" t="n"/>
      <c r="C4" s="576" t="n"/>
      <c r="D4" s="33" t="inlineStr">
        <is>
          <t>Riduttore</t>
        </is>
      </c>
      <c r="E4" s="34" t="n">
        <v>13900244911</v>
      </c>
      <c r="F4" s="35" t="n"/>
      <c r="G4" s="576" t="n"/>
      <c r="H4" s="33" t="inlineStr">
        <is>
          <t>Riduttore</t>
        </is>
      </c>
      <c r="I4" s="34" t="n">
        <v>13900244911</v>
      </c>
      <c r="J4" s="35" t="n"/>
      <c r="K4" s="576" t="n"/>
      <c r="L4" s="36" t="inlineStr">
        <is>
          <t>Riduttore</t>
        </is>
      </c>
      <c r="M4" s="37" t="n">
        <v>13900244911</v>
      </c>
      <c r="N4" s="38" t="n"/>
      <c r="O4" s="576" t="n"/>
      <c r="P4" s="33" t="inlineStr">
        <is>
          <t>Riduttore</t>
        </is>
      </c>
      <c r="Q4" s="39" t="n">
        <v>13900244911</v>
      </c>
      <c r="R4" s="35" t="n"/>
      <c r="S4" s="576" t="n"/>
      <c r="T4" s="40" t="inlineStr">
        <is>
          <t>Riduttore</t>
        </is>
      </c>
      <c r="U4" s="41" t="n">
        <v>13900244911</v>
      </c>
      <c r="V4" s="42" t="n"/>
      <c r="W4" s="576" t="n"/>
      <c r="X4" s="33" t="inlineStr">
        <is>
          <t>Riduttore</t>
        </is>
      </c>
      <c r="Y4" s="1" t="n"/>
      <c r="Z4" s="35" t="n"/>
    </row>
    <row r="5">
      <c r="A5" s="605" t="n"/>
      <c r="C5" s="576" t="n"/>
      <c r="D5" s="33" t="inlineStr">
        <is>
          <t>Motore</t>
        </is>
      </c>
      <c r="E5" s="1" t="inlineStr">
        <is>
          <t>3EST000224-9555</t>
        </is>
      </c>
      <c r="F5" s="35" t="n"/>
      <c r="G5" s="576" t="n"/>
      <c r="H5" s="33" t="inlineStr">
        <is>
          <t>Motore</t>
        </is>
      </c>
      <c r="I5" s="1" t="inlineStr">
        <is>
          <t>3EST000224-9555</t>
        </is>
      </c>
      <c r="J5" s="35" t="n"/>
      <c r="K5" s="576" t="n"/>
      <c r="L5" s="36" t="inlineStr">
        <is>
          <t>Motore</t>
        </is>
      </c>
      <c r="M5" s="43" t="inlineStr">
        <is>
          <t>3EST000224-9555</t>
        </is>
      </c>
      <c r="N5" s="38" t="n"/>
      <c r="O5" s="576" t="n"/>
      <c r="P5" s="33" t="inlineStr">
        <is>
          <t>Motore</t>
        </is>
      </c>
      <c r="Q5" s="44" t="inlineStr">
        <is>
          <t>3EST000224-9555</t>
        </is>
      </c>
      <c r="R5" s="35" t="n"/>
      <c r="S5" s="576" t="n"/>
      <c r="T5" s="40" t="inlineStr">
        <is>
          <t>Motore</t>
        </is>
      </c>
      <c r="U5" s="45" t="inlineStr">
        <is>
          <t>3EST000224-9555</t>
        </is>
      </c>
      <c r="V5" s="42" t="n"/>
      <c r="W5" s="576" t="n"/>
      <c r="X5" s="33" t="inlineStr">
        <is>
          <t>Motore</t>
        </is>
      </c>
      <c r="Y5" s="1" t="n"/>
      <c r="Z5" s="35" t="n"/>
    </row>
    <row r="6" ht="87" customHeight="1" s="594">
      <c r="A6" s="605" t="n"/>
      <c r="C6" s="576" t="n"/>
      <c r="D6" s="33" t="inlineStr">
        <is>
          <t>Cil.Freno</t>
        </is>
      </c>
      <c r="E6" s="46" t="inlineStr">
        <is>
          <t>FT0011601-100
FT0011602-100
FT0011602-101</t>
        </is>
      </c>
      <c r="F6" s="35" t="n"/>
      <c r="G6" s="576" t="n"/>
      <c r="H6" s="33" t="inlineStr">
        <is>
          <t>Cil.Freno</t>
        </is>
      </c>
      <c r="I6" s="46" t="inlineStr">
        <is>
          <t>FT0011601-100
FT0011602-100
FT0011602-101</t>
        </is>
      </c>
      <c r="J6" s="35" t="n"/>
      <c r="K6" s="576" t="n"/>
      <c r="L6" s="36" t="inlineStr">
        <is>
          <t>Cil.Freno</t>
        </is>
      </c>
      <c r="M6" s="47" t="inlineStr">
        <is>
          <t>FT0011601-100
FT0011602-100
FT0011602-101</t>
        </is>
      </c>
      <c r="N6" s="38" t="n"/>
      <c r="O6" s="576" t="n"/>
      <c r="P6" s="33" t="inlineStr">
        <is>
          <t>Cil.Freno</t>
        </is>
      </c>
      <c r="Q6" s="48" t="inlineStr">
        <is>
          <t>FT0011601-100
FT0011602-100
FT0011602-101</t>
        </is>
      </c>
      <c r="R6" s="35" t="n"/>
      <c r="S6" s="576" t="n"/>
      <c r="T6" s="40" t="inlineStr">
        <is>
          <t>Cil.Freno</t>
        </is>
      </c>
      <c r="U6" s="49" t="inlineStr">
        <is>
          <t>FT0011601-100
FT0011602-100
FT0011602-101</t>
        </is>
      </c>
      <c r="V6" s="42" t="n"/>
      <c r="W6" s="576" t="n"/>
      <c r="X6" s="33" t="inlineStr">
        <is>
          <t>Cil.Freno</t>
        </is>
      </c>
      <c r="Y6" s="46" t="inlineStr">
        <is>
          <t>FT0011601-100
FT0011602-100
FT0011602-101</t>
        </is>
      </c>
      <c r="Z6" s="35" t="n"/>
    </row>
    <row r="7">
      <c r="A7" s="605" t="n"/>
      <c r="C7" s="576" t="n"/>
      <c r="D7" s="33" t="inlineStr">
        <is>
          <t>Als</t>
        </is>
      </c>
      <c r="E7" s="1" t="inlineStr">
        <is>
          <t>6398B000-01</t>
        </is>
      </c>
      <c r="F7" s="35" t="n"/>
      <c r="G7" s="576" t="n"/>
      <c r="H7" s="33" t="inlineStr">
        <is>
          <t>Als</t>
        </is>
      </c>
      <c r="I7" s="1" t="inlineStr">
        <is>
          <t>6398B000-01</t>
        </is>
      </c>
      <c r="J7" s="35" t="n"/>
      <c r="K7" s="576" t="n"/>
      <c r="L7" s="36" t="inlineStr">
        <is>
          <t>Als</t>
        </is>
      </c>
      <c r="M7" s="43" t="inlineStr">
        <is>
          <t>6398B000-01</t>
        </is>
      </c>
      <c r="N7" s="38" t="n"/>
      <c r="O7" s="576" t="n"/>
      <c r="P7" s="33" t="inlineStr">
        <is>
          <t>Als</t>
        </is>
      </c>
      <c r="Q7" s="44" t="inlineStr">
        <is>
          <t>6398B000-01</t>
        </is>
      </c>
      <c r="R7" s="35" t="n"/>
      <c r="S7" s="576" t="n"/>
      <c r="T7" s="40" t="inlineStr">
        <is>
          <t>Als</t>
        </is>
      </c>
      <c r="U7" s="45" t="inlineStr">
        <is>
          <t>6398B000-01</t>
        </is>
      </c>
      <c r="V7" s="42" t="n"/>
      <c r="W7" s="576" t="n"/>
      <c r="X7" s="33" t="inlineStr">
        <is>
          <t>Als</t>
        </is>
      </c>
      <c r="Y7" s="1" t="n"/>
      <c r="Z7" s="35" t="n"/>
    </row>
    <row r="8">
      <c r="A8" s="605" t="n"/>
      <c r="B8" s="538" t="n"/>
      <c r="C8" s="587" t="n"/>
      <c r="D8" s="33" t="inlineStr">
        <is>
          <t>BMS</t>
        </is>
      </c>
      <c r="E8" s="1" t="n"/>
      <c r="F8" s="35" t="inlineStr">
        <is>
          <t>Ephimess fase 2</t>
        </is>
      </c>
      <c r="G8" s="587" t="n"/>
      <c r="H8" s="33" t="inlineStr">
        <is>
          <t>BMS</t>
        </is>
      </c>
      <c r="I8" s="1" t="n"/>
      <c r="J8" s="35" t="inlineStr">
        <is>
          <t>Ephimess fase 2</t>
        </is>
      </c>
      <c r="K8" s="587" t="n"/>
      <c r="L8" s="36" t="inlineStr">
        <is>
          <t>BMS</t>
        </is>
      </c>
      <c r="M8" s="43" t="n"/>
      <c r="N8" s="38" t="n"/>
      <c r="O8" s="587" t="n"/>
      <c r="P8" s="33" t="inlineStr">
        <is>
          <t>BMS</t>
        </is>
      </c>
      <c r="Q8" s="44" t="n"/>
      <c r="R8" s="35" t="n"/>
      <c r="S8" s="587" t="n"/>
      <c r="T8" s="40" t="inlineStr">
        <is>
          <t>BMS</t>
        </is>
      </c>
      <c r="U8" s="45" t="n"/>
      <c r="V8" s="42" t="n"/>
      <c r="W8" s="587" t="n"/>
      <c r="X8" s="33" t="inlineStr">
        <is>
          <t>BMS</t>
        </is>
      </c>
      <c r="Y8" s="1" t="n"/>
      <c r="Z8" s="35" t="n"/>
    </row>
    <row r="9" ht="30" customHeight="1" s="594">
      <c r="A9" s="605" t="n"/>
      <c r="B9" s="611" t="inlineStr">
        <is>
          <t>Portanti</t>
        </is>
      </c>
      <c r="C9" s="623" t="inlineStr">
        <is>
          <t>100360311
100360312
100360313</t>
        </is>
      </c>
      <c r="D9" s="33" t="inlineStr">
        <is>
          <t>Sala</t>
        </is>
      </c>
      <c r="E9" s="50" t="inlineStr">
        <is>
          <t>100360411
100360412</t>
        </is>
      </c>
      <c r="F9" s="35" t="n"/>
      <c r="G9" s="623" t="inlineStr">
        <is>
          <t>100360311
100360312
100360313</t>
        </is>
      </c>
      <c r="H9" s="33" t="inlineStr">
        <is>
          <t>Sala</t>
        </is>
      </c>
      <c r="I9" s="50" t="inlineStr">
        <is>
          <t>100360411
100360412</t>
        </is>
      </c>
      <c r="J9" s="35" t="n"/>
      <c r="K9" s="624" t="inlineStr">
        <is>
          <t>100360311
100360312
100360313
(EN45545)</t>
        </is>
      </c>
      <c r="L9" s="36" t="inlineStr">
        <is>
          <t>Sala</t>
        </is>
      </c>
      <c r="M9" s="51" t="inlineStr">
        <is>
          <t>100360411
100360412</t>
        </is>
      </c>
      <c r="N9" s="38" t="n"/>
      <c r="O9" s="623" t="inlineStr">
        <is>
          <t>100360311
100329690
100360313</t>
        </is>
      </c>
      <c r="P9" s="33" t="inlineStr">
        <is>
          <t>Sala</t>
        </is>
      </c>
      <c r="Q9" s="50" t="inlineStr">
        <is>
          <t>100360411
100360412</t>
        </is>
      </c>
      <c r="R9" s="35" t="n"/>
      <c r="S9" s="585" t="n"/>
      <c r="T9" s="40" t="inlineStr">
        <is>
          <t>Sala</t>
        </is>
      </c>
      <c r="U9" s="45" t="n"/>
      <c r="V9" s="42" t="n"/>
      <c r="W9" s="599" t="n"/>
      <c r="X9" s="33" t="inlineStr">
        <is>
          <t>Sala</t>
        </is>
      </c>
      <c r="Y9" s="1" t="n"/>
      <c r="Z9" s="35" t="n"/>
    </row>
    <row r="10">
      <c r="A10" s="605" t="n"/>
      <c r="C10" s="576" t="n"/>
      <c r="D10" s="33" t="inlineStr">
        <is>
          <t>Freno</t>
        </is>
      </c>
      <c r="E10" s="1" t="n"/>
      <c r="F10" s="35" t="n"/>
      <c r="G10" s="576" t="n"/>
      <c r="H10" s="33" t="inlineStr">
        <is>
          <t>Freno</t>
        </is>
      </c>
      <c r="I10" s="1" t="n"/>
      <c r="J10" s="35" t="n"/>
      <c r="K10" s="576" t="n"/>
      <c r="L10" s="36" t="inlineStr">
        <is>
          <t>Freno</t>
        </is>
      </c>
      <c r="M10" s="43" t="n"/>
      <c r="N10" s="38" t="n"/>
      <c r="O10" s="576" t="n"/>
      <c r="P10" s="33" t="inlineStr">
        <is>
          <t>Freno</t>
        </is>
      </c>
      <c r="Q10" s="1" t="n"/>
      <c r="R10" s="35" t="n"/>
      <c r="S10" s="576" t="n"/>
      <c r="T10" s="40" t="inlineStr">
        <is>
          <t>Freno</t>
        </is>
      </c>
      <c r="U10" s="45" t="n"/>
      <c r="V10" s="42" t="n"/>
      <c r="W10" s="576" t="n"/>
      <c r="X10" s="33" t="inlineStr">
        <is>
          <t>Freno</t>
        </is>
      </c>
      <c r="Y10" s="1" t="n"/>
      <c r="Z10" s="35" t="n"/>
    </row>
    <row r="11">
      <c r="A11" s="605" t="n"/>
      <c r="C11" s="576" t="n"/>
      <c r="D11" s="33" t="inlineStr">
        <is>
          <t>Als</t>
        </is>
      </c>
      <c r="E11" s="1" t="n"/>
      <c r="F11" s="35" t="n"/>
      <c r="G11" s="576" t="n"/>
      <c r="H11" s="33" t="inlineStr">
        <is>
          <t>Als</t>
        </is>
      </c>
      <c r="I11" s="1" t="n"/>
      <c r="J11" s="35" t="n"/>
      <c r="K11" s="576" t="n"/>
      <c r="L11" s="36" t="inlineStr">
        <is>
          <t>Als</t>
        </is>
      </c>
      <c r="M11" s="43" t="n"/>
      <c r="N11" s="38" t="n"/>
      <c r="O11" s="576" t="n"/>
      <c r="P11" s="33" t="inlineStr">
        <is>
          <t>Als</t>
        </is>
      </c>
      <c r="Q11" s="1" t="n"/>
      <c r="R11" s="35" t="n"/>
      <c r="S11" s="576" t="n"/>
      <c r="T11" s="40" t="inlineStr">
        <is>
          <t>Als</t>
        </is>
      </c>
      <c r="U11" s="45" t="n"/>
      <c r="V11" s="42" t="n"/>
      <c r="W11" s="576" t="n"/>
      <c r="X11" s="33" t="inlineStr">
        <is>
          <t>Als</t>
        </is>
      </c>
      <c r="Y11" s="1" t="n"/>
      <c r="Z11" s="35" t="n"/>
    </row>
    <row r="12" ht="15.75" customHeight="1" s="594" thickBot="1">
      <c r="A12" s="606" t="n"/>
      <c r="B12" s="538" t="n"/>
      <c r="C12" s="577" t="n"/>
      <c r="D12" s="52" t="inlineStr">
        <is>
          <t>BMS</t>
        </is>
      </c>
      <c r="E12" s="53" t="n"/>
      <c r="F12" s="54" t="n"/>
      <c r="G12" s="577" t="n"/>
      <c r="H12" s="52" t="inlineStr">
        <is>
          <t>BMS</t>
        </is>
      </c>
      <c r="I12" s="53" t="n"/>
      <c r="J12" s="54" t="n"/>
      <c r="K12" s="577" t="n"/>
      <c r="L12" s="55" t="inlineStr">
        <is>
          <t>BMS</t>
        </is>
      </c>
      <c r="M12" s="56" t="n"/>
      <c r="N12" s="57" t="n"/>
      <c r="O12" s="577" t="n"/>
      <c r="P12" s="52" t="inlineStr">
        <is>
          <t>BMS</t>
        </is>
      </c>
      <c r="Q12" s="53" t="n"/>
      <c r="R12" s="54" t="n"/>
      <c r="S12" s="577" t="n"/>
      <c r="T12" s="58" t="inlineStr">
        <is>
          <t>BMS</t>
        </is>
      </c>
      <c r="U12" s="59" t="n"/>
      <c r="V12" s="60" t="n"/>
      <c r="W12" s="577" t="n"/>
      <c r="X12" s="52" t="inlineStr">
        <is>
          <t>BMS</t>
        </is>
      </c>
      <c r="Y12" s="53" t="n"/>
      <c r="Z12" s="54" t="n"/>
    </row>
    <row r="13">
      <c r="A13" s="578" t="inlineStr">
        <is>
          <t>Pantografi</t>
        </is>
      </c>
      <c r="B13" s="615" t="inlineStr">
        <is>
          <t>3 kV</t>
        </is>
      </c>
      <c r="C13" s="590" t="n">
        <v>100170460</v>
      </c>
      <c r="D13" s="61" t="inlineStr">
        <is>
          <t>Struttura</t>
        </is>
      </c>
      <c r="E13" s="62" t="n">
        <v>10573076</v>
      </c>
      <c r="F13" s="63" t="n"/>
      <c r="G13" s="589" t="n">
        <v>10949272</v>
      </c>
      <c r="H13" s="61" t="inlineStr">
        <is>
          <t>Struttura</t>
        </is>
      </c>
      <c r="I13" s="62" t="n">
        <v>10573076</v>
      </c>
      <c r="J13" s="63" t="n"/>
      <c r="K13" s="589" t="n">
        <v>10949272</v>
      </c>
      <c r="L13" s="61" t="inlineStr">
        <is>
          <t>Struttura</t>
        </is>
      </c>
      <c r="M13" s="62" t="n">
        <v>10573076</v>
      </c>
      <c r="N13" s="63" t="n"/>
      <c r="O13" s="590" t="n">
        <v>100170460</v>
      </c>
      <c r="P13" s="61" t="inlineStr">
        <is>
          <t>Struttura</t>
        </is>
      </c>
      <c r="Q13" s="62" t="n">
        <v>10573076</v>
      </c>
      <c r="R13" s="63" t="n"/>
      <c r="S13" s="617" t="n"/>
      <c r="T13" s="64" t="inlineStr">
        <is>
          <t>Struttura</t>
        </is>
      </c>
      <c r="U13" s="64" t="n"/>
      <c r="V13" s="65" t="n"/>
      <c r="W13" s="590" t="n"/>
      <c r="X13" s="61" t="inlineStr">
        <is>
          <t>Struttura</t>
        </is>
      </c>
      <c r="Y13" s="61" t="n"/>
      <c r="Z13" s="63" t="n"/>
    </row>
    <row r="14">
      <c r="A14" s="605" t="n"/>
      <c r="C14" s="576" t="n"/>
      <c r="D14" s="1" t="inlineStr">
        <is>
          <t>Archetto</t>
        </is>
      </c>
      <c r="E14" s="12" t="n">
        <v>10561136</v>
      </c>
      <c r="F14" s="35" t="n"/>
      <c r="G14" s="576" t="n"/>
      <c r="H14" s="1" t="inlineStr">
        <is>
          <t>Archetto</t>
        </is>
      </c>
      <c r="I14" s="12" t="n">
        <v>10561136</v>
      </c>
      <c r="J14" s="35" t="n"/>
      <c r="K14" s="576" t="n"/>
      <c r="L14" s="1" t="inlineStr">
        <is>
          <t>Archetto</t>
        </is>
      </c>
      <c r="M14" s="12" t="n">
        <v>10561136</v>
      </c>
      <c r="N14" s="35" t="n"/>
      <c r="O14" s="576" t="n"/>
      <c r="P14" s="1" t="inlineStr">
        <is>
          <t>Archetto</t>
        </is>
      </c>
      <c r="Q14" s="44" t="n">
        <v>10561136</v>
      </c>
      <c r="R14" s="35" t="n"/>
      <c r="S14" s="576" t="n"/>
      <c r="T14" s="45" t="inlineStr">
        <is>
          <t>Archetto</t>
        </is>
      </c>
      <c r="U14" s="45" t="n"/>
      <c r="V14" s="42" t="n"/>
      <c r="W14" s="576" t="n"/>
      <c r="X14" s="1" t="inlineStr">
        <is>
          <t>Archetto</t>
        </is>
      </c>
      <c r="Y14" s="1" t="n"/>
      <c r="Z14" s="35" t="inlineStr">
        <is>
          <t>Archetto 1.950 mm</t>
        </is>
      </c>
    </row>
    <row r="15">
      <c r="A15" s="605" t="n"/>
      <c r="C15" s="576" t="n"/>
      <c r="D15" s="1" t="inlineStr">
        <is>
          <t>Strisciante</t>
        </is>
      </c>
      <c r="E15" s="44" t="inlineStr">
        <is>
          <t>SK1451</t>
        </is>
      </c>
      <c r="F15" s="35" t="n"/>
      <c r="G15" s="576" t="n"/>
      <c r="H15" s="1" t="inlineStr">
        <is>
          <t>Strisciante</t>
        </is>
      </c>
      <c r="I15" s="44" t="inlineStr">
        <is>
          <t>SK1451</t>
        </is>
      </c>
      <c r="J15" s="35" t="n"/>
      <c r="K15" s="576" t="n"/>
      <c r="L15" s="1" t="inlineStr">
        <is>
          <t>Strisciante</t>
        </is>
      </c>
      <c r="M15" s="44" t="inlineStr">
        <is>
          <t>SK1451</t>
        </is>
      </c>
      <c r="N15" s="35" t="n"/>
      <c r="O15" s="576" t="n"/>
      <c r="P15" s="1" t="inlineStr">
        <is>
          <t>Strisciante</t>
        </is>
      </c>
      <c r="Q15" s="12" t="inlineStr">
        <is>
          <t>SK1451</t>
        </is>
      </c>
      <c r="R15" s="35" t="n"/>
      <c r="S15" s="576" t="n"/>
      <c r="T15" s="45" t="inlineStr">
        <is>
          <t>Strisciante</t>
        </is>
      </c>
      <c r="U15" s="45" t="n"/>
      <c r="V15" s="42" t="n"/>
      <c r="W15" s="576" t="n"/>
      <c r="X15" s="1" t="inlineStr">
        <is>
          <t>Strisciante</t>
        </is>
      </c>
      <c r="Y15" s="1" t="n"/>
      <c r="Z15" s="35" t="n"/>
    </row>
    <row r="16">
      <c r="A16" s="605" t="n"/>
      <c r="B16" s="538" t="n"/>
      <c r="C16" s="587" t="n"/>
      <c r="D16" s="1" t="inlineStr">
        <is>
          <t>PPU</t>
        </is>
      </c>
      <c r="E16" s="44" t="n">
        <v>102895</v>
      </c>
      <c r="F16" s="35" t="n"/>
      <c r="G16" s="587" t="n"/>
      <c r="H16" s="1" t="inlineStr">
        <is>
          <t>PPU</t>
        </is>
      </c>
      <c r="I16" s="67" t="inlineStr">
        <is>
          <t>232C10395F</t>
        </is>
      </c>
      <c r="J16" s="68" t="inlineStr">
        <is>
          <t>Con isolamento ADD</t>
        </is>
      </c>
      <c r="K16" s="587" t="n"/>
      <c r="L16" s="1" t="inlineStr">
        <is>
          <t>PPU</t>
        </is>
      </c>
      <c r="M16" s="67" t="inlineStr">
        <is>
          <t>231C100036B</t>
        </is>
      </c>
      <c r="N16" s="68" t="inlineStr">
        <is>
          <t>Con isolamento ADD</t>
        </is>
      </c>
      <c r="O16" s="587" t="n"/>
      <c r="P16" s="1" t="inlineStr">
        <is>
          <t>PPU</t>
        </is>
      </c>
      <c r="Q16" s="67" t="inlineStr">
        <is>
          <t>232C10353E</t>
        </is>
      </c>
      <c r="R16" s="69" t="inlineStr">
        <is>
          <t>PPU DC Modificata per agg.panto 1.5</t>
        </is>
      </c>
      <c r="S16" s="587" t="n"/>
      <c r="T16" s="45" t="inlineStr">
        <is>
          <t>PCU</t>
        </is>
      </c>
      <c r="U16" s="45" t="n"/>
      <c r="V16" s="42" t="n"/>
      <c r="W16" s="587" t="n"/>
      <c r="X16" s="1" t="inlineStr">
        <is>
          <t>PPU</t>
        </is>
      </c>
      <c r="Y16" s="1" t="n"/>
      <c r="Z16" s="68" t="inlineStr">
        <is>
          <t>Con isolamento ADD</t>
        </is>
      </c>
    </row>
    <row r="17">
      <c r="A17" s="605" t="n"/>
      <c r="B17" s="611" t="inlineStr">
        <is>
          <t>25 kV</t>
        </is>
      </c>
      <c r="C17" s="588" t="n">
        <v>100170464</v>
      </c>
      <c r="D17" s="33" t="inlineStr">
        <is>
          <t>Struttura</t>
        </is>
      </c>
      <c r="E17" s="70" t="n">
        <v>10573076</v>
      </c>
      <c r="F17" s="35" t="n"/>
      <c r="G17" s="610" t="n">
        <v>10949356</v>
      </c>
      <c r="H17" s="1" t="inlineStr">
        <is>
          <t>Struttura</t>
        </is>
      </c>
      <c r="I17" s="70" t="n">
        <v>10573076</v>
      </c>
      <c r="J17" s="35" t="n"/>
      <c r="K17" s="610" t="n">
        <v>10949356</v>
      </c>
      <c r="L17" s="1" t="inlineStr">
        <is>
          <t>Struttura</t>
        </is>
      </c>
      <c r="M17" s="70" t="n">
        <v>10573076</v>
      </c>
      <c r="N17" s="35" t="n"/>
      <c r="O17" s="588" t="n">
        <v>100170464</v>
      </c>
      <c r="P17" s="1" t="inlineStr">
        <is>
          <t>Struttura</t>
        </is>
      </c>
      <c r="Q17" s="14" t="n">
        <v>10573076</v>
      </c>
      <c r="R17" s="35" t="n"/>
      <c r="S17" s="603" t="n"/>
      <c r="T17" s="45" t="inlineStr">
        <is>
          <t>Struttura</t>
        </is>
      </c>
      <c r="U17" s="45" t="n"/>
      <c r="V17" s="42" t="n"/>
      <c r="W17" s="588" t="n"/>
      <c r="X17" s="1" t="inlineStr">
        <is>
          <t>Struttura</t>
        </is>
      </c>
      <c r="Y17" s="1" t="n"/>
      <c r="Z17" s="35" t="n"/>
    </row>
    <row r="18">
      <c r="A18" s="605" t="n"/>
      <c r="C18" s="576" t="n"/>
      <c r="D18" s="33" t="inlineStr">
        <is>
          <t>Archetto</t>
        </is>
      </c>
      <c r="E18" s="71" t="n">
        <v>10572700</v>
      </c>
      <c r="F18" s="35" t="n"/>
      <c r="G18" s="576" t="n"/>
      <c r="H18" s="1" t="inlineStr">
        <is>
          <t>Archetto</t>
        </is>
      </c>
      <c r="I18" s="71" t="n">
        <v>10572700</v>
      </c>
      <c r="J18" s="35" t="n"/>
      <c r="K18" s="576" t="n"/>
      <c r="L18" s="1" t="inlineStr">
        <is>
          <t>Archetto</t>
        </is>
      </c>
      <c r="M18" s="71" t="n">
        <v>10572700</v>
      </c>
      <c r="N18" s="35" t="n"/>
      <c r="O18" s="576" t="n"/>
      <c r="P18" s="1" t="inlineStr">
        <is>
          <t>Archetto</t>
        </is>
      </c>
      <c r="Q18" s="72" t="n">
        <v>10572700</v>
      </c>
      <c r="R18" s="35" t="inlineStr">
        <is>
          <t>Vedi strisciante</t>
        </is>
      </c>
      <c r="S18" s="576" t="n"/>
      <c r="T18" s="45" t="inlineStr">
        <is>
          <t>Archetto</t>
        </is>
      </c>
      <c r="U18" s="45" t="n"/>
      <c r="V18" s="42" t="n"/>
      <c r="W18" s="576" t="n"/>
      <c r="X18" s="1" t="inlineStr">
        <is>
          <t>Archetto</t>
        </is>
      </c>
      <c r="Y18" s="1" t="n"/>
      <c r="Z18" s="35" t="n"/>
    </row>
    <row r="19">
      <c r="A19" s="605" t="n"/>
      <c r="C19" s="576" t="n"/>
      <c r="D19" s="33" t="inlineStr">
        <is>
          <t>Strisciante</t>
        </is>
      </c>
      <c r="E19" s="44" t="inlineStr">
        <is>
          <t>SK1630</t>
        </is>
      </c>
      <c r="F19" s="35" t="n"/>
      <c r="G19" s="576" t="n"/>
      <c r="H19" s="1" t="inlineStr">
        <is>
          <t>Strisciante</t>
        </is>
      </c>
      <c r="I19" s="44" t="inlineStr">
        <is>
          <t>SK1630</t>
        </is>
      </c>
      <c r="J19" s="35" t="n"/>
      <c r="K19" s="576" t="n"/>
      <c r="L19" s="1" t="inlineStr">
        <is>
          <t>Strisciante</t>
        </is>
      </c>
      <c r="M19" s="44" t="inlineStr">
        <is>
          <t>SK1630</t>
        </is>
      </c>
      <c r="N19" s="35" t="n"/>
      <c r="O19" s="576" t="n"/>
      <c r="P19" s="1" t="inlineStr">
        <is>
          <t>Strisciante</t>
        </is>
      </c>
      <c r="Q19" s="67" t="inlineStr">
        <is>
          <t>SK 2381</t>
        </is>
      </c>
      <c r="R19" s="35" t="inlineStr">
        <is>
          <t>Conforme a norma FR SAM E903</t>
        </is>
      </c>
      <c r="S19" s="576" t="n"/>
      <c r="T19" s="45" t="inlineStr">
        <is>
          <t>Strisciante</t>
        </is>
      </c>
      <c r="U19" s="73" t="inlineStr">
        <is>
          <t>SK1630</t>
        </is>
      </c>
      <c r="V19" s="42" t="n"/>
      <c r="W19" s="576" t="n"/>
      <c r="X19" s="1" t="inlineStr">
        <is>
          <t>Strisciante</t>
        </is>
      </c>
      <c r="Y19" s="44" t="inlineStr">
        <is>
          <t>SK1630</t>
        </is>
      </c>
      <c r="Z19" s="35" t="n"/>
    </row>
    <row r="20">
      <c r="A20" s="605" t="n"/>
      <c r="B20" s="538" t="n"/>
      <c r="C20" s="587" t="n"/>
      <c r="D20" s="1" t="inlineStr">
        <is>
          <t>PPU</t>
        </is>
      </c>
      <c r="E20" s="12" t="n">
        <v>102895</v>
      </c>
      <c r="F20" s="35" t="n"/>
      <c r="G20" s="587" t="n"/>
      <c r="H20" s="1" t="inlineStr">
        <is>
          <t>PPU</t>
        </is>
      </c>
      <c r="I20" s="67" t="inlineStr">
        <is>
          <t>232C10395F</t>
        </is>
      </c>
      <c r="J20" s="68" t="inlineStr">
        <is>
          <t>Con isolamento ADD</t>
        </is>
      </c>
      <c r="K20" s="587" t="n"/>
      <c r="L20" s="1" t="inlineStr">
        <is>
          <t>PPU</t>
        </is>
      </c>
      <c r="M20" s="67" t="inlineStr">
        <is>
          <t>231C100036B</t>
        </is>
      </c>
      <c r="N20" s="68" t="inlineStr">
        <is>
          <t>Con isolamento ADD</t>
        </is>
      </c>
      <c r="O20" s="587" t="n"/>
      <c r="P20" s="1" t="inlineStr">
        <is>
          <t>PPU</t>
        </is>
      </c>
      <c r="Q20" s="74" t="n">
        <v>102895</v>
      </c>
      <c r="R20" s="35" t="n"/>
      <c r="S20" s="587" t="n"/>
      <c r="T20" s="45" t="inlineStr">
        <is>
          <t>PPU</t>
        </is>
      </c>
      <c r="U20" s="45" t="n"/>
      <c r="V20" s="42" t="n"/>
      <c r="W20" s="587" t="n"/>
      <c r="X20" s="1" t="inlineStr">
        <is>
          <t>PPU</t>
        </is>
      </c>
      <c r="Y20" s="1" t="n"/>
      <c r="Z20" s="68" t="inlineStr">
        <is>
          <t>Con isolamento ADD</t>
        </is>
      </c>
    </row>
    <row r="21">
      <c r="A21" s="605" t="n"/>
      <c r="B21" s="611" t="inlineStr">
        <is>
          <t>1,5 kV</t>
        </is>
      </c>
      <c r="C21" s="588" t="inlineStr">
        <is>
          <t>n/a</t>
        </is>
      </c>
      <c r="D21" s="33" t="inlineStr">
        <is>
          <t>Struttura</t>
        </is>
      </c>
      <c r="E21" s="43" t="n"/>
      <c r="F21" s="38" t="n"/>
      <c r="G21" s="588" t="inlineStr">
        <is>
          <t>n/a</t>
        </is>
      </c>
      <c r="H21" s="1" t="inlineStr">
        <is>
          <t>Struttura</t>
        </is>
      </c>
      <c r="I21" s="43" t="n"/>
      <c r="J21" s="38" t="n"/>
      <c r="K21" s="588" t="inlineStr">
        <is>
          <t>n/a</t>
        </is>
      </c>
      <c r="L21" s="1" t="inlineStr">
        <is>
          <t>Struttura</t>
        </is>
      </c>
      <c r="M21" s="43" t="n"/>
      <c r="N21" s="38" t="n"/>
      <c r="O21" s="610" t="n">
        <v>10851208</v>
      </c>
      <c r="P21" s="1" t="inlineStr">
        <is>
          <t>Struttura</t>
        </is>
      </c>
      <c r="Q21" s="44" t="n">
        <v>10573076</v>
      </c>
      <c r="R21" s="35" t="n"/>
      <c r="S21" s="603" t="n"/>
      <c r="T21" s="45" t="inlineStr">
        <is>
          <t>Struttura</t>
        </is>
      </c>
      <c r="U21" s="45" t="n"/>
      <c r="V21" s="42" t="n"/>
      <c r="W21" s="588" t="n"/>
      <c r="X21" s="1" t="inlineStr">
        <is>
          <t>Struttura</t>
        </is>
      </c>
      <c r="Y21" s="43" t="n"/>
      <c r="Z21" s="38" t="n"/>
    </row>
    <row r="22">
      <c r="A22" s="605" t="n"/>
      <c r="C22" s="576" t="n"/>
      <c r="D22" s="33" t="inlineStr">
        <is>
          <t>Archetto</t>
        </is>
      </c>
      <c r="E22" s="43" t="n"/>
      <c r="F22" s="38" t="n"/>
      <c r="G22" s="576" t="n"/>
      <c r="H22" s="1" t="inlineStr">
        <is>
          <t>Archetto</t>
        </is>
      </c>
      <c r="I22" s="43" t="n"/>
      <c r="J22" s="38" t="n"/>
      <c r="K22" s="576" t="n"/>
      <c r="L22" s="1" t="inlineStr">
        <is>
          <t>Archetto</t>
        </is>
      </c>
      <c r="M22" s="43" t="n"/>
      <c r="N22" s="38" t="n"/>
      <c r="O22" s="576" t="n"/>
      <c r="P22" s="1" t="inlineStr">
        <is>
          <t>Archetto</t>
        </is>
      </c>
      <c r="Q22" s="44" t="n">
        <v>10882275</v>
      </c>
      <c r="R22" s="35" t="inlineStr">
        <is>
          <t>Larghezza 1.950 mm</t>
        </is>
      </c>
      <c r="S22" s="576" t="n"/>
      <c r="T22" s="45" t="inlineStr">
        <is>
          <t>Archetto</t>
        </is>
      </c>
      <c r="U22" s="45" t="n"/>
      <c r="V22" s="42" t="n"/>
      <c r="W22" s="576" t="n"/>
      <c r="X22" s="1" t="inlineStr">
        <is>
          <t>Archetto</t>
        </is>
      </c>
      <c r="Y22" s="43" t="n"/>
      <c r="Z22" s="38" t="n"/>
    </row>
    <row r="23">
      <c r="A23" s="605" t="n"/>
      <c r="C23" s="576" t="n"/>
      <c r="D23" s="33" t="inlineStr">
        <is>
          <t>Strisciante</t>
        </is>
      </c>
      <c r="E23" s="43" t="n"/>
      <c r="F23" s="38" t="n"/>
      <c r="G23" s="576" t="n"/>
      <c r="H23" s="1" t="inlineStr">
        <is>
          <t>Strisciante</t>
        </is>
      </c>
      <c r="I23" s="43" t="n"/>
      <c r="J23" s="38" t="n"/>
      <c r="K23" s="576" t="n"/>
      <c r="L23" s="1" t="inlineStr">
        <is>
          <t>Strisciante</t>
        </is>
      </c>
      <c r="M23" s="43" t="n"/>
      <c r="N23" s="38" t="n"/>
      <c r="O23" s="576" t="n"/>
      <c r="P23" s="1" t="inlineStr">
        <is>
          <t>Strisciante</t>
        </is>
      </c>
      <c r="Q23" s="44" t="inlineStr">
        <is>
          <t>SK 2348</t>
        </is>
      </c>
      <c r="R23" s="35" t="n"/>
      <c r="S23" s="576" t="n"/>
      <c r="T23" s="45" t="inlineStr">
        <is>
          <t>Strisciante</t>
        </is>
      </c>
      <c r="U23" s="45" t="n"/>
      <c r="V23" s="42" t="n"/>
      <c r="W23" s="576" t="n"/>
      <c r="X23" s="1" t="inlineStr">
        <is>
          <t>Strisciante</t>
        </is>
      </c>
      <c r="Y23" s="43" t="n"/>
      <c r="Z23" s="38" t="n"/>
    </row>
    <row r="24">
      <c r="A24" s="605" t="n"/>
      <c r="B24" s="538" t="n"/>
      <c r="C24" s="587" t="n"/>
      <c r="D24" s="33" t="inlineStr">
        <is>
          <t>PCU</t>
        </is>
      </c>
      <c r="E24" s="43" t="n"/>
      <c r="F24" s="38" t="n"/>
      <c r="G24" s="587" t="n"/>
      <c r="H24" s="1" t="inlineStr">
        <is>
          <t>PCU</t>
        </is>
      </c>
      <c r="I24" s="43" t="n"/>
      <c r="J24" s="38" t="n"/>
      <c r="K24" s="587" t="n"/>
      <c r="L24" s="1" t="inlineStr">
        <is>
          <t>PCU</t>
        </is>
      </c>
      <c r="M24" s="43" t="n"/>
      <c r="N24" s="38" t="n"/>
      <c r="O24" s="587" t="n"/>
      <c r="P24" s="1" t="inlineStr">
        <is>
          <t>PPU</t>
        </is>
      </c>
      <c r="Q24" s="67" t="inlineStr">
        <is>
          <t>232C10353E</t>
        </is>
      </c>
      <c r="R24" s="69" t="inlineStr">
        <is>
          <t>PPU Modificata per agg.panto 1.5</t>
        </is>
      </c>
      <c r="S24" s="587" t="n"/>
      <c r="T24" s="45" t="inlineStr">
        <is>
          <t>PCU</t>
        </is>
      </c>
      <c r="U24" s="45" t="n"/>
      <c r="V24" s="42" t="n"/>
      <c r="W24" s="587" t="n"/>
      <c r="X24" s="1" t="inlineStr">
        <is>
          <t>PCU</t>
        </is>
      </c>
      <c r="Y24" s="43" t="n"/>
      <c r="Z24" s="38" t="n"/>
    </row>
    <row r="25">
      <c r="A25" s="605" t="n"/>
      <c r="B25" s="611" t="inlineStr">
        <is>
          <t>15 kV</t>
        </is>
      </c>
      <c r="C25" s="588" t="inlineStr">
        <is>
          <t>n/a</t>
        </is>
      </c>
      <c r="D25" s="33" t="inlineStr">
        <is>
          <t>Struttura</t>
        </is>
      </c>
      <c r="E25" s="43" t="n"/>
      <c r="F25" s="38" t="n"/>
      <c r="G25" s="588" t="inlineStr">
        <is>
          <t>n/a</t>
        </is>
      </c>
      <c r="H25" s="1" t="inlineStr">
        <is>
          <t>Struttura</t>
        </is>
      </c>
      <c r="I25" s="43" t="n"/>
      <c r="J25" s="38" t="n"/>
      <c r="K25" s="588" t="inlineStr">
        <is>
          <t>n/a</t>
        </is>
      </c>
      <c r="L25" s="1" t="inlineStr">
        <is>
          <t>Struttura</t>
        </is>
      </c>
      <c r="M25" s="43" t="n"/>
      <c r="N25" s="38" t="n"/>
      <c r="O25" s="575" t="n"/>
      <c r="P25" s="43" t="inlineStr">
        <is>
          <t>Struttura</t>
        </is>
      </c>
      <c r="Q25" s="43" t="n"/>
      <c r="R25" s="38" t="n"/>
      <c r="S25" s="618" t="n"/>
      <c r="T25" s="45" t="inlineStr">
        <is>
          <t>Struttura</t>
        </is>
      </c>
      <c r="U25" s="45" t="n"/>
      <c r="V25" s="42" t="n"/>
      <c r="W25" s="627" t="n"/>
      <c r="X25" s="1" t="inlineStr">
        <is>
          <t>Struttura</t>
        </is>
      </c>
      <c r="Y25" s="43" t="n"/>
      <c r="Z25" s="38" t="n"/>
    </row>
    <row r="26">
      <c r="A26" s="605" t="n"/>
      <c r="C26" s="576" t="n"/>
      <c r="D26" s="33" t="inlineStr">
        <is>
          <t>Archetto</t>
        </is>
      </c>
      <c r="E26" s="43" t="n"/>
      <c r="F26" s="38" t="n"/>
      <c r="G26" s="576" t="n"/>
      <c r="H26" s="1" t="inlineStr">
        <is>
          <t>Archetto</t>
        </is>
      </c>
      <c r="I26" s="43" t="n"/>
      <c r="J26" s="38" t="n"/>
      <c r="K26" s="576" t="n"/>
      <c r="L26" s="1" t="inlineStr">
        <is>
          <t>Archetto</t>
        </is>
      </c>
      <c r="M26" s="43" t="n"/>
      <c r="N26" s="38" t="n"/>
      <c r="O26" s="576" t="n"/>
      <c r="P26" s="43" t="inlineStr">
        <is>
          <t>Archetto</t>
        </is>
      </c>
      <c r="Q26" s="43" t="n"/>
      <c r="R26" s="38" t="n"/>
      <c r="S26" s="576" t="n"/>
      <c r="T26" s="45" t="inlineStr">
        <is>
          <t>Archetto</t>
        </is>
      </c>
      <c r="U26" s="45" t="n"/>
      <c r="V26" s="42" t="n"/>
      <c r="W26" s="576" t="n"/>
      <c r="X26" s="1" t="inlineStr">
        <is>
          <t>Archetto</t>
        </is>
      </c>
      <c r="Y26" s="43" t="n"/>
      <c r="Z26" s="38" t="n"/>
    </row>
    <row r="27">
      <c r="A27" s="605" t="n"/>
      <c r="C27" s="576" t="n"/>
      <c r="D27" s="33" t="inlineStr">
        <is>
          <t>Strisciante</t>
        </is>
      </c>
      <c r="E27" s="43" t="n"/>
      <c r="F27" s="38" t="n"/>
      <c r="G27" s="576" t="n"/>
      <c r="H27" s="1" t="inlineStr">
        <is>
          <t>Strisciante</t>
        </is>
      </c>
      <c r="I27" s="43" t="n"/>
      <c r="J27" s="38" t="n"/>
      <c r="K27" s="576" t="n"/>
      <c r="L27" s="1" t="inlineStr">
        <is>
          <t>Strisciante</t>
        </is>
      </c>
      <c r="M27" s="43" t="n"/>
      <c r="N27" s="38" t="n"/>
      <c r="O27" s="576" t="n"/>
      <c r="P27" s="43" t="inlineStr">
        <is>
          <t>Strisciante</t>
        </is>
      </c>
      <c r="Q27" s="43" t="n"/>
      <c r="R27" s="38" t="n"/>
      <c r="S27" s="576" t="n"/>
      <c r="T27" s="45" t="inlineStr">
        <is>
          <t>Strisciante</t>
        </is>
      </c>
      <c r="U27" s="45" t="n"/>
      <c r="V27" s="42" t="n"/>
      <c r="W27" s="576" t="n"/>
      <c r="X27" s="1" t="inlineStr">
        <is>
          <t>Strisciante</t>
        </is>
      </c>
      <c r="Y27" s="43" t="n"/>
      <c r="Z27" s="38" t="n"/>
    </row>
    <row r="28" ht="15.75" customHeight="1" s="594" thickBot="1">
      <c r="A28" s="612" t="n"/>
      <c r="B28" s="538" t="n"/>
      <c r="C28" s="587" t="n"/>
      <c r="D28" s="52" t="inlineStr">
        <is>
          <t>PCU</t>
        </is>
      </c>
      <c r="E28" s="56" t="n"/>
      <c r="F28" s="57" t="n"/>
      <c r="G28" s="587" t="n"/>
      <c r="H28" s="53" t="inlineStr">
        <is>
          <t>PCU</t>
        </is>
      </c>
      <c r="I28" s="56" t="n"/>
      <c r="J28" s="57" t="n"/>
      <c r="K28" s="587" t="n"/>
      <c r="L28" s="53" t="inlineStr">
        <is>
          <t>PCU</t>
        </is>
      </c>
      <c r="M28" s="56" t="n"/>
      <c r="N28" s="57" t="n"/>
      <c r="O28" s="577" t="n"/>
      <c r="P28" s="56" t="inlineStr">
        <is>
          <t>PPU</t>
        </is>
      </c>
      <c r="Q28" s="56" t="n"/>
      <c r="R28" s="57" t="n"/>
      <c r="S28" s="577" t="n"/>
      <c r="T28" s="59" t="inlineStr">
        <is>
          <t>PCU</t>
        </is>
      </c>
      <c r="U28" s="59" t="n"/>
      <c r="V28" s="60" t="n"/>
      <c r="W28" s="577" t="n"/>
      <c r="X28" s="53" t="inlineStr">
        <is>
          <t>PCU</t>
        </is>
      </c>
      <c r="Y28" s="56" t="n"/>
      <c r="Z28" s="57" t="n"/>
    </row>
    <row r="29" ht="101.45" customHeight="1" s="594">
      <c r="A29" s="604" t="inlineStr">
        <is>
          <t>TCMS Hardware</t>
        </is>
      </c>
      <c r="B29" s="604" t="inlineStr">
        <is>
          <t>LV</t>
        </is>
      </c>
      <c r="C29" s="76" t="n"/>
      <c r="D29" s="77" t="inlineStr">
        <is>
          <t>CCU-O</t>
        </is>
      </c>
      <c r="E29" s="61" t="inlineStr">
        <is>
          <t>3EST000225-5707</t>
        </is>
      </c>
      <c r="F29" s="63" t="n"/>
      <c r="G29" s="76" t="n"/>
      <c r="H29" s="77" t="inlineStr">
        <is>
          <t>CCU-O</t>
        </is>
      </c>
      <c r="I29" s="61" t="inlineStr">
        <is>
          <t>3EST000225-5707</t>
        </is>
      </c>
      <c r="J29" s="63" t="n"/>
      <c r="K29" s="76" t="n"/>
      <c r="L29" s="77" t="inlineStr">
        <is>
          <t>CCU-O</t>
        </is>
      </c>
      <c r="M29" s="620" t="inlineStr">
        <is>
          <t>Nuova architettura Full Ethernet</t>
        </is>
      </c>
      <c r="N29" s="582" t="n"/>
      <c r="O29" s="76" t="n"/>
      <c r="P29" s="77" t="inlineStr">
        <is>
          <t>CCU-O</t>
        </is>
      </c>
      <c r="Q29" s="61" t="inlineStr">
        <is>
          <t>3EST000225-5707</t>
        </is>
      </c>
      <c r="R29" s="63" t="n"/>
      <c r="S29" s="76" t="n"/>
      <c r="T29" s="77" t="inlineStr">
        <is>
          <t>CCU-O</t>
        </is>
      </c>
      <c r="U29" s="61" t="inlineStr">
        <is>
          <t>3EST000225-5707</t>
        </is>
      </c>
      <c r="V29" s="63" t="n"/>
      <c r="W29" s="78" t="n"/>
      <c r="X29" s="77" t="inlineStr">
        <is>
          <t>CCU-O</t>
        </is>
      </c>
      <c r="Y29" s="61" t="inlineStr">
        <is>
          <t>3EST000236-6235</t>
        </is>
      </c>
      <c r="Z29" s="79" t="inlineStr">
        <is>
          <t>Higher performances and longer spare parts support</t>
        </is>
      </c>
    </row>
    <row r="30">
      <c r="A30" s="605" t="n"/>
      <c r="B30" s="605" t="n"/>
      <c r="C30" s="80" t="n"/>
      <c r="D30" s="81" t="inlineStr">
        <is>
          <t>CCU-S</t>
        </is>
      </c>
      <c r="E30" s="1" t="inlineStr">
        <is>
          <t>3EST000221-6430</t>
        </is>
      </c>
      <c r="F30" s="35" t="n"/>
      <c r="G30" s="80" t="n"/>
      <c r="H30" s="81" t="inlineStr">
        <is>
          <t>CCU-S</t>
        </is>
      </c>
      <c r="I30" s="1" t="inlineStr">
        <is>
          <t>3EST000221-6430</t>
        </is>
      </c>
      <c r="J30" s="35" t="n"/>
      <c r="K30" s="80" t="n"/>
      <c r="L30" s="81" t="inlineStr">
        <is>
          <t>CCU-S</t>
        </is>
      </c>
      <c r="M30" s="621" t="n"/>
      <c r="N30" s="595" t="n"/>
      <c r="O30" s="80" t="n"/>
      <c r="P30" s="81" t="inlineStr">
        <is>
          <t>CCU-S</t>
        </is>
      </c>
      <c r="Q30" s="1" t="inlineStr">
        <is>
          <t>3EST000221-6430</t>
        </is>
      </c>
      <c r="R30" s="35" t="n"/>
      <c r="S30" s="80" t="n"/>
      <c r="T30" s="81" t="inlineStr">
        <is>
          <t>CCU-S</t>
        </is>
      </c>
      <c r="U30" s="1" t="inlineStr">
        <is>
          <t>3EST000221-6430</t>
        </is>
      </c>
      <c r="V30" s="35" t="n"/>
      <c r="W30" s="530" t="n"/>
      <c r="X30" s="81" t="inlineStr">
        <is>
          <t>CCU-S</t>
        </is>
      </c>
      <c r="Y30" s="1" t="inlineStr">
        <is>
          <t>3EST000232-1990</t>
        </is>
      </c>
      <c r="Z30" s="35" t="n"/>
    </row>
    <row r="31" ht="144.6" customHeight="1" s="594">
      <c r="A31" s="605" t="n"/>
      <c r="B31" s="606" t="n"/>
      <c r="C31" s="80" t="n"/>
      <c r="D31" s="82" t="inlineStr">
        <is>
          <t>MIO-S</t>
        </is>
      </c>
      <c r="E31" s="46" t="inlineStr">
        <is>
          <t>3EST000228-0629
3EST000228-3395
3EST000228-3394</t>
        </is>
      </c>
      <c r="F31" s="35" t="n"/>
      <c r="G31" s="80" t="n"/>
      <c r="H31" s="82" t="inlineStr">
        <is>
          <t>MIO-S</t>
        </is>
      </c>
      <c r="I31" s="83" t="inlineStr">
        <is>
          <t>3EST000230-5830
3EST000230-5833
3EST000228-3394</t>
        </is>
      </c>
      <c r="J31" s="84" t="inlineStr">
        <is>
          <t>Sell no more supported for new projects due to internal component out of production (legacy only)</t>
        </is>
      </c>
      <c r="K31" s="80" t="n"/>
      <c r="L31" s="82" t="inlineStr">
        <is>
          <t>MIO-S</t>
        </is>
      </c>
      <c r="M31" s="621" t="n"/>
      <c r="N31" s="595" t="n"/>
      <c r="O31" s="80" t="n"/>
      <c r="P31" s="82" t="inlineStr">
        <is>
          <t>MIO-S</t>
        </is>
      </c>
      <c r="Q31" s="85" t="inlineStr">
        <is>
          <t>3EST000228-0629
3EST000228-3395
3EST000228-3394</t>
        </is>
      </c>
      <c r="R31" s="35" t="n"/>
      <c r="S31" s="80" t="n"/>
      <c r="T31" s="82" t="inlineStr">
        <is>
          <t>MIO-S</t>
        </is>
      </c>
      <c r="U31" s="85" t="inlineStr">
        <is>
          <t>3EST000228-0629
3EST000228-3395
3EST000228-3394</t>
        </is>
      </c>
      <c r="V31" s="35" t="n"/>
      <c r="W31" s="530" t="n"/>
      <c r="X31" s="82" t="inlineStr">
        <is>
          <t>MIO-S</t>
        </is>
      </c>
      <c r="Y31" s="86" t="inlineStr">
        <is>
          <t>3EST000230-5830
3EST000230-5833
3EST000228-3394</t>
        </is>
      </c>
      <c r="Z31" s="87" t="inlineStr">
        <is>
          <t>Sell no more supported for new projects due to internal component out of production (legacy only)</t>
        </is>
      </c>
    </row>
    <row r="32" ht="29.1" customHeight="1" s="594">
      <c r="A32" s="605" t="n"/>
      <c r="B32" s="629" t="inlineStr">
        <is>
          <t>Teledia</t>
        </is>
      </c>
      <c r="C32" s="80" t="n"/>
      <c r="D32" s="82" t="inlineStr">
        <is>
          <t>MCG</t>
        </is>
      </c>
      <c r="E32" s="46" t="inlineStr">
        <is>
          <t>3EST000225-7169</t>
        </is>
      </c>
      <c r="F32" s="35" t="n"/>
      <c r="G32" s="80" t="n"/>
      <c r="H32" s="82" t="inlineStr">
        <is>
          <t>MCG</t>
        </is>
      </c>
      <c r="I32" s="88" t="inlineStr">
        <is>
          <t>3EST000234-1560</t>
        </is>
      </c>
      <c r="J32" s="69" t="inlineStr">
        <is>
          <t>additional LTE connection</t>
        </is>
      </c>
      <c r="K32" s="80" t="n"/>
      <c r="L32" s="82" t="inlineStr">
        <is>
          <t>MCG</t>
        </is>
      </c>
      <c r="M32" s="621" t="n"/>
      <c r="N32" s="595" t="n"/>
      <c r="O32" s="80" t="n"/>
      <c r="P32" s="82" t="inlineStr">
        <is>
          <t>MCG</t>
        </is>
      </c>
      <c r="Q32" s="46" t="inlineStr">
        <is>
          <t>3EST000225-7169</t>
        </is>
      </c>
      <c r="R32" s="35" t="n"/>
      <c r="S32" s="80" t="n"/>
      <c r="T32" s="82" t="inlineStr">
        <is>
          <t>MCG</t>
        </is>
      </c>
      <c r="U32" s="46" t="inlineStr">
        <is>
          <t>3EST000225-7169</t>
        </is>
      </c>
      <c r="V32" s="35" t="n"/>
      <c r="W32" s="530" t="n"/>
      <c r="X32" s="82" t="inlineStr">
        <is>
          <t>MCG</t>
        </is>
      </c>
      <c r="Y32" s="1" t="inlineStr">
        <is>
          <t>3EST000234-1560</t>
        </is>
      </c>
      <c r="Z32" s="69" t="inlineStr">
        <is>
          <t>additional LTE connection</t>
        </is>
      </c>
    </row>
    <row r="33">
      <c r="A33" s="605" t="n"/>
      <c r="B33" s="611" t="inlineStr">
        <is>
          <t>Monitor</t>
        </is>
      </c>
      <c r="C33" s="80" t="n"/>
      <c r="D33" s="81" t="inlineStr">
        <is>
          <t>IDU</t>
        </is>
      </c>
      <c r="E33" s="1" t="inlineStr">
        <is>
          <t>3EST000223-8802</t>
        </is>
      </c>
      <c r="F33" s="35" t="n"/>
      <c r="G33" s="80" t="n"/>
      <c r="H33" s="81" t="inlineStr">
        <is>
          <t>IDU</t>
        </is>
      </c>
      <c r="I33" s="1" t="inlineStr">
        <is>
          <t>3EST000223-8802</t>
        </is>
      </c>
      <c r="J33" s="35" t="n"/>
      <c r="K33" s="80" t="n"/>
      <c r="L33" s="81" t="inlineStr">
        <is>
          <t>IDU/TOD</t>
        </is>
      </c>
      <c r="M33" s="621" t="n"/>
      <c r="N33" s="595" t="n"/>
      <c r="O33" s="80" t="n"/>
      <c r="P33" s="81" t="inlineStr">
        <is>
          <t>IDU</t>
        </is>
      </c>
      <c r="Q33" s="1" t="inlineStr">
        <is>
          <t>3EST000223-8802</t>
        </is>
      </c>
      <c r="R33" s="35" t="n"/>
      <c r="S33" s="80" t="n"/>
      <c r="T33" s="81" t="inlineStr">
        <is>
          <t>IDU</t>
        </is>
      </c>
      <c r="U33" s="1" t="inlineStr">
        <is>
          <t>3EST000223-8802</t>
        </is>
      </c>
      <c r="V33" s="35" t="n"/>
      <c r="W33" s="530" t="n"/>
      <c r="X33" s="81" t="inlineStr">
        <is>
          <t>IDU</t>
        </is>
      </c>
      <c r="Y33" s="1" t="inlineStr">
        <is>
          <t>3EST000223-8802</t>
        </is>
      </c>
      <c r="Z33" s="35" t="n"/>
    </row>
    <row r="34" ht="14.45" customHeight="1" s="594">
      <c r="A34" s="605" t="n"/>
      <c r="B34" s="626" t="inlineStr">
        <is>
          <t>Bus</t>
        </is>
      </c>
      <c r="C34" s="80" t="n"/>
      <c r="D34" s="81" t="inlineStr">
        <is>
          <t>T Repeater</t>
        </is>
      </c>
      <c r="E34" s="1" t="inlineStr">
        <is>
          <t>3EST000212-3010</t>
        </is>
      </c>
      <c r="F34" s="35" t="n"/>
      <c r="G34" s="80" t="n"/>
      <c r="H34" s="81" t="inlineStr">
        <is>
          <t>T Repeater</t>
        </is>
      </c>
      <c r="I34" s="88" t="inlineStr">
        <is>
          <t>3EST000236-6770</t>
        </is>
      </c>
      <c r="J34" s="630" t="inlineStr">
        <is>
          <t>Sell no more supported for new projects due to internal component out of production (legacy only)</t>
        </is>
      </c>
      <c r="K34" s="80" t="n"/>
      <c r="L34" s="81" t="inlineStr">
        <is>
          <t>T Repeater</t>
        </is>
      </c>
      <c r="M34" s="621" t="n"/>
      <c r="N34" s="595" t="n"/>
      <c r="O34" s="80" t="n"/>
      <c r="P34" s="81" t="inlineStr">
        <is>
          <t>T Repeater</t>
        </is>
      </c>
      <c r="Q34" s="1" t="inlineStr">
        <is>
          <t>3EST000212-3010</t>
        </is>
      </c>
      <c r="R34" s="35" t="n"/>
      <c r="S34" s="80" t="n"/>
      <c r="T34" s="81" t="inlineStr">
        <is>
          <t>T Repeater</t>
        </is>
      </c>
      <c r="U34" s="1" t="inlineStr">
        <is>
          <t>3EST000212-3010</t>
        </is>
      </c>
      <c r="V34" s="35" t="n"/>
      <c r="W34" s="530" t="n"/>
      <c r="X34" s="81" t="inlineStr">
        <is>
          <t>T Repeater</t>
        </is>
      </c>
      <c r="Y34" s="1" t="inlineStr">
        <is>
          <t>3EST000236-6770</t>
        </is>
      </c>
      <c r="Z34" s="630" t="inlineStr">
        <is>
          <t>Sell no more supported for new projects due to internal component out of production (legacy only)</t>
        </is>
      </c>
    </row>
    <row r="35">
      <c r="A35" s="605" t="n"/>
      <c r="B35" s="605" t="n"/>
      <c r="C35" s="80" t="n"/>
      <c r="D35" s="81" t="inlineStr">
        <is>
          <t>T Switch</t>
        </is>
      </c>
      <c r="E35" s="1" t="inlineStr">
        <is>
          <t>3EST000212-3000</t>
        </is>
      </c>
      <c r="F35" s="35" t="n"/>
      <c r="G35" s="80" t="n"/>
      <c r="H35" s="81" t="inlineStr">
        <is>
          <t>T Switch</t>
        </is>
      </c>
      <c r="I35" s="88" t="inlineStr">
        <is>
          <t>3EST000236-6769</t>
        </is>
      </c>
      <c r="J35" s="631" t="n"/>
      <c r="K35" s="80" t="n"/>
      <c r="L35" s="81" t="inlineStr">
        <is>
          <t>T Switch</t>
        </is>
      </c>
      <c r="M35" s="621" t="n"/>
      <c r="N35" s="595" t="n"/>
      <c r="O35" s="80" t="n"/>
      <c r="P35" s="81" t="inlineStr">
        <is>
          <t>T Switch</t>
        </is>
      </c>
      <c r="Q35" s="1" t="inlineStr">
        <is>
          <t>3EST000212-3000</t>
        </is>
      </c>
      <c r="R35" s="35" t="n"/>
      <c r="S35" s="80" t="n"/>
      <c r="T35" s="81" t="inlineStr">
        <is>
          <t>T Switch</t>
        </is>
      </c>
      <c r="U35" s="1" t="inlineStr">
        <is>
          <t>3EST000212-3000</t>
        </is>
      </c>
      <c r="V35" s="35" t="n"/>
      <c r="W35" s="530" t="n"/>
      <c r="X35" s="81" t="inlineStr">
        <is>
          <t>T Switch</t>
        </is>
      </c>
      <c r="Y35" s="1" t="inlineStr">
        <is>
          <t>3EST000236-6769</t>
        </is>
      </c>
      <c r="Z35" s="631" t="n"/>
    </row>
    <row r="36" ht="15.75" customHeight="1" s="594" thickBot="1">
      <c r="A36" s="606" t="n"/>
      <c r="B36" s="605" t="n"/>
      <c r="C36" s="89" t="n"/>
      <c r="D36" s="90" t="inlineStr">
        <is>
          <t>R Switch</t>
        </is>
      </c>
      <c r="E36" s="91" t="inlineStr">
        <is>
          <t>3EST000225-7297</t>
        </is>
      </c>
      <c r="F36" s="92" t="n"/>
      <c r="G36" s="89" t="n"/>
      <c r="H36" s="90" t="inlineStr">
        <is>
          <t>R Switch</t>
        </is>
      </c>
      <c r="I36" s="93" t="inlineStr">
        <is>
          <t>3EST000234-7837</t>
        </is>
      </c>
      <c r="J36" s="631" t="n"/>
      <c r="K36" s="89" t="n"/>
      <c r="L36" s="90" t="inlineStr">
        <is>
          <t>R Switch</t>
        </is>
      </c>
      <c r="M36" s="622" t="n"/>
      <c r="N36" s="598" t="n"/>
      <c r="O36" s="89" t="n"/>
      <c r="P36" s="90" t="inlineStr">
        <is>
          <t>R Switch</t>
        </is>
      </c>
      <c r="Q36" s="91" t="inlineStr">
        <is>
          <t>3EST000225-7297</t>
        </is>
      </c>
      <c r="R36" s="92" t="n"/>
      <c r="S36" s="89" t="n"/>
      <c r="T36" s="90" t="inlineStr">
        <is>
          <t>R Switch</t>
        </is>
      </c>
      <c r="U36" s="91" t="inlineStr">
        <is>
          <t>3EST000225-7297</t>
        </is>
      </c>
      <c r="V36" s="92" t="n"/>
      <c r="W36" s="565" t="n"/>
      <c r="X36" s="90" t="inlineStr">
        <is>
          <t>R Switch</t>
        </is>
      </c>
      <c r="Y36" s="91" t="inlineStr">
        <is>
          <t>3EST000234-7837</t>
        </is>
      </c>
      <c r="Z36" s="631" t="n"/>
    </row>
    <row r="37" ht="15.75" customHeight="1" s="594" thickBot="1">
      <c r="A37" s="66" t="inlineStr">
        <is>
          <t>Energy Meter</t>
        </is>
      </c>
      <c r="B37" s="16" t="inlineStr">
        <is>
          <t>Tipo</t>
        </is>
      </c>
      <c r="C37" s="614" t="inlineStr">
        <is>
          <t>n/a</t>
        </is>
      </c>
      <c r="D37" s="601" t="n"/>
      <c r="E37" s="601" t="n"/>
      <c r="F37" s="579" t="n"/>
      <c r="G37" s="614" t="inlineStr">
        <is>
          <t>n/a</t>
        </is>
      </c>
      <c r="H37" s="601" t="n"/>
      <c r="I37" s="601" t="n"/>
      <c r="J37" s="579" t="n"/>
      <c r="K37" s="607" t="inlineStr">
        <is>
          <t>EMS Microelettrica  integrato con TCMS</t>
        </is>
      </c>
      <c r="L37" s="601" t="n"/>
      <c r="M37" s="601" t="n"/>
      <c r="N37" s="579" t="n"/>
      <c r="O37" s="607" t="inlineStr">
        <is>
          <t>EMS Microelettrica non integrato con TCMS</t>
        </is>
      </c>
      <c r="P37" s="601" t="n"/>
      <c r="Q37" s="601" t="n"/>
      <c r="R37" s="579" t="n"/>
      <c r="S37" s="607" t="inlineStr">
        <is>
          <t>EMS Alstom  integrato con TCMS</t>
        </is>
      </c>
      <c r="T37" s="601" t="n"/>
      <c r="U37" s="601" t="n"/>
      <c r="V37" s="579" t="n"/>
      <c r="W37" s="607" t="inlineStr">
        <is>
          <t>EMS Alstom  integrato con TCMS</t>
        </is>
      </c>
      <c r="X37" s="601" t="n"/>
      <c r="Y37" s="601" t="n"/>
      <c r="Z37" s="579" t="n"/>
    </row>
    <row r="38" ht="87" customHeight="1" s="594">
      <c r="A38" s="604" t="inlineStr">
        <is>
          <t>Freno</t>
        </is>
      </c>
      <c r="B38" s="615" t="inlineStr">
        <is>
          <t>Centraline</t>
        </is>
      </c>
      <c r="C38" s="76" t="n"/>
      <c r="D38" s="95" t="inlineStr">
        <is>
          <t>BCU</t>
        </is>
      </c>
      <c r="E38" s="96" t="inlineStr">
        <is>
          <t>FT0024971-100 (DM)
FT0028492-100 (TT)</t>
        </is>
      </c>
      <c r="F38" s="63" t="n"/>
      <c r="G38" s="76" t="n"/>
      <c r="H38" s="95" t="inlineStr">
        <is>
          <t>BCU</t>
        </is>
      </c>
      <c r="I38" s="96" t="inlineStr">
        <is>
          <t>FT0024971-100 (DM)
FT0028492-100 (TT)</t>
        </is>
      </c>
      <c r="J38" s="63" t="n"/>
      <c r="K38" s="76" t="n"/>
      <c r="L38" s="95" t="inlineStr">
        <is>
          <t>BCU</t>
        </is>
      </c>
      <c r="M38" s="61" t="n"/>
      <c r="N38" s="63" t="n"/>
      <c r="O38" s="76" t="n"/>
      <c r="P38" s="95" t="inlineStr">
        <is>
          <t>BCU</t>
        </is>
      </c>
      <c r="Q38" s="96" t="inlineStr">
        <is>
          <t>FT0024971-100 (DM)
FT0028492-100 (TT)</t>
        </is>
      </c>
      <c r="R38" s="63" t="n"/>
      <c r="S38" s="76" t="n"/>
      <c r="T38" s="95" t="inlineStr">
        <is>
          <t>BCU</t>
        </is>
      </c>
      <c r="U38" s="96" t="inlineStr">
        <is>
          <t>FT0024971-100 (DM)
FT0028492-100 (TT)</t>
        </is>
      </c>
      <c r="V38" s="63" t="n"/>
      <c r="W38" s="76" t="n"/>
      <c r="X38" s="95" t="inlineStr">
        <is>
          <t>BCU</t>
        </is>
      </c>
      <c r="Y38" s="61" t="n"/>
      <c r="Z38" s="63" t="n"/>
    </row>
    <row r="39" ht="101.45" customHeight="1" s="594">
      <c r="A39" s="605" t="n"/>
      <c r="B39" s="538" t="n"/>
      <c r="C39" s="80" t="n"/>
      <c r="D39" s="33" t="inlineStr">
        <is>
          <t>WSP</t>
        </is>
      </c>
      <c r="E39" s="46" t="inlineStr">
        <is>
          <t xml:space="preserve">FT0024963-100 (DM)
FT0024967-100 (TT)
</t>
        </is>
      </c>
      <c r="F39" s="35" t="n"/>
      <c r="G39" s="80" t="n"/>
      <c r="H39" s="33" t="inlineStr">
        <is>
          <t>WSP</t>
        </is>
      </c>
      <c r="I39" s="46" t="inlineStr">
        <is>
          <t xml:space="preserve">FT0024963-100 (DM)
FT0024967-100 (TT)
</t>
        </is>
      </c>
      <c r="J39" s="35" t="n"/>
      <c r="K39" s="80" t="n"/>
      <c r="L39" s="33" t="inlineStr">
        <is>
          <t>WSP</t>
        </is>
      </c>
      <c r="M39" s="1" t="n"/>
      <c r="N39" s="35" t="n"/>
      <c r="O39" s="80" t="n"/>
      <c r="P39" s="33" t="inlineStr">
        <is>
          <t>WSP</t>
        </is>
      </c>
      <c r="Q39" s="46" t="inlineStr">
        <is>
          <t xml:space="preserve">FT0024963-100 (DM)
FT0024967-100 (TT)
</t>
        </is>
      </c>
      <c r="R39" s="35" t="n"/>
      <c r="S39" s="80" t="n"/>
      <c r="T39" s="33" t="inlineStr">
        <is>
          <t>WSP</t>
        </is>
      </c>
      <c r="U39" s="46" t="inlineStr">
        <is>
          <t xml:space="preserve">FT0024963-100 (DM)
FT0024967-100 (TT)
</t>
        </is>
      </c>
      <c r="V39" s="35" t="n"/>
      <c r="W39" s="80" t="n"/>
      <c r="X39" s="33" t="inlineStr">
        <is>
          <t>WSP</t>
        </is>
      </c>
      <c r="Y39" s="1" t="n"/>
      <c r="Z39" s="35" t="n"/>
    </row>
    <row r="40">
      <c r="A40" s="605" t="n"/>
      <c r="B40" s="619" t="inlineStr">
        <is>
          <t>Pneumatica</t>
        </is>
      </c>
      <c r="C40" s="80" t="n"/>
      <c r="D40" s="33" t="inlineStr">
        <is>
          <t>Distributore</t>
        </is>
      </c>
      <c r="E40" s="97" t="inlineStr">
        <is>
          <t>SW4 COD. 726 43V S1 10</t>
        </is>
      </c>
      <c r="F40" s="35" t="n"/>
      <c r="G40" s="80" t="n"/>
      <c r="H40" s="33" t="inlineStr">
        <is>
          <t>Distributore</t>
        </is>
      </c>
      <c r="I40" s="97" t="inlineStr">
        <is>
          <t>SW4 COD. 726 43V S1 10</t>
        </is>
      </c>
      <c r="J40" s="35" t="n"/>
      <c r="K40" s="80" t="n"/>
      <c r="L40" s="33" t="inlineStr">
        <is>
          <t>Distributore</t>
        </is>
      </c>
      <c r="M40" s="1" t="n"/>
      <c r="N40" s="35" t="n"/>
      <c r="O40" s="80" t="n"/>
      <c r="P40" s="33" t="inlineStr">
        <is>
          <t>Distributore</t>
        </is>
      </c>
      <c r="Q40" s="97" t="inlineStr">
        <is>
          <t>SW4 COD. 726 43V S1 10</t>
        </is>
      </c>
      <c r="R40" s="35" t="n"/>
      <c r="S40" s="80" t="n"/>
      <c r="T40" s="33" t="inlineStr">
        <is>
          <t>Distributore</t>
        </is>
      </c>
      <c r="U40" s="97" t="inlineStr">
        <is>
          <t>SW4 COD. 726 43V S1 10</t>
        </is>
      </c>
      <c r="V40" s="35" t="n"/>
      <c r="W40" s="80" t="n"/>
      <c r="X40" s="33" t="inlineStr">
        <is>
          <t>Distributore</t>
        </is>
      </c>
      <c r="Y40" s="1" t="n"/>
      <c r="Z40" s="35" t="n"/>
    </row>
    <row r="41">
      <c r="A41" s="605" t="n"/>
      <c r="B41" s="593" t="n"/>
      <c r="C41" s="80" t="n"/>
      <c r="D41" s="33" t="inlineStr">
        <is>
          <t>DBV</t>
        </is>
      </c>
      <c r="E41" s="1" t="inlineStr">
        <is>
          <t>FT0022875-100</t>
        </is>
      </c>
      <c r="F41" s="35" t="n"/>
      <c r="G41" s="80" t="n"/>
      <c r="H41" s="33" t="inlineStr">
        <is>
          <t>DBV</t>
        </is>
      </c>
      <c r="I41" s="1" t="inlineStr">
        <is>
          <t>FT0022875-100</t>
        </is>
      </c>
      <c r="J41" s="35" t="n"/>
      <c r="K41" s="80" t="n"/>
      <c r="L41" s="33" t="inlineStr">
        <is>
          <t>DBV</t>
        </is>
      </c>
      <c r="M41" s="1" t="n"/>
      <c r="N41" s="35" t="n"/>
      <c r="O41" s="80" t="n"/>
      <c r="P41" s="33" t="inlineStr">
        <is>
          <t>DBV</t>
        </is>
      </c>
      <c r="Q41" s="1" t="inlineStr">
        <is>
          <t>FT0022875-100</t>
        </is>
      </c>
      <c r="R41" s="35" t="n"/>
      <c r="S41" s="80" t="n"/>
      <c r="T41" s="33" t="inlineStr">
        <is>
          <t>DBV</t>
        </is>
      </c>
      <c r="U41" s="1" t="inlineStr">
        <is>
          <t>FT0022875-100</t>
        </is>
      </c>
      <c r="V41" s="35" t="n"/>
      <c r="W41" s="80" t="n"/>
      <c r="X41" s="33" t="inlineStr">
        <is>
          <t>DBV</t>
        </is>
      </c>
      <c r="Y41" s="1" t="n"/>
      <c r="Z41" s="35" t="n"/>
    </row>
    <row r="42" ht="15.75" customHeight="1" s="594" thickBot="1">
      <c r="A42" s="606" t="n"/>
      <c r="B42" s="596" t="n"/>
      <c r="C42" s="89" t="n"/>
      <c r="D42" s="98" t="inlineStr">
        <is>
          <t>Dump V. WSP</t>
        </is>
      </c>
      <c r="E42" s="91" t="inlineStr">
        <is>
          <t>FT0023704-103</t>
        </is>
      </c>
      <c r="F42" s="54" t="inlineStr">
        <is>
          <t>DV-17</t>
        </is>
      </c>
      <c r="G42" s="99" t="n"/>
      <c r="H42" s="52" t="inlineStr">
        <is>
          <t>Dump V. WSP</t>
        </is>
      </c>
      <c r="I42" s="91" t="inlineStr">
        <is>
          <t>FT0023704-103</t>
        </is>
      </c>
      <c r="J42" s="54" t="inlineStr">
        <is>
          <t>DV-17</t>
        </is>
      </c>
      <c r="K42" s="99" t="n"/>
      <c r="L42" s="52" t="inlineStr">
        <is>
          <t>Dump V. WSP</t>
        </is>
      </c>
      <c r="M42" s="53" t="inlineStr">
        <is>
          <t>FT0126050-100</t>
        </is>
      </c>
      <c r="N42" s="54" t="inlineStr">
        <is>
          <t>DV-12 Double Coil</t>
        </is>
      </c>
      <c r="O42" s="99" t="n"/>
      <c r="P42" s="52" t="inlineStr">
        <is>
          <t>Dump V. WSP</t>
        </is>
      </c>
      <c r="Q42" s="91" t="inlineStr">
        <is>
          <t>FT0023704-103</t>
        </is>
      </c>
      <c r="R42" s="54" t="inlineStr">
        <is>
          <t>DV-17</t>
        </is>
      </c>
      <c r="S42" s="99" t="n"/>
      <c r="T42" s="52" t="inlineStr">
        <is>
          <t>Dump V. WSP</t>
        </is>
      </c>
      <c r="U42" s="53" t="inlineStr">
        <is>
          <t>FT0126050-100</t>
        </is>
      </c>
      <c r="V42" s="54" t="inlineStr">
        <is>
          <t>DV-12 Double Coil</t>
        </is>
      </c>
      <c r="W42" s="99" t="n"/>
      <c r="X42" s="52" t="inlineStr">
        <is>
          <t>Dump V. WSP</t>
        </is>
      </c>
      <c r="Y42" s="53" t="inlineStr">
        <is>
          <t>FT0126050-100</t>
        </is>
      </c>
      <c r="Z42" s="54" t="inlineStr">
        <is>
          <t>DV-12 Double Coil</t>
        </is>
      </c>
    </row>
    <row r="43">
      <c r="A43" s="604" t="inlineStr">
        <is>
          <t>PRM</t>
        </is>
      </c>
      <c r="B43" s="615" t="inlineStr">
        <is>
          <t>Toilet</t>
        </is>
      </c>
      <c r="C43" s="580" t="inlineStr">
        <is>
          <t>Toilet Production HK standard flotta base</t>
        </is>
      </c>
      <c r="D43" s="581" t="n"/>
      <c r="E43" s="581" t="n"/>
      <c r="F43" s="582" t="n"/>
      <c r="G43" s="580" t="inlineStr">
        <is>
          <t>Toilet Production HK standard flotta base</t>
        </is>
      </c>
      <c r="H43" s="581" t="n"/>
      <c r="I43" s="581" t="n"/>
      <c r="J43" s="582" t="n"/>
      <c r="K43" s="580" t="inlineStr">
        <is>
          <t>Toilet Production HK - conf. NRD Spagna + STI PRM 2019</t>
        </is>
      </c>
      <c r="L43" s="581" t="n"/>
      <c r="M43" s="581" t="n"/>
      <c r="N43" s="582" t="n"/>
      <c r="O43" s="580" t="inlineStr">
        <is>
          <t>Toilet Production HK standard flotta base</t>
        </is>
      </c>
      <c r="P43" s="581" t="n"/>
      <c r="Q43" s="581" t="n"/>
      <c r="R43" s="582" t="n"/>
      <c r="S43" s="580" t="inlineStr">
        <is>
          <t>Toilet Production HK standard flotta base</t>
        </is>
      </c>
      <c r="T43" s="581" t="n"/>
      <c r="U43" s="581" t="n"/>
      <c r="V43" s="582" t="n"/>
      <c r="W43" s="580" t="inlineStr">
        <is>
          <t>Toilet Production HK - conf. NRD Spagna + STI PRM 2019</t>
        </is>
      </c>
      <c r="X43" s="581" t="n"/>
      <c r="Y43" s="581" t="n"/>
      <c r="Z43" s="582" t="n"/>
    </row>
    <row r="44">
      <c r="A44" s="605" t="n"/>
      <c r="B44" s="538" t="n"/>
      <c r="C44" s="583" t="n"/>
      <c r="D44" s="538" t="n"/>
      <c r="E44" s="538" t="n"/>
      <c r="F44" s="584" t="n"/>
      <c r="G44" s="583" t="n"/>
      <c r="H44" s="538" t="n"/>
      <c r="I44" s="538" t="n"/>
      <c r="J44" s="584" t="n"/>
      <c r="K44" s="583" t="n"/>
      <c r="L44" s="538" t="n"/>
      <c r="M44" s="538" t="n"/>
      <c r="N44" s="584" t="n"/>
      <c r="O44" s="583" t="n"/>
      <c r="P44" s="538" t="n"/>
      <c r="Q44" s="538" t="n"/>
      <c r="R44" s="584" t="n"/>
      <c r="S44" s="583" t="n"/>
      <c r="T44" s="538" t="n"/>
      <c r="U44" s="538" t="n"/>
      <c r="V44" s="584" t="n"/>
      <c r="W44" s="583" t="n"/>
      <c r="X44" s="538" t="n"/>
      <c r="Y44" s="538" t="n"/>
      <c r="Z44" s="584" t="n"/>
    </row>
    <row r="45">
      <c r="A45" s="605" t="n"/>
      <c r="B45" s="619" t="inlineStr">
        <is>
          <t>Lift</t>
        </is>
      </c>
      <c r="C45" s="609" t="inlineStr">
        <is>
          <t>Lift HK standard flotta base azionamento idraulico</t>
        </is>
      </c>
      <c r="D45" s="570" t="n"/>
      <c r="E45" s="570" t="n"/>
      <c r="F45" s="592" t="n"/>
      <c r="G45" s="609" t="inlineStr">
        <is>
          <t>Lift HK standard flotta base azionamento idraulico</t>
        </is>
      </c>
      <c r="H45" s="570" t="n"/>
      <c r="I45" s="570" t="n"/>
      <c r="J45" s="592" t="n"/>
      <c r="K45" s="591" t="inlineStr">
        <is>
          <t>Lift HK STI PRM 2019 (pedana più grande, azionamento elettrico)</t>
        </is>
      </c>
      <c r="L45" s="570" t="n"/>
      <c r="M45" s="570" t="n"/>
      <c r="N45" s="592" t="n"/>
      <c r="O45" s="609" t="inlineStr">
        <is>
          <t>Lift HK standard flotta base azionamento idraulico</t>
        </is>
      </c>
      <c r="P45" s="570" t="n"/>
      <c r="Q45" s="570" t="n"/>
      <c r="R45" s="592" t="n"/>
      <c r="S45" s="609" t="inlineStr">
        <is>
          <t>Lift HK standard flotta base azionamento idraulico</t>
        </is>
      </c>
      <c r="T45" s="570" t="n"/>
      <c r="U45" s="570" t="n"/>
      <c r="V45" s="592" t="n"/>
      <c r="W45" s="591" t="inlineStr">
        <is>
          <t>Lift HK STI PRM 2019 (pedana più grande) azionamento idraulico</t>
        </is>
      </c>
      <c r="X45" s="570" t="n"/>
      <c r="Y45" s="570" t="n"/>
      <c r="Z45" s="592" t="n"/>
    </row>
    <row r="46">
      <c r="A46" s="605" t="n"/>
      <c r="B46" s="593" t="n"/>
      <c r="C46" s="593" t="n"/>
      <c r="F46" s="595" t="n"/>
      <c r="G46" s="593" t="n"/>
      <c r="J46" s="595" t="n"/>
      <c r="K46" s="593" t="n"/>
      <c r="N46" s="595" t="n"/>
      <c r="O46" s="593" t="n"/>
      <c r="R46" s="595" t="n"/>
      <c r="S46" s="593" t="n"/>
      <c r="V46" s="595" t="n"/>
      <c r="W46" s="593" t="n"/>
      <c r="Z46" s="595" t="n"/>
    </row>
    <row r="47" ht="15.75" customHeight="1" s="594" thickBot="1">
      <c r="A47" s="606" t="n"/>
      <c r="B47" s="596" t="n"/>
      <c r="C47" s="596" t="n"/>
      <c r="D47" s="597" t="n"/>
      <c r="E47" s="597" t="n"/>
      <c r="F47" s="598" t="n"/>
      <c r="G47" s="596" t="n"/>
      <c r="H47" s="597" t="n"/>
      <c r="I47" s="597" t="n"/>
      <c r="J47" s="598" t="n"/>
      <c r="K47" s="596" t="n"/>
      <c r="L47" s="597" t="n"/>
      <c r="M47" s="597" t="n"/>
      <c r="N47" s="598" t="n"/>
      <c r="O47" s="596" t="n"/>
      <c r="P47" s="597" t="n"/>
      <c r="Q47" s="597" t="n"/>
      <c r="R47" s="598" t="n"/>
      <c r="S47" s="596" t="n"/>
      <c r="T47" s="597" t="n"/>
      <c r="U47" s="597" t="n"/>
      <c r="V47" s="598" t="n"/>
      <c r="W47" s="596" t="n"/>
      <c r="X47" s="597" t="n"/>
      <c r="Y47" s="597" t="n"/>
      <c r="Z47" s="598" t="n"/>
    </row>
    <row r="48" ht="29.45" customHeight="1" s="594" thickBot="1">
      <c r="A48" s="100" t="inlineStr">
        <is>
          <t>Porte Esterne</t>
        </is>
      </c>
      <c r="B48" s="101" t="inlineStr">
        <is>
          <t>Tipo</t>
        </is>
      </c>
      <c r="C48" s="608" t="inlineStr">
        <is>
          <t>Porte esterne IFE standard flotta base</t>
        </is>
      </c>
      <c r="D48" s="601" t="n"/>
      <c r="E48" s="601" t="n"/>
      <c r="F48" s="579" t="n"/>
      <c r="G48" s="608" t="inlineStr">
        <is>
          <t>Porte esterne IFE standard flotta base</t>
        </is>
      </c>
      <c r="H48" s="601" t="n"/>
      <c r="I48" s="601" t="n"/>
      <c r="J48" s="579" t="n"/>
      <c r="K48" s="633" t="inlineStr">
        <is>
          <t>Porte esterne IFE TSI 2019
Centralina Ethernet</t>
        </is>
      </c>
      <c r="L48" s="601" t="n"/>
      <c r="M48" s="601" t="n"/>
      <c r="N48" s="579" t="n"/>
      <c r="O48" s="608" t="inlineStr">
        <is>
          <t>Porte esterne IFE standard flotta base</t>
        </is>
      </c>
      <c r="P48" s="601" t="n"/>
      <c r="Q48" s="601" t="n"/>
      <c r="R48" s="579" t="n"/>
      <c r="S48" s="608" t="inlineStr">
        <is>
          <t>Porte esterne IFE standard flotta base</t>
        </is>
      </c>
      <c r="T48" s="601" t="n"/>
      <c r="U48" s="601" t="n"/>
      <c r="V48" s="579" t="n"/>
      <c r="W48" s="632" t="inlineStr">
        <is>
          <t>Porte esterne IFE (TSI 2019)</t>
        </is>
      </c>
      <c r="X48" s="601" t="n"/>
      <c r="Y48" s="601" t="n"/>
      <c r="Z48" s="579" t="n"/>
    </row>
    <row r="49" ht="24" customHeight="1" s="594">
      <c r="A49" s="578" t="inlineStr">
        <is>
          <t>Antincendio</t>
        </is>
      </c>
      <c r="B49" s="102" t="inlineStr">
        <is>
          <t>Sensori
Elettronica</t>
        </is>
      </c>
      <c r="C49" s="580" t="inlineStr">
        <is>
          <t>SCU Saira</t>
        </is>
      </c>
      <c r="D49" s="573" t="n"/>
      <c r="E49" s="573" t="n"/>
      <c r="F49" s="574" t="n"/>
      <c r="G49" s="572" t="inlineStr">
        <is>
          <t>FDU-1000 (fornitura ISE)</t>
        </is>
      </c>
      <c r="H49" s="573" t="n"/>
      <c r="I49" s="573" t="n"/>
      <c r="J49" s="574" t="n"/>
      <c r="K49" s="572" t="inlineStr">
        <is>
          <t>FDU ISE</t>
        </is>
      </c>
      <c r="L49" s="573" t="n"/>
      <c r="M49" s="573" t="n"/>
      <c r="N49" s="574" t="n"/>
      <c r="O49" s="580" t="inlineStr">
        <is>
          <t>SCU Saira</t>
        </is>
      </c>
      <c r="P49" s="573" t="n"/>
      <c r="Q49" s="573" t="n"/>
      <c r="R49" s="574" t="n"/>
      <c r="S49" s="580" t="inlineStr">
        <is>
          <t>SCU Saira</t>
        </is>
      </c>
      <c r="T49" s="573" t="n"/>
      <c r="U49" s="573" t="n"/>
      <c r="V49" s="574" t="n"/>
      <c r="W49" s="572" t="inlineStr">
        <is>
          <t>FDU-1000 (fornitura ISE)</t>
        </is>
      </c>
      <c r="X49" s="573" t="n"/>
      <c r="Y49" s="573" t="n"/>
      <c r="Z49" s="574" t="n"/>
    </row>
    <row r="50" ht="15.75" customHeight="1" s="594" thickBot="1">
      <c r="A50" s="612" t="n"/>
      <c r="B50" s="75" t="inlineStr">
        <is>
          <t>Estinzione</t>
        </is>
      </c>
      <c r="C50" s="613" t="inlineStr">
        <is>
          <t>WaterMist Marioff - 2 gruppi MAU (DM1/8)</t>
        </is>
      </c>
      <c r="D50" s="597" t="n"/>
      <c r="E50" s="597" t="n"/>
      <c r="F50" s="598" t="n"/>
      <c r="G50" s="616" t="inlineStr">
        <is>
          <t>WaterMist Marioff - 2 gruppi MAU (DM1/8)</t>
        </is>
      </c>
      <c r="H50" s="597" t="n"/>
      <c r="I50" s="597" t="n"/>
      <c r="J50" s="598" t="n"/>
      <c r="K50" s="616" t="inlineStr">
        <is>
          <t>WaterMist Acquasys - 1 gruppo MAU (DM1)</t>
        </is>
      </c>
      <c r="L50" s="597" t="n"/>
      <c r="M50" s="597" t="n"/>
      <c r="N50" s="598" t="n"/>
      <c r="O50" s="613" t="inlineStr">
        <is>
          <t>WaterMist Marioff - 2 gruppi MAU (DM1/8)</t>
        </is>
      </c>
      <c r="P50" s="597" t="n"/>
      <c r="Q50" s="597" t="n"/>
      <c r="R50" s="598" t="n"/>
      <c r="S50" s="613" t="inlineStr">
        <is>
          <t>WaterMist Marioff - 2 gruppi MAU (DM1/8)</t>
        </is>
      </c>
      <c r="T50" s="597" t="n"/>
      <c r="U50" s="597" t="n"/>
      <c r="V50" s="598" t="n"/>
      <c r="W50" s="613" t="inlineStr">
        <is>
          <t>n/a</t>
        </is>
      </c>
      <c r="X50" s="597" t="n"/>
      <c r="Y50" s="597" t="n"/>
      <c r="Z50" s="598"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A38:A42"/>
    <mergeCell ref="K49:N49"/>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W37:Z37"/>
    <mergeCell ref="B17:B20"/>
    <mergeCell ref="Z34:Z36"/>
    <mergeCell ref="S13:S16"/>
    <mergeCell ref="C21:C24"/>
    <mergeCell ref="G48:J48"/>
    <mergeCell ref="B9:B12"/>
    <mergeCell ref="K45:N47"/>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A2:B2"/>
    <mergeCell ref="K43:N44"/>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31"/>
  <sheetViews>
    <sheetView topLeftCell="A12" workbookViewId="0">
      <selection activeCell="B40" sqref="B40"/>
    </sheetView>
  </sheetViews>
  <sheetFormatPr baseColWidth="8" defaultColWidth="8.7109375" defaultRowHeight="15"/>
  <cols>
    <col width="35.42578125" customWidth="1" style="103" min="1" max="1"/>
    <col width="65.42578125" customWidth="1" style="13" min="2" max="2"/>
    <col width="11.42578125" bestFit="1" customWidth="1" style="13" min="3" max="3"/>
    <col width="28.42578125" bestFit="1" customWidth="1" style="13" min="4" max="4"/>
    <col width="21.42578125" customWidth="1" style="13" min="5" max="5"/>
    <col width="35.5703125" customWidth="1" style="13" min="6" max="7"/>
    <col width="8.7109375" customWidth="1" style="13" min="8" max="13"/>
    <col width="8.7109375" customWidth="1" style="13" min="14" max="16384"/>
  </cols>
  <sheetData>
    <row r="1" ht="30" customHeight="1" s="594">
      <c r="A1" s="156" t="inlineStr">
        <is>
          <t>FUNC ID</t>
        </is>
      </c>
      <c r="B1" s="156" t="inlineStr">
        <is>
          <t>DESCRIZIONE FUNZIONE</t>
        </is>
      </c>
      <c r="C1" s="525" t="inlineStr">
        <is>
          <t>DOC
CARTELLA</t>
        </is>
      </c>
      <c r="D1" s="525" t="inlineStr">
        <is>
          <t>DOC ID</t>
        </is>
      </c>
      <c r="E1" s="525" t="inlineStr">
        <is>
          <t>Info DOC</t>
        </is>
      </c>
      <c r="F1" s="136" t="inlineStr">
        <is>
          <t>VZI_Base</t>
        </is>
      </c>
      <c r="G1" s="136" t="inlineStr">
        <is>
          <t>VZI_New14</t>
        </is>
      </c>
    </row>
    <row r="2">
      <c r="A2" s="174" t="inlineStr">
        <is>
          <t>xxx</t>
        </is>
      </c>
      <c r="B2" s="174" t="inlineStr">
        <is>
          <t>xxx</t>
        </is>
      </c>
      <c r="C2" s="390" t="n"/>
      <c r="D2" s="175" t="n"/>
      <c r="E2" s="160" t="n"/>
      <c r="F2" s="161" t="n"/>
      <c r="G2" s="161" t="n"/>
    </row>
    <row r="3">
      <c r="A3" s="106" t="n"/>
      <c r="B3" s="144" t="n"/>
      <c r="C3" s="158" t="inlineStr">
        <is>
          <t>CONFIG</t>
        </is>
      </c>
      <c r="D3" s="158" t="inlineStr">
        <is>
          <t>FS_DM1</t>
        </is>
      </c>
      <c r="E3" s="185" t="inlineStr">
        <is>
          <t>Link</t>
        </is>
      </c>
      <c r="F3" s="314">
        <f t="array" ref="F3">HYPERLINK(CONCATENATE(Cartelle!$D$5,F$1,"/",$C3,"/",MID($D3,1,FIND("_",$D3)-1),"/",INDIRECT(CONCATENATE("'" &amp; $C3 &amp; "'!",ADDRESS(MATCH($D3, INDIRECT("'" &amp; $C3 &amp; "'!$B:$B"), 0),MATCH(F$1, INDIRECT("'" &amp; $C3 &amp; "'!$1:$1"), 0)))),".pdf#page=",F4),CONCATENATE("#Sharepoint//",$D3))</f>
        <v/>
      </c>
      <c r="G3" s="314" t="n"/>
    </row>
    <row r="4" ht="45" customHeight="1" s="594">
      <c r="A4" s="103" t="inlineStr">
        <is>
          <t>Nel foglio indicato in Cx nella colonna B, cerca la riga corrispondente al DOC ID indicato in Dx</t>
        </is>
      </c>
      <c r="B4" s="14">
        <f>MATCH($D3, INDIRECT("'" &amp; $C3 &amp; "'!$B:$B"), 0)</f>
        <v/>
      </c>
      <c r="C4" s="158" t="inlineStr">
        <is>
          <t>CONFIG</t>
        </is>
      </c>
      <c r="D4" s="158" t="inlineStr">
        <is>
          <t>FS_DM1</t>
        </is>
      </c>
      <c r="E4" s="185" t="inlineStr">
        <is>
          <t>Link</t>
        </is>
      </c>
      <c r="F4" s="13" t="n">
        <v>1</v>
      </c>
    </row>
    <row r="5" ht="45" customHeight="1" s="594">
      <c r="A5" s="103" t="inlineStr">
        <is>
          <t>Nel foglio CONFIG riga 1, cerca la colonna corrispondente alla flotta indicata da F1</t>
        </is>
      </c>
      <c r="B5" s="14">
        <f>MATCH(F$1,INDIRECT("'"&amp;$C3&amp;"'!$1:$1"),0)</f>
        <v/>
      </c>
      <c r="C5" s="158" t="inlineStr">
        <is>
          <t>CONFIG</t>
        </is>
      </c>
      <c r="D5" s="158" t="inlineStr">
        <is>
          <t>FS_DM1</t>
        </is>
      </c>
      <c r="E5" s="185" t="inlineStr">
        <is>
          <t>Link</t>
        </is>
      </c>
    </row>
    <row r="6" ht="45" customHeight="1" s="594">
      <c r="A6" s="103" t="inlineStr">
        <is>
          <t>Restituisci la posizione della cella corrispondente a riga/colonna sopra identificati</t>
        </is>
      </c>
      <c r="B6" s="14">
        <f>ADDRESS(MATCH($D3,INDIRECT("'"&amp;$C3&amp;"'!$B:$B"),0),MATCH(F$1,INDIRECT("'"&amp;$C3&amp;"'!$1:$1"),0))</f>
        <v/>
      </c>
      <c r="C6" s="158" t="inlineStr">
        <is>
          <t>CONFIG</t>
        </is>
      </c>
      <c r="D6" s="158" t="inlineStr">
        <is>
          <t>FS_DM1</t>
        </is>
      </c>
      <c r="E6" s="185" t="inlineStr">
        <is>
          <t>Link</t>
        </is>
      </c>
    </row>
    <row r="7" ht="30" customHeight="1" s="594">
      <c r="A7" s="103" t="inlineStr">
        <is>
          <t>Alla posizione della cella, concatena il nome del foglio recuperato in Cx</t>
        </is>
      </c>
      <c r="B7" s="14">
        <f>CONCATENATE("'" &amp; $C3 &amp; "'!",ADDRESS(MATCH($D3, INDIRECT("'" &amp; $C3 &amp; "'!$B:$B"), 0),MATCH(F$1, INDIRECT("'" &amp; $C3 &amp; "'!$1:$1"), 0)))</f>
        <v/>
      </c>
      <c r="C7" s="158" t="inlineStr">
        <is>
          <t>CONFIG</t>
        </is>
      </c>
      <c r="D7" s="158" t="inlineStr">
        <is>
          <t>FS_DM1</t>
        </is>
      </c>
      <c r="E7" s="185" t="inlineStr">
        <is>
          <t>Link</t>
        </is>
      </c>
    </row>
    <row r="8" ht="60" customHeight="1" s="594">
      <c r="A8" s="103" t="inlineStr">
        <is>
          <t>Recupera il contenuto del foglio/cella indicato nell'indirizzo sopra, il quale corrisponde al nome del file archiviato</t>
        </is>
      </c>
      <c r="B8" s="431">
        <f t="array" ref="B8">INDIRECT(CONCATENATE("'"&amp;$C3&amp;"'!",ADDRESS(MATCH($D3,INDIRECT("'"&amp;$C3&amp;"'!$B:$B"),0),MATCH(F$1,INDIRECT("'"&amp;$C3&amp;"'!$1:$1"),0))))</f>
        <v/>
      </c>
      <c r="C8" s="158" t="inlineStr">
        <is>
          <t>CONFIG</t>
        </is>
      </c>
      <c r="D8" s="158" t="inlineStr">
        <is>
          <t>FS_DM1</t>
        </is>
      </c>
      <c r="E8" s="185" t="inlineStr">
        <is>
          <t>Link</t>
        </is>
      </c>
    </row>
    <row r="9" ht="60" customHeight="1" s="594">
      <c r="A9" s="103" t="inlineStr">
        <is>
          <t>Recupera il prefisso del DOC ID posto prima del carattere "_", al quale corrisponde la sottocartella di archiviazione</t>
        </is>
      </c>
      <c r="B9" s="431">
        <f>MID($D3,1,FIND("_",$D3)-1)</f>
        <v/>
      </c>
      <c r="C9" s="158" t="inlineStr">
        <is>
          <t>CONFIG</t>
        </is>
      </c>
      <c r="D9" s="158" t="inlineStr">
        <is>
          <t>FS_DM1</t>
        </is>
      </c>
      <c r="E9" s="185" t="inlineStr">
        <is>
          <t>Link</t>
        </is>
      </c>
    </row>
    <row r="10" ht="165" customHeight="1" s="594">
      <c r="A10" s="103"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432">
        <f t="array" ref="B10">CONCATENATE(Cartelle!$D$5,F$1,"/",$C3,"/",MID($D3,1,FIND("_",$D3)-1),"/",INDIRECT(CONCATENATE("'" &amp; $C3 &amp; "'!",ADDRESS(MATCH($D3, INDIRECT("'" &amp; $C3 &amp; "'!$B:$B"), 0),MATCH(F$1, INDIRECT("'" &amp; $C3 &amp; "'!$1:$1"), 0)))),".pdf#page=",F4)</f>
        <v/>
      </c>
      <c r="C10" s="158" t="inlineStr">
        <is>
          <t>CONFIG</t>
        </is>
      </c>
      <c r="D10" s="158" t="inlineStr">
        <is>
          <t>FS_DM1</t>
        </is>
      </c>
      <c r="E10" s="185" t="inlineStr">
        <is>
          <t>Link</t>
        </is>
      </c>
    </row>
    <row r="11">
      <c r="B11" s="103" t="n"/>
      <c r="C11" s="434" t="n"/>
      <c r="D11" s="434" t="n"/>
      <c r="E11" s="435" t="n"/>
    </row>
    <row r="12" ht="45" customHeight="1" s="594">
      <c r="A12" s="103" t="inlineStr">
        <is>
          <t>recupero del formato del file dal foglio indicato in Cx, alla riga indicata del DOC ID e colonna 3</t>
        </is>
      </c>
      <c r="B12" s="433">
        <f t="array" ref="B12">INDIRECT(CONCATENATE("'"&amp;$C7&amp;"'!",ADDRESS(MATCH($D3,INDIRECT("'"&amp;$C3&amp;"'!$B:$B"),0),3)))</f>
        <v/>
      </c>
      <c r="C12" s="158" t="inlineStr">
        <is>
          <t>CONFIG</t>
        </is>
      </c>
      <c r="D12" s="158" t="inlineStr">
        <is>
          <t>FS_DM1</t>
        </is>
      </c>
      <c r="E12" s="185" t="inlineStr">
        <is>
          <t>Link</t>
        </is>
      </c>
      <c r="F12" s="314">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594">
      <c r="A13" s="103" t="inlineStr">
        <is>
          <t>crea l'indirizzo come sopra, inserendo anche la parte di recupero di estensione del file</t>
        </is>
      </c>
      <c r="B13" s="432">
        <f t="array" ref="B13">CONCATENATE(Cartelle!$D$5,F$1,"/",$C12,"/",MID($D12,1,FIND("_",$D12)-1),"/",INDIRECT(CONCATENATE("'" &amp; $C12 &amp; "'!",ADDRESS(MATCH($D12, INDIRECT("'" &amp; $C12 &amp; "'!$B:$B"), 0),MATCH(F$1, INDIRECT("'" &amp; $C12 &amp; "'!$1:$1"), 0)))),".",INDIRECT(CONCATENATE("'"&amp;$C12&amp;"'!",ADDRESS(MATCH($D12,INDIRECT("'"&amp;$C12&amp;"'!$B:$B"),0),3))),"#page=",F13)</f>
        <v/>
      </c>
      <c r="F13" s="13" t="n">
        <v>10</v>
      </c>
    </row>
    <row r="14" ht="30" customHeight="1" s="594">
      <c r="A14" s="436" t="inlineStr">
        <is>
          <t>prova link con DOC Type &lt;&gt; pdf</t>
        </is>
      </c>
      <c r="B14" s="437" t="n"/>
      <c r="C14" s="158" t="inlineStr">
        <is>
          <t>DIAGNOSTIC</t>
        </is>
      </c>
      <c r="D14" s="158" t="inlineStr">
        <is>
          <t>AD_Flotte</t>
        </is>
      </c>
      <c r="E14" s="185" t="inlineStr">
        <is>
          <t>Link</t>
        </is>
      </c>
      <c r="F14" s="314">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13" t="n">
        <v>1</v>
      </c>
    </row>
    <row r="17" ht="30" customHeight="1" s="594">
      <c r="A17" s="436" t="inlineStr">
        <is>
          <t>prova link con DOC Type &lt;&gt; pdf</t>
        </is>
      </c>
      <c r="B17" s="437" t="n"/>
      <c r="C17" s="158" t="inlineStr">
        <is>
          <t>DIAGNOSTIC</t>
        </is>
      </c>
      <c r="D17" s="158" t="inlineStr">
        <is>
          <t>AD_Flotte</t>
        </is>
      </c>
      <c r="E17" s="185" t="inlineStr">
        <is>
          <t>Link</t>
        </is>
      </c>
      <c r="F17" s="314">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13" t="n">
        <v>1</v>
      </c>
    </row>
    <row r="19">
      <c r="A19" s="174" t="inlineStr">
        <is>
          <t>xxx</t>
        </is>
      </c>
      <c r="B19" s="174" t="inlineStr">
        <is>
          <t>xxx</t>
        </is>
      </c>
      <c r="C19" s="390" t="n"/>
      <c r="D19" s="175" t="n"/>
      <c r="E19" s="160" t="n"/>
      <c r="F19" s="161" t="n"/>
      <c r="G19" s="161" t="n"/>
    </row>
    <row r="20" ht="30" customHeight="1" s="594">
      <c r="A20" s="106" t="inlineStr">
        <is>
          <t>parte iniziale - posizione cella foglio/flotta</t>
        </is>
      </c>
      <c r="B20" s="144">
        <f>ADDRESS(MATCH($D20, INDIRECT("'" &amp; $C20 &amp; "'!$B:$B"), 0),MATCH(G$1, INDIRECT("'" &amp; $C20 &amp; "'!$1:$1"), 0))</f>
        <v/>
      </c>
      <c r="C20" s="158" t="inlineStr">
        <is>
          <t>CONFIG</t>
        </is>
      </c>
      <c r="D20" s="158" t="inlineStr">
        <is>
          <t>FS_DM1</t>
        </is>
      </c>
      <c r="E20" s="185" t="inlineStr">
        <is>
          <t>Link</t>
        </is>
      </c>
      <c r="F20" s="314" t="n"/>
      <c r="G20" s="314">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103" t="inlineStr">
        <is>
          <t>Recupera il contenuto del foglio/cella</t>
        </is>
      </c>
      <c r="B21" s="14">
        <f t="array" ref="B21">INDIRECT(CONCATENATE("'" &amp; $C20 &amp; "'!",ADDRESS(MATCH($D20, INDIRECT("'" &amp; $C20 &amp; "'!$B:$B"), 0),MATCH(G$1, INDIRECT("'" &amp; $C20 &amp; "'!$1:$1"), 0))))</f>
        <v/>
      </c>
      <c r="C21" s="158" t="inlineStr">
        <is>
          <t>CONFIG</t>
        </is>
      </c>
      <c r="D21" s="158" t="inlineStr">
        <is>
          <t>FRS_Diagnostics</t>
        </is>
      </c>
      <c r="E21" s="185" t="inlineStr">
        <is>
          <t>Link</t>
        </is>
      </c>
      <c r="F21" s="13" t="n">
        <v>1</v>
      </c>
    </row>
    <row r="22">
      <c r="B22" s="14">
        <f t="array" ref="B22">INDIRECT(CONCATENATE("'"&amp;$C20&amp;"'!",MATCH($D20,INDIRECT("'"&amp;$C20&amp;"'!$B:$B"),0),":",MATCH($D20,INDIRECT("'"&amp;$C20&amp;"'!$B:$B"),0)))</f>
        <v/>
      </c>
      <c r="C22" s="158" t="inlineStr">
        <is>
          <t>CONFIG</t>
        </is>
      </c>
      <c r="D22" s="158" t="inlineStr">
        <is>
          <t>FRS_Diagnostics</t>
        </is>
      </c>
      <c r="E22" s="185" t="inlineStr">
        <is>
          <t>Link</t>
        </is>
      </c>
    </row>
    <row r="23">
      <c r="B23" s="14">
        <f t="array" ref="B23">MATCH(INDIRECT(CONCATENATE("'"&amp;$C20&amp;"'!",ADDRESS(MATCH($D20,INDIRECT("'"&amp;$C20&amp;"'!$B:$B"),0),MATCH(G$1,INDIRECT("'"&amp;$C20&amp;"'!$1:$1"),0)))),INDIRECT(CONCATENATE("'"&amp;$C20&amp;"'!",MATCH($D20,INDIRECT("'"&amp;$C20&amp;"'!$B:$B"),0),":",MATCH($D20,INDIRECT("'"&amp;$C20&amp;"'!$B:$B"),0))))</f>
        <v/>
      </c>
      <c r="C23" s="158" t="inlineStr">
        <is>
          <t>CONFIG</t>
        </is>
      </c>
      <c r="D23" s="158" t="inlineStr">
        <is>
          <t>FRS_Diagnostics</t>
        </is>
      </c>
      <c r="E23" s="185" t="inlineStr">
        <is>
          <t>Link</t>
        </is>
      </c>
    </row>
    <row r="24">
      <c r="B24" s="13">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103">
      <c r="A28" s="144" t="n"/>
      <c r="B28" s="158" t="inlineStr">
        <is>
          <t>MAN_CPR</t>
        </is>
      </c>
      <c r="C28" s="164" t="inlineStr">
        <is>
          <t>PBC_01A</t>
        </is>
      </c>
      <c r="D28" s="191" t="inlineStr">
        <is>
          <t>Link</t>
        </is>
      </c>
      <c r="E28" s="314">
        <f t="array" ref="E28">HYPERLINK(CONCATENATE(Cartelle!$D$5,E$1,"/",$B28,"/",MID($C28,1,FIND("_",$C28)-1),"/",INDIRECT(CONCATENATE("'" &amp; $B28 &amp; "'!",ADDRESS(MATCH($C28, INDIRECT("'" &amp; $B28 &amp; "'!$B:$B"), 0),MATCH(E$1, INDIRECT("'" &amp; $B28 &amp; "'!$1:$1"), 0)))),".pdf#page=",E29),CONCATENATE("#Sharepoint//",$C28))</f>
        <v/>
      </c>
      <c r="F28" s="314">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158" t="n"/>
    </row>
    <row r="29" hidden="1" customFormat="1" s="103">
      <c r="A29" s="144" t="n"/>
      <c r="B29" s="106" t="n"/>
      <c r="C29" s="358" t="n"/>
      <c r="D29" s="186" t="inlineStr">
        <is>
          <t>Rif. Pagina</t>
        </is>
      </c>
      <c r="E29" s="50" t="n">
        <v>1</v>
      </c>
      <c r="F29" s="50" t="n">
        <v>1</v>
      </c>
      <c r="G29" s="50" t="n"/>
    </row>
    <row r="30" hidden="1" customFormat="1" s="103">
      <c r="A30" s="144" t="n"/>
      <c r="B30" s="106" t="n"/>
      <c r="C30" s="108" t="n"/>
      <c r="D30" s="85" t="inlineStr">
        <is>
          <t>Descrizione</t>
        </is>
      </c>
      <c r="E30" s="50" t="n"/>
      <c r="F30" s="50" t="n"/>
      <c r="G30" s="50" t="n"/>
    </row>
    <row r="31" collapsed="1" customFormat="1" s="103">
      <c r="A31" s="144" t="n"/>
      <c r="B31" s="158" t="inlineStr">
        <is>
          <t>GENERAL</t>
        </is>
      </c>
      <c r="C31" s="164" t="inlineStr">
        <is>
          <t>AD_Regole</t>
        </is>
      </c>
      <c r="D31" s="191" t="inlineStr">
        <is>
          <t>TBD</t>
        </is>
      </c>
      <c r="E31" s="158" t="n"/>
      <c r="F31" s="158" t="n"/>
      <c r="G31" s="158" t="n"/>
    </row>
  </sheetData>
  <pageMargins left="0.7" right="0.7" top="0.75" bottom="0.75" header="0.3" footer="0.3"/>
</worksheet>
</file>

<file path=xl/worksheets/sheet13.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594" min="2" max="2"/>
    <col width="6.140625" bestFit="1" customWidth="1" style="594" min="7" max="7"/>
  </cols>
  <sheetData>
    <row r="1" ht="15.75" customHeight="1" s="594" thickBot="1"/>
    <row r="2" ht="15.75" customHeight="1" s="594" thickBot="1">
      <c r="C2" s="2" t="inlineStr">
        <is>
          <t>VZI-50</t>
        </is>
      </c>
      <c r="D2" s="2" t="inlineStr">
        <is>
          <t>VZI-51-58</t>
        </is>
      </c>
      <c r="E2" s="2" t="inlineStr">
        <is>
          <t>VZI-6</t>
        </is>
      </c>
      <c r="F2" s="2" t="inlineStr">
        <is>
          <t>VZI-4</t>
        </is>
      </c>
      <c r="G2" s="2" t="inlineStr">
        <is>
          <t>VZ-FR</t>
        </is>
      </c>
      <c r="H2" s="2" t="inlineStr">
        <is>
          <t>VZ-ES</t>
        </is>
      </c>
      <c r="I2" s="579" t="inlineStr">
        <is>
          <t>VZ-DAI</t>
        </is>
      </c>
    </row>
    <row r="3" ht="15.75" customHeight="1" s="594" thickBot="1">
      <c r="B3" s="2" t="inlineStr">
        <is>
          <t xml:space="preserve">IPA (Indicazione Porte Aperte) </t>
        </is>
      </c>
      <c r="C3" s="9" t="n"/>
      <c r="D3" s="8" t="inlineStr">
        <is>
          <t>SI</t>
        </is>
      </c>
      <c r="E3" s="8" t="inlineStr">
        <is>
          <t>SI</t>
        </is>
      </c>
      <c r="F3" s="8" t="inlineStr">
        <is>
          <t>SI</t>
        </is>
      </c>
      <c r="G3" s="8" t="n"/>
      <c r="H3" s="8" t="inlineStr">
        <is>
          <t>SI</t>
        </is>
      </c>
      <c r="I3" s="8" t="inlineStr">
        <is>
          <t>SI</t>
        </is>
      </c>
    </row>
    <row r="4" ht="30.75" customHeight="1" s="594" thickBot="1">
      <c r="B4" s="4" t="inlineStr">
        <is>
          <t>BY-PASS ALLARME APPLICAZIONE PARKING
BRAKE IN MOVIMENTO</t>
        </is>
      </c>
      <c r="C4" s="10" t="n"/>
      <c r="D4" s="7" t="inlineStr">
        <is>
          <t>SI</t>
        </is>
      </c>
      <c r="E4" s="7" t="inlineStr">
        <is>
          <t>SI</t>
        </is>
      </c>
      <c r="F4" s="7" t="inlineStr">
        <is>
          <t>SI</t>
        </is>
      </c>
      <c r="G4" s="7" t="n"/>
      <c r="H4" s="7" t="inlineStr">
        <is>
          <t>SI</t>
        </is>
      </c>
      <c r="I4" s="7" t="inlineStr">
        <is>
          <t>SI</t>
        </is>
      </c>
    </row>
    <row r="5" ht="15.75" customHeight="1" s="594" thickBot="1">
      <c r="B5" s="2" t="inlineStr">
        <is>
          <t>RIDONDANZA LOOP DNRA-BMS</t>
        </is>
      </c>
      <c r="C5" s="10" t="n"/>
      <c r="D5" s="7" t="inlineStr">
        <is>
          <t>SI</t>
        </is>
      </c>
      <c r="E5" s="7" t="inlineStr">
        <is>
          <t>SI</t>
        </is>
      </c>
      <c r="F5" s="7" t="inlineStr">
        <is>
          <t>SI</t>
        </is>
      </c>
      <c r="G5" s="7" t="n"/>
      <c r="H5" s="7" t="inlineStr">
        <is>
          <t>SI</t>
        </is>
      </c>
      <c r="I5" s="7" t="inlineStr">
        <is>
          <t>SI</t>
        </is>
      </c>
    </row>
    <row r="6" ht="15.75" customHeight="1" s="594" thickBot="1">
      <c r="B6" s="2" t="inlineStr">
        <is>
          <t>INTERRUTTORI 220V SPOSTATI INTERNO CASSA</t>
        </is>
      </c>
      <c r="C6" s="10" t="n"/>
      <c r="D6" s="7" t="inlineStr">
        <is>
          <t>SI</t>
        </is>
      </c>
      <c r="E6" s="7" t="inlineStr">
        <is>
          <t>SI</t>
        </is>
      </c>
      <c r="F6" s="7" t="inlineStr">
        <is>
          <t>SI</t>
        </is>
      </c>
      <c r="G6" s="7" t="n"/>
      <c r="H6" s="7" t="inlineStr">
        <is>
          <t>SI</t>
        </is>
      </c>
      <c r="I6" s="7" t="inlineStr">
        <is>
          <t>SI</t>
        </is>
      </c>
    </row>
    <row r="7" ht="15.75" customHeight="1" s="594" thickBot="1">
      <c r="B7" s="2" t="inlineStr">
        <is>
          <t>COMPRESSORE ARIA (?)</t>
        </is>
      </c>
      <c r="C7" s="10" t="n"/>
      <c r="D7" s="7" t="n"/>
      <c r="E7" s="7" t="n"/>
      <c r="F7" s="7" t="n"/>
      <c r="G7" s="7" t="n"/>
      <c r="H7" s="7" t="n"/>
      <c r="I7" s="7" t="n"/>
    </row>
    <row r="8" ht="15.75" customHeight="1" s="594" thickBot="1">
      <c r="B8" s="2" t="inlineStr">
        <is>
          <t>BY-PASS ADD PER MARCIA SOCCORSO</t>
        </is>
      </c>
      <c r="C8" s="10" t="n"/>
      <c r="D8" s="7" t="inlineStr">
        <is>
          <t>SI</t>
        </is>
      </c>
      <c r="E8" s="7" t="inlineStr">
        <is>
          <t>SI</t>
        </is>
      </c>
      <c r="F8" s="7" t="inlineStr">
        <is>
          <t>SI</t>
        </is>
      </c>
      <c r="G8" s="7" t="n"/>
      <c r="H8" s="7" t="inlineStr">
        <is>
          <t>SI</t>
        </is>
      </c>
      <c r="I8" s="7" t="inlineStr">
        <is>
          <t>SI</t>
        </is>
      </c>
    </row>
    <row r="9" ht="15.75" customHeight="1" s="594" thickBot="1">
      <c r="B9" s="2" t="inlineStr">
        <is>
          <t>ARREDI TOILET BAR BISTROT</t>
        </is>
      </c>
      <c r="C9" s="10" t="n"/>
      <c r="D9" s="7" t="n"/>
      <c r="E9" s="7" t="n"/>
      <c r="F9" s="7" t="n"/>
      <c r="G9" s="7" t="n"/>
      <c r="H9" s="7" t="n"/>
      <c r="I9" s="7" t="n"/>
    </row>
    <row r="10" ht="45.75" customHeight="1" s="594" thickBot="1">
      <c r="B10" s="4" t="inlineStr">
        <is>
          <t>COMANDO DISACCOPPIAMENTO AUTOMATICO 
TESTE ELETTRICHE</t>
        </is>
      </c>
      <c r="C10" s="10" t="n"/>
      <c r="D10" s="7" t="inlineStr">
        <is>
          <t>SI</t>
        </is>
      </c>
      <c r="E10" s="7" t="inlineStr">
        <is>
          <t>SI</t>
        </is>
      </c>
      <c r="F10" s="7" t="inlineStr">
        <is>
          <t>SI</t>
        </is>
      </c>
      <c r="G10" s="7" t="n"/>
      <c r="H10" s="7" t="inlineStr">
        <is>
          <t>SI</t>
        </is>
      </c>
      <c r="I10" s="7" t="inlineStr">
        <is>
          <t>SI</t>
        </is>
      </c>
    </row>
    <row r="11" ht="15.75" customHeight="1" s="594" thickBot="1">
      <c r="B11" s="2" t="inlineStr">
        <is>
          <t>PANTOGRAFI</t>
        </is>
      </c>
      <c r="C11" s="10" t="n"/>
      <c r="D11" s="7" t="n"/>
      <c r="E11" s="7" t="n"/>
      <c r="F11" s="7" t="n"/>
      <c r="G11" s="7" t="n"/>
      <c r="H11" s="7" t="n"/>
      <c r="I11" s="7" t="n"/>
    </row>
    <row r="12" ht="15.75" customHeight="1" s="594" thickBot="1">
      <c r="B12" s="2" t="inlineStr">
        <is>
          <t>PIANO DI MANUTENZIONE</t>
        </is>
      </c>
      <c r="C12" s="530" t="n"/>
      <c r="D12" s="1" t="n"/>
      <c r="E12" s="1" t="n"/>
      <c r="F12" s="1" t="n"/>
      <c r="G12" s="1" t="n"/>
      <c r="H12" s="1" t="n"/>
      <c r="I12" s="1" t="n"/>
    </row>
    <row r="13" ht="15.75" customHeight="1" s="594" thickBot="1">
      <c r="B13" s="2" t="inlineStr">
        <is>
          <t>BL SSB</t>
        </is>
      </c>
      <c r="C13" s="530" t="n"/>
      <c r="D13" s="1" t="n"/>
      <c r="E13" s="1" t="n"/>
      <c r="F13" s="1" t="n"/>
      <c r="G13" s="1" t="n"/>
      <c r="H13" s="1" t="n"/>
      <c r="I13" s="1" t="n"/>
    </row>
    <row r="14" ht="15.75" customHeight="1" s="594" thickBot="1">
      <c r="B14" s="612" t="inlineStr">
        <is>
          <t>BL DIS</t>
        </is>
      </c>
      <c r="C14" s="530" t="n"/>
      <c r="D14" s="1" t="n"/>
      <c r="E14" s="1" t="n"/>
      <c r="F14" s="1" t="n"/>
      <c r="G14" s="1" t="n"/>
      <c r="H14" s="1" t="n"/>
      <c r="I14" s="1" t="n"/>
    </row>
    <row r="15" ht="15.75" customHeight="1" s="594" thickBot="1">
      <c r="B15" s="2" t="inlineStr">
        <is>
          <t>ETCS HD (HW)</t>
        </is>
      </c>
      <c r="C15" s="530" t="n"/>
      <c r="D15" s="1" t="n"/>
      <c r="E15" s="1" t="n"/>
      <c r="F15" s="1" t="n"/>
      <c r="G15" s="1" t="n"/>
      <c r="H15" s="1" t="n"/>
      <c r="I15" s="1" t="n"/>
    </row>
    <row r="16" ht="15.75" customHeight="1" s="594" thickBot="1">
      <c r="B16" s="2" t="inlineStr">
        <is>
          <t xml:space="preserve">ANTINCENDIO </t>
        </is>
      </c>
      <c r="C16" s="530" t="n"/>
      <c r="D16" s="1" t="n"/>
      <c r="E16" s="1" t="n"/>
      <c r="F16" s="1" t="n"/>
      <c r="G16" s="1" t="n"/>
      <c r="H16" s="1" t="n"/>
      <c r="I16" s="1" t="n"/>
    </row>
    <row r="17" ht="15.75" customHeight="1" s="594" thickBot="1">
      <c r="B17" s="11" t="inlineStr">
        <is>
          <t xml:space="preserve">LAYOUT INTERNO </t>
        </is>
      </c>
      <c r="C17" s="1" t="n"/>
      <c r="D17" s="1" t="n"/>
      <c r="E17" s="1" t="n"/>
      <c r="F17" s="1" t="n"/>
      <c r="G17" s="1" t="n"/>
      <c r="H17" s="1" t="n"/>
      <c r="I17" s="1"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2026-07-14T09:48:12Z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