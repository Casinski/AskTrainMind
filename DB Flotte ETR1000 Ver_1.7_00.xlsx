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2">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CC0000"/>
      <sz val="11"/>
    </font>
    <font>
      <name val="Calibri"/>
      <color rgb="FF00AA00"/>
      <sz val="11"/>
    </font>
    <font>
      <name val="Calibri"/>
      <color rgb="FF00AA00"/>
      <sz val="11"/>
    </font>
    <font>
      <name val="Calibri"/>
      <color rgb="FFCC0000"/>
      <sz val="11"/>
    </font>
    <font>
      <name val="Calibri"/>
      <color rgb="FF000000"/>
      <sz val="11"/>
    </font>
    <font>
      <name val="Calibri"/>
      <color rgb="FFCC0000"/>
      <sz val="11"/>
    </font>
    <font>
      <name val="Calibri"/>
      <color rgb="FF00AA00"/>
      <sz val="11"/>
    </font>
    <font>
      <name val="Calibri"/>
      <color rgb="FF00AA00"/>
      <sz val="11"/>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26">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2" fillId="0" borderId="95" applyAlignment="1" pivotButton="0" quotePrefix="0" xfId="0">
      <alignment wrapText="1"/>
    </xf>
    <xf numFmtId="0" fontId="33" fillId="0" borderId="95" applyAlignment="1" pivotButton="0" quotePrefix="0" xfId="0">
      <alignment wrapText="1"/>
    </xf>
    <xf numFmtId="0" fontId="34" fillId="0" borderId="95" applyAlignment="1" pivotButton="0" quotePrefix="0" xfId="0">
      <alignment wrapText="1"/>
    </xf>
    <xf numFmtId="0" fontId="35" fillId="0" borderId="95" applyAlignment="1" pivotButton="0" quotePrefix="0" xfId="0">
      <alignment wrapText="1"/>
    </xf>
    <xf numFmtId="0" fontId="36" fillId="0" borderId="95" applyAlignment="1" pivotButton="0" quotePrefix="0" xfId="0">
      <alignment wrapText="1"/>
    </xf>
    <xf numFmtId="0" fontId="37" fillId="0" borderId="95" applyAlignment="1" pivotButton="0" quotePrefix="0" xfId="0">
      <alignment wrapText="1"/>
    </xf>
    <xf numFmtId="0" fontId="38" fillId="0" borderId="95" applyAlignment="1" pivotButton="0" quotePrefix="0" xfId="0">
      <alignment wrapText="1"/>
    </xf>
    <xf numFmtId="0" fontId="39" fillId="0" borderId="95" applyAlignment="1" pivotButton="0" quotePrefix="0" xfId="0">
      <alignment wrapText="1"/>
    </xf>
    <xf numFmtId="0" fontId="39" fillId="0" borderId="112" applyAlignment="1" pivotButton="0" quotePrefix="0" xfId="0">
      <alignment wrapText="1"/>
    </xf>
    <xf numFmtId="0" fontId="38" fillId="0" borderId="112" applyAlignment="1" pivotButton="0" quotePrefix="0" xfId="0">
      <alignment wrapText="1"/>
    </xf>
    <xf numFmtId="0" fontId="31" fillId="0" borderId="112" applyAlignment="1" pivotButton="0" quotePrefix="0" xfId="0">
      <alignment wrapText="1"/>
    </xf>
    <xf numFmtId="0" fontId="32" fillId="0" borderId="112"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40" fillId="0" borderId="95" applyAlignment="1" pivotButton="0" quotePrefix="0" xfId="0">
      <alignment wrapText="1"/>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94" applyAlignment="1" pivotButton="0" quotePrefix="0" xfId="0">
      <alignment horizontal="center" vertical="center" wrapText="1"/>
    </xf>
    <xf numFmtId="0" fontId="0" fillId="0" borderId="92" pivotButton="0" quotePrefix="0" xfId="0"/>
    <xf numFmtId="0" fontId="18" fillId="4" borderId="93" applyAlignment="1" pivotButton="0" quotePrefix="0" xfId="0">
      <alignment horizontal="center" vertical="center" wrapText="1"/>
    </xf>
    <xf numFmtId="0" fontId="0" fillId="0" borderId="96" pivotButton="0" quotePrefix="0" xfId="0"/>
    <xf numFmtId="0" fontId="18" fillId="4" borderId="95" applyAlignment="1" pivotButton="0" quotePrefix="0" xfId="0">
      <alignment horizontal="center" vertical="center" wrapText="1"/>
    </xf>
    <xf numFmtId="0" fontId="0" fillId="0" borderId="95" pivotButton="0" quotePrefix="0" xfId="0"/>
    <xf numFmtId="0" fontId="18" fillId="4" borderId="29" applyAlignment="1" pivotButton="0" quotePrefix="1" xfId="0">
      <alignment horizontal="center" vertical="center" wrapText="1"/>
    </xf>
    <xf numFmtId="0" fontId="0" fillId="0" borderId="27" pivotButton="0" quotePrefix="0" xfId="0"/>
    <xf numFmtId="0" fontId="0" fillId="0" borderId="34" pivotButton="0" quotePrefix="0" xfId="0"/>
    <xf numFmtId="0" fontId="19" fillId="4" borderId="29" applyAlignment="1" pivotButton="0" quotePrefix="0" xfId="0">
      <alignment horizontal="center" vertical="center" wrapText="1"/>
    </xf>
    <xf numFmtId="0" fontId="18" fillId="4" borderId="29" applyAlignment="1" pivotButton="0" quotePrefix="0" xfId="0">
      <alignment horizontal="center" vertical="center" wrapText="1"/>
    </xf>
    <xf numFmtId="0" fontId="19" fillId="14" borderId="29"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22" fillId="5" borderId="42" applyAlignment="1" pivotButton="0" quotePrefix="0" xfId="0">
      <alignment horizontal="center" vertical="center" wrapText="1"/>
    </xf>
    <xf numFmtId="0" fontId="0" fillId="0" borderId="41" pivotButton="0" quotePrefix="0" xfId="0"/>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3" fillId="4" borderId="42" applyAlignment="1" pivotButton="0" quotePrefix="0" xfId="0">
      <alignment horizontal="center" vertical="center" wrapText="1"/>
    </xf>
    <xf numFmtId="0" fontId="5" fillId="0" borderId="15" applyAlignment="1" pivotButton="0" quotePrefix="0" xfId="0">
      <alignment horizontal="center" vertical="center"/>
    </xf>
    <xf numFmtId="0" fontId="0" fillId="0" borderId="55" pivotButton="0" quotePrefix="0" xfId="0"/>
    <xf numFmtId="0" fontId="0" fillId="3" borderId="49" applyAlignment="1" pivotButton="0" quotePrefix="0" xfId="0">
      <alignment horizontal="center" vertical="center"/>
    </xf>
    <xf numFmtId="0" fontId="0" fillId="0" borderId="17" pivotButton="0" quotePrefix="0" xfId="0"/>
    <xf numFmtId="0" fontId="0" fillId="0" borderId="14" pivotButton="0" quotePrefix="0" xfId="0"/>
    <xf numFmtId="0" fontId="3" fillId="0" borderId="2" applyAlignment="1" pivotButton="0" quotePrefix="0" xfId="0">
      <alignment horizontal="center" vertical="center"/>
    </xf>
    <xf numFmtId="0" fontId="0" fillId="0" borderId="3" pivotButton="0" quotePrefix="0" xfId="0"/>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3" fillId="2" borderId="49" applyAlignment="1" pivotButton="0" quotePrefix="0" xfId="0">
      <alignment horizontal="center" vertical="center"/>
    </xf>
    <xf numFmtId="0" fontId="3" fillId="0" borderId="22" applyAlignment="1" pivotButton="0" quotePrefix="0" xfId="0">
      <alignment horizontal="center" vertical="center" wrapText="1"/>
    </xf>
    <xf numFmtId="0" fontId="0" fillId="0" borderId="22" pivotButton="0" quotePrefix="0" xfId="0"/>
    <xf numFmtId="0" fontId="0" fillId="0" borderId="32" applyAlignment="1" pivotButton="0" quotePrefix="0" xfId="0">
      <alignment horizontal="center" vertical="center"/>
    </xf>
    <xf numFmtId="0" fontId="5" fillId="0" borderId="28" applyAlignment="1" pivotButton="0" quotePrefix="0" xfId="0">
      <alignment horizontal="center" vertical="center"/>
    </xf>
    <xf numFmtId="0" fontId="0" fillId="0" borderId="28" applyAlignment="1" pivotButton="0" quotePrefix="0" xfId="0">
      <alignment horizontal="center" vertical="center"/>
    </xf>
    <xf numFmtId="0" fontId="3" fillId="0" borderId="9" applyAlignment="1" pivotButton="0" quotePrefix="0" xfId="0">
      <alignment horizontal="center"/>
    </xf>
    <xf numFmtId="0" fontId="0" fillId="0" borderId="46" pivotButton="0" quotePrefix="0" xfId="0"/>
    <xf numFmtId="0" fontId="0" fillId="0" borderId="62" pivotButton="0" quotePrefix="0" xfId="0"/>
    <xf numFmtId="0" fontId="0" fillId="2" borderId="32" applyAlignment="1" pivotButton="0" quotePrefix="0" xfId="0">
      <alignment horizontal="center" vertical="center"/>
    </xf>
    <xf numFmtId="0" fontId="3" fillId="0" borderId="15" applyAlignment="1" pivotButton="0" quotePrefix="0" xfId="0">
      <alignment horizontal="center" vertical="center"/>
    </xf>
    <xf numFmtId="0" fontId="0" fillId="0" borderId="31" pivotButton="0" quotePrefix="0" xfId="0"/>
    <xf numFmtId="0" fontId="0" fillId="0" borderId="37" pivotButton="0" quotePrefix="0" xfId="0"/>
    <xf numFmtId="0" fontId="5"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5" fillId="0" borderId="2" applyAlignment="1" pivotButton="0" quotePrefix="0" xfId="0">
      <alignment horizontal="center"/>
    </xf>
    <xf numFmtId="0" fontId="0" fillId="0" borderId="2" applyAlignment="1" pivotButton="0" quotePrefix="0" xfId="0">
      <alignment horizontal="center" vertical="center"/>
    </xf>
    <xf numFmtId="0" fontId="0" fillId="0" borderId="24" applyAlignment="1" pivotButton="0" quotePrefix="0" xfId="0">
      <alignment horizontal="center" vertical="center"/>
    </xf>
    <xf numFmtId="0" fontId="3" fillId="0" borderId="49" applyAlignment="1" pivotButton="0" quotePrefix="0" xfId="0">
      <alignment horizontal="center" vertical="center"/>
    </xf>
    <xf numFmtId="0" fontId="5" fillId="0" borderId="32" applyAlignment="1" pivotButton="0" quotePrefix="0" xfId="0">
      <alignment horizontal="center" vertical="center"/>
    </xf>
    <xf numFmtId="0" fontId="3" fillId="0" borderId="20" applyAlignment="1" pivotButton="0" quotePrefix="0" xfId="0">
      <alignment horizontal="center" vertical="center"/>
    </xf>
    <xf numFmtId="0" fontId="0" fillId="0" borderId="6" pivotButton="0" quotePrefix="0" xfId="0"/>
    <xf numFmtId="0" fontId="0" fillId="2" borderId="49" applyAlignment="1" pivotButton="0" quotePrefix="0" xfId="0">
      <alignment horizontal="center" vertical="center"/>
    </xf>
    <xf numFmtId="0" fontId="3" fillId="0" borderId="48" applyAlignment="1" pivotButton="0" quotePrefix="0" xfId="0">
      <alignment horizontal="center" vertical="center"/>
    </xf>
    <xf numFmtId="0" fontId="6" fillId="0" borderId="6" applyAlignment="1" pivotButton="0" quotePrefix="0" xfId="0">
      <alignment horizontal="center" vertical="center"/>
    </xf>
    <xf numFmtId="0" fontId="0" fillId="0" borderId="2" applyAlignment="1" pivotButton="0" quotePrefix="0" xfId="0">
      <alignment horizontal="center"/>
    </xf>
    <xf numFmtId="0" fontId="3" fillId="0" borderId="27" applyAlignment="1" pivotButton="0" quotePrefix="0" xfId="0">
      <alignment horizontal="center" vertical="center"/>
    </xf>
    <xf numFmtId="0" fontId="7" fillId="0" borderId="6"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0" fillId="2" borderId="28"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5" fillId="0" borderId="22" applyAlignment="1" pivotButton="0" quotePrefix="0" xfId="0">
      <alignment horizontal="center" vertical="center" wrapText="1"/>
    </xf>
    <xf numFmtId="0" fontId="0" fillId="0" borderId="2" applyAlignment="1" pivotButton="0" quotePrefix="0" xfId="0">
      <alignment horizontal="center" vertical="center" wrapText="1"/>
    </xf>
    <xf numFmtId="0" fontId="3" fillId="0" borderId="38" applyAlignment="1" pivotButton="0" quotePrefix="0" xfId="0">
      <alignment horizontal="center" vertical="center"/>
    </xf>
    <xf numFmtId="0" fontId="0" fillId="0" borderId="49" applyAlignment="1" pivotButton="0" quotePrefix="0" xfId="0">
      <alignment horizontal="center" vertical="center"/>
    </xf>
    <xf numFmtId="0" fontId="3" fillId="2" borderId="22" applyAlignment="1" pivotButton="0" quotePrefix="0" xfId="0">
      <alignment horizontal="center" vertical="center"/>
    </xf>
    <xf numFmtId="0" fontId="5" fillId="0" borderId="2" applyAlignment="1" pivotButton="0" quotePrefix="0" xfId="0">
      <alignment horizontal="center" vertical="center"/>
    </xf>
    <xf numFmtId="0" fontId="3" fillId="0" borderId="16" applyAlignment="1" pivotButton="0" quotePrefix="0" xfId="0">
      <alignment horizontal="center" vertical="center"/>
    </xf>
    <xf numFmtId="0" fontId="41" fillId="0" borderId="9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10"/>
    <col width="8.7109375" customWidth="1" style="13" min="11"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12"/>
    <col width="8.7109375" customWidth="1" style="13" min="13"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92">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92">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92">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92">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92">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92">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12"/>
    <col width="8.7109375" customWidth="1" style="13" min="13" max="16384"/>
  </cols>
  <sheetData>
    <row r="1" ht="21.6" customHeight="1" s="592">
      <c r="A1" s="171" t="inlineStr">
        <is>
          <t>DESCRIZIONE</t>
        </is>
      </c>
      <c r="B1" s="171" t="inlineStr">
        <is>
          <t>NOME</t>
        </is>
      </c>
      <c r="C1" s="171" t="inlineStr">
        <is>
          <t>Livello</t>
        </is>
      </c>
      <c r="D1" s="172" t="inlineStr">
        <is>
          <t>INDIRIZZO</t>
        </is>
      </c>
      <c r="E1" s="172" t="inlineStr">
        <is>
          <t>LINK</t>
        </is>
      </c>
    </row>
    <row r="2" ht="21.6" customHeight="1" s="592">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92">
      <c r="A3" s="14" t="inlineStr">
        <is>
          <t>Cartella Documenti Ingegneria</t>
        </is>
      </c>
      <c r="B3" s="14" t="inlineStr">
        <is>
          <t>Shared%20Documents/</t>
        </is>
      </c>
      <c r="C3" s="14" t="n">
        <v>1</v>
      </c>
      <c r="D3" s="170">
        <f>CONCATENATE($D$2,B3)</f>
        <v/>
      </c>
      <c r="E3" s="190">
        <f>HYPERLINK(D3,"🔗")</f>
        <v/>
      </c>
    </row>
    <row r="4" ht="21.6" customHeight="1" s="592">
      <c r="A4" s="14" t="inlineStr">
        <is>
          <t>Cartella Archiviazione doc ETR1000</t>
        </is>
      </c>
      <c r="B4" s="14" t="inlineStr">
        <is>
          <t>DB_ETR1000/</t>
        </is>
      </c>
      <c r="C4" s="14" t="n">
        <v>2</v>
      </c>
      <c r="D4" s="170">
        <f>CONCATENATE($D$3,B4)</f>
        <v/>
      </c>
      <c r="E4" s="190">
        <f>HYPERLINK(D4,"🔗")</f>
        <v/>
      </c>
    </row>
    <row r="5" ht="21.6" customHeight="1" s="592">
      <c r="A5" s="14" t="inlineStr">
        <is>
          <t>Documenti di configurazione</t>
        </is>
      </c>
      <c r="B5" s="14" t="inlineStr">
        <is>
          <t>DOC_FLOTTE/</t>
        </is>
      </c>
      <c r="C5" s="14" t="n">
        <v>3</v>
      </c>
      <c r="D5" s="170">
        <f>CONCATENATE($D$4,B5)</f>
        <v/>
      </c>
      <c r="E5" s="190">
        <f>HYPERLINK(D5,"🔗")</f>
        <v/>
      </c>
    </row>
    <row r="6" ht="21.6" customHeight="1" s="592">
      <c r="A6" s="14" t="inlineStr">
        <is>
          <t>Raccolta documentazione Funzioni</t>
        </is>
      </c>
      <c r="B6" s="14" t="inlineStr">
        <is>
          <t>DOC_FUNC/</t>
        </is>
      </c>
      <c r="C6" s="14" t="n">
        <v>3</v>
      </c>
      <c r="D6" s="170">
        <f>CONCATENATE($D$4,B6)</f>
        <v/>
      </c>
      <c r="E6" s="190">
        <f>HYPERLINK(D6,"🔗")</f>
        <v/>
      </c>
    </row>
    <row r="7" ht="21.95" customHeight="1" s="592"/>
    <row r="8" ht="21.95" customHeight="1" s="592"/>
    <row r="9" ht="21.95" customHeight="1" s="592"/>
    <row r="10" ht="21.95" customHeight="1" s="592">
      <c r="A10" s="13" t="inlineStr">
        <is>
          <t>VINCOLI</t>
        </is>
      </c>
    </row>
    <row r="11" ht="21.95" customHeight="1" s="592">
      <c r="A11" s="13" t="inlineStr">
        <is>
          <t>Id Flotta</t>
        </is>
      </c>
      <c r="B11" s="13" t="inlineStr">
        <is>
          <t>Riga 1</t>
        </is>
      </c>
    </row>
    <row r="12" ht="21.95" customHeight="1" s="592">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92" min="1" max="1"/>
    <col width="17.5703125" customWidth="1" style="592" min="2" max="3"/>
    <col width="15.42578125" customWidth="1" style="592" min="4" max="4"/>
    <col width="15.140625" customWidth="1" style="592"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599">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30"/>
    <col width="8.7109375" customWidth="1" style="103" min="31" max="16384"/>
  </cols>
  <sheetData>
    <row r="1" customFormat="1" s="105">
      <c r="A1" s="526" t="inlineStr">
        <is>
          <t>DOC DESCRIPTION</t>
        </is>
      </c>
      <c r="B1" s="534" t="inlineStr">
        <is>
          <t>DOC ID</t>
        </is>
      </c>
      <c r="C1" s="526" t="inlineStr">
        <is>
          <t>DOC EXT</t>
        </is>
      </c>
      <c r="D1" s="532" t="inlineStr">
        <is>
          <t>VZI_Base</t>
        </is>
      </c>
      <c r="E1" s="530" t="n"/>
      <c r="F1" s="531" t="n"/>
      <c r="G1" s="541" t="inlineStr">
        <is>
          <t>VZI_New14</t>
        </is>
      </c>
      <c r="H1" s="530" t="n"/>
      <c r="I1" s="530" t="n"/>
      <c r="J1" s="532" t="inlineStr">
        <is>
          <t>VZ_FR</t>
        </is>
      </c>
      <c r="K1" s="530" t="n"/>
      <c r="L1" s="531" t="n"/>
      <c r="M1" s="538" t="inlineStr">
        <is>
          <t>VZ_ES</t>
        </is>
      </c>
      <c r="N1" s="539" t="n"/>
      <c r="O1" s="539" t="n"/>
      <c r="P1" s="532" t="inlineStr">
        <is>
          <t>VZI-6_R1</t>
        </is>
      </c>
      <c r="Q1" s="531" t="n"/>
      <c r="R1" s="532" t="inlineStr">
        <is>
          <t>VZI-4_R1</t>
        </is>
      </c>
      <c r="S1" s="531" t="n"/>
      <c r="T1" s="532" t="inlineStr">
        <is>
          <t>VZ_DAI</t>
        </is>
      </c>
      <c r="U1" s="531" t="n"/>
      <c r="V1" s="532" t="inlineStr">
        <is>
          <t>VZ_Esxx</t>
        </is>
      </c>
      <c r="W1" s="531" t="n"/>
    </row>
    <row r="2" ht="41.1" customFormat="1" customHeight="1" s="105">
      <c r="A2" s="527" t="n"/>
      <c r="B2" s="535" t="n"/>
      <c r="C2" s="527" t="n"/>
      <c r="D2" s="529" t="inlineStr">
        <is>
          <t>Doc BD130033980 - BL 6.0</t>
        </is>
      </c>
      <c r="E2" s="530" t="n"/>
      <c r="F2" s="531" t="n"/>
      <c r="G2" s="533" t="inlineStr">
        <is>
          <t>BD140036813 - BL 4.2</t>
        </is>
      </c>
      <c r="H2" s="530" t="n"/>
      <c r="I2" s="530" t="n"/>
      <c r="J2" s="529" t="inlineStr">
        <is>
          <t>3ECP414415-0001 - BL 4.0</t>
        </is>
      </c>
      <c r="K2" s="530" t="n"/>
      <c r="L2" s="531" t="n"/>
      <c r="M2" s="540" t="inlineStr">
        <is>
          <t>VZ-ES Spagna
BL 2.4</t>
        </is>
      </c>
      <c r="N2" s="539" t="n"/>
      <c r="O2" s="539" t="n"/>
      <c r="P2" s="529" t="inlineStr">
        <is>
          <t>VZI-6_IT [R1]
BL 4.0</t>
        </is>
      </c>
      <c r="Q2" s="531" t="n"/>
      <c r="R2" s="537" t="inlineStr">
        <is>
          <t>VZI-4_IT [R1]
BL 1.0</t>
        </is>
      </c>
      <c r="S2" s="531" t="n"/>
      <c r="T2" s="529" t="inlineStr">
        <is>
          <t>VZ-DAI
BL xxx</t>
        </is>
      </c>
      <c r="U2" s="531" t="n"/>
      <c r="V2" s="529" t="inlineStr">
        <is>
          <t>VZ_ES Full HRI
BL xxx</t>
        </is>
      </c>
      <c r="W2" s="531" t="n"/>
    </row>
    <row r="3" ht="30" customFormat="1" customHeight="1" s="105">
      <c r="A3" s="528" t="n"/>
      <c r="B3" s="536" t="n"/>
      <c r="C3" s="528"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3"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92">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92">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92">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92">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92">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92">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92">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92">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92">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92">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92">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92">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92">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92">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92">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92">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92">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92">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92">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92">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92">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92">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92">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92">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92">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92">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92">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92">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92">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92">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92">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92">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92">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92">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92">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92">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92">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92">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92">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92">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92">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92">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92">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92">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92">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92">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92">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92">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92">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92">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92">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92">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92">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92">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92">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92">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92">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92">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92">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92">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92">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92">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92">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92">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92">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92">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92">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92">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92">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92">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92">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92">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92">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92">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92">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92">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92">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92">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92">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92">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92">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92">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92">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92">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92">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92">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92">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92">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92">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92">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92">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92">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92">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92">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92">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92">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92">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92">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92">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92">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92">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92">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92">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92">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92">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92">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92">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92">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92">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92">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92">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92">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92">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92">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92">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92">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92">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92">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92">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92">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92">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6"/>
    <col width="8.7109375" customWidth="1" style="103" min="27" max="16384"/>
  </cols>
  <sheetData>
    <row r="1" ht="26.45" customFormat="1" customHeight="1" s="105">
      <c r="A1" s="526" t="inlineStr">
        <is>
          <t>DOC DESCRIPTION</t>
        </is>
      </c>
      <c r="B1" s="542" t="inlineStr">
        <is>
          <t>DOC ID</t>
        </is>
      </c>
      <c r="C1" s="534" t="inlineStr">
        <is>
          <t>DOC EXT</t>
        </is>
      </c>
      <c r="D1" s="546" t="inlineStr">
        <is>
          <t>VZI_Base</t>
        </is>
      </c>
      <c r="E1" s="547" t="n"/>
      <c r="F1" s="544" t="inlineStr">
        <is>
          <t>VZI_New14</t>
        </is>
      </c>
      <c r="G1" s="545" t="n"/>
      <c r="H1" s="546" t="inlineStr">
        <is>
          <t>VZ_FR</t>
        </is>
      </c>
      <c r="I1" s="547" t="n"/>
      <c r="J1" s="544" t="inlineStr">
        <is>
          <t>VZ_ES</t>
        </is>
      </c>
      <c r="K1" s="545" t="n"/>
      <c r="L1" s="546" t="inlineStr">
        <is>
          <t>VZI-6_R1</t>
        </is>
      </c>
      <c r="M1" s="547" t="n"/>
      <c r="N1" s="544" t="inlineStr">
        <is>
          <t>VZI-4_R1</t>
        </is>
      </c>
      <c r="O1" s="545" t="n"/>
      <c r="P1" s="546" t="inlineStr">
        <is>
          <t>VZ_DAI</t>
        </is>
      </c>
      <c r="Q1" s="547" t="n"/>
      <c r="R1" s="544" t="inlineStr">
        <is>
          <t>VZ_Esxx</t>
        </is>
      </c>
      <c r="S1" s="545" t="n"/>
    </row>
    <row r="2" ht="26.45" customFormat="1" customHeight="1" s="105">
      <c r="A2" s="528" t="n"/>
      <c r="B2" s="543" t="n"/>
      <c r="C2" s="536"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0" t="inlineStr">
        <is>
          <t>Codice</t>
        </is>
      </c>
      <c r="M2" s="540"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92">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92">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92">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92">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92">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92">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92">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92">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78"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84">
      <c r="A36" s="479" t="inlineStr">
        <is>
          <t>Manuale uso e depannage - Apparecchiature Segnalamento Francia</t>
        </is>
      </c>
      <c r="B36" s="479" t="inlineStr">
        <is>
          <t>MAN_GDA-VZI_Base</t>
        </is>
      </c>
      <c r="C36" s="480" t="inlineStr">
        <is>
          <t>pdf</t>
        </is>
      </c>
      <c r="D36" s="481" t="n"/>
      <c r="E36" s="481" t="n"/>
      <c r="F36" s="439" t="n"/>
      <c r="G36" s="482" t="n"/>
      <c r="H36" s="481" t="n"/>
      <c r="I36" s="481" t="n"/>
      <c r="J36" s="439" t="inlineStr">
        <is>
          <t>ETR1000V300_FR-DC100002740</t>
        </is>
      </c>
      <c r="K36" s="483" t="inlineStr">
        <is>
          <t>03</t>
        </is>
      </c>
      <c r="L36" s="481" t="n"/>
      <c r="M36" s="481" t="n"/>
      <c r="N36" s="439" t="n"/>
      <c r="O36" s="482" t="n"/>
      <c r="P36" s="481" t="n"/>
      <c r="Q36" s="481" t="n"/>
      <c r="R36" s="439" t="n"/>
      <c r="S36" s="482"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24" min="17" max="17"/>
    <col width="23" bestFit="1" customWidth="1" style="14" min="18" max="18"/>
    <col width="25.7109375" bestFit="1" customWidth="1" style="14" min="19" max="19"/>
    <col width="4.42578125" bestFit="1" customWidth="1" style="14" min="20" max="20"/>
    <col width="6.85546875" bestFit="1" customWidth="1" style="524"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24" min="29" max="29"/>
    <col width="8.7109375" customWidth="1" style="13" min="30" max="30"/>
    <col width="8.7109375" customWidth="1" style="13" min="31" max="16384"/>
  </cols>
  <sheetData>
    <row r="1" ht="29.45" customHeight="1" s="592">
      <c r="A1" s="534" t="inlineStr">
        <is>
          <t>DOC DESCRIPTION</t>
        </is>
      </c>
      <c r="B1" s="542" t="inlineStr">
        <is>
          <t>DOC ID</t>
        </is>
      </c>
      <c r="C1" s="542" t="inlineStr">
        <is>
          <t>DOC EXT</t>
        </is>
      </c>
      <c r="D1" s="553" t="inlineStr">
        <is>
          <t>TIPO</t>
        </is>
      </c>
      <c r="E1" s="553" t="inlineStr">
        <is>
          <t>VOLUME
SUBVOLUME
_TOMO</t>
        </is>
      </c>
      <c r="F1" s="551" t="inlineStr">
        <is>
          <t>VZI_Base</t>
        </is>
      </c>
      <c r="G1" s="549" t="n"/>
      <c r="H1" s="549" t="n"/>
      <c r="I1" s="550" t="n"/>
      <c r="J1" s="551" t="inlineStr">
        <is>
          <t>VZI_New14</t>
        </is>
      </c>
      <c r="K1" s="549" t="n"/>
      <c r="L1" s="549" t="n"/>
      <c r="M1" s="550" t="n"/>
      <c r="N1" s="552" t="inlineStr">
        <is>
          <t>VZ_FR</t>
        </is>
      </c>
      <c r="O1" s="549" t="n"/>
      <c r="P1" s="549" t="n"/>
      <c r="Q1" s="550" t="n"/>
      <c r="R1" s="552" t="inlineStr">
        <is>
          <t>VZ-ES</t>
        </is>
      </c>
      <c r="S1" s="549" t="n"/>
      <c r="T1" s="549" t="n"/>
      <c r="U1" s="550" t="n"/>
      <c r="V1" s="548" t="inlineStr">
        <is>
          <t>VZI-6_R1</t>
        </is>
      </c>
      <c r="W1" s="549" t="n"/>
      <c r="X1" s="549" t="n"/>
      <c r="Y1" s="550" t="n"/>
      <c r="Z1" s="548" t="inlineStr">
        <is>
          <t>VZI-4_R1</t>
        </is>
      </c>
      <c r="AA1" s="549" t="n"/>
      <c r="AB1" s="549" t="n"/>
      <c r="AC1" s="550" t="n"/>
    </row>
    <row r="2" ht="29.45" customHeight="1" s="592" thickBot="1">
      <c r="A2" s="536" t="n"/>
      <c r="B2" s="543" t="n"/>
      <c r="C2" s="543" t="n"/>
      <c r="D2" s="528" t="n"/>
      <c r="E2" s="528" t="n"/>
      <c r="F2" s="382" t="inlineStr">
        <is>
          <t>NOME FILE</t>
        </is>
      </c>
      <c r="G2" s="485" t="inlineStr">
        <is>
          <t>CODICE</t>
        </is>
      </c>
      <c r="H2" s="383" t="inlineStr">
        <is>
          <t>REV</t>
        </is>
      </c>
      <c r="I2" s="384" t="inlineStr">
        <is>
          <t>DATA</t>
        </is>
      </c>
      <c r="J2" s="382" t="inlineStr">
        <is>
          <t>NOME FILE</t>
        </is>
      </c>
      <c r="K2" s="485" t="inlineStr">
        <is>
          <t>CODICE</t>
        </is>
      </c>
      <c r="L2" s="383" t="inlineStr">
        <is>
          <t>REV</t>
        </is>
      </c>
      <c r="M2" s="384" t="inlineStr">
        <is>
          <t>DATA</t>
        </is>
      </c>
      <c r="N2" s="382" t="inlineStr">
        <is>
          <t>NOME FILE</t>
        </is>
      </c>
      <c r="O2" s="485" t="inlineStr">
        <is>
          <t>CODICE</t>
        </is>
      </c>
      <c r="P2" s="142" t="inlineStr">
        <is>
          <t>REV</t>
        </is>
      </c>
      <c r="Q2" s="143" t="inlineStr">
        <is>
          <t>DATA</t>
        </is>
      </c>
      <c r="R2" s="382" t="inlineStr">
        <is>
          <t>NOME FILE</t>
        </is>
      </c>
      <c r="S2" s="485" t="inlineStr">
        <is>
          <t>CODICE</t>
        </is>
      </c>
      <c r="T2" s="142" t="inlineStr">
        <is>
          <t>REV</t>
        </is>
      </c>
      <c r="U2" s="486" t="inlineStr">
        <is>
          <t>DATA</t>
        </is>
      </c>
      <c r="V2" s="382" t="inlineStr">
        <is>
          <t>NOME FILE</t>
        </is>
      </c>
      <c r="W2" s="485" t="inlineStr">
        <is>
          <t>CODICE</t>
        </is>
      </c>
      <c r="X2" s="142" t="inlineStr">
        <is>
          <t>REV</t>
        </is>
      </c>
      <c r="Y2" s="143" t="inlineStr">
        <is>
          <t>DATA</t>
        </is>
      </c>
      <c r="Z2" s="382" t="inlineStr">
        <is>
          <t>NOME FILE</t>
        </is>
      </c>
      <c r="AA2" s="485" t="inlineStr">
        <is>
          <t>CODICE</t>
        </is>
      </c>
      <c r="AB2" s="142" t="inlineStr">
        <is>
          <t>REV</t>
        </is>
      </c>
      <c r="AC2" s="486" t="inlineStr">
        <is>
          <t>DATA</t>
        </is>
      </c>
    </row>
    <row r="3">
      <c r="A3" s="487" t="inlineStr">
        <is>
          <t>Descrizione generale e funzionamento</t>
        </is>
      </c>
      <c r="B3" s="488">
        <f>CONCATENATE(D3,"_",E3)</f>
        <v/>
      </c>
      <c r="C3" s="488" t="inlineStr">
        <is>
          <t>pdf</t>
        </is>
      </c>
      <c r="D3" s="488" t="inlineStr">
        <is>
          <t>PBC</t>
        </is>
      </c>
      <c r="E3" s="488" t="inlineStr">
        <is>
          <t>01A</t>
        </is>
      </c>
      <c r="F3" s="402">
        <f>CONCATENATE("ETR1000V300-",$D3,"-",$E3)</f>
        <v/>
      </c>
      <c r="G3" s="489">
        <f>CONCATENATE(F3,"-",H3)</f>
        <v/>
      </c>
      <c r="H3" s="403" t="n">
        <v>14</v>
      </c>
      <c r="I3" s="404" t="n">
        <v>46113</v>
      </c>
      <c r="J3" s="402">
        <f>$F3</f>
        <v/>
      </c>
      <c r="K3" s="489">
        <f>$G3</f>
        <v/>
      </c>
      <c r="L3" s="403">
        <f>$H3</f>
        <v/>
      </c>
      <c r="M3" s="404">
        <f>$I3</f>
        <v/>
      </c>
      <c r="N3" s="490">
        <f>CONCATENATE("ETR1000V300_FR-",$D3,"-",$E3)</f>
        <v/>
      </c>
      <c r="O3" s="491">
        <f>CONCATENATE(N3,"-",P3)</f>
        <v/>
      </c>
      <c r="P3" s="492" t="inlineStr">
        <is>
          <t>03</t>
        </is>
      </c>
      <c r="Q3" s="493" t="n">
        <v>43922</v>
      </c>
      <c r="R3" s="494">
        <f>CONCATENATE("ETR1000V300_ES-",$D3,"-",$E3)</f>
        <v/>
      </c>
      <c r="S3" s="495">
        <f>CONCATENATE(R3,"-",T3)</f>
        <v/>
      </c>
      <c r="T3" s="492" t="inlineStr">
        <is>
          <t>03</t>
        </is>
      </c>
      <c r="U3" s="496" t="n">
        <v>45566</v>
      </c>
      <c r="V3" s="494">
        <f>CONCATENATE("ETR1000V300_R1-",$D3,"-",$E3)</f>
        <v/>
      </c>
      <c r="W3" s="495">
        <f>CONCATENATE(V3,"-",X3)</f>
        <v/>
      </c>
      <c r="X3" s="492" t="inlineStr">
        <is>
          <t>06</t>
        </is>
      </c>
      <c r="Y3" s="496" t="n">
        <v>45870</v>
      </c>
      <c r="Z3" s="497">
        <f>V3</f>
        <v/>
      </c>
      <c r="AA3" s="492">
        <f>W3</f>
        <v/>
      </c>
      <c r="AB3" s="492">
        <f>X3</f>
        <v/>
      </c>
      <c r="AC3" s="498">
        <f>Y3</f>
        <v/>
      </c>
    </row>
    <row r="4">
      <c r="A4" s="499" t="inlineStr">
        <is>
          <t>Norme d’Uso ed Interventi di Emergenza</t>
        </is>
      </c>
      <c r="B4" s="458">
        <f>CONCATENATE(D4,"_",E4)</f>
        <v/>
      </c>
      <c r="C4" s="488" t="inlineStr">
        <is>
          <t>pdf</t>
        </is>
      </c>
      <c r="D4" s="458" t="inlineStr">
        <is>
          <t>PBC</t>
        </is>
      </c>
      <c r="E4" s="458" t="inlineStr">
        <is>
          <t>01B</t>
        </is>
      </c>
      <c r="F4" s="405">
        <f>CONCATENATE("ETR1000V300-",$D4,"-",$E4)</f>
        <v/>
      </c>
      <c r="G4" s="500">
        <f>CONCATENATE(F4,"-",H4)</f>
        <v/>
      </c>
      <c r="H4" s="406" t="n">
        <v>14</v>
      </c>
      <c r="I4" s="407" t="n">
        <v>45748</v>
      </c>
      <c r="J4" s="405">
        <f>$F4</f>
        <v/>
      </c>
      <c r="K4" s="500">
        <f>$G4</f>
        <v/>
      </c>
      <c r="L4" s="406">
        <f>$H4</f>
        <v/>
      </c>
      <c r="M4" s="407">
        <f>$I4</f>
        <v/>
      </c>
      <c r="N4" s="494">
        <f>CONCATENATE("ETR1000V300_FR-",$D4,"-",$E4)</f>
        <v/>
      </c>
      <c r="O4" s="495">
        <f>CONCATENATE(N4,"-",P4)</f>
        <v/>
      </c>
      <c r="P4" s="460" t="inlineStr">
        <is>
          <t>03</t>
        </is>
      </c>
      <c r="Q4" s="496" t="n">
        <v>43922</v>
      </c>
      <c r="R4" s="494">
        <f>CONCATENATE("ETR1000V300_ES-",$D4,"-",$E4)</f>
        <v/>
      </c>
      <c r="S4" s="460">
        <f>CONCATENATE(R4,"-",T4)</f>
        <v/>
      </c>
      <c r="T4" s="460" t="inlineStr">
        <is>
          <t>03</t>
        </is>
      </c>
      <c r="U4" s="496" t="n">
        <v>45566</v>
      </c>
      <c r="V4" s="494">
        <f>CONCATENATE("ETR1000V300_R1-",$D4,"-",$E4)</f>
        <v/>
      </c>
      <c r="W4" s="495">
        <f>CONCATENATE(V4,"-",X4)</f>
        <v/>
      </c>
      <c r="X4" s="501" t="inlineStr">
        <is>
          <t>09</t>
        </is>
      </c>
      <c r="Y4" s="496" t="n">
        <v>45870</v>
      </c>
      <c r="Z4" s="502">
        <f>V4</f>
        <v/>
      </c>
      <c r="AA4" s="501">
        <f>W4</f>
        <v/>
      </c>
      <c r="AB4" s="501">
        <f>X4</f>
        <v/>
      </c>
      <c r="AC4" s="503">
        <f>Y4</f>
        <v/>
      </c>
    </row>
    <row r="5">
      <c r="A5" s="504" t="inlineStr">
        <is>
          <t>Manuale per il Personale di Bordo addetto alla Scorta</t>
        </is>
      </c>
      <c r="B5" s="458">
        <f>CONCATENATE(D5,"_",E5)</f>
        <v/>
      </c>
      <c r="C5" s="488" t="inlineStr">
        <is>
          <t>pdf</t>
        </is>
      </c>
      <c r="D5" s="458" t="inlineStr">
        <is>
          <t>PBS</t>
        </is>
      </c>
      <c r="E5" s="458" t="inlineStr">
        <is>
          <t>01A</t>
        </is>
      </c>
      <c r="F5" s="405">
        <f>CONCATENATE("ETR1000V300-",$D5,"-",$E5)</f>
        <v/>
      </c>
      <c r="G5" s="500">
        <f>CONCATENATE(F5,"-",H5)</f>
        <v/>
      </c>
      <c r="H5" s="409" t="inlineStr">
        <is>
          <t>04</t>
        </is>
      </c>
      <c r="I5" s="407" t="n">
        <v>45748</v>
      </c>
      <c r="J5" s="405">
        <f>$F5</f>
        <v/>
      </c>
      <c r="K5" s="500">
        <f>$G5</f>
        <v/>
      </c>
      <c r="L5" s="409">
        <f>$H5</f>
        <v/>
      </c>
      <c r="M5" s="407">
        <f>$I5</f>
        <v/>
      </c>
      <c r="N5" s="494">
        <f>CONCATENATE("ETR1000V300_FR-",$D5,"-",$E5)</f>
        <v/>
      </c>
      <c r="O5" s="495">
        <f>CONCATENATE(N5,"-",P5)</f>
        <v/>
      </c>
      <c r="P5" s="501" t="inlineStr">
        <is>
          <t>01</t>
        </is>
      </c>
      <c r="Q5" s="496" t="n">
        <v>43922</v>
      </c>
      <c r="R5" s="494">
        <f>CONCATENATE("ETR1000V300_ES-",$D5,"-",$E5)</f>
        <v/>
      </c>
      <c r="S5" s="460">
        <f>CONCATENATE(R5,"-",T5)</f>
        <v/>
      </c>
      <c r="T5" s="460" t="inlineStr">
        <is>
          <t>03</t>
        </is>
      </c>
      <c r="U5" s="496" t="n">
        <v>45566</v>
      </c>
      <c r="V5" s="494">
        <f>CONCATENATE("ETR1000V300_R1-",$D5,"-",$E5)</f>
        <v/>
      </c>
      <c r="W5" s="495">
        <f>CONCATENATE(V5,"-",X5)</f>
        <v/>
      </c>
      <c r="X5" s="501" t="inlineStr">
        <is>
          <t>03</t>
        </is>
      </c>
      <c r="Y5" s="496" t="n">
        <v>45901</v>
      </c>
      <c r="Z5" s="502">
        <f>V5</f>
        <v/>
      </c>
      <c r="AA5" s="501">
        <f>W5</f>
        <v/>
      </c>
      <c r="AB5" s="501">
        <f>X5</f>
        <v/>
      </c>
      <c r="AC5" s="503">
        <f>Y5</f>
        <v/>
      </c>
    </row>
    <row r="6">
      <c r="A6" s="504" t="inlineStr">
        <is>
          <t>Cassa</t>
        </is>
      </c>
      <c r="B6" s="458">
        <f>CONCATENATE(D6,"_",E6)</f>
        <v/>
      </c>
      <c r="C6" s="488" t="inlineStr">
        <is>
          <t>pdf</t>
        </is>
      </c>
      <c r="D6" s="458" t="inlineStr">
        <is>
          <t>MR1</t>
        </is>
      </c>
      <c r="E6" s="505" t="inlineStr">
        <is>
          <t>01A</t>
        </is>
      </c>
      <c r="F6" s="405">
        <f>CONCATENATE("ETR1000V300-",$D6,"-",$E6)</f>
        <v/>
      </c>
      <c r="G6" s="500">
        <f>CONCATENATE(F6,"-",H6)</f>
        <v/>
      </c>
      <c r="H6" s="415" t="inlineStr">
        <is>
          <t>08</t>
        </is>
      </c>
      <c r="I6" s="416" t="n">
        <v>46113</v>
      </c>
      <c r="J6" s="405">
        <f>$F6</f>
        <v/>
      </c>
      <c r="K6" s="500">
        <f>$G6</f>
        <v/>
      </c>
      <c r="L6" s="415">
        <f>$H6</f>
        <v/>
      </c>
      <c r="M6" s="416">
        <f>$I6</f>
        <v/>
      </c>
      <c r="N6" s="506">
        <f>CONCATENATE("ETR1000V300_FR-",$D6,"-",$E6)</f>
        <v/>
      </c>
      <c r="O6" s="495">
        <f>CONCATENATE(N6,"-",P6)</f>
        <v/>
      </c>
      <c r="P6" s="501" t="inlineStr">
        <is>
          <t>01</t>
        </is>
      </c>
      <c r="Q6" s="496" t="n">
        <v>44105</v>
      </c>
      <c r="R6" s="507" t="inlineStr">
        <is>
          <t>TBD</t>
        </is>
      </c>
      <c r="S6" s="508" t="n"/>
      <c r="T6" s="508" t="n"/>
      <c r="U6" s="509" t="n"/>
      <c r="V6" s="494">
        <f>CONCATENATE("ETR1000V300_R1-",$D6,"-",$E6)</f>
        <v/>
      </c>
      <c r="W6" s="495">
        <f>CONCATENATE(V6,"-",X6)</f>
        <v/>
      </c>
      <c r="X6" s="501" t="inlineStr">
        <is>
          <t>05</t>
        </is>
      </c>
      <c r="Y6" s="510" t="inlineStr">
        <is>
          <t>gen-2026</t>
        </is>
      </c>
      <c r="Z6" s="502">
        <f>V6</f>
        <v/>
      </c>
      <c r="AA6" s="501">
        <f>W6</f>
        <v/>
      </c>
      <c r="AB6" s="501">
        <f>X6</f>
        <v/>
      </c>
      <c r="AC6" s="503">
        <f>Y6</f>
        <v/>
      </c>
    </row>
    <row r="7">
      <c r="A7" s="504" t="inlineStr">
        <is>
          <t>Carrello</t>
        </is>
      </c>
      <c r="B7" s="458">
        <f>CONCATENATE(D7,"_",E7)</f>
        <v/>
      </c>
      <c r="C7" s="488" t="inlineStr">
        <is>
          <t>pdf</t>
        </is>
      </c>
      <c r="D7" s="458" t="inlineStr">
        <is>
          <t>MR1</t>
        </is>
      </c>
      <c r="E7" s="458" t="inlineStr">
        <is>
          <t>02A</t>
        </is>
      </c>
      <c r="F7" s="405">
        <f>CONCATENATE("ETR1000V300-",$D7,"-",$E7)</f>
        <v/>
      </c>
      <c r="G7" s="500">
        <f>CONCATENATE(F7,"-",H7)</f>
        <v/>
      </c>
      <c r="H7" s="417" t="n">
        <v>14</v>
      </c>
      <c r="I7" s="416" t="n">
        <v>46113</v>
      </c>
      <c r="J7" s="405">
        <f>$F7</f>
        <v/>
      </c>
      <c r="K7" s="500">
        <f>$G7</f>
        <v/>
      </c>
      <c r="L7" s="417">
        <f>$H7</f>
        <v/>
      </c>
      <c r="M7" s="416">
        <f>$I7</f>
        <v/>
      </c>
      <c r="N7" s="506">
        <f>CONCATENATE("ETR1000V300_FR-",$D7,"-",$E7)</f>
        <v/>
      </c>
      <c r="O7" s="495">
        <f>CONCATENATE(N7,"-",P7)</f>
        <v/>
      </c>
      <c r="P7" s="501" t="inlineStr">
        <is>
          <t>02</t>
        </is>
      </c>
      <c r="Q7" s="496" t="n">
        <v>44713</v>
      </c>
      <c r="R7" s="494" t="n"/>
      <c r="S7" s="460" t="n"/>
      <c r="T7" s="460" t="n"/>
      <c r="U7" s="496" t="n"/>
      <c r="V7" s="494">
        <f>CONCATENATE("ETR1000V300_R1-",$D7,"-",$E7)</f>
        <v/>
      </c>
      <c r="W7" s="495">
        <f>CONCATENATE(V7,"-",X7)</f>
        <v/>
      </c>
      <c r="X7" s="501" t="inlineStr">
        <is>
          <t>08</t>
        </is>
      </c>
      <c r="Y7" s="510" t="inlineStr">
        <is>
          <t>gen-2026</t>
        </is>
      </c>
      <c r="Z7" s="502">
        <f>V7</f>
        <v/>
      </c>
      <c r="AA7" s="501">
        <f>W7</f>
        <v/>
      </c>
      <c r="AB7" s="501">
        <f>X7</f>
        <v/>
      </c>
      <c r="AC7" s="503">
        <f>Y7</f>
        <v/>
      </c>
    </row>
    <row r="8">
      <c r="A8" s="504" t="inlineStr">
        <is>
          <t>Impianto pneumatico e freno</t>
        </is>
      </c>
      <c r="B8" s="458">
        <f>CONCATENATE(D8,"_",E8)</f>
        <v/>
      </c>
      <c r="C8" s="488" t="inlineStr">
        <is>
          <t>pdf</t>
        </is>
      </c>
      <c r="D8" s="458" t="inlineStr">
        <is>
          <t>MR1</t>
        </is>
      </c>
      <c r="E8" s="458" t="inlineStr">
        <is>
          <t>03A</t>
        </is>
      </c>
      <c r="F8" s="405">
        <f>CONCATENATE("ETR1000V300-",$D8,"-",$E8)</f>
        <v/>
      </c>
      <c r="G8" s="500">
        <f>CONCATENATE(F8,"-",H8)</f>
        <v/>
      </c>
      <c r="H8" s="415" t="inlineStr">
        <is>
          <t>09</t>
        </is>
      </c>
      <c r="I8" s="416" t="n">
        <v>46113</v>
      </c>
      <c r="J8" s="405">
        <f>$F8</f>
        <v/>
      </c>
      <c r="K8" s="500">
        <f>$G8</f>
        <v/>
      </c>
      <c r="L8" s="415">
        <f>$H8</f>
        <v/>
      </c>
      <c r="M8" s="416">
        <f>$I8</f>
        <v/>
      </c>
      <c r="N8" s="506">
        <f>CONCATENATE("ETR1000V300_FR-",$D8,"-",$E8)</f>
        <v/>
      </c>
      <c r="O8" s="495">
        <f>CONCATENATE(N8,"-",P8)</f>
        <v/>
      </c>
      <c r="P8" s="501" t="inlineStr">
        <is>
          <t>02</t>
        </is>
      </c>
      <c r="Q8" s="496" t="n">
        <v>44713</v>
      </c>
      <c r="R8" s="494" t="n"/>
      <c r="S8" s="460" t="n"/>
      <c r="T8" s="460" t="n"/>
      <c r="U8" s="496" t="n"/>
      <c r="V8" s="494">
        <f>CONCATENATE("ETR1000V300_R1-",$D8,"-",$E8)</f>
        <v/>
      </c>
      <c r="W8" s="495">
        <f>CONCATENATE(V8,"-",X8)</f>
        <v/>
      </c>
      <c r="X8" s="501" t="inlineStr">
        <is>
          <t>04</t>
        </is>
      </c>
      <c r="Y8" s="496" t="n">
        <v>45992</v>
      </c>
      <c r="Z8" s="502">
        <f>V8</f>
        <v/>
      </c>
      <c r="AA8" s="501">
        <f>W8</f>
        <v/>
      </c>
      <c r="AB8" s="501">
        <f>X8</f>
        <v/>
      </c>
      <c r="AC8" s="503">
        <f>Y8</f>
        <v/>
      </c>
    </row>
    <row r="9">
      <c r="A9" s="504" t="inlineStr">
        <is>
          <t>Equipaggiamento elettrico ed elettropneumatico</t>
        </is>
      </c>
      <c r="B9" s="458">
        <f>CONCATENATE(D9,"_",E9)</f>
        <v/>
      </c>
      <c r="C9" s="488" t="inlineStr">
        <is>
          <t>pdf</t>
        </is>
      </c>
      <c r="D9" s="458" t="inlineStr">
        <is>
          <t>MR1</t>
        </is>
      </c>
      <c r="E9" s="505" t="inlineStr">
        <is>
          <t>04A</t>
        </is>
      </c>
      <c r="F9" s="405">
        <f>CONCATENATE("ETR1000V300-",$D9,"-",$E9)</f>
        <v/>
      </c>
      <c r="G9" s="500">
        <f>CONCATENATE(F9,"-",H9)</f>
        <v/>
      </c>
      <c r="H9" s="415" t="n">
        <v>10</v>
      </c>
      <c r="I9" s="416" t="n">
        <v>46113</v>
      </c>
      <c r="J9" s="405">
        <f>$F9</f>
        <v/>
      </c>
      <c r="K9" s="500">
        <f>$G9</f>
        <v/>
      </c>
      <c r="L9" s="415">
        <f>$H9</f>
        <v/>
      </c>
      <c r="M9" s="416">
        <f>$I9</f>
        <v/>
      </c>
      <c r="N9" s="506">
        <f>CONCATENATE("ETR1000V300_FR-",$D9,"-",$E9)</f>
        <v/>
      </c>
      <c r="O9" s="495">
        <f>CONCATENATE(N9,"-",P9)</f>
        <v/>
      </c>
      <c r="P9" s="501" t="inlineStr">
        <is>
          <t>05</t>
        </is>
      </c>
      <c r="Q9" s="496" t="n">
        <v>45931</v>
      </c>
      <c r="R9" s="494" t="n"/>
      <c r="S9" s="460" t="n"/>
      <c r="T9" s="460" t="n"/>
      <c r="U9" s="496" t="n"/>
      <c r="V9" s="494">
        <f>CONCATENATE("ETR1000V300_R1-",$D9,"-",$E9)</f>
        <v/>
      </c>
      <c r="W9" s="495">
        <f>CONCATENATE(V9,"-",X9)</f>
        <v/>
      </c>
      <c r="X9" s="501" t="inlineStr">
        <is>
          <t>05</t>
        </is>
      </c>
      <c r="Y9" s="510" t="inlineStr">
        <is>
          <t>gen-2026</t>
        </is>
      </c>
      <c r="Z9" s="502">
        <f>V9</f>
        <v/>
      </c>
      <c r="AA9" s="501">
        <f>W9</f>
        <v/>
      </c>
      <c r="AB9" s="501">
        <f>X9</f>
        <v/>
      </c>
      <c r="AC9" s="503">
        <f>Y9</f>
        <v/>
      </c>
    </row>
    <row r="10">
      <c r="A10" s="504" t="inlineStr">
        <is>
          <t>Logica di comando</t>
        </is>
      </c>
      <c r="B10" s="458">
        <f>CONCATENATE(D10,"_",E10)</f>
        <v/>
      </c>
      <c r="C10" s="488" t="inlineStr">
        <is>
          <t>pdf</t>
        </is>
      </c>
      <c r="D10" s="458" t="inlineStr">
        <is>
          <t>MR1</t>
        </is>
      </c>
      <c r="E10" s="458" t="inlineStr">
        <is>
          <t>05A</t>
        </is>
      </c>
      <c r="F10" s="405">
        <f>CONCATENATE("ETR1000V300-",$D10,"-",$E10)</f>
        <v/>
      </c>
      <c r="G10" s="500">
        <f>CONCATENATE(F10,"-",H10)</f>
        <v/>
      </c>
      <c r="H10" s="415" t="inlineStr">
        <is>
          <t>04</t>
        </is>
      </c>
      <c r="I10" s="416" t="n">
        <v>46113</v>
      </c>
      <c r="J10" s="405">
        <f>$F10</f>
        <v/>
      </c>
      <c r="K10" s="500">
        <f>$G10</f>
        <v/>
      </c>
      <c r="L10" s="415">
        <f>$H10</f>
        <v/>
      </c>
      <c r="M10" s="416">
        <f>$I10</f>
        <v/>
      </c>
      <c r="N10" s="494">
        <f>$F10</f>
        <v/>
      </c>
      <c r="O10" s="495">
        <f>$G10</f>
        <v/>
      </c>
      <c r="P10" s="460">
        <f>$H10</f>
        <v/>
      </c>
      <c r="Q10" s="511">
        <f>$I10</f>
        <v/>
      </c>
      <c r="R10" s="494" t="n"/>
      <c r="S10" s="460" t="n"/>
      <c r="T10" s="460" t="n"/>
      <c r="U10" s="496" t="n"/>
      <c r="V10" s="494">
        <f>CONCATENATE("ETR1000V300_R1-",$D10,"-",$E10)</f>
        <v/>
      </c>
      <c r="W10" s="495">
        <f>CONCATENATE(V10,"-",X10)</f>
        <v/>
      </c>
      <c r="X10" s="501" t="inlineStr">
        <is>
          <t>03</t>
        </is>
      </c>
      <c r="Y10" s="496" t="n">
        <v>45931</v>
      </c>
      <c r="Z10" s="502">
        <f>V10</f>
        <v/>
      </c>
      <c r="AA10" s="501">
        <f>W10</f>
        <v/>
      </c>
      <c r="AB10" s="501">
        <f>X10</f>
        <v/>
      </c>
      <c r="AC10" s="503">
        <f>Y10</f>
        <v/>
      </c>
    </row>
    <row r="11">
      <c r="A11" s="504" t="inlineStr">
        <is>
          <t>Logica di comando - Nodo TCN</t>
        </is>
      </c>
      <c r="B11" s="458">
        <f>CONCATENATE(D11,"_",E11)</f>
        <v/>
      </c>
      <c r="C11" s="488" t="inlineStr">
        <is>
          <t>pdf</t>
        </is>
      </c>
      <c r="D11" s="458" t="inlineStr">
        <is>
          <t>MR1</t>
        </is>
      </c>
      <c r="E11" s="458" t="inlineStr">
        <is>
          <t>05B</t>
        </is>
      </c>
      <c r="F11" s="405">
        <f>CONCATENATE("ETR1000V300-",$D11,"-",$E11)</f>
        <v/>
      </c>
      <c r="G11" s="500">
        <f>CONCATENATE(F11,"-",H11)</f>
        <v/>
      </c>
      <c r="H11" s="409" t="inlineStr">
        <is>
          <t>02</t>
        </is>
      </c>
      <c r="I11" s="408" t="inlineStr">
        <is>
          <t>giu-17</t>
        </is>
      </c>
      <c r="J11" s="405">
        <f>$F11</f>
        <v/>
      </c>
      <c r="K11" s="500">
        <f>$G11</f>
        <v/>
      </c>
      <c r="L11" s="409">
        <f>$H11</f>
        <v/>
      </c>
      <c r="M11" s="408">
        <f>$I11</f>
        <v/>
      </c>
      <c r="N11" s="494">
        <f>$F11</f>
        <v/>
      </c>
      <c r="O11" s="495">
        <f>$G11</f>
        <v/>
      </c>
      <c r="P11" s="460">
        <f>$H11</f>
        <v/>
      </c>
      <c r="Q11" s="496">
        <f>$I11</f>
        <v/>
      </c>
      <c r="R11" s="494" t="n"/>
      <c r="S11" s="460" t="n"/>
      <c r="T11" s="460" t="n"/>
      <c r="U11" s="496" t="n"/>
      <c r="V11" s="494" t="inlineStr">
        <is>
          <t>\</t>
        </is>
      </c>
      <c r="W11" s="495" t="inlineStr">
        <is>
          <t>\</t>
        </is>
      </c>
      <c r="X11" s="501" t="inlineStr">
        <is>
          <t>\</t>
        </is>
      </c>
      <c r="Y11" s="496" t="inlineStr">
        <is>
          <t>\</t>
        </is>
      </c>
      <c r="Z11" s="502">
        <f>V11</f>
        <v/>
      </c>
      <c r="AA11" s="501">
        <f>W11</f>
        <v/>
      </c>
      <c r="AB11" s="501">
        <f>X11</f>
        <v/>
      </c>
      <c r="AC11" s="503">
        <f>Y11</f>
        <v/>
      </c>
    </row>
    <row r="12">
      <c r="A12" s="504" t="inlineStr">
        <is>
          <t>Azionamento di trazione</t>
        </is>
      </c>
      <c r="B12" s="458">
        <f>CONCATENATE(D12,"_",E12)</f>
        <v/>
      </c>
      <c r="C12" s="488" t="inlineStr">
        <is>
          <t>pdf</t>
        </is>
      </c>
      <c r="D12" s="458" t="inlineStr">
        <is>
          <t>MR1</t>
        </is>
      </c>
      <c r="E12" s="458" t="inlineStr">
        <is>
          <t>06A</t>
        </is>
      </c>
      <c r="F12" s="405">
        <f>CONCATENATE("ETR1000V300-",$D12,"-",$E12)</f>
        <v/>
      </c>
      <c r="G12" s="500">
        <f>CONCATENATE(F12,"-",H12)</f>
        <v/>
      </c>
      <c r="H12" s="415" t="inlineStr">
        <is>
          <t>05</t>
        </is>
      </c>
      <c r="I12" s="416" t="n">
        <v>46113</v>
      </c>
      <c r="J12" s="405">
        <f>$F12</f>
        <v/>
      </c>
      <c r="K12" s="500">
        <f>$G12</f>
        <v/>
      </c>
      <c r="L12" s="415">
        <f>$H12</f>
        <v/>
      </c>
      <c r="M12" s="416">
        <f>$I12</f>
        <v/>
      </c>
      <c r="N12" s="494">
        <f>$F12</f>
        <v/>
      </c>
      <c r="O12" s="460">
        <f>$G12</f>
        <v/>
      </c>
      <c r="P12" s="460">
        <f>$H12</f>
        <v/>
      </c>
      <c r="Q12" s="496">
        <f>$I12</f>
        <v/>
      </c>
      <c r="R12" s="494" t="n"/>
      <c r="S12" s="460" t="n"/>
      <c r="T12" s="460" t="n"/>
      <c r="U12" s="496" t="n"/>
      <c r="V12" s="494">
        <f>CONCATENATE("ETR1000V300_R1-",$D12,"-",$E12)</f>
        <v/>
      </c>
      <c r="W12" s="495">
        <f>CONCATENATE(V12,"-",X12)</f>
        <v/>
      </c>
      <c r="X12" s="501" t="inlineStr">
        <is>
          <t>04</t>
        </is>
      </c>
      <c r="Y12" s="496" t="n">
        <v>45992</v>
      </c>
      <c r="Z12" s="502">
        <f>V12</f>
        <v/>
      </c>
      <c r="AA12" s="501">
        <f>W12</f>
        <v/>
      </c>
      <c r="AB12" s="501">
        <f>X12</f>
        <v/>
      </c>
      <c r="AC12" s="503">
        <f>Y12</f>
        <v/>
      </c>
    </row>
    <row r="13">
      <c r="A13" s="504" t="inlineStr">
        <is>
          <t>Motore di trazione</t>
        </is>
      </c>
      <c r="B13" s="458">
        <f>CONCATENATE(D13,"_",E13)</f>
        <v/>
      </c>
      <c r="C13" s="488" t="inlineStr">
        <is>
          <t>pdf</t>
        </is>
      </c>
      <c r="D13" s="458" t="inlineStr">
        <is>
          <t>MR1</t>
        </is>
      </c>
      <c r="E13" s="458" t="inlineStr">
        <is>
          <t>07A</t>
        </is>
      </c>
      <c r="F13" s="405">
        <f>CONCATENATE("ETR1000V300-",$D13,"-",$E13)</f>
        <v/>
      </c>
      <c r="G13" s="500">
        <f>CONCATENATE(F13,"-",H13)</f>
        <v/>
      </c>
      <c r="H13" s="415" t="inlineStr">
        <is>
          <t>07</t>
        </is>
      </c>
      <c r="I13" s="416" t="n">
        <v>46113</v>
      </c>
      <c r="J13" s="405">
        <f>$F13</f>
        <v/>
      </c>
      <c r="K13" s="500">
        <f>$G13</f>
        <v/>
      </c>
      <c r="L13" s="415">
        <f>$H13</f>
        <v/>
      </c>
      <c r="M13" s="416">
        <f>$I13</f>
        <v/>
      </c>
      <c r="N13" s="494">
        <f>$F13</f>
        <v/>
      </c>
      <c r="O13" s="460">
        <f>$G13</f>
        <v/>
      </c>
      <c r="P13" s="460">
        <f>$H13</f>
        <v/>
      </c>
      <c r="Q13" s="496">
        <f>$I13</f>
        <v/>
      </c>
      <c r="R13" s="494" t="n"/>
      <c r="S13" s="460" t="n"/>
      <c r="T13" s="460" t="n"/>
      <c r="U13" s="496" t="n"/>
      <c r="V13" s="494">
        <f>CONCATENATE("ETR1000V300_R1-",$D13,"-",$E13)</f>
        <v/>
      </c>
      <c r="W13" s="495">
        <f>CONCATENATE(V13,"-",X13)</f>
        <v/>
      </c>
      <c r="X13" s="501" t="inlineStr">
        <is>
          <t>04</t>
        </is>
      </c>
      <c r="Y13" s="496" t="n">
        <v>45931</v>
      </c>
      <c r="Z13" s="502">
        <f>V13</f>
        <v/>
      </c>
      <c r="AA13" s="501">
        <f>W13</f>
        <v/>
      </c>
      <c r="AB13" s="501">
        <f>X13</f>
        <v/>
      </c>
      <c r="AC13" s="503">
        <f>Y13</f>
        <v/>
      </c>
    </row>
    <row r="14">
      <c r="A14" s="504" t="inlineStr">
        <is>
          <t>Passaggi esterni</t>
        </is>
      </c>
      <c r="B14" s="458">
        <f>CONCATENATE(D14,"_",E14)</f>
        <v/>
      </c>
      <c r="C14" s="488" t="inlineStr">
        <is>
          <t>pdf</t>
        </is>
      </c>
      <c r="D14" s="458" t="inlineStr">
        <is>
          <t>MR1</t>
        </is>
      </c>
      <c r="E14" s="505" t="inlineStr">
        <is>
          <t>08A</t>
        </is>
      </c>
      <c r="F14" s="405">
        <f>CONCATENATE("ETR1000V300-",$D14,"-",$E14)</f>
        <v/>
      </c>
      <c r="G14" s="500">
        <f>CONCATENATE(F14,"-",H14)</f>
        <v/>
      </c>
      <c r="H14" s="415" t="inlineStr">
        <is>
          <t>05</t>
        </is>
      </c>
      <c r="I14" s="416" t="n">
        <v>46113</v>
      </c>
      <c r="J14" s="405">
        <f>$F14</f>
        <v/>
      </c>
      <c r="K14" s="500">
        <f>$G14</f>
        <v/>
      </c>
      <c r="L14" s="415">
        <f>$H14</f>
        <v/>
      </c>
      <c r="M14" s="416">
        <f>$I14</f>
        <v/>
      </c>
      <c r="N14" s="494">
        <f>$F14</f>
        <v/>
      </c>
      <c r="O14" s="460">
        <f>$G14</f>
        <v/>
      </c>
      <c r="P14" s="460">
        <f>$H14</f>
        <v/>
      </c>
      <c r="Q14" s="496">
        <f>$I14</f>
        <v/>
      </c>
      <c r="R14" s="494" t="n"/>
      <c r="S14" s="460" t="n"/>
      <c r="T14" s="460" t="n"/>
      <c r="U14" s="496" t="n"/>
      <c r="V14" s="494">
        <f>CONCATENATE("ETR1000V300_R1-",$D14,"-",$E14)</f>
        <v/>
      </c>
      <c r="W14" s="495">
        <f>CONCATENATE(V14,"-",X14)</f>
        <v/>
      </c>
      <c r="X14" s="501" t="inlineStr">
        <is>
          <t>04</t>
        </is>
      </c>
      <c r="Y14" s="496" t="n">
        <v>45931</v>
      </c>
      <c r="Z14" s="502">
        <f>V14</f>
        <v/>
      </c>
      <c r="AA14" s="501">
        <f>W14</f>
        <v/>
      </c>
      <c r="AB14" s="501">
        <f>X14</f>
        <v/>
      </c>
      <c r="AC14" s="503">
        <f>Y14</f>
        <v/>
      </c>
    </row>
    <row r="15">
      <c r="A15" s="504" t="inlineStr">
        <is>
          <t>Sottosistema di climatizzazione</t>
        </is>
      </c>
      <c r="B15" s="458">
        <f>CONCATENATE(D15,"_",E15)</f>
        <v/>
      </c>
      <c r="C15" s="488" t="inlineStr">
        <is>
          <t>pdf</t>
        </is>
      </c>
      <c r="D15" s="458" t="inlineStr">
        <is>
          <t>MR1</t>
        </is>
      </c>
      <c r="E15" s="458" t="inlineStr">
        <is>
          <t>09A</t>
        </is>
      </c>
      <c r="F15" s="405">
        <f>CONCATENATE("ETR1000V300-",$D15,"-",$E15)</f>
        <v/>
      </c>
      <c r="G15" s="500">
        <f>CONCATENATE(F15,"-",H15)</f>
        <v/>
      </c>
      <c r="H15" s="415" t="inlineStr">
        <is>
          <t>05</t>
        </is>
      </c>
      <c r="I15" s="416" t="n">
        <v>46113</v>
      </c>
      <c r="J15" s="405">
        <f>$F15</f>
        <v/>
      </c>
      <c r="K15" s="500">
        <f>$G15</f>
        <v/>
      </c>
      <c r="L15" s="415">
        <f>$H15</f>
        <v/>
      </c>
      <c r="M15" s="416">
        <f>$I15</f>
        <v/>
      </c>
      <c r="N15" s="494">
        <f>$F15</f>
        <v/>
      </c>
      <c r="O15" s="460">
        <f>$G15</f>
        <v/>
      </c>
      <c r="P15" s="460">
        <f>$H15</f>
        <v/>
      </c>
      <c r="Q15" s="496">
        <f>$I15</f>
        <v/>
      </c>
      <c r="R15" s="494" t="n"/>
      <c r="S15" s="460" t="n"/>
      <c r="T15" s="460" t="n"/>
      <c r="U15" s="496" t="n"/>
      <c r="V15" s="494">
        <f>CONCATENATE("ETR1000V300_R1-",$D15,"-",$E15)</f>
        <v/>
      </c>
      <c r="W15" s="495">
        <f>CONCATENATE(V15,"-",X15)</f>
        <v/>
      </c>
      <c r="X15" s="501" t="inlineStr">
        <is>
          <t>04</t>
        </is>
      </c>
      <c r="Y15" s="496" t="n">
        <v>45931</v>
      </c>
      <c r="Z15" s="502">
        <f>V15</f>
        <v/>
      </c>
      <c r="AA15" s="501">
        <f>W15</f>
        <v/>
      </c>
      <c r="AB15" s="501">
        <f>X15</f>
        <v/>
      </c>
      <c r="AC15" s="503">
        <f>Y15</f>
        <v/>
      </c>
    </row>
    <row r="16">
      <c r="A16" s="504" t="inlineStr">
        <is>
          <t>Sottosistema di comunicazione</t>
        </is>
      </c>
      <c r="B16" s="458">
        <f>CONCATENATE(D16,"_",E16)</f>
        <v/>
      </c>
      <c r="C16" s="488" t="inlineStr">
        <is>
          <t>pdf</t>
        </is>
      </c>
      <c r="D16" s="458" t="inlineStr">
        <is>
          <t>MR1</t>
        </is>
      </c>
      <c r="E16" s="458" t="inlineStr">
        <is>
          <t>10A</t>
        </is>
      </c>
      <c r="F16" s="405">
        <f>CONCATENATE("ETR1000V300-",$D16,"-",$E16)</f>
        <v/>
      </c>
      <c r="G16" s="500">
        <f>CONCATENATE(F16,"-",H16)</f>
        <v/>
      </c>
      <c r="H16" s="415" t="inlineStr">
        <is>
          <t>05</t>
        </is>
      </c>
      <c r="I16" s="416" t="n">
        <v>46113</v>
      </c>
      <c r="J16" s="405">
        <f>$F16</f>
        <v/>
      </c>
      <c r="K16" s="500">
        <f>$G16</f>
        <v/>
      </c>
      <c r="L16" s="415">
        <f>$H16</f>
        <v/>
      </c>
      <c r="M16" s="416">
        <f>$I16</f>
        <v/>
      </c>
      <c r="N16" s="494">
        <f>$F16</f>
        <v/>
      </c>
      <c r="O16" s="460">
        <f>$G16</f>
        <v/>
      </c>
      <c r="P16" s="460">
        <f>$H16</f>
        <v/>
      </c>
      <c r="Q16" s="496">
        <f>$I16</f>
        <v/>
      </c>
      <c r="R16" s="494" t="n"/>
      <c r="S16" s="460" t="n"/>
      <c r="T16" s="460" t="n"/>
      <c r="U16" s="496" t="n"/>
      <c r="V16" s="494">
        <f>CONCATENATE("ETR1000V300_R1-",$D16,"-",$E16)</f>
        <v/>
      </c>
      <c r="W16" s="495">
        <f>CONCATENATE(V16,"-",X16)</f>
        <v/>
      </c>
      <c r="X16" s="501" t="inlineStr">
        <is>
          <t>03</t>
        </is>
      </c>
      <c r="Y16" s="496" t="n">
        <v>45901</v>
      </c>
      <c r="Z16" s="502">
        <f>V16</f>
        <v/>
      </c>
      <c r="AA16" s="501">
        <f>W16</f>
        <v/>
      </c>
      <c r="AB16" s="501">
        <f>X16</f>
        <v/>
      </c>
      <c r="AC16" s="503">
        <f>Y16</f>
        <v/>
      </c>
    </row>
    <row r="17">
      <c r="A17" s="504" t="inlineStr">
        <is>
          <t>Convertitore servizi ausiliari e caricabatterie</t>
        </is>
      </c>
      <c r="B17" s="458">
        <f>CONCATENATE(D17,"_",E17)</f>
        <v/>
      </c>
      <c r="C17" s="488" t="inlineStr">
        <is>
          <t>pdf</t>
        </is>
      </c>
      <c r="D17" s="458" t="inlineStr">
        <is>
          <t>MR1</t>
        </is>
      </c>
      <c r="E17" s="458" t="inlineStr">
        <is>
          <t>11A</t>
        </is>
      </c>
      <c r="F17" s="405">
        <f>CONCATENATE("ETR1000V300-",$D17,"-",$E17)</f>
        <v/>
      </c>
      <c r="G17" s="500">
        <f>CONCATENATE(F17,"-",H17)</f>
        <v/>
      </c>
      <c r="H17" s="415" t="inlineStr">
        <is>
          <t>03</t>
        </is>
      </c>
      <c r="I17" s="416" t="n">
        <v>46113</v>
      </c>
      <c r="J17" s="405">
        <f>$F17</f>
        <v/>
      </c>
      <c r="K17" s="500">
        <f>$G17</f>
        <v/>
      </c>
      <c r="L17" s="415">
        <f>$H17</f>
        <v/>
      </c>
      <c r="M17" s="416">
        <f>$I17</f>
        <v/>
      </c>
      <c r="N17" s="494">
        <f>$F17</f>
        <v/>
      </c>
      <c r="O17" s="460">
        <f>$G17</f>
        <v/>
      </c>
      <c r="P17" s="460">
        <f>$H17</f>
        <v/>
      </c>
      <c r="Q17" s="496">
        <f>$I17</f>
        <v/>
      </c>
      <c r="R17" s="494" t="n"/>
      <c r="S17" s="460" t="n"/>
      <c r="T17" s="460" t="n"/>
      <c r="U17" s="496" t="n"/>
      <c r="V17" s="494">
        <f>CONCATENATE("ETR1000V300_R1-",$D17,"-",$E17)</f>
        <v/>
      </c>
      <c r="W17" s="495">
        <f>CONCATENATE(V17,"-",X17)</f>
        <v/>
      </c>
      <c r="X17" s="501" t="inlineStr">
        <is>
          <t>03</t>
        </is>
      </c>
      <c r="Y17" s="496" t="n">
        <v>45992</v>
      </c>
      <c r="Z17" s="502">
        <f>V17</f>
        <v/>
      </c>
      <c r="AA17" s="501">
        <f>W17</f>
        <v/>
      </c>
      <c r="AB17" s="501">
        <f>X17</f>
        <v/>
      </c>
      <c r="AC17" s="503">
        <f>Y17</f>
        <v/>
      </c>
    </row>
    <row r="18">
      <c r="A18" s="504" t="inlineStr">
        <is>
          <t>Sottosistema diagnostica di bordo</t>
        </is>
      </c>
      <c r="B18" s="458">
        <f>CONCATENATE(D18,"_",E18)</f>
        <v/>
      </c>
      <c r="C18" s="488" t="inlineStr">
        <is>
          <t>pdf</t>
        </is>
      </c>
      <c r="D18" s="458" t="inlineStr">
        <is>
          <t>MR1</t>
        </is>
      </c>
      <c r="E18" s="458" t="inlineStr">
        <is>
          <t>13A</t>
        </is>
      </c>
      <c r="F18" s="405">
        <f>CONCATENATE("ETR1000V300-",$D18,"-",$E18)</f>
        <v/>
      </c>
      <c r="G18" s="500">
        <f>CONCATENATE(F18,"-",H18)</f>
        <v/>
      </c>
      <c r="H18" s="415" t="inlineStr">
        <is>
          <t>03</t>
        </is>
      </c>
      <c r="I18" s="416" t="n">
        <v>46113</v>
      </c>
      <c r="J18" s="405">
        <f>$F18</f>
        <v/>
      </c>
      <c r="K18" s="500">
        <f>$G18</f>
        <v/>
      </c>
      <c r="L18" s="415">
        <f>$H18</f>
        <v/>
      </c>
      <c r="M18" s="416">
        <f>$I18</f>
        <v/>
      </c>
      <c r="N18" s="494">
        <f>$F18</f>
        <v/>
      </c>
      <c r="O18" s="460">
        <f>$G18</f>
        <v/>
      </c>
      <c r="P18" s="460">
        <f>$H18</f>
        <v/>
      </c>
      <c r="Q18" s="496">
        <f>$I18</f>
        <v/>
      </c>
      <c r="R18" s="494" t="n"/>
      <c r="S18" s="460" t="n"/>
      <c r="T18" s="460" t="n"/>
      <c r="U18" s="496" t="n"/>
      <c r="V18" s="494">
        <f>CONCATENATE("ETR1000V300_R1-",$D18,"-",$E18)</f>
        <v/>
      </c>
      <c r="W18" s="495">
        <f>CONCATENATE(V18,"-",X18)</f>
        <v/>
      </c>
      <c r="X18" s="501" t="inlineStr">
        <is>
          <t>03</t>
        </is>
      </c>
      <c r="Y18" s="496" t="n">
        <v>45931</v>
      </c>
      <c r="Z18" s="502">
        <f>V18</f>
        <v/>
      </c>
      <c r="AA18" s="501">
        <f>W18</f>
        <v/>
      </c>
      <c r="AB18" s="501">
        <f>X18</f>
        <v/>
      </c>
      <c r="AC18" s="503">
        <f>Y18</f>
        <v/>
      </c>
    </row>
    <row r="19">
      <c r="A19" s="504" t="inlineStr">
        <is>
          <t>Allestimenti interni</t>
        </is>
      </c>
      <c r="B19" s="458">
        <f>CONCATENATE(D19,"_",E19)</f>
        <v/>
      </c>
      <c r="C19" s="488" t="inlineStr">
        <is>
          <t>pdf</t>
        </is>
      </c>
      <c r="D19" s="458" t="inlineStr">
        <is>
          <t>MR1</t>
        </is>
      </c>
      <c r="E19" s="458" t="inlineStr">
        <is>
          <t>14A</t>
        </is>
      </c>
      <c r="F19" s="411">
        <f>CONCATENATE("ETR1000V300-",$D19,"-",$E19)</f>
        <v/>
      </c>
      <c r="G19" s="500">
        <f>CONCATENATE(F19,"-",H19)</f>
        <v/>
      </c>
      <c r="H19" s="415" t="inlineStr">
        <is>
          <t>06</t>
        </is>
      </c>
      <c r="I19" s="416" t="n">
        <v>46113</v>
      </c>
      <c r="J19" s="411">
        <f>$F19</f>
        <v/>
      </c>
      <c r="K19" s="500">
        <f>$G19</f>
        <v/>
      </c>
      <c r="L19" s="415">
        <f>$H19</f>
        <v/>
      </c>
      <c r="M19" s="416">
        <f>$I19</f>
        <v/>
      </c>
      <c r="N19" s="494">
        <f>$F19</f>
        <v/>
      </c>
      <c r="O19" s="460">
        <f>$G19</f>
        <v/>
      </c>
      <c r="P19" s="460">
        <f>$H19</f>
        <v/>
      </c>
      <c r="Q19" s="496">
        <f>$I19</f>
        <v/>
      </c>
      <c r="R19" s="494" t="n"/>
      <c r="S19" s="460" t="n"/>
      <c r="T19" s="460" t="n"/>
      <c r="U19" s="496" t="n"/>
      <c r="V19" s="494" t="n"/>
      <c r="W19" s="495" t="n"/>
      <c r="X19" s="501" t="n"/>
      <c r="Y19" s="496" t="n"/>
      <c r="Z19" s="494" t="n"/>
      <c r="AA19" s="460" t="n"/>
      <c r="AB19" s="460" t="n"/>
      <c r="AC19" s="496" t="n"/>
    </row>
    <row r="20">
      <c r="A20" s="504" t="inlineStr">
        <is>
          <t>Allestimenti interni - Arredi comparto e cabina di guida</t>
        </is>
      </c>
      <c r="B20" s="458">
        <f>CONCATENATE(D20,"_",E20)</f>
        <v/>
      </c>
      <c r="C20" s="488" t="inlineStr">
        <is>
          <t>pdf</t>
        </is>
      </c>
      <c r="D20" s="458" t="inlineStr">
        <is>
          <t>MR1</t>
        </is>
      </c>
      <c r="E20" s="458" t="inlineStr">
        <is>
          <t>14B</t>
        </is>
      </c>
      <c r="F20" s="405">
        <f>CONCATENATE("ETR1000V300-",$D20,"-",$E20)</f>
        <v/>
      </c>
      <c r="G20" s="500" t="inlineStr">
        <is>
          <t>\</t>
        </is>
      </c>
      <c r="H20" s="412" t="inlineStr">
        <is>
          <t>\</t>
        </is>
      </c>
      <c r="I20" s="408" t="inlineStr">
        <is>
          <t>\</t>
        </is>
      </c>
      <c r="J20" s="405">
        <f>$F20</f>
        <v/>
      </c>
      <c r="K20" s="500">
        <f>$G20</f>
        <v/>
      </c>
      <c r="L20" s="412">
        <f>$H20</f>
        <v/>
      </c>
      <c r="M20" s="408">
        <f>$I20</f>
        <v/>
      </c>
      <c r="N20" s="494">
        <f>$G20</f>
        <v/>
      </c>
      <c r="O20" s="460">
        <f>$G20</f>
        <v/>
      </c>
      <c r="P20" s="460">
        <f>$H20</f>
        <v/>
      </c>
      <c r="Q20" s="496">
        <f>$I20</f>
        <v/>
      </c>
      <c r="R20" s="494" t="n"/>
      <c r="S20" s="460" t="n"/>
      <c r="T20" s="460" t="n"/>
      <c r="U20" s="496" t="n"/>
      <c r="V20" s="494">
        <f>CONCATENATE("ETR1000V300_R1-",$D20,"-",$E20)</f>
        <v/>
      </c>
      <c r="W20" s="495">
        <f>CONCATENATE(V20,"-",X20)</f>
        <v/>
      </c>
      <c r="X20" s="501" t="inlineStr">
        <is>
          <t>03</t>
        </is>
      </c>
      <c r="Y20" s="496" t="n">
        <v>45992</v>
      </c>
      <c r="Z20" s="502">
        <f>V20</f>
        <v/>
      </c>
      <c r="AA20" s="501">
        <f>W20</f>
        <v/>
      </c>
      <c r="AB20" s="501">
        <f>X20</f>
        <v/>
      </c>
      <c r="AC20" s="503">
        <f>Y20</f>
        <v/>
      </c>
    </row>
    <row r="21">
      <c r="A21" s="504" t="inlineStr">
        <is>
          <t>Servizi Generali di Bordo - Toilette</t>
        </is>
      </c>
      <c r="B21" s="458">
        <f>CONCATENATE(D21,"_",E21)</f>
        <v/>
      </c>
      <c r="C21" s="488" t="inlineStr">
        <is>
          <t>pdf</t>
        </is>
      </c>
      <c r="D21" s="458" t="inlineStr">
        <is>
          <t>MR1</t>
        </is>
      </c>
      <c r="E21" s="458" t="inlineStr">
        <is>
          <t>15A</t>
        </is>
      </c>
      <c r="F21" s="405">
        <f>CONCATENATE("ETR1000V300-",$D21,"-",$E21)</f>
        <v/>
      </c>
      <c r="G21" s="500">
        <f>CONCATENATE(F21,"-",H21)</f>
        <v/>
      </c>
      <c r="H21" s="415" t="inlineStr">
        <is>
          <t>06</t>
        </is>
      </c>
      <c r="I21" s="416" t="n">
        <v>46113</v>
      </c>
      <c r="J21" s="405">
        <f>$F21</f>
        <v/>
      </c>
      <c r="K21" s="500">
        <f>$G21</f>
        <v/>
      </c>
      <c r="L21" s="415">
        <f>$H21</f>
        <v/>
      </c>
      <c r="M21" s="416">
        <f>$I21</f>
        <v/>
      </c>
      <c r="N21" s="494">
        <f>$F21</f>
        <v/>
      </c>
      <c r="O21" s="460">
        <f>$G21</f>
        <v/>
      </c>
      <c r="P21" s="460">
        <f>$H21</f>
        <v/>
      </c>
      <c r="Q21" s="496">
        <f>$I21</f>
        <v/>
      </c>
      <c r="R21" s="494" t="n"/>
      <c r="S21" s="460" t="n"/>
      <c r="T21" s="460" t="n"/>
      <c r="U21" s="496" t="n"/>
      <c r="V21" s="494">
        <f>CONCATENATE("ETR1000V300_R1-",$D21,"-",$E21)</f>
        <v/>
      </c>
      <c r="W21" s="495">
        <f>CONCATENATE(V21,"-",X21)</f>
        <v/>
      </c>
      <c r="X21" s="501" t="inlineStr">
        <is>
          <t>03</t>
        </is>
      </c>
      <c r="Y21" s="510" t="inlineStr">
        <is>
          <t>gen-2026</t>
        </is>
      </c>
      <c r="Z21" s="502">
        <f>V21</f>
        <v/>
      </c>
      <c r="AA21" s="501">
        <f>W21</f>
        <v/>
      </c>
      <c r="AB21" s="501">
        <f>X21</f>
        <v/>
      </c>
      <c r="AC21" s="503">
        <f>Y21</f>
        <v/>
      </c>
    </row>
    <row r="22">
      <c r="A22" s="504" t="inlineStr">
        <is>
          <t>Servizi Generali di Bordo - Bar Bistrot</t>
        </is>
      </c>
      <c r="B22" s="458">
        <f>CONCATENATE(D22,"_",E22)</f>
        <v/>
      </c>
      <c r="C22" s="488" t="inlineStr">
        <is>
          <t>pdf</t>
        </is>
      </c>
      <c r="D22" s="458" t="inlineStr">
        <is>
          <t>MR1</t>
        </is>
      </c>
      <c r="E22" s="458" t="inlineStr">
        <is>
          <t>15B</t>
        </is>
      </c>
      <c r="F22" s="405">
        <f>CONCATENATE("ETR1000V300-",$D22,"-",$E22)</f>
        <v/>
      </c>
      <c r="G22" s="500" t="inlineStr">
        <is>
          <t>\</t>
        </is>
      </c>
      <c r="H22" s="406" t="inlineStr">
        <is>
          <t>\</t>
        </is>
      </c>
      <c r="I22" s="408" t="inlineStr">
        <is>
          <t>\</t>
        </is>
      </c>
      <c r="J22" s="405">
        <f>$F22</f>
        <v/>
      </c>
      <c r="K22" s="500">
        <f>$G22</f>
        <v/>
      </c>
      <c r="L22" s="406">
        <f>$H22</f>
        <v/>
      </c>
      <c r="M22" s="408">
        <f>$I22</f>
        <v/>
      </c>
      <c r="N22" s="494">
        <f>$G22</f>
        <v/>
      </c>
      <c r="O22" s="460">
        <f>$G22</f>
        <v/>
      </c>
      <c r="P22" s="460">
        <f>$H22</f>
        <v/>
      </c>
      <c r="Q22" s="496">
        <f>$I22</f>
        <v/>
      </c>
      <c r="R22" s="494" t="n"/>
      <c r="S22" s="460" t="n"/>
      <c r="T22" s="460" t="n"/>
      <c r="U22" s="496" t="n"/>
      <c r="V22" s="494" t="n"/>
      <c r="W22" s="495" t="n"/>
      <c r="X22" s="501" t="n"/>
      <c r="Y22" s="496" t="n"/>
      <c r="Z22" s="502" t="n"/>
      <c r="AA22" s="501" t="n"/>
      <c r="AB22" s="501" t="n"/>
      <c r="AC22" s="503" t="n"/>
    </row>
    <row r="23">
      <c r="A23" s="504" t="inlineStr">
        <is>
          <t>Emergenza e recupero</t>
        </is>
      </c>
      <c r="B23" s="458">
        <f>CONCATENATE(D23,"_",E23)</f>
        <v/>
      </c>
      <c r="C23" s="488" t="inlineStr">
        <is>
          <t>pdf</t>
        </is>
      </c>
      <c r="D23" s="458" t="inlineStr">
        <is>
          <t>MR1</t>
        </is>
      </c>
      <c r="E23" s="458" t="inlineStr">
        <is>
          <t>16A</t>
        </is>
      </c>
      <c r="F23" s="405">
        <f>CONCATENATE("ETR1000V300-",$D23,"-",$E23)</f>
        <v/>
      </c>
      <c r="G23" s="500">
        <f>CONCATENATE(F23,"-",H23)</f>
        <v/>
      </c>
      <c r="H23" s="410" t="inlineStr">
        <is>
          <t>07</t>
        </is>
      </c>
      <c r="I23" s="407" t="n">
        <v>44228</v>
      </c>
      <c r="J23" s="405">
        <f>$F23</f>
        <v/>
      </c>
      <c r="K23" s="500">
        <f>$G23</f>
        <v/>
      </c>
      <c r="L23" s="410">
        <f>$H23</f>
        <v/>
      </c>
      <c r="M23" s="407">
        <f>$I23</f>
        <v/>
      </c>
      <c r="N23" s="494">
        <f>$F23</f>
        <v/>
      </c>
      <c r="O23" s="460">
        <f>$G23</f>
        <v/>
      </c>
      <c r="P23" s="460">
        <f>$H23</f>
        <v/>
      </c>
      <c r="Q23" s="496">
        <f>$I23</f>
        <v/>
      </c>
      <c r="R23" s="494" t="n"/>
      <c r="S23" s="460" t="n"/>
      <c r="T23" s="460" t="n"/>
      <c r="U23" s="496" t="n"/>
      <c r="V23" s="494" t="n"/>
      <c r="W23" s="495" t="n"/>
      <c r="X23" s="501" t="n"/>
      <c r="Y23" s="496" t="n"/>
      <c r="Z23" s="502" t="n"/>
      <c r="AA23" s="501" t="n"/>
      <c r="AB23" s="501" t="n"/>
      <c r="AC23" s="503" t="n"/>
    </row>
    <row r="24">
      <c r="A24" s="504" t="inlineStr">
        <is>
          <t>Telecomunicazioni TT</t>
        </is>
      </c>
      <c r="B24" s="458">
        <f>CONCATENATE(D24,"_",E24)</f>
        <v/>
      </c>
      <c r="C24" s="488" t="inlineStr">
        <is>
          <t>pdf</t>
        </is>
      </c>
      <c r="D24" s="458" t="inlineStr">
        <is>
          <t>MR1</t>
        </is>
      </c>
      <c r="E24" s="458" t="inlineStr">
        <is>
          <t>18A</t>
        </is>
      </c>
      <c r="F24" s="405">
        <f>CONCATENATE("ETR1000V300-",$D24,"-",$E24)</f>
        <v/>
      </c>
      <c r="G24" s="500">
        <f>CONCATENATE(F24,"-",H24)</f>
        <v/>
      </c>
      <c r="H24" s="415" t="inlineStr">
        <is>
          <t>05</t>
        </is>
      </c>
      <c r="I24" s="416" t="n">
        <v>46113</v>
      </c>
      <c r="J24" s="405">
        <f>$F24</f>
        <v/>
      </c>
      <c r="K24" s="500">
        <f>$G24</f>
        <v/>
      </c>
      <c r="L24" s="415">
        <f>$H24</f>
        <v/>
      </c>
      <c r="M24" s="416">
        <f>$I24</f>
        <v/>
      </c>
      <c r="N24" s="494">
        <f>$F24</f>
        <v/>
      </c>
      <c r="O24" s="460">
        <f>$G24</f>
        <v/>
      </c>
      <c r="P24" s="460">
        <f>$H24</f>
        <v/>
      </c>
      <c r="Q24" s="496">
        <f>$I24</f>
        <v/>
      </c>
      <c r="R24" s="494" t="n"/>
      <c r="S24" s="460" t="n"/>
      <c r="T24" s="460" t="n"/>
      <c r="U24" s="496" t="n"/>
      <c r="V24" s="494">
        <f>CONCATENATE("ETR1000V300_R1-",$D24,"-",$E24)</f>
        <v/>
      </c>
      <c r="W24" s="495">
        <f>CONCATENATE(V24,"-",X24)</f>
        <v/>
      </c>
      <c r="X24" s="501" t="inlineStr">
        <is>
          <t>03</t>
        </is>
      </c>
      <c r="Y24" s="496" t="n">
        <v>45931</v>
      </c>
      <c r="Z24" s="502">
        <f>V24</f>
        <v/>
      </c>
      <c r="AA24" s="501">
        <f>W24</f>
        <v/>
      </c>
      <c r="AB24" s="501">
        <f>X24</f>
        <v/>
      </c>
      <c r="AC24" s="503">
        <f>Y24</f>
        <v/>
      </c>
    </row>
    <row r="25">
      <c r="A25" s="504" t="inlineStr">
        <is>
          <t>Sottosistema di bordo generale</t>
        </is>
      </c>
      <c r="B25" s="458">
        <f>CONCATENATE(D25,"_",E25)</f>
        <v/>
      </c>
      <c r="C25" s="488" t="inlineStr">
        <is>
          <t>pdf</t>
        </is>
      </c>
      <c r="D25" s="458" t="inlineStr">
        <is>
          <t>MR1</t>
        </is>
      </c>
      <c r="E25" s="458" t="inlineStr">
        <is>
          <t>20A</t>
        </is>
      </c>
      <c r="F25" s="381">
        <f>CONCATENATE("ETR1000V300-",$D25,"-",$E25)</f>
        <v/>
      </c>
      <c r="G25" s="500">
        <f>CONCATENATE(F25,"-",H25)</f>
        <v/>
      </c>
      <c r="H25" s="409" t="inlineStr">
        <is>
          <t>03</t>
        </is>
      </c>
      <c r="I25" s="408" t="inlineStr">
        <is>
          <t>giu-20</t>
        </is>
      </c>
      <c r="J25" s="381">
        <f>$F25</f>
        <v/>
      </c>
      <c r="K25" s="500">
        <f>$G25</f>
        <v/>
      </c>
      <c r="L25" s="409">
        <f>$H25</f>
        <v/>
      </c>
      <c r="M25" s="408">
        <f>$I25</f>
        <v/>
      </c>
      <c r="N25" s="506" t="inlineStr">
        <is>
          <t>\</t>
        </is>
      </c>
      <c r="O25" s="460" t="inlineStr">
        <is>
          <t>\</t>
        </is>
      </c>
      <c r="P25" s="460" t="inlineStr">
        <is>
          <t>\</t>
        </is>
      </c>
      <c r="Q25" s="496" t="inlineStr">
        <is>
          <t>\</t>
        </is>
      </c>
      <c r="R25" s="494" t="n"/>
      <c r="S25" s="460" t="n"/>
      <c r="T25" s="460" t="n"/>
      <c r="U25" s="496" t="n"/>
      <c r="V25" s="494">
        <f>CONCATENATE("ETR1000V300_R1-",$D25,"-",$E25)</f>
        <v/>
      </c>
      <c r="W25" s="495">
        <f>CONCATENATE(V25,"-",X25)</f>
        <v/>
      </c>
      <c r="X25" s="501" t="inlineStr">
        <is>
          <t>05</t>
        </is>
      </c>
      <c r="Y25" s="510" t="inlineStr">
        <is>
          <t>gen-2026</t>
        </is>
      </c>
      <c r="Z25" s="502">
        <f>V25</f>
        <v/>
      </c>
      <c r="AA25" s="501">
        <f>W25</f>
        <v/>
      </c>
      <c r="AB25" s="501">
        <f>X25</f>
        <v/>
      </c>
      <c r="AC25" s="503">
        <f>Y25</f>
        <v/>
      </c>
    </row>
    <row r="26">
      <c r="A26" s="504" t="inlineStr">
        <is>
          <t>Sottosistema di bordo ETCS specifico del treno</t>
        </is>
      </c>
      <c r="B26" s="458">
        <f>CONCATENATE(D26,"_",E26)</f>
        <v/>
      </c>
      <c r="C26" s="488" t="inlineStr">
        <is>
          <t>pdf</t>
        </is>
      </c>
      <c r="D26" s="458" t="inlineStr">
        <is>
          <t>MR1</t>
        </is>
      </c>
      <c r="E26" s="458" t="inlineStr">
        <is>
          <t>20B</t>
        </is>
      </c>
      <c r="F26" s="381">
        <f>CONCATENATE("ETR1000V300-",$D26,"-",$E26)</f>
        <v/>
      </c>
      <c r="G26" s="500">
        <f>CONCATENATE(F26,"-",H26)</f>
        <v/>
      </c>
      <c r="H26" s="409" t="inlineStr">
        <is>
          <t>01</t>
        </is>
      </c>
      <c r="I26" s="408" t="inlineStr">
        <is>
          <t>lug-17</t>
        </is>
      </c>
      <c r="J26" s="381">
        <f>$F26</f>
        <v/>
      </c>
      <c r="K26" s="500">
        <f>$G26</f>
        <v/>
      </c>
      <c r="L26" s="409">
        <f>$H26</f>
        <v/>
      </c>
      <c r="M26" s="408">
        <f>$I26</f>
        <v/>
      </c>
      <c r="N26" s="506" t="inlineStr">
        <is>
          <t>\</t>
        </is>
      </c>
      <c r="O26" s="460" t="inlineStr">
        <is>
          <t>\</t>
        </is>
      </c>
      <c r="P26" s="460" t="inlineStr">
        <is>
          <t>\</t>
        </is>
      </c>
      <c r="Q26" s="496" t="inlineStr">
        <is>
          <t>\</t>
        </is>
      </c>
      <c r="R26" s="494" t="n"/>
      <c r="S26" s="460" t="n"/>
      <c r="T26" s="460" t="n"/>
      <c r="U26" s="496" t="n"/>
      <c r="V26" s="494">
        <f>CONCATENATE("ETR1000V300_R1-",$D26,"-",$E26)</f>
        <v/>
      </c>
      <c r="W26" s="495">
        <f>CONCATENATE(V26,"-",X26)</f>
        <v/>
      </c>
      <c r="X26" s="501" t="inlineStr">
        <is>
          <t>02</t>
        </is>
      </c>
      <c r="Y26" s="496" t="n">
        <v>45931</v>
      </c>
      <c r="Z26" s="502">
        <f>V26</f>
        <v/>
      </c>
      <c r="AA26" s="501">
        <f>W26</f>
        <v/>
      </c>
      <c r="AB26" s="501">
        <f>X26</f>
        <v/>
      </c>
      <c r="AC26" s="503">
        <f>Y26</f>
        <v/>
      </c>
    </row>
    <row r="27">
      <c r="A27" s="504" t="inlineStr">
        <is>
          <t>Sottosistema di bordo generale - Linea francese</t>
        </is>
      </c>
      <c r="B27" s="458">
        <f>CONCATENATE(D27,"_",E27)</f>
        <v/>
      </c>
      <c r="C27" s="488" t="inlineStr">
        <is>
          <t>pdf</t>
        </is>
      </c>
      <c r="D27" s="458" t="inlineStr">
        <is>
          <t>MR1</t>
        </is>
      </c>
      <c r="E27" s="458" t="inlineStr">
        <is>
          <t>20C</t>
        </is>
      </c>
      <c r="F27" s="405" t="inlineStr">
        <is>
          <t>\</t>
        </is>
      </c>
      <c r="G27" s="500" t="inlineStr">
        <is>
          <t>\</t>
        </is>
      </c>
      <c r="H27" s="409" t="inlineStr">
        <is>
          <t>\</t>
        </is>
      </c>
      <c r="I27" s="408" t="inlineStr">
        <is>
          <t>\</t>
        </is>
      </c>
      <c r="J27" s="405">
        <f>$F27</f>
        <v/>
      </c>
      <c r="K27" s="500">
        <f>$G27</f>
        <v/>
      </c>
      <c r="L27" s="409">
        <f>$H27</f>
        <v/>
      </c>
      <c r="M27" s="408">
        <f>$I27</f>
        <v/>
      </c>
      <c r="N27" s="506">
        <f>CONCATENATE("ETR1000V300_FR-",$D27,"-",$E27)</f>
        <v/>
      </c>
      <c r="O27" s="495">
        <f>CONCATENATE(N27,"-",P27)</f>
        <v/>
      </c>
      <c r="P27" s="501" t="inlineStr">
        <is>
          <t>02</t>
        </is>
      </c>
      <c r="Q27" s="496" t="n">
        <v>44409</v>
      </c>
      <c r="R27" s="494" t="n"/>
      <c r="S27" s="460" t="n"/>
      <c r="T27" s="460" t="n"/>
      <c r="U27" s="496" t="n"/>
      <c r="V27" s="494" t="inlineStr">
        <is>
          <t>\</t>
        </is>
      </c>
      <c r="W27" s="495" t="inlineStr">
        <is>
          <t>\</t>
        </is>
      </c>
      <c r="X27" s="501" t="inlineStr">
        <is>
          <t>\</t>
        </is>
      </c>
      <c r="Y27" s="496" t="inlineStr">
        <is>
          <t>\</t>
        </is>
      </c>
      <c r="Z27" s="502">
        <f>V27</f>
        <v/>
      </c>
      <c r="AA27" s="501">
        <f>W27</f>
        <v/>
      </c>
      <c r="AB27" s="501">
        <f>X27</f>
        <v/>
      </c>
      <c r="AC27" s="503">
        <f>Y27</f>
        <v/>
      </c>
    </row>
    <row r="28">
      <c r="A28" s="504" t="inlineStr">
        <is>
          <t>Sottosistema di bordo specifico - Linea francese</t>
        </is>
      </c>
      <c r="B28" s="458">
        <f>CONCATENATE(D28,"_",E28)</f>
        <v/>
      </c>
      <c r="C28" s="488" t="inlineStr">
        <is>
          <t>pdf</t>
        </is>
      </c>
      <c r="D28" s="458" t="inlineStr">
        <is>
          <t>MR1</t>
        </is>
      </c>
      <c r="E28" s="458" t="inlineStr">
        <is>
          <t>20D</t>
        </is>
      </c>
      <c r="F28" s="405" t="inlineStr">
        <is>
          <t>\</t>
        </is>
      </c>
      <c r="G28" s="500" t="inlineStr">
        <is>
          <t>\</t>
        </is>
      </c>
      <c r="H28" s="409" t="inlineStr">
        <is>
          <t>\</t>
        </is>
      </c>
      <c r="I28" s="408" t="inlineStr">
        <is>
          <t>\</t>
        </is>
      </c>
      <c r="J28" s="405">
        <f>$F28</f>
        <v/>
      </c>
      <c r="K28" s="500">
        <f>$G28</f>
        <v/>
      </c>
      <c r="L28" s="409">
        <f>$H28</f>
        <v/>
      </c>
      <c r="M28" s="408">
        <f>$I28</f>
        <v/>
      </c>
      <c r="N28" s="506">
        <f>CONCATENATE("ETR1000V300_FR-",$D28,"-",$E28)</f>
        <v/>
      </c>
      <c r="O28" s="495">
        <f>CONCATENATE(N28,"-",P28)</f>
        <v/>
      </c>
      <c r="P28" s="501" t="inlineStr">
        <is>
          <t>01</t>
        </is>
      </c>
      <c r="Q28" s="496" t="n">
        <v>44136</v>
      </c>
      <c r="R28" s="494" t="n"/>
      <c r="S28" s="460" t="n"/>
      <c r="T28" s="460" t="n"/>
      <c r="U28" s="496" t="n"/>
      <c r="V28" s="494" t="inlineStr">
        <is>
          <t>\</t>
        </is>
      </c>
      <c r="W28" s="495" t="inlineStr">
        <is>
          <t>\</t>
        </is>
      </c>
      <c r="X28" s="501" t="inlineStr">
        <is>
          <t>\</t>
        </is>
      </c>
      <c r="Y28" s="496" t="inlineStr">
        <is>
          <t>\</t>
        </is>
      </c>
      <c r="Z28" s="502">
        <f>V28</f>
        <v/>
      </c>
      <c r="AA28" s="501">
        <f>W28</f>
        <v/>
      </c>
      <c r="AB28" s="501">
        <f>X28</f>
        <v/>
      </c>
      <c r="AC28" s="503">
        <f>Y28</f>
        <v/>
      </c>
    </row>
    <row r="29" ht="30" customFormat="1" customHeight="1" s="139">
      <c r="A29" s="512" t="inlineStr">
        <is>
          <t>SSB ERTMS/SCMT (ALA) - MANUALE GENERICO USO E
MANUTENZIONE (B60A.000012.640.06I)</t>
        </is>
      </c>
      <c r="B29" s="513">
        <f>CONCATENATE(D29,"_",E29)</f>
        <v/>
      </c>
      <c r="C29" s="488" t="inlineStr">
        <is>
          <t>pdf</t>
        </is>
      </c>
      <c r="D29" s="513" t="inlineStr">
        <is>
          <t>MR1</t>
        </is>
      </c>
      <c r="E29" s="505" t="inlineStr">
        <is>
          <t>20A_ALA</t>
        </is>
      </c>
      <c r="F29" s="381">
        <f>CONCATENATE("ETR1000V300-",$D29,"-",$E29)</f>
        <v/>
      </c>
      <c r="G29" s="500">
        <f>CONCATENATE(F29,"-",H29)</f>
        <v/>
      </c>
      <c r="H29" s="410" t="inlineStr">
        <is>
          <t>08</t>
        </is>
      </c>
      <c r="I29" s="514" t="n">
        <v>43966</v>
      </c>
      <c r="J29" s="381">
        <f>$F29</f>
        <v/>
      </c>
      <c r="K29" s="500">
        <f>$G29</f>
        <v/>
      </c>
      <c r="L29" s="410">
        <f>$H29</f>
        <v/>
      </c>
      <c r="M29" s="514">
        <f>$I29</f>
        <v/>
      </c>
      <c r="N29" s="515" t="inlineStr">
        <is>
          <t>\</t>
        </is>
      </c>
      <c r="O29" s="516" t="inlineStr">
        <is>
          <t>\</t>
        </is>
      </c>
      <c r="P29" s="516" t="inlineStr">
        <is>
          <t>\</t>
        </is>
      </c>
      <c r="Q29" s="511" t="inlineStr">
        <is>
          <t>\</t>
        </is>
      </c>
      <c r="R29" s="517" t="n"/>
      <c r="S29" s="518" t="n"/>
      <c r="T29" s="518" t="n"/>
      <c r="U29" s="519" t="n"/>
      <c r="V29" s="494" t="n"/>
      <c r="W29" s="495" t="n"/>
      <c r="X29" s="501" t="n"/>
      <c r="Y29" s="496" t="n"/>
      <c r="Z29" s="517" t="n"/>
      <c r="AA29" s="518" t="n"/>
      <c r="AB29" s="518" t="n"/>
      <c r="AC29" s="519" t="n"/>
    </row>
    <row r="30" ht="30" customFormat="1" customHeight="1" s="139">
      <c r="A30" s="512" t="inlineStr">
        <is>
          <t>SSB ERTMS/SCMT (ELO) - MANUALE GENERICO USO E
MANUTENZIONE (B60X.0100506.G00.00IT rev.02.00)</t>
        </is>
      </c>
      <c r="B30" s="513">
        <f>CONCATENATE(D30,"_",E30)</f>
        <v/>
      </c>
      <c r="C30" s="488" t="inlineStr">
        <is>
          <t>pdf</t>
        </is>
      </c>
      <c r="D30" s="513" t="inlineStr">
        <is>
          <t>MR1</t>
        </is>
      </c>
      <c r="E30" s="505" t="inlineStr">
        <is>
          <t>20A_ELO</t>
        </is>
      </c>
      <c r="F30" s="405">
        <f>CONCATENATE("ETR1000V300-",$D30,"-",$E30)</f>
        <v/>
      </c>
      <c r="G30" s="500">
        <f>CONCATENATE(F30,"-",H30)</f>
        <v/>
      </c>
      <c r="H30" s="415" t="inlineStr">
        <is>
          <t>05</t>
        </is>
      </c>
      <c r="I30" s="416" t="n">
        <v>46113</v>
      </c>
      <c r="J30" s="405">
        <f>$F30</f>
        <v/>
      </c>
      <c r="K30" s="500">
        <f>$G30</f>
        <v/>
      </c>
      <c r="L30" s="415">
        <f>$H30</f>
        <v/>
      </c>
      <c r="M30" s="416">
        <f>$I30</f>
        <v/>
      </c>
      <c r="N30" s="515" t="inlineStr">
        <is>
          <t>\</t>
        </is>
      </c>
      <c r="O30" s="516" t="inlineStr">
        <is>
          <t>\</t>
        </is>
      </c>
      <c r="P30" s="516" t="inlineStr">
        <is>
          <t>\</t>
        </is>
      </c>
      <c r="Q30" s="511" t="inlineStr">
        <is>
          <t>\</t>
        </is>
      </c>
      <c r="R30" s="517" t="n"/>
      <c r="S30" s="518" t="n"/>
      <c r="T30" s="518" t="n"/>
      <c r="U30" s="519" t="n"/>
      <c r="V30" s="494" t="n"/>
      <c r="W30" s="495" t="n"/>
      <c r="X30" s="501" t="n"/>
      <c r="Y30" s="496" t="n"/>
      <c r="Z30" s="517" t="n"/>
      <c r="AA30" s="518" t="n"/>
      <c r="AB30" s="518" t="n"/>
      <c r="AC30" s="519" t="n"/>
    </row>
    <row r="31" ht="30" customFormat="1" customHeight="1" s="139">
      <c r="A31" s="512" t="inlineStr">
        <is>
          <t>Sotto Sistema di Bordo ERTMS BL3 CON SCMT INTEGRATO (B60A.0100914.G00.00IT)</t>
        </is>
      </c>
      <c r="B31" s="513">
        <f>CONCATENATE(D31,"_",E31)</f>
        <v/>
      </c>
      <c r="C31" s="488" t="inlineStr">
        <is>
          <t>pdf</t>
        </is>
      </c>
      <c r="D31" s="513" t="inlineStr">
        <is>
          <t>MR1</t>
        </is>
      </c>
      <c r="E31" s="505" t="inlineStr">
        <is>
          <t>20B_ELO</t>
        </is>
      </c>
      <c r="F31" s="405">
        <f>CONCATENATE("ETR1000V300-",$D31,"-",$E31)</f>
        <v/>
      </c>
      <c r="G31" s="500">
        <f>CONCATENATE(F31,"-",H31)</f>
        <v/>
      </c>
      <c r="H31" s="415" t="inlineStr">
        <is>
          <t>02</t>
        </is>
      </c>
      <c r="I31" s="416" t="n">
        <v>45717</v>
      </c>
      <c r="J31" s="405">
        <f>$F31</f>
        <v/>
      </c>
      <c r="K31" s="500">
        <f>$G31</f>
        <v/>
      </c>
      <c r="L31" s="415">
        <f>$H31</f>
        <v/>
      </c>
      <c r="M31" s="416">
        <f>$I31</f>
        <v/>
      </c>
      <c r="N31" s="515" t="inlineStr">
        <is>
          <t>\</t>
        </is>
      </c>
      <c r="O31" s="516" t="inlineStr">
        <is>
          <t>\</t>
        </is>
      </c>
      <c r="P31" s="516" t="inlineStr">
        <is>
          <t>\</t>
        </is>
      </c>
      <c r="Q31" s="511" t="inlineStr">
        <is>
          <t>\</t>
        </is>
      </c>
      <c r="R31" s="517" t="n"/>
      <c r="S31" s="518" t="n"/>
      <c r="T31" s="518" t="n"/>
      <c r="U31" s="519" t="n"/>
      <c r="V31" s="494" t="n"/>
      <c r="W31" s="495" t="n"/>
      <c r="X31" s="501" t="n"/>
      <c r="Y31" s="496" t="n"/>
      <c r="Z31" s="517" t="n"/>
      <c r="AA31" s="518" t="n"/>
      <c r="AB31" s="518" t="n"/>
      <c r="AC31" s="519" t="n"/>
    </row>
    <row r="32" ht="30" customFormat="1" customHeight="1" s="139">
      <c r="A32" s="520" t="inlineStr">
        <is>
          <t>PGDJ DIS-JRU FTP - PRODOTTO GENERICO DIS-JRU (FT11P035105GE03B)</t>
        </is>
      </c>
      <c r="B32" s="513">
        <f>CONCATENATE(D32,"_",E32)</f>
        <v/>
      </c>
      <c r="C32" s="488" t="inlineStr">
        <is>
          <t>pdf</t>
        </is>
      </c>
      <c r="D32" s="513" t="inlineStr">
        <is>
          <t>MR1</t>
        </is>
      </c>
      <c r="E32" s="505" t="inlineStr">
        <is>
          <t>31A_JRU</t>
        </is>
      </c>
      <c r="F32" s="381">
        <f>CONCATENATE("ETR1000V300-",$D32,"-",$E32)</f>
        <v/>
      </c>
      <c r="G32" s="500">
        <f>CONCATENATE(F32,"-",H32)</f>
        <v/>
      </c>
      <c r="H32" s="412" t="inlineStr">
        <is>
          <t>\</t>
        </is>
      </c>
      <c r="I32" s="514" t="n">
        <v>44256</v>
      </c>
      <c r="J32" s="381">
        <f>$F32</f>
        <v/>
      </c>
      <c r="K32" s="500">
        <f>$G32</f>
        <v/>
      </c>
      <c r="L32" s="412">
        <f>$H32</f>
        <v/>
      </c>
      <c r="M32" s="514">
        <f>$I32</f>
        <v/>
      </c>
      <c r="N32" s="515" t="inlineStr">
        <is>
          <t>\</t>
        </is>
      </c>
      <c r="O32" s="516" t="inlineStr">
        <is>
          <t>\</t>
        </is>
      </c>
      <c r="P32" s="516" t="inlineStr">
        <is>
          <t>\</t>
        </is>
      </c>
      <c r="Q32" s="511" t="inlineStr">
        <is>
          <t>\</t>
        </is>
      </c>
      <c r="R32" s="517" t="n"/>
      <c r="S32" s="518" t="n"/>
      <c r="T32" s="518" t="n"/>
      <c r="U32" s="519" t="n"/>
      <c r="V32" s="494" t="n"/>
      <c r="W32" s="495" t="n"/>
      <c r="X32" s="501" t="n"/>
      <c r="Y32" s="496" t="n"/>
      <c r="Z32" s="517" t="n"/>
      <c r="AA32" s="518" t="n"/>
      <c r="AB32" s="518" t="n"/>
      <c r="AC32" s="519" t="n"/>
    </row>
    <row r="33">
      <c r="A33" s="504" t="inlineStr">
        <is>
          <t>Sistema informativo di condotta Generale (DIS)</t>
        </is>
      </c>
      <c r="B33" s="458">
        <f>CONCATENATE(D33,"_",E33)</f>
        <v/>
      </c>
      <c r="C33" s="488" t="inlineStr">
        <is>
          <t>pdf</t>
        </is>
      </c>
      <c r="D33" s="458" t="inlineStr">
        <is>
          <t>MR1</t>
        </is>
      </c>
      <c r="E33" s="458" t="inlineStr">
        <is>
          <t>31A</t>
        </is>
      </c>
      <c r="F33" s="405">
        <f>CONCATENATE("ETR1000V300-",$D33,"-",$E33)</f>
        <v/>
      </c>
      <c r="G33" s="500">
        <f>CONCATENATE(F33,"-",H33)</f>
        <v/>
      </c>
      <c r="H33" s="409" t="inlineStr">
        <is>
          <t>02</t>
        </is>
      </c>
      <c r="I33" s="408" t="inlineStr">
        <is>
          <t>gen-18</t>
        </is>
      </c>
      <c r="J33" s="405">
        <f>$F33</f>
        <v/>
      </c>
      <c r="K33" s="500">
        <f>$G33</f>
        <v/>
      </c>
      <c r="L33" s="409">
        <f>$H33</f>
        <v/>
      </c>
      <c r="M33" s="408">
        <f>$I33</f>
        <v/>
      </c>
      <c r="N33" s="506">
        <f>CONCATENATE("ETR1000V300_FR-",$D33,"-",$E33)</f>
        <v/>
      </c>
      <c r="O33" s="495">
        <f>CONCATENATE(N33,"-",P33)</f>
        <v/>
      </c>
      <c r="P33" s="501" t="inlineStr">
        <is>
          <t>01</t>
        </is>
      </c>
      <c r="Q33" s="496" t="n">
        <v>44136</v>
      </c>
      <c r="R33" s="494" t="n"/>
      <c r="S33" s="460" t="n"/>
      <c r="T33" s="460" t="n"/>
      <c r="U33" s="496" t="n"/>
      <c r="V33" s="494">
        <f>CONCATENATE("ETR1000V300_R1-",$D33,"-",$E33)</f>
        <v/>
      </c>
      <c r="W33" s="495">
        <f>CONCATENATE(V33,"-",X33)</f>
        <v/>
      </c>
      <c r="X33" s="501" t="inlineStr">
        <is>
          <t>04</t>
        </is>
      </c>
      <c r="Y33" s="510" t="inlineStr">
        <is>
          <t>gen-2026</t>
        </is>
      </c>
      <c r="Z33" s="502">
        <f>V33</f>
        <v/>
      </c>
      <c r="AA33" s="501">
        <f>W33</f>
        <v/>
      </c>
      <c r="AB33" s="501">
        <f>X33</f>
        <v/>
      </c>
      <c r="AC33" s="503">
        <f>Y33</f>
        <v/>
      </c>
    </row>
    <row r="34">
      <c r="A34" s="504" t="inlineStr">
        <is>
          <t>Cassa</t>
        </is>
      </c>
      <c r="B34" s="458">
        <f>CONCATENATE(D34,"_",E34)</f>
        <v/>
      </c>
      <c r="C34" s="488" t="inlineStr">
        <is>
          <t>pdf</t>
        </is>
      </c>
      <c r="D34" s="458" t="inlineStr">
        <is>
          <t>MR2</t>
        </is>
      </c>
      <c r="E34" s="458" t="inlineStr">
        <is>
          <t>01A</t>
        </is>
      </c>
      <c r="F34" s="405">
        <f>CONCATENATE("ETR1000V300-",$D34,"-",$E34)</f>
        <v/>
      </c>
      <c r="G34" s="500">
        <f>CONCATENATE(F34,"-",H34)</f>
        <v/>
      </c>
      <c r="H34" s="419" t="inlineStr">
        <is>
          <t>07</t>
        </is>
      </c>
      <c r="I34" s="416" t="n">
        <v>46113</v>
      </c>
      <c r="J34" s="405">
        <f>$F34</f>
        <v/>
      </c>
      <c r="K34" s="500">
        <f>$G34</f>
        <v/>
      </c>
      <c r="L34" s="419">
        <f>$H34</f>
        <v/>
      </c>
      <c r="M34" s="416">
        <f>$I34</f>
        <v/>
      </c>
      <c r="N34" s="506">
        <f>CONCATENATE("ETR1000V300_FR-",$D34,"-",$E34)</f>
        <v/>
      </c>
      <c r="O34" s="495">
        <f>CONCATENATE(N34,"-",P34)</f>
        <v/>
      </c>
      <c r="P34" s="501" t="inlineStr">
        <is>
          <t>01</t>
        </is>
      </c>
      <c r="Q34" s="496" t="n">
        <v>44105</v>
      </c>
      <c r="R34" s="494" t="n"/>
      <c r="S34" s="460" t="n"/>
      <c r="T34" s="460" t="n"/>
      <c r="U34" s="496" t="n"/>
      <c r="V34" s="494">
        <f>CONCATENATE("ETR1000V300_R1-",$D34,"-",$E34)</f>
        <v/>
      </c>
      <c r="W34" s="495">
        <f>CONCATENATE(V34,"-",X34)</f>
        <v/>
      </c>
      <c r="X34" s="501" t="inlineStr">
        <is>
          <t>02</t>
        </is>
      </c>
      <c r="Y34" s="521" t="n">
        <v>45809</v>
      </c>
      <c r="Z34" s="494">
        <f>V34</f>
        <v/>
      </c>
      <c r="AA34" s="460">
        <f>W34</f>
        <v/>
      </c>
      <c r="AB34" s="460">
        <f>X34</f>
        <v/>
      </c>
      <c r="AC34" s="496">
        <f>Y34</f>
        <v/>
      </c>
    </row>
    <row r="35">
      <c r="A35" s="504" t="inlineStr">
        <is>
          <t>Carrello</t>
        </is>
      </c>
      <c r="B35" s="458">
        <f>CONCATENATE(D35,"_",E35)</f>
        <v/>
      </c>
      <c r="C35" s="488" t="inlineStr">
        <is>
          <t>pdf</t>
        </is>
      </c>
      <c r="D35" s="458" t="inlineStr">
        <is>
          <t>MR2</t>
        </is>
      </c>
      <c r="E35" s="458" t="inlineStr">
        <is>
          <t>02A</t>
        </is>
      </c>
      <c r="F35" s="405">
        <f>CONCATENATE("ETR1000V300-",$D35,"-",$E35)</f>
        <v/>
      </c>
      <c r="G35" s="500">
        <f>CONCATENATE(F35,"-",H35)</f>
        <v/>
      </c>
      <c r="H35" s="419" t="n">
        <v>13</v>
      </c>
      <c r="I35" s="416" t="n">
        <v>46113</v>
      </c>
      <c r="J35" s="405">
        <f>$F35</f>
        <v/>
      </c>
      <c r="K35" s="500">
        <f>$G35</f>
        <v/>
      </c>
      <c r="L35" s="419">
        <f>$H35</f>
        <v/>
      </c>
      <c r="M35" s="416">
        <f>$I35</f>
        <v/>
      </c>
      <c r="N35" s="506">
        <f>CONCATENATE("ETR1000V300_FR-",$D35,"-",$E35)</f>
        <v/>
      </c>
      <c r="O35" s="495">
        <f>CONCATENATE(N35,"-",P35)</f>
        <v/>
      </c>
      <c r="P35" s="501" t="inlineStr">
        <is>
          <t>03</t>
        </is>
      </c>
      <c r="Q35" s="496" t="n">
        <v>44713</v>
      </c>
      <c r="R35" s="494" t="n"/>
      <c r="S35" s="460" t="n"/>
      <c r="T35" s="460" t="n"/>
      <c r="U35" s="496" t="n"/>
      <c r="V35" s="494">
        <f>CONCATENATE("ETR1000V300_R1-",$D35,"-",$E35)</f>
        <v/>
      </c>
      <c r="W35" s="495">
        <f>CONCATENATE(V35,"-",X35)</f>
        <v/>
      </c>
      <c r="X35" s="501" t="inlineStr">
        <is>
          <t>04</t>
        </is>
      </c>
      <c r="Y35" s="521" t="n">
        <v>45901</v>
      </c>
      <c r="Z35" s="494">
        <f>V35</f>
        <v/>
      </c>
      <c r="AA35" s="460">
        <f>W35</f>
        <v/>
      </c>
      <c r="AB35" s="460">
        <f>X35</f>
        <v/>
      </c>
      <c r="AC35" s="496">
        <f>Y35</f>
        <v/>
      </c>
    </row>
    <row r="36">
      <c r="A36" s="504" t="inlineStr">
        <is>
          <t>Impianto pneumatico e freno</t>
        </is>
      </c>
      <c r="B36" s="458">
        <f>CONCATENATE(D36,"_",E36)</f>
        <v/>
      </c>
      <c r="C36" s="488" t="inlineStr">
        <is>
          <t>pdf</t>
        </is>
      </c>
      <c r="D36" s="458" t="inlineStr">
        <is>
          <t>MR2</t>
        </is>
      </c>
      <c r="E36" s="458" t="inlineStr">
        <is>
          <t>03A</t>
        </is>
      </c>
      <c r="F36" s="405">
        <f>CONCATENATE("ETR1000V300-",$D36,"-",$E36)</f>
        <v/>
      </c>
      <c r="G36" s="500">
        <f>CONCATENATE(F36,"-",H36)</f>
        <v/>
      </c>
      <c r="H36" s="419" t="inlineStr">
        <is>
          <t>06</t>
        </is>
      </c>
      <c r="I36" s="416" t="n">
        <v>46113</v>
      </c>
      <c r="J36" s="405">
        <f>$F36</f>
        <v/>
      </c>
      <c r="K36" s="500">
        <f>$G36</f>
        <v/>
      </c>
      <c r="L36" s="419">
        <f>$H36</f>
        <v/>
      </c>
      <c r="M36" s="416">
        <f>$I36</f>
        <v/>
      </c>
      <c r="N36" s="506">
        <f>CONCATENATE("ETR1000V300_FR-",$D36,"-",$E36)</f>
        <v/>
      </c>
      <c r="O36" s="495">
        <f>CONCATENATE(N36,"-",P36)</f>
        <v/>
      </c>
      <c r="P36" s="501" t="inlineStr">
        <is>
          <t>02</t>
        </is>
      </c>
      <c r="Q36" s="496" t="n">
        <v>44713</v>
      </c>
      <c r="R36" s="494" t="n"/>
      <c r="S36" s="460" t="n"/>
      <c r="T36" s="460" t="n"/>
      <c r="U36" s="496" t="n"/>
      <c r="V36" s="494">
        <f>CONCATENATE("ETR1000V300_R1-",$D36,"-",$E36)</f>
        <v/>
      </c>
      <c r="W36" s="495">
        <f>CONCATENATE(V36,"-",X36)</f>
        <v/>
      </c>
      <c r="X36" s="501" t="inlineStr">
        <is>
          <t>02</t>
        </is>
      </c>
      <c r="Y36" s="521" t="n">
        <v>45809</v>
      </c>
      <c r="Z36" s="494">
        <f>V36</f>
        <v/>
      </c>
      <c r="AA36" s="460">
        <f>W36</f>
        <v/>
      </c>
      <c r="AB36" s="460">
        <f>X36</f>
        <v/>
      </c>
      <c r="AC36" s="496">
        <f>Y36</f>
        <v/>
      </c>
    </row>
    <row r="37">
      <c r="A37" s="504" t="inlineStr">
        <is>
          <t>Equipaggiamento elettrico ed elettropneumatico</t>
        </is>
      </c>
      <c r="B37" s="458">
        <f>CONCATENATE(D37,"_",E37)</f>
        <v/>
      </c>
      <c r="C37" s="488" t="inlineStr">
        <is>
          <t>pdf</t>
        </is>
      </c>
      <c r="D37" s="458" t="inlineStr">
        <is>
          <t>MR2</t>
        </is>
      </c>
      <c r="E37" s="505" t="inlineStr">
        <is>
          <t>04A</t>
        </is>
      </c>
      <c r="F37" s="405">
        <f>CONCATENATE("ETR1000V300-",$D37,"-",$E37)</f>
        <v/>
      </c>
      <c r="G37" s="500">
        <f>CONCATENATE(F37,"-",H37)</f>
        <v/>
      </c>
      <c r="H37" s="419" t="n">
        <v>10</v>
      </c>
      <c r="I37" s="416" t="n">
        <v>46113</v>
      </c>
      <c r="J37" s="405">
        <f>$F37</f>
        <v/>
      </c>
      <c r="K37" s="500">
        <f>$G37</f>
        <v/>
      </c>
      <c r="L37" s="419">
        <f>$H37</f>
        <v/>
      </c>
      <c r="M37" s="416">
        <f>$I37</f>
        <v/>
      </c>
      <c r="N37" s="506">
        <f>CONCATENATE("ETR1000V300_FR-",$D37,"-",$E37)</f>
        <v/>
      </c>
      <c r="O37" s="495">
        <f>CONCATENATE(N37,"-",P37)</f>
        <v/>
      </c>
      <c r="P37" s="501" t="inlineStr">
        <is>
          <t>05</t>
        </is>
      </c>
      <c r="Q37" s="496" t="n">
        <v>45931</v>
      </c>
      <c r="R37" s="494" t="n"/>
      <c r="S37" s="460" t="n"/>
      <c r="T37" s="460" t="n"/>
      <c r="U37" s="496" t="n"/>
      <c r="V37" s="494">
        <f>CONCATENATE("ETR1000V300_R1-",$D37,"-",$E37)</f>
        <v/>
      </c>
      <c r="W37" s="495">
        <f>CONCATENATE(V37,"-",X37)</f>
        <v/>
      </c>
      <c r="X37" s="501" t="inlineStr">
        <is>
          <t>02</t>
        </is>
      </c>
      <c r="Y37" s="521" t="n">
        <v>45809</v>
      </c>
      <c r="Z37" s="494">
        <f>V37</f>
        <v/>
      </c>
      <c r="AA37" s="460">
        <f>W37</f>
        <v/>
      </c>
      <c r="AB37" s="460">
        <f>X37</f>
        <v/>
      </c>
      <c r="AC37" s="496">
        <f>Y37</f>
        <v/>
      </c>
    </row>
    <row r="38">
      <c r="A38" s="504" t="inlineStr">
        <is>
          <t>Logica di comando</t>
        </is>
      </c>
      <c r="B38" s="458">
        <f>CONCATENATE(D38,"_",E38)</f>
        <v/>
      </c>
      <c r="C38" s="488" t="inlineStr">
        <is>
          <t>pdf</t>
        </is>
      </c>
      <c r="D38" s="458" t="inlineStr">
        <is>
          <t>MR2</t>
        </is>
      </c>
      <c r="E38" s="458" t="inlineStr">
        <is>
          <t>05A</t>
        </is>
      </c>
      <c r="F38" s="405">
        <f>CONCATENATE("ETR1000V300-",$D38,"-",$E38)</f>
        <v/>
      </c>
      <c r="G38" s="500">
        <f>CONCATENATE(F38,"-",H38)</f>
        <v/>
      </c>
      <c r="H38" s="419" t="inlineStr">
        <is>
          <t>03</t>
        </is>
      </c>
      <c r="I38" s="416" t="n">
        <v>46113</v>
      </c>
      <c r="J38" s="405">
        <f>$F38</f>
        <v/>
      </c>
      <c r="K38" s="500">
        <f>$G38</f>
        <v/>
      </c>
      <c r="L38" s="419">
        <f>$H38</f>
        <v/>
      </c>
      <c r="M38" s="416">
        <f>$I38</f>
        <v/>
      </c>
      <c r="N38" s="494">
        <f>$F38</f>
        <v/>
      </c>
      <c r="O38" s="460">
        <f>$G38</f>
        <v/>
      </c>
      <c r="P38" s="460">
        <f>$H38</f>
        <v/>
      </c>
      <c r="Q38" s="496">
        <f>$I38</f>
        <v/>
      </c>
      <c r="R38" s="494" t="n"/>
      <c r="S38" s="460" t="n"/>
      <c r="T38" s="460" t="n"/>
      <c r="U38" s="496" t="n"/>
      <c r="V38" s="494">
        <f>CONCATENATE("ETR1000V300_R1-",$D38,"-",$E38)</f>
        <v/>
      </c>
      <c r="W38" s="495">
        <f>CONCATENATE(V38,"-",X38)</f>
        <v/>
      </c>
      <c r="X38" s="501" t="inlineStr">
        <is>
          <t>03</t>
        </is>
      </c>
      <c r="Y38" s="521" t="n">
        <v>45931</v>
      </c>
      <c r="Z38" s="494">
        <f>V38</f>
        <v/>
      </c>
      <c r="AA38" s="460">
        <f>W38</f>
        <v/>
      </c>
      <c r="AB38" s="460">
        <f>X38</f>
        <v/>
      </c>
      <c r="AC38" s="496">
        <f>Y38</f>
        <v/>
      </c>
    </row>
    <row r="39">
      <c r="A39" s="504" t="inlineStr">
        <is>
          <t>Logica di comando - Nodo TCN</t>
        </is>
      </c>
      <c r="B39" s="458">
        <f>CONCATENATE(D39,"_",E39)</f>
        <v/>
      </c>
      <c r="C39" s="488" t="inlineStr">
        <is>
          <t>pdf</t>
        </is>
      </c>
      <c r="D39" s="458" t="inlineStr">
        <is>
          <t>MR2</t>
        </is>
      </c>
      <c r="E39" s="458" t="inlineStr">
        <is>
          <t>05B</t>
        </is>
      </c>
      <c r="F39" s="405">
        <f>CONCATENATE("ETR1000V300-",$D39,"-",$E39)</f>
        <v/>
      </c>
      <c r="G39" s="500">
        <f>CONCATENATE(F39,"-",H39)</f>
        <v/>
      </c>
      <c r="H39" s="409" t="inlineStr">
        <is>
          <t>02</t>
        </is>
      </c>
      <c r="I39" s="408" t="inlineStr">
        <is>
          <t>giu-17</t>
        </is>
      </c>
      <c r="J39" s="405">
        <f>$F39</f>
        <v/>
      </c>
      <c r="K39" s="500">
        <f>$G39</f>
        <v/>
      </c>
      <c r="L39" s="409">
        <f>$H39</f>
        <v/>
      </c>
      <c r="M39" s="408">
        <f>$I39</f>
        <v/>
      </c>
      <c r="N39" s="494">
        <f>$F39</f>
        <v/>
      </c>
      <c r="O39" s="460">
        <f>$G39</f>
        <v/>
      </c>
      <c r="P39" s="460">
        <f>$H39</f>
        <v/>
      </c>
      <c r="Q39" s="496">
        <f>$I39</f>
        <v/>
      </c>
      <c r="R39" s="494" t="n"/>
      <c r="S39" s="460" t="n"/>
      <c r="T39" s="460" t="n"/>
      <c r="U39" s="496" t="n"/>
      <c r="V39" s="494" t="n"/>
      <c r="W39" s="460" t="n"/>
      <c r="X39" s="460" t="n"/>
      <c r="Y39" s="461" t="n"/>
      <c r="Z39" s="494" t="n"/>
      <c r="AA39" s="460" t="n"/>
      <c r="AB39" s="460" t="n"/>
      <c r="AC39" s="496" t="n"/>
    </row>
    <row r="40">
      <c r="A40" s="504" t="inlineStr">
        <is>
          <t>Azionamento di trazione</t>
        </is>
      </c>
      <c r="B40" s="458">
        <f>CONCATENATE(D40,"_",E40)</f>
        <v/>
      </c>
      <c r="C40" s="488" t="inlineStr">
        <is>
          <t>pdf</t>
        </is>
      </c>
      <c r="D40" s="458" t="inlineStr">
        <is>
          <t>MR2</t>
        </is>
      </c>
      <c r="E40" s="458" t="inlineStr">
        <is>
          <t>06A</t>
        </is>
      </c>
      <c r="F40" s="405">
        <f>CONCATENATE("ETR1000V300-",$D40,"-",$E40)</f>
        <v/>
      </c>
      <c r="G40" s="500">
        <f>CONCATENATE(F40,"-",H40)</f>
        <v/>
      </c>
      <c r="H40" s="419" t="inlineStr">
        <is>
          <t>04</t>
        </is>
      </c>
      <c r="I40" s="416" t="n">
        <v>46113</v>
      </c>
      <c r="J40" s="405">
        <f>$F40</f>
        <v/>
      </c>
      <c r="K40" s="500">
        <f>$G40</f>
        <v/>
      </c>
      <c r="L40" s="419">
        <f>$H40</f>
        <v/>
      </c>
      <c r="M40" s="416">
        <f>$I40</f>
        <v/>
      </c>
      <c r="N40" s="494">
        <f>$F40</f>
        <v/>
      </c>
      <c r="O40" s="460">
        <f>$G40</f>
        <v/>
      </c>
      <c r="P40" s="460">
        <f>$H40</f>
        <v/>
      </c>
      <c r="Q40" s="496">
        <f>$I40</f>
        <v/>
      </c>
      <c r="R40" s="494" t="n"/>
      <c r="S40" s="460" t="n"/>
      <c r="T40" s="460" t="n"/>
      <c r="U40" s="496" t="n"/>
      <c r="V40" s="494">
        <f>CONCATENATE("ETR1000V300_R1-",$D40,"-",$E40)</f>
        <v/>
      </c>
      <c r="W40" s="495">
        <f>CONCATENATE(V40,"-",X40)</f>
        <v/>
      </c>
      <c r="X40" s="501" t="inlineStr">
        <is>
          <t>02</t>
        </is>
      </c>
      <c r="Y40" s="521" t="n">
        <v>45809</v>
      </c>
      <c r="Z40" s="494">
        <f>V40</f>
        <v/>
      </c>
      <c r="AA40" s="460">
        <f>W40</f>
        <v/>
      </c>
      <c r="AB40" s="460">
        <f>X40</f>
        <v/>
      </c>
      <c r="AC40" s="496">
        <f>Y40</f>
        <v/>
      </c>
    </row>
    <row r="41">
      <c r="A41" s="504" t="inlineStr">
        <is>
          <t>Motore di trazione</t>
        </is>
      </c>
      <c r="B41" s="458">
        <f>CONCATENATE(D41,"_",E41)</f>
        <v/>
      </c>
      <c r="C41" s="488" t="inlineStr">
        <is>
          <t>pdf</t>
        </is>
      </c>
      <c r="D41" s="458" t="inlineStr">
        <is>
          <t>MR2</t>
        </is>
      </c>
      <c r="E41" s="458" t="inlineStr">
        <is>
          <t>07A</t>
        </is>
      </c>
      <c r="F41" s="405">
        <f>CONCATENATE("ETR1000V300-",$D41,"-",$E41)</f>
        <v/>
      </c>
      <c r="G41" s="500">
        <f>CONCATENATE(F41,"-",H41)</f>
        <v/>
      </c>
      <c r="H41" s="419" t="inlineStr">
        <is>
          <t>05</t>
        </is>
      </c>
      <c r="I41" s="416" t="n">
        <v>46113</v>
      </c>
      <c r="J41" s="405">
        <f>$F41</f>
        <v/>
      </c>
      <c r="K41" s="500">
        <f>$G41</f>
        <v/>
      </c>
      <c r="L41" s="419">
        <f>$H41</f>
        <v/>
      </c>
      <c r="M41" s="416">
        <f>$I41</f>
        <v/>
      </c>
      <c r="N41" s="494">
        <f>$F41</f>
        <v/>
      </c>
      <c r="O41" s="460">
        <f>$G41</f>
        <v/>
      </c>
      <c r="P41" s="460">
        <f>$H41</f>
        <v/>
      </c>
      <c r="Q41" s="496">
        <f>$I41</f>
        <v/>
      </c>
      <c r="R41" s="494" t="n"/>
      <c r="S41" s="460" t="n"/>
      <c r="T41" s="460" t="n"/>
      <c r="U41" s="496" t="n"/>
      <c r="V41" s="494">
        <f>CONCATENATE("ETR1000V300_R1-",$D41,"-",$E41)</f>
        <v/>
      </c>
      <c r="W41" s="495">
        <f>CONCATENATE(V41,"-",X41)</f>
        <v/>
      </c>
      <c r="X41" s="501" t="inlineStr">
        <is>
          <t>03</t>
        </is>
      </c>
      <c r="Y41" s="521" t="n">
        <v>45931</v>
      </c>
      <c r="Z41" s="494">
        <f>V41</f>
        <v/>
      </c>
      <c r="AA41" s="460">
        <f>W41</f>
        <v/>
      </c>
      <c r="AB41" s="460">
        <f>X41</f>
        <v/>
      </c>
      <c r="AC41" s="496">
        <f>Y41</f>
        <v/>
      </c>
    </row>
    <row r="42">
      <c r="A42" s="504" t="inlineStr">
        <is>
          <t>Passaggi esterni</t>
        </is>
      </c>
      <c r="B42" s="458">
        <f>CONCATENATE(D42,"_",E42)</f>
        <v/>
      </c>
      <c r="C42" s="488" t="inlineStr">
        <is>
          <t>pdf</t>
        </is>
      </c>
      <c r="D42" s="458" t="inlineStr">
        <is>
          <t>MR2</t>
        </is>
      </c>
      <c r="E42" s="458" t="inlineStr">
        <is>
          <t>08A</t>
        </is>
      </c>
      <c r="F42" s="405">
        <f>CONCATENATE("ETR1000V300-",$D42,"-",$E42)</f>
        <v/>
      </c>
      <c r="G42" s="500">
        <f>CONCATENATE(F42,"-",H42)</f>
        <v/>
      </c>
      <c r="H42" s="419" t="inlineStr">
        <is>
          <t>04</t>
        </is>
      </c>
      <c r="I42" s="416" t="n">
        <v>46113</v>
      </c>
      <c r="J42" s="405">
        <f>$F42</f>
        <v/>
      </c>
      <c r="K42" s="500">
        <f>$G42</f>
        <v/>
      </c>
      <c r="L42" s="419">
        <f>$H42</f>
        <v/>
      </c>
      <c r="M42" s="416">
        <f>$I42</f>
        <v/>
      </c>
      <c r="N42" s="494">
        <f>$F42</f>
        <v/>
      </c>
      <c r="O42" s="460">
        <f>$G42</f>
        <v/>
      </c>
      <c r="P42" s="460">
        <f>$H42</f>
        <v/>
      </c>
      <c r="Q42" s="496">
        <f>$I42</f>
        <v/>
      </c>
      <c r="R42" s="494" t="n"/>
      <c r="S42" s="460" t="n"/>
      <c r="T42" s="460" t="n"/>
      <c r="U42" s="496" t="n"/>
      <c r="V42" s="494">
        <f>CONCATENATE("ETR1000V300_R1-",$D42,"-",$E42)</f>
        <v/>
      </c>
      <c r="W42" s="495">
        <f>CONCATENATE(V42,"-",X42)</f>
        <v/>
      </c>
      <c r="X42" s="501" t="inlineStr">
        <is>
          <t>03</t>
        </is>
      </c>
      <c r="Y42" s="521" t="n">
        <v>45931</v>
      </c>
      <c r="Z42" s="494">
        <f>V42</f>
        <v/>
      </c>
      <c r="AA42" s="460">
        <f>W42</f>
        <v/>
      </c>
      <c r="AB42" s="460">
        <f>X42</f>
        <v/>
      </c>
      <c r="AC42" s="496">
        <f>Y42</f>
        <v/>
      </c>
    </row>
    <row r="43">
      <c r="A43" s="504" t="inlineStr">
        <is>
          <t>Sottosistema di climatizzazione</t>
        </is>
      </c>
      <c r="B43" s="458">
        <f>CONCATENATE(D43,"_",E43)</f>
        <v/>
      </c>
      <c r="C43" s="488" t="inlineStr">
        <is>
          <t>pdf</t>
        </is>
      </c>
      <c r="D43" s="458" t="inlineStr">
        <is>
          <t>MR2</t>
        </is>
      </c>
      <c r="E43" s="458" t="inlineStr">
        <is>
          <t>09A</t>
        </is>
      </c>
      <c r="F43" s="405">
        <f>CONCATENATE("ETR1000V300-",$D43,"-",$E43)</f>
        <v/>
      </c>
      <c r="G43" s="500">
        <f>CONCATENATE(F43,"-",H43)</f>
        <v/>
      </c>
      <c r="H43" s="419" t="inlineStr">
        <is>
          <t>04</t>
        </is>
      </c>
      <c r="I43" s="416" t="n">
        <v>46113</v>
      </c>
      <c r="J43" s="405">
        <f>$F43</f>
        <v/>
      </c>
      <c r="K43" s="500">
        <f>$G43</f>
        <v/>
      </c>
      <c r="L43" s="419">
        <f>$H43</f>
        <v/>
      </c>
      <c r="M43" s="416">
        <f>$I43</f>
        <v/>
      </c>
      <c r="N43" s="494">
        <f>$F43</f>
        <v/>
      </c>
      <c r="O43" s="460">
        <f>$G43</f>
        <v/>
      </c>
      <c r="P43" s="460">
        <f>$H43</f>
        <v/>
      </c>
      <c r="Q43" s="496">
        <f>$I43</f>
        <v/>
      </c>
      <c r="R43" s="494" t="n"/>
      <c r="S43" s="460" t="n"/>
      <c r="T43" s="460" t="n"/>
      <c r="U43" s="496" t="n"/>
      <c r="V43" s="494">
        <f>CONCATENATE("ETR1000V300_R1-",$D43,"-",$E43)</f>
        <v/>
      </c>
      <c r="W43" s="495">
        <f>CONCATENATE(V43,"-",X43)</f>
        <v/>
      </c>
      <c r="X43" s="501" t="inlineStr">
        <is>
          <t>03</t>
        </is>
      </c>
      <c r="Y43" s="521" t="n">
        <v>45931</v>
      </c>
      <c r="Z43" s="494">
        <f>V43</f>
        <v/>
      </c>
      <c r="AA43" s="460">
        <f>W43</f>
        <v/>
      </c>
      <c r="AB43" s="460">
        <f>X43</f>
        <v/>
      </c>
      <c r="AC43" s="496">
        <f>Y43</f>
        <v/>
      </c>
    </row>
    <row r="44">
      <c r="A44" s="504" t="inlineStr">
        <is>
          <t>Convertitore servizi ausiliari e caricabatterie</t>
        </is>
      </c>
      <c r="B44" s="458">
        <f>CONCATENATE(D44,"_",E44)</f>
        <v/>
      </c>
      <c r="C44" s="488" t="inlineStr">
        <is>
          <t>pdf</t>
        </is>
      </c>
      <c r="D44" s="458" t="inlineStr">
        <is>
          <t>MR2</t>
        </is>
      </c>
      <c r="E44" s="458" t="inlineStr">
        <is>
          <t>11A</t>
        </is>
      </c>
      <c r="F44" s="405">
        <f>CONCATENATE("ETR1000V300-",$D44,"-",$E44)</f>
        <v/>
      </c>
      <c r="G44" s="500">
        <f>CONCATENATE(F44,"-",H44)</f>
        <v/>
      </c>
      <c r="H44" s="419" t="inlineStr">
        <is>
          <t>03</t>
        </is>
      </c>
      <c r="I44" s="416" t="n">
        <v>46113</v>
      </c>
      <c r="J44" s="405">
        <f>$F44</f>
        <v/>
      </c>
      <c r="K44" s="500">
        <f>$G44</f>
        <v/>
      </c>
      <c r="L44" s="419">
        <f>$H44</f>
        <v/>
      </c>
      <c r="M44" s="416">
        <f>$I44</f>
        <v/>
      </c>
      <c r="N44" s="494">
        <f>$F44</f>
        <v/>
      </c>
      <c r="O44" s="460">
        <f>$G44</f>
        <v/>
      </c>
      <c r="P44" s="460">
        <f>$H44</f>
        <v/>
      </c>
      <c r="Q44" s="496">
        <f>$I44</f>
        <v/>
      </c>
      <c r="R44" s="494" t="n"/>
      <c r="S44" s="460" t="n"/>
      <c r="T44" s="460" t="n"/>
      <c r="U44" s="496" t="n"/>
      <c r="V44" s="494">
        <f>CONCATENATE("ETR1000V300_R1-",$D44,"-",$E44)</f>
        <v/>
      </c>
      <c r="W44" s="495">
        <f>CONCATENATE(V44,"-",X44)</f>
        <v/>
      </c>
      <c r="X44" s="501" t="inlineStr">
        <is>
          <t>02</t>
        </is>
      </c>
      <c r="Y44" s="521" t="n">
        <v>45809</v>
      </c>
      <c r="Z44" s="494">
        <f>V44</f>
        <v/>
      </c>
      <c r="AA44" s="460">
        <f>W44</f>
        <v/>
      </c>
      <c r="AB44" s="460">
        <f>X44</f>
        <v/>
      </c>
      <c r="AC44" s="496">
        <f>Y44</f>
        <v/>
      </c>
    </row>
    <row r="45">
      <c r="A45" s="504" t="inlineStr">
        <is>
          <t>Sottosistema diagnostica di bordo</t>
        </is>
      </c>
      <c r="B45" s="458">
        <f>CONCATENATE(D45,"_",E45)</f>
        <v/>
      </c>
      <c r="C45" s="488" t="inlineStr">
        <is>
          <t>pdf</t>
        </is>
      </c>
      <c r="D45" s="458" t="inlineStr">
        <is>
          <t>MR2</t>
        </is>
      </c>
      <c r="E45" s="458" t="inlineStr">
        <is>
          <t>13A</t>
        </is>
      </c>
      <c r="F45" s="405">
        <f>CONCATENATE("ETR1000V300-",$D45,"-",$E45)</f>
        <v/>
      </c>
      <c r="G45" s="500">
        <f>CONCATENATE(F45,"-",H45)</f>
        <v/>
      </c>
      <c r="H45" s="419" t="inlineStr">
        <is>
          <t>03</t>
        </is>
      </c>
      <c r="I45" s="416" t="n">
        <v>46113</v>
      </c>
      <c r="J45" s="405">
        <f>$F45</f>
        <v/>
      </c>
      <c r="K45" s="500">
        <f>$G45</f>
        <v/>
      </c>
      <c r="L45" s="419">
        <f>$H45</f>
        <v/>
      </c>
      <c r="M45" s="416">
        <f>$I45</f>
        <v/>
      </c>
      <c r="N45" s="494">
        <f>$F45</f>
        <v/>
      </c>
      <c r="O45" s="460">
        <f>$G45</f>
        <v/>
      </c>
      <c r="P45" s="460">
        <f>$H45</f>
        <v/>
      </c>
      <c r="Q45" s="496">
        <f>$I45</f>
        <v/>
      </c>
      <c r="R45" s="494" t="n"/>
      <c r="S45" s="460" t="n"/>
      <c r="T45" s="460" t="n"/>
      <c r="U45" s="496" t="n"/>
      <c r="V45" s="494">
        <f>CONCATENATE("ETR1000V300_R1-",$D45,"-",$E45)</f>
        <v/>
      </c>
      <c r="W45" s="495">
        <f>CONCATENATE(V45,"-",X45)</f>
        <v/>
      </c>
      <c r="X45" s="501" t="inlineStr">
        <is>
          <t>03</t>
        </is>
      </c>
      <c r="Y45" s="521" t="n">
        <v>45931</v>
      </c>
      <c r="Z45" s="494">
        <f>V45</f>
        <v/>
      </c>
      <c r="AA45" s="460">
        <f>W45</f>
        <v/>
      </c>
      <c r="AB45" s="460">
        <f>X45</f>
        <v/>
      </c>
      <c r="AC45" s="496">
        <f>Y45</f>
        <v/>
      </c>
    </row>
    <row r="46">
      <c r="A46" s="504" t="inlineStr">
        <is>
          <t>Allestimenti interni</t>
        </is>
      </c>
      <c r="B46" s="458">
        <f>CONCATENATE(D46,"_",E46)</f>
        <v/>
      </c>
      <c r="C46" s="488" t="inlineStr">
        <is>
          <t>pdf</t>
        </is>
      </c>
      <c r="D46" s="458" t="inlineStr">
        <is>
          <t>MR2</t>
        </is>
      </c>
      <c r="E46" s="458" t="inlineStr">
        <is>
          <t>14A</t>
        </is>
      </c>
      <c r="F46" s="405">
        <f>CONCATENATE("ETR1000V300-",$D46,"-",$E46)</f>
        <v/>
      </c>
      <c r="G46" s="500">
        <f>CONCATENATE(F46,"-",H46)</f>
        <v/>
      </c>
      <c r="H46" s="419" t="inlineStr">
        <is>
          <t>05</t>
        </is>
      </c>
      <c r="I46" s="416" t="n">
        <v>46113</v>
      </c>
      <c r="J46" s="405">
        <f>$F46</f>
        <v/>
      </c>
      <c r="K46" s="500">
        <f>$G46</f>
        <v/>
      </c>
      <c r="L46" s="419">
        <f>$H46</f>
        <v/>
      </c>
      <c r="M46" s="416">
        <f>$I46</f>
        <v/>
      </c>
      <c r="N46" s="494">
        <f>$F46</f>
        <v/>
      </c>
      <c r="O46" s="460">
        <f>$G46</f>
        <v/>
      </c>
      <c r="P46" s="460">
        <f>$H46</f>
        <v/>
      </c>
      <c r="Q46" s="496">
        <f>$I46</f>
        <v/>
      </c>
      <c r="R46" s="494" t="n"/>
      <c r="S46" s="460" t="n"/>
      <c r="T46" s="460" t="n"/>
      <c r="U46" s="496" t="n"/>
      <c r="V46" s="494">
        <f>CONCATENATE("ETR1000V300_R1-",$D46,"-",$E46)</f>
        <v/>
      </c>
      <c r="W46" s="495">
        <f>CONCATENATE(V46,"-",X46)</f>
        <v/>
      </c>
      <c r="X46" s="501" t="inlineStr">
        <is>
          <t>02</t>
        </is>
      </c>
      <c r="Y46" s="521" t="n">
        <v>45809</v>
      </c>
      <c r="Z46" s="494">
        <f>V46</f>
        <v/>
      </c>
      <c r="AA46" s="460">
        <f>W46</f>
        <v/>
      </c>
      <c r="AB46" s="460">
        <f>X46</f>
        <v/>
      </c>
      <c r="AC46" s="496">
        <f>Y46</f>
        <v/>
      </c>
    </row>
    <row r="47">
      <c r="A47" s="504" t="inlineStr">
        <is>
          <t>Allestimenti interni - Arredi comparto e cabina di guida</t>
        </is>
      </c>
      <c r="B47" s="458">
        <f>CONCATENATE(D47,"_",E47)</f>
        <v/>
      </c>
      <c r="C47" s="488" t="inlineStr">
        <is>
          <t>pdf</t>
        </is>
      </c>
      <c r="D47" s="458" t="inlineStr">
        <is>
          <t>MR2</t>
        </is>
      </c>
      <c r="E47" s="458" t="inlineStr">
        <is>
          <t>14B</t>
        </is>
      </c>
      <c r="F47" s="405" t="inlineStr">
        <is>
          <t>\</t>
        </is>
      </c>
      <c r="G47" s="500" t="inlineStr">
        <is>
          <t>\</t>
        </is>
      </c>
      <c r="H47" s="409" t="inlineStr">
        <is>
          <t>\</t>
        </is>
      </c>
      <c r="I47" s="514" t="inlineStr">
        <is>
          <t>\</t>
        </is>
      </c>
      <c r="J47" s="405">
        <f>$F47</f>
        <v/>
      </c>
      <c r="K47" s="500">
        <f>$G47</f>
        <v/>
      </c>
      <c r="L47" s="409">
        <f>$H47</f>
        <v/>
      </c>
      <c r="M47" s="514">
        <f>$I47</f>
        <v/>
      </c>
      <c r="N47" s="494">
        <f>$F47</f>
        <v/>
      </c>
      <c r="O47" s="460">
        <f>$G47</f>
        <v/>
      </c>
      <c r="P47" s="460">
        <f>$H47</f>
        <v/>
      </c>
      <c r="Q47" s="496">
        <f>$I47</f>
        <v/>
      </c>
      <c r="R47" s="494" t="n"/>
      <c r="S47" s="460" t="n"/>
      <c r="T47" s="460" t="n"/>
      <c r="U47" s="496" t="n"/>
      <c r="V47" s="494">
        <f>CONCATENATE("ETR1000V300_R1-",$D47,"-",$E47)</f>
        <v/>
      </c>
      <c r="W47" s="495">
        <f>CONCATENATE(V47,"-",X47)</f>
        <v/>
      </c>
      <c r="X47" s="501" t="inlineStr">
        <is>
          <t>02</t>
        </is>
      </c>
      <c r="Y47" s="521" t="n">
        <v>45809</v>
      </c>
      <c r="Z47" s="494">
        <f>V47</f>
        <v/>
      </c>
      <c r="AA47" s="460">
        <f>W47</f>
        <v/>
      </c>
      <c r="AB47" s="460">
        <f>X47</f>
        <v/>
      </c>
      <c r="AC47" s="496">
        <f>Y47</f>
        <v/>
      </c>
    </row>
    <row r="48">
      <c r="A48" s="504" t="inlineStr">
        <is>
          <t>Servizi Generali di Bordo - Toilette</t>
        </is>
      </c>
      <c r="B48" s="458">
        <f>CONCATENATE(D48,"_",E48)</f>
        <v/>
      </c>
      <c r="C48" s="488" t="inlineStr">
        <is>
          <t>pdf</t>
        </is>
      </c>
      <c r="D48" s="458" t="inlineStr">
        <is>
          <t>MR2</t>
        </is>
      </c>
      <c r="E48" s="458" t="inlineStr">
        <is>
          <t>15A</t>
        </is>
      </c>
      <c r="F48" s="405">
        <f>CONCATENATE("ETR1000V300-",$D48,"-",$E48)</f>
        <v/>
      </c>
      <c r="G48" s="500">
        <f>CONCATENATE(F48,"-",H48)</f>
        <v/>
      </c>
      <c r="H48" s="419" t="inlineStr">
        <is>
          <t>05</t>
        </is>
      </c>
      <c r="I48" s="416" t="n">
        <v>46113</v>
      </c>
      <c r="J48" s="405">
        <f>$F48</f>
        <v/>
      </c>
      <c r="K48" s="500">
        <f>$G48</f>
        <v/>
      </c>
      <c r="L48" s="419">
        <f>$H48</f>
        <v/>
      </c>
      <c r="M48" s="416">
        <f>$I48</f>
        <v/>
      </c>
      <c r="N48" s="494">
        <f>$F48</f>
        <v/>
      </c>
      <c r="O48" s="460">
        <f>$G48</f>
        <v/>
      </c>
      <c r="P48" s="460">
        <f>$H48</f>
        <v/>
      </c>
      <c r="Q48" s="496">
        <f>$I48</f>
        <v/>
      </c>
      <c r="R48" s="494" t="n"/>
      <c r="S48" s="460" t="n"/>
      <c r="T48" s="460" t="n"/>
      <c r="U48" s="496" t="n"/>
      <c r="V48" s="494">
        <f>CONCATENATE("ETR1000V300_R1-",$D48,"-",$E48)</f>
        <v/>
      </c>
      <c r="W48" s="495">
        <f>CONCATENATE(V48,"-",X48)</f>
        <v/>
      </c>
      <c r="X48" s="501" t="inlineStr">
        <is>
          <t>01</t>
        </is>
      </c>
      <c r="Y48" s="521" t="n">
        <v>45809</v>
      </c>
      <c r="Z48" s="494">
        <f>V48</f>
        <v/>
      </c>
      <c r="AA48" s="460">
        <f>W48</f>
        <v/>
      </c>
      <c r="AB48" s="460">
        <f>X48</f>
        <v/>
      </c>
      <c r="AC48" s="496">
        <f>Y48</f>
        <v/>
      </c>
    </row>
    <row r="49">
      <c r="A49" s="504" t="inlineStr">
        <is>
          <t>Servizi Generali di Bordo - Bar Bistrot</t>
        </is>
      </c>
      <c r="B49" s="458">
        <f>CONCATENATE(D49,"_",E49)</f>
        <v/>
      </c>
      <c r="C49" s="488" t="inlineStr">
        <is>
          <t>pdf</t>
        </is>
      </c>
      <c r="D49" s="458" t="inlineStr">
        <is>
          <t>MR2</t>
        </is>
      </c>
      <c r="E49" s="458" t="inlineStr">
        <is>
          <t>15B</t>
        </is>
      </c>
      <c r="F49" s="405" t="inlineStr">
        <is>
          <t>\</t>
        </is>
      </c>
      <c r="G49" s="500" t="inlineStr">
        <is>
          <t>\</t>
        </is>
      </c>
      <c r="H49" s="409" t="inlineStr">
        <is>
          <t>\</t>
        </is>
      </c>
      <c r="I49" s="514" t="inlineStr">
        <is>
          <t>\</t>
        </is>
      </c>
      <c r="J49" s="405">
        <f>$F49</f>
        <v/>
      </c>
      <c r="K49" s="500">
        <f>$G49</f>
        <v/>
      </c>
      <c r="L49" s="419">
        <f>$H49</f>
        <v/>
      </c>
      <c r="M49" s="416">
        <f>$I49</f>
        <v/>
      </c>
      <c r="N49" s="494">
        <f>$F49</f>
        <v/>
      </c>
      <c r="O49" s="460">
        <f>$G49</f>
        <v/>
      </c>
      <c r="P49" s="460">
        <f>$H49</f>
        <v/>
      </c>
      <c r="Q49" s="496">
        <f>$I49</f>
        <v/>
      </c>
      <c r="R49" s="494" t="n"/>
      <c r="S49" s="460" t="n"/>
      <c r="T49" s="460" t="n"/>
      <c r="U49" s="496" t="n"/>
      <c r="V49" s="494">
        <f>CONCATENATE("ETR1000V300_R1-",$D49,"-",$E49)</f>
        <v/>
      </c>
      <c r="W49" s="495">
        <f>CONCATENATE(V49,"-",X49)</f>
        <v/>
      </c>
      <c r="X49" s="501" t="inlineStr">
        <is>
          <t>02</t>
        </is>
      </c>
      <c r="Y49" s="521" t="n">
        <v>45809</v>
      </c>
      <c r="Z49" s="494">
        <f>V49</f>
        <v/>
      </c>
      <c r="AA49" s="460">
        <f>W49</f>
        <v/>
      </c>
      <c r="AB49" s="460">
        <f>X49</f>
        <v/>
      </c>
      <c r="AC49" s="496">
        <f>Y49</f>
        <v/>
      </c>
    </row>
    <row r="50">
      <c r="A50" s="504" t="inlineStr">
        <is>
          <t>Documentazione circuiti elettronici</t>
        </is>
      </c>
      <c r="B50" s="458">
        <f>CONCATENATE(D50,"_",E50)</f>
        <v/>
      </c>
      <c r="C50" s="488" t="inlineStr">
        <is>
          <t>pdf</t>
        </is>
      </c>
      <c r="D50" s="458" t="inlineStr">
        <is>
          <t>MR2</t>
        </is>
      </c>
      <c r="E50" s="458" t="inlineStr">
        <is>
          <t>17A</t>
        </is>
      </c>
      <c r="F50" s="405">
        <f>CONCATENATE("ETR1000V300-",$D50,"-",$E50)</f>
        <v/>
      </c>
      <c r="G50" s="500">
        <f>CONCATENATE(F50,"-",H50)</f>
        <v/>
      </c>
      <c r="H50" s="409" t="inlineStr">
        <is>
          <t>00</t>
        </is>
      </c>
      <c r="I50" s="407" t="n">
        <v>41913</v>
      </c>
      <c r="J50" s="405">
        <f>$F50</f>
        <v/>
      </c>
      <c r="K50" s="500">
        <f>$G50</f>
        <v/>
      </c>
      <c r="L50" s="409">
        <f>$H50</f>
        <v/>
      </c>
      <c r="M50" s="407">
        <f>$I50</f>
        <v/>
      </c>
      <c r="N50" s="494">
        <f>$F50</f>
        <v/>
      </c>
      <c r="O50" s="460">
        <f>$G50</f>
        <v/>
      </c>
      <c r="P50" s="460">
        <f>$H50</f>
        <v/>
      </c>
      <c r="Q50" s="496">
        <f>$I50</f>
        <v/>
      </c>
      <c r="R50" s="494" t="n"/>
      <c r="S50" s="460" t="n"/>
      <c r="T50" s="460" t="n"/>
      <c r="U50" s="496" t="n"/>
      <c r="V50" s="502" t="n"/>
      <c r="W50" s="501" t="n"/>
      <c r="X50" s="501" t="n"/>
      <c r="Y50" s="510" t="n"/>
      <c r="Z50" s="502" t="n"/>
      <c r="AA50" s="501" t="n"/>
      <c r="AB50" s="501" t="n"/>
      <c r="AC50" s="503">
        <f>Y50</f>
        <v/>
      </c>
    </row>
    <row r="51">
      <c r="A51" s="504" t="inlineStr">
        <is>
          <t>Messa in servizio (tomo 1 di 5)</t>
        </is>
      </c>
      <c r="B51" s="458">
        <f>CONCATENATE(D51,"_",E51)</f>
        <v/>
      </c>
      <c r="C51" s="488" t="inlineStr">
        <is>
          <t>pdf</t>
        </is>
      </c>
      <c r="D51" s="458" t="inlineStr">
        <is>
          <t>MR2</t>
        </is>
      </c>
      <c r="E51" s="458" t="inlineStr">
        <is>
          <t>30A</t>
        </is>
      </c>
      <c r="F51" s="405">
        <f>CONCATENATE("ETR1000V300-",$D51,"-",$E51)</f>
        <v/>
      </c>
      <c r="G51" s="500">
        <f>CONCATENATE(F51,"-",H51)</f>
        <v/>
      </c>
      <c r="H51" s="409" t="inlineStr">
        <is>
          <t>01</t>
        </is>
      </c>
      <c r="I51" s="408" t="inlineStr">
        <is>
          <t>mag-16</t>
        </is>
      </c>
      <c r="J51" s="405">
        <f>$F51</f>
        <v/>
      </c>
      <c r="K51" s="500">
        <f>$G51</f>
        <v/>
      </c>
      <c r="L51" s="409">
        <f>$H51</f>
        <v/>
      </c>
      <c r="M51" s="408">
        <f>$I51</f>
        <v/>
      </c>
      <c r="N51" s="494">
        <f>$F51</f>
        <v/>
      </c>
      <c r="O51" s="460">
        <f>$G51</f>
        <v/>
      </c>
      <c r="P51" s="460">
        <f>$H51</f>
        <v/>
      </c>
      <c r="Q51" s="496">
        <f>$I51</f>
        <v/>
      </c>
      <c r="R51" s="494" t="n"/>
      <c r="S51" s="460" t="n"/>
      <c r="T51" s="460" t="n"/>
      <c r="U51" s="496" t="n"/>
      <c r="V51" s="494">
        <f>CONCATENATE("ETR1000V300_R1-",$D51,"-",$E51)</f>
        <v/>
      </c>
      <c r="W51" s="495">
        <f>CONCATENATE(V51,"-",X51)</f>
        <v/>
      </c>
      <c r="X51" s="501" t="inlineStr">
        <is>
          <t>02</t>
        </is>
      </c>
      <c r="Y51" s="521" t="n">
        <v>45627</v>
      </c>
      <c r="Z51" s="494">
        <f>V51</f>
        <v/>
      </c>
      <c r="AA51" s="460">
        <f>W51</f>
        <v/>
      </c>
      <c r="AB51" s="460">
        <f>X51</f>
        <v/>
      </c>
      <c r="AC51" s="496">
        <f>Y51</f>
        <v/>
      </c>
    </row>
    <row r="52">
      <c r="A52" s="504" t="inlineStr">
        <is>
          <t>Cassa veicoli di estremità</t>
        </is>
      </c>
      <c r="B52" s="458">
        <f>CONCATENATE(D52,"_",E52)</f>
        <v/>
      </c>
      <c r="C52" s="488"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506">
        <f>CONCATENATE("ETR1000V300_FR-",$D52,"-",$E52)</f>
        <v/>
      </c>
      <c r="O52" s="495" t="inlineStr">
        <is>
          <t>2.05.1232</t>
        </is>
      </c>
      <c r="P52" s="460" t="inlineStr">
        <is>
          <t>\</t>
        </is>
      </c>
      <c r="Q52" s="496" t="n">
        <v>44136</v>
      </c>
      <c r="R52" s="494" t="n"/>
      <c r="S52" s="460" t="n"/>
      <c r="T52" s="460" t="n"/>
      <c r="U52" s="496" t="n"/>
      <c r="V52" s="506">
        <f>CONCATENATE("ETR1000V300_R1-",$D52,"-",$E52)</f>
        <v/>
      </c>
      <c r="W52" s="501" t="inlineStr">
        <is>
          <t>2.05.1397</t>
        </is>
      </c>
      <c r="X52" s="501" t="inlineStr">
        <is>
          <t>01</t>
        </is>
      </c>
      <c r="Y52" s="496" t="n">
        <v>45901</v>
      </c>
      <c r="Z52" s="502">
        <f>V52</f>
        <v/>
      </c>
      <c r="AA52" s="501">
        <f>W52</f>
        <v/>
      </c>
      <c r="AB52" s="501">
        <f>X52</f>
        <v/>
      </c>
      <c r="AC52" s="503">
        <f>Y52</f>
        <v/>
      </c>
    </row>
    <row r="53">
      <c r="A53" s="504" t="inlineStr">
        <is>
          <t>Cassa veicoli intermedi</t>
        </is>
      </c>
      <c r="B53" s="458">
        <f>CONCATENATE(D53,"_",E53)</f>
        <v/>
      </c>
      <c r="C53" s="488"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506">
        <f>CONCATENATE("ETR1000V300_FR-",$D53,"-",$E53)</f>
        <v/>
      </c>
      <c r="O53" s="495" t="inlineStr">
        <is>
          <t>2.05.1233</t>
        </is>
      </c>
      <c r="P53" s="460" t="inlineStr">
        <is>
          <t>\</t>
        </is>
      </c>
      <c r="Q53" s="496" t="n">
        <v>44136</v>
      </c>
      <c r="R53" s="494" t="n"/>
      <c r="S53" s="460" t="n"/>
      <c r="T53" s="460" t="n"/>
      <c r="U53" s="496" t="n"/>
      <c r="V53" s="506">
        <f>CONCATENATE("ETR1000V300_R1-",$D53,"-",$E53)</f>
        <v/>
      </c>
      <c r="W53" s="501" t="inlineStr">
        <is>
          <t>2.05.1398</t>
        </is>
      </c>
      <c r="X53" s="501" t="inlineStr">
        <is>
          <t>01</t>
        </is>
      </c>
      <c r="Y53" s="496" t="n">
        <v>45901</v>
      </c>
      <c r="Z53" s="502">
        <f>V53</f>
        <v/>
      </c>
      <c r="AA53" s="501">
        <f>W53</f>
        <v/>
      </c>
      <c r="AB53" s="501">
        <f>X53</f>
        <v/>
      </c>
      <c r="AC53" s="503">
        <f>Y53</f>
        <v/>
      </c>
    </row>
    <row r="54">
      <c r="A54" s="504" t="inlineStr">
        <is>
          <t>Accoppiatore automatico-asta semipermanente</t>
        </is>
      </c>
      <c r="B54" s="458">
        <f>CONCATENATE(D54,"_",E54)</f>
        <v/>
      </c>
      <c r="C54" s="488"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94">
        <f>F54</f>
        <v/>
      </c>
      <c r="O54" s="460">
        <f>G54</f>
        <v/>
      </c>
      <c r="P54" s="460">
        <f>H54</f>
        <v/>
      </c>
      <c r="Q54" s="461">
        <f>I54</f>
        <v/>
      </c>
      <c r="R54" s="494" t="n"/>
      <c r="S54" s="460" t="n"/>
      <c r="T54" s="460" t="n"/>
      <c r="U54" s="496" t="n"/>
      <c r="V54" s="494" t="n"/>
      <c r="W54" s="460" t="n"/>
      <c r="X54" s="460" t="n"/>
      <c r="Y54" s="496" t="n"/>
      <c r="Z54" s="494" t="n"/>
      <c r="AA54" s="460" t="n"/>
      <c r="AB54" s="460" t="n"/>
      <c r="AC54" s="496" t="n"/>
    </row>
    <row r="55">
      <c r="A55" s="504" t="inlineStr">
        <is>
          <t>Musetto mobile</t>
        </is>
      </c>
      <c r="B55" s="458">
        <f>CONCATENATE(D55,"_",E55)</f>
        <v/>
      </c>
      <c r="C55" s="488"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506">
        <f>CONCATENATE("ETR1000V300_FR-",$D55,"-",$E55)</f>
        <v/>
      </c>
      <c r="O55" s="495" t="inlineStr">
        <is>
          <t>2.05.1234</t>
        </is>
      </c>
      <c r="P55" s="460" t="inlineStr">
        <is>
          <t>\</t>
        </is>
      </c>
      <c r="Q55" s="496" t="n">
        <v>44136</v>
      </c>
      <c r="R55" s="494" t="n"/>
      <c r="S55" s="460" t="n"/>
      <c r="T55" s="460" t="n"/>
      <c r="U55" s="496" t="n"/>
      <c r="V55" s="506">
        <f>CONCATENATE("ETR1000V300_R1-",$D55,"-",$E55)</f>
        <v/>
      </c>
      <c r="W55" s="501" t="inlineStr">
        <is>
          <t>2.05.1400</t>
        </is>
      </c>
      <c r="X55" s="501" t="inlineStr">
        <is>
          <t>01</t>
        </is>
      </c>
      <c r="Y55" s="496" t="n">
        <v>45931</v>
      </c>
      <c r="Z55" s="502">
        <f>V55</f>
        <v/>
      </c>
      <c r="AA55" s="501">
        <f>W55</f>
        <v/>
      </c>
      <c r="AB55" s="501">
        <f>X55</f>
        <v/>
      </c>
      <c r="AC55" s="503">
        <f>Y55</f>
        <v/>
      </c>
    </row>
    <row r="56">
      <c r="A56" s="504" t="inlineStr">
        <is>
          <t>Carrello</t>
        </is>
      </c>
      <c r="B56" s="458">
        <f>CONCATENATE(D56,"_",E56)</f>
        <v/>
      </c>
      <c r="C56" s="488"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506">
        <f>CONCATENATE("ETR1000V300_FR-",$D56,"-",$E56)</f>
        <v/>
      </c>
      <c r="O56" s="495" t="inlineStr">
        <is>
          <t>2.05.1235</t>
        </is>
      </c>
      <c r="P56" s="460" t="inlineStr">
        <is>
          <t>\</t>
        </is>
      </c>
      <c r="Q56" s="496" t="n">
        <v>43617</v>
      </c>
      <c r="R56" s="494" t="n"/>
      <c r="S56" s="460" t="n"/>
      <c r="T56" s="460" t="n"/>
      <c r="U56" s="496" t="n"/>
      <c r="V56" s="506">
        <f>CONCATENATE("ETR1000V300_R1-",$D56,"-",$E56)</f>
        <v/>
      </c>
      <c r="W56" s="501" t="inlineStr">
        <is>
          <t>2.05.1401</t>
        </is>
      </c>
      <c r="X56" s="501" t="inlineStr">
        <is>
          <t>02</t>
        </is>
      </c>
      <c r="Y56" s="496" t="n">
        <v>45931</v>
      </c>
      <c r="Z56" s="502">
        <f>V56</f>
        <v/>
      </c>
      <c r="AA56" s="501">
        <f>W56</f>
        <v/>
      </c>
      <c r="AB56" s="501">
        <f>X56</f>
        <v/>
      </c>
      <c r="AC56" s="503">
        <f>Y56</f>
        <v/>
      </c>
    </row>
    <row r="57">
      <c r="A57" s="504" t="inlineStr">
        <is>
          <t>Impianto pneumatico e freno - sistemazioni</t>
        </is>
      </c>
      <c r="B57" s="458">
        <f>CONCATENATE(D57,"_",E57)</f>
        <v/>
      </c>
      <c r="C57" s="488"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506">
        <f>CONCATENATE("ETR1000V300_FR-",$D57,"-",$E57)</f>
        <v/>
      </c>
      <c r="O57" s="495" t="inlineStr">
        <is>
          <t>2.05.1236</t>
        </is>
      </c>
      <c r="P57" s="460" t="inlineStr">
        <is>
          <t>\</t>
        </is>
      </c>
      <c r="Q57" s="496" t="n">
        <v>43922</v>
      </c>
      <c r="R57" s="494" t="n"/>
      <c r="S57" s="460" t="n"/>
      <c r="T57" s="460" t="n"/>
      <c r="U57" s="496" t="n"/>
      <c r="V57" s="506">
        <f>CONCATENATE("ETR1000V300_R1-",$D57,"-",$E57)</f>
        <v/>
      </c>
      <c r="W57" s="501" t="inlineStr">
        <is>
          <t>2.05.1402</t>
        </is>
      </c>
      <c r="X57" s="501" t="inlineStr">
        <is>
          <t>02</t>
        </is>
      </c>
      <c r="Y57" s="496" t="n">
        <v>45931</v>
      </c>
      <c r="Z57" s="502">
        <f>V57</f>
        <v/>
      </c>
      <c r="AA57" s="501">
        <f>W57</f>
        <v/>
      </c>
      <c r="AB57" s="501">
        <f>X57</f>
        <v/>
      </c>
      <c r="AC57" s="503">
        <f>Y57</f>
        <v/>
      </c>
    </row>
    <row r="58">
      <c r="A58" s="504" t="inlineStr">
        <is>
          <t>Impianto pneumatico e freno - componenti</t>
        </is>
      </c>
      <c r="B58" s="458">
        <f>CONCATENATE(D58,"_",E58)</f>
        <v/>
      </c>
      <c r="C58" s="488"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506">
        <f>CONCATENATE("ETR1000V300_FR-",$D58,"-",$E58)</f>
        <v/>
      </c>
      <c r="O58" s="495" t="inlineStr">
        <is>
          <t>2.05.1237</t>
        </is>
      </c>
      <c r="P58" s="460" t="inlineStr">
        <is>
          <t>\</t>
        </is>
      </c>
      <c r="Q58" s="496" t="n">
        <v>44317</v>
      </c>
      <c r="R58" s="494" t="n"/>
      <c r="S58" s="460" t="n"/>
      <c r="T58" s="460" t="n"/>
      <c r="U58" s="496" t="n"/>
      <c r="V58" s="506">
        <f>CONCATENATE("ETR1000V300_R1-",$D58,"-",$E58)</f>
        <v/>
      </c>
      <c r="W58" s="501" t="inlineStr">
        <is>
          <t>2.05.1403</t>
        </is>
      </c>
      <c r="X58" s="501" t="inlineStr">
        <is>
          <t>02</t>
        </is>
      </c>
      <c r="Y58" s="496" t="n">
        <v>45931</v>
      </c>
      <c r="Z58" s="502">
        <f>V58</f>
        <v/>
      </c>
      <c r="AA58" s="501">
        <f>W58</f>
        <v/>
      </c>
      <c r="AB58" s="501">
        <f>X58</f>
        <v/>
      </c>
      <c r="AC58" s="503">
        <f>Y58</f>
        <v/>
      </c>
    </row>
    <row r="59">
      <c r="A59" s="504" t="inlineStr">
        <is>
          <t>Equipaggiamento elettrico ed elettropneumatico - sistemazioni</t>
        </is>
      </c>
      <c r="B59" s="458">
        <f>CONCATENATE(D59,"_",E59)</f>
        <v/>
      </c>
      <c r="C59" s="488"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506">
        <f>CONCATENATE("ETR1000V300_FR-",$D59,"-",$E59)</f>
        <v/>
      </c>
      <c r="O59" s="495" t="inlineStr">
        <is>
          <t>2.05.1238</t>
        </is>
      </c>
      <c r="P59" s="460" t="inlineStr">
        <is>
          <t>\</t>
        </is>
      </c>
      <c r="Q59" s="496" t="n">
        <v>43922</v>
      </c>
      <c r="R59" s="494" t="n"/>
      <c r="S59" s="460" t="n"/>
      <c r="T59" s="460" t="n"/>
      <c r="U59" s="496" t="n"/>
      <c r="V59" s="506">
        <f>CONCATENATE("ETR1000V300_R1-",$D59,"-",$E59)</f>
        <v/>
      </c>
      <c r="W59" s="501" t="inlineStr">
        <is>
          <t>2.05.1404</t>
        </is>
      </c>
      <c r="X59" s="501" t="inlineStr">
        <is>
          <t>01</t>
        </is>
      </c>
      <c r="Y59" s="496" t="n">
        <v>45901</v>
      </c>
      <c r="Z59" s="502">
        <f>V59</f>
        <v/>
      </c>
      <c r="AA59" s="501">
        <f>W59</f>
        <v/>
      </c>
      <c r="AB59" s="501">
        <f>X59</f>
        <v/>
      </c>
      <c r="AC59" s="503">
        <f>Y59</f>
        <v/>
      </c>
    </row>
    <row r="60">
      <c r="A60" s="504" t="inlineStr">
        <is>
          <t>Equipaggiamento elettrico ed elettropneumatico - componenti</t>
        </is>
      </c>
      <c r="B60" s="458">
        <f>CONCATENATE(D60,"_",E60)</f>
        <v/>
      </c>
      <c r="C60" s="488"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506">
        <f>CONCATENATE("ETR1000V300_FR-",$D60,"-",$E60)</f>
        <v/>
      </c>
      <c r="O60" s="495" t="inlineStr">
        <is>
          <t>2.05.1239</t>
        </is>
      </c>
      <c r="P60" s="460" t="inlineStr">
        <is>
          <t>\</t>
        </is>
      </c>
      <c r="Q60" s="496" t="n">
        <v>43952</v>
      </c>
      <c r="R60" s="494" t="n"/>
      <c r="S60" s="460" t="n"/>
      <c r="T60" s="460" t="n"/>
      <c r="U60" s="496" t="n"/>
      <c r="V60" s="506">
        <f>CONCATENATE("ETR1000V300_R1-",$D60,"-",$E60)</f>
        <v/>
      </c>
      <c r="W60" s="501" t="inlineStr">
        <is>
          <t>2.05.1405</t>
        </is>
      </c>
      <c r="X60" s="501" t="inlineStr">
        <is>
          <t>01</t>
        </is>
      </c>
      <c r="Y60" s="496" t="n">
        <v>45931</v>
      </c>
      <c r="Z60" s="502">
        <f>V60</f>
        <v/>
      </c>
      <c r="AA60" s="501">
        <f>W60</f>
        <v/>
      </c>
      <c r="AB60" s="501">
        <f>X60</f>
        <v/>
      </c>
      <c r="AC60" s="503">
        <f>Y60</f>
        <v/>
      </c>
    </row>
    <row r="61">
      <c r="A61" s="504" t="inlineStr">
        <is>
          <t>Pantografi</t>
        </is>
      </c>
      <c r="B61" s="458">
        <f>CONCATENATE(D61,"_",E61)</f>
        <v/>
      </c>
      <c r="C61" s="488"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506">
        <f>CONCATENATE("ETR1000V300_FR-",$D61,"-",$E61)</f>
        <v/>
      </c>
      <c r="O61" s="495" t="inlineStr">
        <is>
          <t>2.05.1240</t>
        </is>
      </c>
      <c r="P61" s="460" t="inlineStr">
        <is>
          <t>\</t>
        </is>
      </c>
      <c r="Q61" s="496" t="n">
        <v>43922</v>
      </c>
      <c r="R61" s="494" t="n"/>
      <c r="S61" s="460" t="n"/>
      <c r="T61" s="460" t="n"/>
      <c r="U61" s="496" t="n"/>
      <c r="V61" s="506">
        <f>CONCATENATE("ETR1000V300_R1-",$D61,"-",$E61)</f>
        <v/>
      </c>
      <c r="W61" s="501" t="inlineStr">
        <is>
          <t>2.05.1406</t>
        </is>
      </c>
      <c r="X61" s="501" t="inlineStr">
        <is>
          <t>01</t>
        </is>
      </c>
      <c r="Y61" s="496" t="n">
        <v>45931</v>
      </c>
      <c r="Z61" s="502">
        <f>V61</f>
        <v/>
      </c>
      <c r="AA61" s="501">
        <f>W61</f>
        <v/>
      </c>
      <c r="AB61" s="501">
        <f>X61</f>
        <v/>
      </c>
      <c r="AC61" s="503">
        <f>Y61</f>
        <v/>
      </c>
    </row>
    <row r="62">
      <c r="A62" s="504" t="inlineStr">
        <is>
          <t>Quadri elettrici</t>
        </is>
      </c>
      <c r="B62" s="458">
        <f>CONCATENATE(D62,"_",E62)</f>
        <v/>
      </c>
      <c r="C62" s="488"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506">
        <f>CONCATENATE("ETR1000V300_FR-",$D62,"-",$E62)</f>
        <v/>
      </c>
      <c r="O62" s="495" t="inlineStr">
        <is>
          <t>2.05.1241</t>
        </is>
      </c>
      <c r="P62" s="460" t="inlineStr">
        <is>
          <t>\</t>
        </is>
      </c>
      <c r="Q62" s="496" t="n">
        <v>43952</v>
      </c>
      <c r="R62" s="494" t="n"/>
      <c r="S62" s="460" t="n"/>
      <c r="T62" s="460" t="n"/>
      <c r="U62" s="496" t="n"/>
      <c r="V62" s="494" t="n"/>
      <c r="W62" s="460" t="n"/>
      <c r="X62" s="460" t="n"/>
      <c r="Y62" s="496" t="n"/>
      <c r="Z62" s="494" t="n"/>
      <c r="AA62" s="460" t="n"/>
      <c r="AB62" s="460" t="n"/>
      <c r="AC62" s="496" t="n"/>
    </row>
    <row r="63">
      <c r="A63" s="504" t="inlineStr">
        <is>
          <t>Logica di comando</t>
        </is>
      </c>
      <c r="B63" s="458">
        <f>CONCATENATE(D63,"_",E63)</f>
        <v/>
      </c>
      <c r="C63" s="488"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94">
        <f>F63</f>
        <v/>
      </c>
      <c r="O63" s="460">
        <f>G63</f>
        <v/>
      </c>
      <c r="P63" s="460">
        <f>H63</f>
        <v/>
      </c>
      <c r="Q63" s="521">
        <f>I63</f>
        <v/>
      </c>
      <c r="R63" s="494" t="n"/>
      <c r="S63" s="460" t="n"/>
      <c r="T63" s="460" t="n"/>
      <c r="U63" s="496" t="n"/>
      <c r="V63" s="506">
        <f>CONCATENATE("ETR1000V300_R1-",$D63,"-",$E63)</f>
        <v/>
      </c>
      <c r="W63" s="501" t="inlineStr">
        <is>
          <t>2.05.1408</t>
        </is>
      </c>
      <c r="X63" s="501" t="inlineStr">
        <is>
          <t>02</t>
        </is>
      </c>
      <c r="Y63" s="496" t="n">
        <v>45931</v>
      </c>
      <c r="Z63" s="502">
        <f>V63</f>
        <v/>
      </c>
      <c r="AA63" s="501">
        <f>W63</f>
        <v/>
      </c>
      <c r="AB63" s="501">
        <f>X63</f>
        <v/>
      </c>
      <c r="AC63" s="503">
        <f>Y63</f>
        <v/>
      </c>
    </row>
    <row r="64">
      <c r="A64" s="504" t="inlineStr">
        <is>
          <t>Azionamento di trazione</t>
        </is>
      </c>
      <c r="B64" s="458">
        <f>CONCATENATE(D64,"_",E64)</f>
        <v/>
      </c>
      <c r="C64" s="488"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94">
        <f>F64</f>
        <v/>
      </c>
      <c r="O64" s="460">
        <f>G64</f>
        <v/>
      </c>
      <c r="P64" s="460">
        <f>H64</f>
        <v/>
      </c>
      <c r="Q64" s="521">
        <f>I64</f>
        <v/>
      </c>
      <c r="R64" s="494" t="n"/>
      <c r="S64" s="460" t="n"/>
      <c r="T64" s="460" t="n"/>
      <c r="U64" s="496" t="n"/>
      <c r="V64" s="506">
        <f>CONCATENATE("ETR1000V300_R1-",$D64,"-",$E64)</f>
        <v/>
      </c>
      <c r="W64" s="501" t="inlineStr">
        <is>
          <t>2.05.1409</t>
        </is>
      </c>
      <c r="X64" s="501" t="inlineStr">
        <is>
          <t>02</t>
        </is>
      </c>
      <c r="Y64" s="496" t="n">
        <v>45931</v>
      </c>
      <c r="Z64" s="502">
        <f>V64</f>
        <v/>
      </c>
      <c r="AA64" s="501">
        <f>W64</f>
        <v/>
      </c>
      <c r="AB64" s="501">
        <f>X64</f>
        <v/>
      </c>
      <c r="AC64" s="503">
        <f>Y64</f>
        <v/>
      </c>
    </row>
    <row r="65">
      <c r="A65" s="504" t="inlineStr">
        <is>
          <t>Motore di trazione</t>
        </is>
      </c>
      <c r="B65" s="458">
        <f>CONCATENATE(D65,"_",E65)</f>
        <v/>
      </c>
      <c r="C65" s="488"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94">
        <f>F65</f>
        <v/>
      </c>
      <c r="O65" s="460">
        <f>G65</f>
        <v/>
      </c>
      <c r="P65" s="460">
        <f>H65</f>
        <v/>
      </c>
      <c r="Q65" s="521">
        <f>I65</f>
        <v/>
      </c>
      <c r="R65" s="494" t="n"/>
      <c r="S65" s="460" t="n"/>
      <c r="T65" s="460" t="n"/>
      <c r="U65" s="496" t="n"/>
      <c r="V65" s="506">
        <f>CONCATENATE("ETR1000V300_R1-",$D65,"-",$E65)</f>
        <v/>
      </c>
      <c r="W65" s="501" t="inlineStr">
        <is>
          <t>2.05.1410</t>
        </is>
      </c>
      <c r="X65" s="501" t="inlineStr">
        <is>
          <t>01</t>
        </is>
      </c>
      <c r="Y65" s="496" t="n">
        <v>45931</v>
      </c>
      <c r="Z65" s="494">
        <f>V65</f>
        <v/>
      </c>
      <c r="AA65" s="460">
        <f>W65</f>
        <v/>
      </c>
      <c r="AB65" s="460">
        <f>X65</f>
        <v/>
      </c>
      <c r="AC65" s="496">
        <f>Y65</f>
        <v/>
      </c>
    </row>
    <row r="66">
      <c r="A66" s="504" t="inlineStr">
        <is>
          <t>Porte di salita passeggeri</t>
        </is>
      </c>
      <c r="B66" s="458">
        <f>CONCATENATE(D66,"_",E66)</f>
        <v/>
      </c>
      <c r="C66" s="488"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94">
        <f>F66</f>
        <v/>
      </c>
      <c r="O66" s="460">
        <f>G66</f>
        <v/>
      </c>
      <c r="P66" s="460">
        <f>H66</f>
        <v/>
      </c>
      <c r="Q66" s="521">
        <f>I66</f>
        <v/>
      </c>
      <c r="R66" s="494" t="n"/>
      <c r="S66" s="460" t="n"/>
      <c r="T66" s="460" t="n"/>
      <c r="U66" s="496" t="n"/>
      <c r="V66" s="506">
        <f>CONCATENATE("ETR1000V300_R1-",$D66,"-",$E66)</f>
        <v/>
      </c>
      <c r="W66" s="501" t="inlineStr">
        <is>
          <t>2.05.1411</t>
        </is>
      </c>
      <c r="X66" s="501" t="inlineStr">
        <is>
          <t>02</t>
        </is>
      </c>
      <c r="Y66" s="496" t="n">
        <v>45932</v>
      </c>
      <c r="Z66" s="502">
        <f>V66</f>
        <v/>
      </c>
      <c r="AA66" s="501">
        <f>W66</f>
        <v/>
      </c>
      <c r="AB66" s="501">
        <f>X66</f>
        <v/>
      </c>
      <c r="AC66" s="503">
        <f>Y66</f>
        <v/>
      </c>
    </row>
    <row r="67">
      <c r="A67" s="504" t="inlineStr">
        <is>
          <t>Porte interne e intercomunicanti</t>
        </is>
      </c>
      <c r="B67" s="458">
        <f>CONCATENATE(D67,"_",E67)</f>
        <v/>
      </c>
      <c r="C67" s="488"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94">
        <f>F67</f>
        <v/>
      </c>
      <c r="O67" s="460">
        <f>G67</f>
        <v/>
      </c>
      <c r="P67" s="460">
        <f>H67</f>
        <v/>
      </c>
      <c r="Q67" s="521">
        <f>I67</f>
        <v/>
      </c>
      <c r="R67" s="494" t="n"/>
      <c r="S67" s="460" t="n"/>
      <c r="T67" s="460" t="n"/>
      <c r="U67" s="496" t="n"/>
      <c r="V67" s="506">
        <f>CONCATENATE("ETR1000V300_R1-",$D67,"-",$E67)</f>
        <v/>
      </c>
      <c r="W67" s="501" t="inlineStr">
        <is>
          <t>2.05.1412</t>
        </is>
      </c>
      <c r="X67" s="501" t="inlineStr">
        <is>
          <t>02</t>
        </is>
      </c>
      <c r="Y67" s="496" t="n">
        <v>45931</v>
      </c>
      <c r="Z67" s="502">
        <f>V67</f>
        <v/>
      </c>
      <c r="AA67" s="501">
        <f>W67</f>
        <v/>
      </c>
      <c r="AB67" s="501">
        <f>X67</f>
        <v/>
      </c>
      <c r="AC67" s="503">
        <f>Y67</f>
        <v/>
      </c>
    </row>
    <row r="68">
      <c r="A68" s="504" t="inlineStr">
        <is>
          <t>Sollevatore hk</t>
        </is>
      </c>
      <c r="B68" s="458">
        <f>CONCATENATE(D68,"_",E68)</f>
        <v/>
      </c>
      <c r="C68" s="488"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94">
        <f>F68</f>
        <v/>
      </c>
      <c r="O68" s="460">
        <f>G68</f>
        <v/>
      </c>
      <c r="P68" s="460">
        <f>H68</f>
        <v/>
      </c>
      <c r="Q68" s="521">
        <f>I68</f>
        <v/>
      </c>
      <c r="R68" s="494" t="n"/>
      <c r="S68" s="460" t="n"/>
      <c r="T68" s="460" t="n"/>
      <c r="U68" s="496" t="n"/>
      <c r="V68" s="506">
        <f>CONCATENATE("ETR1000V300_R1-",$D68,"-",$E68)</f>
        <v/>
      </c>
      <c r="W68" s="501" t="inlineStr">
        <is>
          <t>2.05.1413</t>
        </is>
      </c>
      <c r="X68" s="501" t="inlineStr">
        <is>
          <t>02</t>
        </is>
      </c>
      <c r="Y68" s="496" t="n">
        <v>45931</v>
      </c>
      <c r="Z68" s="502">
        <f>V68</f>
        <v/>
      </c>
      <c r="AA68" s="501">
        <f>W68</f>
        <v/>
      </c>
      <c r="AB68" s="501">
        <f>X68</f>
        <v/>
      </c>
      <c r="AC68" s="503">
        <f>Y68</f>
        <v/>
      </c>
    </row>
    <row r="69">
      <c r="A69" s="504" t="inlineStr">
        <is>
          <t>Sottosistema di climatizzazione</t>
        </is>
      </c>
      <c r="B69" s="458">
        <f>CONCATENATE(D69,"_",E69)</f>
        <v/>
      </c>
      <c r="C69" s="488"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94">
        <f>F69</f>
        <v/>
      </c>
      <c r="O69" s="460">
        <f>G69</f>
        <v/>
      </c>
      <c r="P69" s="460">
        <f>H69</f>
        <v/>
      </c>
      <c r="Q69" s="521">
        <f>I69</f>
        <v/>
      </c>
      <c r="R69" s="494" t="n"/>
      <c r="S69" s="460" t="n"/>
      <c r="T69" s="460" t="n"/>
      <c r="U69" s="496" t="n"/>
      <c r="V69" s="494" t="n"/>
      <c r="W69" s="460" t="n"/>
      <c r="X69" s="460" t="n"/>
      <c r="Y69" s="496" t="n"/>
      <c r="Z69" s="494" t="n"/>
      <c r="AA69" s="460" t="n"/>
      <c r="AB69" s="460" t="n"/>
      <c r="AC69" s="496" t="n"/>
    </row>
    <row r="70">
      <c r="A70" s="504" t="inlineStr">
        <is>
          <t>Sottosistema di comunicazione</t>
        </is>
      </c>
      <c r="B70" s="458">
        <f>CONCATENATE(D70,"_",E70)</f>
        <v/>
      </c>
      <c r="C70" s="488"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94">
        <f>F70</f>
        <v/>
      </c>
      <c r="O70" s="460">
        <f>G70</f>
        <v/>
      </c>
      <c r="P70" s="460">
        <f>H70</f>
        <v/>
      </c>
      <c r="Q70" s="521">
        <f>I70</f>
        <v/>
      </c>
      <c r="R70" s="494" t="n"/>
      <c r="S70" s="460" t="n"/>
      <c r="T70" s="460" t="n"/>
      <c r="U70" s="496" t="n"/>
      <c r="V70" s="506">
        <f>CONCATENATE("ETR1000V300_R1-",$D70,"-",$E70)</f>
        <v/>
      </c>
      <c r="W70" s="501" t="inlineStr">
        <is>
          <t>2.05.1415</t>
        </is>
      </c>
      <c r="X70" s="501" t="inlineStr">
        <is>
          <t>02</t>
        </is>
      </c>
      <c r="Y70" s="496" t="n">
        <v>45931</v>
      </c>
      <c r="Z70" s="502">
        <f>V70</f>
        <v/>
      </c>
      <c r="AA70" s="501">
        <f>W70</f>
        <v/>
      </c>
      <c r="AB70" s="501">
        <f>X70</f>
        <v/>
      </c>
      <c r="AC70" s="503">
        <f>Y70</f>
        <v/>
      </c>
    </row>
    <row r="71">
      <c r="A71" s="504" t="inlineStr">
        <is>
          <t>Convertitore servizi ausiliari e caricabatterie</t>
        </is>
      </c>
      <c r="B71" s="458">
        <f>CONCATENATE(D71,"_",E71)</f>
        <v/>
      </c>
      <c r="C71" s="488"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94">
        <f>F71</f>
        <v/>
      </c>
      <c r="O71" s="460">
        <f>G71</f>
        <v/>
      </c>
      <c r="P71" s="460">
        <f>H71</f>
        <v/>
      </c>
      <c r="Q71" s="521">
        <f>I71</f>
        <v/>
      </c>
      <c r="R71" s="494" t="n"/>
      <c r="S71" s="460" t="n"/>
      <c r="T71" s="460" t="n"/>
      <c r="U71" s="496" t="n"/>
      <c r="V71" s="506">
        <f>CONCATENATE("ETR1000V300_R1-",$D71,"-",$E71)</f>
        <v/>
      </c>
      <c r="W71" s="501" t="inlineStr">
        <is>
          <t>2.05.1416</t>
        </is>
      </c>
      <c r="X71" s="501" t="inlineStr">
        <is>
          <t>02</t>
        </is>
      </c>
      <c r="Y71" s="496" t="n">
        <v>45931</v>
      </c>
      <c r="Z71" s="502">
        <f>V71</f>
        <v/>
      </c>
      <c r="AA71" s="501">
        <f>W71</f>
        <v/>
      </c>
      <c r="AB71" s="501">
        <f>X71</f>
        <v/>
      </c>
      <c r="AC71" s="503">
        <f>Y71</f>
        <v/>
      </c>
    </row>
    <row r="72">
      <c r="A72" s="504" t="inlineStr">
        <is>
          <t>Allestimenti interni - dotazioni di bordo</t>
        </is>
      </c>
      <c r="B72" s="458">
        <f>CONCATENATE(D72,"_",E72)</f>
        <v/>
      </c>
      <c r="C72" s="488"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94">
        <f>F72</f>
        <v/>
      </c>
      <c r="O72" s="460">
        <f>G72</f>
        <v/>
      </c>
      <c r="P72" s="460">
        <f>H72</f>
        <v/>
      </c>
      <c r="Q72" s="521">
        <f>I72</f>
        <v/>
      </c>
      <c r="R72" s="494" t="n"/>
      <c r="S72" s="460" t="n"/>
      <c r="T72" s="460" t="n"/>
      <c r="U72" s="496" t="n"/>
      <c r="V72" s="494" t="n"/>
      <c r="W72" s="460" t="n"/>
      <c r="X72" s="460" t="n"/>
      <c r="Y72" s="496" t="n"/>
      <c r="Z72" s="494" t="n"/>
      <c r="AA72" s="460" t="n"/>
      <c r="AB72" s="460" t="n"/>
      <c r="AC72" s="496" t="n"/>
    </row>
    <row r="73">
      <c r="A73" s="504" t="inlineStr">
        <is>
          <t>Sedili passeggeri e cabina guida</t>
        </is>
      </c>
      <c r="B73" s="458">
        <f>CONCATENATE(D73,"_",E73)</f>
        <v/>
      </c>
      <c r="C73" s="488"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94">
        <f>F73</f>
        <v/>
      </c>
      <c r="O73" s="460">
        <f>G73</f>
        <v/>
      </c>
      <c r="P73" s="460">
        <f>H73</f>
        <v/>
      </c>
      <c r="Q73" s="521">
        <f>I73</f>
        <v/>
      </c>
      <c r="R73" s="494" t="n"/>
      <c r="S73" s="460" t="n"/>
      <c r="T73" s="460" t="n"/>
      <c r="U73" s="496" t="n"/>
      <c r="V73" s="494" t="n"/>
      <c r="W73" s="460" t="n"/>
      <c r="X73" s="460" t="n"/>
      <c r="Y73" s="496" t="n"/>
      <c r="Z73" s="494" t="n"/>
      <c r="AA73" s="460" t="n"/>
      <c r="AB73" s="460" t="n"/>
      <c r="AC73" s="496" t="n"/>
    </row>
    <row r="74">
      <c r="A74" s="504" t="inlineStr">
        <is>
          <t>Arredamento comparto</t>
        </is>
      </c>
      <c r="B74" s="458">
        <f>CONCATENATE(D74,"_",E74)</f>
        <v/>
      </c>
      <c r="C74" s="488"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94">
        <f>F74</f>
        <v/>
      </c>
      <c r="O74" s="460">
        <f>G74</f>
        <v/>
      </c>
      <c r="P74" s="460">
        <f>H74</f>
        <v/>
      </c>
      <c r="Q74" s="521">
        <f>I74</f>
        <v/>
      </c>
      <c r="R74" s="494" t="n"/>
      <c r="S74" s="460" t="n"/>
      <c r="T74" s="460" t="n"/>
      <c r="U74" s="496" t="n"/>
      <c r="V74" s="494" t="n"/>
      <c r="W74" s="460" t="n"/>
      <c r="X74" s="460" t="n"/>
      <c r="Y74" s="496" t="n"/>
      <c r="Z74" s="494" t="n"/>
      <c r="AA74" s="460" t="n"/>
      <c r="AB74" s="460" t="n"/>
      <c r="AC74" s="496" t="n"/>
    </row>
    <row r="75">
      <c r="A75" s="504" t="inlineStr">
        <is>
          <t>Arredamento vestiboli</t>
        </is>
      </c>
      <c r="B75" s="458">
        <f>CONCATENATE(D75,"_",E75)</f>
        <v/>
      </c>
      <c r="C75" s="488"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94">
        <f>F75</f>
        <v/>
      </c>
      <c r="O75" s="460">
        <f>G75</f>
        <v/>
      </c>
      <c r="P75" s="460">
        <f>H75</f>
        <v/>
      </c>
      <c r="Q75" s="521">
        <f>I75</f>
        <v/>
      </c>
      <c r="R75" s="494" t="n"/>
      <c r="S75" s="460" t="n"/>
      <c r="T75" s="460" t="n"/>
      <c r="U75" s="496" t="n"/>
      <c r="V75" s="506">
        <f>CONCATENATE("ETR1000V300_R1-",$D75,"-",$E75)</f>
        <v/>
      </c>
      <c r="W75" s="501" t="inlineStr">
        <is>
          <t>2.05.1420</t>
        </is>
      </c>
      <c r="X75" s="501" t="inlineStr">
        <is>
          <t>01</t>
        </is>
      </c>
      <c r="Y75" s="496" t="n">
        <v>45931</v>
      </c>
      <c r="Z75" s="494">
        <f>V75</f>
        <v/>
      </c>
      <c r="AA75" s="460">
        <f>W75</f>
        <v/>
      </c>
      <c r="AB75" s="460">
        <f>X75</f>
        <v/>
      </c>
      <c r="AC75" s="496">
        <f>Y75</f>
        <v/>
      </c>
    </row>
    <row r="76">
      <c r="A76" s="504" t="inlineStr">
        <is>
          <t>Servizi Generali di Bordo - Toilet</t>
        </is>
      </c>
      <c r="B76" s="458">
        <f>CONCATENATE(D76,"_",E76)</f>
        <v/>
      </c>
      <c r="C76" s="488"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94">
        <f>F76</f>
        <v/>
      </c>
      <c r="O76" s="460">
        <f>G76</f>
        <v/>
      </c>
      <c r="P76" s="460">
        <f>H76</f>
        <v/>
      </c>
      <c r="Q76" s="521">
        <f>I76</f>
        <v/>
      </c>
      <c r="R76" s="494" t="n"/>
      <c r="S76" s="460" t="n"/>
      <c r="T76" s="460" t="n"/>
      <c r="U76" s="496" t="n"/>
      <c r="V76" s="494" t="n"/>
      <c r="W76" s="460" t="n"/>
      <c r="X76" s="460" t="n"/>
      <c r="Y76" s="496" t="n"/>
      <c r="Z76" s="494" t="n"/>
      <c r="AA76" s="460" t="n"/>
      <c r="AB76" s="460" t="n"/>
      <c r="AC76" s="496" t="n"/>
    </row>
    <row r="77">
      <c r="A77" s="504" t="inlineStr">
        <is>
          <t>Servizi Generali di Bordo - Bar Bistrò</t>
        </is>
      </c>
      <c r="B77" s="458">
        <f>CONCATENATE(D77,"_",E77)</f>
        <v/>
      </c>
      <c r="C77" s="488"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94">
        <f>F77</f>
        <v/>
      </c>
      <c r="O77" s="460">
        <f>G77</f>
        <v/>
      </c>
      <c r="P77" s="460">
        <f>H77</f>
        <v/>
      </c>
      <c r="Q77" s="521">
        <f>I77</f>
        <v/>
      </c>
      <c r="R77" s="494" t="n"/>
      <c r="S77" s="460" t="n"/>
      <c r="T77" s="460" t="n"/>
      <c r="U77" s="496" t="n"/>
      <c r="V77" s="494" t="n"/>
      <c r="W77" s="460" t="n"/>
      <c r="X77" s="460" t="n"/>
      <c r="Y77" s="496" t="n"/>
      <c r="Z77" s="494" t="n"/>
      <c r="AA77" s="460" t="n"/>
      <c r="AB77" s="460" t="n"/>
      <c r="AC77" s="496" t="n"/>
    </row>
    <row r="78">
      <c r="A78" s="504" t="inlineStr">
        <is>
          <t>Sistemi tecnologici di bordo</t>
        </is>
      </c>
      <c r="B78" s="458">
        <f>CONCATENATE(D78,"_",E78)</f>
        <v/>
      </c>
      <c r="C78" s="488"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94">
        <f>F78</f>
        <v/>
      </c>
      <c r="O78" s="460">
        <f>G78</f>
        <v/>
      </c>
      <c r="P78" s="460">
        <f>H78</f>
        <v/>
      </c>
      <c r="Q78" s="521">
        <f>I78</f>
        <v/>
      </c>
      <c r="R78" s="494" t="n"/>
      <c r="S78" s="460" t="n"/>
      <c r="T78" s="460" t="n"/>
      <c r="U78" s="496" t="n"/>
      <c r="V78" s="506">
        <f>CONCATENATE("ETR1000V300_R1-",$D78,"-",$E78)</f>
        <v/>
      </c>
      <c r="W78" s="501" t="inlineStr">
        <is>
          <t>2.05.1423</t>
        </is>
      </c>
      <c r="X78" s="501" t="inlineStr">
        <is>
          <t>02</t>
        </is>
      </c>
      <c r="Y78" s="496" t="n">
        <v>45931</v>
      </c>
      <c r="Z78" s="502">
        <f>V78</f>
        <v/>
      </c>
      <c r="AA78" s="501">
        <f>W78</f>
        <v/>
      </c>
      <c r="AB78" s="501">
        <f>X78</f>
        <v/>
      </c>
      <c r="AC78" s="503">
        <f>Y78</f>
        <v/>
      </c>
    </row>
    <row r="79" customFormat="1" s="139">
      <c r="A79" s="522" t="inlineStr">
        <is>
          <t>SOTTOSISTEMA DI BORDO ERTMS/BL3 PIATTAFORMA ELO</t>
        </is>
      </c>
      <c r="B79" s="505">
        <f>CONCATENATE(D79,"_",E79)</f>
        <v/>
      </c>
      <c r="C79" s="488" t="inlineStr">
        <is>
          <t>pdf</t>
        </is>
      </c>
      <c r="D79" s="505" t="inlineStr">
        <is>
          <t>CPR</t>
        </is>
      </c>
      <c r="E79" s="505" t="inlineStr">
        <is>
          <t>20A</t>
        </is>
      </c>
      <c r="F79" s="405">
        <f>CONCATENATE("ETR1000V300-",$D79,"-",$E79)</f>
        <v/>
      </c>
      <c r="G79" s="505" t="inlineStr">
        <is>
          <t>B60A.0100914.G00.01IT</t>
        </is>
      </c>
      <c r="H79" s="414" t="inlineStr">
        <is>
          <t>\</t>
        </is>
      </c>
      <c r="I79" s="413" t="n">
        <v>45017</v>
      </c>
      <c r="J79" s="405">
        <f>$F79</f>
        <v/>
      </c>
      <c r="K79" s="505">
        <f>$G79</f>
        <v/>
      </c>
      <c r="L79" s="414">
        <f>$H79</f>
        <v/>
      </c>
      <c r="M79" s="413">
        <f>$I79</f>
        <v/>
      </c>
      <c r="N79" s="517" t="inlineStr">
        <is>
          <t>\</t>
        </is>
      </c>
      <c r="O79" s="523" t="inlineStr">
        <is>
          <t>\</t>
        </is>
      </c>
      <c r="P79" s="460" t="inlineStr">
        <is>
          <t>\</t>
        </is>
      </c>
      <c r="Q79" s="519" t="inlineStr">
        <is>
          <t>\</t>
        </is>
      </c>
      <c r="R79" s="517" t="n"/>
      <c r="S79" s="518" t="n"/>
      <c r="T79" s="518" t="n"/>
      <c r="U79" s="519" t="n"/>
      <c r="V79" s="517" t="n"/>
      <c r="W79" s="518" t="n"/>
      <c r="X79" s="518" t="n"/>
      <c r="Y79" s="496" t="n"/>
      <c r="Z79" s="517" t="n"/>
      <c r="AA79" s="518" t="n"/>
      <c r="AB79" s="518" t="n"/>
      <c r="AC79" s="519"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6"/>
    <col width="8.7109375" customWidth="1" style="103" min="27" max="16384"/>
  </cols>
  <sheetData>
    <row r="1" ht="21.6" customFormat="1" customHeight="1" s="105">
      <c r="A1" s="526" t="inlineStr">
        <is>
          <t>DOC DESCRIPTION</t>
        </is>
      </c>
      <c r="B1" s="542" t="inlineStr">
        <is>
          <t>DOC ID</t>
        </is>
      </c>
      <c r="C1" s="542" t="inlineStr">
        <is>
          <t>DOC EXT</t>
        </is>
      </c>
      <c r="D1" s="546" t="inlineStr">
        <is>
          <t>VZI_Base</t>
        </is>
      </c>
      <c r="E1" s="547" t="n"/>
      <c r="F1" s="544" t="inlineStr">
        <is>
          <t>VZI_New14</t>
        </is>
      </c>
      <c r="G1" s="545" t="n"/>
      <c r="H1" s="546" t="inlineStr">
        <is>
          <t>VZ_FR</t>
        </is>
      </c>
      <c r="I1" s="547" t="n"/>
      <c r="J1" s="544" t="inlineStr">
        <is>
          <t>VZ_ES</t>
        </is>
      </c>
      <c r="K1" s="545" t="n"/>
      <c r="L1" s="546" t="inlineStr">
        <is>
          <t>VZI-6_R1</t>
        </is>
      </c>
      <c r="M1" s="547" t="n"/>
      <c r="N1" s="544" t="inlineStr">
        <is>
          <t>VZI-4_R1</t>
        </is>
      </c>
      <c r="O1" s="545" t="n"/>
      <c r="P1" s="546" t="inlineStr">
        <is>
          <t>VZ_DAI</t>
        </is>
      </c>
      <c r="Q1" s="547" t="n"/>
      <c r="R1" s="544" t="inlineStr">
        <is>
          <t>VZ_Esxx</t>
        </is>
      </c>
      <c r="S1" s="545" t="n"/>
    </row>
    <row r="2" ht="21.6" customFormat="1" customHeight="1" s="105">
      <c r="A2" s="528" t="n"/>
      <c r="B2" s="543" t="n"/>
      <c r="C2" s="543"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40" t="inlineStr">
        <is>
          <t>Codice</t>
        </is>
      </c>
      <c r="M2" s="540"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92">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92">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55" zoomScaleNormal="55" workbookViewId="0">
      <pane xSplit="2" ySplit="1" topLeftCell="C23" activePane="bottomRight" state="frozen"/>
      <selection pane="topRight" activeCell="F1" sqref="F1"/>
      <selection pane="bottomLeft" activeCell="A3" sqref="A3"/>
      <selection pane="bottomRight" activeCell="F59" sqref="F59"/>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21"/>
    <col width="8.7109375" customWidth="1" style="103" min="22" max="16384"/>
  </cols>
  <sheetData>
    <row r="1" ht="30" customFormat="1" customHeight="1" s="105">
      <c r="A1" s="156" t="inlineStr">
        <is>
          <t>FUNC ID</t>
        </is>
      </c>
      <c r="B1" s="156" t="inlineStr">
        <is>
          <t>DESCRIZIONE FUNZIONE</t>
        </is>
      </c>
      <c r="C1" s="526" t="inlineStr">
        <is>
          <t>DOC
CARTELLA</t>
        </is>
      </c>
      <c r="D1" s="526" t="inlineStr">
        <is>
          <t>DOC ID</t>
        </is>
      </c>
      <c r="E1" s="526" t="inlineStr">
        <is>
          <t>Info DOC</t>
        </is>
      </c>
      <c r="F1" s="136" t="inlineStr">
        <is>
          <t>VZI_Base</t>
        </is>
      </c>
      <c r="G1" s="136" t="inlineStr">
        <is>
          <t>VZI_New14</t>
        </is>
      </c>
      <c r="H1" s="538" t="inlineStr">
        <is>
          <t>VZ_FR</t>
        </is>
      </c>
      <c r="I1" s="538" t="inlineStr">
        <is>
          <t>VZ_ES</t>
        </is>
      </c>
      <c r="J1" s="538" t="inlineStr">
        <is>
          <t>VZI-6_R1</t>
        </is>
      </c>
      <c r="K1" s="538"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92">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92">
      <c r="B4" s="144" t="n"/>
      <c r="D4" s="358" t="n"/>
      <c r="E4" s="186" t="inlineStr">
        <is>
          <t>Rif. Pagina</t>
        </is>
      </c>
      <c r="F4" s="50" t="n">
        <v>276</v>
      </c>
      <c r="G4" s="164" t="n">
        <v>243</v>
      </c>
      <c r="H4" s="50" t="n"/>
      <c r="I4" s="50" t="n"/>
      <c r="J4" s="50" t="n">
        <v>144</v>
      </c>
      <c r="K4" s="85" t="n"/>
      <c r="L4" s="50" t="n"/>
    </row>
    <row r="5" outlineLevel="2" ht="75" customHeight="1" s="592">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92">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92">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92">
      <c r="B8" s="144" t="n"/>
      <c r="D8" s="358" t="n"/>
      <c r="E8" s="186" t="inlineStr">
        <is>
          <t>Rif. Pagina</t>
        </is>
      </c>
      <c r="F8" s="50" t="n">
        <v>171</v>
      </c>
      <c r="G8" s="50" t="n"/>
      <c r="H8" s="50" t="n"/>
      <c r="I8" s="50" t="n"/>
      <c r="J8" s="50" t="n">
        <v>131</v>
      </c>
      <c r="K8" s="85" t="n"/>
      <c r="L8" s="50" t="n"/>
    </row>
    <row r="9" outlineLevel="2" ht="120" customHeight="1" s="592">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92">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92">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92">
      <c r="B12" s="144" t="n"/>
      <c r="D12" s="358" t="n"/>
      <c r="E12" s="186" t="inlineStr">
        <is>
          <t>Rif. Pagina</t>
        </is>
      </c>
      <c r="F12" s="50" t="n">
        <v>117</v>
      </c>
      <c r="G12" s="50" t="n"/>
      <c r="H12" s="50" t="n"/>
      <c r="I12" s="50" t="n"/>
      <c r="J12" s="50" t="n">
        <v>154</v>
      </c>
      <c r="K12" s="50" t="n"/>
      <c r="L12" s="50" t="n"/>
    </row>
    <row r="13" outlineLevel="2" ht="240" customHeight="1" s="592">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92">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92">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92">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92">
      <c r="A18" s="179" t="n"/>
      <c r="B18" s="386" t="n"/>
      <c r="C18" s="180" t="n"/>
      <c r="D18" s="50" t="n"/>
      <c r="E18" s="186" t="inlineStr">
        <is>
          <t>Rif. Pagina</t>
        </is>
      </c>
      <c r="F18" s="50" t="n">
        <v>388</v>
      </c>
      <c r="G18" s="50" t="n"/>
      <c r="H18" s="50" t="n"/>
      <c r="I18" s="50" t="n"/>
      <c r="J18" s="50" t="n">
        <v>264</v>
      </c>
      <c r="K18" s="85" t="n"/>
      <c r="L18" s="50" t="n"/>
    </row>
    <row r="19" outlineLevel="2" ht="150" customHeight="1" s="592">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92">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92">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92">
      <c r="A22" s="179" t="n"/>
      <c r="C22" s="180" t="n"/>
      <c r="D22" s="358" t="n"/>
      <c r="E22" s="186" t="inlineStr">
        <is>
          <t>Rif. Pagina</t>
        </is>
      </c>
      <c r="F22" s="50" t="n">
        <v>14</v>
      </c>
      <c r="G22" s="50" t="n">
        <v>12</v>
      </c>
      <c r="H22" s="50" t="n"/>
      <c r="I22" s="50" t="n"/>
      <c r="J22" s="50" t="n">
        <v>1</v>
      </c>
      <c r="K22" s="50" t="n"/>
      <c r="L22" s="50" t="n"/>
    </row>
    <row r="23" outlineLevel="2" ht="409.5" customHeight="1" s="592">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92">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92">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92">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92">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92">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92">
      <c r="A30" s="183" t="n"/>
      <c r="B30" s="184" t="n"/>
      <c r="C30" s="178" t="n"/>
      <c r="D30" s="50" t="n"/>
      <c r="E30" s="186" t="inlineStr">
        <is>
          <t>Rif. Pagina</t>
        </is>
      </c>
      <c r="F30" s="50" t="n">
        <v>1</v>
      </c>
      <c r="G30" s="50" t="n"/>
      <c r="H30" s="50" t="n"/>
      <c r="I30" s="50" t="n"/>
      <c r="J30" s="50" t="n">
        <v>1</v>
      </c>
      <c r="K30" s="50" t="n"/>
      <c r="L30" s="50" t="n"/>
    </row>
    <row r="31" outlineLevel="1" s="592">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92">
      <c r="A32" s="183" t="n"/>
      <c r="B32" s="184" t="n"/>
      <c r="C32" s="184" t="n"/>
      <c r="D32" s="50" t="n"/>
      <c r="E32" s="186" t="inlineStr">
        <is>
          <t>Rif. Pagina</t>
        </is>
      </c>
      <c r="F32" s="50" t="n">
        <v>1</v>
      </c>
      <c r="G32" s="50" t="n"/>
      <c r="H32" s="50" t="n"/>
      <c r="I32" s="50" t="n"/>
      <c r="J32" s="50" t="n">
        <v>1</v>
      </c>
      <c r="K32" s="50" t="n"/>
      <c r="L32" s="50" t="n"/>
    </row>
    <row r="33" outlineLevel="1" s="592">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92">
      <c r="A34" s="116" t="n"/>
      <c r="B34" s="144" t="n"/>
      <c r="D34" s="358" t="n"/>
      <c r="E34" s="186" t="inlineStr">
        <is>
          <t>Rif. Pagina</t>
        </is>
      </c>
      <c r="F34" s="50" t="n">
        <v>1</v>
      </c>
      <c r="G34" s="50" t="n">
        <v>1</v>
      </c>
      <c r="H34" s="50" t="n"/>
      <c r="I34" s="50" t="n"/>
      <c r="J34" s="50" t="n"/>
      <c r="K34" s="50" t="n"/>
      <c r="L34" s="50" t="n"/>
    </row>
    <row r="35" outlineLevel="2" s="592">
      <c r="A35" s="116" t="n"/>
      <c r="B35" s="144" t="n"/>
      <c r="D35" s="108" t="n"/>
      <c r="E35" s="85" t="inlineStr">
        <is>
          <t>Descrizione</t>
        </is>
      </c>
      <c r="F35" s="50" t="n"/>
      <c r="G35" s="50" t="n"/>
      <c r="H35" s="50" t="n"/>
      <c r="I35" s="50" t="n"/>
      <c r="J35" s="50" t="n"/>
      <c r="K35" s="50" t="n"/>
      <c r="L35" s="50" t="n"/>
    </row>
    <row r="36" outlineLevel="1" s="592">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92">
      <c r="A37" s="116" t="n"/>
      <c r="B37" s="144" t="n"/>
      <c r="D37" s="358" t="n"/>
      <c r="E37" s="85" t="inlineStr">
        <is>
          <t>Pagina</t>
        </is>
      </c>
      <c r="F37" s="50" t="n">
        <v>1</v>
      </c>
      <c r="G37" s="50" t="n"/>
      <c r="H37" s="50" t="n"/>
      <c r="I37" s="50" t="n"/>
      <c r="J37" s="50" t="n"/>
      <c r="K37" s="50" t="n"/>
      <c r="L37" s="50" t="n"/>
    </row>
    <row r="38" outlineLevel="1" s="592">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92">
      <c r="A39" s="116" t="n"/>
      <c r="B39" s="144" t="n"/>
      <c r="D39" s="358" t="n"/>
      <c r="E39" s="85" t="inlineStr">
        <is>
          <t>Pagina</t>
        </is>
      </c>
      <c r="F39" s="50" t="n">
        <v>1</v>
      </c>
      <c r="G39" s="50" t="n"/>
      <c r="H39" s="50" t="n"/>
      <c r="I39" s="50" t="n"/>
      <c r="J39" s="50" t="n"/>
      <c r="K39" s="50" t="n"/>
      <c r="L39" s="50" t="n"/>
    </row>
    <row r="40" ht="30" customHeight="1" s="592">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92">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92">
      <c r="A42" s="183" t="n"/>
      <c r="B42" s="184" t="n"/>
      <c r="C42" s="184" t="n"/>
      <c r="D42" s="50" t="n"/>
      <c r="E42" s="186" t="inlineStr">
        <is>
          <t>Rif. Pagina</t>
        </is>
      </c>
      <c r="F42" s="50" t="n">
        <v>7</v>
      </c>
      <c r="G42" s="50" t="n"/>
      <c r="H42" s="50" t="n">
        <v>7</v>
      </c>
      <c r="I42" s="50" t="n">
        <v>7</v>
      </c>
      <c r="J42" s="50" t="n">
        <v>12</v>
      </c>
      <c r="K42" s="85" t="n"/>
      <c r="L42" s="50" t="n"/>
    </row>
    <row r="43" outlineLevel="2" s="592">
      <c r="A43" s="183" t="n"/>
      <c r="B43" s="184" t="n"/>
      <c r="C43" s="184" t="n"/>
      <c r="D43" s="434" t="n"/>
      <c r="E43" s="455" t="inlineStr">
        <is>
          <t>Funzioni AI</t>
        </is>
      </c>
      <c r="F43" s="625" t="inlineStr">
        <is>
          <t>La funzione ferroviaria LV_Country_code_selection è una selezione su IDU del paese corrente per informare la PCU sui pantografi selezionabili. Coinvolti sono il sistema di controllo elettronico (IDU), il sistema di propulsione, i PCU della traine e il software di gestione del sistema. La funzione viene attivata quando il driver seleziona un paese corrente sul IDU, che viene poi inviato a tutti i PCU della traine. In caso di fallimento, il sistema deve essere riconosciuto e l'azione di ripristino prese.
Analisi — Funzione equivalente tra le seguenti configurazioni: VZI_Base, VZ_FR, VZ_ES, VZI-6_R1.
Pagina di riferimento: 7.</t>
        </is>
      </c>
      <c r="G43" s="456" t="n"/>
      <c r="H43" s="625" t="inlineStr">
        <is>
          <t>La funzione ferroviaria LV_Country_code_selection è una selezione su IDU del paese corrente per informare la PCU sui pantografi selezionabili. È coinvolta nella gestione elettrica del treno, specificamente nella configurazione della tensione di linea e dei pantografi adatti al paese di operazione. La funzione è attivata quando il driver seleziona un paese dall'IDU, che viene poi inviato alle PCU per configurare la tensione di linea e i pantografi appropriati. In caso di fallimento, la funzione supervisiona l'errore e fornisce feedback al driver. La funzione è progettata con una sicurezza di SIL 2 e richiede la conferma del driver prima dell'attivazione.
Analisi — Funzione equivalente tra le seguenti configurazioni: VZI_Base, VZ_FR, VZ_ES, VZI-6_R1.
Pagina di riferimento: 7.</t>
        </is>
      </c>
      <c r="I43" s="625" t="inlineStr">
        <is>
          <t>La funzione ferroviaria LV_Country_code_selection seleziona l'IDU del paese corrente per informare la PCU sui pantografi selezionabili. Coinvolti sono il sistema di gestione della velocità (TCMS), l'IDU e la PCU, con la logica di funzionamento basata sulla selezione di un codice di paese valido (1-8) che viene inviato alle PCU per configurare i pantografi. La funzione è progettata per garantire una sicurezza di livello SIL 2 e prevede la ridondanza nella comunicazione tra TCMS, IDU e PCU.
Analisi — Funzione equivalente tra le seguenti configurazioni: VZI_Base, VZ_FR, VZ_ES, VZI-6_R1.
Pagina di riferimento: 7.</t>
        </is>
      </c>
      <c r="J43" s="625" t="inlineStr">
        <is>
          <t>La funzione ferroviaria LV_Country_code_selection seleziona l'IDU del paese corrente per informare la PCU sui pantografi selezionabili, utilizzando il codice di paese Italy come riferimento operativo. La funzione è coinvoltiva del sistema IDU e della PCU, ed è caratterizzata da due condizioni di attivazione: se un codice non disponibile viene selezionato o se un codice non definito viene selezionato, il sistema invia una messaggio al conducente. La funzione è progettata per garantire la sicurezza e l'efficienza del sistema, con requisiti di sicurezza SIL 2.
Analisi — Funzione equivalente tra le seguenti configurazioni: VZI_Base, VZ_FR, VZ_ES, VZI-6_R1.
Pagina di riferimento: 12.</t>
        </is>
      </c>
      <c r="K43" s="455" t="n"/>
      <c r="L43" s="457" t="n"/>
    </row>
    <row r="44" ht="30" customHeight="1" s="592">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92">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92">
      <c r="A46" s="183" t="n"/>
      <c r="B46" s="184" t="n"/>
      <c r="C46" s="184" t="n"/>
      <c r="D46" s="50" t="n"/>
      <c r="E46" s="186" t="inlineStr">
        <is>
          <t>Rif. Pagina</t>
        </is>
      </c>
      <c r="F46" s="50" t="n">
        <v>8</v>
      </c>
      <c r="G46" s="50" t="n"/>
      <c r="H46" s="50" t="n">
        <v>8</v>
      </c>
      <c r="I46" s="50" t="n">
        <v>8</v>
      </c>
      <c r="J46" s="50" t="n">
        <v>13</v>
      </c>
      <c r="K46" s="85" t="n"/>
      <c r="L46" s="50" t="n"/>
    </row>
    <row r="47" outlineLevel="2" s="592">
      <c r="A47" s="183" t="n"/>
      <c r="B47" s="184" t="n"/>
      <c r="C47" s="184" t="n"/>
      <c r="D47" s="434" t="n"/>
      <c r="E47" s="455" t="inlineStr">
        <is>
          <t>Funzioni AI</t>
        </is>
      </c>
      <c r="F47" s="625" t="inlineStr">
        <is>
          <t>La funzione ferroviaria LV_Pantograph_Lifting è un comando che controlla l'alzamento dei pantografi 1 e/o 2 in base alla tensione di linea (switch) e al paese (IDU) selezionati. I componenti principali coinvolti sono il sistema di controllo del pantografo, il sistema di gestione della tensione di linea e il sistema di comunicazione TCMS-PCU. La funzione è attivata quando il driver seleziona la line voltage system e il paese corretto, e viene disattivata se non si verifica l'alzamento del pantografo entro 35 secondi o se si verificano condizioni di fallimento come mancato alzamento o uso di un tipo di pantografo sbagliato.
Analisi — Funzione equivalente tra le seguenti configurazioni: VZI_Base, VZ_FR, VZ_ES, VZI-6_R1.
Pagina iniziale: 8 — Pagina finale: 18.</t>
        </is>
      </c>
      <c r="G47" s="456" t="n"/>
      <c r="H47" s="625" t="inlineStr">
        <is>
          <t>La funzione ferroviaria LV_Pantograph_Lifting è un comando che regola l'alzamento del pantografo 1 o 2 in base alla tensione di linea e al paese selezionati. I componenti principali coinvolti sono il sistema di controllo del pantografo, il sistema di gestione della tensione di linea e il sistema di comunicazione tra il Control Center e la Plataforma. La funzione è attivata quando il driver seleziona una line voltage system e un paese, e viene disattivata se non si verifica l'alzamento del pantografo entro 35 secondi o se si verificano condizioni di fallimento.
Analisi — Funzione equivalente tra le seguenti configurazioni: VZI_Base, VZ_FR, VZ_ES, VZI-6_R1.
Pagina iniziale: 8 — Pagina finale: 15.</t>
        </is>
      </c>
      <c r="I47" s="625" t="inlineStr">
        <is>
          <t>La funzione ferroviaria LV_Pantograph_Lifting è un comando che controlla l'alzamento del pantografo 1 o 2 in base alla tensione di linea e al paese selezionati. I componenti principali coinvolti sono il sistema di controllo del pantografo, la console del conducente (PCU) e il sistema di gestione della tensione di linea (TCMS). La funzione è attivata quando il conducente seleziona una line voltage system e un paese corretto, e viene eseguita automaticamente o manualmente. In caso di fallimento, la funzione verifica se il pantografo è stato alzato correttamente e se non ci sono errori di tipo hardware o software.
Analisi — Funzione equivalente tra le seguenti configurazioni: VZI_Base, VZ_FR, VZ_ES, VZI-6_R1.
Pagina iniziale: 8 — Pagina finale: 20.</t>
        </is>
      </c>
      <c r="J47" s="625" t="inlineStr">
        <is>
          <t>La funzione ferroviaria LV_Pantograph_Lifting (Comando di alzamento pantografo 1 o 2 sulla base di tensione di linea e paese selezionati) è responsabile dell'alzamento del pantografo in base alle condizioni di linea e paese di operazione. I componenti principali coinvolti sono il sistema di controllo pantografico, il selector di tensione di linea e il software TCMS (Train Control and Management System). La funzione viene attivata quando il driver seleziona la tensione di linea e il paese di operazione, e in caso di emergenza, utilizza il paese più recentemente selezionato. La logica di funzionamento prevede l'invio di segnali al PCU (Pantograph Control Unit) e all'HVSP (High Voltage Switching Panel), con la possibilità di ridondanza per garantire la sicurezza.
Analisi — Funzione equivalente tra le seguenti configurazioni: VZI_Base, VZ_FR, VZ_ES, VZI-6_R1.
Pagina iniziale: 13 — Pagina finale: 21.</t>
        </is>
      </c>
      <c r="K47" s="455" t="n"/>
      <c r="L47" s="457" t="n"/>
    </row>
    <row r="48" ht="30" customHeight="1" s="592">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92">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92">
      <c r="A50" s="183" t="n"/>
      <c r="B50" s="184" t="n"/>
      <c r="C50" s="184" t="n"/>
      <c r="D50" s="50" t="n"/>
      <c r="E50" s="186" t="inlineStr">
        <is>
          <t>Rif. Pagina</t>
        </is>
      </c>
      <c r="F50" s="50" t="n">
        <v>14</v>
      </c>
      <c r="G50" s="50" t="n"/>
      <c r="H50" s="50" t="n">
        <v>16</v>
      </c>
      <c r="I50" s="50" t="n">
        <v>14</v>
      </c>
      <c r="J50" s="50" t="n">
        <v>19</v>
      </c>
      <c r="K50" s="85" t="n"/>
      <c r="L50" s="50" t="n"/>
    </row>
    <row r="51" outlineLevel="2" s="592">
      <c r="A51" s="183" t="n"/>
      <c r="B51" s="184" t="n"/>
      <c r="C51" s="184" t="n"/>
      <c r="D51" s="434" t="n"/>
      <c r="E51" s="455" t="inlineStr">
        <is>
          <t>Funzioni AI</t>
        </is>
      </c>
      <c r="F51" s="625" t="inlineStr">
        <is>
          <t>La funzione ferroviaria LV_Pantograph_Lowering (Comando di abbassamento pantografo) è finalizzata a ridurre il pantografo in modo sicuro e controllato quando si deattiva la linea elettrica. La funzione coinvolge il sistema elettrico, il controllo del pantografo e il blocco della seconda pantografia in caso di interazione con la prima. La logica di funzionamento attiva il comando di abbassamento quando si verifica una delle seguenti condizioni: deattivazione della linea elettrica, pressione dell'Emergency push button o avvenuta una manovra di blocco del pantografo.
Analisi — Funzione equivalente tra le seguenti configurazioni: VZI_Base, VZ_FR, VZ_ES, VZI-6_R1.
Pagina iniziale: 14 — Pagina finale: 29.</t>
        </is>
      </c>
      <c r="G51" s="456" t="n"/>
      <c r="H51" s="625"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comandi di abbassamento (pantograph down) e l'impianto di sicurezza. La funzione viene attivata quando si verifica una delle seguenti condizioni: deattivazione della linea elettrica, pressione dell'emergenza o fallimento del sistema di controllo. In caso di fallimento, il pantografo viene bloccato per garantire la sicurezza.
Analisi — Funzione equivalente tra le seguenti configurazioni: VZI_Base, VZ_FR, VZ_ES, VZI-6_R1.
Pagina iniziale: 16 — Pagina finale: 20.</t>
        </is>
      </c>
      <c r="I51" s="465" t="n"/>
      <c r="J51" s="465" t="n"/>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3" t="n"/>
      <c r="D54" s="361" t="n"/>
      <c r="E54" s="321" t="inlineStr">
        <is>
          <t>Rif. Pagina</t>
        </is>
      </c>
      <c r="F54" s="322" t="n">
        <v>16</v>
      </c>
      <c r="G54" s="322" t="n"/>
      <c r="H54" s="322" t="n">
        <v>18</v>
      </c>
      <c r="I54" s="322" t="n">
        <v>16</v>
      </c>
      <c r="J54" s="322" t="n">
        <v>22</v>
      </c>
      <c r="K54" s="322" t="n"/>
      <c r="L54" s="322" t="n"/>
    </row>
    <row r="55" outlineLevel="2" customFormat="1" s="13">
      <c r="B55" s="103" t="n"/>
      <c r="C55" s="543" t="n"/>
      <c r="D55" s="458" t="n"/>
      <c r="E55" s="459" t="inlineStr">
        <is>
          <t>Funzioni AI</t>
        </is>
      </c>
      <c r="F55" s="465" t="n"/>
      <c r="G55" s="460" t="n"/>
      <c r="H55" s="465" t="n"/>
      <c r="I55" s="465" t="n"/>
      <c r="J55" s="465" t="n"/>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3" t="n"/>
      <c r="D58" s="361" t="n"/>
      <c r="E58" s="321" t="inlineStr">
        <is>
          <t>Rif. Pagina</t>
        </is>
      </c>
      <c r="F58" s="322" t="n">
        <v>18</v>
      </c>
      <c r="G58" s="322" t="n"/>
      <c r="H58" s="322" t="n">
        <v>21</v>
      </c>
      <c r="I58" s="322" t="n">
        <v>21</v>
      </c>
      <c r="J58" s="322" t="n">
        <v>26</v>
      </c>
      <c r="K58" s="322" t="n"/>
      <c r="L58" s="322" t="n"/>
    </row>
    <row r="59" outlineLevel="2" customFormat="1" s="13">
      <c r="B59" s="103" t="n"/>
      <c r="C59" s="543" t="n"/>
      <c r="D59" s="458" t="n"/>
      <c r="E59" s="459" t="inlineStr">
        <is>
          <t>Funzioni AI</t>
        </is>
      </c>
      <c r="F59" s="465" t="n"/>
      <c r="G59" s="460" t="n"/>
      <c r="H59" s="465" t="n"/>
      <c r="I59" s="465" t="n"/>
      <c r="J59" s="465" t="n"/>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3" t="n"/>
      <c r="D62" s="361" t="n"/>
      <c r="E62" s="321" t="inlineStr">
        <is>
          <t>Rif. Pagina</t>
        </is>
      </c>
      <c r="F62" s="322" t="n">
        <v>20</v>
      </c>
      <c r="G62" s="322" t="n"/>
      <c r="H62" s="322" t="n">
        <v>22</v>
      </c>
      <c r="I62" s="322" t="n">
        <v>22</v>
      </c>
      <c r="J62" s="322" t="n">
        <v>28</v>
      </c>
      <c r="K62" s="322" t="n"/>
      <c r="L62" s="322" t="n"/>
    </row>
    <row r="63" outlineLevel="2" customFormat="1" s="13">
      <c r="B63" s="103" t="n"/>
      <c r="C63" s="543" t="n"/>
      <c r="D63" s="458" t="n"/>
      <c r="E63" s="459" t="inlineStr">
        <is>
          <t>Funzioni AI</t>
        </is>
      </c>
      <c r="F63" s="465" t="n"/>
      <c r="G63" s="460" t="n"/>
      <c r="H63" s="465" t="n"/>
      <c r="I63" s="465" t="n"/>
      <c r="J63" s="465" t="n"/>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3" t="n"/>
      <c r="D66" s="361" t="n"/>
      <c r="E66" s="321" t="inlineStr">
        <is>
          <t>Rif. Pagina</t>
        </is>
      </c>
      <c r="F66" s="322" t="n">
        <v>21</v>
      </c>
      <c r="G66" s="322" t="n"/>
      <c r="H66" s="322" t="n">
        <v>24</v>
      </c>
      <c r="I66" s="322" t="n">
        <v>23</v>
      </c>
      <c r="J66" s="322" t="n">
        <v>29</v>
      </c>
      <c r="K66" s="322" t="n"/>
      <c r="L66" s="322" t="n"/>
    </row>
    <row r="67" outlineLevel="2" customFormat="1" s="13">
      <c r="B67" s="103" t="n"/>
      <c r="C67" s="543" t="n"/>
      <c r="D67" s="458" t="n"/>
      <c r="E67" s="459" t="inlineStr">
        <is>
          <t>Funzioni AI</t>
        </is>
      </c>
      <c r="F67" s="465" t="n"/>
      <c r="G67" s="460" t="n"/>
      <c r="H67" s="465" t="n"/>
      <c r="I67" s="465" t="n"/>
      <c r="J67" s="465" t="n"/>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3" t="n"/>
      <c r="D70" s="361" t="n"/>
      <c r="E70" s="321" t="inlineStr">
        <is>
          <t>Rif. Pagina</t>
        </is>
      </c>
      <c r="F70" s="322" t="n">
        <v>23</v>
      </c>
      <c r="G70" s="322" t="n"/>
      <c r="H70" s="322" t="n">
        <v>25</v>
      </c>
      <c r="I70" s="322" t="n">
        <v>24</v>
      </c>
      <c r="J70" s="322" t="n">
        <v>30</v>
      </c>
      <c r="K70" s="322" t="n"/>
      <c r="L70" s="322" t="n"/>
    </row>
    <row r="71" outlineLevel="2" customFormat="1" s="13">
      <c r="B71" s="103" t="n"/>
      <c r="C71" s="543" t="n"/>
      <c r="D71" s="458" t="n"/>
      <c r="E71" s="459" t="inlineStr">
        <is>
          <t>Funzioni AI</t>
        </is>
      </c>
      <c r="F71" s="465" t="n"/>
      <c r="G71" s="460" t="n"/>
      <c r="H71" s="465" t="n"/>
      <c r="I71" s="466" t="n"/>
      <c r="J71" s="465" t="n"/>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3" t="n"/>
      <c r="D74" s="361" t="n"/>
      <c r="E74" s="321" t="inlineStr">
        <is>
          <t>Rif. Pagina</t>
        </is>
      </c>
      <c r="F74" s="322" t="n">
        <v>25</v>
      </c>
      <c r="G74" s="322" t="n"/>
      <c r="H74" s="322" t="n">
        <v>29</v>
      </c>
      <c r="I74" s="322" t="n">
        <v>27</v>
      </c>
      <c r="J74" s="322" t="n">
        <v>36</v>
      </c>
      <c r="K74" s="322" t="n"/>
      <c r="L74" s="322" t="n"/>
    </row>
    <row r="75" outlineLevel="2" customFormat="1" s="13">
      <c r="B75" s="103" t="n"/>
      <c r="C75" s="543" t="n"/>
      <c r="D75" s="458" t="n"/>
      <c r="E75" s="459" t="inlineStr">
        <is>
          <t>Funzioni AI</t>
        </is>
      </c>
      <c r="F75" s="466" t="n"/>
      <c r="G75" s="460" t="n"/>
      <c r="H75" s="466" t="n"/>
      <c r="I75" s="466" t="n"/>
      <c r="J75" s="466" t="n"/>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3" t="n"/>
      <c r="D78" s="361" t="n"/>
      <c r="E78" s="321" t="inlineStr">
        <is>
          <t>Rif. Pagina</t>
        </is>
      </c>
      <c r="F78" s="322" t="n">
        <v>27</v>
      </c>
      <c r="G78" s="322" t="n"/>
      <c r="H78" s="322" t="n">
        <v>31</v>
      </c>
      <c r="I78" s="322" t="n">
        <v>29</v>
      </c>
      <c r="J78" s="322" t="n">
        <v>39</v>
      </c>
      <c r="K78" s="322" t="n"/>
      <c r="L78" s="322" t="n"/>
    </row>
    <row r="79" outlineLevel="2" customFormat="1" s="13">
      <c r="B79" s="103" t="n"/>
      <c r="C79" s="543" t="n"/>
      <c r="D79" s="458" t="n"/>
      <c r="E79" s="459" t="inlineStr">
        <is>
          <t>Funzioni AI</t>
        </is>
      </c>
      <c r="F79" s="465" t="n"/>
      <c r="G79" s="460" t="n"/>
      <c r="H79" s="466" t="n"/>
      <c r="I79" s="465" t="n"/>
      <c r="J79" s="465" t="n"/>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3" t="n"/>
      <c r="D82" s="361" t="n"/>
      <c r="E82" s="321" t="inlineStr">
        <is>
          <t>Rif. Pagina</t>
        </is>
      </c>
      <c r="F82" s="322" t="n">
        <v>29</v>
      </c>
      <c r="G82" s="322" t="n"/>
      <c r="H82" s="322" t="n">
        <v>34</v>
      </c>
      <c r="I82" s="322" t="n">
        <v>31</v>
      </c>
      <c r="J82" s="322" t="n">
        <v>42</v>
      </c>
      <c r="K82" s="322" t="n"/>
      <c r="L82" s="322" t="n"/>
    </row>
    <row r="83" outlineLevel="2" customFormat="1" s="13">
      <c r="B83" s="103" t="n"/>
      <c r="C83" s="543" t="n"/>
      <c r="D83" s="458" t="n"/>
      <c r="E83" s="459" t="inlineStr">
        <is>
          <t>Funzioni AI</t>
        </is>
      </c>
      <c r="F83" s="469" t="n"/>
      <c r="G83" s="460" t="n"/>
      <c r="H83" s="469" t="n"/>
      <c r="I83" s="469" t="n"/>
      <c r="J83" s="469" t="n"/>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3" t="n"/>
      <c r="D86" s="361" t="n"/>
      <c r="E86" s="321" t="inlineStr">
        <is>
          <t>Rif. Pagina</t>
        </is>
      </c>
      <c r="F86" s="322" t="n">
        <v>30</v>
      </c>
      <c r="G86" s="322" t="n"/>
      <c r="H86" s="322" t="n">
        <v>35</v>
      </c>
      <c r="I86" s="322" t="n">
        <v>32</v>
      </c>
      <c r="J86" s="322" t="n">
        <v>43</v>
      </c>
      <c r="K86" s="322" t="n"/>
      <c r="L86" s="322" t="n"/>
    </row>
    <row r="87" outlineLevel="2" customFormat="1" s="13">
      <c r="B87" s="103" t="n"/>
      <c r="C87" s="543" t="n"/>
      <c r="D87" s="458" t="n"/>
      <c r="E87" s="459" t="inlineStr">
        <is>
          <t>Funzioni AI</t>
        </is>
      </c>
      <c r="F87" s="469" t="n"/>
      <c r="G87" s="460" t="n"/>
      <c r="H87" s="469" t="n"/>
      <c r="I87" s="469" t="n"/>
      <c r="J87" s="469" t="n"/>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3" t="n"/>
      <c r="D90" s="361" t="n"/>
      <c r="E90" s="321" t="inlineStr">
        <is>
          <t>Rif. Pagina</t>
        </is>
      </c>
      <c r="F90" s="322" t="n">
        <v>34</v>
      </c>
      <c r="G90" s="322" t="n"/>
      <c r="H90" s="322" t="n">
        <v>39</v>
      </c>
      <c r="I90" s="322" t="n">
        <v>35</v>
      </c>
      <c r="J90" s="322" t="n">
        <v>47</v>
      </c>
      <c r="K90" s="322" t="n"/>
      <c r="L90" s="322" t="n"/>
    </row>
    <row r="91" outlineLevel="2" customFormat="1" s="13">
      <c r="B91" s="103" t="n"/>
      <c r="C91" s="543" t="n"/>
      <c r="D91" s="458" t="n"/>
      <c r="E91" s="459" t="inlineStr">
        <is>
          <t>Funzioni AI</t>
        </is>
      </c>
      <c r="F91" s="469" t="n"/>
      <c r="G91" s="460" t="n"/>
      <c r="H91" s="469" t="n"/>
      <c r="I91" s="469" t="n"/>
      <c r="J91" s="469" t="n"/>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3" t="n"/>
      <c r="D94" s="361" t="n"/>
      <c r="E94" s="321" t="inlineStr">
        <is>
          <t>Rif. Pagina</t>
        </is>
      </c>
      <c r="F94" s="322" t="n">
        <v>37</v>
      </c>
      <c r="G94" s="322" t="n"/>
      <c r="H94" s="322" t="n">
        <v>42</v>
      </c>
      <c r="I94" s="322" t="n">
        <v>38</v>
      </c>
      <c r="J94" s="322" t="n">
        <v>50</v>
      </c>
      <c r="K94" s="322" t="n"/>
      <c r="L94" s="322" t="n"/>
    </row>
    <row r="95" outlineLevel="2" customFormat="1" s="13">
      <c r="B95" s="103" t="n"/>
      <c r="C95" s="543" t="n"/>
      <c r="D95" s="458" t="n"/>
      <c r="E95" s="459" t="inlineStr">
        <is>
          <t>Funzioni AI</t>
        </is>
      </c>
      <c r="F95" s="470" t="n"/>
      <c r="G95" s="460" t="n"/>
      <c r="H95" s="466" t="n"/>
      <c r="I95" s="469" t="n"/>
      <c r="J95" s="469" t="n"/>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3" t="n"/>
      <c r="D98" s="361" t="n"/>
      <c r="E98" s="321" t="inlineStr">
        <is>
          <t>Rif. Pagina</t>
        </is>
      </c>
      <c r="F98" s="322" t="n">
        <v>40</v>
      </c>
      <c r="G98" s="322" t="n"/>
      <c r="H98" s="322" t="n">
        <v>46</v>
      </c>
      <c r="I98" s="322" t="n">
        <v>42</v>
      </c>
      <c r="J98" s="322" t="n">
        <v>56</v>
      </c>
      <c r="K98" s="322" t="n"/>
      <c r="L98" s="322" t="n"/>
    </row>
    <row r="99" outlineLevel="2" customFormat="1" s="13">
      <c r="B99" s="103" t="n"/>
      <c r="C99" s="543" t="n"/>
      <c r="D99" s="458" t="n"/>
      <c r="E99" s="459" t="inlineStr">
        <is>
          <t>Funzioni AI</t>
        </is>
      </c>
      <c r="F99" s="472" t="n"/>
      <c r="G99" s="460" t="n"/>
      <c r="H99" s="472" t="n"/>
      <c r="I99" s="472" t="n"/>
      <c r="J99" s="472" t="n"/>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3" t="n"/>
      <c r="D102" s="361" t="n"/>
      <c r="E102" s="321" t="inlineStr">
        <is>
          <t>Rif. Pagina</t>
        </is>
      </c>
      <c r="F102" s="322" t="n">
        <v>45</v>
      </c>
      <c r="G102" s="322" t="n"/>
      <c r="H102" s="322" t="n">
        <v>52</v>
      </c>
      <c r="I102" s="322" t="n">
        <v>47</v>
      </c>
      <c r="J102" s="322" t="n">
        <v>61</v>
      </c>
      <c r="K102" s="322" t="n"/>
      <c r="L102" s="322" t="n"/>
    </row>
    <row r="103" outlineLevel="2" customFormat="1" s="13">
      <c r="B103" s="103" t="n"/>
      <c r="C103" s="543" t="n"/>
      <c r="D103" s="458" t="n"/>
      <c r="E103" s="459" t="inlineStr">
        <is>
          <t>Funzioni AI</t>
        </is>
      </c>
      <c r="F103" s="473" t="n"/>
      <c r="G103" s="460" t="n"/>
      <c r="H103" s="473" t="n"/>
      <c r="I103" s="473" t="n"/>
      <c r="J103" s="473" t="n"/>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3" t="n"/>
      <c r="D106" s="361" t="n"/>
      <c r="E106" s="321" t="inlineStr">
        <is>
          <t>Rif. Pagina</t>
        </is>
      </c>
      <c r="F106" s="322" t="n"/>
      <c r="G106" s="322" t="n"/>
      <c r="H106" s="322" t="n"/>
      <c r="I106" s="322" t="n"/>
      <c r="J106" s="322" t="n">
        <v>65</v>
      </c>
      <c r="K106" s="322" t="n"/>
      <c r="L106" s="322" t="n"/>
    </row>
    <row r="107" outlineLevel="2" customFormat="1" s="13">
      <c r="B107" s="103" t="n"/>
      <c r="C107" s="543" t="n"/>
      <c r="D107" s="458" t="n"/>
      <c r="E107" s="459" t="inlineStr">
        <is>
          <t>Funzioni AI</t>
        </is>
      </c>
      <c r="F107" s="460" t="n"/>
      <c r="G107" s="460" t="n"/>
      <c r="H107" s="460" t="n"/>
      <c r="I107" s="460" t="n"/>
      <c r="J107" s="471" t="n"/>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3" t="n"/>
      <c r="D110" s="361" t="n"/>
      <c r="E110" s="321" t="inlineStr">
        <is>
          <t>Rif. Pagina</t>
        </is>
      </c>
      <c r="F110" s="322" t="n"/>
      <c r="G110" s="322" t="n"/>
      <c r="H110" s="322" t="n"/>
      <c r="I110" s="322" t="n"/>
      <c r="J110" s="322" t="n">
        <v>68</v>
      </c>
      <c r="K110" s="322" t="n"/>
      <c r="L110" s="322" t="n"/>
    </row>
    <row r="111" outlineLevel="2" customFormat="1" s="13">
      <c r="B111" s="103" t="n"/>
      <c r="C111" s="543" t="n"/>
      <c r="D111" s="458" t="n"/>
      <c r="E111" s="459" t="inlineStr">
        <is>
          <t>Funzioni AI</t>
        </is>
      </c>
      <c r="F111" s="460" t="n"/>
      <c r="G111" s="460" t="n"/>
      <c r="H111" s="460" t="n"/>
      <c r="I111" s="460" t="n"/>
      <c r="J111" s="471" t="n"/>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3" t="n"/>
      <c r="D114" s="361" t="n"/>
      <c r="E114" s="321" t="inlineStr">
        <is>
          <t>Rif. Pagina</t>
        </is>
      </c>
      <c r="F114" s="322" t="n"/>
      <c r="G114" s="322" t="n"/>
      <c r="H114" s="322" t="n">
        <v>54</v>
      </c>
      <c r="I114" s="322" t="n">
        <v>49</v>
      </c>
      <c r="J114" s="322" t="n">
        <v>71</v>
      </c>
      <c r="K114" s="322" t="n"/>
      <c r="L114" s="322" t="n"/>
    </row>
    <row r="115" outlineLevel="2" customFormat="1" s="13">
      <c r="B115" s="103" t="n"/>
      <c r="C115" s="543" t="n"/>
      <c r="D115" s="458" t="n"/>
      <c r="E115" s="459" t="inlineStr">
        <is>
          <t>Funzioni AI</t>
        </is>
      </c>
      <c r="F115" s="460" t="n"/>
      <c r="G115" s="460" t="n"/>
      <c r="H115" s="473" t="n"/>
      <c r="I115" s="473" t="n"/>
      <c r="J115" s="473" t="n"/>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3" t="n"/>
      <c r="D118" s="361" t="n"/>
      <c r="E118" s="321" t="inlineStr">
        <is>
          <t>Rif. Pagina</t>
        </is>
      </c>
      <c r="F118" s="322" t="n">
        <v>48</v>
      </c>
      <c r="G118" s="322" t="n"/>
      <c r="H118" s="322" t="n">
        <v>55</v>
      </c>
      <c r="I118" s="322" t="n">
        <v>51</v>
      </c>
      <c r="J118" s="322" t="n">
        <v>73</v>
      </c>
      <c r="K118" s="322" t="n"/>
      <c r="L118" s="322" t="n"/>
    </row>
    <row r="119" outlineLevel="2" customFormat="1" s="13">
      <c r="B119" s="103" t="n"/>
      <c r="C119" s="543" t="n"/>
      <c r="D119" s="458" t="n"/>
      <c r="E119" s="459" t="inlineStr">
        <is>
          <t>Funzioni AI</t>
        </is>
      </c>
      <c r="F119" s="472" t="n"/>
      <c r="G119" s="460" t="n"/>
      <c r="H119" s="473" t="n"/>
      <c r="I119" s="473" t="n"/>
      <c r="J119" s="473" t="n"/>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3" t="n"/>
      <c r="D122" s="361" t="n"/>
      <c r="E122" s="321" t="inlineStr">
        <is>
          <t>Rif. Pagina</t>
        </is>
      </c>
      <c r="F122" s="322" t="n">
        <v>49</v>
      </c>
      <c r="G122" s="322" t="n"/>
      <c r="H122" s="322" t="n">
        <v>56</v>
      </c>
      <c r="I122" s="322" t="n">
        <v>52</v>
      </c>
      <c r="J122" s="322" t="n">
        <v>74</v>
      </c>
      <c r="K122" s="322" t="n"/>
      <c r="L122" s="322" t="n"/>
    </row>
    <row r="123" outlineLevel="2" customFormat="1" s="13">
      <c r="B123" s="103" t="n"/>
      <c r="C123" s="543" t="n"/>
      <c r="D123" s="458" t="n"/>
      <c r="E123" s="459" t="inlineStr">
        <is>
          <t>Funzioni AI</t>
        </is>
      </c>
      <c r="F123" s="473" t="n"/>
      <c r="G123" s="460" t="n"/>
      <c r="H123" s="473" t="n"/>
      <c r="I123" s="473" t="n"/>
      <c r="J123" s="473" t="n"/>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3" t="n"/>
      <c r="D126" s="361" t="n"/>
      <c r="E126" s="321" t="inlineStr">
        <is>
          <t>Rif. Pagina</t>
        </is>
      </c>
      <c r="F126" s="322" t="n">
        <v>52</v>
      </c>
      <c r="G126" s="322" t="n"/>
      <c r="H126" s="322" t="n">
        <v>59</v>
      </c>
      <c r="I126" s="322" t="n">
        <v>55</v>
      </c>
      <c r="J126" s="322" t="n">
        <v>77</v>
      </c>
      <c r="K126" s="322" t="n"/>
      <c r="L126" s="322" t="n"/>
    </row>
    <row r="127" outlineLevel="2" customFormat="1" s="13">
      <c r="B127" s="103" t="n"/>
      <c r="C127" s="543" t="n"/>
      <c r="D127" s="458" t="n"/>
      <c r="E127" s="459" t="inlineStr">
        <is>
          <t>Funzioni AI</t>
        </is>
      </c>
      <c r="F127" s="467" t="n"/>
      <c r="G127" s="460" t="n"/>
      <c r="H127" s="467" t="n"/>
      <c r="I127" s="467" t="n"/>
      <c r="J127" s="467" t="n"/>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3" t="n"/>
      <c r="D130" s="362" t="n"/>
      <c r="E130" s="324" t="inlineStr">
        <is>
          <t>Rif. Pagina</t>
        </is>
      </c>
      <c r="F130" s="325" t="n">
        <v>55</v>
      </c>
      <c r="G130" s="325" t="n"/>
      <c r="H130" s="325" t="n">
        <v>62</v>
      </c>
      <c r="I130" s="325" t="n">
        <v>58</v>
      </c>
      <c r="J130" s="325" t="n">
        <v>80</v>
      </c>
      <c r="K130" s="325" t="n"/>
      <c r="L130" s="325" t="n"/>
    </row>
    <row r="131" outlineLevel="2" customFormat="1" s="13">
      <c r="B131" s="103" t="n"/>
      <c r="C131" s="543" t="n"/>
      <c r="D131" s="458" t="n"/>
      <c r="E131" s="459" t="inlineStr">
        <is>
          <t>Funzioni AI</t>
        </is>
      </c>
      <c r="F131" s="467" t="n"/>
      <c r="G131" s="460" t="n"/>
      <c r="H131" s="467" t="n"/>
      <c r="I131" s="467" t="n"/>
      <c r="J131" s="467" t="n"/>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11" t="n"/>
      <c r="D134" s="365" t="n"/>
      <c r="E134" s="331" t="inlineStr">
        <is>
          <t>Rif. Pagina</t>
        </is>
      </c>
      <c r="F134" s="332" t="n">
        <v>5</v>
      </c>
      <c r="G134" s="332" t="n"/>
      <c r="H134" s="332" t="n">
        <v>5</v>
      </c>
      <c r="I134" s="332" t="n">
        <v>5</v>
      </c>
      <c r="J134" s="332" t="n">
        <v>6</v>
      </c>
      <c r="K134" s="332" t="n"/>
      <c r="L134" s="332" t="n"/>
    </row>
    <row r="135" outlineLevel="2" customFormat="1" s="13">
      <c r="B135" s="103" t="n"/>
      <c r="C135" s="543" t="n"/>
      <c r="D135" s="458" t="n"/>
      <c r="E135" s="459" t="inlineStr">
        <is>
          <t>Funzioni AI</t>
        </is>
      </c>
      <c r="F135" s="468" t="n"/>
      <c r="G135" s="460" t="n"/>
      <c r="H135" s="468" t="n"/>
      <c r="I135" s="473" t="n"/>
      <c r="J135" s="473" t="n"/>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11" t="n"/>
      <c r="D138" s="365" t="n"/>
      <c r="E138" s="331" t="inlineStr">
        <is>
          <t>Rif. Pagina</t>
        </is>
      </c>
      <c r="F138" s="332" t="n">
        <v>7</v>
      </c>
      <c r="G138" s="332" t="n"/>
      <c r="H138" s="332" t="n">
        <v>7</v>
      </c>
      <c r="I138" s="332" t="n">
        <v>7</v>
      </c>
      <c r="J138" s="332" t="n">
        <v>8</v>
      </c>
      <c r="K138" s="332" t="n"/>
      <c r="L138" s="332" t="n"/>
    </row>
    <row r="139" outlineLevel="2" customFormat="1" s="13">
      <c r="B139" s="103" t="n"/>
      <c r="C139" s="543" t="n"/>
      <c r="D139" s="458" t="n"/>
      <c r="E139" s="459" t="inlineStr">
        <is>
          <t>Funzioni AI</t>
        </is>
      </c>
      <c r="F139" s="473" t="n"/>
      <c r="G139" s="460" t="n"/>
      <c r="H139" s="473" t="n"/>
      <c r="I139" s="473" t="n"/>
      <c r="J139" s="473" t="n"/>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11" t="n"/>
      <c r="D142" s="365" t="n"/>
      <c r="E142" s="331" t="inlineStr">
        <is>
          <t>Rif. Pagina</t>
        </is>
      </c>
      <c r="F142" s="332" t="n">
        <v>9</v>
      </c>
      <c r="G142" s="332" t="n"/>
      <c r="H142" s="332" t="n">
        <v>9</v>
      </c>
      <c r="I142" s="332" t="n">
        <v>9</v>
      </c>
      <c r="J142" s="332" t="n">
        <v>9</v>
      </c>
      <c r="K142" s="332" t="n"/>
      <c r="L142" s="332" t="n"/>
    </row>
    <row r="143" outlineLevel="2" customFormat="1" s="13">
      <c r="B143" s="103" t="n"/>
      <c r="C143" s="543" t="n"/>
      <c r="D143" s="458" t="n"/>
      <c r="E143" s="459" t="inlineStr">
        <is>
          <t>Funzioni AI</t>
        </is>
      </c>
      <c r="F143" s="473" t="n"/>
      <c r="G143" s="460" t="n"/>
      <c r="H143" s="473" t="n"/>
      <c r="I143" s="473" t="n"/>
      <c r="J143" s="473" t="n"/>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11" t="n"/>
      <c r="D146" s="365" t="n"/>
      <c r="E146" s="331" t="inlineStr">
        <is>
          <t>Rif. Pagina</t>
        </is>
      </c>
      <c r="F146" s="332" t="n">
        <v>10</v>
      </c>
      <c r="G146" s="332" t="n"/>
      <c r="H146" s="332" t="n">
        <v>10</v>
      </c>
      <c r="I146" s="332" t="n">
        <v>10</v>
      </c>
      <c r="J146" s="332" t="n">
        <v>10</v>
      </c>
      <c r="K146" s="332" t="n"/>
      <c r="L146" s="332" t="n"/>
    </row>
    <row r="147" outlineLevel="2" customFormat="1" s="13">
      <c r="B147" s="103" t="n"/>
      <c r="C147" s="543" t="n"/>
      <c r="D147" s="458" t="n"/>
      <c r="E147" s="459" t="inlineStr">
        <is>
          <t>Funzioni AI</t>
        </is>
      </c>
      <c r="F147" s="473" t="n"/>
      <c r="G147" s="460" t="n"/>
      <c r="H147" s="473" t="n"/>
      <c r="I147" s="473" t="n"/>
      <c r="J147" s="473" t="n"/>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11" t="n"/>
      <c r="D150" s="365" t="n"/>
      <c r="E150" s="331" t="inlineStr">
        <is>
          <t>Rif. Pagina</t>
        </is>
      </c>
      <c r="F150" s="332" t="n">
        <v>18</v>
      </c>
      <c r="G150" s="332" t="n"/>
      <c r="H150" s="332" t="n">
        <v>19</v>
      </c>
      <c r="I150" s="332" t="n">
        <v>18</v>
      </c>
      <c r="J150" s="332" t="n">
        <v>18</v>
      </c>
      <c r="K150" s="332" t="n"/>
      <c r="L150" s="332" t="n"/>
    </row>
    <row r="151" outlineLevel="2" customFormat="1" s="13">
      <c r="B151" s="103" t="n"/>
      <c r="C151" s="543" t="n"/>
      <c r="D151" s="458" t="n"/>
      <c r="E151" s="459" t="inlineStr">
        <is>
          <t>Funzioni AI</t>
        </is>
      </c>
      <c r="F151" s="473" t="n"/>
      <c r="G151" s="460" t="n"/>
      <c r="H151" s="473" t="n"/>
      <c r="I151" s="473" t="n"/>
      <c r="J151" s="473" t="n"/>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11" t="n"/>
      <c r="D154" s="365" t="n"/>
      <c r="E154" s="331" t="inlineStr">
        <is>
          <t>Rif. Pagina</t>
        </is>
      </c>
      <c r="F154" s="332" t="n">
        <v>22</v>
      </c>
      <c r="G154" s="332" t="n"/>
      <c r="H154" s="332" t="n">
        <v>23</v>
      </c>
      <c r="I154" s="332" t="n">
        <v>22</v>
      </c>
      <c r="J154" s="332" t="n">
        <v>22</v>
      </c>
      <c r="K154" s="332" t="n"/>
      <c r="L154" s="332" t="n"/>
    </row>
    <row r="155" outlineLevel="2" customFormat="1" s="13">
      <c r="B155" s="103" t="n"/>
      <c r="C155" s="543" t="n"/>
      <c r="D155" s="458" t="n"/>
      <c r="E155" s="459" t="inlineStr">
        <is>
          <t>Funzioni AI</t>
        </is>
      </c>
      <c r="F155" s="472" t="n"/>
      <c r="G155" s="460" t="n"/>
      <c r="H155" s="472" t="n"/>
      <c r="I155" s="472" t="n"/>
      <c r="J155" s="472" t="n"/>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11" t="n"/>
      <c r="D158" s="365" t="n"/>
      <c r="E158" s="331" t="inlineStr">
        <is>
          <t>Rif. Pagina</t>
        </is>
      </c>
      <c r="F158" s="332" t="n">
        <v>23</v>
      </c>
      <c r="G158" s="332" t="n"/>
      <c r="H158" s="332" t="n">
        <v>24</v>
      </c>
      <c r="I158" s="332" t="n">
        <v>23</v>
      </c>
      <c r="J158" s="332" t="n">
        <v>23</v>
      </c>
      <c r="K158" s="332" t="n"/>
      <c r="L158" s="332" t="n"/>
    </row>
    <row r="159" outlineLevel="2" customFormat="1" s="13">
      <c r="B159" s="103" t="n"/>
      <c r="C159" s="543" t="n"/>
      <c r="D159" s="458" t="n"/>
      <c r="E159" s="459" t="inlineStr">
        <is>
          <t>Funzioni AI</t>
        </is>
      </c>
      <c r="F159" s="473" t="n"/>
      <c r="G159" s="460" t="n"/>
      <c r="H159" s="473" t="n"/>
      <c r="I159" s="473" t="n"/>
      <c r="J159" s="473" t="n"/>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3"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3" t="n"/>
      <c r="D163" s="458" t="n"/>
      <c r="E163" s="459" t="inlineStr">
        <is>
          <t>Funzioni AI</t>
        </is>
      </c>
      <c r="F163" s="472" t="n"/>
      <c r="G163" s="460" t="n"/>
      <c r="H163" s="472" t="n"/>
      <c r="I163" s="472" t="n"/>
      <c r="J163" s="472" t="n"/>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92">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92">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3" t="n"/>
      <c r="D167" s="458" t="n"/>
      <c r="E167" s="459" t="inlineStr">
        <is>
          <t>Funzioni AI</t>
        </is>
      </c>
      <c r="F167" s="473" t="n"/>
      <c r="G167" s="460" t="n"/>
      <c r="H167" s="460" t="n"/>
      <c r="I167" s="460" t="n"/>
      <c r="J167" s="473" t="n"/>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92">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92">
      <c r="B170" s="376" t="n"/>
      <c r="D170" s="370" t="n"/>
      <c r="E170" s="348" t="inlineStr">
        <is>
          <t>Rif. Pagina</t>
        </is>
      </c>
      <c r="F170" s="349" t="n">
        <v>9</v>
      </c>
      <c r="G170" s="349" t="n"/>
      <c r="H170" s="349" t="n"/>
      <c r="I170" s="349" t="n"/>
      <c r="J170" s="349" t="n">
        <v>9</v>
      </c>
      <c r="K170" s="349" t="n"/>
      <c r="L170" s="349" t="n"/>
    </row>
    <row r="171" outlineLevel="2" customFormat="1" s="13">
      <c r="B171" s="103" t="n"/>
      <c r="C171" s="543" t="n"/>
      <c r="D171" s="458" t="n"/>
      <c r="E171" s="459" t="inlineStr">
        <is>
          <t>Funzioni AI</t>
        </is>
      </c>
      <c r="F171" s="473" t="n"/>
      <c r="G171" s="460" t="n"/>
      <c r="H171" s="460" t="n"/>
      <c r="I171" s="460" t="n"/>
      <c r="J171" s="473" t="n"/>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92">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92">
      <c r="B174" s="376" t="n"/>
      <c r="D174" s="370" t="n"/>
      <c r="E174" s="348" t="inlineStr">
        <is>
          <t>Rif. Pagina</t>
        </is>
      </c>
      <c r="F174" s="349" t="n">
        <v>11</v>
      </c>
      <c r="G174" s="349" t="n"/>
      <c r="H174" s="349" t="n"/>
      <c r="I174" s="349" t="n"/>
      <c r="J174" s="349" t="n">
        <v>11</v>
      </c>
      <c r="K174" s="349" t="n"/>
      <c r="L174" s="349" t="n"/>
    </row>
    <row r="175" outlineLevel="2" customFormat="1" s="13">
      <c r="B175" s="103" t="n"/>
      <c r="C175" s="543" t="n"/>
      <c r="D175" s="458" t="n"/>
      <c r="E175" s="459" t="inlineStr">
        <is>
          <t>Funzioni AI</t>
        </is>
      </c>
      <c r="F175" s="473" t="n"/>
      <c r="G175" s="460" t="n"/>
      <c r="H175" s="460" t="n"/>
      <c r="I175" s="460" t="n"/>
      <c r="J175" s="473" t="n"/>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92">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92">
      <c r="B178" s="376" t="n"/>
      <c r="D178" s="370" t="n"/>
      <c r="E178" s="348" t="inlineStr">
        <is>
          <t>Rif. Pagina</t>
        </is>
      </c>
      <c r="F178" s="349" t="n">
        <v>16</v>
      </c>
      <c r="G178" s="349" t="n"/>
      <c r="H178" s="349" t="n"/>
      <c r="I178" s="349" t="n"/>
      <c r="J178" s="349" t="n">
        <v>16</v>
      </c>
      <c r="K178" s="349" t="n"/>
      <c r="L178" s="349" t="n"/>
    </row>
    <row r="179" outlineLevel="2" customFormat="1" s="13">
      <c r="B179" s="103" t="n"/>
      <c r="C179" s="543" t="n"/>
      <c r="D179" s="458" t="n"/>
      <c r="E179" s="459" t="inlineStr">
        <is>
          <t>Funzioni AI</t>
        </is>
      </c>
      <c r="F179" s="473" t="n"/>
      <c r="G179" s="460" t="n"/>
      <c r="H179" s="460" t="n"/>
      <c r="I179" s="460" t="n"/>
      <c r="J179" s="473" t="n"/>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92">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92">
      <c r="B182" s="376" t="n"/>
      <c r="D182" s="370" t="n"/>
      <c r="E182" s="348" t="inlineStr">
        <is>
          <t>Rif. Pagina</t>
        </is>
      </c>
      <c r="F182" s="349" t="n">
        <v>19</v>
      </c>
      <c r="G182" s="349" t="n"/>
      <c r="H182" s="349" t="n"/>
      <c r="I182" s="349" t="n"/>
      <c r="J182" s="349" t="n">
        <v>19</v>
      </c>
      <c r="K182" s="349" t="n"/>
      <c r="L182" s="349" t="n"/>
    </row>
    <row r="183" outlineLevel="2" customFormat="1" s="13">
      <c r="B183" s="103" t="n"/>
      <c r="C183" s="543" t="n"/>
      <c r="D183" s="458" t="n"/>
      <c r="E183" s="459" t="inlineStr">
        <is>
          <t>Funzioni AI</t>
        </is>
      </c>
      <c r="F183" s="473" t="n"/>
      <c r="G183" s="460" t="n"/>
      <c r="H183" s="460" t="n"/>
      <c r="I183" s="460" t="n"/>
      <c r="J183" s="473" t="n"/>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92">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92">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3" t="n"/>
      <c r="D187" s="458" t="n"/>
      <c r="E187" s="459" t="inlineStr">
        <is>
          <t>Funzioni AI</t>
        </is>
      </c>
      <c r="F187" s="473" t="n"/>
      <c r="G187" s="460" t="n"/>
      <c r="H187" s="460" t="n"/>
      <c r="I187" s="460" t="n"/>
      <c r="J187" s="473" t="n"/>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92">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92">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3" t="n"/>
      <c r="D191" s="458" t="n"/>
      <c r="E191" s="459" t="inlineStr">
        <is>
          <t>Funzioni AI</t>
        </is>
      </c>
      <c r="F191" s="473" t="n"/>
      <c r="G191" s="473" t="n"/>
      <c r="H191" s="460" t="n"/>
      <c r="I191" s="460" t="n"/>
      <c r="J191" s="473" t="n"/>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92">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92">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3" t="n"/>
      <c r="D195" s="458" t="n"/>
      <c r="E195" s="459" t="inlineStr">
        <is>
          <t>Funzioni AI</t>
        </is>
      </c>
      <c r="F195" s="473" t="n"/>
      <c r="G195" s="473" t="n"/>
      <c r="H195" s="460" t="n"/>
      <c r="I195" s="460" t="n"/>
      <c r="J195" s="473" t="n"/>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92">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92">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3" t="n"/>
      <c r="D199" s="458" t="n"/>
      <c r="E199" s="459" t="inlineStr">
        <is>
          <t>Funzioni AI</t>
        </is>
      </c>
      <c r="F199" s="472" t="n"/>
      <c r="G199" s="472" t="n"/>
      <c r="H199" s="460" t="n"/>
      <c r="I199" s="460" t="n"/>
      <c r="J199" s="472" t="n"/>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92">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92">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3" t="n"/>
      <c r="D203" s="458" t="n"/>
      <c r="E203" s="459" t="inlineStr">
        <is>
          <t>Funzioni AI</t>
        </is>
      </c>
      <c r="F203" s="473" t="n"/>
      <c r="G203" s="466" t="n"/>
      <c r="H203" s="460" t="n"/>
      <c r="I203" s="460" t="n"/>
      <c r="J203" s="466" t="n"/>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92">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92">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3" t="n"/>
      <c r="D207" s="458" t="n"/>
      <c r="E207" s="459" t="inlineStr">
        <is>
          <t>Funzioni AI</t>
        </is>
      </c>
      <c r="F207" s="473" t="n"/>
      <c r="G207" s="473" t="n"/>
      <c r="H207" s="460" t="n"/>
      <c r="I207" s="460" t="n"/>
      <c r="J207" s="473" t="n"/>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92">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92">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3" t="n"/>
      <c r="D211" s="458" t="n"/>
      <c r="E211" s="459" t="inlineStr">
        <is>
          <t>Funzioni AI</t>
        </is>
      </c>
      <c r="F211" s="473" t="n"/>
      <c r="G211" s="473" t="n"/>
      <c r="H211" s="460" t="n"/>
      <c r="I211" s="460" t="n"/>
      <c r="J211" s="473" t="n"/>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92">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92">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3" t="n"/>
      <c r="D215" s="458" t="n"/>
      <c r="E215" s="459" t="inlineStr">
        <is>
          <t>Funzioni AI</t>
        </is>
      </c>
      <c r="F215" s="473" t="n"/>
      <c r="G215" s="473" t="n"/>
      <c r="H215" s="460" t="n"/>
      <c r="I215" s="460" t="n"/>
      <c r="J215" s="473" t="n"/>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92">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92">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3" t="n"/>
      <c r="D219" s="458" t="n"/>
      <c r="E219" s="459" t="inlineStr">
        <is>
          <t>Funzioni AI</t>
        </is>
      </c>
      <c r="F219" s="473" t="n"/>
      <c r="G219" s="473" t="n"/>
      <c r="H219" s="460" t="n"/>
      <c r="I219" s="460" t="n"/>
      <c r="J219" s="473" t="n"/>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92">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92">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3" t="n"/>
      <c r="D223" s="458" t="n"/>
      <c r="E223" s="459" t="inlineStr">
        <is>
          <t>Funzioni AI</t>
        </is>
      </c>
      <c r="F223" s="473" t="n"/>
      <c r="G223" s="460" t="n"/>
      <c r="H223" s="473" t="n"/>
      <c r="I223" s="473" t="n"/>
      <c r="J223" s="473" t="n"/>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92">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92">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3" t="n"/>
      <c r="D227" s="458" t="n"/>
      <c r="E227" s="459" t="inlineStr">
        <is>
          <t>Funzioni AI</t>
        </is>
      </c>
      <c r="F227" s="473" t="n"/>
      <c r="G227" s="460" t="n"/>
      <c r="H227" s="473" t="n"/>
      <c r="I227" s="473" t="n"/>
      <c r="J227" s="473" t="n"/>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92">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92">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3" t="n"/>
      <c r="D231" s="458" t="n"/>
      <c r="E231" s="459" t="inlineStr">
        <is>
          <t>Funzioni AI</t>
        </is>
      </c>
      <c r="F231" s="473" t="n"/>
      <c r="G231" s="460" t="n"/>
      <c r="H231" s="473" t="n"/>
      <c r="I231" s="473" t="n"/>
      <c r="J231" s="473" t="n"/>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92">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92">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3" t="n"/>
      <c r="D235" s="458" t="n"/>
      <c r="E235" s="459" t="inlineStr">
        <is>
          <t>Funzioni AI</t>
        </is>
      </c>
      <c r="F235" s="473" t="n"/>
      <c r="G235" s="460" t="n"/>
      <c r="H235" s="473" t="n"/>
      <c r="I235" s="473" t="n"/>
      <c r="J235" s="473" t="n"/>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92">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92">
      <c r="B238" s="376" t="n"/>
      <c r="D238" s="373" t="n"/>
      <c r="E238" s="356" t="inlineStr">
        <is>
          <t>Rif. Pagina</t>
        </is>
      </c>
      <c r="F238" s="357" t="n">
        <v>97</v>
      </c>
      <c r="G238" s="357" t="n"/>
      <c r="H238" s="357" t="n">
        <v>102</v>
      </c>
      <c r="I238" s="357" t="n">
        <v>93</v>
      </c>
      <c r="J238" s="357" t="n">
        <v>136</v>
      </c>
      <c r="K238" s="357" t="n"/>
      <c r="L238" s="357" t="n"/>
    </row>
    <row r="239" outlineLevel="2" s="592">
      <c r="B239" s="376" t="n"/>
      <c r="D239" s="357" t="n"/>
      <c r="E239" s="459" t="inlineStr">
        <is>
          <t>Funzioni AI</t>
        </is>
      </c>
      <c r="F239" s="474" t="n"/>
      <c r="G239" s="463" t="n"/>
      <c r="H239" s="474" t="n"/>
      <c r="I239" s="474" t="n"/>
      <c r="J239" s="474" t="n"/>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92">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92">
      <c r="B242" s="376" t="n"/>
      <c r="D242" s="373" t="n"/>
      <c r="E242" s="356" t="inlineStr">
        <is>
          <t>Rif. Pagina</t>
        </is>
      </c>
      <c r="F242" s="357" t="n">
        <v>117</v>
      </c>
      <c r="G242" s="357" t="n"/>
      <c r="H242" s="357" t="n">
        <v>127</v>
      </c>
      <c r="I242" s="357" t="n">
        <v>113</v>
      </c>
      <c r="J242" s="357" t="n">
        <v>154</v>
      </c>
      <c r="K242" s="357" t="n"/>
      <c r="L242" s="357" t="n"/>
    </row>
    <row r="243" outlineLevel="2" s="592">
      <c r="B243" s="376" t="n"/>
      <c r="D243" s="357" t="n"/>
      <c r="E243" s="459" t="inlineStr">
        <is>
          <t>Funzioni AI</t>
        </is>
      </c>
      <c r="F243" s="474" t="n"/>
      <c r="G243" s="463" t="n"/>
      <c r="H243" s="474" t="n"/>
      <c r="I243" s="474" t="n"/>
      <c r="J243" s="474" t="n"/>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92">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92">
      <c r="B246" s="376" t="n"/>
      <c r="D246" s="373" t="n"/>
      <c r="E246" s="356" t="inlineStr">
        <is>
          <t>Rif. Pagina</t>
        </is>
      </c>
      <c r="F246" s="357" t="n">
        <v>131</v>
      </c>
      <c r="G246" s="357" t="n"/>
      <c r="H246" s="357" t="n">
        <v>142</v>
      </c>
      <c r="I246" s="357" t="n">
        <v>131</v>
      </c>
      <c r="J246" s="357" t="n">
        <v>171</v>
      </c>
      <c r="K246" s="357" t="n"/>
      <c r="L246" s="357" t="n"/>
    </row>
    <row r="247" outlineLevel="2" s="592">
      <c r="B247" s="376" t="n"/>
      <c r="D247" s="357" t="n"/>
      <c r="E247" s="459" t="inlineStr">
        <is>
          <t>Funzioni AI</t>
        </is>
      </c>
      <c r="F247" s="474" t="n"/>
      <c r="G247" s="463" t="n"/>
      <c r="H247" s="474" t="n"/>
      <c r="I247" s="474" t="n"/>
      <c r="J247" s="474" t="n"/>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92">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92">
      <c r="B250" s="376" t="n"/>
      <c r="D250" s="373" t="n"/>
      <c r="E250" s="356" t="inlineStr">
        <is>
          <t>Rif. Pagina</t>
        </is>
      </c>
      <c r="F250" s="357" t="n">
        <v>145</v>
      </c>
      <c r="G250" s="357" t="n"/>
      <c r="H250" s="357" t="n">
        <v>157</v>
      </c>
      <c r="I250" s="357" t="n">
        <v>144</v>
      </c>
      <c r="J250" s="357" t="n">
        <v>189</v>
      </c>
      <c r="K250" s="357" t="n"/>
      <c r="L250" s="357" t="n"/>
    </row>
    <row r="251" outlineLevel="2" s="592">
      <c r="B251" s="376" t="n"/>
      <c r="D251" s="357" t="n"/>
      <c r="E251" s="459" t="inlineStr">
        <is>
          <t>Funzioni AI</t>
        </is>
      </c>
      <c r="F251" s="474" t="n"/>
      <c r="G251" s="463" t="n"/>
      <c r="H251" s="474" t="n"/>
      <c r="I251" s="474" t="n"/>
      <c r="J251" s="474" t="n"/>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92">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92">
      <c r="B254" s="376" t="n"/>
      <c r="D254" s="373" t="n"/>
      <c r="E254" s="356" t="inlineStr">
        <is>
          <t>Rif. Pagina</t>
        </is>
      </c>
      <c r="F254" s="357" t="n">
        <v>153</v>
      </c>
      <c r="G254" s="357" t="n"/>
      <c r="H254" s="357" t="n">
        <v>165</v>
      </c>
      <c r="I254" s="357" t="n">
        <v>166</v>
      </c>
      <c r="J254" s="357" t="n">
        <v>192</v>
      </c>
      <c r="K254" s="357" t="n"/>
      <c r="L254" s="357" t="n"/>
    </row>
    <row r="255" outlineLevel="2" s="592">
      <c r="B255" s="376" t="n"/>
      <c r="D255" s="357" t="n"/>
      <c r="E255" s="459" t="inlineStr">
        <is>
          <t>Funzioni AI</t>
        </is>
      </c>
      <c r="F255" s="474" t="n"/>
      <c r="G255" s="463" t="n"/>
      <c r="H255" s="474" t="n"/>
      <c r="I255" s="474" t="n"/>
      <c r="J255" s="474" t="n"/>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92">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92">
      <c r="B258" s="376" t="n"/>
      <c r="D258" s="373" t="n"/>
      <c r="E258" s="356" t="inlineStr">
        <is>
          <t>Rif. Pagina</t>
        </is>
      </c>
      <c r="F258" s="357" t="n">
        <v>163</v>
      </c>
      <c r="G258" s="357" t="n"/>
      <c r="H258" s="357" t="n">
        <v>173</v>
      </c>
      <c r="I258" s="357" t="n">
        <v>177</v>
      </c>
      <c r="J258" s="357" t="n">
        <v>204</v>
      </c>
      <c r="K258" s="357" t="n"/>
      <c r="L258" s="357" t="n"/>
    </row>
    <row r="259" outlineLevel="2" s="592">
      <c r="B259" s="376" t="n"/>
      <c r="D259" s="357" t="n"/>
      <c r="E259" s="459" t="inlineStr">
        <is>
          <t>Funzioni AI</t>
        </is>
      </c>
      <c r="F259" s="474" t="n"/>
      <c r="G259" s="463" t="n"/>
      <c r="H259" s="474" t="n"/>
      <c r="I259" s="474" t="n"/>
      <c r="J259" s="474" t="n"/>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92">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92">
      <c r="B262" s="376" t="n"/>
      <c r="D262" s="373" t="n"/>
      <c r="E262" s="356" t="inlineStr">
        <is>
          <t>Rif. Pagina</t>
        </is>
      </c>
      <c r="F262" s="357" t="n">
        <v>172</v>
      </c>
      <c r="G262" s="357" t="n"/>
      <c r="H262" s="357" t="n">
        <v>184</v>
      </c>
      <c r="I262" s="357" t="n">
        <v>186</v>
      </c>
      <c r="J262" s="357" t="n">
        <v>213</v>
      </c>
      <c r="K262" s="357" t="n"/>
      <c r="L262" s="357" t="n"/>
    </row>
    <row r="263" outlineLevel="2" s="592">
      <c r="B263" s="376" t="n"/>
      <c r="D263" s="357" t="n"/>
      <c r="E263" s="459" t="inlineStr">
        <is>
          <t>Funzioni AI</t>
        </is>
      </c>
      <c r="F263" s="475" t="n"/>
      <c r="G263" s="463" t="n"/>
      <c r="H263" s="475" t="n"/>
      <c r="I263" s="475" t="n"/>
      <c r="J263" s="475" t="n"/>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92">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92">
      <c r="B266" s="376" t="n"/>
      <c r="D266" s="373" t="n"/>
      <c r="E266" s="356" t="inlineStr">
        <is>
          <t>Rif. Pagina</t>
        </is>
      </c>
      <c r="F266" s="357" t="n">
        <v>224</v>
      </c>
      <c r="G266" s="357" t="n"/>
      <c r="H266" s="357" t="n">
        <v>238</v>
      </c>
      <c r="I266" s="357" t="n">
        <v>234</v>
      </c>
      <c r="J266" s="357" t="n">
        <v>262</v>
      </c>
      <c r="K266" s="357" t="n"/>
      <c r="L266" s="357" t="n"/>
    </row>
    <row r="267" outlineLevel="2" s="592">
      <c r="B267" s="376" t="n"/>
      <c r="D267" s="357" t="n"/>
      <c r="E267" s="459" t="inlineStr">
        <is>
          <t>Funzioni AI</t>
        </is>
      </c>
      <c r="F267" s="474" t="n"/>
      <c r="G267" s="463" t="n"/>
      <c r="H267" s="474" t="n"/>
      <c r="I267" s="474" t="n"/>
      <c r="J267" s="474" t="n"/>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92">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92">
      <c r="B270" s="376" t="n"/>
      <c r="D270" s="373" t="n"/>
      <c r="E270" s="356" t="inlineStr">
        <is>
          <t>Rif. Pagina</t>
        </is>
      </c>
      <c r="F270" s="357" t="n">
        <v>233</v>
      </c>
      <c r="G270" s="357" t="n"/>
      <c r="H270" s="357" t="n">
        <v>246</v>
      </c>
      <c r="I270" s="357" t="n">
        <v>242</v>
      </c>
      <c r="J270" s="357" t="n">
        <v>270</v>
      </c>
      <c r="K270" s="357" t="n"/>
      <c r="L270" s="357" t="n"/>
    </row>
    <row r="271" outlineLevel="2" s="592">
      <c r="B271" s="376" t="n"/>
      <c r="D271" s="357" t="n"/>
      <c r="E271" s="459" t="inlineStr">
        <is>
          <t>Funzioni AI</t>
        </is>
      </c>
      <c r="F271" s="474" t="n"/>
      <c r="G271" s="463" t="n"/>
      <c r="H271" s="474" t="n"/>
      <c r="I271" s="474" t="n"/>
      <c r="J271" s="474" t="n"/>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92">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92">
      <c r="B274" s="376" t="n"/>
      <c r="D274" s="372" t="n"/>
      <c r="E274" s="354" t="inlineStr">
        <is>
          <t>Rif. Pagina</t>
        </is>
      </c>
      <c r="F274" s="355" t="n">
        <v>234</v>
      </c>
      <c r="G274" s="355" t="n"/>
      <c r="H274" s="355" t="n">
        <v>247</v>
      </c>
      <c r="I274" s="355" t="n"/>
      <c r="J274" s="355" t="n"/>
      <c r="K274" s="355" t="n"/>
      <c r="L274" s="355" t="n"/>
    </row>
    <row r="275" outlineLevel="2" s="592">
      <c r="B275" s="376" t="n"/>
      <c r="D275" s="357" t="n"/>
      <c r="E275" s="459" t="inlineStr">
        <is>
          <t>Funzioni AI</t>
        </is>
      </c>
      <c r="F275" s="474" t="n"/>
      <c r="G275" s="463" t="n"/>
      <c r="H275" s="474" t="n"/>
      <c r="I275" s="474" t="n"/>
      <c r="J275" s="474" t="n"/>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92">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92">
      <c r="B278" s="376" t="n"/>
      <c r="D278" s="373" t="n"/>
      <c r="E278" s="356" t="inlineStr">
        <is>
          <t>Rif. Pagina</t>
        </is>
      </c>
      <c r="F278" s="357" t="n">
        <v>11</v>
      </c>
      <c r="G278" s="357" t="n">
        <v>10</v>
      </c>
      <c r="H278" s="357" t="n"/>
      <c r="I278" s="357" t="n"/>
      <c r="J278" s="357" t="n">
        <v>11</v>
      </c>
      <c r="K278" s="357" t="n"/>
      <c r="L278" s="357" t="n"/>
    </row>
    <row r="279" outlineLevel="2" s="592">
      <c r="B279" s="376" t="n"/>
      <c r="D279" s="357" t="n"/>
      <c r="E279" s="459" t="inlineStr">
        <is>
          <t>Funzioni AI</t>
        </is>
      </c>
      <c r="F279" s="474" t="n"/>
      <c r="G279" s="474" t="n"/>
      <c r="H279" s="463" t="n"/>
      <c r="I279" s="463" t="n"/>
      <c r="J279" s="474" t="n"/>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92">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92">
      <c r="B282" s="376" t="n"/>
      <c r="D282" s="373" t="n"/>
      <c r="E282" s="356" t="inlineStr">
        <is>
          <t>Rif. Pagina</t>
        </is>
      </c>
      <c r="F282" s="357" t="n">
        <v>14</v>
      </c>
      <c r="G282" s="357" t="n">
        <v>12</v>
      </c>
      <c r="H282" s="357" t="n"/>
      <c r="I282" s="357" t="n"/>
      <c r="J282" s="357" t="n">
        <v>14</v>
      </c>
      <c r="K282" s="357" t="n"/>
      <c r="L282" s="357" t="n"/>
    </row>
    <row r="283" outlineLevel="2" s="592">
      <c r="B283" s="376" t="n"/>
      <c r="D283" s="357" t="n"/>
      <c r="E283" s="459" t="inlineStr">
        <is>
          <t>Funzioni AI</t>
        </is>
      </c>
      <c r="F283" s="474" t="n"/>
      <c r="G283" s="477" t="n"/>
      <c r="H283" s="463" t="n"/>
      <c r="I283" s="463" t="n"/>
      <c r="J283" s="475" t="n"/>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92">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92">
      <c r="B286" s="376" t="n"/>
      <c r="D286" s="373" t="n"/>
      <c r="E286" s="356" t="inlineStr">
        <is>
          <t>Rif. Pagina</t>
        </is>
      </c>
      <c r="F286" s="357" t="n">
        <v>20</v>
      </c>
      <c r="G286" s="357" t="n">
        <v>20</v>
      </c>
      <c r="H286" s="357" t="n"/>
      <c r="I286" s="357" t="n"/>
      <c r="J286" s="357" t="n">
        <v>36</v>
      </c>
      <c r="K286" s="357" t="n"/>
      <c r="L286" s="357" t="n"/>
    </row>
    <row r="287" outlineLevel="2" s="592">
      <c r="B287" s="376" t="n"/>
      <c r="D287" s="357" t="n"/>
      <c r="E287" s="459" t="inlineStr">
        <is>
          <t>Funzioni AI</t>
        </is>
      </c>
      <c r="F287" s="474" t="n"/>
      <c r="G287" s="474" t="n"/>
      <c r="H287" s="463" t="n"/>
      <c r="I287" s="463" t="n"/>
      <c r="J287" s="474" t="n"/>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92">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92">
      <c r="B290" s="376" t="n"/>
      <c r="D290" s="373" t="n"/>
      <c r="E290" s="356" t="inlineStr">
        <is>
          <t>Rif. Pagina</t>
        </is>
      </c>
      <c r="F290" s="357" t="n">
        <v>29</v>
      </c>
      <c r="G290" s="357" t="n">
        <v>28</v>
      </c>
      <c r="H290" s="357" t="n"/>
      <c r="I290" s="357" t="n"/>
      <c r="J290" s="357" t="n">
        <v>43</v>
      </c>
      <c r="K290" s="357" t="n"/>
      <c r="L290" s="357" t="n"/>
    </row>
    <row r="291" outlineLevel="2" s="592">
      <c r="B291" s="376" t="n"/>
      <c r="D291" s="357" t="n"/>
      <c r="E291" s="459" t="inlineStr">
        <is>
          <t>Funzioni AI</t>
        </is>
      </c>
      <c r="F291" s="476" t="n"/>
      <c r="G291" s="474" t="n"/>
      <c r="H291" s="463" t="n"/>
      <c r="I291" s="463" t="n"/>
      <c r="J291" s="474" t="n"/>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92">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92">
      <c r="B294" s="376" t="n"/>
      <c r="D294" s="372" t="n"/>
      <c r="E294" s="354" t="inlineStr">
        <is>
          <t>Rif. Pagina</t>
        </is>
      </c>
      <c r="F294" s="355" t="n">
        <v>31</v>
      </c>
      <c r="G294" s="355" t="n">
        <v>29</v>
      </c>
      <c r="H294" s="355" t="n"/>
      <c r="I294" s="355" t="n">
        <v>29</v>
      </c>
      <c r="J294" s="355" t="n">
        <v>44</v>
      </c>
      <c r="K294" s="355" t="n"/>
      <c r="L294" s="355" t="n"/>
    </row>
    <row r="295" outlineLevel="2" s="592">
      <c r="B295" s="376" t="n"/>
      <c r="D295" s="357" t="n"/>
      <c r="E295" s="459" t="inlineStr">
        <is>
          <t>Funzioni AI</t>
        </is>
      </c>
      <c r="F295" s="474" t="n"/>
      <c r="G295" s="474" t="n"/>
      <c r="H295" s="463" t="n"/>
      <c r="I295" s="463" t="n"/>
      <c r="J295" s="474" t="n"/>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29"/>
    <col width="8.7109375" customWidth="1" style="103" min="30" max="16384"/>
  </cols>
  <sheetData>
    <row r="1" ht="31.5" customFormat="1" customHeight="1" s="105">
      <c r="A1" s="554" t="inlineStr">
        <is>
          <t>Impianto</t>
        </is>
      </c>
      <c r="B1" s="561" t="inlineStr">
        <is>
          <t>Gruppo/Componente</t>
        </is>
      </c>
      <c r="C1" s="560" t="inlineStr">
        <is>
          <t>P/N</t>
        </is>
      </c>
      <c r="D1" s="563" t="inlineStr">
        <is>
          <t>Applicabilità flotte</t>
        </is>
      </c>
      <c r="E1" s="557" t="n"/>
      <c r="F1" s="557" t="n"/>
      <c r="G1" s="557" t="n"/>
      <c r="H1" s="557" t="n"/>
      <c r="I1" s="557" t="n"/>
      <c r="J1" s="558" t="n"/>
      <c r="K1" s="556" t="inlineStr">
        <is>
          <t>Manuale</t>
        </is>
      </c>
      <c r="L1" s="557" t="n"/>
      <c r="M1" s="558" t="n"/>
      <c r="N1" s="556" t="inlineStr">
        <is>
          <t>CPR</t>
        </is>
      </c>
      <c r="O1" s="557" t="n"/>
      <c r="P1" s="558" t="n"/>
      <c r="Q1" s="556" t="inlineStr">
        <is>
          <t>Raccolta doc</t>
        </is>
      </c>
      <c r="R1" s="558" t="n"/>
      <c r="S1" s="559" t="inlineStr">
        <is>
          <t>Schema elettrico</t>
        </is>
      </c>
      <c r="T1" s="558" t="n"/>
      <c r="U1" s="559" t="inlineStr">
        <is>
          <t>Schema Pneumatico</t>
        </is>
      </c>
      <c r="V1" s="558" t="n"/>
    </row>
    <row r="2" ht="31.5" customFormat="1" customHeight="1" s="105">
      <c r="A2" s="555" t="n"/>
      <c r="B2" s="562" t="n"/>
      <c r="C2" s="528" t="n"/>
      <c r="D2" s="136" t="inlineStr">
        <is>
          <t>VZI_Base</t>
        </is>
      </c>
      <c r="E2" s="538" t="inlineStr">
        <is>
          <t>VZI_New14</t>
        </is>
      </c>
      <c r="F2" s="538" t="inlineStr">
        <is>
          <t>VZ_FR</t>
        </is>
      </c>
      <c r="G2" s="538" t="inlineStr">
        <is>
          <t>VZ_ES</t>
        </is>
      </c>
      <c r="H2" s="538" t="inlineStr">
        <is>
          <t>VZI-6_R1</t>
        </is>
      </c>
      <c r="I2" s="538"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92">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92">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92">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92">
      <c r="A7" s="109" t="n"/>
      <c r="B7" s="110" t="inlineStr">
        <is>
          <t>Pantografo 1,5 kV</t>
        </is>
      </c>
      <c r="C7" s="107" t="n"/>
      <c r="D7" s="109" t="n"/>
      <c r="J7" s="110" t="n"/>
      <c r="K7" s="227" t="n"/>
      <c r="M7" s="229" t="n"/>
      <c r="N7" s="227" t="n"/>
      <c r="P7" s="230" t="n"/>
      <c r="R7" s="232" t="n"/>
      <c r="S7" s="233" t="n"/>
      <c r="T7" s="232" t="n"/>
      <c r="U7" s="233" t="n"/>
      <c r="V7" s="232" t="n"/>
    </row>
    <row r="8" outlineLevel="1" s="592">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92">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92">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92">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92">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92">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92">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92">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92">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92">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92">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92">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92">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92">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92">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92">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92">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92">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92">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92">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92">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92">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92">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92">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92">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92">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92">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92">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92">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92">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92">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92">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92">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92">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92">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92">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92">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92">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92">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92">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92">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92">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92">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92">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92">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92">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92">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92">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92">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92">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92">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92">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92">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92">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92">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92">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92">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92">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92">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92">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92">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92">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92">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92">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92">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92">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92">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92">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92">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92">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92">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92">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92">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92">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92">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92">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92">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92">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K1:M1"/>
    <mergeCell ref="D1:J1"/>
    <mergeCell ref="A1:A2"/>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92" min="1" max="1"/>
    <col width="14.42578125" customWidth="1" style="592" min="2" max="2"/>
    <col width="18.42578125" customWidth="1" style="592" min="3" max="3"/>
    <col width="15.85546875" customWidth="1" style="592" min="4" max="4"/>
    <col width="19.42578125" customWidth="1" style="592" min="5" max="6"/>
    <col width="14.42578125" customWidth="1" style="592" min="7" max="7"/>
    <col width="16.42578125" customWidth="1" style="592" min="8" max="8"/>
    <col width="23.85546875" customWidth="1" style="592" min="9" max="9"/>
    <col width="21.85546875" customWidth="1" style="592" min="10" max="10"/>
    <col width="11.42578125" customWidth="1" style="592" min="11" max="11"/>
    <col width="15.5703125" customWidth="1" style="592" min="12" max="12"/>
    <col width="19.85546875" customWidth="1" style="592" min="13" max="13"/>
    <col width="21.5703125" customWidth="1" style="592" min="14" max="14"/>
    <col width="12.140625" customWidth="1" style="592" min="15" max="15"/>
    <col width="15.5703125" customWidth="1" style="592" min="16" max="16"/>
    <col width="24.5703125" customWidth="1" style="592" min="17" max="17"/>
    <col width="26.85546875" customWidth="1" style="592" min="18" max="18"/>
    <col width="15.140625" customWidth="1" style="592" min="20" max="20"/>
    <col width="25.140625" customWidth="1" style="592" min="21" max="21"/>
    <col width="20.140625" customWidth="1" style="592" min="22" max="22"/>
    <col width="10" bestFit="1" customWidth="1" style="592" min="23" max="23"/>
    <col width="15.42578125" customWidth="1" style="592" min="24" max="24"/>
    <col width="20.42578125" customWidth="1" style="592" min="25" max="25"/>
    <col width="25.85546875" customWidth="1" style="592" min="26" max="26"/>
  </cols>
  <sheetData>
    <row r="1" ht="15.75" customHeight="1" s="592" thickBot="1">
      <c r="C1" s="582" t="inlineStr">
        <is>
          <t>IT 50 treni (flotta base)</t>
        </is>
      </c>
      <c r="D1" s="583" t="n"/>
      <c r="E1" s="583" t="n"/>
      <c r="F1" s="584" t="n"/>
      <c r="G1" s="582" t="inlineStr">
        <is>
          <t>IT 8 treni (51-58)</t>
        </is>
      </c>
      <c r="H1" s="583" t="n"/>
      <c r="I1" s="583" t="n"/>
      <c r="J1" s="584" t="n"/>
      <c r="K1" s="582" t="inlineStr">
        <is>
          <t>IT 6+30 treni (101-136)</t>
        </is>
      </c>
      <c r="L1" s="583" t="n"/>
      <c r="M1" s="583" t="n"/>
      <c r="N1" s="584" t="n"/>
      <c r="O1" s="582" t="inlineStr">
        <is>
          <t>I-FR 9 treni</t>
        </is>
      </c>
      <c r="P1" s="583" t="n"/>
      <c r="Q1" s="583" t="n"/>
      <c r="R1" s="584" t="n"/>
      <c r="S1" s="582" t="inlineStr">
        <is>
          <t>DAI 9 treni</t>
        </is>
      </c>
      <c r="T1" s="583" t="n"/>
      <c r="U1" s="583" t="n"/>
      <c r="V1" s="584" t="n"/>
      <c r="W1" s="582" t="inlineStr">
        <is>
          <t>ES 20 treni</t>
        </is>
      </c>
      <c r="X1" s="583" t="n"/>
      <c r="Y1" s="583" t="n"/>
      <c r="Z1" s="584" t="n"/>
    </row>
    <row r="2" ht="15.75" customHeight="1" s="592" thickBot="1">
      <c r="A2" s="569" t="inlineStr">
        <is>
          <t>Sottosistema</t>
        </is>
      </c>
      <c r="B2" s="570"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92">
      <c r="A3" s="586" t="inlineStr">
        <is>
          <t>Carrelli</t>
        </is>
      </c>
      <c r="B3" s="624" t="inlineStr">
        <is>
          <t>Motori</t>
        </is>
      </c>
      <c r="C3" s="577" t="inlineStr">
        <is>
          <t>100360301
100360302
100360303
100360304</t>
        </is>
      </c>
      <c r="D3" s="22" t="inlineStr">
        <is>
          <t>Sala Montata</t>
        </is>
      </c>
      <c r="E3" s="15" t="inlineStr">
        <is>
          <t>100360402
100360403</t>
        </is>
      </c>
      <c r="F3" s="23" t="inlineStr">
        <is>
          <t>Sensoristica ERTMS-SCMT carrelli DM
Sala senza boccole: 100360064</t>
        </is>
      </c>
      <c r="G3" s="577" t="inlineStr">
        <is>
          <t>100360301
100360302
100360303
100360304</t>
        </is>
      </c>
      <c r="H3" s="22" t="inlineStr">
        <is>
          <t>Sala Montata</t>
        </is>
      </c>
      <c r="I3" s="15" t="inlineStr">
        <is>
          <t>100360402
100360403</t>
        </is>
      </c>
      <c r="J3" s="23" t="inlineStr">
        <is>
          <t>Sensoristica ERTMS-SCMT carrelli DM
Sala senza boccole: 100360064</t>
        </is>
      </c>
      <c r="K3" s="618" t="inlineStr">
        <is>
          <t>100360301
100360302
100360303
100360304
(EN45545)</t>
        </is>
      </c>
      <c r="L3" s="24" t="inlineStr">
        <is>
          <t>Sala Montata</t>
        </is>
      </c>
      <c r="M3" s="25" t="inlineStr">
        <is>
          <t>100360402
100360403</t>
        </is>
      </c>
      <c r="N3" s="26" t="inlineStr">
        <is>
          <t>Sensoristica ERTMS-SCMT carrelli DM</t>
        </is>
      </c>
      <c r="O3" s="577" t="inlineStr">
        <is>
          <t>100329688
100329689
100360303
100360304</t>
        </is>
      </c>
      <c r="P3" s="22" t="inlineStr">
        <is>
          <t>Sala Montata</t>
        </is>
      </c>
      <c r="Q3" s="528" t="n"/>
      <c r="R3" s="28" t="inlineStr">
        <is>
          <t>Sensoristica ERTMS-SCMT, Memor brush, ETCS antenna su carrelli ant. DM1/8
Sensori Wiegand su post. DM1/8
Sensori Wiegand su ant. TT2/7
Sala senza boccole: 100360064</t>
        </is>
      </c>
      <c r="S3" s="622" t="n"/>
      <c r="T3" s="29" t="inlineStr">
        <is>
          <t>Sala Montata</t>
        </is>
      </c>
      <c r="U3" s="30" t="n"/>
      <c r="V3" s="31" t="inlineStr">
        <is>
          <t>tbd sensori boccola DM</t>
        </is>
      </c>
      <c r="W3" s="577" t="inlineStr">
        <is>
          <t>DM: 100437987
100470644</t>
        </is>
      </c>
      <c r="X3" s="22" t="inlineStr">
        <is>
          <t>Sala Montata</t>
        </is>
      </c>
      <c r="Y3" s="528" t="n"/>
      <c r="Z3" s="23" t="inlineStr">
        <is>
          <t>Sensoristica ETCS-ASFA-LZB carrelli DM</t>
        </is>
      </c>
    </row>
    <row r="4">
      <c r="A4" s="587" t="n"/>
      <c r="C4" s="567" t="n"/>
      <c r="D4" s="33" t="inlineStr">
        <is>
          <t>Riduttore</t>
        </is>
      </c>
      <c r="E4" s="34" t="n">
        <v>13900244911</v>
      </c>
      <c r="F4" s="35" t="n"/>
      <c r="G4" s="567" t="n"/>
      <c r="H4" s="33" t="inlineStr">
        <is>
          <t>Riduttore</t>
        </is>
      </c>
      <c r="I4" s="34" t="n">
        <v>13900244911</v>
      </c>
      <c r="J4" s="35" t="n"/>
      <c r="K4" s="567" t="n"/>
      <c r="L4" s="36" t="inlineStr">
        <is>
          <t>Riduttore</t>
        </is>
      </c>
      <c r="M4" s="37" t="n">
        <v>13900244911</v>
      </c>
      <c r="N4" s="38" t="n"/>
      <c r="O4" s="567" t="n"/>
      <c r="P4" s="33" t="inlineStr">
        <is>
          <t>Riduttore</t>
        </is>
      </c>
      <c r="Q4" s="39" t="n">
        <v>13900244911</v>
      </c>
      <c r="R4" s="35" t="n"/>
      <c r="S4" s="567" t="n"/>
      <c r="T4" s="40" t="inlineStr">
        <is>
          <t>Riduttore</t>
        </is>
      </c>
      <c r="U4" s="41" t="n">
        <v>13900244911</v>
      </c>
      <c r="V4" s="42" t="n"/>
      <c r="W4" s="567" t="n"/>
      <c r="X4" s="33" t="inlineStr">
        <is>
          <t>Riduttore</t>
        </is>
      </c>
      <c r="Y4" s="1" t="n"/>
      <c r="Z4" s="35" t="n"/>
    </row>
    <row r="5">
      <c r="A5" s="587" t="n"/>
      <c r="C5" s="567" t="n"/>
      <c r="D5" s="33" t="inlineStr">
        <is>
          <t>Motore</t>
        </is>
      </c>
      <c r="E5" s="1" t="inlineStr">
        <is>
          <t>3EST000224-9555</t>
        </is>
      </c>
      <c r="F5" s="35" t="n"/>
      <c r="G5" s="567" t="n"/>
      <c r="H5" s="33" t="inlineStr">
        <is>
          <t>Motore</t>
        </is>
      </c>
      <c r="I5" s="1" t="inlineStr">
        <is>
          <t>3EST000224-9555</t>
        </is>
      </c>
      <c r="J5" s="35" t="n"/>
      <c r="K5" s="567" t="n"/>
      <c r="L5" s="36" t="inlineStr">
        <is>
          <t>Motore</t>
        </is>
      </c>
      <c r="M5" s="43" t="inlineStr">
        <is>
          <t>3EST000224-9555</t>
        </is>
      </c>
      <c r="N5" s="38" t="n"/>
      <c r="O5" s="567" t="n"/>
      <c r="P5" s="33" t="inlineStr">
        <is>
          <t>Motore</t>
        </is>
      </c>
      <c r="Q5" s="44" t="inlineStr">
        <is>
          <t>3EST000224-9555</t>
        </is>
      </c>
      <c r="R5" s="35" t="n"/>
      <c r="S5" s="567" t="n"/>
      <c r="T5" s="40" t="inlineStr">
        <is>
          <t>Motore</t>
        </is>
      </c>
      <c r="U5" s="45" t="inlineStr">
        <is>
          <t>3EST000224-9555</t>
        </is>
      </c>
      <c r="V5" s="42" t="n"/>
      <c r="W5" s="567" t="n"/>
      <c r="X5" s="33" t="inlineStr">
        <is>
          <t>Motore</t>
        </is>
      </c>
      <c r="Y5" s="1" t="n"/>
      <c r="Z5" s="35" t="n"/>
    </row>
    <row r="6" ht="87" customHeight="1" s="592">
      <c r="A6" s="587" t="n"/>
      <c r="C6" s="567" t="n"/>
      <c r="D6" s="33" t="inlineStr">
        <is>
          <t>Cil.Freno</t>
        </is>
      </c>
      <c r="E6" s="46" t="inlineStr">
        <is>
          <t>FT0011601-100
FT0011602-100
FT0011602-101</t>
        </is>
      </c>
      <c r="F6" s="35" t="n"/>
      <c r="G6" s="567" t="n"/>
      <c r="H6" s="33" t="inlineStr">
        <is>
          <t>Cil.Freno</t>
        </is>
      </c>
      <c r="I6" s="46" t="inlineStr">
        <is>
          <t>FT0011601-100
FT0011602-100
FT0011602-101</t>
        </is>
      </c>
      <c r="J6" s="35" t="n"/>
      <c r="K6" s="567" t="n"/>
      <c r="L6" s="36" t="inlineStr">
        <is>
          <t>Cil.Freno</t>
        </is>
      </c>
      <c r="M6" s="47" t="inlineStr">
        <is>
          <t>FT0011601-100
FT0011602-100
FT0011602-101</t>
        </is>
      </c>
      <c r="N6" s="38" t="n"/>
      <c r="O6" s="567" t="n"/>
      <c r="P6" s="33" t="inlineStr">
        <is>
          <t>Cil.Freno</t>
        </is>
      </c>
      <c r="Q6" s="48" t="inlineStr">
        <is>
          <t>FT0011601-100
FT0011602-100
FT0011602-101</t>
        </is>
      </c>
      <c r="R6" s="35" t="n"/>
      <c r="S6" s="567" t="n"/>
      <c r="T6" s="40" t="inlineStr">
        <is>
          <t>Cil.Freno</t>
        </is>
      </c>
      <c r="U6" s="49" t="inlineStr">
        <is>
          <t>FT0011601-100
FT0011602-100
FT0011602-101</t>
        </is>
      </c>
      <c r="V6" s="42" t="n"/>
      <c r="W6" s="567" t="n"/>
      <c r="X6" s="33" t="inlineStr">
        <is>
          <t>Cil.Freno</t>
        </is>
      </c>
      <c r="Y6" s="46" t="inlineStr">
        <is>
          <t>FT0011601-100
FT0011602-100
FT0011602-101</t>
        </is>
      </c>
      <c r="Z6" s="35" t="n"/>
    </row>
    <row r="7">
      <c r="A7" s="587" t="n"/>
      <c r="C7" s="567" t="n"/>
      <c r="D7" s="33" t="inlineStr">
        <is>
          <t>Als</t>
        </is>
      </c>
      <c r="E7" s="1" t="inlineStr">
        <is>
          <t>6398B000-01</t>
        </is>
      </c>
      <c r="F7" s="35" t="n"/>
      <c r="G7" s="567" t="n"/>
      <c r="H7" s="33" t="inlineStr">
        <is>
          <t>Als</t>
        </is>
      </c>
      <c r="I7" s="1" t="inlineStr">
        <is>
          <t>6398B000-01</t>
        </is>
      </c>
      <c r="J7" s="35" t="n"/>
      <c r="K7" s="567" t="n"/>
      <c r="L7" s="36" t="inlineStr">
        <is>
          <t>Als</t>
        </is>
      </c>
      <c r="M7" s="43" t="inlineStr">
        <is>
          <t>6398B000-01</t>
        </is>
      </c>
      <c r="N7" s="38" t="n"/>
      <c r="O7" s="567" t="n"/>
      <c r="P7" s="33" t="inlineStr">
        <is>
          <t>Als</t>
        </is>
      </c>
      <c r="Q7" s="44" t="inlineStr">
        <is>
          <t>6398B000-01</t>
        </is>
      </c>
      <c r="R7" s="35" t="n"/>
      <c r="S7" s="567" t="n"/>
      <c r="T7" s="40" t="inlineStr">
        <is>
          <t>Als</t>
        </is>
      </c>
      <c r="U7" s="45" t="inlineStr">
        <is>
          <t>6398B000-01</t>
        </is>
      </c>
      <c r="V7" s="42" t="n"/>
      <c r="W7" s="567" t="n"/>
      <c r="X7" s="33" t="inlineStr">
        <is>
          <t>Als</t>
        </is>
      </c>
      <c r="Y7" s="1" t="n"/>
      <c r="Z7" s="35" t="n"/>
    </row>
    <row r="8">
      <c r="A8" s="587" t="n"/>
      <c r="B8" s="539" t="n"/>
      <c r="C8" s="578" t="n"/>
      <c r="D8" s="33" t="inlineStr">
        <is>
          <t>BMS</t>
        </is>
      </c>
      <c r="E8" s="1" t="n"/>
      <c r="F8" s="35" t="inlineStr">
        <is>
          <t>Ephimess fase 2</t>
        </is>
      </c>
      <c r="G8" s="578" t="n"/>
      <c r="H8" s="33" t="inlineStr">
        <is>
          <t>BMS</t>
        </is>
      </c>
      <c r="I8" s="1" t="n"/>
      <c r="J8" s="35" t="inlineStr">
        <is>
          <t>Ephimess fase 2</t>
        </is>
      </c>
      <c r="K8" s="578" t="n"/>
      <c r="L8" s="36" t="inlineStr">
        <is>
          <t>BMS</t>
        </is>
      </c>
      <c r="M8" s="43" t="n"/>
      <c r="N8" s="38" t="n"/>
      <c r="O8" s="578" t="n"/>
      <c r="P8" s="33" t="inlineStr">
        <is>
          <t>BMS</t>
        </is>
      </c>
      <c r="Q8" s="44" t="n"/>
      <c r="R8" s="35" t="n"/>
      <c r="S8" s="578" t="n"/>
      <c r="T8" s="40" t="inlineStr">
        <is>
          <t>BMS</t>
        </is>
      </c>
      <c r="U8" s="45" t="n"/>
      <c r="V8" s="42" t="n"/>
      <c r="W8" s="578" t="n"/>
      <c r="X8" s="33" t="inlineStr">
        <is>
          <t>BMS</t>
        </is>
      </c>
      <c r="Y8" s="1" t="n"/>
      <c r="Z8" s="35" t="n"/>
    </row>
    <row r="9" ht="30" customHeight="1" s="592">
      <c r="A9" s="587" t="n"/>
      <c r="B9" s="602" t="inlineStr">
        <is>
          <t>Portanti</t>
        </is>
      </c>
      <c r="C9" s="616" t="inlineStr">
        <is>
          <t>100360311
100360312
100360313</t>
        </is>
      </c>
      <c r="D9" s="33" t="inlineStr">
        <is>
          <t>Sala</t>
        </is>
      </c>
      <c r="E9" s="50" t="inlineStr">
        <is>
          <t>100360411
100360412</t>
        </is>
      </c>
      <c r="F9" s="35" t="n"/>
      <c r="G9" s="616" t="inlineStr">
        <is>
          <t>100360311
100360312
100360313</t>
        </is>
      </c>
      <c r="H9" s="33" t="inlineStr">
        <is>
          <t>Sala</t>
        </is>
      </c>
      <c r="I9" s="50" t="inlineStr">
        <is>
          <t>100360411
100360412</t>
        </is>
      </c>
      <c r="J9" s="35" t="n"/>
      <c r="K9" s="617" t="inlineStr">
        <is>
          <t>100360311
100360312
100360313
(EN45545)</t>
        </is>
      </c>
      <c r="L9" s="36" t="inlineStr">
        <is>
          <t>Sala</t>
        </is>
      </c>
      <c r="M9" s="51" t="inlineStr">
        <is>
          <t>100360411
100360412</t>
        </is>
      </c>
      <c r="N9" s="38" t="n"/>
      <c r="O9" s="616" t="inlineStr">
        <is>
          <t>100360311
100329690
100360313</t>
        </is>
      </c>
      <c r="P9" s="33" t="inlineStr">
        <is>
          <t>Sala</t>
        </is>
      </c>
      <c r="Q9" s="50" t="inlineStr">
        <is>
          <t>100360411
100360412</t>
        </is>
      </c>
      <c r="R9" s="35" t="n"/>
      <c r="S9" s="576" t="n"/>
      <c r="T9" s="40" t="inlineStr">
        <is>
          <t>Sala</t>
        </is>
      </c>
      <c r="U9" s="45" t="n"/>
      <c r="V9" s="42" t="n"/>
      <c r="W9" s="600" t="n"/>
      <c r="X9" s="33" t="inlineStr">
        <is>
          <t>Sala</t>
        </is>
      </c>
      <c r="Y9" s="1" t="n"/>
      <c r="Z9" s="35" t="n"/>
    </row>
    <row r="10">
      <c r="A10" s="587" t="n"/>
      <c r="C10" s="567" t="n"/>
      <c r="D10" s="33" t="inlineStr">
        <is>
          <t>Freno</t>
        </is>
      </c>
      <c r="E10" s="1" t="n"/>
      <c r="F10" s="35" t="n"/>
      <c r="G10" s="567" t="n"/>
      <c r="H10" s="33" t="inlineStr">
        <is>
          <t>Freno</t>
        </is>
      </c>
      <c r="I10" s="1" t="n"/>
      <c r="J10" s="35" t="n"/>
      <c r="K10" s="567" t="n"/>
      <c r="L10" s="36" t="inlineStr">
        <is>
          <t>Freno</t>
        </is>
      </c>
      <c r="M10" s="43" t="n"/>
      <c r="N10" s="38" t="n"/>
      <c r="O10" s="567" t="n"/>
      <c r="P10" s="33" t="inlineStr">
        <is>
          <t>Freno</t>
        </is>
      </c>
      <c r="Q10" s="1" t="n"/>
      <c r="R10" s="35" t="n"/>
      <c r="S10" s="567" t="n"/>
      <c r="T10" s="40" t="inlineStr">
        <is>
          <t>Freno</t>
        </is>
      </c>
      <c r="U10" s="45" t="n"/>
      <c r="V10" s="42" t="n"/>
      <c r="W10" s="567" t="n"/>
      <c r="X10" s="33" t="inlineStr">
        <is>
          <t>Freno</t>
        </is>
      </c>
      <c r="Y10" s="1" t="n"/>
      <c r="Z10" s="35" t="n"/>
    </row>
    <row r="11">
      <c r="A11" s="587" t="n"/>
      <c r="C11" s="567" t="n"/>
      <c r="D11" s="33" t="inlineStr">
        <is>
          <t>Als</t>
        </is>
      </c>
      <c r="E11" s="1" t="n"/>
      <c r="F11" s="35" t="n"/>
      <c r="G11" s="567" t="n"/>
      <c r="H11" s="33" t="inlineStr">
        <is>
          <t>Als</t>
        </is>
      </c>
      <c r="I11" s="1" t="n"/>
      <c r="J11" s="35" t="n"/>
      <c r="K11" s="567" t="n"/>
      <c r="L11" s="36" t="inlineStr">
        <is>
          <t>Als</t>
        </is>
      </c>
      <c r="M11" s="43" t="n"/>
      <c r="N11" s="38" t="n"/>
      <c r="O11" s="567" t="n"/>
      <c r="P11" s="33" t="inlineStr">
        <is>
          <t>Als</t>
        </is>
      </c>
      <c r="Q11" s="1" t="n"/>
      <c r="R11" s="35" t="n"/>
      <c r="S11" s="567" t="n"/>
      <c r="T11" s="40" t="inlineStr">
        <is>
          <t>Als</t>
        </is>
      </c>
      <c r="U11" s="45" t="n"/>
      <c r="V11" s="42" t="n"/>
      <c r="W11" s="567" t="n"/>
      <c r="X11" s="33" t="inlineStr">
        <is>
          <t>Als</t>
        </is>
      </c>
      <c r="Y11" s="1" t="n"/>
      <c r="Z11" s="35" t="n"/>
    </row>
    <row r="12" ht="15.75" customHeight="1" s="592" thickBot="1">
      <c r="A12" s="588" t="n"/>
      <c r="B12" s="539" t="n"/>
      <c r="C12" s="568" t="n"/>
      <c r="D12" s="52" t="inlineStr">
        <is>
          <t>BMS</t>
        </is>
      </c>
      <c r="E12" s="53" t="n"/>
      <c r="F12" s="54" t="n"/>
      <c r="G12" s="568" t="n"/>
      <c r="H12" s="52" t="inlineStr">
        <is>
          <t>BMS</t>
        </is>
      </c>
      <c r="I12" s="53" t="n"/>
      <c r="J12" s="54" t="n"/>
      <c r="K12" s="568" t="n"/>
      <c r="L12" s="55" t="inlineStr">
        <is>
          <t>BMS</t>
        </is>
      </c>
      <c r="M12" s="56" t="n"/>
      <c r="N12" s="57" t="n"/>
      <c r="O12" s="568" t="n"/>
      <c r="P12" s="52" t="inlineStr">
        <is>
          <t>BMS</t>
        </is>
      </c>
      <c r="Q12" s="53" t="n"/>
      <c r="R12" s="54" t="n"/>
      <c r="S12" s="568" t="n"/>
      <c r="T12" s="58" t="inlineStr">
        <is>
          <t>BMS</t>
        </is>
      </c>
      <c r="U12" s="59" t="n"/>
      <c r="V12" s="60" t="n"/>
      <c r="W12" s="568" t="n"/>
      <c r="X12" s="52" t="inlineStr">
        <is>
          <t>BMS</t>
        </is>
      </c>
      <c r="Y12" s="53" t="n"/>
      <c r="Z12" s="54" t="n"/>
    </row>
    <row r="13">
      <c r="A13" s="569" t="inlineStr">
        <is>
          <t>Pantografi</t>
        </is>
      </c>
      <c r="B13" s="608" t="inlineStr">
        <is>
          <t>3 kV</t>
        </is>
      </c>
      <c r="C13" s="581" t="n">
        <v>100170460</v>
      </c>
      <c r="D13" s="61" t="inlineStr">
        <is>
          <t>Struttura</t>
        </is>
      </c>
      <c r="E13" s="62" t="n">
        <v>10573076</v>
      </c>
      <c r="F13" s="63" t="n"/>
      <c r="G13" s="580" t="n">
        <v>10949272</v>
      </c>
      <c r="H13" s="61" t="inlineStr">
        <is>
          <t>Struttura</t>
        </is>
      </c>
      <c r="I13" s="62" t="n">
        <v>10573076</v>
      </c>
      <c r="J13" s="63" t="n"/>
      <c r="K13" s="580" t="n">
        <v>10949272</v>
      </c>
      <c r="L13" s="61" t="inlineStr">
        <is>
          <t>Struttura</t>
        </is>
      </c>
      <c r="M13" s="62" t="n">
        <v>10573076</v>
      </c>
      <c r="N13" s="63" t="n"/>
      <c r="O13" s="581" t="n">
        <v>100170460</v>
      </c>
      <c r="P13" s="61" t="inlineStr">
        <is>
          <t>Struttura</t>
        </is>
      </c>
      <c r="Q13" s="62" t="n">
        <v>10573076</v>
      </c>
      <c r="R13" s="63" t="n"/>
      <c r="S13" s="613" t="n"/>
      <c r="T13" s="64" t="inlineStr">
        <is>
          <t>Struttura</t>
        </is>
      </c>
      <c r="U13" s="64" t="n"/>
      <c r="V13" s="65" t="n"/>
      <c r="W13" s="581" t="n"/>
      <c r="X13" s="61" t="inlineStr">
        <is>
          <t>Struttura</t>
        </is>
      </c>
      <c r="Y13" s="61" t="n"/>
      <c r="Z13" s="63" t="n"/>
    </row>
    <row r="14">
      <c r="A14" s="587" t="n"/>
      <c r="C14" s="567" t="n"/>
      <c r="D14" s="1" t="inlineStr">
        <is>
          <t>Archetto</t>
        </is>
      </c>
      <c r="E14" s="12" t="n">
        <v>10561136</v>
      </c>
      <c r="F14" s="35" t="n"/>
      <c r="G14" s="567" t="n"/>
      <c r="H14" s="1" t="inlineStr">
        <is>
          <t>Archetto</t>
        </is>
      </c>
      <c r="I14" s="12" t="n">
        <v>10561136</v>
      </c>
      <c r="J14" s="35" t="n"/>
      <c r="K14" s="567" t="n"/>
      <c r="L14" s="1" t="inlineStr">
        <is>
          <t>Archetto</t>
        </is>
      </c>
      <c r="M14" s="12" t="n">
        <v>10561136</v>
      </c>
      <c r="N14" s="35" t="n"/>
      <c r="O14" s="567" t="n"/>
      <c r="P14" s="1" t="inlineStr">
        <is>
          <t>Archetto</t>
        </is>
      </c>
      <c r="Q14" s="44" t="n">
        <v>10561136</v>
      </c>
      <c r="R14" s="35" t="n"/>
      <c r="S14" s="567" t="n"/>
      <c r="T14" s="45" t="inlineStr">
        <is>
          <t>Archetto</t>
        </is>
      </c>
      <c r="U14" s="45" t="n"/>
      <c r="V14" s="42" t="n"/>
      <c r="W14" s="567" t="n"/>
      <c r="X14" s="1" t="inlineStr">
        <is>
          <t>Archetto</t>
        </is>
      </c>
      <c r="Y14" s="1" t="n"/>
      <c r="Z14" s="35" t="inlineStr">
        <is>
          <t>Archetto 1.950 mm</t>
        </is>
      </c>
    </row>
    <row r="15">
      <c r="A15" s="587" t="n"/>
      <c r="C15" s="567" t="n"/>
      <c r="D15" s="1" t="inlineStr">
        <is>
          <t>Strisciante</t>
        </is>
      </c>
      <c r="E15" s="44" t="inlineStr">
        <is>
          <t>SK1451</t>
        </is>
      </c>
      <c r="F15" s="35" t="n"/>
      <c r="G15" s="567" t="n"/>
      <c r="H15" s="1" t="inlineStr">
        <is>
          <t>Strisciante</t>
        </is>
      </c>
      <c r="I15" s="44" t="inlineStr">
        <is>
          <t>SK1451</t>
        </is>
      </c>
      <c r="J15" s="35" t="n"/>
      <c r="K15" s="567" t="n"/>
      <c r="L15" s="1" t="inlineStr">
        <is>
          <t>Strisciante</t>
        </is>
      </c>
      <c r="M15" s="44" t="inlineStr">
        <is>
          <t>SK1451</t>
        </is>
      </c>
      <c r="N15" s="35" t="n"/>
      <c r="O15" s="567" t="n"/>
      <c r="P15" s="1" t="inlineStr">
        <is>
          <t>Strisciante</t>
        </is>
      </c>
      <c r="Q15" s="12" t="inlineStr">
        <is>
          <t>SK1451</t>
        </is>
      </c>
      <c r="R15" s="35" t="n"/>
      <c r="S15" s="567" t="n"/>
      <c r="T15" s="45" t="inlineStr">
        <is>
          <t>Strisciante</t>
        </is>
      </c>
      <c r="U15" s="45" t="n"/>
      <c r="V15" s="42" t="n"/>
      <c r="W15" s="567" t="n"/>
      <c r="X15" s="1" t="inlineStr">
        <is>
          <t>Strisciante</t>
        </is>
      </c>
      <c r="Y15" s="1" t="n"/>
      <c r="Z15" s="35" t="n"/>
    </row>
    <row r="16">
      <c r="A16" s="587" t="n"/>
      <c r="B16" s="539" t="n"/>
      <c r="C16" s="578" t="n"/>
      <c r="D16" s="1" t="inlineStr">
        <is>
          <t>PPU</t>
        </is>
      </c>
      <c r="E16" s="44" t="n">
        <v>102895</v>
      </c>
      <c r="F16" s="35" t="n"/>
      <c r="G16" s="578" t="n"/>
      <c r="H16" s="1" t="inlineStr">
        <is>
          <t>PPU</t>
        </is>
      </c>
      <c r="I16" s="67" t="inlineStr">
        <is>
          <t>232C10395F</t>
        </is>
      </c>
      <c r="J16" s="68" t="inlineStr">
        <is>
          <t>Con isolamento ADD</t>
        </is>
      </c>
      <c r="K16" s="578" t="n"/>
      <c r="L16" s="1" t="inlineStr">
        <is>
          <t>PPU</t>
        </is>
      </c>
      <c r="M16" s="67" t="inlineStr">
        <is>
          <t>231C100036B</t>
        </is>
      </c>
      <c r="N16" s="68" t="inlineStr">
        <is>
          <t>Con isolamento ADD</t>
        </is>
      </c>
      <c r="O16" s="578" t="n"/>
      <c r="P16" s="1" t="inlineStr">
        <is>
          <t>PPU</t>
        </is>
      </c>
      <c r="Q16" s="67" t="inlineStr">
        <is>
          <t>232C10353E</t>
        </is>
      </c>
      <c r="R16" s="69" t="inlineStr">
        <is>
          <t>PPU DC Modificata per agg.panto 1.5</t>
        </is>
      </c>
      <c r="S16" s="578" t="n"/>
      <c r="T16" s="45" t="inlineStr">
        <is>
          <t>PCU</t>
        </is>
      </c>
      <c r="U16" s="45" t="n"/>
      <c r="V16" s="42" t="n"/>
      <c r="W16" s="578" t="n"/>
      <c r="X16" s="1" t="inlineStr">
        <is>
          <t>PPU</t>
        </is>
      </c>
      <c r="Y16" s="1" t="n"/>
      <c r="Z16" s="68" t="inlineStr">
        <is>
          <t>Con isolamento ADD</t>
        </is>
      </c>
    </row>
    <row r="17">
      <c r="A17" s="587" t="n"/>
      <c r="B17" s="602" t="inlineStr">
        <is>
          <t>25 kV</t>
        </is>
      </c>
      <c r="C17" s="579" t="n">
        <v>100170464</v>
      </c>
      <c r="D17" s="33" t="inlineStr">
        <is>
          <t>Struttura</t>
        </is>
      </c>
      <c r="E17" s="70" t="n">
        <v>10573076</v>
      </c>
      <c r="F17" s="35" t="n"/>
      <c r="G17" s="601" t="n">
        <v>10949356</v>
      </c>
      <c r="H17" s="1" t="inlineStr">
        <is>
          <t>Struttura</t>
        </is>
      </c>
      <c r="I17" s="70" t="n">
        <v>10573076</v>
      </c>
      <c r="J17" s="35" t="n"/>
      <c r="K17" s="601" t="n">
        <v>10949356</v>
      </c>
      <c r="L17" s="1" t="inlineStr">
        <is>
          <t>Struttura</t>
        </is>
      </c>
      <c r="M17" s="70" t="n">
        <v>10573076</v>
      </c>
      <c r="N17" s="35" t="n"/>
      <c r="O17" s="579" t="n">
        <v>100170464</v>
      </c>
      <c r="P17" s="1" t="inlineStr">
        <is>
          <t>Struttura</t>
        </is>
      </c>
      <c r="Q17" s="14" t="n">
        <v>10573076</v>
      </c>
      <c r="R17" s="35" t="n"/>
      <c r="S17" s="585" t="n"/>
      <c r="T17" s="45" t="inlineStr">
        <is>
          <t>Struttura</t>
        </is>
      </c>
      <c r="U17" s="45" t="n"/>
      <c r="V17" s="42" t="n"/>
      <c r="W17" s="579" t="n"/>
      <c r="X17" s="1" t="inlineStr">
        <is>
          <t>Struttura</t>
        </is>
      </c>
      <c r="Y17" s="1" t="n"/>
      <c r="Z17" s="35" t="n"/>
    </row>
    <row r="18">
      <c r="A18" s="587" t="n"/>
      <c r="C18" s="567" t="n"/>
      <c r="D18" s="33" t="inlineStr">
        <is>
          <t>Archetto</t>
        </is>
      </c>
      <c r="E18" s="71" t="n">
        <v>10572700</v>
      </c>
      <c r="F18" s="35" t="n"/>
      <c r="G18" s="567" t="n"/>
      <c r="H18" s="1" t="inlineStr">
        <is>
          <t>Archetto</t>
        </is>
      </c>
      <c r="I18" s="71" t="n">
        <v>10572700</v>
      </c>
      <c r="J18" s="35" t="n"/>
      <c r="K18" s="567" t="n"/>
      <c r="L18" s="1" t="inlineStr">
        <is>
          <t>Archetto</t>
        </is>
      </c>
      <c r="M18" s="71" t="n">
        <v>10572700</v>
      </c>
      <c r="N18" s="35" t="n"/>
      <c r="O18" s="567" t="n"/>
      <c r="P18" s="1" t="inlineStr">
        <is>
          <t>Archetto</t>
        </is>
      </c>
      <c r="Q18" s="72" t="n">
        <v>10572700</v>
      </c>
      <c r="R18" s="35" t="inlineStr">
        <is>
          <t>Vedi strisciante</t>
        </is>
      </c>
      <c r="S18" s="567" t="n"/>
      <c r="T18" s="45" t="inlineStr">
        <is>
          <t>Archetto</t>
        </is>
      </c>
      <c r="U18" s="45" t="n"/>
      <c r="V18" s="42" t="n"/>
      <c r="W18" s="567" t="n"/>
      <c r="X18" s="1" t="inlineStr">
        <is>
          <t>Archetto</t>
        </is>
      </c>
      <c r="Y18" s="1" t="n"/>
      <c r="Z18" s="35" t="n"/>
    </row>
    <row r="19">
      <c r="A19" s="587" t="n"/>
      <c r="C19" s="567" t="n"/>
      <c r="D19" s="33" t="inlineStr">
        <is>
          <t>Strisciante</t>
        </is>
      </c>
      <c r="E19" s="44" t="inlineStr">
        <is>
          <t>SK1630</t>
        </is>
      </c>
      <c r="F19" s="35" t="n"/>
      <c r="G19" s="567" t="n"/>
      <c r="H19" s="1" t="inlineStr">
        <is>
          <t>Strisciante</t>
        </is>
      </c>
      <c r="I19" s="44" t="inlineStr">
        <is>
          <t>SK1630</t>
        </is>
      </c>
      <c r="J19" s="35" t="n"/>
      <c r="K19" s="567" t="n"/>
      <c r="L19" s="1" t="inlineStr">
        <is>
          <t>Strisciante</t>
        </is>
      </c>
      <c r="M19" s="44" t="inlineStr">
        <is>
          <t>SK1630</t>
        </is>
      </c>
      <c r="N19" s="35" t="n"/>
      <c r="O19" s="567" t="n"/>
      <c r="P19" s="1" t="inlineStr">
        <is>
          <t>Strisciante</t>
        </is>
      </c>
      <c r="Q19" s="67" t="inlineStr">
        <is>
          <t>SK 2381</t>
        </is>
      </c>
      <c r="R19" s="35" t="inlineStr">
        <is>
          <t>Conforme a norma FR SAM E903</t>
        </is>
      </c>
      <c r="S19" s="567" t="n"/>
      <c r="T19" s="45" t="inlineStr">
        <is>
          <t>Strisciante</t>
        </is>
      </c>
      <c r="U19" s="73" t="inlineStr">
        <is>
          <t>SK1630</t>
        </is>
      </c>
      <c r="V19" s="42" t="n"/>
      <c r="W19" s="567" t="n"/>
      <c r="X19" s="1" t="inlineStr">
        <is>
          <t>Strisciante</t>
        </is>
      </c>
      <c r="Y19" s="44" t="inlineStr">
        <is>
          <t>SK1630</t>
        </is>
      </c>
      <c r="Z19" s="35" t="n"/>
    </row>
    <row r="20">
      <c r="A20" s="587" t="n"/>
      <c r="B20" s="539" t="n"/>
      <c r="C20" s="578" t="n"/>
      <c r="D20" s="1" t="inlineStr">
        <is>
          <t>PPU</t>
        </is>
      </c>
      <c r="E20" s="12" t="n">
        <v>102895</v>
      </c>
      <c r="F20" s="35" t="n"/>
      <c r="G20" s="578" t="n"/>
      <c r="H20" s="1" t="inlineStr">
        <is>
          <t>PPU</t>
        </is>
      </c>
      <c r="I20" s="67" t="inlineStr">
        <is>
          <t>232C10395F</t>
        </is>
      </c>
      <c r="J20" s="68" t="inlineStr">
        <is>
          <t>Con isolamento ADD</t>
        </is>
      </c>
      <c r="K20" s="578" t="n"/>
      <c r="L20" s="1" t="inlineStr">
        <is>
          <t>PPU</t>
        </is>
      </c>
      <c r="M20" s="67" t="inlineStr">
        <is>
          <t>231C100036B</t>
        </is>
      </c>
      <c r="N20" s="68" t="inlineStr">
        <is>
          <t>Con isolamento ADD</t>
        </is>
      </c>
      <c r="O20" s="578" t="n"/>
      <c r="P20" s="1" t="inlineStr">
        <is>
          <t>PPU</t>
        </is>
      </c>
      <c r="Q20" s="74" t="n">
        <v>102895</v>
      </c>
      <c r="R20" s="35" t="n"/>
      <c r="S20" s="578" t="n"/>
      <c r="T20" s="45" t="inlineStr">
        <is>
          <t>PPU</t>
        </is>
      </c>
      <c r="U20" s="45" t="n"/>
      <c r="V20" s="42" t="n"/>
      <c r="W20" s="578" t="n"/>
      <c r="X20" s="1" t="inlineStr">
        <is>
          <t>PPU</t>
        </is>
      </c>
      <c r="Y20" s="1" t="n"/>
      <c r="Z20" s="68" t="inlineStr">
        <is>
          <t>Con isolamento ADD</t>
        </is>
      </c>
    </row>
    <row r="21">
      <c r="A21" s="587" t="n"/>
      <c r="B21" s="602" t="inlineStr">
        <is>
          <t>1,5 kV</t>
        </is>
      </c>
      <c r="C21" s="579" t="inlineStr">
        <is>
          <t>n/a</t>
        </is>
      </c>
      <c r="D21" s="33" t="inlineStr">
        <is>
          <t>Struttura</t>
        </is>
      </c>
      <c r="E21" s="43" t="n"/>
      <c r="F21" s="38" t="n"/>
      <c r="G21" s="579" t="inlineStr">
        <is>
          <t>n/a</t>
        </is>
      </c>
      <c r="H21" s="1" t="inlineStr">
        <is>
          <t>Struttura</t>
        </is>
      </c>
      <c r="I21" s="43" t="n"/>
      <c r="J21" s="38" t="n"/>
      <c r="K21" s="579" t="inlineStr">
        <is>
          <t>n/a</t>
        </is>
      </c>
      <c r="L21" s="1" t="inlineStr">
        <is>
          <t>Struttura</t>
        </is>
      </c>
      <c r="M21" s="43" t="n"/>
      <c r="N21" s="38" t="n"/>
      <c r="O21" s="601" t="n">
        <v>10851208</v>
      </c>
      <c r="P21" s="1" t="inlineStr">
        <is>
          <t>Struttura</t>
        </is>
      </c>
      <c r="Q21" s="44" t="n">
        <v>10573076</v>
      </c>
      <c r="R21" s="35" t="n"/>
      <c r="S21" s="585" t="n"/>
      <c r="T21" s="45" t="inlineStr">
        <is>
          <t>Struttura</t>
        </is>
      </c>
      <c r="U21" s="45" t="n"/>
      <c r="V21" s="42" t="n"/>
      <c r="W21" s="579" t="n"/>
      <c r="X21" s="1" t="inlineStr">
        <is>
          <t>Struttura</t>
        </is>
      </c>
      <c r="Y21" s="43" t="n"/>
      <c r="Z21" s="38" t="n"/>
    </row>
    <row r="22">
      <c r="A22" s="587" t="n"/>
      <c r="C22" s="567" t="n"/>
      <c r="D22" s="33" t="inlineStr">
        <is>
          <t>Archetto</t>
        </is>
      </c>
      <c r="E22" s="43" t="n"/>
      <c r="F22" s="38" t="n"/>
      <c r="G22" s="567" t="n"/>
      <c r="H22" s="1" t="inlineStr">
        <is>
          <t>Archetto</t>
        </is>
      </c>
      <c r="I22" s="43" t="n"/>
      <c r="J22" s="38" t="n"/>
      <c r="K22" s="567" t="n"/>
      <c r="L22" s="1" t="inlineStr">
        <is>
          <t>Archetto</t>
        </is>
      </c>
      <c r="M22" s="43" t="n"/>
      <c r="N22" s="38" t="n"/>
      <c r="O22" s="567" t="n"/>
      <c r="P22" s="1" t="inlineStr">
        <is>
          <t>Archetto</t>
        </is>
      </c>
      <c r="Q22" s="44" t="n">
        <v>10882275</v>
      </c>
      <c r="R22" s="35" t="inlineStr">
        <is>
          <t>Larghezza 1.950 mm</t>
        </is>
      </c>
      <c r="S22" s="567" t="n"/>
      <c r="T22" s="45" t="inlineStr">
        <is>
          <t>Archetto</t>
        </is>
      </c>
      <c r="U22" s="45" t="n"/>
      <c r="V22" s="42" t="n"/>
      <c r="W22" s="567" t="n"/>
      <c r="X22" s="1" t="inlineStr">
        <is>
          <t>Archetto</t>
        </is>
      </c>
      <c r="Y22" s="43" t="n"/>
      <c r="Z22" s="38" t="n"/>
    </row>
    <row r="23">
      <c r="A23" s="587" t="n"/>
      <c r="C23" s="567" t="n"/>
      <c r="D23" s="33" t="inlineStr">
        <is>
          <t>Strisciante</t>
        </is>
      </c>
      <c r="E23" s="43" t="n"/>
      <c r="F23" s="38" t="n"/>
      <c r="G23" s="567" t="n"/>
      <c r="H23" s="1" t="inlineStr">
        <is>
          <t>Strisciante</t>
        </is>
      </c>
      <c r="I23" s="43" t="n"/>
      <c r="J23" s="38" t="n"/>
      <c r="K23" s="567" t="n"/>
      <c r="L23" s="1" t="inlineStr">
        <is>
          <t>Strisciante</t>
        </is>
      </c>
      <c r="M23" s="43" t="n"/>
      <c r="N23" s="38" t="n"/>
      <c r="O23" s="567" t="n"/>
      <c r="P23" s="1" t="inlineStr">
        <is>
          <t>Strisciante</t>
        </is>
      </c>
      <c r="Q23" s="44" t="inlineStr">
        <is>
          <t>SK 2348</t>
        </is>
      </c>
      <c r="R23" s="35" t="n"/>
      <c r="S23" s="567" t="n"/>
      <c r="T23" s="45" t="inlineStr">
        <is>
          <t>Strisciante</t>
        </is>
      </c>
      <c r="U23" s="45" t="n"/>
      <c r="V23" s="42" t="n"/>
      <c r="W23" s="567" t="n"/>
      <c r="X23" s="1" t="inlineStr">
        <is>
          <t>Strisciante</t>
        </is>
      </c>
      <c r="Y23" s="43" t="n"/>
      <c r="Z23" s="38" t="n"/>
    </row>
    <row r="24">
      <c r="A24" s="587" t="n"/>
      <c r="B24" s="539" t="n"/>
      <c r="C24" s="578" t="n"/>
      <c r="D24" s="33" t="inlineStr">
        <is>
          <t>PCU</t>
        </is>
      </c>
      <c r="E24" s="43" t="n"/>
      <c r="F24" s="38" t="n"/>
      <c r="G24" s="578" t="n"/>
      <c r="H24" s="1" t="inlineStr">
        <is>
          <t>PCU</t>
        </is>
      </c>
      <c r="I24" s="43" t="n"/>
      <c r="J24" s="38" t="n"/>
      <c r="K24" s="578" t="n"/>
      <c r="L24" s="1" t="inlineStr">
        <is>
          <t>PCU</t>
        </is>
      </c>
      <c r="M24" s="43" t="n"/>
      <c r="N24" s="38" t="n"/>
      <c r="O24" s="578" t="n"/>
      <c r="P24" s="1" t="inlineStr">
        <is>
          <t>PPU</t>
        </is>
      </c>
      <c r="Q24" s="67" t="inlineStr">
        <is>
          <t>232C10353E</t>
        </is>
      </c>
      <c r="R24" s="69" t="inlineStr">
        <is>
          <t>PPU Modificata per agg.panto 1.5</t>
        </is>
      </c>
      <c r="S24" s="578" t="n"/>
      <c r="T24" s="45" t="inlineStr">
        <is>
          <t>PCU</t>
        </is>
      </c>
      <c r="U24" s="45" t="n"/>
      <c r="V24" s="42" t="n"/>
      <c r="W24" s="578" t="n"/>
      <c r="X24" s="1" t="inlineStr">
        <is>
          <t>PCU</t>
        </is>
      </c>
      <c r="Y24" s="43" t="n"/>
      <c r="Z24" s="38" t="n"/>
    </row>
    <row r="25">
      <c r="A25" s="587" t="n"/>
      <c r="B25" s="602" t="inlineStr">
        <is>
          <t>15 kV</t>
        </is>
      </c>
      <c r="C25" s="579" t="inlineStr">
        <is>
          <t>n/a</t>
        </is>
      </c>
      <c r="D25" s="33" t="inlineStr">
        <is>
          <t>Struttura</t>
        </is>
      </c>
      <c r="E25" s="43" t="n"/>
      <c r="F25" s="38" t="n"/>
      <c r="G25" s="579" t="inlineStr">
        <is>
          <t>n/a</t>
        </is>
      </c>
      <c r="H25" s="1" t="inlineStr">
        <is>
          <t>Struttura</t>
        </is>
      </c>
      <c r="I25" s="43" t="n"/>
      <c r="J25" s="38" t="n"/>
      <c r="K25" s="579" t="inlineStr">
        <is>
          <t>n/a</t>
        </is>
      </c>
      <c r="L25" s="1" t="inlineStr">
        <is>
          <t>Struttura</t>
        </is>
      </c>
      <c r="M25" s="43" t="n"/>
      <c r="N25" s="38" t="n"/>
      <c r="O25" s="566" t="n"/>
      <c r="P25" s="43" t="inlineStr">
        <is>
          <t>Struttura</t>
        </is>
      </c>
      <c r="Q25" s="43" t="n"/>
      <c r="R25" s="38" t="n"/>
      <c r="S25" s="604" t="n"/>
      <c r="T25" s="45" t="inlineStr">
        <is>
          <t>Struttura</t>
        </is>
      </c>
      <c r="U25" s="45" t="n"/>
      <c r="V25" s="42" t="n"/>
      <c r="W25" s="621" t="n"/>
      <c r="X25" s="1" t="inlineStr">
        <is>
          <t>Struttura</t>
        </is>
      </c>
      <c r="Y25" s="43" t="n"/>
      <c r="Z25" s="38" t="n"/>
    </row>
    <row r="26">
      <c r="A26" s="587" t="n"/>
      <c r="C26" s="567" t="n"/>
      <c r="D26" s="33" t="inlineStr">
        <is>
          <t>Archetto</t>
        </is>
      </c>
      <c r="E26" s="43" t="n"/>
      <c r="F26" s="38" t="n"/>
      <c r="G26" s="567" t="n"/>
      <c r="H26" s="1" t="inlineStr">
        <is>
          <t>Archetto</t>
        </is>
      </c>
      <c r="I26" s="43" t="n"/>
      <c r="J26" s="38" t="n"/>
      <c r="K26" s="567" t="n"/>
      <c r="L26" s="1" t="inlineStr">
        <is>
          <t>Archetto</t>
        </is>
      </c>
      <c r="M26" s="43" t="n"/>
      <c r="N26" s="38" t="n"/>
      <c r="O26" s="567" t="n"/>
      <c r="P26" s="43" t="inlineStr">
        <is>
          <t>Archetto</t>
        </is>
      </c>
      <c r="Q26" s="43" t="n"/>
      <c r="R26" s="38" t="n"/>
      <c r="S26" s="567" t="n"/>
      <c r="T26" s="45" t="inlineStr">
        <is>
          <t>Archetto</t>
        </is>
      </c>
      <c r="U26" s="45" t="n"/>
      <c r="V26" s="42" t="n"/>
      <c r="W26" s="567" t="n"/>
      <c r="X26" s="1" t="inlineStr">
        <is>
          <t>Archetto</t>
        </is>
      </c>
      <c r="Y26" s="43" t="n"/>
      <c r="Z26" s="38" t="n"/>
    </row>
    <row r="27">
      <c r="A27" s="587" t="n"/>
      <c r="C27" s="567" t="n"/>
      <c r="D27" s="33" t="inlineStr">
        <is>
          <t>Strisciante</t>
        </is>
      </c>
      <c r="E27" s="43" t="n"/>
      <c r="F27" s="38" t="n"/>
      <c r="G27" s="567" t="n"/>
      <c r="H27" s="1" t="inlineStr">
        <is>
          <t>Strisciante</t>
        </is>
      </c>
      <c r="I27" s="43" t="n"/>
      <c r="J27" s="38" t="n"/>
      <c r="K27" s="567" t="n"/>
      <c r="L27" s="1" t="inlineStr">
        <is>
          <t>Strisciante</t>
        </is>
      </c>
      <c r="M27" s="43" t="n"/>
      <c r="N27" s="38" t="n"/>
      <c r="O27" s="567" t="n"/>
      <c r="P27" s="43" t="inlineStr">
        <is>
          <t>Strisciante</t>
        </is>
      </c>
      <c r="Q27" s="43" t="n"/>
      <c r="R27" s="38" t="n"/>
      <c r="S27" s="567" t="n"/>
      <c r="T27" s="45" t="inlineStr">
        <is>
          <t>Strisciante</t>
        </is>
      </c>
      <c r="U27" s="45" t="n"/>
      <c r="V27" s="42" t="n"/>
      <c r="W27" s="567" t="n"/>
      <c r="X27" s="1" t="inlineStr">
        <is>
          <t>Strisciante</t>
        </is>
      </c>
      <c r="Y27" s="43" t="n"/>
      <c r="Z27" s="38" t="n"/>
    </row>
    <row r="28" ht="15.75" customHeight="1" s="592" thickBot="1">
      <c r="A28" s="603" t="n"/>
      <c r="B28" s="539" t="n"/>
      <c r="C28" s="578" t="n"/>
      <c r="D28" s="52" t="inlineStr">
        <is>
          <t>PCU</t>
        </is>
      </c>
      <c r="E28" s="56" t="n"/>
      <c r="F28" s="57" t="n"/>
      <c r="G28" s="578" t="n"/>
      <c r="H28" s="53" t="inlineStr">
        <is>
          <t>PCU</t>
        </is>
      </c>
      <c r="I28" s="56" t="n"/>
      <c r="J28" s="57" t="n"/>
      <c r="K28" s="578" t="n"/>
      <c r="L28" s="53" t="inlineStr">
        <is>
          <t>PCU</t>
        </is>
      </c>
      <c r="M28" s="56" t="n"/>
      <c r="N28" s="57" t="n"/>
      <c r="O28" s="568" t="n"/>
      <c r="P28" s="56" t="inlineStr">
        <is>
          <t>PPU</t>
        </is>
      </c>
      <c r="Q28" s="56" t="n"/>
      <c r="R28" s="57" t="n"/>
      <c r="S28" s="568" t="n"/>
      <c r="T28" s="59" t="inlineStr">
        <is>
          <t>PCU</t>
        </is>
      </c>
      <c r="U28" s="59" t="n"/>
      <c r="V28" s="60" t="n"/>
      <c r="W28" s="568" t="n"/>
      <c r="X28" s="53" t="inlineStr">
        <is>
          <t>PCU</t>
        </is>
      </c>
      <c r="Y28" s="56" t="n"/>
      <c r="Z28" s="57" t="n"/>
    </row>
    <row r="29" ht="101.45" customHeight="1" s="592">
      <c r="A29" s="586" t="inlineStr">
        <is>
          <t>TCMS Hardware</t>
        </is>
      </c>
      <c r="B29" s="586"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10" t="inlineStr">
        <is>
          <t>Nuova architettura Full Ethernet</t>
        </is>
      </c>
      <c r="N29" s="573" t="n"/>
      <c r="O29" s="76" t="n"/>
      <c r="P29" s="77" t="inlineStr">
        <is>
          <t>CCU-O</t>
        </is>
      </c>
      <c r="Q29" s="61" t="inlineStr">
        <is>
          <t>3EST000225-5707</t>
        </is>
      </c>
      <c r="R29" s="63" t="n"/>
      <c r="S29" s="76" t="n"/>
      <c r="T29" s="77" t="inlineStr">
        <is>
          <t>CCU-O</t>
        </is>
      </c>
      <c r="U29" s="61" t="inlineStr">
        <is>
          <t>3EST000225-5707</t>
        </is>
      </c>
      <c r="V29" s="63" t="n"/>
      <c r="W29" s="550" t="n"/>
      <c r="X29" s="77" t="inlineStr">
        <is>
          <t>CCU-O</t>
        </is>
      </c>
      <c r="Y29" s="61" t="inlineStr">
        <is>
          <t>3EST000236-6235</t>
        </is>
      </c>
      <c r="Z29" s="79" t="inlineStr">
        <is>
          <t>Higher performances and longer spare parts support</t>
        </is>
      </c>
    </row>
    <row r="30">
      <c r="A30" s="587" t="n"/>
      <c r="B30" s="587"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11" t="n"/>
      <c r="N30" s="593" t="n"/>
      <c r="O30" s="80" t="n"/>
      <c r="P30" s="81" t="inlineStr">
        <is>
          <t>CCU-S</t>
        </is>
      </c>
      <c r="Q30" s="1" t="inlineStr">
        <is>
          <t>3EST000221-6430</t>
        </is>
      </c>
      <c r="R30" s="35" t="n"/>
      <c r="S30" s="80" t="n"/>
      <c r="T30" s="81" t="inlineStr">
        <is>
          <t>CCU-S</t>
        </is>
      </c>
      <c r="U30" s="1" t="inlineStr">
        <is>
          <t>3EST000221-6430</t>
        </is>
      </c>
      <c r="V30" s="35" t="n"/>
      <c r="W30" s="531" t="n"/>
      <c r="X30" s="81" t="inlineStr">
        <is>
          <t>CCU-S</t>
        </is>
      </c>
      <c r="Y30" s="1" t="inlineStr">
        <is>
          <t>3EST000232-1990</t>
        </is>
      </c>
      <c r="Z30" s="35" t="n"/>
    </row>
    <row r="31" ht="144.6" customHeight="1" s="592">
      <c r="A31" s="587" t="n"/>
      <c r="B31" s="588"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11" t="n"/>
      <c r="N31" s="593"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31"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92">
      <c r="A32" s="587" t="n"/>
      <c r="B32" s="624"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11" t="n"/>
      <c r="N32" s="593" t="n"/>
      <c r="O32" s="80" t="n"/>
      <c r="P32" s="82" t="inlineStr">
        <is>
          <t>MCG</t>
        </is>
      </c>
      <c r="Q32" s="46" t="inlineStr">
        <is>
          <t>3EST000225-7169</t>
        </is>
      </c>
      <c r="R32" s="35" t="n"/>
      <c r="S32" s="80" t="n"/>
      <c r="T32" s="82" t="inlineStr">
        <is>
          <t>MCG</t>
        </is>
      </c>
      <c r="U32" s="46" t="inlineStr">
        <is>
          <t>3EST000225-7169</t>
        </is>
      </c>
      <c r="V32" s="35" t="n"/>
      <c r="W32" s="531" t="n"/>
      <c r="X32" s="82" t="inlineStr">
        <is>
          <t>MCG</t>
        </is>
      </c>
      <c r="Y32" s="1" t="inlineStr">
        <is>
          <t>3EST000234-1560</t>
        </is>
      </c>
      <c r="Z32" s="69" t="inlineStr">
        <is>
          <t>additional LTE connection</t>
        </is>
      </c>
    </row>
    <row r="33">
      <c r="A33" s="587" t="n"/>
      <c r="B33" s="602"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11" t="n"/>
      <c r="N33" s="593" t="n"/>
      <c r="O33" s="80" t="n"/>
      <c r="P33" s="81" t="inlineStr">
        <is>
          <t>IDU</t>
        </is>
      </c>
      <c r="Q33" s="1" t="inlineStr">
        <is>
          <t>3EST000223-8802</t>
        </is>
      </c>
      <c r="R33" s="35" t="n"/>
      <c r="S33" s="80" t="n"/>
      <c r="T33" s="81" t="inlineStr">
        <is>
          <t>IDU</t>
        </is>
      </c>
      <c r="U33" s="1" t="inlineStr">
        <is>
          <t>3EST000223-8802</t>
        </is>
      </c>
      <c r="V33" s="35" t="n"/>
      <c r="W33" s="531" t="n"/>
      <c r="X33" s="81" t="inlineStr">
        <is>
          <t>IDU</t>
        </is>
      </c>
      <c r="Y33" s="1" t="inlineStr">
        <is>
          <t>3EST000223-8802</t>
        </is>
      </c>
      <c r="Z33" s="35" t="n"/>
    </row>
    <row r="34" ht="14.45" customHeight="1" s="592">
      <c r="A34" s="587" t="n"/>
      <c r="B34" s="620" t="inlineStr">
        <is>
          <t>Bus</t>
        </is>
      </c>
      <c r="C34" s="80" t="n"/>
      <c r="D34" s="81" t="inlineStr">
        <is>
          <t>T Repeater</t>
        </is>
      </c>
      <c r="E34" s="1" t="inlineStr">
        <is>
          <t>3EST000212-3010</t>
        </is>
      </c>
      <c r="F34" s="35" t="n"/>
      <c r="G34" s="80" t="n"/>
      <c r="H34" s="81" t="inlineStr">
        <is>
          <t>T Repeater</t>
        </is>
      </c>
      <c r="I34" s="88" t="inlineStr">
        <is>
          <t>3EST000236-6770</t>
        </is>
      </c>
      <c r="J34" s="614" t="inlineStr">
        <is>
          <t>Sell no more supported for new projects due to internal component out of production (legacy only)</t>
        </is>
      </c>
      <c r="K34" s="80" t="n"/>
      <c r="L34" s="81" t="inlineStr">
        <is>
          <t>T Repeater</t>
        </is>
      </c>
      <c r="M34" s="611" t="n"/>
      <c r="N34" s="593" t="n"/>
      <c r="O34" s="80" t="n"/>
      <c r="P34" s="81" t="inlineStr">
        <is>
          <t>T Repeater</t>
        </is>
      </c>
      <c r="Q34" s="1" t="inlineStr">
        <is>
          <t>3EST000212-3010</t>
        </is>
      </c>
      <c r="R34" s="35" t="n"/>
      <c r="S34" s="80" t="n"/>
      <c r="T34" s="81" t="inlineStr">
        <is>
          <t>T Repeater</t>
        </is>
      </c>
      <c r="U34" s="1" t="inlineStr">
        <is>
          <t>3EST000212-3010</t>
        </is>
      </c>
      <c r="V34" s="35" t="n"/>
      <c r="W34" s="531" t="n"/>
      <c r="X34" s="81" t="inlineStr">
        <is>
          <t>T Repeater</t>
        </is>
      </c>
      <c r="Y34" s="1" t="inlineStr">
        <is>
          <t>3EST000236-6770</t>
        </is>
      </c>
      <c r="Z34" s="614" t="inlineStr">
        <is>
          <t>Sell no more supported for new projects due to internal component out of production (legacy only)</t>
        </is>
      </c>
    </row>
    <row r="35">
      <c r="A35" s="587" t="n"/>
      <c r="B35" s="587" t="n"/>
      <c r="C35" s="80" t="n"/>
      <c r="D35" s="81" t="inlineStr">
        <is>
          <t>T Switch</t>
        </is>
      </c>
      <c r="E35" s="1" t="inlineStr">
        <is>
          <t>3EST000212-3000</t>
        </is>
      </c>
      <c r="F35" s="35" t="n"/>
      <c r="G35" s="80" t="n"/>
      <c r="H35" s="81" t="inlineStr">
        <is>
          <t>T Switch</t>
        </is>
      </c>
      <c r="I35" s="88" t="inlineStr">
        <is>
          <t>3EST000236-6769</t>
        </is>
      </c>
      <c r="J35" s="615" t="n"/>
      <c r="K35" s="80" t="n"/>
      <c r="L35" s="81" t="inlineStr">
        <is>
          <t>T Switch</t>
        </is>
      </c>
      <c r="M35" s="611" t="n"/>
      <c r="N35" s="593" t="n"/>
      <c r="O35" s="80" t="n"/>
      <c r="P35" s="81" t="inlineStr">
        <is>
          <t>T Switch</t>
        </is>
      </c>
      <c r="Q35" s="1" t="inlineStr">
        <is>
          <t>3EST000212-3000</t>
        </is>
      </c>
      <c r="R35" s="35" t="n"/>
      <c r="S35" s="80" t="n"/>
      <c r="T35" s="81" t="inlineStr">
        <is>
          <t>T Switch</t>
        </is>
      </c>
      <c r="U35" s="1" t="inlineStr">
        <is>
          <t>3EST000212-3000</t>
        </is>
      </c>
      <c r="V35" s="35" t="n"/>
      <c r="W35" s="531" t="n"/>
      <c r="X35" s="81" t="inlineStr">
        <is>
          <t>T Switch</t>
        </is>
      </c>
      <c r="Y35" s="1" t="inlineStr">
        <is>
          <t>3EST000236-6769</t>
        </is>
      </c>
      <c r="Z35" s="615" t="n"/>
    </row>
    <row r="36" ht="15.75" customHeight="1" s="592" thickBot="1">
      <c r="A36" s="588" t="n"/>
      <c r="B36" s="587" t="n"/>
      <c r="C36" s="89" t="n"/>
      <c r="D36" s="90" t="inlineStr">
        <is>
          <t>R Switch</t>
        </is>
      </c>
      <c r="E36" s="91" t="inlineStr">
        <is>
          <t>3EST000225-7297</t>
        </is>
      </c>
      <c r="F36" s="92" t="n"/>
      <c r="G36" s="89" t="n"/>
      <c r="H36" s="90" t="inlineStr">
        <is>
          <t>R Switch</t>
        </is>
      </c>
      <c r="I36" s="93" t="inlineStr">
        <is>
          <t>3EST000234-7837</t>
        </is>
      </c>
      <c r="J36" s="615" t="n"/>
      <c r="K36" s="89" t="n"/>
      <c r="L36" s="90" t="inlineStr">
        <is>
          <t>R Switch</t>
        </is>
      </c>
      <c r="M36" s="612" t="n"/>
      <c r="N36" s="596" t="n"/>
      <c r="O36" s="89" t="n"/>
      <c r="P36" s="90" t="inlineStr">
        <is>
          <t>R Switch</t>
        </is>
      </c>
      <c r="Q36" s="91" t="inlineStr">
        <is>
          <t>3EST000225-7297</t>
        </is>
      </c>
      <c r="R36" s="92" t="n"/>
      <c r="S36" s="89" t="n"/>
      <c r="T36" s="90" t="inlineStr">
        <is>
          <t>R Switch</t>
        </is>
      </c>
      <c r="U36" s="91" t="inlineStr">
        <is>
          <t>3EST000225-7297</t>
        </is>
      </c>
      <c r="V36" s="92" t="n"/>
      <c r="W36" s="558" t="n"/>
      <c r="X36" s="90" t="inlineStr">
        <is>
          <t>R Switch</t>
        </is>
      </c>
      <c r="Y36" s="91" t="inlineStr">
        <is>
          <t>3EST000234-7837</t>
        </is>
      </c>
      <c r="Z36" s="615" t="n"/>
    </row>
    <row r="37" ht="15.75" customHeight="1" s="592" thickBot="1">
      <c r="A37" s="66" t="inlineStr">
        <is>
          <t>Energy Meter</t>
        </is>
      </c>
      <c r="B37" s="16" t="inlineStr">
        <is>
          <t>Tipo</t>
        </is>
      </c>
      <c r="C37" s="607" t="inlineStr">
        <is>
          <t>n/a</t>
        </is>
      </c>
      <c r="D37" s="583" t="n"/>
      <c r="E37" s="583" t="n"/>
      <c r="F37" s="570" t="n"/>
      <c r="G37" s="607" t="inlineStr">
        <is>
          <t>n/a</t>
        </is>
      </c>
      <c r="H37" s="583" t="n"/>
      <c r="I37" s="583" t="n"/>
      <c r="J37" s="570" t="n"/>
      <c r="K37" s="597" t="inlineStr">
        <is>
          <t>EMS Microelettrica  integrato con TCMS</t>
        </is>
      </c>
      <c r="L37" s="583" t="n"/>
      <c r="M37" s="583" t="n"/>
      <c r="N37" s="570" t="n"/>
      <c r="O37" s="597" t="inlineStr">
        <is>
          <t>EMS Microelettrica non integrato con TCMS</t>
        </is>
      </c>
      <c r="P37" s="583" t="n"/>
      <c r="Q37" s="583" t="n"/>
      <c r="R37" s="570" t="n"/>
      <c r="S37" s="597" t="inlineStr">
        <is>
          <t>EMS Alstom  integrato con TCMS</t>
        </is>
      </c>
      <c r="T37" s="583" t="n"/>
      <c r="U37" s="583" t="n"/>
      <c r="V37" s="570" t="n"/>
      <c r="W37" s="597" t="inlineStr">
        <is>
          <t>EMS Alstom  integrato con TCMS</t>
        </is>
      </c>
      <c r="X37" s="583" t="n"/>
      <c r="Y37" s="583" t="n"/>
      <c r="Z37" s="570" t="n"/>
    </row>
    <row r="38" ht="87" customHeight="1" s="592">
      <c r="A38" s="586" t="inlineStr">
        <is>
          <t>Freno</t>
        </is>
      </c>
      <c r="B38" s="608"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92">
      <c r="A39" s="587" t="n"/>
      <c r="B39" s="539"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587" t="n"/>
      <c r="B40" s="605"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587" t="n"/>
      <c r="B41" s="591"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92" thickBot="1">
      <c r="A42" s="588" t="n"/>
      <c r="B42" s="594"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586" t="inlineStr">
        <is>
          <t>PRM</t>
        </is>
      </c>
      <c r="B43" s="608" t="inlineStr">
        <is>
          <t>Toilet</t>
        </is>
      </c>
      <c r="C43" s="571" t="inlineStr">
        <is>
          <t>Toilet Production HK standard flotta base</t>
        </is>
      </c>
      <c r="D43" s="572" t="n"/>
      <c r="E43" s="572" t="n"/>
      <c r="F43" s="573" t="n"/>
      <c r="G43" s="571" t="inlineStr">
        <is>
          <t>Toilet Production HK standard flotta base</t>
        </is>
      </c>
      <c r="H43" s="572" t="n"/>
      <c r="I43" s="572" t="n"/>
      <c r="J43" s="573" t="n"/>
      <c r="K43" s="571" t="inlineStr">
        <is>
          <t>Toilet Production HK - conf. NRD Spagna + STI PRM 2019</t>
        </is>
      </c>
      <c r="L43" s="572" t="n"/>
      <c r="M43" s="572" t="n"/>
      <c r="N43" s="573" t="n"/>
      <c r="O43" s="571" t="inlineStr">
        <is>
          <t>Toilet Production HK standard flotta base</t>
        </is>
      </c>
      <c r="P43" s="572" t="n"/>
      <c r="Q43" s="572" t="n"/>
      <c r="R43" s="573" t="n"/>
      <c r="S43" s="571" t="inlineStr">
        <is>
          <t>Toilet Production HK standard flotta base</t>
        </is>
      </c>
      <c r="T43" s="572" t="n"/>
      <c r="U43" s="572" t="n"/>
      <c r="V43" s="573" t="n"/>
      <c r="W43" s="571" t="inlineStr">
        <is>
          <t>Toilet Production HK - conf. NRD Spagna + STI PRM 2019</t>
        </is>
      </c>
      <c r="X43" s="572" t="n"/>
      <c r="Y43" s="572" t="n"/>
      <c r="Z43" s="573" t="n"/>
    </row>
    <row r="44">
      <c r="A44" s="587" t="n"/>
      <c r="B44" s="539" t="n"/>
      <c r="C44" s="574" t="n"/>
      <c r="D44" s="539" t="n"/>
      <c r="E44" s="539" t="n"/>
      <c r="F44" s="575" t="n"/>
      <c r="G44" s="574" t="n"/>
      <c r="H44" s="539" t="n"/>
      <c r="I44" s="539" t="n"/>
      <c r="J44" s="575" t="n"/>
      <c r="K44" s="574" t="n"/>
      <c r="L44" s="539" t="n"/>
      <c r="M44" s="539" t="n"/>
      <c r="N44" s="575" t="n"/>
      <c r="O44" s="574" t="n"/>
      <c r="P44" s="539" t="n"/>
      <c r="Q44" s="539" t="n"/>
      <c r="R44" s="575" t="n"/>
      <c r="S44" s="574" t="n"/>
      <c r="T44" s="539" t="n"/>
      <c r="U44" s="539" t="n"/>
      <c r="V44" s="575" t="n"/>
      <c r="W44" s="574" t="n"/>
      <c r="X44" s="539" t="n"/>
      <c r="Y44" s="539" t="n"/>
      <c r="Z44" s="575" t="n"/>
    </row>
    <row r="45">
      <c r="A45" s="587" t="n"/>
      <c r="B45" s="605" t="inlineStr">
        <is>
          <t>Lift</t>
        </is>
      </c>
      <c r="C45" s="599" t="inlineStr">
        <is>
          <t>Lift HK standard flotta base azionamento idraulico</t>
        </is>
      </c>
      <c r="D45" s="557" t="n"/>
      <c r="E45" s="557" t="n"/>
      <c r="F45" s="590" t="n"/>
      <c r="G45" s="599" t="inlineStr">
        <is>
          <t>Lift HK standard flotta base azionamento idraulico</t>
        </is>
      </c>
      <c r="H45" s="557" t="n"/>
      <c r="I45" s="557" t="n"/>
      <c r="J45" s="590" t="n"/>
      <c r="K45" s="589" t="inlineStr">
        <is>
          <t>Lift HK STI PRM 2019 (pedana più grande, azionamento elettrico)</t>
        </is>
      </c>
      <c r="L45" s="557" t="n"/>
      <c r="M45" s="557" t="n"/>
      <c r="N45" s="590" t="n"/>
      <c r="O45" s="599" t="inlineStr">
        <is>
          <t>Lift HK standard flotta base azionamento idraulico</t>
        </is>
      </c>
      <c r="P45" s="557" t="n"/>
      <c r="Q45" s="557" t="n"/>
      <c r="R45" s="590" t="n"/>
      <c r="S45" s="599" t="inlineStr">
        <is>
          <t>Lift HK standard flotta base azionamento idraulico</t>
        </is>
      </c>
      <c r="T45" s="557" t="n"/>
      <c r="U45" s="557" t="n"/>
      <c r="V45" s="590" t="n"/>
      <c r="W45" s="589" t="inlineStr">
        <is>
          <t>Lift HK STI PRM 2019 (pedana più grande) azionamento idraulico</t>
        </is>
      </c>
      <c r="X45" s="557" t="n"/>
      <c r="Y45" s="557" t="n"/>
      <c r="Z45" s="590" t="n"/>
    </row>
    <row r="46">
      <c r="A46" s="587" t="n"/>
      <c r="B46" s="591" t="n"/>
      <c r="C46" s="591" t="n"/>
      <c r="F46" s="593" t="n"/>
      <c r="G46" s="591" t="n"/>
      <c r="J46" s="593" t="n"/>
      <c r="K46" s="591" t="n"/>
      <c r="N46" s="593" t="n"/>
      <c r="O46" s="591" t="n"/>
      <c r="R46" s="593" t="n"/>
      <c r="S46" s="591" t="n"/>
      <c r="V46" s="593" t="n"/>
      <c r="W46" s="591" t="n"/>
      <c r="Z46" s="593" t="n"/>
    </row>
    <row r="47" ht="15.75" customHeight="1" s="592" thickBot="1">
      <c r="A47" s="588" t="n"/>
      <c r="B47" s="594" t="n"/>
      <c r="C47" s="594" t="n"/>
      <c r="D47" s="595" t="n"/>
      <c r="E47" s="595" t="n"/>
      <c r="F47" s="596" t="n"/>
      <c r="G47" s="594" t="n"/>
      <c r="H47" s="595" t="n"/>
      <c r="I47" s="595" t="n"/>
      <c r="J47" s="596" t="n"/>
      <c r="K47" s="594" t="n"/>
      <c r="L47" s="595" t="n"/>
      <c r="M47" s="595" t="n"/>
      <c r="N47" s="596" t="n"/>
      <c r="O47" s="594" t="n"/>
      <c r="P47" s="595" t="n"/>
      <c r="Q47" s="595" t="n"/>
      <c r="R47" s="596" t="n"/>
      <c r="S47" s="594" t="n"/>
      <c r="T47" s="595" t="n"/>
      <c r="U47" s="595" t="n"/>
      <c r="V47" s="596" t="n"/>
      <c r="W47" s="594" t="n"/>
      <c r="X47" s="595" t="n"/>
      <c r="Y47" s="595" t="n"/>
      <c r="Z47" s="596" t="n"/>
    </row>
    <row r="48" ht="29.45" customHeight="1" s="592" thickBot="1">
      <c r="A48" s="100" t="inlineStr">
        <is>
          <t>Porte Esterne</t>
        </is>
      </c>
      <c r="B48" s="101" t="inlineStr">
        <is>
          <t>Tipo</t>
        </is>
      </c>
      <c r="C48" s="598" t="inlineStr">
        <is>
          <t>Porte esterne IFE standard flotta base</t>
        </is>
      </c>
      <c r="D48" s="583" t="n"/>
      <c r="E48" s="583" t="n"/>
      <c r="F48" s="570" t="n"/>
      <c r="G48" s="598" t="inlineStr">
        <is>
          <t>Porte esterne IFE standard flotta base</t>
        </is>
      </c>
      <c r="H48" s="583" t="n"/>
      <c r="I48" s="583" t="n"/>
      <c r="J48" s="570" t="n"/>
      <c r="K48" s="619" t="inlineStr">
        <is>
          <t>Porte esterne IFE TSI 2019
Centralina Ethernet</t>
        </is>
      </c>
      <c r="L48" s="583" t="n"/>
      <c r="M48" s="583" t="n"/>
      <c r="N48" s="570" t="n"/>
      <c r="O48" s="598" t="inlineStr">
        <is>
          <t>Porte esterne IFE standard flotta base</t>
        </is>
      </c>
      <c r="P48" s="583" t="n"/>
      <c r="Q48" s="583" t="n"/>
      <c r="R48" s="570" t="n"/>
      <c r="S48" s="598" t="inlineStr">
        <is>
          <t>Porte esterne IFE standard flotta base</t>
        </is>
      </c>
      <c r="T48" s="583" t="n"/>
      <c r="U48" s="583" t="n"/>
      <c r="V48" s="570" t="n"/>
      <c r="W48" s="623" t="inlineStr">
        <is>
          <t>Porte esterne IFE (TSI 2019)</t>
        </is>
      </c>
      <c r="X48" s="583" t="n"/>
      <c r="Y48" s="583" t="n"/>
      <c r="Z48" s="570" t="n"/>
    </row>
    <row r="49" ht="24" customHeight="1" s="592">
      <c r="A49" s="569" t="inlineStr">
        <is>
          <t>Antincendio</t>
        </is>
      </c>
      <c r="B49" s="102" t="inlineStr">
        <is>
          <t>Sensori
Elettronica</t>
        </is>
      </c>
      <c r="C49" s="571" t="inlineStr">
        <is>
          <t>SCU Saira</t>
        </is>
      </c>
      <c r="D49" s="549" t="n"/>
      <c r="E49" s="549" t="n"/>
      <c r="F49" s="565" t="n"/>
      <c r="G49" s="564" t="inlineStr">
        <is>
          <t>FDU-1000 (fornitura ISE)</t>
        </is>
      </c>
      <c r="H49" s="549" t="n"/>
      <c r="I49" s="549" t="n"/>
      <c r="J49" s="565" t="n"/>
      <c r="K49" s="564" t="inlineStr">
        <is>
          <t>FDU ISE</t>
        </is>
      </c>
      <c r="L49" s="549" t="n"/>
      <c r="M49" s="549" t="n"/>
      <c r="N49" s="565" t="n"/>
      <c r="O49" s="571" t="inlineStr">
        <is>
          <t>SCU Saira</t>
        </is>
      </c>
      <c r="P49" s="549" t="n"/>
      <c r="Q49" s="549" t="n"/>
      <c r="R49" s="565" t="n"/>
      <c r="S49" s="571" t="inlineStr">
        <is>
          <t>SCU Saira</t>
        </is>
      </c>
      <c r="T49" s="549" t="n"/>
      <c r="U49" s="549" t="n"/>
      <c r="V49" s="565" t="n"/>
      <c r="W49" s="564" t="inlineStr">
        <is>
          <t>FDU-1000 (fornitura ISE)</t>
        </is>
      </c>
      <c r="X49" s="549" t="n"/>
      <c r="Y49" s="549" t="n"/>
      <c r="Z49" s="565" t="n"/>
    </row>
    <row r="50" ht="15.75" customHeight="1" s="592" thickBot="1">
      <c r="A50" s="603" t="n"/>
      <c r="B50" s="75" t="inlineStr">
        <is>
          <t>Estinzione</t>
        </is>
      </c>
      <c r="C50" s="606" t="inlineStr">
        <is>
          <t>WaterMist Marioff - 2 gruppi MAU (DM1/8)</t>
        </is>
      </c>
      <c r="D50" s="595" t="n"/>
      <c r="E50" s="595" t="n"/>
      <c r="F50" s="596" t="n"/>
      <c r="G50" s="609" t="inlineStr">
        <is>
          <t>WaterMist Marioff - 2 gruppi MAU (DM1/8)</t>
        </is>
      </c>
      <c r="H50" s="595" t="n"/>
      <c r="I50" s="595" t="n"/>
      <c r="J50" s="596" t="n"/>
      <c r="K50" s="609" t="inlineStr">
        <is>
          <t>WaterMist Acquasys - 1 gruppo MAU (DM1)</t>
        </is>
      </c>
      <c r="L50" s="595" t="n"/>
      <c r="M50" s="595" t="n"/>
      <c r="N50" s="596" t="n"/>
      <c r="O50" s="606" t="inlineStr">
        <is>
          <t>WaterMist Marioff - 2 gruppi MAU (DM1/8)</t>
        </is>
      </c>
      <c r="P50" s="595" t="n"/>
      <c r="Q50" s="595" t="n"/>
      <c r="R50" s="596" t="n"/>
      <c r="S50" s="606" t="inlineStr">
        <is>
          <t>WaterMist Marioff - 2 gruppi MAU (DM1/8)</t>
        </is>
      </c>
      <c r="T50" s="595" t="n"/>
      <c r="U50" s="595" t="n"/>
      <c r="V50" s="596" t="n"/>
      <c r="W50" s="606" t="inlineStr">
        <is>
          <t>n/a</t>
        </is>
      </c>
      <c r="X50" s="595" t="n"/>
      <c r="Y50" s="595" t="n"/>
      <c r="Z50" s="596"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W37:Z37"/>
    <mergeCell ref="B17:B20"/>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14"/>
    <col width="8.7109375" customWidth="1" style="13" min="15" max="16384"/>
  </cols>
  <sheetData>
    <row r="1" ht="30" customHeight="1" s="592">
      <c r="A1" s="156" t="inlineStr">
        <is>
          <t>FUNC ID</t>
        </is>
      </c>
      <c r="B1" s="156" t="inlineStr">
        <is>
          <t>DESCRIZIONE FUNZIONE</t>
        </is>
      </c>
      <c r="C1" s="526" t="inlineStr">
        <is>
          <t>DOC
CARTELLA</t>
        </is>
      </c>
      <c r="D1" s="526" t="inlineStr">
        <is>
          <t>DOC ID</t>
        </is>
      </c>
      <c r="E1" s="526"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92">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92">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92">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92">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92">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92">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92">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92">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92">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92">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92">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92">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92" min="2" max="2"/>
    <col width="6.140625" bestFit="1" customWidth="1" style="592" min="7" max="7"/>
  </cols>
  <sheetData>
    <row r="1" ht="15.75" customHeight="1" s="592" thickBot="1"/>
    <row r="2" ht="15.75" customHeight="1" s="592" thickBot="1">
      <c r="C2" s="2" t="inlineStr">
        <is>
          <t>VZI-50</t>
        </is>
      </c>
      <c r="D2" s="2" t="inlineStr">
        <is>
          <t>VZI-51-58</t>
        </is>
      </c>
      <c r="E2" s="2" t="inlineStr">
        <is>
          <t>VZI-6</t>
        </is>
      </c>
      <c r="F2" s="2" t="inlineStr">
        <is>
          <t>VZI-4</t>
        </is>
      </c>
      <c r="G2" s="2" t="inlineStr">
        <is>
          <t>VZ-FR</t>
        </is>
      </c>
      <c r="H2" s="2" t="inlineStr">
        <is>
          <t>VZ-ES</t>
        </is>
      </c>
      <c r="I2" s="570" t="inlineStr">
        <is>
          <t>VZ-DAI</t>
        </is>
      </c>
    </row>
    <row r="3" ht="15.75" customHeight="1" s="592"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92"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92"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92"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92" thickBot="1">
      <c r="B7" s="2" t="inlineStr">
        <is>
          <t>COMPRESSORE ARIA (?)</t>
        </is>
      </c>
      <c r="C7" s="10" t="n"/>
      <c r="D7" s="7" t="n"/>
      <c r="E7" s="7" t="n"/>
      <c r="F7" s="7" t="n"/>
      <c r="G7" s="7" t="n"/>
      <c r="H7" s="7" t="n"/>
      <c r="I7" s="7" t="n"/>
    </row>
    <row r="8" ht="15.75" customHeight="1" s="592"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92" thickBot="1">
      <c r="B9" s="2" t="inlineStr">
        <is>
          <t>ARREDI TOILET BAR BISTROT</t>
        </is>
      </c>
      <c r="C9" s="10" t="n"/>
      <c r="D9" s="7" t="n"/>
      <c r="E9" s="7" t="n"/>
      <c r="F9" s="7" t="n"/>
      <c r="G9" s="7" t="n"/>
      <c r="H9" s="7" t="n"/>
      <c r="I9" s="7" t="n"/>
    </row>
    <row r="10" ht="45.75" customHeight="1" s="592"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92" thickBot="1">
      <c r="B11" s="2" t="inlineStr">
        <is>
          <t>PANTOGRAFI</t>
        </is>
      </c>
      <c r="C11" s="10" t="n"/>
      <c r="D11" s="7" t="n"/>
      <c r="E11" s="7" t="n"/>
      <c r="F11" s="7" t="n"/>
      <c r="G11" s="7" t="n"/>
      <c r="H11" s="7" t="n"/>
      <c r="I11" s="7" t="n"/>
    </row>
    <row r="12" ht="15.75" customHeight="1" s="592" thickBot="1">
      <c r="B12" s="2" t="inlineStr">
        <is>
          <t>PIANO DI MANUTENZIONE</t>
        </is>
      </c>
      <c r="C12" s="531" t="n"/>
      <c r="D12" s="1" t="n"/>
      <c r="E12" s="1" t="n"/>
      <c r="F12" s="1" t="n"/>
      <c r="G12" s="1" t="n"/>
      <c r="H12" s="1" t="n"/>
      <c r="I12" s="1" t="n"/>
    </row>
    <row r="13" ht="15.75" customHeight="1" s="592" thickBot="1">
      <c r="B13" s="2" t="inlineStr">
        <is>
          <t>BL SSB</t>
        </is>
      </c>
      <c r="C13" s="531" t="n"/>
      <c r="D13" s="1" t="n"/>
      <c r="E13" s="1" t="n"/>
      <c r="F13" s="1" t="n"/>
      <c r="G13" s="1" t="n"/>
      <c r="H13" s="1" t="n"/>
      <c r="I13" s="1" t="n"/>
    </row>
    <row r="14" ht="15.75" customHeight="1" s="592" thickBot="1">
      <c r="B14" s="603" t="inlineStr">
        <is>
          <t>BL DIS</t>
        </is>
      </c>
      <c r="C14" s="531" t="n"/>
      <c r="D14" s="1" t="n"/>
      <c r="E14" s="1" t="n"/>
      <c r="F14" s="1" t="n"/>
      <c r="G14" s="1" t="n"/>
      <c r="H14" s="1" t="n"/>
      <c r="I14" s="1" t="n"/>
    </row>
    <row r="15" ht="15.75" customHeight="1" s="592" thickBot="1">
      <c r="B15" s="2" t="inlineStr">
        <is>
          <t>ETCS HD (HW)</t>
        </is>
      </c>
      <c r="C15" s="531" t="n"/>
      <c r="D15" s="1" t="n"/>
      <c r="E15" s="1" t="n"/>
      <c r="F15" s="1" t="n"/>
      <c r="G15" s="1" t="n"/>
      <c r="H15" s="1" t="n"/>
      <c r="I15" s="1" t="n"/>
    </row>
    <row r="16" ht="15.75" customHeight="1" s="592" thickBot="1">
      <c r="B16" s="2" t="inlineStr">
        <is>
          <t xml:space="preserve">ANTINCENDIO </t>
        </is>
      </c>
      <c r="C16" s="531" t="n"/>
      <c r="D16" s="1" t="n"/>
      <c r="E16" s="1" t="n"/>
      <c r="F16" s="1" t="n"/>
      <c r="G16" s="1" t="n"/>
      <c r="H16" s="1" t="n"/>
      <c r="I16" s="1" t="n"/>
    </row>
    <row r="17" ht="15.75" customHeight="1" s="592"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2026-07-14T10:49:45Z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