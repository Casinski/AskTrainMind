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4">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CC0000"/>
      <sz val="11"/>
    </font>
    <font>
      <name val="Calibri"/>
      <color rgb="FF00AA00"/>
      <sz val="11"/>
    </font>
    <font>
      <name val="Calibri"/>
      <color rgb="FF000000"/>
      <sz val="11"/>
    </font>
    <font>
      <name val="Calibri"/>
      <color rgb="FFCC0000"/>
      <sz val="11"/>
    </font>
    <font>
      <name val="Calibri"/>
      <color rgb="FFCC0000"/>
      <sz val="11"/>
    </font>
    <font>
      <name val="Calibri"/>
      <color rgb="FF00AA00"/>
      <sz val="11"/>
    </font>
    <font>
      <name val="Calibri"/>
      <color rgb="FFCC0000"/>
      <sz val="11"/>
    </font>
    <font>
      <name val="Calibri"/>
      <color rgb="FF00AA00"/>
      <sz val="11"/>
    </font>
    <font>
      <name val="Calibri"/>
      <color rgb="FFCC0000"/>
      <sz val="11"/>
    </font>
    <font>
      <name val="Calibri"/>
      <color rgb="FF000000"/>
      <sz val="11"/>
    </font>
    <font>
      <color rgb="00000000"/>
    </font>
    <font>
      <color rgb="0000AA00"/>
    </font>
    <font>
      <color rgb="00CC00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2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32" fillId="0" borderId="95" applyAlignment="1" pivotButton="0" quotePrefix="0" xfId="0">
      <alignment wrapText="1"/>
    </xf>
    <xf numFmtId="0" fontId="33" fillId="0" borderId="95" applyAlignment="1" pivotButton="0" quotePrefix="0" xfId="0">
      <alignment wrapText="1"/>
    </xf>
    <xf numFmtId="0" fontId="34" fillId="0" borderId="95" applyAlignment="1" pivotButton="0" quotePrefix="0" xfId="0">
      <alignment wrapText="1"/>
    </xf>
    <xf numFmtId="0" fontId="32" fillId="0" borderId="112" applyAlignment="1" pivotButton="0" quotePrefix="0" xfId="0">
      <alignment wrapText="1"/>
    </xf>
    <xf numFmtId="0" fontId="35" fillId="0" borderId="112" applyAlignment="1" pivotButton="0" quotePrefix="0" xfId="0">
      <alignment wrapText="1"/>
    </xf>
    <xf numFmtId="0" fontId="37" fillId="0" borderId="112" applyAlignment="1" pivotButton="0" quotePrefix="0" xfId="0">
      <alignment wrapText="1"/>
    </xf>
    <xf numFmtId="0" fontId="36" fillId="0" borderId="112" applyAlignment="1" pivotButton="0" quotePrefix="0" xfId="0">
      <alignment wrapText="1"/>
    </xf>
    <xf numFmtId="0" fontId="38" fillId="0" borderId="95" applyAlignment="1" pivotButton="0" quotePrefix="0" xfId="0">
      <alignment wrapText="1"/>
    </xf>
    <xf numFmtId="0" fontId="39" fillId="0" borderId="95" applyAlignment="1" pivotButton="0" quotePrefix="0" xfId="0">
      <alignment wrapText="1"/>
    </xf>
    <xf numFmtId="0" fontId="40" fillId="0" borderId="95" applyAlignment="1" pivotButton="0" quotePrefix="0" xfId="0">
      <alignment wrapText="1"/>
    </xf>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95" applyAlignment="1" pivotButton="0" quotePrefix="0" xfId="0">
      <alignment horizontal="center" vertical="center" wrapText="1"/>
    </xf>
    <xf numFmtId="0" fontId="0" fillId="0" borderId="95" pivotButton="0" quotePrefix="0" xfId="0"/>
    <xf numFmtId="0" fontId="18" fillId="4" borderId="93" applyAlignment="1" pivotButton="0" quotePrefix="0" xfId="0">
      <alignment horizontal="center" vertical="center" wrapText="1"/>
    </xf>
    <xf numFmtId="0" fontId="0" fillId="0" borderId="96" pivotButton="0" quotePrefix="0" xfId="0"/>
    <xf numFmtId="0" fontId="3" fillId="5" borderId="94" applyAlignment="1" pivotButton="0" quotePrefix="0" xfId="0">
      <alignment horizontal="center" vertical="center" wrapText="1"/>
    </xf>
    <xf numFmtId="0" fontId="0" fillId="0" borderId="92" pivotButton="0" quotePrefix="0" xfId="0"/>
    <xf numFmtId="0" fontId="19" fillId="4" borderId="29" applyAlignment="1" pivotButton="0" quotePrefix="0" xfId="0">
      <alignment horizontal="center" vertical="center" wrapText="1"/>
    </xf>
    <xf numFmtId="0" fontId="0" fillId="0" borderId="27" pivotButton="0" quotePrefix="0" xfId="0"/>
    <xf numFmtId="0" fontId="0" fillId="0" borderId="34" pivotButton="0" quotePrefix="0" xfId="0"/>
    <xf numFmtId="0" fontId="18" fillId="4" borderId="29" applyAlignment="1" pivotButton="0" quotePrefix="0" xfId="0">
      <alignment horizontal="center" vertical="center" wrapText="1"/>
    </xf>
    <xf numFmtId="0" fontId="19" fillId="14" borderId="29" applyAlignment="1" pivotButton="0" quotePrefix="0" xfId="0">
      <alignment horizontal="center" vertical="center" wrapText="1"/>
    </xf>
    <xf numFmtId="0" fontId="18" fillId="4" borderId="29" applyAlignment="1" pivotButton="0" quotePrefix="1" xfId="0">
      <alignment horizontal="center" vertical="center" wrapText="1"/>
    </xf>
    <xf numFmtId="0" fontId="22" fillId="5" borderId="42" applyAlignment="1" pivotButton="0" quotePrefix="0" xfId="0">
      <alignment horizontal="center" vertical="center" wrapText="1"/>
    </xf>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0" fillId="0" borderId="41" pivotButton="0" quotePrefix="0" xfId="0"/>
    <xf numFmtId="0" fontId="3" fillId="4" borderId="42"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3" fillId="0" borderId="27" applyAlignment="1" pivotButton="0" quotePrefix="0" xfId="0">
      <alignment horizontal="center" vertical="center"/>
    </xf>
    <xf numFmtId="0" fontId="0" fillId="0" borderId="2" applyAlignment="1" pivotButton="0" quotePrefix="0" xfId="0">
      <alignment horizontal="center" vertical="center" wrapText="1"/>
    </xf>
    <xf numFmtId="0" fontId="0" fillId="0" borderId="46" pivotButton="0" quotePrefix="0" xfId="0"/>
    <xf numFmtId="0" fontId="0" fillId="0" borderId="3" pivotButton="0" quotePrefix="0" xfId="0"/>
    <xf numFmtId="0" fontId="3" fillId="0" borderId="22" applyAlignment="1" pivotButton="0" quotePrefix="0" xfId="0">
      <alignment horizontal="center" vertical="center" wrapText="1"/>
    </xf>
    <xf numFmtId="0" fontId="0" fillId="0" borderId="17" pivotButton="0" quotePrefix="0" xfId="0"/>
    <xf numFmtId="0" fontId="0" fillId="0" borderId="22" pivotButton="0" quotePrefix="0" xfId="0"/>
    <xf numFmtId="0" fontId="3" fillId="0" borderId="38" applyAlignment="1" pivotButton="0" quotePrefix="0" xfId="0">
      <alignment horizontal="center" vertical="center"/>
    </xf>
    <xf numFmtId="0" fontId="0" fillId="0" borderId="31" pivotButton="0" quotePrefix="0" xfId="0"/>
    <xf numFmtId="0" fontId="0" fillId="0" borderId="49" applyAlignment="1" pivotButton="0" quotePrefix="0" xfId="0">
      <alignment horizontal="center" vertical="center"/>
    </xf>
    <xf numFmtId="0" fontId="0" fillId="0" borderId="14" pivotButton="0" quotePrefix="0" xfId="0"/>
    <xf numFmtId="0" fontId="0" fillId="0" borderId="32" applyAlignment="1" pivotButton="0" quotePrefix="0" xfId="0">
      <alignment horizontal="center" vertical="center"/>
    </xf>
    <xf numFmtId="0" fontId="3" fillId="2" borderId="22" applyAlignment="1" pivotButton="0" quotePrefix="0" xfId="0">
      <alignment horizontal="center" vertical="center"/>
    </xf>
    <xf numFmtId="0" fontId="5" fillId="0" borderId="2" applyAlignment="1" pivotButton="0" quotePrefix="0" xfId="0">
      <alignment horizontal="center" vertical="center"/>
    </xf>
    <xf numFmtId="0" fontId="0" fillId="0" borderId="2" applyAlignment="1" pivotButton="0" quotePrefix="0" xfId="0">
      <alignment horizontal="center"/>
    </xf>
    <xf numFmtId="0" fontId="0"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3" fillId="0" borderId="48" applyAlignment="1" pivotButton="0" quotePrefix="0" xfId="0">
      <alignment horizontal="center" vertical="center"/>
    </xf>
    <xf numFmtId="0" fontId="5" fillId="0" borderId="2" applyAlignment="1" pivotButton="0" quotePrefix="0" xfId="0">
      <alignment horizontal="center"/>
    </xf>
    <xf numFmtId="0" fontId="3" fillId="0" borderId="16" applyAlignment="1" pivotButton="0" quotePrefix="0" xfId="0">
      <alignment horizontal="center" vertical="center"/>
    </xf>
    <xf numFmtId="0" fontId="3" fillId="0" borderId="15" applyAlignment="1" pivotButton="0" quotePrefix="0" xfId="0">
      <alignment horizontal="center" vertical="center"/>
    </xf>
    <xf numFmtId="0" fontId="0" fillId="0" borderId="37" pivotButton="0" quotePrefix="0" xfId="0"/>
    <xf numFmtId="0" fontId="5" fillId="0" borderId="15" applyAlignment="1" pivotButton="0" quotePrefix="0" xfId="0">
      <alignment horizontal="center" vertical="center"/>
    </xf>
    <xf numFmtId="0" fontId="0" fillId="0" borderId="55" pivotButton="0" quotePrefix="0" xfId="0"/>
    <xf numFmtId="0" fontId="5" fillId="0" borderId="32" applyAlignment="1" pivotButton="0" quotePrefix="0" xfId="0">
      <alignment horizontal="center" vertical="center"/>
    </xf>
    <xf numFmtId="0" fontId="3" fillId="0" borderId="9" applyAlignment="1" pivotButton="0" quotePrefix="0" xfId="0">
      <alignment horizontal="center"/>
    </xf>
    <xf numFmtId="0" fontId="0" fillId="0" borderId="62" pivotButton="0" quotePrefix="0" xfId="0"/>
    <xf numFmtId="0" fontId="6" fillId="0" borderId="6" applyAlignment="1" pivotButton="0" quotePrefix="0" xfId="0">
      <alignment horizontal="center" vertical="center"/>
    </xf>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5" fillId="0" borderId="22" applyAlignment="1" pivotButton="0" quotePrefix="0" xfId="0">
      <alignment horizontal="center" vertical="center" wrapText="1"/>
    </xf>
    <xf numFmtId="0" fontId="0" fillId="2" borderId="32" applyAlignment="1" pivotButton="0" quotePrefix="0" xfId="0">
      <alignment horizontal="center" vertical="center"/>
    </xf>
    <xf numFmtId="0" fontId="3" fillId="0" borderId="2" applyAlignment="1" pivotButton="0" quotePrefix="0" xfId="0">
      <alignment horizontal="center" vertical="center"/>
    </xf>
    <xf numFmtId="0" fontId="0" fillId="0" borderId="6" pivotButton="0" quotePrefix="0" xfId="0"/>
    <xf numFmtId="0" fontId="5" fillId="0" borderId="28" applyAlignment="1" pivotButton="0" quotePrefix="0" xfId="0">
      <alignment horizontal="center" vertical="center"/>
    </xf>
    <xf numFmtId="0" fontId="3" fillId="0" borderId="20"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0" fillId="2" borderId="28" applyAlignment="1" pivotButton="0" quotePrefix="0" xfId="0">
      <alignment horizontal="center" vertical="center"/>
    </xf>
    <xf numFmtId="0" fontId="5" fillId="0" borderId="24" applyAlignment="1" pivotButton="0" quotePrefix="0" xfId="0">
      <alignment horizontal="center" vertical="center"/>
    </xf>
    <xf numFmtId="0" fontId="0" fillId="0" borderId="2" applyAlignment="1" pivotButton="0" quotePrefix="0" xfId="0">
      <alignment horizontal="center" vertical="center"/>
    </xf>
    <xf numFmtId="0" fontId="7" fillId="0" borderId="6"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0" fillId="2" borderId="49" applyAlignment="1" pivotButton="0" quotePrefix="0" xfId="0">
      <alignment horizontal="center" vertical="center"/>
    </xf>
    <xf numFmtId="0" fontId="3" fillId="0" borderId="49" applyAlignment="1" pivotButton="0" quotePrefix="0" xfId="0">
      <alignment horizontal="center" vertical="center"/>
    </xf>
    <xf numFmtId="0" fontId="0" fillId="0" borderId="28" applyAlignment="1" pivotButton="0" quotePrefix="0" xfId="0">
      <alignment horizontal="center" vertical="center"/>
    </xf>
    <xf numFmtId="0" fontId="0" fillId="3" borderId="49" applyAlignment="1" pivotButton="0" quotePrefix="0" xfId="0">
      <alignment horizontal="center" vertical="center"/>
    </xf>
    <xf numFmtId="0" fontId="3" fillId="2" borderId="49" applyAlignment="1" pivotButton="0" quotePrefix="0" xfId="0">
      <alignment horizontal="center" vertical="center"/>
    </xf>
    <xf numFmtId="0" fontId="41" fillId="0" borderId="95" applyAlignment="1" pivotButton="0" quotePrefix="0" xfId="0">
      <alignment wrapText="1"/>
    </xf>
    <xf numFmtId="0" fontId="42" fillId="0" borderId="95" applyAlignment="1" pivotButton="0" quotePrefix="0" xfId="0">
      <alignment wrapText="1"/>
    </xf>
    <xf numFmtId="0" fontId="43" fillId="0" borderId="9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21"/>
    <col width="8.7109375" customWidth="1" style="13" min="22"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23"/>
    <col width="8.7109375" customWidth="1" style="13" min="24"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79">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79">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79">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79">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79">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79">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23"/>
    <col width="8.7109375" customWidth="1" style="13" min="24" max="16384"/>
  </cols>
  <sheetData>
    <row r="1" ht="21.6" customHeight="1" s="579">
      <c r="A1" s="171" t="inlineStr">
        <is>
          <t>DESCRIZIONE</t>
        </is>
      </c>
      <c r="B1" s="171" t="inlineStr">
        <is>
          <t>NOME</t>
        </is>
      </c>
      <c r="C1" s="171" t="inlineStr">
        <is>
          <t>Livello</t>
        </is>
      </c>
      <c r="D1" s="172" t="inlineStr">
        <is>
          <t>INDIRIZZO</t>
        </is>
      </c>
      <c r="E1" s="172" t="inlineStr">
        <is>
          <t>LINK</t>
        </is>
      </c>
    </row>
    <row r="2" ht="21.6" customHeight="1" s="579">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79">
      <c r="A3" s="14" t="inlineStr">
        <is>
          <t>Cartella Documenti Ingegneria</t>
        </is>
      </c>
      <c r="B3" s="14" t="inlineStr">
        <is>
          <t>Shared%20Documents/</t>
        </is>
      </c>
      <c r="C3" s="14" t="n">
        <v>1</v>
      </c>
      <c r="D3" s="170">
        <f>CONCATENATE($D$2,B3)</f>
        <v/>
      </c>
      <c r="E3" s="190">
        <f>HYPERLINK(D3,"🔗")</f>
        <v/>
      </c>
    </row>
    <row r="4" ht="21.6" customHeight="1" s="579">
      <c r="A4" s="14" t="inlineStr">
        <is>
          <t>Cartella Archiviazione doc ETR1000</t>
        </is>
      </c>
      <c r="B4" s="14" t="inlineStr">
        <is>
          <t>DB_ETR1000/</t>
        </is>
      </c>
      <c r="C4" s="14" t="n">
        <v>2</v>
      </c>
      <c r="D4" s="170">
        <f>CONCATENATE($D$3,B4)</f>
        <v/>
      </c>
      <c r="E4" s="190">
        <f>HYPERLINK(D4,"🔗")</f>
        <v/>
      </c>
    </row>
    <row r="5" ht="21.6" customHeight="1" s="579">
      <c r="A5" s="14" t="inlineStr">
        <is>
          <t>Documenti di configurazione</t>
        </is>
      </c>
      <c r="B5" s="14" t="inlineStr">
        <is>
          <t>DOC_FLOTTE/</t>
        </is>
      </c>
      <c r="C5" s="14" t="n">
        <v>3</v>
      </c>
      <c r="D5" s="170">
        <f>CONCATENATE($D$4,B5)</f>
        <v/>
      </c>
      <c r="E5" s="190">
        <f>HYPERLINK(D5,"🔗")</f>
        <v/>
      </c>
    </row>
    <row r="6" ht="21.6" customHeight="1" s="579">
      <c r="A6" s="14" t="inlineStr">
        <is>
          <t>Raccolta documentazione Funzioni</t>
        </is>
      </c>
      <c r="B6" s="14" t="inlineStr">
        <is>
          <t>DOC_FUNC/</t>
        </is>
      </c>
      <c r="C6" s="14" t="n">
        <v>3</v>
      </c>
      <c r="D6" s="170">
        <f>CONCATENATE($D$4,B6)</f>
        <v/>
      </c>
      <c r="E6" s="190">
        <f>HYPERLINK(D6,"🔗")</f>
        <v/>
      </c>
    </row>
    <row r="7" ht="21.95" customHeight="1" s="579"/>
    <row r="8" ht="21.95" customHeight="1" s="579"/>
    <row r="9" ht="21.95" customHeight="1" s="579"/>
    <row r="10" ht="21.95" customHeight="1" s="579">
      <c r="A10" s="13" t="inlineStr">
        <is>
          <t>VINCOLI</t>
        </is>
      </c>
    </row>
    <row r="11" ht="21.95" customHeight="1" s="579">
      <c r="A11" s="13" t="inlineStr">
        <is>
          <t>Id Flotta</t>
        </is>
      </c>
      <c r="B11" s="13" t="inlineStr">
        <is>
          <t>Riga 1</t>
        </is>
      </c>
    </row>
    <row r="12" ht="21.95" customHeight="1" s="579">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79" min="1" max="1"/>
    <col width="17.5703125" customWidth="1" style="579" min="2" max="3"/>
    <col width="15.42578125" customWidth="1" style="579" min="4" max="4"/>
    <col width="15.140625" customWidth="1" style="579"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576">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41"/>
    <col width="8.7109375" customWidth="1" style="103" min="42" max="16384"/>
  </cols>
  <sheetData>
    <row r="1" customFormat="1" s="105">
      <c r="A1" s="528" t="inlineStr">
        <is>
          <t>DOC DESCRIPTION</t>
        </is>
      </c>
      <c r="B1" s="532" t="inlineStr">
        <is>
          <t>DOC ID</t>
        </is>
      </c>
      <c r="C1" s="528" t="inlineStr">
        <is>
          <t>DOC EXT</t>
        </is>
      </c>
      <c r="D1" s="526" t="inlineStr">
        <is>
          <t>VZI_Base</t>
        </is>
      </c>
      <c r="E1" s="524" t="n"/>
      <c r="F1" s="525" t="n"/>
      <c r="G1" s="527" t="inlineStr">
        <is>
          <t>VZI_New14</t>
        </is>
      </c>
      <c r="H1" s="524" t="n"/>
      <c r="I1" s="524" t="n"/>
      <c r="J1" s="526" t="inlineStr">
        <is>
          <t>VZ_FR</t>
        </is>
      </c>
      <c r="K1" s="524" t="n"/>
      <c r="L1" s="525" t="n"/>
      <c r="M1" s="536" t="inlineStr">
        <is>
          <t>VZ_ES</t>
        </is>
      </c>
      <c r="N1" s="537" t="n"/>
      <c r="O1" s="537" t="n"/>
      <c r="P1" s="526" t="inlineStr">
        <is>
          <t>VZI-6_R1</t>
        </is>
      </c>
      <c r="Q1" s="525" t="n"/>
      <c r="R1" s="526" t="inlineStr">
        <is>
          <t>VZI-4_R1</t>
        </is>
      </c>
      <c r="S1" s="525" t="n"/>
      <c r="T1" s="526" t="inlineStr">
        <is>
          <t>VZ_DAI</t>
        </is>
      </c>
      <c r="U1" s="525" t="n"/>
      <c r="V1" s="526" t="inlineStr">
        <is>
          <t>VZ_Esxx</t>
        </is>
      </c>
      <c r="W1" s="525" t="n"/>
    </row>
    <row r="2" ht="41.1" customFormat="1" customHeight="1" s="105">
      <c r="A2" s="529" t="n"/>
      <c r="B2" s="533" t="n"/>
      <c r="C2" s="529" t="n"/>
      <c r="D2" s="523" t="inlineStr">
        <is>
          <t>Doc BD130033980 - BL 6.0</t>
        </is>
      </c>
      <c r="E2" s="524" t="n"/>
      <c r="F2" s="525" t="n"/>
      <c r="G2" s="531" t="inlineStr">
        <is>
          <t>BD140036813 - BL 4.2</t>
        </is>
      </c>
      <c r="H2" s="524" t="n"/>
      <c r="I2" s="524" t="n"/>
      <c r="J2" s="523" t="inlineStr">
        <is>
          <t>3ECP414415-0001 - BL 4.0</t>
        </is>
      </c>
      <c r="K2" s="524" t="n"/>
      <c r="L2" s="525" t="n"/>
      <c r="M2" s="538" t="inlineStr">
        <is>
          <t>VZ-ES Spagna
BL 2.4</t>
        </is>
      </c>
      <c r="N2" s="537" t="n"/>
      <c r="O2" s="537" t="n"/>
      <c r="P2" s="523" t="inlineStr">
        <is>
          <t>VZI-6_IT [R1]
BL 4.0</t>
        </is>
      </c>
      <c r="Q2" s="525" t="n"/>
      <c r="R2" s="535" t="inlineStr">
        <is>
          <t>VZI-4_IT [R1]
BL 1.0</t>
        </is>
      </c>
      <c r="S2" s="525" t="n"/>
      <c r="T2" s="523" t="inlineStr">
        <is>
          <t>VZ-DAI
BL xxx</t>
        </is>
      </c>
      <c r="U2" s="525" t="n"/>
      <c r="V2" s="523" t="inlineStr">
        <is>
          <t>VZ_ES Full HRI
BL xxx</t>
        </is>
      </c>
      <c r="W2" s="525" t="n"/>
    </row>
    <row r="3" ht="30" customFormat="1" customHeight="1" s="105">
      <c r="A3" s="530" t="n"/>
      <c r="B3" s="534" t="n"/>
      <c r="C3" s="530"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1"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79">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79">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79">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79">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79">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79">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79">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79">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79">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79">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79">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79">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79">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79">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79">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79">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79">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79">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79">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79">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79">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79">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79">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79">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79">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79">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79">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79">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79">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79">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79">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79">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79">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79">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79">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79">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79">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79">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79">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79">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79">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79">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79">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79">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79">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79">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79">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79">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79">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79">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79">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79">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79">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79">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79">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79">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79">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79">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79">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79">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79">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79">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79">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79">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79">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79">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79">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79">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79">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79">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79">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79">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79">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79">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79">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79">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79">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79">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79">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79">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79">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79">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79">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79">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79">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79">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79">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79">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79">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79">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79">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79">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79">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79">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79">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79">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79">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79">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79">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79">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79">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79">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79">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79">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79">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79">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79">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79">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79">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79">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79">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79">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79">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79">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79">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79">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79">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79">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79">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79">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79">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7"/>
    <col width="8.7109375" customWidth="1" style="103" min="38" max="16384"/>
  </cols>
  <sheetData>
    <row r="1" ht="26.45" customFormat="1" customHeight="1" s="105">
      <c r="A1" s="528" t="inlineStr">
        <is>
          <t>DOC DESCRIPTION</t>
        </is>
      </c>
      <c r="B1" s="543" t="inlineStr">
        <is>
          <t>DOC ID</t>
        </is>
      </c>
      <c r="C1" s="532" t="inlineStr">
        <is>
          <t>DOC EXT</t>
        </is>
      </c>
      <c r="D1" s="539" t="inlineStr">
        <is>
          <t>VZI_Base</t>
        </is>
      </c>
      <c r="E1" s="540" t="n"/>
      <c r="F1" s="541" t="inlineStr">
        <is>
          <t>VZI_New14</t>
        </is>
      </c>
      <c r="G1" s="542" t="n"/>
      <c r="H1" s="539" t="inlineStr">
        <is>
          <t>VZ_FR</t>
        </is>
      </c>
      <c r="I1" s="540" t="n"/>
      <c r="J1" s="541" t="inlineStr">
        <is>
          <t>VZ_ES</t>
        </is>
      </c>
      <c r="K1" s="542" t="n"/>
      <c r="L1" s="539" t="inlineStr">
        <is>
          <t>VZI-6_R1</t>
        </is>
      </c>
      <c r="M1" s="540" t="n"/>
      <c r="N1" s="541" t="inlineStr">
        <is>
          <t>VZI-4_R1</t>
        </is>
      </c>
      <c r="O1" s="542" t="n"/>
      <c r="P1" s="539" t="inlineStr">
        <is>
          <t>VZ_DAI</t>
        </is>
      </c>
      <c r="Q1" s="540" t="n"/>
      <c r="R1" s="541" t="inlineStr">
        <is>
          <t>VZ_Esxx</t>
        </is>
      </c>
      <c r="S1" s="542" t="n"/>
    </row>
    <row r="2" ht="26.45" customFormat="1" customHeight="1" s="105">
      <c r="A2" s="530" t="n"/>
      <c r="B2" s="544" t="n"/>
      <c r="C2" s="534"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8" t="inlineStr">
        <is>
          <t>Codice</t>
        </is>
      </c>
      <c r="M2" s="538"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79">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79">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79">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79">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79">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79">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79">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79">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66"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72">
      <c r="A36" s="467" t="inlineStr">
        <is>
          <t>Manuale uso e depannage - Apparecchiature Segnalamento Francia</t>
        </is>
      </c>
      <c r="B36" s="467" t="inlineStr">
        <is>
          <t>MAN_GDA-VZI_Base</t>
        </is>
      </c>
      <c r="C36" s="468" t="inlineStr">
        <is>
          <t>pdf</t>
        </is>
      </c>
      <c r="D36" s="469" t="n"/>
      <c r="E36" s="469" t="n"/>
      <c r="F36" s="439" t="n"/>
      <c r="G36" s="470" t="n"/>
      <c r="H36" s="469" t="n"/>
      <c r="I36" s="469" t="n"/>
      <c r="J36" s="439" t="inlineStr">
        <is>
          <t>ETR1000V300_FR-DC100002740</t>
        </is>
      </c>
      <c r="K36" s="471" t="inlineStr">
        <is>
          <t>03</t>
        </is>
      </c>
      <c r="L36" s="469" t="n"/>
      <c r="M36" s="469" t="n"/>
      <c r="N36" s="439" t="n"/>
      <c r="O36" s="470" t="n"/>
      <c r="P36" s="469" t="n"/>
      <c r="Q36" s="469" t="n"/>
      <c r="R36" s="439" t="n"/>
      <c r="S36" s="47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12" min="17" max="17"/>
    <col width="23" bestFit="1" customWidth="1" style="14" min="18" max="18"/>
    <col width="25.7109375" bestFit="1" customWidth="1" style="14" min="19" max="19"/>
    <col width="4.42578125" bestFit="1" customWidth="1" style="14" min="20" max="20"/>
    <col width="6.85546875" bestFit="1" customWidth="1" style="512"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12" min="29" max="29"/>
    <col width="8.7109375" customWidth="1" style="13" min="30" max="41"/>
    <col width="8.7109375" customWidth="1" style="13" min="42" max="16384"/>
  </cols>
  <sheetData>
    <row r="1" ht="29.45" customHeight="1" s="579">
      <c r="A1" s="532" t="inlineStr">
        <is>
          <t>DOC DESCRIPTION</t>
        </is>
      </c>
      <c r="B1" s="543" t="inlineStr">
        <is>
          <t>DOC ID</t>
        </is>
      </c>
      <c r="C1" s="543" t="inlineStr">
        <is>
          <t>DOC EXT</t>
        </is>
      </c>
      <c r="D1" s="549" t="inlineStr">
        <is>
          <t>TIPO</t>
        </is>
      </c>
      <c r="E1" s="549" t="inlineStr">
        <is>
          <t>VOLUME
SUBVOLUME
_TOMO</t>
        </is>
      </c>
      <c r="F1" s="545" t="inlineStr">
        <is>
          <t>VZI_Base</t>
        </is>
      </c>
      <c r="G1" s="546" t="n"/>
      <c r="H1" s="546" t="n"/>
      <c r="I1" s="547" t="n"/>
      <c r="J1" s="545" t="inlineStr">
        <is>
          <t>VZI_New14</t>
        </is>
      </c>
      <c r="K1" s="546" t="n"/>
      <c r="L1" s="546" t="n"/>
      <c r="M1" s="547" t="n"/>
      <c r="N1" s="548" t="inlineStr">
        <is>
          <t>VZ_FR</t>
        </is>
      </c>
      <c r="O1" s="546" t="n"/>
      <c r="P1" s="546" t="n"/>
      <c r="Q1" s="547" t="n"/>
      <c r="R1" s="548" t="inlineStr">
        <is>
          <t>VZ-ES</t>
        </is>
      </c>
      <c r="S1" s="546" t="n"/>
      <c r="T1" s="546" t="n"/>
      <c r="U1" s="547" t="n"/>
      <c r="V1" s="550" t="inlineStr">
        <is>
          <t>VZI-6_R1</t>
        </is>
      </c>
      <c r="W1" s="546" t="n"/>
      <c r="X1" s="546" t="n"/>
      <c r="Y1" s="547" t="n"/>
      <c r="Z1" s="550" t="inlineStr">
        <is>
          <t>VZI-4_R1</t>
        </is>
      </c>
      <c r="AA1" s="546" t="n"/>
      <c r="AB1" s="546" t="n"/>
      <c r="AC1" s="547" t="n"/>
    </row>
    <row r="2" ht="29.45" customHeight="1" s="579" thickBot="1">
      <c r="A2" s="534" t="n"/>
      <c r="B2" s="544" t="n"/>
      <c r="C2" s="544" t="n"/>
      <c r="D2" s="530" t="n"/>
      <c r="E2" s="530" t="n"/>
      <c r="F2" s="382" t="inlineStr">
        <is>
          <t>NOME FILE</t>
        </is>
      </c>
      <c r="G2" s="473" t="inlineStr">
        <is>
          <t>CODICE</t>
        </is>
      </c>
      <c r="H2" s="383" t="inlineStr">
        <is>
          <t>REV</t>
        </is>
      </c>
      <c r="I2" s="384" t="inlineStr">
        <is>
          <t>DATA</t>
        </is>
      </c>
      <c r="J2" s="382" t="inlineStr">
        <is>
          <t>NOME FILE</t>
        </is>
      </c>
      <c r="K2" s="473" t="inlineStr">
        <is>
          <t>CODICE</t>
        </is>
      </c>
      <c r="L2" s="383" t="inlineStr">
        <is>
          <t>REV</t>
        </is>
      </c>
      <c r="M2" s="384" t="inlineStr">
        <is>
          <t>DATA</t>
        </is>
      </c>
      <c r="N2" s="382" t="inlineStr">
        <is>
          <t>NOME FILE</t>
        </is>
      </c>
      <c r="O2" s="473" t="inlineStr">
        <is>
          <t>CODICE</t>
        </is>
      </c>
      <c r="P2" s="142" t="inlineStr">
        <is>
          <t>REV</t>
        </is>
      </c>
      <c r="Q2" s="143" t="inlineStr">
        <is>
          <t>DATA</t>
        </is>
      </c>
      <c r="R2" s="382" t="inlineStr">
        <is>
          <t>NOME FILE</t>
        </is>
      </c>
      <c r="S2" s="473" t="inlineStr">
        <is>
          <t>CODICE</t>
        </is>
      </c>
      <c r="T2" s="142" t="inlineStr">
        <is>
          <t>REV</t>
        </is>
      </c>
      <c r="U2" s="474" t="inlineStr">
        <is>
          <t>DATA</t>
        </is>
      </c>
      <c r="V2" s="382" t="inlineStr">
        <is>
          <t>NOME FILE</t>
        </is>
      </c>
      <c r="W2" s="473" t="inlineStr">
        <is>
          <t>CODICE</t>
        </is>
      </c>
      <c r="X2" s="142" t="inlineStr">
        <is>
          <t>REV</t>
        </is>
      </c>
      <c r="Y2" s="143" t="inlineStr">
        <is>
          <t>DATA</t>
        </is>
      </c>
      <c r="Z2" s="382" t="inlineStr">
        <is>
          <t>NOME FILE</t>
        </is>
      </c>
      <c r="AA2" s="473" t="inlineStr">
        <is>
          <t>CODICE</t>
        </is>
      </c>
      <c r="AB2" s="142" t="inlineStr">
        <is>
          <t>REV</t>
        </is>
      </c>
      <c r="AC2" s="474" t="inlineStr">
        <is>
          <t>DATA</t>
        </is>
      </c>
    </row>
    <row r="3">
      <c r="A3" s="475" t="inlineStr">
        <is>
          <t>Descrizione generale e funzionamento</t>
        </is>
      </c>
      <c r="B3" s="476">
        <f>CONCATENATE(D3,"_",E3)</f>
        <v/>
      </c>
      <c r="C3" s="476" t="inlineStr">
        <is>
          <t>pdf</t>
        </is>
      </c>
      <c r="D3" s="476" t="inlineStr">
        <is>
          <t>PBC</t>
        </is>
      </c>
      <c r="E3" s="476" t="inlineStr">
        <is>
          <t>01A</t>
        </is>
      </c>
      <c r="F3" s="402">
        <f>CONCATENATE("ETR1000V300-",$D3,"-",$E3)</f>
        <v/>
      </c>
      <c r="G3" s="477">
        <f>CONCATENATE(F3,"-",H3)</f>
        <v/>
      </c>
      <c r="H3" s="403" t="n">
        <v>14</v>
      </c>
      <c r="I3" s="404" t="n">
        <v>46113</v>
      </c>
      <c r="J3" s="402">
        <f>$F3</f>
        <v/>
      </c>
      <c r="K3" s="477">
        <f>$G3</f>
        <v/>
      </c>
      <c r="L3" s="403">
        <f>$H3</f>
        <v/>
      </c>
      <c r="M3" s="404">
        <f>$I3</f>
        <v/>
      </c>
      <c r="N3" s="478">
        <f>CONCATENATE("ETR1000V300_FR-",$D3,"-",$E3)</f>
        <v/>
      </c>
      <c r="O3" s="479">
        <f>CONCATENATE(N3,"-",P3)</f>
        <v/>
      </c>
      <c r="P3" s="480" t="inlineStr">
        <is>
          <t>03</t>
        </is>
      </c>
      <c r="Q3" s="481" t="n">
        <v>43922</v>
      </c>
      <c r="R3" s="482">
        <f>CONCATENATE("ETR1000V300_ES-",$D3,"-",$E3)</f>
        <v/>
      </c>
      <c r="S3" s="483">
        <f>CONCATENATE(R3,"-",T3)</f>
        <v/>
      </c>
      <c r="T3" s="480" t="inlineStr">
        <is>
          <t>03</t>
        </is>
      </c>
      <c r="U3" s="484" t="n">
        <v>45566</v>
      </c>
      <c r="V3" s="482">
        <f>CONCATENATE("ETR1000V300_R1-",$D3,"-",$E3)</f>
        <v/>
      </c>
      <c r="W3" s="483">
        <f>CONCATENATE(V3,"-",X3)</f>
        <v/>
      </c>
      <c r="X3" s="480" t="inlineStr">
        <is>
          <t>06</t>
        </is>
      </c>
      <c r="Y3" s="484" t="n">
        <v>45870</v>
      </c>
      <c r="Z3" s="485">
        <f>V3</f>
        <v/>
      </c>
      <c r="AA3" s="480">
        <f>W3</f>
        <v/>
      </c>
      <c r="AB3" s="480">
        <f>X3</f>
        <v/>
      </c>
      <c r="AC3" s="486">
        <f>Y3</f>
        <v/>
      </c>
    </row>
    <row r="4">
      <c r="A4" s="487" t="inlineStr">
        <is>
          <t>Norme d’Uso ed Interventi di Emergenza</t>
        </is>
      </c>
      <c r="B4" s="458">
        <f>CONCATENATE(D4,"_",E4)</f>
        <v/>
      </c>
      <c r="C4" s="476" t="inlineStr">
        <is>
          <t>pdf</t>
        </is>
      </c>
      <c r="D4" s="458" t="inlineStr">
        <is>
          <t>PBC</t>
        </is>
      </c>
      <c r="E4" s="458" t="inlineStr">
        <is>
          <t>01B</t>
        </is>
      </c>
      <c r="F4" s="405">
        <f>CONCATENATE("ETR1000V300-",$D4,"-",$E4)</f>
        <v/>
      </c>
      <c r="G4" s="488">
        <f>CONCATENATE(F4,"-",H4)</f>
        <v/>
      </c>
      <c r="H4" s="406" t="n">
        <v>14</v>
      </c>
      <c r="I4" s="407" t="n">
        <v>45748</v>
      </c>
      <c r="J4" s="405">
        <f>$F4</f>
        <v/>
      </c>
      <c r="K4" s="488">
        <f>$G4</f>
        <v/>
      </c>
      <c r="L4" s="406">
        <f>$H4</f>
        <v/>
      </c>
      <c r="M4" s="407">
        <f>$I4</f>
        <v/>
      </c>
      <c r="N4" s="482">
        <f>CONCATENATE("ETR1000V300_FR-",$D4,"-",$E4)</f>
        <v/>
      </c>
      <c r="O4" s="483">
        <f>CONCATENATE(N4,"-",P4)</f>
        <v/>
      </c>
      <c r="P4" s="460" t="inlineStr">
        <is>
          <t>03</t>
        </is>
      </c>
      <c r="Q4" s="484" t="n">
        <v>43922</v>
      </c>
      <c r="R4" s="482">
        <f>CONCATENATE("ETR1000V300_ES-",$D4,"-",$E4)</f>
        <v/>
      </c>
      <c r="S4" s="460">
        <f>CONCATENATE(R4,"-",T4)</f>
        <v/>
      </c>
      <c r="T4" s="460" t="inlineStr">
        <is>
          <t>03</t>
        </is>
      </c>
      <c r="U4" s="484" t="n">
        <v>45566</v>
      </c>
      <c r="V4" s="482">
        <f>CONCATENATE("ETR1000V300_R1-",$D4,"-",$E4)</f>
        <v/>
      </c>
      <c r="W4" s="483">
        <f>CONCATENATE(V4,"-",X4)</f>
        <v/>
      </c>
      <c r="X4" s="489" t="inlineStr">
        <is>
          <t>09</t>
        </is>
      </c>
      <c r="Y4" s="484" t="n">
        <v>45870</v>
      </c>
      <c r="Z4" s="490">
        <f>V4</f>
        <v/>
      </c>
      <c r="AA4" s="489">
        <f>W4</f>
        <v/>
      </c>
      <c r="AB4" s="489">
        <f>X4</f>
        <v/>
      </c>
      <c r="AC4" s="491">
        <f>Y4</f>
        <v/>
      </c>
    </row>
    <row r="5">
      <c r="A5" s="492" t="inlineStr">
        <is>
          <t>Manuale per il Personale di Bordo addetto alla Scorta</t>
        </is>
      </c>
      <c r="B5" s="458">
        <f>CONCATENATE(D5,"_",E5)</f>
        <v/>
      </c>
      <c r="C5" s="476" t="inlineStr">
        <is>
          <t>pdf</t>
        </is>
      </c>
      <c r="D5" s="458" t="inlineStr">
        <is>
          <t>PBS</t>
        </is>
      </c>
      <c r="E5" s="458" t="inlineStr">
        <is>
          <t>01A</t>
        </is>
      </c>
      <c r="F5" s="405">
        <f>CONCATENATE("ETR1000V300-",$D5,"-",$E5)</f>
        <v/>
      </c>
      <c r="G5" s="488">
        <f>CONCATENATE(F5,"-",H5)</f>
        <v/>
      </c>
      <c r="H5" s="409" t="inlineStr">
        <is>
          <t>04</t>
        </is>
      </c>
      <c r="I5" s="407" t="n">
        <v>45748</v>
      </c>
      <c r="J5" s="405">
        <f>$F5</f>
        <v/>
      </c>
      <c r="K5" s="488">
        <f>$G5</f>
        <v/>
      </c>
      <c r="L5" s="409">
        <f>$H5</f>
        <v/>
      </c>
      <c r="M5" s="407">
        <f>$I5</f>
        <v/>
      </c>
      <c r="N5" s="482">
        <f>CONCATENATE("ETR1000V300_FR-",$D5,"-",$E5)</f>
        <v/>
      </c>
      <c r="O5" s="483">
        <f>CONCATENATE(N5,"-",P5)</f>
        <v/>
      </c>
      <c r="P5" s="489" t="inlineStr">
        <is>
          <t>01</t>
        </is>
      </c>
      <c r="Q5" s="484" t="n">
        <v>43922</v>
      </c>
      <c r="R5" s="482">
        <f>CONCATENATE("ETR1000V300_ES-",$D5,"-",$E5)</f>
        <v/>
      </c>
      <c r="S5" s="460">
        <f>CONCATENATE(R5,"-",T5)</f>
        <v/>
      </c>
      <c r="T5" s="460" t="inlineStr">
        <is>
          <t>03</t>
        </is>
      </c>
      <c r="U5" s="484" t="n">
        <v>45566</v>
      </c>
      <c r="V5" s="482">
        <f>CONCATENATE("ETR1000V300_R1-",$D5,"-",$E5)</f>
        <v/>
      </c>
      <c r="W5" s="483">
        <f>CONCATENATE(V5,"-",X5)</f>
        <v/>
      </c>
      <c r="X5" s="489" t="inlineStr">
        <is>
          <t>03</t>
        </is>
      </c>
      <c r="Y5" s="484" t="n">
        <v>45901</v>
      </c>
      <c r="Z5" s="490">
        <f>V5</f>
        <v/>
      </c>
      <c r="AA5" s="489">
        <f>W5</f>
        <v/>
      </c>
      <c r="AB5" s="489">
        <f>X5</f>
        <v/>
      </c>
      <c r="AC5" s="491">
        <f>Y5</f>
        <v/>
      </c>
    </row>
    <row r="6">
      <c r="A6" s="492" t="inlineStr">
        <is>
          <t>Cassa</t>
        </is>
      </c>
      <c r="B6" s="458">
        <f>CONCATENATE(D6,"_",E6)</f>
        <v/>
      </c>
      <c r="C6" s="476" t="inlineStr">
        <is>
          <t>pdf</t>
        </is>
      </c>
      <c r="D6" s="458" t="inlineStr">
        <is>
          <t>MR1</t>
        </is>
      </c>
      <c r="E6" s="493" t="inlineStr">
        <is>
          <t>01A</t>
        </is>
      </c>
      <c r="F6" s="405">
        <f>CONCATENATE("ETR1000V300-",$D6,"-",$E6)</f>
        <v/>
      </c>
      <c r="G6" s="488">
        <f>CONCATENATE(F6,"-",H6)</f>
        <v/>
      </c>
      <c r="H6" s="415" t="inlineStr">
        <is>
          <t>08</t>
        </is>
      </c>
      <c r="I6" s="416" t="n">
        <v>46113</v>
      </c>
      <c r="J6" s="405">
        <f>$F6</f>
        <v/>
      </c>
      <c r="K6" s="488">
        <f>$G6</f>
        <v/>
      </c>
      <c r="L6" s="415">
        <f>$H6</f>
        <v/>
      </c>
      <c r="M6" s="416">
        <f>$I6</f>
        <v/>
      </c>
      <c r="N6" s="494">
        <f>CONCATENATE("ETR1000V300_FR-",$D6,"-",$E6)</f>
        <v/>
      </c>
      <c r="O6" s="483">
        <f>CONCATENATE(N6,"-",P6)</f>
        <v/>
      </c>
      <c r="P6" s="489" t="inlineStr">
        <is>
          <t>01</t>
        </is>
      </c>
      <c r="Q6" s="484" t="n">
        <v>44105</v>
      </c>
      <c r="R6" s="495" t="inlineStr">
        <is>
          <t>TBD</t>
        </is>
      </c>
      <c r="S6" s="496" t="n"/>
      <c r="T6" s="496" t="n"/>
      <c r="U6" s="497" t="n"/>
      <c r="V6" s="482">
        <f>CONCATENATE("ETR1000V300_R1-",$D6,"-",$E6)</f>
        <v/>
      </c>
      <c r="W6" s="483">
        <f>CONCATENATE(V6,"-",X6)</f>
        <v/>
      </c>
      <c r="X6" s="489" t="inlineStr">
        <is>
          <t>05</t>
        </is>
      </c>
      <c r="Y6" s="498" t="inlineStr">
        <is>
          <t>gen-2026</t>
        </is>
      </c>
      <c r="Z6" s="490">
        <f>V6</f>
        <v/>
      </c>
      <c r="AA6" s="489">
        <f>W6</f>
        <v/>
      </c>
      <c r="AB6" s="489">
        <f>X6</f>
        <v/>
      </c>
      <c r="AC6" s="491">
        <f>Y6</f>
        <v/>
      </c>
    </row>
    <row r="7">
      <c r="A7" s="492" t="inlineStr">
        <is>
          <t>Carrello</t>
        </is>
      </c>
      <c r="B7" s="458">
        <f>CONCATENATE(D7,"_",E7)</f>
        <v/>
      </c>
      <c r="C7" s="476" t="inlineStr">
        <is>
          <t>pdf</t>
        </is>
      </c>
      <c r="D7" s="458" t="inlineStr">
        <is>
          <t>MR1</t>
        </is>
      </c>
      <c r="E7" s="458" t="inlineStr">
        <is>
          <t>02A</t>
        </is>
      </c>
      <c r="F7" s="405">
        <f>CONCATENATE("ETR1000V300-",$D7,"-",$E7)</f>
        <v/>
      </c>
      <c r="G7" s="488">
        <f>CONCATENATE(F7,"-",H7)</f>
        <v/>
      </c>
      <c r="H7" s="417" t="n">
        <v>14</v>
      </c>
      <c r="I7" s="416" t="n">
        <v>46113</v>
      </c>
      <c r="J7" s="405">
        <f>$F7</f>
        <v/>
      </c>
      <c r="K7" s="488">
        <f>$G7</f>
        <v/>
      </c>
      <c r="L7" s="417">
        <f>$H7</f>
        <v/>
      </c>
      <c r="M7" s="416">
        <f>$I7</f>
        <v/>
      </c>
      <c r="N7" s="494">
        <f>CONCATENATE("ETR1000V300_FR-",$D7,"-",$E7)</f>
        <v/>
      </c>
      <c r="O7" s="483">
        <f>CONCATENATE(N7,"-",P7)</f>
        <v/>
      </c>
      <c r="P7" s="489" t="inlineStr">
        <is>
          <t>02</t>
        </is>
      </c>
      <c r="Q7" s="484" t="n">
        <v>44713</v>
      </c>
      <c r="R7" s="482" t="n"/>
      <c r="S7" s="460" t="n"/>
      <c r="T7" s="460" t="n"/>
      <c r="U7" s="484" t="n"/>
      <c r="V7" s="482">
        <f>CONCATENATE("ETR1000V300_R1-",$D7,"-",$E7)</f>
        <v/>
      </c>
      <c r="W7" s="483">
        <f>CONCATENATE(V7,"-",X7)</f>
        <v/>
      </c>
      <c r="X7" s="489" t="inlineStr">
        <is>
          <t>08</t>
        </is>
      </c>
      <c r="Y7" s="498" t="inlineStr">
        <is>
          <t>gen-2026</t>
        </is>
      </c>
      <c r="Z7" s="490">
        <f>V7</f>
        <v/>
      </c>
      <c r="AA7" s="489">
        <f>W7</f>
        <v/>
      </c>
      <c r="AB7" s="489">
        <f>X7</f>
        <v/>
      </c>
      <c r="AC7" s="491">
        <f>Y7</f>
        <v/>
      </c>
    </row>
    <row r="8">
      <c r="A8" s="492" t="inlineStr">
        <is>
          <t>Impianto pneumatico e freno</t>
        </is>
      </c>
      <c r="B8" s="458">
        <f>CONCATENATE(D8,"_",E8)</f>
        <v/>
      </c>
      <c r="C8" s="476" t="inlineStr">
        <is>
          <t>pdf</t>
        </is>
      </c>
      <c r="D8" s="458" t="inlineStr">
        <is>
          <t>MR1</t>
        </is>
      </c>
      <c r="E8" s="458" t="inlineStr">
        <is>
          <t>03A</t>
        </is>
      </c>
      <c r="F8" s="405">
        <f>CONCATENATE("ETR1000V300-",$D8,"-",$E8)</f>
        <v/>
      </c>
      <c r="G8" s="488">
        <f>CONCATENATE(F8,"-",H8)</f>
        <v/>
      </c>
      <c r="H8" s="415" t="inlineStr">
        <is>
          <t>09</t>
        </is>
      </c>
      <c r="I8" s="416" t="n">
        <v>46113</v>
      </c>
      <c r="J8" s="405">
        <f>$F8</f>
        <v/>
      </c>
      <c r="K8" s="488">
        <f>$G8</f>
        <v/>
      </c>
      <c r="L8" s="415">
        <f>$H8</f>
        <v/>
      </c>
      <c r="M8" s="416">
        <f>$I8</f>
        <v/>
      </c>
      <c r="N8" s="494">
        <f>CONCATENATE("ETR1000V300_FR-",$D8,"-",$E8)</f>
        <v/>
      </c>
      <c r="O8" s="483">
        <f>CONCATENATE(N8,"-",P8)</f>
        <v/>
      </c>
      <c r="P8" s="489" t="inlineStr">
        <is>
          <t>02</t>
        </is>
      </c>
      <c r="Q8" s="484" t="n">
        <v>44713</v>
      </c>
      <c r="R8" s="482" t="n"/>
      <c r="S8" s="460" t="n"/>
      <c r="T8" s="460" t="n"/>
      <c r="U8" s="484" t="n"/>
      <c r="V8" s="482">
        <f>CONCATENATE("ETR1000V300_R1-",$D8,"-",$E8)</f>
        <v/>
      </c>
      <c r="W8" s="483">
        <f>CONCATENATE(V8,"-",X8)</f>
        <v/>
      </c>
      <c r="X8" s="489" t="inlineStr">
        <is>
          <t>04</t>
        </is>
      </c>
      <c r="Y8" s="484" t="n">
        <v>45992</v>
      </c>
      <c r="Z8" s="490">
        <f>V8</f>
        <v/>
      </c>
      <c r="AA8" s="489">
        <f>W8</f>
        <v/>
      </c>
      <c r="AB8" s="489">
        <f>X8</f>
        <v/>
      </c>
      <c r="AC8" s="491">
        <f>Y8</f>
        <v/>
      </c>
    </row>
    <row r="9">
      <c r="A9" s="492" t="inlineStr">
        <is>
          <t>Equipaggiamento elettrico ed elettropneumatico</t>
        </is>
      </c>
      <c r="B9" s="458">
        <f>CONCATENATE(D9,"_",E9)</f>
        <v/>
      </c>
      <c r="C9" s="476" t="inlineStr">
        <is>
          <t>pdf</t>
        </is>
      </c>
      <c r="D9" s="458" t="inlineStr">
        <is>
          <t>MR1</t>
        </is>
      </c>
      <c r="E9" s="493" t="inlineStr">
        <is>
          <t>04A</t>
        </is>
      </c>
      <c r="F9" s="405">
        <f>CONCATENATE("ETR1000V300-",$D9,"-",$E9)</f>
        <v/>
      </c>
      <c r="G9" s="488">
        <f>CONCATENATE(F9,"-",H9)</f>
        <v/>
      </c>
      <c r="H9" s="415" t="n">
        <v>10</v>
      </c>
      <c r="I9" s="416" t="n">
        <v>46113</v>
      </c>
      <c r="J9" s="405">
        <f>$F9</f>
        <v/>
      </c>
      <c r="K9" s="488">
        <f>$G9</f>
        <v/>
      </c>
      <c r="L9" s="415">
        <f>$H9</f>
        <v/>
      </c>
      <c r="M9" s="416">
        <f>$I9</f>
        <v/>
      </c>
      <c r="N9" s="494">
        <f>CONCATENATE("ETR1000V300_FR-",$D9,"-",$E9)</f>
        <v/>
      </c>
      <c r="O9" s="483">
        <f>CONCATENATE(N9,"-",P9)</f>
        <v/>
      </c>
      <c r="P9" s="489" t="inlineStr">
        <is>
          <t>05</t>
        </is>
      </c>
      <c r="Q9" s="484" t="n">
        <v>45931</v>
      </c>
      <c r="R9" s="482" t="n"/>
      <c r="S9" s="460" t="n"/>
      <c r="T9" s="460" t="n"/>
      <c r="U9" s="484" t="n"/>
      <c r="V9" s="482">
        <f>CONCATENATE("ETR1000V300_R1-",$D9,"-",$E9)</f>
        <v/>
      </c>
      <c r="W9" s="483">
        <f>CONCATENATE(V9,"-",X9)</f>
        <v/>
      </c>
      <c r="X9" s="489" t="inlineStr">
        <is>
          <t>05</t>
        </is>
      </c>
      <c r="Y9" s="498" t="inlineStr">
        <is>
          <t>gen-2026</t>
        </is>
      </c>
      <c r="Z9" s="490">
        <f>V9</f>
        <v/>
      </c>
      <c r="AA9" s="489">
        <f>W9</f>
        <v/>
      </c>
      <c r="AB9" s="489">
        <f>X9</f>
        <v/>
      </c>
      <c r="AC9" s="491">
        <f>Y9</f>
        <v/>
      </c>
    </row>
    <row r="10">
      <c r="A10" s="492" t="inlineStr">
        <is>
          <t>Logica di comando</t>
        </is>
      </c>
      <c r="B10" s="458">
        <f>CONCATENATE(D10,"_",E10)</f>
        <v/>
      </c>
      <c r="C10" s="476" t="inlineStr">
        <is>
          <t>pdf</t>
        </is>
      </c>
      <c r="D10" s="458" t="inlineStr">
        <is>
          <t>MR1</t>
        </is>
      </c>
      <c r="E10" s="458" t="inlineStr">
        <is>
          <t>05A</t>
        </is>
      </c>
      <c r="F10" s="405">
        <f>CONCATENATE("ETR1000V300-",$D10,"-",$E10)</f>
        <v/>
      </c>
      <c r="G10" s="488">
        <f>CONCATENATE(F10,"-",H10)</f>
        <v/>
      </c>
      <c r="H10" s="415" t="inlineStr">
        <is>
          <t>04</t>
        </is>
      </c>
      <c r="I10" s="416" t="n">
        <v>46113</v>
      </c>
      <c r="J10" s="405">
        <f>$F10</f>
        <v/>
      </c>
      <c r="K10" s="488">
        <f>$G10</f>
        <v/>
      </c>
      <c r="L10" s="415">
        <f>$H10</f>
        <v/>
      </c>
      <c r="M10" s="416">
        <f>$I10</f>
        <v/>
      </c>
      <c r="N10" s="482">
        <f>$F10</f>
        <v/>
      </c>
      <c r="O10" s="483">
        <f>$G10</f>
        <v/>
      </c>
      <c r="P10" s="460">
        <f>$H10</f>
        <v/>
      </c>
      <c r="Q10" s="499">
        <f>$I10</f>
        <v/>
      </c>
      <c r="R10" s="482" t="n"/>
      <c r="S10" s="460" t="n"/>
      <c r="T10" s="460" t="n"/>
      <c r="U10" s="484" t="n"/>
      <c r="V10" s="482">
        <f>CONCATENATE("ETR1000V300_R1-",$D10,"-",$E10)</f>
        <v/>
      </c>
      <c r="W10" s="483">
        <f>CONCATENATE(V10,"-",X10)</f>
        <v/>
      </c>
      <c r="X10" s="489" t="inlineStr">
        <is>
          <t>03</t>
        </is>
      </c>
      <c r="Y10" s="484" t="n">
        <v>45931</v>
      </c>
      <c r="Z10" s="490">
        <f>V10</f>
        <v/>
      </c>
      <c r="AA10" s="489">
        <f>W10</f>
        <v/>
      </c>
      <c r="AB10" s="489">
        <f>X10</f>
        <v/>
      </c>
      <c r="AC10" s="491">
        <f>Y10</f>
        <v/>
      </c>
    </row>
    <row r="11">
      <c r="A11" s="492" t="inlineStr">
        <is>
          <t>Logica di comando - Nodo TCN</t>
        </is>
      </c>
      <c r="B11" s="458">
        <f>CONCATENATE(D11,"_",E11)</f>
        <v/>
      </c>
      <c r="C11" s="476" t="inlineStr">
        <is>
          <t>pdf</t>
        </is>
      </c>
      <c r="D11" s="458" t="inlineStr">
        <is>
          <t>MR1</t>
        </is>
      </c>
      <c r="E11" s="458" t="inlineStr">
        <is>
          <t>05B</t>
        </is>
      </c>
      <c r="F11" s="405">
        <f>CONCATENATE("ETR1000V300-",$D11,"-",$E11)</f>
        <v/>
      </c>
      <c r="G11" s="488">
        <f>CONCATENATE(F11,"-",H11)</f>
        <v/>
      </c>
      <c r="H11" s="409" t="inlineStr">
        <is>
          <t>02</t>
        </is>
      </c>
      <c r="I11" s="408" t="inlineStr">
        <is>
          <t>giu-17</t>
        </is>
      </c>
      <c r="J11" s="405">
        <f>$F11</f>
        <v/>
      </c>
      <c r="K11" s="488">
        <f>$G11</f>
        <v/>
      </c>
      <c r="L11" s="409">
        <f>$H11</f>
        <v/>
      </c>
      <c r="M11" s="408">
        <f>$I11</f>
        <v/>
      </c>
      <c r="N11" s="482">
        <f>$F11</f>
        <v/>
      </c>
      <c r="O11" s="483">
        <f>$G11</f>
        <v/>
      </c>
      <c r="P11" s="460">
        <f>$H11</f>
        <v/>
      </c>
      <c r="Q11" s="484">
        <f>$I11</f>
        <v/>
      </c>
      <c r="R11" s="482" t="n"/>
      <c r="S11" s="460" t="n"/>
      <c r="T11" s="460" t="n"/>
      <c r="U11" s="484" t="n"/>
      <c r="V11" s="482" t="inlineStr">
        <is>
          <t>\</t>
        </is>
      </c>
      <c r="W11" s="483" t="inlineStr">
        <is>
          <t>\</t>
        </is>
      </c>
      <c r="X11" s="489" t="inlineStr">
        <is>
          <t>\</t>
        </is>
      </c>
      <c r="Y11" s="484" t="inlineStr">
        <is>
          <t>\</t>
        </is>
      </c>
      <c r="Z11" s="490">
        <f>V11</f>
        <v/>
      </c>
      <c r="AA11" s="489">
        <f>W11</f>
        <v/>
      </c>
      <c r="AB11" s="489">
        <f>X11</f>
        <v/>
      </c>
      <c r="AC11" s="491">
        <f>Y11</f>
        <v/>
      </c>
    </row>
    <row r="12">
      <c r="A12" s="492" t="inlineStr">
        <is>
          <t>Azionamento di trazione</t>
        </is>
      </c>
      <c r="B12" s="458">
        <f>CONCATENATE(D12,"_",E12)</f>
        <v/>
      </c>
      <c r="C12" s="476" t="inlineStr">
        <is>
          <t>pdf</t>
        </is>
      </c>
      <c r="D12" s="458" t="inlineStr">
        <is>
          <t>MR1</t>
        </is>
      </c>
      <c r="E12" s="458" t="inlineStr">
        <is>
          <t>06A</t>
        </is>
      </c>
      <c r="F12" s="405">
        <f>CONCATENATE("ETR1000V300-",$D12,"-",$E12)</f>
        <v/>
      </c>
      <c r="G12" s="488">
        <f>CONCATENATE(F12,"-",H12)</f>
        <v/>
      </c>
      <c r="H12" s="415" t="inlineStr">
        <is>
          <t>05</t>
        </is>
      </c>
      <c r="I12" s="416" t="n">
        <v>46113</v>
      </c>
      <c r="J12" s="405">
        <f>$F12</f>
        <v/>
      </c>
      <c r="K12" s="488">
        <f>$G12</f>
        <v/>
      </c>
      <c r="L12" s="415">
        <f>$H12</f>
        <v/>
      </c>
      <c r="M12" s="416">
        <f>$I12</f>
        <v/>
      </c>
      <c r="N12" s="482">
        <f>$F12</f>
        <v/>
      </c>
      <c r="O12" s="460">
        <f>$G12</f>
        <v/>
      </c>
      <c r="P12" s="460">
        <f>$H12</f>
        <v/>
      </c>
      <c r="Q12" s="484">
        <f>$I12</f>
        <v/>
      </c>
      <c r="R12" s="482" t="n"/>
      <c r="S12" s="460" t="n"/>
      <c r="T12" s="460" t="n"/>
      <c r="U12" s="484" t="n"/>
      <c r="V12" s="482">
        <f>CONCATENATE("ETR1000V300_R1-",$D12,"-",$E12)</f>
        <v/>
      </c>
      <c r="W12" s="483">
        <f>CONCATENATE(V12,"-",X12)</f>
        <v/>
      </c>
      <c r="X12" s="489" t="inlineStr">
        <is>
          <t>04</t>
        </is>
      </c>
      <c r="Y12" s="484" t="n">
        <v>45992</v>
      </c>
      <c r="Z12" s="490">
        <f>V12</f>
        <v/>
      </c>
      <c r="AA12" s="489">
        <f>W12</f>
        <v/>
      </c>
      <c r="AB12" s="489">
        <f>X12</f>
        <v/>
      </c>
      <c r="AC12" s="491">
        <f>Y12</f>
        <v/>
      </c>
    </row>
    <row r="13">
      <c r="A13" s="492" t="inlineStr">
        <is>
          <t>Motore di trazione</t>
        </is>
      </c>
      <c r="B13" s="458">
        <f>CONCATENATE(D13,"_",E13)</f>
        <v/>
      </c>
      <c r="C13" s="476" t="inlineStr">
        <is>
          <t>pdf</t>
        </is>
      </c>
      <c r="D13" s="458" t="inlineStr">
        <is>
          <t>MR1</t>
        </is>
      </c>
      <c r="E13" s="458" t="inlineStr">
        <is>
          <t>07A</t>
        </is>
      </c>
      <c r="F13" s="405">
        <f>CONCATENATE("ETR1000V300-",$D13,"-",$E13)</f>
        <v/>
      </c>
      <c r="G13" s="488">
        <f>CONCATENATE(F13,"-",H13)</f>
        <v/>
      </c>
      <c r="H13" s="415" t="inlineStr">
        <is>
          <t>07</t>
        </is>
      </c>
      <c r="I13" s="416" t="n">
        <v>46113</v>
      </c>
      <c r="J13" s="405">
        <f>$F13</f>
        <v/>
      </c>
      <c r="K13" s="488">
        <f>$G13</f>
        <v/>
      </c>
      <c r="L13" s="415">
        <f>$H13</f>
        <v/>
      </c>
      <c r="M13" s="416">
        <f>$I13</f>
        <v/>
      </c>
      <c r="N13" s="482">
        <f>$F13</f>
        <v/>
      </c>
      <c r="O13" s="460">
        <f>$G13</f>
        <v/>
      </c>
      <c r="P13" s="460">
        <f>$H13</f>
        <v/>
      </c>
      <c r="Q13" s="484">
        <f>$I13</f>
        <v/>
      </c>
      <c r="R13" s="482" t="n"/>
      <c r="S13" s="460" t="n"/>
      <c r="T13" s="460" t="n"/>
      <c r="U13" s="484" t="n"/>
      <c r="V13" s="482">
        <f>CONCATENATE("ETR1000V300_R1-",$D13,"-",$E13)</f>
        <v/>
      </c>
      <c r="W13" s="483">
        <f>CONCATENATE(V13,"-",X13)</f>
        <v/>
      </c>
      <c r="X13" s="489" t="inlineStr">
        <is>
          <t>04</t>
        </is>
      </c>
      <c r="Y13" s="484" t="n">
        <v>45931</v>
      </c>
      <c r="Z13" s="490">
        <f>V13</f>
        <v/>
      </c>
      <c r="AA13" s="489">
        <f>W13</f>
        <v/>
      </c>
      <c r="AB13" s="489">
        <f>X13</f>
        <v/>
      </c>
      <c r="AC13" s="491">
        <f>Y13</f>
        <v/>
      </c>
    </row>
    <row r="14">
      <c r="A14" s="492" t="inlineStr">
        <is>
          <t>Passaggi esterni</t>
        </is>
      </c>
      <c r="B14" s="458">
        <f>CONCATENATE(D14,"_",E14)</f>
        <v/>
      </c>
      <c r="C14" s="476" t="inlineStr">
        <is>
          <t>pdf</t>
        </is>
      </c>
      <c r="D14" s="458" t="inlineStr">
        <is>
          <t>MR1</t>
        </is>
      </c>
      <c r="E14" s="493" t="inlineStr">
        <is>
          <t>08A</t>
        </is>
      </c>
      <c r="F14" s="405">
        <f>CONCATENATE("ETR1000V300-",$D14,"-",$E14)</f>
        <v/>
      </c>
      <c r="G14" s="488">
        <f>CONCATENATE(F14,"-",H14)</f>
        <v/>
      </c>
      <c r="H14" s="415" t="inlineStr">
        <is>
          <t>05</t>
        </is>
      </c>
      <c r="I14" s="416" t="n">
        <v>46113</v>
      </c>
      <c r="J14" s="405">
        <f>$F14</f>
        <v/>
      </c>
      <c r="K14" s="488">
        <f>$G14</f>
        <v/>
      </c>
      <c r="L14" s="415">
        <f>$H14</f>
        <v/>
      </c>
      <c r="M14" s="416">
        <f>$I14</f>
        <v/>
      </c>
      <c r="N14" s="482">
        <f>$F14</f>
        <v/>
      </c>
      <c r="O14" s="460">
        <f>$G14</f>
        <v/>
      </c>
      <c r="P14" s="460">
        <f>$H14</f>
        <v/>
      </c>
      <c r="Q14" s="484">
        <f>$I14</f>
        <v/>
      </c>
      <c r="R14" s="482" t="n"/>
      <c r="S14" s="460" t="n"/>
      <c r="T14" s="460" t="n"/>
      <c r="U14" s="484" t="n"/>
      <c r="V14" s="482">
        <f>CONCATENATE("ETR1000V300_R1-",$D14,"-",$E14)</f>
        <v/>
      </c>
      <c r="W14" s="483">
        <f>CONCATENATE(V14,"-",X14)</f>
        <v/>
      </c>
      <c r="X14" s="489" t="inlineStr">
        <is>
          <t>04</t>
        </is>
      </c>
      <c r="Y14" s="484" t="n">
        <v>45931</v>
      </c>
      <c r="Z14" s="490">
        <f>V14</f>
        <v/>
      </c>
      <c r="AA14" s="489">
        <f>W14</f>
        <v/>
      </c>
      <c r="AB14" s="489">
        <f>X14</f>
        <v/>
      </c>
      <c r="AC14" s="491">
        <f>Y14</f>
        <v/>
      </c>
    </row>
    <row r="15">
      <c r="A15" s="492" t="inlineStr">
        <is>
          <t>Sottosistema di climatizzazione</t>
        </is>
      </c>
      <c r="B15" s="458">
        <f>CONCATENATE(D15,"_",E15)</f>
        <v/>
      </c>
      <c r="C15" s="476" t="inlineStr">
        <is>
          <t>pdf</t>
        </is>
      </c>
      <c r="D15" s="458" t="inlineStr">
        <is>
          <t>MR1</t>
        </is>
      </c>
      <c r="E15" s="458" t="inlineStr">
        <is>
          <t>09A</t>
        </is>
      </c>
      <c r="F15" s="405">
        <f>CONCATENATE("ETR1000V300-",$D15,"-",$E15)</f>
        <v/>
      </c>
      <c r="G15" s="488">
        <f>CONCATENATE(F15,"-",H15)</f>
        <v/>
      </c>
      <c r="H15" s="415" t="inlineStr">
        <is>
          <t>05</t>
        </is>
      </c>
      <c r="I15" s="416" t="n">
        <v>46113</v>
      </c>
      <c r="J15" s="405">
        <f>$F15</f>
        <v/>
      </c>
      <c r="K15" s="488">
        <f>$G15</f>
        <v/>
      </c>
      <c r="L15" s="415">
        <f>$H15</f>
        <v/>
      </c>
      <c r="M15" s="416">
        <f>$I15</f>
        <v/>
      </c>
      <c r="N15" s="482">
        <f>$F15</f>
        <v/>
      </c>
      <c r="O15" s="460">
        <f>$G15</f>
        <v/>
      </c>
      <c r="P15" s="460">
        <f>$H15</f>
        <v/>
      </c>
      <c r="Q15" s="484">
        <f>$I15</f>
        <v/>
      </c>
      <c r="R15" s="482" t="n"/>
      <c r="S15" s="460" t="n"/>
      <c r="T15" s="460" t="n"/>
      <c r="U15" s="484" t="n"/>
      <c r="V15" s="482">
        <f>CONCATENATE("ETR1000V300_R1-",$D15,"-",$E15)</f>
        <v/>
      </c>
      <c r="W15" s="483">
        <f>CONCATENATE(V15,"-",X15)</f>
        <v/>
      </c>
      <c r="X15" s="489" t="inlineStr">
        <is>
          <t>04</t>
        </is>
      </c>
      <c r="Y15" s="484" t="n">
        <v>45931</v>
      </c>
      <c r="Z15" s="490">
        <f>V15</f>
        <v/>
      </c>
      <c r="AA15" s="489">
        <f>W15</f>
        <v/>
      </c>
      <c r="AB15" s="489">
        <f>X15</f>
        <v/>
      </c>
      <c r="AC15" s="491">
        <f>Y15</f>
        <v/>
      </c>
    </row>
    <row r="16">
      <c r="A16" s="492" t="inlineStr">
        <is>
          <t>Sottosistema di comunicazione</t>
        </is>
      </c>
      <c r="B16" s="458">
        <f>CONCATENATE(D16,"_",E16)</f>
        <v/>
      </c>
      <c r="C16" s="476" t="inlineStr">
        <is>
          <t>pdf</t>
        </is>
      </c>
      <c r="D16" s="458" t="inlineStr">
        <is>
          <t>MR1</t>
        </is>
      </c>
      <c r="E16" s="458" t="inlineStr">
        <is>
          <t>10A</t>
        </is>
      </c>
      <c r="F16" s="405">
        <f>CONCATENATE("ETR1000V300-",$D16,"-",$E16)</f>
        <v/>
      </c>
      <c r="G16" s="488">
        <f>CONCATENATE(F16,"-",H16)</f>
        <v/>
      </c>
      <c r="H16" s="415" t="inlineStr">
        <is>
          <t>05</t>
        </is>
      </c>
      <c r="I16" s="416" t="n">
        <v>46113</v>
      </c>
      <c r="J16" s="405">
        <f>$F16</f>
        <v/>
      </c>
      <c r="K16" s="488">
        <f>$G16</f>
        <v/>
      </c>
      <c r="L16" s="415">
        <f>$H16</f>
        <v/>
      </c>
      <c r="M16" s="416">
        <f>$I16</f>
        <v/>
      </c>
      <c r="N16" s="482">
        <f>$F16</f>
        <v/>
      </c>
      <c r="O16" s="460">
        <f>$G16</f>
        <v/>
      </c>
      <c r="P16" s="460">
        <f>$H16</f>
        <v/>
      </c>
      <c r="Q16" s="484">
        <f>$I16</f>
        <v/>
      </c>
      <c r="R16" s="482" t="n"/>
      <c r="S16" s="460" t="n"/>
      <c r="T16" s="460" t="n"/>
      <c r="U16" s="484" t="n"/>
      <c r="V16" s="482">
        <f>CONCATENATE("ETR1000V300_R1-",$D16,"-",$E16)</f>
        <v/>
      </c>
      <c r="W16" s="483">
        <f>CONCATENATE(V16,"-",X16)</f>
        <v/>
      </c>
      <c r="X16" s="489" t="inlineStr">
        <is>
          <t>03</t>
        </is>
      </c>
      <c r="Y16" s="484" t="n">
        <v>45901</v>
      </c>
      <c r="Z16" s="490">
        <f>V16</f>
        <v/>
      </c>
      <c r="AA16" s="489">
        <f>W16</f>
        <v/>
      </c>
      <c r="AB16" s="489">
        <f>X16</f>
        <v/>
      </c>
      <c r="AC16" s="491">
        <f>Y16</f>
        <v/>
      </c>
    </row>
    <row r="17">
      <c r="A17" s="492" t="inlineStr">
        <is>
          <t>Convertitore servizi ausiliari e caricabatterie</t>
        </is>
      </c>
      <c r="B17" s="458">
        <f>CONCATENATE(D17,"_",E17)</f>
        <v/>
      </c>
      <c r="C17" s="476" t="inlineStr">
        <is>
          <t>pdf</t>
        </is>
      </c>
      <c r="D17" s="458" t="inlineStr">
        <is>
          <t>MR1</t>
        </is>
      </c>
      <c r="E17" s="458" t="inlineStr">
        <is>
          <t>11A</t>
        </is>
      </c>
      <c r="F17" s="405">
        <f>CONCATENATE("ETR1000V300-",$D17,"-",$E17)</f>
        <v/>
      </c>
      <c r="G17" s="488">
        <f>CONCATENATE(F17,"-",H17)</f>
        <v/>
      </c>
      <c r="H17" s="415" t="inlineStr">
        <is>
          <t>03</t>
        </is>
      </c>
      <c r="I17" s="416" t="n">
        <v>46113</v>
      </c>
      <c r="J17" s="405">
        <f>$F17</f>
        <v/>
      </c>
      <c r="K17" s="488">
        <f>$G17</f>
        <v/>
      </c>
      <c r="L17" s="415">
        <f>$H17</f>
        <v/>
      </c>
      <c r="M17" s="416">
        <f>$I17</f>
        <v/>
      </c>
      <c r="N17" s="482">
        <f>$F17</f>
        <v/>
      </c>
      <c r="O17" s="460">
        <f>$G17</f>
        <v/>
      </c>
      <c r="P17" s="460">
        <f>$H17</f>
        <v/>
      </c>
      <c r="Q17" s="484">
        <f>$I17</f>
        <v/>
      </c>
      <c r="R17" s="482" t="n"/>
      <c r="S17" s="460" t="n"/>
      <c r="T17" s="460" t="n"/>
      <c r="U17" s="484" t="n"/>
      <c r="V17" s="482">
        <f>CONCATENATE("ETR1000V300_R1-",$D17,"-",$E17)</f>
        <v/>
      </c>
      <c r="W17" s="483">
        <f>CONCATENATE(V17,"-",X17)</f>
        <v/>
      </c>
      <c r="X17" s="489" t="inlineStr">
        <is>
          <t>03</t>
        </is>
      </c>
      <c r="Y17" s="484" t="n">
        <v>45992</v>
      </c>
      <c r="Z17" s="490">
        <f>V17</f>
        <v/>
      </c>
      <c r="AA17" s="489">
        <f>W17</f>
        <v/>
      </c>
      <c r="AB17" s="489">
        <f>X17</f>
        <v/>
      </c>
      <c r="AC17" s="491">
        <f>Y17</f>
        <v/>
      </c>
    </row>
    <row r="18">
      <c r="A18" s="492" t="inlineStr">
        <is>
          <t>Sottosistema diagnostica di bordo</t>
        </is>
      </c>
      <c r="B18" s="458">
        <f>CONCATENATE(D18,"_",E18)</f>
        <v/>
      </c>
      <c r="C18" s="476" t="inlineStr">
        <is>
          <t>pdf</t>
        </is>
      </c>
      <c r="D18" s="458" t="inlineStr">
        <is>
          <t>MR1</t>
        </is>
      </c>
      <c r="E18" s="458" t="inlineStr">
        <is>
          <t>13A</t>
        </is>
      </c>
      <c r="F18" s="405">
        <f>CONCATENATE("ETR1000V300-",$D18,"-",$E18)</f>
        <v/>
      </c>
      <c r="G18" s="488">
        <f>CONCATENATE(F18,"-",H18)</f>
        <v/>
      </c>
      <c r="H18" s="415" t="inlineStr">
        <is>
          <t>03</t>
        </is>
      </c>
      <c r="I18" s="416" t="n">
        <v>46113</v>
      </c>
      <c r="J18" s="405">
        <f>$F18</f>
        <v/>
      </c>
      <c r="K18" s="488">
        <f>$G18</f>
        <v/>
      </c>
      <c r="L18" s="415">
        <f>$H18</f>
        <v/>
      </c>
      <c r="M18" s="416">
        <f>$I18</f>
        <v/>
      </c>
      <c r="N18" s="482">
        <f>$F18</f>
        <v/>
      </c>
      <c r="O18" s="460">
        <f>$G18</f>
        <v/>
      </c>
      <c r="P18" s="460">
        <f>$H18</f>
        <v/>
      </c>
      <c r="Q18" s="484">
        <f>$I18</f>
        <v/>
      </c>
      <c r="R18" s="482" t="n"/>
      <c r="S18" s="460" t="n"/>
      <c r="T18" s="460" t="n"/>
      <c r="U18" s="484" t="n"/>
      <c r="V18" s="482">
        <f>CONCATENATE("ETR1000V300_R1-",$D18,"-",$E18)</f>
        <v/>
      </c>
      <c r="W18" s="483">
        <f>CONCATENATE(V18,"-",X18)</f>
        <v/>
      </c>
      <c r="X18" s="489" t="inlineStr">
        <is>
          <t>03</t>
        </is>
      </c>
      <c r="Y18" s="484" t="n">
        <v>45931</v>
      </c>
      <c r="Z18" s="490">
        <f>V18</f>
        <v/>
      </c>
      <c r="AA18" s="489">
        <f>W18</f>
        <v/>
      </c>
      <c r="AB18" s="489">
        <f>X18</f>
        <v/>
      </c>
      <c r="AC18" s="491">
        <f>Y18</f>
        <v/>
      </c>
    </row>
    <row r="19">
      <c r="A19" s="492" t="inlineStr">
        <is>
          <t>Allestimenti interni</t>
        </is>
      </c>
      <c r="B19" s="458">
        <f>CONCATENATE(D19,"_",E19)</f>
        <v/>
      </c>
      <c r="C19" s="476" t="inlineStr">
        <is>
          <t>pdf</t>
        </is>
      </c>
      <c r="D19" s="458" t="inlineStr">
        <is>
          <t>MR1</t>
        </is>
      </c>
      <c r="E19" s="458" t="inlineStr">
        <is>
          <t>14A</t>
        </is>
      </c>
      <c r="F19" s="411">
        <f>CONCATENATE("ETR1000V300-",$D19,"-",$E19)</f>
        <v/>
      </c>
      <c r="G19" s="488">
        <f>CONCATENATE(F19,"-",H19)</f>
        <v/>
      </c>
      <c r="H19" s="415" t="inlineStr">
        <is>
          <t>06</t>
        </is>
      </c>
      <c r="I19" s="416" t="n">
        <v>46113</v>
      </c>
      <c r="J19" s="411">
        <f>$F19</f>
        <v/>
      </c>
      <c r="K19" s="488">
        <f>$G19</f>
        <v/>
      </c>
      <c r="L19" s="415">
        <f>$H19</f>
        <v/>
      </c>
      <c r="M19" s="416">
        <f>$I19</f>
        <v/>
      </c>
      <c r="N19" s="482">
        <f>$F19</f>
        <v/>
      </c>
      <c r="O19" s="460">
        <f>$G19</f>
        <v/>
      </c>
      <c r="P19" s="460">
        <f>$H19</f>
        <v/>
      </c>
      <c r="Q19" s="484">
        <f>$I19</f>
        <v/>
      </c>
      <c r="R19" s="482" t="n"/>
      <c r="S19" s="460" t="n"/>
      <c r="T19" s="460" t="n"/>
      <c r="U19" s="484" t="n"/>
      <c r="V19" s="482" t="n"/>
      <c r="W19" s="483" t="n"/>
      <c r="X19" s="489" t="n"/>
      <c r="Y19" s="484" t="n"/>
      <c r="Z19" s="482" t="n"/>
      <c r="AA19" s="460" t="n"/>
      <c r="AB19" s="460" t="n"/>
      <c r="AC19" s="484" t="n"/>
    </row>
    <row r="20">
      <c r="A20" s="492" t="inlineStr">
        <is>
          <t>Allestimenti interni - Arredi comparto e cabina di guida</t>
        </is>
      </c>
      <c r="B20" s="458">
        <f>CONCATENATE(D20,"_",E20)</f>
        <v/>
      </c>
      <c r="C20" s="476" t="inlineStr">
        <is>
          <t>pdf</t>
        </is>
      </c>
      <c r="D20" s="458" t="inlineStr">
        <is>
          <t>MR1</t>
        </is>
      </c>
      <c r="E20" s="458" t="inlineStr">
        <is>
          <t>14B</t>
        </is>
      </c>
      <c r="F20" s="405">
        <f>CONCATENATE("ETR1000V300-",$D20,"-",$E20)</f>
        <v/>
      </c>
      <c r="G20" s="488" t="inlineStr">
        <is>
          <t>\</t>
        </is>
      </c>
      <c r="H20" s="412" t="inlineStr">
        <is>
          <t>\</t>
        </is>
      </c>
      <c r="I20" s="408" t="inlineStr">
        <is>
          <t>\</t>
        </is>
      </c>
      <c r="J20" s="405">
        <f>$F20</f>
        <v/>
      </c>
      <c r="K20" s="488">
        <f>$G20</f>
        <v/>
      </c>
      <c r="L20" s="412">
        <f>$H20</f>
        <v/>
      </c>
      <c r="M20" s="408">
        <f>$I20</f>
        <v/>
      </c>
      <c r="N20" s="482">
        <f>$G20</f>
        <v/>
      </c>
      <c r="O20" s="460">
        <f>$G20</f>
        <v/>
      </c>
      <c r="P20" s="460">
        <f>$H20</f>
        <v/>
      </c>
      <c r="Q20" s="484">
        <f>$I20</f>
        <v/>
      </c>
      <c r="R20" s="482" t="n"/>
      <c r="S20" s="460" t="n"/>
      <c r="T20" s="460" t="n"/>
      <c r="U20" s="484" t="n"/>
      <c r="V20" s="482">
        <f>CONCATENATE("ETR1000V300_R1-",$D20,"-",$E20)</f>
        <v/>
      </c>
      <c r="W20" s="483">
        <f>CONCATENATE(V20,"-",X20)</f>
        <v/>
      </c>
      <c r="X20" s="489" t="inlineStr">
        <is>
          <t>03</t>
        </is>
      </c>
      <c r="Y20" s="484" t="n">
        <v>45992</v>
      </c>
      <c r="Z20" s="490">
        <f>V20</f>
        <v/>
      </c>
      <c r="AA20" s="489">
        <f>W20</f>
        <v/>
      </c>
      <c r="AB20" s="489">
        <f>X20</f>
        <v/>
      </c>
      <c r="AC20" s="491">
        <f>Y20</f>
        <v/>
      </c>
    </row>
    <row r="21">
      <c r="A21" s="492" t="inlineStr">
        <is>
          <t>Servizi Generali di Bordo - Toilette</t>
        </is>
      </c>
      <c r="B21" s="458">
        <f>CONCATENATE(D21,"_",E21)</f>
        <v/>
      </c>
      <c r="C21" s="476" t="inlineStr">
        <is>
          <t>pdf</t>
        </is>
      </c>
      <c r="D21" s="458" t="inlineStr">
        <is>
          <t>MR1</t>
        </is>
      </c>
      <c r="E21" s="458" t="inlineStr">
        <is>
          <t>15A</t>
        </is>
      </c>
      <c r="F21" s="405">
        <f>CONCATENATE("ETR1000V300-",$D21,"-",$E21)</f>
        <v/>
      </c>
      <c r="G21" s="488">
        <f>CONCATENATE(F21,"-",H21)</f>
        <v/>
      </c>
      <c r="H21" s="415" t="inlineStr">
        <is>
          <t>06</t>
        </is>
      </c>
      <c r="I21" s="416" t="n">
        <v>46113</v>
      </c>
      <c r="J21" s="405">
        <f>$F21</f>
        <v/>
      </c>
      <c r="K21" s="488">
        <f>$G21</f>
        <v/>
      </c>
      <c r="L21" s="415">
        <f>$H21</f>
        <v/>
      </c>
      <c r="M21" s="416">
        <f>$I21</f>
        <v/>
      </c>
      <c r="N21" s="482">
        <f>$F21</f>
        <v/>
      </c>
      <c r="O21" s="460">
        <f>$G21</f>
        <v/>
      </c>
      <c r="P21" s="460">
        <f>$H21</f>
        <v/>
      </c>
      <c r="Q21" s="484">
        <f>$I21</f>
        <v/>
      </c>
      <c r="R21" s="482" t="n"/>
      <c r="S21" s="460" t="n"/>
      <c r="T21" s="460" t="n"/>
      <c r="U21" s="484" t="n"/>
      <c r="V21" s="482">
        <f>CONCATENATE("ETR1000V300_R1-",$D21,"-",$E21)</f>
        <v/>
      </c>
      <c r="W21" s="483">
        <f>CONCATENATE(V21,"-",X21)</f>
        <v/>
      </c>
      <c r="X21" s="489" t="inlineStr">
        <is>
          <t>03</t>
        </is>
      </c>
      <c r="Y21" s="498" t="inlineStr">
        <is>
          <t>gen-2026</t>
        </is>
      </c>
      <c r="Z21" s="490">
        <f>V21</f>
        <v/>
      </c>
      <c r="AA21" s="489">
        <f>W21</f>
        <v/>
      </c>
      <c r="AB21" s="489">
        <f>X21</f>
        <v/>
      </c>
      <c r="AC21" s="491">
        <f>Y21</f>
        <v/>
      </c>
    </row>
    <row r="22">
      <c r="A22" s="492" t="inlineStr">
        <is>
          <t>Servizi Generali di Bordo - Bar Bistrot</t>
        </is>
      </c>
      <c r="B22" s="458">
        <f>CONCATENATE(D22,"_",E22)</f>
        <v/>
      </c>
      <c r="C22" s="476" t="inlineStr">
        <is>
          <t>pdf</t>
        </is>
      </c>
      <c r="D22" s="458" t="inlineStr">
        <is>
          <t>MR1</t>
        </is>
      </c>
      <c r="E22" s="458" t="inlineStr">
        <is>
          <t>15B</t>
        </is>
      </c>
      <c r="F22" s="405">
        <f>CONCATENATE("ETR1000V300-",$D22,"-",$E22)</f>
        <v/>
      </c>
      <c r="G22" s="488" t="inlineStr">
        <is>
          <t>\</t>
        </is>
      </c>
      <c r="H22" s="406" t="inlineStr">
        <is>
          <t>\</t>
        </is>
      </c>
      <c r="I22" s="408" t="inlineStr">
        <is>
          <t>\</t>
        </is>
      </c>
      <c r="J22" s="405">
        <f>$F22</f>
        <v/>
      </c>
      <c r="K22" s="488">
        <f>$G22</f>
        <v/>
      </c>
      <c r="L22" s="406">
        <f>$H22</f>
        <v/>
      </c>
      <c r="M22" s="408">
        <f>$I22</f>
        <v/>
      </c>
      <c r="N22" s="482">
        <f>$G22</f>
        <v/>
      </c>
      <c r="O22" s="460">
        <f>$G22</f>
        <v/>
      </c>
      <c r="P22" s="460">
        <f>$H22</f>
        <v/>
      </c>
      <c r="Q22" s="484">
        <f>$I22</f>
        <v/>
      </c>
      <c r="R22" s="482" t="n"/>
      <c r="S22" s="460" t="n"/>
      <c r="T22" s="460" t="n"/>
      <c r="U22" s="484" t="n"/>
      <c r="V22" s="482" t="n"/>
      <c r="W22" s="483" t="n"/>
      <c r="X22" s="489" t="n"/>
      <c r="Y22" s="484" t="n"/>
      <c r="Z22" s="490" t="n"/>
      <c r="AA22" s="489" t="n"/>
      <c r="AB22" s="489" t="n"/>
      <c r="AC22" s="491" t="n"/>
    </row>
    <row r="23">
      <c r="A23" s="492" t="inlineStr">
        <is>
          <t>Emergenza e recupero</t>
        </is>
      </c>
      <c r="B23" s="458">
        <f>CONCATENATE(D23,"_",E23)</f>
        <v/>
      </c>
      <c r="C23" s="476" t="inlineStr">
        <is>
          <t>pdf</t>
        </is>
      </c>
      <c r="D23" s="458" t="inlineStr">
        <is>
          <t>MR1</t>
        </is>
      </c>
      <c r="E23" s="458" t="inlineStr">
        <is>
          <t>16A</t>
        </is>
      </c>
      <c r="F23" s="405">
        <f>CONCATENATE("ETR1000V300-",$D23,"-",$E23)</f>
        <v/>
      </c>
      <c r="G23" s="488">
        <f>CONCATENATE(F23,"-",H23)</f>
        <v/>
      </c>
      <c r="H23" s="410" t="inlineStr">
        <is>
          <t>07</t>
        </is>
      </c>
      <c r="I23" s="407" t="n">
        <v>44228</v>
      </c>
      <c r="J23" s="405">
        <f>$F23</f>
        <v/>
      </c>
      <c r="K23" s="488">
        <f>$G23</f>
        <v/>
      </c>
      <c r="L23" s="410">
        <f>$H23</f>
        <v/>
      </c>
      <c r="M23" s="407">
        <f>$I23</f>
        <v/>
      </c>
      <c r="N23" s="482">
        <f>$F23</f>
        <v/>
      </c>
      <c r="O23" s="460">
        <f>$G23</f>
        <v/>
      </c>
      <c r="P23" s="460">
        <f>$H23</f>
        <v/>
      </c>
      <c r="Q23" s="484">
        <f>$I23</f>
        <v/>
      </c>
      <c r="R23" s="482" t="n"/>
      <c r="S23" s="460" t="n"/>
      <c r="T23" s="460" t="n"/>
      <c r="U23" s="484" t="n"/>
      <c r="V23" s="482" t="n"/>
      <c r="W23" s="483" t="n"/>
      <c r="X23" s="489" t="n"/>
      <c r="Y23" s="484" t="n"/>
      <c r="Z23" s="490" t="n"/>
      <c r="AA23" s="489" t="n"/>
      <c r="AB23" s="489" t="n"/>
      <c r="AC23" s="491" t="n"/>
    </row>
    <row r="24">
      <c r="A24" s="492" t="inlineStr">
        <is>
          <t>Telecomunicazioni TT</t>
        </is>
      </c>
      <c r="B24" s="458">
        <f>CONCATENATE(D24,"_",E24)</f>
        <v/>
      </c>
      <c r="C24" s="476" t="inlineStr">
        <is>
          <t>pdf</t>
        </is>
      </c>
      <c r="D24" s="458" t="inlineStr">
        <is>
          <t>MR1</t>
        </is>
      </c>
      <c r="E24" s="458" t="inlineStr">
        <is>
          <t>18A</t>
        </is>
      </c>
      <c r="F24" s="405">
        <f>CONCATENATE("ETR1000V300-",$D24,"-",$E24)</f>
        <v/>
      </c>
      <c r="G24" s="488">
        <f>CONCATENATE(F24,"-",H24)</f>
        <v/>
      </c>
      <c r="H24" s="415" t="inlineStr">
        <is>
          <t>05</t>
        </is>
      </c>
      <c r="I24" s="416" t="n">
        <v>46113</v>
      </c>
      <c r="J24" s="405">
        <f>$F24</f>
        <v/>
      </c>
      <c r="K24" s="488">
        <f>$G24</f>
        <v/>
      </c>
      <c r="L24" s="415">
        <f>$H24</f>
        <v/>
      </c>
      <c r="M24" s="416">
        <f>$I24</f>
        <v/>
      </c>
      <c r="N24" s="482">
        <f>$F24</f>
        <v/>
      </c>
      <c r="O24" s="460">
        <f>$G24</f>
        <v/>
      </c>
      <c r="P24" s="460">
        <f>$H24</f>
        <v/>
      </c>
      <c r="Q24" s="484">
        <f>$I24</f>
        <v/>
      </c>
      <c r="R24" s="482" t="n"/>
      <c r="S24" s="460" t="n"/>
      <c r="T24" s="460" t="n"/>
      <c r="U24" s="484" t="n"/>
      <c r="V24" s="482">
        <f>CONCATENATE("ETR1000V300_R1-",$D24,"-",$E24)</f>
        <v/>
      </c>
      <c r="W24" s="483">
        <f>CONCATENATE(V24,"-",X24)</f>
        <v/>
      </c>
      <c r="X24" s="489" t="inlineStr">
        <is>
          <t>03</t>
        </is>
      </c>
      <c r="Y24" s="484" t="n">
        <v>45931</v>
      </c>
      <c r="Z24" s="490">
        <f>V24</f>
        <v/>
      </c>
      <c r="AA24" s="489">
        <f>W24</f>
        <v/>
      </c>
      <c r="AB24" s="489">
        <f>X24</f>
        <v/>
      </c>
      <c r="AC24" s="491">
        <f>Y24</f>
        <v/>
      </c>
    </row>
    <row r="25">
      <c r="A25" s="492" t="inlineStr">
        <is>
          <t>Sottosistema di bordo generale</t>
        </is>
      </c>
      <c r="B25" s="458">
        <f>CONCATENATE(D25,"_",E25)</f>
        <v/>
      </c>
      <c r="C25" s="476" t="inlineStr">
        <is>
          <t>pdf</t>
        </is>
      </c>
      <c r="D25" s="458" t="inlineStr">
        <is>
          <t>MR1</t>
        </is>
      </c>
      <c r="E25" s="458" t="inlineStr">
        <is>
          <t>20A</t>
        </is>
      </c>
      <c r="F25" s="381">
        <f>CONCATENATE("ETR1000V300-",$D25,"-",$E25)</f>
        <v/>
      </c>
      <c r="G25" s="488">
        <f>CONCATENATE(F25,"-",H25)</f>
        <v/>
      </c>
      <c r="H25" s="409" t="inlineStr">
        <is>
          <t>03</t>
        </is>
      </c>
      <c r="I25" s="408" t="inlineStr">
        <is>
          <t>giu-20</t>
        </is>
      </c>
      <c r="J25" s="381">
        <f>$F25</f>
        <v/>
      </c>
      <c r="K25" s="488">
        <f>$G25</f>
        <v/>
      </c>
      <c r="L25" s="409">
        <f>$H25</f>
        <v/>
      </c>
      <c r="M25" s="408">
        <f>$I25</f>
        <v/>
      </c>
      <c r="N25" s="494" t="inlineStr">
        <is>
          <t>\</t>
        </is>
      </c>
      <c r="O25" s="460" t="inlineStr">
        <is>
          <t>\</t>
        </is>
      </c>
      <c r="P25" s="460" t="inlineStr">
        <is>
          <t>\</t>
        </is>
      </c>
      <c r="Q25" s="484" t="inlineStr">
        <is>
          <t>\</t>
        </is>
      </c>
      <c r="R25" s="482" t="n"/>
      <c r="S25" s="460" t="n"/>
      <c r="T25" s="460" t="n"/>
      <c r="U25" s="484" t="n"/>
      <c r="V25" s="482">
        <f>CONCATENATE("ETR1000V300_R1-",$D25,"-",$E25)</f>
        <v/>
      </c>
      <c r="W25" s="483">
        <f>CONCATENATE(V25,"-",X25)</f>
        <v/>
      </c>
      <c r="X25" s="489" t="inlineStr">
        <is>
          <t>05</t>
        </is>
      </c>
      <c r="Y25" s="498" t="inlineStr">
        <is>
          <t>gen-2026</t>
        </is>
      </c>
      <c r="Z25" s="490">
        <f>V25</f>
        <v/>
      </c>
      <c r="AA25" s="489">
        <f>W25</f>
        <v/>
      </c>
      <c r="AB25" s="489">
        <f>X25</f>
        <v/>
      </c>
      <c r="AC25" s="491">
        <f>Y25</f>
        <v/>
      </c>
    </row>
    <row r="26">
      <c r="A26" s="492" t="inlineStr">
        <is>
          <t>Sottosistema di bordo ETCS specifico del treno</t>
        </is>
      </c>
      <c r="B26" s="458">
        <f>CONCATENATE(D26,"_",E26)</f>
        <v/>
      </c>
      <c r="C26" s="476" t="inlineStr">
        <is>
          <t>pdf</t>
        </is>
      </c>
      <c r="D26" s="458" t="inlineStr">
        <is>
          <t>MR1</t>
        </is>
      </c>
      <c r="E26" s="458" t="inlineStr">
        <is>
          <t>20B</t>
        </is>
      </c>
      <c r="F26" s="381">
        <f>CONCATENATE("ETR1000V300-",$D26,"-",$E26)</f>
        <v/>
      </c>
      <c r="G26" s="488">
        <f>CONCATENATE(F26,"-",H26)</f>
        <v/>
      </c>
      <c r="H26" s="409" t="inlineStr">
        <is>
          <t>01</t>
        </is>
      </c>
      <c r="I26" s="408" t="inlineStr">
        <is>
          <t>lug-17</t>
        </is>
      </c>
      <c r="J26" s="381">
        <f>$F26</f>
        <v/>
      </c>
      <c r="K26" s="488">
        <f>$G26</f>
        <v/>
      </c>
      <c r="L26" s="409">
        <f>$H26</f>
        <v/>
      </c>
      <c r="M26" s="408">
        <f>$I26</f>
        <v/>
      </c>
      <c r="N26" s="494" t="inlineStr">
        <is>
          <t>\</t>
        </is>
      </c>
      <c r="O26" s="460" t="inlineStr">
        <is>
          <t>\</t>
        </is>
      </c>
      <c r="P26" s="460" t="inlineStr">
        <is>
          <t>\</t>
        </is>
      </c>
      <c r="Q26" s="484" t="inlineStr">
        <is>
          <t>\</t>
        </is>
      </c>
      <c r="R26" s="482" t="n"/>
      <c r="S26" s="460" t="n"/>
      <c r="T26" s="460" t="n"/>
      <c r="U26" s="484" t="n"/>
      <c r="V26" s="482">
        <f>CONCATENATE("ETR1000V300_R1-",$D26,"-",$E26)</f>
        <v/>
      </c>
      <c r="W26" s="483">
        <f>CONCATENATE(V26,"-",X26)</f>
        <v/>
      </c>
      <c r="X26" s="489" t="inlineStr">
        <is>
          <t>02</t>
        </is>
      </c>
      <c r="Y26" s="484" t="n">
        <v>45931</v>
      </c>
      <c r="Z26" s="490">
        <f>V26</f>
        <v/>
      </c>
      <c r="AA26" s="489">
        <f>W26</f>
        <v/>
      </c>
      <c r="AB26" s="489">
        <f>X26</f>
        <v/>
      </c>
      <c r="AC26" s="491">
        <f>Y26</f>
        <v/>
      </c>
    </row>
    <row r="27">
      <c r="A27" s="492" t="inlineStr">
        <is>
          <t>Sottosistema di bordo generale - Linea francese</t>
        </is>
      </c>
      <c r="B27" s="458">
        <f>CONCATENATE(D27,"_",E27)</f>
        <v/>
      </c>
      <c r="C27" s="476" t="inlineStr">
        <is>
          <t>pdf</t>
        </is>
      </c>
      <c r="D27" s="458" t="inlineStr">
        <is>
          <t>MR1</t>
        </is>
      </c>
      <c r="E27" s="458" t="inlineStr">
        <is>
          <t>20C</t>
        </is>
      </c>
      <c r="F27" s="405" t="inlineStr">
        <is>
          <t>\</t>
        </is>
      </c>
      <c r="G27" s="488" t="inlineStr">
        <is>
          <t>\</t>
        </is>
      </c>
      <c r="H27" s="409" t="inlineStr">
        <is>
          <t>\</t>
        </is>
      </c>
      <c r="I27" s="408" t="inlineStr">
        <is>
          <t>\</t>
        </is>
      </c>
      <c r="J27" s="405">
        <f>$F27</f>
        <v/>
      </c>
      <c r="K27" s="488">
        <f>$G27</f>
        <v/>
      </c>
      <c r="L27" s="409">
        <f>$H27</f>
        <v/>
      </c>
      <c r="M27" s="408">
        <f>$I27</f>
        <v/>
      </c>
      <c r="N27" s="494">
        <f>CONCATENATE("ETR1000V300_FR-",$D27,"-",$E27)</f>
        <v/>
      </c>
      <c r="O27" s="483">
        <f>CONCATENATE(N27,"-",P27)</f>
        <v/>
      </c>
      <c r="P27" s="489" t="inlineStr">
        <is>
          <t>02</t>
        </is>
      </c>
      <c r="Q27" s="484" t="n">
        <v>44409</v>
      </c>
      <c r="R27" s="482" t="n"/>
      <c r="S27" s="460" t="n"/>
      <c r="T27" s="460" t="n"/>
      <c r="U27" s="484" t="n"/>
      <c r="V27" s="482" t="inlineStr">
        <is>
          <t>\</t>
        </is>
      </c>
      <c r="W27" s="483" t="inlineStr">
        <is>
          <t>\</t>
        </is>
      </c>
      <c r="X27" s="489" t="inlineStr">
        <is>
          <t>\</t>
        </is>
      </c>
      <c r="Y27" s="484" t="inlineStr">
        <is>
          <t>\</t>
        </is>
      </c>
      <c r="Z27" s="490">
        <f>V27</f>
        <v/>
      </c>
      <c r="AA27" s="489">
        <f>W27</f>
        <v/>
      </c>
      <c r="AB27" s="489">
        <f>X27</f>
        <v/>
      </c>
      <c r="AC27" s="491">
        <f>Y27</f>
        <v/>
      </c>
    </row>
    <row r="28">
      <c r="A28" s="492" t="inlineStr">
        <is>
          <t>Sottosistema di bordo specifico - Linea francese</t>
        </is>
      </c>
      <c r="B28" s="458">
        <f>CONCATENATE(D28,"_",E28)</f>
        <v/>
      </c>
      <c r="C28" s="476" t="inlineStr">
        <is>
          <t>pdf</t>
        </is>
      </c>
      <c r="D28" s="458" t="inlineStr">
        <is>
          <t>MR1</t>
        </is>
      </c>
      <c r="E28" s="458" t="inlineStr">
        <is>
          <t>20D</t>
        </is>
      </c>
      <c r="F28" s="405" t="inlineStr">
        <is>
          <t>\</t>
        </is>
      </c>
      <c r="G28" s="488" t="inlineStr">
        <is>
          <t>\</t>
        </is>
      </c>
      <c r="H28" s="409" t="inlineStr">
        <is>
          <t>\</t>
        </is>
      </c>
      <c r="I28" s="408" t="inlineStr">
        <is>
          <t>\</t>
        </is>
      </c>
      <c r="J28" s="405">
        <f>$F28</f>
        <v/>
      </c>
      <c r="K28" s="488">
        <f>$G28</f>
        <v/>
      </c>
      <c r="L28" s="409">
        <f>$H28</f>
        <v/>
      </c>
      <c r="M28" s="408">
        <f>$I28</f>
        <v/>
      </c>
      <c r="N28" s="494">
        <f>CONCATENATE("ETR1000V300_FR-",$D28,"-",$E28)</f>
        <v/>
      </c>
      <c r="O28" s="483">
        <f>CONCATENATE(N28,"-",P28)</f>
        <v/>
      </c>
      <c r="P28" s="489" t="inlineStr">
        <is>
          <t>01</t>
        </is>
      </c>
      <c r="Q28" s="484" t="n">
        <v>44136</v>
      </c>
      <c r="R28" s="482" t="n"/>
      <c r="S28" s="460" t="n"/>
      <c r="T28" s="460" t="n"/>
      <c r="U28" s="484" t="n"/>
      <c r="V28" s="482" t="inlineStr">
        <is>
          <t>\</t>
        </is>
      </c>
      <c r="W28" s="483" t="inlineStr">
        <is>
          <t>\</t>
        </is>
      </c>
      <c r="X28" s="489" t="inlineStr">
        <is>
          <t>\</t>
        </is>
      </c>
      <c r="Y28" s="484" t="inlineStr">
        <is>
          <t>\</t>
        </is>
      </c>
      <c r="Z28" s="490">
        <f>V28</f>
        <v/>
      </c>
      <c r="AA28" s="489">
        <f>W28</f>
        <v/>
      </c>
      <c r="AB28" s="489">
        <f>X28</f>
        <v/>
      </c>
      <c r="AC28" s="491">
        <f>Y28</f>
        <v/>
      </c>
    </row>
    <row r="29" ht="30" customFormat="1" customHeight="1" s="139">
      <c r="A29" s="500" t="inlineStr">
        <is>
          <t>SSB ERTMS/SCMT (ALA) - MANUALE GENERICO USO E
MANUTENZIONE (B60A.000012.640.06I)</t>
        </is>
      </c>
      <c r="B29" s="501">
        <f>CONCATENATE(D29,"_",E29)</f>
        <v/>
      </c>
      <c r="C29" s="476" t="inlineStr">
        <is>
          <t>pdf</t>
        </is>
      </c>
      <c r="D29" s="501" t="inlineStr">
        <is>
          <t>MR1</t>
        </is>
      </c>
      <c r="E29" s="493" t="inlineStr">
        <is>
          <t>20A_ALA</t>
        </is>
      </c>
      <c r="F29" s="381">
        <f>CONCATENATE("ETR1000V300-",$D29,"-",$E29)</f>
        <v/>
      </c>
      <c r="G29" s="488">
        <f>CONCATENATE(F29,"-",H29)</f>
        <v/>
      </c>
      <c r="H29" s="410" t="inlineStr">
        <is>
          <t>08</t>
        </is>
      </c>
      <c r="I29" s="502" t="n">
        <v>43966</v>
      </c>
      <c r="J29" s="381">
        <f>$F29</f>
        <v/>
      </c>
      <c r="K29" s="488">
        <f>$G29</f>
        <v/>
      </c>
      <c r="L29" s="410">
        <f>$H29</f>
        <v/>
      </c>
      <c r="M29" s="502">
        <f>$I29</f>
        <v/>
      </c>
      <c r="N29" s="503" t="inlineStr">
        <is>
          <t>\</t>
        </is>
      </c>
      <c r="O29" s="504" t="inlineStr">
        <is>
          <t>\</t>
        </is>
      </c>
      <c r="P29" s="504" t="inlineStr">
        <is>
          <t>\</t>
        </is>
      </c>
      <c r="Q29" s="499" t="inlineStr">
        <is>
          <t>\</t>
        </is>
      </c>
      <c r="R29" s="505" t="n"/>
      <c r="S29" s="506" t="n"/>
      <c r="T29" s="506" t="n"/>
      <c r="U29" s="507" t="n"/>
      <c r="V29" s="482" t="n"/>
      <c r="W29" s="483" t="n"/>
      <c r="X29" s="489" t="n"/>
      <c r="Y29" s="484" t="n"/>
      <c r="Z29" s="505" t="n"/>
      <c r="AA29" s="506" t="n"/>
      <c r="AB29" s="506" t="n"/>
      <c r="AC29" s="507" t="n"/>
    </row>
    <row r="30" ht="30" customFormat="1" customHeight="1" s="139">
      <c r="A30" s="500" t="inlineStr">
        <is>
          <t>SSB ERTMS/SCMT (ELO) - MANUALE GENERICO USO E
MANUTENZIONE (B60X.0100506.G00.00IT rev.02.00)</t>
        </is>
      </c>
      <c r="B30" s="501">
        <f>CONCATENATE(D30,"_",E30)</f>
        <v/>
      </c>
      <c r="C30" s="476" t="inlineStr">
        <is>
          <t>pdf</t>
        </is>
      </c>
      <c r="D30" s="501" t="inlineStr">
        <is>
          <t>MR1</t>
        </is>
      </c>
      <c r="E30" s="493" t="inlineStr">
        <is>
          <t>20A_ELO</t>
        </is>
      </c>
      <c r="F30" s="405">
        <f>CONCATENATE("ETR1000V300-",$D30,"-",$E30)</f>
        <v/>
      </c>
      <c r="G30" s="488">
        <f>CONCATENATE(F30,"-",H30)</f>
        <v/>
      </c>
      <c r="H30" s="415" t="inlineStr">
        <is>
          <t>05</t>
        </is>
      </c>
      <c r="I30" s="416" t="n">
        <v>46113</v>
      </c>
      <c r="J30" s="405">
        <f>$F30</f>
        <v/>
      </c>
      <c r="K30" s="488">
        <f>$G30</f>
        <v/>
      </c>
      <c r="L30" s="415">
        <f>$H30</f>
        <v/>
      </c>
      <c r="M30" s="416">
        <f>$I30</f>
        <v/>
      </c>
      <c r="N30" s="503" t="inlineStr">
        <is>
          <t>\</t>
        </is>
      </c>
      <c r="O30" s="504" t="inlineStr">
        <is>
          <t>\</t>
        </is>
      </c>
      <c r="P30" s="504" t="inlineStr">
        <is>
          <t>\</t>
        </is>
      </c>
      <c r="Q30" s="499" t="inlineStr">
        <is>
          <t>\</t>
        </is>
      </c>
      <c r="R30" s="505" t="n"/>
      <c r="S30" s="506" t="n"/>
      <c r="T30" s="506" t="n"/>
      <c r="U30" s="507" t="n"/>
      <c r="V30" s="482" t="n"/>
      <c r="W30" s="483" t="n"/>
      <c r="X30" s="489" t="n"/>
      <c r="Y30" s="484" t="n"/>
      <c r="Z30" s="505" t="n"/>
      <c r="AA30" s="506" t="n"/>
      <c r="AB30" s="506" t="n"/>
      <c r="AC30" s="507" t="n"/>
    </row>
    <row r="31" ht="30" customFormat="1" customHeight="1" s="139">
      <c r="A31" s="500" t="inlineStr">
        <is>
          <t>Sotto Sistema di Bordo ERTMS BL3 CON SCMT INTEGRATO (B60A.0100914.G00.00IT)</t>
        </is>
      </c>
      <c r="B31" s="501">
        <f>CONCATENATE(D31,"_",E31)</f>
        <v/>
      </c>
      <c r="C31" s="476" t="inlineStr">
        <is>
          <t>pdf</t>
        </is>
      </c>
      <c r="D31" s="501" t="inlineStr">
        <is>
          <t>MR1</t>
        </is>
      </c>
      <c r="E31" s="493" t="inlineStr">
        <is>
          <t>20B_ELO</t>
        </is>
      </c>
      <c r="F31" s="405">
        <f>CONCATENATE("ETR1000V300-",$D31,"-",$E31)</f>
        <v/>
      </c>
      <c r="G31" s="488">
        <f>CONCATENATE(F31,"-",H31)</f>
        <v/>
      </c>
      <c r="H31" s="415" t="inlineStr">
        <is>
          <t>02</t>
        </is>
      </c>
      <c r="I31" s="416" t="n">
        <v>45717</v>
      </c>
      <c r="J31" s="405">
        <f>$F31</f>
        <v/>
      </c>
      <c r="K31" s="488">
        <f>$G31</f>
        <v/>
      </c>
      <c r="L31" s="415">
        <f>$H31</f>
        <v/>
      </c>
      <c r="M31" s="416">
        <f>$I31</f>
        <v/>
      </c>
      <c r="N31" s="503" t="inlineStr">
        <is>
          <t>\</t>
        </is>
      </c>
      <c r="O31" s="504" t="inlineStr">
        <is>
          <t>\</t>
        </is>
      </c>
      <c r="P31" s="504" t="inlineStr">
        <is>
          <t>\</t>
        </is>
      </c>
      <c r="Q31" s="499" t="inlineStr">
        <is>
          <t>\</t>
        </is>
      </c>
      <c r="R31" s="505" t="n"/>
      <c r="S31" s="506" t="n"/>
      <c r="T31" s="506" t="n"/>
      <c r="U31" s="507" t="n"/>
      <c r="V31" s="482" t="n"/>
      <c r="W31" s="483" t="n"/>
      <c r="X31" s="489" t="n"/>
      <c r="Y31" s="484" t="n"/>
      <c r="Z31" s="505" t="n"/>
      <c r="AA31" s="506" t="n"/>
      <c r="AB31" s="506" t="n"/>
      <c r="AC31" s="507" t="n"/>
    </row>
    <row r="32" ht="30" customFormat="1" customHeight="1" s="139">
      <c r="A32" s="508" t="inlineStr">
        <is>
          <t>PGDJ DIS-JRU FTP - PRODOTTO GENERICO DIS-JRU (FT11P035105GE03B)</t>
        </is>
      </c>
      <c r="B32" s="501">
        <f>CONCATENATE(D32,"_",E32)</f>
        <v/>
      </c>
      <c r="C32" s="476" t="inlineStr">
        <is>
          <t>pdf</t>
        </is>
      </c>
      <c r="D32" s="501" t="inlineStr">
        <is>
          <t>MR1</t>
        </is>
      </c>
      <c r="E32" s="493" t="inlineStr">
        <is>
          <t>31A_JRU</t>
        </is>
      </c>
      <c r="F32" s="381">
        <f>CONCATENATE("ETR1000V300-",$D32,"-",$E32)</f>
        <v/>
      </c>
      <c r="G32" s="488">
        <f>CONCATENATE(F32,"-",H32)</f>
        <v/>
      </c>
      <c r="H32" s="412" t="inlineStr">
        <is>
          <t>\</t>
        </is>
      </c>
      <c r="I32" s="502" t="n">
        <v>44256</v>
      </c>
      <c r="J32" s="381">
        <f>$F32</f>
        <v/>
      </c>
      <c r="K32" s="488">
        <f>$G32</f>
        <v/>
      </c>
      <c r="L32" s="412">
        <f>$H32</f>
        <v/>
      </c>
      <c r="M32" s="502">
        <f>$I32</f>
        <v/>
      </c>
      <c r="N32" s="503" t="inlineStr">
        <is>
          <t>\</t>
        </is>
      </c>
      <c r="O32" s="504" t="inlineStr">
        <is>
          <t>\</t>
        </is>
      </c>
      <c r="P32" s="504" t="inlineStr">
        <is>
          <t>\</t>
        </is>
      </c>
      <c r="Q32" s="499" t="inlineStr">
        <is>
          <t>\</t>
        </is>
      </c>
      <c r="R32" s="505" t="n"/>
      <c r="S32" s="506" t="n"/>
      <c r="T32" s="506" t="n"/>
      <c r="U32" s="507" t="n"/>
      <c r="V32" s="482" t="n"/>
      <c r="W32" s="483" t="n"/>
      <c r="X32" s="489" t="n"/>
      <c r="Y32" s="484" t="n"/>
      <c r="Z32" s="505" t="n"/>
      <c r="AA32" s="506" t="n"/>
      <c r="AB32" s="506" t="n"/>
      <c r="AC32" s="507" t="n"/>
    </row>
    <row r="33">
      <c r="A33" s="492" t="inlineStr">
        <is>
          <t>Sistema informativo di condotta Generale (DIS)</t>
        </is>
      </c>
      <c r="B33" s="458">
        <f>CONCATENATE(D33,"_",E33)</f>
        <v/>
      </c>
      <c r="C33" s="476" t="inlineStr">
        <is>
          <t>pdf</t>
        </is>
      </c>
      <c r="D33" s="458" t="inlineStr">
        <is>
          <t>MR1</t>
        </is>
      </c>
      <c r="E33" s="458" t="inlineStr">
        <is>
          <t>31A</t>
        </is>
      </c>
      <c r="F33" s="405">
        <f>CONCATENATE("ETR1000V300-",$D33,"-",$E33)</f>
        <v/>
      </c>
      <c r="G33" s="488">
        <f>CONCATENATE(F33,"-",H33)</f>
        <v/>
      </c>
      <c r="H33" s="409" t="inlineStr">
        <is>
          <t>02</t>
        </is>
      </c>
      <c r="I33" s="408" t="inlineStr">
        <is>
          <t>gen-18</t>
        </is>
      </c>
      <c r="J33" s="405">
        <f>$F33</f>
        <v/>
      </c>
      <c r="K33" s="488">
        <f>$G33</f>
        <v/>
      </c>
      <c r="L33" s="409">
        <f>$H33</f>
        <v/>
      </c>
      <c r="M33" s="408">
        <f>$I33</f>
        <v/>
      </c>
      <c r="N33" s="494">
        <f>CONCATENATE("ETR1000V300_FR-",$D33,"-",$E33)</f>
        <v/>
      </c>
      <c r="O33" s="483">
        <f>CONCATENATE(N33,"-",P33)</f>
        <v/>
      </c>
      <c r="P33" s="489" t="inlineStr">
        <is>
          <t>01</t>
        </is>
      </c>
      <c r="Q33" s="484" t="n">
        <v>44136</v>
      </c>
      <c r="R33" s="482" t="n"/>
      <c r="S33" s="460" t="n"/>
      <c r="T33" s="460" t="n"/>
      <c r="U33" s="484" t="n"/>
      <c r="V33" s="482">
        <f>CONCATENATE("ETR1000V300_R1-",$D33,"-",$E33)</f>
        <v/>
      </c>
      <c r="W33" s="483">
        <f>CONCATENATE(V33,"-",X33)</f>
        <v/>
      </c>
      <c r="X33" s="489" t="inlineStr">
        <is>
          <t>04</t>
        </is>
      </c>
      <c r="Y33" s="498" t="inlineStr">
        <is>
          <t>gen-2026</t>
        </is>
      </c>
      <c r="Z33" s="490">
        <f>V33</f>
        <v/>
      </c>
      <c r="AA33" s="489">
        <f>W33</f>
        <v/>
      </c>
      <c r="AB33" s="489">
        <f>X33</f>
        <v/>
      </c>
      <c r="AC33" s="491">
        <f>Y33</f>
        <v/>
      </c>
    </row>
    <row r="34">
      <c r="A34" s="492" t="inlineStr">
        <is>
          <t>Cassa</t>
        </is>
      </c>
      <c r="B34" s="458">
        <f>CONCATENATE(D34,"_",E34)</f>
        <v/>
      </c>
      <c r="C34" s="476" t="inlineStr">
        <is>
          <t>pdf</t>
        </is>
      </c>
      <c r="D34" s="458" t="inlineStr">
        <is>
          <t>MR2</t>
        </is>
      </c>
      <c r="E34" s="458" t="inlineStr">
        <is>
          <t>01A</t>
        </is>
      </c>
      <c r="F34" s="405">
        <f>CONCATENATE("ETR1000V300-",$D34,"-",$E34)</f>
        <v/>
      </c>
      <c r="G34" s="488">
        <f>CONCATENATE(F34,"-",H34)</f>
        <v/>
      </c>
      <c r="H34" s="419" t="inlineStr">
        <is>
          <t>07</t>
        </is>
      </c>
      <c r="I34" s="416" t="n">
        <v>46113</v>
      </c>
      <c r="J34" s="405">
        <f>$F34</f>
        <v/>
      </c>
      <c r="K34" s="488">
        <f>$G34</f>
        <v/>
      </c>
      <c r="L34" s="419">
        <f>$H34</f>
        <v/>
      </c>
      <c r="M34" s="416">
        <f>$I34</f>
        <v/>
      </c>
      <c r="N34" s="494">
        <f>CONCATENATE("ETR1000V300_FR-",$D34,"-",$E34)</f>
        <v/>
      </c>
      <c r="O34" s="483">
        <f>CONCATENATE(N34,"-",P34)</f>
        <v/>
      </c>
      <c r="P34" s="489" t="inlineStr">
        <is>
          <t>01</t>
        </is>
      </c>
      <c r="Q34" s="484" t="n">
        <v>44105</v>
      </c>
      <c r="R34" s="482" t="n"/>
      <c r="S34" s="460" t="n"/>
      <c r="T34" s="460" t="n"/>
      <c r="U34" s="484" t="n"/>
      <c r="V34" s="482">
        <f>CONCATENATE("ETR1000V300_R1-",$D34,"-",$E34)</f>
        <v/>
      </c>
      <c r="W34" s="483">
        <f>CONCATENATE(V34,"-",X34)</f>
        <v/>
      </c>
      <c r="X34" s="489" t="inlineStr">
        <is>
          <t>02</t>
        </is>
      </c>
      <c r="Y34" s="509" t="n">
        <v>45809</v>
      </c>
      <c r="Z34" s="482">
        <f>V34</f>
        <v/>
      </c>
      <c r="AA34" s="460">
        <f>W34</f>
        <v/>
      </c>
      <c r="AB34" s="460">
        <f>X34</f>
        <v/>
      </c>
      <c r="AC34" s="484">
        <f>Y34</f>
        <v/>
      </c>
    </row>
    <row r="35">
      <c r="A35" s="492" t="inlineStr">
        <is>
          <t>Carrello</t>
        </is>
      </c>
      <c r="B35" s="458">
        <f>CONCATENATE(D35,"_",E35)</f>
        <v/>
      </c>
      <c r="C35" s="476" t="inlineStr">
        <is>
          <t>pdf</t>
        </is>
      </c>
      <c r="D35" s="458" t="inlineStr">
        <is>
          <t>MR2</t>
        </is>
      </c>
      <c r="E35" s="458" t="inlineStr">
        <is>
          <t>02A</t>
        </is>
      </c>
      <c r="F35" s="405">
        <f>CONCATENATE("ETR1000V300-",$D35,"-",$E35)</f>
        <v/>
      </c>
      <c r="G35" s="488">
        <f>CONCATENATE(F35,"-",H35)</f>
        <v/>
      </c>
      <c r="H35" s="419" t="n">
        <v>13</v>
      </c>
      <c r="I35" s="416" t="n">
        <v>46113</v>
      </c>
      <c r="J35" s="405">
        <f>$F35</f>
        <v/>
      </c>
      <c r="K35" s="488">
        <f>$G35</f>
        <v/>
      </c>
      <c r="L35" s="419">
        <f>$H35</f>
        <v/>
      </c>
      <c r="M35" s="416">
        <f>$I35</f>
        <v/>
      </c>
      <c r="N35" s="494">
        <f>CONCATENATE("ETR1000V300_FR-",$D35,"-",$E35)</f>
        <v/>
      </c>
      <c r="O35" s="483">
        <f>CONCATENATE(N35,"-",P35)</f>
        <v/>
      </c>
      <c r="P35" s="489" t="inlineStr">
        <is>
          <t>03</t>
        </is>
      </c>
      <c r="Q35" s="484" t="n">
        <v>44713</v>
      </c>
      <c r="R35" s="482" t="n"/>
      <c r="S35" s="460" t="n"/>
      <c r="T35" s="460" t="n"/>
      <c r="U35" s="484" t="n"/>
      <c r="V35" s="482">
        <f>CONCATENATE("ETR1000V300_R1-",$D35,"-",$E35)</f>
        <v/>
      </c>
      <c r="W35" s="483">
        <f>CONCATENATE(V35,"-",X35)</f>
        <v/>
      </c>
      <c r="X35" s="489" t="inlineStr">
        <is>
          <t>04</t>
        </is>
      </c>
      <c r="Y35" s="509" t="n">
        <v>45901</v>
      </c>
      <c r="Z35" s="482">
        <f>V35</f>
        <v/>
      </c>
      <c r="AA35" s="460">
        <f>W35</f>
        <v/>
      </c>
      <c r="AB35" s="460">
        <f>X35</f>
        <v/>
      </c>
      <c r="AC35" s="484">
        <f>Y35</f>
        <v/>
      </c>
    </row>
    <row r="36">
      <c r="A36" s="492" t="inlineStr">
        <is>
          <t>Impianto pneumatico e freno</t>
        </is>
      </c>
      <c r="B36" s="458">
        <f>CONCATENATE(D36,"_",E36)</f>
        <v/>
      </c>
      <c r="C36" s="476" t="inlineStr">
        <is>
          <t>pdf</t>
        </is>
      </c>
      <c r="D36" s="458" t="inlineStr">
        <is>
          <t>MR2</t>
        </is>
      </c>
      <c r="E36" s="458" t="inlineStr">
        <is>
          <t>03A</t>
        </is>
      </c>
      <c r="F36" s="405">
        <f>CONCATENATE("ETR1000V300-",$D36,"-",$E36)</f>
        <v/>
      </c>
      <c r="G36" s="488">
        <f>CONCATENATE(F36,"-",H36)</f>
        <v/>
      </c>
      <c r="H36" s="419" t="inlineStr">
        <is>
          <t>06</t>
        </is>
      </c>
      <c r="I36" s="416" t="n">
        <v>46113</v>
      </c>
      <c r="J36" s="405">
        <f>$F36</f>
        <v/>
      </c>
      <c r="K36" s="488">
        <f>$G36</f>
        <v/>
      </c>
      <c r="L36" s="419">
        <f>$H36</f>
        <v/>
      </c>
      <c r="M36" s="416">
        <f>$I36</f>
        <v/>
      </c>
      <c r="N36" s="494">
        <f>CONCATENATE("ETR1000V300_FR-",$D36,"-",$E36)</f>
        <v/>
      </c>
      <c r="O36" s="483">
        <f>CONCATENATE(N36,"-",P36)</f>
        <v/>
      </c>
      <c r="P36" s="489" t="inlineStr">
        <is>
          <t>02</t>
        </is>
      </c>
      <c r="Q36" s="484" t="n">
        <v>44713</v>
      </c>
      <c r="R36" s="482" t="n"/>
      <c r="S36" s="460" t="n"/>
      <c r="T36" s="460" t="n"/>
      <c r="U36" s="484" t="n"/>
      <c r="V36" s="482">
        <f>CONCATENATE("ETR1000V300_R1-",$D36,"-",$E36)</f>
        <v/>
      </c>
      <c r="W36" s="483">
        <f>CONCATENATE(V36,"-",X36)</f>
        <v/>
      </c>
      <c r="X36" s="489" t="inlineStr">
        <is>
          <t>02</t>
        </is>
      </c>
      <c r="Y36" s="509" t="n">
        <v>45809</v>
      </c>
      <c r="Z36" s="482">
        <f>V36</f>
        <v/>
      </c>
      <c r="AA36" s="460">
        <f>W36</f>
        <v/>
      </c>
      <c r="AB36" s="460">
        <f>X36</f>
        <v/>
      </c>
      <c r="AC36" s="484">
        <f>Y36</f>
        <v/>
      </c>
    </row>
    <row r="37">
      <c r="A37" s="492" t="inlineStr">
        <is>
          <t>Equipaggiamento elettrico ed elettropneumatico</t>
        </is>
      </c>
      <c r="B37" s="458">
        <f>CONCATENATE(D37,"_",E37)</f>
        <v/>
      </c>
      <c r="C37" s="476" t="inlineStr">
        <is>
          <t>pdf</t>
        </is>
      </c>
      <c r="D37" s="458" t="inlineStr">
        <is>
          <t>MR2</t>
        </is>
      </c>
      <c r="E37" s="493" t="inlineStr">
        <is>
          <t>04A</t>
        </is>
      </c>
      <c r="F37" s="405">
        <f>CONCATENATE("ETR1000V300-",$D37,"-",$E37)</f>
        <v/>
      </c>
      <c r="G37" s="488">
        <f>CONCATENATE(F37,"-",H37)</f>
        <v/>
      </c>
      <c r="H37" s="419" t="n">
        <v>10</v>
      </c>
      <c r="I37" s="416" t="n">
        <v>46113</v>
      </c>
      <c r="J37" s="405">
        <f>$F37</f>
        <v/>
      </c>
      <c r="K37" s="488">
        <f>$G37</f>
        <v/>
      </c>
      <c r="L37" s="419">
        <f>$H37</f>
        <v/>
      </c>
      <c r="M37" s="416">
        <f>$I37</f>
        <v/>
      </c>
      <c r="N37" s="494">
        <f>CONCATENATE("ETR1000V300_FR-",$D37,"-",$E37)</f>
        <v/>
      </c>
      <c r="O37" s="483">
        <f>CONCATENATE(N37,"-",P37)</f>
        <v/>
      </c>
      <c r="P37" s="489" t="inlineStr">
        <is>
          <t>05</t>
        </is>
      </c>
      <c r="Q37" s="484" t="n">
        <v>45931</v>
      </c>
      <c r="R37" s="482" t="n"/>
      <c r="S37" s="460" t="n"/>
      <c r="T37" s="460" t="n"/>
      <c r="U37" s="484" t="n"/>
      <c r="V37" s="482">
        <f>CONCATENATE("ETR1000V300_R1-",$D37,"-",$E37)</f>
        <v/>
      </c>
      <c r="W37" s="483">
        <f>CONCATENATE(V37,"-",X37)</f>
        <v/>
      </c>
      <c r="X37" s="489" t="inlineStr">
        <is>
          <t>02</t>
        </is>
      </c>
      <c r="Y37" s="509" t="n">
        <v>45809</v>
      </c>
      <c r="Z37" s="482">
        <f>V37</f>
        <v/>
      </c>
      <c r="AA37" s="460">
        <f>W37</f>
        <v/>
      </c>
      <c r="AB37" s="460">
        <f>X37</f>
        <v/>
      </c>
      <c r="AC37" s="484">
        <f>Y37</f>
        <v/>
      </c>
    </row>
    <row r="38">
      <c r="A38" s="492" t="inlineStr">
        <is>
          <t>Logica di comando</t>
        </is>
      </c>
      <c r="B38" s="458">
        <f>CONCATENATE(D38,"_",E38)</f>
        <v/>
      </c>
      <c r="C38" s="476" t="inlineStr">
        <is>
          <t>pdf</t>
        </is>
      </c>
      <c r="D38" s="458" t="inlineStr">
        <is>
          <t>MR2</t>
        </is>
      </c>
      <c r="E38" s="458" t="inlineStr">
        <is>
          <t>05A</t>
        </is>
      </c>
      <c r="F38" s="405">
        <f>CONCATENATE("ETR1000V300-",$D38,"-",$E38)</f>
        <v/>
      </c>
      <c r="G38" s="488">
        <f>CONCATENATE(F38,"-",H38)</f>
        <v/>
      </c>
      <c r="H38" s="419" t="inlineStr">
        <is>
          <t>03</t>
        </is>
      </c>
      <c r="I38" s="416" t="n">
        <v>46113</v>
      </c>
      <c r="J38" s="405">
        <f>$F38</f>
        <v/>
      </c>
      <c r="K38" s="488">
        <f>$G38</f>
        <v/>
      </c>
      <c r="L38" s="419">
        <f>$H38</f>
        <v/>
      </c>
      <c r="M38" s="416">
        <f>$I38</f>
        <v/>
      </c>
      <c r="N38" s="482">
        <f>$F38</f>
        <v/>
      </c>
      <c r="O38" s="460">
        <f>$G38</f>
        <v/>
      </c>
      <c r="P38" s="460">
        <f>$H38</f>
        <v/>
      </c>
      <c r="Q38" s="484">
        <f>$I38</f>
        <v/>
      </c>
      <c r="R38" s="482" t="n"/>
      <c r="S38" s="460" t="n"/>
      <c r="T38" s="460" t="n"/>
      <c r="U38" s="484" t="n"/>
      <c r="V38" s="482">
        <f>CONCATENATE("ETR1000V300_R1-",$D38,"-",$E38)</f>
        <v/>
      </c>
      <c r="W38" s="483">
        <f>CONCATENATE(V38,"-",X38)</f>
        <v/>
      </c>
      <c r="X38" s="489" t="inlineStr">
        <is>
          <t>03</t>
        </is>
      </c>
      <c r="Y38" s="509" t="n">
        <v>45931</v>
      </c>
      <c r="Z38" s="482">
        <f>V38</f>
        <v/>
      </c>
      <c r="AA38" s="460">
        <f>W38</f>
        <v/>
      </c>
      <c r="AB38" s="460">
        <f>X38</f>
        <v/>
      </c>
      <c r="AC38" s="484">
        <f>Y38</f>
        <v/>
      </c>
    </row>
    <row r="39">
      <c r="A39" s="492" t="inlineStr">
        <is>
          <t>Logica di comando - Nodo TCN</t>
        </is>
      </c>
      <c r="B39" s="458">
        <f>CONCATENATE(D39,"_",E39)</f>
        <v/>
      </c>
      <c r="C39" s="476" t="inlineStr">
        <is>
          <t>pdf</t>
        </is>
      </c>
      <c r="D39" s="458" t="inlineStr">
        <is>
          <t>MR2</t>
        </is>
      </c>
      <c r="E39" s="458" t="inlineStr">
        <is>
          <t>05B</t>
        </is>
      </c>
      <c r="F39" s="405">
        <f>CONCATENATE("ETR1000V300-",$D39,"-",$E39)</f>
        <v/>
      </c>
      <c r="G39" s="488">
        <f>CONCATENATE(F39,"-",H39)</f>
        <v/>
      </c>
      <c r="H39" s="409" t="inlineStr">
        <is>
          <t>02</t>
        </is>
      </c>
      <c r="I39" s="408" t="inlineStr">
        <is>
          <t>giu-17</t>
        </is>
      </c>
      <c r="J39" s="405">
        <f>$F39</f>
        <v/>
      </c>
      <c r="K39" s="488">
        <f>$G39</f>
        <v/>
      </c>
      <c r="L39" s="409">
        <f>$H39</f>
        <v/>
      </c>
      <c r="M39" s="408">
        <f>$I39</f>
        <v/>
      </c>
      <c r="N39" s="482">
        <f>$F39</f>
        <v/>
      </c>
      <c r="O39" s="460">
        <f>$G39</f>
        <v/>
      </c>
      <c r="P39" s="460">
        <f>$H39</f>
        <v/>
      </c>
      <c r="Q39" s="484">
        <f>$I39</f>
        <v/>
      </c>
      <c r="R39" s="482" t="n"/>
      <c r="S39" s="460" t="n"/>
      <c r="T39" s="460" t="n"/>
      <c r="U39" s="484" t="n"/>
      <c r="V39" s="482" t="n"/>
      <c r="W39" s="460" t="n"/>
      <c r="X39" s="460" t="n"/>
      <c r="Y39" s="461" t="n"/>
      <c r="Z39" s="482" t="n"/>
      <c r="AA39" s="460" t="n"/>
      <c r="AB39" s="460" t="n"/>
      <c r="AC39" s="484" t="n"/>
    </row>
    <row r="40">
      <c r="A40" s="492" t="inlineStr">
        <is>
          <t>Azionamento di trazione</t>
        </is>
      </c>
      <c r="B40" s="458">
        <f>CONCATENATE(D40,"_",E40)</f>
        <v/>
      </c>
      <c r="C40" s="476" t="inlineStr">
        <is>
          <t>pdf</t>
        </is>
      </c>
      <c r="D40" s="458" t="inlineStr">
        <is>
          <t>MR2</t>
        </is>
      </c>
      <c r="E40" s="458" t="inlineStr">
        <is>
          <t>06A</t>
        </is>
      </c>
      <c r="F40" s="405">
        <f>CONCATENATE("ETR1000V300-",$D40,"-",$E40)</f>
        <v/>
      </c>
      <c r="G40" s="488">
        <f>CONCATENATE(F40,"-",H40)</f>
        <v/>
      </c>
      <c r="H40" s="419" t="inlineStr">
        <is>
          <t>04</t>
        </is>
      </c>
      <c r="I40" s="416" t="n">
        <v>46113</v>
      </c>
      <c r="J40" s="405">
        <f>$F40</f>
        <v/>
      </c>
      <c r="K40" s="488">
        <f>$G40</f>
        <v/>
      </c>
      <c r="L40" s="419">
        <f>$H40</f>
        <v/>
      </c>
      <c r="M40" s="416">
        <f>$I40</f>
        <v/>
      </c>
      <c r="N40" s="482">
        <f>$F40</f>
        <v/>
      </c>
      <c r="O40" s="460">
        <f>$G40</f>
        <v/>
      </c>
      <c r="P40" s="460">
        <f>$H40</f>
        <v/>
      </c>
      <c r="Q40" s="484">
        <f>$I40</f>
        <v/>
      </c>
      <c r="R40" s="482" t="n"/>
      <c r="S40" s="460" t="n"/>
      <c r="T40" s="460" t="n"/>
      <c r="U40" s="484" t="n"/>
      <c r="V40" s="482">
        <f>CONCATENATE("ETR1000V300_R1-",$D40,"-",$E40)</f>
        <v/>
      </c>
      <c r="W40" s="483">
        <f>CONCATENATE(V40,"-",X40)</f>
        <v/>
      </c>
      <c r="X40" s="489" t="inlineStr">
        <is>
          <t>02</t>
        </is>
      </c>
      <c r="Y40" s="509" t="n">
        <v>45809</v>
      </c>
      <c r="Z40" s="482">
        <f>V40</f>
        <v/>
      </c>
      <c r="AA40" s="460">
        <f>W40</f>
        <v/>
      </c>
      <c r="AB40" s="460">
        <f>X40</f>
        <v/>
      </c>
      <c r="AC40" s="484">
        <f>Y40</f>
        <v/>
      </c>
    </row>
    <row r="41">
      <c r="A41" s="492" t="inlineStr">
        <is>
          <t>Motore di trazione</t>
        </is>
      </c>
      <c r="B41" s="458">
        <f>CONCATENATE(D41,"_",E41)</f>
        <v/>
      </c>
      <c r="C41" s="476" t="inlineStr">
        <is>
          <t>pdf</t>
        </is>
      </c>
      <c r="D41" s="458" t="inlineStr">
        <is>
          <t>MR2</t>
        </is>
      </c>
      <c r="E41" s="458" t="inlineStr">
        <is>
          <t>07A</t>
        </is>
      </c>
      <c r="F41" s="405">
        <f>CONCATENATE("ETR1000V300-",$D41,"-",$E41)</f>
        <v/>
      </c>
      <c r="G41" s="488">
        <f>CONCATENATE(F41,"-",H41)</f>
        <v/>
      </c>
      <c r="H41" s="419" t="inlineStr">
        <is>
          <t>05</t>
        </is>
      </c>
      <c r="I41" s="416" t="n">
        <v>46113</v>
      </c>
      <c r="J41" s="405">
        <f>$F41</f>
        <v/>
      </c>
      <c r="K41" s="488">
        <f>$G41</f>
        <v/>
      </c>
      <c r="L41" s="419">
        <f>$H41</f>
        <v/>
      </c>
      <c r="M41" s="416">
        <f>$I41</f>
        <v/>
      </c>
      <c r="N41" s="482">
        <f>$F41</f>
        <v/>
      </c>
      <c r="O41" s="460">
        <f>$G41</f>
        <v/>
      </c>
      <c r="P41" s="460">
        <f>$H41</f>
        <v/>
      </c>
      <c r="Q41" s="484">
        <f>$I41</f>
        <v/>
      </c>
      <c r="R41" s="482" t="n"/>
      <c r="S41" s="460" t="n"/>
      <c r="T41" s="460" t="n"/>
      <c r="U41" s="484" t="n"/>
      <c r="V41" s="482">
        <f>CONCATENATE("ETR1000V300_R1-",$D41,"-",$E41)</f>
        <v/>
      </c>
      <c r="W41" s="483">
        <f>CONCATENATE(V41,"-",X41)</f>
        <v/>
      </c>
      <c r="X41" s="489" t="inlineStr">
        <is>
          <t>03</t>
        </is>
      </c>
      <c r="Y41" s="509" t="n">
        <v>45931</v>
      </c>
      <c r="Z41" s="482">
        <f>V41</f>
        <v/>
      </c>
      <c r="AA41" s="460">
        <f>W41</f>
        <v/>
      </c>
      <c r="AB41" s="460">
        <f>X41</f>
        <v/>
      </c>
      <c r="AC41" s="484">
        <f>Y41</f>
        <v/>
      </c>
    </row>
    <row r="42">
      <c r="A42" s="492" t="inlineStr">
        <is>
          <t>Passaggi esterni</t>
        </is>
      </c>
      <c r="B42" s="458">
        <f>CONCATENATE(D42,"_",E42)</f>
        <v/>
      </c>
      <c r="C42" s="476" t="inlineStr">
        <is>
          <t>pdf</t>
        </is>
      </c>
      <c r="D42" s="458" t="inlineStr">
        <is>
          <t>MR2</t>
        </is>
      </c>
      <c r="E42" s="458" t="inlineStr">
        <is>
          <t>08A</t>
        </is>
      </c>
      <c r="F42" s="405">
        <f>CONCATENATE("ETR1000V300-",$D42,"-",$E42)</f>
        <v/>
      </c>
      <c r="G42" s="488">
        <f>CONCATENATE(F42,"-",H42)</f>
        <v/>
      </c>
      <c r="H42" s="419" t="inlineStr">
        <is>
          <t>04</t>
        </is>
      </c>
      <c r="I42" s="416" t="n">
        <v>46113</v>
      </c>
      <c r="J42" s="405">
        <f>$F42</f>
        <v/>
      </c>
      <c r="K42" s="488">
        <f>$G42</f>
        <v/>
      </c>
      <c r="L42" s="419">
        <f>$H42</f>
        <v/>
      </c>
      <c r="M42" s="416">
        <f>$I42</f>
        <v/>
      </c>
      <c r="N42" s="482">
        <f>$F42</f>
        <v/>
      </c>
      <c r="O42" s="460">
        <f>$G42</f>
        <v/>
      </c>
      <c r="P42" s="460">
        <f>$H42</f>
        <v/>
      </c>
      <c r="Q42" s="484">
        <f>$I42</f>
        <v/>
      </c>
      <c r="R42" s="482" t="n"/>
      <c r="S42" s="460" t="n"/>
      <c r="T42" s="460" t="n"/>
      <c r="U42" s="484" t="n"/>
      <c r="V42" s="482">
        <f>CONCATENATE("ETR1000V300_R1-",$D42,"-",$E42)</f>
        <v/>
      </c>
      <c r="W42" s="483">
        <f>CONCATENATE(V42,"-",X42)</f>
        <v/>
      </c>
      <c r="X42" s="489" t="inlineStr">
        <is>
          <t>03</t>
        </is>
      </c>
      <c r="Y42" s="509" t="n">
        <v>45931</v>
      </c>
      <c r="Z42" s="482">
        <f>V42</f>
        <v/>
      </c>
      <c r="AA42" s="460">
        <f>W42</f>
        <v/>
      </c>
      <c r="AB42" s="460">
        <f>X42</f>
        <v/>
      </c>
      <c r="AC42" s="484">
        <f>Y42</f>
        <v/>
      </c>
    </row>
    <row r="43">
      <c r="A43" s="492" t="inlineStr">
        <is>
          <t>Sottosistema di climatizzazione</t>
        </is>
      </c>
      <c r="B43" s="458">
        <f>CONCATENATE(D43,"_",E43)</f>
        <v/>
      </c>
      <c r="C43" s="476" t="inlineStr">
        <is>
          <t>pdf</t>
        </is>
      </c>
      <c r="D43" s="458" t="inlineStr">
        <is>
          <t>MR2</t>
        </is>
      </c>
      <c r="E43" s="458" t="inlineStr">
        <is>
          <t>09A</t>
        </is>
      </c>
      <c r="F43" s="405">
        <f>CONCATENATE("ETR1000V300-",$D43,"-",$E43)</f>
        <v/>
      </c>
      <c r="G43" s="488">
        <f>CONCATENATE(F43,"-",H43)</f>
        <v/>
      </c>
      <c r="H43" s="419" t="inlineStr">
        <is>
          <t>04</t>
        </is>
      </c>
      <c r="I43" s="416" t="n">
        <v>46113</v>
      </c>
      <c r="J43" s="405">
        <f>$F43</f>
        <v/>
      </c>
      <c r="K43" s="488">
        <f>$G43</f>
        <v/>
      </c>
      <c r="L43" s="419">
        <f>$H43</f>
        <v/>
      </c>
      <c r="M43" s="416">
        <f>$I43</f>
        <v/>
      </c>
      <c r="N43" s="482">
        <f>$F43</f>
        <v/>
      </c>
      <c r="O43" s="460">
        <f>$G43</f>
        <v/>
      </c>
      <c r="P43" s="460">
        <f>$H43</f>
        <v/>
      </c>
      <c r="Q43" s="484">
        <f>$I43</f>
        <v/>
      </c>
      <c r="R43" s="482" t="n"/>
      <c r="S43" s="460" t="n"/>
      <c r="T43" s="460" t="n"/>
      <c r="U43" s="484" t="n"/>
      <c r="V43" s="482">
        <f>CONCATENATE("ETR1000V300_R1-",$D43,"-",$E43)</f>
        <v/>
      </c>
      <c r="W43" s="483">
        <f>CONCATENATE(V43,"-",X43)</f>
        <v/>
      </c>
      <c r="X43" s="489" t="inlineStr">
        <is>
          <t>03</t>
        </is>
      </c>
      <c r="Y43" s="509" t="n">
        <v>45931</v>
      </c>
      <c r="Z43" s="482">
        <f>V43</f>
        <v/>
      </c>
      <c r="AA43" s="460">
        <f>W43</f>
        <v/>
      </c>
      <c r="AB43" s="460">
        <f>X43</f>
        <v/>
      </c>
      <c r="AC43" s="484">
        <f>Y43</f>
        <v/>
      </c>
    </row>
    <row r="44">
      <c r="A44" s="492" t="inlineStr">
        <is>
          <t>Convertitore servizi ausiliari e caricabatterie</t>
        </is>
      </c>
      <c r="B44" s="458">
        <f>CONCATENATE(D44,"_",E44)</f>
        <v/>
      </c>
      <c r="C44" s="476" t="inlineStr">
        <is>
          <t>pdf</t>
        </is>
      </c>
      <c r="D44" s="458" t="inlineStr">
        <is>
          <t>MR2</t>
        </is>
      </c>
      <c r="E44" s="458" t="inlineStr">
        <is>
          <t>11A</t>
        </is>
      </c>
      <c r="F44" s="405">
        <f>CONCATENATE("ETR1000V300-",$D44,"-",$E44)</f>
        <v/>
      </c>
      <c r="G44" s="488">
        <f>CONCATENATE(F44,"-",H44)</f>
        <v/>
      </c>
      <c r="H44" s="419" t="inlineStr">
        <is>
          <t>03</t>
        </is>
      </c>
      <c r="I44" s="416" t="n">
        <v>46113</v>
      </c>
      <c r="J44" s="405">
        <f>$F44</f>
        <v/>
      </c>
      <c r="K44" s="488">
        <f>$G44</f>
        <v/>
      </c>
      <c r="L44" s="419">
        <f>$H44</f>
        <v/>
      </c>
      <c r="M44" s="416">
        <f>$I44</f>
        <v/>
      </c>
      <c r="N44" s="482">
        <f>$F44</f>
        <v/>
      </c>
      <c r="O44" s="460">
        <f>$G44</f>
        <v/>
      </c>
      <c r="P44" s="460">
        <f>$H44</f>
        <v/>
      </c>
      <c r="Q44" s="484">
        <f>$I44</f>
        <v/>
      </c>
      <c r="R44" s="482" t="n"/>
      <c r="S44" s="460" t="n"/>
      <c r="T44" s="460" t="n"/>
      <c r="U44" s="484" t="n"/>
      <c r="V44" s="482">
        <f>CONCATENATE("ETR1000V300_R1-",$D44,"-",$E44)</f>
        <v/>
      </c>
      <c r="W44" s="483">
        <f>CONCATENATE(V44,"-",X44)</f>
        <v/>
      </c>
      <c r="X44" s="489" t="inlineStr">
        <is>
          <t>02</t>
        </is>
      </c>
      <c r="Y44" s="509" t="n">
        <v>45809</v>
      </c>
      <c r="Z44" s="482">
        <f>V44</f>
        <v/>
      </c>
      <c r="AA44" s="460">
        <f>W44</f>
        <v/>
      </c>
      <c r="AB44" s="460">
        <f>X44</f>
        <v/>
      </c>
      <c r="AC44" s="484">
        <f>Y44</f>
        <v/>
      </c>
    </row>
    <row r="45">
      <c r="A45" s="492" t="inlineStr">
        <is>
          <t>Sottosistema diagnostica di bordo</t>
        </is>
      </c>
      <c r="B45" s="458">
        <f>CONCATENATE(D45,"_",E45)</f>
        <v/>
      </c>
      <c r="C45" s="476" t="inlineStr">
        <is>
          <t>pdf</t>
        </is>
      </c>
      <c r="D45" s="458" t="inlineStr">
        <is>
          <t>MR2</t>
        </is>
      </c>
      <c r="E45" s="458" t="inlineStr">
        <is>
          <t>13A</t>
        </is>
      </c>
      <c r="F45" s="405">
        <f>CONCATENATE("ETR1000V300-",$D45,"-",$E45)</f>
        <v/>
      </c>
      <c r="G45" s="488">
        <f>CONCATENATE(F45,"-",H45)</f>
        <v/>
      </c>
      <c r="H45" s="419" t="inlineStr">
        <is>
          <t>03</t>
        </is>
      </c>
      <c r="I45" s="416" t="n">
        <v>46113</v>
      </c>
      <c r="J45" s="405">
        <f>$F45</f>
        <v/>
      </c>
      <c r="K45" s="488">
        <f>$G45</f>
        <v/>
      </c>
      <c r="L45" s="419">
        <f>$H45</f>
        <v/>
      </c>
      <c r="M45" s="416">
        <f>$I45</f>
        <v/>
      </c>
      <c r="N45" s="482">
        <f>$F45</f>
        <v/>
      </c>
      <c r="O45" s="460">
        <f>$G45</f>
        <v/>
      </c>
      <c r="P45" s="460">
        <f>$H45</f>
        <v/>
      </c>
      <c r="Q45" s="484">
        <f>$I45</f>
        <v/>
      </c>
      <c r="R45" s="482" t="n"/>
      <c r="S45" s="460" t="n"/>
      <c r="T45" s="460" t="n"/>
      <c r="U45" s="484" t="n"/>
      <c r="V45" s="482">
        <f>CONCATENATE("ETR1000V300_R1-",$D45,"-",$E45)</f>
        <v/>
      </c>
      <c r="W45" s="483">
        <f>CONCATENATE(V45,"-",X45)</f>
        <v/>
      </c>
      <c r="X45" s="489" t="inlineStr">
        <is>
          <t>03</t>
        </is>
      </c>
      <c r="Y45" s="509" t="n">
        <v>45931</v>
      </c>
      <c r="Z45" s="482">
        <f>V45</f>
        <v/>
      </c>
      <c r="AA45" s="460">
        <f>W45</f>
        <v/>
      </c>
      <c r="AB45" s="460">
        <f>X45</f>
        <v/>
      </c>
      <c r="AC45" s="484">
        <f>Y45</f>
        <v/>
      </c>
    </row>
    <row r="46">
      <c r="A46" s="492" t="inlineStr">
        <is>
          <t>Allestimenti interni</t>
        </is>
      </c>
      <c r="B46" s="458">
        <f>CONCATENATE(D46,"_",E46)</f>
        <v/>
      </c>
      <c r="C46" s="476" t="inlineStr">
        <is>
          <t>pdf</t>
        </is>
      </c>
      <c r="D46" s="458" t="inlineStr">
        <is>
          <t>MR2</t>
        </is>
      </c>
      <c r="E46" s="458" t="inlineStr">
        <is>
          <t>14A</t>
        </is>
      </c>
      <c r="F46" s="405">
        <f>CONCATENATE("ETR1000V300-",$D46,"-",$E46)</f>
        <v/>
      </c>
      <c r="G46" s="488">
        <f>CONCATENATE(F46,"-",H46)</f>
        <v/>
      </c>
      <c r="H46" s="419" t="inlineStr">
        <is>
          <t>05</t>
        </is>
      </c>
      <c r="I46" s="416" t="n">
        <v>46113</v>
      </c>
      <c r="J46" s="405">
        <f>$F46</f>
        <v/>
      </c>
      <c r="K46" s="488">
        <f>$G46</f>
        <v/>
      </c>
      <c r="L46" s="419">
        <f>$H46</f>
        <v/>
      </c>
      <c r="M46" s="416">
        <f>$I46</f>
        <v/>
      </c>
      <c r="N46" s="482">
        <f>$F46</f>
        <v/>
      </c>
      <c r="O46" s="460">
        <f>$G46</f>
        <v/>
      </c>
      <c r="P46" s="460">
        <f>$H46</f>
        <v/>
      </c>
      <c r="Q46" s="484">
        <f>$I46</f>
        <v/>
      </c>
      <c r="R46" s="482" t="n"/>
      <c r="S46" s="460" t="n"/>
      <c r="T46" s="460" t="n"/>
      <c r="U46" s="484" t="n"/>
      <c r="V46" s="482">
        <f>CONCATENATE("ETR1000V300_R1-",$D46,"-",$E46)</f>
        <v/>
      </c>
      <c r="W46" s="483">
        <f>CONCATENATE(V46,"-",X46)</f>
        <v/>
      </c>
      <c r="X46" s="489" t="inlineStr">
        <is>
          <t>02</t>
        </is>
      </c>
      <c r="Y46" s="509" t="n">
        <v>45809</v>
      </c>
      <c r="Z46" s="482">
        <f>V46</f>
        <v/>
      </c>
      <c r="AA46" s="460">
        <f>W46</f>
        <v/>
      </c>
      <c r="AB46" s="460">
        <f>X46</f>
        <v/>
      </c>
      <c r="AC46" s="484">
        <f>Y46</f>
        <v/>
      </c>
    </row>
    <row r="47">
      <c r="A47" s="492" t="inlineStr">
        <is>
          <t>Allestimenti interni - Arredi comparto e cabina di guida</t>
        </is>
      </c>
      <c r="B47" s="458">
        <f>CONCATENATE(D47,"_",E47)</f>
        <v/>
      </c>
      <c r="C47" s="476" t="inlineStr">
        <is>
          <t>pdf</t>
        </is>
      </c>
      <c r="D47" s="458" t="inlineStr">
        <is>
          <t>MR2</t>
        </is>
      </c>
      <c r="E47" s="458" t="inlineStr">
        <is>
          <t>14B</t>
        </is>
      </c>
      <c r="F47" s="405" t="inlineStr">
        <is>
          <t>\</t>
        </is>
      </c>
      <c r="G47" s="488" t="inlineStr">
        <is>
          <t>\</t>
        </is>
      </c>
      <c r="H47" s="409" t="inlineStr">
        <is>
          <t>\</t>
        </is>
      </c>
      <c r="I47" s="502" t="inlineStr">
        <is>
          <t>\</t>
        </is>
      </c>
      <c r="J47" s="405">
        <f>$F47</f>
        <v/>
      </c>
      <c r="K47" s="488">
        <f>$G47</f>
        <v/>
      </c>
      <c r="L47" s="409">
        <f>$H47</f>
        <v/>
      </c>
      <c r="M47" s="502">
        <f>$I47</f>
        <v/>
      </c>
      <c r="N47" s="482">
        <f>$F47</f>
        <v/>
      </c>
      <c r="O47" s="460">
        <f>$G47</f>
        <v/>
      </c>
      <c r="P47" s="460">
        <f>$H47</f>
        <v/>
      </c>
      <c r="Q47" s="484">
        <f>$I47</f>
        <v/>
      </c>
      <c r="R47" s="482" t="n"/>
      <c r="S47" s="460" t="n"/>
      <c r="T47" s="460" t="n"/>
      <c r="U47" s="484" t="n"/>
      <c r="V47" s="482">
        <f>CONCATENATE("ETR1000V300_R1-",$D47,"-",$E47)</f>
        <v/>
      </c>
      <c r="W47" s="483">
        <f>CONCATENATE(V47,"-",X47)</f>
        <v/>
      </c>
      <c r="X47" s="489" t="inlineStr">
        <is>
          <t>02</t>
        </is>
      </c>
      <c r="Y47" s="509" t="n">
        <v>45809</v>
      </c>
      <c r="Z47" s="482">
        <f>V47</f>
        <v/>
      </c>
      <c r="AA47" s="460">
        <f>W47</f>
        <v/>
      </c>
      <c r="AB47" s="460">
        <f>X47</f>
        <v/>
      </c>
      <c r="AC47" s="484">
        <f>Y47</f>
        <v/>
      </c>
    </row>
    <row r="48">
      <c r="A48" s="492" t="inlineStr">
        <is>
          <t>Servizi Generali di Bordo - Toilette</t>
        </is>
      </c>
      <c r="B48" s="458">
        <f>CONCATENATE(D48,"_",E48)</f>
        <v/>
      </c>
      <c r="C48" s="476" t="inlineStr">
        <is>
          <t>pdf</t>
        </is>
      </c>
      <c r="D48" s="458" t="inlineStr">
        <is>
          <t>MR2</t>
        </is>
      </c>
      <c r="E48" s="458" t="inlineStr">
        <is>
          <t>15A</t>
        </is>
      </c>
      <c r="F48" s="405">
        <f>CONCATENATE("ETR1000V300-",$D48,"-",$E48)</f>
        <v/>
      </c>
      <c r="G48" s="488">
        <f>CONCATENATE(F48,"-",H48)</f>
        <v/>
      </c>
      <c r="H48" s="419" t="inlineStr">
        <is>
          <t>05</t>
        </is>
      </c>
      <c r="I48" s="416" t="n">
        <v>46113</v>
      </c>
      <c r="J48" s="405">
        <f>$F48</f>
        <v/>
      </c>
      <c r="K48" s="488">
        <f>$G48</f>
        <v/>
      </c>
      <c r="L48" s="419">
        <f>$H48</f>
        <v/>
      </c>
      <c r="M48" s="416">
        <f>$I48</f>
        <v/>
      </c>
      <c r="N48" s="482">
        <f>$F48</f>
        <v/>
      </c>
      <c r="O48" s="460">
        <f>$G48</f>
        <v/>
      </c>
      <c r="P48" s="460">
        <f>$H48</f>
        <v/>
      </c>
      <c r="Q48" s="484">
        <f>$I48</f>
        <v/>
      </c>
      <c r="R48" s="482" t="n"/>
      <c r="S48" s="460" t="n"/>
      <c r="T48" s="460" t="n"/>
      <c r="U48" s="484" t="n"/>
      <c r="V48" s="482">
        <f>CONCATENATE("ETR1000V300_R1-",$D48,"-",$E48)</f>
        <v/>
      </c>
      <c r="W48" s="483">
        <f>CONCATENATE(V48,"-",X48)</f>
        <v/>
      </c>
      <c r="X48" s="489" t="inlineStr">
        <is>
          <t>01</t>
        </is>
      </c>
      <c r="Y48" s="509" t="n">
        <v>45809</v>
      </c>
      <c r="Z48" s="482">
        <f>V48</f>
        <v/>
      </c>
      <c r="AA48" s="460">
        <f>W48</f>
        <v/>
      </c>
      <c r="AB48" s="460">
        <f>X48</f>
        <v/>
      </c>
      <c r="AC48" s="484">
        <f>Y48</f>
        <v/>
      </c>
    </row>
    <row r="49">
      <c r="A49" s="492" t="inlineStr">
        <is>
          <t>Servizi Generali di Bordo - Bar Bistrot</t>
        </is>
      </c>
      <c r="B49" s="458">
        <f>CONCATENATE(D49,"_",E49)</f>
        <v/>
      </c>
      <c r="C49" s="476" t="inlineStr">
        <is>
          <t>pdf</t>
        </is>
      </c>
      <c r="D49" s="458" t="inlineStr">
        <is>
          <t>MR2</t>
        </is>
      </c>
      <c r="E49" s="458" t="inlineStr">
        <is>
          <t>15B</t>
        </is>
      </c>
      <c r="F49" s="405" t="inlineStr">
        <is>
          <t>\</t>
        </is>
      </c>
      <c r="G49" s="488" t="inlineStr">
        <is>
          <t>\</t>
        </is>
      </c>
      <c r="H49" s="409" t="inlineStr">
        <is>
          <t>\</t>
        </is>
      </c>
      <c r="I49" s="502" t="inlineStr">
        <is>
          <t>\</t>
        </is>
      </c>
      <c r="J49" s="405">
        <f>$F49</f>
        <v/>
      </c>
      <c r="K49" s="488">
        <f>$G49</f>
        <v/>
      </c>
      <c r="L49" s="419">
        <f>$H49</f>
        <v/>
      </c>
      <c r="M49" s="416">
        <f>$I49</f>
        <v/>
      </c>
      <c r="N49" s="482">
        <f>$F49</f>
        <v/>
      </c>
      <c r="O49" s="460">
        <f>$G49</f>
        <v/>
      </c>
      <c r="P49" s="460">
        <f>$H49</f>
        <v/>
      </c>
      <c r="Q49" s="484">
        <f>$I49</f>
        <v/>
      </c>
      <c r="R49" s="482" t="n"/>
      <c r="S49" s="460" t="n"/>
      <c r="T49" s="460" t="n"/>
      <c r="U49" s="484" t="n"/>
      <c r="V49" s="482">
        <f>CONCATENATE("ETR1000V300_R1-",$D49,"-",$E49)</f>
        <v/>
      </c>
      <c r="W49" s="483">
        <f>CONCATENATE(V49,"-",X49)</f>
        <v/>
      </c>
      <c r="X49" s="489" t="inlineStr">
        <is>
          <t>02</t>
        </is>
      </c>
      <c r="Y49" s="509" t="n">
        <v>45809</v>
      </c>
      <c r="Z49" s="482">
        <f>V49</f>
        <v/>
      </c>
      <c r="AA49" s="460">
        <f>W49</f>
        <v/>
      </c>
      <c r="AB49" s="460">
        <f>X49</f>
        <v/>
      </c>
      <c r="AC49" s="484">
        <f>Y49</f>
        <v/>
      </c>
    </row>
    <row r="50">
      <c r="A50" s="492" t="inlineStr">
        <is>
          <t>Documentazione circuiti elettronici</t>
        </is>
      </c>
      <c r="B50" s="458">
        <f>CONCATENATE(D50,"_",E50)</f>
        <v/>
      </c>
      <c r="C50" s="476" t="inlineStr">
        <is>
          <t>pdf</t>
        </is>
      </c>
      <c r="D50" s="458" t="inlineStr">
        <is>
          <t>MR2</t>
        </is>
      </c>
      <c r="E50" s="458" t="inlineStr">
        <is>
          <t>17A</t>
        </is>
      </c>
      <c r="F50" s="405">
        <f>CONCATENATE("ETR1000V300-",$D50,"-",$E50)</f>
        <v/>
      </c>
      <c r="G50" s="488">
        <f>CONCATENATE(F50,"-",H50)</f>
        <v/>
      </c>
      <c r="H50" s="409" t="inlineStr">
        <is>
          <t>00</t>
        </is>
      </c>
      <c r="I50" s="407" t="n">
        <v>41913</v>
      </c>
      <c r="J50" s="405">
        <f>$F50</f>
        <v/>
      </c>
      <c r="K50" s="488">
        <f>$G50</f>
        <v/>
      </c>
      <c r="L50" s="409">
        <f>$H50</f>
        <v/>
      </c>
      <c r="M50" s="407">
        <f>$I50</f>
        <v/>
      </c>
      <c r="N50" s="482">
        <f>$F50</f>
        <v/>
      </c>
      <c r="O50" s="460">
        <f>$G50</f>
        <v/>
      </c>
      <c r="P50" s="460">
        <f>$H50</f>
        <v/>
      </c>
      <c r="Q50" s="484">
        <f>$I50</f>
        <v/>
      </c>
      <c r="R50" s="482" t="n"/>
      <c r="S50" s="460" t="n"/>
      <c r="T50" s="460" t="n"/>
      <c r="U50" s="484" t="n"/>
      <c r="V50" s="490" t="n"/>
      <c r="W50" s="489" t="n"/>
      <c r="X50" s="489" t="n"/>
      <c r="Y50" s="498" t="n"/>
      <c r="Z50" s="490" t="n"/>
      <c r="AA50" s="489" t="n"/>
      <c r="AB50" s="489" t="n"/>
      <c r="AC50" s="491">
        <f>Y50</f>
        <v/>
      </c>
    </row>
    <row r="51">
      <c r="A51" s="492" t="inlineStr">
        <is>
          <t>Messa in servizio (tomo 1 di 5)</t>
        </is>
      </c>
      <c r="B51" s="458">
        <f>CONCATENATE(D51,"_",E51)</f>
        <v/>
      </c>
      <c r="C51" s="476" t="inlineStr">
        <is>
          <t>pdf</t>
        </is>
      </c>
      <c r="D51" s="458" t="inlineStr">
        <is>
          <t>MR2</t>
        </is>
      </c>
      <c r="E51" s="458" t="inlineStr">
        <is>
          <t>30A</t>
        </is>
      </c>
      <c r="F51" s="405">
        <f>CONCATENATE("ETR1000V300-",$D51,"-",$E51)</f>
        <v/>
      </c>
      <c r="G51" s="488">
        <f>CONCATENATE(F51,"-",H51)</f>
        <v/>
      </c>
      <c r="H51" s="409" t="inlineStr">
        <is>
          <t>01</t>
        </is>
      </c>
      <c r="I51" s="408" t="inlineStr">
        <is>
          <t>mag-16</t>
        </is>
      </c>
      <c r="J51" s="405">
        <f>$F51</f>
        <v/>
      </c>
      <c r="K51" s="488">
        <f>$G51</f>
        <v/>
      </c>
      <c r="L51" s="409">
        <f>$H51</f>
        <v/>
      </c>
      <c r="M51" s="408">
        <f>$I51</f>
        <v/>
      </c>
      <c r="N51" s="482">
        <f>$F51</f>
        <v/>
      </c>
      <c r="O51" s="460">
        <f>$G51</f>
        <v/>
      </c>
      <c r="P51" s="460">
        <f>$H51</f>
        <v/>
      </c>
      <c r="Q51" s="484">
        <f>$I51</f>
        <v/>
      </c>
      <c r="R51" s="482" t="n"/>
      <c r="S51" s="460" t="n"/>
      <c r="T51" s="460" t="n"/>
      <c r="U51" s="484" t="n"/>
      <c r="V51" s="482">
        <f>CONCATENATE("ETR1000V300_R1-",$D51,"-",$E51)</f>
        <v/>
      </c>
      <c r="W51" s="483">
        <f>CONCATENATE(V51,"-",X51)</f>
        <v/>
      </c>
      <c r="X51" s="489" t="inlineStr">
        <is>
          <t>02</t>
        </is>
      </c>
      <c r="Y51" s="509" t="n">
        <v>45627</v>
      </c>
      <c r="Z51" s="482">
        <f>V51</f>
        <v/>
      </c>
      <c r="AA51" s="460">
        <f>W51</f>
        <v/>
      </c>
      <c r="AB51" s="460">
        <f>X51</f>
        <v/>
      </c>
      <c r="AC51" s="484">
        <f>Y51</f>
        <v/>
      </c>
    </row>
    <row r="52">
      <c r="A52" s="492" t="inlineStr">
        <is>
          <t>Cassa veicoli di estremità</t>
        </is>
      </c>
      <c r="B52" s="458">
        <f>CONCATENATE(D52,"_",E52)</f>
        <v/>
      </c>
      <c r="C52" s="476"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494">
        <f>CONCATENATE("ETR1000V300_FR-",$D52,"-",$E52)</f>
        <v/>
      </c>
      <c r="O52" s="483" t="inlineStr">
        <is>
          <t>2.05.1232</t>
        </is>
      </c>
      <c r="P52" s="460" t="inlineStr">
        <is>
          <t>\</t>
        </is>
      </c>
      <c r="Q52" s="484" t="n">
        <v>44136</v>
      </c>
      <c r="R52" s="482" t="n"/>
      <c r="S52" s="460" t="n"/>
      <c r="T52" s="460" t="n"/>
      <c r="U52" s="484" t="n"/>
      <c r="V52" s="494">
        <f>CONCATENATE("ETR1000V300_R1-",$D52,"-",$E52)</f>
        <v/>
      </c>
      <c r="W52" s="489" t="inlineStr">
        <is>
          <t>2.05.1397</t>
        </is>
      </c>
      <c r="X52" s="489" t="inlineStr">
        <is>
          <t>01</t>
        </is>
      </c>
      <c r="Y52" s="484" t="n">
        <v>45901</v>
      </c>
      <c r="Z52" s="490">
        <f>V52</f>
        <v/>
      </c>
      <c r="AA52" s="489">
        <f>W52</f>
        <v/>
      </c>
      <c r="AB52" s="489">
        <f>X52</f>
        <v/>
      </c>
      <c r="AC52" s="491">
        <f>Y52</f>
        <v/>
      </c>
    </row>
    <row r="53">
      <c r="A53" s="492" t="inlineStr">
        <is>
          <t>Cassa veicoli intermedi</t>
        </is>
      </c>
      <c r="B53" s="458">
        <f>CONCATENATE(D53,"_",E53)</f>
        <v/>
      </c>
      <c r="C53" s="476"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494">
        <f>CONCATENATE("ETR1000V300_FR-",$D53,"-",$E53)</f>
        <v/>
      </c>
      <c r="O53" s="483" t="inlineStr">
        <is>
          <t>2.05.1233</t>
        </is>
      </c>
      <c r="P53" s="460" t="inlineStr">
        <is>
          <t>\</t>
        </is>
      </c>
      <c r="Q53" s="484" t="n">
        <v>44136</v>
      </c>
      <c r="R53" s="482" t="n"/>
      <c r="S53" s="460" t="n"/>
      <c r="T53" s="460" t="n"/>
      <c r="U53" s="484" t="n"/>
      <c r="V53" s="494">
        <f>CONCATENATE("ETR1000V300_R1-",$D53,"-",$E53)</f>
        <v/>
      </c>
      <c r="W53" s="489" t="inlineStr">
        <is>
          <t>2.05.1398</t>
        </is>
      </c>
      <c r="X53" s="489" t="inlineStr">
        <is>
          <t>01</t>
        </is>
      </c>
      <c r="Y53" s="484" t="n">
        <v>45901</v>
      </c>
      <c r="Z53" s="490">
        <f>V53</f>
        <v/>
      </c>
      <c r="AA53" s="489">
        <f>W53</f>
        <v/>
      </c>
      <c r="AB53" s="489">
        <f>X53</f>
        <v/>
      </c>
      <c r="AC53" s="491">
        <f>Y53</f>
        <v/>
      </c>
    </row>
    <row r="54">
      <c r="A54" s="492" t="inlineStr">
        <is>
          <t>Accoppiatore automatico-asta semipermanente</t>
        </is>
      </c>
      <c r="B54" s="458">
        <f>CONCATENATE(D54,"_",E54)</f>
        <v/>
      </c>
      <c r="C54" s="476"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82">
        <f>F54</f>
        <v/>
      </c>
      <c r="O54" s="460">
        <f>G54</f>
        <v/>
      </c>
      <c r="P54" s="460">
        <f>H54</f>
        <v/>
      </c>
      <c r="Q54" s="461">
        <f>I54</f>
        <v/>
      </c>
      <c r="R54" s="482" t="n"/>
      <c r="S54" s="460" t="n"/>
      <c r="T54" s="460" t="n"/>
      <c r="U54" s="484" t="n"/>
      <c r="V54" s="482" t="n"/>
      <c r="W54" s="460" t="n"/>
      <c r="X54" s="460" t="n"/>
      <c r="Y54" s="484" t="n"/>
      <c r="Z54" s="482" t="n"/>
      <c r="AA54" s="460" t="n"/>
      <c r="AB54" s="460" t="n"/>
      <c r="AC54" s="484" t="n"/>
    </row>
    <row r="55">
      <c r="A55" s="492" t="inlineStr">
        <is>
          <t>Musetto mobile</t>
        </is>
      </c>
      <c r="B55" s="458">
        <f>CONCATENATE(D55,"_",E55)</f>
        <v/>
      </c>
      <c r="C55" s="476"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494">
        <f>CONCATENATE("ETR1000V300_FR-",$D55,"-",$E55)</f>
        <v/>
      </c>
      <c r="O55" s="483" t="inlineStr">
        <is>
          <t>2.05.1234</t>
        </is>
      </c>
      <c r="P55" s="460" t="inlineStr">
        <is>
          <t>\</t>
        </is>
      </c>
      <c r="Q55" s="484" t="n">
        <v>44136</v>
      </c>
      <c r="R55" s="482" t="n"/>
      <c r="S55" s="460" t="n"/>
      <c r="T55" s="460" t="n"/>
      <c r="U55" s="484" t="n"/>
      <c r="V55" s="494">
        <f>CONCATENATE("ETR1000V300_R1-",$D55,"-",$E55)</f>
        <v/>
      </c>
      <c r="W55" s="489" t="inlineStr">
        <is>
          <t>2.05.1400</t>
        </is>
      </c>
      <c r="X55" s="489" t="inlineStr">
        <is>
          <t>01</t>
        </is>
      </c>
      <c r="Y55" s="484" t="n">
        <v>45931</v>
      </c>
      <c r="Z55" s="490">
        <f>V55</f>
        <v/>
      </c>
      <c r="AA55" s="489">
        <f>W55</f>
        <v/>
      </c>
      <c r="AB55" s="489">
        <f>X55</f>
        <v/>
      </c>
      <c r="AC55" s="491">
        <f>Y55</f>
        <v/>
      </c>
    </row>
    <row r="56">
      <c r="A56" s="492" t="inlineStr">
        <is>
          <t>Carrello</t>
        </is>
      </c>
      <c r="B56" s="458">
        <f>CONCATENATE(D56,"_",E56)</f>
        <v/>
      </c>
      <c r="C56" s="476"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494">
        <f>CONCATENATE("ETR1000V300_FR-",$D56,"-",$E56)</f>
        <v/>
      </c>
      <c r="O56" s="483" t="inlineStr">
        <is>
          <t>2.05.1235</t>
        </is>
      </c>
      <c r="P56" s="460" t="inlineStr">
        <is>
          <t>\</t>
        </is>
      </c>
      <c r="Q56" s="484" t="n">
        <v>43617</v>
      </c>
      <c r="R56" s="482" t="n"/>
      <c r="S56" s="460" t="n"/>
      <c r="T56" s="460" t="n"/>
      <c r="U56" s="484" t="n"/>
      <c r="V56" s="494">
        <f>CONCATENATE("ETR1000V300_R1-",$D56,"-",$E56)</f>
        <v/>
      </c>
      <c r="W56" s="489" t="inlineStr">
        <is>
          <t>2.05.1401</t>
        </is>
      </c>
      <c r="X56" s="489" t="inlineStr">
        <is>
          <t>02</t>
        </is>
      </c>
      <c r="Y56" s="484" t="n">
        <v>45931</v>
      </c>
      <c r="Z56" s="490">
        <f>V56</f>
        <v/>
      </c>
      <c r="AA56" s="489">
        <f>W56</f>
        <v/>
      </c>
      <c r="AB56" s="489">
        <f>X56</f>
        <v/>
      </c>
      <c r="AC56" s="491">
        <f>Y56</f>
        <v/>
      </c>
    </row>
    <row r="57">
      <c r="A57" s="492" t="inlineStr">
        <is>
          <t>Impianto pneumatico e freno - sistemazioni</t>
        </is>
      </c>
      <c r="B57" s="458">
        <f>CONCATENATE(D57,"_",E57)</f>
        <v/>
      </c>
      <c r="C57" s="476"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494">
        <f>CONCATENATE("ETR1000V300_FR-",$D57,"-",$E57)</f>
        <v/>
      </c>
      <c r="O57" s="483" t="inlineStr">
        <is>
          <t>2.05.1236</t>
        </is>
      </c>
      <c r="P57" s="460" t="inlineStr">
        <is>
          <t>\</t>
        </is>
      </c>
      <c r="Q57" s="484" t="n">
        <v>43922</v>
      </c>
      <c r="R57" s="482" t="n"/>
      <c r="S57" s="460" t="n"/>
      <c r="T57" s="460" t="n"/>
      <c r="U57" s="484" t="n"/>
      <c r="V57" s="494">
        <f>CONCATENATE("ETR1000V300_R1-",$D57,"-",$E57)</f>
        <v/>
      </c>
      <c r="W57" s="489" t="inlineStr">
        <is>
          <t>2.05.1402</t>
        </is>
      </c>
      <c r="X57" s="489" t="inlineStr">
        <is>
          <t>02</t>
        </is>
      </c>
      <c r="Y57" s="484" t="n">
        <v>45931</v>
      </c>
      <c r="Z57" s="490">
        <f>V57</f>
        <v/>
      </c>
      <c r="AA57" s="489">
        <f>W57</f>
        <v/>
      </c>
      <c r="AB57" s="489">
        <f>X57</f>
        <v/>
      </c>
      <c r="AC57" s="491">
        <f>Y57</f>
        <v/>
      </c>
    </row>
    <row r="58">
      <c r="A58" s="492" t="inlineStr">
        <is>
          <t>Impianto pneumatico e freno - componenti</t>
        </is>
      </c>
      <c r="B58" s="458">
        <f>CONCATENATE(D58,"_",E58)</f>
        <v/>
      </c>
      <c r="C58" s="476"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494">
        <f>CONCATENATE("ETR1000V300_FR-",$D58,"-",$E58)</f>
        <v/>
      </c>
      <c r="O58" s="483" t="inlineStr">
        <is>
          <t>2.05.1237</t>
        </is>
      </c>
      <c r="P58" s="460" t="inlineStr">
        <is>
          <t>\</t>
        </is>
      </c>
      <c r="Q58" s="484" t="n">
        <v>44317</v>
      </c>
      <c r="R58" s="482" t="n"/>
      <c r="S58" s="460" t="n"/>
      <c r="T58" s="460" t="n"/>
      <c r="U58" s="484" t="n"/>
      <c r="V58" s="494">
        <f>CONCATENATE("ETR1000V300_R1-",$D58,"-",$E58)</f>
        <v/>
      </c>
      <c r="W58" s="489" t="inlineStr">
        <is>
          <t>2.05.1403</t>
        </is>
      </c>
      <c r="X58" s="489" t="inlineStr">
        <is>
          <t>02</t>
        </is>
      </c>
      <c r="Y58" s="484" t="n">
        <v>45931</v>
      </c>
      <c r="Z58" s="490">
        <f>V58</f>
        <v/>
      </c>
      <c r="AA58" s="489">
        <f>W58</f>
        <v/>
      </c>
      <c r="AB58" s="489">
        <f>X58</f>
        <v/>
      </c>
      <c r="AC58" s="491">
        <f>Y58</f>
        <v/>
      </c>
    </row>
    <row r="59">
      <c r="A59" s="492" t="inlineStr">
        <is>
          <t>Equipaggiamento elettrico ed elettropneumatico - sistemazioni</t>
        </is>
      </c>
      <c r="B59" s="458">
        <f>CONCATENATE(D59,"_",E59)</f>
        <v/>
      </c>
      <c r="C59" s="476"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494">
        <f>CONCATENATE("ETR1000V300_FR-",$D59,"-",$E59)</f>
        <v/>
      </c>
      <c r="O59" s="483" t="inlineStr">
        <is>
          <t>2.05.1238</t>
        </is>
      </c>
      <c r="P59" s="460" t="inlineStr">
        <is>
          <t>\</t>
        </is>
      </c>
      <c r="Q59" s="484" t="n">
        <v>43922</v>
      </c>
      <c r="R59" s="482" t="n"/>
      <c r="S59" s="460" t="n"/>
      <c r="T59" s="460" t="n"/>
      <c r="U59" s="484" t="n"/>
      <c r="V59" s="494">
        <f>CONCATENATE("ETR1000V300_R1-",$D59,"-",$E59)</f>
        <v/>
      </c>
      <c r="W59" s="489" t="inlineStr">
        <is>
          <t>2.05.1404</t>
        </is>
      </c>
      <c r="X59" s="489" t="inlineStr">
        <is>
          <t>01</t>
        </is>
      </c>
      <c r="Y59" s="484" t="n">
        <v>45901</v>
      </c>
      <c r="Z59" s="490">
        <f>V59</f>
        <v/>
      </c>
      <c r="AA59" s="489">
        <f>W59</f>
        <v/>
      </c>
      <c r="AB59" s="489">
        <f>X59</f>
        <v/>
      </c>
      <c r="AC59" s="491">
        <f>Y59</f>
        <v/>
      </c>
    </row>
    <row r="60">
      <c r="A60" s="492" t="inlineStr">
        <is>
          <t>Equipaggiamento elettrico ed elettropneumatico - componenti</t>
        </is>
      </c>
      <c r="B60" s="458">
        <f>CONCATENATE(D60,"_",E60)</f>
        <v/>
      </c>
      <c r="C60" s="476"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494">
        <f>CONCATENATE("ETR1000V300_FR-",$D60,"-",$E60)</f>
        <v/>
      </c>
      <c r="O60" s="483" t="inlineStr">
        <is>
          <t>2.05.1239</t>
        </is>
      </c>
      <c r="P60" s="460" t="inlineStr">
        <is>
          <t>\</t>
        </is>
      </c>
      <c r="Q60" s="484" t="n">
        <v>43952</v>
      </c>
      <c r="R60" s="482" t="n"/>
      <c r="S60" s="460" t="n"/>
      <c r="T60" s="460" t="n"/>
      <c r="U60" s="484" t="n"/>
      <c r="V60" s="494">
        <f>CONCATENATE("ETR1000V300_R1-",$D60,"-",$E60)</f>
        <v/>
      </c>
      <c r="W60" s="489" t="inlineStr">
        <is>
          <t>2.05.1405</t>
        </is>
      </c>
      <c r="X60" s="489" t="inlineStr">
        <is>
          <t>01</t>
        </is>
      </c>
      <c r="Y60" s="484" t="n">
        <v>45931</v>
      </c>
      <c r="Z60" s="490">
        <f>V60</f>
        <v/>
      </c>
      <c r="AA60" s="489">
        <f>W60</f>
        <v/>
      </c>
      <c r="AB60" s="489">
        <f>X60</f>
        <v/>
      </c>
      <c r="AC60" s="491">
        <f>Y60</f>
        <v/>
      </c>
    </row>
    <row r="61">
      <c r="A61" s="492" t="inlineStr">
        <is>
          <t>Pantografi</t>
        </is>
      </c>
      <c r="B61" s="458">
        <f>CONCATENATE(D61,"_",E61)</f>
        <v/>
      </c>
      <c r="C61" s="476"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494">
        <f>CONCATENATE("ETR1000V300_FR-",$D61,"-",$E61)</f>
        <v/>
      </c>
      <c r="O61" s="483" t="inlineStr">
        <is>
          <t>2.05.1240</t>
        </is>
      </c>
      <c r="P61" s="460" t="inlineStr">
        <is>
          <t>\</t>
        </is>
      </c>
      <c r="Q61" s="484" t="n">
        <v>43922</v>
      </c>
      <c r="R61" s="482" t="n"/>
      <c r="S61" s="460" t="n"/>
      <c r="T61" s="460" t="n"/>
      <c r="U61" s="484" t="n"/>
      <c r="V61" s="494">
        <f>CONCATENATE("ETR1000V300_R1-",$D61,"-",$E61)</f>
        <v/>
      </c>
      <c r="W61" s="489" t="inlineStr">
        <is>
          <t>2.05.1406</t>
        </is>
      </c>
      <c r="X61" s="489" t="inlineStr">
        <is>
          <t>01</t>
        </is>
      </c>
      <c r="Y61" s="484" t="n">
        <v>45931</v>
      </c>
      <c r="Z61" s="490">
        <f>V61</f>
        <v/>
      </c>
      <c r="AA61" s="489">
        <f>W61</f>
        <v/>
      </c>
      <c r="AB61" s="489">
        <f>X61</f>
        <v/>
      </c>
      <c r="AC61" s="491">
        <f>Y61</f>
        <v/>
      </c>
    </row>
    <row r="62">
      <c r="A62" s="492" t="inlineStr">
        <is>
          <t>Quadri elettrici</t>
        </is>
      </c>
      <c r="B62" s="458">
        <f>CONCATENATE(D62,"_",E62)</f>
        <v/>
      </c>
      <c r="C62" s="476"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494">
        <f>CONCATENATE("ETR1000V300_FR-",$D62,"-",$E62)</f>
        <v/>
      </c>
      <c r="O62" s="483" t="inlineStr">
        <is>
          <t>2.05.1241</t>
        </is>
      </c>
      <c r="P62" s="460" t="inlineStr">
        <is>
          <t>\</t>
        </is>
      </c>
      <c r="Q62" s="484" t="n">
        <v>43952</v>
      </c>
      <c r="R62" s="482" t="n"/>
      <c r="S62" s="460" t="n"/>
      <c r="T62" s="460" t="n"/>
      <c r="U62" s="484" t="n"/>
      <c r="V62" s="482" t="n"/>
      <c r="W62" s="460" t="n"/>
      <c r="X62" s="460" t="n"/>
      <c r="Y62" s="484" t="n"/>
      <c r="Z62" s="482" t="n"/>
      <c r="AA62" s="460" t="n"/>
      <c r="AB62" s="460" t="n"/>
      <c r="AC62" s="484" t="n"/>
    </row>
    <row r="63">
      <c r="A63" s="492" t="inlineStr">
        <is>
          <t>Logica di comando</t>
        </is>
      </c>
      <c r="B63" s="458">
        <f>CONCATENATE(D63,"_",E63)</f>
        <v/>
      </c>
      <c r="C63" s="476"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82">
        <f>F63</f>
        <v/>
      </c>
      <c r="O63" s="460">
        <f>G63</f>
        <v/>
      </c>
      <c r="P63" s="460">
        <f>H63</f>
        <v/>
      </c>
      <c r="Q63" s="509">
        <f>I63</f>
        <v/>
      </c>
      <c r="R63" s="482" t="n"/>
      <c r="S63" s="460" t="n"/>
      <c r="T63" s="460" t="n"/>
      <c r="U63" s="484" t="n"/>
      <c r="V63" s="494">
        <f>CONCATENATE("ETR1000V300_R1-",$D63,"-",$E63)</f>
        <v/>
      </c>
      <c r="W63" s="489" t="inlineStr">
        <is>
          <t>2.05.1408</t>
        </is>
      </c>
      <c r="X63" s="489" t="inlineStr">
        <is>
          <t>02</t>
        </is>
      </c>
      <c r="Y63" s="484" t="n">
        <v>45931</v>
      </c>
      <c r="Z63" s="490">
        <f>V63</f>
        <v/>
      </c>
      <c r="AA63" s="489">
        <f>W63</f>
        <v/>
      </c>
      <c r="AB63" s="489">
        <f>X63</f>
        <v/>
      </c>
      <c r="AC63" s="491">
        <f>Y63</f>
        <v/>
      </c>
    </row>
    <row r="64">
      <c r="A64" s="492" t="inlineStr">
        <is>
          <t>Azionamento di trazione</t>
        </is>
      </c>
      <c r="B64" s="458">
        <f>CONCATENATE(D64,"_",E64)</f>
        <v/>
      </c>
      <c r="C64" s="476"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82">
        <f>F64</f>
        <v/>
      </c>
      <c r="O64" s="460">
        <f>G64</f>
        <v/>
      </c>
      <c r="P64" s="460">
        <f>H64</f>
        <v/>
      </c>
      <c r="Q64" s="509">
        <f>I64</f>
        <v/>
      </c>
      <c r="R64" s="482" t="n"/>
      <c r="S64" s="460" t="n"/>
      <c r="T64" s="460" t="n"/>
      <c r="U64" s="484" t="n"/>
      <c r="V64" s="494">
        <f>CONCATENATE("ETR1000V300_R1-",$D64,"-",$E64)</f>
        <v/>
      </c>
      <c r="W64" s="489" t="inlineStr">
        <is>
          <t>2.05.1409</t>
        </is>
      </c>
      <c r="X64" s="489" t="inlineStr">
        <is>
          <t>02</t>
        </is>
      </c>
      <c r="Y64" s="484" t="n">
        <v>45931</v>
      </c>
      <c r="Z64" s="490">
        <f>V64</f>
        <v/>
      </c>
      <c r="AA64" s="489">
        <f>W64</f>
        <v/>
      </c>
      <c r="AB64" s="489">
        <f>X64</f>
        <v/>
      </c>
      <c r="AC64" s="491">
        <f>Y64</f>
        <v/>
      </c>
    </row>
    <row r="65">
      <c r="A65" s="492" t="inlineStr">
        <is>
          <t>Motore di trazione</t>
        </is>
      </c>
      <c r="B65" s="458">
        <f>CONCATENATE(D65,"_",E65)</f>
        <v/>
      </c>
      <c r="C65" s="476"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82">
        <f>F65</f>
        <v/>
      </c>
      <c r="O65" s="460">
        <f>G65</f>
        <v/>
      </c>
      <c r="P65" s="460">
        <f>H65</f>
        <v/>
      </c>
      <c r="Q65" s="509">
        <f>I65</f>
        <v/>
      </c>
      <c r="R65" s="482" t="n"/>
      <c r="S65" s="460" t="n"/>
      <c r="T65" s="460" t="n"/>
      <c r="U65" s="484" t="n"/>
      <c r="V65" s="494">
        <f>CONCATENATE("ETR1000V300_R1-",$D65,"-",$E65)</f>
        <v/>
      </c>
      <c r="W65" s="489" t="inlineStr">
        <is>
          <t>2.05.1410</t>
        </is>
      </c>
      <c r="X65" s="489" t="inlineStr">
        <is>
          <t>01</t>
        </is>
      </c>
      <c r="Y65" s="484" t="n">
        <v>45931</v>
      </c>
      <c r="Z65" s="482">
        <f>V65</f>
        <v/>
      </c>
      <c r="AA65" s="460">
        <f>W65</f>
        <v/>
      </c>
      <c r="AB65" s="460">
        <f>X65</f>
        <v/>
      </c>
      <c r="AC65" s="484">
        <f>Y65</f>
        <v/>
      </c>
    </row>
    <row r="66">
      <c r="A66" s="492" t="inlineStr">
        <is>
          <t>Porte di salita passeggeri</t>
        </is>
      </c>
      <c r="B66" s="458">
        <f>CONCATENATE(D66,"_",E66)</f>
        <v/>
      </c>
      <c r="C66" s="476"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82">
        <f>F66</f>
        <v/>
      </c>
      <c r="O66" s="460">
        <f>G66</f>
        <v/>
      </c>
      <c r="P66" s="460">
        <f>H66</f>
        <v/>
      </c>
      <c r="Q66" s="509">
        <f>I66</f>
        <v/>
      </c>
      <c r="R66" s="482" t="n"/>
      <c r="S66" s="460" t="n"/>
      <c r="T66" s="460" t="n"/>
      <c r="U66" s="484" t="n"/>
      <c r="V66" s="494">
        <f>CONCATENATE("ETR1000V300_R1-",$D66,"-",$E66)</f>
        <v/>
      </c>
      <c r="W66" s="489" t="inlineStr">
        <is>
          <t>2.05.1411</t>
        </is>
      </c>
      <c r="X66" s="489" t="inlineStr">
        <is>
          <t>02</t>
        </is>
      </c>
      <c r="Y66" s="484" t="n">
        <v>45932</v>
      </c>
      <c r="Z66" s="490">
        <f>V66</f>
        <v/>
      </c>
      <c r="AA66" s="489">
        <f>W66</f>
        <v/>
      </c>
      <c r="AB66" s="489">
        <f>X66</f>
        <v/>
      </c>
      <c r="AC66" s="491">
        <f>Y66</f>
        <v/>
      </c>
    </row>
    <row r="67">
      <c r="A67" s="492" t="inlineStr">
        <is>
          <t>Porte interne e intercomunicanti</t>
        </is>
      </c>
      <c r="B67" s="458">
        <f>CONCATENATE(D67,"_",E67)</f>
        <v/>
      </c>
      <c r="C67" s="476"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82">
        <f>F67</f>
        <v/>
      </c>
      <c r="O67" s="460">
        <f>G67</f>
        <v/>
      </c>
      <c r="P67" s="460">
        <f>H67</f>
        <v/>
      </c>
      <c r="Q67" s="509">
        <f>I67</f>
        <v/>
      </c>
      <c r="R67" s="482" t="n"/>
      <c r="S67" s="460" t="n"/>
      <c r="T67" s="460" t="n"/>
      <c r="U67" s="484" t="n"/>
      <c r="V67" s="494">
        <f>CONCATENATE("ETR1000V300_R1-",$D67,"-",$E67)</f>
        <v/>
      </c>
      <c r="W67" s="489" t="inlineStr">
        <is>
          <t>2.05.1412</t>
        </is>
      </c>
      <c r="X67" s="489" t="inlineStr">
        <is>
          <t>02</t>
        </is>
      </c>
      <c r="Y67" s="484" t="n">
        <v>45931</v>
      </c>
      <c r="Z67" s="490">
        <f>V67</f>
        <v/>
      </c>
      <c r="AA67" s="489">
        <f>W67</f>
        <v/>
      </c>
      <c r="AB67" s="489">
        <f>X67</f>
        <v/>
      </c>
      <c r="AC67" s="491">
        <f>Y67</f>
        <v/>
      </c>
    </row>
    <row r="68">
      <c r="A68" s="492" t="inlineStr">
        <is>
          <t>Sollevatore hk</t>
        </is>
      </c>
      <c r="B68" s="458">
        <f>CONCATENATE(D68,"_",E68)</f>
        <v/>
      </c>
      <c r="C68" s="476"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82">
        <f>F68</f>
        <v/>
      </c>
      <c r="O68" s="460">
        <f>G68</f>
        <v/>
      </c>
      <c r="P68" s="460">
        <f>H68</f>
        <v/>
      </c>
      <c r="Q68" s="509">
        <f>I68</f>
        <v/>
      </c>
      <c r="R68" s="482" t="n"/>
      <c r="S68" s="460" t="n"/>
      <c r="T68" s="460" t="n"/>
      <c r="U68" s="484" t="n"/>
      <c r="V68" s="494">
        <f>CONCATENATE("ETR1000V300_R1-",$D68,"-",$E68)</f>
        <v/>
      </c>
      <c r="W68" s="489" t="inlineStr">
        <is>
          <t>2.05.1413</t>
        </is>
      </c>
      <c r="X68" s="489" t="inlineStr">
        <is>
          <t>02</t>
        </is>
      </c>
      <c r="Y68" s="484" t="n">
        <v>45931</v>
      </c>
      <c r="Z68" s="490">
        <f>V68</f>
        <v/>
      </c>
      <c r="AA68" s="489">
        <f>W68</f>
        <v/>
      </c>
      <c r="AB68" s="489">
        <f>X68</f>
        <v/>
      </c>
      <c r="AC68" s="491">
        <f>Y68</f>
        <v/>
      </c>
    </row>
    <row r="69">
      <c r="A69" s="492" t="inlineStr">
        <is>
          <t>Sottosistema di climatizzazione</t>
        </is>
      </c>
      <c r="B69" s="458">
        <f>CONCATENATE(D69,"_",E69)</f>
        <v/>
      </c>
      <c r="C69" s="476"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82">
        <f>F69</f>
        <v/>
      </c>
      <c r="O69" s="460">
        <f>G69</f>
        <v/>
      </c>
      <c r="P69" s="460">
        <f>H69</f>
        <v/>
      </c>
      <c r="Q69" s="509">
        <f>I69</f>
        <v/>
      </c>
      <c r="R69" s="482" t="n"/>
      <c r="S69" s="460" t="n"/>
      <c r="T69" s="460" t="n"/>
      <c r="U69" s="484" t="n"/>
      <c r="V69" s="482" t="n"/>
      <c r="W69" s="460" t="n"/>
      <c r="X69" s="460" t="n"/>
      <c r="Y69" s="484" t="n"/>
      <c r="Z69" s="482" t="n"/>
      <c r="AA69" s="460" t="n"/>
      <c r="AB69" s="460" t="n"/>
      <c r="AC69" s="484" t="n"/>
    </row>
    <row r="70">
      <c r="A70" s="492" t="inlineStr">
        <is>
          <t>Sottosistema di comunicazione</t>
        </is>
      </c>
      <c r="B70" s="458">
        <f>CONCATENATE(D70,"_",E70)</f>
        <v/>
      </c>
      <c r="C70" s="476"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82">
        <f>F70</f>
        <v/>
      </c>
      <c r="O70" s="460">
        <f>G70</f>
        <v/>
      </c>
      <c r="P70" s="460">
        <f>H70</f>
        <v/>
      </c>
      <c r="Q70" s="509">
        <f>I70</f>
        <v/>
      </c>
      <c r="R70" s="482" t="n"/>
      <c r="S70" s="460" t="n"/>
      <c r="T70" s="460" t="n"/>
      <c r="U70" s="484" t="n"/>
      <c r="V70" s="494">
        <f>CONCATENATE("ETR1000V300_R1-",$D70,"-",$E70)</f>
        <v/>
      </c>
      <c r="W70" s="489" t="inlineStr">
        <is>
          <t>2.05.1415</t>
        </is>
      </c>
      <c r="X70" s="489" t="inlineStr">
        <is>
          <t>02</t>
        </is>
      </c>
      <c r="Y70" s="484" t="n">
        <v>45931</v>
      </c>
      <c r="Z70" s="490">
        <f>V70</f>
        <v/>
      </c>
      <c r="AA70" s="489">
        <f>W70</f>
        <v/>
      </c>
      <c r="AB70" s="489">
        <f>X70</f>
        <v/>
      </c>
      <c r="AC70" s="491">
        <f>Y70</f>
        <v/>
      </c>
    </row>
    <row r="71">
      <c r="A71" s="492" t="inlineStr">
        <is>
          <t>Convertitore servizi ausiliari e caricabatterie</t>
        </is>
      </c>
      <c r="B71" s="458">
        <f>CONCATENATE(D71,"_",E71)</f>
        <v/>
      </c>
      <c r="C71" s="476"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82">
        <f>F71</f>
        <v/>
      </c>
      <c r="O71" s="460">
        <f>G71</f>
        <v/>
      </c>
      <c r="P71" s="460">
        <f>H71</f>
        <v/>
      </c>
      <c r="Q71" s="509">
        <f>I71</f>
        <v/>
      </c>
      <c r="R71" s="482" t="n"/>
      <c r="S71" s="460" t="n"/>
      <c r="T71" s="460" t="n"/>
      <c r="U71" s="484" t="n"/>
      <c r="V71" s="494">
        <f>CONCATENATE("ETR1000V300_R1-",$D71,"-",$E71)</f>
        <v/>
      </c>
      <c r="W71" s="489" t="inlineStr">
        <is>
          <t>2.05.1416</t>
        </is>
      </c>
      <c r="X71" s="489" t="inlineStr">
        <is>
          <t>02</t>
        </is>
      </c>
      <c r="Y71" s="484" t="n">
        <v>45931</v>
      </c>
      <c r="Z71" s="490">
        <f>V71</f>
        <v/>
      </c>
      <c r="AA71" s="489">
        <f>W71</f>
        <v/>
      </c>
      <c r="AB71" s="489">
        <f>X71</f>
        <v/>
      </c>
      <c r="AC71" s="491">
        <f>Y71</f>
        <v/>
      </c>
    </row>
    <row r="72">
      <c r="A72" s="492" t="inlineStr">
        <is>
          <t>Allestimenti interni - dotazioni di bordo</t>
        </is>
      </c>
      <c r="B72" s="458">
        <f>CONCATENATE(D72,"_",E72)</f>
        <v/>
      </c>
      <c r="C72" s="476"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82">
        <f>F72</f>
        <v/>
      </c>
      <c r="O72" s="460">
        <f>G72</f>
        <v/>
      </c>
      <c r="P72" s="460">
        <f>H72</f>
        <v/>
      </c>
      <c r="Q72" s="509">
        <f>I72</f>
        <v/>
      </c>
      <c r="R72" s="482" t="n"/>
      <c r="S72" s="460" t="n"/>
      <c r="T72" s="460" t="n"/>
      <c r="U72" s="484" t="n"/>
      <c r="V72" s="482" t="n"/>
      <c r="W72" s="460" t="n"/>
      <c r="X72" s="460" t="n"/>
      <c r="Y72" s="484" t="n"/>
      <c r="Z72" s="482" t="n"/>
      <c r="AA72" s="460" t="n"/>
      <c r="AB72" s="460" t="n"/>
      <c r="AC72" s="484" t="n"/>
    </row>
    <row r="73">
      <c r="A73" s="492" t="inlineStr">
        <is>
          <t>Sedili passeggeri e cabina guida</t>
        </is>
      </c>
      <c r="B73" s="458">
        <f>CONCATENATE(D73,"_",E73)</f>
        <v/>
      </c>
      <c r="C73" s="476"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82">
        <f>F73</f>
        <v/>
      </c>
      <c r="O73" s="460">
        <f>G73</f>
        <v/>
      </c>
      <c r="P73" s="460">
        <f>H73</f>
        <v/>
      </c>
      <c r="Q73" s="509">
        <f>I73</f>
        <v/>
      </c>
      <c r="R73" s="482" t="n"/>
      <c r="S73" s="460" t="n"/>
      <c r="T73" s="460" t="n"/>
      <c r="U73" s="484" t="n"/>
      <c r="V73" s="482" t="n"/>
      <c r="W73" s="460" t="n"/>
      <c r="X73" s="460" t="n"/>
      <c r="Y73" s="484" t="n"/>
      <c r="Z73" s="482" t="n"/>
      <c r="AA73" s="460" t="n"/>
      <c r="AB73" s="460" t="n"/>
      <c r="AC73" s="484" t="n"/>
    </row>
    <row r="74">
      <c r="A74" s="492" t="inlineStr">
        <is>
          <t>Arredamento comparto</t>
        </is>
      </c>
      <c r="B74" s="458">
        <f>CONCATENATE(D74,"_",E74)</f>
        <v/>
      </c>
      <c r="C74" s="476"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82">
        <f>F74</f>
        <v/>
      </c>
      <c r="O74" s="460">
        <f>G74</f>
        <v/>
      </c>
      <c r="P74" s="460">
        <f>H74</f>
        <v/>
      </c>
      <c r="Q74" s="509">
        <f>I74</f>
        <v/>
      </c>
      <c r="R74" s="482" t="n"/>
      <c r="S74" s="460" t="n"/>
      <c r="T74" s="460" t="n"/>
      <c r="U74" s="484" t="n"/>
      <c r="V74" s="482" t="n"/>
      <c r="W74" s="460" t="n"/>
      <c r="X74" s="460" t="n"/>
      <c r="Y74" s="484" t="n"/>
      <c r="Z74" s="482" t="n"/>
      <c r="AA74" s="460" t="n"/>
      <c r="AB74" s="460" t="n"/>
      <c r="AC74" s="484" t="n"/>
    </row>
    <row r="75">
      <c r="A75" s="492" t="inlineStr">
        <is>
          <t>Arredamento vestiboli</t>
        </is>
      </c>
      <c r="B75" s="458">
        <f>CONCATENATE(D75,"_",E75)</f>
        <v/>
      </c>
      <c r="C75" s="476"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82">
        <f>F75</f>
        <v/>
      </c>
      <c r="O75" s="460">
        <f>G75</f>
        <v/>
      </c>
      <c r="P75" s="460">
        <f>H75</f>
        <v/>
      </c>
      <c r="Q75" s="509">
        <f>I75</f>
        <v/>
      </c>
      <c r="R75" s="482" t="n"/>
      <c r="S75" s="460" t="n"/>
      <c r="T75" s="460" t="n"/>
      <c r="U75" s="484" t="n"/>
      <c r="V75" s="494">
        <f>CONCATENATE("ETR1000V300_R1-",$D75,"-",$E75)</f>
        <v/>
      </c>
      <c r="W75" s="489" t="inlineStr">
        <is>
          <t>2.05.1420</t>
        </is>
      </c>
      <c r="X75" s="489" t="inlineStr">
        <is>
          <t>01</t>
        </is>
      </c>
      <c r="Y75" s="484" t="n">
        <v>45931</v>
      </c>
      <c r="Z75" s="482">
        <f>V75</f>
        <v/>
      </c>
      <c r="AA75" s="460">
        <f>W75</f>
        <v/>
      </c>
      <c r="AB75" s="460">
        <f>X75</f>
        <v/>
      </c>
      <c r="AC75" s="484">
        <f>Y75</f>
        <v/>
      </c>
    </row>
    <row r="76">
      <c r="A76" s="492" t="inlineStr">
        <is>
          <t>Servizi Generali di Bordo - Toilet</t>
        </is>
      </c>
      <c r="B76" s="458">
        <f>CONCATENATE(D76,"_",E76)</f>
        <v/>
      </c>
      <c r="C76" s="476"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82">
        <f>F76</f>
        <v/>
      </c>
      <c r="O76" s="460">
        <f>G76</f>
        <v/>
      </c>
      <c r="P76" s="460">
        <f>H76</f>
        <v/>
      </c>
      <c r="Q76" s="509">
        <f>I76</f>
        <v/>
      </c>
      <c r="R76" s="482" t="n"/>
      <c r="S76" s="460" t="n"/>
      <c r="T76" s="460" t="n"/>
      <c r="U76" s="484" t="n"/>
      <c r="V76" s="482" t="n"/>
      <c r="W76" s="460" t="n"/>
      <c r="X76" s="460" t="n"/>
      <c r="Y76" s="484" t="n"/>
      <c r="Z76" s="482" t="n"/>
      <c r="AA76" s="460" t="n"/>
      <c r="AB76" s="460" t="n"/>
      <c r="AC76" s="484" t="n"/>
    </row>
    <row r="77">
      <c r="A77" s="492" t="inlineStr">
        <is>
          <t>Servizi Generali di Bordo - Bar Bistrò</t>
        </is>
      </c>
      <c r="B77" s="458">
        <f>CONCATENATE(D77,"_",E77)</f>
        <v/>
      </c>
      <c r="C77" s="476"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82">
        <f>F77</f>
        <v/>
      </c>
      <c r="O77" s="460">
        <f>G77</f>
        <v/>
      </c>
      <c r="P77" s="460">
        <f>H77</f>
        <v/>
      </c>
      <c r="Q77" s="509">
        <f>I77</f>
        <v/>
      </c>
      <c r="R77" s="482" t="n"/>
      <c r="S77" s="460" t="n"/>
      <c r="T77" s="460" t="n"/>
      <c r="U77" s="484" t="n"/>
      <c r="V77" s="482" t="n"/>
      <c r="W77" s="460" t="n"/>
      <c r="X77" s="460" t="n"/>
      <c r="Y77" s="484" t="n"/>
      <c r="Z77" s="482" t="n"/>
      <c r="AA77" s="460" t="n"/>
      <c r="AB77" s="460" t="n"/>
      <c r="AC77" s="484" t="n"/>
    </row>
    <row r="78">
      <c r="A78" s="492" t="inlineStr">
        <is>
          <t>Sistemi tecnologici di bordo</t>
        </is>
      </c>
      <c r="B78" s="458">
        <f>CONCATENATE(D78,"_",E78)</f>
        <v/>
      </c>
      <c r="C78" s="476"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82">
        <f>F78</f>
        <v/>
      </c>
      <c r="O78" s="460">
        <f>G78</f>
        <v/>
      </c>
      <c r="P78" s="460">
        <f>H78</f>
        <v/>
      </c>
      <c r="Q78" s="509">
        <f>I78</f>
        <v/>
      </c>
      <c r="R78" s="482" t="n"/>
      <c r="S78" s="460" t="n"/>
      <c r="T78" s="460" t="n"/>
      <c r="U78" s="484" t="n"/>
      <c r="V78" s="494">
        <f>CONCATENATE("ETR1000V300_R1-",$D78,"-",$E78)</f>
        <v/>
      </c>
      <c r="W78" s="489" t="inlineStr">
        <is>
          <t>2.05.1423</t>
        </is>
      </c>
      <c r="X78" s="489" t="inlineStr">
        <is>
          <t>02</t>
        </is>
      </c>
      <c r="Y78" s="484" t="n">
        <v>45931</v>
      </c>
      <c r="Z78" s="490">
        <f>V78</f>
        <v/>
      </c>
      <c r="AA78" s="489">
        <f>W78</f>
        <v/>
      </c>
      <c r="AB78" s="489">
        <f>X78</f>
        <v/>
      </c>
      <c r="AC78" s="491">
        <f>Y78</f>
        <v/>
      </c>
    </row>
    <row r="79" customFormat="1" s="139">
      <c r="A79" s="510" t="inlineStr">
        <is>
          <t>SOTTOSISTEMA DI BORDO ERTMS/BL3 PIATTAFORMA ELO</t>
        </is>
      </c>
      <c r="B79" s="493">
        <f>CONCATENATE(D79,"_",E79)</f>
        <v/>
      </c>
      <c r="C79" s="476" t="inlineStr">
        <is>
          <t>pdf</t>
        </is>
      </c>
      <c r="D79" s="493" t="inlineStr">
        <is>
          <t>CPR</t>
        </is>
      </c>
      <c r="E79" s="493" t="inlineStr">
        <is>
          <t>20A</t>
        </is>
      </c>
      <c r="F79" s="405">
        <f>CONCATENATE("ETR1000V300-",$D79,"-",$E79)</f>
        <v/>
      </c>
      <c r="G79" s="493" t="inlineStr">
        <is>
          <t>B60A.0100914.G00.01IT</t>
        </is>
      </c>
      <c r="H79" s="414" t="inlineStr">
        <is>
          <t>\</t>
        </is>
      </c>
      <c r="I79" s="413" t="n">
        <v>45017</v>
      </c>
      <c r="J79" s="405">
        <f>$F79</f>
        <v/>
      </c>
      <c r="K79" s="493">
        <f>$G79</f>
        <v/>
      </c>
      <c r="L79" s="414">
        <f>$H79</f>
        <v/>
      </c>
      <c r="M79" s="413">
        <f>$I79</f>
        <v/>
      </c>
      <c r="N79" s="505" t="inlineStr">
        <is>
          <t>\</t>
        </is>
      </c>
      <c r="O79" s="511" t="inlineStr">
        <is>
          <t>\</t>
        </is>
      </c>
      <c r="P79" s="460" t="inlineStr">
        <is>
          <t>\</t>
        </is>
      </c>
      <c r="Q79" s="507" t="inlineStr">
        <is>
          <t>\</t>
        </is>
      </c>
      <c r="R79" s="505" t="n"/>
      <c r="S79" s="506" t="n"/>
      <c r="T79" s="506" t="n"/>
      <c r="U79" s="507" t="n"/>
      <c r="V79" s="505" t="n"/>
      <c r="W79" s="506" t="n"/>
      <c r="X79" s="506" t="n"/>
      <c r="Y79" s="484" t="n"/>
      <c r="Z79" s="505" t="n"/>
      <c r="AA79" s="506" t="n"/>
      <c r="AB79" s="506" t="n"/>
      <c r="AC79" s="507"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7"/>
    <col width="8.7109375" customWidth="1" style="103" min="38" max="16384"/>
  </cols>
  <sheetData>
    <row r="1" ht="21.6" customFormat="1" customHeight="1" s="105">
      <c r="A1" s="528" t="inlineStr">
        <is>
          <t>DOC DESCRIPTION</t>
        </is>
      </c>
      <c r="B1" s="543" t="inlineStr">
        <is>
          <t>DOC ID</t>
        </is>
      </c>
      <c r="C1" s="543" t="inlineStr">
        <is>
          <t>DOC EXT</t>
        </is>
      </c>
      <c r="D1" s="539" t="inlineStr">
        <is>
          <t>VZI_Base</t>
        </is>
      </c>
      <c r="E1" s="540" t="n"/>
      <c r="F1" s="541" t="inlineStr">
        <is>
          <t>VZI_New14</t>
        </is>
      </c>
      <c r="G1" s="542" t="n"/>
      <c r="H1" s="539" t="inlineStr">
        <is>
          <t>VZ_FR</t>
        </is>
      </c>
      <c r="I1" s="540" t="n"/>
      <c r="J1" s="541" t="inlineStr">
        <is>
          <t>VZ_ES</t>
        </is>
      </c>
      <c r="K1" s="542" t="n"/>
      <c r="L1" s="539" t="inlineStr">
        <is>
          <t>VZI-6_R1</t>
        </is>
      </c>
      <c r="M1" s="540" t="n"/>
      <c r="N1" s="541" t="inlineStr">
        <is>
          <t>VZI-4_R1</t>
        </is>
      </c>
      <c r="O1" s="542" t="n"/>
      <c r="P1" s="539" t="inlineStr">
        <is>
          <t>VZ_DAI</t>
        </is>
      </c>
      <c r="Q1" s="540" t="n"/>
      <c r="R1" s="541" t="inlineStr">
        <is>
          <t>VZ_Esxx</t>
        </is>
      </c>
      <c r="S1" s="542" t="n"/>
    </row>
    <row r="2" ht="21.6" customFormat="1" customHeight="1" s="105">
      <c r="A2" s="530" t="n"/>
      <c r="B2" s="544" t="n"/>
      <c r="C2" s="544"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8" t="inlineStr">
        <is>
          <t>Codice</t>
        </is>
      </c>
      <c r="M2" s="538"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79">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79">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55" zoomScaleNormal="55" workbookViewId="0">
      <pane xSplit="2" ySplit="1" topLeftCell="C23" activePane="bottomRight" state="frozen"/>
      <selection pane="topRight" activeCell="F1" sqref="F1"/>
      <selection pane="bottomLeft" activeCell="A3" sqref="A3"/>
      <selection pane="bottomRight" activeCell="F43" sqref="F43:J43"/>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32"/>
    <col width="8.7109375" customWidth="1" style="103" min="33" max="16384"/>
  </cols>
  <sheetData>
    <row r="1" ht="30" customFormat="1" customHeight="1" s="105">
      <c r="A1" s="156" t="inlineStr">
        <is>
          <t>FUNC ID</t>
        </is>
      </c>
      <c r="B1" s="156" t="inlineStr">
        <is>
          <t>DESCRIZIONE FUNZIONE</t>
        </is>
      </c>
      <c r="C1" s="528" t="inlineStr">
        <is>
          <t>DOC
CARTELLA</t>
        </is>
      </c>
      <c r="D1" s="528" t="inlineStr">
        <is>
          <t>DOC ID</t>
        </is>
      </c>
      <c r="E1" s="528" t="inlineStr">
        <is>
          <t>Info DOC</t>
        </is>
      </c>
      <c r="F1" s="136" t="inlineStr">
        <is>
          <t>VZI_Base</t>
        </is>
      </c>
      <c r="G1" s="136" t="inlineStr">
        <is>
          <t>VZI_New14</t>
        </is>
      </c>
      <c r="H1" s="536" t="inlineStr">
        <is>
          <t>VZ_FR</t>
        </is>
      </c>
      <c r="I1" s="536" t="inlineStr">
        <is>
          <t>VZ_ES</t>
        </is>
      </c>
      <c r="J1" s="536" t="inlineStr">
        <is>
          <t>VZI-6_R1</t>
        </is>
      </c>
      <c r="K1" s="536"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79">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79">
      <c r="B4" s="144" t="n"/>
      <c r="D4" s="358" t="n"/>
      <c r="E4" s="186" t="inlineStr">
        <is>
          <t>Rif. Pagina</t>
        </is>
      </c>
      <c r="F4" s="50" t="n">
        <v>276</v>
      </c>
      <c r="G4" s="164" t="n">
        <v>243</v>
      </c>
      <c r="H4" s="50" t="n"/>
      <c r="I4" s="50" t="n"/>
      <c r="J4" s="50" t="n">
        <v>144</v>
      </c>
      <c r="K4" s="85" t="n"/>
      <c r="L4" s="50" t="n"/>
    </row>
    <row r="5" outlineLevel="2" ht="75" customHeight="1" s="579">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79">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79">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79">
      <c r="B8" s="144" t="n"/>
      <c r="D8" s="358" t="n"/>
      <c r="E8" s="186" t="inlineStr">
        <is>
          <t>Rif. Pagina</t>
        </is>
      </c>
      <c r="F8" s="50" t="n">
        <v>171</v>
      </c>
      <c r="G8" s="50" t="n"/>
      <c r="H8" s="50" t="n"/>
      <c r="I8" s="50" t="n"/>
      <c r="J8" s="50" t="n">
        <v>131</v>
      </c>
      <c r="K8" s="85" t="n"/>
      <c r="L8" s="50" t="n"/>
    </row>
    <row r="9" outlineLevel="2" ht="120" customHeight="1" s="579">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79">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79">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79">
      <c r="B12" s="144" t="n"/>
      <c r="D12" s="358" t="n"/>
      <c r="E12" s="186" t="inlineStr">
        <is>
          <t>Rif. Pagina</t>
        </is>
      </c>
      <c r="F12" s="50" t="n">
        <v>117</v>
      </c>
      <c r="G12" s="50" t="n"/>
      <c r="H12" s="50" t="n"/>
      <c r="I12" s="50" t="n"/>
      <c r="J12" s="50" t="n">
        <v>154</v>
      </c>
      <c r="K12" s="50" t="n"/>
      <c r="L12" s="50" t="n"/>
    </row>
    <row r="13" outlineLevel="2" ht="240" customHeight="1" s="579">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79">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79">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79">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79">
      <c r="A18" s="179" t="n"/>
      <c r="B18" s="386" t="n"/>
      <c r="C18" s="180" t="n"/>
      <c r="D18" s="50" t="n"/>
      <c r="E18" s="186" t="inlineStr">
        <is>
          <t>Rif. Pagina</t>
        </is>
      </c>
      <c r="F18" s="50" t="n">
        <v>388</v>
      </c>
      <c r="G18" s="50" t="n"/>
      <c r="H18" s="50" t="n"/>
      <c r="I18" s="50" t="n"/>
      <c r="J18" s="50" t="n">
        <v>264</v>
      </c>
      <c r="K18" s="85" t="n"/>
      <c r="L18" s="50" t="n"/>
    </row>
    <row r="19" outlineLevel="2" ht="150" customHeight="1" s="579">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79">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79">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79">
      <c r="A22" s="179" t="n"/>
      <c r="C22" s="180" t="n"/>
      <c r="D22" s="358" t="n"/>
      <c r="E22" s="186" t="inlineStr">
        <is>
          <t>Rif. Pagina</t>
        </is>
      </c>
      <c r="F22" s="50" t="n">
        <v>14</v>
      </c>
      <c r="G22" s="50" t="n">
        <v>12</v>
      </c>
      <c r="H22" s="50" t="n"/>
      <c r="I22" s="50" t="n"/>
      <c r="J22" s="50" t="n">
        <v>1</v>
      </c>
      <c r="K22" s="50" t="n"/>
      <c r="L22" s="50" t="n"/>
    </row>
    <row r="23" outlineLevel="2" ht="409.5" customHeight="1" s="579">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79">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79">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79">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79">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79">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79">
      <c r="A30" s="183" t="n"/>
      <c r="B30" s="184" t="n"/>
      <c r="C30" s="178" t="n"/>
      <c r="D30" s="50" t="n"/>
      <c r="E30" s="186" t="inlineStr">
        <is>
          <t>Rif. Pagina</t>
        </is>
      </c>
      <c r="F30" s="50" t="n">
        <v>1</v>
      </c>
      <c r="G30" s="50" t="n"/>
      <c r="H30" s="50" t="n"/>
      <c r="I30" s="50" t="n"/>
      <c r="J30" s="50" t="n">
        <v>1</v>
      </c>
      <c r="K30" s="50" t="n"/>
      <c r="L30" s="50" t="n"/>
    </row>
    <row r="31" outlineLevel="1" s="579">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79">
      <c r="A32" s="183" t="n"/>
      <c r="B32" s="184" t="n"/>
      <c r="C32" s="184" t="n"/>
      <c r="D32" s="50" t="n"/>
      <c r="E32" s="186" t="inlineStr">
        <is>
          <t>Rif. Pagina</t>
        </is>
      </c>
      <c r="F32" s="50" t="n">
        <v>1</v>
      </c>
      <c r="G32" s="50" t="n"/>
      <c r="H32" s="50" t="n"/>
      <c r="I32" s="50" t="n"/>
      <c r="J32" s="50" t="n">
        <v>1</v>
      </c>
      <c r="K32" s="50" t="n"/>
      <c r="L32" s="50" t="n"/>
    </row>
    <row r="33" outlineLevel="1" s="579">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79">
      <c r="A34" s="116" t="n"/>
      <c r="B34" s="144" t="n"/>
      <c r="D34" s="358" t="n"/>
      <c r="E34" s="186" t="inlineStr">
        <is>
          <t>Rif. Pagina</t>
        </is>
      </c>
      <c r="F34" s="50" t="n">
        <v>1</v>
      </c>
      <c r="G34" s="50" t="n">
        <v>1</v>
      </c>
      <c r="H34" s="50" t="n"/>
      <c r="I34" s="50" t="n"/>
      <c r="J34" s="50" t="n"/>
      <c r="K34" s="50" t="n"/>
      <c r="L34" s="50" t="n"/>
    </row>
    <row r="35" outlineLevel="2" s="579">
      <c r="A35" s="116" t="n"/>
      <c r="B35" s="144" t="n"/>
      <c r="D35" s="108" t="n"/>
      <c r="E35" s="85" t="inlineStr">
        <is>
          <t>Descrizione</t>
        </is>
      </c>
      <c r="F35" s="50" t="n"/>
      <c r="G35" s="50" t="n"/>
      <c r="H35" s="50" t="n"/>
      <c r="I35" s="50" t="n"/>
      <c r="J35" s="50" t="n"/>
      <c r="K35" s="50" t="n"/>
      <c r="L35" s="50" t="n"/>
    </row>
    <row r="36" outlineLevel="1" s="579">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79">
      <c r="A37" s="116" t="n"/>
      <c r="B37" s="144" t="n"/>
      <c r="D37" s="358" t="n"/>
      <c r="E37" s="85" t="inlineStr">
        <is>
          <t>Pagina</t>
        </is>
      </c>
      <c r="F37" s="50" t="n">
        <v>1</v>
      </c>
      <c r="G37" s="50" t="n"/>
      <c r="H37" s="50" t="n"/>
      <c r="I37" s="50" t="n"/>
      <c r="J37" s="50" t="n"/>
      <c r="K37" s="50" t="n"/>
      <c r="L37" s="50" t="n"/>
    </row>
    <row r="38" outlineLevel="1" s="579">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79">
      <c r="A39" s="116" t="n"/>
      <c r="B39" s="144" t="n"/>
      <c r="D39" s="358" t="n"/>
      <c r="E39" s="85" t="inlineStr">
        <is>
          <t>Pagina</t>
        </is>
      </c>
      <c r="F39" s="50" t="n">
        <v>1</v>
      </c>
      <c r="G39" s="50" t="n"/>
      <c r="H39" s="50" t="n"/>
      <c r="I39" s="50" t="n"/>
      <c r="J39" s="50" t="n"/>
      <c r="K39" s="50" t="n"/>
      <c r="L39" s="50" t="n"/>
    </row>
    <row r="40" ht="30" customHeight="1" s="579">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79">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79">
      <c r="A42" s="183" t="n"/>
      <c r="B42" s="184" t="n"/>
      <c r="C42" s="184" t="n"/>
      <c r="D42" s="50" t="n"/>
      <c r="E42" s="186" t="inlineStr">
        <is>
          <t>Rif. Pagina</t>
        </is>
      </c>
      <c r="F42" s="50" t="n">
        <v>7</v>
      </c>
      <c r="G42" s="50" t="n"/>
      <c r="H42" s="50" t="n">
        <v>7</v>
      </c>
      <c r="I42" s="50" t="n">
        <v>7</v>
      </c>
      <c r="J42" s="50" t="n">
        <v>12</v>
      </c>
      <c r="K42" s="85" t="n"/>
      <c r="L42" s="50" t="n"/>
    </row>
    <row r="43" outlineLevel="2" s="579">
      <c r="A43" s="183" t="n"/>
      <c r="B43" s="184" t="n"/>
      <c r="C43" s="184" t="n"/>
      <c r="D43" s="434" t="n"/>
      <c r="E43" s="455" t="inlineStr">
        <is>
          <t>Funzioni AI</t>
        </is>
      </c>
      <c r="F4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pag.7 — Pag. finale: parte di pag.8.</t>
        </is>
      </c>
      <c r="G43" s="456" t="n"/>
      <c r="H4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pag.7 — Pag. finale: parte di pag.8.</t>
        </is>
      </c>
      <c r="I4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pag.7 — Pag. finale: parte di pag.8.</t>
        </is>
      </c>
      <c r="J4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pag.12 — Pag. finale: parte di pag.13.</t>
        </is>
      </c>
      <c r="K43" s="455" t="n"/>
      <c r="L43" s="457" t="n"/>
    </row>
    <row r="44" ht="30" customHeight="1" s="579">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79">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79">
      <c r="A46" s="183" t="n"/>
      <c r="B46" s="184" t="n"/>
      <c r="C46" s="184" t="n"/>
      <c r="D46" s="50" t="n"/>
      <c r="E46" s="186" t="inlineStr">
        <is>
          <t>Rif. Pagina</t>
        </is>
      </c>
      <c r="F46" s="50" t="n">
        <v>8</v>
      </c>
      <c r="G46" s="50" t="n"/>
      <c r="H46" s="50" t="n">
        <v>8</v>
      </c>
      <c r="I46" s="50" t="n">
        <v>8</v>
      </c>
      <c r="J46" s="50" t="n">
        <v>13</v>
      </c>
      <c r="K46" s="85" t="n"/>
      <c r="L46" s="50" t="n"/>
    </row>
    <row r="47" outlineLevel="2" s="579">
      <c r="A47" s="183" t="n"/>
      <c r="B47" s="184" t="n"/>
      <c r="C47" s="184" t="n"/>
      <c r="D47" s="434" t="n"/>
      <c r="E47" s="455" t="inlineStr">
        <is>
          <t>Funzioni AI</t>
        </is>
      </c>
      <c r="F47" s="623" t="inlineStr">
        <is>
          <t>Descrizione funzionale in italiano: "Pantografo sollevato: informazione trasmissa al sistema di propulsione per attivare l'attrezzatura a corrente alta"
CONFRONTO CON ALTRE CONFIGURAZIONI:
es: VZI_Base è equivalente a VZI_FR. oppure: VZI_ES è differente da VZI_Base a causa di differenze nella descrizione del sistema di propulsione.
ANALISI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Nota: Spiegazione in italiano: La descrizione delle funzionalità e dei requisiti di sicurezza è stata adattata per garantire la comprensibilità e l'accessibilità per tutti gli utenti.
Score equivalenza funzionale: 85/100
Pag. iniziale: parte di pag.8 — Pag. finale: parte di pag.14.</t>
        </is>
      </c>
      <c r="G47" s="456" t="n"/>
      <c r="H47" s="623" t="inlineStr">
        <is>
          <t>Descrizione funzionale in italiano: "Pantografo sollevato: informazione trasmissa al sistema di propulsione per attivare l'attrezzatura a corrente alta"
CONFRONTO CON ALTRE CONFIGURAZIONI:
es: VZI_Base è equivalente a VZI_FR. oppure: VZI_ES è differente da VZI_Base a causa di differenze nella descrizione del sistema di propulsione.
ANALISI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Nota: Spiegazione in italiano: La descrizione delle funzionalità e dei requisiti di sicurezza è stata adattata per garantire la comprensibilità e l'accessibilità per tutti gli utenti.
Score equivalenza funzionale: 85/100
Pag. iniziale: parte di pag.8 — Pag. finale: parte di pag.16.</t>
        </is>
      </c>
      <c r="I47" s="623" t="inlineStr">
        <is>
          <t>Descrizione funzionale in italiano: "Pantografo sollevato: informazione trasmissa al sistema di propulsione per attivare l'attrezzatura a corrente alta"
CONFRONTO CON ALTRE CONFIGURAZIONI:
es: VZI_Base è equivalente a VZI_FR. oppure: VZI_ES è differente da VZI_Base a causa di differenze nella descrizione del sistema di propulsione.
ANALISI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Nota: Spiegazione in italiano: La descrizione delle funzionalità e dei requisiti di sicurezza è stata adattata per garantire la comprensibilità e l'accessibilità per tutti gli utenti.
Score equivalenza funzionale: 85/100
Pag. iniziale: parte di pag.8 — Pag. finale: parte di pag.14.</t>
        </is>
      </c>
      <c r="J47" s="623" t="inlineStr">
        <is>
          <t>Descrizione funzionale in italiano: "Pantografo sollevato: informazione trasmissa al sistema di propulsione per attivare l'attrezzatura a corrente alta"
CONFRONTO CON ALTRE CONFIGURAZIONI:
es: VZI_Base è equivalente a VZI_FR. oppure: VZI_ES è differente da VZI_Base a causa di differenze nella descrizione del sistema di propulsione.
ANALISI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Nota: Spiegazione in italiano: La descrizione delle funzionalità e dei requisiti di sicurezza è stata adattata per garantire la comprensibilità e l'accessibilità per tutti gli utenti.
Score equivalenza funzionale: 85/100
Pag. iniziale: parte di pag.13 — Pag. finale: parte di pag.19.</t>
        </is>
      </c>
      <c r="K47" s="455" t="n"/>
      <c r="L47" s="457" t="n"/>
    </row>
    <row r="48" ht="30" customHeight="1" s="579">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79">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79">
      <c r="A50" s="183" t="n"/>
      <c r="B50" s="184" t="n"/>
      <c r="C50" s="184" t="n"/>
      <c r="D50" s="50" t="n"/>
      <c r="E50" s="186" t="inlineStr">
        <is>
          <t>Rif. Pagina</t>
        </is>
      </c>
      <c r="F50" s="50" t="n">
        <v>14</v>
      </c>
      <c r="G50" s="50" t="n"/>
      <c r="H50" s="50" t="n">
        <v>16</v>
      </c>
      <c r="I50" s="50" t="n">
        <v>14</v>
      </c>
      <c r="J50" s="50" t="n">
        <v>19</v>
      </c>
      <c r="K50" s="85" t="n"/>
      <c r="L50" s="50" t="n"/>
    </row>
    <row r="51" outlineLevel="2" s="579">
      <c r="A51" s="183" t="n"/>
      <c r="B51" s="184" t="n"/>
      <c r="C51" s="184" t="n"/>
      <c r="D51" s="434" t="n"/>
      <c r="E51" s="455" t="inlineStr">
        <is>
          <t>Funzioni AI</t>
        </is>
      </c>
      <c r="F51"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pag.14 — Pag. finale: parte di pag.16.</t>
        </is>
      </c>
      <c r="G51" s="456" t="n"/>
      <c r="H51"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pag.16 — Pag. finale: parte di pag.18.</t>
        </is>
      </c>
      <c r="I51"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pag.14 — Pag. finale: parte di pag.16.</t>
        </is>
      </c>
      <c r="J51"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pag.19 — Pag. finale: parte di pag.22.</t>
        </is>
      </c>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4" t="n"/>
      <c r="D54" s="361" t="n"/>
      <c r="E54" s="321" t="inlineStr">
        <is>
          <t>Rif. Pagina</t>
        </is>
      </c>
      <c r="F54" s="322" t="n">
        <v>16</v>
      </c>
      <c r="G54" s="322" t="n"/>
      <c r="H54" s="322" t="n">
        <v>18</v>
      </c>
      <c r="I54" s="322" t="n">
        <v>16</v>
      </c>
      <c r="J54" s="322" t="n">
        <v>22</v>
      </c>
      <c r="K54" s="322" t="n"/>
      <c r="L54" s="322" t="n"/>
    </row>
    <row r="55" outlineLevel="2" customFormat="1" s="13">
      <c r="B55" s="103" t="n"/>
      <c r="C55" s="544" t="n"/>
      <c r="D55" s="458" t="n"/>
      <c r="E55" s="459" t="inlineStr">
        <is>
          <t>Funzioni AI</t>
        </is>
      </c>
      <c r="F55" s="623" t="inlineStr">
        <is>
          <t>Descrizione funzionale in italiano: il sistema di bypass ADD è attivo quando il driver seleziona la posizione 'DC' o 'AC', e il sistema di controllo della pressione (KPS) viene energizzato per evitare isolamento dei pantografi.
CONFRONTO CON ALTRE CONFIGURAZIONI:
es: VZI_Base è equivalente a VZI_FR. oppure: VZI_ES è differente da VZI_Base a causa di differenze minori nelle descrizioni funzionali.
ANALISI FUNZIONALE:
  • Scopo funzionale: IDENTICAL
  • Logica operativa: IDENTICAL
  • Prestazioni: IDENTICAL
  • Comportamento in guasto: IDENTICAL
  • Diagnostica: IDENTICAL
  • Sicurezza: IDENTICAL
Nota: Spiegazione in italiano: le differenze tra i documenti sono minime e non influenzano la funzionalità del sistema di bypass ADD. Pertanto, si considera che tutti i documenti siano equivalenti.
Score equivalenza funzionale: 85/100
Pag. iniziale: parte di pag.16 — Pag. finale: parte di pag.18.</t>
        </is>
      </c>
      <c r="G55" s="460" t="n"/>
      <c r="H55" s="623" t="inlineStr">
        <is>
          <t>Descrizione funzionale in italiano: il sistema di bypass ADD è attivo quando il driver seleziona la posizione 'DC' o 'AC', e il sistema di controllo della pressione (KPS) viene energizzato per evitare isolamento dei pantografi.
CONFRONTO CON ALTRE CONFIGURAZIONI:
es: VZI_Base è equivalente a VZI_FR. oppure: VZI_ES è differente da VZI_Base a causa di differenze minori nelle descrizioni funzionali.
ANALISI FUNZIONALE:
  • Scopo funzionale: IDENTICAL
  • Logica operativa: IDENTICAL
  • Prestazioni: IDENTICAL
  • Comportamento in guasto: IDENTICAL
  • Diagnostica: IDENTICAL
  • Sicurezza: IDENTICAL
Nota: Spiegazione in italiano: le differenze tra i documenti sono minime e non influenzano la funzionalità del sistema di bypass ADD. Pertanto, si considera che tutti i documenti siano equivalenti.
Score equivalenza funzionale: 85/100
Pag. iniziale: parte di pag.18 — Pag. finale: parte di pag.21.</t>
        </is>
      </c>
      <c r="I55" s="623" t="inlineStr">
        <is>
          <t>Descrizione funzionale in italiano: il sistema di bypass ADD è attivo quando il driver seleziona la posizione 'DC' o 'AC', e il sistema di controllo della pressione (KPS) viene energizzato per evitare isolamento dei pantografi.
CONFRONTO CON ALTRE CONFIGURAZIONI:
es: VZI_Base è equivalente a VZI_FR. oppure: VZI_ES è differente da VZI_Base a causa di differenze minori nelle descrizioni funzionali.
ANALISI FUNZIONALE:
  • Scopo funzionale: IDENTICAL
  • Logica operativa: IDENTICAL
  • Prestazioni: IDENTICAL
  • Comportamento in guasto: IDENTICAL
  • Diagnostica: IDENTICAL
  • Sicurezza: IDENTICAL
Nota: Spiegazione in italiano: le differenze tra i documenti sono minime e non influenzano la funzionalità del sistema di bypass ADD. Pertanto, si considera che tutti i documenti siano equivalenti.
Score equivalenza funzionale: 85/100
Pag. iniziale: parte di pag.16 — Pag. finale: parte di pag.21.</t>
        </is>
      </c>
      <c r="J55" s="623" t="inlineStr">
        <is>
          <t>Descrizione funzionale in italiano: il sistema di bypass ADD è attivo quando il driver seleziona la posizione 'DC' o 'AC', e il sistema di controllo della pressione (KPS) viene energizzato per evitare isolamento dei pantografi.
CONFRONTO CON ALTRE CONFIGURAZIONI:
es: VZI_Base è equivalente a VZI_FR. oppure: VZI_ES è differente da VZI_Base a causa di differenze minori nelle descrizioni funzionali.
ANALISI FUNZIONALE:
  • Scopo funzionale: IDENTICAL
  • Logica operativa: IDENTICAL
  • Prestazioni: IDENTICAL
  • Comportamento in guasto: IDENTICAL
  • Diagnostica: IDENTICAL
  • Sicurezza: IDENTICAL
Nota: Spiegazione in italiano: le differenze tra i documenti sono minime e non influenzano la funzionalità del sistema di bypass ADD. Pertanto, si considera che tutti i documenti siano equivalenti.
Score equivalenza funzionale: 85/100
Pag. iniziale: parte di pag.22 — Pag. finale: parte di pag.26.</t>
        </is>
      </c>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4" t="n"/>
      <c r="D58" s="361" t="n"/>
      <c r="E58" s="321" t="inlineStr">
        <is>
          <t>Rif. Pagina</t>
        </is>
      </c>
      <c r="F58" s="322" t="n">
        <v>18</v>
      </c>
      <c r="G58" s="322" t="n"/>
      <c r="H58" s="322" t="n">
        <v>21</v>
      </c>
      <c r="I58" s="322" t="n">
        <v>21</v>
      </c>
      <c r="J58" s="322" t="n">
        <v>26</v>
      </c>
      <c r="K58" s="322" t="n"/>
      <c r="L58" s="322" t="n"/>
    </row>
    <row r="59" outlineLevel="2" customFormat="1" s="13">
      <c r="B59" s="103" t="n"/>
      <c r="C59" s="544" t="n"/>
      <c r="D59" s="458" t="n"/>
      <c r="E59" s="459" t="inlineStr">
        <is>
          <t>Funzioni AI</t>
        </is>
      </c>
      <c r="F59" s="623" t="inlineStr">
        <is>
          <t>Descrizione funzionale in italiano: il sistema di pantografo è progettato per garantire la sicurezza e l'efficienza durante il trasporto ferroviario.
CONFRONTO CON ALTRE CONFIGURAZIONI:
es: VZI_Base è equivalente a VZI_FR. oppure: VZI_ES è differente da VZI_Base a causa di alcune specifiche tecniche diverse.
ANALISI FUNZIONALE:
  • Scopo funzionale: IDENTICAL
  • Logica operativa: IDENTICAL
  • Prestazioni: IDENTICAL
  • Comportamento in guasto: IDENTICAL
  • Diagnostica: IDENTICAL
  • Sicurezza: IDENTICAL
Nota: Spiegazione in italiano: le differenze tra i diversi documenti sono minime e si tratta principalmente di specifiche tecniche e descrizioni più dettagliate. Il sistema di pantografo è progettato per garantire la sicurezza e l'efficienza durante il trasporto ferroviario, con alcune differenze rispetto ai diversi documenti.
Score equivalenza funzionale: 85/100
Pag. iniziale: parte di pag.18 — Pag. finale: parte di pag.20.</t>
        </is>
      </c>
      <c r="G59" s="460" t="n"/>
      <c r="H59" s="623" t="inlineStr">
        <is>
          <t>Descrizione funzionale in italiano: lo stesso sistema di pantografo del VZI_Base, ma con alcune specifiche tecniche diverse.
CONFRONTO CON ALTRE CONFIGURAZIONI:
es: VZI_Base è equivalente a VZI_FR. oppure: VZI_ES è differente da VZI_Base a causa di alcune specifiche tecniche aggiornate.
ANALISI FUNZIONALE:
  • Scopo funzionale: IDENTICAL
  • Logica operativa: IDENTICAL
  • Prestazioni: IDENTICAL
  • Comportamento in guasto: IDENTICAL
  • Diagnostica: IDENTICAL
  • Sicurezza: IDENTICAL
Nota: Spiegazione in italiano: le differenze tra i diversi documenti sono minime e si tratta principalmente di specifiche tecniche e descrizioni più dettagliate. Il sistema di pantografo è progettato per garantire la sicurezza e l'efficienza durante il trasporto ferroviario, con alcune differenze rispetto ai diversi documenti.
Score equivalenza funzionale: 85/100
Pag. iniziale: parte di pag.21 — Pag. finale: parte di pag.22.</t>
        </is>
      </c>
      <c r="I59" s="623" t="inlineStr">
        <is>
          <t>Descrizione funzionale in italiano: il sistema di pantografo è progettato per garantire la sicurezza e l'efficienza durante il trasporto ferroviario, con alcune differenze rispetto al VZI_Base.
CONFRONTO CON ALTRE CONFIGURAZIONI:
es: VZI_Base è equivalente a VZI_FR. oppure: VZI_ES è differente da VZI_Base a causa di alcune specifiche tecniche diverse e miglioramenti per la sicurezza.
ANALISI FUNZIONALE:
  • Scopo funzionale: IDENTICAL
  • Logica operativa: IDENTICAL
  • Prestazioni: IDENTICAL
  • Comportamento in guasto: IDENTICAL
  • Diagnostica: IDENTICAL
  • Sicurezza: IDENTICAL
Nota: Spiegazione in italiano: le differenze tra i diversi documenti sono minime e si tratta principalmente di specifiche tecniche e descrizioni più dettagliate. Il sistema di pantografo è progettato per garantire la sicurezza e l'efficienza durante il trasporto ferroviario, con alcune differenze rispetto ai diversi documenti.
Score equivalenza funzionale: 85/100
Pag. iniziale: parte di pag.21 — Pag. finale: parte di pag.22.</t>
        </is>
      </c>
      <c r="J59" s="623" t="inlineStr">
        <is>
          <t>Descrizione funzionale in italiano: lo stesso sistema di pantografo del VZI_Base, ma con alcune specifiche tecniche aggiornate e miglioramenti per la sicurezza.
CONFRONTO CON ALTRE CONFIGURAZIONI:
es: VZI_Base è equivalente a VZI_FR. oppure: VZI_ES è differente da VZI_Base a causa di alcune specifiche tecniche aggiornate e miglioramenti per la sicurezza.
ANALISI FUNZIONALE:
  • Scopo funzionale: IDENTICAL
  • Logica operativa: IDENTICAL
  • Prestazioni: IDENTICAL
  • Comportamento in guasto: IDENTICAL
  • Diagnostica: IDENTICAL
  • Sicurezza: IDENTICAL
Nota: Spiegazione in italiano: le differenze tra i diversi documenti sono minime e si tratta principalmente di specifiche tecniche e descrizioni più dettagliate. Il sistema di pantografo è progettato per garantire la sicurezza e l'efficienza durante il trasporto ferroviario, con alcune differenze rispetto ai diversi documenti.
Score equivalenza funzionale: 85/100
Pag. iniziale: parte di pag.26 — Pag. finale: parte di pag.28.</t>
        </is>
      </c>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4" t="n"/>
      <c r="D62" s="361" t="n"/>
      <c r="E62" s="321" t="inlineStr">
        <is>
          <t>Rif. Pagina</t>
        </is>
      </c>
      <c r="F62" s="322" t="n">
        <v>20</v>
      </c>
      <c r="G62" s="322" t="n"/>
      <c r="H62" s="322" t="n">
        <v>22</v>
      </c>
      <c r="I62" s="322" t="n">
        <v>22</v>
      </c>
      <c r="J62" s="322" t="n">
        <v>28</v>
      </c>
      <c r="K62" s="322" t="n"/>
      <c r="L62" s="322" t="n"/>
    </row>
    <row r="63" outlineLevel="2" customFormat="1" s="13">
      <c r="B63" s="103" t="n"/>
      <c r="C63" s="544" t="n"/>
      <c r="D63" s="458" t="n"/>
      <c r="E63" s="459" t="inlineStr">
        <is>
          <t>Funzioni AI</t>
        </is>
      </c>
      <c r="F63" s="622" t="inlineStr">
        <is>
          <t>Analisi non disponibile.
CONFRONTO CON ALTRE CONFIGURAZIONI:
Confronto non disponibile: errore di analisi LLM.
DIFFERENZE PARAMETRICHE (rilevate automaticamente):
  • [states/stati operativi] Solo in VZ_FR: ACTIVE, EMERGENCY
Nota: Errore parsing risposta LLM — classificato come incerto.
⚪ Caso non classificabile: revisione manuale raccomandata.
Score equivalenza funzionale: 50/100
Pag. iniziale: parte di pag.20 — Pag. finale: parte di pag.21.</t>
        </is>
      </c>
      <c r="G63" s="460" t="n"/>
      <c r="H63" s="622" t="inlineStr">
        <is>
          <t>Analisi non disponibile.
CONFRONTO CON ALTRE CONFIGURAZIONI:
Confronto non disponibile: errore di analisi LLM.
DIFFERENZE PARAMETRICHE (rilevate automaticamente):
  • [states/stati operativi] Solo in VZ_FR: ACTIVE, EMERGENCY
Nota: Errore parsing risposta LLM — classificato come incerto.
⚪ Caso non classificabile: revisione manuale raccomandata.
Score equivalenza funzionale: 50/100
Pag. iniziale: parte di pag.22 — Pag. finale: parte di pag.24.</t>
        </is>
      </c>
      <c r="I63" s="622" t="inlineStr">
        <is>
          <t>Analisi non disponibile.
CONFRONTO CON ALTRE CONFIGURAZIONI:
Confronto non disponibile: errore di analisi LLM.
DIFFERENZE PARAMETRICHE (rilevate automaticamente):
  • [states/stati operativi] Solo in VZ_FR: ACTIVE, EMERGENCY
Nota: Errore parsing risposta LLM — classificato come incerto.
⚪ Caso non classificabile: revisione manuale raccomandata.
Score equivalenza funzionale: 50/100
Pag. iniziale: parte di pag.22 — Pag. finale: parte di pag.23.</t>
        </is>
      </c>
      <c r="J63" s="622" t="inlineStr">
        <is>
          <t>Analisi non disponibile.
CONFRONTO CON ALTRE CONFIGURAZIONI:
Confronto non disponibile: errore di analisi LLM.
DIFFERENZE PARAMETRICHE (rilevate automaticamente):
  • [states/stati operativi] Solo in VZ_FR: ACTIVE, EMERGENCY
Nota: Errore parsing risposta LLM — classificato come incerto.
⚪ Caso non classificabile: revisione manuale raccomandata.
Score equivalenza funzionale: 50/100
Pag. iniziale: parte di pag.28 — Pag. finale: parte di pag.29.</t>
        </is>
      </c>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4" t="n"/>
      <c r="D66" s="361" t="n"/>
      <c r="E66" s="321" t="inlineStr">
        <is>
          <t>Rif. Pagina</t>
        </is>
      </c>
      <c r="F66" s="322" t="n">
        <v>21</v>
      </c>
      <c r="G66" s="322" t="n"/>
      <c r="H66" s="322" t="n">
        <v>24</v>
      </c>
      <c r="I66" s="322" t="n">
        <v>23</v>
      </c>
      <c r="J66" s="322" t="n">
        <v>29</v>
      </c>
      <c r="K66" s="322" t="n"/>
      <c r="L66" s="322" t="n"/>
    </row>
    <row r="67" outlineLevel="2" customFormat="1" s="13">
      <c r="B67" s="103" t="n"/>
      <c r="C67" s="544" t="n"/>
      <c r="D67" s="458" t="n"/>
      <c r="E67" s="459" t="inlineStr">
        <is>
          <t>Funzioni AI</t>
        </is>
      </c>
      <c r="F67" s="622" t="inlineStr">
        <is>
          <t>Il controllo della forza statica del pantografo alzato è regolato in base alla velocità, direzione di marcia e posizione del pantografo, utilizzando il sistema di tensione come parametro.
CONFRONTO CON ALTRE CONFIGURAZIONI:
VZI_Base è equivalente a VZI_FR.
ANALISI FUNZIONALE:
  • Scopo funzionale: DIFFERENT
  • Logica operativa: DIFFERENT
  • Prestazioni: DIFFERENT
  • Comportamento in guasto: DIFFERENT
  • Diagnostica: DIFFERENT
  • Sicurezza: DIFFERENT
DIFFERENZE FUNZIONALI RILEVATE:
  • applicabilità di ice-scraping mode vzi-6_r1 ha una specifica applicabilità per l'ice-scraping mode, mentre gli altri documenti non la menzionano esplicitamente.
Nota: I documenti presentano diverse differenze, soprattutto nella specifica applicabilità per l'ice-scraping mode. È importante verificare attentamente le caratteristiche del sistema di tensione e la sua relazione con il controllo della forza statica del pantografo alzato.
⚪ Caso non classificabile: revisione manuale raccomandata.
Score equivalenza funzionale: 0/100
Pag. iniziale: parte di pag.21 — Pag. finale: parte di pag.23.</t>
        </is>
      </c>
      <c r="G67" s="460" t="n"/>
      <c r="H67" s="622" t="inlineStr">
        <is>
          <t>Il controllo della forza statica del pantografo alzato è regolato in base alla velocità, direzione di marcia e posizione del pantografo, utilizzando il sistema di tensione come parametro.
CONFRONTO CON ALTRE CONFIGURAZIONI:
VZI_Base è equivalente a VZI_FR.
ANALISI FUNZIONALE:
  • Scopo funzionale: DIFFERENT
  • Logica operativa: DIFFERENT
  • Prestazioni: DIFFERENT
  • Comportamento in guasto: DIFFERENT
  • Diagnostica: DIFFERENT
  • Sicurezza: DIFFERENT
DIFFERENZE FUNZIONALI RILEVATE:
  • applicabilità di ice-scraping mode vzi-6_r1 ha una specifica applicabilità per l'ice-scraping mode, mentre gli altri documenti non la menzionano esplicitamente.
Nota: I documenti presentano diverse differenze, soprattutto nella specifica applicabilità per l'ice-scraping mode. È importante verificare attentamente le caratteristiche del sistema di tensione e la sua relazione con il controllo della forza statica del pantografo alzato.
⚪ Caso non classificabile: revisione manuale raccomandata.
Score equivalenza funzionale: 0/100
Pag. iniziale: parte di pag.24 — Pag. finale: parte di pag.25.</t>
        </is>
      </c>
      <c r="I67" s="622" t="inlineStr">
        <is>
          <t>Il controllo della forza statica del pantografo alzato è regolato in base alla velocità, direzione di marcia e posizione del pantografo, utilizzando il sistema di tensione come parametro. Tuttavia, la VZI-6_R1 ha una specifica applicabilità per l'ice-scraping mode.
CONFRONTO CON ALTRE CONFIGURAZIONI:
VZI_Base è equivalente a VZI_FR. VZI_ES è differente da VZI_Base a causa della mancanza di specifica applicabilità per l'ice-scraping mode.
ANALISI FUNZIONALE:
  • Scopo funzionale: DIFFERENT
  • Logica operativa: DIFFERENT
  • Prestazioni: DIFFERENT
  • Comportamento in guasto: DIFFERENT
  • Diagnostica: DIFFERENT
  • Sicurezza: DIFFERENT
DIFFERENZE FUNZIONALI RILEVATE:
  • applicabilità di ice-scraping mode vzi-6_r1 ha una specifica applicabilità per l'ice-scraping mode, mentre gli altri documenti non la menzionano esplicitamente.
Nota: I documenti presentano diverse differenze, soprattutto nella specifica applicabilità per l'ice-scraping mode. È importante verificare attentamente le caratteristiche del sistema di tensione e la sua relazione con il controllo della forza statica del pantografo alzato.
⚪ Caso non classificabile: revisione manuale raccomandata.
Score equivalenza funzionale: 0/100
Pag. iniziale: parte di pag.23 — Pag. finale: parte di pag.24.</t>
        </is>
      </c>
      <c r="J67" s="622" t="inlineStr">
        <is>
          <t>Il controllo della forza statica del pantografo alzato è regolato in base alla velocità, direzione di marcia e posizione del pantografo, utilizzando il sistema di tensione come parametro. La VZI-6_R1 ha una specifica applicabilità per l'ice-scraping mode.
CONFRONTO CON ALTRE CONFIGURAZIONI:
VZI_Base è equivalente a VZI_FR. VZI_ES è differente da VZI_Base a causa della mancanza di specifica applicabilità per l'ice-scraping mode.
ANALISI FUNZIONALE:
  • Scopo funzionale: DIFFERENT
  • Logica operativa: DIFFERENT
  • Prestazioni: DIFFERENT
  • Comportamento in guasto: DIFFERENT
  • Diagnostica: DIFFERENT
  • Sicurezza: DIFFERENT
DIFFERENZE FUNZIONALI RILEVATE:
  • applicabilità di ice-scraping mode vzi-6_r1 ha una specifica applicabilità per l'ice-scraping mode, mentre gli altri documenti non la menzionano esplicitamente.
Nota: I documenti presentano diverse differenze, soprattutto nella specifica applicabilità per l'ice-scraping mode. È importante verificare attentamente le caratteristiche del sistema di tensione e la sua relazione con il controllo della forza statica del pantografo alzato.
⚪ Caso non classificabile: revisione manuale raccomandata.
Score equivalenza funzionale: 0/100
Pag. iniziale: parte di pag.29 — Pag. finale: parte di pag.30.</t>
        </is>
      </c>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4" t="n"/>
      <c r="D70" s="361" t="n"/>
      <c r="E70" s="321" t="inlineStr">
        <is>
          <t>Rif. Pagina</t>
        </is>
      </c>
      <c r="F70" s="322" t="n">
        <v>23</v>
      </c>
      <c r="G70" s="322" t="n"/>
      <c r="H70" s="322" t="n">
        <v>25</v>
      </c>
      <c r="I70" s="322" t="n">
        <v>24</v>
      </c>
      <c r="J70" s="322" t="n">
        <v>30</v>
      </c>
      <c r="K70" s="322" t="n"/>
      <c r="L70" s="322" t="n"/>
    </row>
    <row r="71" outlineLevel="2" customFormat="1" s="13">
      <c r="B71" s="103" t="n"/>
      <c r="C71" s="544" t="n"/>
      <c r="D71" s="458" t="n"/>
      <c r="E71" s="459" t="inlineStr">
        <is>
          <t>Funzioni AI</t>
        </is>
      </c>
      <c r="F71" s="623" t="inlineStr">
        <is>
          <t>Descrizione funzionale in italiano: il sistema VZI-6 è progettato per gestire la corrente elettrica con una precisione elevata, garantendo una sicurezza e un'efficienza ottimali.
CONFRONTO CON ALTRE CONFIGURAZIONI:
Lo stesso sistema del VZI-FR. Oppure: lo stesso sistema del VZI-ES a causa di differenze nella progettazione e nell'implementazione.
ANALISI FUNZIONALE:
  • Scopo funzionale: IDENTICAL
  • Logica operativa: IDENTICAL
  • Prestazioni: IDENTICAL
  • Comportamento in guasto: IDENTICAL
  • Diagnostica: IDENTICAL
  • Sicurezza: IDENTICAL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Nota: Spiegazione in italiano: il sistema VZI-6 è stato progettato per garantire una sicurezza e un'efficienza ottimali, con miglioramenti tecnologici e funzionalità aggiuntive nella versione aggiornata (VZI-6_R1).
Score equivalenza funzionale: 85/100
Pag. iniziale: parte di pag.23 — Pag. finale: parte di pag.24.</t>
        </is>
      </c>
      <c r="G71" s="460" t="n"/>
      <c r="H71" s="623" t="inlineStr">
        <is>
          <t>Descrizione funzionale in italiano: lo stesso sistema del VZI-Base, ma con alcune modifiche tecniche per adattarsi alle esigenze specifiche della linea di trasporto.
CONFRONTO CON ALTRE CONFIGURAZIONI:
Lo stesso sistema del VZI-Base. Oppure: diverso dal VZI-Base a causa delle differenze nella progettazione e nell'implementazione.
ANALISI FUNZIONALE:
  • Scopo funzionale: IDENTICAL
  • Logica operativa: IDENTICAL
  • Prestazioni: IDENTICAL
  • Comportamento in guasto: IDENTICAL
  • Diagnostica: IDENTICAL
  • Sicurezza: IDENTICAL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Nota: Spiegazione in italiano: il sistema VZI-6 è stato progettato per garantire una sicurezza e un'efficienza ottimali, con miglioramenti tecnologici e funzionalità aggiuntive nella versione aggiornata (VZI-6_R1).
Score equivalenza funzionale: 85/100
Pag. iniziale: parte di pag.25 — Pag. finale: parte di pag.29.</t>
        </is>
      </c>
      <c r="I71" s="623" t="inlineStr">
        <is>
          <t>Descrizione funzionale in italiano: diverso dal VZI-Base e dal VZ_FR a causa delle differenze nella progettazione e nell'implementazione del sistema.
CONFRONTO CON ALTRE CONFIGURAZIONI:
Diverso dal VZI-Base e dal VZ_FR a causa delle differenze nella progettazione e nell'implementazione del sistema.
ANALISI FUNZIONALE:
  • Scopo funzionale: IDENTICAL
  • Logica operativa: IDENTICAL
  • Prestazioni: IDENTICAL
  • Comportamento in guasto: IDENTICAL
  • Diagnostica: IDENTICAL
  • Sicurezza: IDENTICAL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Nota: Spiegazione in italiano: il sistema VZI-6 è stato progettato per garantire una sicurezza e un'efficienza ottimali, con miglioramenti tecnologici e funzionalità aggiuntive nella versione aggiornata (VZI-6_R1).
Score equivalenza funzionale: 85/100
Pag. iniziale: parte di pag.24 — Pag. finale: parte di pag.27.</t>
        </is>
      </c>
      <c r="J71" s="623" t="inlineStr">
        <is>
          <t>Descrizione funzionale in italiano: versione aggiornata del sistema VZI-6, con miglioramenti tecnologici e funzionalità aggiuntive per aumentare la sicurezza e l'efficienza.
CONFRONTO CON ALTRE CONFIGURAZIONI:
Versione aggiornata dello stesso sistema del VZI-FR. Oppure: diverso dallo stesso sistema del VZI-ES a causa di differenze nella progettazione e nell'implementazione.
ANALISI FUNZIONALE:
  • Scopo funzionale: IDENTICAL
  • Logica operativa: IDENTICAL
  • Prestazioni: IDENTICAL
  • Comportamento in guasto: IDENTICAL
  • Diagnostica: IDENTICAL
  • Sicurezza: IDENTICAL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Nota: Spiegazione in italiano: il sistema VZI-6 è stato progettato per garantire una sicurezza e un'efficienza ottimali, con miglioramenti tecnologici e funzionalità aggiuntive nella versione aggiornata (VZI-6_R1).
Score equivalenza funzionale: 85/100
Pag. iniziale: parte di pag.30 — Pag. finale: parte di pag.36.</t>
        </is>
      </c>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4" t="n"/>
      <c r="D74" s="361" t="n"/>
      <c r="E74" s="321" t="inlineStr">
        <is>
          <t>Rif. Pagina</t>
        </is>
      </c>
      <c r="F74" s="322" t="n">
        <v>25</v>
      </c>
      <c r="G74" s="322" t="n"/>
      <c r="H74" s="322" t="n">
        <v>29</v>
      </c>
      <c r="I74" s="322" t="n">
        <v>27</v>
      </c>
      <c r="J74" s="322" t="n">
        <v>36</v>
      </c>
      <c r="K74" s="322" t="n"/>
      <c r="L74" s="322" t="n"/>
    </row>
    <row r="75" outlineLevel="2" customFormat="1" s="13">
      <c r="B75" s="103" t="n"/>
      <c r="C75" s="544" t="n"/>
      <c r="D75" s="458" t="n"/>
      <c r="E75" s="459" t="inlineStr">
        <is>
          <t>Funzioni AI</t>
        </is>
      </c>
      <c r="F75" s="623" t="inlineStr">
        <is>
          <t>Descrizione funzionale in italiano: il sistema di alimentazione per la linea elettrica (HVSP) è responsabile della fornitura di energia elettrica ai treni. È composto da diversi componenti, tra cui le linee elettriche, i transformatori e gli impianti di controllo.
CONFRONTO CON ALTRE CONFIGURAZIONI:
VZI_FR è equivalente a causa di una descrizione più concisa e sintetica.
ANALISI FUNZIONALE:
  • Scopo funzionale: IDENTICAL
  • Logica operativa: IDENTICAL
  • Prestazioni: IDENTICAL
  • Comportamento in guasto: IDENTICAL
  • Diagnostica: IDENTICAL
  • Sicurezza: IDENTICAL
DIFFERENZE PARAMETRICHE (rilevate automaticamente):
  • [thresholds/parametri numerici] Solo in VZI-6_R1: 100ms, 1800a, 1s, 50a, 50hz
Nota: Il sistema di alimentazione per la linea elettrica (HVSP) è stato oggetto di revisione e aggiornamento per garantire una descrizione più precisa e completa. Le diverse versioni presentano piccole differenze nella terminologia utilizzata, ma tutte condividono lo stesso scopo e funzionalità.
Score equivalenza funzionale: 85/100
Pag. iniziale: parte di pag.25 — Pag. finale: parte di pag.27.</t>
        </is>
      </c>
      <c r="G75" s="460" t="n"/>
      <c r="H75" s="623" t="inlineStr">
        <is>
          <t>Descrizione funzionale in italiano: identica a VZI_Base
CONFRONTO CON ALTRE CONFIGURAZIONI:
VZI_Base è equivalente a causa di una descrizione più dettagliata e completa.
ANALISI FUNZIONALE:
  • Scopo funzionale: IDENTICAL
  • Logica operativa: IDENTICAL
  • Prestazioni: IDENTICAL
  • Comportamento in guasto: IDENTICAL
  • Diagnostica: IDENTICAL
  • Sicurezza: IDENTICAL
DIFFERENZE PARAMETRICHE (rilevate automaticamente):
  • [thresholds/parametri numerici] Solo in VZI-6_R1: 100ms, 1800a, 1s, 50a, 50hz
Nota: Il sistema di alimentazione per la linea elettrica (HVSP) è stato oggetto di revisione e aggiornamento per garantire una descrizione più precisa e completa. Le diverse versioni presentano piccole differenze nella terminologia utilizzata, ma tutte condividono lo stesso scopo e funzionalità.
Score equivalenza funzionale: 85/100
Pag. iniziale: parte di pag.29 — Pag. finale: parte di pag.31.</t>
        </is>
      </c>
      <c r="I75" s="623" t="inlineStr">
        <is>
          <t>Descrizione funzionale in italiano: identica a VZI_Base
CONFRONTO CON ALTRE CONFIGURAZIONI:
VZI_Base è diverso da VZI_FR a causa della presenza di termini tecnici specifici.
ANALISI FUNZIONALE:
  • Scopo funzionale: IDENTICAL
  • Logica operativa: IDENTICAL
  • Prestazioni: IDENTICAL
  • Comportamento in guasto: IDENTICAL
  • Diagnostica: IDENTICAL
  • Sicurezza: IDENTICAL
DIFFERENZE PARAMETRICHE (rilevate automaticamente):
  • [thresholds/parametri numerici] Solo in VZI-6_R1: 100ms, 1800a, 1s, 50a, 50hz
Nota: Il sistema di alimentazione per la linea elettrica (HVSP) è stato oggetto di revisione e aggiornamento per garantire una descrizione più precisa e completa. Le diverse versioni presentano piccole differenze nella terminologia utilizzata, ma tutte condividono lo stesso scopo e funzionalità.
Score equivalenza funzionale: 85/100
Pag. iniziale: parte di pag.27 — Pag. finale: parte di pag.29.</t>
        </is>
      </c>
      <c r="J75" s="623" t="inlineStr">
        <is>
          <t>Descrizione funzionale in italiano: identica a VZI_Base
CONFRONTO CON ALTRE CONFIGURAZIONI:
VZI_Base è equivalente a causa di una revisione e un aggiornamento del testo.
ANALISI FUNZIONALE:
  • Scopo funzionale: IDENTICAL
  • Logica operativa: IDENTICAL
  • Prestazioni: IDENTICAL
  • Comportamento in guasto: IDENTICAL
  • Diagnostica: IDENTICAL
  • Sicurezza: IDENTICAL
DIFFERENZE PARAMETRICHE (rilevate automaticamente):
  • [thresholds/parametri numerici] Solo in VZI-6_R1: 100ms, 1800a, 1s, 50a, 50hz
Nota: Il sistema di alimentazione per la linea elettrica (HVSP) è stato oggetto di revisione e aggiornamento per garantire una descrizione più precisa e completa. Le diverse versioni presentano piccole differenze nella terminologia utilizzata, ma tutte condividono lo stesso scopo e funzionalità.
Score equivalenza funzionale: 85/100
Pag. iniziale: parte di pag.36 — Pag. finale: parte di pag.39.</t>
        </is>
      </c>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4" t="n"/>
      <c r="D78" s="361" t="n"/>
      <c r="E78" s="321" t="inlineStr">
        <is>
          <t>Rif. Pagina</t>
        </is>
      </c>
      <c r="F78" s="322" t="n">
        <v>27</v>
      </c>
      <c r="G78" s="322" t="n"/>
      <c r="H78" s="322" t="n">
        <v>31</v>
      </c>
      <c r="I78" s="322" t="n">
        <v>29</v>
      </c>
      <c r="J78" s="322" t="n">
        <v>39</v>
      </c>
      <c r="K78" s="322" t="n"/>
      <c r="L78" s="322" t="n"/>
    </row>
    <row r="79" outlineLevel="2" customFormat="1" s="13">
      <c r="B79" s="103" t="n"/>
      <c r="C79" s="544" t="n"/>
      <c r="D79" s="458" t="n"/>
      <c r="E79" s="459" t="inlineStr">
        <is>
          <t>Funzioni AI</t>
        </is>
      </c>
      <c r="F79" s="623" t="inlineStr">
        <is>
          <t>Descrizione funzionale in italiano: il sistema di alimentazione per pantografi elettrici (HVSP) è responsabile della fornitura di energia elettrica ai pantografi, garantendo una corretta funzione del sistema.
CONFRONTO CON ALTRE CONFIGURAZIONI:
VZI_Base è equivalente a VZI_FR. Oppure, VZI_ES è differente da VZI_Base a causa della specifica menzione dell'operazione di bypass in caso di errore HVSP.
ANALISI FUNZIONALE:
  • Scopo funzionale: IDENTICAL
  • Logica operativa: IDENTICAL
  • Prestazioni: IDENTICAL
  • Comportamento in guasto: IDENTICAL
  • Diagnostica: IDENTICAL
  • Sicurezza: IDENTICAL
DIFFERENZE PARAMETRICHE (rilevate automaticamente):
  • [thresholds/parametri numerici] Solo in VZI_Base: 30s, 45s, 75s
  • [thresholds/parametri numerici] Solo in VZI-6_R1: 1a, 2kv, 3kv, 450v, 800ms
  • [thresholds/parametri numerici] Solo in VZ_FR: 30s, 45s, 75s
  • [thresholds/parametri numerici] Solo in VZ_ES: 30s, 45s, 75s
Nota: Spiegazione: le differenze riscontrate sono legate alla specifica menzione dell'operazione di bypass in caso di errore HVSP, che è presente solo nella versione VZI_ES. Tuttavia, entrambe le versioni condividono la stessa funzionale principale.
Score equivalenza funzionale: 85/100
Pag. iniziale: parte di pag.27 — Pag. finale: parte di pag.29.</t>
        </is>
      </c>
      <c r="G79" s="460" t="n"/>
      <c r="H79" s="623" t="inlineStr">
        <is>
          <t>Descrizione funzionale in italiano: lo stesso come VZI_Base
CONFRONTO CON ALTRE CONFIGURAZIONI:
VZI_Base è equivalente a VZI_FR
ANALISI FUNZIONALE:
  • Scopo funzionale: IDENTICAL
  • Logica operativa: IDENTICAL
  • Prestazioni: IDENTICAL
  • Comportamento in guasto: IDENTICAL
  • Diagnostica: IDENTICAL
  • Sicurezza: IDENTICAL
DIFFERENZE PARAMETRICHE (rilevate automaticamente):
  • [thresholds/parametri numerici] Solo in VZI_Base: 30s, 45s, 75s
  • [thresholds/parametri numerici] Solo in VZI-6_R1: 1a, 2kv, 3kv, 450v, 800ms
  • [thresholds/parametri numerici] Solo in VZ_FR: 30s, 45s, 75s
  • [thresholds/parametri numerici] Solo in VZ_ES: 30s, 45s, 75s
Nota: Spiegazione: le differenze riscontrate sono legate alla specifica menzione dell'operazione di bypass in caso di errore HVSP, che è presente solo nella versione VZI_ES. Tuttavia, entrambe le versioni condividono la stessa funzionale principale.
Score equivalenza funzionale: 85/100
Pag. iniziale: parte di pag.31 — Pag. finale: parte di pag.34.</t>
        </is>
      </c>
      <c r="I79" s="623" t="inlineStr">
        <is>
          <t>Descrizione funzionale in italiano: identico a VZI_Base
CONFRONTO CON ALTRE CONFIGURAZIONI:
VZI_Base è equivalente a VZI_FR. Oppure, VZI_ES è differente da VZI_Base a causa della specifica menzione dell'operazione di bypass in caso di errore HVSP.
ANALISI FUNZIONALE:
  • Scopo funzionale: IDENTICAL
  • Logica operativa: IDENTICAL
  • Prestazioni: IDENTICAL
  • Comportamento in guasto: IDENTICAL
  • Diagnostica: IDENTICAL
  • Sicurezza: IDENTICAL
DIFFERENZE PARAMETRICHE (rilevate automaticamente):
  • [thresholds/parametri numerici] Solo in VZI_Base: 30s, 45s, 75s
  • [thresholds/parametri numerici] Solo in VZI-6_R1: 1a, 2kv, 3kv, 450v, 800ms
  • [thresholds/parametri numerici] Solo in VZ_FR: 30s, 45s, 75s
  • [thresholds/parametri numerici] Solo in VZ_ES: 30s, 45s, 75s
Nota: Spiegazione: le differenze riscontrate sono legate alla specifica menzione dell'operazione di bypass in caso di errore HVSP, che è presente solo nella versione VZI_ES. Tuttavia, entrambe le versioni condividono la stessa funzionale principale.
Score equivalenza funzionale: 85/100
Pag. iniziale: parte di pag.29 — Pag. finale: parte di pag.31.</t>
        </is>
      </c>
      <c r="J79" s="623" t="inlineStr">
        <is>
          <t>Descrizione funzionale in italiano: identico a VZI_Base
CONFRONTO CON ALTRE CONFIGURAZIONI:
VZI_Base è equivalente a VZI_FR. Oppure, VZI_ES è differente da VZI_Base a causa della specifica menzione dell'operazione di bypass in caso di errore HVSP.
ANALISI FUNZIONALE:
  • Scopo funzionale: IDENTICAL
  • Logica operativa: IDENTICAL
  • Prestazioni: IDENTICAL
  • Comportamento in guasto: IDENTICAL
  • Diagnostica: IDENTICAL
  • Sicurezza: IDENTICAL
DIFFERENZE PARAMETRICHE (rilevate automaticamente):
  • [thresholds/parametri numerici] Solo in VZI_Base: 30s, 45s, 75s
  • [thresholds/parametri numerici] Solo in VZI-6_R1: 1a, 2kv, 3kv, 450v, 800ms
  • [thresholds/parametri numerici] Solo in VZ_FR: 30s, 45s, 75s
  • [thresholds/parametri numerici] Solo in VZ_ES: 30s, 45s, 75s
Nota: Spiegazione: le differenze riscontrate sono legate alla specifica menzione dell'operazione di bypass in caso di errore HVSP, che è presente solo nella versione VZI_ES. Tuttavia, entrambe le versioni condividono la stessa funzionale principale.
Score equivalenza funzionale: 85/100
Pag. iniziale: parte di pag.39 — Pag. finale: parte di pag.42.</t>
        </is>
      </c>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4" t="n"/>
      <c r="D82" s="361" t="n"/>
      <c r="E82" s="321" t="inlineStr">
        <is>
          <t>Rif. Pagina</t>
        </is>
      </c>
      <c r="F82" s="322" t="n">
        <v>29</v>
      </c>
      <c r="G82" s="322" t="n"/>
      <c r="H82" s="322" t="n">
        <v>34</v>
      </c>
      <c r="I82" s="322" t="n">
        <v>31</v>
      </c>
      <c r="J82" s="322" t="n">
        <v>42</v>
      </c>
      <c r="K82" s="322" t="n"/>
      <c r="L82" s="322" t="n"/>
    </row>
    <row r="83" outlineLevel="2" customFormat="1" s="13">
      <c r="B83" s="103" t="n"/>
      <c r="C83" s="544" t="n"/>
      <c r="D83" s="458" t="n"/>
      <c r="E83" s="459" t="inlineStr">
        <is>
          <t>Funzioni AI</t>
        </is>
      </c>
      <c r="F83" s="623" t="inlineStr">
        <is>
          <t>Descrizione funzionale in italiano: il sistema di protezione contro i armonici di 50Hz deve essere bypassato quando il controllore TCMS lo richiede.
CONFRONTO CON ALTRE CONFIGURAZIONI:
VZI_Base è equivalente a VZI_FR. Oppure: VZI_ES è differente da VZI_Base a causa della specificazione del codice di sicurezza SIL.
ANALISI FUNZIONALE:
  • Scopo funzionale: IDENTICAL
  • Logica operativa: IDENTICAL
  • Prestazioni: IDENTICAL
  • Comportamento in guasto: IDENTICAL
  • Diagnostica: IDENTICAL
  • Sicurezza: IDENTICAL
Nota: Spiegazione in italiano: i diversi documenti presentano la stessa funzionalità, ma con alcune differenze nella specificazione del codice di sicurezza SIL e nella descrizione delle opzioni di bypass. Queste differenze non influiscono sulla funzionalità generale del sistema.
Score equivalenza funzionale: 85/100
Pag. iniziale: parte di pag.29 — Pag. finale: parte di pag.30.</t>
        </is>
      </c>
      <c r="G83" s="460" t="n"/>
      <c r="H83" s="623" t="inlineStr">
        <is>
          <t>Descrizione funzionale in italiano: il sistema di protezione contro i armonici di 50Hz deve essere bypassato quando il controllore TCMS lo richiede.
CONFRONTO CON ALTRE CONFIGURAZIONI:
VZI_Base è equivalente a VZI_FR. Oppure: VZI_ES è differente da VZI_Base a causa della specificazione del codice di sicurezza SIL.
ANALISI FUNZIONALE:
  • Scopo funzionale: IDENTICAL
  • Logica operativa: IDENTICAL
  • Prestazioni: IDENTICAL
  • Comportamento in guasto: IDENTICAL
  • Diagnostica: IDENTICAL
  • Sicurezza: IDENTICAL
Nota: Spiegazione in italiano: i diversi documenti presentano la stessa funzionalità, ma con alcune differenze nella specificazione del codice di sicurezza SIL e nella descrizione delle opzioni di bypass. Queste differenze non influiscono sulla funzionalità generale del sistema.
Score equivalenza funzionale: 85/100
Pag. iniziale: parte di pag.34 — Pag. finale: parte di pag.35.</t>
        </is>
      </c>
      <c r="I83" s="623" t="inlineStr">
        <is>
          <t>Descrizione funzionale in italiano: il sistema di protezione contro i armonici di 50Hz deve essere bypassato quando il controllore TCMS lo richiede.
CONFRONTO CON ALTRE CONFIGURAZIONI:
VZI_Base è equivalente a VZI_FR. Oppure: VZI_ES è differente da VZI_Base a causa della specificazione del codice di sicurezza SIL.
ANALISI FUNZIONALE:
  • Scopo funzionale: IDENTICAL
  • Logica operativa: IDENTICAL
  • Prestazioni: IDENTICAL
  • Comportamento in guasto: IDENTICAL
  • Diagnostica: IDENTICAL
  • Sicurezza: IDENTICAL
Nota: Spiegazione in italiano: i diversi documenti presentano la stessa funzionalità, ma con alcune differenze nella specificazione del codice di sicurezza SIL e nella descrizione delle opzioni di bypass. Queste differenze non influiscono sulla funzionalità generale del sistema.
Score equivalenza funzionale: 85/100
Pag. iniziale: parte di pag.31 — Pag. finale: parte di pag.32.</t>
        </is>
      </c>
      <c r="J83" s="623" t="inlineStr">
        <is>
          <t>Descrizione funzionale in italiano: il sistema di protezione contro i armonici di 50Hz deve essere bypassato quando il controllore TCMS lo richiede.
CONFRONTO CON ALTRE CONFIGURAZIONI:
VZI_Base è equivalente a VZI_FR. Oppure: VZI_ES è differente da VZI_Base a causa della specificazione del codice di sicurezza SIL.
ANALISI FUNZIONALE:
  • Scopo funzionale: IDENTICAL
  • Logica operativa: IDENTICAL
  • Prestazioni: IDENTICAL
  • Comportamento in guasto: IDENTICAL
  • Diagnostica: IDENTICAL
  • Sicurezza: IDENTICAL
Nota: Spiegazione in italiano: i diversi documenti presentano la stessa funzionalità, ma con alcune differenze nella specificazione del codice di sicurezza SIL e nella descrizione delle opzioni di bypass. Queste differenze non influiscono sulla funzionalità generale del sistema.
Score equivalenza funzionale: 85/100
Pag. iniziale: parte di pag.42 — Pag. finale: parte di pag.43.</t>
        </is>
      </c>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4" t="n"/>
      <c r="D86" s="361" t="n"/>
      <c r="E86" s="321" t="inlineStr">
        <is>
          <t>Rif. Pagina</t>
        </is>
      </c>
      <c r="F86" s="322" t="n">
        <v>30</v>
      </c>
      <c r="G86" s="322" t="n"/>
      <c r="H86" s="322" t="n">
        <v>35</v>
      </c>
      <c r="I86" s="322" t="n">
        <v>32</v>
      </c>
      <c r="J86" s="322" t="n">
        <v>43</v>
      </c>
      <c r="K86" s="322" t="n"/>
      <c r="L86" s="322" t="n"/>
    </row>
    <row r="87" outlineLevel="2" customFormat="1" s="13">
      <c r="B87" s="103" t="n"/>
      <c r="C87" s="544" t="n"/>
      <c r="D87" s="458" t="n"/>
      <c r="E87" s="459" t="inlineStr">
        <is>
          <t>Funzioni AI</t>
        </is>
      </c>
      <c r="F87" s="623" t="inlineStr">
        <is>
          <t>Descrizione funzionale in italiano: il sistema di alimentazione elettrica per la linea ferroviaria, progettato per garantire una sicurezza elevata e un'efficienza ottimale.
CONFRONTO CON ALTRE CONFIGURAZIONI:
è equivalente a VZI_FR. oppure: è differente da VZI_ES a causa della specificità del mercato spagnolo.
ANALISI FUNZIONALE:
  • Scopo funzionale: IDENTICAL
  • Logica operativa: IDENTICAL
  • Prestazioni: IDENTICAL
  • Comportamento in guasto: IDENTICAL
  • Diagnostica: IDENTICAL
  • Sicurezza: IDENTICAL
Nota: Il sistema di alimentazione elettrica per la linea ferroviaria è progettato per garantire una sicurezza elevata e un'efficienza ottimale, indipendentemente dal mercato in cui viene utilizzato.
Score equivalenza funzionale: 85/100
Pag. iniziale: parte di pag.30 — Pag. finale: parte di pag.34.</t>
        </is>
      </c>
      <c r="G87" s="460" t="n"/>
      <c r="H87" s="623" t="inlineStr">
        <is>
          <t>Descrizione funzionale in italiano: lo stesso della VZI_Base.
CONFRONTO CON ALTRE CONFIGURAZIONI:
è equivalente a VZI_Base.
ANALISI FUNZIONALE:
  • Scopo funzionale: IDENTICAL
  • Logica operativa: IDENTICAL
  • Prestazioni: IDENTICAL
  • Comportamento in guasto: IDENTICAL
  • Diagnostica: IDENTICAL
  • Sicurezza: IDENTICAL
Nota: Il sistema di alimentazione elettrica per la linea ferroviaria è progettato per garantire una sicurezza elevata e un'efficienza ottimale, indipendentemente dal mercato in cui viene utilizzato.
Score equivalenza funzionale: 85/100
Pag. iniziale: parte di pag.35 — Pag. finale: parte di pag.39.</t>
        </is>
      </c>
      <c r="I87" s="623" t="inlineStr">
        <is>
          <t>Descrizione funzionale in italiano: identico alla VZI_Base, ma con alcune specifiche aggiuntive per il mercato spagnolo.
CONFRONTO CON ALTRE CONFIGURAZIONI:
è differente da VZI_Base a causa delle specifiche aggiuntive per il mercato spagnolo.
ANALISI FUNZIONALE:
  • Scopo funzionale: IDENTICAL
  • Logica operativa: IDENTICAL
  • Prestazioni: IDENTICAL
  • Comportamento in guasto: IDENTICAL
  • Diagnostica: IDENTICAL
  • Sicurezza: IDENTICAL
Nota: Il sistema di alimentazione elettrica per la linea ferroviaria è progettato per garantire una sicurezza elevata e un'efficienza ottimale, indipendentemente dal mercato in cui viene utilizzato.
Score equivalenza funzionale: 85/100
Pag. iniziale: parte di pag.32 — Pag. finale: parte di pag.35.</t>
        </is>
      </c>
      <c r="J87" s="623" t="inlineStr">
        <is>
          <t>Descrizione funzionale in italiano: la versione 6 del sistema di alimentazione elettrica per la linea ferroviaria, con miglioramenti tecnologici e sicurezza.
CONFRONTO CON ALTRE CONFIGURAZIONI:
è equivalente a VZI_Base.
ANALISI FUNZIONALE:
  • Scopo funzionale: IDENTICAL
  • Logica operativa: IDENTICAL
  • Prestazioni: IDENTICAL
  • Comportamento in guasto: IDENTICAL
  • Diagnostica: IDENTICAL
  • Sicurezza: IDENTICAL
Nota: Il sistema di alimentazione elettrica per la linea ferroviaria è progettato per garantire una sicurezza elevata e un'efficienza ottimale, indipendentemente dal mercato in cui viene utilizzato.
Score equivalenza funzionale: 85/100
Pag. iniziale: parte di pag.43 — Pag. finale: parte di pag.47.</t>
        </is>
      </c>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4" t="n"/>
      <c r="D90" s="361" t="n"/>
      <c r="E90" s="321" t="inlineStr">
        <is>
          <t>Rif. Pagina</t>
        </is>
      </c>
      <c r="F90" s="322" t="n">
        <v>34</v>
      </c>
      <c r="G90" s="322" t="n"/>
      <c r="H90" s="322" t="n">
        <v>39</v>
      </c>
      <c r="I90" s="322" t="n">
        <v>35</v>
      </c>
      <c r="J90" s="322" t="n">
        <v>47</v>
      </c>
      <c r="K90" s="322" t="n"/>
      <c r="L90" s="322" t="n"/>
    </row>
    <row r="91" outlineLevel="2" customFormat="1" s="13">
      <c r="B91" s="103" t="n"/>
      <c r="C91" s="544" t="n"/>
      <c r="D91" s="458" t="n"/>
      <c r="E91" s="459" t="inlineStr">
        <is>
          <t>Funzioni AI</t>
        </is>
      </c>
      <c r="F91" s="624" t="inlineStr">
        <is>
          <t>Analisi non disponibile.
CONFRONTO CON ALTRE CONFIGURAZIONI:
Confronto non disponibile: errore di analisi LLM.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Nota: Errore parsing risposta LLM — classificato come incerto.
Score equivalenza funzionale: 50/100
Pag. iniziale: parte di pag.34 — Pag. finale: parte di pag.35.</t>
        </is>
      </c>
      <c r="G91" s="460" t="n"/>
      <c r="H91" s="624" t="inlineStr">
        <is>
          <t>Analisi non disponibile.
CONFRONTO CON ALTRE CONFIGURAZIONI:
Confronto non disponibile: errore di analisi LLM.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Nota: Errore parsing risposta LLM — classificato come incerto.
Score equivalenza funzionale: 50/100
Pag. iniziale: parte di pag.39 — Pag. finale: parte di pag.42.</t>
        </is>
      </c>
      <c r="I91" s="624" t="inlineStr">
        <is>
          <t>Analisi non disponibile.
CONFRONTO CON ALTRE CONFIGURAZIONI:
Confronto non disponibile: errore di analisi LLM.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Nota: Errore parsing risposta LLM — classificato come incerto.
Score equivalenza funzionale: 50/100
Pag. iniziale: parte di pag.35 — Pag. finale: parte di pag.38.</t>
        </is>
      </c>
      <c r="J91" s="624" t="inlineStr">
        <is>
          <t>Analisi non disponibile.
CONFRONTO CON ALTRE CONFIGURAZIONI:
Confronto non disponibile: errore di analisi LLM.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Nota: Errore parsing risposta LLM — classificato come incerto.
Score equivalenza funzionale: 50/100
Pag. iniziale: parte di pag.47 — Pag. finale: parte di pag.50.</t>
        </is>
      </c>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4" t="n"/>
      <c r="D94" s="361" t="n"/>
      <c r="E94" s="321" t="inlineStr">
        <is>
          <t>Rif. Pagina</t>
        </is>
      </c>
      <c r="F94" s="322" t="n">
        <v>37</v>
      </c>
      <c r="G94" s="322" t="n"/>
      <c r="H94" s="322" t="n">
        <v>42</v>
      </c>
      <c r="I94" s="322" t="n">
        <v>38</v>
      </c>
      <c r="J94" s="322" t="n">
        <v>50</v>
      </c>
      <c r="K94" s="322" t="n"/>
      <c r="L94" s="322" t="n"/>
    </row>
    <row r="95" outlineLevel="2" customFormat="1" s="13">
      <c r="B95" s="103" t="n"/>
      <c r="C95" s="544" t="n"/>
      <c r="D95" s="458" t="n"/>
      <c r="E95" s="459" t="inlineStr">
        <is>
          <t>Funzioni AI</t>
        </is>
      </c>
      <c r="F95" s="623" t="inlineStr">
        <is>
          <t>Descrizione funzionale in italiano: il sistema di controllo della linea deve essere chiuso solo se la tensione elettrica è presente, altrimenti si attiva un procedimento automatico per spegnere l'alimentazione.
CONFRONTO CON ALTRE CONFIGURAZIONI:
è equivalente a VZI_FR. oppure: VZI_ES è differente da VZI_Base a causa di differenze tecniche minori.
ANALISI FUNZIONALE:
  • Scopo funzionale: IDENTICAL
  • Logica operativa: IDENTICAL
  • Prestazioni: IDENTICAL
  • Comportamento in guasto: IDENTICAL
  • Diagnostica: IDENTICAL
  • Sicurezza: IDENTICAL
Nota: Spiegazione in italiano: le differenze tra i documenti sono minime e si riferiscono solo a piccole variazioni linguistiche e sintattiche. Il contenuto dei documenti è identico e rappresenta la stessa funzionale.
Score equivalenza funzionale: 85/100
Pag. iniziale: parte di pag.37 — Pag. finale: parte di pag.40.</t>
        </is>
      </c>
      <c r="G95" s="460" t="n"/>
      <c r="H95" s="623" t="inlineStr">
        <is>
          <t>Descrizione funzionale in italiano: il sistema di controllo della linea deve essere chiuso solo se la tensione elettrica è presente, altrimenti si attiva un procedimento automatico per spegnere l'alimentazione.
CONFRONTO CON ALTRE CONFIGURAZIONI:
è equivalente a VZI_Base. Oppure, VZI_ES è differente da VZI_Base a causa di differenze tecniche minori.
ANALISI FUNZIONALE:
  • Scopo funzionale: IDENTICAL
  • Logica operativa: IDENTICAL
  • Prestazioni: IDENTICAL
  • Comportamento in guasto: IDENTICAL
  • Diagnostica: IDENTICAL
  • Sicurezza: IDENTICAL
Nota: Spiegazione in italiano: le differenze tra i documenti sono minime e si riferiscono solo a piccole variazioni linguistiche e sintattiche. Il contenuto dei documenti è identico e rappresenta la stessa funzionale.
Score equivalenza funzionale: 85/100
Pag. iniziale: parte di pag.42 — Pag. finale: parte di pag.46.</t>
        </is>
      </c>
      <c r="I95" s="623" t="inlineStr">
        <is>
          <t>Descrizione funzionale in italiano: il sistema di controllo della linea deve essere chiuso solo se la tensione elettrica è presente, altrimenti si attiva un procedimento automatico per spegnere l'alimentazione.
CONFRONTO CON ALTRE CONFIGURAZIONI:
è equivalente a VZI_Base. Oppure, VZI_FR è differente da VZI_Base a causa di differenze tecniche minori.
ANALISI FUNZIONALE:
  • Scopo funzionale: IDENTICAL
  • Logica operativa: IDENTICAL
  • Prestazioni: IDENTICAL
  • Comportamento in guasto: IDENTICAL
  • Diagnostica: IDENTICAL
  • Sicurezza: IDENTICAL
Nota: Spiegazione in italiano: le differenze tra i documenti sono minime e si riferiscono solo a piccole variazioni linguistiche e sintattiche. Il contenuto dei documenti è identico e rappresenta la stessa funzionale.
Score equivalenza funzionale: 85/100
Pag. iniziale: parte di pag.38 — Pag. finale: parte di pag.42.</t>
        </is>
      </c>
      <c r="J95" s="623" t="inlineStr">
        <is>
          <t>Descrizione funzionale in italiano: il sistema di controllo della linea deve essere chiuso solo se la tensione elettrica è presente, altrimenti si attiva un procedimento automatico per spegnere l'alimentazione.
CONFRONTO CON ALTRE CONFIGURAZIONI:
è equivalente a VZI_Base. Oppure, VZI_FR è differente da VZI_Base a causa di differenze tecniche minori.
ANALISI FUNZIONALE:
  • Scopo funzionale: IDENTICAL
  • Logica operativa: IDENTICAL
  • Prestazioni: IDENTICAL
  • Comportamento in guasto: IDENTICAL
  • Diagnostica: IDENTICAL
  • Sicurezza: IDENTICAL
Nota: Spiegazione in italiano: le differenze tra i documenti sono minime e si riferiscono solo a piccole variazioni linguistiche e sintattiche. Il contenuto dei documenti è identico e rappresenta la stessa funzionale.
Score equivalenza funzionale: 85/100
Pag. iniziale: parte di pag.50 — Pag. finale: parte di pag.56.</t>
        </is>
      </c>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4" t="n"/>
      <c r="D98" s="361" t="n"/>
      <c r="E98" s="321" t="inlineStr">
        <is>
          <t>Rif. Pagina</t>
        </is>
      </c>
      <c r="F98" s="322" t="n">
        <v>40</v>
      </c>
      <c r="G98" s="322" t="n"/>
      <c r="H98" s="322" t="n">
        <v>46</v>
      </c>
      <c r="I98" s="322" t="n">
        <v>42</v>
      </c>
      <c r="J98" s="322" t="n">
        <v>56</v>
      </c>
      <c r="K98" s="322" t="n"/>
      <c r="L98" s="322" t="n"/>
    </row>
    <row r="99" outlineLevel="2" customFormat="1" s="13">
      <c r="B99" s="103" t="n"/>
      <c r="C99" s="544" t="n"/>
      <c r="D99" s="458" t="n"/>
      <c r="E99" s="459" t="inlineStr">
        <is>
          <t>Funzioni AI</t>
        </is>
      </c>
      <c r="F99" s="623" t="inlineStr">
        <is>
          <t>Descrizione funzionale in italiano: il sistema di alimentazione è progettato per interrompere la fornitura di energia in caso di allarme di incendio, con un'interruzione del circuito di linea e una riapertura successiva.
CONFRONTO CON ALTRE CONFIGURAZIONI:
è equivalente a VZI_FR. oppure: è differente da VZI_Base a causa della specifica 'line trip test' in VZI-6_R1.
ANALISI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Nota: Spiegazione: le differenze riscontrate sono legate alla specifica 'line trip test' presente nella versione VZI-6_R1, che richiede un'interruzione del circuito di linea e una riapertura successiva in caso di allarme di incendio.
Score equivalenza funzionale: 85/100
Pag. iniziale: parte di pag.40 — Pag. finale: parte di pag.45.</t>
        </is>
      </c>
      <c r="G99" s="460" t="n"/>
      <c r="H99" s="623" t="inlineStr">
        <is>
          <t>Descrizione funzionale in italiano: Il sistema di alimentazione è progettato per interrompere la fornitura di energia in caso di allarme di incendio, con un'interruzione del circuito di linea e una riapertura successiva.
CONFRONTO CON ALTRE CONFIGURAZIONI:
è equivalente a VZI_Base.
ANALISI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Nota: Spiegazione: le differenze riscontrate sono legate alla specifica 'line trip test' presente nella versione VZI-6_R1, che richiede un'interruzione del circuito di linea e una riapertura successiva in caso di allarme di incendio.
Score equivalenza funzionale: 85/100
Pag. iniziale: parte di pag.46 — Pag. finale: parte di pag.52.</t>
        </is>
      </c>
      <c r="I99" s="623" t="inlineStr">
        <is>
          <t>Descrizione funzionale in italiano: Il sistema di alimentazione è progettato per interrompere la fornitura di energia in caso di allarme di incendio, con un'interruzione del circuito di linea e una riapertura successiva.
CONFRONTO CON ALTRE CONFIGURAZIONI:
è differente da VZI_Base a causa della specifica 'line trip test' in VZI-6_R1.
ANALISI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Nota: Spiegazione: le differenze riscontrate sono legate alla specifica 'line trip test' presente nella versione VZI-6_R1, che richiede un'interruzione del circuito di linea e una riapertura successiva in caso di allarme di incendio.
Score equivalenza funzionale: 85/100
Pag. iniziale: parte di pag.42 — Pag. finale: parte di pag.47.</t>
        </is>
      </c>
      <c r="J99" s="623" t="inlineStr">
        <is>
          <t>Descrizione funzionale in italiano: Il sistema di alimentazione è progettato per interrompere la fornitura di energia in caso di allarme di incendio, con un'interruzione del circuito di linea e una riapertura successiva.
CONFRONTO CON ALTRE CONFIGURAZIONI:
è equivalente a VZI_Base.
ANALISI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Nota: Spiegazione: le differenze riscontrate sono legate alla specifica 'line trip test' presente nella versione VZI-6_R1, che richiede un'interruzione del circuito di linea e una riapertura successiva in caso di allarme di incendio.
Score equivalenza funzionale: 85/100
Pag. iniziale: parte di pag.56 — Pag. finale: parte di pag.61.</t>
        </is>
      </c>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4" t="n"/>
      <c r="D102" s="361" t="n"/>
      <c r="E102" s="321" t="inlineStr">
        <is>
          <t>Rif. Pagina</t>
        </is>
      </c>
      <c r="F102" s="322" t="n">
        <v>45</v>
      </c>
      <c r="G102" s="322" t="n"/>
      <c r="H102" s="322" t="n">
        <v>52</v>
      </c>
      <c r="I102" s="322" t="n">
        <v>47</v>
      </c>
      <c r="J102" s="322" t="n">
        <v>61</v>
      </c>
      <c r="K102" s="322" t="n"/>
      <c r="L102" s="322" t="n"/>
    </row>
    <row r="103" outlineLevel="2" customFormat="1" s="13">
      <c r="B103" s="103" t="n"/>
      <c r="C103" s="544" t="n"/>
      <c r="D103" s="458" t="n"/>
      <c r="E103" s="459" t="inlineStr">
        <is>
          <t>Funzioni AI</t>
        </is>
      </c>
      <c r="F10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pag.45 — Pag. finale: parte di pag.48.</t>
        </is>
      </c>
      <c r="G103" s="460" t="n"/>
      <c r="H10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pag.52 — Pag. finale: parte di pag.54.</t>
        </is>
      </c>
      <c r="I10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pag.47 — Pag. finale: parte di pag.49.</t>
        </is>
      </c>
      <c r="J103" s="622" t="inlineStr">
        <is>
          <t>Analisi non disponibile.
CONFRONTO CON ALTRE CONFIGURAZIONI:
Confronto non disponibile: errore di analisi LLM.
Nota: Errore parsing risposta LLM — classificato come incerto.
⚪ Caso non classificabile: revisione manuale raccomandata.
Score equivalenza funzionale: 50/100
Pag. iniziale: parte di pag.61 — Pag. finale: parte di pag.64.</t>
        </is>
      </c>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4" t="n"/>
      <c r="D106" s="361" t="n"/>
      <c r="E106" s="321" t="inlineStr">
        <is>
          <t>Rif. Pagina</t>
        </is>
      </c>
      <c r="F106" s="322" t="n"/>
      <c r="G106" s="322" t="n"/>
      <c r="H106" s="322" t="n"/>
      <c r="I106" s="322" t="n"/>
      <c r="J106" s="322" t="n">
        <v>65</v>
      </c>
      <c r="K106" s="322" t="n"/>
      <c r="L106" s="322" t="n"/>
    </row>
    <row r="107" outlineLevel="2" customFormat="1" s="13">
      <c r="B107" s="103" t="n"/>
      <c r="C107" s="544" t="n"/>
      <c r="D107" s="458" t="n"/>
      <c r="E107" s="459" t="inlineStr">
        <is>
          <t>Funzioni AI</t>
        </is>
      </c>
      <c r="F107" s="460" t="n"/>
      <c r="G107" s="460" t="n"/>
      <c r="H107" s="460" t="n"/>
      <c r="I107" s="460" t="n"/>
      <c r="J107" s="622" t="inlineStr">
        <is>
          <t>Main Transformer cooling control The main transformer is cooled by running the transformer oil pump and cooling fans The transformer oil cooling fan control manages two fan modules for half train at two different speed depending on the oil temperature and vehicle speed. The fans can be controlled individually. In order to reduce the load of a single auxiliary converter, at start up the start time
Unica configurazione — nessun confronto effettuato.
Pag. iniziale: parte di pag.65 — Pag. finale: parte di pag.68.</t>
        </is>
      </c>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4" t="n"/>
      <c r="D110" s="361" t="n"/>
      <c r="E110" s="321" t="inlineStr">
        <is>
          <t>Rif. Pagina</t>
        </is>
      </c>
      <c r="F110" s="322" t="n"/>
      <c r="G110" s="322" t="n"/>
      <c r="H110" s="322" t="n"/>
      <c r="I110" s="322" t="n"/>
      <c r="J110" s="322" t="n">
        <v>68</v>
      </c>
      <c r="K110" s="322" t="n"/>
      <c r="L110" s="322" t="n"/>
    </row>
    <row r="111" outlineLevel="2" customFormat="1" s="13">
      <c r="B111" s="103" t="n"/>
      <c r="C111" s="544" t="n"/>
      <c r="D111" s="458" t="n"/>
      <c r="E111" s="459" t="inlineStr">
        <is>
          <t>Funzioni AI</t>
        </is>
      </c>
      <c r="F111" s="460" t="n"/>
      <c r="G111" s="460" t="n"/>
      <c r="H111" s="460" t="n"/>
      <c r="I111" s="460" t="n"/>
      <c r="J111" s="622" t="inlineStr">
        <is>
          <t>Main Transformer Supervision The main transformer and line inductors temperatures are monitored by oil temperatures, measured by pt100 sensors acquired from TCMS and sent to PCUs, the primary and secondary transformer temperatures calculated from PCU by an algorithm based on oil temperature and primary and secondary transformer current, the line inductors temperatures calculated from PCU by an alg
Unica configurazione — nessun confronto effettuato.
Pag. iniziale: parte di pag.68 — Pag. finale: parte di pag.71.</t>
        </is>
      </c>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4" t="n"/>
      <c r="D114" s="361" t="n"/>
      <c r="E114" s="321" t="inlineStr">
        <is>
          <t>Rif. Pagina</t>
        </is>
      </c>
      <c r="F114" s="322" t="n"/>
      <c r="G114" s="322" t="n"/>
      <c r="H114" s="322" t="n">
        <v>54</v>
      </c>
      <c r="I114" s="322" t="n">
        <v>49</v>
      </c>
      <c r="J114" s="322" t="n">
        <v>71</v>
      </c>
      <c r="K114" s="322" t="n"/>
      <c r="L114" s="322" t="n"/>
    </row>
    <row r="115" outlineLevel="2" customFormat="1" s="13">
      <c r="B115" s="103" t="n"/>
      <c r="C115" s="544" t="n"/>
      <c r="D115" s="458" t="n"/>
      <c r="E115" s="459" t="inlineStr">
        <is>
          <t>Funzioni AI</t>
        </is>
      </c>
      <c r="F115" s="460" t="n"/>
      <c r="G115" s="460" t="n"/>
      <c r="H115" s="623" t="inlineStr">
        <is>
          <t>Descrizione funzionale dell'energia metrica in italiano: il sistema di misurazione dell'energia è un sub-sistema indipendente che lavora senza alcun vincolo con le funzioni del veicolo. Il veicolo fornisce solo potenza ausiliaria da 110V DC e genera eventi se la fornitura di energia viene interrotta.
CONFRONTO CON ALTRE CONFIGURAZIONI:
Es: VZI_Base è equivalente a VZI_FR. Oppure: VZI_ES è differente da VZI_Base a causa della differenza nella descrizione funzionale.
ANALISI FUNZIONALE:
  • Scopo funzionale: IDENTICAL
  • Logica operativa: IDENTICAL
  • Prestazioni: IDENTICAL
  • Comportamento in guasto: IDENTICAL
  • Diagnostica: IDENTICAL
  • Sicurezza: IDENTICAL
DIFFERENZE PARAMETRICHE (rilevate automaticamente):
  • [states/stati operativi] Solo in VZ_ES: ACTIVE, FAILURE
  • [states/stati operativi] Solo in VZI-6_R1: ACTIVE, FAILURE
Nota: Spiegazione in italiano (max 2 frasi): La descrizione funzionale dell'energia metrica è stata modificata per rendere la documentazione più coerente e facile da comprendere. Le differenze tecniche e editoriali sono state eliminate per garantire la completezza della documentazione.
Score equivalenza funzionale: 85/100
Pag. iniziale: parte di pag.54 — Pag. finale: parte di pag.55.</t>
        </is>
      </c>
      <c r="I115" s="623" t="inlineStr">
        <is>
          <t>Descrizione funzionale dell'energia metrica in italiano: il sistema di misurazione dell'energia è un sub-sistema indipendente che lavora senza alcun vincolo con le funzioni del veicolo. Il veicolo fornisce solo potenza ausiliaria da 110V DC e genera eventi se la fornitura di energia viene interrotta.
CONFRONTO CON ALTRE CONFIGURAZIONI:
Es: VZI_Base è equivalente a VZI_FR. Oppure: VZI_ES è differente da VZI_Base a causa della differenza nella descrizione funzionale.
ANALISI FUNZIONALE:
  • Scopo funzionale: IDENTICAL
  • Logica operativa: IDENTICAL
  • Prestazioni: IDENTICAL
  • Comportamento in guasto: IDENTICAL
  • Diagnostica: IDENTICAL
  • Sicurezza: IDENTICAL
DIFFERENZE PARAMETRICHE (rilevate automaticamente):
  • [states/stati operativi] Solo in VZ_ES: ACTIVE, FAILURE
  • [states/stati operativi] Solo in VZI-6_R1: ACTIVE, FAILURE
Nota: Spiegazione in italiano (max 2 frasi): La descrizione funzionale dell'energia metrica è stata modificata per rendere la documentazione più coerente e facile da comprendere. Le differenze tecniche e editoriali sono state eliminate per garantire la completezza della documentazione.
Score equivalenza funzionale: 85/100
Pag. iniziale: parte di pag.49 — Pag. finale: parte di pag.51.</t>
        </is>
      </c>
      <c r="J115" s="623" t="inlineStr">
        <is>
          <t>Descrizione funzionale dell'energia metrica in italiano: il sistema di misurazione dell'energia è un sub-sistema indipendente che lavora senza alcun vincolo con le funzioni del veicolo. Il veicolo fornisce solo potenza ausiliaria da 110V DC e genera eventi se la fornitura di energia viene interrotta.
CONFRONTO CON ALTRE CONFIGURAZIONI:
Es: VZI_Base è equivalente a VZI_FR. Oppure: VZI_ES è differente da VZI_Base a causa della differenza nella descrizione funzionale.
ANALISI FUNZIONALE:
  • Scopo funzionale: IDENTICAL
  • Logica operativa: IDENTICAL
  • Prestazioni: IDENTICAL
  • Comportamento in guasto: IDENTICAL
  • Diagnostica: IDENTICAL
  • Sicurezza: IDENTICAL
DIFFERENZE PARAMETRICHE (rilevate automaticamente):
  • [states/stati operativi] Solo in VZ_ES: ACTIVE, FAILURE
  • [states/stati operativi] Solo in VZI-6_R1: ACTIVE, FAILURE
Nota: Spiegazione in italiano (max 2 frasi): La descrizione funzionale dell'energia metrica è stata modificata per rendere la documentazione più coerente e facile da comprendere. Le differenze tecniche e editoriali sono state eliminate per garantire la completezza della documentazione.
Score equivalenza funzionale: 85/100
Pag. iniziale: parte di pag.71 — Pag. finale: parte di pag.73.</t>
        </is>
      </c>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4" t="n"/>
      <c r="D118" s="361" t="n"/>
      <c r="E118" s="321" t="inlineStr">
        <is>
          <t>Rif. Pagina</t>
        </is>
      </c>
      <c r="F118" s="322" t="n">
        <v>48</v>
      </c>
      <c r="G118" s="322" t="n"/>
      <c r="H118" s="322" t="n">
        <v>55</v>
      </c>
      <c r="I118" s="322" t="n">
        <v>51</v>
      </c>
      <c r="J118" s="322" t="n">
        <v>73</v>
      </c>
      <c r="K118" s="322" t="n"/>
      <c r="L118" s="322" t="n"/>
    </row>
    <row r="119" outlineLevel="2" customFormat="1" s="13">
      <c r="B119" s="103" t="n"/>
      <c r="C119" s="544" t="n"/>
      <c r="D119" s="458" t="n"/>
      <c r="E119" s="459" t="inlineStr">
        <is>
          <t>Funzioni AI</t>
        </is>
      </c>
      <c r="F119" s="623" t="inlineStr">
        <is>
          <t>Descrizione funzionale in italiano: il documento descrive le funzionalità e le operazioni del sistema di earthing dei disconnettori HV.
CONFRONTO CON ALTRE CONFIGURAZIONI:
VZI_FR è equivalente a VZI_Base. Tuttavia, VZI_ES presenta alcune differenze significative.
ANALISI FUNZIONALE:
  • Scopo funzionale: IDENTICAL
  • Logica operativa: IDENTICAL
  • Prestazioni: IDENTICAL
  • Comportamento in guasto: IDENTICAL
  • Diagnostica: IDENTICAL
  • Sicurezza: IDENTICAL
Nota: Il documento presenta alcune differenze tecniche e editoriali rispetto alla versione inglese, ma la struttura funzionale rimane identica.
Score equivalenza funzionale: 85/100
Pag. iniziale: parte di pag.48 — Pag. finale: parte di pag.55.</t>
        </is>
      </c>
      <c r="G119" s="460" t="n"/>
      <c r="H119" s="623" t="inlineStr">
        <is>
          <t>Descrizione funzionale in italiano: lo stesso testo del VZI_Base, ma con alcune modifiche per adattarlo al contesto francese.
CONFRONTO CON ALTRE CONFIGURAZIONI:
VZI_Base è equivalente a VZI_FR. Tuttavia, VZI_ES presenta alcune differenze significative.
ANALISI FUNZIONALE:
  • Scopo funzionale: IDENTICAL
  • Logica operativa: IDENTICAL
  • Prestazioni: IDENTICAL
  • Comportamento in guasto: IDENTICAL
  • Diagnostica: IDENTICAL
  • Sicurezza: IDENTICAL
Nota: Il documento presenta alcune differenze tecniche e editoriali rispetto alla versione inglese, ma la struttura funzionale rimane identica.
Score equivalenza funzionale: 85/100
Pag. iniziale: parte di pag.55 — Pag. finale: parte di pag.62.</t>
        </is>
      </c>
      <c r="I119" s="623" t="inlineStr">
        <is>
          <t>Descrizione funzionale in italiano: il documento è stato tradotto in spagnolo e presenta alcune differenze rispetto alla versione inglese.
CONFRONTO CON ALTRE CONFIGURAZIONI:
VZI_Base è equivalente a VZI_FR. Tuttavia, VZI_ES presenta alcune differenze significative.
ANALISI FUNZIONALE:
  • Scopo funzionale: IDENTICAL
  • Logica operativa: IDENTICAL
  • Prestazioni: IDENTICAL
  • Comportamento in guasto: IDENTICAL
  • Diagnostica: IDENTICAL
  • Sicurezza: IDENTICAL
Nota: Il documento presenta alcune differenze tecniche e editoriali rispetto alla versione inglese, ma la struttura funzionale rimane identica.
Score equivalenza funzionale: 85/100
Pag. iniziale: parte di pag.51 — Pag. finale: parte di pag.58.</t>
        </is>
      </c>
      <c r="J119" s="623" t="inlineStr">
        <is>
          <t>Descrizione funzionale in italiano: la versione R1 introduce modifiche significative rispetto alla precedente versione, che richiedono una revisione della documentazione.
CONFRONTO CON ALTRE CONFIGURAZIONI:
VZI_Base è equivalente a VZI_FR. Tuttavia, VZI_ES presenta alcune differenze significative.
ANALISI FUNZIONALE:
  • Scopo funzionale: IDENTICAL
  • Logica operativa: IDENTICAL
  • Prestazioni: IDENTICAL
  • Comportamento in guasto: IDENTICAL
  • Diagnostica: IDENTICAL
  • Sicurezza: IDENTICAL
Nota: Il documento presenta alcune differenze tecniche e editoriali rispetto alla versione inglese, ma la struttura funzionale rimane identica.
Score equivalenza funzionale: 85/100
Pag. iniziale: parte di pag.73 — Pag. finale: parte di pag.80.</t>
        </is>
      </c>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4" t="n"/>
      <c r="D122" s="361" t="n"/>
      <c r="E122" s="321" t="inlineStr">
        <is>
          <t>Rif. Pagina</t>
        </is>
      </c>
      <c r="F122" s="322" t="n">
        <v>49</v>
      </c>
      <c r="G122" s="322" t="n"/>
      <c r="H122" s="322" t="n">
        <v>56</v>
      </c>
      <c r="I122" s="322" t="n">
        <v>52</v>
      </c>
      <c r="J122" s="322" t="n">
        <v>74</v>
      </c>
      <c r="K122" s="322" t="n"/>
      <c r="L122" s="322" t="n"/>
    </row>
    <row r="123" outlineLevel="2" customFormat="1" s="13">
      <c r="B123" s="103" t="n"/>
      <c r="C123" s="544" t="n"/>
      <c r="D123" s="458" t="n"/>
      <c r="E123" s="459" t="inlineStr">
        <is>
          <t>Funzioni AI</t>
        </is>
      </c>
      <c r="F123" s="623" t="inlineStr">
        <is>
          <t>Descrizione funzionale in italiano: il sistema VZI-6 è progettato per gestire la comunicazione tra i componenti elettrici del treno, garantendo una sicurezza e una affidabilità elevata.
CONFRONTO CON ALTRE CONFIGURAZIONI:
es: VZI_Base è equivalente a VZI_FR. oppure: VZI_ES è differente da VZI_Base a causa di modifiche tecniche e di progettazione.
ANALISI FUNZIONALE:
  • Scopo funzionale: IDENTICAL
  • Logica operativa: IDENTICAL
  • Prestazioni: IDENTICAL
  • Comportamento in guasto: IDENTICAL
  • Diagnostica: IDENTICAL
  • Sicurezza: IDENTICAL
Nota: Spiegazione in italiano: il sistema VZI-6 è stato progettato per garantire una sicurezza e una affidabilità elevata, con modifiche tecniche e di progettazione specifiche per le versioni FR e ES.
Score equivalenza funzionale: 85/100
Pag. iniziale: parte di pag.49 — Pag. finale: parte di pag.52.</t>
        </is>
      </c>
      <c r="G123" s="460" t="n"/>
      <c r="H123" s="623" t="inlineStr">
        <is>
          <t>Descrizione funzionale in italiano: lo stesso sistema di VZI-Base, ma con modifiche tecniche specifiche per la versione FR.
CONFRONTO CON ALTRE CONFIGURAZIONI:
es: VZI_Base è equivalente a VZI_FR. oppure: VZI_ES è differente da VZI_Base a causa di modifiche tecniche e di progettazione.
ANALISI FUNZIONALE:
  • Scopo funzionale: IDENTICAL
  • Logica operativa: IDENTICAL
  • Prestazioni: IDENTICAL
  • Comportamento in guasto: IDENTICAL
  • Diagnostica: IDENTICAL
  • Sicurezza: IDENTICAL
Nota: Spiegazione in italiano: il sistema VZI-6 è stato progettato per garantire una sicurezza e una affidabilità elevata, con modifiche tecniche e di progettazione specifiche per le versioni FR e ES.
Score equivalenza funzionale: 85/100
Pag. iniziale: parte di pag.56 — Pag. finale: parte di pag.59.</t>
        </is>
      </c>
      <c r="I123" s="623" t="inlineStr">
        <is>
          <t>Descrizione funzionale in italiano: lo stesso sistema di VZI-Base, ma con modifiche tecniche e di progettazione specifiche per la versione ES.
CONFRONTO CON ALTRE CONFIGURAZIONI:
es: VZI_Base è equivalente a VZI_FR. oppure: VZI_ES è differente da VZI_Base a causa di modifiche tecniche e di progettazione.
ANALISI FUNZIONALE:
  • Scopo funzionale: IDENTICAL
  • Logica operativa: IDENTICAL
  • Prestazioni: IDENTICAL
  • Comportamento in guasto: IDENTICAL
  • Diagnostica: IDENTICAL
  • Sicurezza: IDENTICAL
Nota: Spiegazione in italiano: il sistema VZI-6 è stato progettato per garantire una sicurezza e una affidabilità elevata, con modifiche tecniche e di progettazione specifiche per le versioni FR e ES.
Score equivalenza funzionale: 85/100
Pag. iniziale: parte di pag.52 — Pag. finale: parte di pag.55.</t>
        </is>
      </c>
      <c r="J123" s="623" t="inlineStr">
        <is>
          <t>Descrizione funzionale in italiano: la versione R1 del sistema VZI-6, che include ulteriori miglioramenti tecnici e di sicurezza rispetto alla versione precedente.
CONFRONTO CON ALTRE CONFIGURAZIONI:
es: VZI_Base è equivalente a VZI_FR. oppure: VZI_ES è differente da VZI_Base a causa di modifiche tecniche e di progettazione.
ANALISI FUNZIONALE:
  • Scopo funzionale: IDENTICAL
  • Logica operativa: IDENTICAL
  • Prestazioni: IDENTICAL
  • Comportamento in guasto: IDENTICAL
  • Diagnostica: IDENTICAL
  • Sicurezza: IDENTICAL
Nota: Spiegazione in italiano: il sistema VZI-6 è stato progettato per garantire una sicurezza e una affidabilità elevata, con modifiche tecniche e di progettazione specifiche per le versioni FR e ES.
Score equivalenza funzionale: 85/100
Pag. iniziale: parte di pag.74 — Pag. finale: parte di pag.77.</t>
        </is>
      </c>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4" t="n"/>
      <c r="D126" s="361" t="n"/>
      <c r="E126" s="321" t="inlineStr">
        <is>
          <t>Rif. Pagina</t>
        </is>
      </c>
      <c r="F126" s="322" t="n">
        <v>52</v>
      </c>
      <c r="G126" s="322" t="n"/>
      <c r="H126" s="322" t="n">
        <v>59</v>
      </c>
      <c r="I126" s="322" t="n">
        <v>55</v>
      </c>
      <c r="J126" s="322" t="n">
        <v>77</v>
      </c>
      <c r="K126" s="322" t="n"/>
      <c r="L126" s="322" t="n"/>
    </row>
    <row r="127" outlineLevel="2" customFormat="1" s="13">
      <c r="B127" s="103" t="n"/>
      <c r="C127" s="544" t="n"/>
      <c r="D127" s="458" t="n"/>
      <c r="E127" s="459" t="inlineStr">
        <is>
          <t>Funzioni AI</t>
        </is>
      </c>
      <c r="F127" s="623" t="inlineStr">
        <is>
          <t>Descrizione funzionale in italiano: il documento descrive le funzionalità e i requisiti del sistema VZI-6, coprendo aspetti come l'earthing dei DC-link, la gestione della tensione e la sicurezza.
CONFRONTO CON ALTRE CONFIGURAZIONI:
VZI_Base è equivalente a VZI_FR. oppure: VZI_ES è differente da VZI_Base a causa della presenza di specifiche spiegazioni in italiano.
ANALISI FUNZIONALE:
  • Scopo funzionale: IDENTICAL
  • Logica operativa: IDENTICAL
  • Prestazioni: IDENTICAL
  • Comportamento in guasto: IDENTICAL
  • Diagnostica: IDENTICAL
  • Sicurezza: IDENTICAL
Nota: Il documento presenta una descrizione dettagliata delle funzionalità e dei requisiti del sistema VZI-6, con una spiegazione in italiano che copre aspetti come l'earthing dei DC-link e la sicurezza. Questa descrizione è identica per tutte le versioni (VZI_Base, VZ_FR, VZ_ES, VZI-6_R1) a causa della presenza di specifiche spiegazioni in italiano.
Score equivalenza funzionale: 85/100
Pag. iniziale: parte di pag.52 — Pag. finale: parte di pag.55.</t>
        </is>
      </c>
      <c r="G127" s="460" t="n"/>
      <c r="H127" s="623" t="inlineStr">
        <is>
          <t>Descrizione funzionale in italiano: identica a quella di VZI_Base
CONFRONTO CON ALTRE CONFIGURAZIONI:
VZI_Base è equivalente a VZI_FR
ANALISI FUNZIONALE:
  • Scopo funzionale: IDENTICAL
  • Logica operativa: IDENTICAL
  • Prestazioni: IDENTICAL
  • Comportamento in guasto: IDENTICAL
  • Diagnostica: IDENTICAL
  • Sicurezza: IDENTICAL
Nota: Il documento presenta una descrizione dettagliata delle funzionalità e dei requisiti del sistema VZI-6, con una spiegazione in italiano che copre aspetti come l'earthing dei DC-link e la sicurezza. Questa descrizione è identica per tutte le versioni (VZI_Base, VZ_FR, VZ_ES, VZI-6_R1) a causa della presenza di specifiche spiegazioni in italiano.
Score equivalenza funzionale: 85/100
Pag. iniziale: parte di pag.59 — Pag. finale: parte di pag.62.</t>
        </is>
      </c>
      <c r="I127" s="623" t="inlineStr">
        <is>
          <t>Descrizione funzionale in italiano: identica a quella di VZI_Base
CONFRONTO CON ALTRE CONFIGURAZIONI:
VZI_Base è equivalente a VZI_FR. oppure: VZI_ES è differente da VZI_Base a causa della presenza di specifiche spiegazioni in italiano.
ANALISI FUNZIONALE:
  • Scopo funzionale: IDENTICAL
  • Logica operativa: IDENTICAL
  • Prestazioni: IDENTICAL
  • Comportamento in guasto: IDENTICAL
  • Diagnostica: IDENTICAL
  • Sicurezza: IDENTICAL
Nota: Il documento presenta una descrizione dettagliata delle funzionalità e dei requisiti del sistema VZI-6, con una spiegazione in italiano che copre aspetti come l'earthing dei DC-link e la sicurezza. Questa descrizione è identica per tutte le versioni (VZI_Base, VZ_FR, VZ_ES, VZI-6_R1) a causa della presenza di specifiche spiegazioni in italiano.
Score equivalenza funzionale: 85/100
Pag. iniziale: parte di pag.55 — Pag. finale: parte di pag.58.</t>
        </is>
      </c>
      <c r="J127" s="623" t="inlineStr">
        <is>
          <t>Descrizione funzionale in italiano: identica a quella di VZI_Base
CONFRONTO CON ALTRE CONFIGURAZIONI:
VZI_Base è equivalente a VZI_FR. oppure: VZI_ES è differente da VZI_Base a causa della presenza di specifiche spiegazioni in italiano.
ANALISI FUNZIONALE:
  • Scopo funzionale: IDENTICAL
  • Logica operativa: IDENTICAL
  • Prestazioni: IDENTICAL
  • Comportamento in guasto: IDENTICAL
  • Diagnostica: IDENTICAL
  • Sicurezza: IDENTICAL
Nota: Il documento presenta una descrizione dettagliata delle funzionalità e dei requisiti del sistema VZI-6, con una spiegazione in italiano che copre aspetti come l'earthing dei DC-link e la sicurezza. Questa descrizione è identica per tutte le versioni (VZI_Base, VZ_FR, VZ_ES, VZI-6_R1) a causa della presenza di specifiche spiegazioni in italiano.
Score equivalenza funzionale: 85/100
Pag. iniziale: parte di pag.77 — Pag. finale: parte di pag.80.</t>
        </is>
      </c>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4" t="n"/>
      <c r="D130" s="362" t="n"/>
      <c r="E130" s="324" t="inlineStr">
        <is>
          <t>Rif. Pagina</t>
        </is>
      </c>
      <c r="F130" s="325" t="n">
        <v>55</v>
      </c>
      <c r="G130" s="325" t="n"/>
      <c r="H130" s="325" t="n">
        <v>62</v>
      </c>
      <c r="I130" s="325" t="n">
        <v>58</v>
      </c>
      <c r="J130" s="325" t="n">
        <v>80</v>
      </c>
      <c r="K130" s="325" t="n"/>
      <c r="L130" s="325" t="n"/>
    </row>
    <row r="131" outlineLevel="2" customFormat="1" s="13">
      <c r="B131" s="103" t="n"/>
      <c r="C131" s="544" t="n"/>
      <c r="D131" s="458" t="n"/>
      <c r="E131" s="459" t="inlineStr">
        <is>
          <t>Funzioni AI</t>
        </is>
      </c>
      <c r="F131" s="623" t="inlineStr">
        <is>
          <t>Descrizione funzionale in italiano: il sistema VZI è progettato per gestire la precondizione del veicolo durante la fermata, utilizzando i pantografi e le HVAC per raggiungere una temperatura di 20°C entro 30 minuti.
CONFRONTO CON ALTRE CONFIGURAZIONI:
VZI_FR è equivalente a VZI_Base
ANALISI FUNZIONALE:
  • Scopo funzionale: IDENTICAL
  • Logica operativa: IDENTICAL
  • Prestazioni: IDENTICAL
  • Comportamento in guasto: IDENTICAL
  • Diagnostica: IDENTICAL
  • Sicurezza: IDENTICAL
DIFFERENZE PARAMETRICHE (rilevate automaticamente):
  • [thresholds/parametri numerici] Solo in VZ_FR: 250a, 300a
Nota: Il sistema VZI è progettato per garantire una precondizione sicura e efficiente del veicolo durante la fermata, con un focus sulla gestione dei pantografi e delle HVAC. Le differenze tra le versioni sono minime e riguardano principalmente la specificità delle esigenze di precondizione per i mercati diversi.
Score equivalenza funzionale: 85/100
Pag. iniziale: parte di pag.55 — Pag. finale: parte di pag.58.</t>
        </is>
      </c>
      <c r="G131" s="460" t="n"/>
      <c r="H131" s="623" t="inlineStr">
        <is>
          <t>Descrizione funzionale in italiano: identica a VZI_Base
CONFRONTO CON ALTRE CONFIGURAZIONI:
VZI_ES è diversa da VZI_Base a causa della specificità delle esigenze di precondizione per il mercato spagnolo
ANALISI FUNZIONALE:
  • Scopo funzionale: IDENTICAL
  • Logica operativa: IDENTICAL
  • Prestazioni: IDENTICAL
  • Comportamento in guasto: IDENTICAL
  • Diagnostica: IDENTICAL
  • Sicurezza: IDENTICAL
DIFFERENZE PARAMETRICHE (rilevate automaticamente):
  • [thresholds/parametri numerici] Solo in VZ_FR: 250a, 300a
Nota: Il sistema VZI è progettato per garantire una precondizione sicura e efficiente del veicolo durante la fermata, con un focus sulla gestione dei pantografi e delle HVAC. Le differenze tra le versioni sono minime e riguardano principalmente la specificità delle esigenze di precondizione per i mercati diversi.
Score equivalenza funzionale: 85/100
Pag. iniziale: parte di pag.62 — Pag. finale: parte di pag.66.</t>
        </is>
      </c>
      <c r="I131" s="623" t="inlineStr">
        <is>
          <t>Descrizione funzionale in italiano: diversa da VZI_Base a causa della specificità delle esigenze di precondizione per il mercato spagnolo
CONFRONTO CON ALTRE CONFIGURAZIONI:
VZI-6_R1 è un aggiornamento del sistema VZI per la versione 6, con miglioramenti nella gestione della precondizione e nella sicurezza
ANALISI FUNZIONALE:
  • Scopo funzionale: IDENTICAL
  • Logica operativa: IDENTICAL
  • Prestazioni: IDENTICAL
  • Comportamento in guasto: IDENTICAL
  • Diagnostica: IDENTICAL
  • Sicurezza: IDENTICAL
DIFFERENZE PARAMETRICHE (rilevate automaticamente):
  • [thresholds/parametri numerici] Solo in VZ_FR: 250a, 300a
Nota: Il sistema VZI è progettato per garantire una precondizione sicura e efficiente del veicolo durante la fermata, con un focus sulla gestione dei pantografi e delle HVAC. Le differenze tra le versioni sono minime e riguardano principalmente la specificità delle esigenze di precondizione per i mercati diversi.
Score equivalenza funzionale: 85/100
Pag. iniziale: parte di pag.58 — Pag. finale: parte di pag.61.</t>
        </is>
      </c>
      <c r="J131" s="623" t="inlineStr">
        <is>
          <t>Descrizione funzionale in italiano: aggiornamento del sistema VZI per la versione 6, con miglioramenti nella gestione della precondizione e nella sicurezza
ANALISI FUNZIONALE:
  • Scopo funzionale: IDENTICAL
  • Logica operativa: IDENTICAL
  • Prestazioni: IDENTICAL
  • Comportamento in guasto: IDENTICAL
  • Diagnostica: IDENTICAL
  • Sicurezza: IDENTICAL
DIFFERENZE PARAMETRICHE (rilevate automaticamente):
  • [thresholds/parametri numerici] Solo in VZ_FR: 250a, 300a
Nota: Il sistema VZI è progettato per garantire una precondizione sicura e efficiente del veicolo durante la fermata, con un focus sulla gestione dei pantografi e delle HVAC. Le differenze tra le versioni sono minime e riguardano principalmente la specificità delle esigenze di precondizione per i mercati diversi.
Score equivalenza funzionale: 85/100
Pag. iniziale: parte di pag.80 — Pag. finale: parte di pag.83.</t>
        </is>
      </c>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15" t="n"/>
      <c r="D134" s="365" t="n"/>
      <c r="E134" s="331" t="inlineStr">
        <is>
          <t>Rif. Pagina</t>
        </is>
      </c>
      <c r="F134" s="332" t="n">
        <v>5</v>
      </c>
      <c r="G134" s="332" t="n"/>
      <c r="H134" s="332" t="n">
        <v>5</v>
      </c>
      <c r="I134" s="332" t="n">
        <v>5</v>
      </c>
      <c r="J134" s="332" t="n">
        <v>6</v>
      </c>
      <c r="K134" s="332" t="n"/>
      <c r="L134" s="332" t="n"/>
    </row>
    <row r="135" outlineLevel="2" customFormat="1" s="13">
      <c r="B135" s="103" t="n"/>
      <c r="C135" s="544" t="n"/>
      <c r="D135" s="458" t="n"/>
      <c r="E135" s="459" t="inlineStr">
        <is>
          <t>Funzioni AI</t>
        </is>
      </c>
      <c r="F135" s="623" t="inlineStr">
        <is>
          <t>Descrizione funzionale in italiano: il sistema di alimentazione alternata per la stessa è composto da due unità di 4 carri, connesse a un disconnettore di bus. In ogni unità di 4 carri ci sono due ACM che operano in parallelo e sincrono.
CONFRONTO CON ALTRE CONFIGURAZIONI:
VZI_Base è equivalente a VZI_FR.
ANALISI FUNZIONALE:
  • Scopo funzionale: IDENTICAL
  • Logica operativa: IDENTICAL
  • Prestazioni: IDENTICAL
  • Comportamento in guasto: IDENTICAL
  • Diagnostica: IDENTICAL
  • Sicurezza: IDENTICAL
Nota: Le descrizioni funzionali sono identiche, ma con alcune differenze di sintassi e vocabolario. La scelta del linguaggio è stata fatta per garantire la comprensibilità e la chiarezza delle informazioni.
Score equivalenza funzionale: 85/100
Pag. iniziale: parte di pag.5 — Pag. finale: parte di pag.7.</t>
        </is>
      </c>
      <c r="G135" s="460" t="n"/>
      <c r="H135" s="623" t="inlineStr">
        <is>
          <t>Descrizione funzionale in italiano: lo stesso sistema di alimentazione alternata per la stessa è composto da due unità di 4 carri, connesse a un disconnettore di bus. In ogni unità di 4 carri ci sono due ACM che operano in parallelo e sincrono.
CONFRONTO CON ALTRE CONFIGURAZIONI:
VZI_Base è equivalente a VZI_FR.
ANALISI FUNZIONALE:
  • Scopo funzionale: IDENTICAL
  • Logica operativa: IDENTICAL
  • Prestazioni: IDENTICAL
  • Comportamento in guasto: IDENTICAL
  • Diagnostica: IDENTICAL
  • Sicurezza: IDENTICAL
Nota: Le descrizioni funzionali sono identiche, ma con alcune differenze di sintassi e vocabolario. La scelta del linguaggio è stata fatta per garantire la comprensibilità e la chiarezza delle informazioni.
Score equivalenza funzionale: 85/100
Pag. iniziale: parte di pag.5 — Pag. finale: parte di pag.7.</t>
        </is>
      </c>
      <c r="I135" s="623" t="inlineStr">
        <is>
          <t>Descrizione funzionale in italiano: lo stesso sistema di alimentazione alternata per la stessa è composto da due unità di 4 carri, connesse a un disconnettore di bus. In ogni unità di 4 carri ci sono due ACM che operano in parallelo e sincrono.
CONFRONTO CON ALTRE CONFIGURAZIONI:
VZI_Base è equivalente a VZI_FR. A causa del fatto che le descrizioni funzionali sono identiche, ma con alcune differenze di sintassi e vocabolario.
ANALISI FUNZIONALE:
  • Scopo funzionale: IDENTICAL
  • Logica operativa: IDENTICAL
  • Prestazioni: IDENTICAL
  • Comportamento in guasto: IDENTICAL
  • Diagnostica: IDENTICAL
  • Sicurezza: IDENTICAL
Nota: Le descrizioni funzionali sono identiche, ma con alcune differenze di sintassi e vocabolario. La scelta del linguaggio è stata fatta per garantire la comprensibilità e la chiarezza delle informazioni.
Score equivalenza funzionale: 85/100
Pag. iniziale: parte di pag.5 — Pag. finale: parte di pag.7.</t>
        </is>
      </c>
      <c r="J135" s="623" t="inlineStr">
        <is>
          <t>Descrizione funzionale in italiano: lo stesso sistema di alimentazione alternata per la stessa è composto da due unità di 4 carri, connesse a un disconnettore di bus. In ogni unità di 4 carri ci sono due ACM che operano in parallelo e sincrono.
CONFRONTO CON ALTRE CONFIGURAZIONI:
VZI_Base è equivalente a VZI_FR. A causa del fatto che le descrizioni funzionali sono identiche, ma con alcune differenze di sintassi e vocabolario.
ANALISI FUNZIONALE:
  • Scopo funzionale: IDENTICAL
  • Logica operativa: IDENTICAL
  • Prestazioni: IDENTICAL
  • Comportamento in guasto: IDENTICAL
  • Diagnostica: IDENTICAL
  • Sicurezza: IDENTICAL
Nota: Le descrizioni funzionali sono identiche, ma con alcune differenze di sintassi e vocabolario. La scelta del linguaggio è stata fatta per garantire la comprensibilità e la chiarezza delle informazioni.
Score equivalenza funzionale: 85/100
Pag. iniziale: parte di pag.6 — Pag. finale: parte di pag.8.</t>
        </is>
      </c>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15" t="n"/>
      <c r="D138" s="365" t="n"/>
      <c r="E138" s="331" t="inlineStr">
        <is>
          <t>Rif. Pagina</t>
        </is>
      </c>
      <c r="F138" s="332" t="n">
        <v>7</v>
      </c>
      <c r="G138" s="332" t="n"/>
      <c r="H138" s="332" t="n">
        <v>7</v>
      </c>
      <c r="I138" s="332" t="n">
        <v>7</v>
      </c>
      <c r="J138" s="332" t="n">
        <v>8</v>
      </c>
      <c r="K138" s="332" t="n"/>
      <c r="L138" s="332" t="n"/>
    </row>
    <row r="139" outlineLevel="2" customFormat="1" s="13">
      <c r="B139" s="103" t="n"/>
      <c r="C139" s="544" t="n"/>
      <c r="D139" s="458" t="n"/>
      <c r="E139" s="459" t="inlineStr">
        <is>
          <t>Funzioni AI</t>
        </is>
      </c>
      <c r="F139" s="623" t="inlineStr">
        <is>
          <t>Descrizione funzionale in italiano: il sistema ACM (Auxiliary Converter Module) è responsabile di gestire la conversione della tensione elettrica per alimentare i motori dell'autoferrovia.
CONFRONTO CON ALTRE CONFIGURAZIONI:
es: VZI_Base è equivalente a VZI_FR. oppure: VZI_ES è differente da VZI_Base a causa di...
ANALISI FUNZIONALE:
  • Scopo funzionale: IDENTICAL
  • Logica operativa: IDENTICAL
  • Prestazioni: IDENTICAL
  • Comportamento in guasto: IDENTICAL
  • Diagnostica: IDENTICAL
  • Sicurezza: IDENTICAL
Nota: Spiegazione in italiano: i tre documenti presentano una descrizione simile del sistema ACM, con alcune piccole differenze nella terminologia e nella struttura. Tuttavia, la logica operativa e le prestazioni sono identiche.
Score equivalenza funzionale: 85/100
Pag. iniziale: parte di pag.7 — Pag. finale: parte di pag.9.</t>
        </is>
      </c>
      <c r="G139" s="460" t="n"/>
      <c r="H139" s="513" t="n"/>
      <c r="I139" s="513" t="n"/>
      <c r="J139" s="513" t="n"/>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15" t="n"/>
      <c r="D142" s="365" t="n"/>
      <c r="E142" s="331" t="inlineStr">
        <is>
          <t>Rif. Pagina</t>
        </is>
      </c>
      <c r="F142" s="332" t="n">
        <v>9</v>
      </c>
      <c r="G142" s="332" t="n"/>
      <c r="H142" s="332" t="n">
        <v>9</v>
      </c>
      <c r="I142" s="332" t="n">
        <v>9</v>
      </c>
      <c r="J142" s="332" t="n">
        <v>9</v>
      </c>
      <c r="K142" s="332" t="n"/>
      <c r="L142" s="332" t="n"/>
    </row>
    <row r="143" outlineLevel="2" customFormat="1" s="13">
      <c r="B143" s="103" t="n"/>
      <c r="C143" s="544" t="n"/>
      <c r="D143" s="458" t="n"/>
      <c r="E143" s="459" t="inlineStr">
        <is>
          <t>Funzioni AI</t>
        </is>
      </c>
      <c r="F143" s="513" t="n"/>
      <c r="G143" s="460" t="n"/>
      <c r="H143" s="513" t="n"/>
      <c r="I143" s="513" t="n"/>
      <c r="J143" s="513" t="n"/>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15" t="n"/>
      <c r="D146" s="365" t="n"/>
      <c r="E146" s="331" t="inlineStr">
        <is>
          <t>Rif. Pagina</t>
        </is>
      </c>
      <c r="F146" s="332" t="n">
        <v>10</v>
      </c>
      <c r="G146" s="332" t="n"/>
      <c r="H146" s="332" t="n">
        <v>10</v>
      </c>
      <c r="I146" s="332" t="n">
        <v>10</v>
      </c>
      <c r="J146" s="332" t="n">
        <v>10</v>
      </c>
      <c r="K146" s="332" t="n"/>
      <c r="L146" s="332" t="n"/>
    </row>
    <row r="147" outlineLevel="2" customFormat="1" s="13">
      <c r="B147" s="103" t="n"/>
      <c r="C147" s="544" t="n"/>
      <c r="D147" s="458" t="n"/>
      <c r="E147" s="459" t="inlineStr">
        <is>
          <t>Funzioni AI</t>
        </is>
      </c>
      <c r="F147" s="513" t="n"/>
      <c r="G147" s="460" t="n"/>
      <c r="H147" s="513" t="n"/>
      <c r="I147" s="513" t="n"/>
      <c r="J147" s="513" t="n"/>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15" t="n"/>
      <c r="D150" s="365" t="n"/>
      <c r="E150" s="331" t="inlineStr">
        <is>
          <t>Rif. Pagina</t>
        </is>
      </c>
      <c r="F150" s="332" t="n">
        <v>18</v>
      </c>
      <c r="G150" s="332" t="n"/>
      <c r="H150" s="332" t="n">
        <v>19</v>
      </c>
      <c r="I150" s="332" t="n">
        <v>18</v>
      </c>
      <c r="J150" s="332" t="n">
        <v>18</v>
      </c>
      <c r="K150" s="332" t="n"/>
      <c r="L150" s="332" t="n"/>
    </row>
    <row r="151" outlineLevel="2" customFormat="1" s="13">
      <c r="B151" s="103" t="n"/>
      <c r="C151" s="544" t="n"/>
      <c r="D151" s="458" t="n"/>
      <c r="E151" s="459" t="inlineStr">
        <is>
          <t>Funzioni AI</t>
        </is>
      </c>
      <c r="F151" s="513" t="n"/>
      <c r="G151" s="460" t="n"/>
      <c r="H151" s="513" t="n"/>
      <c r="I151" s="513" t="n"/>
      <c r="J151" s="513" t="n"/>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15" t="n"/>
      <c r="D154" s="365" t="n"/>
      <c r="E154" s="331" t="inlineStr">
        <is>
          <t>Rif. Pagina</t>
        </is>
      </c>
      <c r="F154" s="332" t="n">
        <v>22</v>
      </c>
      <c r="G154" s="332" t="n"/>
      <c r="H154" s="332" t="n">
        <v>23</v>
      </c>
      <c r="I154" s="332" t="n">
        <v>22</v>
      </c>
      <c r="J154" s="332" t="n">
        <v>22</v>
      </c>
      <c r="K154" s="332" t="n"/>
      <c r="L154" s="332" t="n"/>
    </row>
    <row r="155" outlineLevel="2" customFormat="1" s="13">
      <c r="B155" s="103" t="n"/>
      <c r="C155" s="544" t="n"/>
      <c r="D155" s="458" t="n"/>
      <c r="E155" s="459" t="inlineStr">
        <is>
          <t>Funzioni AI</t>
        </is>
      </c>
      <c r="F155" s="513" t="n"/>
      <c r="G155" s="460" t="n"/>
      <c r="H155" s="513" t="n"/>
      <c r="I155" s="513" t="n"/>
      <c r="J155" s="513" t="n"/>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15" t="n"/>
      <c r="D158" s="365" t="n"/>
      <c r="E158" s="331" t="inlineStr">
        <is>
          <t>Rif. Pagina</t>
        </is>
      </c>
      <c r="F158" s="332" t="n">
        <v>23</v>
      </c>
      <c r="G158" s="332" t="n"/>
      <c r="H158" s="332" t="n">
        <v>24</v>
      </c>
      <c r="I158" s="332" t="n">
        <v>23</v>
      </c>
      <c r="J158" s="332" t="n">
        <v>23</v>
      </c>
      <c r="K158" s="332" t="n"/>
      <c r="L158" s="332" t="n"/>
    </row>
    <row r="159" outlineLevel="2" customFormat="1" s="13">
      <c r="B159" s="103" t="n"/>
      <c r="C159" s="544" t="n"/>
      <c r="D159" s="458" t="n"/>
      <c r="E159" s="459" t="inlineStr">
        <is>
          <t>Funzioni AI</t>
        </is>
      </c>
      <c r="F159" s="513" t="n"/>
      <c r="G159" s="460" t="n"/>
      <c r="H159" s="513" t="n"/>
      <c r="I159" s="513" t="n"/>
      <c r="J159" s="514" t="n"/>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4"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4" t="n"/>
      <c r="D163" s="458" t="n"/>
      <c r="E163" s="459" t="inlineStr">
        <is>
          <t>Funzioni AI</t>
        </is>
      </c>
      <c r="F163" s="513" t="n"/>
      <c r="G163" s="460" t="n"/>
      <c r="H163" s="513" t="n"/>
      <c r="I163" s="513" t="n"/>
      <c r="J163" s="513" t="n"/>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79">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79">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4" t="n"/>
      <c r="D167" s="458" t="n"/>
      <c r="E167" s="459" t="inlineStr">
        <is>
          <t>Funzioni AI</t>
        </is>
      </c>
      <c r="F167" s="513" t="n"/>
      <c r="G167" s="460" t="n"/>
      <c r="H167" s="460" t="n"/>
      <c r="I167" s="460" t="n"/>
      <c r="J167" s="513" t="n"/>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79">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79">
      <c r="B170" s="376" t="n"/>
      <c r="D170" s="370" t="n"/>
      <c r="E170" s="348" t="inlineStr">
        <is>
          <t>Rif. Pagina</t>
        </is>
      </c>
      <c r="F170" s="349" t="n">
        <v>9</v>
      </c>
      <c r="G170" s="349" t="n"/>
      <c r="H170" s="349" t="n"/>
      <c r="I170" s="349" t="n"/>
      <c r="J170" s="349" t="n">
        <v>9</v>
      </c>
      <c r="K170" s="349" t="n"/>
      <c r="L170" s="349" t="n"/>
    </row>
    <row r="171" outlineLevel="2" customFormat="1" s="13">
      <c r="B171" s="103" t="n"/>
      <c r="C171" s="544" t="n"/>
      <c r="D171" s="458" t="n"/>
      <c r="E171" s="459" t="inlineStr">
        <is>
          <t>Funzioni AI</t>
        </is>
      </c>
      <c r="F171" s="513" t="n"/>
      <c r="G171" s="460" t="n"/>
      <c r="H171" s="460" t="n"/>
      <c r="I171" s="460" t="n"/>
      <c r="J171" s="513" t="n"/>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79">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79">
      <c r="B174" s="376" t="n"/>
      <c r="D174" s="370" t="n"/>
      <c r="E174" s="348" t="inlineStr">
        <is>
          <t>Rif. Pagina</t>
        </is>
      </c>
      <c r="F174" s="349" t="n">
        <v>11</v>
      </c>
      <c r="G174" s="349" t="n"/>
      <c r="H174" s="349" t="n"/>
      <c r="I174" s="349" t="n"/>
      <c r="J174" s="349" t="n">
        <v>11</v>
      </c>
      <c r="K174" s="349" t="n"/>
      <c r="L174" s="349" t="n"/>
    </row>
    <row r="175" outlineLevel="2" customFormat="1" s="13">
      <c r="B175" s="103" t="n"/>
      <c r="C175" s="544" t="n"/>
      <c r="D175" s="458" t="n"/>
      <c r="E175" s="459" t="inlineStr">
        <is>
          <t>Funzioni AI</t>
        </is>
      </c>
      <c r="F175" s="513" t="n"/>
      <c r="G175" s="460" t="n"/>
      <c r="H175" s="460" t="n"/>
      <c r="I175" s="460" t="n"/>
      <c r="J175" s="513" t="n"/>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79">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79">
      <c r="B178" s="376" t="n"/>
      <c r="D178" s="370" t="n"/>
      <c r="E178" s="348" t="inlineStr">
        <is>
          <t>Rif. Pagina</t>
        </is>
      </c>
      <c r="F178" s="349" t="n">
        <v>16</v>
      </c>
      <c r="G178" s="349" t="n"/>
      <c r="H178" s="349" t="n"/>
      <c r="I178" s="349" t="n"/>
      <c r="J178" s="349" t="n">
        <v>16</v>
      </c>
      <c r="K178" s="349" t="n"/>
      <c r="L178" s="349" t="n"/>
    </row>
    <row r="179" outlineLevel="2" customFormat="1" s="13">
      <c r="B179" s="103" t="n"/>
      <c r="C179" s="544" t="n"/>
      <c r="D179" s="458" t="n"/>
      <c r="E179" s="459" t="inlineStr">
        <is>
          <t>Funzioni AI</t>
        </is>
      </c>
      <c r="F179" s="513" t="n"/>
      <c r="G179" s="460" t="n"/>
      <c r="H179" s="460" t="n"/>
      <c r="I179" s="460" t="n"/>
      <c r="J179" s="513" t="n"/>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79">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79">
      <c r="B182" s="376" t="n"/>
      <c r="D182" s="370" t="n"/>
      <c r="E182" s="348" t="inlineStr">
        <is>
          <t>Rif. Pagina</t>
        </is>
      </c>
      <c r="F182" s="349" t="n">
        <v>19</v>
      </c>
      <c r="G182" s="349" t="n"/>
      <c r="H182" s="349" t="n"/>
      <c r="I182" s="349" t="n"/>
      <c r="J182" s="349" t="n">
        <v>19</v>
      </c>
      <c r="K182" s="349" t="n"/>
      <c r="L182" s="349" t="n"/>
    </row>
    <row r="183" outlineLevel="2" customFormat="1" s="13">
      <c r="B183" s="103" t="n"/>
      <c r="C183" s="544" t="n"/>
      <c r="D183" s="458" t="n"/>
      <c r="E183" s="459" t="inlineStr">
        <is>
          <t>Funzioni AI</t>
        </is>
      </c>
      <c r="F183" s="513" t="n"/>
      <c r="G183" s="460" t="n"/>
      <c r="H183" s="460" t="n"/>
      <c r="I183" s="460" t="n"/>
      <c r="J183" s="513" t="n"/>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79">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79">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4" t="n"/>
      <c r="D187" s="458" t="n"/>
      <c r="E187" s="459" t="inlineStr">
        <is>
          <t>Funzioni AI</t>
        </is>
      </c>
      <c r="F187" s="513" t="n"/>
      <c r="G187" s="460" t="n"/>
      <c r="H187" s="460" t="n"/>
      <c r="I187" s="460" t="n"/>
      <c r="J187" s="513" t="n"/>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79">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79">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4" t="n"/>
      <c r="D191" s="458" t="n"/>
      <c r="E191" s="459" t="inlineStr">
        <is>
          <t>Funzioni AI</t>
        </is>
      </c>
      <c r="F191" s="513" t="n"/>
      <c r="G191" s="513" t="n"/>
      <c r="H191" s="460" t="n"/>
      <c r="I191" s="460" t="n"/>
      <c r="J191" s="513" t="n"/>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79">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79">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4" t="n"/>
      <c r="D195" s="458" t="n"/>
      <c r="E195" s="459" t="inlineStr">
        <is>
          <t>Funzioni AI</t>
        </is>
      </c>
      <c r="F195" s="513" t="n"/>
      <c r="G195" s="513" t="n"/>
      <c r="H195" s="460" t="n"/>
      <c r="I195" s="460" t="n"/>
      <c r="J195" s="513" t="n"/>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79">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79">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4" t="n"/>
      <c r="D199" s="458" t="n"/>
      <c r="E199" s="459" t="inlineStr">
        <is>
          <t>Funzioni AI</t>
        </is>
      </c>
      <c r="F199" s="513" t="n"/>
      <c r="G199" s="513" t="n"/>
      <c r="H199" s="460" t="n"/>
      <c r="I199" s="460" t="n"/>
      <c r="J199" s="513" t="n"/>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79">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79">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4" t="n"/>
      <c r="D203" s="458" t="n"/>
      <c r="E203" s="459" t="inlineStr">
        <is>
          <t>Funzioni AI</t>
        </is>
      </c>
      <c r="F203" s="513" t="n"/>
      <c r="G203" s="513" t="n"/>
      <c r="H203" s="460" t="n"/>
      <c r="I203" s="460" t="n"/>
      <c r="J203" s="513" t="n"/>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79">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79">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4" t="n"/>
      <c r="D207" s="458" t="n"/>
      <c r="E207" s="459" t="inlineStr">
        <is>
          <t>Funzioni AI</t>
        </is>
      </c>
      <c r="F207" s="513" t="n"/>
      <c r="G207" s="513" t="n"/>
      <c r="H207" s="460" t="n"/>
      <c r="I207" s="460" t="n"/>
      <c r="J207" s="513" t="n"/>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79">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79">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4" t="n"/>
      <c r="D211" s="458" t="n"/>
      <c r="E211" s="459" t="inlineStr">
        <is>
          <t>Funzioni AI</t>
        </is>
      </c>
      <c r="F211" s="513" t="n"/>
      <c r="G211" s="513" t="n"/>
      <c r="H211" s="460" t="n"/>
      <c r="I211" s="460" t="n"/>
      <c r="J211" s="513" t="n"/>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79">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79">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4" t="n"/>
      <c r="D215" s="458" t="n"/>
      <c r="E215" s="459" t="inlineStr">
        <is>
          <t>Funzioni AI</t>
        </is>
      </c>
      <c r="F215" s="513" t="n"/>
      <c r="G215" s="513" t="n"/>
      <c r="H215" s="460" t="n"/>
      <c r="I215" s="460" t="n"/>
      <c r="J215" s="513" t="n"/>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79">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79">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4" t="n"/>
      <c r="D219" s="458" t="n"/>
      <c r="E219" s="459" t="inlineStr">
        <is>
          <t>Funzioni AI</t>
        </is>
      </c>
      <c r="F219" s="465" t="n"/>
      <c r="G219" s="515" t="n"/>
      <c r="H219" s="460" t="n"/>
      <c r="I219" s="460" t="n"/>
      <c r="J219" s="515" t="n"/>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79">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79">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4" t="n"/>
      <c r="D223" s="458" t="n"/>
      <c r="E223" s="459" t="inlineStr">
        <is>
          <t>Funzioni AI</t>
        </is>
      </c>
      <c r="F223" s="513" t="n"/>
      <c r="G223" s="460" t="n"/>
      <c r="H223" s="513" t="n"/>
      <c r="I223" s="513" t="n"/>
      <c r="J223" s="513" t="n"/>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79">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79">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4" t="n"/>
      <c r="D227" s="458" t="n"/>
      <c r="E227" s="459" t="inlineStr">
        <is>
          <t>Funzioni AI</t>
        </is>
      </c>
      <c r="F227" s="513" t="n"/>
      <c r="G227" s="460" t="n"/>
      <c r="H227" s="513" t="n"/>
      <c r="I227" s="513" t="n"/>
      <c r="J227" s="513" t="n"/>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79">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79">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4" t="n"/>
      <c r="D231" s="458" t="n"/>
      <c r="E231" s="459" t="inlineStr">
        <is>
          <t>Funzioni AI</t>
        </is>
      </c>
      <c r="F231" s="513" t="n"/>
      <c r="G231" s="460" t="n"/>
      <c r="H231" s="513" t="n"/>
      <c r="I231" s="513" t="n"/>
      <c r="J231" s="513" t="n"/>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79">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79">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4" t="n"/>
      <c r="D235" s="458" t="n"/>
      <c r="E235" s="459" t="inlineStr">
        <is>
          <t>Funzioni AI</t>
        </is>
      </c>
      <c r="F235" s="513" t="n"/>
      <c r="G235" s="460" t="n"/>
      <c r="H235" s="513" t="n"/>
      <c r="I235" s="513" t="n"/>
      <c r="J235" s="513" t="n"/>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79">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79">
      <c r="B238" s="376" t="n"/>
      <c r="D238" s="373" t="n"/>
      <c r="E238" s="356" t="inlineStr">
        <is>
          <t>Rif. Pagina</t>
        </is>
      </c>
      <c r="F238" s="357" t="n">
        <v>97</v>
      </c>
      <c r="G238" s="357" t="n"/>
      <c r="H238" s="357" t="n">
        <v>102</v>
      </c>
      <c r="I238" s="357" t="n">
        <v>93</v>
      </c>
      <c r="J238" s="357" t="n">
        <v>136</v>
      </c>
      <c r="K238" s="357" t="n"/>
      <c r="L238" s="357" t="n"/>
    </row>
    <row r="239" outlineLevel="2" s="579">
      <c r="B239" s="376" t="n"/>
      <c r="D239" s="357" t="n"/>
      <c r="E239" s="459" t="inlineStr">
        <is>
          <t>Funzioni AI</t>
        </is>
      </c>
      <c r="F239" s="516" t="n"/>
      <c r="G239" s="463" t="n"/>
      <c r="H239" s="516" t="n"/>
      <c r="I239" s="516" t="n"/>
      <c r="J239" s="516" t="n"/>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79">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79">
      <c r="B242" s="376" t="n"/>
      <c r="D242" s="373" t="n"/>
      <c r="E242" s="356" t="inlineStr">
        <is>
          <t>Rif. Pagina</t>
        </is>
      </c>
      <c r="F242" s="357" t="n">
        <v>117</v>
      </c>
      <c r="G242" s="357" t="n"/>
      <c r="H242" s="357" t="n">
        <v>127</v>
      </c>
      <c r="I242" s="357" t="n">
        <v>113</v>
      </c>
      <c r="J242" s="357" t="n">
        <v>154</v>
      </c>
      <c r="K242" s="357" t="n"/>
      <c r="L242" s="357" t="n"/>
    </row>
    <row r="243" outlineLevel="2" s="579">
      <c r="B243" s="376" t="n"/>
      <c r="D243" s="357" t="n"/>
      <c r="E243" s="459" t="inlineStr">
        <is>
          <t>Funzioni AI</t>
        </is>
      </c>
      <c r="F243" s="516" t="n"/>
      <c r="G243" s="463" t="n"/>
      <c r="H243" s="516" t="n"/>
      <c r="I243" s="516" t="n"/>
      <c r="J243" s="516" t="n"/>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79">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79">
      <c r="B246" s="376" t="n"/>
      <c r="D246" s="373" t="n"/>
      <c r="E246" s="356" t="inlineStr">
        <is>
          <t>Rif. Pagina</t>
        </is>
      </c>
      <c r="F246" s="357" t="n">
        <v>131</v>
      </c>
      <c r="G246" s="357" t="n"/>
      <c r="H246" s="357" t="n">
        <v>142</v>
      </c>
      <c r="I246" s="357" t="n">
        <v>131</v>
      </c>
      <c r="J246" s="357" t="n">
        <v>171</v>
      </c>
      <c r="K246" s="357" t="n"/>
      <c r="L246" s="357" t="n"/>
    </row>
    <row r="247" outlineLevel="2" s="579">
      <c r="B247" s="376" t="n"/>
      <c r="D247" s="357" t="n"/>
      <c r="E247" s="459" t="inlineStr">
        <is>
          <t>Funzioni AI</t>
        </is>
      </c>
      <c r="F247" s="516" t="n"/>
      <c r="G247" s="463" t="n"/>
      <c r="H247" s="516" t="n"/>
      <c r="I247" s="516" t="n"/>
      <c r="J247" s="516" t="n"/>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79">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79">
      <c r="B250" s="376" t="n"/>
      <c r="D250" s="373" t="n"/>
      <c r="E250" s="356" t="inlineStr">
        <is>
          <t>Rif. Pagina</t>
        </is>
      </c>
      <c r="F250" s="357" t="n">
        <v>145</v>
      </c>
      <c r="G250" s="357" t="n"/>
      <c r="H250" s="357" t="n">
        <v>157</v>
      </c>
      <c r="I250" s="357" t="n">
        <v>144</v>
      </c>
      <c r="J250" s="357" t="n">
        <v>189</v>
      </c>
      <c r="K250" s="357" t="n"/>
      <c r="L250" s="357" t="n"/>
    </row>
    <row r="251" outlineLevel="2" s="579">
      <c r="B251" s="376" t="n"/>
      <c r="D251" s="357" t="n"/>
      <c r="E251" s="459" t="inlineStr">
        <is>
          <t>Funzioni AI</t>
        </is>
      </c>
      <c r="F251" s="517" t="n"/>
      <c r="G251" s="463" t="n"/>
      <c r="H251" s="517" t="n"/>
      <c r="I251" s="517" t="n"/>
      <c r="J251" s="517" t="n"/>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79">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79">
      <c r="B254" s="376" t="n"/>
      <c r="D254" s="373" t="n"/>
      <c r="E254" s="356" t="inlineStr">
        <is>
          <t>Rif. Pagina</t>
        </is>
      </c>
      <c r="F254" s="357" t="n">
        <v>153</v>
      </c>
      <c r="G254" s="357" t="n"/>
      <c r="H254" s="357" t="n">
        <v>165</v>
      </c>
      <c r="I254" s="357" t="n">
        <v>166</v>
      </c>
      <c r="J254" s="357" t="n">
        <v>192</v>
      </c>
      <c r="K254" s="357" t="n"/>
      <c r="L254" s="357" t="n"/>
    </row>
    <row r="255" outlineLevel="2" s="579">
      <c r="B255" s="376" t="n"/>
      <c r="D255" s="357" t="n"/>
      <c r="E255" s="459" t="inlineStr">
        <is>
          <t>Funzioni AI</t>
        </is>
      </c>
      <c r="F255" s="516" t="n"/>
      <c r="G255" s="463" t="n"/>
      <c r="H255" s="516" t="n"/>
      <c r="I255" s="516" t="n"/>
      <c r="J255" s="516" t="n"/>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79">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79">
      <c r="B258" s="376" t="n"/>
      <c r="D258" s="373" t="n"/>
      <c r="E258" s="356" t="inlineStr">
        <is>
          <t>Rif. Pagina</t>
        </is>
      </c>
      <c r="F258" s="357" t="n">
        <v>163</v>
      </c>
      <c r="G258" s="357" t="n"/>
      <c r="H258" s="357" t="n">
        <v>173</v>
      </c>
      <c r="I258" s="357" t="n">
        <v>177</v>
      </c>
      <c r="J258" s="357" t="n">
        <v>204</v>
      </c>
      <c r="K258" s="357" t="n"/>
      <c r="L258" s="357" t="n"/>
    </row>
    <row r="259" outlineLevel="2" s="579">
      <c r="B259" s="376" t="n"/>
      <c r="D259" s="357" t="n"/>
      <c r="E259" s="459" t="inlineStr">
        <is>
          <t>Funzioni AI</t>
        </is>
      </c>
      <c r="F259" s="516" t="n"/>
      <c r="G259" s="463" t="n"/>
      <c r="H259" s="516" t="n"/>
      <c r="I259" s="516" t="n"/>
      <c r="J259" s="516" t="n"/>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79">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79">
      <c r="B262" s="376" t="n"/>
      <c r="D262" s="373" t="n"/>
      <c r="E262" s="356" t="inlineStr">
        <is>
          <t>Rif. Pagina</t>
        </is>
      </c>
      <c r="F262" s="357" t="n">
        <v>172</v>
      </c>
      <c r="G262" s="357" t="n"/>
      <c r="H262" s="357" t="n">
        <v>184</v>
      </c>
      <c r="I262" s="357" t="n">
        <v>186</v>
      </c>
      <c r="J262" s="357" t="n">
        <v>213</v>
      </c>
      <c r="K262" s="357" t="n"/>
      <c r="L262" s="357" t="n"/>
    </row>
    <row r="263" outlineLevel="2" s="579">
      <c r="B263" s="376" t="n"/>
      <c r="D263" s="357" t="n"/>
      <c r="E263" s="459" t="inlineStr">
        <is>
          <t>Funzioni AI</t>
        </is>
      </c>
      <c r="F263" s="516" t="n"/>
      <c r="G263" s="463" t="n"/>
      <c r="H263" s="516" t="n"/>
      <c r="I263" s="516" t="n"/>
      <c r="J263" s="516" t="n"/>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79">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79">
      <c r="B266" s="376" t="n"/>
      <c r="D266" s="373" t="n"/>
      <c r="E266" s="356" t="inlineStr">
        <is>
          <t>Rif. Pagina</t>
        </is>
      </c>
      <c r="F266" s="357" t="n">
        <v>224</v>
      </c>
      <c r="G266" s="357" t="n"/>
      <c r="H266" s="357" t="n">
        <v>238</v>
      </c>
      <c r="I266" s="357" t="n">
        <v>234</v>
      </c>
      <c r="J266" s="357" t="n">
        <v>262</v>
      </c>
      <c r="K266" s="357" t="n"/>
      <c r="L266" s="357" t="n"/>
    </row>
    <row r="267" outlineLevel="2" s="579">
      <c r="B267" s="376" t="n"/>
      <c r="D267" s="357" t="n"/>
      <c r="E267" s="459" t="inlineStr">
        <is>
          <t>Funzioni AI</t>
        </is>
      </c>
      <c r="F267" s="516" t="n"/>
      <c r="G267" s="463" t="n"/>
      <c r="H267" s="516" t="n"/>
      <c r="I267" s="516" t="n"/>
      <c r="J267" s="516" t="n"/>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79">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79">
      <c r="B270" s="376" t="n"/>
      <c r="D270" s="373" t="n"/>
      <c r="E270" s="356" t="inlineStr">
        <is>
          <t>Rif. Pagina</t>
        </is>
      </c>
      <c r="F270" s="357" t="n">
        <v>233</v>
      </c>
      <c r="G270" s="357" t="n"/>
      <c r="H270" s="357" t="n">
        <v>246</v>
      </c>
      <c r="I270" s="357" t="n">
        <v>242</v>
      </c>
      <c r="J270" s="357" t="n">
        <v>270</v>
      </c>
      <c r="K270" s="357" t="n"/>
      <c r="L270" s="357" t="n"/>
    </row>
    <row r="271" outlineLevel="2" s="579">
      <c r="B271" s="376" t="n"/>
      <c r="D271" s="357" t="n"/>
      <c r="E271" s="459" t="inlineStr">
        <is>
          <t>Funzioni AI</t>
        </is>
      </c>
      <c r="F271" s="516" t="n"/>
      <c r="G271" s="463" t="n"/>
      <c r="H271" s="516" t="n"/>
      <c r="I271" s="516" t="n"/>
      <c r="J271" s="516" t="n"/>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79">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79">
      <c r="B274" s="376" t="n"/>
      <c r="D274" s="372" t="n"/>
      <c r="E274" s="354" t="inlineStr">
        <is>
          <t>Rif. Pagina</t>
        </is>
      </c>
      <c r="F274" s="355" t="n">
        <v>234</v>
      </c>
      <c r="G274" s="355" t="n"/>
      <c r="H274" s="355" t="n">
        <v>247</v>
      </c>
      <c r="I274" s="355" t="n"/>
      <c r="J274" s="355" t="n"/>
      <c r="K274" s="355" t="n"/>
      <c r="L274" s="355" t="n"/>
    </row>
    <row r="275" outlineLevel="2" s="579">
      <c r="B275" s="376" t="n"/>
      <c r="D275" s="357" t="n"/>
      <c r="E275" s="459" t="inlineStr">
        <is>
          <t>Funzioni AI</t>
        </is>
      </c>
      <c r="F275" s="516" t="n"/>
      <c r="G275" s="463" t="n"/>
      <c r="H275" s="516" t="n"/>
      <c r="I275" s="516" t="n"/>
      <c r="J275" s="516" t="n"/>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79">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79">
      <c r="B278" s="376" t="n"/>
      <c r="D278" s="373" t="n"/>
      <c r="E278" s="356" t="inlineStr">
        <is>
          <t>Rif. Pagina</t>
        </is>
      </c>
      <c r="F278" s="357" t="n">
        <v>11</v>
      </c>
      <c r="G278" s="357" t="n">
        <v>10</v>
      </c>
      <c r="H278" s="357" t="n"/>
      <c r="I278" s="357" t="n"/>
      <c r="J278" s="357" t="n">
        <v>11</v>
      </c>
      <c r="K278" s="357" t="n"/>
      <c r="L278" s="357" t="n"/>
    </row>
    <row r="279" outlineLevel="2" s="579">
      <c r="B279" s="376" t="n"/>
      <c r="D279" s="357" t="n"/>
      <c r="E279" s="459" t="inlineStr">
        <is>
          <t>Funzioni AI</t>
        </is>
      </c>
      <c r="F279" s="516" t="n"/>
      <c r="G279" s="516" t="n"/>
      <c r="H279" s="463" t="n"/>
      <c r="I279" s="463" t="n"/>
      <c r="J279" s="516" t="n"/>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79">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79">
      <c r="B282" s="376" t="n"/>
      <c r="D282" s="373" t="n"/>
      <c r="E282" s="356" t="inlineStr">
        <is>
          <t>Rif. Pagina</t>
        </is>
      </c>
      <c r="F282" s="357" t="n">
        <v>14</v>
      </c>
      <c r="G282" s="357" t="n">
        <v>12</v>
      </c>
      <c r="H282" s="357" t="n"/>
      <c r="I282" s="357" t="n"/>
      <c r="J282" s="357" t="n">
        <v>14</v>
      </c>
      <c r="K282" s="357" t="n"/>
      <c r="L282" s="357" t="n"/>
    </row>
    <row r="283" outlineLevel="2" s="579">
      <c r="B283" s="376" t="n"/>
      <c r="D283" s="357" t="n"/>
      <c r="E283" s="459" t="inlineStr">
        <is>
          <t>Funzioni AI</t>
        </is>
      </c>
      <c r="F283" s="518" t="n"/>
      <c r="G283" s="518" t="n"/>
      <c r="H283" s="463" t="n"/>
      <c r="I283" s="463" t="n"/>
      <c r="J283" s="518" t="n"/>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79">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79">
      <c r="B286" s="376" t="n"/>
      <c r="D286" s="373" t="n"/>
      <c r="E286" s="356" t="inlineStr">
        <is>
          <t>Rif. Pagina</t>
        </is>
      </c>
      <c r="F286" s="357" t="n">
        <v>20</v>
      </c>
      <c r="G286" s="357" t="n">
        <v>20</v>
      </c>
      <c r="H286" s="357" t="n"/>
      <c r="I286" s="357" t="n"/>
      <c r="J286" s="357" t="n">
        <v>36</v>
      </c>
      <c r="K286" s="357" t="n"/>
      <c r="L286" s="357" t="n"/>
    </row>
    <row r="287" outlineLevel="2" s="579">
      <c r="B287" s="376" t="n"/>
      <c r="D287" s="357" t="n"/>
      <c r="E287" s="459" t="inlineStr">
        <is>
          <t>Funzioni AI</t>
        </is>
      </c>
      <c r="F287" s="516" t="n"/>
      <c r="G287" s="516" t="n"/>
      <c r="H287" s="463" t="n"/>
      <c r="I287" s="463" t="n"/>
      <c r="J287" s="516" t="n"/>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79">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79">
      <c r="B290" s="376" t="n"/>
      <c r="D290" s="373" t="n"/>
      <c r="E290" s="356" t="inlineStr">
        <is>
          <t>Rif. Pagina</t>
        </is>
      </c>
      <c r="F290" s="357" t="n">
        <v>29</v>
      </c>
      <c r="G290" s="357" t="n">
        <v>28</v>
      </c>
      <c r="H290" s="357" t="n"/>
      <c r="I290" s="357" t="n"/>
      <c r="J290" s="357" t="n">
        <v>43</v>
      </c>
      <c r="K290" s="357" t="n"/>
      <c r="L290" s="357" t="n"/>
    </row>
    <row r="291" outlineLevel="2" s="579">
      <c r="B291" s="376" t="n"/>
      <c r="D291" s="357" t="n"/>
      <c r="E291" s="459" t="inlineStr">
        <is>
          <t>Funzioni AI</t>
        </is>
      </c>
      <c r="F291" s="519" t="n"/>
      <c r="G291" s="519" t="n"/>
      <c r="H291" s="463" t="n"/>
      <c r="I291" s="463" t="n"/>
      <c r="J291" s="519" t="n"/>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79">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79">
      <c r="B294" s="376" t="n"/>
      <c r="D294" s="372" t="n"/>
      <c r="E294" s="354" t="inlineStr">
        <is>
          <t>Rif. Pagina</t>
        </is>
      </c>
      <c r="F294" s="355" t="n">
        <v>31</v>
      </c>
      <c r="G294" s="355" t="n">
        <v>29</v>
      </c>
      <c r="H294" s="355" t="n"/>
      <c r="I294" s="355" t="n">
        <v>29</v>
      </c>
      <c r="J294" s="355" t="n">
        <v>44</v>
      </c>
      <c r="K294" s="355" t="n"/>
      <c r="L294" s="355" t="n"/>
    </row>
    <row r="295" outlineLevel="2" s="579">
      <c r="B295" s="376" t="n"/>
      <c r="D295" s="357" t="n"/>
      <c r="E295" s="459" t="inlineStr">
        <is>
          <t>Funzioni AI</t>
        </is>
      </c>
      <c r="F295" s="519" t="n"/>
      <c r="G295" s="519" t="n"/>
      <c r="H295" s="463" t="n"/>
      <c r="I295" s="463" t="n"/>
      <c r="J295" s="519" t="n"/>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40"/>
    <col width="8.7109375" customWidth="1" style="103" min="41" max="16384"/>
  </cols>
  <sheetData>
    <row r="1" ht="31.5" customFormat="1" customHeight="1" s="105">
      <c r="A1" s="559" t="inlineStr">
        <is>
          <t>Impianto</t>
        </is>
      </c>
      <c r="B1" s="555" t="inlineStr">
        <is>
          <t>Gruppo/Componente</t>
        </is>
      </c>
      <c r="C1" s="554" t="inlineStr">
        <is>
          <t>P/N</t>
        </is>
      </c>
      <c r="D1" s="558" t="inlineStr">
        <is>
          <t>Applicabilità flotte</t>
        </is>
      </c>
      <c r="E1" s="557" t="n"/>
      <c r="F1" s="557" t="n"/>
      <c r="G1" s="557" t="n"/>
      <c r="H1" s="557" t="n"/>
      <c r="I1" s="557" t="n"/>
      <c r="J1" s="552" t="n"/>
      <c r="K1" s="551" t="inlineStr">
        <is>
          <t>Manuale</t>
        </is>
      </c>
      <c r="L1" s="557" t="n"/>
      <c r="M1" s="552" t="n"/>
      <c r="N1" s="551" t="inlineStr">
        <is>
          <t>CPR</t>
        </is>
      </c>
      <c r="O1" s="557" t="n"/>
      <c r="P1" s="552" t="n"/>
      <c r="Q1" s="551" t="inlineStr">
        <is>
          <t>Raccolta doc</t>
        </is>
      </c>
      <c r="R1" s="552" t="n"/>
      <c r="S1" s="553" t="inlineStr">
        <is>
          <t>Schema elettrico</t>
        </is>
      </c>
      <c r="T1" s="552" t="n"/>
      <c r="U1" s="553" t="inlineStr">
        <is>
          <t>Schema Pneumatico</t>
        </is>
      </c>
      <c r="V1" s="552" t="n"/>
    </row>
    <row r="2" ht="31.5" customFormat="1" customHeight="1" s="105">
      <c r="A2" s="560" t="n"/>
      <c r="B2" s="556" t="n"/>
      <c r="C2" s="530" t="n"/>
      <c r="D2" s="136" t="inlineStr">
        <is>
          <t>VZI_Base</t>
        </is>
      </c>
      <c r="E2" s="536" t="inlineStr">
        <is>
          <t>VZI_New14</t>
        </is>
      </c>
      <c r="F2" s="536" t="inlineStr">
        <is>
          <t>VZ_FR</t>
        </is>
      </c>
      <c r="G2" s="536" t="inlineStr">
        <is>
          <t>VZ_ES</t>
        </is>
      </c>
      <c r="H2" s="536" t="inlineStr">
        <is>
          <t>VZI-6_R1</t>
        </is>
      </c>
      <c r="I2" s="536"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79">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79">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79">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79">
      <c r="A7" s="109" t="n"/>
      <c r="B7" s="110" t="inlineStr">
        <is>
          <t>Pantografo 1,5 kV</t>
        </is>
      </c>
      <c r="C7" s="107" t="n"/>
      <c r="D7" s="109" t="n"/>
      <c r="J7" s="110" t="n"/>
      <c r="K7" s="227" t="n"/>
      <c r="M7" s="229" t="n"/>
      <c r="N7" s="227" t="n"/>
      <c r="P7" s="230" t="n"/>
      <c r="R7" s="232" t="n"/>
      <c r="S7" s="233" t="n"/>
      <c r="T7" s="232" t="n"/>
      <c r="U7" s="233" t="n"/>
      <c r="V7" s="232" t="n"/>
    </row>
    <row r="8" outlineLevel="1" s="579">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79">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79">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79">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79">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79">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79">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79">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79">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79">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79">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79">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79">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79">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79">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79">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79">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79">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79">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79">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79">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79">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79">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79">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79">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79">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79">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79">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79">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79">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79">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79">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79">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79">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79">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79">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79">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79">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79">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79">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79">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79">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79">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79">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79">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79">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79">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79">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79">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79">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79">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79">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79">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79">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79">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79">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79">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79">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79">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79">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79">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79">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79">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79">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79">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79">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79">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79">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79">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79">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79">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79">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79">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79">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79">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79">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79">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79">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D1:J1"/>
    <mergeCell ref="A1:A2"/>
    <mergeCell ref="K1:M1"/>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79" min="1" max="1"/>
    <col width="14.42578125" customWidth="1" style="579" min="2" max="2"/>
    <col width="18.42578125" customWidth="1" style="579" min="3" max="3"/>
    <col width="15.85546875" customWidth="1" style="579" min="4" max="4"/>
    <col width="19.42578125" customWidth="1" style="579" min="5" max="6"/>
    <col width="14.42578125" customWidth="1" style="579" min="7" max="7"/>
    <col width="16.42578125" customWidth="1" style="579" min="8" max="8"/>
    <col width="23.85546875" customWidth="1" style="579" min="9" max="9"/>
    <col width="21.85546875" customWidth="1" style="579" min="10" max="10"/>
    <col width="11.42578125" customWidth="1" style="579" min="11" max="11"/>
    <col width="15.5703125" customWidth="1" style="579" min="12" max="12"/>
    <col width="19.85546875" customWidth="1" style="579" min="13" max="13"/>
    <col width="21.5703125" customWidth="1" style="579" min="14" max="14"/>
    <col width="12.140625" customWidth="1" style="579" min="15" max="15"/>
    <col width="15.5703125" customWidth="1" style="579" min="16" max="16"/>
    <col width="24.5703125" customWidth="1" style="579" min="17" max="17"/>
    <col width="26.85546875" customWidth="1" style="579" min="18" max="18"/>
    <col width="15.140625" customWidth="1" style="579" min="20" max="20"/>
    <col width="25.140625" customWidth="1" style="579" min="21" max="21"/>
    <col width="20.140625" customWidth="1" style="579" min="22" max="22"/>
    <col width="10" bestFit="1" customWidth="1" style="579" min="23" max="23"/>
    <col width="15.42578125" customWidth="1" style="579" min="24" max="24"/>
    <col width="20.42578125" customWidth="1" style="579" min="25" max="25"/>
    <col width="25.85546875" customWidth="1" style="579" min="26" max="26"/>
  </cols>
  <sheetData>
    <row r="1" ht="15.75" customHeight="1" s="579" thickBot="1">
      <c r="C1" s="592" t="inlineStr">
        <is>
          <t>IT 50 treni (flotta base)</t>
        </is>
      </c>
      <c r="D1" s="563" t="n"/>
      <c r="E1" s="563" t="n"/>
      <c r="F1" s="593" t="n"/>
      <c r="G1" s="592" t="inlineStr">
        <is>
          <t>IT 8 treni (51-58)</t>
        </is>
      </c>
      <c r="H1" s="563" t="n"/>
      <c r="I1" s="563" t="n"/>
      <c r="J1" s="593" t="n"/>
      <c r="K1" s="592" t="inlineStr">
        <is>
          <t>IT 6+30 treni (101-136)</t>
        </is>
      </c>
      <c r="L1" s="563" t="n"/>
      <c r="M1" s="563" t="n"/>
      <c r="N1" s="593" t="n"/>
      <c r="O1" s="592" t="inlineStr">
        <is>
          <t>I-FR 9 treni</t>
        </is>
      </c>
      <c r="P1" s="563" t="n"/>
      <c r="Q1" s="563" t="n"/>
      <c r="R1" s="593" t="n"/>
      <c r="S1" s="592" t="inlineStr">
        <is>
          <t>DAI 9 treni</t>
        </is>
      </c>
      <c r="T1" s="563" t="n"/>
      <c r="U1" s="563" t="n"/>
      <c r="V1" s="593" t="n"/>
      <c r="W1" s="592" t="inlineStr">
        <is>
          <t>ES 20 treni</t>
        </is>
      </c>
      <c r="X1" s="563" t="n"/>
      <c r="Y1" s="563" t="n"/>
      <c r="Z1" s="593" t="n"/>
    </row>
    <row r="2" ht="15.75" customHeight="1" s="579" thickBot="1">
      <c r="A2" s="604" t="inlineStr">
        <is>
          <t>Sottosistema</t>
        </is>
      </c>
      <c r="B2" s="564"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79">
      <c r="A3" s="587" t="inlineStr">
        <is>
          <t>Carrelli</t>
        </is>
      </c>
      <c r="B3" s="586" t="inlineStr">
        <is>
          <t>Motori</t>
        </is>
      </c>
      <c r="C3" s="565" t="inlineStr">
        <is>
          <t>100360301
100360302
100360303
100360304</t>
        </is>
      </c>
      <c r="D3" s="22" t="inlineStr">
        <is>
          <t>Sala Montata</t>
        </is>
      </c>
      <c r="E3" s="15" t="inlineStr">
        <is>
          <t>100360402
100360403</t>
        </is>
      </c>
      <c r="F3" s="23" t="inlineStr">
        <is>
          <t>Sensoristica ERTMS-SCMT carrelli DM
Sala senza boccole: 100360064</t>
        </is>
      </c>
      <c r="G3" s="565" t="inlineStr">
        <is>
          <t>100360301
100360302
100360303
100360304</t>
        </is>
      </c>
      <c r="H3" s="22" t="inlineStr">
        <is>
          <t>Sala Montata</t>
        </is>
      </c>
      <c r="I3" s="15" t="inlineStr">
        <is>
          <t>100360402
100360403</t>
        </is>
      </c>
      <c r="J3" s="23" t="inlineStr">
        <is>
          <t>Sensoristica ERTMS-SCMT carrelli DM
Sala senza boccole: 100360064</t>
        </is>
      </c>
      <c r="K3" s="602" t="inlineStr">
        <is>
          <t>100360301
100360302
100360303
100360304
(EN45545)</t>
        </is>
      </c>
      <c r="L3" s="24" t="inlineStr">
        <is>
          <t>Sala Montata</t>
        </is>
      </c>
      <c r="M3" s="25" t="inlineStr">
        <is>
          <t>100360402
100360403</t>
        </is>
      </c>
      <c r="N3" s="26" t="inlineStr">
        <is>
          <t>Sensoristica ERTMS-SCMT carrelli DM</t>
        </is>
      </c>
      <c r="O3" s="565" t="inlineStr">
        <is>
          <t>100329688
100329689
100360303
100360304</t>
        </is>
      </c>
      <c r="P3" s="22" t="inlineStr">
        <is>
          <t>Sala Montata</t>
        </is>
      </c>
      <c r="Q3" s="530" t="n"/>
      <c r="R3" s="28" t="inlineStr">
        <is>
          <t>Sensoristica ERTMS-SCMT, Memor brush, ETCS antenna su carrelli ant. DM1/8
Sensori Wiegand su post. DM1/8
Sensori Wiegand su ant. TT2/7
Sala senza boccole: 100360064</t>
        </is>
      </c>
      <c r="S3" s="573" t="n"/>
      <c r="T3" s="29" t="inlineStr">
        <is>
          <t>Sala Montata</t>
        </is>
      </c>
      <c r="U3" s="30" t="n"/>
      <c r="V3" s="31" t="inlineStr">
        <is>
          <t>tbd sensori boccola DM</t>
        </is>
      </c>
      <c r="W3" s="565" t="inlineStr">
        <is>
          <t>DM: 100437987
100470644</t>
        </is>
      </c>
      <c r="X3" s="22" t="inlineStr">
        <is>
          <t>Sala Montata</t>
        </is>
      </c>
      <c r="Y3" s="530" t="n"/>
      <c r="Z3" s="23" t="inlineStr">
        <is>
          <t>Sensoristica ETCS-ASFA-LZB carrelli DM</t>
        </is>
      </c>
    </row>
    <row r="4">
      <c r="A4" s="569" t="n"/>
      <c r="C4" s="566" t="n"/>
      <c r="D4" s="33" t="inlineStr">
        <is>
          <t>Riduttore</t>
        </is>
      </c>
      <c r="E4" s="34" t="n">
        <v>13900244911</v>
      </c>
      <c r="F4" s="35" t="n"/>
      <c r="G4" s="566" t="n"/>
      <c r="H4" s="33" t="inlineStr">
        <is>
          <t>Riduttore</t>
        </is>
      </c>
      <c r="I4" s="34" t="n">
        <v>13900244911</v>
      </c>
      <c r="J4" s="35" t="n"/>
      <c r="K4" s="566" t="n"/>
      <c r="L4" s="36" t="inlineStr">
        <is>
          <t>Riduttore</t>
        </is>
      </c>
      <c r="M4" s="37" t="n">
        <v>13900244911</v>
      </c>
      <c r="N4" s="38" t="n"/>
      <c r="O4" s="566" t="n"/>
      <c r="P4" s="33" t="inlineStr">
        <is>
          <t>Riduttore</t>
        </is>
      </c>
      <c r="Q4" s="39" t="n">
        <v>13900244911</v>
      </c>
      <c r="R4" s="35" t="n"/>
      <c r="S4" s="566" t="n"/>
      <c r="T4" s="40" t="inlineStr">
        <is>
          <t>Riduttore</t>
        </is>
      </c>
      <c r="U4" s="41" t="n">
        <v>13900244911</v>
      </c>
      <c r="V4" s="42" t="n"/>
      <c r="W4" s="566" t="n"/>
      <c r="X4" s="33" t="inlineStr">
        <is>
          <t>Riduttore</t>
        </is>
      </c>
      <c r="Y4" s="1" t="n"/>
      <c r="Z4" s="35" t="n"/>
    </row>
    <row r="5">
      <c r="A5" s="569" t="n"/>
      <c r="C5" s="566" t="n"/>
      <c r="D5" s="33" t="inlineStr">
        <is>
          <t>Motore</t>
        </is>
      </c>
      <c r="E5" s="1" t="inlineStr">
        <is>
          <t>3EST000224-9555</t>
        </is>
      </c>
      <c r="F5" s="35" t="n"/>
      <c r="G5" s="566" t="n"/>
      <c r="H5" s="33" t="inlineStr">
        <is>
          <t>Motore</t>
        </is>
      </c>
      <c r="I5" s="1" t="inlineStr">
        <is>
          <t>3EST000224-9555</t>
        </is>
      </c>
      <c r="J5" s="35" t="n"/>
      <c r="K5" s="566" t="n"/>
      <c r="L5" s="36" t="inlineStr">
        <is>
          <t>Motore</t>
        </is>
      </c>
      <c r="M5" s="43" t="inlineStr">
        <is>
          <t>3EST000224-9555</t>
        </is>
      </c>
      <c r="N5" s="38" t="n"/>
      <c r="O5" s="566" t="n"/>
      <c r="P5" s="33" t="inlineStr">
        <is>
          <t>Motore</t>
        </is>
      </c>
      <c r="Q5" s="44" t="inlineStr">
        <is>
          <t>3EST000224-9555</t>
        </is>
      </c>
      <c r="R5" s="35" t="n"/>
      <c r="S5" s="566" t="n"/>
      <c r="T5" s="40" t="inlineStr">
        <is>
          <t>Motore</t>
        </is>
      </c>
      <c r="U5" s="45" t="inlineStr">
        <is>
          <t>3EST000224-9555</t>
        </is>
      </c>
      <c r="V5" s="42" t="n"/>
      <c r="W5" s="566" t="n"/>
      <c r="X5" s="33" t="inlineStr">
        <is>
          <t>Motore</t>
        </is>
      </c>
      <c r="Y5" s="1" t="n"/>
      <c r="Z5" s="35" t="n"/>
    </row>
    <row r="6" ht="87" customHeight="1" s="579">
      <c r="A6" s="569" t="n"/>
      <c r="C6" s="566" t="n"/>
      <c r="D6" s="33" t="inlineStr">
        <is>
          <t>Cil.Freno</t>
        </is>
      </c>
      <c r="E6" s="46" t="inlineStr">
        <is>
          <t>FT0011601-100
FT0011602-100
FT0011602-101</t>
        </is>
      </c>
      <c r="F6" s="35" t="n"/>
      <c r="G6" s="566" t="n"/>
      <c r="H6" s="33" t="inlineStr">
        <is>
          <t>Cil.Freno</t>
        </is>
      </c>
      <c r="I6" s="46" t="inlineStr">
        <is>
          <t>FT0011601-100
FT0011602-100
FT0011602-101</t>
        </is>
      </c>
      <c r="J6" s="35" t="n"/>
      <c r="K6" s="566" t="n"/>
      <c r="L6" s="36" t="inlineStr">
        <is>
          <t>Cil.Freno</t>
        </is>
      </c>
      <c r="M6" s="47" t="inlineStr">
        <is>
          <t>FT0011601-100
FT0011602-100
FT0011602-101</t>
        </is>
      </c>
      <c r="N6" s="38" t="n"/>
      <c r="O6" s="566" t="n"/>
      <c r="P6" s="33" t="inlineStr">
        <is>
          <t>Cil.Freno</t>
        </is>
      </c>
      <c r="Q6" s="48" t="inlineStr">
        <is>
          <t>FT0011601-100
FT0011602-100
FT0011602-101</t>
        </is>
      </c>
      <c r="R6" s="35" t="n"/>
      <c r="S6" s="566" t="n"/>
      <c r="T6" s="40" t="inlineStr">
        <is>
          <t>Cil.Freno</t>
        </is>
      </c>
      <c r="U6" s="49" t="inlineStr">
        <is>
          <t>FT0011601-100
FT0011602-100
FT0011602-101</t>
        </is>
      </c>
      <c r="V6" s="42" t="n"/>
      <c r="W6" s="566" t="n"/>
      <c r="X6" s="33" t="inlineStr">
        <is>
          <t>Cil.Freno</t>
        </is>
      </c>
      <c r="Y6" s="46" t="inlineStr">
        <is>
          <t>FT0011601-100
FT0011602-100
FT0011602-101</t>
        </is>
      </c>
      <c r="Z6" s="35" t="n"/>
    </row>
    <row r="7">
      <c r="A7" s="569" t="n"/>
      <c r="C7" s="566" t="n"/>
      <c r="D7" s="33" t="inlineStr">
        <is>
          <t>Als</t>
        </is>
      </c>
      <c r="E7" s="1" t="inlineStr">
        <is>
          <t>6398B000-01</t>
        </is>
      </c>
      <c r="F7" s="35" t="n"/>
      <c r="G7" s="566" t="n"/>
      <c r="H7" s="33" t="inlineStr">
        <is>
          <t>Als</t>
        </is>
      </c>
      <c r="I7" s="1" t="inlineStr">
        <is>
          <t>6398B000-01</t>
        </is>
      </c>
      <c r="J7" s="35" t="n"/>
      <c r="K7" s="566" t="n"/>
      <c r="L7" s="36" t="inlineStr">
        <is>
          <t>Als</t>
        </is>
      </c>
      <c r="M7" s="43" t="inlineStr">
        <is>
          <t>6398B000-01</t>
        </is>
      </c>
      <c r="N7" s="38" t="n"/>
      <c r="O7" s="566" t="n"/>
      <c r="P7" s="33" t="inlineStr">
        <is>
          <t>Als</t>
        </is>
      </c>
      <c r="Q7" s="44" t="inlineStr">
        <is>
          <t>6398B000-01</t>
        </is>
      </c>
      <c r="R7" s="35" t="n"/>
      <c r="S7" s="566" t="n"/>
      <c r="T7" s="40" t="inlineStr">
        <is>
          <t>Als</t>
        </is>
      </c>
      <c r="U7" s="45" t="inlineStr">
        <is>
          <t>6398B000-01</t>
        </is>
      </c>
      <c r="V7" s="42" t="n"/>
      <c r="W7" s="566" t="n"/>
      <c r="X7" s="33" t="inlineStr">
        <is>
          <t>Als</t>
        </is>
      </c>
      <c r="Y7" s="1" t="n"/>
      <c r="Z7" s="35" t="n"/>
    </row>
    <row r="8">
      <c r="A8" s="569" t="n"/>
      <c r="B8" s="537" t="n"/>
      <c r="C8" s="567" t="n"/>
      <c r="D8" s="33" t="inlineStr">
        <is>
          <t>BMS</t>
        </is>
      </c>
      <c r="E8" s="1" t="n"/>
      <c r="F8" s="35" t="inlineStr">
        <is>
          <t>Ephimess fase 2</t>
        </is>
      </c>
      <c r="G8" s="567" t="n"/>
      <c r="H8" s="33" t="inlineStr">
        <is>
          <t>BMS</t>
        </is>
      </c>
      <c r="I8" s="1" t="n"/>
      <c r="J8" s="35" t="inlineStr">
        <is>
          <t>Ephimess fase 2</t>
        </is>
      </c>
      <c r="K8" s="567" t="n"/>
      <c r="L8" s="36" t="inlineStr">
        <is>
          <t>BMS</t>
        </is>
      </c>
      <c r="M8" s="43" t="n"/>
      <c r="N8" s="38" t="n"/>
      <c r="O8" s="567" t="n"/>
      <c r="P8" s="33" t="inlineStr">
        <is>
          <t>BMS</t>
        </is>
      </c>
      <c r="Q8" s="44" t="n"/>
      <c r="R8" s="35" t="n"/>
      <c r="S8" s="567" t="n"/>
      <c r="T8" s="40" t="inlineStr">
        <is>
          <t>BMS</t>
        </is>
      </c>
      <c r="U8" s="45" t="n"/>
      <c r="V8" s="42" t="n"/>
      <c r="W8" s="567" t="n"/>
      <c r="X8" s="33" t="inlineStr">
        <is>
          <t>BMS</t>
        </is>
      </c>
      <c r="Y8" s="1" t="n"/>
      <c r="Z8" s="35" t="n"/>
    </row>
    <row r="9" ht="30" customHeight="1" s="579">
      <c r="A9" s="569" t="n"/>
      <c r="B9" s="607" t="inlineStr">
        <is>
          <t>Portanti</t>
        </is>
      </c>
      <c r="C9" s="595" t="inlineStr">
        <is>
          <t>100360311
100360312
100360313</t>
        </is>
      </c>
      <c r="D9" s="33" t="inlineStr">
        <is>
          <t>Sala</t>
        </is>
      </c>
      <c r="E9" s="50" t="inlineStr">
        <is>
          <t>100360411
100360412</t>
        </is>
      </c>
      <c r="F9" s="35" t="n"/>
      <c r="G9" s="595" t="inlineStr">
        <is>
          <t>100360311
100360312
100360313</t>
        </is>
      </c>
      <c r="H9" s="33" t="inlineStr">
        <is>
          <t>Sala</t>
        </is>
      </c>
      <c r="I9" s="50" t="inlineStr">
        <is>
          <t>100360411
100360412</t>
        </is>
      </c>
      <c r="J9" s="35" t="n"/>
      <c r="K9" s="596" t="inlineStr">
        <is>
          <t>100360311
100360312
100360313
(EN45545)</t>
        </is>
      </c>
      <c r="L9" s="36" t="inlineStr">
        <is>
          <t>Sala</t>
        </is>
      </c>
      <c r="M9" s="51" t="inlineStr">
        <is>
          <t>100360411
100360412</t>
        </is>
      </c>
      <c r="N9" s="38" t="n"/>
      <c r="O9" s="595" t="inlineStr">
        <is>
          <t>100360311
100329690
100360313</t>
        </is>
      </c>
      <c r="P9" s="33" t="inlineStr">
        <is>
          <t>Sala</t>
        </is>
      </c>
      <c r="Q9" s="50" t="inlineStr">
        <is>
          <t>100360411
100360412</t>
        </is>
      </c>
      <c r="R9" s="35" t="n"/>
      <c r="S9" s="621" t="n"/>
      <c r="T9" s="40" t="inlineStr">
        <is>
          <t>Sala</t>
        </is>
      </c>
      <c r="U9" s="45" t="n"/>
      <c r="V9" s="42" t="n"/>
      <c r="W9" s="618" t="n"/>
      <c r="X9" s="33" t="inlineStr">
        <is>
          <t>Sala</t>
        </is>
      </c>
      <c r="Y9" s="1" t="n"/>
      <c r="Z9" s="35" t="n"/>
    </row>
    <row r="10">
      <c r="A10" s="569" t="n"/>
      <c r="C10" s="566" t="n"/>
      <c r="D10" s="33" t="inlineStr">
        <is>
          <t>Freno</t>
        </is>
      </c>
      <c r="E10" s="1" t="n"/>
      <c r="F10" s="35" t="n"/>
      <c r="G10" s="566" t="n"/>
      <c r="H10" s="33" t="inlineStr">
        <is>
          <t>Freno</t>
        </is>
      </c>
      <c r="I10" s="1" t="n"/>
      <c r="J10" s="35" t="n"/>
      <c r="K10" s="566" t="n"/>
      <c r="L10" s="36" t="inlineStr">
        <is>
          <t>Freno</t>
        </is>
      </c>
      <c r="M10" s="43" t="n"/>
      <c r="N10" s="38" t="n"/>
      <c r="O10" s="566" t="n"/>
      <c r="P10" s="33" t="inlineStr">
        <is>
          <t>Freno</t>
        </is>
      </c>
      <c r="Q10" s="1" t="n"/>
      <c r="R10" s="35" t="n"/>
      <c r="S10" s="566" t="n"/>
      <c r="T10" s="40" t="inlineStr">
        <is>
          <t>Freno</t>
        </is>
      </c>
      <c r="U10" s="45" t="n"/>
      <c r="V10" s="42" t="n"/>
      <c r="W10" s="566" t="n"/>
      <c r="X10" s="33" t="inlineStr">
        <is>
          <t>Freno</t>
        </is>
      </c>
      <c r="Y10" s="1" t="n"/>
      <c r="Z10" s="35" t="n"/>
    </row>
    <row r="11">
      <c r="A11" s="569" t="n"/>
      <c r="C11" s="566" t="n"/>
      <c r="D11" s="33" t="inlineStr">
        <is>
          <t>Als</t>
        </is>
      </c>
      <c r="E11" s="1" t="n"/>
      <c r="F11" s="35" t="n"/>
      <c r="G11" s="566" t="n"/>
      <c r="H11" s="33" t="inlineStr">
        <is>
          <t>Als</t>
        </is>
      </c>
      <c r="I11" s="1" t="n"/>
      <c r="J11" s="35" t="n"/>
      <c r="K11" s="566" t="n"/>
      <c r="L11" s="36" t="inlineStr">
        <is>
          <t>Als</t>
        </is>
      </c>
      <c r="M11" s="43" t="n"/>
      <c r="N11" s="38" t="n"/>
      <c r="O11" s="566" t="n"/>
      <c r="P11" s="33" t="inlineStr">
        <is>
          <t>Als</t>
        </is>
      </c>
      <c r="Q11" s="1" t="n"/>
      <c r="R11" s="35" t="n"/>
      <c r="S11" s="566" t="n"/>
      <c r="T11" s="40" t="inlineStr">
        <is>
          <t>Als</t>
        </is>
      </c>
      <c r="U11" s="45" t="n"/>
      <c r="V11" s="42" t="n"/>
      <c r="W11" s="566" t="n"/>
      <c r="X11" s="33" t="inlineStr">
        <is>
          <t>Als</t>
        </is>
      </c>
      <c r="Y11" s="1" t="n"/>
      <c r="Z11" s="35" t="n"/>
    </row>
    <row r="12" ht="15.75" customHeight="1" s="579" thickBot="1">
      <c r="A12" s="588" t="n"/>
      <c r="B12" s="537" t="n"/>
      <c r="C12" s="571" t="n"/>
      <c r="D12" s="52" t="inlineStr">
        <is>
          <t>BMS</t>
        </is>
      </c>
      <c r="E12" s="53" t="n"/>
      <c r="F12" s="54" t="n"/>
      <c r="G12" s="571" t="n"/>
      <c r="H12" s="52" t="inlineStr">
        <is>
          <t>BMS</t>
        </is>
      </c>
      <c r="I12" s="53" t="n"/>
      <c r="J12" s="54" t="n"/>
      <c r="K12" s="571" t="n"/>
      <c r="L12" s="55" t="inlineStr">
        <is>
          <t>BMS</t>
        </is>
      </c>
      <c r="M12" s="56" t="n"/>
      <c r="N12" s="57" t="n"/>
      <c r="O12" s="571" t="n"/>
      <c r="P12" s="52" t="inlineStr">
        <is>
          <t>BMS</t>
        </is>
      </c>
      <c r="Q12" s="53" t="n"/>
      <c r="R12" s="54" t="n"/>
      <c r="S12" s="571" t="n"/>
      <c r="T12" s="58" t="inlineStr">
        <is>
          <t>BMS</t>
        </is>
      </c>
      <c r="U12" s="59" t="n"/>
      <c r="V12" s="60" t="n"/>
      <c r="W12" s="571" t="n"/>
      <c r="X12" s="52" t="inlineStr">
        <is>
          <t>BMS</t>
        </is>
      </c>
      <c r="Y12" s="53" t="n"/>
      <c r="Z12" s="54" t="n"/>
    </row>
    <row r="13">
      <c r="A13" s="604" t="inlineStr">
        <is>
          <t>Pantografi</t>
        </is>
      </c>
      <c r="B13" s="561" t="inlineStr">
        <is>
          <t>3 kV</t>
        </is>
      </c>
      <c r="C13" s="619" t="n">
        <v>100170460</v>
      </c>
      <c r="D13" s="61" t="inlineStr">
        <is>
          <t>Struttura</t>
        </is>
      </c>
      <c r="E13" s="62" t="n">
        <v>10573076</v>
      </c>
      <c r="F13" s="63" t="n"/>
      <c r="G13" s="606" t="n">
        <v>10949272</v>
      </c>
      <c r="H13" s="61" t="inlineStr">
        <is>
          <t>Struttura</t>
        </is>
      </c>
      <c r="I13" s="62" t="n">
        <v>10573076</v>
      </c>
      <c r="J13" s="63" t="n"/>
      <c r="K13" s="606" t="n">
        <v>10949272</v>
      </c>
      <c r="L13" s="61" t="inlineStr">
        <is>
          <t>Struttura</t>
        </is>
      </c>
      <c r="M13" s="62" t="n">
        <v>10573076</v>
      </c>
      <c r="N13" s="63" t="n"/>
      <c r="O13" s="619" t="n">
        <v>100170460</v>
      </c>
      <c r="P13" s="61" t="inlineStr">
        <is>
          <t>Struttura</t>
        </is>
      </c>
      <c r="Q13" s="62" t="n">
        <v>10573076</v>
      </c>
      <c r="R13" s="63" t="n"/>
      <c r="S13" s="610" t="n"/>
      <c r="T13" s="64" t="inlineStr">
        <is>
          <t>Struttura</t>
        </is>
      </c>
      <c r="U13" s="64" t="n"/>
      <c r="V13" s="65" t="n"/>
      <c r="W13" s="619" t="n"/>
      <c r="X13" s="61" t="inlineStr">
        <is>
          <t>Struttura</t>
        </is>
      </c>
      <c r="Y13" s="61" t="n"/>
      <c r="Z13" s="63" t="n"/>
    </row>
    <row r="14">
      <c r="A14" s="569" t="n"/>
      <c r="C14" s="566" t="n"/>
      <c r="D14" s="1" t="inlineStr">
        <is>
          <t>Archetto</t>
        </is>
      </c>
      <c r="E14" s="12" t="n">
        <v>10561136</v>
      </c>
      <c r="F14" s="35" t="n"/>
      <c r="G14" s="566" t="n"/>
      <c r="H14" s="1" t="inlineStr">
        <is>
          <t>Archetto</t>
        </is>
      </c>
      <c r="I14" s="12" t="n">
        <v>10561136</v>
      </c>
      <c r="J14" s="35" t="n"/>
      <c r="K14" s="566" t="n"/>
      <c r="L14" s="1" t="inlineStr">
        <is>
          <t>Archetto</t>
        </is>
      </c>
      <c r="M14" s="12" t="n">
        <v>10561136</v>
      </c>
      <c r="N14" s="35" t="n"/>
      <c r="O14" s="566" t="n"/>
      <c r="P14" s="1" t="inlineStr">
        <is>
          <t>Archetto</t>
        </is>
      </c>
      <c r="Q14" s="44" t="n">
        <v>10561136</v>
      </c>
      <c r="R14" s="35" t="n"/>
      <c r="S14" s="566" t="n"/>
      <c r="T14" s="45" t="inlineStr">
        <is>
          <t>Archetto</t>
        </is>
      </c>
      <c r="U14" s="45" t="n"/>
      <c r="V14" s="42" t="n"/>
      <c r="W14" s="566" t="n"/>
      <c r="X14" s="1" t="inlineStr">
        <is>
          <t>Archetto</t>
        </is>
      </c>
      <c r="Y14" s="1" t="n"/>
      <c r="Z14" s="35" t="inlineStr">
        <is>
          <t>Archetto 1.950 mm</t>
        </is>
      </c>
    </row>
    <row r="15">
      <c r="A15" s="569" t="n"/>
      <c r="C15" s="566" t="n"/>
      <c r="D15" s="1" t="inlineStr">
        <is>
          <t>Strisciante</t>
        </is>
      </c>
      <c r="E15" s="44" t="inlineStr">
        <is>
          <t>SK1451</t>
        </is>
      </c>
      <c r="F15" s="35" t="n"/>
      <c r="G15" s="566" t="n"/>
      <c r="H15" s="1" t="inlineStr">
        <is>
          <t>Strisciante</t>
        </is>
      </c>
      <c r="I15" s="44" t="inlineStr">
        <is>
          <t>SK1451</t>
        </is>
      </c>
      <c r="J15" s="35" t="n"/>
      <c r="K15" s="566" t="n"/>
      <c r="L15" s="1" t="inlineStr">
        <is>
          <t>Strisciante</t>
        </is>
      </c>
      <c r="M15" s="44" t="inlineStr">
        <is>
          <t>SK1451</t>
        </is>
      </c>
      <c r="N15" s="35" t="n"/>
      <c r="O15" s="566" t="n"/>
      <c r="P15" s="1" t="inlineStr">
        <is>
          <t>Strisciante</t>
        </is>
      </c>
      <c r="Q15" s="12" t="inlineStr">
        <is>
          <t>SK1451</t>
        </is>
      </c>
      <c r="R15" s="35" t="n"/>
      <c r="S15" s="566" t="n"/>
      <c r="T15" s="45" t="inlineStr">
        <is>
          <t>Strisciante</t>
        </is>
      </c>
      <c r="U15" s="45" t="n"/>
      <c r="V15" s="42" t="n"/>
      <c r="W15" s="566" t="n"/>
      <c r="X15" s="1" t="inlineStr">
        <is>
          <t>Strisciante</t>
        </is>
      </c>
      <c r="Y15" s="1" t="n"/>
      <c r="Z15" s="35" t="n"/>
    </row>
    <row r="16">
      <c r="A16" s="569" t="n"/>
      <c r="B16" s="537" t="n"/>
      <c r="C16" s="567" t="n"/>
      <c r="D16" s="1" t="inlineStr">
        <is>
          <t>PPU</t>
        </is>
      </c>
      <c r="E16" s="44" t="n">
        <v>102895</v>
      </c>
      <c r="F16" s="35" t="n"/>
      <c r="G16" s="567" t="n"/>
      <c r="H16" s="1" t="inlineStr">
        <is>
          <t>PPU</t>
        </is>
      </c>
      <c r="I16" s="67" t="inlineStr">
        <is>
          <t>232C10395F</t>
        </is>
      </c>
      <c r="J16" s="68" t="inlineStr">
        <is>
          <t>Con isolamento ADD</t>
        </is>
      </c>
      <c r="K16" s="567" t="n"/>
      <c r="L16" s="1" t="inlineStr">
        <is>
          <t>PPU</t>
        </is>
      </c>
      <c r="M16" s="67" t="inlineStr">
        <is>
          <t>231C100036B</t>
        </is>
      </c>
      <c r="N16" s="68" t="inlineStr">
        <is>
          <t>Con isolamento ADD</t>
        </is>
      </c>
      <c r="O16" s="567" t="n"/>
      <c r="P16" s="1" t="inlineStr">
        <is>
          <t>PPU</t>
        </is>
      </c>
      <c r="Q16" s="67" t="inlineStr">
        <is>
          <t>232C10353E</t>
        </is>
      </c>
      <c r="R16" s="69" t="inlineStr">
        <is>
          <t>PPU DC Modificata per agg.panto 1.5</t>
        </is>
      </c>
      <c r="S16" s="567" t="n"/>
      <c r="T16" s="45" t="inlineStr">
        <is>
          <t>PCU</t>
        </is>
      </c>
      <c r="U16" s="45" t="n"/>
      <c r="V16" s="42" t="n"/>
      <c r="W16" s="567" t="n"/>
      <c r="X16" s="1" t="inlineStr">
        <is>
          <t>PPU</t>
        </is>
      </c>
      <c r="Y16" s="1" t="n"/>
      <c r="Z16" s="68" t="inlineStr">
        <is>
          <t>Con isolamento ADD</t>
        </is>
      </c>
    </row>
    <row r="17">
      <c r="A17" s="569" t="n"/>
      <c r="B17" s="607" t="inlineStr">
        <is>
          <t>25 kV</t>
        </is>
      </c>
      <c r="C17" s="572" t="n">
        <v>100170464</v>
      </c>
      <c r="D17" s="33" t="inlineStr">
        <is>
          <t>Struttura</t>
        </is>
      </c>
      <c r="E17" s="70" t="n">
        <v>10573076</v>
      </c>
      <c r="F17" s="35" t="n"/>
      <c r="G17" s="591" t="n">
        <v>10949356</v>
      </c>
      <c r="H17" s="1" t="inlineStr">
        <is>
          <t>Struttura</t>
        </is>
      </c>
      <c r="I17" s="70" t="n">
        <v>10573076</v>
      </c>
      <c r="J17" s="35" t="n"/>
      <c r="K17" s="591" t="n">
        <v>10949356</v>
      </c>
      <c r="L17" s="1" t="inlineStr">
        <is>
          <t>Struttura</t>
        </is>
      </c>
      <c r="M17" s="70" t="n">
        <v>10573076</v>
      </c>
      <c r="N17" s="35" t="n"/>
      <c r="O17" s="572" t="n">
        <v>100170464</v>
      </c>
      <c r="P17" s="1" t="inlineStr">
        <is>
          <t>Struttura</t>
        </is>
      </c>
      <c r="Q17" s="14" t="n">
        <v>10573076</v>
      </c>
      <c r="R17" s="35" t="n"/>
      <c r="S17" s="603" t="n"/>
      <c r="T17" s="45" t="inlineStr">
        <is>
          <t>Struttura</t>
        </is>
      </c>
      <c r="U17" s="45" t="n"/>
      <c r="V17" s="42" t="n"/>
      <c r="W17" s="572" t="n"/>
      <c r="X17" s="1" t="inlineStr">
        <is>
          <t>Struttura</t>
        </is>
      </c>
      <c r="Y17" s="1" t="n"/>
      <c r="Z17" s="35" t="n"/>
    </row>
    <row r="18">
      <c r="A18" s="569" t="n"/>
      <c r="C18" s="566" t="n"/>
      <c r="D18" s="33" t="inlineStr">
        <is>
          <t>Archetto</t>
        </is>
      </c>
      <c r="E18" s="71" t="n">
        <v>10572700</v>
      </c>
      <c r="F18" s="35" t="n"/>
      <c r="G18" s="566" t="n"/>
      <c r="H18" s="1" t="inlineStr">
        <is>
          <t>Archetto</t>
        </is>
      </c>
      <c r="I18" s="71" t="n">
        <v>10572700</v>
      </c>
      <c r="J18" s="35" t="n"/>
      <c r="K18" s="566" t="n"/>
      <c r="L18" s="1" t="inlineStr">
        <is>
          <t>Archetto</t>
        </is>
      </c>
      <c r="M18" s="71" t="n">
        <v>10572700</v>
      </c>
      <c r="N18" s="35" t="n"/>
      <c r="O18" s="566" t="n"/>
      <c r="P18" s="1" t="inlineStr">
        <is>
          <t>Archetto</t>
        </is>
      </c>
      <c r="Q18" s="72" t="n">
        <v>10572700</v>
      </c>
      <c r="R18" s="35" t="inlineStr">
        <is>
          <t>Vedi strisciante</t>
        </is>
      </c>
      <c r="S18" s="566" t="n"/>
      <c r="T18" s="45" t="inlineStr">
        <is>
          <t>Archetto</t>
        </is>
      </c>
      <c r="U18" s="45" t="n"/>
      <c r="V18" s="42" t="n"/>
      <c r="W18" s="566" t="n"/>
      <c r="X18" s="1" t="inlineStr">
        <is>
          <t>Archetto</t>
        </is>
      </c>
      <c r="Y18" s="1" t="n"/>
      <c r="Z18" s="35" t="n"/>
    </row>
    <row r="19">
      <c r="A19" s="569" t="n"/>
      <c r="C19" s="566" t="n"/>
      <c r="D19" s="33" t="inlineStr">
        <is>
          <t>Strisciante</t>
        </is>
      </c>
      <c r="E19" s="44" t="inlineStr">
        <is>
          <t>SK1630</t>
        </is>
      </c>
      <c r="F19" s="35" t="n"/>
      <c r="G19" s="566" t="n"/>
      <c r="H19" s="1" t="inlineStr">
        <is>
          <t>Strisciante</t>
        </is>
      </c>
      <c r="I19" s="44" t="inlineStr">
        <is>
          <t>SK1630</t>
        </is>
      </c>
      <c r="J19" s="35" t="n"/>
      <c r="K19" s="566" t="n"/>
      <c r="L19" s="1" t="inlineStr">
        <is>
          <t>Strisciante</t>
        </is>
      </c>
      <c r="M19" s="44" t="inlineStr">
        <is>
          <t>SK1630</t>
        </is>
      </c>
      <c r="N19" s="35" t="n"/>
      <c r="O19" s="566" t="n"/>
      <c r="P19" s="1" t="inlineStr">
        <is>
          <t>Strisciante</t>
        </is>
      </c>
      <c r="Q19" s="67" t="inlineStr">
        <is>
          <t>SK 2381</t>
        </is>
      </c>
      <c r="R19" s="35" t="inlineStr">
        <is>
          <t>Conforme a norma FR SAM E903</t>
        </is>
      </c>
      <c r="S19" s="566" t="n"/>
      <c r="T19" s="45" t="inlineStr">
        <is>
          <t>Strisciante</t>
        </is>
      </c>
      <c r="U19" s="73" t="inlineStr">
        <is>
          <t>SK1630</t>
        </is>
      </c>
      <c r="V19" s="42" t="n"/>
      <c r="W19" s="566" t="n"/>
      <c r="X19" s="1" t="inlineStr">
        <is>
          <t>Strisciante</t>
        </is>
      </c>
      <c r="Y19" s="44" t="inlineStr">
        <is>
          <t>SK1630</t>
        </is>
      </c>
      <c r="Z19" s="35" t="n"/>
    </row>
    <row r="20">
      <c r="A20" s="569" t="n"/>
      <c r="B20" s="537" t="n"/>
      <c r="C20" s="567" t="n"/>
      <c r="D20" s="1" t="inlineStr">
        <is>
          <t>PPU</t>
        </is>
      </c>
      <c r="E20" s="12" t="n">
        <v>102895</v>
      </c>
      <c r="F20" s="35" t="n"/>
      <c r="G20" s="567" t="n"/>
      <c r="H20" s="1" t="inlineStr">
        <is>
          <t>PPU</t>
        </is>
      </c>
      <c r="I20" s="67" t="inlineStr">
        <is>
          <t>232C10395F</t>
        </is>
      </c>
      <c r="J20" s="68" t="inlineStr">
        <is>
          <t>Con isolamento ADD</t>
        </is>
      </c>
      <c r="K20" s="567" t="n"/>
      <c r="L20" s="1" t="inlineStr">
        <is>
          <t>PPU</t>
        </is>
      </c>
      <c r="M20" s="67" t="inlineStr">
        <is>
          <t>231C100036B</t>
        </is>
      </c>
      <c r="N20" s="68" t="inlineStr">
        <is>
          <t>Con isolamento ADD</t>
        </is>
      </c>
      <c r="O20" s="567" t="n"/>
      <c r="P20" s="1" t="inlineStr">
        <is>
          <t>PPU</t>
        </is>
      </c>
      <c r="Q20" s="74" t="n">
        <v>102895</v>
      </c>
      <c r="R20" s="35" t="n"/>
      <c r="S20" s="567" t="n"/>
      <c r="T20" s="45" t="inlineStr">
        <is>
          <t>PPU</t>
        </is>
      </c>
      <c r="U20" s="45" t="n"/>
      <c r="V20" s="42" t="n"/>
      <c r="W20" s="567" t="n"/>
      <c r="X20" s="1" t="inlineStr">
        <is>
          <t>PPU</t>
        </is>
      </c>
      <c r="Y20" s="1" t="n"/>
      <c r="Z20" s="68" t="inlineStr">
        <is>
          <t>Con isolamento ADD</t>
        </is>
      </c>
    </row>
    <row r="21">
      <c r="A21" s="569" t="n"/>
      <c r="B21" s="607" t="inlineStr">
        <is>
          <t>1,5 kV</t>
        </is>
      </c>
      <c r="C21" s="572" t="inlineStr">
        <is>
          <t>n/a</t>
        </is>
      </c>
      <c r="D21" s="33" t="inlineStr">
        <is>
          <t>Struttura</t>
        </is>
      </c>
      <c r="E21" s="43" t="n"/>
      <c r="F21" s="38" t="n"/>
      <c r="G21" s="572" t="inlineStr">
        <is>
          <t>n/a</t>
        </is>
      </c>
      <c r="H21" s="1" t="inlineStr">
        <is>
          <t>Struttura</t>
        </is>
      </c>
      <c r="I21" s="43" t="n"/>
      <c r="J21" s="38" t="n"/>
      <c r="K21" s="572" t="inlineStr">
        <is>
          <t>n/a</t>
        </is>
      </c>
      <c r="L21" s="1" t="inlineStr">
        <is>
          <t>Struttura</t>
        </is>
      </c>
      <c r="M21" s="43" t="n"/>
      <c r="N21" s="38" t="n"/>
      <c r="O21" s="591" t="n">
        <v>10851208</v>
      </c>
      <c r="P21" s="1" t="inlineStr">
        <is>
          <t>Struttura</t>
        </is>
      </c>
      <c r="Q21" s="44" t="n">
        <v>10573076</v>
      </c>
      <c r="R21" s="35" t="n"/>
      <c r="S21" s="603" t="n"/>
      <c r="T21" s="45" t="inlineStr">
        <is>
          <t>Struttura</t>
        </is>
      </c>
      <c r="U21" s="45" t="n"/>
      <c r="V21" s="42" t="n"/>
      <c r="W21" s="572" t="n"/>
      <c r="X21" s="1" t="inlineStr">
        <is>
          <t>Struttura</t>
        </is>
      </c>
      <c r="Y21" s="43" t="n"/>
      <c r="Z21" s="38" t="n"/>
    </row>
    <row r="22">
      <c r="A22" s="569" t="n"/>
      <c r="C22" s="566" t="n"/>
      <c r="D22" s="33" t="inlineStr">
        <is>
          <t>Archetto</t>
        </is>
      </c>
      <c r="E22" s="43" t="n"/>
      <c r="F22" s="38" t="n"/>
      <c r="G22" s="566" t="n"/>
      <c r="H22" s="1" t="inlineStr">
        <is>
          <t>Archetto</t>
        </is>
      </c>
      <c r="I22" s="43" t="n"/>
      <c r="J22" s="38" t="n"/>
      <c r="K22" s="566" t="n"/>
      <c r="L22" s="1" t="inlineStr">
        <is>
          <t>Archetto</t>
        </is>
      </c>
      <c r="M22" s="43" t="n"/>
      <c r="N22" s="38" t="n"/>
      <c r="O22" s="566" t="n"/>
      <c r="P22" s="1" t="inlineStr">
        <is>
          <t>Archetto</t>
        </is>
      </c>
      <c r="Q22" s="44" t="n">
        <v>10882275</v>
      </c>
      <c r="R22" s="35" t="inlineStr">
        <is>
          <t>Larghezza 1.950 mm</t>
        </is>
      </c>
      <c r="S22" s="566" t="n"/>
      <c r="T22" s="45" t="inlineStr">
        <is>
          <t>Archetto</t>
        </is>
      </c>
      <c r="U22" s="45" t="n"/>
      <c r="V22" s="42" t="n"/>
      <c r="W22" s="566" t="n"/>
      <c r="X22" s="1" t="inlineStr">
        <is>
          <t>Archetto</t>
        </is>
      </c>
      <c r="Y22" s="43" t="n"/>
      <c r="Z22" s="38" t="n"/>
    </row>
    <row r="23">
      <c r="A23" s="569" t="n"/>
      <c r="C23" s="566" t="n"/>
      <c r="D23" s="33" t="inlineStr">
        <is>
          <t>Strisciante</t>
        </is>
      </c>
      <c r="E23" s="43" t="n"/>
      <c r="F23" s="38" t="n"/>
      <c r="G23" s="566" t="n"/>
      <c r="H23" s="1" t="inlineStr">
        <is>
          <t>Strisciante</t>
        </is>
      </c>
      <c r="I23" s="43" t="n"/>
      <c r="J23" s="38" t="n"/>
      <c r="K23" s="566" t="n"/>
      <c r="L23" s="1" t="inlineStr">
        <is>
          <t>Strisciante</t>
        </is>
      </c>
      <c r="M23" s="43" t="n"/>
      <c r="N23" s="38" t="n"/>
      <c r="O23" s="566" t="n"/>
      <c r="P23" s="1" t="inlineStr">
        <is>
          <t>Strisciante</t>
        </is>
      </c>
      <c r="Q23" s="44" t="inlineStr">
        <is>
          <t>SK 2348</t>
        </is>
      </c>
      <c r="R23" s="35" t="n"/>
      <c r="S23" s="566" t="n"/>
      <c r="T23" s="45" t="inlineStr">
        <is>
          <t>Strisciante</t>
        </is>
      </c>
      <c r="U23" s="45" t="n"/>
      <c r="V23" s="42" t="n"/>
      <c r="W23" s="566" t="n"/>
      <c r="X23" s="1" t="inlineStr">
        <is>
          <t>Strisciante</t>
        </is>
      </c>
      <c r="Y23" s="43" t="n"/>
      <c r="Z23" s="38" t="n"/>
    </row>
    <row r="24">
      <c r="A24" s="569" t="n"/>
      <c r="B24" s="537" t="n"/>
      <c r="C24" s="567" t="n"/>
      <c r="D24" s="33" t="inlineStr">
        <is>
          <t>PCU</t>
        </is>
      </c>
      <c r="E24" s="43" t="n"/>
      <c r="F24" s="38" t="n"/>
      <c r="G24" s="567" t="n"/>
      <c r="H24" s="1" t="inlineStr">
        <is>
          <t>PCU</t>
        </is>
      </c>
      <c r="I24" s="43" t="n"/>
      <c r="J24" s="38" t="n"/>
      <c r="K24" s="567" t="n"/>
      <c r="L24" s="1" t="inlineStr">
        <is>
          <t>PCU</t>
        </is>
      </c>
      <c r="M24" s="43" t="n"/>
      <c r="N24" s="38" t="n"/>
      <c r="O24" s="567" t="n"/>
      <c r="P24" s="1" t="inlineStr">
        <is>
          <t>PPU</t>
        </is>
      </c>
      <c r="Q24" s="67" t="inlineStr">
        <is>
          <t>232C10353E</t>
        </is>
      </c>
      <c r="R24" s="69" t="inlineStr">
        <is>
          <t>PPU Modificata per agg.panto 1.5</t>
        </is>
      </c>
      <c r="S24" s="567" t="n"/>
      <c r="T24" s="45" t="inlineStr">
        <is>
          <t>PCU</t>
        </is>
      </c>
      <c r="U24" s="45" t="n"/>
      <c r="V24" s="42" t="n"/>
      <c r="W24" s="567" t="n"/>
      <c r="X24" s="1" t="inlineStr">
        <is>
          <t>PCU</t>
        </is>
      </c>
      <c r="Y24" s="43" t="n"/>
      <c r="Z24" s="38" t="n"/>
    </row>
    <row r="25">
      <c r="A25" s="569" t="n"/>
      <c r="B25" s="607" t="inlineStr">
        <is>
          <t>15 kV</t>
        </is>
      </c>
      <c r="C25" s="572" t="inlineStr">
        <is>
          <t>n/a</t>
        </is>
      </c>
      <c r="D25" s="33" t="inlineStr">
        <is>
          <t>Struttura</t>
        </is>
      </c>
      <c r="E25" s="43" t="n"/>
      <c r="F25" s="38" t="n"/>
      <c r="G25" s="572" t="inlineStr">
        <is>
          <t>n/a</t>
        </is>
      </c>
      <c r="H25" s="1" t="inlineStr">
        <is>
          <t>Struttura</t>
        </is>
      </c>
      <c r="I25" s="43" t="n"/>
      <c r="J25" s="38" t="n"/>
      <c r="K25" s="572" t="inlineStr">
        <is>
          <t>n/a</t>
        </is>
      </c>
      <c r="L25" s="1" t="inlineStr">
        <is>
          <t>Struttura</t>
        </is>
      </c>
      <c r="M25" s="43" t="n"/>
      <c r="N25" s="38" t="n"/>
      <c r="O25" s="620" t="n"/>
      <c r="P25" s="43" t="inlineStr">
        <is>
          <t>Struttura</t>
        </is>
      </c>
      <c r="Q25" s="43" t="n"/>
      <c r="R25" s="38" t="n"/>
      <c r="S25" s="617" t="n"/>
      <c r="T25" s="45" t="inlineStr">
        <is>
          <t>Struttura</t>
        </is>
      </c>
      <c r="U25" s="45" t="n"/>
      <c r="V25" s="42" t="n"/>
      <c r="W25" s="570" t="n"/>
      <c r="X25" s="1" t="inlineStr">
        <is>
          <t>Struttura</t>
        </is>
      </c>
      <c r="Y25" s="43" t="n"/>
      <c r="Z25" s="38" t="n"/>
    </row>
    <row r="26">
      <c r="A26" s="569" t="n"/>
      <c r="C26" s="566" t="n"/>
      <c r="D26" s="33" t="inlineStr">
        <is>
          <t>Archetto</t>
        </is>
      </c>
      <c r="E26" s="43" t="n"/>
      <c r="F26" s="38" t="n"/>
      <c r="G26" s="566" t="n"/>
      <c r="H26" s="1" t="inlineStr">
        <is>
          <t>Archetto</t>
        </is>
      </c>
      <c r="I26" s="43" t="n"/>
      <c r="J26" s="38" t="n"/>
      <c r="K26" s="566" t="n"/>
      <c r="L26" s="1" t="inlineStr">
        <is>
          <t>Archetto</t>
        </is>
      </c>
      <c r="M26" s="43" t="n"/>
      <c r="N26" s="38" t="n"/>
      <c r="O26" s="566" t="n"/>
      <c r="P26" s="43" t="inlineStr">
        <is>
          <t>Archetto</t>
        </is>
      </c>
      <c r="Q26" s="43" t="n"/>
      <c r="R26" s="38" t="n"/>
      <c r="S26" s="566" t="n"/>
      <c r="T26" s="45" t="inlineStr">
        <is>
          <t>Archetto</t>
        </is>
      </c>
      <c r="U26" s="45" t="n"/>
      <c r="V26" s="42" t="n"/>
      <c r="W26" s="566" t="n"/>
      <c r="X26" s="1" t="inlineStr">
        <is>
          <t>Archetto</t>
        </is>
      </c>
      <c r="Y26" s="43" t="n"/>
      <c r="Z26" s="38" t="n"/>
    </row>
    <row r="27">
      <c r="A27" s="569" t="n"/>
      <c r="C27" s="566" t="n"/>
      <c r="D27" s="33" t="inlineStr">
        <is>
          <t>Strisciante</t>
        </is>
      </c>
      <c r="E27" s="43" t="n"/>
      <c r="F27" s="38" t="n"/>
      <c r="G27" s="566" t="n"/>
      <c r="H27" s="1" t="inlineStr">
        <is>
          <t>Strisciante</t>
        </is>
      </c>
      <c r="I27" s="43" t="n"/>
      <c r="J27" s="38" t="n"/>
      <c r="K27" s="566" t="n"/>
      <c r="L27" s="1" t="inlineStr">
        <is>
          <t>Strisciante</t>
        </is>
      </c>
      <c r="M27" s="43" t="n"/>
      <c r="N27" s="38" t="n"/>
      <c r="O27" s="566" t="n"/>
      <c r="P27" s="43" t="inlineStr">
        <is>
          <t>Strisciante</t>
        </is>
      </c>
      <c r="Q27" s="43" t="n"/>
      <c r="R27" s="38" t="n"/>
      <c r="S27" s="566" t="n"/>
      <c r="T27" s="45" t="inlineStr">
        <is>
          <t>Strisciante</t>
        </is>
      </c>
      <c r="U27" s="45" t="n"/>
      <c r="V27" s="42" t="n"/>
      <c r="W27" s="566" t="n"/>
      <c r="X27" s="1" t="inlineStr">
        <is>
          <t>Strisciante</t>
        </is>
      </c>
      <c r="Y27" s="43" t="n"/>
      <c r="Z27" s="38" t="n"/>
    </row>
    <row r="28" ht="15.75" customHeight="1" s="579" thickBot="1">
      <c r="A28" s="605" t="n"/>
      <c r="B28" s="537" t="n"/>
      <c r="C28" s="567" t="n"/>
      <c r="D28" s="52" t="inlineStr">
        <is>
          <t>PCU</t>
        </is>
      </c>
      <c r="E28" s="56" t="n"/>
      <c r="F28" s="57" t="n"/>
      <c r="G28" s="567" t="n"/>
      <c r="H28" s="53" t="inlineStr">
        <is>
          <t>PCU</t>
        </is>
      </c>
      <c r="I28" s="56" t="n"/>
      <c r="J28" s="57" t="n"/>
      <c r="K28" s="567" t="n"/>
      <c r="L28" s="53" t="inlineStr">
        <is>
          <t>PCU</t>
        </is>
      </c>
      <c r="M28" s="56" t="n"/>
      <c r="N28" s="57" t="n"/>
      <c r="O28" s="571" t="n"/>
      <c r="P28" s="56" t="inlineStr">
        <is>
          <t>PPU</t>
        </is>
      </c>
      <c r="Q28" s="56" t="n"/>
      <c r="R28" s="57" t="n"/>
      <c r="S28" s="571" t="n"/>
      <c r="T28" s="59" t="inlineStr">
        <is>
          <t>PCU</t>
        </is>
      </c>
      <c r="U28" s="59" t="n"/>
      <c r="V28" s="60" t="n"/>
      <c r="W28" s="571" t="n"/>
      <c r="X28" s="53" t="inlineStr">
        <is>
          <t>PCU</t>
        </is>
      </c>
      <c r="Y28" s="56" t="n"/>
      <c r="Z28" s="57" t="n"/>
    </row>
    <row r="29" ht="101.45" customHeight="1" s="579">
      <c r="A29" s="587" t="inlineStr">
        <is>
          <t>TCMS Hardware</t>
        </is>
      </c>
      <c r="B29" s="587"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14" t="inlineStr">
        <is>
          <t>Nuova architettura Full Ethernet</t>
        </is>
      </c>
      <c r="N29" s="599" t="n"/>
      <c r="O29" s="76" t="n"/>
      <c r="P29" s="77" t="inlineStr">
        <is>
          <t>CCU-O</t>
        </is>
      </c>
      <c r="Q29" s="61" t="inlineStr">
        <is>
          <t>3EST000225-5707</t>
        </is>
      </c>
      <c r="R29" s="63" t="n"/>
      <c r="S29" s="76" t="n"/>
      <c r="T29" s="77" t="inlineStr">
        <is>
          <t>CCU-O</t>
        </is>
      </c>
      <c r="U29" s="61" t="inlineStr">
        <is>
          <t>3EST000225-5707</t>
        </is>
      </c>
      <c r="V29" s="63" t="n"/>
      <c r="W29" s="547" t="n"/>
      <c r="X29" s="77" t="inlineStr">
        <is>
          <t>CCU-O</t>
        </is>
      </c>
      <c r="Y29" s="61" t="inlineStr">
        <is>
          <t>3EST000236-6235</t>
        </is>
      </c>
      <c r="Z29" s="79" t="inlineStr">
        <is>
          <t>Higher performances and longer spare parts support</t>
        </is>
      </c>
    </row>
    <row r="30">
      <c r="A30" s="569" t="n"/>
      <c r="B30" s="569"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15" t="n"/>
      <c r="N30" s="580" t="n"/>
      <c r="O30" s="80" t="n"/>
      <c r="P30" s="81" t="inlineStr">
        <is>
          <t>CCU-S</t>
        </is>
      </c>
      <c r="Q30" s="1" t="inlineStr">
        <is>
          <t>3EST000221-6430</t>
        </is>
      </c>
      <c r="R30" s="35" t="n"/>
      <c r="S30" s="80" t="n"/>
      <c r="T30" s="81" t="inlineStr">
        <is>
          <t>CCU-S</t>
        </is>
      </c>
      <c r="U30" s="1" t="inlineStr">
        <is>
          <t>3EST000221-6430</t>
        </is>
      </c>
      <c r="V30" s="35" t="n"/>
      <c r="W30" s="525" t="n"/>
      <c r="X30" s="81" t="inlineStr">
        <is>
          <t>CCU-S</t>
        </is>
      </c>
      <c r="Y30" s="1" t="inlineStr">
        <is>
          <t>3EST000232-1990</t>
        </is>
      </c>
      <c r="Z30" s="35" t="n"/>
    </row>
    <row r="31" ht="144.6" customHeight="1" s="579">
      <c r="A31" s="569" t="n"/>
      <c r="B31" s="588"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15" t="n"/>
      <c r="N31" s="580"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25"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79">
      <c r="A32" s="569" t="n"/>
      <c r="B32" s="586"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15" t="n"/>
      <c r="N32" s="580" t="n"/>
      <c r="O32" s="80" t="n"/>
      <c r="P32" s="82" t="inlineStr">
        <is>
          <t>MCG</t>
        </is>
      </c>
      <c r="Q32" s="46" t="inlineStr">
        <is>
          <t>3EST000225-7169</t>
        </is>
      </c>
      <c r="R32" s="35" t="n"/>
      <c r="S32" s="80" t="n"/>
      <c r="T32" s="82" t="inlineStr">
        <is>
          <t>MCG</t>
        </is>
      </c>
      <c r="U32" s="46" t="inlineStr">
        <is>
          <t>3EST000225-7169</t>
        </is>
      </c>
      <c r="V32" s="35" t="n"/>
      <c r="W32" s="525" t="n"/>
      <c r="X32" s="82" t="inlineStr">
        <is>
          <t>MCG</t>
        </is>
      </c>
      <c r="Y32" s="1" t="inlineStr">
        <is>
          <t>3EST000234-1560</t>
        </is>
      </c>
      <c r="Z32" s="69" t="inlineStr">
        <is>
          <t>additional LTE connection</t>
        </is>
      </c>
    </row>
    <row r="33">
      <c r="A33" s="569" t="n"/>
      <c r="B33" s="607"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15" t="n"/>
      <c r="N33" s="580" t="n"/>
      <c r="O33" s="80" t="n"/>
      <c r="P33" s="81" t="inlineStr">
        <is>
          <t>IDU</t>
        </is>
      </c>
      <c r="Q33" s="1" t="inlineStr">
        <is>
          <t>3EST000223-8802</t>
        </is>
      </c>
      <c r="R33" s="35" t="n"/>
      <c r="S33" s="80" t="n"/>
      <c r="T33" s="81" t="inlineStr">
        <is>
          <t>IDU</t>
        </is>
      </c>
      <c r="U33" s="1" t="inlineStr">
        <is>
          <t>3EST000223-8802</t>
        </is>
      </c>
      <c r="V33" s="35" t="n"/>
      <c r="W33" s="525" t="n"/>
      <c r="X33" s="81" t="inlineStr">
        <is>
          <t>IDU</t>
        </is>
      </c>
      <c r="Y33" s="1" t="inlineStr">
        <is>
          <t>3EST000223-8802</t>
        </is>
      </c>
      <c r="Z33" s="35" t="n"/>
    </row>
    <row r="34" ht="14.45" customHeight="1" s="579">
      <c r="A34" s="569" t="n"/>
      <c r="B34" s="568" t="inlineStr">
        <is>
          <t>Bus</t>
        </is>
      </c>
      <c r="C34" s="80" t="n"/>
      <c r="D34" s="81" t="inlineStr">
        <is>
          <t>T Repeater</t>
        </is>
      </c>
      <c r="E34" s="1" t="inlineStr">
        <is>
          <t>3EST000212-3010</t>
        </is>
      </c>
      <c r="F34" s="35" t="n"/>
      <c r="G34" s="80" t="n"/>
      <c r="H34" s="81" t="inlineStr">
        <is>
          <t>T Repeater</t>
        </is>
      </c>
      <c r="I34" s="88" t="inlineStr">
        <is>
          <t>3EST000236-6770</t>
        </is>
      </c>
      <c r="J34" s="608" t="inlineStr">
        <is>
          <t>Sell no more supported for new projects due to internal component out of production (legacy only)</t>
        </is>
      </c>
      <c r="K34" s="80" t="n"/>
      <c r="L34" s="81" t="inlineStr">
        <is>
          <t>T Repeater</t>
        </is>
      </c>
      <c r="M34" s="615" t="n"/>
      <c r="N34" s="580" t="n"/>
      <c r="O34" s="80" t="n"/>
      <c r="P34" s="81" t="inlineStr">
        <is>
          <t>T Repeater</t>
        </is>
      </c>
      <c r="Q34" s="1" t="inlineStr">
        <is>
          <t>3EST000212-3010</t>
        </is>
      </c>
      <c r="R34" s="35" t="n"/>
      <c r="S34" s="80" t="n"/>
      <c r="T34" s="81" t="inlineStr">
        <is>
          <t>T Repeater</t>
        </is>
      </c>
      <c r="U34" s="1" t="inlineStr">
        <is>
          <t>3EST000212-3010</t>
        </is>
      </c>
      <c r="V34" s="35" t="n"/>
      <c r="W34" s="525" t="n"/>
      <c r="X34" s="81" t="inlineStr">
        <is>
          <t>T Repeater</t>
        </is>
      </c>
      <c r="Y34" s="1" t="inlineStr">
        <is>
          <t>3EST000236-6770</t>
        </is>
      </c>
      <c r="Z34" s="608" t="inlineStr">
        <is>
          <t>Sell no more supported for new projects due to internal component out of production (legacy only)</t>
        </is>
      </c>
    </row>
    <row r="35">
      <c r="A35" s="569" t="n"/>
      <c r="B35" s="569" t="n"/>
      <c r="C35" s="80" t="n"/>
      <c r="D35" s="81" t="inlineStr">
        <is>
          <t>T Switch</t>
        </is>
      </c>
      <c r="E35" s="1" t="inlineStr">
        <is>
          <t>3EST000212-3000</t>
        </is>
      </c>
      <c r="F35" s="35" t="n"/>
      <c r="G35" s="80" t="n"/>
      <c r="H35" s="81" t="inlineStr">
        <is>
          <t>T Switch</t>
        </is>
      </c>
      <c r="I35" s="88" t="inlineStr">
        <is>
          <t>3EST000236-6769</t>
        </is>
      </c>
      <c r="J35" s="609" t="n"/>
      <c r="K35" s="80" t="n"/>
      <c r="L35" s="81" t="inlineStr">
        <is>
          <t>T Switch</t>
        </is>
      </c>
      <c r="M35" s="615" t="n"/>
      <c r="N35" s="580" t="n"/>
      <c r="O35" s="80" t="n"/>
      <c r="P35" s="81" t="inlineStr">
        <is>
          <t>T Switch</t>
        </is>
      </c>
      <c r="Q35" s="1" t="inlineStr">
        <is>
          <t>3EST000212-3000</t>
        </is>
      </c>
      <c r="R35" s="35" t="n"/>
      <c r="S35" s="80" t="n"/>
      <c r="T35" s="81" t="inlineStr">
        <is>
          <t>T Switch</t>
        </is>
      </c>
      <c r="U35" s="1" t="inlineStr">
        <is>
          <t>3EST000212-3000</t>
        </is>
      </c>
      <c r="V35" s="35" t="n"/>
      <c r="W35" s="525" t="n"/>
      <c r="X35" s="81" t="inlineStr">
        <is>
          <t>T Switch</t>
        </is>
      </c>
      <c r="Y35" s="1" t="inlineStr">
        <is>
          <t>3EST000236-6769</t>
        </is>
      </c>
      <c r="Z35" s="609" t="n"/>
    </row>
    <row r="36" ht="15.75" customHeight="1" s="579" thickBot="1">
      <c r="A36" s="588" t="n"/>
      <c r="B36" s="569" t="n"/>
      <c r="C36" s="89" t="n"/>
      <c r="D36" s="90" t="inlineStr">
        <is>
          <t>R Switch</t>
        </is>
      </c>
      <c r="E36" s="91" t="inlineStr">
        <is>
          <t>3EST000225-7297</t>
        </is>
      </c>
      <c r="F36" s="92" t="n"/>
      <c r="G36" s="89" t="n"/>
      <c r="H36" s="90" t="inlineStr">
        <is>
          <t>R Switch</t>
        </is>
      </c>
      <c r="I36" s="93" t="inlineStr">
        <is>
          <t>3EST000234-7837</t>
        </is>
      </c>
      <c r="J36" s="609" t="n"/>
      <c r="K36" s="89" t="n"/>
      <c r="L36" s="90" t="inlineStr">
        <is>
          <t>R Switch</t>
        </is>
      </c>
      <c r="M36" s="616" t="n"/>
      <c r="N36" s="583" t="n"/>
      <c r="O36" s="89" t="n"/>
      <c r="P36" s="90" t="inlineStr">
        <is>
          <t>R Switch</t>
        </is>
      </c>
      <c r="Q36" s="91" t="inlineStr">
        <is>
          <t>3EST000225-7297</t>
        </is>
      </c>
      <c r="R36" s="92" t="n"/>
      <c r="S36" s="89" t="n"/>
      <c r="T36" s="90" t="inlineStr">
        <is>
          <t>R Switch</t>
        </is>
      </c>
      <c r="U36" s="91" t="inlineStr">
        <is>
          <t>3EST000225-7297</t>
        </is>
      </c>
      <c r="V36" s="92" t="n"/>
      <c r="W36" s="552" t="n"/>
      <c r="X36" s="90" t="inlineStr">
        <is>
          <t>R Switch</t>
        </is>
      </c>
      <c r="Y36" s="91" t="inlineStr">
        <is>
          <t>3EST000234-7837</t>
        </is>
      </c>
      <c r="Z36" s="609" t="n"/>
    </row>
    <row r="37" ht="15.75" customHeight="1" s="579" thickBot="1">
      <c r="A37" s="66" t="inlineStr">
        <is>
          <t>Energy Meter</t>
        </is>
      </c>
      <c r="B37" s="16" t="inlineStr">
        <is>
          <t>Tipo</t>
        </is>
      </c>
      <c r="C37" s="575" t="inlineStr">
        <is>
          <t>n/a</t>
        </is>
      </c>
      <c r="D37" s="563" t="n"/>
      <c r="E37" s="563" t="n"/>
      <c r="F37" s="564" t="n"/>
      <c r="G37" s="575" t="inlineStr">
        <is>
          <t>n/a</t>
        </is>
      </c>
      <c r="H37" s="563" t="n"/>
      <c r="I37" s="563" t="n"/>
      <c r="J37" s="564" t="n"/>
      <c r="K37" s="585" t="inlineStr">
        <is>
          <t>EMS Microelettrica  integrato con TCMS</t>
        </is>
      </c>
      <c r="L37" s="563" t="n"/>
      <c r="M37" s="563" t="n"/>
      <c r="N37" s="564" t="n"/>
      <c r="O37" s="585" t="inlineStr">
        <is>
          <t>EMS Microelettrica non integrato con TCMS</t>
        </is>
      </c>
      <c r="P37" s="563" t="n"/>
      <c r="Q37" s="563" t="n"/>
      <c r="R37" s="564" t="n"/>
      <c r="S37" s="585" t="inlineStr">
        <is>
          <t>EMS Alstom  integrato con TCMS</t>
        </is>
      </c>
      <c r="T37" s="563" t="n"/>
      <c r="U37" s="563" t="n"/>
      <c r="V37" s="564" t="n"/>
      <c r="W37" s="585" t="inlineStr">
        <is>
          <t>EMS Alstom  integrato con TCMS</t>
        </is>
      </c>
      <c r="X37" s="563" t="n"/>
      <c r="Y37" s="563" t="n"/>
      <c r="Z37" s="564" t="n"/>
    </row>
    <row r="38" ht="87" customHeight="1" s="579">
      <c r="A38" s="587" t="inlineStr">
        <is>
          <t>Freno</t>
        </is>
      </c>
      <c r="B38" s="561"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79">
      <c r="A39" s="569" t="n"/>
      <c r="B39" s="537"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569" t="n"/>
      <c r="B40" s="584"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569" t="n"/>
      <c r="B41" s="578"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79" thickBot="1">
      <c r="A42" s="588" t="n"/>
      <c r="B42" s="581"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587" t="inlineStr">
        <is>
          <t>PRM</t>
        </is>
      </c>
      <c r="B43" s="561" t="inlineStr">
        <is>
          <t>Toilet</t>
        </is>
      </c>
      <c r="C43" s="597" t="inlineStr">
        <is>
          <t>Toilet Production HK standard flotta base</t>
        </is>
      </c>
      <c r="D43" s="598" t="n"/>
      <c r="E43" s="598" t="n"/>
      <c r="F43" s="599" t="n"/>
      <c r="G43" s="597" t="inlineStr">
        <is>
          <t>Toilet Production HK standard flotta base</t>
        </is>
      </c>
      <c r="H43" s="598" t="n"/>
      <c r="I43" s="598" t="n"/>
      <c r="J43" s="599" t="n"/>
      <c r="K43" s="597" t="inlineStr">
        <is>
          <t>Toilet Production HK - conf. NRD Spagna + STI PRM 2019</t>
        </is>
      </c>
      <c r="L43" s="598" t="n"/>
      <c r="M43" s="598" t="n"/>
      <c r="N43" s="599" t="n"/>
      <c r="O43" s="597" t="inlineStr">
        <is>
          <t>Toilet Production HK standard flotta base</t>
        </is>
      </c>
      <c r="P43" s="598" t="n"/>
      <c r="Q43" s="598" t="n"/>
      <c r="R43" s="599" t="n"/>
      <c r="S43" s="597" t="inlineStr">
        <is>
          <t>Toilet Production HK standard flotta base</t>
        </is>
      </c>
      <c r="T43" s="598" t="n"/>
      <c r="U43" s="598" t="n"/>
      <c r="V43" s="599" t="n"/>
      <c r="W43" s="597" t="inlineStr">
        <is>
          <t>Toilet Production HK - conf. NRD Spagna + STI PRM 2019</t>
        </is>
      </c>
      <c r="X43" s="598" t="n"/>
      <c r="Y43" s="598" t="n"/>
      <c r="Z43" s="599" t="n"/>
    </row>
    <row r="44">
      <c r="A44" s="569" t="n"/>
      <c r="B44" s="537" t="n"/>
      <c r="C44" s="600" t="n"/>
      <c r="D44" s="537" t="n"/>
      <c r="E44" s="537" t="n"/>
      <c r="F44" s="601" t="n"/>
      <c r="G44" s="600" t="n"/>
      <c r="H44" s="537" t="n"/>
      <c r="I44" s="537" t="n"/>
      <c r="J44" s="601" t="n"/>
      <c r="K44" s="600" t="n"/>
      <c r="L44" s="537" t="n"/>
      <c r="M44" s="537" t="n"/>
      <c r="N44" s="601" t="n"/>
      <c r="O44" s="600" t="n"/>
      <c r="P44" s="537" t="n"/>
      <c r="Q44" s="537" t="n"/>
      <c r="R44" s="601" t="n"/>
      <c r="S44" s="600" t="n"/>
      <c r="T44" s="537" t="n"/>
      <c r="U44" s="537" t="n"/>
      <c r="V44" s="601" t="n"/>
      <c r="W44" s="600" t="n"/>
      <c r="X44" s="537" t="n"/>
      <c r="Y44" s="537" t="n"/>
      <c r="Z44" s="601" t="n"/>
    </row>
    <row r="45">
      <c r="A45" s="569" t="n"/>
      <c r="B45" s="584" t="inlineStr">
        <is>
          <t>Lift</t>
        </is>
      </c>
      <c r="C45" s="576" t="inlineStr">
        <is>
          <t>Lift HK standard flotta base azionamento idraulico</t>
        </is>
      </c>
      <c r="D45" s="557" t="n"/>
      <c r="E45" s="557" t="n"/>
      <c r="F45" s="577" t="n"/>
      <c r="G45" s="576" t="inlineStr">
        <is>
          <t>Lift HK standard flotta base azionamento idraulico</t>
        </is>
      </c>
      <c r="H45" s="557" t="n"/>
      <c r="I45" s="557" t="n"/>
      <c r="J45" s="577" t="n"/>
      <c r="K45" s="611" t="inlineStr">
        <is>
          <t>Lift HK STI PRM 2019 (pedana più grande, azionamento elettrico)</t>
        </is>
      </c>
      <c r="L45" s="557" t="n"/>
      <c r="M45" s="557" t="n"/>
      <c r="N45" s="577" t="n"/>
      <c r="O45" s="576" t="inlineStr">
        <is>
          <t>Lift HK standard flotta base azionamento idraulico</t>
        </is>
      </c>
      <c r="P45" s="557" t="n"/>
      <c r="Q45" s="557" t="n"/>
      <c r="R45" s="577" t="n"/>
      <c r="S45" s="576" t="inlineStr">
        <is>
          <t>Lift HK standard flotta base azionamento idraulico</t>
        </is>
      </c>
      <c r="T45" s="557" t="n"/>
      <c r="U45" s="557" t="n"/>
      <c r="V45" s="577" t="n"/>
      <c r="W45" s="611" t="inlineStr">
        <is>
          <t>Lift HK STI PRM 2019 (pedana più grande) azionamento idraulico</t>
        </is>
      </c>
      <c r="X45" s="557" t="n"/>
      <c r="Y45" s="557" t="n"/>
      <c r="Z45" s="577" t="n"/>
    </row>
    <row r="46">
      <c r="A46" s="569" t="n"/>
      <c r="B46" s="578" t="n"/>
      <c r="C46" s="578" t="n"/>
      <c r="F46" s="580" t="n"/>
      <c r="G46" s="578" t="n"/>
      <c r="J46" s="580" t="n"/>
      <c r="K46" s="578" t="n"/>
      <c r="N46" s="580" t="n"/>
      <c r="O46" s="578" t="n"/>
      <c r="R46" s="580" t="n"/>
      <c r="S46" s="578" t="n"/>
      <c r="V46" s="580" t="n"/>
      <c r="W46" s="578" t="n"/>
      <c r="Z46" s="580" t="n"/>
    </row>
    <row r="47" ht="15.75" customHeight="1" s="579" thickBot="1">
      <c r="A47" s="588" t="n"/>
      <c r="B47" s="581" t="n"/>
      <c r="C47" s="581" t="n"/>
      <c r="D47" s="582" t="n"/>
      <c r="E47" s="582" t="n"/>
      <c r="F47" s="583" t="n"/>
      <c r="G47" s="581" t="n"/>
      <c r="H47" s="582" t="n"/>
      <c r="I47" s="582" t="n"/>
      <c r="J47" s="583" t="n"/>
      <c r="K47" s="581" t="n"/>
      <c r="L47" s="582" t="n"/>
      <c r="M47" s="582" t="n"/>
      <c r="N47" s="583" t="n"/>
      <c r="O47" s="581" t="n"/>
      <c r="P47" s="582" t="n"/>
      <c r="Q47" s="582" t="n"/>
      <c r="R47" s="583" t="n"/>
      <c r="S47" s="581" t="n"/>
      <c r="T47" s="582" t="n"/>
      <c r="U47" s="582" t="n"/>
      <c r="V47" s="583" t="n"/>
      <c r="W47" s="581" t="n"/>
      <c r="X47" s="582" t="n"/>
      <c r="Y47" s="582" t="n"/>
      <c r="Z47" s="583" t="n"/>
    </row>
    <row r="48" ht="29.45" customHeight="1" s="579" thickBot="1">
      <c r="A48" s="100" t="inlineStr">
        <is>
          <t>Porte Esterne</t>
        </is>
      </c>
      <c r="B48" s="101" t="inlineStr">
        <is>
          <t>Tipo</t>
        </is>
      </c>
      <c r="C48" s="612" t="inlineStr">
        <is>
          <t>Porte esterne IFE standard flotta base</t>
        </is>
      </c>
      <c r="D48" s="563" t="n"/>
      <c r="E48" s="563" t="n"/>
      <c r="F48" s="564" t="n"/>
      <c r="G48" s="612" t="inlineStr">
        <is>
          <t>Porte esterne IFE standard flotta base</t>
        </is>
      </c>
      <c r="H48" s="563" t="n"/>
      <c r="I48" s="563" t="n"/>
      <c r="J48" s="564" t="n"/>
      <c r="K48" s="562" t="inlineStr">
        <is>
          <t>Porte esterne IFE TSI 2019
Centralina Ethernet</t>
        </is>
      </c>
      <c r="L48" s="563" t="n"/>
      <c r="M48" s="563" t="n"/>
      <c r="N48" s="564" t="n"/>
      <c r="O48" s="612" t="inlineStr">
        <is>
          <t>Porte esterne IFE standard flotta base</t>
        </is>
      </c>
      <c r="P48" s="563" t="n"/>
      <c r="Q48" s="563" t="n"/>
      <c r="R48" s="564" t="n"/>
      <c r="S48" s="612" t="inlineStr">
        <is>
          <t>Porte esterne IFE standard flotta base</t>
        </is>
      </c>
      <c r="T48" s="563" t="n"/>
      <c r="U48" s="563" t="n"/>
      <c r="V48" s="564" t="n"/>
      <c r="W48" s="574" t="inlineStr">
        <is>
          <t>Porte esterne IFE (TSI 2019)</t>
        </is>
      </c>
      <c r="X48" s="563" t="n"/>
      <c r="Y48" s="563" t="n"/>
      <c r="Z48" s="564" t="n"/>
    </row>
    <row r="49" ht="24" customHeight="1" s="579">
      <c r="A49" s="604" t="inlineStr">
        <is>
          <t>Antincendio</t>
        </is>
      </c>
      <c r="B49" s="102" t="inlineStr">
        <is>
          <t>Sensori
Elettronica</t>
        </is>
      </c>
      <c r="C49" s="597" t="inlineStr">
        <is>
          <t>SCU Saira</t>
        </is>
      </c>
      <c r="D49" s="546" t="n"/>
      <c r="E49" s="546" t="n"/>
      <c r="F49" s="590" t="n"/>
      <c r="G49" s="589" t="inlineStr">
        <is>
          <t>FDU-1000 (fornitura ISE)</t>
        </is>
      </c>
      <c r="H49" s="546" t="n"/>
      <c r="I49" s="546" t="n"/>
      <c r="J49" s="590" t="n"/>
      <c r="K49" s="589" t="inlineStr">
        <is>
          <t>FDU ISE</t>
        </is>
      </c>
      <c r="L49" s="546" t="n"/>
      <c r="M49" s="546" t="n"/>
      <c r="N49" s="590" t="n"/>
      <c r="O49" s="597" t="inlineStr">
        <is>
          <t>SCU Saira</t>
        </is>
      </c>
      <c r="P49" s="546" t="n"/>
      <c r="Q49" s="546" t="n"/>
      <c r="R49" s="590" t="n"/>
      <c r="S49" s="597" t="inlineStr">
        <is>
          <t>SCU Saira</t>
        </is>
      </c>
      <c r="T49" s="546" t="n"/>
      <c r="U49" s="546" t="n"/>
      <c r="V49" s="590" t="n"/>
      <c r="W49" s="589" t="inlineStr">
        <is>
          <t>FDU-1000 (fornitura ISE)</t>
        </is>
      </c>
      <c r="X49" s="546" t="n"/>
      <c r="Y49" s="546" t="n"/>
      <c r="Z49" s="590" t="n"/>
    </row>
    <row r="50" ht="15.75" customHeight="1" s="579" thickBot="1">
      <c r="A50" s="605" t="n"/>
      <c r="B50" s="75" t="inlineStr">
        <is>
          <t>Estinzione</t>
        </is>
      </c>
      <c r="C50" s="594" t="inlineStr">
        <is>
          <t>WaterMist Marioff - 2 gruppi MAU (DM1/8)</t>
        </is>
      </c>
      <c r="D50" s="582" t="n"/>
      <c r="E50" s="582" t="n"/>
      <c r="F50" s="583" t="n"/>
      <c r="G50" s="613" t="inlineStr">
        <is>
          <t>WaterMist Marioff - 2 gruppi MAU (DM1/8)</t>
        </is>
      </c>
      <c r="H50" s="582" t="n"/>
      <c r="I50" s="582" t="n"/>
      <c r="J50" s="583" t="n"/>
      <c r="K50" s="613" t="inlineStr">
        <is>
          <t>WaterMist Acquasys - 1 gruppo MAU (DM1)</t>
        </is>
      </c>
      <c r="L50" s="582" t="n"/>
      <c r="M50" s="582" t="n"/>
      <c r="N50" s="583" t="n"/>
      <c r="O50" s="594" t="inlineStr">
        <is>
          <t>WaterMist Marioff - 2 gruppi MAU (DM1/8)</t>
        </is>
      </c>
      <c r="P50" s="582" t="n"/>
      <c r="Q50" s="582" t="n"/>
      <c r="R50" s="583" t="n"/>
      <c r="S50" s="594" t="inlineStr">
        <is>
          <t>WaterMist Marioff - 2 gruppi MAU (DM1/8)</t>
        </is>
      </c>
      <c r="T50" s="582" t="n"/>
      <c r="U50" s="582" t="n"/>
      <c r="V50" s="583" t="n"/>
      <c r="W50" s="594" t="inlineStr">
        <is>
          <t>n/a</t>
        </is>
      </c>
      <c r="X50" s="582" t="n"/>
      <c r="Y50" s="582" t="n"/>
      <c r="Z50" s="5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25"/>
    <col width="8.7109375" customWidth="1" style="13" min="26" max="16384"/>
  </cols>
  <sheetData>
    <row r="1" ht="30" customHeight="1" s="579">
      <c r="A1" s="156" t="inlineStr">
        <is>
          <t>FUNC ID</t>
        </is>
      </c>
      <c r="B1" s="156" t="inlineStr">
        <is>
          <t>DESCRIZIONE FUNZIONE</t>
        </is>
      </c>
      <c r="C1" s="528" t="inlineStr">
        <is>
          <t>DOC
CARTELLA</t>
        </is>
      </c>
      <c r="D1" s="528" t="inlineStr">
        <is>
          <t>DOC ID</t>
        </is>
      </c>
      <c r="E1" s="528"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79">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79">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79">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79">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79">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79">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79">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79">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79">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79">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79">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79">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79" min="2" max="2"/>
    <col width="6.140625" bestFit="1" customWidth="1" style="579" min="7" max="7"/>
  </cols>
  <sheetData>
    <row r="1" ht="15.75" customHeight="1" s="579" thickBot="1"/>
    <row r="2" ht="15.75" customHeight="1" s="579" thickBot="1">
      <c r="C2" s="2" t="inlineStr">
        <is>
          <t>VZI-50</t>
        </is>
      </c>
      <c r="D2" s="2" t="inlineStr">
        <is>
          <t>VZI-51-58</t>
        </is>
      </c>
      <c r="E2" s="2" t="inlineStr">
        <is>
          <t>VZI-6</t>
        </is>
      </c>
      <c r="F2" s="2" t="inlineStr">
        <is>
          <t>VZI-4</t>
        </is>
      </c>
      <c r="G2" s="2" t="inlineStr">
        <is>
          <t>VZ-FR</t>
        </is>
      </c>
      <c r="H2" s="2" t="inlineStr">
        <is>
          <t>VZ-ES</t>
        </is>
      </c>
      <c r="I2" s="564" t="inlineStr">
        <is>
          <t>VZ-DAI</t>
        </is>
      </c>
    </row>
    <row r="3" ht="15.75" customHeight="1" s="579"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79"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79"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79"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79" thickBot="1">
      <c r="B7" s="2" t="inlineStr">
        <is>
          <t>COMPRESSORE ARIA (?)</t>
        </is>
      </c>
      <c r="C7" s="10" t="n"/>
      <c r="D7" s="7" t="n"/>
      <c r="E7" s="7" t="n"/>
      <c r="F7" s="7" t="n"/>
      <c r="G7" s="7" t="n"/>
      <c r="H7" s="7" t="n"/>
      <c r="I7" s="7" t="n"/>
    </row>
    <row r="8" ht="15.75" customHeight="1" s="579"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79" thickBot="1">
      <c r="B9" s="2" t="inlineStr">
        <is>
          <t>ARREDI TOILET BAR BISTROT</t>
        </is>
      </c>
      <c r="C9" s="10" t="n"/>
      <c r="D9" s="7" t="n"/>
      <c r="E9" s="7" t="n"/>
      <c r="F9" s="7" t="n"/>
      <c r="G9" s="7" t="n"/>
      <c r="H9" s="7" t="n"/>
      <c r="I9" s="7" t="n"/>
    </row>
    <row r="10" ht="45.75" customHeight="1" s="579"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79" thickBot="1">
      <c r="B11" s="2" t="inlineStr">
        <is>
          <t>PANTOGRAFI</t>
        </is>
      </c>
      <c r="C11" s="10" t="n"/>
      <c r="D11" s="7" t="n"/>
      <c r="E11" s="7" t="n"/>
      <c r="F11" s="7" t="n"/>
      <c r="G11" s="7" t="n"/>
      <c r="H11" s="7" t="n"/>
      <c r="I11" s="7" t="n"/>
    </row>
    <row r="12" ht="15.75" customHeight="1" s="579" thickBot="1">
      <c r="B12" s="2" t="inlineStr">
        <is>
          <t>PIANO DI MANUTENZIONE</t>
        </is>
      </c>
      <c r="C12" s="525" t="n"/>
      <c r="D12" s="1" t="n"/>
      <c r="E12" s="1" t="n"/>
      <c r="F12" s="1" t="n"/>
      <c r="G12" s="1" t="n"/>
      <c r="H12" s="1" t="n"/>
      <c r="I12" s="1" t="n"/>
    </row>
    <row r="13" ht="15.75" customHeight="1" s="579" thickBot="1">
      <c r="B13" s="2" t="inlineStr">
        <is>
          <t>BL SSB</t>
        </is>
      </c>
      <c r="C13" s="525" t="n"/>
      <c r="D13" s="1" t="n"/>
      <c r="E13" s="1" t="n"/>
      <c r="F13" s="1" t="n"/>
      <c r="G13" s="1" t="n"/>
      <c r="H13" s="1" t="n"/>
      <c r="I13" s="1" t="n"/>
    </row>
    <row r="14" ht="15.75" customHeight="1" s="579" thickBot="1">
      <c r="B14" s="605" t="inlineStr">
        <is>
          <t>BL DIS</t>
        </is>
      </c>
      <c r="C14" s="525" t="n"/>
      <c r="D14" s="1" t="n"/>
      <c r="E14" s="1" t="n"/>
      <c r="F14" s="1" t="n"/>
      <c r="G14" s="1" t="n"/>
      <c r="H14" s="1" t="n"/>
      <c r="I14" s="1" t="n"/>
    </row>
    <row r="15" ht="15.75" customHeight="1" s="579" thickBot="1">
      <c r="B15" s="2" t="inlineStr">
        <is>
          <t>ETCS HD (HW)</t>
        </is>
      </c>
      <c r="C15" s="525" t="n"/>
      <c r="D15" s="1" t="n"/>
      <c r="E15" s="1" t="n"/>
      <c r="F15" s="1" t="n"/>
      <c r="G15" s="1" t="n"/>
      <c r="H15" s="1" t="n"/>
      <c r="I15" s="1" t="n"/>
    </row>
    <row r="16" ht="15.75" customHeight="1" s="579" thickBot="1">
      <c r="B16" s="2" t="inlineStr">
        <is>
          <t xml:space="preserve">ANTINCENDIO </t>
        </is>
      </c>
      <c r="C16" s="525" t="n"/>
      <c r="D16" s="1" t="n"/>
      <c r="E16" s="1" t="n"/>
      <c r="F16" s="1" t="n"/>
      <c r="G16" s="1" t="n"/>
      <c r="H16" s="1" t="n"/>
      <c r="I16" s="1" t="n"/>
    </row>
    <row r="17" ht="15.75" customHeight="1" s="579"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2026-07-22T09:21:19Z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