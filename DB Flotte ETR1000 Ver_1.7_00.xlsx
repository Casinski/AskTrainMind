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Questa_cartella_di_lavoro"/>
  <bookViews>
    <workbookView visibility="visible" minimized="0" showHorizontalScroll="1" showVerticalScroll="1" showSheetTabs="1" xWindow="-120" yWindow="-120" windowWidth="29040" windowHeight="15840" tabRatio="600" firstSheet="0" activeTab="8" autoFilterDateGrouping="1"/>
  </bookViews>
  <sheets>
    <sheet xmlns:r="http://schemas.openxmlformats.org/officeDocument/2006/relationships" name="Issue" sheetId="1" state="visible" r:id="rId1"/>
    <sheet xmlns:r="http://schemas.openxmlformats.org/officeDocument/2006/relationships" name="ToDo" sheetId="2" state="visible" r:id="rId2"/>
    <sheet xmlns:r="http://schemas.openxmlformats.org/officeDocument/2006/relationships" name="Cartelle" sheetId="3" state="visible" r:id="rId3"/>
    <sheet xmlns:r="http://schemas.openxmlformats.org/officeDocument/2006/relationships" name="Flotte" sheetId="4" state="visible" r:id="rId4"/>
    <sheet xmlns:r="http://schemas.openxmlformats.org/officeDocument/2006/relationships" name="CONFIG" sheetId="5" state="visible" r:id="rId5"/>
    <sheet xmlns:r="http://schemas.openxmlformats.org/officeDocument/2006/relationships" name="GENERAL" sheetId="6" state="visible" r:id="rId6"/>
    <sheet xmlns:r="http://schemas.openxmlformats.org/officeDocument/2006/relationships" name="MAN_CPR" sheetId="7" state="visible" r:id="rId7"/>
    <sheet xmlns:r="http://schemas.openxmlformats.org/officeDocument/2006/relationships" name="DIAGNOSTIC" sheetId="8" state="visible" r:id="rId8"/>
    <sheet xmlns:r="http://schemas.openxmlformats.org/officeDocument/2006/relationships" name="Funzioni" sheetId="9" state="visible" r:id="rId9"/>
    <sheet xmlns:r="http://schemas.openxmlformats.org/officeDocument/2006/relationships" name="PBS (TBD)" sheetId="10" state="visible" r:id="rId10"/>
    <sheet xmlns:r="http://schemas.openxmlformats.org/officeDocument/2006/relationships" name="Struttura" sheetId="11" state="visible" r:id="rId11"/>
    <sheet xmlns:r="http://schemas.openxmlformats.org/officeDocument/2006/relationships" name="LINK F" sheetId="12" state="visible" r:id="rId12"/>
    <sheet xmlns:r="http://schemas.openxmlformats.org/officeDocument/2006/relationships" name="Modifiche progettuali" sheetId="13" state="visible" r:id="rId13"/>
  </sheets>
  <definedNames>
    <definedName name="_xlnm._FilterDatabase" localSheetId="9" hidden="1">'PBS (TBD)'!$A$2:$R$86</definedName>
  </definedNames>
  <calcPr calcId="191029" fullCalcOnLoad="1"/>
</workbook>
</file>

<file path=xl/styles.xml><?xml version="1.0" encoding="utf-8"?>
<styleSheet xmlns="http://schemas.openxmlformats.org/spreadsheetml/2006/main">
  <numFmts count="1">
    <numFmt numFmtId="164" formatCode="[$-410]mmm\-yy;@"/>
  </numFmts>
  <fonts count="45">
    <font>
      <name val="Calibri"/>
      <family val="2"/>
      <color theme="1"/>
      <sz val="11"/>
      <scheme val="minor"/>
    </font>
    <font>
      <name val="Calibri"/>
      <family val="2"/>
      <strike val="1"/>
      <color rgb="FFFF0000"/>
      <sz val="11"/>
      <scheme val="minor"/>
    </font>
    <font>
      <name val="Calibri"/>
      <family val="2"/>
      <color theme="4"/>
      <sz val="11"/>
      <scheme val="minor"/>
    </font>
    <font>
      <name val="Calibri"/>
      <family val="2"/>
      <b val="1"/>
      <color theme="1"/>
      <sz val="11"/>
      <scheme val="minor"/>
    </font>
    <font>
      <name val="Calibri"/>
      <family val="2"/>
      <i val="1"/>
      <color theme="1"/>
      <sz val="11"/>
      <scheme val="minor"/>
    </font>
    <font>
      <name val="Calibri"/>
      <family val="2"/>
      <b val="1"/>
      <color rgb="FF0070C0"/>
      <sz val="11"/>
      <scheme val="minor"/>
    </font>
    <font>
      <name val="Calibri"/>
      <family val="2"/>
      <color theme="1"/>
      <sz val="10"/>
      <scheme val="minor"/>
    </font>
    <font>
      <name val="Calibri"/>
      <family val="2"/>
      <b val="1"/>
      <color rgb="FF0070C0"/>
      <sz val="10"/>
      <scheme val="minor"/>
    </font>
    <font>
      <name val="Calibri"/>
      <family val="2"/>
      <color theme="1"/>
      <sz val="9"/>
      <scheme val="minor"/>
    </font>
    <font>
      <name val="Calibri"/>
      <family val="2"/>
      <sz val="11"/>
      <scheme val="minor"/>
    </font>
    <font>
      <name val="Calibri"/>
      <family val="2"/>
      <b val="1"/>
      <color rgb="FFFF0000"/>
      <sz val="11"/>
      <scheme val="minor"/>
    </font>
    <font>
      <name val="Calibri"/>
      <family val="2"/>
      <color rgb="FF002060"/>
      <sz val="11"/>
      <scheme val="minor"/>
    </font>
    <font>
      <name val="Calibri"/>
      <family val="2"/>
      <color theme="1"/>
      <sz val="8"/>
      <scheme val="minor"/>
    </font>
    <font>
      <name val="Calibri"/>
      <family val="2"/>
      <b val="1"/>
      <color theme="1"/>
      <sz val="10"/>
      <scheme val="minor"/>
    </font>
    <font>
      <name val="Calibri"/>
      <family val="2"/>
      <b val="1"/>
      <color theme="1"/>
      <sz val="9"/>
      <scheme val="minor"/>
    </font>
    <font>
      <name val="Calibri"/>
      <family val="2"/>
      <color theme="10"/>
      <sz val="11"/>
      <u val="single"/>
      <scheme val="minor"/>
    </font>
    <font>
      <name val="Calibri"/>
      <family val="2"/>
      <color rgb="FFFF0000"/>
      <sz val="11"/>
      <scheme val="minor"/>
    </font>
    <font>
      <name val="Calibri"/>
      <family val="2"/>
      <color theme="4" tint="-0.249977111117893"/>
      <sz val="11"/>
      <scheme val="minor"/>
    </font>
    <font>
      <name val="Calibri"/>
      <family val="2"/>
      <b val="1"/>
      <sz val="11"/>
      <scheme val="minor"/>
    </font>
    <font>
      <name val="Calibri"/>
      <family val="2"/>
      <b val="1"/>
      <color theme="1"/>
      <sz val="11"/>
    </font>
    <font>
      <name val="Calibri"/>
      <family val="2"/>
      <b val="1"/>
      <color theme="0"/>
      <sz val="11"/>
      <scheme val="minor"/>
    </font>
    <font>
      <name val="Calibri"/>
      <family val="2"/>
      <color theme="7" tint="-0.249977111117893"/>
      <sz val="11"/>
      <scheme val="minor"/>
    </font>
    <font>
      <name val="Calibri"/>
      <family val="2"/>
      <b val="1"/>
      <strike val="1"/>
      <color theme="1"/>
      <sz val="11"/>
      <scheme val="minor"/>
    </font>
    <font>
      <name val="Calibri"/>
      <family val="2"/>
      <b val="1"/>
      <strike val="1"/>
      <color rgb="FFFF0000"/>
      <sz val="11"/>
      <scheme val="minor"/>
    </font>
    <font>
      <name val="Calibri"/>
      <family val="2"/>
      <strike val="1"/>
      <color theme="1"/>
      <sz val="11"/>
      <scheme val="minor"/>
    </font>
    <font>
      <name val="Calibri"/>
      <family val="2"/>
      <strike val="1"/>
      <color theme="10"/>
      <sz val="11"/>
      <u val="single"/>
      <scheme val="minor"/>
    </font>
    <font>
      <name val="Calibri"/>
      <family val="2"/>
      <strike val="1"/>
      <sz val="11"/>
      <scheme val="minor"/>
    </font>
    <font>
      <name val="Calibri"/>
      <family val="2"/>
      <strike val="1"/>
      <sz val="11"/>
      <u val="single"/>
      <scheme val="minor"/>
    </font>
    <font>
      <name val="Calibri"/>
      <family val="2"/>
      <b val="1"/>
      <strike val="1"/>
      <color theme="10"/>
      <sz val="11"/>
      <u val="single"/>
      <scheme val="minor"/>
    </font>
    <font>
      <name val="Calibri"/>
      <family val="2"/>
      <i val="1"/>
      <color rgb="FFFF0000"/>
      <sz val="11"/>
      <scheme val="minor"/>
    </font>
    <font>
      <name val="Calibri"/>
      <family val="2"/>
      <color theme="9"/>
      <sz val="11"/>
      <scheme val="minor"/>
    </font>
    <font>
      <name val="Calibri"/>
      <color rgb="FF00AA00"/>
      <sz val="11"/>
    </font>
    <font>
      <name val="Calibri"/>
      <color rgb="FFCC0000"/>
      <sz val="11"/>
    </font>
    <font>
      <name val="Calibri"/>
      <color rgb="FFCC0000"/>
      <sz val="11"/>
    </font>
    <font>
      <name val="Calibri"/>
      <color rgb="FF00AA00"/>
      <sz val="11"/>
    </font>
    <font>
      <name val="Calibri"/>
      <color rgb="FF00AA00"/>
      <sz val="11"/>
    </font>
    <font>
      <name val="Calibri"/>
      <color rgb="FFCC0000"/>
      <sz val="11"/>
    </font>
    <font>
      <name val="Calibri"/>
      <color rgb="FF000000"/>
      <sz val="11"/>
    </font>
    <font>
      <name val="Calibri"/>
      <color rgb="FFCC0000"/>
      <sz val="11"/>
    </font>
    <font>
      <name val="Calibri"/>
      <color rgb="FF00AA00"/>
      <sz val="11"/>
    </font>
    <font>
      <name val="Calibri"/>
      <color rgb="FF00AA00"/>
      <sz val="11"/>
    </font>
    <font>
      <name val="Calibri"/>
      <color rgb="FF00AA00"/>
      <sz val="11"/>
    </font>
    <font>
      <color rgb="0000AA00"/>
    </font>
    <font>
      <color rgb="00000000"/>
    </font>
    <font>
      <color rgb="00CC0000"/>
    </font>
  </fonts>
  <fills count="21">
    <fill>
      <patternFill/>
    </fill>
    <fill>
      <patternFill patternType="gray125"/>
    </fill>
    <fill>
      <patternFill patternType="solid">
        <fgColor theme="0" tint="-0.1499984740745262"/>
        <bgColor indexed="64"/>
      </patternFill>
    </fill>
    <fill>
      <patternFill patternType="solid">
        <fgColor theme="3" tint="0.7999816888943144"/>
        <bgColor indexed="64"/>
      </patternFill>
    </fill>
    <fill>
      <patternFill patternType="solid">
        <fgColor theme="4" tint="0.5999938962981048"/>
        <bgColor indexed="64"/>
      </patternFill>
    </fill>
    <fill>
      <patternFill patternType="solid">
        <fgColor theme="5" tint="0.5999938962981048"/>
        <bgColor indexed="64"/>
      </patternFill>
    </fill>
    <fill>
      <patternFill patternType="solid">
        <fgColor theme="9" tint="0.3999755851924192"/>
        <bgColor indexed="64"/>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3999755851924192"/>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CFF"/>
        <bgColor indexed="64"/>
      </patternFill>
    </fill>
    <fill>
      <patternFill patternType="solid">
        <fgColor theme="7" tint="0.5999938962981048"/>
        <bgColor indexed="64"/>
      </patternFill>
    </fill>
    <fill>
      <patternFill patternType="solid">
        <fgColor rgb="FFA9D08E"/>
        <bgColor indexed="64"/>
      </patternFill>
    </fill>
    <fill>
      <patternFill patternType="solid">
        <fgColor rgb="FFE2EFDA"/>
        <bgColor indexed="64"/>
      </patternFill>
    </fill>
    <fill>
      <patternFill patternType="solid">
        <fgColor rgb="FF92D050"/>
        <bgColor indexed="64"/>
      </patternFill>
    </fill>
    <fill>
      <patternFill patternType="solid">
        <fgColor theme="9" tint="0.5999938962981048"/>
        <bgColor indexed="64"/>
      </patternFill>
    </fill>
    <fill>
      <patternFill patternType="solid">
        <fgColor theme="5" tint="0.7999816888943144"/>
        <bgColor indexed="64"/>
      </patternFill>
    </fill>
    <fill>
      <patternFill patternType="solid">
        <fgColor rgb="FFFFFFCC"/>
        <bgColor indexed="64"/>
      </patternFill>
    </fill>
  </fills>
  <borders count="12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right style="thin">
        <color indexed="64"/>
      </right>
      <top style="thin">
        <color indexed="64"/>
      </top>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bottom style="medium">
        <color indexed="64"/>
      </bottom>
      <diagonal/>
    </border>
    <border>
      <left/>
      <right style="medium">
        <color indexed="64"/>
      </right>
      <top style="medium">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indexed="64"/>
      </right>
      <top style="thin">
        <color indexed="64"/>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style="thin">
        <color auto="1"/>
      </right>
      <top style="thin">
        <color auto="1"/>
      </top>
      <bottom/>
      <diagonal/>
    </border>
    <border>
      <left style="thin">
        <color auto="1"/>
      </left>
      <right style="thin">
        <color auto="1"/>
      </right>
      <top style="thin">
        <color auto="1"/>
      </top>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indexed="64"/>
      </right>
      <top style="thin">
        <color indexed="64"/>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thin">
        <color indexed="64"/>
      </left>
      <right/>
      <top style="thin">
        <color auto="1"/>
      </top>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top/>
      <bottom style="thin">
        <color auto="1"/>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auto="1"/>
      </right>
      <top style="thin">
        <color auto="1"/>
      </top>
      <bottom/>
      <diagonal/>
    </border>
    <border>
      <left style="thin">
        <color auto="1"/>
      </left>
      <right style="thin">
        <color auto="1"/>
      </right>
      <top style="thin">
        <color auto="1"/>
      </top>
      <bottom/>
      <diagonal/>
    </border>
    <border>
      <left style="thin">
        <color indexed="64"/>
      </left>
      <right style="thin">
        <color theme="0" tint="-0.3499862666707358"/>
      </right>
      <top style="medium">
        <color indexed="64"/>
      </top>
      <bottom style="thin">
        <color indexed="64"/>
      </bottom>
      <diagonal/>
    </border>
    <border>
      <left style="thin">
        <color theme="0" tint="-0.3499862666707358"/>
      </left>
      <right style="thin">
        <color theme="0" tint="-0.3499862666707358"/>
      </right>
      <top style="medium">
        <color indexed="64"/>
      </top>
      <bottom style="thin">
        <color indexed="64"/>
      </bottom>
      <diagonal/>
    </border>
    <border>
      <left style="thin">
        <color theme="0" tint="-0.3499862666707358"/>
      </left>
      <right style="thin">
        <color indexed="64"/>
      </right>
      <top style="medium">
        <color indexed="64"/>
      </top>
      <bottom style="thin">
        <color indexed="64"/>
      </bottom>
      <diagonal/>
    </border>
    <border>
      <left style="thin">
        <color indexed="64"/>
      </left>
      <right style="thin">
        <color theme="0" tint="-0.3499862666707358"/>
      </right>
      <top/>
      <bottom style="thin">
        <color auto="1"/>
      </bottom>
      <diagonal/>
    </border>
    <border>
      <left style="thin">
        <color theme="0" tint="-0.3499862666707358"/>
      </left>
      <right style="thin">
        <color theme="0" tint="-0.3499862666707358"/>
      </right>
      <top style="thin">
        <color auto="1"/>
      </top>
      <bottom style="thin">
        <color auto="1"/>
      </bottom>
      <diagonal/>
    </border>
    <border>
      <left style="thin">
        <color theme="0" tint="-0.3499862666707358"/>
      </left>
      <right style="thin">
        <color indexed="64"/>
      </right>
      <top style="thin">
        <color auto="1"/>
      </top>
      <bottom style="thin">
        <color auto="1"/>
      </bottom>
      <diagonal/>
    </border>
    <border>
      <left style="thin">
        <color indexed="64"/>
      </left>
      <right style="thin">
        <color theme="0" tint="-0.3499862666707358"/>
      </right>
      <top style="thin">
        <color indexed="64"/>
      </top>
      <bottom style="medium">
        <color indexed="64"/>
      </bottom>
      <diagonal/>
    </border>
    <border>
      <left style="thin">
        <color theme="0" tint="-0.3499862666707358"/>
      </left>
      <right style="thin">
        <color theme="0" tint="-0.3499862666707358"/>
      </right>
      <top style="thin">
        <color indexed="64"/>
      </top>
      <bottom style="medium">
        <color indexed="64"/>
      </bottom>
      <diagonal/>
    </border>
    <border>
      <left style="thin">
        <color theme="0" tint="-0.3499862666707358"/>
      </left>
      <right style="thin">
        <color indexed="64"/>
      </right>
      <top style="thin">
        <color indexed="64"/>
      </top>
      <bottom style="medium">
        <color indexed="64"/>
      </bottom>
      <diagonal/>
    </border>
    <border>
      <left style="thin">
        <color auto="1"/>
      </left>
      <right style="thin">
        <color auto="1"/>
      </right>
      <top/>
      <bottom/>
      <diagonal/>
    </border>
    <border>
      <left style="thin">
        <color auto="1"/>
      </left>
      <right style="thin">
        <color auto="1"/>
      </right>
      <top/>
      <bottom style="thin">
        <color indexed="64"/>
      </bottom>
      <diagonal/>
    </border>
    <border>
      <left/>
      <right/>
      <top style="thin">
        <color auto="1"/>
      </top>
      <bottom/>
      <diagonal/>
    </border>
    <border>
      <left/>
      <right style="thin">
        <color indexed="64"/>
      </right>
      <top style="thin">
        <color auto="1"/>
      </top>
      <bottom/>
      <diagonal/>
    </border>
    <border>
      <left style="thin">
        <color indexed="64"/>
      </left>
      <right/>
      <top style="medium">
        <color indexed="64"/>
      </top>
      <bottom style="thin">
        <color indexed="64"/>
      </bottom>
      <diagonal/>
    </border>
    <border>
      <left/>
      <right style="thin">
        <color theme="0" tint="-0.3499862666707358"/>
      </right>
      <top style="thin">
        <color indexed="64"/>
      </top>
      <bottom style="medium">
        <color indexed="64"/>
      </bottom>
      <diagonal/>
    </border>
    <border>
      <left/>
      <right style="thin">
        <color theme="0" tint="-0.3499862666707358"/>
      </right>
      <top style="medium">
        <color indexed="64"/>
      </top>
      <bottom style="thin">
        <color indexed="64"/>
      </bottom>
      <diagonal/>
    </border>
    <border>
      <left/>
      <right style="thin">
        <color theme="0" tint="-0.3499862666707358"/>
      </right>
      <top/>
      <bottom style="thin">
        <color auto="1"/>
      </bottom>
      <diagonal/>
    </border>
    <border>
      <left style="thin">
        <color auto="1"/>
      </left>
      <right/>
      <top/>
      <bottom/>
      <diagonal/>
    </border>
    <border>
      <left/>
      <right style="thin">
        <color indexed="64"/>
      </right>
      <top style="medium">
        <color indexed="64"/>
      </top>
      <bottom/>
      <diagonal/>
    </border>
  </borders>
  <cellStyleXfs count="2">
    <xf numFmtId="0" fontId="0" fillId="0" borderId="0"/>
    <xf numFmtId="0" fontId="15" fillId="0" borderId="0"/>
  </cellStyleXfs>
  <cellXfs count="630">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2" applyAlignment="1" pivotButton="0" quotePrefix="0" xfId="0">
      <alignment wrapText="1"/>
    </xf>
    <xf numFmtId="0" fontId="0" fillId="0" borderId="5" pivotButton="0" quotePrefix="0" xfId="0"/>
    <xf numFmtId="0" fontId="0" fillId="0" borderId="6" pivotButton="0" quotePrefix="0" xfId="0"/>
    <xf numFmtId="0" fontId="0" fillId="0" borderId="1" applyAlignment="1" pivotButton="0" quotePrefix="0" xfId="0">
      <alignment horizontal="center" vertical="center"/>
    </xf>
    <xf numFmtId="0" fontId="0" fillId="0" borderId="4"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3" fillId="0" borderId="8" applyAlignment="1" pivotButton="0" quotePrefix="0" xfId="0">
      <alignment horizontal="center" vertical="center"/>
    </xf>
    <xf numFmtId="0" fontId="3" fillId="0" borderId="9" applyAlignment="1" pivotButton="0" quotePrefix="0" xfId="0">
      <alignment horizontal="center" vertical="center"/>
    </xf>
    <xf numFmtId="0" fontId="3" fillId="0" borderId="12"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16" applyAlignment="1" pivotButton="0" quotePrefix="0" xfId="0">
      <alignment horizontal="center" vertical="center"/>
    </xf>
    <xf numFmtId="0" fontId="4" fillId="0" borderId="4" pivotButton="0" quotePrefix="0" xfId="0"/>
    <xf numFmtId="0" fontId="0" fillId="0" borderId="18" applyAlignment="1" pivotButton="0" quotePrefix="0" xfId="0">
      <alignment wrapText="1"/>
    </xf>
    <xf numFmtId="0" fontId="4" fillId="3" borderId="4" pivotButton="0" quotePrefix="0" xfId="0"/>
    <xf numFmtId="0" fontId="0" fillId="3" borderId="0" applyAlignment="1" pivotButton="0" quotePrefix="0" xfId="0">
      <alignment horizontal="center" vertical="center" wrapText="1"/>
    </xf>
    <xf numFmtId="0" fontId="0" fillId="3" borderId="18" applyAlignment="1" pivotButton="0" quotePrefix="0" xfId="0">
      <alignment wrapText="1"/>
    </xf>
    <xf numFmtId="0" fontId="0" fillId="0" borderId="4" pivotButton="0" quotePrefix="0" xfId="0"/>
    <xf numFmtId="0" fontId="6" fillId="0" borderId="18" applyAlignment="1" pivotButton="0" quotePrefix="0" xfId="0">
      <alignment wrapText="1"/>
    </xf>
    <xf numFmtId="0" fontId="4" fillId="2" borderId="4" pivotButton="0" quotePrefix="0" xfId="0"/>
    <xf numFmtId="0" fontId="0" fillId="2" borderId="4" pivotButton="0" quotePrefix="0" xfId="0"/>
    <xf numFmtId="0" fontId="0" fillId="2" borderId="18" applyAlignment="1" pivotButton="0" quotePrefix="0" xfId="0">
      <alignment wrapText="1"/>
    </xf>
    <xf numFmtId="0" fontId="3" fillId="0" borderId="20" applyAlignment="1" pivotButton="0" quotePrefix="0" xfId="0">
      <alignment horizontal="center" vertical="center"/>
    </xf>
    <xf numFmtId="0" fontId="4" fillId="0" borderId="1" pivotButton="0" quotePrefix="0" xfId="0"/>
    <xf numFmtId="3" fontId="0" fillId="0" borderId="1" applyAlignment="1" pivotButton="0" quotePrefix="0" xfId="0">
      <alignment horizontal="left"/>
    </xf>
    <xf numFmtId="0" fontId="0" fillId="0" borderId="21" pivotButton="0" quotePrefix="0" xfId="0"/>
    <xf numFmtId="0" fontId="4" fillId="3" borderId="1" pivotButton="0" quotePrefix="0" xfId="0"/>
    <xf numFmtId="3" fontId="0" fillId="3" borderId="1" applyAlignment="1" pivotButton="0" quotePrefix="0" xfId="0">
      <alignment horizontal="left"/>
    </xf>
    <xf numFmtId="0" fontId="0" fillId="3" borderId="21" pivotButton="0" quotePrefix="0" xfId="0"/>
    <xf numFmtId="3" fontId="0" fillId="0" borderId="1" applyAlignment="1" pivotButton="0" quotePrefix="0" xfId="0">
      <alignment horizontal="center"/>
    </xf>
    <xf numFmtId="0" fontId="4" fillId="2" borderId="1" pivotButton="0" quotePrefix="0" xfId="0"/>
    <xf numFmtId="3" fontId="0" fillId="2" borderId="1" applyAlignment="1" pivotButton="0" quotePrefix="0" xfId="0">
      <alignment horizontal="left"/>
    </xf>
    <xf numFmtId="0" fontId="0" fillId="2" borderId="21" pivotButton="0" quotePrefix="0" xfId="0"/>
    <xf numFmtId="0" fontId="0" fillId="3" borderId="1" pivotButton="0" quotePrefix="0" xfId="0"/>
    <xf numFmtId="0" fontId="0" fillId="0" borderId="1" applyAlignment="1" pivotButton="0" quotePrefix="0" xfId="0">
      <alignment horizontal="center"/>
    </xf>
    <xf numFmtId="0" fontId="0" fillId="2" borderId="1" pivotButton="0" quotePrefix="0" xfId="0"/>
    <xf numFmtId="0" fontId="0" fillId="0" borderId="1" applyAlignment="1" pivotButton="0" quotePrefix="0" xfId="0">
      <alignment wrapText="1"/>
    </xf>
    <xf numFmtId="0" fontId="0" fillId="3" borderId="1" applyAlignment="1" pivotButton="0" quotePrefix="0" xfId="0">
      <alignment wrapText="1"/>
    </xf>
    <xf numFmtId="0" fontId="0" fillId="0" borderId="1" applyAlignment="1" pivotButton="0" quotePrefix="0" xfId="0">
      <alignment horizontal="center" wrapText="1"/>
    </xf>
    <xf numFmtId="0" fontId="0" fillId="2" borderId="1" applyAlignment="1" pivotButton="0" quotePrefix="0" xfId="0">
      <alignment wrapText="1"/>
    </xf>
    <xf numFmtId="0" fontId="0"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4" fillId="0" borderId="25" pivotButton="0" quotePrefix="0" xfId="0"/>
    <xf numFmtId="0" fontId="0" fillId="0" borderId="25" pivotButton="0" quotePrefix="0" xfId="0"/>
    <xf numFmtId="0" fontId="0" fillId="0" borderId="26" pivotButton="0" quotePrefix="0" xfId="0"/>
    <xf numFmtId="0" fontId="4" fillId="3" borderId="25" pivotButton="0" quotePrefix="0" xfId="0"/>
    <xf numFmtId="0" fontId="0" fillId="3" borderId="25" pivotButton="0" quotePrefix="0" xfId="0"/>
    <xf numFmtId="0" fontId="0" fillId="3" borderId="26" pivotButton="0" quotePrefix="0" xfId="0"/>
    <xf numFmtId="0" fontId="4" fillId="2" borderId="25" pivotButton="0" quotePrefix="0" xfId="0"/>
    <xf numFmtId="0" fontId="0" fillId="2" borderId="25" pivotButton="0" quotePrefix="0" xfId="0"/>
    <xf numFmtId="0" fontId="0" fillId="2" borderId="26" pivotButton="0" quotePrefix="0" xfId="0"/>
    <xf numFmtId="0" fontId="0" fillId="0" borderId="29" pivotButton="0" quotePrefix="0" xfId="0"/>
    <xf numFmtId="0" fontId="0" fillId="0" borderId="29" applyAlignment="1" pivotButton="0" quotePrefix="0" xfId="0">
      <alignment horizontal="center"/>
    </xf>
    <xf numFmtId="0" fontId="0" fillId="0" borderId="30" pivotButton="0" quotePrefix="0" xfId="0"/>
    <xf numFmtId="0" fontId="0" fillId="2" borderId="29" pivotButton="0" quotePrefix="0" xfId="0"/>
    <xf numFmtId="0" fontId="0" fillId="2" borderId="30" pivotButton="0" quotePrefix="0" xfId="0"/>
    <xf numFmtId="0" fontId="3" fillId="0" borderId="31" applyAlignment="1" pivotButton="0" quotePrefix="0" xfId="0">
      <alignment horizontal="center" vertical="center"/>
    </xf>
    <xf numFmtId="0" fontId="5" fillId="0" borderId="1" applyAlignment="1" pivotButton="0" quotePrefix="0" xfId="0">
      <alignment horizontal="center"/>
    </xf>
    <xf numFmtId="0" fontId="7" fillId="0" borderId="21" pivotButton="0" quotePrefix="0" xfId="0"/>
    <xf numFmtId="0" fontId="8" fillId="0" borderId="21" pivotButton="0" quotePrefix="0" xfId="0"/>
    <xf numFmtId="0" fontId="0" fillId="0" borderId="4" applyAlignment="1" pivotButton="0" quotePrefix="0" xfId="0">
      <alignment horizontal="center"/>
    </xf>
    <xf numFmtId="0" fontId="9" fillId="0" borderId="0" applyAlignment="1" pivotButton="0" quotePrefix="0" xfId="0">
      <alignment horizontal="center"/>
    </xf>
    <xf numFmtId="0" fontId="10" fillId="0" borderId="1" applyAlignment="1" pivotButton="0" quotePrefix="0" xfId="0">
      <alignment horizontal="center" vertical="center"/>
    </xf>
    <xf numFmtId="0" fontId="0" fillId="2" borderId="1" applyAlignment="1" pivotButton="0" quotePrefix="0" xfId="0">
      <alignment horizontal="center"/>
    </xf>
    <xf numFmtId="0" fontId="11" fillId="0" borderId="1" applyAlignment="1" pivotButton="0" quotePrefix="0" xfId="0">
      <alignment horizontal="center"/>
    </xf>
    <xf numFmtId="0" fontId="3" fillId="0" borderId="6" applyAlignment="1" pivotButton="0" quotePrefix="0" xfId="0">
      <alignment horizontal="center" vertical="center"/>
    </xf>
    <xf numFmtId="0" fontId="0" fillId="0" borderId="28" pivotButton="0" quotePrefix="0" xfId="0"/>
    <xf numFmtId="0" fontId="4" fillId="0" borderId="27" pivotButton="0" quotePrefix="0" xfId="0"/>
    <xf numFmtId="0" fontId="0" fillId="0" borderId="34" pivotButton="0" quotePrefix="0" xfId="0"/>
    <xf numFmtId="0" fontId="0" fillId="0" borderId="30" applyAlignment="1" pivotButton="0" quotePrefix="0" xfId="0">
      <alignment wrapText="1"/>
    </xf>
    <xf numFmtId="0" fontId="0" fillId="0" borderId="32" pivotButton="0" quotePrefix="0" xfId="0"/>
    <xf numFmtId="0" fontId="4" fillId="0" borderId="20" pivotButton="0" quotePrefix="0" xfId="0"/>
    <xf numFmtId="0" fontId="4" fillId="0" borderId="20" applyAlignment="1" pivotButton="0" quotePrefix="0" xfId="0">
      <alignment vertical="center"/>
    </xf>
    <xf numFmtId="0" fontId="5" fillId="0" borderId="1" applyAlignment="1" pivotButton="0" quotePrefix="0" xfId="0">
      <alignment vertical="center" wrapText="1"/>
    </xf>
    <xf numFmtId="0" fontId="8" fillId="0" borderId="21" applyAlignment="1" pivotButton="0" quotePrefix="0" xfId="0">
      <alignment wrapText="1"/>
    </xf>
    <xf numFmtId="0" fontId="0" fillId="0" borderId="1" applyAlignment="1" pivotButton="0" quotePrefix="0" xfId="0">
      <alignment horizontal="left" vertical="center" wrapText="1"/>
    </xf>
    <xf numFmtId="0" fontId="0" fillId="0" borderId="1" applyAlignment="1" pivotButton="0" quotePrefix="0" xfId="0">
      <alignment vertical="center" wrapText="1"/>
    </xf>
    <xf numFmtId="0" fontId="8" fillId="0" borderId="21" applyAlignment="1" pivotButton="0" quotePrefix="0" xfId="0">
      <alignment vertical="center" wrapText="1"/>
    </xf>
    <xf numFmtId="0" fontId="5" fillId="0" borderId="1" pivotButton="0" quotePrefix="0" xfId="0"/>
    <xf numFmtId="0" fontId="0" fillId="0" borderId="23" pivotButton="0" quotePrefix="0" xfId="0"/>
    <xf numFmtId="0" fontId="4" fillId="0" borderId="41" pivotButton="0" quotePrefix="0" xfId="0"/>
    <xf numFmtId="0" fontId="0" fillId="0" borderId="42" pivotButton="0" quotePrefix="0" xfId="0"/>
    <xf numFmtId="0" fontId="0" fillId="0" borderId="39" pivotButton="0" quotePrefix="0" xfId="0"/>
    <xf numFmtId="0" fontId="5" fillId="0" borderId="42" pivotButton="0" quotePrefix="0" xfId="0"/>
    <xf numFmtId="0" fontId="0" fillId="0" borderId="45" pivotButton="0" quotePrefix="0" xfId="0"/>
    <xf numFmtId="0" fontId="4" fillId="0" borderId="29" pivotButton="0" quotePrefix="0" xfId="0"/>
    <xf numFmtId="0" fontId="0" fillId="0" borderId="29" applyAlignment="1" pivotButton="0" quotePrefix="0" xfId="0">
      <alignment wrapText="1"/>
    </xf>
    <xf numFmtId="0" fontId="6" fillId="0" borderId="1" pivotButton="0" quotePrefix="0" xfId="0"/>
    <xf numFmtId="0" fontId="4" fillId="0" borderId="42" pivotButton="0" quotePrefix="0" xfId="0"/>
    <xf numFmtId="0" fontId="0" fillId="0" borderId="49" pivotButton="0" quotePrefix="0" xfId="0"/>
    <xf numFmtId="0" fontId="3" fillId="0" borderId="2" applyAlignment="1" pivotButton="0" quotePrefix="0" xfId="0">
      <alignment horizontal="center" vertical="center" wrapText="1"/>
    </xf>
    <xf numFmtId="0" fontId="13" fillId="0" borderId="2" applyAlignment="1" pivotButton="0" quotePrefix="0" xfId="0">
      <alignment horizontal="center" vertical="center"/>
    </xf>
    <xf numFmtId="0" fontId="14" fillId="0" borderId="15"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xf>
    <xf numFmtId="0" fontId="3" fillId="0" borderId="0" applyAlignment="1" pivotButton="0" quotePrefix="0" xfId="0">
      <alignment vertical="center" wrapText="1"/>
    </xf>
    <xf numFmtId="0" fontId="0" fillId="0" borderId="0" applyAlignment="1" pivotButton="0" quotePrefix="0" xfId="0">
      <alignment horizontal="left" vertical="center" wrapText="1"/>
    </xf>
    <xf numFmtId="0" fontId="0" fillId="0" borderId="58"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35" applyAlignment="1" pivotButton="0" quotePrefix="0" xfId="0">
      <alignment horizontal="center" vertical="center" wrapText="1"/>
    </xf>
    <xf numFmtId="0" fontId="0" fillId="0" borderId="59" applyAlignment="1" pivotButton="0" quotePrefix="0" xfId="0">
      <alignment horizontal="center" vertical="center" wrapText="1"/>
    </xf>
    <xf numFmtId="0" fontId="0" fillId="0" borderId="57"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16" applyAlignment="1" pivotButton="0" quotePrefix="0" xfId="0">
      <alignment horizontal="center" vertical="center" wrapText="1"/>
    </xf>
    <xf numFmtId="0" fontId="0" fillId="0" borderId="58" applyAlignment="1" pivotButton="0" quotePrefix="0" xfId="0">
      <alignment horizontal="left" vertical="center" wrapText="1"/>
    </xf>
    <xf numFmtId="0" fontId="0" fillId="0" borderId="4" applyAlignment="1" pivotButton="0" quotePrefix="0" xfId="0">
      <alignment horizontal="left" vertical="center" wrapText="1"/>
    </xf>
    <xf numFmtId="0" fontId="0" fillId="0" borderId="35" applyAlignment="1" pivotButton="0" quotePrefix="0" xfId="0">
      <alignment horizontal="left" vertical="center" wrapText="1"/>
    </xf>
    <xf numFmtId="0" fontId="0" fillId="2" borderId="35" applyAlignment="1" pivotButton="0" quotePrefix="0" xfId="0">
      <alignment horizontal="center" vertical="center" wrapText="1"/>
    </xf>
    <xf numFmtId="0" fontId="0" fillId="2" borderId="59" applyAlignment="1" pivotButton="0" quotePrefix="0" xfId="0">
      <alignment horizontal="center" vertical="center" wrapText="1"/>
    </xf>
    <xf numFmtId="0" fontId="0" fillId="2" borderId="58" applyAlignment="1" pivotButton="0" quotePrefix="0" xfId="0">
      <alignment horizontal="center" vertical="center" wrapText="1"/>
    </xf>
    <xf numFmtId="0" fontId="16" fillId="0" borderId="35" applyAlignment="1" pivotButton="0" quotePrefix="0" xfId="0">
      <alignment horizontal="center" vertical="center" wrapText="1"/>
    </xf>
    <xf numFmtId="0" fontId="16" fillId="0" borderId="58" applyAlignment="1" pivotButton="0" quotePrefix="0" xfId="0">
      <alignment horizontal="center" vertical="center" wrapText="1"/>
    </xf>
    <xf numFmtId="0" fontId="3" fillId="5" borderId="1" applyAlignment="1" pivotButton="0" quotePrefix="0" xfId="0">
      <alignment horizontal="center" vertical="center" wrapText="1"/>
    </xf>
    <xf numFmtId="0" fontId="16" fillId="0" borderId="59" applyAlignment="1" pivotButton="0" quotePrefix="0" xfId="0">
      <alignment horizontal="center" vertical="center" wrapText="1"/>
    </xf>
    <xf numFmtId="0" fontId="17" fillId="0" borderId="59" applyAlignment="1" pivotButton="0" quotePrefix="0" xfId="0">
      <alignment horizontal="center" vertical="center" wrapText="1"/>
    </xf>
    <xf numFmtId="0" fontId="17" fillId="0" borderId="58" applyAlignment="1" pivotButton="0" quotePrefix="0" xfId="0">
      <alignment horizontal="center" vertical="center" wrapText="1"/>
    </xf>
    <xf numFmtId="0" fontId="9" fillId="0" borderId="59" applyAlignment="1" pivotButton="0" quotePrefix="0" xfId="0">
      <alignment horizontal="center" vertical="center" wrapText="1"/>
    </xf>
    <xf numFmtId="0" fontId="9" fillId="0" borderId="58" applyAlignment="1" pivotButton="0" quotePrefix="0" xfId="0">
      <alignment horizontal="center" vertical="center" wrapText="1"/>
    </xf>
    <xf numFmtId="0" fontId="2" fillId="0" borderId="59" applyAlignment="1" pivotButton="0" quotePrefix="0" xfId="0">
      <alignment horizontal="center" vertical="center" wrapText="1"/>
    </xf>
    <xf numFmtId="0" fontId="2" fillId="0" borderId="58" applyAlignment="1" pivotButton="0" quotePrefix="0" xfId="0">
      <alignment horizontal="center" vertical="center" wrapText="1"/>
    </xf>
    <xf numFmtId="0" fontId="2" fillId="0" borderId="35" applyAlignment="1" pivotButton="0" quotePrefix="0" xfId="0">
      <alignment horizontal="center" vertical="center" wrapText="1"/>
    </xf>
    <xf numFmtId="0" fontId="2" fillId="0" borderId="0" applyAlignment="1" pivotButton="0" quotePrefix="0" xfId="0">
      <alignment horizontal="center" vertical="center" wrapText="1"/>
    </xf>
    <xf numFmtId="0" fontId="9" fillId="0" borderId="35" applyAlignment="1" pivotButton="0" quotePrefix="0" xfId="0">
      <alignment horizontal="center" vertical="center" wrapText="1"/>
    </xf>
    <xf numFmtId="0" fontId="9"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0" fillId="0" borderId="0" applyAlignment="1" pivotButton="0" quotePrefix="1" xfId="0">
      <alignment horizontal="center" vertical="center" wrapText="1"/>
    </xf>
    <xf numFmtId="0" fontId="18" fillId="4" borderId="57" applyAlignment="1" pivotButton="0" quotePrefix="0" xfId="0">
      <alignment horizontal="center" vertical="center" wrapText="1"/>
    </xf>
    <xf numFmtId="0" fontId="18" fillId="4" borderId="16" applyAlignment="1" pivotButton="0" quotePrefix="0" xfId="0">
      <alignment horizontal="center" vertical="center" wrapText="1"/>
    </xf>
    <xf numFmtId="0" fontId="18" fillId="4" borderId="7" applyAlignment="1" pivotButton="0" quotePrefix="0" xfId="0">
      <alignment horizontal="center" vertical="center" wrapText="1"/>
    </xf>
    <xf numFmtId="0" fontId="16" fillId="0" borderId="0" applyAlignment="1" pivotButton="0" quotePrefix="0" xfId="0">
      <alignment vertical="center"/>
    </xf>
    <xf numFmtId="0" fontId="0" fillId="0" borderId="1" applyAlignment="1" pivotButton="0" quotePrefix="0" xfId="0">
      <alignment vertical="center"/>
    </xf>
    <xf numFmtId="0" fontId="16" fillId="0" borderId="1" applyAlignment="1" pivotButton="0" quotePrefix="0" xfId="0">
      <alignment horizontal="center" vertical="center"/>
    </xf>
    <xf numFmtId="0" fontId="19" fillId="4" borderId="25" applyAlignment="1" pivotButton="0" quotePrefix="0" xfId="0">
      <alignment horizontal="center" vertical="center" wrapText="1"/>
    </xf>
    <xf numFmtId="49" fontId="19" fillId="4" borderId="25" applyAlignment="1" pivotButton="0" quotePrefix="0" xfId="0">
      <alignment horizontal="center" vertical="center" wrapText="1"/>
    </xf>
    <xf numFmtId="0" fontId="0" fillId="0" borderId="59" applyAlignment="1" pivotButton="0" quotePrefix="0" xfId="0">
      <alignment horizontal="left" vertical="center" wrapText="1"/>
    </xf>
    <xf numFmtId="0" fontId="9" fillId="0" borderId="0" applyAlignment="1" pivotButton="0" quotePrefix="1" xfId="0">
      <alignment horizontal="center" vertical="center" wrapText="1"/>
    </xf>
    <xf numFmtId="0" fontId="16" fillId="0" borderId="0" applyAlignment="1" pivotButton="0" quotePrefix="1" xfId="0">
      <alignment horizontal="center" vertical="center" wrapText="1"/>
    </xf>
    <xf numFmtId="0" fontId="16" fillId="0" borderId="16" applyAlignment="1" pivotButton="0" quotePrefix="0" xfId="0">
      <alignment horizontal="center" vertical="center" wrapText="1"/>
    </xf>
    <xf numFmtId="0" fontId="9" fillId="0" borderId="16" applyAlignment="1" pivotButton="0" quotePrefix="0" xfId="0">
      <alignment horizontal="center" vertical="center" wrapText="1"/>
    </xf>
    <xf numFmtId="0" fontId="9" fillId="4" borderId="5" applyAlignment="1" pivotButton="0" quotePrefix="0" xfId="0">
      <alignment horizontal="center" vertical="center" wrapText="1"/>
    </xf>
    <xf numFmtId="0" fontId="9" fillId="4" borderId="57" applyAlignment="1" pivotButton="0" quotePrefix="0" xfId="0">
      <alignment horizontal="center" vertical="center" wrapText="1"/>
    </xf>
    <xf numFmtId="0" fontId="9" fillId="4" borderId="7" applyAlignment="1" pivotButton="0" quotePrefix="0" xfId="0">
      <alignment horizontal="center" vertical="center" wrapText="1"/>
    </xf>
    <xf numFmtId="0" fontId="9" fillId="4" borderId="20" applyAlignment="1" pivotButton="0" quotePrefix="0" xfId="0">
      <alignment horizontal="center" vertical="center" wrapText="1"/>
    </xf>
    <xf numFmtId="0" fontId="9" fillId="4" borderId="60" applyAlignment="1" pivotButton="0" quotePrefix="0" xfId="0">
      <alignment horizontal="center" vertical="center" wrapText="1"/>
    </xf>
    <xf numFmtId="0" fontId="0" fillId="8" borderId="35" applyAlignment="1" pivotButton="0" quotePrefix="0" xfId="0">
      <alignment horizontal="center" vertical="center" wrapText="1"/>
    </xf>
    <xf numFmtId="0" fontId="3" fillId="10" borderId="1" applyAlignment="1" pivotButton="0" quotePrefix="0" xfId="0">
      <alignment horizontal="center" vertical="center"/>
    </xf>
    <xf numFmtId="0" fontId="20" fillId="11" borderId="1" applyAlignment="1" pivotButton="0" quotePrefix="0" xfId="0">
      <alignment horizontal="center" vertical="center" wrapText="1"/>
    </xf>
    <xf numFmtId="0" fontId="0" fillId="7" borderId="1" applyAlignment="1" pivotButton="0" quotePrefix="0" xfId="0">
      <alignment horizontal="left" vertical="center" wrapText="1"/>
    </xf>
    <xf numFmtId="0" fontId="0" fillId="7" borderId="1" applyAlignment="1" pivotButton="0" quotePrefix="0" xfId="0">
      <alignment horizontal="center" vertical="center" wrapText="1"/>
    </xf>
    <xf numFmtId="0" fontId="16" fillId="0" borderId="1" applyAlignment="1" pivotButton="0" quotePrefix="0" xfId="0">
      <alignment horizontal="center" vertical="center" wrapText="1"/>
    </xf>
    <xf numFmtId="0" fontId="0" fillId="6" borderId="20" applyAlignment="1" pivotButton="0" quotePrefix="0" xfId="0">
      <alignment horizontal="left" vertical="center" wrapText="1"/>
    </xf>
    <xf numFmtId="0" fontId="0" fillId="6" borderId="20" applyAlignment="1" pivotButton="0" quotePrefix="0" xfId="0">
      <alignment horizontal="center" vertical="center" wrapText="1"/>
    </xf>
    <xf numFmtId="0" fontId="0" fillId="6" borderId="5" applyAlignment="1" pivotButton="0" quotePrefix="0" xfId="0">
      <alignment horizontal="center" vertical="center" wrapText="1"/>
    </xf>
    <xf numFmtId="0" fontId="0" fillId="8" borderId="59" applyAlignment="1" pivotButton="0" quotePrefix="0" xfId="0">
      <alignment horizontal="center" vertical="center" wrapText="1"/>
    </xf>
    <xf numFmtId="0" fontId="0" fillId="12" borderId="1" applyAlignment="1" pivotButton="0" quotePrefix="0" xfId="0">
      <alignment horizontal="center" vertical="center" wrapText="1"/>
    </xf>
    <xf numFmtId="0" fontId="0" fillId="0" borderId="59" applyAlignment="1" pivotButton="0" quotePrefix="1" xfId="0">
      <alignment horizontal="center" vertical="center" wrapText="1"/>
    </xf>
    <xf numFmtId="0" fontId="9" fillId="0" borderId="59" applyAlignment="1" pivotButton="0" quotePrefix="1" xfId="0">
      <alignment horizontal="center" vertical="center" wrapText="1"/>
    </xf>
    <xf numFmtId="0" fontId="16" fillId="0" borderId="59" applyAlignment="1" pivotButton="0" quotePrefix="1" xfId="0">
      <alignment horizontal="center" vertical="center" wrapText="1"/>
    </xf>
    <xf numFmtId="0" fontId="16" fillId="8" borderId="35" applyAlignment="1" pivotButton="0" quotePrefix="0" xfId="0">
      <alignment horizontal="center" vertical="center" wrapText="1"/>
    </xf>
    <xf numFmtId="0" fontId="16" fillId="0" borderId="7" applyAlignment="1" pivotButton="0" quotePrefix="0" xfId="0">
      <alignment horizontal="center" vertical="center" wrapText="1"/>
    </xf>
    <xf numFmtId="0" fontId="15" fillId="0" borderId="0" applyAlignment="1" pivotButton="0" quotePrefix="0" xfId="1">
      <alignment horizontal="left" vertic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8" borderId="0" applyAlignment="1" pivotButton="0" quotePrefix="0" xfId="0">
      <alignment horizontal="center" vertical="center" wrapText="1"/>
    </xf>
    <xf numFmtId="0" fontId="0" fillId="6" borderId="42" applyAlignment="1" pivotButton="0" quotePrefix="0" xfId="0">
      <alignment horizontal="left" vertical="center" wrapText="1"/>
    </xf>
    <xf numFmtId="0" fontId="15" fillId="6" borderId="1" applyAlignment="1" pivotButton="0" quotePrefix="0" xfId="1">
      <alignment horizontal="center" vertical="center"/>
    </xf>
    <xf numFmtId="0" fontId="9" fillId="6" borderId="1" applyAlignment="1" pivotButton="0" quotePrefix="0" xfId="0">
      <alignment horizontal="left" vertical="center" wrapText="1"/>
    </xf>
    <xf numFmtId="0" fontId="9" fillId="0" borderId="56" applyAlignment="1" pivotButton="0" quotePrefix="0" xfId="0">
      <alignment horizontal="left" vertical="center" wrapText="1"/>
    </xf>
    <xf numFmtId="0" fontId="9" fillId="0" borderId="45" applyAlignment="1" pivotButton="0" quotePrefix="0" xfId="0">
      <alignment horizontal="left" vertical="center" wrapText="1"/>
    </xf>
    <xf numFmtId="0" fontId="9" fillId="0" borderId="35" applyAlignment="1" pivotButton="0" quotePrefix="0" xfId="0">
      <alignment horizontal="left" vertical="center" wrapText="1"/>
    </xf>
    <xf numFmtId="0" fontId="9" fillId="0" borderId="59" applyAlignment="1" pivotButton="0" quotePrefix="0" xfId="0">
      <alignment horizontal="left" vertical="center" wrapText="1"/>
    </xf>
    <xf numFmtId="0" fontId="16" fillId="0" borderId="56" applyAlignment="1" pivotButton="0" quotePrefix="0" xfId="0">
      <alignment horizontal="left" vertical="center" wrapText="1"/>
    </xf>
    <xf numFmtId="0" fontId="16" fillId="0" borderId="45" applyAlignment="1" pivotButton="0" quotePrefix="0" xfId="0">
      <alignment horizontal="left" vertical="center" wrapText="1"/>
    </xf>
    <xf numFmtId="0" fontId="16" fillId="0" borderId="35" applyAlignment="1" pivotButton="0" quotePrefix="0" xfId="0">
      <alignment horizontal="left" vertical="center" wrapText="1"/>
    </xf>
    <xf numFmtId="0" fontId="16" fillId="0" borderId="59" applyAlignment="1" pivotButton="0" quotePrefix="0" xfId="0">
      <alignment horizontal="left" vertical="center" wrapText="1"/>
    </xf>
    <xf numFmtId="0" fontId="0" fillId="7" borderId="5" applyAlignment="1" pivotButton="0" quotePrefix="0" xfId="0">
      <alignment horizontal="left" vertical="center" wrapText="1"/>
    </xf>
    <xf numFmtId="0" fontId="0" fillId="0" borderId="5" applyAlignment="1" pivotButton="0" quotePrefix="0" xfId="0">
      <alignment horizontal="left" vertical="center" wrapText="1"/>
    </xf>
    <xf numFmtId="0" fontId="0" fillId="6" borderId="1" applyAlignment="1" pivotButton="0" quotePrefix="0" xfId="0">
      <alignment horizontal="center" vertical="center" wrapText="1"/>
    </xf>
    <xf numFmtId="0" fontId="3" fillId="0" borderId="0" applyAlignment="1" pivotButton="0" quotePrefix="0" xfId="0">
      <alignment horizontal="center" vertical="center"/>
    </xf>
    <xf numFmtId="14" fontId="0" fillId="0" borderId="1" applyAlignment="1" pivotButton="0" quotePrefix="0" xfId="0">
      <alignment horizontal="center" vertical="center"/>
    </xf>
    <xf numFmtId="0" fontId="15" fillId="0" borderId="0" applyAlignment="1" pivotButton="0" quotePrefix="0" xfId="1">
      <alignment horizontal="center" vertical="center"/>
    </xf>
    <xf numFmtId="0" fontId="0" fillId="12" borderId="1" applyAlignment="1" pivotButton="0" quotePrefix="0" xfId="0">
      <alignment horizontal="left" vertical="center" wrapText="1"/>
    </xf>
    <xf numFmtId="0" fontId="3" fillId="0" borderId="0" applyAlignment="1" pivotButton="0" quotePrefix="0" xfId="0">
      <alignment vertical="center"/>
    </xf>
    <xf numFmtId="0" fontId="3" fillId="2" borderId="1" applyAlignment="1" pivotButton="0" quotePrefix="0" xfId="0">
      <alignment horizontal="left" vertical="center" wrapText="1"/>
    </xf>
    <xf numFmtId="0" fontId="0" fillId="2" borderId="20" applyAlignment="1" pivotButton="0" quotePrefix="0" xfId="0">
      <alignment horizontal="center" vertical="center" wrapText="1"/>
    </xf>
    <xf numFmtId="0" fontId="3" fillId="10" borderId="35" applyAlignment="1" pivotButton="0" quotePrefix="0" xfId="0">
      <alignment horizontal="center" vertical="center" wrapText="1"/>
    </xf>
    <xf numFmtId="0" fontId="3" fillId="10" borderId="59" applyAlignment="1" pivotButton="0" quotePrefix="0" xfId="0">
      <alignment horizontal="center" vertical="center" wrapText="1"/>
    </xf>
    <xf numFmtId="0" fontId="3" fillId="10" borderId="58" applyAlignment="1" pivotButton="0" quotePrefix="0" xfId="0">
      <alignment horizontal="center" vertical="center" wrapText="1"/>
    </xf>
    <xf numFmtId="0" fontId="3" fillId="10" borderId="0" applyAlignment="1" pivotButton="0" quotePrefix="0" xfId="0">
      <alignment horizontal="center" vertical="center" wrapText="1"/>
    </xf>
    <xf numFmtId="0" fontId="3" fillId="2" borderId="35" applyAlignment="1" pivotButton="0" quotePrefix="0" xfId="0">
      <alignment horizontal="center" vertical="center" wrapText="1"/>
    </xf>
    <xf numFmtId="0" fontId="3" fillId="2" borderId="59" applyAlignment="1" pivotButton="0" quotePrefix="0" xfId="0">
      <alignment horizontal="center" vertical="center" wrapText="1"/>
    </xf>
    <xf numFmtId="0" fontId="3" fillId="2" borderId="58" applyAlignment="1" pivotButton="0" quotePrefix="0" xfId="0">
      <alignment horizontal="center" vertical="center" wrapText="1"/>
    </xf>
    <xf numFmtId="0" fontId="21" fillId="0" borderId="59" applyAlignment="1" pivotButton="0" quotePrefix="0" xfId="0">
      <alignment horizontal="center" vertical="center" wrapText="1"/>
    </xf>
    <xf numFmtId="0" fontId="21" fillId="0" borderId="58" applyAlignment="1" pivotButton="0" quotePrefix="0" xfId="0">
      <alignment horizontal="center" vertical="center" wrapText="1"/>
    </xf>
    <xf numFmtId="0" fontId="21" fillId="0" borderId="0" applyAlignment="1" pivotButton="0" quotePrefix="0" xfId="0">
      <alignment horizontal="center" vertical="center" wrapText="1"/>
    </xf>
    <xf numFmtId="0" fontId="0" fillId="10" borderId="59" applyAlignment="1" pivotButton="0" quotePrefix="0" xfId="0">
      <alignment horizontal="center" vertical="center" wrapText="1"/>
    </xf>
    <xf numFmtId="0" fontId="9" fillId="0" borderId="58" applyAlignment="1" pivotButton="0" quotePrefix="1" xfId="0">
      <alignment horizontal="center" vertical="center" wrapText="1"/>
    </xf>
    <xf numFmtId="0" fontId="9" fillId="0" borderId="0" applyAlignment="1" pivotButton="0" quotePrefix="0" xfId="0">
      <alignment vertical="center" wrapText="1"/>
    </xf>
    <xf numFmtId="0" fontId="21" fillId="0" borderId="35" applyAlignment="1" pivotButton="0" quotePrefix="0" xfId="0">
      <alignment horizontal="center" vertical="center" wrapText="1"/>
    </xf>
    <xf numFmtId="0" fontId="22" fillId="5" borderId="57" applyAlignment="1" pivotButton="0" quotePrefix="0" xfId="0">
      <alignment horizontal="center" vertical="center"/>
    </xf>
    <xf numFmtId="0" fontId="22" fillId="5" borderId="16" applyAlignment="1" pivotButton="0" quotePrefix="0" xfId="0">
      <alignment horizontal="center" vertical="center" wrapText="1"/>
    </xf>
    <xf numFmtId="0" fontId="22" fillId="5" borderId="7" applyAlignment="1" pivotButton="0" quotePrefix="0" xfId="0">
      <alignment horizontal="center" vertical="center" wrapText="1"/>
    </xf>
    <xf numFmtId="0" fontId="22" fillId="5" borderId="16" applyAlignment="1" pivotButton="0" quotePrefix="0" xfId="0">
      <alignment horizontal="center" vertical="center"/>
    </xf>
    <xf numFmtId="0" fontId="23" fillId="5" borderId="57" applyAlignment="1" pivotButton="0" quotePrefix="0" xfId="0">
      <alignment horizontal="center" vertical="center"/>
    </xf>
    <xf numFmtId="0" fontId="23" fillId="5" borderId="7" applyAlignment="1" pivotButton="0" quotePrefix="0" xfId="0">
      <alignment horizontal="center" vertical="center" wrapText="1"/>
    </xf>
    <xf numFmtId="0" fontId="22" fillId="10" borderId="35" applyAlignment="1" pivotButton="0" quotePrefix="0" xfId="0">
      <alignment horizontal="left" vertical="center"/>
    </xf>
    <xf numFmtId="0" fontId="22" fillId="10" borderId="0" applyAlignment="1" pivotButton="0" quotePrefix="0" xfId="0">
      <alignment horizontal="center" vertical="center" wrapText="1"/>
    </xf>
    <xf numFmtId="0" fontId="22" fillId="10" borderId="59" applyAlignment="1" pivotButton="0" quotePrefix="0" xfId="0">
      <alignment horizontal="center" vertical="center" wrapText="1"/>
    </xf>
    <xf numFmtId="0" fontId="23" fillId="10" borderId="0" applyAlignment="1" pivotButton="0" quotePrefix="0" xfId="0">
      <alignment horizontal="left" vertical="center"/>
    </xf>
    <xf numFmtId="0" fontId="22" fillId="10" borderId="59" applyAlignment="1" pivotButton="0" quotePrefix="0" xfId="0">
      <alignment vertical="center" wrapText="1"/>
    </xf>
    <xf numFmtId="0" fontId="22" fillId="10" borderId="35" applyAlignment="1" pivotButton="0" quotePrefix="0" xfId="0">
      <alignment vertical="center" wrapText="1"/>
    </xf>
    <xf numFmtId="0" fontId="22" fillId="2" borderId="35" applyAlignment="1" pivotButton="0" quotePrefix="0" xfId="0">
      <alignment horizontal="left" vertical="center"/>
    </xf>
    <xf numFmtId="0" fontId="22" fillId="2" borderId="0" applyAlignment="1" pivotButton="0" quotePrefix="0" xfId="0">
      <alignment horizontal="center" vertical="center" wrapText="1"/>
    </xf>
    <xf numFmtId="0" fontId="22" fillId="2" borderId="59" applyAlignment="1" pivotButton="0" quotePrefix="0" xfId="0">
      <alignment horizontal="center" vertical="center" wrapText="1"/>
    </xf>
    <xf numFmtId="0" fontId="23" fillId="2" borderId="0" applyAlignment="1" pivotButton="0" quotePrefix="0" xfId="0">
      <alignment horizontal="left" vertical="center"/>
    </xf>
    <xf numFmtId="0" fontId="22" fillId="2" borderId="59" applyAlignment="1" pivotButton="0" quotePrefix="0" xfId="0">
      <alignment vertical="center" wrapText="1"/>
    </xf>
    <xf numFmtId="0" fontId="22" fillId="2" borderId="35" applyAlignment="1" pivotButton="0" quotePrefix="0" xfId="0">
      <alignment vertical="center" wrapText="1"/>
    </xf>
    <xf numFmtId="0" fontId="24" fillId="0" borderId="35" applyAlignment="1" pivotButton="0" quotePrefix="0" xfId="0">
      <alignment horizontal="left" vertical="center"/>
    </xf>
    <xf numFmtId="0" fontId="24" fillId="0" borderId="0" applyAlignment="1" pivotButton="0" quotePrefix="0" xfId="0">
      <alignment horizontal="center" vertical="center" wrapText="1"/>
    </xf>
    <xf numFmtId="0" fontId="25" fillId="0" borderId="0" applyAlignment="1" pivotButton="0" quotePrefix="0" xfId="1">
      <alignment horizontal="center" vertical="center" wrapText="1"/>
    </xf>
    <xf numFmtId="0" fontId="25" fillId="0" borderId="59" applyAlignment="1" pivotButton="0" quotePrefix="0" xfId="1">
      <alignment horizontal="center" vertical="center" wrapText="1"/>
    </xf>
    <xf numFmtId="0" fontId="24" fillId="0" borderId="0" applyAlignment="1" pivotButton="0" quotePrefix="0" xfId="0">
      <alignment horizontal="left" vertical="center"/>
    </xf>
    <xf numFmtId="0" fontId="24" fillId="0" borderId="59" applyAlignment="1" pivotButton="0" quotePrefix="0" xfId="0">
      <alignment vertical="center" wrapText="1"/>
    </xf>
    <xf numFmtId="0" fontId="24" fillId="0" borderId="35" applyAlignment="1" pivotButton="0" quotePrefix="0" xfId="0">
      <alignment vertical="center" wrapText="1"/>
    </xf>
    <xf numFmtId="0" fontId="24" fillId="0" borderId="59" applyAlignment="1" pivotButton="0" quotePrefix="0" xfId="0">
      <alignment horizontal="center" vertical="center" wrapText="1"/>
    </xf>
    <xf numFmtId="0" fontId="26" fillId="0" borderId="35" applyAlignment="1" pivotButton="0" quotePrefix="0" xfId="0">
      <alignment horizontal="left" vertical="center"/>
    </xf>
    <xf numFmtId="0" fontId="26" fillId="0" borderId="0" applyAlignment="1" pivotButton="0" quotePrefix="0" xfId="0">
      <alignment horizontal="center" vertical="center" wrapText="1"/>
    </xf>
    <xf numFmtId="0" fontId="26" fillId="0" borderId="59" applyAlignment="1" pivotButton="0" quotePrefix="0" xfId="0">
      <alignment horizontal="center" vertical="center" wrapText="1"/>
    </xf>
    <xf numFmtId="0" fontId="26" fillId="0" borderId="0" applyAlignment="1" pivotButton="0" quotePrefix="0" xfId="0">
      <alignment horizontal="left" vertical="center"/>
    </xf>
    <xf numFmtId="0" fontId="27" fillId="0" borderId="59" applyAlignment="1" pivotButton="0" quotePrefix="0" xfId="1">
      <alignment horizontal="center" vertical="center" wrapText="1"/>
    </xf>
    <xf numFmtId="0" fontId="26" fillId="0" borderId="35" applyAlignment="1" pivotButton="0" quotePrefix="0" xfId="0">
      <alignment vertical="center" wrapText="1"/>
    </xf>
    <xf numFmtId="0" fontId="26" fillId="0" borderId="59" applyAlignment="1" pivotButton="0" quotePrefix="0" xfId="0">
      <alignment vertical="center" wrapText="1"/>
    </xf>
    <xf numFmtId="0" fontId="22" fillId="10" borderId="0" applyAlignment="1" pivotButton="0" quotePrefix="0" xfId="0">
      <alignment horizontal="left" vertical="center"/>
    </xf>
    <xf numFmtId="0" fontId="24" fillId="0" borderId="0" applyAlignment="1" pivotButton="0" quotePrefix="1" xfId="0">
      <alignment horizontal="center" vertical="center" wrapText="1"/>
    </xf>
    <xf numFmtId="0" fontId="28" fillId="10" borderId="0" applyAlignment="1" pivotButton="0" quotePrefix="0" xfId="1">
      <alignment horizontal="center" vertical="center" wrapText="1"/>
    </xf>
    <xf numFmtId="0" fontId="28" fillId="10" borderId="59" applyAlignment="1" pivotButton="0" quotePrefix="0" xfId="1">
      <alignment horizontal="center" vertical="center" wrapText="1"/>
    </xf>
    <xf numFmtId="0" fontId="24" fillId="2" borderId="35" applyAlignment="1" pivotButton="0" quotePrefix="0" xfId="0">
      <alignment horizontal="left" vertical="center"/>
    </xf>
    <xf numFmtId="0" fontId="24" fillId="2" borderId="0" applyAlignment="1" pivotButton="0" quotePrefix="0" xfId="0">
      <alignment horizontal="center" vertical="center" wrapText="1"/>
    </xf>
    <xf numFmtId="0" fontId="25" fillId="2" borderId="59" applyAlignment="1" pivotButton="0" quotePrefix="0" xfId="1">
      <alignment horizontal="center" vertical="center" wrapText="1"/>
    </xf>
    <xf numFmtId="0" fontId="24" fillId="2" borderId="0" applyAlignment="1" pivotButton="0" quotePrefix="0" xfId="0">
      <alignment horizontal="left" vertical="center"/>
    </xf>
    <xf numFmtId="0" fontId="24" fillId="2" borderId="59" applyAlignment="1" pivotButton="0" quotePrefix="0" xfId="0">
      <alignment vertical="center" wrapText="1"/>
    </xf>
    <xf numFmtId="0" fontId="24" fillId="2" borderId="35" applyAlignment="1" pivotButton="0" quotePrefix="0" xfId="0">
      <alignment vertical="center" wrapText="1"/>
    </xf>
    <xf numFmtId="0" fontId="24" fillId="2" borderId="59" applyAlignment="1" pivotButton="0" quotePrefix="0" xfId="0">
      <alignment horizontal="center" vertical="center" wrapText="1"/>
    </xf>
    <xf numFmtId="0" fontId="1" fillId="0" borderId="0" applyAlignment="1" pivotButton="0" quotePrefix="0" xfId="0">
      <alignment horizontal="left" vertical="center"/>
    </xf>
    <xf numFmtId="0" fontId="24" fillId="0" borderId="57" applyAlignment="1" pivotButton="0" quotePrefix="0" xfId="0">
      <alignment horizontal="left" vertical="center"/>
    </xf>
    <xf numFmtId="0" fontId="24" fillId="0" borderId="16" applyAlignment="1" pivotButton="0" quotePrefix="0" xfId="0">
      <alignment horizontal="center" vertical="center" wrapText="1"/>
    </xf>
    <xf numFmtId="0" fontId="24" fillId="0" borderId="7" applyAlignment="1" pivotButton="0" quotePrefix="0" xfId="0">
      <alignment horizontal="center" vertical="center" wrapText="1"/>
    </xf>
    <xf numFmtId="0" fontId="24" fillId="0" borderId="16" applyAlignment="1" pivotButton="0" quotePrefix="0" xfId="0">
      <alignment horizontal="left" vertical="center"/>
    </xf>
    <xf numFmtId="0" fontId="24" fillId="0" borderId="7" applyAlignment="1" pivotButton="0" quotePrefix="0" xfId="0">
      <alignment vertical="center" wrapText="1"/>
    </xf>
    <xf numFmtId="0" fontId="24" fillId="0" borderId="57" applyAlignment="1" pivotButton="0" quotePrefix="0" xfId="0">
      <alignment vertical="center" wrapText="1"/>
    </xf>
    <xf numFmtId="0" fontId="24" fillId="0" borderId="0" applyAlignment="1" pivotButton="0" quotePrefix="0" xfId="0">
      <alignment vertical="center" wrapText="1"/>
    </xf>
    <xf numFmtId="0" fontId="3" fillId="9" borderId="9" applyAlignment="1" pivotButton="0" quotePrefix="0" xfId="0">
      <alignment horizontal="center" vertical="center"/>
    </xf>
    <xf numFmtId="0" fontId="3" fillId="9" borderId="10" applyAlignment="1" pivotButton="0" quotePrefix="0" xfId="0">
      <alignment horizontal="center" vertical="center"/>
    </xf>
    <xf numFmtId="0" fontId="3" fillId="4" borderId="11" applyAlignment="1" pivotButton="0" quotePrefix="0" xfId="0">
      <alignment horizontal="center" vertical="center" wrapText="1"/>
    </xf>
    <xf numFmtId="0" fontId="3" fillId="10" borderId="2" applyAlignment="1" pivotButton="0" quotePrefix="0" xfId="0">
      <alignment horizontal="center" vertical="center"/>
    </xf>
    <xf numFmtId="0" fontId="3" fillId="10" borderId="46" applyAlignment="1" pivotButton="0" quotePrefix="0" xfId="0">
      <alignment horizontal="left" vertical="center"/>
    </xf>
    <xf numFmtId="0" fontId="0" fillId="10" borderId="46" applyAlignment="1" pivotButton="0" quotePrefix="0" xfId="0">
      <alignment horizontal="center" vertical="center"/>
    </xf>
    <xf numFmtId="0" fontId="0" fillId="10" borderId="3" applyAlignment="1" pivotButton="0" quotePrefix="0" xfId="0">
      <alignment horizontal="center" vertical="center"/>
    </xf>
    <xf numFmtId="0" fontId="3" fillId="4" borderId="62" applyAlignment="1" pivotButton="0" quotePrefix="0" xfId="0">
      <alignment horizontal="center" vertical="center" wrapText="1"/>
    </xf>
    <xf numFmtId="0" fontId="3" fillId="4" borderId="11" applyAlignment="1" pivotButton="0" quotePrefix="0" xfId="0">
      <alignment horizontal="center" vertical="center"/>
    </xf>
    <xf numFmtId="0" fontId="3" fillId="0" borderId="22" applyAlignment="1" pivotButton="0" quotePrefix="0" xfId="0">
      <alignment vertical="center"/>
    </xf>
    <xf numFmtId="0" fontId="3" fillId="0" borderId="4" applyAlignment="1" pivotButton="0" quotePrefix="1" xfId="0">
      <alignment horizontal="center" vertical="center"/>
    </xf>
    <xf numFmtId="0" fontId="3" fillId="0" borderId="18" applyAlignment="1" pivotButton="0" quotePrefix="1" xfId="0">
      <alignment horizontal="center" vertical="center"/>
    </xf>
    <xf numFmtId="0" fontId="10" fillId="0" borderId="7" applyAlignment="1" pivotButton="0" quotePrefix="0" xfId="0">
      <alignment horizontal="center" vertical="center"/>
    </xf>
    <xf numFmtId="0" fontId="3" fillId="0" borderId="18" applyAlignment="1" pivotButton="0" quotePrefix="0" xfId="0">
      <alignment horizontal="center" vertical="center" wrapText="1"/>
    </xf>
    <xf numFmtId="0" fontId="0" fillId="0" borderId="37" applyAlignment="1" pivotButton="0" quotePrefix="0" xfId="0">
      <alignment horizontal="center" vertical="center"/>
    </xf>
    <xf numFmtId="0" fontId="1" fillId="0" borderId="4" applyAlignment="1" pivotButton="0" quotePrefix="0" xfId="0">
      <alignment horizontal="center" vertical="center"/>
    </xf>
    <xf numFmtId="0" fontId="0" fillId="0" borderId="18" applyAlignment="1" pivotButton="0" quotePrefix="0" xfId="0">
      <alignment horizontal="center" vertical="center"/>
    </xf>
    <xf numFmtId="0" fontId="3" fillId="0" borderId="32" applyAlignment="1" pivotButton="0" quotePrefix="0" xfId="0">
      <alignment vertical="center" wrapText="1"/>
    </xf>
    <xf numFmtId="0" fontId="3" fillId="0" borderId="1" applyAlignment="1" pivotButton="0" quotePrefix="1" xfId="0">
      <alignment horizontal="center" vertical="center"/>
    </xf>
    <xf numFmtId="0" fontId="3" fillId="0" borderId="21" applyAlignment="1" pivotButton="0" quotePrefix="1" xfId="0">
      <alignment horizontal="center" vertical="center"/>
    </xf>
    <xf numFmtId="0" fontId="3" fillId="0" borderId="5" applyAlignment="1" pivotButton="0" quotePrefix="0" xfId="0">
      <alignment horizontal="center" vertical="center" wrapText="1"/>
    </xf>
    <xf numFmtId="0" fontId="3" fillId="0" borderId="21" applyAlignment="1" pivotButton="0" quotePrefix="0" xfId="0">
      <alignment horizontal="center" vertical="center" wrapText="1"/>
    </xf>
    <xf numFmtId="0" fontId="0" fillId="0" borderId="19" applyAlignment="1" pivotButton="0" quotePrefix="0" xfId="0">
      <alignment horizontal="center" vertical="center"/>
    </xf>
    <xf numFmtId="0" fontId="0" fillId="0" borderId="21" applyAlignment="1" pivotButton="0" quotePrefix="0" xfId="0">
      <alignment horizontal="center" vertical="center"/>
    </xf>
    <xf numFmtId="0" fontId="3" fillId="0" borderId="32" applyAlignment="1" pivotButton="0" quotePrefix="0" xfId="0">
      <alignment vertical="center"/>
    </xf>
    <xf numFmtId="0" fontId="18" fillId="0" borderId="32" applyAlignment="1" pivotButton="0" quotePrefix="0" xfId="0">
      <alignment vertical="center"/>
    </xf>
    <xf numFmtId="0" fontId="18" fillId="0" borderId="1" applyAlignment="1" pivotButton="0" quotePrefix="1" xfId="0">
      <alignment horizontal="center" vertical="center"/>
    </xf>
    <xf numFmtId="0" fontId="18" fillId="0" borderId="5" applyAlignment="1" pivotButton="0" quotePrefix="0" xfId="0">
      <alignment horizontal="center" vertical="center" wrapText="1"/>
    </xf>
    <xf numFmtId="0" fontId="18" fillId="0" borderId="21" applyAlignment="1" pivotButton="0" quotePrefix="0" xfId="0">
      <alignment horizontal="center" vertical="center" wrapText="1"/>
    </xf>
    <xf numFmtId="0" fontId="9" fillId="0" borderId="19" applyAlignment="1" pivotButton="0" quotePrefix="0" xfId="0">
      <alignment horizontal="center" vertical="center"/>
    </xf>
    <xf numFmtId="0" fontId="9" fillId="0" borderId="5" applyAlignment="1" pivotButton="0" quotePrefix="0" xfId="0">
      <alignment horizontal="center" vertical="center"/>
    </xf>
    <xf numFmtId="0" fontId="9" fillId="0" borderId="1" applyAlignment="1" pivotButton="0" quotePrefix="0" xfId="0">
      <alignment horizontal="center" vertical="center"/>
    </xf>
    <xf numFmtId="0" fontId="9" fillId="0" borderId="21" applyAlignment="1" pivotButton="0" quotePrefix="0" xfId="0">
      <alignment horizontal="center" vertical="center"/>
    </xf>
    <xf numFmtId="0" fontId="9" fillId="0" borderId="0" applyAlignment="1" pivotButton="0" quotePrefix="0" xfId="0">
      <alignment vertical="center"/>
    </xf>
    <xf numFmtId="0" fontId="10" fillId="0" borderId="21" applyAlignment="1" pivotButton="0" quotePrefix="0" xfId="0">
      <alignment horizontal="center" vertical="center" wrapText="1"/>
    </xf>
    <xf numFmtId="0" fontId="3" fillId="0" borderId="21" applyAlignment="1" pivotButton="0" quotePrefix="0" xfId="0">
      <alignment horizontal="center" vertical="center"/>
    </xf>
    <xf numFmtId="0" fontId="10" fillId="0" borderId="1" applyAlignment="1" pivotButton="0" quotePrefix="1" xfId="0">
      <alignment horizontal="center" vertical="center"/>
    </xf>
    <xf numFmtId="0" fontId="10" fillId="0" borderId="21" applyAlignment="1" pivotButton="0" quotePrefix="1" xfId="0">
      <alignment horizontal="center" vertical="center"/>
    </xf>
    <xf numFmtId="0" fontId="3" fillId="0" borderId="49" applyAlignment="1" pivotButton="0" quotePrefix="0" xfId="0">
      <alignment vertical="center"/>
    </xf>
    <xf numFmtId="0" fontId="3" fillId="0" borderId="25" applyAlignment="1" pivotButton="0" quotePrefix="1" xfId="0">
      <alignment horizontal="center" vertical="center"/>
    </xf>
    <xf numFmtId="0" fontId="10" fillId="0" borderId="26" applyAlignment="1" pivotButton="0" quotePrefix="1" xfId="0">
      <alignment horizontal="center" vertical="center"/>
    </xf>
    <xf numFmtId="0" fontId="3" fillId="0" borderId="61" applyAlignment="1" pivotButton="0" quotePrefix="0" xfId="0">
      <alignment horizontal="center" vertical="center"/>
    </xf>
    <xf numFmtId="0" fontId="3" fillId="0" borderId="26" applyAlignment="1" pivotButton="0" quotePrefix="0" xfId="0">
      <alignment horizontal="center" vertical="center"/>
    </xf>
    <xf numFmtId="0" fontId="0" fillId="0" borderId="24" applyAlignment="1" pivotButton="0" quotePrefix="0" xfId="0">
      <alignment horizontal="center" vertical="center"/>
    </xf>
    <xf numFmtId="0" fontId="0" fillId="0" borderId="61" applyAlignment="1" pivotButton="0" quotePrefix="0" xfId="0">
      <alignment horizontal="center" vertical="center"/>
    </xf>
    <xf numFmtId="0" fontId="0" fillId="0" borderId="25" applyAlignment="1" pivotButton="0" quotePrefix="0" xfId="0">
      <alignment horizontal="center" vertical="center"/>
    </xf>
    <xf numFmtId="0" fontId="0" fillId="0" borderId="26" applyAlignment="1" pivotButton="0" quotePrefix="0" xfId="0">
      <alignment horizontal="center" vertical="center"/>
    </xf>
    <xf numFmtId="14" fontId="0" fillId="0" borderId="0" applyAlignment="1" pivotButton="0" quotePrefix="0" xfId="0">
      <alignment horizontal="center" vertical="center"/>
    </xf>
    <xf numFmtId="0" fontId="9" fillId="8" borderId="35" applyAlignment="1" pivotButton="0" quotePrefix="0" xfId="0">
      <alignment horizontal="center" vertical="center" wrapText="1"/>
    </xf>
    <xf numFmtId="0" fontId="15" fillId="16" borderId="64" applyAlignment="1" pivotButton="0" quotePrefix="0" xfId="1">
      <alignment horizontal="center" vertical="center"/>
    </xf>
    <xf numFmtId="0" fontId="0" fillId="16" borderId="64" applyAlignment="1" pivotButton="0" quotePrefix="0" xfId="0">
      <alignment horizontal="center" vertical="center" wrapText="1"/>
    </xf>
    <xf numFmtId="0" fontId="0" fillId="16" borderId="76" applyAlignment="1" pivotButton="0" quotePrefix="0" xfId="0">
      <alignment horizontal="center" vertical="center" wrapText="1"/>
    </xf>
    <xf numFmtId="0" fontId="0" fillId="15" borderId="65" applyAlignment="1" pivotButton="0" quotePrefix="0" xfId="0">
      <alignment vertical="top" wrapText="1"/>
    </xf>
    <xf numFmtId="0" fontId="15" fillId="7" borderId="1" applyAlignment="1" pivotButton="0" quotePrefix="0" xfId="1">
      <alignment horizontal="center" vertical="center"/>
    </xf>
    <xf numFmtId="0" fontId="0" fillId="15" borderId="65" applyAlignment="1" pivotButton="0" quotePrefix="0" xfId="0">
      <alignment vertical="center"/>
    </xf>
    <xf numFmtId="0" fontId="0" fillId="6" borderId="65" applyAlignment="1" pivotButton="0" quotePrefix="0" xfId="0">
      <alignment vertical="center" wrapText="1"/>
    </xf>
    <xf numFmtId="0" fontId="0" fillId="15" borderId="66" applyAlignment="1" pivotButton="0" quotePrefix="0" xfId="0">
      <alignment vertical="center"/>
    </xf>
    <xf numFmtId="0" fontId="0" fillId="15" borderId="67" applyAlignment="1" pivotButton="0" quotePrefix="0" xfId="0">
      <alignment vertical="center"/>
    </xf>
    <xf numFmtId="0" fontId="0" fillId="15" borderId="68" applyAlignment="1" pivotButton="0" quotePrefix="0" xfId="0">
      <alignment vertical="center"/>
    </xf>
    <xf numFmtId="0" fontId="0" fillId="16" borderId="64" applyAlignment="1" pivotButton="0" quotePrefix="0" xfId="0">
      <alignment vertical="center"/>
    </xf>
    <xf numFmtId="0" fontId="0" fillId="0" borderId="64" applyAlignment="1" pivotButton="0" quotePrefix="0" xfId="0">
      <alignment vertical="center"/>
    </xf>
    <xf numFmtId="0" fontId="0" fillId="0" borderId="64" applyAlignment="1" pivotButton="0" quotePrefix="0" xfId="0">
      <alignment horizontal="center" vertical="center"/>
    </xf>
    <xf numFmtId="0" fontId="0" fillId="15" borderId="65" applyAlignment="1" pivotButton="0" quotePrefix="0" xfId="0">
      <alignment vertical="center" wrapText="1"/>
    </xf>
    <xf numFmtId="0" fontId="0" fillId="0" borderId="70" applyAlignment="1" pivotButton="0" quotePrefix="0" xfId="0">
      <alignment vertical="center"/>
    </xf>
    <xf numFmtId="0" fontId="0" fillId="0" borderId="70" applyAlignment="1" pivotButton="0" quotePrefix="0" xfId="0">
      <alignment horizontal="center" vertical="center"/>
    </xf>
    <xf numFmtId="0" fontId="0" fillId="15" borderId="71" applyAlignment="1" pivotButton="0" quotePrefix="0" xfId="0">
      <alignment vertical="center"/>
    </xf>
    <xf numFmtId="0" fontId="0" fillId="15" borderId="72" applyAlignment="1" pivotButton="0" quotePrefix="0" xfId="0">
      <alignment vertical="center"/>
    </xf>
    <xf numFmtId="0" fontId="0" fillId="15" borderId="73" applyAlignment="1" pivotButton="0" quotePrefix="0" xfId="0">
      <alignment vertical="center"/>
    </xf>
    <xf numFmtId="0" fontId="0" fillId="15" borderId="74" applyAlignment="1" pivotButton="0" quotePrefix="0" xfId="0">
      <alignment vertical="center"/>
    </xf>
    <xf numFmtId="0" fontId="0" fillId="16" borderId="76" applyAlignment="1" pivotButton="0" quotePrefix="0" xfId="0">
      <alignment vertical="center"/>
    </xf>
    <xf numFmtId="0" fontId="0" fillId="0" borderId="78" applyAlignment="1" pivotButton="0" quotePrefix="0" xfId="0">
      <alignment vertical="center"/>
    </xf>
    <xf numFmtId="0" fontId="0" fillId="0" borderId="78" applyAlignment="1" pivotButton="0" quotePrefix="0" xfId="0">
      <alignment horizontal="center" vertical="center"/>
    </xf>
    <xf numFmtId="0" fontId="0" fillId="15" borderId="79" applyAlignment="1" pivotButton="0" quotePrefix="0" xfId="0">
      <alignment vertical="center"/>
    </xf>
    <xf numFmtId="0" fontId="0" fillId="15" borderId="80" applyAlignment="1" pivotButton="0" quotePrefix="0" xfId="0">
      <alignment vertical="center"/>
    </xf>
    <xf numFmtId="0" fontId="0" fillId="15" borderId="81" applyAlignment="1" pivotButton="0" quotePrefix="0" xfId="0">
      <alignment vertical="center"/>
    </xf>
    <xf numFmtId="0" fontId="0" fillId="15" borderId="82" applyAlignment="1" pivotButton="0" quotePrefix="0" xfId="0">
      <alignment vertical="center"/>
    </xf>
    <xf numFmtId="0" fontId="0" fillId="0" borderId="84" applyAlignment="1" pivotButton="0" quotePrefix="0" xfId="0">
      <alignment vertical="center"/>
    </xf>
    <xf numFmtId="0" fontId="0" fillId="0" borderId="84" applyAlignment="1" pivotButton="0" quotePrefix="0" xfId="0">
      <alignment horizontal="center" vertical="center"/>
    </xf>
    <xf numFmtId="0" fontId="0" fillId="0" borderId="35" pivotButton="0" quotePrefix="0" xfId="0"/>
    <xf numFmtId="0" fontId="0" fillId="15" borderId="85" pivotButton="0" quotePrefix="0" xfId="0"/>
    <xf numFmtId="0" fontId="0" fillId="15" borderId="86" pivotButton="0" quotePrefix="0" xfId="0"/>
    <xf numFmtId="0" fontId="0" fillId="15" borderId="87" pivotButton="0" quotePrefix="0" xfId="0"/>
    <xf numFmtId="0" fontId="0" fillId="15" borderId="88" pivotButton="0" quotePrefix="0" xfId="0"/>
    <xf numFmtId="0" fontId="0" fillId="16" borderId="91" pivotButton="0" quotePrefix="0" xfId="0"/>
    <xf numFmtId="0" fontId="15" fillId="16" borderId="91" applyAlignment="1" pivotButton="0" quotePrefix="0" xfId="1">
      <alignment horizontal="center" vertical="center"/>
    </xf>
    <xf numFmtId="0" fontId="0" fillId="16" borderId="91" applyAlignment="1" pivotButton="0" quotePrefix="0" xfId="0">
      <alignment horizontal="center" vertical="center" wrapText="1"/>
    </xf>
    <xf numFmtId="0" fontId="0" fillId="0" borderId="92" pivotButton="0" quotePrefix="0" xfId="0"/>
    <xf numFmtId="0" fontId="0" fillId="0" borderId="91" pivotButton="0" quotePrefix="0" xfId="0"/>
    <xf numFmtId="0" fontId="0" fillId="0" borderId="91" applyAlignment="1" pivotButton="0" quotePrefix="0" xfId="0">
      <alignment horizontal="center"/>
    </xf>
    <xf numFmtId="0" fontId="0" fillId="15" borderId="93" pivotButton="0" quotePrefix="0" xfId="0"/>
    <xf numFmtId="0" fontId="0" fillId="15" borderId="94" pivotButton="0" quotePrefix="0" xfId="0"/>
    <xf numFmtId="0" fontId="0" fillId="15" borderId="95" pivotButton="0" quotePrefix="0" xfId="0"/>
    <xf numFmtId="0" fontId="0" fillId="15" borderId="96" pivotButton="0" quotePrefix="0" xfId="0"/>
    <xf numFmtId="0" fontId="0" fillId="0" borderId="98" pivotButton="0" quotePrefix="0" xfId="0"/>
    <xf numFmtId="0" fontId="0" fillId="0" borderId="98" applyAlignment="1" pivotButton="0" quotePrefix="0" xfId="0">
      <alignment horizontal="center"/>
    </xf>
    <xf numFmtId="0" fontId="0" fillId="0" borderId="100" pivotButton="0" quotePrefix="0" xfId="0"/>
    <xf numFmtId="0" fontId="0" fillId="0" borderId="100" applyAlignment="1" pivotButton="0" quotePrefix="0" xfId="0">
      <alignment horizontal="center"/>
    </xf>
    <xf numFmtId="0" fontId="0" fillId="0" borderId="42" applyAlignment="1" pivotButton="0" quotePrefix="0" xfId="0">
      <alignment horizontal="center" vertical="center" wrapText="1"/>
    </xf>
    <xf numFmtId="0" fontId="0" fillId="15" borderId="65" applyAlignment="1" pivotButton="0" quotePrefix="0" xfId="0">
      <alignment horizontal="center" vertical="center"/>
    </xf>
    <xf numFmtId="0" fontId="0" fillId="16" borderId="63" applyAlignment="1" pivotButton="0" quotePrefix="0" xfId="0">
      <alignment horizontal="center" vertical="center"/>
    </xf>
    <xf numFmtId="0" fontId="0" fillId="0" borderId="63" applyAlignment="1" pivotButton="0" quotePrefix="0" xfId="0">
      <alignment horizontal="center" vertical="center"/>
    </xf>
    <xf numFmtId="0" fontId="0" fillId="0" borderId="69" applyAlignment="1" pivotButton="0" quotePrefix="0" xfId="0">
      <alignment horizontal="center" vertical="center"/>
    </xf>
    <xf numFmtId="0" fontId="0" fillId="15" borderId="71" applyAlignment="1" pivotButton="0" quotePrefix="0" xfId="0">
      <alignment horizontal="center" vertical="center"/>
    </xf>
    <xf numFmtId="0" fontId="0" fillId="16" borderId="75" applyAlignment="1" pivotButton="0" quotePrefix="0" xfId="0">
      <alignment horizontal="center" vertical="center"/>
    </xf>
    <xf numFmtId="0" fontId="0" fillId="0" borderId="77" applyAlignment="1" pivotButton="0" quotePrefix="0" xfId="0">
      <alignment horizontal="center" vertical="center"/>
    </xf>
    <xf numFmtId="0" fontId="0" fillId="15" borderId="79" applyAlignment="1" pivotButton="0" quotePrefix="0" xfId="0">
      <alignment horizontal="center" vertical="center"/>
    </xf>
    <xf numFmtId="0" fontId="0" fillId="0" borderId="83" applyAlignment="1" pivotButton="0" quotePrefix="0" xfId="0">
      <alignment horizontal="center" vertical="center"/>
    </xf>
    <xf numFmtId="0" fontId="0" fillId="15" borderId="85" applyAlignment="1" pivotButton="0" quotePrefix="0" xfId="0">
      <alignment horizontal="center"/>
    </xf>
    <xf numFmtId="0" fontId="0" fillId="16" borderId="90" applyAlignment="1" pivotButton="0" quotePrefix="0" xfId="0">
      <alignment horizontal="center"/>
    </xf>
    <xf numFmtId="0" fontId="0" fillId="0" borderId="90" applyAlignment="1" pivotButton="0" quotePrefix="0" xfId="0">
      <alignment horizontal="center"/>
    </xf>
    <xf numFmtId="0" fontId="0" fillId="15" borderId="93" applyAlignment="1" pivotButton="0" quotePrefix="0" xfId="0">
      <alignment horizontal="center"/>
    </xf>
    <xf numFmtId="0" fontId="0" fillId="0" borderId="97" applyAlignment="1" pivotButton="0" quotePrefix="0" xfId="0">
      <alignment horizontal="center"/>
    </xf>
    <xf numFmtId="0" fontId="0" fillId="0" borderId="99" applyAlignment="1" pivotButton="0" quotePrefix="0" xfId="0">
      <alignment horizontal="center"/>
    </xf>
    <xf numFmtId="0" fontId="0" fillId="15" borderId="71" applyAlignment="1" pivotButton="0" quotePrefix="0" xfId="0">
      <alignment vertical="center" wrapText="1"/>
    </xf>
    <xf numFmtId="0" fontId="0" fillId="15" borderId="85" applyAlignment="1" pivotButton="0" quotePrefix="0" xfId="0">
      <alignment wrapText="1"/>
    </xf>
    <xf numFmtId="0" fontId="0" fillId="0" borderId="0" applyAlignment="1" pivotButton="0" quotePrefix="0" xfId="0">
      <alignment wrapText="1"/>
    </xf>
    <xf numFmtId="0" fontId="0" fillId="15" borderId="93" applyAlignment="1" pivotButton="0" quotePrefix="0" xfId="0">
      <alignment wrapText="1"/>
    </xf>
    <xf numFmtId="0" fontId="15" fillId="8" borderId="91" applyAlignment="1" pivotButton="0" quotePrefix="0" xfId="1">
      <alignment horizontal="center" vertical="center"/>
    </xf>
    <xf numFmtId="0" fontId="15" fillId="8" borderId="1" applyAlignment="1" pivotButton="0" quotePrefix="0" xfId="1">
      <alignment horizontal="center" vertical="center"/>
    </xf>
    <xf numFmtId="0" fontId="9" fillId="4" borderId="16" applyAlignment="1" pivotButton="0" quotePrefix="0" xfId="0">
      <alignment horizontal="center" vertical="center" wrapText="1"/>
    </xf>
    <xf numFmtId="0" fontId="0" fillId="5" borderId="104" applyAlignment="1" pivotButton="0" quotePrefix="0" xfId="0">
      <alignment horizontal="center" vertical="center"/>
    </xf>
    <xf numFmtId="0" fontId="19" fillId="4" borderId="107" applyAlignment="1" pivotButton="0" quotePrefix="0" xfId="0">
      <alignment horizontal="center" vertical="center" wrapText="1"/>
    </xf>
    <xf numFmtId="0" fontId="19" fillId="4" borderId="108" applyAlignment="1" pivotButton="0" quotePrefix="0" xfId="0">
      <alignment horizontal="center" vertical="center" wrapText="1"/>
    </xf>
    <xf numFmtId="49" fontId="19" fillId="4" borderId="109" applyAlignment="1" pivotButton="0" quotePrefix="0" xfId="0">
      <alignment horizontal="center" vertical="center" wrapText="1"/>
    </xf>
    <xf numFmtId="0" fontId="9" fillId="0" borderId="41" applyAlignment="1" pivotButton="0" quotePrefix="0" xfId="0">
      <alignment horizontal="left" vertical="center" wrapText="1"/>
    </xf>
    <xf numFmtId="0" fontId="9" fillId="0" borderId="0" applyAlignment="1" pivotButton="0" quotePrefix="0" xfId="0">
      <alignment horizontal="left" vertical="center" wrapText="1"/>
    </xf>
    <xf numFmtId="0" fontId="0" fillId="12" borderId="59" applyAlignment="1" pivotButton="0" quotePrefix="0" xfId="0">
      <alignment horizontal="left" vertical="center" wrapText="1"/>
    </xf>
    <xf numFmtId="0" fontId="0" fillId="2" borderId="95" applyAlignment="1" pivotButton="0" quotePrefix="0" xfId="0">
      <alignment horizontal="left" vertical="center" wrapText="1"/>
    </xf>
    <xf numFmtId="0" fontId="0" fillId="2" borderId="95" applyAlignment="1" pivotButton="0" quotePrefix="0" xfId="0">
      <alignment horizontal="center" vertical="center" wrapText="1"/>
    </xf>
    <xf numFmtId="0" fontId="0" fillId="6" borderId="100" applyAlignment="1" pivotButton="0" quotePrefix="0" xfId="0">
      <alignment horizontal="center" vertical="center" wrapText="1"/>
    </xf>
    <xf numFmtId="0" fontId="9" fillId="6" borderId="98" applyAlignment="1" pivotButton="0" quotePrefix="0" xfId="0">
      <alignment horizontal="center" vertical="center" wrapText="1"/>
    </xf>
    <xf numFmtId="0" fontId="16" fillId="6" borderId="98" applyAlignment="1" pivotButton="0" quotePrefix="0" xfId="0">
      <alignment horizontal="center" vertical="center" wrapText="1"/>
    </xf>
    <xf numFmtId="0" fontId="0" fillId="15" borderId="98" pivotButton="0" quotePrefix="0" xfId="0"/>
    <xf numFmtId="0" fontId="0" fillId="0" borderId="92" applyAlignment="1" pivotButton="0" quotePrefix="0" xfId="0">
      <alignment horizontal="center" vertical="center" wrapText="1"/>
    </xf>
    <xf numFmtId="0" fontId="9" fillId="4" borderId="95" applyAlignment="1" pivotButton="0" quotePrefix="0" xfId="0">
      <alignment horizontal="center" vertical="center" wrapText="1"/>
    </xf>
    <xf numFmtId="0" fontId="0" fillId="2" borderId="98" applyAlignment="1" pivotButton="0" quotePrefix="0" xfId="0">
      <alignment horizontal="center" vertical="center" wrapText="1"/>
    </xf>
    <xf numFmtId="0" fontId="9" fillId="4" borderId="94" applyAlignment="1" pivotButton="0" quotePrefix="0" xfId="0">
      <alignment horizontal="center" vertical="center" wrapText="1"/>
    </xf>
    <xf numFmtId="0" fontId="9" fillId="4" borderId="96" applyAlignment="1" pivotButton="0" quotePrefix="0" xfId="0">
      <alignment horizontal="center" vertical="center" wrapText="1"/>
    </xf>
    <xf numFmtId="0" fontId="0" fillId="2" borderId="94" applyAlignment="1" pivotButton="0" quotePrefix="0" xfId="0">
      <alignment horizontal="center" vertical="center" wrapText="1"/>
    </xf>
    <xf numFmtId="0" fontId="0" fillId="2" borderId="96" applyAlignment="1" pivotButton="0" quotePrefix="0" xfId="0">
      <alignment horizontal="center" vertical="center" wrapText="1"/>
    </xf>
    <xf numFmtId="0" fontId="9" fillId="4" borderId="92" applyAlignment="1" pivotButton="0" quotePrefix="0" xfId="0">
      <alignment horizontal="center" vertical="center" wrapText="1"/>
    </xf>
    <xf numFmtId="0" fontId="0" fillId="0" borderId="101" applyAlignment="1" pivotButton="0" quotePrefix="0" xfId="0">
      <alignment horizontal="center" vertical="center"/>
    </xf>
    <xf numFmtId="0" fontId="0" fillId="0" borderId="102" applyAlignment="1" pivotButton="0" quotePrefix="0" xfId="0">
      <alignment horizontal="center" vertical="center"/>
    </xf>
    <xf numFmtId="17" fontId="0" fillId="0" borderId="103" applyAlignment="1" pivotButton="0" quotePrefix="0" xfId="0">
      <alignment horizontal="center" vertical="center"/>
    </xf>
    <xf numFmtId="0" fontId="0" fillId="0" borderId="104" applyAlignment="1" pivotButton="0" quotePrefix="0" xfId="0">
      <alignment horizontal="center" vertical="center"/>
    </xf>
    <xf numFmtId="0" fontId="0" fillId="0" borderId="105" applyAlignment="1" pivotButton="0" quotePrefix="0" xfId="0">
      <alignment horizontal="center" vertical="center"/>
    </xf>
    <xf numFmtId="17" fontId="0" fillId="0" borderId="106" applyAlignment="1" pivotButton="0" quotePrefix="0" xfId="0">
      <alignment horizontal="center" vertical="center"/>
    </xf>
    <xf numFmtId="0" fontId="0" fillId="0" borderId="106" applyAlignment="1" pivotButton="0" quotePrefix="0" xfId="0">
      <alignment horizontal="center" vertical="center"/>
    </xf>
    <xf numFmtId="0" fontId="0" fillId="0" borderId="105" applyAlignment="1" pivotButton="0" quotePrefix="1" xfId="0">
      <alignment horizontal="center" vertical="center"/>
    </xf>
    <xf numFmtId="0" fontId="9" fillId="0" borderId="105" applyAlignment="1" pivotButton="0" quotePrefix="1" xfId="0">
      <alignment horizontal="center" vertical="center"/>
    </xf>
    <xf numFmtId="0" fontId="9" fillId="0" borderId="104" applyAlignment="1" pivotButton="0" quotePrefix="0" xfId="0">
      <alignment horizontal="center" vertical="center"/>
    </xf>
    <xf numFmtId="0" fontId="9" fillId="0" borderId="105" applyAlignment="1" pivotButton="0" quotePrefix="0" xfId="0">
      <alignment horizontal="center" vertical="center"/>
    </xf>
    <xf numFmtId="17" fontId="16" fillId="0" borderId="106" applyAlignment="1" pivotButton="0" quotePrefix="0" xfId="0">
      <alignment horizontal="center" vertical="center"/>
    </xf>
    <xf numFmtId="0" fontId="16" fillId="0" borderId="105" applyAlignment="1" pivotButton="0" quotePrefix="0" xfId="0">
      <alignment horizontal="center" vertical="center"/>
    </xf>
    <xf numFmtId="0" fontId="9" fillId="17" borderId="105" applyAlignment="1" pivotButton="0" quotePrefix="1" xfId="0">
      <alignment horizontal="center" vertical="center"/>
    </xf>
    <xf numFmtId="17" fontId="9" fillId="17" borderId="106" applyAlignment="1" pivotButton="0" quotePrefix="0" xfId="0">
      <alignment horizontal="center" vertical="center"/>
    </xf>
    <xf numFmtId="0" fontId="0" fillId="17" borderId="105" applyAlignment="1" pivotButton="0" quotePrefix="0" xfId="0">
      <alignment horizontal="center" vertical="center"/>
    </xf>
    <xf numFmtId="17" fontId="0" fillId="17" borderId="106" applyAlignment="1" pivotButton="0" quotePrefix="0" xfId="0">
      <alignment horizontal="center" vertical="center"/>
    </xf>
    <xf numFmtId="0" fontId="0" fillId="17" borderId="105" applyAlignment="1" pivotButton="0" quotePrefix="1" xfId="0">
      <alignment horizontal="center" vertical="center"/>
    </xf>
    <xf numFmtId="0" fontId="3" fillId="10" borderId="1" applyAlignment="1" pivotButton="0" quotePrefix="0" xfId="0">
      <alignment horizontal="center" vertical="center" wrapText="1"/>
    </xf>
    <xf numFmtId="0" fontId="0" fillId="18" borderId="0" applyAlignment="1" pivotButton="0" quotePrefix="0" xfId="0">
      <alignment vertical="center" wrapText="1"/>
    </xf>
    <xf numFmtId="0" fontId="0" fillId="19" borderId="35" applyAlignment="1" pivotButton="0" quotePrefix="0" xfId="0">
      <alignment horizontal="center" vertical="center" wrapText="1"/>
    </xf>
    <xf numFmtId="0" fontId="30" fillId="0" borderId="35" applyAlignment="1" pivotButton="0" quotePrefix="0" xfId="0">
      <alignment horizontal="center" vertical="center" wrapText="1"/>
    </xf>
    <xf numFmtId="0" fontId="30" fillId="0" borderId="59" applyAlignment="1" pivotButton="0" quotePrefix="0" xfId="0">
      <alignment horizontal="center" vertical="center" wrapText="1"/>
    </xf>
    <xf numFmtId="0" fontId="0" fillId="0" borderId="35" applyAlignment="1" pivotButton="0" quotePrefix="0" xfId="0">
      <alignment vertical="center" wrapText="1"/>
    </xf>
    <xf numFmtId="0" fontId="16" fillId="12" borderId="1" applyAlignment="1" pivotButton="0" quotePrefix="0" xfId="0">
      <alignment horizontal="left" vertical="center" wrapText="1"/>
    </xf>
    <xf numFmtId="0" fontId="16" fillId="12" borderId="98" applyAlignment="1" pivotButton="0" quotePrefix="0" xfId="0">
      <alignment horizontal="center" vertical="center" wrapText="1"/>
    </xf>
    <xf numFmtId="0" fontId="0" fillId="12" borderId="20" applyAlignment="1" pivotButton="0" quotePrefix="0" xfId="0">
      <alignment horizontal="left" vertical="center" wrapText="1"/>
    </xf>
    <xf numFmtId="0" fontId="0" fillId="12" borderId="20" applyAlignment="1" pivotButton="0" quotePrefix="0" xfId="0">
      <alignment horizontal="center" vertical="center" wrapText="1"/>
    </xf>
    <xf numFmtId="0" fontId="0" fillId="12" borderId="5" applyAlignment="1" pivotButton="0" quotePrefix="0" xfId="0">
      <alignment horizontal="center" vertical="center" wrapText="1"/>
    </xf>
    <xf numFmtId="0" fontId="0" fillId="8" borderId="0" applyAlignment="1" pivotButton="0" quotePrefix="0" xfId="0">
      <alignment horizontal="center" vertical="center"/>
    </xf>
    <xf numFmtId="0" fontId="0" fillId="5" borderId="0" applyAlignment="1" pivotButton="0" quotePrefix="0" xfId="0">
      <alignment vertical="center" wrapText="1"/>
    </xf>
    <xf numFmtId="0" fontId="0" fillId="20" borderId="0" applyAlignment="1" pivotButton="0" quotePrefix="0" xfId="0">
      <alignment vertical="center"/>
    </xf>
    <xf numFmtId="0" fontId="0" fillId="0" borderId="98" applyAlignment="1" pivotButton="0" quotePrefix="0" xfId="0">
      <alignment horizontal="center" vertical="center" wrapText="1"/>
    </xf>
    <xf numFmtId="0" fontId="0" fillId="0" borderId="96" applyAlignment="1" pivotButton="0" quotePrefix="0" xfId="0">
      <alignment horizontal="left" vertical="center" wrapText="1"/>
    </xf>
    <xf numFmtId="0" fontId="0" fillId="7" borderId="0" applyAlignment="1" pivotButton="0" quotePrefix="0" xfId="0">
      <alignment vertical="center" wrapText="1"/>
    </xf>
    <xf numFmtId="0" fontId="0" fillId="7" borderId="0" applyAlignment="1" pivotButton="0" quotePrefix="0" xfId="0">
      <alignment vertical="center"/>
    </xf>
    <xf numFmtId="0" fontId="0" fillId="20" borderId="58" applyAlignment="1" pivotButton="0" quotePrefix="0" xfId="0">
      <alignment horizontal="left" vertical="center" wrapText="1"/>
    </xf>
    <xf numFmtId="0" fontId="0" fillId="20" borderId="35" applyAlignment="1" pivotButton="0" quotePrefix="0" xfId="0">
      <alignment horizontal="center" vertical="center" wrapText="1"/>
    </xf>
    <xf numFmtId="0" fontId="3" fillId="2" borderId="42" applyAlignment="1" pivotButton="0" quotePrefix="0" xfId="0">
      <alignment horizontal="left" vertical="center" wrapText="1"/>
    </xf>
    <xf numFmtId="0" fontId="3" fillId="2" borderId="89" applyAlignment="1" pivotButton="0" quotePrefix="0" xfId="0">
      <alignment horizontal="center" vertical="center" wrapText="1"/>
    </xf>
    <xf numFmtId="0" fontId="18" fillId="2" borderId="56" applyAlignment="1" pivotButton="0" quotePrefix="0" xfId="0">
      <alignment horizontal="center" vertical="center" wrapText="1"/>
    </xf>
    <xf numFmtId="0" fontId="18" fillId="2" borderId="41" applyAlignment="1" pivotButton="0" quotePrefix="0" xfId="0">
      <alignment horizontal="center" vertical="center" wrapText="1"/>
    </xf>
    <xf numFmtId="0" fontId="18" fillId="2" borderId="45" applyAlignment="1" pivotButton="0" quotePrefix="0" xfId="0">
      <alignment horizontal="center" vertical="center" wrapText="1"/>
    </xf>
    <xf numFmtId="0" fontId="3" fillId="2" borderId="58" applyAlignment="1" pivotButton="0" quotePrefix="0" xfId="0">
      <alignment horizontal="left" vertical="center" wrapText="1"/>
    </xf>
    <xf numFmtId="0" fontId="0" fillId="2" borderId="0" applyAlignment="1" pivotButton="0" quotePrefix="0" xfId="0">
      <alignment horizontal="center" vertical="center" wrapText="1"/>
    </xf>
    <xf numFmtId="0" fontId="16" fillId="2" borderId="35" applyAlignment="1" pivotButton="0" quotePrefix="0" xfId="0">
      <alignment horizontal="center" vertical="center" wrapText="1"/>
    </xf>
    <xf numFmtId="0" fontId="16" fillId="2" borderId="0" applyAlignment="1" pivotButton="0" quotePrefix="0" xfId="0">
      <alignment horizontal="center" vertical="center" wrapText="1"/>
    </xf>
    <xf numFmtId="0" fontId="9" fillId="2" borderId="59" applyAlignment="1" pivotButton="0" quotePrefix="0" xfId="0">
      <alignment horizontal="center" vertical="center" wrapText="1"/>
    </xf>
    <xf numFmtId="0" fontId="29" fillId="2" borderId="35" applyAlignment="1" pivotButton="0" quotePrefix="0" xfId="0">
      <alignment horizontal="center" vertical="center" wrapText="1"/>
    </xf>
    <xf numFmtId="0" fontId="0" fillId="2" borderId="35" applyAlignment="1" pivotButton="0" quotePrefix="0" xfId="0">
      <alignment horizontal="left" vertical="center" wrapText="1"/>
    </xf>
    <xf numFmtId="0" fontId="3" fillId="2" borderId="100" applyAlignment="1" pivotButton="0" quotePrefix="0" xfId="0">
      <alignment horizontal="left" vertical="center" wrapText="1"/>
    </xf>
    <xf numFmtId="0" fontId="0" fillId="7" borderId="58" applyAlignment="1" pivotButton="0" quotePrefix="0" xfId="0">
      <alignment horizontal="left" vertical="center" wrapText="1"/>
    </xf>
    <xf numFmtId="0" fontId="29" fillId="2" borderId="58" applyAlignment="1" pivotButton="0" quotePrefix="0" xfId="0">
      <alignment horizontal="left" vertical="center" wrapText="1"/>
    </xf>
    <xf numFmtId="0" fontId="0" fillId="0" borderId="95" applyAlignment="1" pivotButton="0" quotePrefix="0" xfId="0">
      <alignment horizontal="left" vertical="center" wrapText="1"/>
    </xf>
    <xf numFmtId="0" fontId="0" fillId="0" borderId="95" applyAlignment="1" pivotButton="0" quotePrefix="0" xfId="0">
      <alignment horizontal="center" vertical="center" wrapText="1"/>
    </xf>
    <xf numFmtId="0" fontId="0" fillId="0" borderId="96" applyAlignment="1" pivotButton="0" quotePrefix="0" xfId="0">
      <alignment horizontal="center" vertical="center" wrapText="1"/>
    </xf>
    <xf numFmtId="0" fontId="0" fillId="0" borderId="98" applyAlignment="1" pivotButton="0" quotePrefix="0" xfId="0">
      <alignment horizontal="center" vertical="center"/>
    </xf>
    <xf numFmtId="0" fontId="0" fillId="0" borderId="94" applyAlignment="1" pivotButton="0" quotePrefix="0" xfId="0">
      <alignment vertical="center"/>
    </xf>
    <xf numFmtId="0" fontId="0" fillId="0" borderId="95" applyAlignment="1" pivotButton="0" quotePrefix="0" xfId="0">
      <alignment horizontal="center" vertical="center"/>
    </xf>
    <xf numFmtId="0" fontId="0" fillId="0" borderId="96" applyAlignment="1" pivotButton="0" quotePrefix="0" xfId="0">
      <alignment horizontal="center" vertical="center"/>
    </xf>
    <xf numFmtId="0" fontId="15" fillId="0" borderId="0" pivotButton="0" quotePrefix="0" xfId="1"/>
    <xf numFmtId="0" fontId="0" fillId="0" borderId="112" applyAlignment="1" pivotButton="0" quotePrefix="0" xfId="0">
      <alignment horizontal="center"/>
    </xf>
    <xf numFmtId="0" fontId="0" fillId="0" borderId="113" applyAlignment="1" pivotButton="0" quotePrefix="0" xfId="0">
      <alignment horizontal="center"/>
    </xf>
    <xf numFmtId="0" fontId="31" fillId="0" borderId="95" applyAlignment="1" pivotButton="0" quotePrefix="0" xfId="0">
      <alignment wrapText="1"/>
    </xf>
    <xf numFmtId="0" fontId="32" fillId="0" borderId="95" applyAlignment="1" pivotButton="0" quotePrefix="0" xfId="0">
      <alignment wrapText="1"/>
    </xf>
    <xf numFmtId="0" fontId="33" fillId="0" borderId="95" applyAlignment="1" pivotButton="0" quotePrefix="0" xfId="0">
      <alignment wrapText="1"/>
    </xf>
    <xf numFmtId="0" fontId="34" fillId="0" borderId="95" applyAlignment="1" pivotButton="0" quotePrefix="0" xfId="0">
      <alignment wrapText="1"/>
    </xf>
    <xf numFmtId="0" fontId="35" fillId="0" borderId="95" applyAlignment="1" pivotButton="0" quotePrefix="0" xfId="0">
      <alignment wrapText="1"/>
    </xf>
    <xf numFmtId="0" fontId="36" fillId="0" borderId="95" applyAlignment="1" pivotButton="0" quotePrefix="0" xfId="0">
      <alignment wrapText="1"/>
    </xf>
    <xf numFmtId="0" fontId="37" fillId="0" borderId="95" applyAlignment="1" pivotButton="0" quotePrefix="0" xfId="0">
      <alignment wrapText="1"/>
    </xf>
    <xf numFmtId="0" fontId="38" fillId="0" borderId="95" applyAlignment="1" pivotButton="0" quotePrefix="0" xfId="0">
      <alignment wrapText="1"/>
    </xf>
    <xf numFmtId="0" fontId="39" fillId="0" borderId="95" applyAlignment="1" pivotButton="0" quotePrefix="0" xfId="0">
      <alignment wrapText="1"/>
    </xf>
    <xf numFmtId="0" fontId="39" fillId="0" borderId="112" applyAlignment="1" pivotButton="0" quotePrefix="0" xfId="0">
      <alignment wrapText="1"/>
    </xf>
    <xf numFmtId="0" fontId="38" fillId="0" borderId="112" applyAlignment="1" pivotButton="0" quotePrefix="0" xfId="0">
      <alignment wrapText="1"/>
    </xf>
    <xf numFmtId="0" fontId="31" fillId="0" borderId="112" applyAlignment="1" pivotButton="0" quotePrefix="0" xfId="0">
      <alignment wrapText="1"/>
    </xf>
    <xf numFmtId="0" fontId="32" fillId="0" borderId="112" applyAlignment="1" pivotButton="0" quotePrefix="0" xfId="0">
      <alignment wrapText="1"/>
    </xf>
    <xf numFmtId="0" fontId="3" fillId="2" borderId="98" applyAlignment="1" pivotButton="0" quotePrefix="0" xfId="0">
      <alignment horizontal="left" vertical="center" wrapText="1"/>
    </xf>
    <xf numFmtId="0" fontId="0" fillId="20" borderId="0" applyAlignment="1" pivotButton="0" quotePrefix="0" xfId="0">
      <alignment horizontal="left" vertical="center" wrapText="1"/>
    </xf>
    <xf numFmtId="0" fontId="0" fillId="20" borderId="110" applyAlignment="1" pivotButton="0" quotePrefix="0" xfId="0">
      <alignment horizontal="center" vertical="center" wrapText="1"/>
    </xf>
    <xf numFmtId="0" fontId="0" fillId="20" borderId="0" applyAlignment="1" pivotButton="0" quotePrefix="0" xfId="0">
      <alignment horizontal="center" vertical="center" wrapText="1"/>
    </xf>
    <xf numFmtId="0" fontId="0" fillId="20" borderId="59" applyAlignment="1" pivotButton="0" quotePrefix="0" xfId="0">
      <alignment horizontal="center" vertical="center" wrapText="1"/>
    </xf>
    <xf numFmtId="0" fontId="0" fillId="20" borderId="59" applyAlignment="1" pivotButton="0" quotePrefix="1" xfId="0">
      <alignment horizontal="center" vertical="center" wrapText="1"/>
    </xf>
    <xf numFmtId="0" fontId="0" fillId="20" borderId="0" applyAlignment="1" pivotButton="0" quotePrefix="0" xfId="0">
      <alignment vertical="center" wrapText="1"/>
    </xf>
    <xf numFmtId="0" fontId="19" fillId="4" borderId="115" applyAlignment="1" pivotButton="0" quotePrefix="0" xfId="0">
      <alignment horizontal="center" vertical="center" wrapText="1"/>
    </xf>
    <xf numFmtId="164" fontId="19" fillId="4" borderId="25" applyAlignment="1" pivotButton="0" quotePrefix="0" xfId="0">
      <alignment horizontal="center" vertical="center" wrapText="1"/>
    </xf>
    <xf numFmtId="0" fontId="0" fillId="0" borderId="111" applyAlignment="1" pivotButton="0" quotePrefix="0" xfId="0">
      <alignment vertical="center"/>
    </xf>
    <xf numFmtId="0" fontId="0" fillId="0" borderId="111" applyAlignment="1" pivotButton="0" quotePrefix="0" xfId="0">
      <alignment horizontal="center" vertical="center"/>
    </xf>
    <xf numFmtId="0" fontId="0" fillId="0" borderId="116" applyAlignment="1" pivotButton="0" quotePrefix="0" xfId="0">
      <alignment horizontal="center" vertical="center"/>
    </xf>
    <xf numFmtId="0" fontId="0" fillId="0" borderId="114" applyAlignment="1" pivotButton="0" quotePrefix="0" xfId="0">
      <alignment horizontal="center" vertical="center"/>
    </xf>
    <xf numFmtId="0" fontId="0" fillId="0" borderId="27" applyAlignment="1" pivotButton="0" quotePrefix="0" xfId="0">
      <alignment horizontal="center" vertical="center"/>
    </xf>
    <xf numFmtId="0" fontId="0" fillId="0" borderId="27" applyAlignment="1" pivotButton="0" quotePrefix="1" xfId="0">
      <alignment horizontal="center" vertical="center"/>
    </xf>
    <xf numFmtId="164" fontId="0" fillId="0" borderId="34" applyAlignment="1" pivotButton="0" quotePrefix="0" xfId="0">
      <alignment horizontal="center" vertical="center"/>
    </xf>
    <xf numFmtId="0" fontId="0" fillId="0" borderId="94" applyAlignment="1" pivotButton="0" quotePrefix="0" xfId="0">
      <alignment horizontal="center" vertical="center"/>
    </xf>
    <xf numFmtId="0" fontId="0" fillId="0" borderId="16" applyAlignment="1" pivotButton="0" quotePrefix="0" xfId="0">
      <alignment horizontal="center" vertical="center"/>
    </xf>
    <xf numFmtId="164" fontId="0" fillId="0" borderId="96" applyAlignment="1" pivotButton="0" quotePrefix="0" xfId="0">
      <alignment horizontal="center" vertical="center"/>
    </xf>
    <xf numFmtId="0" fontId="0" fillId="0" borderId="114" applyAlignment="1" pivotButton="0" quotePrefix="1" xfId="0">
      <alignment horizontal="center" vertical="center"/>
    </xf>
    <xf numFmtId="164" fontId="0" fillId="0" borderId="34" applyAlignment="1" pivotButton="0" quotePrefix="1" xfId="0">
      <alignment horizontal="center" vertical="center"/>
    </xf>
    <xf numFmtId="0" fontId="0" fillId="0" borderId="98" applyAlignment="1" pivotButton="0" quotePrefix="1" xfId="0">
      <alignment vertical="center"/>
    </xf>
    <xf numFmtId="0" fontId="0" fillId="0" borderId="117" applyAlignment="1" pivotButton="0" quotePrefix="0" xfId="0">
      <alignment horizontal="center" vertical="center"/>
    </xf>
    <xf numFmtId="0" fontId="0" fillId="0" borderId="95" applyAlignment="1" pivotButton="0" quotePrefix="1" xfId="0">
      <alignment horizontal="center" vertical="center"/>
    </xf>
    <xf numFmtId="0" fontId="0" fillId="0" borderId="94" applyAlignment="1" pivotButton="0" quotePrefix="1" xfId="0">
      <alignment horizontal="center" vertical="center"/>
    </xf>
    <xf numFmtId="164" fontId="0" fillId="0" borderId="96" applyAlignment="1" pivotButton="0" quotePrefix="1" xfId="0">
      <alignment horizontal="center" vertical="center"/>
    </xf>
    <xf numFmtId="0" fontId="0" fillId="0" borderId="98" applyAlignment="1" pivotButton="0" quotePrefix="0" xfId="0">
      <alignment vertical="center"/>
    </xf>
    <xf numFmtId="0" fontId="16" fillId="0" borderId="98" applyAlignment="1" pivotButton="0" quotePrefix="0" xfId="0">
      <alignment horizontal="center" vertical="center"/>
    </xf>
    <xf numFmtId="0" fontId="0" fillId="0" borderId="92" applyAlignment="1" pivotButton="0" quotePrefix="0" xfId="0">
      <alignment horizontal="center" vertical="center"/>
    </xf>
    <xf numFmtId="0" fontId="0" fillId="12" borderId="94" applyAlignment="1" pivotButton="0" quotePrefix="0" xfId="0">
      <alignment horizontal="center" vertical="center"/>
    </xf>
    <xf numFmtId="0" fontId="0" fillId="12" borderId="95" applyAlignment="1" pivotButton="0" quotePrefix="0" xfId="0">
      <alignment horizontal="center" vertical="center"/>
    </xf>
    <xf numFmtId="164" fontId="0" fillId="12" borderId="96" applyAlignment="1" pivotButton="0" quotePrefix="0" xfId="0">
      <alignment horizontal="center" vertical="center"/>
    </xf>
    <xf numFmtId="0" fontId="0" fillId="0" borderId="96" applyAlignment="1" pivotButton="0" quotePrefix="1" xfId="0">
      <alignment horizontal="center" vertical="center"/>
    </xf>
    <xf numFmtId="164" fontId="9" fillId="0" borderId="96" applyAlignment="1" pivotButton="0" quotePrefix="0" xfId="0">
      <alignment horizontal="center" vertical="center"/>
    </xf>
    <xf numFmtId="0" fontId="9" fillId="0" borderId="98" applyAlignment="1" pivotButton="0" quotePrefix="0" xfId="0">
      <alignment vertical="center" wrapText="1"/>
    </xf>
    <xf numFmtId="0" fontId="9" fillId="0" borderId="98" applyAlignment="1" pivotButton="0" quotePrefix="0" xfId="0">
      <alignment horizontal="center" vertical="center"/>
    </xf>
    <xf numFmtId="17" fontId="9" fillId="0" borderId="106" applyAlignment="1" pivotButton="0" quotePrefix="0" xfId="0">
      <alignment horizontal="center" vertical="center"/>
    </xf>
    <xf numFmtId="0" fontId="9" fillId="0" borderId="94" applyAlignment="1" pivotButton="0" quotePrefix="0" xfId="0">
      <alignment horizontal="center" vertical="center"/>
    </xf>
    <xf numFmtId="0" fontId="9" fillId="0" borderId="95" applyAlignment="1" pivotButton="0" quotePrefix="0" xfId="0">
      <alignment horizontal="center" vertical="center"/>
    </xf>
    <xf numFmtId="0" fontId="16" fillId="0" borderId="94" applyAlignment="1" pivotButton="0" quotePrefix="0" xfId="0">
      <alignment horizontal="center" vertical="center"/>
    </xf>
    <xf numFmtId="0" fontId="16" fillId="0" borderId="95" applyAlignment="1" pivotButton="0" quotePrefix="0" xfId="0">
      <alignment horizontal="center" vertical="center"/>
    </xf>
    <xf numFmtId="164" fontId="16" fillId="0" borderId="96" applyAlignment="1" pivotButton="0" quotePrefix="0" xfId="0">
      <alignment horizontal="center" vertical="center"/>
    </xf>
    <xf numFmtId="0" fontId="9" fillId="0" borderId="98" applyAlignment="1" pivotButton="0" quotePrefix="0" xfId="0">
      <alignment horizontal="left" vertical="center" wrapText="1"/>
    </xf>
    <xf numFmtId="17" fontId="0" fillId="0" borderId="96" applyAlignment="1" pivotButton="0" quotePrefix="0" xfId="0">
      <alignment horizontal="center" vertical="center"/>
    </xf>
    <xf numFmtId="0" fontId="16" fillId="0" borderId="98" applyAlignment="1" pivotButton="0" quotePrefix="0" xfId="0">
      <alignment vertical="center" wrapText="1"/>
    </xf>
    <xf numFmtId="0" fontId="16" fillId="0" borderId="95" applyAlignment="1" pivotButton="0" quotePrefix="0" xfId="0">
      <alignment vertical="center"/>
    </xf>
    <xf numFmtId="164" fontId="0" fillId="0" borderId="0" applyAlignment="1" pivotButton="0" quotePrefix="0" xfId="0">
      <alignment horizontal="center" vertical="center"/>
    </xf>
    <xf numFmtId="0" fontId="40" fillId="0" borderId="95" applyAlignment="1" pivotButton="0" quotePrefix="0" xfId="0">
      <alignment wrapText="1"/>
    </xf>
    <xf numFmtId="0" fontId="41" fillId="0" borderId="95" applyAlignment="1" pivotButton="0" quotePrefix="0" xfId="0">
      <alignment wrapText="1"/>
    </xf>
    <xf numFmtId="0" fontId="9" fillId="4" borderId="1" applyAlignment="1" pivotButton="0" quotePrefix="0" xfId="0">
      <alignment horizontal="center" vertical="center" wrapText="1"/>
    </xf>
    <xf numFmtId="0" fontId="0" fillId="0" borderId="20" pivotButton="0" quotePrefix="0" xfId="0"/>
    <xf numFmtId="0" fontId="0" fillId="0" borderId="5" pivotButton="0" quotePrefix="0" xfId="0"/>
    <xf numFmtId="0" fontId="18" fillId="4" borderId="1" applyAlignment="1" pivotButton="0" quotePrefix="0" xfId="0">
      <alignment horizontal="center" vertical="center" wrapText="1"/>
    </xf>
    <xf numFmtId="0" fontId="18" fillId="4" borderId="60" applyAlignment="1" pivotButton="0" quotePrefix="0" xfId="0">
      <alignment horizontal="center" vertical="center" wrapText="1"/>
    </xf>
    <xf numFmtId="0" fontId="3" fillId="5" borderId="1" applyAlignment="1" pivotButton="0" quotePrefix="0" xfId="0">
      <alignment horizontal="center" vertical="center" wrapText="1"/>
    </xf>
    <xf numFmtId="0" fontId="0" fillId="0" borderId="58" pivotButton="0" quotePrefix="0" xfId="0"/>
    <xf numFmtId="0" fontId="0" fillId="0" borderId="4" pivotButton="0" quotePrefix="0" xfId="0"/>
    <xf numFmtId="0" fontId="9" fillId="4" borderId="60" applyAlignment="1" pivotButton="0" quotePrefix="0" xfId="0">
      <alignment horizontal="center" vertical="center" wrapText="1"/>
    </xf>
    <xf numFmtId="0" fontId="3" fillId="5" borderId="98" applyAlignment="1" pivotButton="0" quotePrefix="0" xfId="0">
      <alignment horizontal="center" vertical="center" wrapText="1"/>
    </xf>
    <xf numFmtId="0" fontId="0" fillId="0" borderId="110" pivotButton="0" quotePrefix="0" xfId="0"/>
    <xf numFmtId="0" fontId="0" fillId="0" borderId="111" pivotButton="0" quotePrefix="0" xfId="0"/>
    <xf numFmtId="0" fontId="16" fillId="4" borderId="1" applyAlignment="1" pivotButton="0" quotePrefix="0" xfId="0">
      <alignment horizontal="center" vertical="center" wrapText="1"/>
    </xf>
    <xf numFmtId="0" fontId="18" fillId="4" borderId="16" applyAlignment="1" pivotButton="0" quotePrefix="0" xfId="0">
      <alignment horizontal="center" vertical="center" wrapText="1"/>
    </xf>
    <xf numFmtId="0" fontId="0" fillId="0" borderId="16" pivotButton="0" quotePrefix="0" xfId="0"/>
    <xf numFmtId="0" fontId="9" fillId="4" borderId="16" applyAlignment="1" pivotButton="0" quotePrefix="0" xfId="0">
      <alignment horizontal="center" vertical="center" wrapText="1"/>
    </xf>
    <xf numFmtId="0" fontId="18" fillId="4" borderId="95" applyAlignment="1" pivotButton="0" quotePrefix="0" xfId="0">
      <alignment horizontal="center" vertical="center" wrapText="1"/>
    </xf>
    <xf numFmtId="0" fontId="0" fillId="0" borderId="95" pivotButton="0" quotePrefix="0" xfId="0"/>
    <xf numFmtId="0" fontId="18" fillId="4" borderId="93" applyAlignment="1" pivotButton="0" quotePrefix="0" xfId="0">
      <alignment horizontal="center" vertical="center" wrapText="1"/>
    </xf>
    <xf numFmtId="0" fontId="0" fillId="0" borderId="96" pivotButton="0" quotePrefix="0" xfId="0"/>
    <xf numFmtId="0" fontId="3" fillId="5" borderId="94" applyAlignment="1" pivotButton="0" quotePrefix="0" xfId="0">
      <alignment horizontal="center" vertical="center" wrapText="1"/>
    </xf>
    <xf numFmtId="0" fontId="0" fillId="0" borderId="92" pivotButton="0" quotePrefix="0" xfId="0"/>
    <xf numFmtId="0" fontId="19" fillId="4" borderId="29" applyAlignment="1" pivotButton="0" quotePrefix="0" xfId="0">
      <alignment horizontal="center" vertical="center" wrapText="1"/>
    </xf>
    <xf numFmtId="0" fontId="0" fillId="0" borderId="27" pivotButton="0" quotePrefix="0" xfId="0"/>
    <xf numFmtId="0" fontId="0" fillId="0" borderId="34" pivotButton="0" quotePrefix="0" xfId="0"/>
    <xf numFmtId="0" fontId="18" fillId="4" borderId="29" applyAlignment="1" pivotButton="0" quotePrefix="0" xfId="0">
      <alignment horizontal="center" vertical="center" wrapText="1"/>
    </xf>
    <xf numFmtId="0" fontId="19" fillId="14" borderId="29" applyAlignment="1" pivotButton="0" quotePrefix="0" xfId="0">
      <alignment horizontal="center" vertical="center" wrapText="1"/>
    </xf>
    <xf numFmtId="0" fontId="18" fillId="4" borderId="29" applyAlignment="1" pivotButton="0" quotePrefix="1" xfId="0">
      <alignment horizontal="center" vertical="center" wrapText="1"/>
    </xf>
    <xf numFmtId="0" fontId="22" fillId="5" borderId="42" applyAlignment="1" pivotButton="0" quotePrefix="0" xfId="0">
      <alignment horizontal="center" vertical="center" wrapText="1"/>
    </xf>
    <xf numFmtId="0" fontId="0" fillId="0" borderId="45" pivotButton="0" quotePrefix="0" xfId="0"/>
    <xf numFmtId="0" fontId="23" fillId="5" borderId="42" applyAlignment="1" pivotButton="0" quotePrefix="0" xfId="0">
      <alignment horizontal="center" vertical="center" wrapText="1"/>
    </xf>
    <xf numFmtId="0" fontId="3" fillId="13" borderId="1" applyAlignment="1" pivotButton="0" quotePrefix="0" xfId="0">
      <alignment horizontal="center" vertical="center" wrapText="1"/>
    </xf>
    <xf numFmtId="0" fontId="3" fillId="13" borderId="5" applyAlignment="1" pivotButton="0" quotePrefix="0" xfId="0">
      <alignment horizontal="center" vertical="center" wrapText="1"/>
    </xf>
    <xf numFmtId="0" fontId="0" fillId="0" borderId="7" pivotButton="0" quotePrefix="0" xfId="0"/>
    <xf numFmtId="0" fontId="0" fillId="0" borderId="41" pivotButton="0" quotePrefix="0" xfId="0"/>
    <xf numFmtId="0" fontId="3" fillId="4" borderId="42" applyAlignment="1" pivotButton="0" quotePrefix="0" xfId="0">
      <alignment horizontal="center" vertical="center" wrapText="1"/>
    </xf>
    <xf numFmtId="0" fontId="3" fillId="13" borderId="60" applyAlignment="1" pivotButton="0" quotePrefix="0" xfId="0">
      <alignment horizontal="center" vertical="center" wrapText="1"/>
    </xf>
    <xf numFmtId="0" fontId="0" fillId="0" borderId="57" pivotButton="0" quotePrefix="0" xfId="0"/>
    <xf numFmtId="0" fontId="3" fillId="0" borderId="27" applyAlignment="1" pivotButton="0" quotePrefix="0" xfId="0">
      <alignment horizontal="center" vertical="center"/>
    </xf>
    <xf numFmtId="0" fontId="0" fillId="0" borderId="2" applyAlignment="1" pivotButton="0" quotePrefix="0" xfId="0">
      <alignment horizontal="center" vertical="center" wrapText="1"/>
    </xf>
    <xf numFmtId="0" fontId="0" fillId="0" borderId="46" pivotButton="0" quotePrefix="0" xfId="0"/>
    <xf numFmtId="0" fontId="0" fillId="0" borderId="3" pivotButton="0" quotePrefix="0" xfId="0"/>
    <xf numFmtId="0" fontId="3" fillId="0" borderId="22" applyAlignment="1" pivotButton="0" quotePrefix="0" xfId="0">
      <alignment horizontal="center" vertical="center" wrapText="1"/>
    </xf>
    <xf numFmtId="0" fontId="0" fillId="0" borderId="17" pivotButton="0" quotePrefix="0" xfId="0"/>
    <xf numFmtId="0" fontId="0" fillId="0" borderId="22" pivotButton="0" quotePrefix="0" xfId="0"/>
    <xf numFmtId="0" fontId="3" fillId="0" borderId="38" applyAlignment="1" pivotButton="0" quotePrefix="0" xfId="0">
      <alignment horizontal="center" vertical="center"/>
    </xf>
    <xf numFmtId="0" fontId="0" fillId="0" borderId="31" pivotButton="0" quotePrefix="0" xfId="0"/>
    <xf numFmtId="0" fontId="0" fillId="0" borderId="49" applyAlignment="1" pivotButton="0" quotePrefix="0" xfId="0">
      <alignment horizontal="center" vertical="center"/>
    </xf>
    <xf numFmtId="0" fontId="0" fillId="0" borderId="14" pivotButton="0" quotePrefix="0" xfId="0"/>
    <xf numFmtId="0" fontId="0" fillId="0" borderId="32" applyAlignment="1" pivotButton="0" quotePrefix="0" xfId="0">
      <alignment horizontal="center" vertical="center"/>
    </xf>
    <xf numFmtId="0" fontId="3" fillId="2" borderId="22" applyAlignment="1" pivotButton="0" quotePrefix="0" xfId="0">
      <alignment horizontal="center" vertical="center"/>
    </xf>
    <xf numFmtId="0" fontId="5" fillId="0" borderId="2" applyAlignment="1" pivotButton="0" quotePrefix="0" xfId="0">
      <alignment horizontal="center" vertical="center"/>
    </xf>
    <xf numFmtId="0" fontId="0" fillId="0" borderId="2" applyAlignment="1" pivotButton="0" quotePrefix="0" xfId="0">
      <alignment horizontal="center"/>
    </xf>
    <xf numFmtId="0" fontId="0" fillId="0" borderId="24" applyAlignment="1" pivotButton="0" quotePrefix="0" xfId="0">
      <alignment horizontal="center" vertical="center"/>
    </xf>
    <xf numFmtId="0" fontId="0" fillId="0" borderId="53" pivotButton="0" quotePrefix="0" xfId="0"/>
    <xf numFmtId="0" fontId="0" fillId="0" borderId="47" pivotButton="0" quotePrefix="0" xfId="0"/>
    <xf numFmtId="0" fontId="0" fillId="0" borderId="0" pivotButton="0" quotePrefix="0" xfId="0"/>
    <xf numFmtId="0" fontId="0" fillId="0" borderId="36" pivotButton="0" quotePrefix="0" xfId="0"/>
    <xf numFmtId="0" fontId="0" fillId="0" borderId="48" pivotButton="0" quotePrefix="0" xfId="0"/>
    <xf numFmtId="0" fontId="0" fillId="0" borderId="54" pivotButton="0" quotePrefix="0" xfId="0"/>
    <xf numFmtId="0" fontId="0" fillId="0" borderId="44" pivotButton="0" quotePrefix="0" xfId="0"/>
    <xf numFmtId="0" fontId="3" fillId="0" borderId="48" applyAlignment="1" pivotButton="0" quotePrefix="0" xfId="0">
      <alignment horizontal="center" vertical="center"/>
    </xf>
    <xf numFmtId="0" fontId="5" fillId="0" borderId="2" applyAlignment="1" pivotButton="0" quotePrefix="0" xfId="0">
      <alignment horizontal="center"/>
    </xf>
    <xf numFmtId="0" fontId="3" fillId="0" borderId="16" applyAlignment="1" pivotButton="0" quotePrefix="0" xfId="0">
      <alignment horizontal="center" vertical="center"/>
    </xf>
    <xf numFmtId="0" fontId="3" fillId="0" borderId="15" applyAlignment="1" pivotButton="0" quotePrefix="0" xfId="0">
      <alignment horizontal="center" vertical="center"/>
    </xf>
    <xf numFmtId="0" fontId="0" fillId="0" borderId="37" pivotButton="0" quotePrefix="0" xfId="0"/>
    <xf numFmtId="0" fontId="5" fillId="0" borderId="15" applyAlignment="1" pivotButton="0" quotePrefix="0" xfId="0">
      <alignment horizontal="center" vertical="center"/>
    </xf>
    <xf numFmtId="0" fontId="0" fillId="0" borderId="55" pivotButton="0" quotePrefix="0" xfId="0"/>
    <xf numFmtId="0" fontId="5" fillId="0" borderId="32" applyAlignment="1" pivotButton="0" quotePrefix="0" xfId="0">
      <alignment horizontal="center" vertical="center"/>
    </xf>
    <xf numFmtId="0" fontId="3" fillId="0" borderId="9" applyAlignment="1" pivotButton="0" quotePrefix="0" xfId="0">
      <alignment horizontal="center"/>
    </xf>
    <xf numFmtId="0" fontId="0" fillId="0" borderId="62" pivotButton="0" quotePrefix="0" xfId="0"/>
    <xf numFmtId="0" fontId="6" fillId="0" borderId="6" applyAlignment="1" pivotButton="0" quotePrefix="0" xfId="0">
      <alignment horizontal="center" vertical="center"/>
    </xf>
    <xf numFmtId="0" fontId="3" fillId="0" borderId="49" applyAlignment="1" pivotButton="0" quotePrefix="0" xfId="0">
      <alignment horizontal="center" vertical="center" wrapText="1"/>
    </xf>
    <xf numFmtId="0" fontId="5" fillId="0" borderId="49" applyAlignment="1" pivotButton="0" quotePrefix="0" xfId="0">
      <alignment horizontal="center" vertical="center" wrapText="1"/>
    </xf>
    <xf numFmtId="0" fontId="0" fillId="0" borderId="15" applyAlignment="1" pivotButton="0" quotePrefix="0" xfId="0">
      <alignment horizontal="center" vertical="center"/>
    </xf>
    <xf numFmtId="0" fontId="0" fillId="0" borderId="50" pivotButton="0" quotePrefix="0" xfId="0"/>
    <xf numFmtId="0" fontId="0" fillId="0" borderId="33" pivotButton="0" quotePrefix="0" xfId="0"/>
    <xf numFmtId="0" fontId="0" fillId="0" borderId="51" pivotButton="0" quotePrefix="0" xfId="0"/>
    <xf numFmtId="0" fontId="0" fillId="0" borderId="52" pivotButton="0" quotePrefix="0" xfId="0"/>
    <xf numFmtId="0" fontId="5" fillId="0" borderId="22" applyAlignment="1" pivotButton="0" quotePrefix="0" xfId="0">
      <alignment horizontal="center" vertical="center" wrapText="1"/>
    </xf>
    <xf numFmtId="0" fontId="0" fillId="2" borderId="32" applyAlignment="1" pivotButton="0" quotePrefix="0" xfId="0">
      <alignment horizontal="center" vertical="center"/>
    </xf>
    <xf numFmtId="0" fontId="3" fillId="0" borderId="2" applyAlignment="1" pivotButton="0" quotePrefix="0" xfId="0">
      <alignment horizontal="center" vertical="center"/>
    </xf>
    <xf numFmtId="0" fontId="0" fillId="0" borderId="6" pivotButton="0" quotePrefix="0" xfId="0"/>
    <xf numFmtId="0" fontId="5" fillId="0" borderId="28" applyAlignment="1" pivotButton="0" quotePrefix="0" xfId="0">
      <alignment horizontal="center" vertical="center"/>
    </xf>
    <xf numFmtId="0" fontId="3" fillId="0" borderId="20" applyAlignment="1" pivotButton="0" quotePrefix="0" xfId="0">
      <alignment horizontal="center" vertical="center"/>
    </xf>
    <xf numFmtId="0" fontId="12" fillId="0" borderId="39" applyAlignment="1" pivotButton="0" quotePrefix="0" xfId="0">
      <alignment horizontal="center" wrapText="1"/>
    </xf>
    <xf numFmtId="0" fontId="0" fillId="0" borderId="40" pivotButton="0" quotePrefix="0" xfId="0"/>
    <xf numFmtId="0" fontId="0" fillId="2" borderId="28" applyAlignment="1" pivotButton="0" quotePrefix="0" xfId="0">
      <alignment horizontal="center" vertical="center"/>
    </xf>
    <xf numFmtId="0" fontId="5" fillId="0" borderId="24" applyAlignment="1" pivotButton="0" quotePrefix="0" xfId="0">
      <alignment horizontal="center" vertical="center"/>
    </xf>
    <xf numFmtId="0" fontId="0" fillId="0" borderId="2" applyAlignment="1" pivotButton="0" quotePrefix="0" xfId="0">
      <alignment horizontal="center" vertical="center"/>
    </xf>
    <xf numFmtId="0" fontId="7" fillId="0" borderId="6" applyAlignment="1" pivotButton="0" quotePrefix="0" xfId="0">
      <alignment horizontal="center" vertical="center"/>
    </xf>
    <xf numFmtId="0" fontId="0" fillId="0" borderId="11" applyAlignment="1" pivotButton="0" quotePrefix="0" xfId="0">
      <alignment horizontal="center" vertical="center"/>
    </xf>
    <xf numFmtId="0" fontId="0" fillId="0" borderId="35" pivotButton="0" quotePrefix="0" xfId="0"/>
    <xf numFmtId="0" fontId="0" fillId="0" borderId="43" pivotButton="0" quotePrefix="0" xfId="0"/>
    <xf numFmtId="0" fontId="0" fillId="2" borderId="49" applyAlignment="1" pivotButton="0" quotePrefix="0" xfId="0">
      <alignment horizontal="center" vertical="center"/>
    </xf>
    <xf numFmtId="0" fontId="3" fillId="0" borderId="49" applyAlignment="1" pivotButton="0" quotePrefix="0" xfId="0">
      <alignment horizontal="center" vertical="center"/>
    </xf>
    <xf numFmtId="0" fontId="0" fillId="0" borderId="28" applyAlignment="1" pivotButton="0" quotePrefix="0" xfId="0">
      <alignment horizontal="center" vertical="center"/>
    </xf>
    <xf numFmtId="0" fontId="0" fillId="3" borderId="49" applyAlignment="1" pivotButton="0" quotePrefix="0" xfId="0">
      <alignment horizontal="center" vertical="center"/>
    </xf>
    <xf numFmtId="0" fontId="3" fillId="2" borderId="49" applyAlignment="1" pivotButton="0" quotePrefix="0" xfId="0">
      <alignment horizontal="center" vertical="center"/>
    </xf>
    <xf numFmtId="0" fontId="42" fillId="0" borderId="95" applyAlignment="1" pivotButton="0" quotePrefix="0" xfId="0">
      <alignment wrapText="1"/>
    </xf>
    <xf numFmtId="0" fontId="43" fillId="0" borderId="95" applyAlignment="1" pivotButton="0" quotePrefix="0" xfId="0">
      <alignment wrapText="1"/>
    </xf>
    <xf numFmtId="0" fontId="44" fillId="0" borderId="95" applyAlignment="1" pivotButton="0" quotePrefix="0" xfId="0">
      <alignment wrapText="1"/>
    </xf>
    <xf numFmtId="0" fontId="42" fillId="0" borderId="112" applyAlignment="1" pivotButton="0" quotePrefix="0" xfId="0">
      <alignment wrapText="1"/>
    </xf>
  </cellXfs>
  <cellStyles count="2">
    <cellStyle name="Normale" xfId="0" builtinId="0"/>
    <cellStyle name="Collegamento ipertestuale"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MORBIDI MAURIZIO</author>
  </authors>
  <commentList>
    <comment ref="D5" authorId="0" shapeId="0">
      <text>
        <t>MORBIDI MAURIZIO:
Disponibile anche codice BD140045210  relativo a BL 6.2</t>
      </text>
    </comment>
    <comment ref="J5" authorId="0" shapeId="0">
      <text>
        <t>MORBIDI MAURIZIO:
Disponibile anche codice BD140038737 di BL 4.3</t>
      </text>
    </comment>
    <comment ref="Q6" authorId="0" shapeId="0">
      <text>
        <t>MORBIDI MAURIZIO:
Le revisioni (non disponibili) in rosso sono relative alla BL 5.0</t>
      </text>
    </comment>
    <comment ref="J10" authorId="0" shapeId="0">
      <text>
        <t>MORBIDI MAURIZIO:
Non indicato nel file di configurazione, ma presente tra i documenti</t>
      </text>
    </comment>
    <comment ref="N13" authorId="0" shapeId="0">
      <text>
        <t>MORBIDI MAURIZIO:
Rev A più aggiornata della BL corrente</t>
      </text>
    </comment>
    <comment ref="K16" authorId="0" shapeId="0">
      <text>
        <t>MORBIDI MAURIZIO:
Disponibile rev D</t>
      </text>
    </comment>
    <comment ref="E17" authorId="0" shapeId="0">
      <text>
        <t>MORBIDI MAURIZIO:
Disponibile rev C</t>
      </text>
    </comment>
    <comment ref="K17" authorId="0" shapeId="0">
      <text>
        <t>MORBIDI MAURIZIO:
Disponibile rev _</t>
      </text>
    </comment>
    <comment ref="K20" authorId="0" shapeId="0">
      <text>
        <t>MORBIDI MAURIZIO:
Disponibile rev _</t>
      </text>
    </comment>
    <comment ref="K22" authorId="0" shapeId="0">
      <text>
        <t>MORBIDI MAURIZIO:
Disponibile rev C</t>
      </text>
    </comment>
    <comment ref="N23" authorId="0" shapeId="0">
      <text>
        <t>MORBIDI MAURIZIO:
Rev A più aggiornata della BL corrente</t>
      </text>
    </comment>
    <comment ref="N25" authorId="0" shapeId="0">
      <text>
        <t>MORBIDI MAURIZIO:
Rev A più aggiornata della BL corrente</t>
      </text>
    </comment>
    <comment ref="N28" authorId="0" shapeId="0">
      <text>
        <t>MORBIDI MAURIZIO:
Dispoinibile ver A non B</t>
      </text>
    </comment>
    <comment ref="B33" authorId="0" shapeId="0">
      <text>
        <t>MORBIDI MAURIZIO:
Non presente in Config Sheet ma gestito nello stesso modo tra le varie flotte</t>
      </text>
    </comment>
    <comment ref="D35" authorId="0" shapeId="0">
      <text>
        <t>MORBIDI MAURIZIO:
Non presente in BL ma inserita comunque tra le  FRS</t>
      </text>
    </comment>
    <comment ref="L37" authorId="0" shapeId="0">
      <text>
        <t>MORBIDI MAURIZIO:
Vecchia versione non più applicabile?</t>
      </text>
    </comment>
    <comment ref="F38" authorId="0" shapeId="0">
      <text>
        <t>MORBIDI MAURIZIO:
EC01P008999B vecchia versione?</t>
      </text>
    </comment>
    <comment ref="I38" authorId="0" shapeId="0">
      <text>
        <t>MORBIDI MAURIZIO:
Vecchio codice antecedente BL3 non più applicabile?</t>
      </text>
    </comment>
    <comment ref="L38" authorId="0" shapeId="0">
      <text>
        <t>MORBIDI MAURIZIO:
EC01P008999B vecchia versione?</t>
      </text>
    </comment>
    <comment ref="O38" authorId="0" shapeId="0">
      <text>
        <t>MORBIDI MAURIZIO:
Non più applicabile?</t>
      </text>
    </comment>
    <comment ref="E47" authorId="0" shapeId="0">
      <text>
        <t>MORBIDI MAURIZIO:
Disponibile rev J</t>
      </text>
    </comment>
    <comment ref="K47" authorId="0" shapeId="0">
      <text>
        <t>MORBIDI MAURIZIO:
Disponibile rev A</t>
      </text>
    </comment>
    <comment ref="E48" authorId="0" shapeId="0">
      <text>
        <t>MORBIDI MAURIZIO:
Disponibile rev C</t>
      </text>
    </comment>
    <comment ref="E51" authorId="0" shapeId="0">
      <text>
        <t>MORBIDI MAURIZIO:
Disponibile rev B</t>
      </text>
    </comment>
    <comment ref="E54" authorId="0" shapeId="0">
      <text>
        <t>MORBIDI MAURIZIO:
Rev 09 + aggiornata di BL corrente.
08 x VZ_IT_New14
09 x VZ_ES</t>
      </text>
    </comment>
    <comment ref="H54" authorId="0" shapeId="0">
      <text>
        <t>MORBIDI MAURIZIO:
Rev 09 + aggiornata di BL corrente.
09 x VZ_ES</t>
      </text>
    </comment>
    <comment ref="E58" authorId="0" shapeId="0">
      <text>
        <t xml:space="preserve">MORBIDI MAURIZIO:
Rev 04 + aggiornata di BL corrente.
04 x VZ_ES
</t>
      </text>
    </comment>
    <comment ref="K58" authorId="0" shapeId="0">
      <text>
        <t xml:space="preserve">MORBIDI MAURIZIO:
Rev 04 + aggiornata di BL corrente.
04 x VZ_ES
</t>
      </text>
    </comment>
    <comment ref="I61" authorId="0" shapeId="0">
      <text>
        <t>MORBIDI MAURIZIO:
Codice HRI = EC010008563</t>
      </text>
    </comment>
    <comment ref="B67" authorId="0" shapeId="0">
      <text>
        <t>MORBIDI MAURIZIO:
Non presente in Config Sheet ma gestito nello stesso modo tra le varie flotte</t>
      </text>
    </comment>
    <comment ref="H69" authorId="0" shapeId="0">
      <text>
        <t>MORBIDI MAURIZIO:
Disponibile rev E che include BL3 SSB</t>
      </text>
    </comment>
    <comment ref="E70" authorId="0" shapeId="0">
      <text>
        <t>MORBIDI MAURIZIO:
Rev J non trovata
Disponibile rev H</t>
      </text>
    </comment>
    <comment ref="E71" authorId="0" shapeId="0">
      <text>
        <t>MORBIDI MAURIZIO:
Rev J non trovata
Disponibile rev H</t>
      </text>
    </comment>
    <comment ref="E72" authorId="0" shapeId="0">
      <text>
        <t>MORBIDI MAURIZIO:
Rev J non trovata
Disponibile rev H</t>
      </text>
    </comment>
    <comment ref="E73" authorId="0" shapeId="0">
      <text>
        <t>MORBIDI MAURIZIO:
Rev J non trovata
Disponibile rev H</t>
      </text>
    </comment>
    <comment ref="E74" authorId="0" shapeId="0">
      <text>
        <t>MORBIDI MAURIZIO:
Rev J non trovata
Disponibile rev H</t>
      </text>
    </comment>
    <comment ref="E75" authorId="0" shapeId="0">
      <text>
        <t>MORBIDI MAURIZIO:
Rev J non trovata
Disponibile rev H</t>
      </text>
    </comment>
    <comment ref="H76" authorId="0" shapeId="0">
      <text>
        <t>MORBIDI MAURIZIO:
Disponibile rev F che include BL3 SSB</t>
      </text>
    </comment>
    <comment ref="H78" authorId="0" shapeId="0">
      <text>
        <t>MORBIDI MAURIZIO:
Disponibile rev E</t>
      </text>
    </comment>
    <comment ref="E79" authorId="0" shapeId="0">
      <text>
        <t>MORBIDI MAURIZIO:
Rev J non trovata
Disponibile rev H</t>
      </text>
    </comment>
    <comment ref="H79" authorId="0" shapeId="0">
      <text>
        <t>MORBIDI MAURIZIO:
Rev D mancante, disponibile rev C</t>
      </text>
    </comment>
    <comment ref="E80" authorId="0" shapeId="0">
      <text>
        <t>MORBIDI MAURIZIO:
Rev J non trovata
Disponibile rev H</t>
      </text>
    </comment>
    <comment ref="H80" authorId="0" shapeId="0">
      <text>
        <t>MORBIDI MAURIZIO:
Rev D mancante, disponibile rev C</t>
      </text>
    </comment>
    <comment ref="E81" authorId="0" shapeId="0">
      <text>
        <t>MORBIDI MAURIZIO:
Rev J non trovata
Disponibile rev H</t>
      </text>
    </comment>
    <comment ref="H81" authorId="0" shapeId="0">
      <text>
        <t>MORBIDI MAURIZIO:
Rev D mancante, disponibile rev C</t>
      </text>
    </comment>
    <comment ref="E82" authorId="0" shapeId="0">
      <text>
        <t>MORBIDI MAURIZIO:
Rev J non trovata
Disponibile rev H</t>
      </text>
    </comment>
    <comment ref="H82" authorId="0" shapeId="0">
      <text>
        <t>MORBIDI MAURIZIO:
Rev D mancante, disponibile rev C</t>
      </text>
    </comment>
    <comment ref="E83" authorId="0" shapeId="0">
      <text>
        <t>MORBIDI MAURIZIO:
Rev J non trovata
Disponibile rev H</t>
      </text>
    </comment>
    <comment ref="H83" authorId="0" shapeId="0">
      <text>
        <t>MORBIDI MAURIZIO:
Rev D mancante, disponibile rev C</t>
      </text>
    </comment>
    <comment ref="E84" authorId="0" shapeId="0">
      <text>
        <t>MORBIDI MAURIZIO:
Rev J non trovata
Disponibile rev H</t>
      </text>
    </comment>
    <comment ref="H84" authorId="0" shapeId="0">
      <text>
        <t>MORBIDI MAURIZIO:
Rev D mancante, disponibile rev C</t>
      </text>
    </comment>
    <comment ref="H85" authorId="0" shapeId="0">
      <text>
        <t>MORBIDI MAURIZIO:
Disponibile rev F</t>
      </text>
    </comment>
    <comment ref="H87" authorId="0" shapeId="0">
      <text>
        <t>MORBIDI MAURIZIO:
Disponibile rev E</t>
      </text>
    </comment>
    <comment ref="E88" authorId="0" shapeId="0">
      <text>
        <t>MORBIDI MAURIZIO:
Rev J non trovata
Disponibile rev H</t>
      </text>
    </comment>
    <comment ref="H88" authorId="0" shapeId="0">
      <text>
        <t>MORBIDI MAURIZIO:
Rev D mancante, disponibile rev C</t>
      </text>
    </comment>
    <comment ref="E89" authorId="0" shapeId="0">
      <text>
        <t>MORBIDI MAURIZIO:
Rev J non trovata
Disponibile rev H</t>
      </text>
    </comment>
    <comment ref="H89" authorId="0" shapeId="0">
      <text>
        <t>MORBIDI MAURIZIO:
Rev D mancante, disponibile rev C</t>
      </text>
    </comment>
    <comment ref="E90" authorId="0" shapeId="0">
      <text>
        <t>MORBIDI MAURIZIO:
Rev J non trovata
Disponibile rev H</t>
      </text>
    </comment>
    <comment ref="H90" authorId="0" shapeId="0">
      <text>
        <t>MORBIDI MAURIZIO:
Rev D mancante, disponibile rev C</t>
      </text>
    </comment>
    <comment ref="E91" authorId="0" shapeId="0">
      <text>
        <t>MORBIDI MAURIZIO:
Rev J non trovata
Disponibile rev H</t>
      </text>
    </comment>
    <comment ref="H91" authorId="0" shapeId="0">
      <text>
        <t>MORBIDI MAURIZIO:
Rev D mancante, disponibile rev C</t>
      </text>
    </comment>
    <comment ref="E92" authorId="0" shapeId="0">
      <text>
        <t>MORBIDI MAURIZIO:
Rev J non trovata
Disponibile rev H</t>
      </text>
    </comment>
    <comment ref="H92" authorId="0" shapeId="0">
      <text>
        <t>MORBIDI MAURIZIO:
Rev D mancante, disponibile rev C</t>
      </text>
    </comment>
    <comment ref="E93" authorId="0" shapeId="0">
      <text>
        <t>MORBIDI MAURIZIO:
Rev J non trovata
Disponibile rev H</t>
      </text>
    </comment>
    <comment ref="H93" authorId="0" shapeId="0">
      <text>
        <t>MORBIDI MAURIZIO:
Rev D mancante, disponibile rev C</t>
      </text>
    </comment>
    <comment ref="H94" authorId="0" shapeId="0">
      <text>
        <t>MORBIDI MAURIZIO:
Disponibile rev F</t>
      </text>
    </comment>
    <comment ref="B95" authorId="0" shapeId="0">
      <text>
        <t>MORBIDI MAURIZIO:
I doc ICD sono presenti sono in BL delle flotte R1. Laddove è stato possibile recuperarli, si inseriscono anche per le altre flotte ma non se ne conosce la BL associata e lo stato di aggiornamento</t>
      </text>
    </comment>
    <comment ref="Q96" authorId="0" shapeId="0">
      <text>
        <t>MORBIDI MAURIZIO:
Disponibile rev 00</t>
      </text>
    </comment>
    <comment ref="Q98" authorId="0" shapeId="0">
      <text>
        <t>MORBIDI MAURIZIO:
Disponibile rev 02</t>
      </text>
    </comment>
    <comment ref="Q100" authorId="0" shapeId="0">
      <text>
        <t>MORBIDI MAURIZIO:
Disponibile rev 00</t>
      </text>
    </comment>
    <comment ref="Q102" authorId="0" shapeId="0">
      <text>
        <t>MORBIDI MAURIZIO:
Disponibile rev 00</t>
      </text>
    </comment>
    <comment ref="Q104" authorId="0" shapeId="0">
      <text>
        <t>MORBIDI MAURIZIO:
Disponibile rev 02</t>
      </text>
    </comment>
    <comment ref="Q106" authorId="0" shapeId="0">
      <text>
        <t>MORBIDI MAURIZIO:
Disponibile rev 01</t>
      </text>
    </comment>
    <comment ref="Q108" authorId="0" shapeId="0">
      <text>
        <t>MORBIDI MAURIZIO:
Disponibile rev 00</t>
      </text>
    </comment>
    <comment ref="Q109" authorId="0" shapeId="0">
      <text>
        <t>MORBIDI MAURIZIO:
Disponibile rev 00</t>
      </text>
    </comment>
    <comment ref="Q110" authorId="0" shapeId="0">
      <text>
        <t>MORBIDI MAURIZIO:
Disponibile rev 00</t>
      </text>
    </comment>
    <comment ref="Q112" authorId="0" shapeId="0">
      <text>
        <t>MORBIDI MAURIZIO:
Disponibile in rev 00</t>
      </text>
    </comment>
    <comment ref="Q114" authorId="0" shapeId="0">
      <text>
        <t>MORBIDI MAURIZIO:
Disponibile rev 00</t>
      </text>
    </comment>
    <comment ref="Q117" authorId="0" shapeId="0">
      <text>
        <t>MORBIDI MAURIZIO:
Disponibile rev 02</t>
      </text>
    </comment>
    <comment ref="Q120" authorId="0" shapeId="0">
      <text>
        <t>MORBIDI MAURIZIO:
Disponibile rev 00</t>
      </text>
    </comment>
    <comment ref="Q121" authorId="0" shapeId="0">
      <text>
        <t>MORBIDI MAURIZIO:
Disponibile rev 01</t>
      </text>
    </comment>
  </commentList>
</comments>
</file>

<file path=xl/comments/comment2.xml><?xml version="1.0" encoding="utf-8"?>
<comments xmlns="http://schemas.openxmlformats.org/spreadsheetml/2006/main">
  <authors>
    <author>MORBIDI MAURIZIO</author>
  </authors>
  <commentList>
    <comment ref="E6" authorId="0" shapeId="0">
      <text>
        <t>MORBIDI MAURIZIO:
3 volumi uniti in un unico PDF</t>
      </text>
    </comment>
    <comment ref="E9" authorId="0" shapeId="0">
      <text>
        <t>MORBIDI MAURIZIO:
4 volumi uniti in un unico pdf</t>
      </text>
    </comment>
    <comment ref="E14" authorId="0" shapeId="0">
      <text>
        <t>MORBIDI MAURIZIO:
3 volumi uniti in un unico PDF</t>
      </text>
    </comment>
    <comment ref="A25" authorId="0" shapeId="0">
      <text>
        <t>MORBIDI MAURIZIO:
N/A</t>
      </text>
    </comment>
    <comment ref="A26" authorId="0" shapeId="0">
      <text>
        <t>MORBIDI MAURIZIO:
Manuale legato al vecchio 20A "ETCS generale". Ancora applicabile??</t>
      </text>
    </comment>
    <comment ref="A29" authorId="0" shapeId="0">
      <text>
        <t>MORBIDI MAURIZIO:
N/A ???</t>
      </text>
    </comment>
    <comment ref="A30" authorId="0" shapeId="0">
      <text>
        <t>MORBIDI MAURIZIO:
Manuale SSB di applicazione generica</t>
      </text>
    </comment>
    <comment ref="A31" authorId="0" shapeId="0">
      <text>
        <t>MORBIDI MAURIZIO:
Manuale SSB spacciato per applicazione specifica correlato al 20A, in realtà è una raccolta di foto e disegni in allegato</t>
      </text>
    </comment>
    <comment ref="A33" authorId="0" shapeId="0">
      <text>
        <t>MORBIDI MAURIZIO:
Ancora applicabile ??</t>
      </text>
    </comment>
    <comment ref="E37" authorId="0" shapeId="0">
      <text>
        <t>MORBIDI MAURIZIO:
4 volumi uniti in un unico pdf</t>
      </text>
    </comment>
  </commentList>
</comments>
</file>

<file path=xl/comments/comment3.xml><?xml version="1.0" encoding="utf-8"?>
<comments xmlns="http://schemas.openxmlformats.org/spreadsheetml/2006/main">
  <authors>
    <author>MORBIDI MAURIZIO</author>
  </authors>
  <commentList>
    <comment ref="C4" authorId="0" shapeId="0">
      <text>
        <t>MORBIDI MAURIZIO:
VZI_Base originale ha formato xlsb</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f:/r/sites/IngegneriaETReMezziLeggeri-Trenitalia/" TargetMode="External" Id="rId1"/></Relationships>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codeName="Foglio1">
    <outlinePr summaryBelow="1" summaryRight="1"/>
    <pageSetUpPr/>
  </sheetPr>
  <dimension ref="A1:C5"/>
  <sheetViews>
    <sheetView workbookViewId="0">
      <selection activeCell="B7" sqref="B7"/>
    </sheetView>
  </sheetViews>
  <sheetFormatPr baseColWidth="8" defaultColWidth="8.7109375" defaultRowHeight="15"/>
  <cols>
    <col width="10.85546875" customWidth="1" style="13" min="1" max="2"/>
    <col width="59" customWidth="1" style="13" min="3" max="3"/>
    <col width="8.7109375" customWidth="1" style="13" min="4" max="16"/>
    <col width="8.7109375" customWidth="1" style="13" min="17" max="16384"/>
  </cols>
  <sheetData>
    <row r="1" customFormat="1" s="188">
      <c r="A1" s="155" t="inlineStr">
        <is>
          <t>Rev</t>
        </is>
      </c>
      <c r="B1" s="155" t="inlineStr">
        <is>
          <t>Data</t>
        </is>
      </c>
      <c r="C1" s="155" t="inlineStr">
        <is>
          <t>Descrizione</t>
        </is>
      </c>
    </row>
    <row r="2">
      <c r="A2" s="7" t="inlineStr">
        <is>
          <t>1.0</t>
        </is>
      </c>
      <c r="B2" s="189" t="n">
        <v>46190</v>
      </c>
      <c r="C2" s="140" t="inlineStr">
        <is>
          <t>Presentazione bozza</t>
        </is>
      </c>
    </row>
    <row r="3">
      <c r="A3" s="140" t="n"/>
      <c r="B3" s="140" t="n"/>
      <c r="C3" s="140" t="n"/>
    </row>
    <row r="4">
      <c r="A4" s="140" t="n"/>
      <c r="B4" s="140" t="n"/>
      <c r="C4" s="140" t="n"/>
    </row>
    <row r="5">
      <c r="A5" s="140" t="n"/>
      <c r="B5" s="140" t="n"/>
      <c r="C5" s="140" t="n"/>
    </row>
  </sheetData>
  <pageMargins left="0.7" right="0.7" top="0.75" bottom="0.75" header="0.3" footer="0.3"/>
</worksheet>
</file>

<file path=xl/worksheets/sheet2.xml><?xml version="1.0" encoding="utf-8"?>
<worksheet xmlns="http://schemas.openxmlformats.org/spreadsheetml/2006/main">
  <sheetPr codeName="Foglio2">
    <outlinePr summaryBelow="1" summaryRight="1"/>
    <pageSetUpPr/>
  </sheetPr>
  <dimension ref="A1:E13"/>
  <sheetViews>
    <sheetView workbookViewId="0">
      <selection activeCell="A2" sqref="A2:XFD5"/>
    </sheetView>
  </sheetViews>
  <sheetFormatPr baseColWidth="8" defaultColWidth="8.7109375" defaultRowHeight="15"/>
  <cols>
    <col width="15.5703125" customWidth="1" style="14" min="1" max="1"/>
    <col width="13.85546875" customWidth="1" style="14" min="2" max="2"/>
    <col width="8.7109375" customWidth="1" style="14" min="3" max="3"/>
    <col width="120.7109375" customWidth="1" style="103" min="4" max="4"/>
    <col width="60.140625" customWidth="1" style="103" min="5" max="5"/>
    <col width="8.7109375" customWidth="1" style="13" min="6" max="18"/>
    <col width="8.7109375" customWidth="1" style="13" min="19" max="16384"/>
  </cols>
  <sheetData>
    <row r="1" ht="23.45" customFormat="1" customHeight="1" s="192">
      <c r="A1" s="155" t="inlineStr">
        <is>
          <t>Data</t>
        </is>
      </c>
      <c r="B1" s="155" t="inlineStr">
        <is>
          <t>Chi</t>
        </is>
      </c>
      <c r="C1" s="155" t="inlineStr">
        <is>
          <t>Priorità</t>
        </is>
      </c>
      <c r="D1" s="420" t="inlineStr">
        <is>
          <t>Descrizione</t>
        </is>
      </c>
      <c r="E1" s="420" t="inlineStr">
        <is>
          <t>Note</t>
        </is>
      </c>
    </row>
    <row r="2" ht="30" customHeight="1" s="583">
      <c r="A2" s="308" t="n">
        <v>46190</v>
      </c>
      <c r="B2" s="14" t="inlineStr">
        <is>
          <t>Federico</t>
        </is>
      </c>
      <c r="C2" s="14" t="inlineStr">
        <is>
          <t>Alta</t>
        </is>
      </c>
      <c r="D2" s="103" t="inlineStr">
        <is>
          <t>protezione azionamenti</t>
        </is>
      </c>
      <c r="E2" s="103" t="inlineStr">
        <is>
          <t>da ricercare all'interno dei documenti, una volta collezionati tutti i doc disponibili sulla trazione</t>
        </is>
      </c>
    </row>
    <row r="3">
      <c r="A3" s="308" t="n">
        <v>46190</v>
      </c>
      <c r="B3" s="14" t="inlineStr">
        <is>
          <t>Federico</t>
        </is>
      </c>
      <c r="C3" s="14" t="inlineStr">
        <is>
          <t>Alta</t>
        </is>
      </c>
      <c r="D3" s="103" t="inlineStr">
        <is>
          <t>ricerca doc propulsion</t>
        </is>
      </c>
      <c r="E3" s="103" t="inlineStr">
        <is>
          <t>in corso sui vari SGF</t>
        </is>
      </c>
    </row>
    <row r="4">
      <c r="A4" s="308" t="n">
        <v>46190</v>
      </c>
      <c r="B4" s="14" t="inlineStr">
        <is>
          <t>Maurizio</t>
        </is>
      </c>
      <c r="C4" s="14" t="inlineStr">
        <is>
          <t>Alta</t>
        </is>
      </c>
      <c r="D4" s="103" t="inlineStr">
        <is>
          <t>legare manuali e CPR a documenti CONF</t>
        </is>
      </c>
      <c r="E4" s="103" t="inlineStr">
        <is>
          <t>eseguito manualmente, TBD legame automatico (vedi pt sotto)</t>
        </is>
      </c>
    </row>
    <row r="5" ht="45" customHeight="1" s="583">
      <c r="A5" s="308" t="n">
        <v>46190</v>
      </c>
      <c r="B5" s="14" t="inlineStr">
        <is>
          <t>Federico</t>
        </is>
      </c>
      <c r="C5" s="14" t="inlineStr">
        <is>
          <t>Alta</t>
        </is>
      </c>
      <c r="D5" s="103" t="inlineStr">
        <is>
          <t>provare integrazione copilot</t>
        </is>
      </c>
      <c r="E5" s="103" t="inlineStr">
        <is>
          <t>Eseguita prova su FRS_Line_Voltage con compilazione automatica colonna B di Funzioni. Riutilizzabile per prossime FUNC ID</t>
        </is>
      </c>
    </row>
    <row r="6">
      <c r="A6" s="308" t="n">
        <v>46189</v>
      </c>
      <c r="B6" s="14" t="inlineStr">
        <is>
          <t>Maurizio</t>
        </is>
      </c>
      <c r="C6" s="14" t="inlineStr">
        <is>
          <t>Bassa</t>
        </is>
      </c>
      <c r="D6" s="103" t="inlineStr">
        <is>
          <t>Definire struttura codice FUNC ID</t>
        </is>
      </c>
      <c r="E6" s="103" t="inlineStr">
        <is>
          <t>Valutare se necessario</t>
        </is>
      </c>
    </row>
    <row r="7" ht="45" customHeight="1" s="583">
      <c r="A7" s="308" t="n">
        <v>46189</v>
      </c>
      <c r="B7" s="14" t="inlineStr">
        <is>
          <t>Maurizio</t>
        </is>
      </c>
      <c r="C7" s="14" t="inlineStr">
        <is>
          <t>Media</t>
        </is>
      </c>
      <c r="D7" s="103" t="inlineStr">
        <is>
          <t>Diagnostica:
- Reperire documentazione diagnostica EVENTI + AWO per flotta
- Definire modalità archiviazione file diagnostici per flotta e referenziazione in FUNZIONI</t>
        </is>
      </c>
      <c r="E7" s="103" t="inlineStr">
        <is>
          <t>Alcuni doc già recuperati, da definire criterio di archiviazione</t>
        </is>
      </c>
    </row>
    <row r="8">
      <c r="A8" s="308" t="n">
        <v>46189</v>
      </c>
      <c r="B8" s="14" t="inlineStr">
        <is>
          <t>Maurizio</t>
        </is>
      </c>
      <c r="C8" s="14" t="inlineStr">
        <is>
          <t>Bassa</t>
        </is>
      </c>
      <c r="D8" s="103" t="inlineStr">
        <is>
          <t>Rivedere/Completare PBS</t>
        </is>
      </c>
      <c r="E8" s="103" t="inlineStr">
        <is>
          <t>TBD</t>
        </is>
      </c>
    </row>
    <row r="9">
      <c r="A9" s="308" t="n">
        <v>46189</v>
      </c>
      <c r="B9" s="14" t="inlineStr">
        <is>
          <t>Maurizio</t>
        </is>
      </c>
      <c r="C9" s="14" t="inlineStr">
        <is>
          <t>Bassa</t>
        </is>
      </c>
      <c r="D9" s="106" t="inlineStr">
        <is>
          <t>Legare FUNZIONI a PBS ???</t>
        </is>
      </c>
      <c r="E9" s="103" t="inlineStr">
        <is>
          <t>TBD</t>
        </is>
      </c>
    </row>
    <row r="10">
      <c r="A10" s="308" t="n">
        <v>46189</v>
      </c>
      <c r="B10" s="14" t="inlineStr">
        <is>
          <t>Maurizio</t>
        </is>
      </c>
      <c r="C10" s="14" t="inlineStr">
        <is>
          <t>Bassa</t>
        </is>
      </c>
      <c r="D10" s="103" t="inlineStr">
        <is>
          <t>Pensare a come gestire in Funzioni, l'aggiornamento dei documenti richiamati. ES aggiungere campo data???</t>
        </is>
      </c>
      <c r="E10" s="103" t="inlineStr">
        <is>
          <t>TBD</t>
        </is>
      </c>
    </row>
    <row r="11" ht="60" customHeight="1" s="583">
      <c r="A11" s="308" t="n">
        <v>46196</v>
      </c>
      <c r="B11" s="14" t="inlineStr">
        <is>
          <t>Maurizio</t>
        </is>
      </c>
      <c r="C11" s="14" t="inlineStr">
        <is>
          <t>Alta</t>
        </is>
      </c>
      <c r="D11" s="421" t="inlineStr">
        <is>
          <t>Valutare se inserire colonna File Type in Conf Sheet per poter referenziare anche documenti diversi da pdf (es. file excel degli annex ICD)
In tal caso modificare la costruzione del link in Funzioni</t>
        </is>
      </c>
      <c r="E11" s="103" t="inlineStr">
        <is>
          <t>la diversa tipologia di doc a disposizione potrebbe generare problemi nel referenziare i doc tramite link. Agganciare i link ad una colonna che indica il tipo di documento bypassa il problema del formato</t>
        </is>
      </c>
    </row>
    <row r="12" ht="105" customHeight="1" s="583">
      <c r="A12" s="308" t="n">
        <v>46196</v>
      </c>
      <c r="B12" s="14" t="inlineStr">
        <is>
          <t>Maurizio</t>
        </is>
      </c>
      <c r="C12" s="14" t="inlineStr">
        <is>
          <t>Alta</t>
        </is>
      </c>
      <c r="D12" s="421" t="inlineStr">
        <is>
          <t>Inserire in Funzioni una colonna Doc Type che specifica la tipologia di documenti da linkare (es. CONFIG, MR_CPR, GENERAL, DIAGNOSTIC…) al quale è associato il foglio excel per la ricerca del documento (automatica nella formula del link) e la cartella di archiviazione per la costruzione del link (automatica)</t>
        </is>
      </c>
      <c r="E12" s="103" t="inlineStr">
        <is>
          <t>Dato che la costruzione del file DB e delle cartelle su Sharepoint (criterio di archiviazione) può essere ancora modificabile sulla base della tipologia di documenti che sarà necessario tracciare/archiviare, potrebbe essere utili introdurre un Doc Type che venga utilizzato sia per tracciare i doc su un foglio del DB dedicato sia per creare dinamicamente il link su cartelle ad oggi ancora "flessibili"</t>
        </is>
      </c>
    </row>
    <row r="13" ht="30" customHeight="1" s="583">
      <c r="A13" s="308" t="n">
        <v>46197</v>
      </c>
      <c r="B13" s="14" t="inlineStr">
        <is>
          <t>Federico</t>
        </is>
      </c>
      <c r="C13" s="14" t="inlineStr">
        <is>
          <t>Media</t>
        </is>
      </c>
      <c r="D13" s="103" t="inlineStr">
        <is>
          <t>Pensare a come esportare il file in formato di HTML per poter essere navigabile via broswer</t>
        </is>
      </c>
      <c r="E13" s="103" t="inlineStr">
        <is>
          <t>Potrebbe essere utile in caso sia necessario reperire informazioni quando siamo a bordo treno anche da Telefono</t>
        </is>
      </c>
    </row>
  </sheetData>
  <pageMargins left="0.7" right="0.7" top="0.75" bottom="0.75" header="0.3" footer="0.3"/>
</worksheet>
</file>

<file path=xl/worksheets/sheet3.xml><?xml version="1.0" encoding="utf-8"?>
<worksheet xmlns="http://schemas.openxmlformats.org/spreadsheetml/2006/main">
  <sheetPr codeName="Foglio7">
    <outlinePr summaryBelow="1" summaryRight="1"/>
    <pageSetUpPr/>
  </sheetPr>
  <dimension ref="A1:E13"/>
  <sheetViews>
    <sheetView workbookViewId="0">
      <selection activeCell="D27" sqref="D27"/>
    </sheetView>
  </sheetViews>
  <sheetFormatPr baseColWidth="8" defaultColWidth="8.7109375" defaultRowHeight="15"/>
  <cols>
    <col width="30.85546875" bestFit="1" customWidth="1" style="13" min="1" max="1"/>
    <col width="23.85546875" bestFit="1" customWidth="1" style="13" min="2" max="2"/>
    <col width="6.5703125" bestFit="1" customWidth="1" style="13" min="3" max="3"/>
    <col width="139.42578125" bestFit="1" customWidth="1" style="104" min="4" max="4"/>
    <col width="8.7109375" customWidth="1" style="14" min="5" max="5"/>
    <col width="8.7109375" customWidth="1" style="13" min="6" max="18"/>
    <col width="8.7109375" customWidth="1" style="13" min="19" max="16384"/>
  </cols>
  <sheetData>
    <row r="1" ht="21.6" customHeight="1" s="583">
      <c r="A1" s="171" t="inlineStr">
        <is>
          <t>DESCRIZIONE</t>
        </is>
      </c>
      <c r="B1" s="171" t="inlineStr">
        <is>
          <t>NOME</t>
        </is>
      </c>
      <c r="C1" s="171" t="inlineStr">
        <is>
          <t>Livello</t>
        </is>
      </c>
      <c r="D1" s="172" t="inlineStr">
        <is>
          <t>INDIRIZZO</t>
        </is>
      </c>
      <c r="E1" s="172" t="inlineStr">
        <is>
          <t>LINK</t>
        </is>
      </c>
    </row>
    <row r="2" ht="21.6" customHeight="1" s="583">
      <c r="A2" s="14" t="inlineStr">
        <is>
          <t>Root Sharepoint</t>
        </is>
      </c>
      <c r="B2" s="14" t="inlineStr">
        <is>
          <t>Sharepoint</t>
        </is>
      </c>
      <c r="C2" s="14" t="n">
        <v>0</v>
      </c>
      <c r="D2" s="170" t="inlineStr">
        <is>
          <t>https://gruppofsitaliane.sharepoint.com/:f:/r/sites/IngegneriaETReMezziLeggeri-Trenitalia/</t>
        </is>
      </c>
      <c r="E2" s="190">
        <f>HYPERLINK(D2,"🔗")</f>
        <v/>
      </c>
    </row>
    <row r="3" ht="21.6" customHeight="1" s="583">
      <c r="A3" s="14" t="inlineStr">
        <is>
          <t>Cartella Documenti Ingegneria</t>
        </is>
      </c>
      <c r="B3" s="14" t="inlineStr">
        <is>
          <t>Shared%20Documents/</t>
        </is>
      </c>
      <c r="C3" s="14" t="n">
        <v>1</v>
      </c>
      <c r="D3" s="170">
        <f>CONCATENATE($D$2,B3)</f>
        <v/>
      </c>
      <c r="E3" s="190">
        <f>HYPERLINK(D3,"🔗")</f>
        <v/>
      </c>
    </row>
    <row r="4" ht="21.6" customHeight="1" s="583">
      <c r="A4" s="14" t="inlineStr">
        <is>
          <t>Cartella Archiviazione doc ETR1000</t>
        </is>
      </c>
      <c r="B4" s="14" t="inlineStr">
        <is>
          <t>DB_ETR1000/</t>
        </is>
      </c>
      <c r="C4" s="14" t="n">
        <v>2</v>
      </c>
      <c r="D4" s="170">
        <f>CONCATENATE($D$3,B4)</f>
        <v/>
      </c>
      <c r="E4" s="190">
        <f>HYPERLINK(D4,"🔗")</f>
        <v/>
      </c>
    </row>
    <row r="5" ht="21.6" customHeight="1" s="583">
      <c r="A5" s="14" t="inlineStr">
        <is>
          <t>Documenti di configurazione</t>
        </is>
      </c>
      <c r="B5" s="14" t="inlineStr">
        <is>
          <t>DOC_FLOTTE/</t>
        </is>
      </c>
      <c r="C5" s="14" t="n">
        <v>3</v>
      </c>
      <c r="D5" s="170">
        <f>CONCATENATE($D$4,B5)</f>
        <v/>
      </c>
      <c r="E5" s="190">
        <f>HYPERLINK(D5,"🔗")</f>
        <v/>
      </c>
    </row>
    <row r="6" ht="21.6" customHeight="1" s="583">
      <c r="A6" s="14" t="inlineStr">
        <is>
          <t>Raccolta documentazione Funzioni</t>
        </is>
      </c>
      <c r="B6" s="14" t="inlineStr">
        <is>
          <t>DOC_FUNC/</t>
        </is>
      </c>
      <c r="C6" s="14" t="n">
        <v>3</v>
      </c>
      <c r="D6" s="170">
        <f>CONCATENATE($D$4,B6)</f>
        <v/>
      </c>
      <c r="E6" s="190">
        <f>HYPERLINK(D6,"🔗")</f>
        <v/>
      </c>
    </row>
    <row r="7" ht="21.95" customHeight="1" s="583"/>
    <row r="8" ht="21.95" customHeight="1" s="583"/>
    <row r="9" ht="21.95" customHeight="1" s="583"/>
    <row r="10" ht="21.95" customHeight="1" s="583">
      <c r="A10" s="13" t="inlineStr">
        <is>
          <t>VINCOLI</t>
        </is>
      </c>
    </row>
    <row r="11" ht="21.95" customHeight="1" s="583">
      <c r="A11" s="13" t="inlineStr">
        <is>
          <t>Id Flotta</t>
        </is>
      </c>
      <c r="B11" s="13" t="inlineStr">
        <is>
          <t>Riga 1</t>
        </is>
      </c>
    </row>
    <row r="12" ht="21.95" customHeight="1" s="583">
      <c r="A12" s="13" t="inlineStr">
        <is>
          <t>DOC ID</t>
        </is>
      </c>
      <c r="B12" s="13" t="inlineStr">
        <is>
          <t>Colonna B</t>
        </is>
      </c>
    </row>
    <row r="13">
      <c r="A13" s="13" t="inlineStr">
        <is>
          <t>DOC EXT</t>
        </is>
      </c>
      <c r="B13" s="13" t="inlineStr">
        <is>
          <t>Colonna C</t>
        </is>
      </c>
    </row>
  </sheetData>
  <hyperlinks>
    <hyperlink xmlns:r="http://schemas.openxmlformats.org/officeDocument/2006/relationships" ref="D2" r:id="rId1"/>
  </hyperlinks>
  <pageMargins left="0.7" right="0.7" top="0.75" bottom="0.75" header="0.3" footer="0.3"/>
  <pageSetup orientation="portrait" paperSize="9" horizontalDpi="1200" verticalDpi="1200"/>
</worksheet>
</file>

<file path=xl/worksheets/sheet4.xml><?xml version="1.0" encoding="utf-8"?>
<worksheet xmlns="http://schemas.openxmlformats.org/spreadsheetml/2006/main">
  <sheetPr codeName="Foglio3">
    <tabColor theme="4" tint="0.3999755851924192"/>
    <outlinePr summaryBelow="1" summaryRight="1"/>
    <pageSetUpPr/>
  </sheetPr>
  <dimension ref="A1:BW9"/>
  <sheetViews>
    <sheetView zoomScaleNormal="100" workbookViewId="0">
      <selection activeCell="E19" sqref="E19"/>
    </sheetView>
  </sheetViews>
  <sheetFormatPr baseColWidth="8" defaultRowHeight="15"/>
  <cols>
    <col width="19.42578125" bestFit="1" customWidth="1" style="583" min="1" max="1"/>
    <col width="17.5703125" customWidth="1" style="583" min="2" max="3"/>
    <col width="15.42578125" customWidth="1" style="583" min="4" max="4"/>
    <col width="15.140625" customWidth="1" style="583" min="5" max="5"/>
    <col width="11" customWidth="1" style="12" min="6" max="6"/>
    <col width="3.85546875" bestFit="1" customWidth="1" style="12" min="7" max="52"/>
    <col width="2.85546875" bestFit="1" customWidth="1" style="12" min="53" max="69"/>
    <col width="3.85546875" bestFit="1" customWidth="1" style="12" min="70" max="75"/>
  </cols>
  <sheetData>
    <row r="1" ht="30.95" customFormat="1" customHeight="1" s="13" thickBot="1">
      <c r="A1" s="261" t="inlineStr">
        <is>
          <t>Nome flotta</t>
        </is>
      </c>
      <c r="B1" s="262" t="inlineStr">
        <is>
          <t>ID flotta</t>
        </is>
      </c>
      <c r="C1" s="269" t="inlineStr">
        <is>
          <t>ID flotta "nativa"</t>
        </is>
      </c>
      <c r="D1" s="268" t="inlineStr">
        <is>
          <t>Ultima BL rilasciata</t>
        </is>
      </c>
      <c r="E1" s="263" t="inlineStr">
        <is>
          <t>Conf Sheet aggiornata a BL</t>
        </is>
      </c>
      <c r="F1" s="264" t="inlineStr">
        <is>
          <t>TOT Treni</t>
        </is>
      </c>
      <c r="G1" s="265" t="inlineStr">
        <is>
          <t>NUMERI TRENO</t>
        </is>
      </c>
      <c r="H1" s="266" t="n"/>
      <c r="I1" s="266" t="n"/>
      <c r="J1" s="266" t="n"/>
      <c r="K1" s="266" t="n"/>
      <c r="L1" s="266" t="n"/>
      <c r="M1" s="266" t="n"/>
      <c r="N1" s="266" t="n"/>
      <c r="O1" s="266" t="n"/>
      <c r="P1" s="266" t="n"/>
      <c r="Q1" s="266" t="n"/>
      <c r="R1" s="266" t="n"/>
      <c r="S1" s="266" t="n"/>
      <c r="T1" s="266" t="n"/>
      <c r="U1" s="266" t="n"/>
      <c r="V1" s="266" t="n"/>
      <c r="W1" s="266" t="n"/>
      <c r="X1" s="266" t="n"/>
      <c r="Y1" s="266" t="n"/>
      <c r="Z1" s="266" t="n"/>
      <c r="AA1" s="266" t="n"/>
      <c r="AB1" s="266" t="n"/>
      <c r="AC1" s="266" t="n"/>
      <c r="AD1" s="266" t="n"/>
      <c r="AE1" s="266" t="n"/>
      <c r="AF1" s="266" t="n"/>
      <c r="AG1" s="266" t="n"/>
      <c r="AH1" s="266" t="n"/>
      <c r="AI1" s="266" t="n"/>
      <c r="AJ1" s="266" t="n"/>
      <c r="AK1" s="266" t="n"/>
      <c r="AL1" s="266" t="n"/>
      <c r="AM1" s="266" t="n"/>
      <c r="AN1" s="266" t="n"/>
      <c r="AO1" s="266" t="n"/>
      <c r="AP1" s="266" t="n"/>
      <c r="AQ1" s="266" t="n"/>
      <c r="AR1" s="266" t="n"/>
      <c r="AS1" s="266" t="n"/>
      <c r="AT1" s="266" t="n"/>
      <c r="AU1" s="266" t="n"/>
      <c r="AV1" s="266" t="n"/>
      <c r="AW1" s="266" t="n"/>
      <c r="AX1" s="266" t="n"/>
      <c r="AY1" s="266" t="n"/>
      <c r="AZ1" s="266" t="n"/>
      <c r="BA1" s="266" t="n"/>
      <c r="BB1" s="266" t="n"/>
      <c r="BC1" s="266" t="n"/>
      <c r="BD1" s="266" t="n"/>
      <c r="BE1" s="266" t="n"/>
      <c r="BF1" s="266" t="n"/>
      <c r="BG1" s="266" t="n"/>
      <c r="BH1" s="266" t="n"/>
      <c r="BI1" s="266" t="n"/>
      <c r="BJ1" s="266" t="n"/>
      <c r="BK1" s="266" t="n"/>
      <c r="BL1" s="266" t="n"/>
      <c r="BM1" s="266" t="n"/>
      <c r="BN1" s="266" t="n"/>
      <c r="BO1" s="266" t="n"/>
      <c r="BP1" s="266" t="n"/>
      <c r="BQ1" s="266" t="n"/>
      <c r="BR1" s="266" t="n"/>
      <c r="BS1" s="266" t="n"/>
      <c r="BT1" s="266" t="n"/>
      <c r="BU1" s="266" t="n"/>
      <c r="BV1" s="266" t="n"/>
      <c r="BW1" s="267" t="n"/>
    </row>
    <row r="2" ht="32.1" customFormat="1" customHeight="1" s="13">
      <c r="A2" s="270" t="inlineStr">
        <is>
          <t>VZI-50_IT Flotta base</t>
        </is>
      </c>
      <c r="B2" s="271" t="inlineStr">
        <is>
          <t>VZI_Base</t>
        </is>
      </c>
      <c r="C2" s="272" t="inlineStr">
        <is>
          <t>VZI_Base</t>
        </is>
      </c>
      <c r="D2" s="273" t="inlineStr">
        <is>
          <t>6.3 ?</t>
        </is>
      </c>
      <c r="E2" s="274" t="inlineStr">
        <is>
          <t>6.0
27/09/24</t>
        </is>
      </c>
      <c r="F2" s="275">
        <f>COUNTIF(G2:BW2,"&lt;&gt;")</f>
        <v/>
      </c>
      <c r="G2" s="9" t="n">
        <v>1</v>
      </c>
      <c r="H2" s="8" t="n">
        <v>2</v>
      </c>
      <c r="I2" s="8" t="n">
        <v>3</v>
      </c>
      <c r="J2" s="8" t="n">
        <v>4</v>
      </c>
      <c r="K2" s="8" t="n">
        <v>5</v>
      </c>
      <c r="L2" s="8" t="n">
        <v>6</v>
      </c>
      <c r="M2" s="8" t="n">
        <v>7</v>
      </c>
      <c r="N2" s="8" t="n">
        <v>8</v>
      </c>
      <c r="O2" s="8" t="n">
        <v>9</v>
      </c>
      <c r="P2" s="8" t="n">
        <v>10</v>
      </c>
      <c r="Q2" s="8" t="n">
        <v>11</v>
      </c>
      <c r="R2" s="8" t="n">
        <v>12</v>
      </c>
      <c r="S2" s="8" t="n">
        <v>13</v>
      </c>
      <c r="T2" s="8" t="n">
        <v>14</v>
      </c>
      <c r="U2" s="8" t="n"/>
      <c r="V2" s="8" t="n">
        <v>16</v>
      </c>
      <c r="W2" s="8" t="n">
        <v>17</v>
      </c>
      <c r="X2" s="8" t="n">
        <v>18</v>
      </c>
      <c r="Y2" s="8" t="n">
        <v>19</v>
      </c>
      <c r="Z2" s="8" t="n"/>
      <c r="AA2" s="276" t="n">
        <v>21</v>
      </c>
      <c r="AB2" s="8" t="n">
        <v>22</v>
      </c>
      <c r="AC2" s="8" t="n"/>
      <c r="AD2" s="8" t="n">
        <v>24</v>
      </c>
      <c r="AE2" s="8" t="n"/>
      <c r="AF2" s="8" t="n">
        <v>26</v>
      </c>
      <c r="AG2" s="8" t="n">
        <v>27</v>
      </c>
      <c r="AH2" s="8" t="n"/>
      <c r="AI2" s="8" t="n">
        <v>29</v>
      </c>
      <c r="AJ2" s="8" t="n">
        <v>30</v>
      </c>
      <c r="AK2" s="8" t="n"/>
      <c r="AL2" s="8" t="n">
        <v>32</v>
      </c>
      <c r="AM2" s="8" t="n">
        <v>33</v>
      </c>
      <c r="AN2" s="8" t="n">
        <v>34</v>
      </c>
      <c r="AO2" s="8" t="n"/>
      <c r="AP2" s="8" t="n">
        <v>36</v>
      </c>
      <c r="AQ2" s="8" t="n">
        <v>37</v>
      </c>
      <c r="AR2" s="8" t="n">
        <v>38</v>
      </c>
      <c r="AS2" s="8" t="n">
        <v>39</v>
      </c>
      <c r="AT2" s="8" t="n">
        <v>40</v>
      </c>
      <c r="AU2" s="8" t="n">
        <v>41</v>
      </c>
      <c r="AV2" s="8" t="n">
        <v>42</v>
      </c>
      <c r="AW2" s="8" t="n">
        <v>43</v>
      </c>
      <c r="AX2" s="8" t="n"/>
      <c r="AY2" s="8" t="n">
        <v>45</v>
      </c>
      <c r="AZ2" s="8" t="n">
        <v>46</v>
      </c>
      <c r="BA2" s="8" t="n"/>
      <c r="BB2" s="8" t="n">
        <v>48</v>
      </c>
      <c r="BC2" s="8" t="n"/>
      <c r="BD2" s="8" t="n"/>
      <c r="BE2" s="8" t="n">
        <v>46</v>
      </c>
      <c r="BF2" s="8" t="n">
        <v>47</v>
      </c>
      <c r="BG2" s="8" t="n">
        <v>48</v>
      </c>
      <c r="BH2" s="8" t="n">
        <v>49</v>
      </c>
      <c r="BI2" s="8" t="n">
        <v>50</v>
      </c>
      <c r="BJ2" s="8" t="n"/>
      <c r="BK2" s="8" t="n"/>
      <c r="BL2" s="8" t="n"/>
      <c r="BM2" s="8" t="n"/>
      <c r="BN2" s="8" t="n"/>
      <c r="BO2" s="8" t="n"/>
      <c r="BP2" s="8" t="n"/>
      <c r="BQ2" s="8" t="n"/>
      <c r="BR2" s="8" t="n"/>
      <c r="BS2" s="8" t="n"/>
      <c r="BT2" s="8" t="n"/>
      <c r="BU2" s="8" t="n"/>
      <c r="BV2" s="8" t="n"/>
      <c r="BW2" s="277" t="n"/>
    </row>
    <row r="3" ht="32.1" customFormat="1" customHeight="1" s="13">
      <c r="A3" s="278" t="inlineStr">
        <is>
          <t>VZI-51-58_IT
(New 14)</t>
        </is>
      </c>
      <c r="B3" s="279" t="inlineStr">
        <is>
          <t>VZI_New14</t>
        </is>
      </c>
      <c r="C3" s="280" t="inlineStr">
        <is>
          <t>VZI_Base</t>
        </is>
      </c>
      <c r="D3" s="281" t="inlineStr">
        <is>
          <t>4.3_14
17/12/2025</t>
        </is>
      </c>
      <c r="E3" s="282" t="inlineStr">
        <is>
          <t>4.2_14
30/01/2025</t>
        </is>
      </c>
      <c r="F3" s="283">
        <f>COUNTIF(G3:BW3,"&lt;&gt;")</f>
        <v/>
      </c>
      <c r="G3" s="10" t="n"/>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c r="AO3" s="7" t="n"/>
      <c r="AP3" s="7" t="n"/>
      <c r="AQ3" s="7" t="n"/>
      <c r="AR3" s="7" t="n"/>
      <c r="AS3" s="7" t="n"/>
      <c r="AT3" s="7" t="n"/>
      <c r="AU3" s="7" t="n"/>
      <c r="AV3" s="7" t="n"/>
      <c r="AW3" s="7" t="n"/>
      <c r="AX3" s="7" t="n"/>
      <c r="AY3" s="7" t="n"/>
      <c r="AZ3" s="7" t="n"/>
      <c r="BA3" s="7" t="n"/>
      <c r="BB3" s="7" t="n"/>
      <c r="BC3" s="7" t="n"/>
      <c r="BD3" s="7" t="n"/>
      <c r="BE3" s="7" t="n"/>
      <c r="BF3" s="7" t="n"/>
      <c r="BG3" s="7" t="n"/>
      <c r="BH3" s="7" t="n"/>
      <c r="BI3" s="7" t="n"/>
      <c r="BJ3" s="7" t="n">
        <v>51</v>
      </c>
      <c r="BK3" s="7" t="n">
        <v>52</v>
      </c>
      <c r="BL3" s="7" t="n">
        <v>53</v>
      </c>
      <c r="BM3" s="7" t="n">
        <v>54</v>
      </c>
      <c r="BN3" s="7" t="n">
        <v>55</v>
      </c>
      <c r="BO3" s="7" t="n">
        <v>56</v>
      </c>
      <c r="BP3" s="7" t="n">
        <v>57</v>
      </c>
      <c r="BQ3" s="7" t="n">
        <v>58</v>
      </c>
      <c r="BR3" s="7" t="n"/>
      <c r="BS3" s="7" t="n"/>
      <c r="BT3" s="7" t="n"/>
      <c r="BU3" s="7" t="n"/>
      <c r="BV3" s="7" t="n"/>
      <c r="BW3" s="284" t="n"/>
    </row>
    <row r="4" ht="32.1" customFormat="1" customHeight="1" s="13">
      <c r="A4" s="285" t="inlineStr">
        <is>
          <t>VZ_IF Francia</t>
        </is>
      </c>
      <c r="B4" s="279" t="inlineStr">
        <is>
          <t>VZ_IF</t>
        </is>
      </c>
      <c r="C4" s="280" t="inlineStr">
        <is>
          <t>VZI_Base</t>
        </is>
      </c>
      <c r="D4" s="281" t="inlineStr">
        <is>
          <t>4.3_IF
04/04/2025</t>
        </is>
      </c>
      <c r="E4" s="282" t="inlineStr">
        <is>
          <t>4.0_F
10/04/2024</t>
        </is>
      </c>
      <c r="F4" s="283">
        <f>COUNTIF(G4:BW4,"&lt;&gt;")</f>
        <v/>
      </c>
      <c r="G4" s="10" t="n"/>
      <c r="H4" s="7" t="n"/>
      <c r="I4" s="7" t="n"/>
      <c r="J4" s="7" t="n"/>
      <c r="K4" s="7" t="n"/>
      <c r="L4" s="7" t="n"/>
      <c r="M4" s="7" t="n"/>
      <c r="N4" s="7" t="n"/>
      <c r="O4" s="7" t="n"/>
      <c r="P4" s="7" t="n"/>
      <c r="Q4" s="7" t="n"/>
      <c r="R4" s="7" t="n"/>
      <c r="S4" s="7" t="n"/>
      <c r="T4" s="7" t="n"/>
      <c r="U4" s="7" t="n">
        <v>15</v>
      </c>
      <c r="V4" s="7" t="n"/>
      <c r="W4" s="7" t="n"/>
      <c r="X4" s="7" t="n"/>
      <c r="Y4" s="7" t="n"/>
      <c r="Z4" s="7" t="n"/>
      <c r="AA4" s="7" t="n"/>
      <c r="AB4" s="7" t="n"/>
      <c r="AC4" s="7" t="n">
        <v>23</v>
      </c>
      <c r="AD4" s="7" t="n"/>
      <c r="AE4" s="7" t="n">
        <v>25</v>
      </c>
      <c r="AF4" s="7" t="n"/>
      <c r="AG4" s="7" t="n"/>
      <c r="AH4" s="7" t="n">
        <v>28</v>
      </c>
      <c r="AI4" s="7" t="n"/>
      <c r="AJ4" s="7" t="n"/>
      <c r="AK4" s="7" t="n">
        <v>31</v>
      </c>
      <c r="AL4" s="7" t="n"/>
      <c r="AM4" s="7" t="n"/>
      <c r="AN4" s="7" t="n"/>
      <c r="AO4" s="7" t="n"/>
      <c r="AP4" s="7" t="n"/>
      <c r="AQ4" s="7" t="n"/>
      <c r="AR4" s="7" t="n"/>
      <c r="AS4" s="7" t="n"/>
      <c r="AT4" s="7" t="n"/>
      <c r="AU4" s="7" t="n"/>
      <c r="AV4" s="7" t="n"/>
      <c r="AW4" s="7" t="n"/>
      <c r="AX4" s="7" t="n"/>
      <c r="AY4" s="7" t="n"/>
      <c r="AZ4" s="7" t="n"/>
      <c r="BA4" s="7" t="n">
        <v>47</v>
      </c>
      <c r="BB4" s="7" t="n"/>
      <c r="BC4" s="7" t="n">
        <v>49</v>
      </c>
      <c r="BD4" s="7" t="n">
        <v>50</v>
      </c>
      <c r="BE4" s="7" t="n"/>
      <c r="BF4" s="7" t="n"/>
      <c r="BG4" s="7" t="n"/>
      <c r="BH4" s="7" t="n"/>
      <c r="BI4" s="7" t="n"/>
      <c r="BJ4" s="7" t="n"/>
      <c r="BK4" s="7" t="n"/>
      <c r="BL4" s="7" t="n"/>
      <c r="BM4" s="7" t="n"/>
      <c r="BN4" s="7" t="n"/>
      <c r="BO4" s="7" t="n"/>
      <c r="BP4" s="7" t="n"/>
      <c r="BQ4" s="7" t="n"/>
      <c r="BR4" s="7" t="n"/>
      <c r="BS4" s="7" t="n"/>
      <c r="BT4" s="7" t="n"/>
      <c r="BU4" s="7" t="n"/>
      <c r="BV4" s="7" t="n"/>
      <c r="BW4" s="284" t="n"/>
    </row>
    <row r="5" ht="32.1" customFormat="1" customHeight="1" s="294">
      <c r="A5" s="286" t="inlineStr">
        <is>
          <t>VZ_ES Spagna</t>
        </is>
      </c>
      <c r="B5" s="287" t="inlineStr">
        <is>
          <t>VZ_ES</t>
        </is>
      </c>
      <c r="C5" s="279" t="inlineStr">
        <is>
          <t>VZI_New14</t>
        </is>
      </c>
      <c r="D5" s="288" t="inlineStr">
        <is>
          <t>2.8
16/04/2025</t>
        </is>
      </c>
      <c r="E5" s="289" t="inlineStr">
        <is>
          <t>2.4
09/03/2023</t>
        </is>
      </c>
      <c r="F5" s="290">
        <f>COUNTIF(G5:BW5,"&lt;&gt;")</f>
        <v/>
      </c>
      <c r="G5" s="291" t="n">
        <v>1</v>
      </c>
      <c r="H5" s="292" t="n">
        <v>2</v>
      </c>
      <c r="I5" s="292" t="n">
        <v>3</v>
      </c>
      <c r="J5" s="292" t="n">
        <v>4</v>
      </c>
      <c r="K5" s="292" t="n">
        <v>5</v>
      </c>
      <c r="L5" s="292" t="n">
        <v>6</v>
      </c>
      <c r="M5" s="292" t="n">
        <v>7</v>
      </c>
      <c r="N5" s="292" t="n">
        <v>8</v>
      </c>
      <c r="O5" s="292" t="n">
        <v>9</v>
      </c>
      <c r="P5" s="292" t="n">
        <v>10</v>
      </c>
      <c r="Q5" s="292" t="n">
        <v>11</v>
      </c>
      <c r="R5" s="292" t="n">
        <v>12</v>
      </c>
      <c r="S5" s="292" t="n">
        <v>13</v>
      </c>
      <c r="T5" s="292" t="n">
        <v>14</v>
      </c>
      <c r="U5" s="292" t="n">
        <v>15</v>
      </c>
      <c r="V5" s="292" t="n">
        <v>16</v>
      </c>
      <c r="W5" s="292" t="n">
        <v>17</v>
      </c>
      <c r="X5" s="292" t="n">
        <v>18</v>
      </c>
      <c r="Y5" s="292" t="n">
        <v>19</v>
      </c>
      <c r="Z5" s="292" t="n">
        <v>20</v>
      </c>
      <c r="AA5" s="141" t="n"/>
      <c r="AB5" s="141" t="n"/>
      <c r="AC5" s="141" t="n"/>
      <c r="AD5" s="292" t="n"/>
      <c r="AE5" s="292" t="n"/>
      <c r="AF5" s="292" t="n"/>
      <c r="AG5" s="292" t="n"/>
      <c r="AH5" s="292" t="n"/>
      <c r="AI5" s="292" t="n"/>
      <c r="AJ5" s="292" t="n"/>
      <c r="AK5" s="292" t="n"/>
      <c r="AL5" s="292" t="n"/>
      <c r="AM5" s="292" t="n"/>
      <c r="AN5" s="292" t="n"/>
      <c r="AO5" s="292" t="n"/>
      <c r="AP5" s="292" t="n"/>
      <c r="AQ5" s="292" t="n"/>
      <c r="AR5" s="292" t="n"/>
      <c r="AS5" s="292" t="n"/>
      <c r="AT5" s="292" t="n"/>
      <c r="AU5" s="292" t="n"/>
      <c r="AV5" s="292" t="n"/>
      <c r="AW5" s="292" t="n"/>
      <c r="AX5" s="292" t="n"/>
      <c r="AY5" s="292" t="n"/>
      <c r="AZ5" s="292" t="n"/>
      <c r="BA5" s="292" t="n"/>
      <c r="BB5" s="292" t="n"/>
      <c r="BC5" s="292" t="n"/>
      <c r="BD5" s="292" t="n"/>
      <c r="BE5" s="292" t="n"/>
      <c r="BF5" s="292" t="n"/>
      <c r="BG5" s="292" t="n"/>
      <c r="BH5" s="292" t="n"/>
      <c r="BI5" s="292" t="n"/>
      <c r="BJ5" s="292" t="n"/>
      <c r="BK5" s="292" t="n"/>
      <c r="BL5" s="292" t="n"/>
      <c r="BM5" s="292" t="n"/>
      <c r="BN5" s="292" t="n"/>
      <c r="BO5" s="292" t="n"/>
      <c r="BP5" s="292" t="n"/>
      <c r="BQ5" s="292" t="n"/>
      <c r="BR5" s="292" t="n"/>
      <c r="BS5" s="292" t="n"/>
      <c r="BT5" s="292" t="n"/>
      <c r="BU5" s="292" t="n"/>
      <c r="BV5" s="292" t="n"/>
      <c r="BW5" s="293" t="n"/>
    </row>
    <row r="6" ht="32.1" customFormat="1" customHeight="1" s="13">
      <c r="A6" s="278" t="inlineStr">
        <is>
          <t>VZI-6_IT Full HRI
(New 14)</t>
        </is>
      </c>
      <c r="B6" s="279" t="inlineStr">
        <is>
          <t>VZI-6_R1</t>
        </is>
      </c>
      <c r="C6" s="280" t="inlineStr">
        <is>
          <t>VZI-6_R1</t>
        </is>
      </c>
      <c r="D6" s="281" t="inlineStr">
        <is>
          <t>5.0
15/04/2026</t>
        </is>
      </c>
      <c r="E6" s="295" t="inlineStr">
        <is>
          <t>4.0 ?
xx/07/2025</t>
        </is>
      </c>
      <c r="F6" s="283">
        <f>COUNTIF(G6:BW6,"&lt;&gt;")</f>
        <v/>
      </c>
      <c r="G6" s="10" t="n">
        <v>101</v>
      </c>
      <c r="H6" s="7" t="n">
        <v>102</v>
      </c>
      <c r="I6" s="7" t="n">
        <v>103</v>
      </c>
      <c r="J6" s="7" t="n">
        <v>104</v>
      </c>
      <c r="K6" s="7" t="n">
        <v>105</v>
      </c>
      <c r="L6" s="7" t="n">
        <v>106</v>
      </c>
      <c r="M6" s="7" t="n"/>
      <c r="N6" s="7" t="n"/>
      <c r="O6" s="7" t="n"/>
      <c r="P6" s="7" t="n"/>
      <c r="Q6" s="7" t="n"/>
      <c r="R6" s="7" t="n"/>
      <c r="S6" s="7" t="n"/>
      <c r="T6" s="7" t="n"/>
      <c r="U6" s="7" t="n"/>
      <c r="V6" s="7" t="n"/>
      <c r="W6" s="7" t="n"/>
      <c r="X6" s="7" t="n"/>
      <c r="Y6" s="7" t="n"/>
      <c r="Z6" s="7" t="n"/>
      <c r="AA6" s="7" t="n"/>
      <c r="AB6" s="7" t="n"/>
      <c r="AC6" s="7" t="n"/>
      <c r="AD6" s="7" t="n"/>
      <c r="AE6" s="7" t="n"/>
      <c r="AF6" s="7" t="n"/>
      <c r="AG6" s="7" t="n"/>
      <c r="AH6" s="7" t="n"/>
      <c r="AI6" s="7" t="n"/>
      <c r="AJ6" s="7" t="n"/>
      <c r="AK6" s="7" t="n"/>
      <c r="AL6" s="7" t="n"/>
      <c r="AM6" s="7" t="n"/>
      <c r="AN6" s="7" t="n"/>
      <c r="AO6" s="7" t="n"/>
      <c r="AP6" s="7" t="n"/>
      <c r="AQ6" s="7" t="n"/>
      <c r="AR6" s="7" t="n"/>
      <c r="AS6" s="7" t="n"/>
      <c r="AT6" s="7" t="n"/>
      <c r="AU6" s="7" t="n"/>
      <c r="AV6" s="7" t="n"/>
      <c r="AW6" s="7" t="n"/>
      <c r="AX6" s="7" t="n"/>
      <c r="AY6" s="7" t="n"/>
      <c r="AZ6" s="7" t="n"/>
      <c r="BA6" s="7" t="n"/>
      <c r="BB6" s="7" t="n"/>
      <c r="BC6" s="7" t="n"/>
      <c r="BD6" s="7" t="n"/>
      <c r="BE6" s="7" t="n"/>
      <c r="BF6" s="7" t="n"/>
      <c r="BG6" s="7" t="n"/>
      <c r="BH6" s="7" t="n"/>
      <c r="BI6" s="7" t="n"/>
      <c r="BJ6" s="7" t="n"/>
      <c r="BK6" s="7" t="n"/>
      <c r="BL6" s="7" t="n"/>
      <c r="BM6" s="7" t="n"/>
      <c r="BN6" s="7" t="n"/>
      <c r="BO6" s="7" t="n"/>
      <c r="BP6" s="7" t="n"/>
      <c r="BQ6" s="7" t="n"/>
      <c r="BR6" s="7" t="n"/>
      <c r="BS6" s="7" t="n"/>
      <c r="BT6" s="7" t="n"/>
      <c r="BU6" s="7" t="n"/>
      <c r="BV6" s="7" t="n"/>
      <c r="BW6" s="284" t="n"/>
    </row>
    <row r="7" ht="32.1" customFormat="1" customHeight="1" s="13">
      <c r="A7" s="285" t="inlineStr">
        <is>
          <t>VZI-4_IT Full HRI</t>
        </is>
      </c>
      <c r="B7" s="279" t="inlineStr">
        <is>
          <t>VZI-4_R1</t>
        </is>
      </c>
      <c r="C7" s="280" t="inlineStr">
        <is>
          <t>VZI-6_R1</t>
        </is>
      </c>
      <c r="D7" s="281" t="inlineStr">
        <is>
          <t>1.0
15/04/2026</t>
        </is>
      </c>
      <c r="E7" s="296" t="inlineStr">
        <is>
          <t>?</t>
        </is>
      </c>
      <c r="F7" s="283">
        <f>COUNTIF(G7:BW7,"&lt;&gt;")</f>
        <v/>
      </c>
      <c r="G7" s="10" t="n"/>
      <c r="H7" s="7" t="n"/>
      <c r="I7" s="7" t="n"/>
      <c r="J7" s="7" t="n"/>
      <c r="K7" s="7" t="n"/>
      <c r="L7" s="7" t="n"/>
      <c r="M7" s="7" t="n">
        <v>107</v>
      </c>
      <c r="N7" s="7" t="n">
        <v>108</v>
      </c>
      <c r="O7" s="7" t="n">
        <v>109</v>
      </c>
      <c r="P7" s="7" t="n">
        <v>110</v>
      </c>
      <c r="Q7" s="7" t="n">
        <v>111</v>
      </c>
      <c r="R7" s="7" t="n">
        <v>112</v>
      </c>
      <c r="S7" s="7" t="n">
        <v>113</v>
      </c>
      <c r="T7" s="7" t="n">
        <v>114</v>
      </c>
      <c r="U7" s="7" t="n">
        <v>115</v>
      </c>
      <c r="V7" s="7" t="n">
        <v>116</v>
      </c>
      <c r="W7" s="7" t="n">
        <v>117</v>
      </c>
      <c r="X7" s="7" t="n">
        <v>118</v>
      </c>
      <c r="Y7" s="7" t="n">
        <v>119</v>
      </c>
      <c r="Z7" s="7" t="n">
        <v>120</v>
      </c>
      <c r="AA7" s="7" t="n">
        <v>121</v>
      </c>
      <c r="AB7" s="7" t="n">
        <v>122</v>
      </c>
      <c r="AC7" s="7" t="n">
        <v>123</v>
      </c>
      <c r="AD7" s="7" t="n">
        <v>124</v>
      </c>
      <c r="AE7" s="7" t="n">
        <v>125</v>
      </c>
      <c r="AF7" s="7" t="n">
        <v>126</v>
      </c>
      <c r="AG7" s="7" t="n">
        <v>127</v>
      </c>
      <c r="AH7" s="7" t="n">
        <v>128</v>
      </c>
      <c r="AI7" s="7" t="n">
        <v>129</v>
      </c>
      <c r="AJ7" s="7" t="n">
        <v>130</v>
      </c>
      <c r="AK7" s="7" t="n">
        <v>131</v>
      </c>
      <c r="AL7" s="7" t="n">
        <v>132</v>
      </c>
      <c r="AM7" s="7" t="n">
        <v>133</v>
      </c>
      <c r="AN7" s="7" t="n">
        <v>134</v>
      </c>
      <c r="AO7" s="7" t="n">
        <v>135</v>
      </c>
      <c r="AP7" s="7" t="n">
        <v>136</v>
      </c>
      <c r="AQ7" s="7" t="n">
        <v>137</v>
      </c>
      <c r="AR7" s="7" t="n">
        <v>138</v>
      </c>
      <c r="AS7" s="7" t="n">
        <v>139</v>
      </c>
      <c r="AT7" s="7" t="n">
        <v>140</v>
      </c>
      <c r="AU7" s="7" t="n">
        <v>141</v>
      </c>
      <c r="AV7" s="7" t="n">
        <v>142</v>
      </c>
      <c r="AW7" s="7" t="n">
        <v>143</v>
      </c>
      <c r="AX7" s="7" t="n">
        <v>144</v>
      </c>
      <c r="AY7" s="7" t="n">
        <v>145</v>
      </c>
      <c r="AZ7" s="7" t="n">
        <v>146</v>
      </c>
      <c r="BA7" s="7" t="n"/>
      <c r="BB7" s="7" t="n"/>
      <c r="BC7" s="7" t="n"/>
      <c r="BD7" s="7" t="n"/>
      <c r="BE7" s="7" t="n"/>
      <c r="BF7" s="7" t="n"/>
      <c r="BG7" s="7" t="n"/>
      <c r="BH7" s="7" t="n"/>
      <c r="BI7" s="7" t="n"/>
      <c r="BJ7" s="7" t="n"/>
      <c r="BK7" s="7" t="n"/>
      <c r="BL7" s="7" t="n"/>
      <c r="BM7" s="7" t="n"/>
      <c r="BN7" s="7" t="n"/>
      <c r="BO7" s="7" t="n"/>
      <c r="BP7" s="7" t="n"/>
      <c r="BQ7" s="7" t="n"/>
      <c r="BR7" s="7" t="n"/>
      <c r="BS7" s="7" t="n"/>
      <c r="BT7" s="7" t="n"/>
      <c r="BU7" s="7" t="n"/>
      <c r="BV7" s="7" t="n"/>
      <c r="BW7" s="284" t="n"/>
    </row>
    <row r="8" ht="32.1" customFormat="1" customHeight="1" s="294">
      <c r="A8" s="286" t="inlineStr">
        <is>
          <t>VZ_ES Spagna Full HRI</t>
        </is>
      </c>
      <c r="B8" s="297" t="inlineStr">
        <is>
          <t>VZ_ESxx</t>
        </is>
      </c>
      <c r="C8" s="298" t="inlineStr">
        <is>
          <t>VZI-6_R1</t>
        </is>
      </c>
      <c r="D8" s="288" t="n"/>
      <c r="E8" s="289" t="n"/>
      <c r="F8" s="290">
        <f>COUNTIF(G8:BW8,"&lt;&gt;")</f>
        <v/>
      </c>
      <c r="G8" s="291" t="n"/>
      <c r="H8" s="292" t="n"/>
      <c r="I8" s="292" t="n"/>
      <c r="J8" s="292" t="n"/>
      <c r="K8" s="292" t="n"/>
      <c r="L8" s="292" t="n"/>
      <c r="M8" s="292" t="n"/>
      <c r="N8" s="292" t="n"/>
      <c r="O8" s="292" t="n"/>
      <c r="P8" s="292" t="n"/>
      <c r="Q8" s="292" t="n"/>
      <c r="R8" s="292" t="n"/>
      <c r="S8" s="292" t="n"/>
      <c r="T8" s="292" t="n"/>
      <c r="U8" s="292" t="n"/>
      <c r="V8" s="292" t="n"/>
      <c r="W8" s="292" t="n"/>
      <c r="X8" s="292" t="n"/>
      <c r="Y8" s="292" t="n"/>
      <c r="Z8" s="292" t="n"/>
      <c r="AA8" s="141" t="n">
        <v>21</v>
      </c>
      <c r="AB8" s="141" t="n">
        <v>22</v>
      </c>
      <c r="AC8" s="141" t="n">
        <v>23</v>
      </c>
      <c r="AD8" s="292" t="n"/>
      <c r="AE8" s="292" t="n"/>
      <c r="AF8" s="292" t="n"/>
      <c r="AG8" s="292" t="n"/>
      <c r="AH8" s="292" t="n"/>
      <c r="AI8" s="292" t="n"/>
      <c r="AJ8" s="292" t="n"/>
      <c r="AK8" s="292" t="n"/>
      <c r="AL8" s="292" t="n"/>
      <c r="AM8" s="292" t="n"/>
      <c r="AN8" s="292" t="n"/>
      <c r="AO8" s="292" t="n"/>
      <c r="AP8" s="292" t="n"/>
      <c r="AQ8" s="292" t="n"/>
      <c r="AR8" s="292" t="n"/>
      <c r="AS8" s="292" t="n"/>
      <c r="AT8" s="292" t="n"/>
      <c r="AU8" s="292" t="n"/>
      <c r="AV8" s="292" t="n"/>
      <c r="AW8" s="292" t="n"/>
      <c r="AX8" s="292" t="n"/>
      <c r="AY8" s="292" t="n"/>
      <c r="AZ8" s="292" t="n"/>
      <c r="BA8" s="292" t="n"/>
      <c r="BB8" s="292" t="n"/>
      <c r="BC8" s="292" t="n"/>
      <c r="BD8" s="292" t="n"/>
      <c r="BE8" s="292" t="n"/>
      <c r="BF8" s="292" t="n"/>
      <c r="BG8" s="292" t="n"/>
      <c r="BH8" s="292" t="n"/>
      <c r="BI8" s="292" t="n"/>
      <c r="BJ8" s="292" t="n"/>
      <c r="BK8" s="292" t="n"/>
      <c r="BL8" s="292" t="n"/>
      <c r="BM8" s="292" t="n"/>
      <c r="BN8" s="292" t="n"/>
      <c r="BO8" s="292" t="n"/>
      <c r="BP8" s="292" t="n"/>
      <c r="BQ8" s="292" t="n"/>
      <c r="BR8" s="292" t="n"/>
      <c r="BS8" s="292" t="n"/>
      <c r="BT8" s="292" t="n"/>
      <c r="BU8" s="292" t="n"/>
      <c r="BV8" s="292" t="n"/>
      <c r="BW8" s="293" t="n"/>
    </row>
    <row r="9" ht="32.1" customFormat="1" customHeight="1" s="13" thickBot="1">
      <c r="A9" s="299" t="inlineStr">
        <is>
          <t>VZ_DAI</t>
        </is>
      </c>
      <c r="B9" s="300" t="inlineStr">
        <is>
          <t>VZ_DAI</t>
        </is>
      </c>
      <c r="C9" s="301" t="inlineStr">
        <is>
          <t>VZI-6_R1</t>
        </is>
      </c>
      <c r="D9" s="302" t="n"/>
      <c r="E9" s="303" t="n"/>
      <c r="F9" s="580">
        <f>COUNTIF(G9:BW9,"&lt;&gt;")</f>
        <v/>
      </c>
      <c r="G9" s="305" t="n"/>
      <c r="H9" s="306" t="n"/>
      <c r="I9" s="306" t="n"/>
      <c r="J9" s="306" t="n"/>
      <c r="K9" s="306" t="n"/>
      <c r="L9" s="306" t="n"/>
      <c r="M9" s="306" t="n"/>
      <c r="N9" s="306" t="n"/>
      <c r="O9" s="306" t="n"/>
      <c r="P9" s="306" t="n"/>
      <c r="Q9" s="306" t="n"/>
      <c r="R9" s="306" t="n"/>
      <c r="S9" s="306" t="n"/>
      <c r="T9" s="306" t="n"/>
      <c r="U9" s="306" t="n"/>
      <c r="V9" s="306" t="n"/>
      <c r="W9" s="306" t="n"/>
      <c r="X9" s="306" t="n"/>
      <c r="Y9" s="306" t="n"/>
      <c r="Z9" s="306" t="n">
        <v>20</v>
      </c>
      <c r="AA9" s="306" t="n"/>
      <c r="AB9" s="306" t="n"/>
      <c r="AC9" s="306" t="n"/>
      <c r="AD9" s="306" t="n"/>
      <c r="AE9" s="306" t="n"/>
      <c r="AF9" s="306" t="n"/>
      <c r="AG9" s="306" t="n"/>
      <c r="AH9" s="306" t="n"/>
      <c r="AI9" s="306" t="n"/>
      <c r="AJ9" s="306" t="n"/>
      <c r="AK9" s="306" t="n"/>
      <c r="AL9" s="306" t="n"/>
      <c r="AM9" s="306" t="n"/>
      <c r="AN9" s="306" t="n"/>
      <c r="AO9" s="306" t="n">
        <v>35</v>
      </c>
      <c r="AP9" s="306" t="n"/>
      <c r="AQ9" s="306" t="n"/>
      <c r="AR9" s="306" t="n"/>
      <c r="AS9" s="306" t="n"/>
      <c r="AT9" s="306" t="n"/>
      <c r="AU9" s="306" t="n"/>
      <c r="AV9" s="306" t="n"/>
      <c r="AW9" s="306" t="n"/>
      <c r="AX9" s="306" t="n">
        <v>44</v>
      </c>
      <c r="AY9" s="306" t="n"/>
      <c r="AZ9" s="306" t="n"/>
      <c r="BA9" s="306" t="n"/>
      <c r="BB9" s="306" t="n"/>
      <c r="BC9" s="306" t="n"/>
      <c r="BD9" s="306" t="n"/>
      <c r="BE9" s="306" t="n"/>
      <c r="BF9" s="306" t="n"/>
      <c r="BG9" s="306" t="n"/>
      <c r="BH9" s="306" t="n"/>
      <c r="BI9" s="306" t="n"/>
      <c r="BJ9" s="306" t="n"/>
      <c r="BK9" s="306" t="n"/>
      <c r="BL9" s="306" t="n"/>
      <c r="BM9" s="306" t="n"/>
      <c r="BN9" s="306" t="n"/>
      <c r="BO9" s="306" t="n"/>
      <c r="BP9" s="306" t="n"/>
      <c r="BQ9" s="306" t="n"/>
      <c r="BR9" s="306" t="n"/>
      <c r="BS9" s="306" t="n"/>
      <c r="BT9" s="306" t="n"/>
      <c r="BU9" s="306" t="n"/>
      <c r="BV9" s="306" t="n"/>
      <c r="BW9" s="307" t="n"/>
    </row>
  </sheetData>
  <pageMargins left="0.7" right="0.7" top="0.75" bottom="0.75" header="0.3" footer="0.3"/>
</worksheet>
</file>

<file path=xl/worksheets/sheet5.xml><?xml version="1.0" encoding="utf-8"?>
<worksheet xmlns="http://schemas.openxmlformats.org/spreadsheetml/2006/main">
  <sheetPr codeName="Foglio4">
    <tabColor theme="5" tint="0.3999755851924192"/>
    <outlinePr summaryBelow="0"/>
    <pageSetUpPr/>
  </sheetPr>
  <dimension ref="A1:W130"/>
  <sheetViews>
    <sheetView zoomScale="85" zoomScaleNormal="85" workbookViewId="0">
      <pane xSplit="6" ySplit="3" topLeftCell="G118" activePane="bottomRight" state="frozen"/>
      <selection activeCell="B1" sqref="B1"/>
      <selection pane="topRight" activeCell="F1" sqref="F1"/>
      <selection pane="bottomLeft" activeCell="B4" sqref="B4"/>
      <selection pane="bottomRight" activeCell="D38" sqref="D38"/>
    </sheetView>
  </sheetViews>
  <sheetFormatPr baseColWidth="8" defaultColWidth="8.7109375" defaultRowHeight="15" outlineLevelRow="1"/>
  <cols>
    <col width="34.5703125" bestFit="1" customWidth="1" style="106" min="1" max="1"/>
    <col width="34.85546875" bestFit="1" customWidth="1" style="106" min="2" max="2"/>
    <col width="8.28515625" bestFit="1" customWidth="1" style="15" min="3" max="3"/>
    <col width="17.5703125" customWidth="1" style="15" min="4" max="4"/>
    <col width="4.42578125" bestFit="1" customWidth="1" style="15" min="5" max="5"/>
    <col width="18.42578125" customWidth="1" style="15" min="6" max="6"/>
    <col width="17.5703125" customWidth="1" style="15" min="7" max="7"/>
    <col width="4.7109375" bestFit="1" customWidth="1" style="15" min="8" max="8"/>
    <col width="17" bestFit="1" customWidth="1" style="15" min="9" max="9"/>
    <col width="17.5703125" customWidth="1" style="15" min="10" max="10"/>
    <col width="4.7109375" bestFit="1" customWidth="1" style="15" min="11" max="11"/>
    <col width="17" bestFit="1" customWidth="1" style="15" min="12" max="12"/>
    <col width="17.5703125" customWidth="1" style="15" min="13" max="13"/>
    <col width="4.42578125" bestFit="1" customWidth="1" style="15" min="14" max="14"/>
    <col width="17" customWidth="1" style="15" min="15" max="15"/>
    <col width="17.140625" customWidth="1" style="15" min="16" max="16"/>
    <col width="5.140625" customWidth="1" style="15" min="17" max="17"/>
    <col width="15.42578125" customWidth="1" style="15" min="18" max="18"/>
    <col width="4.42578125" customWidth="1" style="15" min="19" max="19"/>
    <col width="6.5703125" bestFit="1" customWidth="1" style="15" min="20" max="20"/>
    <col width="6.5703125" customWidth="1" style="15" min="21" max="21"/>
    <col width="6.5703125" bestFit="1" customWidth="1" style="15" min="22" max="22"/>
    <col width="6.5703125" customWidth="1" style="15" min="23" max="23"/>
    <col width="8.7109375" customWidth="1" style="103" min="24" max="36"/>
    <col width="8.7109375" customWidth="1" style="103" min="37" max="16384"/>
  </cols>
  <sheetData>
    <row r="1" customFormat="1" s="105">
      <c r="A1" s="532" t="inlineStr">
        <is>
          <t>DOC DESCRIPTION</t>
        </is>
      </c>
      <c r="B1" s="536" t="inlineStr">
        <is>
          <t>DOC ID</t>
        </is>
      </c>
      <c r="C1" s="532" t="inlineStr">
        <is>
          <t>DOC EXT</t>
        </is>
      </c>
      <c r="D1" s="530" t="inlineStr">
        <is>
          <t>VZI_Base</t>
        </is>
      </c>
      <c r="E1" s="528" t="n"/>
      <c r="F1" s="529" t="n"/>
      <c r="G1" s="531" t="inlineStr">
        <is>
          <t>VZI_New14</t>
        </is>
      </c>
      <c r="H1" s="528" t="n"/>
      <c r="I1" s="528" t="n"/>
      <c r="J1" s="530" t="inlineStr">
        <is>
          <t>VZ_FR</t>
        </is>
      </c>
      <c r="K1" s="528" t="n"/>
      <c r="L1" s="529" t="n"/>
      <c r="M1" s="540" t="inlineStr">
        <is>
          <t>VZ_ES</t>
        </is>
      </c>
      <c r="N1" s="541" t="n"/>
      <c r="O1" s="541" t="n"/>
      <c r="P1" s="530" t="inlineStr">
        <is>
          <t>VZI-6_R1</t>
        </is>
      </c>
      <c r="Q1" s="529" t="n"/>
      <c r="R1" s="530" t="inlineStr">
        <is>
          <t>VZI-4_R1</t>
        </is>
      </c>
      <c r="S1" s="529" t="n"/>
      <c r="T1" s="530" t="inlineStr">
        <is>
          <t>VZ_DAI</t>
        </is>
      </c>
      <c r="U1" s="529" t="n"/>
      <c r="V1" s="530" t="inlineStr">
        <is>
          <t>VZ_Esxx</t>
        </is>
      </c>
      <c r="W1" s="529" t="n"/>
    </row>
    <row r="2" ht="41.1" customFormat="1" customHeight="1" s="105">
      <c r="A2" s="533" t="n"/>
      <c r="B2" s="537" t="n"/>
      <c r="C2" s="533" t="n"/>
      <c r="D2" s="527" t="inlineStr">
        <is>
          <t>Doc BD130033980 - BL 6.0</t>
        </is>
      </c>
      <c r="E2" s="528" t="n"/>
      <c r="F2" s="529" t="n"/>
      <c r="G2" s="535" t="inlineStr">
        <is>
          <t>BD140036813 - BL 4.2</t>
        </is>
      </c>
      <c r="H2" s="528" t="n"/>
      <c r="I2" s="528" t="n"/>
      <c r="J2" s="527" t="inlineStr">
        <is>
          <t>3ECP414415-0001 - BL 4.0</t>
        </is>
      </c>
      <c r="K2" s="528" t="n"/>
      <c r="L2" s="529" t="n"/>
      <c r="M2" s="542" t="inlineStr">
        <is>
          <t>VZ-ES Spagna
BL 2.4</t>
        </is>
      </c>
      <c r="N2" s="541" t="n"/>
      <c r="O2" s="541" t="n"/>
      <c r="P2" s="527" t="inlineStr">
        <is>
          <t>VZI-6_IT [R1]
BL 4.0</t>
        </is>
      </c>
      <c r="Q2" s="529" t="n"/>
      <c r="R2" s="539" t="inlineStr">
        <is>
          <t>VZI-4_IT [R1]
BL 1.0</t>
        </is>
      </c>
      <c r="S2" s="529" t="n"/>
      <c r="T2" s="527" t="inlineStr">
        <is>
          <t>VZ-DAI
BL xxx</t>
        </is>
      </c>
      <c r="U2" s="529" t="n"/>
      <c r="V2" s="527" t="inlineStr">
        <is>
          <t>VZ_ES Full HRI
BL xxx</t>
        </is>
      </c>
      <c r="W2" s="529" t="n"/>
    </row>
    <row r="3" ht="30" customFormat="1" customHeight="1" s="105">
      <c r="A3" s="534" t="n"/>
      <c r="B3" s="538" t="n"/>
      <c r="C3" s="534" t="n"/>
      <c r="D3" s="152" t="inlineStr">
        <is>
          <t>File/Codice</t>
        </is>
      </c>
      <c r="E3" s="152" t="inlineStr">
        <is>
          <t>Rev</t>
        </is>
      </c>
      <c r="F3" s="149" t="inlineStr">
        <is>
          <t>Codice Config</t>
        </is>
      </c>
      <c r="G3" s="152" t="inlineStr">
        <is>
          <t>File/Codice</t>
        </is>
      </c>
      <c r="H3" s="152" t="inlineStr">
        <is>
          <t>Rev</t>
        </is>
      </c>
      <c r="I3" s="149" t="inlineStr">
        <is>
          <t>Codice Config</t>
        </is>
      </c>
      <c r="J3" s="152" t="inlineStr">
        <is>
          <t>File/Codice</t>
        </is>
      </c>
      <c r="K3" s="152" t="inlineStr">
        <is>
          <t>Rev</t>
        </is>
      </c>
      <c r="L3" s="149" t="inlineStr">
        <is>
          <t>Codice Config</t>
        </is>
      </c>
      <c r="M3" s="535" t="inlineStr">
        <is>
          <t>File/Codice</t>
        </is>
      </c>
      <c r="N3" s="152" t="inlineStr">
        <is>
          <t>Rev</t>
        </is>
      </c>
      <c r="O3" s="149" t="inlineStr">
        <is>
          <t>Codice Config</t>
        </is>
      </c>
      <c r="P3" s="150" t="inlineStr">
        <is>
          <t>Codice</t>
        </is>
      </c>
      <c r="Q3" s="151" t="inlineStr">
        <is>
          <t>Rev</t>
        </is>
      </c>
      <c r="R3" s="150" t="inlineStr">
        <is>
          <t>Codice</t>
        </is>
      </c>
      <c r="S3" s="151" t="inlineStr">
        <is>
          <t>Rev</t>
        </is>
      </c>
      <c r="T3" s="152" t="inlineStr">
        <is>
          <t>Codice</t>
        </is>
      </c>
      <c r="U3" s="149" t="inlineStr">
        <is>
          <t>Rev</t>
        </is>
      </c>
      <c r="V3" s="152" t="inlineStr">
        <is>
          <t>Codice</t>
        </is>
      </c>
      <c r="W3" s="149" t="inlineStr">
        <is>
          <t>Rev</t>
        </is>
      </c>
    </row>
    <row r="4" customFormat="1" s="105">
      <c r="A4" s="440" t="inlineStr">
        <is>
          <t>SW Configuration</t>
        </is>
      </c>
      <c r="B4" s="452" t="n"/>
      <c r="C4" s="441" t="n"/>
      <c r="D4" s="442" t="n"/>
      <c r="E4" s="443" t="n"/>
      <c r="F4" s="444" t="n"/>
      <c r="G4" s="442" t="n"/>
      <c r="H4" s="443" t="n"/>
      <c r="I4" s="444" t="n"/>
      <c r="J4" s="442" t="n"/>
      <c r="K4" s="443" t="n"/>
      <c r="L4" s="444" t="n"/>
      <c r="M4" s="442" t="n"/>
      <c r="N4" s="443" t="n"/>
      <c r="O4" s="444" t="n"/>
      <c r="P4" s="443" t="n"/>
      <c r="Q4" s="443" t="n"/>
      <c r="R4" s="442" t="n"/>
      <c r="S4" s="444" t="n"/>
      <c r="T4" s="443" t="n"/>
      <c r="U4" s="444" t="n"/>
      <c r="V4" s="443" t="n"/>
      <c r="W4" s="444" t="n"/>
    </row>
    <row r="5" outlineLevel="1" s="583">
      <c r="A5" s="114" t="inlineStr">
        <is>
          <t>SW Config. Matrix</t>
        </is>
      </c>
      <c r="B5" s="114" t="inlineStr">
        <is>
          <t>SW_Config</t>
        </is>
      </c>
      <c r="C5" s="109" t="inlineStr">
        <is>
          <t>pdf</t>
        </is>
      </c>
      <c r="D5" s="132" t="inlineStr">
        <is>
          <t>BD130033981</t>
        </is>
      </c>
      <c r="E5" s="15" t="inlineStr">
        <is>
          <t>_</t>
        </is>
      </c>
      <c r="F5" s="110" t="n"/>
      <c r="G5" s="132" t="inlineStr">
        <is>
          <t>3ECP414196-0001</t>
        </is>
      </c>
      <c r="H5" s="15" t="inlineStr">
        <is>
          <t>_</t>
        </is>
      </c>
      <c r="I5" s="126" t="n"/>
      <c r="J5" s="132" t="inlineStr">
        <is>
          <t>3ECP414332-0001</t>
        </is>
      </c>
      <c r="K5" s="133" t="inlineStr">
        <is>
          <t>_</t>
        </is>
      </c>
      <c r="L5" s="126" t="n"/>
      <c r="M5" s="132" t="inlineStr">
        <is>
          <t>3ECP414502-0001</t>
        </is>
      </c>
      <c r="N5" s="133" t="inlineStr">
        <is>
          <t>\</t>
        </is>
      </c>
      <c r="O5" s="126" t="n"/>
      <c r="P5" s="133" t="inlineStr">
        <is>
          <t>FT080031387</t>
        </is>
      </c>
      <c r="Q5" s="133" t="inlineStr">
        <is>
          <t>4.3</t>
        </is>
      </c>
      <c r="R5" s="132" t="inlineStr">
        <is>
          <t>FT080031387</t>
        </is>
      </c>
      <c r="S5" s="126" t="inlineStr">
        <is>
          <t>4.3</t>
        </is>
      </c>
      <c r="T5" s="133" t="n"/>
      <c r="U5" s="126" t="n"/>
      <c r="V5" s="133" t="n"/>
      <c r="W5" s="126" t="n"/>
    </row>
    <row r="6">
      <c r="A6" s="445" t="inlineStr">
        <is>
          <t>Functional principle diagrams (VISIO)</t>
        </is>
      </c>
      <c r="B6" s="445" t="n"/>
      <c r="C6" s="199" t="n"/>
      <c r="D6" s="117" t="n"/>
      <c r="E6" s="446" t="n"/>
      <c r="F6" s="118" t="n"/>
      <c r="G6" s="117" t="n"/>
      <c r="H6" s="446" t="n"/>
      <c r="I6" s="118" t="n"/>
      <c r="J6" s="117" t="n"/>
      <c r="K6" s="446" t="n"/>
      <c r="L6" s="118" t="n"/>
      <c r="M6" s="117" t="n"/>
      <c r="N6" s="446" t="n"/>
      <c r="O6" s="118" t="n"/>
      <c r="P6" s="446" t="n"/>
      <c r="Q6" s="446" t="n"/>
      <c r="R6" s="117" t="n"/>
      <c r="S6" s="118" t="n"/>
      <c r="T6" s="446" t="n"/>
      <c r="U6" s="118" t="n"/>
      <c r="V6" s="446" t="n"/>
      <c r="W6" s="118" t="n"/>
    </row>
    <row r="7" outlineLevel="1" ht="30" customHeight="1" s="583">
      <c r="A7" s="114" t="inlineStr">
        <is>
          <t>Drive Control</t>
        </is>
      </c>
      <c r="B7" s="114" t="inlineStr">
        <is>
          <t>FPD_Drive Control</t>
        </is>
      </c>
      <c r="C7" s="109" t="inlineStr">
        <is>
          <t>pdf</t>
        </is>
      </c>
      <c r="D7" s="132" t="inlineStr">
        <is>
          <t>3ECP410467-0001</t>
        </is>
      </c>
      <c r="E7" s="15" t="inlineStr">
        <is>
          <t>B</t>
        </is>
      </c>
      <c r="F7" s="110" t="n"/>
      <c r="G7" s="132" t="inlineStr">
        <is>
          <t>3ECP400500-0005</t>
        </is>
      </c>
      <c r="H7" s="133" t="inlineStr">
        <is>
          <t>_</t>
        </is>
      </c>
      <c r="I7" s="126" t="n"/>
      <c r="J7" s="132" t="inlineStr">
        <is>
          <t>3ECP410467-0001</t>
        </is>
      </c>
      <c r="K7" s="15" t="inlineStr">
        <is>
          <t>B</t>
        </is>
      </c>
      <c r="L7" s="110" t="n"/>
      <c r="M7" s="132" t="inlineStr">
        <is>
          <t>3ECP413651-0005</t>
        </is>
      </c>
      <c r="N7" s="15" t="inlineStr">
        <is>
          <t>_</t>
        </is>
      </c>
      <c r="O7" s="110" t="n"/>
      <c r="P7" s="133" t="inlineStr">
        <is>
          <t>FA010024090</t>
        </is>
      </c>
      <c r="Q7" s="134" t="inlineStr">
        <is>
          <t>00.2</t>
        </is>
      </c>
      <c r="R7" s="109" t="inlineStr">
        <is>
          <t>FA010024090</t>
        </is>
      </c>
      <c r="S7" s="123" t="inlineStr">
        <is>
          <t>00.2</t>
        </is>
      </c>
      <c r="U7" s="110" t="n"/>
      <c r="W7" s="110" t="n"/>
    </row>
    <row r="8" outlineLevel="1" ht="30" customHeight="1" s="583">
      <c r="A8" s="114" t="inlineStr">
        <is>
          <t>Conventional Train Control</t>
        </is>
      </c>
      <c r="B8" s="114" t="inlineStr">
        <is>
          <t>FPD_Conventional Train Control</t>
        </is>
      </c>
      <c r="C8" s="109" t="inlineStr">
        <is>
          <t>pdf</t>
        </is>
      </c>
      <c r="D8" s="132" t="inlineStr">
        <is>
          <t>3ECP410476-0001</t>
        </is>
      </c>
      <c r="E8" s="15" t="inlineStr">
        <is>
          <t>C</t>
        </is>
      </c>
      <c r="F8" s="110" t="n"/>
      <c r="G8" s="132" t="inlineStr">
        <is>
          <t>3ECP400500-0014</t>
        </is>
      </c>
      <c r="H8" s="133" t="inlineStr">
        <is>
          <t>A</t>
        </is>
      </c>
      <c r="I8" s="126" t="n"/>
      <c r="J8" s="132" t="inlineStr">
        <is>
          <t>3ECP307072-0001</t>
        </is>
      </c>
      <c r="K8" s="15" t="inlineStr">
        <is>
          <t>C</t>
        </is>
      </c>
      <c r="L8" s="110" t="n"/>
      <c r="M8" s="132" t="inlineStr">
        <is>
          <t>3ECP413651-0014</t>
        </is>
      </c>
      <c r="N8" s="15" t="inlineStr">
        <is>
          <t>A</t>
        </is>
      </c>
      <c r="O8" s="110" t="n"/>
      <c r="P8" s="133" t="inlineStr">
        <is>
          <t>FA010024089</t>
        </is>
      </c>
      <c r="Q8" s="134" t="inlineStr">
        <is>
          <t>03.2</t>
        </is>
      </c>
      <c r="R8" s="109" t="inlineStr">
        <is>
          <t>FA010024089</t>
        </is>
      </c>
      <c r="S8" s="123" t="inlineStr">
        <is>
          <t>03.2</t>
        </is>
      </c>
      <c r="U8" s="110" t="n"/>
      <c r="W8" s="110" t="n"/>
    </row>
    <row r="9" outlineLevel="1" ht="30" customHeight="1" s="583">
      <c r="A9" s="114" t="inlineStr">
        <is>
          <t>Train Protection - ATP</t>
        </is>
      </c>
      <c r="B9" s="114" t="inlineStr">
        <is>
          <t>FPD_Train Protection - ATP</t>
        </is>
      </c>
      <c r="C9" s="109" t="inlineStr">
        <is>
          <t>pdf</t>
        </is>
      </c>
      <c r="D9" s="132" t="inlineStr">
        <is>
          <t>3ECP410482-0001</t>
        </is>
      </c>
      <c r="E9" s="15" t="inlineStr">
        <is>
          <t>C</t>
        </is>
      </c>
      <c r="F9" s="126" t="n"/>
      <c r="G9" s="132" t="inlineStr">
        <is>
          <t>3ECP400500-0020</t>
        </is>
      </c>
      <c r="H9" s="133" t="inlineStr">
        <is>
          <t>A</t>
        </is>
      </c>
      <c r="I9" s="126" t="n"/>
      <c r="J9" s="132" t="inlineStr">
        <is>
          <t>3ECP410482-0001</t>
        </is>
      </c>
      <c r="K9" s="15" t="inlineStr">
        <is>
          <t>C</t>
        </is>
      </c>
      <c r="L9" s="110" t="n"/>
      <c r="M9" s="132" t="inlineStr">
        <is>
          <t>3ECP413651-0020</t>
        </is>
      </c>
      <c r="N9" s="15" t="inlineStr">
        <is>
          <t>D</t>
        </is>
      </c>
      <c r="O9" s="110" t="n"/>
      <c r="P9" s="133" t="inlineStr">
        <is>
          <t>FA010024100</t>
        </is>
      </c>
      <c r="Q9" s="134" t="inlineStr">
        <is>
          <t>03.2</t>
        </is>
      </c>
      <c r="R9" s="109" t="inlineStr">
        <is>
          <t>FA010024100</t>
        </is>
      </c>
      <c r="S9" s="123" t="inlineStr">
        <is>
          <t>03.2</t>
        </is>
      </c>
      <c r="U9" s="110" t="n"/>
      <c r="W9" s="110" t="n"/>
    </row>
    <row r="10" outlineLevel="1" ht="30" customHeight="1" s="583">
      <c r="A10" s="114" t="inlineStr">
        <is>
          <t>TCMS Architecture</t>
        </is>
      </c>
      <c r="B10" s="114" t="inlineStr">
        <is>
          <t>FPD_TCMS Architecture</t>
        </is>
      </c>
      <c r="C10" s="109" t="inlineStr">
        <is>
          <t>pdf</t>
        </is>
      </c>
      <c r="D10" s="132" t="inlineStr">
        <is>
          <t>\</t>
        </is>
      </c>
      <c r="E10" s="15" t="inlineStr">
        <is>
          <t>\</t>
        </is>
      </c>
      <c r="F10" s="110" t="n"/>
      <c r="G10" s="132" t="inlineStr">
        <is>
          <t>\</t>
        </is>
      </c>
      <c r="H10" s="133" t="inlineStr">
        <is>
          <t>\</t>
        </is>
      </c>
      <c r="I10" s="126" t="n"/>
      <c r="J10" s="132" t="inlineStr">
        <is>
          <t>3ECP307076-0001</t>
        </is>
      </c>
      <c r="K10" s="15" t="inlineStr">
        <is>
          <t>_</t>
        </is>
      </c>
      <c r="L10" s="110" t="n"/>
      <c r="M10" s="132" t="inlineStr">
        <is>
          <t>3ECP307255-0001</t>
        </is>
      </c>
      <c r="N10" s="15" t="inlineStr">
        <is>
          <t>D</t>
        </is>
      </c>
      <c r="O10" s="110" t="n"/>
      <c r="P10" s="133" t="inlineStr">
        <is>
          <t>FA010024104</t>
        </is>
      </c>
      <c r="Q10" s="134" t="inlineStr">
        <is>
          <t>00.2</t>
        </is>
      </c>
      <c r="R10" s="109" t="inlineStr">
        <is>
          <t>FA010024104</t>
        </is>
      </c>
      <c r="S10" s="123" t="inlineStr">
        <is>
          <t>00.2</t>
        </is>
      </c>
      <c r="U10" s="110" t="n"/>
      <c r="W10" s="110" t="n"/>
    </row>
    <row r="11" outlineLevel="1" ht="30" customHeight="1" s="583">
      <c r="A11" s="114" t="inlineStr">
        <is>
          <t>Propulsion and Auxiliary</t>
        </is>
      </c>
      <c r="B11" s="114" t="inlineStr">
        <is>
          <t>FPD_Propulsion and Auxiliary</t>
        </is>
      </c>
      <c r="C11" s="109" t="inlineStr">
        <is>
          <t>pdf</t>
        </is>
      </c>
      <c r="D11" s="132" t="inlineStr">
        <is>
          <t>\</t>
        </is>
      </c>
      <c r="E11" s="15" t="inlineStr">
        <is>
          <t>\</t>
        </is>
      </c>
      <c r="F11" s="110" t="n"/>
      <c r="G11" s="132" t="inlineStr">
        <is>
          <t>\</t>
        </is>
      </c>
      <c r="H11" s="133" t="inlineStr">
        <is>
          <t>\</t>
        </is>
      </c>
      <c r="I11" s="126" t="n"/>
      <c r="J11" s="132" t="n"/>
      <c r="L11" s="110" t="n"/>
      <c r="M11" s="132" t="inlineStr">
        <is>
          <t>\</t>
        </is>
      </c>
      <c r="N11" s="15" t="inlineStr">
        <is>
          <t>\</t>
        </is>
      </c>
      <c r="O11" s="110" t="n"/>
      <c r="P11" s="133" t="inlineStr">
        <is>
          <t>FA010024103</t>
        </is>
      </c>
      <c r="Q11" s="134" t="inlineStr">
        <is>
          <t>01.2</t>
        </is>
      </c>
      <c r="R11" s="109" t="inlineStr">
        <is>
          <t>FA010024103</t>
        </is>
      </c>
      <c r="S11" s="123" t="inlineStr">
        <is>
          <t>01.2</t>
        </is>
      </c>
      <c r="U11" s="110" t="n"/>
      <c r="W11" s="110" t="n"/>
    </row>
    <row r="12" outlineLevel="1" ht="30" customHeight="1" s="583">
      <c r="A12" s="114" t="inlineStr">
        <is>
          <t>Line Voltage</t>
        </is>
      </c>
      <c r="B12" s="114" t="inlineStr">
        <is>
          <t>FPD_Line Voltage</t>
        </is>
      </c>
      <c r="C12" s="109" t="inlineStr">
        <is>
          <t>pdf</t>
        </is>
      </c>
      <c r="D12" s="132" t="inlineStr">
        <is>
          <t>3ECP410475-0001</t>
        </is>
      </c>
      <c r="E12" s="15" t="inlineStr">
        <is>
          <t>B</t>
        </is>
      </c>
      <c r="F12" s="110" t="n"/>
      <c r="G12" s="132" t="inlineStr">
        <is>
          <t>3ECP400500-0013</t>
        </is>
      </c>
      <c r="H12" s="133" t="inlineStr">
        <is>
          <t>C</t>
        </is>
      </c>
      <c r="I12" s="126" t="n"/>
      <c r="J12" s="132" t="inlineStr">
        <is>
          <t>3ECP307079-0001</t>
        </is>
      </c>
      <c r="K12" s="15" t="inlineStr">
        <is>
          <t>A</t>
        </is>
      </c>
      <c r="L12" s="110" t="n"/>
      <c r="M12" s="132" t="inlineStr">
        <is>
          <t>3ECP413651-0013</t>
        </is>
      </c>
      <c r="N12" s="15" t="inlineStr">
        <is>
          <t>_</t>
        </is>
      </c>
      <c r="O12" s="110" t="n"/>
      <c r="P12" s="133" t="inlineStr">
        <is>
          <t>FA010024096</t>
        </is>
      </c>
      <c r="Q12" s="134" t="inlineStr">
        <is>
          <t>03.2</t>
        </is>
      </c>
      <c r="R12" s="109" t="inlineStr">
        <is>
          <t>FA010024096</t>
        </is>
      </c>
      <c r="S12" s="123" t="inlineStr">
        <is>
          <t>03.2</t>
        </is>
      </c>
      <c r="U12" s="110" t="n"/>
      <c r="W12" s="110" t="n"/>
    </row>
    <row r="13" outlineLevel="1" ht="30" customHeight="1" s="583">
      <c r="A13" s="114" t="inlineStr">
        <is>
          <t>Auxiliary Electrical Supply</t>
        </is>
      </c>
      <c r="B13" s="114" t="inlineStr">
        <is>
          <t>FPD_Auxiliary Electrical Supply</t>
        </is>
      </c>
      <c r="C13" s="109" t="inlineStr">
        <is>
          <t>pdf</t>
        </is>
      </c>
      <c r="D13" s="132" t="inlineStr">
        <is>
          <t>3ECP410465-0001</t>
        </is>
      </c>
      <c r="E13" s="15" t="inlineStr">
        <is>
          <t>B</t>
        </is>
      </c>
      <c r="F13" s="110" t="n"/>
      <c r="G13" s="132" t="inlineStr">
        <is>
          <t>3ECP400500-0003</t>
        </is>
      </c>
      <c r="H13" s="15" t="inlineStr">
        <is>
          <t>C</t>
        </is>
      </c>
      <c r="I13" s="126" t="n"/>
      <c r="J13" s="132" t="inlineStr">
        <is>
          <t>3ECP410465-0001</t>
        </is>
      </c>
      <c r="K13" s="15" t="inlineStr">
        <is>
          <t>B</t>
        </is>
      </c>
      <c r="L13" s="110" t="n"/>
      <c r="M13" s="132" t="inlineStr">
        <is>
          <t>3ECP413651-0003</t>
        </is>
      </c>
      <c r="N13" s="134" t="inlineStr">
        <is>
          <t>A</t>
        </is>
      </c>
      <c r="O13" s="110" t="n"/>
      <c r="P13" s="133" t="inlineStr">
        <is>
          <t>FA010024083</t>
        </is>
      </c>
      <c r="Q13" s="134" t="inlineStr">
        <is>
          <t>01.2</t>
        </is>
      </c>
      <c r="R13" s="109" t="inlineStr">
        <is>
          <t>FA010024083</t>
        </is>
      </c>
      <c r="S13" s="123" t="inlineStr">
        <is>
          <t>01.2</t>
        </is>
      </c>
      <c r="U13" s="110" t="n"/>
      <c r="W13" s="110" t="n"/>
    </row>
    <row r="14" outlineLevel="1" ht="30" customHeight="1" s="583">
      <c r="A14" s="114" t="inlineStr">
        <is>
          <t>Battery</t>
        </is>
      </c>
      <c r="B14" s="114" t="inlineStr">
        <is>
          <t>FPD_Battery</t>
        </is>
      </c>
      <c r="C14" s="109" t="inlineStr">
        <is>
          <t>pdf</t>
        </is>
      </c>
      <c r="D14" s="132" t="inlineStr">
        <is>
          <t>3ECP410477-0001</t>
        </is>
      </c>
      <c r="E14" s="15" t="inlineStr">
        <is>
          <t>B</t>
        </is>
      </c>
      <c r="F14" s="110" t="n"/>
      <c r="G14" s="132" t="inlineStr">
        <is>
          <t>3ECP400500-0015</t>
        </is>
      </c>
      <c r="H14" s="133" t="inlineStr">
        <is>
          <t>_</t>
        </is>
      </c>
      <c r="I14" s="126" t="n"/>
      <c r="J14" s="132" t="inlineStr">
        <is>
          <t>3ECP410477-0001</t>
        </is>
      </c>
      <c r="K14" s="15" t="inlineStr">
        <is>
          <t>B</t>
        </is>
      </c>
      <c r="L14" s="110" t="n"/>
      <c r="M14" s="132" t="inlineStr">
        <is>
          <t>3ECP413651-0015</t>
        </is>
      </c>
      <c r="N14" s="15" t="inlineStr">
        <is>
          <t>_</t>
        </is>
      </c>
      <c r="O14" s="110" t="n"/>
      <c r="P14" s="133" t="inlineStr">
        <is>
          <t>FA010024084</t>
        </is>
      </c>
      <c r="Q14" s="134" t="inlineStr">
        <is>
          <t>01.2</t>
        </is>
      </c>
      <c r="R14" s="109" t="inlineStr">
        <is>
          <t>FA010024084</t>
        </is>
      </c>
      <c r="S14" s="123" t="inlineStr">
        <is>
          <t>01.2</t>
        </is>
      </c>
      <c r="U14" s="110" t="n"/>
      <c r="W14" s="110" t="n"/>
    </row>
    <row r="15" outlineLevel="1" ht="30" customHeight="1" s="583">
      <c r="A15" s="114" t="inlineStr">
        <is>
          <t>Air Supply</t>
        </is>
      </c>
      <c r="B15" s="114" t="inlineStr">
        <is>
          <t>FPD_Air Supply</t>
        </is>
      </c>
      <c r="C15" s="109" t="inlineStr">
        <is>
          <t>pdf</t>
        </is>
      </c>
      <c r="D15" s="132" t="inlineStr">
        <is>
          <t>3ECP410463-0001</t>
        </is>
      </c>
      <c r="E15" s="15" t="inlineStr">
        <is>
          <t>B</t>
        </is>
      </c>
      <c r="F15" s="110" t="n"/>
      <c r="G15" s="132" t="inlineStr">
        <is>
          <t>3ECP400500-0002</t>
        </is>
      </c>
      <c r="H15" s="15" t="inlineStr">
        <is>
          <t>A</t>
        </is>
      </c>
      <c r="I15" s="126" t="n"/>
      <c r="J15" s="132" t="inlineStr">
        <is>
          <t>3ECP410463-0001</t>
        </is>
      </c>
      <c r="K15" s="15" t="inlineStr">
        <is>
          <t>B</t>
        </is>
      </c>
      <c r="L15" s="110" t="n"/>
      <c r="M15" s="132" t="inlineStr">
        <is>
          <t>3ECP413651-0002</t>
        </is>
      </c>
      <c r="N15" s="15" t="inlineStr">
        <is>
          <t>A</t>
        </is>
      </c>
      <c r="O15" s="110" t="n"/>
      <c r="P15" s="133" t="inlineStr">
        <is>
          <t>FA010024081</t>
        </is>
      </c>
      <c r="Q15" s="134" t="inlineStr">
        <is>
          <t>01.2</t>
        </is>
      </c>
      <c r="R15" s="109" t="inlineStr">
        <is>
          <t>FA010024081</t>
        </is>
      </c>
      <c r="S15" s="123" t="inlineStr">
        <is>
          <t>01.2</t>
        </is>
      </c>
      <c r="U15" s="110" t="n"/>
      <c r="W15" s="110" t="n"/>
    </row>
    <row r="16" outlineLevel="1" ht="30" customHeight="1" s="583">
      <c r="A16" s="114" t="inlineStr">
        <is>
          <t>Brake Control</t>
        </is>
      </c>
      <c r="B16" s="114" t="inlineStr">
        <is>
          <t>FPD_Brake Control</t>
        </is>
      </c>
      <c r="C16" s="109" t="inlineStr">
        <is>
          <t>pdf</t>
        </is>
      </c>
      <c r="D16" s="132" t="inlineStr">
        <is>
          <t>3ECP410480-0001</t>
        </is>
      </c>
      <c r="E16" s="15" t="inlineStr">
        <is>
          <t>C</t>
        </is>
      </c>
      <c r="F16" s="110" t="n"/>
      <c r="G16" s="132" t="inlineStr">
        <is>
          <t>3ECP400500-0018</t>
        </is>
      </c>
      <c r="H16" s="15" t="inlineStr">
        <is>
          <t>B</t>
        </is>
      </c>
      <c r="I16" s="126" t="n"/>
      <c r="J16" s="132" t="inlineStr">
        <is>
          <t>3ECP307074-0001</t>
        </is>
      </c>
      <c r="K16" s="134" t="inlineStr">
        <is>
          <t>E</t>
        </is>
      </c>
      <c r="L16" s="110" t="n"/>
      <c r="M16" s="132" t="inlineStr">
        <is>
          <t>3ECP413651-0018</t>
        </is>
      </c>
      <c r="N16" s="15" t="inlineStr">
        <is>
          <t>A</t>
        </is>
      </c>
      <c r="O16" s="110" t="n"/>
      <c r="P16" s="133" t="inlineStr">
        <is>
          <t>FA010024086</t>
        </is>
      </c>
      <c r="Q16" s="134" t="inlineStr">
        <is>
          <t>02.2</t>
        </is>
      </c>
      <c r="R16" s="109" t="inlineStr">
        <is>
          <t>FA010024086</t>
        </is>
      </c>
      <c r="S16" s="123" t="inlineStr">
        <is>
          <t>02.2</t>
        </is>
      </c>
      <c r="U16" s="110" t="n"/>
      <c r="W16" s="110" t="n"/>
    </row>
    <row r="17" outlineLevel="1" ht="30" customHeight="1" s="583">
      <c r="A17" s="114" t="inlineStr">
        <is>
          <t>Bogie</t>
        </is>
      </c>
      <c r="B17" s="114" t="inlineStr">
        <is>
          <t>FPD_Bogie</t>
        </is>
      </c>
      <c r="C17" s="109" t="inlineStr">
        <is>
          <t>pdf</t>
        </is>
      </c>
      <c r="D17" s="132" t="inlineStr">
        <is>
          <t>3ECP410466-0001</t>
        </is>
      </c>
      <c r="E17" s="134" t="inlineStr">
        <is>
          <t>D</t>
        </is>
      </c>
      <c r="F17" s="110" t="n"/>
      <c r="G17" s="132" t="inlineStr">
        <is>
          <t>3ECP400500-0004</t>
        </is>
      </c>
      <c r="H17" s="15" t="inlineStr">
        <is>
          <t>B</t>
        </is>
      </c>
      <c r="I17" s="126" t="n"/>
      <c r="J17" s="132" t="inlineStr">
        <is>
          <t>3ECP307081-0001</t>
        </is>
      </c>
      <c r="K17" s="134" t="inlineStr">
        <is>
          <t>B</t>
        </is>
      </c>
      <c r="L17" s="110" t="n"/>
      <c r="M17" s="132" t="inlineStr">
        <is>
          <t>3ECP413651-0004</t>
        </is>
      </c>
      <c r="N17" s="15" t="inlineStr">
        <is>
          <t>_</t>
        </is>
      </c>
      <c r="O17" s="110" t="n"/>
      <c r="P17" s="133" t="inlineStr">
        <is>
          <t>FA010024085</t>
        </is>
      </c>
      <c r="Q17" s="134" t="inlineStr">
        <is>
          <t>01.2</t>
        </is>
      </c>
      <c r="R17" s="109" t="inlineStr">
        <is>
          <t>FA010024085</t>
        </is>
      </c>
      <c r="S17" s="123" t="inlineStr">
        <is>
          <t>01.2</t>
        </is>
      </c>
      <c r="U17" s="110" t="n"/>
      <c r="W17" s="110" t="n"/>
    </row>
    <row r="18" outlineLevel="1" ht="30" customHeight="1" s="583">
      <c r="A18" s="114" t="inlineStr">
        <is>
          <t>Wash Wiper</t>
        </is>
      </c>
      <c r="B18" s="114" t="inlineStr">
        <is>
          <t>FPD_Wash Wiper</t>
        </is>
      </c>
      <c r="C18" s="109" t="inlineStr">
        <is>
          <t>pdf</t>
        </is>
      </c>
      <c r="D18" s="132" t="inlineStr">
        <is>
          <t>3ECP410473-0001</t>
        </is>
      </c>
      <c r="E18" s="15" t="inlineStr">
        <is>
          <t>B</t>
        </is>
      </c>
      <c r="F18" s="110" t="n"/>
      <c r="G18" s="132" t="inlineStr">
        <is>
          <t>3ECP400500-0011</t>
        </is>
      </c>
      <c r="H18" s="15" t="inlineStr">
        <is>
          <t>_</t>
        </is>
      </c>
      <c r="I18" s="126" t="n"/>
      <c r="J18" s="132" t="inlineStr">
        <is>
          <t>3ECP307082-0001</t>
        </is>
      </c>
      <c r="K18" s="15" t="inlineStr">
        <is>
          <t>_</t>
        </is>
      </c>
      <c r="L18" s="110" t="n"/>
      <c r="M18" s="132" t="inlineStr">
        <is>
          <t>3ECP413651-0011</t>
        </is>
      </c>
      <c r="N18" s="15" t="inlineStr">
        <is>
          <t>_</t>
        </is>
      </c>
      <c r="O18" s="110" t="n"/>
      <c r="P18" s="133" t="inlineStr">
        <is>
          <t>FA010024101</t>
        </is>
      </c>
      <c r="Q18" s="134" t="inlineStr">
        <is>
          <t>00.2</t>
        </is>
      </c>
      <c r="R18" s="109" t="inlineStr">
        <is>
          <t>FA010024101</t>
        </is>
      </c>
      <c r="S18" s="123" t="inlineStr">
        <is>
          <t>00.2</t>
        </is>
      </c>
      <c r="U18" s="110" t="n"/>
      <c r="W18" s="110" t="n"/>
    </row>
    <row r="19" outlineLevel="1" ht="30" customHeight="1" s="583">
      <c r="A19" s="114" t="inlineStr">
        <is>
          <t>Windscreen heater</t>
        </is>
      </c>
      <c r="B19" s="114" t="inlineStr">
        <is>
          <t>FPD_Windscreen heater</t>
        </is>
      </c>
      <c r="C19" s="109" t="inlineStr">
        <is>
          <t>pdf</t>
        </is>
      </c>
      <c r="D19" s="132" t="inlineStr">
        <is>
          <t>3ECP410474-0001</t>
        </is>
      </c>
      <c r="E19" s="15" t="inlineStr">
        <is>
          <t>B</t>
        </is>
      </c>
      <c r="F19" s="110" t="n"/>
      <c r="G19" s="132" t="inlineStr">
        <is>
          <t>3ECP400500-0012</t>
        </is>
      </c>
      <c r="H19" s="15" t="inlineStr">
        <is>
          <t>_</t>
        </is>
      </c>
      <c r="I19" s="126" t="n"/>
      <c r="J19" s="132" t="inlineStr">
        <is>
          <t>3ECP410474-0001</t>
        </is>
      </c>
      <c r="K19" s="15" t="inlineStr">
        <is>
          <t>B</t>
        </is>
      </c>
      <c r="L19" s="110" t="n"/>
      <c r="M19" s="132" t="inlineStr">
        <is>
          <t>3ECP413651-0012</t>
        </is>
      </c>
      <c r="N19" s="15" t="inlineStr">
        <is>
          <t>_</t>
        </is>
      </c>
      <c r="O19" s="110" t="n"/>
      <c r="P19" s="133" t="inlineStr">
        <is>
          <t>FA010024102</t>
        </is>
      </c>
      <c r="Q19" s="134" t="inlineStr">
        <is>
          <t>00.2</t>
        </is>
      </c>
      <c r="R19" s="109" t="inlineStr">
        <is>
          <t>FA010024102</t>
        </is>
      </c>
      <c r="S19" s="123" t="inlineStr">
        <is>
          <t>00.2</t>
        </is>
      </c>
      <c r="U19" s="110" t="n"/>
      <c r="W19" s="110" t="n"/>
    </row>
    <row r="20" outlineLevel="1" ht="30" customHeight="1" s="583">
      <c r="A20" s="114" t="inlineStr">
        <is>
          <t>Automatic Coupler</t>
        </is>
      </c>
      <c r="B20" s="114" t="inlineStr">
        <is>
          <t>FPD_Automatic Coupler</t>
        </is>
      </c>
      <c r="C20" s="109" t="inlineStr">
        <is>
          <t>pdf</t>
        </is>
      </c>
      <c r="D20" s="132" t="inlineStr">
        <is>
          <t>3ECP410481-0001</t>
        </is>
      </c>
      <c r="E20" s="15" t="inlineStr">
        <is>
          <t>C</t>
        </is>
      </c>
      <c r="F20" s="110" t="n"/>
      <c r="G20" s="132" t="inlineStr">
        <is>
          <t>3ECP400500-0019</t>
        </is>
      </c>
      <c r="H20" s="15" t="inlineStr">
        <is>
          <t>A</t>
        </is>
      </c>
      <c r="I20" s="126" t="n"/>
      <c r="J20" s="132" t="inlineStr">
        <is>
          <t>3ECP307077-0001</t>
        </is>
      </c>
      <c r="K20" s="134" t="inlineStr">
        <is>
          <t>B</t>
        </is>
      </c>
      <c r="L20" s="110" t="n"/>
      <c r="M20" s="132" t="inlineStr">
        <is>
          <t>3ECP413651-0019</t>
        </is>
      </c>
      <c r="N20" s="15" t="inlineStr">
        <is>
          <t>A</t>
        </is>
      </c>
      <c r="O20" s="110" t="n"/>
      <c r="P20" s="133" t="inlineStr">
        <is>
          <t>FA010024082</t>
        </is>
      </c>
      <c r="Q20" s="134" t="inlineStr">
        <is>
          <t>02.2</t>
        </is>
      </c>
      <c r="R20" s="109" t="inlineStr">
        <is>
          <t>FA010024082</t>
        </is>
      </c>
      <c r="S20" s="123" t="inlineStr">
        <is>
          <t>02.2</t>
        </is>
      </c>
      <c r="U20" s="110" t="n"/>
      <c r="W20" s="110" t="n"/>
    </row>
    <row r="21" outlineLevel="1" ht="30" customHeight="1" s="583">
      <c r="A21" s="114" t="inlineStr">
        <is>
          <t>Horn</t>
        </is>
      </c>
      <c r="B21" s="114" t="inlineStr">
        <is>
          <t>FPD_Horn</t>
        </is>
      </c>
      <c r="C21" s="109" t="inlineStr">
        <is>
          <t>pdf</t>
        </is>
      </c>
      <c r="D21" s="132" t="inlineStr">
        <is>
          <t>3ECP410468-0001</t>
        </is>
      </c>
      <c r="E21" s="15" t="inlineStr">
        <is>
          <t>B</t>
        </is>
      </c>
      <c r="F21" s="110" t="n"/>
      <c r="G21" s="132" t="inlineStr">
        <is>
          <t>3ECP400500-0006</t>
        </is>
      </c>
      <c r="H21" s="133" t="inlineStr">
        <is>
          <t>_</t>
        </is>
      </c>
      <c r="I21" s="126" t="n"/>
      <c r="J21" s="132" t="inlineStr">
        <is>
          <t>3ECP410468-0001</t>
        </is>
      </c>
      <c r="K21" s="15" t="inlineStr">
        <is>
          <t>B</t>
        </is>
      </c>
      <c r="L21" s="110" t="n"/>
      <c r="M21" s="132" t="inlineStr">
        <is>
          <t>3ECP413651-0006</t>
        </is>
      </c>
      <c r="N21" s="15" t="inlineStr">
        <is>
          <t>_</t>
        </is>
      </c>
      <c r="O21" s="110" t="n"/>
      <c r="P21" s="133" t="inlineStr">
        <is>
          <t>FA010024094</t>
        </is>
      </c>
      <c r="Q21" s="134" t="inlineStr">
        <is>
          <t>00.2</t>
        </is>
      </c>
      <c r="R21" s="109" t="inlineStr">
        <is>
          <t>FA010024094</t>
        </is>
      </c>
      <c r="S21" s="123" t="inlineStr">
        <is>
          <t>00.2</t>
        </is>
      </c>
      <c r="U21" s="110" t="n"/>
      <c r="W21" s="110" t="n"/>
    </row>
    <row r="22" outlineLevel="1" ht="30" customHeight="1" s="583">
      <c r="A22" s="114" t="inlineStr">
        <is>
          <t>Exterior and Interior Doors</t>
        </is>
      </c>
      <c r="B22" s="114" t="inlineStr">
        <is>
          <t>FPD_Exterior and Interior Doors</t>
        </is>
      </c>
      <c r="C22" s="109" t="inlineStr">
        <is>
          <t>pdf</t>
        </is>
      </c>
      <c r="D22" s="132" t="inlineStr">
        <is>
          <t>3ECP410462-0001</t>
        </is>
      </c>
      <c r="E22" s="15" t="inlineStr">
        <is>
          <t>C</t>
        </is>
      </c>
      <c r="F22" s="110" t="n"/>
      <c r="G22" s="132" t="inlineStr">
        <is>
          <t>3ECP400500-0001</t>
        </is>
      </c>
      <c r="H22" s="15" t="inlineStr">
        <is>
          <t>A</t>
        </is>
      </c>
      <c r="I22" s="126" t="n"/>
      <c r="J22" s="132" t="inlineStr">
        <is>
          <t>3ECP307073-0001</t>
        </is>
      </c>
      <c r="K22" s="134" t="inlineStr">
        <is>
          <t>D</t>
        </is>
      </c>
      <c r="L22" s="110" t="n"/>
      <c r="M22" s="132" t="inlineStr">
        <is>
          <t>3ECP413651-0001</t>
        </is>
      </c>
      <c r="N22" s="15" t="inlineStr">
        <is>
          <t>A</t>
        </is>
      </c>
      <c r="O22" s="110" t="n"/>
      <c r="P22" s="133" t="inlineStr">
        <is>
          <t>FA010024091</t>
        </is>
      </c>
      <c r="Q22" s="134" t="inlineStr">
        <is>
          <t>02.2</t>
        </is>
      </c>
      <c r="R22" s="109" t="inlineStr">
        <is>
          <t>FA010024091</t>
        </is>
      </c>
      <c r="S22" s="123" t="inlineStr">
        <is>
          <t>02.2</t>
        </is>
      </c>
      <c r="U22" s="110" t="n"/>
      <c r="W22" s="110" t="n"/>
    </row>
    <row r="23" outlineLevel="1" ht="30" customHeight="1" s="583">
      <c r="A23" s="114" t="inlineStr">
        <is>
          <t>Cab HVAC</t>
        </is>
      </c>
      <c r="B23" s="114" t="inlineStr">
        <is>
          <t>FPD_Cab HVAC</t>
        </is>
      </c>
      <c r="C23" s="109" t="inlineStr">
        <is>
          <t>pdf</t>
        </is>
      </c>
      <c r="D23" s="132" t="inlineStr">
        <is>
          <t>3ECP410470-0001</t>
        </is>
      </c>
      <c r="E23" s="15" t="inlineStr">
        <is>
          <t>B</t>
        </is>
      </c>
      <c r="F23" s="110" t="n"/>
      <c r="G23" s="132" t="inlineStr">
        <is>
          <t>3ECP400500-0008</t>
        </is>
      </c>
      <c r="H23" s="15" t="inlineStr">
        <is>
          <t>A</t>
        </is>
      </c>
      <c r="I23" s="126" t="n"/>
      <c r="J23" s="132" t="inlineStr">
        <is>
          <t>3ECP307084-0001</t>
        </is>
      </c>
      <c r="K23" s="15" t="inlineStr">
        <is>
          <t>_</t>
        </is>
      </c>
      <c r="L23" s="110" t="n"/>
      <c r="M23" s="132" t="inlineStr">
        <is>
          <t>3ECP413651-0008</t>
        </is>
      </c>
      <c r="N23" s="134" t="inlineStr">
        <is>
          <t>A</t>
        </is>
      </c>
      <c r="O23" s="110" t="n"/>
      <c r="P23" s="133" t="inlineStr">
        <is>
          <t>FA010024087</t>
        </is>
      </c>
      <c r="Q23" s="134" t="inlineStr">
        <is>
          <t>00.2</t>
        </is>
      </c>
      <c r="R23" s="109" t="inlineStr">
        <is>
          <t>FA010024087</t>
        </is>
      </c>
      <c r="S23" s="123" t="inlineStr">
        <is>
          <t>00.2</t>
        </is>
      </c>
      <c r="U23" s="110" t="n"/>
      <c r="W23" s="110" t="n"/>
    </row>
    <row r="24" outlineLevel="1" ht="30" customHeight="1" s="583">
      <c r="A24" s="114" t="inlineStr">
        <is>
          <t>Saloon HVAC</t>
        </is>
      </c>
      <c r="B24" s="114" t="inlineStr">
        <is>
          <t>FPD_Saloon HVAC</t>
        </is>
      </c>
      <c r="C24" s="109" t="inlineStr">
        <is>
          <t>pdf</t>
        </is>
      </c>
      <c r="D24" s="132" t="inlineStr">
        <is>
          <t>3ECP410471-0001</t>
        </is>
      </c>
      <c r="E24" s="15" t="inlineStr">
        <is>
          <t>B</t>
        </is>
      </c>
      <c r="F24" s="110" t="n"/>
      <c r="G24" s="132" t="inlineStr">
        <is>
          <t>3ECP400500-0009</t>
        </is>
      </c>
      <c r="H24" s="15" t="inlineStr">
        <is>
          <t>A</t>
        </is>
      </c>
      <c r="I24" s="126" t="n"/>
      <c r="J24" s="132" t="inlineStr">
        <is>
          <t>3ECP307080-0001</t>
        </is>
      </c>
      <c r="K24" s="15" t="inlineStr">
        <is>
          <t>_</t>
        </is>
      </c>
      <c r="L24" s="110" t="n"/>
      <c r="M24" s="132" t="inlineStr">
        <is>
          <t>3ECP413651-0009</t>
        </is>
      </c>
      <c r="N24" s="15" t="inlineStr">
        <is>
          <t>_</t>
        </is>
      </c>
      <c r="O24" s="110" t="n"/>
      <c r="P24" s="133" t="inlineStr">
        <is>
          <t>FA010024098</t>
        </is>
      </c>
      <c r="Q24" s="134" t="inlineStr">
        <is>
          <t>00.2</t>
        </is>
      </c>
      <c r="R24" s="109" t="inlineStr">
        <is>
          <t>FA010024098</t>
        </is>
      </c>
      <c r="S24" s="123" t="inlineStr">
        <is>
          <t>00.2</t>
        </is>
      </c>
      <c r="U24" s="110" t="n"/>
      <c r="W24" s="110" t="n"/>
    </row>
    <row r="25" outlineLevel="1" ht="30" customHeight="1" s="583">
      <c r="A25" s="114" t="inlineStr">
        <is>
          <t>Fire Protection and Extinguishing</t>
        </is>
      </c>
      <c r="B25" s="114" t="inlineStr">
        <is>
          <t>FPD_FPS</t>
        </is>
      </c>
      <c r="C25" s="109" t="inlineStr">
        <is>
          <t>pdf</t>
        </is>
      </c>
      <c r="D25" s="132" t="inlineStr">
        <is>
          <t>3ECP410469-0001</t>
        </is>
      </c>
      <c r="E25" s="15" t="inlineStr">
        <is>
          <t>B</t>
        </is>
      </c>
      <c r="F25" s="110" t="n"/>
      <c r="G25" s="132" t="inlineStr">
        <is>
          <t>3ECP400500-0007</t>
        </is>
      </c>
      <c r="H25" s="133" t="inlineStr">
        <is>
          <t>_</t>
        </is>
      </c>
      <c r="I25" s="126" t="n"/>
      <c r="J25" s="132" t="inlineStr">
        <is>
          <t>3ECP307083-0001</t>
        </is>
      </c>
      <c r="K25" s="15" t="inlineStr">
        <is>
          <t>_</t>
        </is>
      </c>
      <c r="L25" s="110" t="n"/>
      <c r="M25" s="132" t="inlineStr">
        <is>
          <t>3ECP413651-0007</t>
        </is>
      </c>
      <c r="N25" s="134" t="inlineStr">
        <is>
          <t>A</t>
        </is>
      </c>
      <c r="O25" s="110" t="n"/>
      <c r="P25" s="133" t="inlineStr">
        <is>
          <t>FA010024093</t>
        </is>
      </c>
      <c r="Q25" s="134" t="inlineStr">
        <is>
          <t>02.2</t>
        </is>
      </c>
      <c r="R25" s="109" t="inlineStr">
        <is>
          <t>FA010024093</t>
        </is>
      </c>
      <c r="S25" s="123" t="inlineStr">
        <is>
          <t>02.2</t>
        </is>
      </c>
      <c r="U25" s="110" t="n"/>
      <c r="W25" s="110" t="n"/>
    </row>
    <row r="26" outlineLevel="1" ht="30" customHeight="1" s="583">
      <c r="A26" s="114" t="inlineStr">
        <is>
          <t>Toilet</t>
        </is>
      </c>
      <c r="B26" s="114" t="inlineStr">
        <is>
          <t>FPD_Toilet</t>
        </is>
      </c>
      <c r="C26" s="109" t="inlineStr">
        <is>
          <t>pdf</t>
        </is>
      </c>
      <c r="D26" s="132" t="inlineStr">
        <is>
          <t>3ECP410472-0001</t>
        </is>
      </c>
      <c r="E26" s="15" t="inlineStr">
        <is>
          <t>B</t>
        </is>
      </c>
      <c r="F26" s="110" t="n"/>
      <c r="G26" s="132" t="inlineStr">
        <is>
          <t>3ECP400500-0010</t>
        </is>
      </c>
      <c r="H26" s="15" t="inlineStr">
        <is>
          <t>B</t>
        </is>
      </c>
      <c r="I26" s="126" t="n"/>
      <c r="J26" s="132" t="inlineStr">
        <is>
          <t>3ECP410472-0001</t>
        </is>
      </c>
      <c r="K26" s="15" t="inlineStr">
        <is>
          <t>B</t>
        </is>
      </c>
      <c r="L26" s="110" t="n"/>
      <c r="M26" s="132" t="inlineStr">
        <is>
          <t>3ECP413651-0010</t>
        </is>
      </c>
      <c r="N26" s="15" t="inlineStr">
        <is>
          <t>_</t>
        </is>
      </c>
      <c r="O26" s="110" t="n"/>
      <c r="P26" s="133" t="inlineStr">
        <is>
          <t>FA010024099</t>
        </is>
      </c>
      <c r="Q26" s="134" t="inlineStr">
        <is>
          <t>01.2</t>
        </is>
      </c>
      <c r="R26" s="109" t="inlineStr">
        <is>
          <t>FA010024099</t>
        </is>
      </c>
      <c r="S26" s="123" t="inlineStr">
        <is>
          <t>01.2</t>
        </is>
      </c>
      <c r="U26" s="110" t="n"/>
      <c r="W26" s="110" t="n"/>
    </row>
    <row r="27" outlineLevel="1" ht="30" customHeight="1" s="583">
      <c r="A27" s="114" t="inlineStr">
        <is>
          <t>Catering</t>
        </is>
      </c>
      <c r="B27" s="114" t="inlineStr">
        <is>
          <t>FPD_Catering</t>
        </is>
      </c>
      <c r="C27" s="109" t="inlineStr">
        <is>
          <t>pdf</t>
        </is>
      </c>
      <c r="D27" s="132" t="inlineStr">
        <is>
          <t>3ECP410484-0001</t>
        </is>
      </c>
      <c r="E27" s="15" t="inlineStr">
        <is>
          <t>B</t>
        </is>
      </c>
      <c r="F27" s="110" t="n"/>
      <c r="G27" s="132" t="inlineStr">
        <is>
          <t>3ECP400500-0022</t>
        </is>
      </c>
      <c r="H27" s="133" t="inlineStr">
        <is>
          <t>_</t>
        </is>
      </c>
      <c r="I27" s="126" t="n"/>
      <c r="J27" s="132" t="inlineStr">
        <is>
          <t>3ECP410484-0001</t>
        </is>
      </c>
      <c r="K27" s="15" t="inlineStr">
        <is>
          <t>B</t>
        </is>
      </c>
      <c r="L27" s="110" t="n"/>
      <c r="M27" s="132" t="inlineStr">
        <is>
          <t>3ECP413651-0022</t>
        </is>
      </c>
      <c r="N27" s="15" t="inlineStr">
        <is>
          <t>B</t>
        </is>
      </c>
      <c r="O27" s="110" t="n"/>
      <c r="P27" s="133" t="inlineStr">
        <is>
          <t>FA010024088</t>
        </is>
      </c>
      <c r="Q27" s="134" t="inlineStr">
        <is>
          <t>01.2</t>
        </is>
      </c>
      <c r="R27" s="109" t="inlineStr">
        <is>
          <t>FA010024088</t>
        </is>
      </c>
      <c r="S27" s="123" t="inlineStr">
        <is>
          <t>01.2</t>
        </is>
      </c>
      <c r="U27" s="110" t="n"/>
      <c r="W27" s="110" t="n"/>
    </row>
    <row r="28" outlineLevel="1" ht="30" customHeight="1" s="583">
      <c r="A28" s="114" t="inlineStr">
        <is>
          <t>PIS CCTV</t>
        </is>
      </c>
      <c r="B28" s="114" t="inlineStr">
        <is>
          <t>FPD_PIS CCTV</t>
        </is>
      </c>
      <c r="C28" s="109" t="inlineStr">
        <is>
          <t>pdf</t>
        </is>
      </c>
      <c r="D28" s="132" t="inlineStr">
        <is>
          <t>3ECP410479-0001</t>
        </is>
      </c>
      <c r="E28" s="15" t="inlineStr">
        <is>
          <t>B</t>
        </is>
      </c>
      <c r="F28" s="110" t="n"/>
      <c r="G28" s="132" t="inlineStr">
        <is>
          <t>3ECP400500-0017</t>
        </is>
      </c>
      <c r="H28" s="15" t="inlineStr">
        <is>
          <t>A</t>
        </is>
      </c>
      <c r="I28" s="126" t="n"/>
      <c r="J28" s="132" t="inlineStr">
        <is>
          <t>3ECP410479-0001</t>
        </is>
      </c>
      <c r="K28" s="15" t="inlineStr">
        <is>
          <t>B</t>
        </is>
      </c>
      <c r="L28" s="110" t="n"/>
      <c r="M28" s="132" t="inlineStr">
        <is>
          <t>3ECP413651-0017</t>
        </is>
      </c>
      <c r="N28" s="134" t="inlineStr">
        <is>
          <t>B</t>
        </is>
      </c>
      <c r="O28" s="110" t="n"/>
      <c r="P28" s="133" t="inlineStr">
        <is>
          <t>FA010024097</t>
        </is>
      </c>
      <c r="Q28" s="134" t="inlineStr">
        <is>
          <t>02.2</t>
        </is>
      </c>
      <c r="R28" s="109" t="inlineStr">
        <is>
          <t>FA010024097</t>
        </is>
      </c>
      <c r="S28" s="123" t="inlineStr">
        <is>
          <t>02.2</t>
        </is>
      </c>
      <c r="U28" s="110" t="n"/>
      <c r="W28" s="110" t="n"/>
    </row>
    <row r="29" outlineLevel="1" ht="30" customHeight="1" s="583">
      <c r="A29" s="114" t="inlineStr">
        <is>
          <t>Exterior Lighting</t>
        </is>
      </c>
      <c r="B29" s="114" t="inlineStr">
        <is>
          <t>FPD_Exterior Lighting</t>
        </is>
      </c>
      <c r="C29" s="109" t="inlineStr">
        <is>
          <t>pdf</t>
        </is>
      </c>
      <c r="D29" s="132" t="inlineStr">
        <is>
          <t>3ECP410483-0001</t>
        </is>
      </c>
      <c r="E29" s="15" t="inlineStr">
        <is>
          <t>C</t>
        </is>
      </c>
      <c r="F29" s="110" t="n"/>
      <c r="G29" s="132" t="inlineStr">
        <is>
          <t>3ECP400500-0021</t>
        </is>
      </c>
      <c r="H29" s="15" t="inlineStr">
        <is>
          <t>B</t>
        </is>
      </c>
      <c r="I29" s="126" t="n"/>
      <c r="J29" s="132" t="inlineStr">
        <is>
          <t>3ECP307075-0001</t>
        </is>
      </c>
      <c r="K29" s="15" t="inlineStr">
        <is>
          <t>B</t>
        </is>
      </c>
      <c r="L29" s="110" t="n"/>
      <c r="M29" s="132" t="inlineStr">
        <is>
          <t>3ECP413651-0021</t>
        </is>
      </c>
      <c r="N29" s="15" t="inlineStr">
        <is>
          <t>_</t>
        </is>
      </c>
      <c r="O29" s="110" t="n"/>
      <c r="P29" s="133" t="inlineStr">
        <is>
          <t>FA010024092</t>
        </is>
      </c>
      <c r="Q29" s="134" t="inlineStr">
        <is>
          <t>00.2</t>
        </is>
      </c>
      <c r="R29" s="109" t="inlineStr">
        <is>
          <t>FA010024092</t>
        </is>
      </c>
      <c r="S29" s="123" t="inlineStr">
        <is>
          <t>00.2</t>
        </is>
      </c>
      <c r="U29" s="110" t="n"/>
      <c r="W29" s="110" t="n"/>
    </row>
    <row r="30" outlineLevel="1" ht="30" customHeight="1" s="583">
      <c r="A30" s="114" t="inlineStr">
        <is>
          <t>Interior Lighting</t>
        </is>
      </c>
      <c r="B30" s="114" t="inlineStr">
        <is>
          <t>FPD_Interior Lighting</t>
        </is>
      </c>
      <c r="C30" s="109" t="inlineStr">
        <is>
          <t>pdf</t>
        </is>
      </c>
      <c r="D30" s="132" t="inlineStr">
        <is>
          <t>3ECP410478-0001</t>
        </is>
      </c>
      <c r="E30" s="15" t="inlineStr">
        <is>
          <t>B</t>
        </is>
      </c>
      <c r="F30" s="110" t="n"/>
      <c r="G30" s="132" t="inlineStr">
        <is>
          <t>3ECP400500-0016</t>
        </is>
      </c>
      <c r="H30" s="133" t="inlineStr">
        <is>
          <t>_</t>
        </is>
      </c>
      <c r="I30" s="126" t="n"/>
      <c r="J30" s="132" t="inlineStr">
        <is>
          <t>3ECP410478-0001</t>
        </is>
      </c>
      <c r="K30" s="15" t="inlineStr">
        <is>
          <t>B</t>
        </is>
      </c>
      <c r="L30" s="110" t="n"/>
      <c r="M30" s="132" t="inlineStr">
        <is>
          <t>3ECP413651-0016</t>
        </is>
      </c>
      <c r="N30" s="15" t="inlineStr">
        <is>
          <t>A</t>
        </is>
      </c>
      <c r="O30" s="110" t="n"/>
      <c r="P30" s="133" t="inlineStr">
        <is>
          <t>FA010024095</t>
        </is>
      </c>
      <c r="Q30" s="134" t="inlineStr">
        <is>
          <t>01.2</t>
        </is>
      </c>
      <c r="R30" s="109" t="inlineStr">
        <is>
          <t>FA010024095</t>
        </is>
      </c>
      <c r="S30" s="123" t="inlineStr">
        <is>
          <t>01.2</t>
        </is>
      </c>
      <c r="U30" s="110" t="n"/>
      <c r="W30" s="110" t="n"/>
    </row>
    <row r="31" outlineLevel="1" s="583">
      <c r="A31" s="114" t="inlineStr">
        <is>
          <t>Train Control Design System</t>
        </is>
      </c>
      <c r="B31" s="114" t="inlineStr">
        <is>
          <t>FPD_Train Control</t>
        </is>
      </c>
      <c r="C31" s="109" t="inlineStr">
        <is>
          <t>pdf</t>
        </is>
      </c>
      <c r="D31" s="132" t="inlineStr">
        <is>
          <t>\</t>
        </is>
      </c>
      <c r="E31" s="15" t="inlineStr">
        <is>
          <t>\</t>
        </is>
      </c>
      <c r="F31" s="110" t="n"/>
      <c r="G31" s="132" t="n"/>
      <c r="H31" s="133" t="n"/>
      <c r="I31" s="126" t="n"/>
      <c r="J31" s="154" t="inlineStr">
        <is>
          <t>3ECP307076-0001</t>
        </is>
      </c>
      <c r="K31" s="15" t="inlineStr">
        <is>
          <t>A</t>
        </is>
      </c>
      <c r="L31" s="163" t="inlineStr">
        <is>
          <t>manca</t>
        </is>
      </c>
      <c r="M31" s="132" t="n"/>
      <c r="O31" s="110" t="n"/>
      <c r="P31" s="133" t="n"/>
      <c r="Q31" s="134" t="n"/>
      <c r="R31" s="109" t="n"/>
      <c r="S31" s="123" t="n"/>
      <c r="U31" s="110" t="n"/>
      <c r="W31" s="110" t="n"/>
    </row>
    <row r="32" outlineLevel="1" ht="30" customHeight="1" s="583">
      <c r="A32" s="114" t="inlineStr">
        <is>
          <t>Schematic diagram for French ATP MU</t>
        </is>
      </c>
      <c r="B32" s="114" t="inlineStr">
        <is>
          <t>FPD_ATP-MU</t>
        </is>
      </c>
      <c r="C32" s="109" t="inlineStr">
        <is>
          <t>pdf</t>
        </is>
      </c>
      <c r="D32" s="132" t="n"/>
      <c r="F32" s="110" t="n"/>
      <c r="G32" s="132" t="n"/>
      <c r="H32" s="133" t="n"/>
      <c r="I32" s="126" t="n"/>
      <c r="J32" s="154" t="inlineStr">
        <is>
          <t>90000056.D04</t>
        </is>
      </c>
      <c r="K32" s="15" t="inlineStr">
        <is>
          <t>5.0</t>
        </is>
      </c>
      <c r="L32" s="163" t="inlineStr">
        <is>
          <t>manca</t>
        </is>
      </c>
      <c r="M32" s="132" t="n"/>
      <c r="O32" s="110" t="n"/>
      <c r="P32" s="133" t="n"/>
      <c r="Q32" s="134" t="n"/>
      <c r="R32" s="109" t="n"/>
      <c r="S32" s="123" t="n"/>
      <c r="U32" s="110" t="n"/>
      <c r="W32" s="110" t="n"/>
    </row>
    <row r="33" outlineLevel="1" s="583">
      <c r="A33" s="438" t="inlineStr">
        <is>
          <t>Energy Meter System</t>
        </is>
      </c>
      <c r="B33" s="438" t="inlineStr">
        <is>
          <t>FPD_EMS</t>
        </is>
      </c>
      <c r="C33" s="439" t="inlineStr">
        <is>
          <t>pdf</t>
        </is>
      </c>
      <c r="D33" s="132" t="n"/>
      <c r="F33" s="110" t="n"/>
      <c r="G33" s="132" t="n"/>
      <c r="H33" s="133" t="n"/>
      <c r="I33" s="126" t="n"/>
      <c r="J33" s="109" t="inlineStr">
        <is>
          <t>FA010031914</t>
        </is>
      </c>
      <c r="K33" s="15" t="inlineStr">
        <is>
          <t>00.1</t>
        </is>
      </c>
      <c r="L33" s="110" t="n"/>
      <c r="M33" s="132" t="n"/>
      <c r="O33" s="110" t="n"/>
      <c r="P33" s="133" t="n"/>
      <c r="Q33" s="134" t="n"/>
      <c r="R33" s="109" t="n"/>
      <c r="S33" s="123" t="n"/>
      <c r="U33" s="110" t="n"/>
      <c r="W33" s="110" t="n"/>
    </row>
    <row r="34" ht="30" customHeight="1" s="583">
      <c r="A34" s="445" t="inlineStr">
        <is>
          <t>Functional Requirement Specification (FRS)</t>
        </is>
      </c>
      <c r="B34" s="445" t="n"/>
      <c r="C34" s="199" t="n"/>
      <c r="D34" s="117" t="n"/>
      <c r="E34" s="446" t="n"/>
      <c r="F34" s="118" t="n"/>
      <c r="G34" s="117" t="n"/>
      <c r="H34" s="446" t="n"/>
      <c r="I34" s="118" t="n"/>
      <c r="J34" s="117" t="n"/>
      <c r="K34" s="446" t="n"/>
      <c r="L34" s="118" t="n"/>
      <c r="M34" s="117" t="n"/>
      <c r="N34" s="446" t="n"/>
      <c r="O34" s="118" t="n"/>
      <c r="P34" s="446" t="n"/>
      <c r="Q34" s="446" t="n"/>
      <c r="R34" s="117" t="n"/>
      <c r="S34" s="118" t="n"/>
      <c r="T34" s="446" t="n"/>
      <c r="U34" s="118" t="n"/>
      <c r="V34" s="446" t="n"/>
      <c r="W34" s="118" t="n"/>
    </row>
    <row r="35" outlineLevel="1" ht="30" customHeight="1" s="583">
      <c r="A35" s="114" t="inlineStr">
        <is>
          <t>Functional Vehicle Requirement Specification</t>
        </is>
      </c>
      <c r="B35" s="114" t="inlineStr">
        <is>
          <t>FRS_Vehicle</t>
        </is>
      </c>
      <c r="C35" s="109" t="inlineStr">
        <is>
          <t>pdf</t>
        </is>
      </c>
      <c r="D35" s="109" t="inlineStr">
        <is>
          <t>3EST000224-9984</t>
        </is>
      </c>
      <c r="E35" s="15" t="inlineStr">
        <is>
          <t>C</t>
        </is>
      </c>
      <c r="F35" s="110" t="inlineStr">
        <is>
          <t>3EST000224-9984</t>
        </is>
      </c>
      <c r="G35" s="109" t="n"/>
      <c r="I35" s="110" t="n"/>
      <c r="J35" s="109" t="n"/>
      <c r="L35" s="110" t="n"/>
      <c r="M35" s="132" t="inlineStr">
        <is>
          <t>3ECP413839-0001</t>
        </is>
      </c>
      <c r="N35" s="133" t="inlineStr">
        <is>
          <t>B</t>
        </is>
      </c>
      <c r="O35" s="126" t="inlineStr">
        <is>
          <t>3ECP413839-0001</t>
        </is>
      </c>
      <c r="P35" s="133" t="inlineStr">
        <is>
          <t>\</t>
        </is>
      </c>
      <c r="Q35" s="135" t="inlineStr">
        <is>
          <t>\</t>
        </is>
      </c>
      <c r="R35" s="109" t="n"/>
      <c r="S35" s="165" t="inlineStr">
        <is>
          <t>\</t>
        </is>
      </c>
      <c r="U35" s="110" t="n"/>
      <c r="W35" s="110" t="n"/>
    </row>
    <row r="36" outlineLevel="1" ht="60" customHeight="1" s="583">
      <c r="A36" s="114" t="inlineStr">
        <is>
          <t>Drive Control</t>
        </is>
      </c>
      <c r="B36" s="114" t="inlineStr">
        <is>
          <t>FRS_Drive Control</t>
        </is>
      </c>
      <c r="C36" s="109" t="inlineStr">
        <is>
          <t>pdf</t>
        </is>
      </c>
      <c r="D36" s="132" t="inlineStr">
        <is>
          <t>3EST000225-7909</t>
        </is>
      </c>
      <c r="E36" s="15" t="inlineStr">
        <is>
          <t>A</t>
        </is>
      </c>
      <c r="F36" s="126" t="inlineStr">
        <is>
          <t>3EST000225-7909</t>
        </is>
      </c>
      <c r="G36" s="132" t="inlineStr">
        <is>
          <t>3EST000225-7909</t>
        </is>
      </c>
      <c r="H36" s="15" t="inlineStr">
        <is>
          <t>A</t>
        </is>
      </c>
      <c r="I36" s="126" t="n"/>
      <c r="J36" s="132" t="inlineStr">
        <is>
          <t>3ECP413571-0501</t>
        </is>
      </c>
      <c r="K36" s="15" t="inlineStr">
        <is>
          <t>_</t>
        </is>
      </c>
      <c r="L36" s="110" t="n"/>
      <c r="M36" s="132" t="inlineStr">
        <is>
          <t>3EST000225-7909</t>
        </is>
      </c>
      <c r="N36" s="133" t="inlineStr">
        <is>
          <t>A</t>
        </is>
      </c>
      <c r="O36" s="126" t="inlineStr">
        <is>
          <t>3EST000225-7909</t>
        </is>
      </c>
      <c r="P36" s="133" t="inlineStr">
        <is>
          <t>FA020022675</t>
        </is>
      </c>
      <c r="Q36" s="145" t="inlineStr">
        <is>
          <t>03.2
4.0?</t>
        </is>
      </c>
      <c r="R36" s="132" t="inlineStr">
        <is>
          <t>FA020022675</t>
        </is>
      </c>
      <c r="S36" s="166" t="inlineStr">
        <is>
          <t>03.2
4.0?</t>
        </is>
      </c>
      <c r="U36" s="110" t="n"/>
      <c r="W36" s="110" t="n"/>
    </row>
    <row r="37" outlineLevel="1" ht="30" customHeight="1" s="583">
      <c r="A37" s="114" t="inlineStr">
        <is>
          <t>Conventional Train Control</t>
        </is>
      </c>
      <c r="B37" s="114" t="inlineStr">
        <is>
          <t>FRS_Conventional Train Control</t>
        </is>
      </c>
      <c r="C37" s="109" t="inlineStr">
        <is>
          <t>pdf</t>
        </is>
      </c>
      <c r="D37" s="132" t="inlineStr">
        <is>
          <t>3EST000225-7916</t>
        </is>
      </c>
      <c r="E37" s="15" t="inlineStr">
        <is>
          <t>A</t>
        </is>
      </c>
      <c r="F37" s="126" t="inlineStr">
        <is>
          <t>3EST000225-7916</t>
        </is>
      </c>
      <c r="G37" s="154" t="inlineStr">
        <is>
          <t>3ECP413719-0903</t>
        </is>
      </c>
      <c r="H37" s="15" t="inlineStr">
        <is>
          <t>_</t>
        </is>
      </c>
      <c r="I37" s="163" t="inlineStr">
        <is>
          <t>manca</t>
        </is>
      </c>
      <c r="J37" s="132" t="inlineStr">
        <is>
          <t>FA02P021958B</t>
        </is>
      </c>
      <c r="K37" s="133" t="inlineStr">
        <is>
          <t>2.0</t>
        </is>
      </c>
      <c r="L37" s="110" t="inlineStr">
        <is>
          <t>3ECP413719-0903</t>
        </is>
      </c>
      <c r="M37" s="132" t="inlineStr">
        <is>
          <t>3ECP413922-0903</t>
        </is>
      </c>
      <c r="N37" s="133" t="inlineStr">
        <is>
          <t>_</t>
        </is>
      </c>
      <c r="O37" s="133" t="inlineStr">
        <is>
          <t>3ECP413922-0903</t>
        </is>
      </c>
      <c r="P37" s="133" t="inlineStr">
        <is>
          <t>FA020023107</t>
        </is>
      </c>
      <c r="Q37" s="146" t="inlineStr">
        <is>
          <t>06.3</t>
        </is>
      </c>
      <c r="R37" s="109" t="inlineStr">
        <is>
          <t>FA020023107</t>
        </is>
      </c>
      <c r="S37" s="167" t="inlineStr">
        <is>
          <t>06.3</t>
        </is>
      </c>
      <c r="U37" s="110" t="n"/>
      <c r="W37" s="110" t="n"/>
    </row>
    <row r="38" outlineLevel="1" ht="30" customHeight="1" s="583">
      <c r="A38" s="114" t="inlineStr">
        <is>
          <t>Train Protection - ATP</t>
        </is>
      </c>
      <c r="B38" s="114" t="inlineStr">
        <is>
          <t>FRS_Train Protection - ATP</t>
        </is>
      </c>
      <c r="C38" s="109" t="inlineStr">
        <is>
          <t>pdf</t>
        </is>
      </c>
      <c r="D38" s="132" t="inlineStr">
        <is>
          <t>FA020013231</t>
        </is>
      </c>
      <c r="E38" s="135" t="inlineStr">
        <is>
          <t>01</t>
        </is>
      </c>
      <c r="F38" s="126" t="inlineStr">
        <is>
          <t>3EST000225-7889
EC01P008999B</t>
        </is>
      </c>
      <c r="G38" s="132" t="inlineStr">
        <is>
          <t>FA020013231</t>
        </is>
      </c>
      <c r="H38" s="135" t="inlineStr">
        <is>
          <t>01</t>
        </is>
      </c>
      <c r="I38" s="123" t="inlineStr">
        <is>
          <t>3ECP414246-0902</t>
        </is>
      </c>
      <c r="J38" s="132" t="inlineStr">
        <is>
          <t>FA020013231</t>
        </is>
      </c>
      <c r="K38" s="135" t="inlineStr">
        <is>
          <t>01</t>
        </is>
      </c>
      <c r="L38" s="126" t="inlineStr">
        <is>
          <t>3EST000225-7889
EC01P008999B</t>
        </is>
      </c>
      <c r="M38" s="109" t="inlineStr">
        <is>
          <t>FA020007630</t>
        </is>
      </c>
      <c r="N38" s="135" t="inlineStr">
        <is>
          <t>04</t>
        </is>
      </c>
      <c r="O38" s="123" t="inlineStr">
        <is>
          <t>3ECP413922-0902</t>
        </is>
      </c>
      <c r="P38" s="133" t="inlineStr">
        <is>
          <t>FA020025863</t>
        </is>
      </c>
      <c r="Q38" s="15" t="inlineStr">
        <is>
          <t>01.3</t>
        </is>
      </c>
      <c r="R38" s="109" t="inlineStr">
        <is>
          <t>FA020025863</t>
        </is>
      </c>
      <c r="S38" s="110" t="inlineStr">
        <is>
          <t>01.3</t>
        </is>
      </c>
      <c r="U38" s="110" t="n"/>
      <c r="W38" s="110" t="n"/>
    </row>
    <row r="39" outlineLevel="1" ht="30" customHeight="1" s="583">
      <c r="A39" s="114" t="inlineStr">
        <is>
          <t>Diagnostics</t>
        </is>
      </c>
      <c r="B39" s="114" t="inlineStr">
        <is>
          <t>FRS_Diagnostics</t>
        </is>
      </c>
      <c r="C39" s="109" t="inlineStr">
        <is>
          <t>pdf</t>
        </is>
      </c>
      <c r="D39" s="132" t="inlineStr">
        <is>
          <t>3EST000225-7918</t>
        </is>
      </c>
      <c r="E39" s="15" t="inlineStr">
        <is>
          <t>B</t>
        </is>
      </c>
      <c r="F39" s="126" t="inlineStr">
        <is>
          <t>3EST000225-7918</t>
        </is>
      </c>
      <c r="G39" s="132" t="inlineStr">
        <is>
          <t>3EST000225-7918</t>
        </is>
      </c>
      <c r="H39" s="15" t="inlineStr">
        <is>
          <t>B</t>
        </is>
      </c>
      <c r="I39" s="126" t="inlineStr">
        <is>
          <t>3EST000225-7918</t>
        </is>
      </c>
      <c r="J39" s="132" t="inlineStr">
        <is>
          <t>3EST000225-7918</t>
        </is>
      </c>
      <c r="K39" s="15" t="inlineStr">
        <is>
          <t>B</t>
        </is>
      </c>
      <c r="L39" s="126" t="inlineStr">
        <is>
          <t>3EST000225-7918</t>
        </is>
      </c>
      <c r="M39" s="132" t="inlineStr">
        <is>
          <t>3ECP413922-1001</t>
        </is>
      </c>
      <c r="N39" s="133" t="inlineStr">
        <is>
          <t>_</t>
        </is>
      </c>
      <c r="O39" s="126" t="inlineStr">
        <is>
          <t>3ECP413922-1001</t>
        </is>
      </c>
      <c r="P39" s="133" t="inlineStr">
        <is>
          <t>FA020023413</t>
        </is>
      </c>
      <c r="Q39" s="146" t="inlineStr">
        <is>
          <t>01.2</t>
        </is>
      </c>
      <c r="R39" s="109" t="inlineStr">
        <is>
          <t>FA020023413</t>
        </is>
      </c>
      <c r="S39" s="167" t="inlineStr">
        <is>
          <t>01.2</t>
        </is>
      </c>
      <c r="U39" s="110" t="n"/>
      <c r="W39" s="110" t="n"/>
    </row>
    <row r="40" outlineLevel="1" ht="30" customHeight="1" s="583">
      <c r="A40" s="114" t="inlineStr">
        <is>
          <t>Visualisation - MMI</t>
        </is>
      </c>
      <c r="B40" s="114" t="inlineStr">
        <is>
          <t>FRS_Visualisation - MMI</t>
        </is>
      </c>
      <c r="C40" s="109" t="inlineStr">
        <is>
          <t>pdf</t>
        </is>
      </c>
      <c r="D40" s="132" t="inlineStr">
        <is>
          <t>3EST000225-7919</t>
        </is>
      </c>
      <c r="E40" s="15" t="inlineStr">
        <is>
          <t>B</t>
        </is>
      </c>
      <c r="F40" s="126" t="inlineStr">
        <is>
          <t>3EST000225-7919</t>
        </is>
      </c>
      <c r="G40" s="132" t="inlineStr">
        <is>
          <t>3EST000225-7919</t>
        </is>
      </c>
      <c r="H40" s="15" t="inlineStr">
        <is>
          <t>B</t>
        </is>
      </c>
      <c r="I40" s="126" t="inlineStr">
        <is>
          <t>3EST000225-7919</t>
        </is>
      </c>
      <c r="J40" s="132" t="inlineStr">
        <is>
          <t>3EST000225-7919</t>
        </is>
      </c>
      <c r="K40" s="15" t="inlineStr">
        <is>
          <t>B</t>
        </is>
      </c>
      <c r="L40" s="126" t="inlineStr">
        <is>
          <t>3EST000225-7919</t>
        </is>
      </c>
      <c r="M40" s="132" t="inlineStr">
        <is>
          <t>3ECP413922-1003</t>
        </is>
      </c>
      <c r="N40" s="133" t="inlineStr">
        <is>
          <t>_</t>
        </is>
      </c>
      <c r="O40" s="126" t="inlineStr">
        <is>
          <t>3ECP413922-1003</t>
        </is>
      </c>
      <c r="P40" s="133" t="inlineStr">
        <is>
          <t>FA020027681</t>
        </is>
      </c>
      <c r="Q40" s="146" t="inlineStr">
        <is>
          <t>03.2</t>
        </is>
      </c>
      <c r="R40" s="109" t="inlineStr">
        <is>
          <t>FA020027681</t>
        </is>
      </c>
      <c r="S40" s="167" t="inlineStr">
        <is>
          <t>03.2</t>
        </is>
      </c>
      <c r="U40" s="110" t="n"/>
      <c r="W40" s="110" t="n"/>
    </row>
    <row r="41" outlineLevel="1" ht="30" customHeight="1" s="583">
      <c r="A41" s="114" t="inlineStr">
        <is>
          <t>TCMS - Operational</t>
        </is>
      </c>
      <c r="B41" s="114" t="inlineStr">
        <is>
          <t>FRS_TCMS - Operational</t>
        </is>
      </c>
      <c r="C41" s="109" t="inlineStr">
        <is>
          <t>pdf</t>
        </is>
      </c>
      <c r="D41" s="132" t="inlineStr">
        <is>
          <t>3EST000225-7917</t>
        </is>
      </c>
      <c r="E41" s="15" t="inlineStr">
        <is>
          <t>B</t>
        </is>
      </c>
      <c r="F41" s="126" t="inlineStr">
        <is>
          <t>3EST000225-7917</t>
        </is>
      </c>
      <c r="G41" s="132" t="inlineStr">
        <is>
          <t>3EST000225-7917</t>
        </is>
      </c>
      <c r="H41" s="15" t="inlineStr">
        <is>
          <t>B</t>
        </is>
      </c>
      <c r="I41" s="126" t="inlineStr">
        <is>
          <t>3EST000225-7917</t>
        </is>
      </c>
      <c r="J41" s="132" t="inlineStr">
        <is>
          <t>3EST000225-7917</t>
        </is>
      </c>
      <c r="K41" s="15" t="inlineStr">
        <is>
          <t>B</t>
        </is>
      </c>
      <c r="L41" s="126" t="inlineStr">
        <is>
          <t>3EST000225-7917</t>
        </is>
      </c>
      <c r="M41" s="132" t="inlineStr">
        <is>
          <t>3ECP413922-0904</t>
        </is>
      </c>
      <c r="N41" s="133" t="inlineStr">
        <is>
          <t>_</t>
        </is>
      </c>
      <c r="O41" s="126" t="inlineStr">
        <is>
          <t>3ECP413922-0904</t>
        </is>
      </c>
      <c r="P41" s="133" t="inlineStr">
        <is>
          <t>FA020026278</t>
        </is>
      </c>
      <c r="Q41" s="146" t="inlineStr">
        <is>
          <t>02.2</t>
        </is>
      </c>
      <c r="R41" s="109" t="inlineStr">
        <is>
          <t>FA020026278</t>
        </is>
      </c>
      <c r="S41" s="167" t="inlineStr">
        <is>
          <t>02.2</t>
        </is>
      </c>
      <c r="U41" s="110" t="n"/>
      <c r="W41" s="110" t="n"/>
    </row>
    <row r="42" outlineLevel="1" ht="30" customHeight="1" s="583">
      <c r="A42" s="114" t="inlineStr">
        <is>
          <t>Train to Wayside Communication (Teledia)</t>
        </is>
      </c>
      <c r="B42" s="114" t="inlineStr">
        <is>
          <t>FRS_Teledia</t>
        </is>
      </c>
      <c r="C42" s="109" t="inlineStr">
        <is>
          <t>pdf</t>
        </is>
      </c>
      <c r="D42" s="132" t="inlineStr">
        <is>
          <t>3ECP413176-0001</t>
        </is>
      </c>
      <c r="E42" s="15" t="inlineStr">
        <is>
          <t>_</t>
        </is>
      </c>
      <c r="F42" s="126" t="inlineStr">
        <is>
          <t>3ECP413176-0001</t>
        </is>
      </c>
      <c r="G42" s="132" t="inlineStr">
        <is>
          <t>3ECP413719-1200</t>
        </is>
      </c>
      <c r="H42" s="133" t="inlineStr">
        <is>
          <t>_</t>
        </is>
      </c>
      <c r="I42" s="126" t="inlineStr">
        <is>
          <t>3ECP413719-1200</t>
        </is>
      </c>
      <c r="J42" s="132" t="inlineStr">
        <is>
          <t>3ECP413176-0001</t>
        </is>
      </c>
      <c r="K42" s="15" t="inlineStr">
        <is>
          <t>_</t>
        </is>
      </c>
      <c r="L42" s="126" t="inlineStr">
        <is>
          <t>3ECP413176-0001</t>
        </is>
      </c>
      <c r="M42" s="132" t="inlineStr">
        <is>
          <t>3ECP413719-1200</t>
        </is>
      </c>
      <c r="N42" s="133" t="inlineStr">
        <is>
          <t>_</t>
        </is>
      </c>
      <c r="O42" s="126" t="inlineStr">
        <is>
          <t>3ECP413719-1200</t>
        </is>
      </c>
      <c r="P42" s="133" t="inlineStr">
        <is>
          <t>\</t>
        </is>
      </c>
      <c r="Q42" s="15" t="inlineStr">
        <is>
          <t>\</t>
        </is>
      </c>
      <c r="R42" s="109" t="inlineStr">
        <is>
          <t>\</t>
        </is>
      </c>
      <c r="S42" s="110" t="inlineStr">
        <is>
          <t>\</t>
        </is>
      </c>
      <c r="U42" s="110" t="n"/>
      <c r="W42" s="110" t="n"/>
    </row>
    <row r="43" outlineLevel="1" ht="30" customHeight="1" s="583">
      <c r="A43" s="114" t="inlineStr">
        <is>
          <t>Line Voltage</t>
        </is>
      </c>
      <c r="B43" s="453" t="inlineStr">
        <is>
          <t>FRS_Line Voltage</t>
        </is>
      </c>
      <c r="C43" s="109" t="inlineStr">
        <is>
          <t>pdf</t>
        </is>
      </c>
      <c r="D43" s="132" t="inlineStr">
        <is>
          <t>3EST000225-7907</t>
        </is>
      </c>
      <c r="E43" s="15" t="inlineStr">
        <is>
          <t>C</t>
        </is>
      </c>
      <c r="F43" s="126" t="inlineStr">
        <is>
          <t>3EST000225-7907</t>
        </is>
      </c>
      <c r="G43" s="309" t="inlineStr">
        <is>
          <t>3ECP413719-0401</t>
        </is>
      </c>
      <c r="H43" s="133" t="inlineStr">
        <is>
          <t>_</t>
        </is>
      </c>
      <c r="I43" s="163" t="inlineStr">
        <is>
          <t>manca</t>
        </is>
      </c>
      <c r="J43" s="132" t="inlineStr">
        <is>
          <t>3ECP413571-0401</t>
        </is>
      </c>
      <c r="K43" s="133" t="inlineStr">
        <is>
          <t>A</t>
        </is>
      </c>
      <c r="L43" s="110" t="n"/>
      <c r="M43" s="132" t="inlineStr">
        <is>
          <t>3EGH489028-2358</t>
        </is>
      </c>
      <c r="N43" s="133" t="inlineStr">
        <is>
          <t>B</t>
        </is>
      </c>
      <c r="O43" s="126" t="inlineStr">
        <is>
          <t>3EGH489028-2358</t>
        </is>
      </c>
      <c r="P43" s="133" t="inlineStr">
        <is>
          <t>FA020022045</t>
        </is>
      </c>
      <c r="Q43" s="146" t="inlineStr">
        <is>
          <t>06.2</t>
        </is>
      </c>
      <c r="R43" s="109" t="inlineStr">
        <is>
          <t>FA020022045</t>
        </is>
      </c>
      <c r="S43" s="167" t="inlineStr">
        <is>
          <t>06.2</t>
        </is>
      </c>
      <c r="U43" s="110" t="n"/>
      <c r="W43" s="110" t="n"/>
    </row>
    <row r="44" outlineLevel="1" ht="30" customHeight="1" s="583">
      <c r="A44" s="114" t="inlineStr">
        <is>
          <t>Aux Electrical Supply</t>
        </is>
      </c>
      <c r="B44" s="453" t="inlineStr">
        <is>
          <t>FRS_Aux Electrical Supply</t>
        </is>
      </c>
      <c r="C44" s="109" t="inlineStr">
        <is>
          <t>pdf</t>
        </is>
      </c>
      <c r="D44" s="132" t="inlineStr">
        <is>
          <t>3EST000225-7914</t>
        </is>
      </c>
      <c r="E44" s="15" t="inlineStr">
        <is>
          <t>B</t>
        </is>
      </c>
      <c r="F44" s="126" t="inlineStr">
        <is>
          <t>3EST000225-7914</t>
        </is>
      </c>
      <c r="G44" s="132" t="inlineStr">
        <is>
          <t>3EST000225-7914</t>
        </is>
      </c>
      <c r="H44" s="15" t="inlineStr">
        <is>
          <t>B</t>
        </is>
      </c>
      <c r="I44" s="126" t="inlineStr">
        <is>
          <t>3EST000225-7914</t>
        </is>
      </c>
      <c r="J44" s="132" t="inlineStr">
        <is>
          <t>3ECP413571-0601</t>
        </is>
      </c>
      <c r="K44" s="15" t="inlineStr">
        <is>
          <t>_</t>
        </is>
      </c>
      <c r="L44" s="110" t="n"/>
      <c r="M44" s="132" t="inlineStr">
        <is>
          <t>3EST000225-7914</t>
        </is>
      </c>
      <c r="N44" s="133" t="inlineStr">
        <is>
          <t>B</t>
        </is>
      </c>
      <c r="O44" s="126" t="inlineStr">
        <is>
          <t>3EST000225-7914</t>
        </is>
      </c>
      <c r="P44" s="133" t="inlineStr">
        <is>
          <t>FA020024537</t>
        </is>
      </c>
      <c r="Q44" s="146" t="inlineStr">
        <is>
          <t>03.2</t>
        </is>
      </c>
      <c r="R44" s="109" t="inlineStr">
        <is>
          <t>FA020024537</t>
        </is>
      </c>
      <c r="S44" s="167" t="inlineStr">
        <is>
          <t>03.2</t>
        </is>
      </c>
      <c r="U44" s="110" t="n"/>
      <c r="W44" s="110" t="n"/>
    </row>
    <row r="45" outlineLevel="1" ht="30" customHeight="1" s="583">
      <c r="A45" s="114" t="inlineStr">
        <is>
          <t>Battery</t>
        </is>
      </c>
      <c r="B45" s="453" t="inlineStr">
        <is>
          <t>FRS_Battery</t>
        </is>
      </c>
      <c r="C45" s="109" t="inlineStr">
        <is>
          <t>pdf</t>
        </is>
      </c>
      <c r="D45" s="132" t="inlineStr">
        <is>
          <t>3EST000225-7908</t>
        </is>
      </c>
      <c r="E45" s="15" t="inlineStr">
        <is>
          <t>B</t>
        </is>
      </c>
      <c r="F45" s="126" t="inlineStr">
        <is>
          <t>3EST000225-7908</t>
        </is>
      </c>
      <c r="G45" s="132" t="inlineStr">
        <is>
          <t>3EST000225-7908</t>
        </is>
      </c>
      <c r="H45" s="15" t="inlineStr">
        <is>
          <t>B</t>
        </is>
      </c>
      <c r="I45" s="126" t="inlineStr">
        <is>
          <t>3EST000225-7908</t>
        </is>
      </c>
      <c r="J45" s="132" t="inlineStr">
        <is>
          <t>3EST000225-7908</t>
        </is>
      </c>
      <c r="K45" s="15" t="inlineStr">
        <is>
          <t>B</t>
        </is>
      </c>
      <c r="L45" s="126" t="inlineStr">
        <is>
          <t>3EST000225-7908</t>
        </is>
      </c>
      <c r="M45" s="132" t="inlineStr">
        <is>
          <t>3EST000225-7908</t>
        </is>
      </c>
      <c r="N45" s="133" t="inlineStr">
        <is>
          <t>B</t>
        </is>
      </c>
      <c r="O45" s="126" t="inlineStr">
        <is>
          <t>3EST000225-7908</t>
        </is>
      </c>
      <c r="P45" s="133" t="inlineStr">
        <is>
          <t>FA020024538</t>
        </is>
      </c>
      <c r="Q45" s="146" t="inlineStr">
        <is>
          <t>03.2</t>
        </is>
      </c>
      <c r="R45" s="109" t="inlineStr">
        <is>
          <t>FA020024538</t>
        </is>
      </c>
      <c r="S45" s="167" t="inlineStr">
        <is>
          <t>03.2</t>
        </is>
      </c>
      <c r="U45" s="110" t="n"/>
      <c r="W45" s="110" t="n"/>
    </row>
    <row r="46" outlineLevel="1" ht="30" customHeight="1" s="583">
      <c r="A46" s="114" t="inlineStr">
        <is>
          <t>Air Supply</t>
        </is>
      </c>
      <c r="B46" s="453" t="inlineStr">
        <is>
          <t>FRS_Air Supply</t>
        </is>
      </c>
      <c r="C46" s="109" t="inlineStr">
        <is>
          <t>pdf</t>
        </is>
      </c>
      <c r="D46" s="132" t="inlineStr">
        <is>
          <t>3EST000225-7915</t>
        </is>
      </c>
      <c r="E46" s="15" t="inlineStr">
        <is>
          <t>D</t>
        </is>
      </c>
      <c r="F46" s="126" t="inlineStr">
        <is>
          <t>3EST000225-7915</t>
        </is>
      </c>
      <c r="G46" s="132" t="inlineStr">
        <is>
          <t>3ECP413719-0603</t>
        </is>
      </c>
      <c r="H46" s="133" t="inlineStr">
        <is>
          <t>_</t>
        </is>
      </c>
      <c r="I46" s="126" t="inlineStr">
        <is>
          <t>3ECP413719-0603</t>
        </is>
      </c>
      <c r="J46" s="132" t="inlineStr">
        <is>
          <t>3EST000225-7915</t>
        </is>
      </c>
      <c r="K46" s="15" t="inlineStr">
        <is>
          <t>D</t>
        </is>
      </c>
      <c r="L46" s="126" t="inlineStr">
        <is>
          <t>3EST000225-7915</t>
        </is>
      </c>
      <c r="M46" s="132" t="inlineStr">
        <is>
          <t>3ECP413719-0603</t>
        </is>
      </c>
      <c r="N46" s="133" t="inlineStr">
        <is>
          <t>_</t>
        </is>
      </c>
      <c r="O46" s="126" t="inlineStr">
        <is>
          <t>3ECP413719-0603</t>
        </is>
      </c>
      <c r="P46" s="133" t="inlineStr">
        <is>
          <t>FA020024531</t>
        </is>
      </c>
      <c r="Q46" s="146" t="inlineStr">
        <is>
          <t>01.3</t>
        </is>
      </c>
      <c r="R46" s="109" t="inlineStr">
        <is>
          <t>FA020024531</t>
        </is>
      </c>
      <c r="S46" s="167" t="inlineStr">
        <is>
          <t>01.3</t>
        </is>
      </c>
      <c r="U46" s="110" t="n"/>
      <c r="W46" s="110" t="n"/>
    </row>
    <row r="47" outlineLevel="1" ht="30" customHeight="1" s="583">
      <c r="A47" s="114" t="inlineStr">
        <is>
          <t>Brake Control</t>
        </is>
      </c>
      <c r="B47" s="453" t="inlineStr">
        <is>
          <t>FRS_Brake Control</t>
        </is>
      </c>
      <c r="C47" s="109" t="inlineStr">
        <is>
          <t>pdf</t>
        </is>
      </c>
      <c r="D47" s="132" t="inlineStr">
        <is>
          <t>3EST000225-7910</t>
        </is>
      </c>
      <c r="E47" s="134" t="inlineStr">
        <is>
          <t>L</t>
        </is>
      </c>
      <c r="F47" s="126" t="inlineStr">
        <is>
          <t>3EST000225-7910</t>
        </is>
      </c>
      <c r="G47" s="154" t="inlineStr">
        <is>
          <t>3ECP413719-0502</t>
        </is>
      </c>
      <c r="H47" s="15" t="inlineStr">
        <is>
          <t>A</t>
        </is>
      </c>
      <c r="I47" s="163" t="inlineStr">
        <is>
          <t>manca</t>
        </is>
      </c>
      <c r="J47" s="132" t="inlineStr">
        <is>
          <t>3ECP413571-0502</t>
        </is>
      </c>
      <c r="K47" s="134" t="inlineStr">
        <is>
          <t>C</t>
        </is>
      </c>
      <c r="L47" s="110" t="n"/>
      <c r="M47" s="109" t="inlineStr">
        <is>
          <t>3ECP413922-0502</t>
        </is>
      </c>
      <c r="N47" s="133" t="inlineStr">
        <is>
          <t>A</t>
        </is>
      </c>
      <c r="O47" s="110" t="inlineStr">
        <is>
          <t>3ECP413922-0502</t>
        </is>
      </c>
      <c r="P47" s="133" t="inlineStr">
        <is>
          <t>FA020023100</t>
        </is>
      </c>
      <c r="Q47" s="146" t="inlineStr">
        <is>
          <t>02.3</t>
        </is>
      </c>
      <c r="R47" s="109" t="inlineStr">
        <is>
          <t>FA020023100</t>
        </is>
      </c>
      <c r="S47" s="167" t="inlineStr">
        <is>
          <t>02.3</t>
        </is>
      </c>
      <c r="U47" s="110" t="n"/>
      <c r="W47" s="110" t="n"/>
    </row>
    <row r="48" outlineLevel="1" ht="30" customHeight="1" s="583">
      <c r="A48" s="114" t="inlineStr">
        <is>
          <t>Bogies</t>
        </is>
      </c>
      <c r="B48" s="453" t="inlineStr">
        <is>
          <t>FRS_Bogies</t>
        </is>
      </c>
      <c r="C48" s="109" t="inlineStr">
        <is>
          <t>pdf</t>
        </is>
      </c>
      <c r="D48" s="132" t="inlineStr">
        <is>
          <t>3EST000225-7906</t>
        </is>
      </c>
      <c r="E48" s="134" t="inlineStr">
        <is>
          <t>D</t>
        </is>
      </c>
      <c r="F48" s="126" t="inlineStr">
        <is>
          <t>3EST000225-7906</t>
        </is>
      </c>
      <c r="G48" s="132" t="inlineStr">
        <is>
          <t>3ECP413719-0300</t>
        </is>
      </c>
      <c r="H48" s="133" t="inlineStr">
        <is>
          <t>_</t>
        </is>
      </c>
      <c r="I48" s="126" t="inlineStr">
        <is>
          <t>3ECP413719-0300</t>
        </is>
      </c>
      <c r="J48" s="309" t="inlineStr">
        <is>
          <t>3ECP413571-0300</t>
        </is>
      </c>
      <c r="K48" s="173" t="inlineStr">
        <is>
          <t>A</t>
        </is>
      </c>
      <c r="L48" s="163" t="inlineStr">
        <is>
          <t>manca</t>
        </is>
      </c>
      <c r="M48" s="132" t="inlineStr">
        <is>
          <t>3ECP413719-0300</t>
        </is>
      </c>
      <c r="N48" s="133" t="inlineStr">
        <is>
          <t>_</t>
        </is>
      </c>
      <c r="O48" s="126" t="inlineStr">
        <is>
          <t>3ECP413719-0300</t>
        </is>
      </c>
      <c r="P48" s="133" t="inlineStr">
        <is>
          <t>FA020030729</t>
        </is>
      </c>
      <c r="Q48" s="146" t="inlineStr">
        <is>
          <t>04.3</t>
        </is>
      </c>
      <c r="R48" s="109" t="inlineStr">
        <is>
          <t>FA020030729</t>
        </is>
      </c>
      <c r="S48" s="167" t="inlineStr">
        <is>
          <t>04.3</t>
        </is>
      </c>
      <c r="U48" s="110" t="n"/>
      <c r="W48" s="110" t="n"/>
    </row>
    <row r="49" outlineLevel="1" ht="30" customHeight="1" s="583">
      <c r="A49" s="114" t="inlineStr">
        <is>
          <t>Wash Wiper</t>
        </is>
      </c>
      <c r="B49" s="114" t="inlineStr">
        <is>
          <t>FRS_Wash Wiper</t>
        </is>
      </c>
      <c r="C49" s="109" t="inlineStr">
        <is>
          <t>pdf</t>
        </is>
      </c>
      <c r="D49" s="132" t="inlineStr">
        <is>
          <t>3EST000225-7900</t>
        </is>
      </c>
      <c r="E49" s="15" t="inlineStr">
        <is>
          <t>A</t>
        </is>
      </c>
      <c r="F49" s="126" t="inlineStr">
        <is>
          <t>3EST000225-7900</t>
        </is>
      </c>
      <c r="G49" s="132" t="inlineStr">
        <is>
          <t>3EST000225-7900</t>
        </is>
      </c>
      <c r="H49" s="15" t="inlineStr">
        <is>
          <t>A</t>
        </is>
      </c>
      <c r="I49" s="126" t="inlineStr">
        <is>
          <t>3EST000225-7900</t>
        </is>
      </c>
      <c r="J49" s="132" t="inlineStr">
        <is>
          <t>3EST000225-7900</t>
        </is>
      </c>
      <c r="K49" s="15" t="inlineStr">
        <is>
          <t>A</t>
        </is>
      </c>
      <c r="L49" s="126" t="inlineStr">
        <is>
          <t>3EST000225-7900</t>
        </is>
      </c>
      <c r="M49" s="132" t="inlineStr">
        <is>
          <t>3EST000225-7900</t>
        </is>
      </c>
      <c r="N49" s="133" t="inlineStr">
        <is>
          <t>A</t>
        </is>
      </c>
      <c r="O49" s="126" t="inlineStr">
        <is>
          <t>3EST000225-7900</t>
        </is>
      </c>
      <c r="P49" s="133" t="inlineStr">
        <is>
          <t>FA020026344</t>
        </is>
      </c>
      <c r="Q49" s="146" t="inlineStr">
        <is>
          <t>00.3</t>
        </is>
      </c>
      <c r="R49" s="109" t="inlineStr">
        <is>
          <t>FA020026344</t>
        </is>
      </c>
      <c r="S49" s="167" t="inlineStr">
        <is>
          <t>00.3</t>
        </is>
      </c>
      <c r="U49" s="110" t="n"/>
      <c r="W49" s="110" t="n"/>
    </row>
    <row r="50" outlineLevel="1" ht="30" customHeight="1" s="583">
      <c r="A50" s="114" t="inlineStr">
        <is>
          <t>Windscreen</t>
        </is>
      </c>
      <c r="B50" s="114" t="inlineStr">
        <is>
          <t>FRS_Windscreen</t>
        </is>
      </c>
      <c r="C50" s="109" t="inlineStr">
        <is>
          <t>pdf</t>
        </is>
      </c>
      <c r="D50" s="132" t="inlineStr">
        <is>
          <t>3EST000225-7902</t>
        </is>
      </c>
      <c r="E50" s="15" t="inlineStr">
        <is>
          <t>A</t>
        </is>
      </c>
      <c r="F50" s="126" t="inlineStr">
        <is>
          <t>3EST000225-7902</t>
        </is>
      </c>
      <c r="G50" s="132" t="inlineStr">
        <is>
          <t>3EST000225-7902</t>
        </is>
      </c>
      <c r="H50" s="15" t="inlineStr">
        <is>
          <t>A</t>
        </is>
      </c>
      <c r="I50" s="126" t="inlineStr">
        <is>
          <t>3EST000225-7902</t>
        </is>
      </c>
      <c r="J50" s="132" t="inlineStr">
        <is>
          <t>3EST000225-7902</t>
        </is>
      </c>
      <c r="K50" s="15" t="inlineStr">
        <is>
          <t>A</t>
        </is>
      </c>
      <c r="L50" s="126" t="inlineStr">
        <is>
          <t>3EST000225-7902</t>
        </is>
      </c>
      <c r="M50" s="132" t="inlineStr">
        <is>
          <t>3EST000225-7902</t>
        </is>
      </c>
      <c r="N50" s="133" t="inlineStr">
        <is>
          <t>A</t>
        </is>
      </c>
      <c r="O50" s="126" t="inlineStr">
        <is>
          <t>3EST000225-7902</t>
        </is>
      </c>
      <c r="P50" s="133" t="inlineStr">
        <is>
          <t>FA020026347</t>
        </is>
      </c>
      <c r="Q50" s="146" t="inlineStr">
        <is>
          <t>00.3</t>
        </is>
      </c>
      <c r="R50" s="109" t="inlineStr">
        <is>
          <t>FA020026347</t>
        </is>
      </c>
      <c r="S50" s="167" t="inlineStr">
        <is>
          <t>00.3</t>
        </is>
      </c>
      <c r="U50" s="110" t="n"/>
      <c r="W50" s="110" t="n"/>
    </row>
    <row r="51" outlineLevel="1" ht="30" customHeight="1" s="583">
      <c r="A51" s="114" t="inlineStr">
        <is>
          <t>Coupler</t>
        </is>
      </c>
      <c r="B51" s="114" t="inlineStr">
        <is>
          <t>FRS_Coupler</t>
        </is>
      </c>
      <c r="C51" s="109" t="inlineStr">
        <is>
          <t>pdf</t>
        </is>
      </c>
      <c r="D51" s="132" t="inlineStr">
        <is>
          <t>3EST000225-7903</t>
        </is>
      </c>
      <c r="E51" s="134" t="inlineStr">
        <is>
          <t>C</t>
        </is>
      </c>
      <c r="F51" s="126" t="inlineStr">
        <is>
          <t>3EST000225-7903</t>
        </is>
      </c>
      <c r="G51" s="154" t="inlineStr">
        <is>
          <t>3ECP413719-0204</t>
        </is>
      </c>
      <c r="H51" s="15" t="inlineStr">
        <is>
          <t>A</t>
        </is>
      </c>
      <c r="I51" s="163" t="inlineStr">
        <is>
          <t>manca</t>
        </is>
      </c>
      <c r="J51" s="309" t="inlineStr">
        <is>
          <t>3ECP413571-0204</t>
        </is>
      </c>
      <c r="K51" s="173" t="inlineStr">
        <is>
          <t>_</t>
        </is>
      </c>
      <c r="L51" s="163" t="inlineStr">
        <is>
          <t>manca</t>
        </is>
      </c>
      <c r="M51" s="132" t="inlineStr">
        <is>
          <t>3ECP413922-0204</t>
        </is>
      </c>
      <c r="N51" s="133" t="inlineStr">
        <is>
          <t>_</t>
        </is>
      </c>
      <c r="O51" s="126" t="inlineStr">
        <is>
          <t>3ECP413922-0204</t>
        </is>
      </c>
      <c r="P51" s="133" t="inlineStr">
        <is>
          <t>FA020026357</t>
        </is>
      </c>
      <c r="Q51" s="146" t="inlineStr">
        <is>
          <t>02.2</t>
        </is>
      </c>
      <c r="R51" s="109" t="inlineStr">
        <is>
          <t>FA020026357</t>
        </is>
      </c>
      <c r="S51" s="167" t="inlineStr">
        <is>
          <t>02.2</t>
        </is>
      </c>
      <c r="U51" s="110" t="n"/>
      <c r="W51" s="110" t="n"/>
    </row>
    <row r="52" outlineLevel="1" ht="30" customHeight="1" s="583">
      <c r="A52" s="114" t="inlineStr">
        <is>
          <t>Horn</t>
        </is>
      </c>
      <c r="B52" s="114" t="inlineStr">
        <is>
          <t>FRS_Horn</t>
        </is>
      </c>
      <c r="C52" s="109" t="inlineStr">
        <is>
          <t>pdf</t>
        </is>
      </c>
      <c r="D52" s="132" t="inlineStr">
        <is>
          <t>3EST000225-7905</t>
        </is>
      </c>
      <c r="E52" s="15" t="inlineStr">
        <is>
          <t>A</t>
        </is>
      </c>
      <c r="F52" s="126" t="inlineStr">
        <is>
          <t>3EST000225-7905</t>
        </is>
      </c>
      <c r="G52" s="132" t="inlineStr">
        <is>
          <t>3EST000225-7905</t>
        </is>
      </c>
      <c r="H52" s="15" t="inlineStr">
        <is>
          <t>A</t>
        </is>
      </c>
      <c r="I52" s="126" t="inlineStr">
        <is>
          <t>3EST000225-7905</t>
        </is>
      </c>
      <c r="J52" s="132" t="inlineStr">
        <is>
          <t>3EST000225-7905</t>
        </is>
      </c>
      <c r="K52" s="15" t="inlineStr">
        <is>
          <t>A</t>
        </is>
      </c>
      <c r="L52" s="126" t="inlineStr">
        <is>
          <t>3EST000225-7905</t>
        </is>
      </c>
      <c r="M52" s="132" t="inlineStr">
        <is>
          <t>3EST000225-7905</t>
        </is>
      </c>
      <c r="N52" s="133" t="inlineStr">
        <is>
          <t>A</t>
        </is>
      </c>
      <c r="O52" s="126" t="inlineStr">
        <is>
          <t>3EST000225-7905</t>
        </is>
      </c>
      <c r="P52" s="133" t="inlineStr">
        <is>
          <t>FA020026338</t>
        </is>
      </c>
      <c r="Q52" s="146" t="inlineStr">
        <is>
          <t>00.3</t>
        </is>
      </c>
      <c r="R52" s="109" t="inlineStr">
        <is>
          <t>FA020026338</t>
        </is>
      </c>
      <c r="S52" s="167" t="inlineStr">
        <is>
          <t>00.3</t>
        </is>
      </c>
      <c r="U52" s="110" t="n"/>
      <c r="W52" s="110" t="n"/>
    </row>
    <row r="53" outlineLevel="1" ht="30" customHeight="1" s="583">
      <c r="A53" s="114" t="inlineStr">
        <is>
          <t>Wheelchair Lifts</t>
        </is>
      </c>
      <c r="B53" s="114" t="inlineStr">
        <is>
          <t>FRS_Wheelchair Lifts</t>
        </is>
      </c>
      <c r="C53" s="109" t="inlineStr">
        <is>
          <t>pdf</t>
        </is>
      </c>
      <c r="D53" s="132" t="inlineStr">
        <is>
          <t>3EST000225-7887</t>
        </is>
      </c>
      <c r="E53" s="15" t="inlineStr">
        <is>
          <t>_</t>
        </is>
      </c>
      <c r="F53" s="126" t="inlineStr">
        <is>
          <t>3EST000225-7887</t>
        </is>
      </c>
      <c r="G53" s="132" t="inlineStr">
        <is>
          <t>3EST000225-7887</t>
        </is>
      </c>
      <c r="H53" s="15" t="inlineStr">
        <is>
          <t>_</t>
        </is>
      </c>
      <c r="I53" s="126" t="inlineStr">
        <is>
          <t>3EST000225-7887</t>
        </is>
      </c>
      <c r="J53" s="132" t="inlineStr">
        <is>
          <t>3EST000225-7887</t>
        </is>
      </c>
      <c r="K53" s="15" t="inlineStr">
        <is>
          <t>_</t>
        </is>
      </c>
      <c r="L53" s="126" t="inlineStr">
        <is>
          <t>3EST000225-7887</t>
        </is>
      </c>
      <c r="M53" s="132" t="inlineStr">
        <is>
          <t>3EST000225-7887</t>
        </is>
      </c>
      <c r="N53" s="133" t="inlineStr">
        <is>
          <t>_</t>
        </is>
      </c>
      <c r="O53" s="126" t="inlineStr">
        <is>
          <t>3EST000225-7887</t>
        </is>
      </c>
      <c r="P53" s="133" t="inlineStr">
        <is>
          <t>FA020025254</t>
        </is>
      </c>
      <c r="Q53" s="146" t="inlineStr">
        <is>
          <t>02.2</t>
        </is>
      </c>
      <c r="R53" s="109" t="inlineStr">
        <is>
          <t>FA020025254</t>
        </is>
      </c>
      <c r="S53" s="167" t="inlineStr">
        <is>
          <t>02.2</t>
        </is>
      </c>
      <c r="U53" s="110" t="n"/>
      <c r="W53" s="110" t="n"/>
    </row>
    <row r="54" outlineLevel="1" ht="30" customHeight="1" s="583">
      <c r="A54" s="114" t="inlineStr">
        <is>
          <t>Exterior Door and Step Systems</t>
        </is>
      </c>
      <c r="B54" s="114" t="inlineStr">
        <is>
          <t>FRS_Exterior Door and Step Systems</t>
        </is>
      </c>
      <c r="C54" s="109" t="inlineStr">
        <is>
          <t>pdf</t>
        </is>
      </c>
      <c r="D54" s="132" t="inlineStr">
        <is>
          <t>EC01P008887B</t>
        </is>
      </c>
      <c r="E54" s="135" t="inlineStr">
        <is>
          <t>09</t>
        </is>
      </c>
      <c r="F54" s="126" t="inlineStr">
        <is>
          <t>3EST000225-7893</t>
        </is>
      </c>
      <c r="G54" s="132" t="inlineStr">
        <is>
          <t>EC01P008887B</t>
        </is>
      </c>
      <c r="H54" s="135" t="inlineStr">
        <is>
          <t>09</t>
        </is>
      </c>
      <c r="I54" s="110" t="inlineStr">
        <is>
          <t>3ECP413719-1400</t>
        </is>
      </c>
      <c r="J54" s="132" t="inlineStr">
        <is>
          <t>FA020000711</t>
        </is>
      </c>
      <c r="K54" s="135" t="inlineStr">
        <is>
          <t>00</t>
        </is>
      </c>
      <c r="L54" s="110" t="inlineStr">
        <is>
          <t>3ECP413571-1400</t>
        </is>
      </c>
      <c r="M54" s="132" t="inlineStr">
        <is>
          <t>EC01P008887B</t>
        </is>
      </c>
      <c r="N54" s="135" t="inlineStr">
        <is>
          <t>09</t>
        </is>
      </c>
      <c r="O54" s="110" t="inlineStr">
        <is>
          <t>3ECP413922-1400</t>
        </is>
      </c>
      <c r="P54" s="133" t="inlineStr">
        <is>
          <t>FA020025252</t>
        </is>
      </c>
      <c r="Q54" s="146" t="inlineStr">
        <is>
          <t>04.2</t>
        </is>
      </c>
      <c r="R54" s="109" t="inlineStr">
        <is>
          <t>FA020025252</t>
        </is>
      </c>
      <c r="S54" s="167" t="inlineStr">
        <is>
          <t>04.2</t>
        </is>
      </c>
      <c r="U54" s="110" t="n"/>
      <c r="W54" s="110" t="n"/>
    </row>
    <row r="55" outlineLevel="1" ht="30" customHeight="1" s="583">
      <c r="A55" s="114" t="inlineStr">
        <is>
          <t>Interior Doors</t>
        </is>
      </c>
      <c r="B55" s="114" t="inlineStr">
        <is>
          <t>FRS_Interior Doors</t>
        </is>
      </c>
      <c r="C55" s="109" t="inlineStr">
        <is>
          <t>pdf</t>
        </is>
      </c>
      <c r="D55" s="132" t="inlineStr">
        <is>
          <t>EC01P008873B</t>
        </is>
      </c>
      <c r="E55" s="135" t="inlineStr">
        <is>
          <t>01</t>
        </is>
      </c>
      <c r="F55" s="126" t="inlineStr">
        <is>
          <t>3EST000225-7886</t>
        </is>
      </c>
      <c r="G55" s="132" t="inlineStr">
        <is>
          <t>EC01P008873B</t>
        </is>
      </c>
      <c r="H55" s="135" t="inlineStr">
        <is>
          <t>01</t>
        </is>
      </c>
      <c r="I55" s="126" t="inlineStr">
        <is>
          <t>3EST000225-7886</t>
        </is>
      </c>
      <c r="J55" s="132" t="inlineStr">
        <is>
          <t>EC01P008873B</t>
        </is>
      </c>
      <c r="K55" s="135" t="inlineStr">
        <is>
          <t>01</t>
        </is>
      </c>
      <c r="L55" s="133" t="inlineStr">
        <is>
          <t>3EST000225-7886</t>
        </is>
      </c>
      <c r="M55" s="132" t="inlineStr">
        <is>
          <t>EC01P008873B</t>
        </is>
      </c>
      <c r="N55" s="135" t="inlineStr">
        <is>
          <t>01</t>
        </is>
      </c>
      <c r="O55" s="126" t="inlineStr">
        <is>
          <t>3EST000225-7886</t>
        </is>
      </c>
      <c r="P55" s="133" t="inlineStr">
        <is>
          <t>FA020025253</t>
        </is>
      </c>
      <c r="Q55" s="146" t="inlineStr">
        <is>
          <t>04.2</t>
        </is>
      </c>
      <c r="R55" s="109" t="inlineStr">
        <is>
          <t>FA020025253</t>
        </is>
      </c>
      <c r="S55" s="167" t="inlineStr">
        <is>
          <t>04.2</t>
        </is>
      </c>
      <c r="U55" s="110" t="n"/>
      <c r="W55" s="110" t="n"/>
    </row>
    <row r="56" outlineLevel="1" ht="30" customHeight="1" s="583">
      <c r="A56" s="114" t="inlineStr">
        <is>
          <t>Cab HVAC</t>
        </is>
      </c>
      <c r="B56" s="114" t="inlineStr">
        <is>
          <t>FRS_Cab HVAC</t>
        </is>
      </c>
      <c r="C56" s="109" t="inlineStr">
        <is>
          <t>pdf</t>
        </is>
      </c>
      <c r="D56" s="132" t="inlineStr">
        <is>
          <t>EC01P009028B</t>
        </is>
      </c>
      <c r="E56" s="15" t="inlineStr">
        <is>
          <t>00.4</t>
        </is>
      </c>
      <c r="F56" s="126" t="inlineStr">
        <is>
          <t>3EST000225-7894</t>
        </is>
      </c>
      <c r="G56" s="132" t="inlineStr">
        <is>
          <t>EC01P009028B</t>
        </is>
      </c>
      <c r="H56" s="15" t="inlineStr">
        <is>
          <t>00.4</t>
        </is>
      </c>
      <c r="I56" s="126" t="inlineStr">
        <is>
          <t>3EST000225-7894</t>
        </is>
      </c>
      <c r="J56" s="132" t="inlineStr">
        <is>
          <t>EC01P009028B</t>
        </is>
      </c>
      <c r="K56" s="15" t="inlineStr">
        <is>
          <t>00.4</t>
        </is>
      </c>
      <c r="L56" s="133" t="inlineStr">
        <is>
          <t>3EST000225-7894</t>
        </is>
      </c>
      <c r="M56" s="132" t="inlineStr">
        <is>
          <t>EC01P009028B</t>
        </is>
      </c>
      <c r="N56" s="15" t="inlineStr">
        <is>
          <t>00.4</t>
        </is>
      </c>
      <c r="O56" s="126" t="inlineStr">
        <is>
          <t>3EST000225-7894</t>
        </is>
      </c>
      <c r="P56" s="133" t="inlineStr">
        <is>
          <t>FA020026562</t>
        </is>
      </c>
      <c r="Q56" s="146" t="inlineStr">
        <is>
          <t>00.2</t>
        </is>
      </c>
      <c r="R56" s="109" t="inlineStr">
        <is>
          <t>FA020026562</t>
        </is>
      </c>
      <c r="S56" s="167" t="inlineStr">
        <is>
          <t>00.2</t>
        </is>
      </c>
      <c r="U56" s="110" t="n"/>
      <c r="W56" s="110" t="n"/>
    </row>
    <row r="57" outlineLevel="1" ht="30" customHeight="1" s="583">
      <c r="A57" s="114" t="inlineStr">
        <is>
          <t>Saloon HVAC</t>
        </is>
      </c>
      <c r="B57" s="114" t="inlineStr">
        <is>
          <t>FRS_Saloon HVAC</t>
        </is>
      </c>
      <c r="C57" s="109" t="inlineStr">
        <is>
          <t>pdf</t>
        </is>
      </c>
      <c r="D57" s="132" t="inlineStr">
        <is>
          <t>EC01P008880B</t>
        </is>
      </c>
      <c r="E57" s="15" t="inlineStr">
        <is>
          <t>00.8</t>
        </is>
      </c>
      <c r="F57" s="126" t="inlineStr">
        <is>
          <t>3EST000225-7897</t>
        </is>
      </c>
      <c r="G57" s="132" t="inlineStr">
        <is>
          <t>3EST000225-7897</t>
        </is>
      </c>
      <c r="H57" s="15" t="inlineStr">
        <is>
          <t>A</t>
        </is>
      </c>
      <c r="I57" s="126" t="inlineStr">
        <is>
          <t>3EST000225-7897</t>
        </is>
      </c>
      <c r="J57" s="132" t="inlineStr">
        <is>
          <t>EC01P008880B</t>
        </is>
      </c>
      <c r="K57" s="15" t="inlineStr">
        <is>
          <t>00.8</t>
        </is>
      </c>
      <c r="L57" s="133" t="inlineStr">
        <is>
          <t>3EST000225-7897</t>
        </is>
      </c>
      <c r="M57" s="109" t="inlineStr">
        <is>
          <t>3EST000225-7897</t>
        </is>
      </c>
      <c r="N57" s="15" t="inlineStr">
        <is>
          <t>00.8</t>
        </is>
      </c>
      <c r="O57" s="126" t="inlineStr">
        <is>
          <t>EC01P008880B</t>
        </is>
      </c>
      <c r="P57" s="133" t="inlineStr">
        <is>
          <t>FA020026563</t>
        </is>
      </c>
      <c r="Q57" s="146" t="inlineStr">
        <is>
          <t>02.2</t>
        </is>
      </c>
      <c r="R57" s="109" t="inlineStr">
        <is>
          <t>FA020026563</t>
        </is>
      </c>
      <c r="S57" s="167" t="inlineStr">
        <is>
          <t>02.2</t>
        </is>
      </c>
      <c r="U57" s="110" t="n"/>
      <c r="W57" s="110" t="n"/>
    </row>
    <row r="58" outlineLevel="1" ht="30" customHeight="1" s="583">
      <c r="A58" s="114" t="inlineStr">
        <is>
          <t>Fire Protection and Extinction</t>
        </is>
      </c>
      <c r="B58" s="114" t="inlineStr">
        <is>
          <t>FRS_FPS</t>
        </is>
      </c>
      <c r="C58" s="109" t="inlineStr">
        <is>
          <t>pdf</t>
        </is>
      </c>
      <c r="D58" s="132" t="inlineStr">
        <is>
          <t>EC01P008884B</t>
        </is>
      </c>
      <c r="E58" s="135" t="inlineStr">
        <is>
          <t>04</t>
        </is>
      </c>
      <c r="F58" s="126" t="inlineStr">
        <is>
          <t>3EST000225-7879</t>
        </is>
      </c>
      <c r="G58" s="132" t="inlineStr">
        <is>
          <t>3EST000225-7879</t>
        </is>
      </c>
      <c r="H58" s="15" t="inlineStr">
        <is>
          <t>A</t>
        </is>
      </c>
      <c r="I58" s="126" t="inlineStr">
        <is>
          <t>3EST000225-7879</t>
        </is>
      </c>
      <c r="J58" s="132" t="inlineStr">
        <is>
          <t>EC01P008884B</t>
        </is>
      </c>
      <c r="K58" s="135" t="inlineStr">
        <is>
          <t>04</t>
        </is>
      </c>
      <c r="L58" s="133" t="inlineStr">
        <is>
          <t>3EST000225-7879</t>
        </is>
      </c>
      <c r="M58" s="109" t="inlineStr">
        <is>
          <t>3ECP413922-0604</t>
        </is>
      </c>
      <c r="N58" s="135" t="inlineStr">
        <is>
          <t>04</t>
        </is>
      </c>
      <c r="O58" s="110" t="inlineStr">
        <is>
          <t>EC01P008884B</t>
        </is>
      </c>
      <c r="P58" s="133" t="inlineStr">
        <is>
          <t>FA020025419</t>
        </is>
      </c>
      <c r="Q58" s="146" t="inlineStr">
        <is>
          <t>03.2</t>
        </is>
      </c>
      <c r="R58" s="109" t="inlineStr">
        <is>
          <t>FA020025419</t>
        </is>
      </c>
      <c r="S58" s="167" t="inlineStr">
        <is>
          <t>03.2</t>
        </is>
      </c>
      <c r="U58" s="110" t="n"/>
      <c r="W58" s="110" t="n"/>
    </row>
    <row r="59" outlineLevel="1" ht="30" customHeight="1" s="583">
      <c r="A59" s="114" t="inlineStr">
        <is>
          <t>Toilet</t>
        </is>
      </c>
      <c r="B59" s="114" t="inlineStr">
        <is>
          <t>FRS_Toilet</t>
        </is>
      </c>
      <c r="C59" s="109" t="inlineStr">
        <is>
          <t>pdf</t>
        </is>
      </c>
      <c r="D59" s="132" t="inlineStr">
        <is>
          <t>EC01P008888B</t>
        </is>
      </c>
      <c r="E59" s="145" t="inlineStr">
        <is>
          <t>02</t>
        </is>
      </c>
      <c r="F59" s="126" t="inlineStr">
        <is>
          <t>3EST000225-7883</t>
        </is>
      </c>
      <c r="G59" s="132" t="inlineStr">
        <is>
          <t>EC01P008888B</t>
        </is>
      </c>
      <c r="H59" s="145" t="inlineStr">
        <is>
          <t>02</t>
        </is>
      </c>
      <c r="I59" s="110" t="inlineStr">
        <is>
          <t>3ECP413719-0802</t>
        </is>
      </c>
      <c r="J59" s="132" t="inlineStr">
        <is>
          <t>EC01P008888B</t>
        </is>
      </c>
      <c r="K59" s="145" t="inlineStr">
        <is>
          <t>02</t>
        </is>
      </c>
      <c r="L59" s="133" t="inlineStr">
        <is>
          <t>3EST000225-7883</t>
        </is>
      </c>
      <c r="M59" s="132" t="inlineStr">
        <is>
          <t>EC01P008888B</t>
        </is>
      </c>
      <c r="N59" s="145" t="inlineStr">
        <is>
          <t>02</t>
        </is>
      </c>
      <c r="O59" s="110" t="inlineStr">
        <is>
          <t>3ECP413719-0802</t>
        </is>
      </c>
      <c r="P59" s="133" t="inlineStr">
        <is>
          <t>FA020026053</t>
        </is>
      </c>
      <c r="Q59" s="146" t="inlineStr">
        <is>
          <t>01.2</t>
        </is>
      </c>
      <c r="R59" s="109" t="inlineStr">
        <is>
          <t>FA020026053</t>
        </is>
      </c>
      <c r="S59" s="167" t="inlineStr">
        <is>
          <t>01.2</t>
        </is>
      </c>
      <c r="U59" s="110" t="n"/>
      <c r="W59" s="110" t="n"/>
    </row>
    <row r="60" outlineLevel="1" s="583">
      <c r="A60" s="114" t="inlineStr">
        <is>
          <t>Catering - Bistrot</t>
        </is>
      </c>
      <c r="B60" s="114" t="inlineStr">
        <is>
          <t>FRS_Catering</t>
        </is>
      </c>
      <c r="C60" s="109" t="inlineStr">
        <is>
          <t>pdf</t>
        </is>
      </c>
      <c r="D60" s="132" t="inlineStr">
        <is>
          <t>EC01P008889B</t>
        </is>
      </c>
      <c r="E60" s="135" t="inlineStr">
        <is>
          <t>03</t>
        </is>
      </c>
      <c r="F60" s="126" t="inlineStr">
        <is>
          <t>3EST000225-7885</t>
        </is>
      </c>
      <c r="G60" s="132" t="inlineStr">
        <is>
          <t>EC01P008889B</t>
        </is>
      </c>
      <c r="H60" s="135" t="inlineStr">
        <is>
          <t>03</t>
        </is>
      </c>
      <c r="I60" s="126" t="inlineStr">
        <is>
          <t>3EST000225-7885</t>
        </is>
      </c>
      <c r="J60" s="132" t="inlineStr">
        <is>
          <t>EC01P008889B</t>
        </is>
      </c>
      <c r="K60" s="135" t="inlineStr">
        <is>
          <t>03</t>
        </is>
      </c>
      <c r="L60" s="133" t="inlineStr">
        <is>
          <t>3EST000225-7885</t>
        </is>
      </c>
      <c r="M60" s="132" t="inlineStr">
        <is>
          <t>EC01P008889B</t>
        </is>
      </c>
      <c r="N60" s="135" t="inlineStr">
        <is>
          <t>03</t>
        </is>
      </c>
      <c r="O60" s="126" t="inlineStr">
        <is>
          <t>3EST000225-7885</t>
        </is>
      </c>
      <c r="P60" s="133" t="inlineStr">
        <is>
          <t>\</t>
        </is>
      </c>
      <c r="Q60" s="15" t="inlineStr">
        <is>
          <t>\</t>
        </is>
      </c>
      <c r="R60" s="109" t="inlineStr">
        <is>
          <t>\</t>
        </is>
      </c>
      <c r="S60" s="110" t="inlineStr">
        <is>
          <t>\</t>
        </is>
      </c>
      <c r="U60" s="110" t="n"/>
      <c r="W60" s="110" t="n"/>
    </row>
    <row r="61" outlineLevel="1" ht="30" customHeight="1" s="583">
      <c r="A61" s="114" t="inlineStr">
        <is>
          <t>PIES</t>
        </is>
      </c>
      <c r="B61" s="114" t="inlineStr">
        <is>
          <t>FRS_PIS</t>
        </is>
      </c>
      <c r="C61" s="109" t="inlineStr">
        <is>
          <t>pdf</t>
        </is>
      </c>
      <c r="D61" s="132" t="inlineStr">
        <is>
          <t>EC01P009000B</t>
        </is>
      </c>
      <c r="E61" s="135" t="inlineStr">
        <is>
          <t>02</t>
        </is>
      </c>
      <c r="F61" s="126" t="inlineStr">
        <is>
          <t>3EST000225-7890</t>
        </is>
      </c>
      <c r="G61" s="132" t="inlineStr">
        <is>
          <t>EC010008563</t>
        </is>
      </c>
      <c r="H61" s="135" t="inlineStr">
        <is>
          <t>00</t>
        </is>
      </c>
      <c r="I61" s="126" t="inlineStr">
        <is>
          <t>3ECP413719-1100</t>
        </is>
      </c>
      <c r="J61" s="132" t="inlineStr">
        <is>
          <t>EC01P009000B</t>
        </is>
      </c>
      <c r="K61" s="135" t="inlineStr">
        <is>
          <t>02</t>
        </is>
      </c>
      <c r="L61" s="133" t="inlineStr">
        <is>
          <t>3EST000225-7890</t>
        </is>
      </c>
      <c r="M61" s="109" t="inlineStr">
        <is>
          <t>EC010008581</t>
        </is>
      </c>
      <c r="N61" s="135" t="inlineStr">
        <is>
          <t>00</t>
        </is>
      </c>
      <c r="O61" s="110" t="inlineStr">
        <is>
          <t>3ECP413922-1100</t>
        </is>
      </c>
      <c r="P61" s="133" t="inlineStr">
        <is>
          <t>FA020025354</t>
        </is>
      </c>
      <c r="Q61" s="146" t="inlineStr">
        <is>
          <t>00.3</t>
        </is>
      </c>
      <c r="R61" s="109" t="inlineStr">
        <is>
          <t>FA020025354</t>
        </is>
      </c>
      <c r="S61" s="167" t="inlineStr">
        <is>
          <t>00.3</t>
        </is>
      </c>
      <c r="U61" s="110" t="n"/>
      <c r="W61" s="110" t="n"/>
    </row>
    <row r="62" outlineLevel="1" ht="30" customHeight="1" s="583">
      <c r="A62" s="114" t="inlineStr">
        <is>
          <t>PIS 2.0</t>
        </is>
      </c>
      <c r="B62" s="114" t="inlineStr">
        <is>
          <t>FRS_PIS 2.0</t>
        </is>
      </c>
      <c r="C62" s="109" t="inlineStr">
        <is>
          <t>pdf</t>
        </is>
      </c>
      <c r="D62" s="132" t="inlineStr">
        <is>
          <t>\</t>
        </is>
      </c>
      <c r="E62" s="15" t="inlineStr">
        <is>
          <t>\</t>
        </is>
      </c>
      <c r="F62" s="110" t="inlineStr">
        <is>
          <t>\</t>
        </is>
      </c>
      <c r="G62" s="109" t="inlineStr">
        <is>
          <t>\</t>
        </is>
      </c>
      <c r="H62" s="15" t="inlineStr">
        <is>
          <t>\</t>
        </is>
      </c>
      <c r="I62" s="110" t="inlineStr">
        <is>
          <t>\</t>
        </is>
      </c>
      <c r="J62" s="132" t="n"/>
      <c r="L62" s="110" t="n"/>
      <c r="M62" s="109" t="inlineStr">
        <is>
          <t>\</t>
        </is>
      </c>
      <c r="N62" s="15" t="inlineStr">
        <is>
          <t>\</t>
        </is>
      </c>
      <c r="O62" s="110" t="inlineStr">
        <is>
          <t>\</t>
        </is>
      </c>
      <c r="P62" s="134" t="inlineStr">
        <is>
          <t>FA020047983</t>
        </is>
      </c>
      <c r="Q62" s="15" t="inlineStr">
        <is>
          <t>00.1</t>
        </is>
      </c>
      <c r="R62" s="109" t="inlineStr">
        <is>
          <t>FA020047983</t>
        </is>
      </c>
      <c r="S62" s="110" t="inlineStr">
        <is>
          <t>00.1</t>
        </is>
      </c>
      <c r="U62" s="110" t="n"/>
      <c r="W62" s="110" t="n"/>
    </row>
    <row r="63" outlineLevel="1" ht="30" customHeight="1" s="583">
      <c r="A63" s="114" t="inlineStr">
        <is>
          <t>CCTV</t>
        </is>
      </c>
      <c r="B63" s="114" t="inlineStr">
        <is>
          <t>FRS_CCTV</t>
        </is>
      </c>
      <c r="C63" s="109" t="inlineStr">
        <is>
          <t>pdf</t>
        </is>
      </c>
      <c r="D63" s="132" t="inlineStr">
        <is>
          <t>EC01P009001B</t>
        </is>
      </c>
      <c r="E63" s="135" t="inlineStr">
        <is>
          <t>01</t>
        </is>
      </c>
      <c r="F63" s="126" t="inlineStr">
        <is>
          <t>3EST000225-7891</t>
        </is>
      </c>
      <c r="G63" s="132" t="inlineStr">
        <is>
          <t>EC01P009001B</t>
        </is>
      </c>
      <c r="H63" s="135" t="inlineStr">
        <is>
          <t>01</t>
        </is>
      </c>
      <c r="I63" s="126" t="inlineStr">
        <is>
          <t>3EST000225-7891</t>
        </is>
      </c>
      <c r="J63" s="132" t="inlineStr">
        <is>
          <t>3EST000225-7891</t>
        </is>
      </c>
      <c r="K63" s="15" t="inlineStr">
        <is>
          <t>A</t>
        </is>
      </c>
      <c r="L63" s="110" t="n"/>
      <c r="M63" s="132" t="inlineStr">
        <is>
          <t>EC01P009001B</t>
        </is>
      </c>
      <c r="N63" s="135" t="inlineStr">
        <is>
          <t>01</t>
        </is>
      </c>
      <c r="O63" s="126" t="inlineStr">
        <is>
          <t>3EST000225-7891</t>
        </is>
      </c>
      <c r="P63" s="133" t="inlineStr">
        <is>
          <t>FA020025360</t>
        </is>
      </c>
      <c r="Q63" s="146" t="inlineStr">
        <is>
          <t>01.2</t>
        </is>
      </c>
      <c r="R63" s="109" t="inlineStr">
        <is>
          <t>FA020025360</t>
        </is>
      </c>
      <c r="S63" s="167" t="inlineStr">
        <is>
          <t>01.2</t>
        </is>
      </c>
      <c r="U63" s="110" t="n"/>
      <c r="W63" s="110" t="n"/>
    </row>
    <row r="64" outlineLevel="1" ht="30" customHeight="1" s="583">
      <c r="A64" s="114" t="inlineStr">
        <is>
          <t>Exterior Lighting</t>
        </is>
      </c>
      <c r="B64" s="114" t="inlineStr">
        <is>
          <t>FRS_Exterior Lighting</t>
        </is>
      </c>
      <c r="C64" s="109" t="inlineStr">
        <is>
          <t>pdf</t>
        </is>
      </c>
      <c r="D64" s="132" t="inlineStr">
        <is>
          <t>3EST000225-7904</t>
        </is>
      </c>
      <c r="E64" s="15" t="inlineStr">
        <is>
          <t>B</t>
        </is>
      </c>
      <c r="F64" s="126" t="inlineStr">
        <is>
          <t>3EST000225-7904</t>
        </is>
      </c>
      <c r="G64" s="132" t="inlineStr">
        <is>
          <t>3EST000225-7904</t>
        </is>
      </c>
      <c r="H64" s="15" t="inlineStr">
        <is>
          <t>B</t>
        </is>
      </c>
      <c r="I64" s="126" t="inlineStr">
        <is>
          <t>3EST000225-7904</t>
        </is>
      </c>
      <c r="J64" s="132" t="inlineStr">
        <is>
          <t>3ECP413571-0206</t>
        </is>
      </c>
      <c r="K64" s="15" t="inlineStr">
        <is>
          <t>_</t>
        </is>
      </c>
      <c r="L64" s="110" t="n"/>
      <c r="M64" s="109" t="inlineStr">
        <is>
          <t>3EST000225-7904</t>
        </is>
      </c>
      <c r="N64" s="15" t="inlineStr">
        <is>
          <t>B</t>
        </is>
      </c>
      <c r="O64" s="110" t="inlineStr">
        <is>
          <t>3EST000225-7904</t>
        </is>
      </c>
      <c r="P64" s="133" t="inlineStr">
        <is>
          <t>3EST000225-7904</t>
        </is>
      </c>
      <c r="Q64" s="15" t="inlineStr">
        <is>
          <t>B.1</t>
        </is>
      </c>
      <c r="R64" s="109" t="inlineStr">
        <is>
          <t>3EST000225-7904</t>
        </is>
      </c>
      <c r="S64" s="110" t="inlineStr">
        <is>
          <t>B.1</t>
        </is>
      </c>
      <c r="U64" s="110" t="n"/>
      <c r="W64" s="110" t="n"/>
    </row>
    <row r="65" outlineLevel="1" ht="30" customHeight="1" s="583">
      <c r="A65" s="114" t="inlineStr">
        <is>
          <t>Interior Lighting</t>
        </is>
      </c>
      <c r="B65" s="114" t="inlineStr">
        <is>
          <t>FRS_Interior Lighting</t>
        </is>
      </c>
      <c r="C65" s="109" t="inlineStr">
        <is>
          <t>pdf</t>
        </is>
      </c>
      <c r="D65" s="132" t="inlineStr">
        <is>
          <t>EC01P008890B</t>
        </is>
      </c>
      <c r="E65" s="15" t="inlineStr">
        <is>
          <t>01.3</t>
        </is>
      </c>
      <c r="F65" s="126" t="inlineStr">
        <is>
          <t>3EST000225-7882</t>
        </is>
      </c>
      <c r="G65" s="132" t="inlineStr">
        <is>
          <t>EC01P008890B</t>
        </is>
      </c>
      <c r="H65" s="15" t="inlineStr">
        <is>
          <t>01.3</t>
        </is>
      </c>
      <c r="I65" s="126" t="inlineStr">
        <is>
          <t>3EST000225-7882</t>
        </is>
      </c>
      <c r="J65" s="109" t="inlineStr">
        <is>
          <t>3EST000225-7882</t>
        </is>
      </c>
      <c r="K65" s="15" t="inlineStr">
        <is>
          <t>B</t>
        </is>
      </c>
      <c r="L65" s="110" t="n"/>
      <c r="M65" s="109" t="inlineStr">
        <is>
          <t>FA020011254</t>
        </is>
      </c>
      <c r="N65" s="135" t="inlineStr">
        <is>
          <t>00</t>
        </is>
      </c>
      <c r="O65" s="110" t="inlineStr">
        <is>
          <t>3ECP413922-0801</t>
        </is>
      </c>
      <c r="P65" s="133" t="inlineStr">
        <is>
          <t>FA020011254</t>
        </is>
      </c>
      <c r="Q65" s="146" t="inlineStr">
        <is>
          <t>00.2</t>
        </is>
      </c>
      <c r="R65" s="109" t="inlineStr">
        <is>
          <t>FA020011254</t>
        </is>
      </c>
      <c r="S65" s="167" t="inlineStr">
        <is>
          <t>00.2</t>
        </is>
      </c>
      <c r="U65" s="110" t="n"/>
      <c r="W65" s="110" t="n"/>
    </row>
    <row r="66" outlineLevel="1" s="583">
      <c r="A66" s="114" t="inlineStr">
        <is>
          <t>Train Protection - ATP (France)</t>
        </is>
      </c>
      <c r="B66" s="114" t="inlineStr">
        <is>
          <t>FRS_Train Protection_France</t>
        </is>
      </c>
      <c r="C66" s="109" t="inlineStr">
        <is>
          <t>pdf</t>
        </is>
      </c>
      <c r="D66" s="132" t="n"/>
      <c r="E66" s="135" t="n"/>
      <c r="F66" s="126" t="n"/>
      <c r="G66" s="132" t="n"/>
      <c r="I66" s="123" t="n"/>
      <c r="J66" s="109" t="inlineStr">
        <is>
          <t>3ECP413571-0902</t>
        </is>
      </c>
      <c r="K66" s="15" t="inlineStr">
        <is>
          <t>B</t>
        </is>
      </c>
      <c r="L66" s="110" t="n"/>
      <c r="M66" s="109" t="n"/>
      <c r="N66" s="135" t="n"/>
      <c r="O66" s="123" t="n"/>
      <c r="P66" s="133" t="n"/>
      <c r="R66" s="109" t="n"/>
      <c r="S66" s="110" t="n"/>
      <c r="U66" s="110" t="n"/>
      <c r="W66" s="110" t="n"/>
    </row>
    <row r="67" outlineLevel="1" s="583">
      <c r="A67" s="438" t="inlineStr">
        <is>
          <t>Energy Meter System</t>
        </is>
      </c>
      <c r="B67" s="438" t="inlineStr">
        <is>
          <t>FRS_EMS</t>
        </is>
      </c>
      <c r="C67" s="439" t="inlineStr">
        <is>
          <t>pdf</t>
        </is>
      </c>
      <c r="D67" s="132" t="n"/>
      <c r="E67" s="135" t="n"/>
      <c r="F67" s="126" t="n"/>
      <c r="G67" s="132" t="n"/>
      <c r="I67" s="123" t="n"/>
      <c r="J67" s="109" t="inlineStr">
        <is>
          <t>EC010029076</t>
        </is>
      </c>
      <c r="K67" s="15" t="inlineStr">
        <is>
          <t>00.1</t>
        </is>
      </c>
      <c r="L67" s="110" t="n"/>
      <c r="M67" s="109" t="n"/>
      <c r="N67" s="135" t="n"/>
      <c r="O67" s="123" t="n"/>
      <c r="P67" s="133" t="inlineStr">
        <is>
          <t>EC010019484</t>
        </is>
      </c>
      <c r="Q67" s="15" t="inlineStr">
        <is>
          <t>01</t>
        </is>
      </c>
      <c r="R67" s="109" t="n"/>
      <c r="S67" s="110" t="n"/>
      <c r="U67" s="110" t="n"/>
      <c r="W67" s="110" t="n"/>
    </row>
    <row r="68">
      <c r="A68" s="445" t="inlineStr">
        <is>
          <t>Functional schematics</t>
        </is>
      </c>
      <c r="B68" s="445" t="n"/>
      <c r="C68" s="199" t="n"/>
      <c r="D68" s="117" t="n"/>
      <c r="E68" s="446" t="n"/>
      <c r="F68" s="118" t="n"/>
      <c r="G68" s="117" t="n"/>
      <c r="H68" s="446" t="n"/>
      <c r="I68" s="118" t="n"/>
      <c r="J68" s="117" t="n"/>
      <c r="K68" s="446" t="n"/>
      <c r="L68" s="118" t="n"/>
      <c r="M68" s="117" t="n"/>
      <c r="N68" s="446" t="n"/>
      <c r="O68" s="118" t="n"/>
      <c r="P68" s="446" t="n"/>
      <c r="Q68" s="446" t="n"/>
      <c r="R68" s="117" t="inlineStr">
        <is>
          <t>mancanti</t>
        </is>
      </c>
      <c r="S68" s="118" t="n"/>
      <c r="T68" s="446" t="n"/>
      <c r="U68" s="118" t="n"/>
      <c r="V68" s="446" t="n"/>
      <c r="W68" s="118" t="n"/>
    </row>
    <row r="69" outlineLevel="1" ht="30" customHeight="1" s="583">
      <c r="A69" s="114" t="inlineStr">
        <is>
          <t>Functional schematics DM1</t>
        </is>
      </c>
      <c r="B69" s="114" t="inlineStr">
        <is>
          <t>FS_DM1</t>
        </is>
      </c>
      <c r="C69" s="109" t="inlineStr">
        <is>
          <t>pdf</t>
        </is>
      </c>
      <c r="D69" s="109" t="inlineStr">
        <is>
          <t>3ECP502128-0001</t>
        </is>
      </c>
      <c r="E69" s="15" t="inlineStr">
        <is>
          <t>M</t>
        </is>
      </c>
      <c r="F69" s="110" t="n"/>
      <c r="G69" s="109" t="inlineStr">
        <is>
          <t>3ECP307211-1401</t>
        </is>
      </c>
      <c r="H69" s="134" t="inlineStr">
        <is>
          <t>C</t>
        </is>
      </c>
      <c r="I69" s="110" t="n"/>
      <c r="J69" s="109" t="inlineStr">
        <is>
          <t>3ECP307051-0001</t>
        </is>
      </c>
      <c r="K69" s="15" t="inlineStr">
        <is>
          <t>E</t>
        </is>
      </c>
      <c r="L69" s="110" t="n"/>
      <c r="M69" s="109" t="inlineStr">
        <is>
          <t>3ECP307251-0001</t>
        </is>
      </c>
      <c r="N69" s="134" t="inlineStr">
        <is>
          <t>G</t>
        </is>
      </c>
      <c r="O69" s="110" t="n"/>
      <c r="P69" s="15" t="inlineStr">
        <is>
          <t>FS020022117-001</t>
        </is>
      </c>
      <c r="Q69" s="134" t="inlineStr">
        <is>
          <t>05.2</t>
        </is>
      </c>
      <c r="R69" s="168" t="inlineStr">
        <is>
          <t>FS020036994-001</t>
        </is>
      </c>
      <c r="S69" s="126" t="inlineStr">
        <is>
          <t>01.2</t>
        </is>
      </c>
      <c r="U69" s="110" t="n"/>
      <c r="W69" s="110" t="n"/>
    </row>
    <row r="70" outlineLevel="1" ht="30" customHeight="1" s="583">
      <c r="A70" s="114" t="inlineStr">
        <is>
          <t>Functional schematics TT2</t>
        </is>
      </c>
      <c r="B70" s="114" t="inlineStr">
        <is>
          <t>FS_TT2</t>
        </is>
      </c>
      <c r="C70" s="109" t="inlineStr">
        <is>
          <t>pdf</t>
        </is>
      </c>
      <c r="D70" s="109" t="inlineStr">
        <is>
          <t>3ECP502129-0001</t>
        </is>
      </c>
      <c r="E70" s="134" t="inlineStr">
        <is>
          <t>J</t>
        </is>
      </c>
      <c r="F70" s="110" t="n"/>
      <c r="G70" s="109" t="inlineStr">
        <is>
          <t>3ECP307211-0002</t>
        </is>
      </c>
      <c r="H70" s="15" t="inlineStr">
        <is>
          <t>D</t>
        </is>
      </c>
      <c r="I70" s="110" t="n"/>
      <c r="J70" s="109" t="inlineStr">
        <is>
          <t>3ECP307059-0001</t>
        </is>
      </c>
      <c r="K70" s="15" t="inlineStr">
        <is>
          <t>D</t>
        </is>
      </c>
      <c r="L70" s="110" t="n"/>
      <c r="M70" s="109" t="inlineStr">
        <is>
          <t>3ECP307251-0002</t>
        </is>
      </c>
      <c r="N70" s="134" t="inlineStr">
        <is>
          <t>G</t>
        </is>
      </c>
      <c r="O70" s="110" t="n"/>
      <c r="P70" s="15" t="inlineStr">
        <is>
          <t>FS020022117-002</t>
        </is>
      </c>
      <c r="Q70" s="134" t="inlineStr">
        <is>
          <t>05.2</t>
        </is>
      </c>
      <c r="R70" s="168" t="inlineStr">
        <is>
          <t>FS020036994-002</t>
        </is>
      </c>
      <c r="S70" s="126" t="inlineStr">
        <is>
          <t>01.2</t>
        </is>
      </c>
      <c r="U70" s="110" t="n"/>
      <c r="W70" s="110" t="n"/>
    </row>
    <row r="71" outlineLevel="1" ht="30" customHeight="1" s="583">
      <c r="A71" s="114" t="inlineStr">
        <is>
          <t>Functional schematics M3</t>
        </is>
      </c>
      <c r="B71" s="114" t="inlineStr">
        <is>
          <t>FS_M3</t>
        </is>
      </c>
      <c r="C71" s="109" t="inlineStr">
        <is>
          <t>pdf</t>
        </is>
      </c>
      <c r="D71" s="109" t="inlineStr">
        <is>
          <t>3ECP502130-0001</t>
        </is>
      </c>
      <c r="E71" s="134" t="inlineStr">
        <is>
          <t>J</t>
        </is>
      </c>
      <c r="F71" s="110" t="n"/>
      <c r="G71" s="109" t="inlineStr">
        <is>
          <t>3ECP307211-0003</t>
        </is>
      </c>
      <c r="H71" s="15" t="inlineStr">
        <is>
          <t>D</t>
        </is>
      </c>
      <c r="I71" s="110" t="n"/>
      <c r="J71" s="109" t="inlineStr">
        <is>
          <t>3ECP307157-0001</t>
        </is>
      </c>
      <c r="K71" s="15" t="inlineStr">
        <is>
          <t>C</t>
        </is>
      </c>
      <c r="L71" s="110" t="n"/>
      <c r="M71" s="109" t="inlineStr">
        <is>
          <t>3ECP307251-0003</t>
        </is>
      </c>
      <c r="N71" s="134" t="inlineStr">
        <is>
          <t>G</t>
        </is>
      </c>
      <c r="O71" s="110" t="n"/>
      <c r="P71" s="15" t="inlineStr">
        <is>
          <t>FS020022117-003</t>
        </is>
      </c>
      <c r="Q71" s="134" t="inlineStr">
        <is>
          <t>05.2</t>
        </is>
      </c>
      <c r="R71" s="168" t="inlineStr">
        <is>
          <t>FS020036994-003</t>
        </is>
      </c>
      <c r="S71" s="126" t="inlineStr">
        <is>
          <t>01.2</t>
        </is>
      </c>
      <c r="U71" s="110" t="n"/>
      <c r="W71" s="110" t="n"/>
    </row>
    <row r="72" outlineLevel="1" ht="30" customHeight="1" s="583">
      <c r="A72" s="114" t="inlineStr">
        <is>
          <t>Functional schematics T4</t>
        </is>
      </c>
      <c r="B72" s="114" t="inlineStr">
        <is>
          <t>FS_T4</t>
        </is>
      </c>
      <c r="C72" s="109" t="inlineStr">
        <is>
          <t>pdf</t>
        </is>
      </c>
      <c r="D72" s="109" t="inlineStr">
        <is>
          <t>3ECP502131-0001</t>
        </is>
      </c>
      <c r="E72" s="134" t="inlineStr">
        <is>
          <t>J</t>
        </is>
      </c>
      <c r="F72" s="110" t="n"/>
      <c r="G72" s="109" t="inlineStr">
        <is>
          <t>3ECP307211-0004</t>
        </is>
      </c>
      <c r="H72" s="15" t="inlineStr">
        <is>
          <t>D</t>
        </is>
      </c>
      <c r="I72" s="110" t="n"/>
      <c r="J72" s="109" t="inlineStr">
        <is>
          <t>3ECP307158-0001</t>
        </is>
      </c>
      <c r="K72" s="15" t="inlineStr">
        <is>
          <t>C</t>
        </is>
      </c>
      <c r="L72" s="110" t="n"/>
      <c r="M72" s="109" t="inlineStr">
        <is>
          <t>3ECP307251-0004</t>
        </is>
      </c>
      <c r="N72" s="134" t="inlineStr">
        <is>
          <t>G</t>
        </is>
      </c>
      <c r="O72" s="110" t="n"/>
      <c r="P72" s="15" t="inlineStr">
        <is>
          <t>FS020022117-004</t>
        </is>
      </c>
      <c r="Q72" s="134" t="inlineStr">
        <is>
          <t>05.2</t>
        </is>
      </c>
      <c r="R72" s="168" t="inlineStr">
        <is>
          <t>FS020036994-004</t>
        </is>
      </c>
      <c r="S72" s="126" t="inlineStr">
        <is>
          <t>01.2</t>
        </is>
      </c>
      <c r="U72" s="110" t="n"/>
      <c r="W72" s="110" t="n"/>
    </row>
    <row r="73" outlineLevel="1" ht="30" customHeight="1" s="583">
      <c r="A73" s="114" t="inlineStr">
        <is>
          <t>Functional schematics T5</t>
        </is>
      </c>
      <c r="B73" s="114" t="inlineStr">
        <is>
          <t>FS_T5</t>
        </is>
      </c>
      <c r="C73" s="109" t="inlineStr">
        <is>
          <t>pdf</t>
        </is>
      </c>
      <c r="D73" s="109" t="inlineStr">
        <is>
          <t>3ECP502132-0001</t>
        </is>
      </c>
      <c r="E73" s="134" t="inlineStr">
        <is>
          <t>J</t>
        </is>
      </c>
      <c r="F73" s="110" t="n"/>
      <c r="G73" s="109" t="inlineStr">
        <is>
          <t>3ECP307211-0005</t>
        </is>
      </c>
      <c r="H73" s="15" t="inlineStr">
        <is>
          <t>D</t>
        </is>
      </c>
      <c r="I73" s="110" t="n"/>
      <c r="J73" s="109" t="inlineStr">
        <is>
          <t>3ECP307159-0001</t>
        </is>
      </c>
      <c r="K73" s="15" t="inlineStr">
        <is>
          <t>C</t>
        </is>
      </c>
      <c r="L73" s="110" t="n"/>
      <c r="M73" s="109" t="inlineStr">
        <is>
          <t>3ECP307251-0005</t>
        </is>
      </c>
      <c r="N73" s="134" t="inlineStr">
        <is>
          <t>G</t>
        </is>
      </c>
      <c r="O73" s="110" t="n"/>
      <c r="P73" s="15" t="inlineStr">
        <is>
          <t>FS020022117-005</t>
        </is>
      </c>
      <c r="Q73" s="134" t="inlineStr">
        <is>
          <t>05.2</t>
        </is>
      </c>
      <c r="R73" s="168" t="inlineStr">
        <is>
          <t>FS020036994-005</t>
        </is>
      </c>
      <c r="S73" s="126" t="inlineStr">
        <is>
          <t>01.2</t>
        </is>
      </c>
      <c r="U73" s="110" t="n"/>
      <c r="W73" s="110" t="n"/>
    </row>
    <row r="74" outlineLevel="1" ht="30" customHeight="1" s="583">
      <c r="A74" s="114" t="inlineStr">
        <is>
          <t>Functional schematics M6</t>
        </is>
      </c>
      <c r="B74" s="114" t="inlineStr">
        <is>
          <t>FS_M6</t>
        </is>
      </c>
      <c r="C74" s="109" t="inlineStr">
        <is>
          <t>pdf</t>
        </is>
      </c>
      <c r="D74" s="109" t="inlineStr">
        <is>
          <t>3ECP502133-0001</t>
        </is>
      </c>
      <c r="E74" s="134" t="inlineStr">
        <is>
          <t>J</t>
        </is>
      </c>
      <c r="F74" s="110" t="n"/>
      <c r="G74" s="109" t="inlineStr">
        <is>
          <t>3ECP307211-0006</t>
        </is>
      </c>
      <c r="H74" s="15" t="inlineStr">
        <is>
          <t>D</t>
        </is>
      </c>
      <c r="I74" s="110" t="n"/>
      <c r="J74" s="109" t="inlineStr">
        <is>
          <t>3ECP307160-0001</t>
        </is>
      </c>
      <c r="K74" s="15" t="inlineStr">
        <is>
          <t>C</t>
        </is>
      </c>
      <c r="L74" s="110" t="n"/>
      <c r="M74" s="109" t="inlineStr">
        <is>
          <t>3ECP307251-0006</t>
        </is>
      </c>
      <c r="N74" s="134" t="inlineStr">
        <is>
          <t>G</t>
        </is>
      </c>
      <c r="O74" s="110" t="n"/>
      <c r="P74" s="15" t="inlineStr">
        <is>
          <t>FS020022117-006</t>
        </is>
      </c>
      <c r="Q74" s="134" t="inlineStr">
        <is>
          <t>05.2</t>
        </is>
      </c>
      <c r="R74" s="168" t="inlineStr">
        <is>
          <t>FS020036994-006</t>
        </is>
      </c>
      <c r="S74" s="126" t="inlineStr">
        <is>
          <t>01.2</t>
        </is>
      </c>
      <c r="U74" s="110" t="n"/>
      <c r="W74" s="110" t="n"/>
    </row>
    <row r="75" outlineLevel="1" ht="30" customHeight="1" s="583">
      <c r="A75" s="114" t="inlineStr">
        <is>
          <t>Functional schematics TT7</t>
        </is>
      </c>
      <c r="B75" s="114" t="inlineStr">
        <is>
          <t>FS_TT7</t>
        </is>
      </c>
      <c r="C75" s="109" t="inlineStr">
        <is>
          <t>pdf</t>
        </is>
      </c>
      <c r="D75" s="109" t="inlineStr">
        <is>
          <t>3ECP502134-0001</t>
        </is>
      </c>
      <c r="E75" s="134" t="inlineStr">
        <is>
          <t>J</t>
        </is>
      </c>
      <c r="F75" s="110" t="n"/>
      <c r="G75" s="109" t="inlineStr">
        <is>
          <t>3ECP307211-0007</t>
        </is>
      </c>
      <c r="H75" s="15" t="inlineStr">
        <is>
          <t>C</t>
        </is>
      </c>
      <c r="I75" s="110" t="n"/>
      <c r="J75" s="109" t="inlineStr">
        <is>
          <t>3ECP307060-0001</t>
        </is>
      </c>
      <c r="K75" s="15" t="inlineStr">
        <is>
          <t>D</t>
        </is>
      </c>
      <c r="L75" s="110" t="n"/>
      <c r="M75" s="109" t="inlineStr">
        <is>
          <t>3ECP307251-0007</t>
        </is>
      </c>
      <c r="N75" s="134" t="inlineStr">
        <is>
          <t>G</t>
        </is>
      </c>
      <c r="O75" s="110" t="n"/>
      <c r="P75" s="15" t="inlineStr">
        <is>
          <t>FS020022117-007</t>
        </is>
      </c>
      <c r="Q75" s="134" t="inlineStr">
        <is>
          <t>05.2</t>
        </is>
      </c>
      <c r="R75" s="168" t="inlineStr">
        <is>
          <t>FS020036994-007</t>
        </is>
      </c>
      <c r="S75" s="126" t="inlineStr">
        <is>
          <t>01.2</t>
        </is>
      </c>
      <c r="U75" s="110" t="n"/>
      <c r="W75" s="110" t="n"/>
    </row>
    <row r="76" outlineLevel="1" ht="30" customHeight="1" s="583">
      <c r="A76" s="114" t="inlineStr">
        <is>
          <t>Functional schematics DM8</t>
        </is>
      </c>
      <c r="B76" s="114" t="inlineStr">
        <is>
          <t>FS_DM8</t>
        </is>
      </c>
      <c r="C76" s="109" t="inlineStr">
        <is>
          <t>pdf</t>
        </is>
      </c>
      <c r="D76" s="109" t="inlineStr">
        <is>
          <t>3ECP502135-0001</t>
        </is>
      </c>
      <c r="E76" s="15" t="inlineStr">
        <is>
          <t>N</t>
        </is>
      </c>
      <c r="F76" s="110" t="n"/>
      <c r="G76" s="109" t="inlineStr">
        <is>
          <t>3ECP307211-1408</t>
        </is>
      </c>
      <c r="H76" s="134" t="inlineStr">
        <is>
          <t>C</t>
        </is>
      </c>
      <c r="I76" s="110" t="n"/>
      <c r="J76" s="109" t="inlineStr">
        <is>
          <t>3ECP307052-0001</t>
        </is>
      </c>
      <c r="K76" s="15" t="inlineStr">
        <is>
          <t>G</t>
        </is>
      </c>
      <c r="L76" s="110" t="n"/>
      <c r="M76" s="109" t="inlineStr">
        <is>
          <t>3ECP307251-0008</t>
        </is>
      </c>
      <c r="N76" s="134" t="inlineStr">
        <is>
          <t>G</t>
        </is>
      </c>
      <c r="O76" s="110" t="n"/>
      <c r="P76" s="15" t="inlineStr">
        <is>
          <t>FS020022117-008</t>
        </is>
      </c>
      <c r="Q76" s="134" t="inlineStr">
        <is>
          <t>05.2</t>
        </is>
      </c>
      <c r="R76" s="168" t="inlineStr">
        <is>
          <t>FS020036994-008</t>
        </is>
      </c>
      <c r="S76" s="126" t="inlineStr">
        <is>
          <t>01.2</t>
        </is>
      </c>
      <c r="U76" s="110" t="n"/>
      <c r="W76" s="110" t="n"/>
    </row>
    <row r="77" ht="30" customHeight="1" s="583">
      <c r="A77" s="445" t="inlineStr">
        <is>
          <t>Wiring table</t>
        </is>
      </c>
      <c r="B77" s="445" t="n"/>
      <c r="C77" s="199" t="n"/>
      <c r="D77" s="447" t="n"/>
      <c r="E77" s="446" t="n"/>
      <c r="F77" s="118" t="n"/>
      <c r="G77" s="117" t="n"/>
      <c r="H77" s="446" t="n"/>
      <c r="I77" s="118" t="n"/>
      <c r="J77" s="117" t="n"/>
      <c r="K77" s="446" t="n"/>
      <c r="L77" s="118" t="n"/>
      <c r="M77" s="117" t="n"/>
      <c r="N77" s="446" t="n"/>
      <c r="O77" s="118" t="n"/>
      <c r="P77" s="446" t="inlineStr">
        <is>
          <t>FS020022117-009</t>
        </is>
      </c>
      <c r="Q77" s="448" t="inlineStr">
        <is>
          <t>05.2</t>
        </is>
      </c>
      <c r="R77" s="447" t="inlineStr">
        <is>
          <t>FS020036994-009</t>
        </is>
      </c>
      <c r="S77" s="449" t="inlineStr">
        <is>
          <t>01.2</t>
        </is>
      </c>
      <c r="T77" s="446" t="n"/>
      <c r="U77" s="118" t="n"/>
      <c r="V77" s="446" t="n"/>
      <c r="W77" s="118" t="n"/>
    </row>
    <row r="78" outlineLevel="1" s="583">
      <c r="A78" s="114" t="inlineStr">
        <is>
          <t>Wiring table DM1</t>
        </is>
      </c>
      <c r="B78" s="114" t="inlineStr">
        <is>
          <t>WT_DM1</t>
        </is>
      </c>
      <c r="C78" s="154" t="inlineStr">
        <is>
          <t>TBD</t>
        </is>
      </c>
      <c r="D78" s="109" t="inlineStr">
        <is>
          <t>3ECP502136-0001</t>
        </is>
      </c>
      <c r="E78" s="15" t="inlineStr">
        <is>
          <t>M</t>
        </is>
      </c>
      <c r="F78" s="123" t="n"/>
      <c r="G78" s="109" t="inlineStr">
        <is>
          <t>3ECP307212-1401</t>
        </is>
      </c>
      <c r="H78" s="134" t="inlineStr">
        <is>
          <t>B</t>
        </is>
      </c>
      <c r="I78" s="110" t="n"/>
      <c r="J78" s="109" t="inlineStr">
        <is>
          <t>3ECP307053-0001</t>
        </is>
      </c>
      <c r="K78" s="15" t="inlineStr">
        <is>
          <t>E</t>
        </is>
      </c>
      <c r="L78" s="110" t="n"/>
      <c r="M78" s="109" t="inlineStr">
        <is>
          <t>3ECP307252-0001</t>
        </is>
      </c>
      <c r="N78" s="134" t="inlineStr">
        <is>
          <t>G</t>
        </is>
      </c>
      <c r="O78" s="110" t="n"/>
      <c r="R78" s="109" t="n"/>
      <c r="S78" s="110" t="n"/>
      <c r="U78" s="110" t="n"/>
      <c r="W78" s="110" t="n"/>
    </row>
    <row r="79" outlineLevel="1" s="583">
      <c r="A79" s="114" t="inlineStr">
        <is>
          <t>Wiring table TT2</t>
        </is>
      </c>
      <c r="B79" s="114" t="inlineStr">
        <is>
          <t>WT_TT2</t>
        </is>
      </c>
      <c r="C79" s="154" t="inlineStr">
        <is>
          <t>TBD</t>
        </is>
      </c>
      <c r="D79" s="109" t="inlineStr">
        <is>
          <t>3ECP502137-0001</t>
        </is>
      </c>
      <c r="E79" s="134" t="inlineStr">
        <is>
          <t>J</t>
        </is>
      </c>
      <c r="F79" s="123" t="n"/>
      <c r="G79" s="109" t="inlineStr">
        <is>
          <t>3ECP307212-0002</t>
        </is>
      </c>
      <c r="H79" s="134" t="inlineStr">
        <is>
          <t>D</t>
        </is>
      </c>
      <c r="I79" s="110" t="n"/>
      <c r="J79" s="109" t="inlineStr">
        <is>
          <t>3ECP307061-0001</t>
        </is>
      </c>
      <c r="K79" s="15" t="inlineStr">
        <is>
          <t>D</t>
        </is>
      </c>
      <c r="L79" s="110" t="n"/>
      <c r="M79" s="109" t="inlineStr">
        <is>
          <t>3ECP307252-0002</t>
        </is>
      </c>
      <c r="N79" s="134" t="inlineStr">
        <is>
          <t>G</t>
        </is>
      </c>
      <c r="O79" s="110" t="n"/>
      <c r="R79" s="109" t="n"/>
      <c r="S79" s="110" t="n"/>
      <c r="U79" s="110" t="n"/>
      <c r="W79" s="110" t="n"/>
    </row>
    <row r="80" outlineLevel="1" s="583">
      <c r="A80" s="114" t="inlineStr">
        <is>
          <t>Wiring table M3</t>
        </is>
      </c>
      <c r="B80" s="114" t="inlineStr">
        <is>
          <t>WT_M3</t>
        </is>
      </c>
      <c r="C80" s="154" t="inlineStr">
        <is>
          <t>TBD</t>
        </is>
      </c>
      <c r="D80" s="109" t="inlineStr">
        <is>
          <t>3ECP502138-0001</t>
        </is>
      </c>
      <c r="E80" s="134" t="inlineStr">
        <is>
          <t>J</t>
        </is>
      </c>
      <c r="F80" s="123" t="n"/>
      <c r="G80" s="109" t="inlineStr">
        <is>
          <t>3ECP307212-0003</t>
        </is>
      </c>
      <c r="H80" s="134" t="inlineStr">
        <is>
          <t>D</t>
        </is>
      </c>
      <c r="I80" s="110" t="n"/>
      <c r="J80" s="109" t="inlineStr">
        <is>
          <t>3ECP307153-0001</t>
        </is>
      </c>
      <c r="K80" s="15" t="inlineStr">
        <is>
          <t>C</t>
        </is>
      </c>
      <c r="L80" s="110" t="n"/>
      <c r="M80" s="109" t="inlineStr">
        <is>
          <t>3ECP307252-0003</t>
        </is>
      </c>
      <c r="N80" s="134" t="inlineStr">
        <is>
          <t>G</t>
        </is>
      </c>
      <c r="O80" s="110" t="n"/>
      <c r="R80" s="109" t="n"/>
      <c r="S80" s="110" t="n"/>
      <c r="U80" s="110" t="n"/>
      <c r="W80" s="110" t="n"/>
    </row>
    <row r="81" outlineLevel="1" s="583">
      <c r="A81" s="114" t="inlineStr">
        <is>
          <t>Wiring table T4</t>
        </is>
      </c>
      <c r="B81" s="114" t="inlineStr">
        <is>
          <t>WT_T4</t>
        </is>
      </c>
      <c r="C81" s="154" t="inlineStr">
        <is>
          <t>TBD</t>
        </is>
      </c>
      <c r="D81" s="109" t="inlineStr">
        <is>
          <t>3ECP502139-0001</t>
        </is>
      </c>
      <c r="E81" s="134" t="inlineStr">
        <is>
          <t>J</t>
        </is>
      </c>
      <c r="F81" s="123" t="n"/>
      <c r="G81" s="109" t="inlineStr">
        <is>
          <t>3ECP307212-0004</t>
        </is>
      </c>
      <c r="H81" s="134" t="inlineStr">
        <is>
          <t>D</t>
        </is>
      </c>
      <c r="I81" s="110" t="n"/>
      <c r="J81" s="109" t="inlineStr">
        <is>
          <t>3ECP307154-0001</t>
        </is>
      </c>
      <c r="K81" s="15" t="inlineStr">
        <is>
          <t>C</t>
        </is>
      </c>
      <c r="L81" s="110" t="n"/>
      <c r="M81" s="109" t="inlineStr">
        <is>
          <t>3ECP307252-0004</t>
        </is>
      </c>
      <c r="N81" s="134" t="inlineStr">
        <is>
          <t>G</t>
        </is>
      </c>
      <c r="O81" s="110" t="n"/>
      <c r="R81" s="109" t="n"/>
      <c r="S81" s="110" t="n"/>
      <c r="U81" s="110" t="n"/>
      <c r="W81" s="110" t="n"/>
    </row>
    <row r="82" outlineLevel="1" s="583">
      <c r="A82" s="114" t="inlineStr">
        <is>
          <t>Wiring table T5</t>
        </is>
      </c>
      <c r="B82" s="114" t="inlineStr">
        <is>
          <t>WT_T5</t>
        </is>
      </c>
      <c r="C82" s="154" t="inlineStr">
        <is>
          <t>TBD</t>
        </is>
      </c>
      <c r="D82" s="109" t="inlineStr">
        <is>
          <t>3ECP502140-0001</t>
        </is>
      </c>
      <c r="E82" s="134" t="inlineStr">
        <is>
          <t>J</t>
        </is>
      </c>
      <c r="F82" s="123" t="n"/>
      <c r="G82" s="109" t="inlineStr">
        <is>
          <t>3ECP307212-0005</t>
        </is>
      </c>
      <c r="H82" s="134" t="inlineStr">
        <is>
          <t>D</t>
        </is>
      </c>
      <c r="I82" s="110" t="n"/>
      <c r="J82" s="109" t="inlineStr">
        <is>
          <t>3ECP307155-0001</t>
        </is>
      </c>
      <c r="K82" s="15" t="inlineStr">
        <is>
          <t>C</t>
        </is>
      </c>
      <c r="L82" s="110" t="n"/>
      <c r="M82" s="109" t="inlineStr">
        <is>
          <t>3ECP307252-0005</t>
        </is>
      </c>
      <c r="N82" s="134" t="inlineStr">
        <is>
          <t>G</t>
        </is>
      </c>
      <c r="O82" s="110" t="n"/>
      <c r="R82" s="109" t="n"/>
      <c r="S82" s="110" t="n"/>
      <c r="U82" s="110" t="n"/>
      <c r="W82" s="110" t="n"/>
    </row>
    <row r="83" outlineLevel="1" s="583">
      <c r="A83" s="114" t="inlineStr">
        <is>
          <t>Wiring table M6</t>
        </is>
      </c>
      <c r="B83" s="114" t="inlineStr">
        <is>
          <t>WT_M6</t>
        </is>
      </c>
      <c r="C83" s="154" t="inlineStr">
        <is>
          <t>TBD</t>
        </is>
      </c>
      <c r="D83" s="109" t="inlineStr">
        <is>
          <t>3ECP502141-0001</t>
        </is>
      </c>
      <c r="E83" s="134" t="inlineStr">
        <is>
          <t>J</t>
        </is>
      </c>
      <c r="F83" s="123" t="n"/>
      <c r="G83" s="109" t="inlineStr">
        <is>
          <t>3ECP307212-0006</t>
        </is>
      </c>
      <c r="H83" s="134" t="inlineStr">
        <is>
          <t>D</t>
        </is>
      </c>
      <c r="I83" s="110" t="n"/>
      <c r="J83" s="109" t="inlineStr">
        <is>
          <t>3ECP307156-0001</t>
        </is>
      </c>
      <c r="K83" s="15" t="inlineStr">
        <is>
          <t>C</t>
        </is>
      </c>
      <c r="L83" s="110" t="n"/>
      <c r="M83" s="109" t="inlineStr">
        <is>
          <t>3ECP307252-0006</t>
        </is>
      </c>
      <c r="N83" s="134" t="inlineStr">
        <is>
          <t>G</t>
        </is>
      </c>
      <c r="O83" s="110" t="n"/>
      <c r="R83" s="109" t="n"/>
      <c r="S83" s="110" t="n"/>
      <c r="U83" s="110" t="n"/>
      <c r="W83" s="110" t="n"/>
    </row>
    <row r="84" outlineLevel="1" s="583">
      <c r="A84" s="114" t="inlineStr">
        <is>
          <t>Wiring table TT7</t>
        </is>
      </c>
      <c r="B84" s="114" t="inlineStr">
        <is>
          <t>WT_TT7</t>
        </is>
      </c>
      <c r="C84" s="154" t="inlineStr">
        <is>
          <t>TBD</t>
        </is>
      </c>
      <c r="D84" s="109" t="inlineStr">
        <is>
          <t>3ECP502142-0001</t>
        </is>
      </c>
      <c r="E84" s="134" t="inlineStr">
        <is>
          <t>J</t>
        </is>
      </c>
      <c r="F84" s="123" t="n"/>
      <c r="G84" s="109" t="inlineStr">
        <is>
          <t>3ECP307212-0007</t>
        </is>
      </c>
      <c r="H84" s="134" t="inlineStr">
        <is>
          <t>D</t>
        </is>
      </c>
      <c r="I84" s="110" t="n"/>
      <c r="J84" s="109" t="inlineStr">
        <is>
          <t>3ECP307062-0001</t>
        </is>
      </c>
      <c r="K84" s="15" t="inlineStr">
        <is>
          <t>D</t>
        </is>
      </c>
      <c r="L84" s="110" t="n"/>
      <c r="M84" s="109" t="inlineStr">
        <is>
          <t>3ECP307252-0007</t>
        </is>
      </c>
      <c r="N84" s="134" t="inlineStr">
        <is>
          <t>G</t>
        </is>
      </c>
      <c r="O84" s="110" t="n"/>
      <c r="R84" s="109" t="n"/>
      <c r="S84" s="110" t="n"/>
      <c r="U84" s="110" t="n"/>
      <c r="W84" s="110" t="n"/>
    </row>
    <row r="85" outlineLevel="1" s="583">
      <c r="A85" s="114" t="inlineStr">
        <is>
          <t>Wiring table DM8</t>
        </is>
      </c>
      <c r="B85" s="114" t="inlineStr">
        <is>
          <t>WT_DM8</t>
        </is>
      </c>
      <c r="C85" s="154" t="inlineStr">
        <is>
          <t>TBD</t>
        </is>
      </c>
      <c r="D85" s="109" t="inlineStr">
        <is>
          <t>3ECP502143-0001</t>
        </is>
      </c>
      <c r="E85" s="15" t="inlineStr">
        <is>
          <t>N</t>
        </is>
      </c>
      <c r="F85" s="123" t="n"/>
      <c r="G85" s="109" t="inlineStr">
        <is>
          <t>3ECP307212-1408</t>
        </is>
      </c>
      <c r="H85" s="134" t="inlineStr">
        <is>
          <t>C</t>
        </is>
      </c>
      <c r="I85" s="110" t="n"/>
      <c r="J85" s="109" t="inlineStr">
        <is>
          <t>3ECP307054-0001</t>
        </is>
      </c>
      <c r="K85" s="15" t="inlineStr">
        <is>
          <t>G</t>
        </is>
      </c>
      <c r="L85" s="110" t="n"/>
      <c r="M85" s="109" t="inlineStr">
        <is>
          <t>3ECP307252-0008</t>
        </is>
      </c>
      <c r="N85" s="134" t="inlineStr">
        <is>
          <t>G</t>
        </is>
      </c>
      <c r="O85" s="110" t="n"/>
      <c r="R85" s="109" t="n"/>
      <c r="S85" s="110" t="n"/>
      <c r="U85" s="110" t="n"/>
      <c r="W85" s="110" t="n"/>
    </row>
    <row r="86">
      <c r="A86" s="445" t="inlineStr">
        <is>
          <t>Electric Part lists</t>
        </is>
      </c>
      <c r="B86" s="445" t="n"/>
      <c r="C86" s="199" t="n"/>
      <c r="D86" s="447" t="n"/>
      <c r="E86" s="446" t="n"/>
      <c r="F86" s="118" t="n"/>
      <c r="G86" s="117" t="n"/>
      <c r="H86" s="446" t="n"/>
      <c r="I86" s="118" t="n"/>
      <c r="J86" s="117" t="n"/>
      <c r="K86" s="446" t="n"/>
      <c r="L86" s="118" t="n"/>
      <c r="M86" s="117" t="n"/>
      <c r="N86" s="446" t="n"/>
      <c r="O86" s="118" t="n"/>
      <c r="P86" s="446" t="n"/>
      <c r="Q86" s="446" t="n"/>
      <c r="R86" s="117" t="n"/>
      <c r="S86" s="118" t="n"/>
      <c r="T86" s="446" t="n"/>
      <c r="U86" s="118" t="n"/>
      <c r="V86" s="446" t="n"/>
      <c r="W86" s="118" t="n"/>
    </row>
    <row r="87" outlineLevel="1" s="583">
      <c r="A87" s="114" t="inlineStr">
        <is>
          <t>Electric Part List DM1</t>
        </is>
      </c>
      <c r="B87" s="114" t="inlineStr">
        <is>
          <t>EPL_DM1</t>
        </is>
      </c>
      <c r="C87" s="154" t="inlineStr">
        <is>
          <t>TBD</t>
        </is>
      </c>
      <c r="D87" s="109" t="inlineStr">
        <is>
          <t>3ECP502144-0001</t>
        </is>
      </c>
      <c r="E87" s="15" t="inlineStr">
        <is>
          <t>M</t>
        </is>
      </c>
      <c r="F87" s="123" t="n"/>
      <c r="G87" s="109" t="inlineStr">
        <is>
          <t>3ECP307213-1401</t>
        </is>
      </c>
      <c r="H87" s="134" t="inlineStr">
        <is>
          <t>C</t>
        </is>
      </c>
      <c r="I87" s="110" t="n"/>
      <c r="J87" s="109" t="inlineStr">
        <is>
          <t>3ECP307055-0001</t>
        </is>
      </c>
      <c r="K87" s="15" t="inlineStr">
        <is>
          <t>E</t>
        </is>
      </c>
      <c r="L87" s="110" t="n"/>
      <c r="M87" s="109" t="inlineStr">
        <is>
          <t>3ECP307253-0001</t>
        </is>
      </c>
      <c r="N87" s="134" t="inlineStr">
        <is>
          <t>G</t>
        </is>
      </c>
      <c r="O87" s="110" t="n"/>
      <c r="R87" s="109" t="n"/>
      <c r="S87" s="110" t="n"/>
      <c r="U87" s="110" t="n"/>
      <c r="W87" s="110" t="n"/>
    </row>
    <row r="88" outlineLevel="1" s="583">
      <c r="A88" s="114" t="inlineStr">
        <is>
          <t>Electric Part List TT2</t>
        </is>
      </c>
      <c r="B88" s="114" t="inlineStr">
        <is>
          <t>EPL_TT2</t>
        </is>
      </c>
      <c r="C88" s="154" t="inlineStr">
        <is>
          <t>TBD</t>
        </is>
      </c>
      <c r="D88" s="109" t="inlineStr">
        <is>
          <t>3ECP502145-0001</t>
        </is>
      </c>
      <c r="E88" s="134" t="inlineStr">
        <is>
          <t>J</t>
        </is>
      </c>
      <c r="F88" s="123" t="n"/>
      <c r="G88" s="109" t="inlineStr">
        <is>
          <t>3ECP307213-0002</t>
        </is>
      </c>
      <c r="H88" s="134" t="inlineStr">
        <is>
          <t>D</t>
        </is>
      </c>
      <c r="I88" s="110" t="n"/>
      <c r="J88" s="109" t="inlineStr">
        <is>
          <t>3ECP307063-0001</t>
        </is>
      </c>
      <c r="K88" s="15" t="inlineStr">
        <is>
          <t>D</t>
        </is>
      </c>
      <c r="L88" s="110" t="n"/>
      <c r="M88" s="109" t="inlineStr">
        <is>
          <t>3ECP307253-0002</t>
        </is>
      </c>
      <c r="N88" s="134" t="inlineStr">
        <is>
          <t>G</t>
        </is>
      </c>
      <c r="O88" s="110" t="n"/>
      <c r="R88" s="109" t="n"/>
      <c r="S88" s="110" t="n"/>
      <c r="U88" s="110" t="n"/>
      <c r="W88" s="110" t="n"/>
    </row>
    <row r="89" outlineLevel="1" s="583">
      <c r="A89" s="114" t="inlineStr">
        <is>
          <t>Electric Part List M3</t>
        </is>
      </c>
      <c r="B89" s="114" t="inlineStr">
        <is>
          <t>EPL_M3</t>
        </is>
      </c>
      <c r="C89" s="154" t="inlineStr">
        <is>
          <t>TBD</t>
        </is>
      </c>
      <c r="D89" s="109" t="inlineStr">
        <is>
          <t>3ECP502146-0001</t>
        </is>
      </c>
      <c r="E89" s="134" t="inlineStr">
        <is>
          <t>J</t>
        </is>
      </c>
      <c r="F89" s="123" t="n"/>
      <c r="G89" s="109" t="inlineStr">
        <is>
          <t>3ECP307213-0003</t>
        </is>
      </c>
      <c r="H89" s="134" t="inlineStr">
        <is>
          <t>D</t>
        </is>
      </c>
      <c r="I89" s="110" t="n"/>
      <c r="J89" s="109" t="inlineStr">
        <is>
          <t>3ECP307161-0001</t>
        </is>
      </c>
      <c r="K89" s="15" t="inlineStr">
        <is>
          <t>C</t>
        </is>
      </c>
      <c r="L89" s="110" t="n"/>
      <c r="M89" s="109" t="inlineStr">
        <is>
          <t>3ECP307253-0003</t>
        </is>
      </c>
      <c r="N89" s="134" t="inlineStr">
        <is>
          <t>G</t>
        </is>
      </c>
      <c r="O89" s="110" t="n"/>
      <c r="R89" s="109" t="n"/>
      <c r="S89" s="110" t="n"/>
      <c r="U89" s="110" t="n"/>
      <c r="W89" s="110" t="n"/>
    </row>
    <row r="90" outlineLevel="1" s="583">
      <c r="A90" s="114" t="inlineStr">
        <is>
          <t>Electric Part List T4</t>
        </is>
      </c>
      <c r="B90" s="114" t="inlineStr">
        <is>
          <t>EPL_T4</t>
        </is>
      </c>
      <c r="C90" s="154" t="inlineStr">
        <is>
          <t>TBD</t>
        </is>
      </c>
      <c r="D90" s="109" t="inlineStr">
        <is>
          <t>3ECP502147-0001</t>
        </is>
      </c>
      <c r="E90" s="134" t="inlineStr">
        <is>
          <t>J</t>
        </is>
      </c>
      <c r="F90" s="123" t="n"/>
      <c r="G90" s="109" t="inlineStr">
        <is>
          <t>3ECP307213-0004</t>
        </is>
      </c>
      <c r="H90" s="134" t="inlineStr">
        <is>
          <t>D</t>
        </is>
      </c>
      <c r="I90" s="110" t="n"/>
      <c r="J90" s="109" t="inlineStr">
        <is>
          <t>3ECP307162-0001</t>
        </is>
      </c>
      <c r="K90" s="15" t="inlineStr">
        <is>
          <t>C</t>
        </is>
      </c>
      <c r="L90" s="110" t="n"/>
      <c r="M90" s="109" t="inlineStr">
        <is>
          <t>3ECP307253-0004</t>
        </is>
      </c>
      <c r="N90" s="134" t="inlineStr">
        <is>
          <t>G</t>
        </is>
      </c>
      <c r="O90" s="110" t="n"/>
      <c r="R90" s="109" t="n"/>
      <c r="S90" s="110" t="n"/>
      <c r="U90" s="110" t="n"/>
      <c r="W90" s="110" t="n"/>
    </row>
    <row r="91" outlineLevel="1" s="583">
      <c r="A91" s="114" t="inlineStr">
        <is>
          <t>Electric Part List T5</t>
        </is>
      </c>
      <c r="B91" s="114" t="inlineStr">
        <is>
          <t>EPL_T5</t>
        </is>
      </c>
      <c r="C91" s="154" t="inlineStr">
        <is>
          <t>TBD</t>
        </is>
      </c>
      <c r="D91" s="109" t="inlineStr">
        <is>
          <t>3ECP502148-0001</t>
        </is>
      </c>
      <c r="E91" s="134" t="inlineStr">
        <is>
          <t>J</t>
        </is>
      </c>
      <c r="F91" s="123" t="n"/>
      <c r="G91" s="109" t="inlineStr">
        <is>
          <t>3ECP307213-0005</t>
        </is>
      </c>
      <c r="H91" s="134" t="inlineStr">
        <is>
          <t>D</t>
        </is>
      </c>
      <c r="I91" s="110" t="n"/>
      <c r="J91" s="109" t="inlineStr">
        <is>
          <t>3ECP307163-0001</t>
        </is>
      </c>
      <c r="K91" s="15" t="inlineStr">
        <is>
          <t>C</t>
        </is>
      </c>
      <c r="L91" s="110" t="n"/>
      <c r="M91" s="109" t="inlineStr">
        <is>
          <t>3ECP307253-0005</t>
        </is>
      </c>
      <c r="N91" s="134" t="inlineStr">
        <is>
          <t>G</t>
        </is>
      </c>
      <c r="O91" s="110" t="n"/>
      <c r="R91" s="109" t="n"/>
      <c r="S91" s="110" t="n"/>
      <c r="U91" s="110" t="n"/>
      <c r="W91" s="110" t="n"/>
    </row>
    <row r="92" outlineLevel="1" s="583">
      <c r="A92" s="114" t="inlineStr">
        <is>
          <t>Electric Part List M6</t>
        </is>
      </c>
      <c r="B92" s="114" t="inlineStr">
        <is>
          <t>EPL_M6</t>
        </is>
      </c>
      <c r="C92" s="154" t="inlineStr">
        <is>
          <t>TBD</t>
        </is>
      </c>
      <c r="D92" s="109" t="inlineStr">
        <is>
          <t>3ECP502149-0001</t>
        </is>
      </c>
      <c r="E92" s="134" t="inlineStr">
        <is>
          <t>J</t>
        </is>
      </c>
      <c r="F92" s="123" t="n"/>
      <c r="G92" s="109" t="inlineStr">
        <is>
          <t>3ECP307213-0006</t>
        </is>
      </c>
      <c r="H92" s="134" t="inlineStr">
        <is>
          <t>D</t>
        </is>
      </c>
      <c r="I92" s="110" t="n"/>
      <c r="J92" s="109" t="inlineStr">
        <is>
          <t>3ECP307164-0001</t>
        </is>
      </c>
      <c r="K92" s="15" t="inlineStr">
        <is>
          <t>C</t>
        </is>
      </c>
      <c r="L92" s="110" t="n"/>
      <c r="M92" s="109" t="inlineStr">
        <is>
          <t>3ECP307253-0006</t>
        </is>
      </c>
      <c r="N92" s="134" t="inlineStr">
        <is>
          <t>G</t>
        </is>
      </c>
      <c r="O92" s="110" t="n"/>
      <c r="R92" s="109" t="n"/>
      <c r="S92" s="110" t="n"/>
      <c r="U92" s="110" t="n"/>
      <c r="W92" s="110" t="n"/>
    </row>
    <row r="93" outlineLevel="1" s="583">
      <c r="A93" s="114" t="inlineStr">
        <is>
          <t>Electric Part List TT7</t>
        </is>
      </c>
      <c r="B93" s="114" t="inlineStr">
        <is>
          <t>EPL_TT7</t>
        </is>
      </c>
      <c r="C93" s="154" t="inlineStr">
        <is>
          <t>TBD</t>
        </is>
      </c>
      <c r="D93" s="109" t="inlineStr">
        <is>
          <t>3ECP502150-0001</t>
        </is>
      </c>
      <c r="E93" s="134" t="inlineStr">
        <is>
          <t>J</t>
        </is>
      </c>
      <c r="F93" s="123" t="n"/>
      <c r="G93" s="109" t="inlineStr">
        <is>
          <t>3ECP307213-0007</t>
        </is>
      </c>
      <c r="H93" s="134" t="inlineStr">
        <is>
          <t>D</t>
        </is>
      </c>
      <c r="I93" s="110" t="n"/>
      <c r="J93" s="109" t="inlineStr">
        <is>
          <t>3ECP307164-0001</t>
        </is>
      </c>
      <c r="K93" s="15" t="inlineStr">
        <is>
          <t>D</t>
        </is>
      </c>
      <c r="L93" s="110" t="n"/>
      <c r="M93" s="109" t="inlineStr">
        <is>
          <t>3ECP307253-0007</t>
        </is>
      </c>
      <c r="N93" s="134" t="inlineStr">
        <is>
          <t>G</t>
        </is>
      </c>
      <c r="O93" s="110" t="n"/>
      <c r="R93" s="109" t="n"/>
      <c r="S93" s="110" t="n"/>
      <c r="U93" s="110" t="n"/>
      <c r="W93" s="110" t="n"/>
    </row>
    <row r="94" outlineLevel="1" s="583">
      <c r="A94" s="114" t="inlineStr">
        <is>
          <t>Electric Part List DM8</t>
        </is>
      </c>
      <c r="B94" s="114" t="inlineStr">
        <is>
          <t>EPL_DM8</t>
        </is>
      </c>
      <c r="C94" s="154" t="inlineStr">
        <is>
          <t>TBD</t>
        </is>
      </c>
      <c r="D94" s="109" t="inlineStr">
        <is>
          <t>3ECP502151-0001</t>
        </is>
      </c>
      <c r="E94" s="15" t="inlineStr">
        <is>
          <t>N</t>
        </is>
      </c>
      <c r="F94" s="123" t="n"/>
      <c r="G94" s="109" t="inlineStr">
        <is>
          <t>3ECP307213-1408</t>
        </is>
      </c>
      <c r="H94" s="134" t="inlineStr">
        <is>
          <t>C</t>
        </is>
      </c>
      <c r="I94" s="110" t="n"/>
      <c r="J94" s="109" t="inlineStr">
        <is>
          <t>3ECP307056-0001</t>
        </is>
      </c>
      <c r="K94" s="15" t="inlineStr">
        <is>
          <t>G</t>
        </is>
      </c>
      <c r="L94" s="110" t="n"/>
      <c r="M94" s="109" t="inlineStr">
        <is>
          <t>3ECP307253-0008</t>
        </is>
      </c>
      <c r="N94" s="134" t="inlineStr">
        <is>
          <t>G</t>
        </is>
      </c>
      <c r="O94" s="110" t="n"/>
      <c r="R94" s="109" t="n"/>
      <c r="S94" s="110" t="n"/>
      <c r="U94" s="110" t="n"/>
      <c r="W94" s="110" t="n"/>
    </row>
    <row r="95">
      <c r="A95" s="445" t="inlineStr">
        <is>
          <t>Interface Control Document</t>
        </is>
      </c>
      <c r="B95" s="454" t="inlineStr">
        <is>
          <t>NOTA</t>
        </is>
      </c>
      <c r="C95" s="450" t="n"/>
      <c r="D95" s="451" t="n"/>
      <c r="E95" s="446" t="n"/>
      <c r="F95" s="118" t="n"/>
      <c r="G95" s="117" t="n"/>
      <c r="H95" s="446" t="n"/>
      <c r="I95" s="118" t="n"/>
      <c r="J95" s="117" t="n"/>
      <c r="K95" s="446" t="n"/>
      <c r="L95" s="118" t="n"/>
      <c r="M95" s="117" t="n"/>
      <c r="N95" s="446" t="n"/>
      <c r="O95" s="118" t="n"/>
      <c r="P95" s="446" t="n"/>
      <c r="Q95" s="446" t="n"/>
      <c r="R95" s="117" t="n"/>
      <c r="S95" s="118" t="n"/>
      <c r="T95" s="446" t="n"/>
      <c r="U95" s="118" t="n"/>
      <c r="V95" s="446" t="n"/>
      <c r="W95" s="118" t="n"/>
    </row>
    <row r="96" outlineLevel="1" ht="30" customHeight="1" s="583">
      <c r="A96" s="114" t="inlineStr">
        <is>
          <t>ICD Sistema TCMS</t>
        </is>
      </c>
      <c r="B96" s="114" t="inlineStr">
        <is>
          <t>ICD_TCMS</t>
        </is>
      </c>
      <c r="C96" s="109" t="inlineStr">
        <is>
          <t>pdf</t>
        </is>
      </c>
      <c r="D96" s="15" t="inlineStr">
        <is>
          <t>3EST000225-0120</t>
        </is>
      </c>
      <c r="E96" s="15" t="inlineStr">
        <is>
          <t>D</t>
        </is>
      </c>
      <c r="F96" s="15" t="inlineStr">
        <is>
          <t>3EST000225-0120</t>
        </is>
      </c>
      <c r="G96" s="109" t="n"/>
      <c r="I96" s="110" t="n"/>
      <c r="J96" s="109" t="n"/>
      <c r="L96" s="110" t="n"/>
      <c r="M96" s="109" t="n"/>
      <c r="O96" s="110" t="n"/>
      <c r="P96" s="133" t="inlineStr">
        <is>
          <t>EC130021271</t>
        </is>
      </c>
      <c r="Q96" s="15" t="inlineStr">
        <is>
          <t>01.2</t>
        </is>
      </c>
      <c r="R96" s="423" t="inlineStr">
        <is>
          <t>EC130021271</t>
        </is>
      </c>
      <c r="S96" s="424" t="inlineStr">
        <is>
          <t>01.2</t>
        </is>
      </c>
      <c r="U96" s="110" t="n"/>
      <c r="W96" s="110" t="n"/>
    </row>
    <row r="97" outlineLevel="1" ht="30" customHeight="1" s="583">
      <c r="A97" s="114" t="inlineStr">
        <is>
          <t>ICD Sistema TCMS - Annex</t>
        </is>
      </c>
      <c r="B97" s="114" t="n"/>
      <c r="C97" s="109" t="inlineStr">
        <is>
          <t>xslx</t>
        </is>
      </c>
      <c r="D97" s="109" t="inlineStr">
        <is>
          <t>\</t>
        </is>
      </c>
      <c r="F97" s="110" t="inlineStr">
        <is>
          <t>\</t>
        </is>
      </c>
      <c r="G97" s="109" t="n"/>
      <c r="I97" s="110" t="n"/>
      <c r="J97" s="109" t="n"/>
      <c r="L97" s="110" t="n"/>
      <c r="M97" s="109" t="n"/>
      <c r="O97" s="110" t="n"/>
      <c r="P97" s="133" t="inlineStr">
        <is>
          <t>EC130021272</t>
        </is>
      </c>
      <c r="Q97" s="15" t="inlineStr">
        <is>
          <t>03.2</t>
        </is>
      </c>
      <c r="R97" s="423" t="inlineStr">
        <is>
          <t>EC130021272</t>
        </is>
      </c>
      <c r="S97" s="424" t="inlineStr">
        <is>
          <t>03.2</t>
        </is>
      </c>
      <c r="U97" s="110" t="n"/>
      <c r="W97" s="110" t="n"/>
    </row>
    <row r="98" outlineLevel="1" ht="30" customHeight="1" s="583">
      <c r="A98" s="114" t="inlineStr">
        <is>
          <t>ICD GTW IPTCOM-TRDP</t>
        </is>
      </c>
      <c r="B98" s="114" t="inlineStr">
        <is>
          <t>ICD_GTW</t>
        </is>
      </c>
      <c r="C98" s="109" t="inlineStr">
        <is>
          <t>pdf</t>
        </is>
      </c>
      <c r="D98" s="109" t="inlineStr">
        <is>
          <t>\</t>
        </is>
      </c>
      <c r="F98" s="110" t="inlineStr">
        <is>
          <t>\</t>
        </is>
      </c>
      <c r="G98" s="109" t="n"/>
      <c r="I98" s="110" t="n"/>
      <c r="J98" s="109" t="n"/>
      <c r="L98" s="110" t="n"/>
      <c r="M98" s="109" t="n"/>
      <c r="O98" s="110" t="n"/>
      <c r="P98" s="133" t="inlineStr">
        <is>
          <t>EC130019965</t>
        </is>
      </c>
      <c r="Q98" s="15" t="inlineStr">
        <is>
          <t>03.2</t>
        </is>
      </c>
      <c r="R98" s="423" t="inlineStr">
        <is>
          <t>EC130019965</t>
        </is>
      </c>
      <c r="S98" s="424" t="inlineStr">
        <is>
          <t>03.2</t>
        </is>
      </c>
      <c r="U98" s="110" t="n"/>
      <c r="W98" s="110" t="n"/>
    </row>
    <row r="99" outlineLevel="1" ht="30" customHeight="1" s="583">
      <c r="A99" s="114" t="inlineStr">
        <is>
          <t>ICD GTW IPTCOM-TRDP - Annex</t>
        </is>
      </c>
      <c r="B99" s="114" t="n"/>
      <c r="C99" s="109" t="inlineStr">
        <is>
          <t>xslx</t>
        </is>
      </c>
      <c r="D99" s="109" t="inlineStr">
        <is>
          <t>\</t>
        </is>
      </c>
      <c r="F99" s="110" t="inlineStr">
        <is>
          <t>\</t>
        </is>
      </c>
      <c r="G99" s="109" t="n"/>
      <c r="I99" s="110" t="n"/>
      <c r="J99" s="109" t="n"/>
      <c r="L99" s="110" t="n"/>
      <c r="M99" s="109" t="n"/>
      <c r="O99" s="110" t="n"/>
      <c r="P99" s="133" t="inlineStr">
        <is>
          <t>EC130019966</t>
        </is>
      </c>
      <c r="Q99" s="15" t="inlineStr">
        <is>
          <t>01.2</t>
        </is>
      </c>
      <c r="R99" s="423" t="inlineStr">
        <is>
          <t>EC130019966</t>
        </is>
      </c>
      <c r="S99" s="424" t="inlineStr">
        <is>
          <t>01.2</t>
        </is>
      </c>
      <c r="U99" s="110" t="n"/>
      <c r="W99" s="110" t="n"/>
    </row>
    <row r="100" outlineLevel="1" ht="30" customHeight="1" s="583">
      <c r="A100" s="114" t="inlineStr">
        <is>
          <t>ICD Sistema Propulsion TCU</t>
        </is>
      </c>
      <c r="B100" s="114" t="inlineStr">
        <is>
          <t>ICD_Propulsion</t>
        </is>
      </c>
      <c r="C100" s="109" t="inlineStr">
        <is>
          <t>pdf</t>
        </is>
      </c>
      <c r="D100" s="109" t="inlineStr">
        <is>
          <t>3EST000225-5108</t>
        </is>
      </c>
      <c r="E100" s="15" t="inlineStr">
        <is>
          <t>E</t>
        </is>
      </c>
      <c r="F100" s="110" t="inlineStr">
        <is>
          <t>\</t>
        </is>
      </c>
      <c r="G100" s="109" t="n"/>
      <c r="I100" s="110" t="n"/>
      <c r="J100" s="109" t="n"/>
      <c r="L100" s="110" t="n"/>
      <c r="M100" s="109" t="n"/>
      <c r="O100" s="110" t="n"/>
      <c r="P100" s="133" t="inlineStr">
        <is>
          <t>EC130019102</t>
        </is>
      </c>
      <c r="Q100" s="15" t="inlineStr">
        <is>
          <t>02.2</t>
        </is>
      </c>
      <c r="R100" s="423" t="inlineStr">
        <is>
          <t>EC130019102</t>
        </is>
      </c>
      <c r="S100" s="424" t="inlineStr">
        <is>
          <t>02.2</t>
        </is>
      </c>
      <c r="U100" s="110" t="n"/>
      <c r="W100" s="110" t="n"/>
    </row>
    <row r="101" outlineLevel="1" ht="30" customHeight="1" s="583">
      <c r="A101" s="114" t="inlineStr">
        <is>
          <t>ICD Sistema Propulsion TCU - Annex</t>
        </is>
      </c>
      <c r="B101" s="114" t="n"/>
      <c r="C101" s="109" t="inlineStr">
        <is>
          <t>xslx</t>
        </is>
      </c>
      <c r="D101" s="109" t="inlineStr">
        <is>
          <t>\</t>
        </is>
      </c>
      <c r="F101" s="110" t="inlineStr">
        <is>
          <t>\</t>
        </is>
      </c>
      <c r="G101" s="109" t="n"/>
      <c r="I101" s="110" t="n"/>
      <c r="J101" s="109" t="n"/>
      <c r="L101" s="110" t="n"/>
      <c r="M101" s="109" t="n"/>
      <c r="O101" s="110" t="n"/>
      <c r="P101" s="133" t="inlineStr">
        <is>
          <t>EC130019104</t>
        </is>
      </c>
      <c r="Q101" s="15" t="inlineStr">
        <is>
          <t>05.2</t>
        </is>
      </c>
      <c r="R101" s="423" t="inlineStr">
        <is>
          <t>EC130019104</t>
        </is>
      </c>
      <c r="S101" s="424" t="inlineStr">
        <is>
          <t>05.2</t>
        </is>
      </c>
      <c r="U101" s="110" t="n"/>
      <c r="W101" s="110" t="n"/>
    </row>
    <row r="102" outlineLevel="1" ht="30" customHeight="1" s="583">
      <c r="A102" s="114" t="inlineStr">
        <is>
          <t>ICD Pantografo</t>
        </is>
      </c>
      <c r="B102" s="114" t="inlineStr">
        <is>
          <t>ICD_Panto</t>
        </is>
      </c>
      <c r="C102" s="109" t="inlineStr">
        <is>
          <t>pdf</t>
        </is>
      </c>
      <c r="D102" s="109" t="inlineStr">
        <is>
          <t>3EST000225-7432</t>
        </is>
      </c>
      <c r="E102" s="15" t="inlineStr">
        <is>
          <t>C</t>
        </is>
      </c>
      <c r="F102" s="110" t="inlineStr">
        <is>
          <t>\</t>
        </is>
      </c>
      <c r="G102" s="109" t="n"/>
      <c r="I102" s="110" t="n"/>
      <c r="J102" s="109" t="n"/>
      <c r="L102" s="110" t="n"/>
      <c r="M102" s="109" t="n"/>
      <c r="O102" s="110" t="n"/>
      <c r="P102" s="133" t="inlineStr">
        <is>
          <t>EC130021259</t>
        </is>
      </c>
      <c r="Q102" s="15" t="inlineStr">
        <is>
          <t>00.3</t>
        </is>
      </c>
      <c r="R102" s="423" t="inlineStr">
        <is>
          <t>EC130021259</t>
        </is>
      </c>
      <c r="S102" s="424" t="inlineStr">
        <is>
          <t>00.3</t>
        </is>
      </c>
      <c r="U102" s="110" t="n"/>
      <c r="W102" s="110" t="n"/>
    </row>
    <row r="103" outlineLevel="1" ht="30" customHeight="1" s="583">
      <c r="A103" s="114" t="inlineStr">
        <is>
          <t>ICD Pantografo - Annex</t>
        </is>
      </c>
      <c r="B103" s="114" t="n"/>
      <c r="C103" s="109" t="inlineStr">
        <is>
          <t>xslx</t>
        </is>
      </c>
      <c r="D103" s="109" t="inlineStr">
        <is>
          <t>\</t>
        </is>
      </c>
      <c r="F103" s="110" t="inlineStr">
        <is>
          <t>\</t>
        </is>
      </c>
      <c r="G103" s="109" t="n"/>
      <c r="I103" s="110" t="n"/>
      <c r="J103" s="109" t="n"/>
      <c r="L103" s="110" t="n"/>
      <c r="M103" s="109" t="n"/>
      <c r="O103" s="110" t="n"/>
      <c r="P103" s="133" t="inlineStr">
        <is>
          <t>EC130021260</t>
        </is>
      </c>
      <c r="Q103" s="15" t="inlineStr">
        <is>
          <t>03.2</t>
        </is>
      </c>
      <c r="R103" s="423" t="inlineStr">
        <is>
          <t>EC130021260</t>
        </is>
      </c>
      <c r="S103" s="424" t="inlineStr">
        <is>
          <t>03.2</t>
        </is>
      </c>
      <c r="U103" s="110" t="n"/>
      <c r="W103" s="110" t="n"/>
    </row>
    <row r="104" outlineLevel="1" ht="30" customHeight="1" s="583">
      <c r="A104" s="114" t="inlineStr">
        <is>
          <t>ICD Sistema BCU</t>
        </is>
      </c>
      <c r="B104" s="114" t="inlineStr">
        <is>
          <t>ICD_Brake</t>
        </is>
      </c>
      <c r="C104" s="109" t="inlineStr">
        <is>
          <t>pdf</t>
        </is>
      </c>
      <c r="D104" s="109" t="inlineStr">
        <is>
          <t>3EST000225-7431</t>
        </is>
      </c>
      <c r="E104" s="15" t="inlineStr">
        <is>
          <t>D</t>
        </is>
      </c>
      <c r="F104" s="110" t="inlineStr">
        <is>
          <t>\</t>
        </is>
      </c>
      <c r="G104" s="109" t="n"/>
      <c r="I104" s="110" t="n"/>
      <c r="J104" s="109" t="n"/>
      <c r="L104" s="110" t="n"/>
      <c r="M104" s="109" t="n"/>
      <c r="O104" s="110" t="n"/>
      <c r="P104" s="133" t="inlineStr">
        <is>
          <t>EC130019100</t>
        </is>
      </c>
      <c r="Q104" s="15" t="inlineStr">
        <is>
          <t>02.2</t>
        </is>
      </c>
      <c r="R104" s="423" t="inlineStr">
        <is>
          <t>EC130019100</t>
        </is>
      </c>
      <c r="S104" s="424" t="inlineStr">
        <is>
          <t>02.2</t>
        </is>
      </c>
      <c r="U104" s="110" t="n"/>
      <c r="W104" s="110" t="n"/>
    </row>
    <row r="105" outlineLevel="1" ht="30" customHeight="1" s="583">
      <c r="A105" s="114" t="inlineStr">
        <is>
          <t>ICD Sistema BCU - Annex</t>
        </is>
      </c>
      <c r="B105" s="114" t="inlineStr">
        <is>
          <t>ICD_Brake_Annex</t>
        </is>
      </c>
      <c r="C105" s="109" t="inlineStr">
        <is>
          <t>xslx</t>
        </is>
      </c>
      <c r="D105" s="422" t="inlineStr">
        <is>
          <t>3EST000225-7431_Annex</t>
        </is>
      </c>
      <c r="F105" s="110" t="inlineStr">
        <is>
          <t>\</t>
        </is>
      </c>
      <c r="G105" s="109" t="n"/>
      <c r="I105" s="110" t="n"/>
      <c r="J105" s="109" t="n"/>
      <c r="L105" s="110" t="n"/>
      <c r="M105" s="109" t="n"/>
      <c r="O105" s="110" t="n"/>
      <c r="P105" s="133" t="inlineStr">
        <is>
          <t>EC130019101</t>
        </is>
      </c>
      <c r="Q105" s="15" t="inlineStr">
        <is>
          <t>03.3</t>
        </is>
      </c>
      <c r="R105" s="423" t="inlineStr">
        <is>
          <t>EC130019101</t>
        </is>
      </c>
      <c r="S105" s="424" t="inlineStr">
        <is>
          <t>03.3</t>
        </is>
      </c>
      <c r="U105" s="110" t="n"/>
      <c r="W105" s="110" t="n"/>
    </row>
    <row r="106" outlineLevel="1" ht="30" customHeight="1" s="583">
      <c r="A106" s="114" t="inlineStr">
        <is>
          <t>ICD Sistema Segnalamento</t>
        </is>
      </c>
      <c r="B106" s="114" t="inlineStr">
        <is>
          <t>ICD_ATP</t>
        </is>
      </c>
      <c r="C106" s="109" t="inlineStr">
        <is>
          <t>pdf</t>
        </is>
      </c>
      <c r="D106" s="109" t="inlineStr">
        <is>
          <t>\</t>
        </is>
      </c>
      <c r="F106" s="110" t="inlineStr">
        <is>
          <t>\</t>
        </is>
      </c>
      <c r="G106" s="109" t="n"/>
      <c r="I106" s="110" t="n"/>
      <c r="J106" s="109" t="n"/>
      <c r="L106" s="110" t="n"/>
      <c r="M106" s="109" t="n"/>
      <c r="O106" s="110" t="n"/>
      <c r="P106" s="133" t="inlineStr">
        <is>
          <t>EC130020522</t>
        </is>
      </c>
      <c r="Q106" s="15" t="inlineStr">
        <is>
          <t>01.3</t>
        </is>
      </c>
      <c r="R106" s="423" t="inlineStr">
        <is>
          <t>EC130020522</t>
        </is>
      </c>
      <c r="S106" s="424" t="inlineStr">
        <is>
          <t>01.3</t>
        </is>
      </c>
      <c r="U106" s="110" t="n"/>
      <c r="W106" s="110" t="n"/>
    </row>
    <row r="107" outlineLevel="1" ht="30" customHeight="1" s="583">
      <c r="A107" s="114" t="inlineStr">
        <is>
          <t>ICD Sistema Segnalamento - Annex</t>
        </is>
      </c>
      <c r="B107" s="114" t="n"/>
      <c r="C107" s="109" t="inlineStr">
        <is>
          <t>xslx</t>
        </is>
      </c>
      <c r="D107" s="109" t="inlineStr">
        <is>
          <t>\</t>
        </is>
      </c>
      <c r="F107" s="110" t="inlineStr">
        <is>
          <t>\</t>
        </is>
      </c>
      <c r="G107" s="109" t="n"/>
      <c r="I107" s="110" t="n"/>
      <c r="J107" s="109" t="n"/>
      <c r="L107" s="110" t="n"/>
      <c r="M107" s="109" t="n"/>
      <c r="O107" s="110" t="n"/>
      <c r="P107" s="133" t="inlineStr">
        <is>
          <t>EC130020523</t>
        </is>
      </c>
      <c r="Q107" s="15" t="inlineStr">
        <is>
          <t>03.2</t>
        </is>
      </c>
      <c r="R107" s="423" t="inlineStr">
        <is>
          <t>EC130020523</t>
        </is>
      </c>
      <c r="S107" s="424" t="inlineStr">
        <is>
          <t>03.2</t>
        </is>
      </c>
      <c r="U107" s="110" t="n"/>
      <c r="W107" s="110" t="n"/>
    </row>
    <row r="108" outlineLevel="1" ht="30" customHeight="1" s="583">
      <c r="A108" s="114" t="inlineStr">
        <is>
          <t>ICD Sistema PIS</t>
        </is>
      </c>
      <c r="B108" s="114" t="inlineStr">
        <is>
          <t>ICD_PIS</t>
        </is>
      </c>
      <c r="C108" s="109" t="inlineStr">
        <is>
          <t>pdf</t>
        </is>
      </c>
      <c r="D108" s="109" t="inlineStr">
        <is>
          <t>3EST000225-7439</t>
        </is>
      </c>
      <c r="E108" s="15" t="inlineStr">
        <is>
          <t>B</t>
        </is>
      </c>
      <c r="F108" s="110" t="inlineStr">
        <is>
          <t>\</t>
        </is>
      </c>
      <c r="G108" s="109" t="n"/>
      <c r="I108" s="110" t="n"/>
      <c r="J108" s="109" t="n"/>
      <c r="L108" s="110" t="n"/>
      <c r="M108" s="109" t="n"/>
      <c r="O108" s="110" t="n"/>
      <c r="P108" s="133" t="inlineStr">
        <is>
          <t>EC130021261</t>
        </is>
      </c>
      <c r="Q108" s="15" t="inlineStr">
        <is>
          <t>00.3</t>
        </is>
      </c>
      <c r="R108" s="423" t="inlineStr">
        <is>
          <t>EC130021261</t>
        </is>
      </c>
      <c r="S108" s="424" t="inlineStr">
        <is>
          <t>00.3</t>
        </is>
      </c>
      <c r="U108" s="110" t="n"/>
      <c r="W108" s="110" t="n"/>
    </row>
    <row r="109" outlineLevel="1" ht="30" customHeight="1" s="583">
      <c r="A109" s="114" t="inlineStr">
        <is>
          <t>ICD Sistema PIS - Annex</t>
        </is>
      </c>
      <c r="B109" s="114" t="n"/>
      <c r="C109" s="109" t="inlineStr">
        <is>
          <t>xslx</t>
        </is>
      </c>
      <c r="D109" s="109" t="inlineStr">
        <is>
          <t>\</t>
        </is>
      </c>
      <c r="F109" s="110" t="inlineStr">
        <is>
          <t>\</t>
        </is>
      </c>
      <c r="G109" s="109" t="n"/>
      <c r="I109" s="110" t="n"/>
      <c r="J109" s="109" t="n"/>
      <c r="L109" s="110" t="n"/>
      <c r="M109" s="109" t="n"/>
      <c r="O109" s="110" t="n"/>
      <c r="P109" s="133" t="inlineStr">
        <is>
          <t>EC130021262</t>
        </is>
      </c>
      <c r="Q109" s="15" t="inlineStr">
        <is>
          <t>01.3</t>
        </is>
      </c>
      <c r="R109" s="423" t="inlineStr">
        <is>
          <t>EC130021262</t>
        </is>
      </c>
      <c r="S109" s="424" t="inlineStr">
        <is>
          <t>01.3</t>
        </is>
      </c>
      <c r="U109" s="110" t="n"/>
      <c r="W109" s="110" t="n"/>
    </row>
    <row r="110" outlineLevel="1" ht="30" customHeight="1" s="583">
      <c r="A110" s="114" t="inlineStr">
        <is>
          <t>ICD Sistema Toilette</t>
        </is>
      </c>
      <c r="B110" s="114" t="inlineStr">
        <is>
          <t>ICD_Toilet</t>
        </is>
      </c>
      <c r="C110" s="109" t="inlineStr">
        <is>
          <t>pdf</t>
        </is>
      </c>
      <c r="D110" s="109" t="inlineStr">
        <is>
          <t>3EST000225-7438</t>
        </is>
      </c>
      <c r="E110" s="15" t="inlineStr">
        <is>
          <t>E</t>
        </is>
      </c>
      <c r="F110" s="110" t="inlineStr">
        <is>
          <t>\</t>
        </is>
      </c>
      <c r="G110" s="109" t="n"/>
      <c r="I110" s="110" t="n"/>
      <c r="J110" s="109" t="n"/>
      <c r="L110" s="110" t="n"/>
      <c r="M110" s="109" t="n"/>
      <c r="O110" s="110" t="n"/>
      <c r="P110" s="133" t="inlineStr">
        <is>
          <t>EC130021264</t>
        </is>
      </c>
      <c r="Q110" s="15" t="inlineStr">
        <is>
          <t>00.3</t>
        </is>
      </c>
      <c r="R110" s="423" t="inlineStr">
        <is>
          <t>EC130021264</t>
        </is>
      </c>
      <c r="S110" s="424" t="inlineStr">
        <is>
          <t>00.3</t>
        </is>
      </c>
      <c r="U110" s="110" t="n"/>
      <c r="W110" s="110" t="n"/>
    </row>
    <row r="111" outlineLevel="1" ht="30" customHeight="1" s="583">
      <c r="A111" s="114" t="inlineStr">
        <is>
          <t>ICD Sistema Toilette - Annex</t>
        </is>
      </c>
      <c r="B111" s="114" t="n"/>
      <c r="C111" s="109" t="inlineStr">
        <is>
          <t>xslx</t>
        </is>
      </c>
      <c r="D111" s="109" t="inlineStr">
        <is>
          <t>\</t>
        </is>
      </c>
      <c r="F111" s="110" t="inlineStr">
        <is>
          <t>\</t>
        </is>
      </c>
      <c r="G111" s="109" t="n"/>
      <c r="I111" s="110" t="n"/>
      <c r="J111" s="109" t="n"/>
      <c r="L111" s="110" t="n"/>
      <c r="M111" s="109" t="n"/>
      <c r="O111" s="110" t="n"/>
      <c r="P111" s="133" t="inlineStr">
        <is>
          <t>EC130021265</t>
        </is>
      </c>
      <c r="Q111" s="15" t="inlineStr">
        <is>
          <t>02.2</t>
        </is>
      </c>
      <c r="R111" s="423" t="inlineStr">
        <is>
          <t>EC130021265</t>
        </is>
      </c>
      <c r="S111" s="424" t="inlineStr">
        <is>
          <t>02.2</t>
        </is>
      </c>
      <c r="U111" s="110" t="n"/>
      <c r="W111" s="110" t="n"/>
    </row>
    <row r="112" outlineLevel="1" ht="30" customHeight="1" s="583">
      <c r="A112" s="114" t="inlineStr">
        <is>
          <t>ICD Sistema Anticendio</t>
        </is>
      </c>
      <c r="B112" s="114" t="inlineStr">
        <is>
          <t>ICD_FPS</t>
        </is>
      </c>
      <c r="C112" s="109" t="inlineStr">
        <is>
          <t>pdf</t>
        </is>
      </c>
      <c r="D112" s="109" t="inlineStr">
        <is>
          <t>3EST000225-7440</t>
        </is>
      </c>
      <c r="E112" s="15" t="inlineStr">
        <is>
          <t>E</t>
        </is>
      </c>
      <c r="F112" s="110" t="inlineStr">
        <is>
          <t>\</t>
        </is>
      </c>
      <c r="G112" s="109" t="n"/>
      <c r="I112" s="110" t="n"/>
      <c r="J112" s="109" t="n"/>
      <c r="L112" s="110" t="n"/>
      <c r="M112" s="109" t="n"/>
      <c r="O112" s="110" t="n"/>
      <c r="P112" s="133" t="inlineStr">
        <is>
          <t>EC130021300</t>
        </is>
      </c>
      <c r="Q112" s="15" t="inlineStr">
        <is>
          <t>00.5</t>
        </is>
      </c>
      <c r="R112" s="423" t="inlineStr">
        <is>
          <t>EC130021300</t>
        </is>
      </c>
      <c r="S112" s="424" t="inlineStr">
        <is>
          <t>00.5</t>
        </is>
      </c>
      <c r="U112" s="110" t="n"/>
      <c r="W112" s="110" t="n"/>
    </row>
    <row r="113" outlineLevel="1" ht="30" customHeight="1" s="583">
      <c r="A113" s="114" t="inlineStr">
        <is>
          <t>ICD Sistema Anticendio - Annex</t>
        </is>
      </c>
      <c r="B113" s="114" t="n"/>
      <c r="C113" s="109" t="inlineStr">
        <is>
          <t>xslx</t>
        </is>
      </c>
      <c r="D113" s="109" t="inlineStr">
        <is>
          <t>\</t>
        </is>
      </c>
      <c r="F113" s="110" t="inlineStr">
        <is>
          <t>\</t>
        </is>
      </c>
      <c r="G113" s="109" t="n"/>
      <c r="I113" s="110" t="n"/>
      <c r="J113" s="109" t="n"/>
      <c r="L113" s="110" t="n"/>
      <c r="M113" s="109" t="n"/>
      <c r="O113" s="110" t="n"/>
      <c r="P113" s="133" t="inlineStr">
        <is>
          <t>EC130021301</t>
        </is>
      </c>
      <c r="Q113" s="15" t="inlineStr">
        <is>
          <t>04.2</t>
        </is>
      </c>
      <c r="R113" s="423" t="inlineStr">
        <is>
          <t>EC130021301</t>
        </is>
      </c>
      <c r="S113" s="424" t="inlineStr">
        <is>
          <t>04.2</t>
        </is>
      </c>
      <c r="U113" s="110" t="n"/>
      <c r="W113" s="110" t="n"/>
    </row>
    <row r="114" outlineLevel="1" ht="30" customHeight="1" s="583">
      <c r="A114" s="114" t="inlineStr">
        <is>
          <t>ICD Sistema Porte</t>
        </is>
      </c>
      <c r="B114" s="114" t="inlineStr">
        <is>
          <t>ICD_Doors</t>
        </is>
      </c>
      <c r="C114" s="109" t="inlineStr">
        <is>
          <t>pdf</t>
        </is>
      </c>
      <c r="D114" s="109" t="inlineStr">
        <is>
          <t>3EST000225-7437</t>
        </is>
      </c>
      <c r="E114" s="15" t="inlineStr">
        <is>
          <t>C</t>
        </is>
      </c>
      <c r="F114" s="110" t="inlineStr">
        <is>
          <t>\</t>
        </is>
      </c>
      <c r="G114" s="109" t="n"/>
      <c r="I114" s="110" t="n"/>
      <c r="J114" s="109" t="n"/>
      <c r="L114" s="110" t="n"/>
      <c r="M114" s="109" t="n"/>
      <c r="O114" s="110" t="n"/>
      <c r="P114" s="133" t="inlineStr">
        <is>
          <t>EC130021266</t>
        </is>
      </c>
      <c r="Q114" s="15" t="inlineStr">
        <is>
          <t>00.3</t>
        </is>
      </c>
      <c r="R114" s="423" t="inlineStr">
        <is>
          <t>EC130021266</t>
        </is>
      </c>
      <c r="S114" s="424" t="inlineStr">
        <is>
          <t>00.3</t>
        </is>
      </c>
      <c r="U114" s="110" t="n"/>
      <c r="W114" s="110" t="n"/>
    </row>
    <row r="115" outlineLevel="1" ht="30" customHeight="1" s="583">
      <c r="A115" s="114" t="inlineStr">
        <is>
          <t>ICD Sistema Porte - Annex</t>
        </is>
      </c>
      <c r="B115" s="114" t="n"/>
      <c r="C115" s="109" t="inlineStr">
        <is>
          <t>xslx</t>
        </is>
      </c>
      <c r="D115" s="109" t="inlineStr">
        <is>
          <t>\</t>
        </is>
      </c>
      <c r="F115" s="110" t="inlineStr">
        <is>
          <t>\</t>
        </is>
      </c>
      <c r="G115" s="109" t="n"/>
      <c r="I115" s="110" t="n"/>
      <c r="J115" s="109" t="n"/>
      <c r="L115" s="110" t="n"/>
      <c r="M115" s="109" t="n"/>
      <c r="O115" s="110" t="n"/>
      <c r="P115" s="133" t="inlineStr">
        <is>
          <t>EC130021268</t>
        </is>
      </c>
      <c r="Q115" s="15" t="inlineStr">
        <is>
          <t>01.2</t>
        </is>
      </c>
      <c r="R115" s="423" t="inlineStr">
        <is>
          <t>EC130021268</t>
        </is>
      </c>
      <c r="S115" s="424" t="inlineStr">
        <is>
          <t>01.2</t>
        </is>
      </c>
      <c r="U115" s="110" t="n"/>
      <c r="W115" s="110" t="n"/>
    </row>
    <row r="116" outlineLevel="1" ht="30" customHeight="1" s="583">
      <c r="A116" s="114" t="inlineStr">
        <is>
          <t>ICD Sistema HVSP</t>
        </is>
      </c>
      <c r="B116" s="114" t="inlineStr">
        <is>
          <t>ICD_HVSP</t>
        </is>
      </c>
      <c r="C116" s="109" t="inlineStr">
        <is>
          <t>pdf</t>
        </is>
      </c>
      <c r="D116" s="109" t="inlineStr">
        <is>
          <t>\</t>
        </is>
      </c>
      <c r="F116" s="110" t="inlineStr">
        <is>
          <t>\</t>
        </is>
      </c>
      <c r="G116" s="109" t="n"/>
      <c r="I116" s="110" t="n"/>
      <c r="J116" s="109" t="n"/>
      <c r="L116" s="110" t="n"/>
      <c r="M116" s="109" t="n"/>
      <c r="O116" s="110" t="n"/>
      <c r="P116" s="133" t="inlineStr">
        <is>
          <t>EC130023723</t>
        </is>
      </c>
      <c r="Q116" s="15" t="inlineStr">
        <is>
          <t>01.2</t>
        </is>
      </c>
      <c r="R116" s="423" t="inlineStr">
        <is>
          <t>EC130023723</t>
        </is>
      </c>
      <c r="S116" s="424" t="inlineStr">
        <is>
          <t>01.2</t>
        </is>
      </c>
      <c r="U116" s="110" t="n"/>
      <c r="W116" s="110" t="n"/>
    </row>
    <row r="117" outlineLevel="1" ht="30" customHeight="1" s="583">
      <c r="A117" s="114" t="inlineStr">
        <is>
          <t>ICD Sistema HVSP  - Annex</t>
        </is>
      </c>
      <c r="B117" s="114" t="n"/>
      <c r="C117" s="109" t="inlineStr">
        <is>
          <t>xslx</t>
        </is>
      </c>
      <c r="D117" s="109" t="inlineStr">
        <is>
          <t>\</t>
        </is>
      </c>
      <c r="F117" s="110" t="inlineStr">
        <is>
          <t>\</t>
        </is>
      </c>
      <c r="G117" s="109" t="n"/>
      <c r="I117" s="110" t="n"/>
      <c r="J117" s="109" t="n"/>
      <c r="L117" s="110" t="n"/>
      <c r="M117" s="109" t="n"/>
      <c r="O117" s="110" t="n"/>
      <c r="P117" s="133" t="inlineStr">
        <is>
          <t>EC130023724</t>
        </is>
      </c>
      <c r="Q117" s="15" t="inlineStr">
        <is>
          <t>04.2</t>
        </is>
      </c>
      <c r="R117" s="423" t="inlineStr">
        <is>
          <t>EC130023724</t>
        </is>
      </c>
      <c r="S117" s="424" t="inlineStr">
        <is>
          <t>04.2</t>
        </is>
      </c>
      <c r="U117" s="110" t="n"/>
      <c r="W117" s="110" t="n"/>
    </row>
    <row r="118" outlineLevel="1" ht="30" customHeight="1" s="583">
      <c r="A118" s="114" t="inlineStr">
        <is>
          <t>ICD Sistema Carica Batterie</t>
        </is>
      </c>
      <c r="B118" s="114" t="inlineStr">
        <is>
          <t>ICD_Battery charger</t>
        </is>
      </c>
      <c r="C118" s="109" t="inlineStr">
        <is>
          <t>pdf</t>
        </is>
      </c>
      <c r="D118" s="109" t="inlineStr">
        <is>
          <t>3EST000225-7435</t>
        </is>
      </c>
      <c r="E118" s="15" t="inlineStr">
        <is>
          <t>C</t>
        </is>
      </c>
      <c r="F118" s="110" t="inlineStr">
        <is>
          <t>\</t>
        </is>
      </c>
      <c r="G118" s="109" t="n"/>
      <c r="I118" s="110" t="n"/>
      <c r="J118" s="109" t="n"/>
      <c r="L118" s="110" t="n"/>
      <c r="M118" s="109" t="n"/>
      <c r="O118" s="110" t="n"/>
      <c r="P118" s="133" t="inlineStr">
        <is>
          <t>EC130021254</t>
        </is>
      </c>
      <c r="Q118" s="15" t="inlineStr">
        <is>
          <t>00.4</t>
        </is>
      </c>
      <c r="R118" s="423" t="inlineStr">
        <is>
          <t>EC130021254</t>
        </is>
      </c>
      <c r="S118" s="424" t="inlineStr">
        <is>
          <t>00.4</t>
        </is>
      </c>
      <c r="U118" s="110" t="n"/>
      <c r="W118" s="110" t="n"/>
    </row>
    <row r="119" outlineLevel="1" ht="30" customHeight="1" s="583">
      <c r="A119" s="114" t="inlineStr">
        <is>
          <t>ICD Sistema Carica Batterie - Annex</t>
        </is>
      </c>
      <c r="B119" s="114" t="n"/>
      <c r="C119" s="109" t="inlineStr">
        <is>
          <t>xslx</t>
        </is>
      </c>
      <c r="D119" s="109" t="inlineStr">
        <is>
          <t>\</t>
        </is>
      </c>
      <c r="F119" s="110" t="inlineStr">
        <is>
          <t>\</t>
        </is>
      </c>
      <c r="G119" s="109" t="n"/>
      <c r="I119" s="110" t="n"/>
      <c r="J119" s="109" t="n"/>
      <c r="L119" s="110" t="n"/>
      <c r="M119" s="109" t="n"/>
      <c r="O119" s="110" t="n"/>
      <c r="P119" s="133" t="inlineStr">
        <is>
          <t>EC130021255</t>
        </is>
      </c>
      <c r="Q119" s="15" t="inlineStr">
        <is>
          <t>01.2</t>
        </is>
      </c>
      <c r="R119" s="423" t="inlineStr">
        <is>
          <t>EC130021255</t>
        </is>
      </c>
      <c r="S119" s="424" t="inlineStr">
        <is>
          <t>01.2</t>
        </is>
      </c>
      <c r="U119" s="110" t="n"/>
      <c r="W119" s="110" t="n"/>
    </row>
    <row r="120" outlineLevel="1" ht="30" customHeight="1" s="583">
      <c r="A120" s="114" t="inlineStr">
        <is>
          <t>ICD HVAC</t>
        </is>
      </c>
      <c r="B120" s="114" t="inlineStr">
        <is>
          <t>ICD_HVAC</t>
        </is>
      </c>
      <c r="C120" s="109" t="inlineStr">
        <is>
          <t>pdf</t>
        </is>
      </c>
      <c r="D120" s="109" t="inlineStr">
        <is>
          <t>3EST000225-7436</t>
        </is>
      </c>
      <c r="E120" s="15" t="inlineStr">
        <is>
          <t>C</t>
        </is>
      </c>
      <c r="F120" s="110" t="inlineStr">
        <is>
          <t>\</t>
        </is>
      </c>
      <c r="G120" s="109" t="n"/>
      <c r="I120" s="110" t="n"/>
      <c r="J120" s="109" t="n"/>
      <c r="L120" s="110" t="n"/>
      <c r="M120" s="109" t="n"/>
      <c r="O120" s="110" t="n"/>
      <c r="P120" s="133" t="inlineStr">
        <is>
          <t>EC130021304</t>
        </is>
      </c>
      <c r="Q120" s="15" t="inlineStr">
        <is>
          <t>00.4</t>
        </is>
      </c>
      <c r="R120" s="423" t="inlineStr">
        <is>
          <t>EC130021304</t>
        </is>
      </c>
      <c r="S120" s="424" t="inlineStr">
        <is>
          <t>00.4</t>
        </is>
      </c>
      <c r="U120" s="110" t="n"/>
      <c r="W120" s="110" t="n"/>
    </row>
    <row r="121" outlineLevel="1" ht="30" customHeight="1" s="583">
      <c r="A121" s="114" t="inlineStr">
        <is>
          <t>ICD HVAC - Annex</t>
        </is>
      </c>
      <c r="B121" s="114" t="n"/>
      <c r="C121" s="109" t="inlineStr">
        <is>
          <t>xslx</t>
        </is>
      </c>
      <c r="D121" s="109" t="inlineStr">
        <is>
          <t>\</t>
        </is>
      </c>
      <c r="F121" s="110" t="inlineStr">
        <is>
          <t>\</t>
        </is>
      </c>
      <c r="G121" s="109" t="n"/>
      <c r="I121" s="110" t="n"/>
      <c r="J121" s="109" t="n"/>
      <c r="L121" s="110" t="n"/>
      <c r="M121" s="109" t="n"/>
      <c r="O121" s="110" t="n"/>
      <c r="P121" s="133" t="inlineStr">
        <is>
          <t>EC130021305</t>
        </is>
      </c>
      <c r="Q121" s="15" t="inlineStr">
        <is>
          <t>02.2</t>
        </is>
      </c>
      <c r="R121" s="423" t="inlineStr">
        <is>
          <t>EC130021305</t>
        </is>
      </c>
      <c r="S121" s="424" t="inlineStr">
        <is>
          <t>02.2</t>
        </is>
      </c>
      <c r="U121" s="110" t="n"/>
      <c r="W121" s="110" t="n"/>
    </row>
    <row r="122" outlineLevel="1" ht="30" customHeight="1" s="583">
      <c r="A122" s="114" t="inlineStr">
        <is>
          <t>ICD Energy Measurement System</t>
        </is>
      </c>
      <c r="B122" s="114" t="inlineStr">
        <is>
          <t>ICD_EMS</t>
        </is>
      </c>
      <c r="C122" s="109" t="inlineStr">
        <is>
          <t>pdf</t>
        </is>
      </c>
      <c r="D122" s="109" t="inlineStr">
        <is>
          <t>\</t>
        </is>
      </c>
      <c r="F122" s="110" t="inlineStr">
        <is>
          <t>\</t>
        </is>
      </c>
      <c r="G122" s="109" t="n"/>
      <c r="I122" s="110" t="n"/>
      <c r="J122" s="109" t="n"/>
      <c r="L122" s="110" t="n"/>
      <c r="M122" s="109" t="n"/>
      <c r="O122" s="110" t="n"/>
      <c r="P122" s="133" t="inlineStr">
        <is>
          <t>EC130023132</t>
        </is>
      </c>
      <c r="Q122" s="15" t="inlineStr">
        <is>
          <t>01.2</t>
        </is>
      </c>
      <c r="R122" s="423" t="inlineStr">
        <is>
          <t>EC130023132</t>
        </is>
      </c>
      <c r="S122" s="424" t="inlineStr">
        <is>
          <t>01.2</t>
        </is>
      </c>
      <c r="U122" s="110" t="n"/>
      <c r="W122" s="110" t="n"/>
    </row>
    <row r="123" outlineLevel="1" ht="30" customHeight="1" s="583">
      <c r="A123" s="114" t="inlineStr">
        <is>
          <t>ICD Energy Measurement System - Annex</t>
        </is>
      </c>
      <c r="B123" s="114" t="n"/>
      <c r="C123" s="109" t="inlineStr">
        <is>
          <t>xslx</t>
        </is>
      </c>
      <c r="D123" s="109" t="inlineStr">
        <is>
          <t>\</t>
        </is>
      </c>
      <c r="F123" s="110" t="inlineStr">
        <is>
          <t>\</t>
        </is>
      </c>
      <c r="G123" s="109" t="n"/>
      <c r="I123" s="110" t="n"/>
      <c r="J123" s="109" t="n"/>
      <c r="L123" s="110" t="n"/>
      <c r="M123" s="109" t="n"/>
      <c r="O123" s="110" t="n"/>
      <c r="P123" s="133" t="inlineStr">
        <is>
          <t>EC130023133</t>
        </is>
      </c>
      <c r="Q123" s="15" t="inlineStr">
        <is>
          <t>02.2</t>
        </is>
      </c>
      <c r="R123" s="423" t="inlineStr">
        <is>
          <t>EC130023133</t>
        </is>
      </c>
      <c r="S123" s="424" t="inlineStr">
        <is>
          <t>02.2</t>
        </is>
      </c>
      <c r="U123" s="110" t="n"/>
      <c r="W123" s="110" t="n"/>
    </row>
    <row r="124">
      <c r="A124" s="445" t="inlineStr">
        <is>
          <t>General Vehicle Document</t>
        </is>
      </c>
      <c r="B124" s="445" t="n"/>
      <c r="C124" s="199" t="n"/>
      <c r="D124" s="117" t="n"/>
      <c r="E124" s="446" t="n"/>
      <c r="F124" s="118" t="n"/>
      <c r="G124" s="117" t="n"/>
      <c r="H124" s="446" t="n"/>
      <c r="I124" s="118" t="n"/>
      <c r="J124" s="117" t="n"/>
      <c r="K124" s="446" t="n"/>
      <c r="L124" s="118" t="n"/>
      <c r="M124" s="117" t="n"/>
      <c r="N124" s="446" t="n"/>
      <c r="O124" s="118" t="n"/>
      <c r="P124" s="446" t="n"/>
      <c r="Q124" s="446" t="n"/>
      <c r="R124" s="117" t="n"/>
      <c r="S124" s="118" t="n"/>
      <c r="T124" s="446" t="n"/>
      <c r="U124" s="118" t="n"/>
      <c r="V124" s="446" t="n"/>
      <c r="W124" s="118" t="n"/>
    </row>
    <row r="125" outlineLevel="1" ht="30" customHeight="1" s="583">
      <c r="A125" s="114" t="inlineStr">
        <is>
          <t>Train Performances</t>
        </is>
      </c>
      <c r="B125" s="114">
        <f>CONCATENATE("GVN_",A125)</f>
        <v/>
      </c>
      <c r="C125" s="109" t="inlineStr">
        <is>
          <t>pdf</t>
        </is>
      </c>
      <c r="D125" s="109" t="n"/>
      <c r="F125" s="110" t="n"/>
      <c r="G125" s="109" t="n"/>
      <c r="I125" s="110" t="n"/>
      <c r="J125" s="109" t="n"/>
      <c r="L125" s="110" t="n"/>
      <c r="M125" s="109" t="n"/>
      <c r="O125" s="110" t="n"/>
      <c r="P125" s="133" t="inlineStr">
        <is>
          <t>ED040019912</t>
        </is>
      </c>
      <c r="Q125" s="134" t="inlineStr">
        <is>
          <t>03.2</t>
        </is>
      </c>
      <c r="R125" s="109" t="inlineStr">
        <is>
          <t>ED040019912</t>
        </is>
      </c>
      <c r="S125" s="123" t="inlineStr">
        <is>
          <t>03.2</t>
        </is>
      </c>
      <c r="U125" s="110" t="n"/>
      <c r="W125" s="110" t="n"/>
    </row>
    <row r="126" outlineLevel="1" ht="30" customHeight="1" s="583">
      <c r="A126" s="114" t="inlineStr">
        <is>
          <t>Train System Architecture</t>
        </is>
      </c>
      <c r="B126" s="114">
        <f>CONCATENATE("GVN_",A126)</f>
        <v/>
      </c>
      <c r="C126" s="109" t="inlineStr">
        <is>
          <t>pdf</t>
        </is>
      </c>
      <c r="D126" s="109" t="n"/>
      <c r="F126" s="110" t="n"/>
      <c r="G126" s="109" t="n"/>
      <c r="I126" s="110" t="n"/>
      <c r="J126" s="109" t="n"/>
      <c r="L126" s="110" t="n"/>
      <c r="M126" s="109" t="n"/>
      <c r="O126" s="110" t="n"/>
      <c r="P126" s="133" t="inlineStr">
        <is>
          <t>FF010020369</t>
        </is>
      </c>
      <c r="Q126" s="134" t="inlineStr">
        <is>
          <t>01.2</t>
        </is>
      </c>
      <c r="R126" s="109" t="inlineStr">
        <is>
          <t>FF010020369</t>
        </is>
      </c>
      <c r="S126" s="123" t="inlineStr">
        <is>
          <t>01.2</t>
        </is>
      </c>
      <c r="U126" s="110" t="n"/>
      <c r="W126" s="110" t="n"/>
    </row>
    <row r="127" outlineLevel="1" ht="30" customHeight="1" s="583">
      <c r="A127" s="114" t="inlineStr">
        <is>
          <t>Train Running Simulations</t>
        </is>
      </c>
      <c r="B127" s="114">
        <f>CONCATENATE("GVN_",A127)</f>
        <v/>
      </c>
      <c r="C127" s="109" t="inlineStr">
        <is>
          <t>pdf</t>
        </is>
      </c>
      <c r="D127" s="109" t="n"/>
      <c r="F127" s="110" t="n"/>
      <c r="G127" s="109" t="n"/>
      <c r="I127" s="110" t="n"/>
      <c r="J127" s="109" t="n"/>
      <c r="L127" s="110" t="n"/>
      <c r="M127" s="109" t="n"/>
      <c r="O127" s="110" t="n"/>
      <c r="P127" s="133" t="inlineStr">
        <is>
          <t>ED180020963</t>
        </is>
      </c>
      <c r="Q127" s="134" t="inlineStr">
        <is>
          <t>01.2</t>
        </is>
      </c>
      <c r="R127" s="109" t="inlineStr">
        <is>
          <t>ED180020963</t>
        </is>
      </c>
      <c r="S127" s="123" t="inlineStr">
        <is>
          <t>01.2</t>
        </is>
      </c>
      <c r="U127" s="110" t="n"/>
      <c r="W127" s="110" t="n"/>
    </row>
    <row r="128" outlineLevel="1" ht="30" customHeight="1" s="583">
      <c r="A128" s="114" t="inlineStr">
        <is>
          <t>SyFD Propulsion System</t>
        </is>
      </c>
      <c r="B128" s="114">
        <f>CONCATENATE("GVN_",A128)</f>
        <v/>
      </c>
      <c r="C128" s="109" t="inlineStr">
        <is>
          <t>pdf</t>
        </is>
      </c>
      <c r="D128" s="109" t="n"/>
      <c r="F128" s="110" t="n"/>
      <c r="G128" s="109" t="n"/>
      <c r="I128" s="110" t="n"/>
      <c r="J128" s="109" t="n"/>
      <c r="L128" s="110" t="n"/>
      <c r="M128" s="109" t="n"/>
      <c r="O128" s="110" t="n"/>
      <c r="P128" s="133" t="inlineStr">
        <is>
          <t>FE010020176</t>
        </is>
      </c>
      <c r="Q128" s="134" t="inlineStr">
        <is>
          <t>00.4</t>
        </is>
      </c>
      <c r="R128" s="109" t="inlineStr">
        <is>
          <t>FE010020176</t>
        </is>
      </c>
      <c r="S128" s="123" t="inlineStr">
        <is>
          <t>00.4</t>
        </is>
      </c>
      <c r="U128" s="110" t="n"/>
      <c r="W128" s="110" t="n"/>
    </row>
    <row r="129" outlineLevel="1" ht="30" customHeight="1" s="583">
      <c r="A129" s="114" t="inlineStr">
        <is>
          <t>SyFD Train Control and Management System</t>
        </is>
      </c>
      <c r="B129" s="114">
        <f>CONCATENATE("GVN_",A129)</f>
        <v/>
      </c>
      <c r="C129" s="109" t="inlineStr">
        <is>
          <t>pdf</t>
        </is>
      </c>
      <c r="D129" s="109" t="n"/>
      <c r="F129" s="110" t="n"/>
      <c r="G129" s="109" t="n"/>
      <c r="I129" s="110" t="n"/>
      <c r="J129" s="109" t="n"/>
      <c r="L129" s="110" t="n"/>
      <c r="M129" s="109" t="n"/>
      <c r="O129" s="110" t="n"/>
      <c r="P129" s="133" t="inlineStr">
        <is>
          <t>FT170023207</t>
        </is>
      </c>
      <c r="Q129" s="134" t="inlineStr">
        <is>
          <t>00.6</t>
        </is>
      </c>
      <c r="R129" s="109" t="inlineStr">
        <is>
          <t>FT170023207</t>
        </is>
      </c>
      <c r="S129" s="123" t="inlineStr">
        <is>
          <t>00.6</t>
        </is>
      </c>
      <c r="U129" s="110" t="n"/>
      <c r="W129" s="110" t="n"/>
    </row>
    <row r="130" outlineLevel="1" ht="30" customHeight="1" s="583">
      <c r="A130" s="115" t="inlineStr">
        <is>
          <t>SyFD Ethernet Train Communication Network</t>
        </is>
      </c>
      <c r="B130" s="115">
        <f>CONCATENATE("GVN_",A130)</f>
        <v/>
      </c>
      <c r="C130" s="394" t="inlineStr">
        <is>
          <t>pdf</t>
        </is>
      </c>
      <c r="D130" s="111" t="n"/>
      <c r="E130" s="113" t="n"/>
      <c r="F130" s="112" t="n"/>
      <c r="G130" s="111" t="n"/>
      <c r="H130" s="113" t="n"/>
      <c r="I130" s="112" t="n"/>
      <c r="J130" s="111" t="n"/>
      <c r="K130" s="113" t="n"/>
      <c r="L130" s="112" t="n"/>
      <c r="M130" s="111" t="n"/>
      <c r="N130" s="113" t="n"/>
      <c r="O130" s="112" t="n"/>
      <c r="P130" s="148" t="inlineStr">
        <is>
          <t>FE020026857</t>
        </is>
      </c>
      <c r="Q130" s="147" t="inlineStr">
        <is>
          <t>02.2</t>
        </is>
      </c>
      <c r="R130" s="111" t="inlineStr">
        <is>
          <t>FE020026857</t>
        </is>
      </c>
      <c r="S130" s="169" t="inlineStr">
        <is>
          <t>02.2</t>
        </is>
      </c>
      <c r="T130" s="113" t="n"/>
      <c r="U130" s="112" t="n"/>
      <c r="V130" s="113" t="n"/>
      <c r="W130" s="112" t="n"/>
    </row>
  </sheetData>
  <mergeCells count="19">
    <mergeCell ref="D2:F2"/>
    <mergeCell ref="V2:W2"/>
    <mergeCell ref="P1:Q1"/>
    <mergeCell ref="V1:W1"/>
    <mergeCell ref="P2:Q2"/>
    <mergeCell ref="G1:I1"/>
    <mergeCell ref="A1:A3"/>
    <mergeCell ref="J2:L2"/>
    <mergeCell ref="T2:U2"/>
    <mergeCell ref="T1:U1"/>
    <mergeCell ref="D1:F1"/>
    <mergeCell ref="G2:I2"/>
    <mergeCell ref="J1:L1"/>
    <mergeCell ref="B1:B3"/>
    <mergeCell ref="C1:C3"/>
    <mergeCell ref="R2:S2"/>
    <mergeCell ref="M1:O1"/>
    <mergeCell ref="M2:O2"/>
    <mergeCell ref="R1:S1"/>
  </mergeCells>
  <pageMargins left="0.7" right="0.7" top="0.75" bottom="0.75" header="0.3" footer="0.3"/>
  <pageSetup orientation="portrait" paperSize="9" verticalDpi="1200"/>
  <legacyDrawing xmlns:r="http://schemas.openxmlformats.org/officeDocument/2006/relationships" r:id="anysvml"/>
</worksheet>
</file>

<file path=xl/worksheets/sheet6.xml><?xml version="1.0" encoding="utf-8"?>
<worksheet xmlns="http://schemas.openxmlformats.org/spreadsheetml/2006/main">
  <sheetPr>
    <tabColor theme="5" tint="0.3999755851924192"/>
    <outlinePr summaryBelow="1" summaryRight="1"/>
    <pageSetUpPr/>
  </sheetPr>
  <dimension ref="A1:T36"/>
  <sheetViews>
    <sheetView zoomScale="85" zoomScaleNormal="85" workbookViewId="0">
      <pane xSplit="5" ySplit="2" topLeftCell="F7" activePane="bottomRight" state="frozen"/>
      <selection activeCell="B1" sqref="B1"/>
      <selection pane="topRight" activeCell="F1" sqref="F1"/>
      <selection pane="bottomLeft" activeCell="B4" sqref="B4"/>
      <selection pane="bottomRight" activeCell="B29" sqref="B29"/>
    </sheetView>
  </sheetViews>
  <sheetFormatPr baseColWidth="8" defaultColWidth="8.7109375" defaultRowHeight="15"/>
  <cols>
    <col width="36.5703125" customWidth="1" style="106" min="1" max="1"/>
    <col width="34.85546875" bestFit="1" customWidth="1" style="106" min="2" max="2"/>
    <col width="8.42578125" bestFit="1" customWidth="1" style="15" min="3" max="3"/>
    <col width="17.5703125" customWidth="1" style="15" min="4" max="4"/>
    <col width="4.42578125" bestFit="1" customWidth="1" style="15" min="5" max="5"/>
    <col width="17.5703125" customWidth="1" style="15" min="6" max="6"/>
    <col width="4.7109375" bestFit="1" customWidth="1" style="15" min="7" max="7"/>
    <col width="17.5703125" customWidth="1" style="15" min="8" max="8"/>
    <col width="4.7109375" bestFit="1" customWidth="1" style="15" min="9" max="9"/>
    <col width="17.5703125" customWidth="1" style="15" min="10" max="10"/>
    <col width="4.42578125" bestFit="1" customWidth="1" style="15" min="11" max="11"/>
    <col width="17.140625" customWidth="1" style="15" min="12" max="12"/>
    <col width="5.140625" customWidth="1" style="15" min="13" max="13"/>
    <col width="15.42578125" customWidth="1" style="15" min="14" max="14"/>
    <col width="4.42578125" customWidth="1" style="15" min="15" max="15"/>
    <col width="6.5703125" bestFit="1" customWidth="1" style="15" min="16" max="16"/>
    <col width="6.5703125" customWidth="1" style="15" min="17" max="17"/>
    <col width="6.5703125" bestFit="1" customWidth="1" style="15" min="18" max="18"/>
    <col width="6.5703125" customWidth="1" style="15" min="19" max="19"/>
    <col width="8.7109375" customWidth="1" style="103" min="20" max="32"/>
    <col width="8.7109375" customWidth="1" style="103" min="33" max="16384"/>
  </cols>
  <sheetData>
    <row r="1" ht="26.45" customFormat="1" customHeight="1" s="105">
      <c r="A1" s="532" t="inlineStr">
        <is>
          <t>DOC DESCRIPTION</t>
        </is>
      </c>
      <c r="B1" s="547" t="inlineStr">
        <is>
          <t>DOC ID</t>
        </is>
      </c>
      <c r="C1" s="536" t="inlineStr">
        <is>
          <t>DOC EXT</t>
        </is>
      </c>
      <c r="D1" s="543" t="inlineStr">
        <is>
          <t>VZI_Base</t>
        </is>
      </c>
      <c r="E1" s="544" t="n"/>
      <c r="F1" s="545" t="inlineStr">
        <is>
          <t>VZI_New14</t>
        </is>
      </c>
      <c r="G1" s="546" t="n"/>
      <c r="H1" s="543" t="inlineStr">
        <is>
          <t>VZ_FR</t>
        </is>
      </c>
      <c r="I1" s="544" t="n"/>
      <c r="J1" s="545" t="inlineStr">
        <is>
          <t>VZ_ES</t>
        </is>
      </c>
      <c r="K1" s="546" t="n"/>
      <c r="L1" s="543" t="inlineStr">
        <is>
          <t>VZI-6_R1</t>
        </is>
      </c>
      <c r="M1" s="544" t="n"/>
      <c r="N1" s="545" t="inlineStr">
        <is>
          <t>VZI-4_R1</t>
        </is>
      </c>
      <c r="O1" s="546" t="n"/>
      <c r="P1" s="543" t="inlineStr">
        <is>
          <t>VZ_DAI</t>
        </is>
      </c>
      <c r="Q1" s="544" t="n"/>
      <c r="R1" s="545" t="inlineStr">
        <is>
          <t>VZ_Esxx</t>
        </is>
      </c>
      <c r="S1" s="546" t="n"/>
    </row>
    <row r="2" ht="26.45" customFormat="1" customHeight="1" s="105">
      <c r="A2" s="534" t="n"/>
      <c r="B2" s="548" t="n"/>
      <c r="C2" s="538" t="n"/>
      <c r="D2" s="395" t="inlineStr">
        <is>
          <t>File/Codice</t>
        </is>
      </c>
      <c r="E2" s="152" t="inlineStr">
        <is>
          <t>Rev</t>
        </is>
      </c>
      <c r="F2" s="397" t="inlineStr">
        <is>
          <t>File/Codice</t>
        </is>
      </c>
      <c r="G2" s="398" t="inlineStr">
        <is>
          <t>Rev</t>
        </is>
      </c>
      <c r="H2" s="395" t="inlineStr">
        <is>
          <t>File/Codice</t>
        </is>
      </c>
      <c r="I2" s="152" t="inlineStr">
        <is>
          <t>Rev</t>
        </is>
      </c>
      <c r="J2" s="397" t="inlineStr">
        <is>
          <t>File/Codice</t>
        </is>
      </c>
      <c r="K2" s="398" t="inlineStr">
        <is>
          <t>Rev</t>
        </is>
      </c>
      <c r="L2" s="542" t="inlineStr">
        <is>
          <t>Codice</t>
        </is>
      </c>
      <c r="M2" s="542" t="inlineStr">
        <is>
          <t>Rev</t>
        </is>
      </c>
      <c r="N2" s="401" t="inlineStr">
        <is>
          <t>Codice</t>
        </is>
      </c>
      <c r="O2" s="151" t="inlineStr">
        <is>
          <t>Rev</t>
        </is>
      </c>
      <c r="P2" s="395" t="inlineStr">
        <is>
          <t>Codice</t>
        </is>
      </c>
      <c r="Q2" s="395" t="inlineStr">
        <is>
          <t>Rev</t>
        </is>
      </c>
      <c r="R2" s="397" t="inlineStr">
        <is>
          <t>Codice</t>
        </is>
      </c>
      <c r="S2" s="398" t="inlineStr">
        <is>
          <t>Rev</t>
        </is>
      </c>
    </row>
    <row r="3">
      <c r="A3" s="193" t="inlineStr">
        <is>
          <t>Functional Doc &amp; Specification</t>
        </is>
      </c>
      <c r="B3" s="388" t="n"/>
      <c r="C3" s="396" t="n"/>
      <c r="D3" s="389" t="n"/>
      <c r="E3" s="194" t="n"/>
      <c r="F3" s="399" t="n"/>
      <c r="G3" s="400" t="n"/>
      <c r="H3" s="389" t="n"/>
      <c r="I3" s="194" t="n"/>
      <c r="J3" s="399" t="n"/>
      <c r="K3" s="400" t="n"/>
      <c r="L3" s="389" t="n"/>
      <c r="M3" s="389" t="n"/>
      <c r="N3" s="399" t="n"/>
      <c r="O3" s="400" t="n"/>
      <c r="P3" s="389" t="n"/>
      <c r="Q3" s="389" t="n"/>
      <c r="R3" s="399" t="n"/>
      <c r="S3" s="400" t="n"/>
    </row>
    <row r="4" ht="30" customHeight="1" s="583">
      <c r="A4" s="106" t="inlineStr">
        <is>
          <t>Architettura di Controllo Treno ed Interfacce di Comando</t>
        </is>
      </c>
      <c r="B4" s="106" t="inlineStr">
        <is>
          <t>FD_TCMS</t>
        </is>
      </c>
      <c r="C4" s="107" t="inlineStr">
        <is>
          <t>pdf</t>
        </is>
      </c>
      <c r="D4" s="15" t="inlineStr">
        <is>
          <t>3ECP410429-0001</t>
        </is>
      </c>
      <c r="E4" s="15" t="inlineStr">
        <is>
          <t>L</t>
        </is>
      </c>
      <c r="F4" s="109" t="inlineStr">
        <is>
          <t>3ECP413973-0001</t>
        </is>
      </c>
      <c r="G4" s="110" t="inlineStr">
        <is>
          <t>A</t>
        </is>
      </c>
      <c r="J4" s="109" t="n"/>
      <c r="K4" s="110" t="n"/>
      <c r="L4" s="15" t="inlineStr">
        <is>
          <t>FE010019098</t>
        </is>
      </c>
      <c r="M4" s="15" t="inlineStr">
        <is>
          <t>1.02</t>
        </is>
      </c>
      <c r="N4" s="109" t="n"/>
      <c r="O4" s="110" t="n"/>
      <c r="R4" s="109" t="n"/>
      <c r="S4" s="110" t="n"/>
    </row>
    <row r="5">
      <c r="A5" s="106" t="inlineStr">
        <is>
          <t>Brake System</t>
        </is>
      </c>
      <c r="B5" s="106" t="inlineStr">
        <is>
          <t>FD_Brake</t>
        </is>
      </c>
      <c r="C5" s="107" t="inlineStr">
        <is>
          <t>pdf</t>
        </is>
      </c>
      <c r="D5" s="15" t="inlineStr">
        <is>
          <t>3EGH489013-3044</t>
        </is>
      </c>
      <c r="E5" s="15" t="inlineStr">
        <is>
          <t>F</t>
        </is>
      </c>
      <c r="F5" s="109" t="n"/>
      <c r="G5" s="110" t="n"/>
      <c r="J5" s="109" t="n"/>
      <c r="K5" s="110" t="n"/>
      <c r="N5" s="109" t="n"/>
      <c r="O5" s="110" t="n"/>
      <c r="R5" s="109" t="n"/>
      <c r="S5" s="110" t="n"/>
    </row>
    <row r="6">
      <c r="A6" s="106" t="inlineStr">
        <is>
          <t>Air Supply</t>
        </is>
      </c>
      <c r="B6" s="106" t="inlineStr">
        <is>
          <t>FD_Air Supply</t>
        </is>
      </c>
      <c r="C6" s="107" t="inlineStr">
        <is>
          <t>pdf</t>
        </is>
      </c>
      <c r="D6" s="15" t="inlineStr">
        <is>
          <t>3EGH489013-4928</t>
        </is>
      </c>
      <c r="E6" s="15" t="inlineStr">
        <is>
          <t>A</t>
        </is>
      </c>
      <c r="F6" s="109" t="n"/>
      <c r="G6" s="110" t="n"/>
      <c r="J6" s="109" t="n"/>
      <c r="K6" s="110" t="n"/>
      <c r="N6" s="109" t="n"/>
      <c r="O6" s="110" t="n"/>
      <c r="R6" s="109" t="n"/>
      <c r="S6" s="110" t="n"/>
    </row>
    <row r="7">
      <c r="A7" s="106" t="inlineStr">
        <is>
          <t>Descrizione SW PCU</t>
        </is>
      </c>
      <c r="B7" s="106" t="inlineStr">
        <is>
          <t>FD_PCU</t>
        </is>
      </c>
      <c r="C7" s="107" t="inlineStr">
        <is>
          <t>pdf</t>
        </is>
      </c>
      <c r="D7" s="15" t="inlineStr">
        <is>
          <t>3EST000225-5111</t>
        </is>
      </c>
      <c r="E7" s="15" t="inlineStr">
        <is>
          <t>C</t>
        </is>
      </c>
      <c r="F7" s="109" t="n"/>
      <c r="G7" s="110" t="n"/>
      <c r="J7" s="109" t="n"/>
      <c r="K7" s="110" t="n"/>
      <c r="N7" s="109" t="n"/>
      <c r="O7" s="110" t="n"/>
      <c r="R7" s="109" t="n"/>
      <c r="S7" s="110" t="n"/>
    </row>
    <row r="8">
      <c r="A8" s="106" t="inlineStr">
        <is>
          <t>Descrizione SW Alta Tensione</t>
        </is>
      </c>
      <c r="B8" s="106" t="inlineStr">
        <is>
          <t>FD_High Voltage</t>
        </is>
      </c>
      <c r="C8" s="107" t="inlineStr">
        <is>
          <t>pdf</t>
        </is>
      </c>
      <c r="D8" s="15" t="inlineStr">
        <is>
          <t>3EST000225-5113</t>
        </is>
      </c>
      <c r="E8" s="15" t="inlineStr">
        <is>
          <t>C</t>
        </is>
      </c>
      <c r="F8" s="109" t="n"/>
      <c r="G8" s="110" t="n"/>
      <c r="J8" s="109" t="n"/>
      <c r="K8" s="110" t="n"/>
      <c r="N8" s="109" t="n"/>
      <c r="O8" s="110" t="n"/>
      <c r="R8" s="109" t="n"/>
      <c r="S8" s="110" t="n"/>
    </row>
    <row r="9">
      <c r="A9" s="106" t="inlineStr">
        <is>
          <t>Descrizione SW Propulsione</t>
        </is>
      </c>
      <c r="B9" s="106" t="inlineStr">
        <is>
          <t>FD_Propulsion</t>
        </is>
      </c>
      <c r="C9" s="107" t="inlineStr">
        <is>
          <t>pdf</t>
        </is>
      </c>
      <c r="D9" s="15" t="inlineStr">
        <is>
          <t>3EST000225-5115</t>
        </is>
      </c>
      <c r="E9" s="15" t="inlineStr">
        <is>
          <t>C</t>
        </is>
      </c>
      <c r="F9" s="109" t="n"/>
      <c r="G9" s="110" t="n"/>
      <c r="J9" s="109" t="n"/>
      <c r="K9" s="110" t="n"/>
      <c r="N9" s="109" t="n"/>
      <c r="O9" s="110" t="n"/>
      <c r="R9" s="109" t="n"/>
      <c r="S9" s="110" t="n"/>
    </row>
    <row r="10">
      <c r="A10" s="106" t="inlineStr">
        <is>
          <t>Descrizione SW DCU/L</t>
        </is>
      </c>
      <c r="B10" s="106" t="inlineStr">
        <is>
          <t>FD_DCU/L</t>
        </is>
      </c>
      <c r="C10" s="107" t="inlineStr">
        <is>
          <t>pdf</t>
        </is>
      </c>
      <c r="D10" s="15" t="inlineStr">
        <is>
          <t>3EST000225-5117</t>
        </is>
      </c>
      <c r="E10" s="15" t="inlineStr">
        <is>
          <t>B</t>
        </is>
      </c>
      <c r="F10" s="109" t="n"/>
      <c r="G10" s="110" t="n"/>
      <c r="J10" s="109" t="n"/>
      <c r="K10" s="110" t="n"/>
      <c r="N10" s="109" t="n"/>
      <c r="O10" s="110" t="n"/>
      <c r="R10" s="109" t="n"/>
      <c r="S10" s="110" t="n"/>
    </row>
    <row r="11">
      <c r="A11" s="106" t="inlineStr">
        <is>
          <t>Descrizione SW DCU/M</t>
        </is>
      </c>
      <c r="B11" s="106" t="inlineStr">
        <is>
          <t>FD_DCU/M</t>
        </is>
      </c>
      <c r="C11" s="107" t="inlineStr">
        <is>
          <t>pdf</t>
        </is>
      </c>
      <c r="D11" s="15" t="inlineStr">
        <is>
          <t>3EST000225-5118</t>
        </is>
      </c>
      <c r="E11" s="15" t="inlineStr">
        <is>
          <t>G</t>
        </is>
      </c>
      <c r="F11" s="109" t="n"/>
      <c r="G11" s="110" t="n"/>
      <c r="J11" s="109" t="n"/>
      <c r="K11" s="110" t="n"/>
      <c r="N11" s="109" t="n"/>
      <c r="O11" s="110" t="n"/>
      <c r="R11" s="109" t="n"/>
      <c r="S11" s="110" t="n"/>
    </row>
    <row r="12">
      <c r="A12" s="106" t="inlineStr">
        <is>
          <t>Descrizione SW ACM</t>
        </is>
      </c>
      <c r="B12" s="106" t="inlineStr">
        <is>
          <t>FD_ACM</t>
        </is>
      </c>
      <c r="C12" s="107" t="inlineStr">
        <is>
          <t>pdf</t>
        </is>
      </c>
      <c r="D12" s="15" t="inlineStr">
        <is>
          <t>3EST000225-5119</t>
        </is>
      </c>
      <c r="E12" s="15" t="inlineStr">
        <is>
          <t>E</t>
        </is>
      </c>
      <c r="F12" s="109" t="n"/>
      <c r="G12" s="110" t="n"/>
      <c r="J12" s="109" t="n"/>
      <c r="K12" s="110" t="n"/>
      <c r="N12" s="109" t="n"/>
      <c r="O12" s="110" t="n"/>
      <c r="R12" s="109" t="n"/>
      <c r="S12" s="110" t="n"/>
    </row>
    <row r="13">
      <c r="A13" s="106" t="inlineStr">
        <is>
          <t>Descrizione SW DCU/C</t>
        </is>
      </c>
      <c r="B13" s="106" t="inlineStr">
        <is>
          <t>FD_DCU/C</t>
        </is>
      </c>
      <c r="C13" s="107" t="inlineStr">
        <is>
          <t>pdf</t>
        </is>
      </c>
      <c r="D13" s="15" t="inlineStr">
        <is>
          <t>3EST000225-5120</t>
        </is>
      </c>
      <c r="E13" s="15" t="inlineStr">
        <is>
          <t>C</t>
        </is>
      </c>
      <c r="F13" s="109" t="n"/>
      <c r="G13" s="110" t="n"/>
      <c r="J13" s="109" t="n"/>
      <c r="K13" s="110" t="n"/>
      <c r="N13" s="109" t="n"/>
      <c r="O13" s="110" t="n"/>
      <c r="R13" s="109" t="n"/>
      <c r="S13" s="110" t="n"/>
    </row>
    <row r="14">
      <c r="A14" s="106" t="inlineStr">
        <is>
          <t>Descrizione SW LIM</t>
        </is>
      </c>
      <c r="B14" s="106" t="inlineStr">
        <is>
          <t>FD_LIM</t>
        </is>
      </c>
      <c r="C14" s="107" t="inlineStr">
        <is>
          <t>pdf</t>
        </is>
      </c>
      <c r="D14" s="15" t="inlineStr">
        <is>
          <t>3EST000225-5132</t>
        </is>
      </c>
      <c r="E14" s="15" t="inlineStr">
        <is>
          <t>_</t>
        </is>
      </c>
      <c r="F14" s="109" t="n"/>
      <c r="G14" s="110" t="n"/>
      <c r="J14" s="109" t="n"/>
      <c r="K14" s="110" t="n"/>
      <c r="N14" s="109" t="n"/>
      <c r="O14" s="110" t="n"/>
      <c r="R14" s="109" t="n"/>
      <c r="S14" s="110" t="n"/>
    </row>
    <row r="15">
      <c r="C15" s="107" t="n"/>
      <c r="F15" s="109" t="n"/>
      <c r="G15" s="110" t="n"/>
      <c r="J15" s="109" t="n"/>
      <c r="K15" s="110" t="n"/>
      <c r="N15" s="109" t="n"/>
      <c r="O15" s="110" t="n"/>
      <c r="R15" s="109" t="n"/>
      <c r="S15" s="110" t="n"/>
    </row>
    <row r="16">
      <c r="A16" s="193" t="inlineStr">
        <is>
          <t>Product Description</t>
        </is>
      </c>
      <c r="B16" s="388" t="n"/>
      <c r="C16" s="396" t="n"/>
      <c r="D16" s="389" t="n"/>
      <c r="E16" s="194" t="n"/>
      <c r="F16" s="399" t="n"/>
      <c r="G16" s="400" t="n"/>
      <c r="H16" s="389" t="n"/>
      <c r="I16" s="194" t="n"/>
      <c r="J16" s="399" t="n"/>
      <c r="K16" s="400" t="n"/>
      <c r="L16" s="389" t="n"/>
      <c r="M16" s="389" t="n"/>
      <c r="N16" s="399" t="n"/>
      <c r="O16" s="400" t="n"/>
      <c r="P16" s="389" t="n"/>
      <c r="Q16" s="389" t="n"/>
      <c r="R16" s="399" t="n"/>
      <c r="S16" s="400" t="n"/>
    </row>
    <row r="17">
      <c r="A17" s="106" t="inlineStr">
        <is>
          <t>Converter unit TC1120</t>
        </is>
      </c>
      <c r="B17" s="106" t="inlineStr">
        <is>
          <t>PDES_Converter</t>
        </is>
      </c>
      <c r="C17" s="107" t="inlineStr">
        <is>
          <t>pdf</t>
        </is>
      </c>
      <c r="D17" s="15" t="inlineStr">
        <is>
          <t>3EST000228-5653</t>
        </is>
      </c>
      <c r="E17" s="15" t="inlineStr">
        <is>
          <t>B</t>
        </is>
      </c>
      <c r="F17" s="109" t="n"/>
      <c r="G17" s="110" t="n"/>
      <c r="J17" s="109" t="n"/>
      <c r="K17" s="110" t="n"/>
      <c r="N17" s="109" t="n"/>
      <c r="O17" s="110" t="n"/>
      <c r="R17" s="109" t="n"/>
      <c r="S17" s="110" t="n"/>
    </row>
    <row r="18" ht="30" customHeight="1" s="583">
      <c r="A18" s="106" t="inlineStr">
        <is>
          <t>Auxiliary converter module, CM-C S 15/10 WA V02</t>
        </is>
      </c>
      <c r="B18" s="106" t="inlineStr">
        <is>
          <t>PDES_Auxiliary module</t>
        </is>
      </c>
      <c r="C18" s="107" t="inlineStr">
        <is>
          <t>pdf</t>
        </is>
      </c>
      <c r="D18" s="15" t="inlineStr">
        <is>
          <t>3EST000226-1993</t>
        </is>
      </c>
      <c r="E18" s="15" t="inlineStr">
        <is>
          <t>A</t>
        </is>
      </c>
      <c r="F18" s="109" t="n"/>
      <c r="G18" s="110" t="n"/>
      <c r="J18" s="109" t="n"/>
      <c r="K18" s="110" t="n"/>
      <c r="N18" s="109" t="n"/>
      <c r="O18" s="110" t="n"/>
      <c r="R18" s="109" t="n"/>
      <c r="S18" s="110" t="n"/>
    </row>
    <row r="19" ht="30" customHeight="1" s="583">
      <c r="A19" s="106" t="inlineStr">
        <is>
          <t>Chopper converter module, CM-C L 30/07 WC V01</t>
        </is>
      </c>
      <c r="B19" s="106" t="inlineStr">
        <is>
          <t>PDES_Chopper module</t>
        </is>
      </c>
      <c r="C19" s="107" t="inlineStr">
        <is>
          <t>pdf</t>
        </is>
      </c>
      <c r="D19" s="15" t="inlineStr">
        <is>
          <t>3EST000226-1995</t>
        </is>
      </c>
      <c r="E19" s="15" t="inlineStr">
        <is>
          <t>B</t>
        </is>
      </c>
      <c r="F19" s="109" t="n"/>
      <c r="G19" s="110" t="n"/>
      <c r="J19" s="109" t="n"/>
      <c r="K19" s="110" t="n"/>
      <c r="N19" s="109" t="n"/>
      <c r="O19" s="110" t="n"/>
      <c r="R19" s="109" t="n"/>
      <c r="S19" s="110" t="n"/>
    </row>
    <row r="20" ht="30" customHeight="1" s="583">
      <c r="A20" s="106" t="inlineStr">
        <is>
          <t>Line converter module, CM-C M 15/15 WL V06</t>
        </is>
      </c>
      <c r="B20" s="106" t="inlineStr">
        <is>
          <t>PDES_Line Module</t>
        </is>
      </c>
      <c r="C20" s="107" t="inlineStr">
        <is>
          <t>pdf</t>
        </is>
      </c>
      <c r="D20" s="15" t="inlineStr">
        <is>
          <t>3EST000226-1994</t>
        </is>
      </c>
      <c r="E20" s="15" t="inlineStr">
        <is>
          <t>B</t>
        </is>
      </c>
      <c r="F20" s="109" t="n"/>
      <c r="G20" s="110" t="n"/>
      <c r="J20" s="109" t="n"/>
      <c r="K20" s="110" t="n"/>
      <c r="N20" s="109" t="n"/>
      <c r="O20" s="110" t="n"/>
      <c r="R20" s="109" t="n"/>
      <c r="S20" s="110" t="n"/>
    </row>
    <row r="21" ht="30" customHeight="1" s="583">
      <c r="A21" s="106" t="inlineStr">
        <is>
          <t>Motor converter module, CM-C S 15/10 WM V02</t>
        </is>
      </c>
      <c r="B21" s="106" t="inlineStr">
        <is>
          <t>PDES_Motor Module</t>
        </is>
      </c>
      <c r="C21" s="107" t="inlineStr">
        <is>
          <t>pdf</t>
        </is>
      </c>
      <c r="D21" s="15" t="inlineStr">
        <is>
          <t>3EST000226-1992</t>
        </is>
      </c>
      <c r="E21" s="15" t="inlineStr">
        <is>
          <t>B</t>
        </is>
      </c>
      <c r="F21" s="109" t="n"/>
      <c r="G21" s="110" t="n"/>
      <c r="J21" s="109" t="n"/>
      <c r="K21" s="110" t="n"/>
      <c r="N21" s="109" t="n"/>
      <c r="O21" s="110" t="n"/>
      <c r="R21" s="109" t="n"/>
      <c r="S21" s="110" t="n"/>
    </row>
    <row r="22">
      <c r="A22" s="106" t="inlineStr">
        <is>
          <t>TCMS Tech Description</t>
        </is>
      </c>
      <c r="B22" s="106" t="inlineStr">
        <is>
          <t>PDES_TCMS</t>
        </is>
      </c>
      <c r="C22" s="107" t="inlineStr">
        <is>
          <t>pdf</t>
        </is>
      </c>
      <c r="D22" s="15" t="inlineStr">
        <is>
          <t>3EST000225-4855</t>
        </is>
      </c>
      <c r="E22" s="15" t="inlineStr">
        <is>
          <t>E</t>
        </is>
      </c>
      <c r="F22" s="109" t="n"/>
      <c r="G22" s="110" t="n"/>
      <c r="J22" s="109" t="n"/>
      <c r="K22" s="110" t="n"/>
      <c r="N22" s="109" t="n"/>
      <c r="O22" s="110" t="n"/>
      <c r="R22" s="109" t="n"/>
      <c r="S22" s="110" t="n"/>
    </row>
    <row r="23">
      <c r="A23" s="106" t="inlineStr">
        <is>
          <t>Brake Tech Description</t>
        </is>
      </c>
      <c r="B23" s="106" t="inlineStr">
        <is>
          <t>PDES_Brake</t>
        </is>
      </c>
      <c r="C23" s="107" t="inlineStr">
        <is>
          <t>pdf</t>
        </is>
      </c>
      <c r="D23" s="15" t="inlineStr">
        <is>
          <t>FTIT10002-I01TDE</t>
        </is>
      </c>
      <c r="E23" s="15" t="inlineStr">
        <is>
          <t>F00</t>
        </is>
      </c>
      <c r="F23" s="109" t="n"/>
      <c r="G23" s="110" t="n"/>
      <c r="J23" s="109" t="n"/>
      <c r="K23" s="110" t="n"/>
      <c r="N23" s="109" t="n"/>
      <c r="O23" s="110" t="n"/>
      <c r="R23" s="109" t="n"/>
      <c r="S23" s="110" t="n"/>
    </row>
    <row r="24">
      <c r="C24" s="107" t="n"/>
      <c r="F24" s="109" t="n"/>
      <c r="G24" s="110" t="n"/>
      <c r="J24" s="109" t="n"/>
      <c r="K24" s="110" t="n"/>
      <c r="N24" s="109" t="n"/>
      <c r="O24" s="110" t="n"/>
      <c r="R24" s="109" t="n"/>
      <c r="S24" s="110" t="n"/>
    </row>
    <row r="25">
      <c r="A25" s="193" t="inlineStr">
        <is>
          <t>Test Specification &amp; Report</t>
        </is>
      </c>
      <c r="B25" s="388" t="n"/>
      <c r="C25" s="396" t="n"/>
      <c r="D25" s="389" t="n"/>
      <c r="E25" s="194" t="n"/>
      <c r="F25" s="399" t="n"/>
      <c r="G25" s="400" t="n"/>
      <c r="H25" s="389" t="n"/>
      <c r="I25" s="194" t="n"/>
      <c r="J25" s="399" t="n"/>
      <c r="K25" s="400" t="n"/>
      <c r="L25" s="389" t="n"/>
      <c r="M25" s="389" t="n"/>
      <c r="N25" s="399" t="n"/>
      <c r="O25" s="400" t="n"/>
      <c r="P25" s="389" t="n"/>
      <c r="Q25" s="389" t="n"/>
      <c r="R25" s="399" t="n"/>
      <c r="S25" s="400" t="n"/>
    </row>
    <row r="26">
      <c r="A26" s="106" t="inlineStr">
        <is>
          <t>System Test Specification</t>
        </is>
      </c>
      <c r="B26" s="106" t="inlineStr">
        <is>
          <t>TS_VZI_Base</t>
        </is>
      </c>
      <c r="C26" s="107" t="inlineStr">
        <is>
          <t>pdf</t>
        </is>
      </c>
      <c r="D26" s="15" t="inlineStr">
        <is>
          <t>3EST000225-6042</t>
        </is>
      </c>
      <c r="E26" s="15" t="inlineStr">
        <is>
          <t>C</t>
        </is>
      </c>
      <c r="F26" s="109" t="n"/>
      <c r="G26" s="110" t="n"/>
      <c r="J26" s="109" t="n"/>
      <c r="K26" s="110" t="n"/>
      <c r="N26" s="109" t="n"/>
      <c r="O26" s="110" t="n"/>
      <c r="R26" s="109" t="n"/>
      <c r="S26" s="110" t="n"/>
    </row>
    <row r="27" ht="30" customHeight="1" s="583">
      <c r="A27" s="106" t="inlineStr">
        <is>
          <t>EPVE63 Test Intervento protezioni azionamento</t>
        </is>
      </c>
      <c r="B27" s="106" t="inlineStr">
        <is>
          <t xml:space="preserve">TS_Test Protezioni azionamento EPVE63 </t>
        </is>
      </c>
      <c r="C27" s="107" t="inlineStr">
        <is>
          <t>pdf</t>
        </is>
      </c>
      <c r="F27" s="109" t="n"/>
      <c r="G27" s="110" t="n"/>
      <c r="J27" s="109" t="n"/>
      <c r="K27" s="110" t="n"/>
      <c r="L27" s="15" t="inlineStr">
        <is>
          <t>DC08060VE63</t>
        </is>
      </c>
      <c r="M27" s="165" t="inlineStr">
        <is>
          <t>01</t>
        </is>
      </c>
      <c r="N27" s="109" t="n"/>
      <c r="O27" s="110" t="n"/>
      <c r="P27" s="109" t="n"/>
      <c r="Q27" s="110" t="n"/>
      <c r="R27" s="109" t="n"/>
      <c r="S27" s="110" t="n"/>
      <c r="T27" s="425" t="n"/>
    </row>
    <row r="28" ht="30" customHeight="1" s="583">
      <c r="A28" s="106" t="inlineStr">
        <is>
          <t>EPVE63 Report Intervento protezioni
azionamento</t>
        </is>
      </c>
      <c r="B28" s="106" t="inlineStr">
        <is>
          <t>TS_Report Protezioni azionamento EPVE63</t>
        </is>
      </c>
      <c r="C28" s="107" t="inlineStr">
        <is>
          <t>pdf</t>
        </is>
      </c>
      <c r="F28" s="109" t="n"/>
      <c r="G28" s="110" t="n"/>
      <c r="J28" s="109" t="n"/>
      <c r="K28" s="110" t="n"/>
      <c r="L28" s="15" t="inlineStr">
        <is>
          <t>DD04060VE63</t>
        </is>
      </c>
      <c r="M28" s="165" t="inlineStr">
        <is>
          <t>00</t>
        </is>
      </c>
      <c r="N28" s="109" t="n"/>
      <c r="O28" s="110" t="n"/>
      <c r="P28" s="109" t="n"/>
      <c r="Q28" s="110" t="n"/>
      <c r="R28" s="109" t="n"/>
      <c r="S28" s="110" t="n"/>
      <c r="T28" s="425" t="n"/>
    </row>
    <row r="29">
      <c r="A29" s="106" t="inlineStr">
        <is>
          <t>Test Report HVSP</t>
        </is>
      </c>
      <c r="B29" s="106" t="inlineStr">
        <is>
          <t>TS_Report HVSP</t>
        </is>
      </c>
      <c r="C29" s="107" t="inlineStr">
        <is>
          <t>pdf</t>
        </is>
      </c>
      <c r="F29" s="109" t="n"/>
      <c r="G29" s="110" t="n"/>
      <c r="J29" s="109" t="n"/>
      <c r="K29" s="110" t="n"/>
      <c r="L29" s="15" t="inlineStr">
        <is>
          <t>DD040031058</t>
        </is>
      </c>
      <c r="M29" s="110" t="inlineStr">
        <is>
          <t>00.6</t>
        </is>
      </c>
      <c r="N29" s="109" t="n"/>
      <c r="O29" s="110" t="n"/>
      <c r="P29" s="109" t="n"/>
      <c r="Q29" s="110" t="n"/>
      <c r="R29" s="109" t="n"/>
      <c r="S29" s="110" t="n"/>
      <c r="T29" s="425" t="n"/>
    </row>
    <row r="30">
      <c r="A30" s="106" t="inlineStr">
        <is>
          <t>Test High Voltage</t>
        </is>
      </c>
      <c r="B30" s="106" t="inlineStr">
        <is>
          <t>TS_Test High Voltage</t>
        </is>
      </c>
      <c r="C30" s="107" t="inlineStr">
        <is>
          <t>pdf</t>
        </is>
      </c>
      <c r="F30" s="109" t="n"/>
      <c r="G30" s="110" t="n"/>
      <c r="J30" s="109" t="n"/>
      <c r="K30" s="110" t="n"/>
      <c r="L30" s="15" t="inlineStr">
        <is>
          <t>EC070028470</t>
        </is>
      </c>
      <c r="M30" s="110" t="inlineStr">
        <is>
          <t>1.0</t>
        </is>
      </c>
      <c r="N30" s="109" t="n"/>
      <c r="O30" s="110" t="n"/>
      <c r="P30" s="109" t="n"/>
      <c r="Q30" s="110" t="n"/>
      <c r="R30" s="109" t="n"/>
      <c r="S30" s="110" t="n"/>
      <c r="T30" s="425" t="n"/>
    </row>
    <row r="31">
      <c r="A31" s="106" t="inlineStr">
        <is>
          <t>Test Driver Control</t>
        </is>
      </c>
      <c r="B31" s="106" t="inlineStr">
        <is>
          <t>TS_Test Driver Control</t>
        </is>
      </c>
      <c r="C31" s="107" t="inlineStr">
        <is>
          <t>pdf</t>
        </is>
      </c>
      <c r="F31" s="109" t="n"/>
      <c r="G31" s="110" t="n"/>
      <c r="J31" s="109" t="n"/>
      <c r="K31" s="110" t="n"/>
      <c r="L31" s="15" t="inlineStr">
        <is>
          <t>EC070028753</t>
        </is>
      </c>
      <c r="M31" s="110" t="inlineStr">
        <is>
          <t>1.0</t>
        </is>
      </c>
      <c r="N31" s="109" t="n"/>
      <c r="O31" s="110" t="n"/>
      <c r="P31" s="109" t="n"/>
      <c r="Q31" s="110" t="n"/>
      <c r="R31" s="109" t="n"/>
      <c r="S31" s="110" t="n"/>
      <c r="T31" s="425" t="n"/>
    </row>
    <row r="32" ht="30" customHeight="1" s="583">
      <c r="A32" s="106" t="inlineStr">
        <is>
          <t>Test Intervento protezioni azionamento</t>
        </is>
      </c>
      <c r="B32" s="106" t="inlineStr">
        <is>
          <t>TS_Test Protezioni azionamento</t>
        </is>
      </c>
      <c r="C32" s="107" t="inlineStr">
        <is>
          <t>pdf</t>
        </is>
      </c>
      <c r="F32" s="109" t="n"/>
      <c r="G32" s="110" t="n"/>
      <c r="J32" s="109" t="n"/>
      <c r="K32" s="110" t="n"/>
      <c r="L32" s="15" t="inlineStr">
        <is>
          <t>EC070045631</t>
        </is>
      </c>
      <c r="M32" s="110" t="inlineStr">
        <is>
          <t>2.0</t>
        </is>
      </c>
      <c r="N32" s="109" t="n"/>
      <c r="O32" s="110" t="n"/>
      <c r="P32" s="109" t="n"/>
      <c r="Q32" s="110" t="n"/>
      <c r="R32" s="109" t="n"/>
      <c r="S32" s="110" t="n"/>
      <c r="T32" s="425" t="n"/>
    </row>
    <row r="33">
      <c r="A33" s="106" t="inlineStr">
        <is>
          <t>Combined test specification</t>
        </is>
      </c>
      <c r="B33" s="106" t="inlineStr">
        <is>
          <t>TS_Test Combined</t>
        </is>
      </c>
      <c r="C33" s="107" t="inlineStr">
        <is>
          <t>pdf</t>
        </is>
      </c>
      <c r="F33" s="109" t="n"/>
      <c r="G33" s="110" t="n"/>
      <c r="J33" s="109" t="n"/>
      <c r="K33" s="110" t="n"/>
      <c r="L33" s="15" t="inlineStr">
        <is>
          <t>EC070027996</t>
        </is>
      </c>
      <c r="M33" s="110" t="inlineStr">
        <is>
          <t>2.0</t>
        </is>
      </c>
      <c r="N33" s="109" t="n"/>
      <c r="O33" s="110" t="n"/>
      <c r="P33" s="109" t="n"/>
      <c r="Q33" s="110" t="n"/>
      <c r="R33" s="109" t="n"/>
      <c r="S33" s="110" t="n"/>
      <c r="T33" s="425" t="n"/>
    </row>
    <row r="34">
      <c r="A34" s="106" t="inlineStr">
        <is>
          <t>Prove HVSP in combined test</t>
        </is>
      </c>
      <c r="B34" s="106" t="inlineStr">
        <is>
          <t>TS_Test HVSP Combined</t>
        </is>
      </c>
      <c r="C34" s="107" t="inlineStr">
        <is>
          <t>pdf</t>
        </is>
      </c>
      <c r="F34" s="109" t="n"/>
      <c r="G34" s="110" t="n"/>
      <c r="J34" s="109" t="n"/>
      <c r="K34" s="110" t="n"/>
      <c r="L34" s="15" t="inlineStr">
        <is>
          <t>EC070030298</t>
        </is>
      </c>
      <c r="M34" s="110" t="inlineStr">
        <is>
          <t>00.2</t>
        </is>
      </c>
      <c r="N34" s="109" t="n"/>
      <c r="O34" s="110" t="n"/>
      <c r="P34" s="109" t="n"/>
      <c r="Q34" s="110" t="n"/>
      <c r="R34" s="109" t="n"/>
      <c r="S34" s="110" t="n"/>
      <c r="T34" s="425" t="n"/>
    </row>
    <row r="35">
      <c r="A35" s="478" t="inlineStr">
        <is>
          <t>Manuals (other)</t>
        </is>
      </c>
      <c r="B35" s="388" t="n"/>
      <c r="C35" s="396" t="n"/>
      <c r="D35" s="389" t="n"/>
      <c r="E35" s="389" t="n"/>
      <c r="F35" s="399" t="n"/>
      <c r="G35" s="400" t="n"/>
      <c r="H35" s="389" t="n"/>
      <c r="I35" s="389" t="n"/>
      <c r="J35" s="399" t="n"/>
      <c r="K35" s="400" t="n"/>
      <c r="L35" s="389" t="n"/>
      <c r="M35" s="389" t="n"/>
      <c r="N35" s="399" t="n"/>
      <c r="O35" s="400" t="n"/>
      <c r="P35" s="389" t="n"/>
      <c r="Q35" s="389" t="n"/>
      <c r="R35" s="399" t="n"/>
      <c r="S35" s="400" t="n"/>
    </row>
    <row r="36" ht="30" customFormat="1" customHeight="1" s="484">
      <c r="A36" s="479" t="inlineStr">
        <is>
          <t>Manuale uso e depannage - Apparecchiature Segnalamento Francia</t>
        </is>
      </c>
      <c r="B36" s="479" t="inlineStr">
        <is>
          <t>MAN_GDA-VZI_Base</t>
        </is>
      </c>
      <c r="C36" s="480" t="inlineStr">
        <is>
          <t>pdf</t>
        </is>
      </c>
      <c r="D36" s="481" t="n"/>
      <c r="E36" s="481" t="n"/>
      <c r="F36" s="439" t="n"/>
      <c r="G36" s="482" t="n"/>
      <c r="H36" s="481" t="n"/>
      <c r="I36" s="481" t="n"/>
      <c r="J36" s="439" t="inlineStr">
        <is>
          <t>ETR1000V300_FR-DC100002740</t>
        </is>
      </c>
      <c r="K36" s="483" t="inlineStr">
        <is>
          <t>03</t>
        </is>
      </c>
      <c r="L36" s="481" t="n"/>
      <c r="M36" s="481" t="n"/>
      <c r="N36" s="439" t="n"/>
      <c r="O36" s="482" t="n"/>
      <c r="P36" s="481" t="n"/>
      <c r="Q36" s="481" t="n"/>
      <c r="R36" s="439" t="n"/>
      <c r="S36" s="482"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worksheet>
</file>

<file path=xl/worksheets/sheet7.xml><?xml version="1.0" encoding="utf-8"?>
<worksheet xmlns="http://schemas.openxmlformats.org/spreadsheetml/2006/main">
  <sheetPr codeName="Foglio6">
    <tabColor theme="5" tint="0.3999755851924192"/>
    <outlinePr summaryBelow="1" summaryRight="1"/>
    <pageSetUpPr/>
  </sheetPr>
  <dimension ref="A1:AC79"/>
  <sheetViews>
    <sheetView topLeftCell="A25" zoomScale="85" zoomScaleNormal="85" workbookViewId="0">
      <selection activeCell="O53" sqref="O53"/>
    </sheetView>
  </sheetViews>
  <sheetFormatPr baseColWidth="8" defaultColWidth="8.7109375" defaultRowHeight="15"/>
  <cols>
    <col width="58.140625" bestFit="1" customWidth="1" style="13" min="1" max="1"/>
    <col width="20.7109375" bestFit="1" customWidth="1" style="14" min="2" max="2"/>
    <col width="8.140625" bestFit="1" customWidth="1" style="14" min="3" max="3"/>
    <col width="4.85546875" bestFit="1" customWidth="1" style="14" min="4" max="4"/>
    <col width="12.85546875" customWidth="1" style="14" min="5" max="5"/>
    <col width="32" bestFit="1" customWidth="1" style="14" min="6" max="6"/>
    <col width="27.85546875" bestFit="1" customWidth="1" style="14" min="7" max="7"/>
    <col width="4.140625" bestFit="1" customWidth="1" style="14" min="8" max="8"/>
    <col width="7.140625" bestFit="1" customWidth="1" style="14" min="9" max="9"/>
    <col width="32" bestFit="1" customWidth="1" style="14" min="10" max="10"/>
    <col width="27.85546875" bestFit="1" customWidth="1" style="14" min="11" max="11"/>
    <col width="4.140625" bestFit="1" customWidth="1" style="14" min="12" max="12"/>
    <col width="7.140625" bestFit="1" customWidth="1" style="14" min="13" max="13"/>
    <col width="26.85546875" customWidth="1" style="14" min="14" max="14"/>
    <col width="26.85546875" customWidth="1" style="13" min="15" max="15"/>
    <col width="4.42578125" bestFit="1" customWidth="1" style="14" min="16" max="16"/>
    <col width="7.42578125" bestFit="1" customWidth="1" style="524" min="17" max="17"/>
    <col width="23" bestFit="1" customWidth="1" style="14" min="18" max="18"/>
    <col width="25.7109375" bestFit="1" customWidth="1" style="14" min="19" max="19"/>
    <col width="4.42578125" bestFit="1" customWidth="1" style="14" min="20" max="20"/>
    <col width="6.85546875" bestFit="1" customWidth="1" style="524" min="21" max="21"/>
    <col width="25.7109375" bestFit="1" customWidth="1" style="14" min="22" max="22"/>
    <col width="28.42578125" bestFit="1" customWidth="1" style="14" min="23" max="23"/>
    <col width="16.140625" customWidth="1" style="14" min="24" max="25"/>
    <col width="23.5703125" bestFit="1" customWidth="1" style="14" min="26" max="26"/>
    <col width="26.42578125" bestFit="1" customWidth="1" style="14" min="27" max="27"/>
    <col width="4.42578125" bestFit="1" customWidth="1" style="14" min="28" max="28"/>
    <col width="8.85546875" bestFit="1" customWidth="1" style="524" min="29" max="29"/>
    <col width="8.7109375" customWidth="1" style="13" min="30" max="36"/>
    <col width="8.7109375" customWidth="1" style="13" min="37" max="16384"/>
  </cols>
  <sheetData>
    <row r="1" ht="29.45" customHeight="1" s="583">
      <c r="A1" s="536" t="inlineStr">
        <is>
          <t>DOC DESCRIPTION</t>
        </is>
      </c>
      <c r="B1" s="547" t="inlineStr">
        <is>
          <t>DOC ID</t>
        </is>
      </c>
      <c r="C1" s="547" t="inlineStr">
        <is>
          <t>DOC EXT</t>
        </is>
      </c>
      <c r="D1" s="553" t="inlineStr">
        <is>
          <t>TIPO</t>
        </is>
      </c>
      <c r="E1" s="553" t="inlineStr">
        <is>
          <t>VOLUME
SUBVOLUME
_TOMO</t>
        </is>
      </c>
      <c r="F1" s="549" t="inlineStr">
        <is>
          <t>VZI_Base</t>
        </is>
      </c>
      <c r="G1" s="550" t="n"/>
      <c r="H1" s="550" t="n"/>
      <c r="I1" s="551" t="n"/>
      <c r="J1" s="549" t="inlineStr">
        <is>
          <t>VZI_New14</t>
        </is>
      </c>
      <c r="K1" s="550" t="n"/>
      <c r="L1" s="550" t="n"/>
      <c r="M1" s="551" t="n"/>
      <c r="N1" s="552" t="inlineStr">
        <is>
          <t>VZ_FR</t>
        </is>
      </c>
      <c r="O1" s="550" t="n"/>
      <c r="P1" s="550" t="n"/>
      <c r="Q1" s="551" t="n"/>
      <c r="R1" s="552" t="inlineStr">
        <is>
          <t>VZ-ES</t>
        </is>
      </c>
      <c r="S1" s="550" t="n"/>
      <c r="T1" s="550" t="n"/>
      <c r="U1" s="551" t="n"/>
      <c r="V1" s="554" t="inlineStr">
        <is>
          <t>VZI-6_R1</t>
        </is>
      </c>
      <c r="W1" s="550" t="n"/>
      <c r="X1" s="550" t="n"/>
      <c r="Y1" s="551" t="n"/>
      <c r="Z1" s="554" t="inlineStr">
        <is>
          <t>VZI-4_R1</t>
        </is>
      </c>
      <c r="AA1" s="550" t="n"/>
      <c r="AB1" s="550" t="n"/>
      <c r="AC1" s="551" t="n"/>
    </row>
    <row r="2" ht="29.45" customHeight="1" s="583" thickBot="1">
      <c r="A2" s="538" t="n"/>
      <c r="B2" s="548" t="n"/>
      <c r="C2" s="548" t="n"/>
      <c r="D2" s="534" t="n"/>
      <c r="E2" s="534" t="n"/>
      <c r="F2" s="382" t="inlineStr">
        <is>
          <t>NOME FILE</t>
        </is>
      </c>
      <c r="G2" s="485" t="inlineStr">
        <is>
          <t>CODICE</t>
        </is>
      </c>
      <c r="H2" s="383" t="inlineStr">
        <is>
          <t>REV</t>
        </is>
      </c>
      <c r="I2" s="384" t="inlineStr">
        <is>
          <t>DATA</t>
        </is>
      </c>
      <c r="J2" s="382" t="inlineStr">
        <is>
          <t>NOME FILE</t>
        </is>
      </c>
      <c r="K2" s="485" t="inlineStr">
        <is>
          <t>CODICE</t>
        </is>
      </c>
      <c r="L2" s="383" t="inlineStr">
        <is>
          <t>REV</t>
        </is>
      </c>
      <c r="M2" s="384" t="inlineStr">
        <is>
          <t>DATA</t>
        </is>
      </c>
      <c r="N2" s="382" t="inlineStr">
        <is>
          <t>NOME FILE</t>
        </is>
      </c>
      <c r="O2" s="485" t="inlineStr">
        <is>
          <t>CODICE</t>
        </is>
      </c>
      <c r="P2" s="142" t="inlineStr">
        <is>
          <t>REV</t>
        </is>
      </c>
      <c r="Q2" s="143" t="inlineStr">
        <is>
          <t>DATA</t>
        </is>
      </c>
      <c r="R2" s="382" t="inlineStr">
        <is>
          <t>NOME FILE</t>
        </is>
      </c>
      <c r="S2" s="485" t="inlineStr">
        <is>
          <t>CODICE</t>
        </is>
      </c>
      <c r="T2" s="142" t="inlineStr">
        <is>
          <t>REV</t>
        </is>
      </c>
      <c r="U2" s="486" t="inlineStr">
        <is>
          <t>DATA</t>
        </is>
      </c>
      <c r="V2" s="382" t="inlineStr">
        <is>
          <t>NOME FILE</t>
        </is>
      </c>
      <c r="W2" s="485" t="inlineStr">
        <is>
          <t>CODICE</t>
        </is>
      </c>
      <c r="X2" s="142" t="inlineStr">
        <is>
          <t>REV</t>
        </is>
      </c>
      <c r="Y2" s="143" t="inlineStr">
        <is>
          <t>DATA</t>
        </is>
      </c>
      <c r="Z2" s="382" t="inlineStr">
        <is>
          <t>NOME FILE</t>
        </is>
      </c>
      <c r="AA2" s="485" t="inlineStr">
        <is>
          <t>CODICE</t>
        </is>
      </c>
      <c r="AB2" s="142" t="inlineStr">
        <is>
          <t>REV</t>
        </is>
      </c>
      <c r="AC2" s="486" t="inlineStr">
        <is>
          <t>DATA</t>
        </is>
      </c>
    </row>
    <row r="3">
      <c r="A3" s="487" t="inlineStr">
        <is>
          <t>Descrizione generale e funzionamento</t>
        </is>
      </c>
      <c r="B3" s="488">
        <f>CONCATENATE(D3,"_",E3)</f>
        <v/>
      </c>
      <c r="C3" s="488" t="inlineStr">
        <is>
          <t>pdf</t>
        </is>
      </c>
      <c r="D3" s="488" t="inlineStr">
        <is>
          <t>PBC</t>
        </is>
      </c>
      <c r="E3" s="488" t="inlineStr">
        <is>
          <t>01A</t>
        </is>
      </c>
      <c r="F3" s="402">
        <f>CONCATENATE("ETR1000V300-",$D3,"-",$E3)</f>
        <v/>
      </c>
      <c r="G3" s="489">
        <f>CONCATENATE(F3,"-",H3)</f>
        <v/>
      </c>
      <c r="H3" s="403" t="n">
        <v>14</v>
      </c>
      <c r="I3" s="404" t="n">
        <v>46113</v>
      </c>
      <c r="J3" s="402">
        <f>$F3</f>
        <v/>
      </c>
      <c r="K3" s="489">
        <f>$G3</f>
        <v/>
      </c>
      <c r="L3" s="403">
        <f>$H3</f>
        <v/>
      </c>
      <c r="M3" s="404">
        <f>$I3</f>
        <v/>
      </c>
      <c r="N3" s="490">
        <f>CONCATENATE("ETR1000V300_FR-",$D3,"-",$E3)</f>
        <v/>
      </c>
      <c r="O3" s="491">
        <f>CONCATENATE(N3,"-",P3)</f>
        <v/>
      </c>
      <c r="P3" s="492" t="inlineStr">
        <is>
          <t>03</t>
        </is>
      </c>
      <c r="Q3" s="493" t="n">
        <v>43922</v>
      </c>
      <c r="R3" s="494">
        <f>CONCATENATE("ETR1000V300_ES-",$D3,"-",$E3)</f>
        <v/>
      </c>
      <c r="S3" s="495">
        <f>CONCATENATE(R3,"-",T3)</f>
        <v/>
      </c>
      <c r="T3" s="492" t="inlineStr">
        <is>
          <t>03</t>
        </is>
      </c>
      <c r="U3" s="496" t="n">
        <v>45566</v>
      </c>
      <c r="V3" s="494">
        <f>CONCATENATE("ETR1000V300_R1-",$D3,"-",$E3)</f>
        <v/>
      </c>
      <c r="W3" s="495">
        <f>CONCATENATE(V3,"-",X3)</f>
        <v/>
      </c>
      <c r="X3" s="492" t="inlineStr">
        <is>
          <t>06</t>
        </is>
      </c>
      <c r="Y3" s="496" t="n">
        <v>45870</v>
      </c>
      <c r="Z3" s="497">
        <f>V3</f>
        <v/>
      </c>
      <c r="AA3" s="492">
        <f>W3</f>
        <v/>
      </c>
      <c r="AB3" s="492">
        <f>X3</f>
        <v/>
      </c>
      <c r="AC3" s="498">
        <f>Y3</f>
        <v/>
      </c>
    </row>
    <row r="4">
      <c r="A4" s="499" t="inlineStr">
        <is>
          <t>Norme d’Uso ed Interventi di Emergenza</t>
        </is>
      </c>
      <c r="B4" s="458">
        <f>CONCATENATE(D4,"_",E4)</f>
        <v/>
      </c>
      <c r="C4" s="488" t="inlineStr">
        <is>
          <t>pdf</t>
        </is>
      </c>
      <c r="D4" s="458" t="inlineStr">
        <is>
          <t>PBC</t>
        </is>
      </c>
      <c r="E4" s="458" t="inlineStr">
        <is>
          <t>01B</t>
        </is>
      </c>
      <c r="F4" s="405">
        <f>CONCATENATE("ETR1000V300-",$D4,"-",$E4)</f>
        <v/>
      </c>
      <c r="G4" s="500">
        <f>CONCATENATE(F4,"-",H4)</f>
        <v/>
      </c>
      <c r="H4" s="406" t="n">
        <v>14</v>
      </c>
      <c r="I4" s="407" t="n">
        <v>45748</v>
      </c>
      <c r="J4" s="405">
        <f>$F4</f>
        <v/>
      </c>
      <c r="K4" s="500">
        <f>$G4</f>
        <v/>
      </c>
      <c r="L4" s="406">
        <f>$H4</f>
        <v/>
      </c>
      <c r="M4" s="407">
        <f>$I4</f>
        <v/>
      </c>
      <c r="N4" s="494">
        <f>CONCATENATE("ETR1000V300_FR-",$D4,"-",$E4)</f>
        <v/>
      </c>
      <c r="O4" s="495">
        <f>CONCATENATE(N4,"-",P4)</f>
        <v/>
      </c>
      <c r="P4" s="460" t="inlineStr">
        <is>
          <t>03</t>
        </is>
      </c>
      <c r="Q4" s="496" t="n">
        <v>43922</v>
      </c>
      <c r="R4" s="494">
        <f>CONCATENATE("ETR1000V300_ES-",$D4,"-",$E4)</f>
        <v/>
      </c>
      <c r="S4" s="460">
        <f>CONCATENATE(R4,"-",T4)</f>
        <v/>
      </c>
      <c r="T4" s="460" t="inlineStr">
        <is>
          <t>03</t>
        </is>
      </c>
      <c r="U4" s="496" t="n">
        <v>45566</v>
      </c>
      <c r="V4" s="494">
        <f>CONCATENATE("ETR1000V300_R1-",$D4,"-",$E4)</f>
        <v/>
      </c>
      <c r="W4" s="495">
        <f>CONCATENATE(V4,"-",X4)</f>
        <v/>
      </c>
      <c r="X4" s="501" t="inlineStr">
        <is>
          <t>09</t>
        </is>
      </c>
      <c r="Y4" s="496" t="n">
        <v>45870</v>
      </c>
      <c r="Z4" s="502">
        <f>V4</f>
        <v/>
      </c>
      <c r="AA4" s="501">
        <f>W4</f>
        <v/>
      </c>
      <c r="AB4" s="501">
        <f>X4</f>
        <v/>
      </c>
      <c r="AC4" s="503">
        <f>Y4</f>
        <v/>
      </c>
    </row>
    <row r="5">
      <c r="A5" s="504" t="inlineStr">
        <is>
          <t>Manuale per il Personale di Bordo addetto alla Scorta</t>
        </is>
      </c>
      <c r="B5" s="458">
        <f>CONCATENATE(D5,"_",E5)</f>
        <v/>
      </c>
      <c r="C5" s="488" t="inlineStr">
        <is>
          <t>pdf</t>
        </is>
      </c>
      <c r="D5" s="458" t="inlineStr">
        <is>
          <t>PBS</t>
        </is>
      </c>
      <c r="E5" s="458" t="inlineStr">
        <is>
          <t>01A</t>
        </is>
      </c>
      <c r="F5" s="405">
        <f>CONCATENATE("ETR1000V300-",$D5,"-",$E5)</f>
        <v/>
      </c>
      <c r="G5" s="500">
        <f>CONCATENATE(F5,"-",H5)</f>
        <v/>
      </c>
      <c r="H5" s="409" t="inlineStr">
        <is>
          <t>04</t>
        </is>
      </c>
      <c r="I5" s="407" t="n">
        <v>45748</v>
      </c>
      <c r="J5" s="405">
        <f>$F5</f>
        <v/>
      </c>
      <c r="K5" s="500">
        <f>$G5</f>
        <v/>
      </c>
      <c r="L5" s="409">
        <f>$H5</f>
        <v/>
      </c>
      <c r="M5" s="407">
        <f>$I5</f>
        <v/>
      </c>
      <c r="N5" s="494">
        <f>CONCATENATE("ETR1000V300_FR-",$D5,"-",$E5)</f>
        <v/>
      </c>
      <c r="O5" s="495">
        <f>CONCATENATE(N5,"-",P5)</f>
        <v/>
      </c>
      <c r="P5" s="501" t="inlineStr">
        <is>
          <t>01</t>
        </is>
      </c>
      <c r="Q5" s="496" t="n">
        <v>43922</v>
      </c>
      <c r="R5" s="494">
        <f>CONCATENATE("ETR1000V300_ES-",$D5,"-",$E5)</f>
        <v/>
      </c>
      <c r="S5" s="460">
        <f>CONCATENATE(R5,"-",T5)</f>
        <v/>
      </c>
      <c r="T5" s="460" t="inlineStr">
        <is>
          <t>03</t>
        </is>
      </c>
      <c r="U5" s="496" t="n">
        <v>45566</v>
      </c>
      <c r="V5" s="494">
        <f>CONCATENATE("ETR1000V300_R1-",$D5,"-",$E5)</f>
        <v/>
      </c>
      <c r="W5" s="495">
        <f>CONCATENATE(V5,"-",X5)</f>
        <v/>
      </c>
      <c r="X5" s="501" t="inlineStr">
        <is>
          <t>03</t>
        </is>
      </c>
      <c r="Y5" s="496" t="n">
        <v>45901</v>
      </c>
      <c r="Z5" s="502">
        <f>V5</f>
        <v/>
      </c>
      <c r="AA5" s="501">
        <f>W5</f>
        <v/>
      </c>
      <c r="AB5" s="501">
        <f>X5</f>
        <v/>
      </c>
      <c r="AC5" s="503">
        <f>Y5</f>
        <v/>
      </c>
    </row>
    <row r="6">
      <c r="A6" s="504" t="inlineStr">
        <is>
          <t>Cassa</t>
        </is>
      </c>
      <c r="B6" s="458">
        <f>CONCATENATE(D6,"_",E6)</f>
        <v/>
      </c>
      <c r="C6" s="488" t="inlineStr">
        <is>
          <t>pdf</t>
        </is>
      </c>
      <c r="D6" s="458" t="inlineStr">
        <is>
          <t>MR1</t>
        </is>
      </c>
      <c r="E6" s="505" t="inlineStr">
        <is>
          <t>01A</t>
        </is>
      </c>
      <c r="F6" s="405">
        <f>CONCATENATE("ETR1000V300-",$D6,"-",$E6)</f>
        <v/>
      </c>
      <c r="G6" s="500">
        <f>CONCATENATE(F6,"-",H6)</f>
        <v/>
      </c>
      <c r="H6" s="415" t="inlineStr">
        <is>
          <t>08</t>
        </is>
      </c>
      <c r="I6" s="416" t="n">
        <v>46113</v>
      </c>
      <c r="J6" s="405">
        <f>$F6</f>
        <v/>
      </c>
      <c r="K6" s="500">
        <f>$G6</f>
        <v/>
      </c>
      <c r="L6" s="415">
        <f>$H6</f>
        <v/>
      </c>
      <c r="M6" s="416">
        <f>$I6</f>
        <v/>
      </c>
      <c r="N6" s="506">
        <f>CONCATENATE("ETR1000V300_FR-",$D6,"-",$E6)</f>
        <v/>
      </c>
      <c r="O6" s="495">
        <f>CONCATENATE(N6,"-",P6)</f>
        <v/>
      </c>
      <c r="P6" s="501" t="inlineStr">
        <is>
          <t>01</t>
        </is>
      </c>
      <c r="Q6" s="496" t="n">
        <v>44105</v>
      </c>
      <c r="R6" s="507" t="inlineStr">
        <is>
          <t>TBD</t>
        </is>
      </c>
      <c r="S6" s="508" t="n"/>
      <c r="T6" s="508" t="n"/>
      <c r="U6" s="509" t="n"/>
      <c r="V6" s="494">
        <f>CONCATENATE("ETR1000V300_R1-",$D6,"-",$E6)</f>
        <v/>
      </c>
      <c r="W6" s="495">
        <f>CONCATENATE(V6,"-",X6)</f>
        <v/>
      </c>
      <c r="X6" s="501" t="inlineStr">
        <is>
          <t>05</t>
        </is>
      </c>
      <c r="Y6" s="510" t="inlineStr">
        <is>
          <t>gen-2026</t>
        </is>
      </c>
      <c r="Z6" s="502">
        <f>V6</f>
        <v/>
      </c>
      <c r="AA6" s="501">
        <f>W6</f>
        <v/>
      </c>
      <c r="AB6" s="501">
        <f>X6</f>
        <v/>
      </c>
      <c r="AC6" s="503">
        <f>Y6</f>
        <v/>
      </c>
    </row>
    <row r="7">
      <c r="A7" s="504" t="inlineStr">
        <is>
          <t>Carrello</t>
        </is>
      </c>
      <c r="B7" s="458">
        <f>CONCATENATE(D7,"_",E7)</f>
        <v/>
      </c>
      <c r="C7" s="488" t="inlineStr">
        <is>
          <t>pdf</t>
        </is>
      </c>
      <c r="D7" s="458" t="inlineStr">
        <is>
          <t>MR1</t>
        </is>
      </c>
      <c r="E7" s="458" t="inlineStr">
        <is>
          <t>02A</t>
        </is>
      </c>
      <c r="F7" s="405">
        <f>CONCATENATE("ETR1000V300-",$D7,"-",$E7)</f>
        <v/>
      </c>
      <c r="G7" s="500">
        <f>CONCATENATE(F7,"-",H7)</f>
        <v/>
      </c>
      <c r="H7" s="417" t="n">
        <v>14</v>
      </c>
      <c r="I7" s="416" t="n">
        <v>46113</v>
      </c>
      <c r="J7" s="405">
        <f>$F7</f>
        <v/>
      </c>
      <c r="K7" s="500">
        <f>$G7</f>
        <v/>
      </c>
      <c r="L7" s="417">
        <f>$H7</f>
        <v/>
      </c>
      <c r="M7" s="416">
        <f>$I7</f>
        <v/>
      </c>
      <c r="N7" s="506">
        <f>CONCATENATE("ETR1000V300_FR-",$D7,"-",$E7)</f>
        <v/>
      </c>
      <c r="O7" s="495">
        <f>CONCATENATE(N7,"-",P7)</f>
        <v/>
      </c>
      <c r="P7" s="501" t="inlineStr">
        <is>
          <t>02</t>
        </is>
      </c>
      <c r="Q7" s="496" t="n">
        <v>44713</v>
      </c>
      <c r="R7" s="494" t="n"/>
      <c r="S7" s="460" t="n"/>
      <c r="T7" s="460" t="n"/>
      <c r="U7" s="496" t="n"/>
      <c r="V7" s="494">
        <f>CONCATENATE("ETR1000V300_R1-",$D7,"-",$E7)</f>
        <v/>
      </c>
      <c r="W7" s="495">
        <f>CONCATENATE(V7,"-",X7)</f>
        <v/>
      </c>
      <c r="X7" s="501" t="inlineStr">
        <is>
          <t>08</t>
        </is>
      </c>
      <c r="Y7" s="510" t="inlineStr">
        <is>
          <t>gen-2026</t>
        </is>
      </c>
      <c r="Z7" s="502">
        <f>V7</f>
        <v/>
      </c>
      <c r="AA7" s="501">
        <f>W7</f>
        <v/>
      </c>
      <c r="AB7" s="501">
        <f>X7</f>
        <v/>
      </c>
      <c r="AC7" s="503">
        <f>Y7</f>
        <v/>
      </c>
    </row>
    <row r="8">
      <c r="A8" s="504" t="inlineStr">
        <is>
          <t>Impianto pneumatico e freno</t>
        </is>
      </c>
      <c r="B8" s="458">
        <f>CONCATENATE(D8,"_",E8)</f>
        <v/>
      </c>
      <c r="C8" s="488" t="inlineStr">
        <is>
          <t>pdf</t>
        </is>
      </c>
      <c r="D8" s="458" t="inlineStr">
        <is>
          <t>MR1</t>
        </is>
      </c>
      <c r="E8" s="458" t="inlineStr">
        <is>
          <t>03A</t>
        </is>
      </c>
      <c r="F8" s="405">
        <f>CONCATENATE("ETR1000V300-",$D8,"-",$E8)</f>
        <v/>
      </c>
      <c r="G8" s="500">
        <f>CONCATENATE(F8,"-",H8)</f>
        <v/>
      </c>
      <c r="H8" s="415" t="inlineStr">
        <is>
          <t>09</t>
        </is>
      </c>
      <c r="I8" s="416" t="n">
        <v>46113</v>
      </c>
      <c r="J8" s="405">
        <f>$F8</f>
        <v/>
      </c>
      <c r="K8" s="500">
        <f>$G8</f>
        <v/>
      </c>
      <c r="L8" s="415">
        <f>$H8</f>
        <v/>
      </c>
      <c r="M8" s="416">
        <f>$I8</f>
        <v/>
      </c>
      <c r="N8" s="506">
        <f>CONCATENATE("ETR1000V300_FR-",$D8,"-",$E8)</f>
        <v/>
      </c>
      <c r="O8" s="495">
        <f>CONCATENATE(N8,"-",P8)</f>
        <v/>
      </c>
      <c r="P8" s="501" t="inlineStr">
        <is>
          <t>02</t>
        </is>
      </c>
      <c r="Q8" s="496" t="n">
        <v>44713</v>
      </c>
      <c r="R8" s="494" t="n"/>
      <c r="S8" s="460" t="n"/>
      <c r="T8" s="460" t="n"/>
      <c r="U8" s="496" t="n"/>
      <c r="V8" s="494">
        <f>CONCATENATE("ETR1000V300_R1-",$D8,"-",$E8)</f>
        <v/>
      </c>
      <c r="W8" s="495">
        <f>CONCATENATE(V8,"-",X8)</f>
        <v/>
      </c>
      <c r="X8" s="501" t="inlineStr">
        <is>
          <t>04</t>
        </is>
      </c>
      <c r="Y8" s="496" t="n">
        <v>45992</v>
      </c>
      <c r="Z8" s="502">
        <f>V8</f>
        <v/>
      </c>
      <c r="AA8" s="501">
        <f>W8</f>
        <v/>
      </c>
      <c r="AB8" s="501">
        <f>X8</f>
        <v/>
      </c>
      <c r="AC8" s="503">
        <f>Y8</f>
        <v/>
      </c>
    </row>
    <row r="9">
      <c r="A9" s="504" t="inlineStr">
        <is>
          <t>Equipaggiamento elettrico ed elettropneumatico</t>
        </is>
      </c>
      <c r="B9" s="458">
        <f>CONCATENATE(D9,"_",E9)</f>
        <v/>
      </c>
      <c r="C9" s="488" t="inlineStr">
        <is>
          <t>pdf</t>
        </is>
      </c>
      <c r="D9" s="458" t="inlineStr">
        <is>
          <t>MR1</t>
        </is>
      </c>
      <c r="E9" s="505" t="inlineStr">
        <is>
          <t>04A</t>
        </is>
      </c>
      <c r="F9" s="405">
        <f>CONCATENATE("ETR1000V300-",$D9,"-",$E9)</f>
        <v/>
      </c>
      <c r="G9" s="500">
        <f>CONCATENATE(F9,"-",H9)</f>
        <v/>
      </c>
      <c r="H9" s="415" t="n">
        <v>10</v>
      </c>
      <c r="I9" s="416" t="n">
        <v>46113</v>
      </c>
      <c r="J9" s="405">
        <f>$F9</f>
        <v/>
      </c>
      <c r="K9" s="500">
        <f>$G9</f>
        <v/>
      </c>
      <c r="L9" s="415">
        <f>$H9</f>
        <v/>
      </c>
      <c r="M9" s="416">
        <f>$I9</f>
        <v/>
      </c>
      <c r="N9" s="506">
        <f>CONCATENATE("ETR1000V300_FR-",$D9,"-",$E9)</f>
        <v/>
      </c>
      <c r="O9" s="495">
        <f>CONCATENATE(N9,"-",P9)</f>
        <v/>
      </c>
      <c r="P9" s="501" t="inlineStr">
        <is>
          <t>05</t>
        </is>
      </c>
      <c r="Q9" s="496" t="n">
        <v>45931</v>
      </c>
      <c r="R9" s="494" t="n"/>
      <c r="S9" s="460" t="n"/>
      <c r="T9" s="460" t="n"/>
      <c r="U9" s="496" t="n"/>
      <c r="V9" s="494">
        <f>CONCATENATE("ETR1000V300_R1-",$D9,"-",$E9)</f>
        <v/>
      </c>
      <c r="W9" s="495">
        <f>CONCATENATE(V9,"-",X9)</f>
        <v/>
      </c>
      <c r="X9" s="501" t="inlineStr">
        <is>
          <t>05</t>
        </is>
      </c>
      <c r="Y9" s="510" t="inlineStr">
        <is>
          <t>gen-2026</t>
        </is>
      </c>
      <c r="Z9" s="502">
        <f>V9</f>
        <v/>
      </c>
      <c r="AA9" s="501">
        <f>W9</f>
        <v/>
      </c>
      <c r="AB9" s="501">
        <f>X9</f>
        <v/>
      </c>
      <c r="AC9" s="503">
        <f>Y9</f>
        <v/>
      </c>
    </row>
    <row r="10">
      <c r="A10" s="504" t="inlineStr">
        <is>
          <t>Logica di comando</t>
        </is>
      </c>
      <c r="B10" s="458">
        <f>CONCATENATE(D10,"_",E10)</f>
        <v/>
      </c>
      <c r="C10" s="488" t="inlineStr">
        <is>
          <t>pdf</t>
        </is>
      </c>
      <c r="D10" s="458" t="inlineStr">
        <is>
          <t>MR1</t>
        </is>
      </c>
      <c r="E10" s="458" t="inlineStr">
        <is>
          <t>05A</t>
        </is>
      </c>
      <c r="F10" s="405">
        <f>CONCATENATE("ETR1000V300-",$D10,"-",$E10)</f>
        <v/>
      </c>
      <c r="G10" s="500">
        <f>CONCATENATE(F10,"-",H10)</f>
        <v/>
      </c>
      <c r="H10" s="415" t="inlineStr">
        <is>
          <t>04</t>
        </is>
      </c>
      <c r="I10" s="416" t="n">
        <v>46113</v>
      </c>
      <c r="J10" s="405">
        <f>$F10</f>
        <v/>
      </c>
      <c r="K10" s="500">
        <f>$G10</f>
        <v/>
      </c>
      <c r="L10" s="415">
        <f>$H10</f>
        <v/>
      </c>
      <c r="M10" s="416">
        <f>$I10</f>
        <v/>
      </c>
      <c r="N10" s="494">
        <f>$F10</f>
        <v/>
      </c>
      <c r="O10" s="495">
        <f>$G10</f>
        <v/>
      </c>
      <c r="P10" s="460">
        <f>$H10</f>
        <v/>
      </c>
      <c r="Q10" s="511">
        <f>$I10</f>
        <v/>
      </c>
      <c r="R10" s="494" t="n"/>
      <c r="S10" s="460" t="n"/>
      <c r="T10" s="460" t="n"/>
      <c r="U10" s="496" t="n"/>
      <c r="V10" s="494">
        <f>CONCATENATE("ETR1000V300_R1-",$D10,"-",$E10)</f>
        <v/>
      </c>
      <c r="W10" s="495">
        <f>CONCATENATE(V10,"-",X10)</f>
        <v/>
      </c>
      <c r="X10" s="501" t="inlineStr">
        <is>
          <t>03</t>
        </is>
      </c>
      <c r="Y10" s="496" t="n">
        <v>45931</v>
      </c>
      <c r="Z10" s="502">
        <f>V10</f>
        <v/>
      </c>
      <c r="AA10" s="501">
        <f>W10</f>
        <v/>
      </c>
      <c r="AB10" s="501">
        <f>X10</f>
        <v/>
      </c>
      <c r="AC10" s="503">
        <f>Y10</f>
        <v/>
      </c>
    </row>
    <row r="11">
      <c r="A11" s="504" t="inlineStr">
        <is>
          <t>Logica di comando - Nodo TCN</t>
        </is>
      </c>
      <c r="B11" s="458">
        <f>CONCATENATE(D11,"_",E11)</f>
        <v/>
      </c>
      <c r="C11" s="488" t="inlineStr">
        <is>
          <t>pdf</t>
        </is>
      </c>
      <c r="D11" s="458" t="inlineStr">
        <is>
          <t>MR1</t>
        </is>
      </c>
      <c r="E11" s="458" t="inlineStr">
        <is>
          <t>05B</t>
        </is>
      </c>
      <c r="F11" s="405">
        <f>CONCATENATE("ETR1000V300-",$D11,"-",$E11)</f>
        <v/>
      </c>
      <c r="G11" s="500">
        <f>CONCATENATE(F11,"-",H11)</f>
        <v/>
      </c>
      <c r="H11" s="409" t="inlineStr">
        <is>
          <t>02</t>
        </is>
      </c>
      <c r="I11" s="408" t="inlineStr">
        <is>
          <t>giu-17</t>
        </is>
      </c>
      <c r="J11" s="405">
        <f>$F11</f>
        <v/>
      </c>
      <c r="K11" s="500">
        <f>$G11</f>
        <v/>
      </c>
      <c r="L11" s="409">
        <f>$H11</f>
        <v/>
      </c>
      <c r="M11" s="408">
        <f>$I11</f>
        <v/>
      </c>
      <c r="N11" s="494">
        <f>$F11</f>
        <v/>
      </c>
      <c r="O11" s="495">
        <f>$G11</f>
        <v/>
      </c>
      <c r="P11" s="460">
        <f>$H11</f>
        <v/>
      </c>
      <c r="Q11" s="496">
        <f>$I11</f>
        <v/>
      </c>
      <c r="R11" s="494" t="n"/>
      <c r="S11" s="460" t="n"/>
      <c r="T11" s="460" t="n"/>
      <c r="U11" s="496" t="n"/>
      <c r="V11" s="494" t="inlineStr">
        <is>
          <t>\</t>
        </is>
      </c>
      <c r="W11" s="495" t="inlineStr">
        <is>
          <t>\</t>
        </is>
      </c>
      <c r="X11" s="501" t="inlineStr">
        <is>
          <t>\</t>
        </is>
      </c>
      <c r="Y11" s="496" t="inlineStr">
        <is>
          <t>\</t>
        </is>
      </c>
      <c r="Z11" s="502">
        <f>V11</f>
        <v/>
      </c>
      <c r="AA11" s="501">
        <f>W11</f>
        <v/>
      </c>
      <c r="AB11" s="501">
        <f>X11</f>
        <v/>
      </c>
      <c r="AC11" s="503">
        <f>Y11</f>
        <v/>
      </c>
    </row>
    <row r="12">
      <c r="A12" s="504" t="inlineStr">
        <is>
          <t>Azionamento di trazione</t>
        </is>
      </c>
      <c r="B12" s="458">
        <f>CONCATENATE(D12,"_",E12)</f>
        <v/>
      </c>
      <c r="C12" s="488" t="inlineStr">
        <is>
          <t>pdf</t>
        </is>
      </c>
      <c r="D12" s="458" t="inlineStr">
        <is>
          <t>MR1</t>
        </is>
      </c>
      <c r="E12" s="458" t="inlineStr">
        <is>
          <t>06A</t>
        </is>
      </c>
      <c r="F12" s="405">
        <f>CONCATENATE("ETR1000V300-",$D12,"-",$E12)</f>
        <v/>
      </c>
      <c r="G12" s="500">
        <f>CONCATENATE(F12,"-",H12)</f>
        <v/>
      </c>
      <c r="H12" s="415" t="inlineStr">
        <is>
          <t>05</t>
        </is>
      </c>
      <c r="I12" s="416" t="n">
        <v>46113</v>
      </c>
      <c r="J12" s="405">
        <f>$F12</f>
        <v/>
      </c>
      <c r="K12" s="500">
        <f>$G12</f>
        <v/>
      </c>
      <c r="L12" s="415">
        <f>$H12</f>
        <v/>
      </c>
      <c r="M12" s="416">
        <f>$I12</f>
        <v/>
      </c>
      <c r="N12" s="494">
        <f>$F12</f>
        <v/>
      </c>
      <c r="O12" s="460">
        <f>$G12</f>
        <v/>
      </c>
      <c r="P12" s="460">
        <f>$H12</f>
        <v/>
      </c>
      <c r="Q12" s="496">
        <f>$I12</f>
        <v/>
      </c>
      <c r="R12" s="494" t="n"/>
      <c r="S12" s="460" t="n"/>
      <c r="T12" s="460" t="n"/>
      <c r="U12" s="496" t="n"/>
      <c r="V12" s="494">
        <f>CONCATENATE("ETR1000V300_R1-",$D12,"-",$E12)</f>
        <v/>
      </c>
      <c r="W12" s="495">
        <f>CONCATENATE(V12,"-",X12)</f>
        <v/>
      </c>
      <c r="X12" s="501" t="inlineStr">
        <is>
          <t>04</t>
        </is>
      </c>
      <c r="Y12" s="496" t="n">
        <v>45992</v>
      </c>
      <c r="Z12" s="502">
        <f>V12</f>
        <v/>
      </c>
      <c r="AA12" s="501">
        <f>W12</f>
        <v/>
      </c>
      <c r="AB12" s="501">
        <f>X12</f>
        <v/>
      </c>
      <c r="AC12" s="503">
        <f>Y12</f>
        <v/>
      </c>
    </row>
    <row r="13">
      <c r="A13" s="504" t="inlineStr">
        <is>
          <t>Motore di trazione</t>
        </is>
      </c>
      <c r="B13" s="458">
        <f>CONCATENATE(D13,"_",E13)</f>
        <v/>
      </c>
      <c r="C13" s="488" t="inlineStr">
        <is>
          <t>pdf</t>
        </is>
      </c>
      <c r="D13" s="458" t="inlineStr">
        <is>
          <t>MR1</t>
        </is>
      </c>
      <c r="E13" s="458" t="inlineStr">
        <is>
          <t>07A</t>
        </is>
      </c>
      <c r="F13" s="405">
        <f>CONCATENATE("ETR1000V300-",$D13,"-",$E13)</f>
        <v/>
      </c>
      <c r="G13" s="500">
        <f>CONCATENATE(F13,"-",H13)</f>
        <v/>
      </c>
      <c r="H13" s="415" t="inlineStr">
        <is>
          <t>07</t>
        </is>
      </c>
      <c r="I13" s="416" t="n">
        <v>46113</v>
      </c>
      <c r="J13" s="405">
        <f>$F13</f>
        <v/>
      </c>
      <c r="K13" s="500">
        <f>$G13</f>
        <v/>
      </c>
      <c r="L13" s="415">
        <f>$H13</f>
        <v/>
      </c>
      <c r="M13" s="416">
        <f>$I13</f>
        <v/>
      </c>
      <c r="N13" s="494">
        <f>$F13</f>
        <v/>
      </c>
      <c r="O13" s="460">
        <f>$G13</f>
        <v/>
      </c>
      <c r="P13" s="460">
        <f>$H13</f>
        <v/>
      </c>
      <c r="Q13" s="496">
        <f>$I13</f>
        <v/>
      </c>
      <c r="R13" s="494" t="n"/>
      <c r="S13" s="460" t="n"/>
      <c r="T13" s="460" t="n"/>
      <c r="U13" s="496" t="n"/>
      <c r="V13" s="494">
        <f>CONCATENATE("ETR1000V300_R1-",$D13,"-",$E13)</f>
        <v/>
      </c>
      <c r="W13" s="495">
        <f>CONCATENATE(V13,"-",X13)</f>
        <v/>
      </c>
      <c r="X13" s="501" t="inlineStr">
        <is>
          <t>04</t>
        </is>
      </c>
      <c r="Y13" s="496" t="n">
        <v>45931</v>
      </c>
      <c r="Z13" s="502">
        <f>V13</f>
        <v/>
      </c>
      <c r="AA13" s="501">
        <f>W13</f>
        <v/>
      </c>
      <c r="AB13" s="501">
        <f>X13</f>
        <v/>
      </c>
      <c r="AC13" s="503">
        <f>Y13</f>
        <v/>
      </c>
    </row>
    <row r="14">
      <c r="A14" s="504" t="inlineStr">
        <is>
          <t>Passaggi esterni</t>
        </is>
      </c>
      <c r="B14" s="458">
        <f>CONCATENATE(D14,"_",E14)</f>
        <v/>
      </c>
      <c r="C14" s="488" t="inlineStr">
        <is>
          <t>pdf</t>
        </is>
      </c>
      <c r="D14" s="458" t="inlineStr">
        <is>
          <t>MR1</t>
        </is>
      </c>
      <c r="E14" s="505" t="inlineStr">
        <is>
          <t>08A</t>
        </is>
      </c>
      <c r="F14" s="405">
        <f>CONCATENATE("ETR1000V300-",$D14,"-",$E14)</f>
        <v/>
      </c>
      <c r="G14" s="500">
        <f>CONCATENATE(F14,"-",H14)</f>
        <v/>
      </c>
      <c r="H14" s="415" t="inlineStr">
        <is>
          <t>05</t>
        </is>
      </c>
      <c r="I14" s="416" t="n">
        <v>46113</v>
      </c>
      <c r="J14" s="405">
        <f>$F14</f>
        <v/>
      </c>
      <c r="K14" s="500">
        <f>$G14</f>
        <v/>
      </c>
      <c r="L14" s="415">
        <f>$H14</f>
        <v/>
      </c>
      <c r="M14" s="416">
        <f>$I14</f>
        <v/>
      </c>
      <c r="N14" s="494">
        <f>$F14</f>
        <v/>
      </c>
      <c r="O14" s="460">
        <f>$G14</f>
        <v/>
      </c>
      <c r="P14" s="460">
        <f>$H14</f>
        <v/>
      </c>
      <c r="Q14" s="496">
        <f>$I14</f>
        <v/>
      </c>
      <c r="R14" s="494" t="n"/>
      <c r="S14" s="460" t="n"/>
      <c r="T14" s="460" t="n"/>
      <c r="U14" s="496" t="n"/>
      <c r="V14" s="494">
        <f>CONCATENATE("ETR1000V300_R1-",$D14,"-",$E14)</f>
        <v/>
      </c>
      <c r="W14" s="495">
        <f>CONCATENATE(V14,"-",X14)</f>
        <v/>
      </c>
      <c r="X14" s="501" t="inlineStr">
        <is>
          <t>04</t>
        </is>
      </c>
      <c r="Y14" s="496" t="n">
        <v>45931</v>
      </c>
      <c r="Z14" s="502">
        <f>V14</f>
        <v/>
      </c>
      <c r="AA14" s="501">
        <f>W14</f>
        <v/>
      </c>
      <c r="AB14" s="501">
        <f>X14</f>
        <v/>
      </c>
      <c r="AC14" s="503">
        <f>Y14</f>
        <v/>
      </c>
    </row>
    <row r="15">
      <c r="A15" s="504" t="inlineStr">
        <is>
          <t>Sottosistema di climatizzazione</t>
        </is>
      </c>
      <c r="B15" s="458">
        <f>CONCATENATE(D15,"_",E15)</f>
        <v/>
      </c>
      <c r="C15" s="488" t="inlineStr">
        <is>
          <t>pdf</t>
        </is>
      </c>
      <c r="D15" s="458" t="inlineStr">
        <is>
          <t>MR1</t>
        </is>
      </c>
      <c r="E15" s="458" t="inlineStr">
        <is>
          <t>09A</t>
        </is>
      </c>
      <c r="F15" s="405">
        <f>CONCATENATE("ETR1000V300-",$D15,"-",$E15)</f>
        <v/>
      </c>
      <c r="G15" s="500">
        <f>CONCATENATE(F15,"-",H15)</f>
        <v/>
      </c>
      <c r="H15" s="415" t="inlineStr">
        <is>
          <t>05</t>
        </is>
      </c>
      <c r="I15" s="416" t="n">
        <v>46113</v>
      </c>
      <c r="J15" s="405">
        <f>$F15</f>
        <v/>
      </c>
      <c r="K15" s="500">
        <f>$G15</f>
        <v/>
      </c>
      <c r="L15" s="415">
        <f>$H15</f>
        <v/>
      </c>
      <c r="M15" s="416">
        <f>$I15</f>
        <v/>
      </c>
      <c r="N15" s="494">
        <f>$F15</f>
        <v/>
      </c>
      <c r="O15" s="460">
        <f>$G15</f>
        <v/>
      </c>
      <c r="P15" s="460">
        <f>$H15</f>
        <v/>
      </c>
      <c r="Q15" s="496">
        <f>$I15</f>
        <v/>
      </c>
      <c r="R15" s="494" t="n"/>
      <c r="S15" s="460" t="n"/>
      <c r="T15" s="460" t="n"/>
      <c r="U15" s="496" t="n"/>
      <c r="V15" s="494">
        <f>CONCATENATE("ETR1000V300_R1-",$D15,"-",$E15)</f>
        <v/>
      </c>
      <c r="W15" s="495">
        <f>CONCATENATE(V15,"-",X15)</f>
        <v/>
      </c>
      <c r="X15" s="501" t="inlineStr">
        <is>
          <t>04</t>
        </is>
      </c>
      <c r="Y15" s="496" t="n">
        <v>45931</v>
      </c>
      <c r="Z15" s="502">
        <f>V15</f>
        <v/>
      </c>
      <c r="AA15" s="501">
        <f>W15</f>
        <v/>
      </c>
      <c r="AB15" s="501">
        <f>X15</f>
        <v/>
      </c>
      <c r="AC15" s="503">
        <f>Y15</f>
        <v/>
      </c>
    </row>
    <row r="16">
      <c r="A16" s="504" t="inlineStr">
        <is>
          <t>Sottosistema di comunicazione</t>
        </is>
      </c>
      <c r="B16" s="458">
        <f>CONCATENATE(D16,"_",E16)</f>
        <v/>
      </c>
      <c r="C16" s="488" t="inlineStr">
        <is>
          <t>pdf</t>
        </is>
      </c>
      <c r="D16" s="458" t="inlineStr">
        <is>
          <t>MR1</t>
        </is>
      </c>
      <c r="E16" s="458" t="inlineStr">
        <is>
          <t>10A</t>
        </is>
      </c>
      <c r="F16" s="405">
        <f>CONCATENATE("ETR1000V300-",$D16,"-",$E16)</f>
        <v/>
      </c>
      <c r="G16" s="500">
        <f>CONCATENATE(F16,"-",H16)</f>
        <v/>
      </c>
      <c r="H16" s="415" t="inlineStr">
        <is>
          <t>05</t>
        </is>
      </c>
      <c r="I16" s="416" t="n">
        <v>46113</v>
      </c>
      <c r="J16" s="405">
        <f>$F16</f>
        <v/>
      </c>
      <c r="K16" s="500">
        <f>$G16</f>
        <v/>
      </c>
      <c r="L16" s="415">
        <f>$H16</f>
        <v/>
      </c>
      <c r="M16" s="416">
        <f>$I16</f>
        <v/>
      </c>
      <c r="N16" s="494">
        <f>$F16</f>
        <v/>
      </c>
      <c r="O16" s="460">
        <f>$G16</f>
        <v/>
      </c>
      <c r="P16" s="460">
        <f>$H16</f>
        <v/>
      </c>
      <c r="Q16" s="496">
        <f>$I16</f>
        <v/>
      </c>
      <c r="R16" s="494" t="n"/>
      <c r="S16" s="460" t="n"/>
      <c r="T16" s="460" t="n"/>
      <c r="U16" s="496" t="n"/>
      <c r="V16" s="494">
        <f>CONCATENATE("ETR1000V300_R1-",$D16,"-",$E16)</f>
        <v/>
      </c>
      <c r="W16" s="495">
        <f>CONCATENATE(V16,"-",X16)</f>
        <v/>
      </c>
      <c r="X16" s="501" t="inlineStr">
        <is>
          <t>03</t>
        </is>
      </c>
      <c r="Y16" s="496" t="n">
        <v>45901</v>
      </c>
      <c r="Z16" s="502">
        <f>V16</f>
        <v/>
      </c>
      <c r="AA16" s="501">
        <f>W16</f>
        <v/>
      </c>
      <c r="AB16" s="501">
        <f>X16</f>
        <v/>
      </c>
      <c r="AC16" s="503">
        <f>Y16</f>
        <v/>
      </c>
    </row>
    <row r="17">
      <c r="A17" s="504" t="inlineStr">
        <is>
          <t>Convertitore servizi ausiliari e caricabatterie</t>
        </is>
      </c>
      <c r="B17" s="458">
        <f>CONCATENATE(D17,"_",E17)</f>
        <v/>
      </c>
      <c r="C17" s="488" t="inlineStr">
        <is>
          <t>pdf</t>
        </is>
      </c>
      <c r="D17" s="458" t="inlineStr">
        <is>
          <t>MR1</t>
        </is>
      </c>
      <c r="E17" s="458" t="inlineStr">
        <is>
          <t>11A</t>
        </is>
      </c>
      <c r="F17" s="405">
        <f>CONCATENATE("ETR1000V300-",$D17,"-",$E17)</f>
        <v/>
      </c>
      <c r="G17" s="500">
        <f>CONCATENATE(F17,"-",H17)</f>
        <v/>
      </c>
      <c r="H17" s="415" t="inlineStr">
        <is>
          <t>03</t>
        </is>
      </c>
      <c r="I17" s="416" t="n">
        <v>46113</v>
      </c>
      <c r="J17" s="405">
        <f>$F17</f>
        <v/>
      </c>
      <c r="K17" s="500">
        <f>$G17</f>
        <v/>
      </c>
      <c r="L17" s="415">
        <f>$H17</f>
        <v/>
      </c>
      <c r="M17" s="416">
        <f>$I17</f>
        <v/>
      </c>
      <c r="N17" s="494">
        <f>$F17</f>
        <v/>
      </c>
      <c r="O17" s="460">
        <f>$G17</f>
        <v/>
      </c>
      <c r="P17" s="460">
        <f>$H17</f>
        <v/>
      </c>
      <c r="Q17" s="496">
        <f>$I17</f>
        <v/>
      </c>
      <c r="R17" s="494" t="n"/>
      <c r="S17" s="460" t="n"/>
      <c r="T17" s="460" t="n"/>
      <c r="U17" s="496" t="n"/>
      <c r="V17" s="494">
        <f>CONCATENATE("ETR1000V300_R1-",$D17,"-",$E17)</f>
        <v/>
      </c>
      <c r="W17" s="495">
        <f>CONCATENATE(V17,"-",X17)</f>
        <v/>
      </c>
      <c r="X17" s="501" t="inlineStr">
        <is>
          <t>03</t>
        </is>
      </c>
      <c r="Y17" s="496" t="n">
        <v>45992</v>
      </c>
      <c r="Z17" s="502">
        <f>V17</f>
        <v/>
      </c>
      <c r="AA17" s="501">
        <f>W17</f>
        <v/>
      </c>
      <c r="AB17" s="501">
        <f>X17</f>
        <v/>
      </c>
      <c r="AC17" s="503">
        <f>Y17</f>
        <v/>
      </c>
    </row>
    <row r="18">
      <c r="A18" s="504" t="inlineStr">
        <is>
          <t>Sottosistema diagnostica di bordo</t>
        </is>
      </c>
      <c r="B18" s="458">
        <f>CONCATENATE(D18,"_",E18)</f>
        <v/>
      </c>
      <c r="C18" s="488" t="inlineStr">
        <is>
          <t>pdf</t>
        </is>
      </c>
      <c r="D18" s="458" t="inlineStr">
        <is>
          <t>MR1</t>
        </is>
      </c>
      <c r="E18" s="458" t="inlineStr">
        <is>
          <t>13A</t>
        </is>
      </c>
      <c r="F18" s="405">
        <f>CONCATENATE("ETR1000V300-",$D18,"-",$E18)</f>
        <v/>
      </c>
      <c r="G18" s="500">
        <f>CONCATENATE(F18,"-",H18)</f>
        <v/>
      </c>
      <c r="H18" s="415" t="inlineStr">
        <is>
          <t>03</t>
        </is>
      </c>
      <c r="I18" s="416" t="n">
        <v>46113</v>
      </c>
      <c r="J18" s="405">
        <f>$F18</f>
        <v/>
      </c>
      <c r="K18" s="500">
        <f>$G18</f>
        <v/>
      </c>
      <c r="L18" s="415">
        <f>$H18</f>
        <v/>
      </c>
      <c r="M18" s="416">
        <f>$I18</f>
        <v/>
      </c>
      <c r="N18" s="494">
        <f>$F18</f>
        <v/>
      </c>
      <c r="O18" s="460">
        <f>$G18</f>
        <v/>
      </c>
      <c r="P18" s="460">
        <f>$H18</f>
        <v/>
      </c>
      <c r="Q18" s="496">
        <f>$I18</f>
        <v/>
      </c>
      <c r="R18" s="494" t="n"/>
      <c r="S18" s="460" t="n"/>
      <c r="T18" s="460" t="n"/>
      <c r="U18" s="496" t="n"/>
      <c r="V18" s="494">
        <f>CONCATENATE("ETR1000V300_R1-",$D18,"-",$E18)</f>
        <v/>
      </c>
      <c r="W18" s="495">
        <f>CONCATENATE(V18,"-",X18)</f>
        <v/>
      </c>
      <c r="X18" s="501" t="inlineStr">
        <is>
          <t>03</t>
        </is>
      </c>
      <c r="Y18" s="496" t="n">
        <v>45931</v>
      </c>
      <c r="Z18" s="502">
        <f>V18</f>
        <v/>
      </c>
      <c r="AA18" s="501">
        <f>W18</f>
        <v/>
      </c>
      <c r="AB18" s="501">
        <f>X18</f>
        <v/>
      </c>
      <c r="AC18" s="503">
        <f>Y18</f>
        <v/>
      </c>
    </row>
    <row r="19">
      <c r="A19" s="504" t="inlineStr">
        <is>
          <t>Allestimenti interni</t>
        </is>
      </c>
      <c r="B19" s="458">
        <f>CONCATENATE(D19,"_",E19)</f>
        <v/>
      </c>
      <c r="C19" s="488" t="inlineStr">
        <is>
          <t>pdf</t>
        </is>
      </c>
      <c r="D19" s="458" t="inlineStr">
        <is>
          <t>MR1</t>
        </is>
      </c>
      <c r="E19" s="458" t="inlineStr">
        <is>
          <t>14A</t>
        </is>
      </c>
      <c r="F19" s="411">
        <f>CONCATENATE("ETR1000V300-",$D19,"-",$E19)</f>
        <v/>
      </c>
      <c r="G19" s="500">
        <f>CONCATENATE(F19,"-",H19)</f>
        <v/>
      </c>
      <c r="H19" s="415" t="inlineStr">
        <is>
          <t>06</t>
        </is>
      </c>
      <c r="I19" s="416" t="n">
        <v>46113</v>
      </c>
      <c r="J19" s="411">
        <f>$F19</f>
        <v/>
      </c>
      <c r="K19" s="500">
        <f>$G19</f>
        <v/>
      </c>
      <c r="L19" s="415">
        <f>$H19</f>
        <v/>
      </c>
      <c r="M19" s="416">
        <f>$I19</f>
        <v/>
      </c>
      <c r="N19" s="494">
        <f>$F19</f>
        <v/>
      </c>
      <c r="O19" s="460">
        <f>$G19</f>
        <v/>
      </c>
      <c r="P19" s="460">
        <f>$H19</f>
        <v/>
      </c>
      <c r="Q19" s="496">
        <f>$I19</f>
        <v/>
      </c>
      <c r="R19" s="494" t="n"/>
      <c r="S19" s="460" t="n"/>
      <c r="T19" s="460" t="n"/>
      <c r="U19" s="496" t="n"/>
      <c r="V19" s="494" t="n"/>
      <c r="W19" s="495" t="n"/>
      <c r="X19" s="501" t="n"/>
      <c r="Y19" s="496" t="n"/>
      <c r="Z19" s="494" t="n"/>
      <c r="AA19" s="460" t="n"/>
      <c r="AB19" s="460" t="n"/>
      <c r="AC19" s="496" t="n"/>
    </row>
    <row r="20">
      <c r="A20" s="504" t="inlineStr">
        <is>
          <t>Allestimenti interni - Arredi comparto e cabina di guida</t>
        </is>
      </c>
      <c r="B20" s="458">
        <f>CONCATENATE(D20,"_",E20)</f>
        <v/>
      </c>
      <c r="C20" s="488" t="inlineStr">
        <is>
          <t>pdf</t>
        </is>
      </c>
      <c r="D20" s="458" t="inlineStr">
        <is>
          <t>MR1</t>
        </is>
      </c>
      <c r="E20" s="458" t="inlineStr">
        <is>
          <t>14B</t>
        </is>
      </c>
      <c r="F20" s="405">
        <f>CONCATENATE("ETR1000V300-",$D20,"-",$E20)</f>
        <v/>
      </c>
      <c r="G20" s="500" t="inlineStr">
        <is>
          <t>\</t>
        </is>
      </c>
      <c r="H20" s="412" t="inlineStr">
        <is>
          <t>\</t>
        </is>
      </c>
      <c r="I20" s="408" t="inlineStr">
        <is>
          <t>\</t>
        </is>
      </c>
      <c r="J20" s="405">
        <f>$F20</f>
        <v/>
      </c>
      <c r="K20" s="500">
        <f>$G20</f>
        <v/>
      </c>
      <c r="L20" s="412">
        <f>$H20</f>
        <v/>
      </c>
      <c r="M20" s="408">
        <f>$I20</f>
        <v/>
      </c>
      <c r="N20" s="494">
        <f>$G20</f>
        <v/>
      </c>
      <c r="O20" s="460">
        <f>$G20</f>
        <v/>
      </c>
      <c r="P20" s="460">
        <f>$H20</f>
        <v/>
      </c>
      <c r="Q20" s="496">
        <f>$I20</f>
        <v/>
      </c>
      <c r="R20" s="494" t="n"/>
      <c r="S20" s="460" t="n"/>
      <c r="T20" s="460" t="n"/>
      <c r="U20" s="496" t="n"/>
      <c r="V20" s="494">
        <f>CONCATENATE("ETR1000V300_R1-",$D20,"-",$E20)</f>
        <v/>
      </c>
      <c r="W20" s="495">
        <f>CONCATENATE(V20,"-",X20)</f>
        <v/>
      </c>
      <c r="X20" s="501" t="inlineStr">
        <is>
          <t>03</t>
        </is>
      </c>
      <c r="Y20" s="496" t="n">
        <v>45992</v>
      </c>
      <c r="Z20" s="502">
        <f>V20</f>
        <v/>
      </c>
      <c r="AA20" s="501">
        <f>W20</f>
        <v/>
      </c>
      <c r="AB20" s="501">
        <f>X20</f>
        <v/>
      </c>
      <c r="AC20" s="503">
        <f>Y20</f>
        <v/>
      </c>
    </row>
    <row r="21">
      <c r="A21" s="504" t="inlineStr">
        <is>
          <t>Servizi Generali di Bordo - Toilette</t>
        </is>
      </c>
      <c r="B21" s="458">
        <f>CONCATENATE(D21,"_",E21)</f>
        <v/>
      </c>
      <c r="C21" s="488" t="inlineStr">
        <is>
          <t>pdf</t>
        </is>
      </c>
      <c r="D21" s="458" t="inlineStr">
        <is>
          <t>MR1</t>
        </is>
      </c>
      <c r="E21" s="458" t="inlineStr">
        <is>
          <t>15A</t>
        </is>
      </c>
      <c r="F21" s="405">
        <f>CONCATENATE("ETR1000V300-",$D21,"-",$E21)</f>
        <v/>
      </c>
      <c r="G21" s="500">
        <f>CONCATENATE(F21,"-",H21)</f>
        <v/>
      </c>
      <c r="H21" s="415" t="inlineStr">
        <is>
          <t>06</t>
        </is>
      </c>
      <c r="I21" s="416" t="n">
        <v>46113</v>
      </c>
      <c r="J21" s="405">
        <f>$F21</f>
        <v/>
      </c>
      <c r="K21" s="500">
        <f>$G21</f>
        <v/>
      </c>
      <c r="L21" s="415">
        <f>$H21</f>
        <v/>
      </c>
      <c r="M21" s="416">
        <f>$I21</f>
        <v/>
      </c>
      <c r="N21" s="494">
        <f>$F21</f>
        <v/>
      </c>
      <c r="O21" s="460">
        <f>$G21</f>
        <v/>
      </c>
      <c r="P21" s="460">
        <f>$H21</f>
        <v/>
      </c>
      <c r="Q21" s="496">
        <f>$I21</f>
        <v/>
      </c>
      <c r="R21" s="494" t="n"/>
      <c r="S21" s="460" t="n"/>
      <c r="T21" s="460" t="n"/>
      <c r="U21" s="496" t="n"/>
      <c r="V21" s="494">
        <f>CONCATENATE("ETR1000V300_R1-",$D21,"-",$E21)</f>
        <v/>
      </c>
      <c r="W21" s="495">
        <f>CONCATENATE(V21,"-",X21)</f>
        <v/>
      </c>
      <c r="X21" s="501" t="inlineStr">
        <is>
          <t>03</t>
        </is>
      </c>
      <c r="Y21" s="510" t="inlineStr">
        <is>
          <t>gen-2026</t>
        </is>
      </c>
      <c r="Z21" s="502">
        <f>V21</f>
        <v/>
      </c>
      <c r="AA21" s="501">
        <f>W21</f>
        <v/>
      </c>
      <c r="AB21" s="501">
        <f>X21</f>
        <v/>
      </c>
      <c r="AC21" s="503">
        <f>Y21</f>
        <v/>
      </c>
    </row>
    <row r="22">
      <c r="A22" s="504" t="inlineStr">
        <is>
          <t>Servizi Generali di Bordo - Bar Bistrot</t>
        </is>
      </c>
      <c r="B22" s="458">
        <f>CONCATENATE(D22,"_",E22)</f>
        <v/>
      </c>
      <c r="C22" s="488" t="inlineStr">
        <is>
          <t>pdf</t>
        </is>
      </c>
      <c r="D22" s="458" t="inlineStr">
        <is>
          <t>MR1</t>
        </is>
      </c>
      <c r="E22" s="458" t="inlineStr">
        <is>
          <t>15B</t>
        </is>
      </c>
      <c r="F22" s="405">
        <f>CONCATENATE("ETR1000V300-",$D22,"-",$E22)</f>
        <v/>
      </c>
      <c r="G22" s="500" t="inlineStr">
        <is>
          <t>\</t>
        </is>
      </c>
      <c r="H22" s="406" t="inlineStr">
        <is>
          <t>\</t>
        </is>
      </c>
      <c r="I22" s="408" t="inlineStr">
        <is>
          <t>\</t>
        </is>
      </c>
      <c r="J22" s="405">
        <f>$F22</f>
        <v/>
      </c>
      <c r="K22" s="500">
        <f>$G22</f>
        <v/>
      </c>
      <c r="L22" s="406">
        <f>$H22</f>
        <v/>
      </c>
      <c r="M22" s="408">
        <f>$I22</f>
        <v/>
      </c>
      <c r="N22" s="494">
        <f>$G22</f>
        <v/>
      </c>
      <c r="O22" s="460">
        <f>$G22</f>
        <v/>
      </c>
      <c r="P22" s="460">
        <f>$H22</f>
        <v/>
      </c>
      <c r="Q22" s="496">
        <f>$I22</f>
        <v/>
      </c>
      <c r="R22" s="494" t="n"/>
      <c r="S22" s="460" t="n"/>
      <c r="T22" s="460" t="n"/>
      <c r="U22" s="496" t="n"/>
      <c r="V22" s="494" t="n"/>
      <c r="W22" s="495" t="n"/>
      <c r="X22" s="501" t="n"/>
      <c r="Y22" s="496" t="n"/>
      <c r="Z22" s="502" t="n"/>
      <c r="AA22" s="501" t="n"/>
      <c r="AB22" s="501" t="n"/>
      <c r="AC22" s="503" t="n"/>
    </row>
    <row r="23">
      <c r="A23" s="504" t="inlineStr">
        <is>
          <t>Emergenza e recupero</t>
        </is>
      </c>
      <c r="B23" s="458">
        <f>CONCATENATE(D23,"_",E23)</f>
        <v/>
      </c>
      <c r="C23" s="488" t="inlineStr">
        <is>
          <t>pdf</t>
        </is>
      </c>
      <c r="D23" s="458" t="inlineStr">
        <is>
          <t>MR1</t>
        </is>
      </c>
      <c r="E23" s="458" t="inlineStr">
        <is>
          <t>16A</t>
        </is>
      </c>
      <c r="F23" s="405">
        <f>CONCATENATE("ETR1000V300-",$D23,"-",$E23)</f>
        <v/>
      </c>
      <c r="G23" s="500">
        <f>CONCATENATE(F23,"-",H23)</f>
        <v/>
      </c>
      <c r="H23" s="410" t="inlineStr">
        <is>
          <t>07</t>
        </is>
      </c>
      <c r="I23" s="407" t="n">
        <v>44228</v>
      </c>
      <c r="J23" s="405">
        <f>$F23</f>
        <v/>
      </c>
      <c r="K23" s="500">
        <f>$G23</f>
        <v/>
      </c>
      <c r="L23" s="410">
        <f>$H23</f>
        <v/>
      </c>
      <c r="M23" s="407">
        <f>$I23</f>
        <v/>
      </c>
      <c r="N23" s="494">
        <f>$F23</f>
        <v/>
      </c>
      <c r="O23" s="460">
        <f>$G23</f>
        <v/>
      </c>
      <c r="P23" s="460">
        <f>$H23</f>
        <v/>
      </c>
      <c r="Q23" s="496">
        <f>$I23</f>
        <v/>
      </c>
      <c r="R23" s="494" t="n"/>
      <c r="S23" s="460" t="n"/>
      <c r="T23" s="460" t="n"/>
      <c r="U23" s="496" t="n"/>
      <c r="V23" s="494" t="n"/>
      <c r="W23" s="495" t="n"/>
      <c r="X23" s="501" t="n"/>
      <c r="Y23" s="496" t="n"/>
      <c r="Z23" s="502" t="n"/>
      <c r="AA23" s="501" t="n"/>
      <c r="AB23" s="501" t="n"/>
      <c r="AC23" s="503" t="n"/>
    </row>
    <row r="24">
      <c r="A24" s="504" t="inlineStr">
        <is>
          <t>Telecomunicazioni TT</t>
        </is>
      </c>
      <c r="B24" s="458">
        <f>CONCATENATE(D24,"_",E24)</f>
        <v/>
      </c>
      <c r="C24" s="488" t="inlineStr">
        <is>
          <t>pdf</t>
        </is>
      </c>
      <c r="D24" s="458" t="inlineStr">
        <is>
          <t>MR1</t>
        </is>
      </c>
      <c r="E24" s="458" t="inlineStr">
        <is>
          <t>18A</t>
        </is>
      </c>
      <c r="F24" s="405">
        <f>CONCATENATE("ETR1000V300-",$D24,"-",$E24)</f>
        <v/>
      </c>
      <c r="G24" s="500">
        <f>CONCATENATE(F24,"-",H24)</f>
        <v/>
      </c>
      <c r="H24" s="415" t="inlineStr">
        <is>
          <t>05</t>
        </is>
      </c>
      <c r="I24" s="416" t="n">
        <v>46113</v>
      </c>
      <c r="J24" s="405">
        <f>$F24</f>
        <v/>
      </c>
      <c r="K24" s="500">
        <f>$G24</f>
        <v/>
      </c>
      <c r="L24" s="415">
        <f>$H24</f>
        <v/>
      </c>
      <c r="M24" s="416">
        <f>$I24</f>
        <v/>
      </c>
      <c r="N24" s="494">
        <f>$F24</f>
        <v/>
      </c>
      <c r="O24" s="460">
        <f>$G24</f>
        <v/>
      </c>
      <c r="P24" s="460">
        <f>$H24</f>
        <v/>
      </c>
      <c r="Q24" s="496">
        <f>$I24</f>
        <v/>
      </c>
      <c r="R24" s="494" t="n"/>
      <c r="S24" s="460" t="n"/>
      <c r="T24" s="460" t="n"/>
      <c r="U24" s="496" t="n"/>
      <c r="V24" s="494">
        <f>CONCATENATE("ETR1000V300_R1-",$D24,"-",$E24)</f>
        <v/>
      </c>
      <c r="W24" s="495">
        <f>CONCATENATE(V24,"-",X24)</f>
        <v/>
      </c>
      <c r="X24" s="501" t="inlineStr">
        <is>
          <t>03</t>
        </is>
      </c>
      <c r="Y24" s="496" t="n">
        <v>45931</v>
      </c>
      <c r="Z24" s="502">
        <f>V24</f>
        <v/>
      </c>
      <c r="AA24" s="501">
        <f>W24</f>
        <v/>
      </c>
      <c r="AB24" s="501">
        <f>X24</f>
        <v/>
      </c>
      <c r="AC24" s="503">
        <f>Y24</f>
        <v/>
      </c>
    </row>
    <row r="25">
      <c r="A25" s="504" t="inlineStr">
        <is>
          <t>Sottosistema di bordo generale</t>
        </is>
      </c>
      <c r="B25" s="458">
        <f>CONCATENATE(D25,"_",E25)</f>
        <v/>
      </c>
      <c r="C25" s="488" t="inlineStr">
        <is>
          <t>pdf</t>
        </is>
      </c>
      <c r="D25" s="458" t="inlineStr">
        <is>
          <t>MR1</t>
        </is>
      </c>
      <c r="E25" s="458" t="inlineStr">
        <is>
          <t>20A</t>
        </is>
      </c>
      <c r="F25" s="381">
        <f>CONCATENATE("ETR1000V300-",$D25,"-",$E25)</f>
        <v/>
      </c>
      <c r="G25" s="500">
        <f>CONCATENATE(F25,"-",H25)</f>
        <v/>
      </c>
      <c r="H25" s="409" t="inlineStr">
        <is>
          <t>03</t>
        </is>
      </c>
      <c r="I25" s="408" t="inlineStr">
        <is>
          <t>giu-20</t>
        </is>
      </c>
      <c r="J25" s="381">
        <f>$F25</f>
        <v/>
      </c>
      <c r="K25" s="500">
        <f>$G25</f>
        <v/>
      </c>
      <c r="L25" s="409">
        <f>$H25</f>
        <v/>
      </c>
      <c r="M25" s="408">
        <f>$I25</f>
        <v/>
      </c>
      <c r="N25" s="506" t="inlineStr">
        <is>
          <t>\</t>
        </is>
      </c>
      <c r="O25" s="460" t="inlineStr">
        <is>
          <t>\</t>
        </is>
      </c>
      <c r="P25" s="460" t="inlineStr">
        <is>
          <t>\</t>
        </is>
      </c>
      <c r="Q25" s="496" t="inlineStr">
        <is>
          <t>\</t>
        </is>
      </c>
      <c r="R25" s="494" t="n"/>
      <c r="S25" s="460" t="n"/>
      <c r="T25" s="460" t="n"/>
      <c r="U25" s="496" t="n"/>
      <c r="V25" s="494">
        <f>CONCATENATE("ETR1000V300_R1-",$D25,"-",$E25)</f>
        <v/>
      </c>
      <c r="W25" s="495">
        <f>CONCATENATE(V25,"-",X25)</f>
        <v/>
      </c>
      <c r="X25" s="501" t="inlineStr">
        <is>
          <t>05</t>
        </is>
      </c>
      <c r="Y25" s="510" t="inlineStr">
        <is>
          <t>gen-2026</t>
        </is>
      </c>
      <c r="Z25" s="502">
        <f>V25</f>
        <v/>
      </c>
      <c r="AA25" s="501">
        <f>W25</f>
        <v/>
      </c>
      <c r="AB25" s="501">
        <f>X25</f>
        <v/>
      </c>
      <c r="AC25" s="503">
        <f>Y25</f>
        <v/>
      </c>
    </row>
    <row r="26">
      <c r="A26" s="504" t="inlineStr">
        <is>
          <t>Sottosistema di bordo ETCS specifico del treno</t>
        </is>
      </c>
      <c r="B26" s="458">
        <f>CONCATENATE(D26,"_",E26)</f>
        <v/>
      </c>
      <c r="C26" s="488" t="inlineStr">
        <is>
          <t>pdf</t>
        </is>
      </c>
      <c r="D26" s="458" t="inlineStr">
        <is>
          <t>MR1</t>
        </is>
      </c>
      <c r="E26" s="458" t="inlineStr">
        <is>
          <t>20B</t>
        </is>
      </c>
      <c r="F26" s="381">
        <f>CONCATENATE("ETR1000V300-",$D26,"-",$E26)</f>
        <v/>
      </c>
      <c r="G26" s="500">
        <f>CONCATENATE(F26,"-",H26)</f>
        <v/>
      </c>
      <c r="H26" s="409" t="inlineStr">
        <is>
          <t>01</t>
        </is>
      </c>
      <c r="I26" s="408" t="inlineStr">
        <is>
          <t>lug-17</t>
        </is>
      </c>
      <c r="J26" s="381">
        <f>$F26</f>
        <v/>
      </c>
      <c r="K26" s="500">
        <f>$G26</f>
        <v/>
      </c>
      <c r="L26" s="409">
        <f>$H26</f>
        <v/>
      </c>
      <c r="M26" s="408">
        <f>$I26</f>
        <v/>
      </c>
      <c r="N26" s="506" t="inlineStr">
        <is>
          <t>\</t>
        </is>
      </c>
      <c r="O26" s="460" t="inlineStr">
        <is>
          <t>\</t>
        </is>
      </c>
      <c r="P26" s="460" t="inlineStr">
        <is>
          <t>\</t>
        </is>
      </c>
      <c r="Q26" s="496" t="inlineStr">
        <is>
          <t>\</t>
        </is>
      </c>
      <c r="R26" s="494" t="n"/>
      <c r="S26" s="460" t="n"/>
      <c r="T26" s="460" t="n"/>
      <c r="U26" s="496" t="n"/>
      <c r="V26" s="494">
        <f>CONCATENATE("ETR1000V300_R1-",$D26,"-",$E26)</f>
        <v/>
      </c>
      <c r="W26" s="495">
        <f>CONCATENATE(V26,"-",X26)</f>
        <v/>
      </c>
      <c r="X26" s="501" t="inlineStr">
        <is>
          <t>02</t>
        </is>
      </c>
      <c r="Y26" s="496" t="n">
        <v>45931</v>
      </c>
      <c r="Z26" s="502">
        <f>V26</f>
        <v/>
      </c>
      <c r="AA26" s="501">
        <f>W26</f>
        <v/>
      </c>
      <c r="AB26" s="501">
        <f>X26</f>
        <v/>
      </c>
      <c r="AC26" s="503">
        <f>Y26</f>
        <v/>
      </c>
    </row>
    <row r="27">
      <c r="A27" s="504" t="inlineStr">
        <is>
          <t>Sottosistema di bordo generale - Linea francese</t>
        </is>
      </c>
      <c r="B27" s="458">
        <f>CONCATENATE(D27,"_",E27)</f>
        <v/>
      </c>
      <c r="C27" s="488" t="inlineStr">
        <is>
          <t>pdf</t>
        </is>
      </c>
      <c r="D27" s="458" t="inlineStr">
        <is>
          <t>MR1</t>
        </is>
      </c>
      <c r="E27" s="458" t="inlineStr">
        <is>
          <t>20C</t>
        </is>
      </c>
      <c r="F27" s="405" t="inlineStr">
        <is>
          <t>\</t>
        </is>
      </c>
      <c r="G27" s="500" t="inlineStr">
        <is>
          <t>\</t>
        </is>
      </c>
      <c r="H27" s="409" t="inlineStr">
        <is>
          <t>\</t>
        </is>
      </c>
      <c r="I27" s="408" t="inlineStr">
        <is>
          <t>\</t>
        </is>
      </c>
      <c r="J27" s="405">
        <f>$F27</f>
        <v/>
      </c>
      <c r="K27" s="500">
        <f>$G27</f>
        <v/>
      </c>
      <c r="L27" s="409">
        <f>$H27</f>
        <v/>
      </c>
      <c r="M27" s="408">
        <f>$I27</f>
        <v/>
      </c>
      <c r="N27" s="506">
        <f>CONCATENATE("ETR1000V300_FR-",$D27,"-",$E27)</f>
        <v/>
      </c>
      <c r="O27" s="495">
        <f>CONCATENATE(N27,"-",P27)</f>
        <v/>
      </c>
      <c r="P27" s="501" t="inlineStr">
        <is>
          <t>02</t>
        </is>
      </c>
      <c r="Q27" s="496" t="n">
        <v>44409</v>
      </c>
      <c r="R27" s="494" t="n"/>
      <c r="S27" s="460" t="n"/>
      <c r="T27" s="460" t="n"/>
      <c r="U27" s="496" t="n"/>
      <c r="V27" s="494" t="inlineStr">
        <is>
          <t>\</t>
        </is>
      </c>
      <c r="W27" s="495" t="inlineStr">
        <is>
          <t>\</t>
        </is>
      </c>
      <c r="X27" s="501" t="inlineStr">
        <is>
          <t>\</t>
        </is>
      </c>
      <c r="Y27" s="496" t="inlineStr">
        <is>
          <t>\</t>
        </is>
      </c>
      <c r="Z27" s="502">
        <f>V27</f>
        <v/>
      </c>
      <c r="AA27" s="501">
        <f>W27</f>
        <v/>
      </c>
      <c r="AB27" s="501">
        <f>X27</f>
        <v/>
      </c>
      <c r="AC27" s="503">
        <f>Y27</f>
        <v/>
      </c>
    </row>
    <row r="28">
      <c r="A28" s="504" t="inlineStr">
        <is>
          <t>Sottosistema di bordo specifico - Linea francese</t>
        </is>
      </c>
      <c r="B28" s="458">
        <f>CONCATENATE(D28,"_",E28)</f>
        <v/>
      </c>
      <c r="C28" s="488" t="inlineStr">
        <is>
          <t>pdf</t>
        </is>
      </c>
      <c r="D28" s="458" t="inlineStr">
        <is>
          <t>MR1</t>
        </is>
      </c>
      <c r="E28" s="458" t="inlineStr">
        <is>
          <t>20D</t>
        </is>
      </c>
      <c r="F28" s="405" t="inlineStr">
        <is>
          <t>\</t>
        </is>
      </c>
      <c r="G28" s="500" t="inlineStr">
        <is>
          <t>\</t>
        </is>
      </c>
      <c r="H28" s="409" t="inlineStr">
        <is>
          <t>\</t>
        </is>
      </c>
      <c r="I28" s="408" t="inlineStr">
        <is>
          <t>\</t>
        </is>
      </c>
      <c r="J28" s="405">
        <f>$F28</f>
        <v/>
      </c>
      <c r="K28" s="500">
        <f>$G28</f>
        <v/>
      </c>
      <c r="L28" s="409">
        <f>$H28</f>
        <v/>
      </c>
      <c r="M28" s="408">
        <f>$I28</f>
        <v/>
      </c>
      <c r="N28" s="506">
        <f>CONCATENATE("ETR1000V300_FR-",$D28,"-",$E28)</f>
        <v/>
      </c>
      <c r="O28" s="495">
        <f>CONCATENATE(N28,"-",P28)</f>
        <v/>
      </c>
      <c r="P28" s="501" t="inlineStr">
        <is>
          <t>01</t>
        </is>
      </c>
      <c r="Q28" s="496" t="n">
        <v>44136</v>
      </c>
      <c r="R28" s="494" t="n"/>
      <c r="S28" s="460" t="n"/>
      <c r="T28" s="460" t="n"/>
      <c r="U28" s="496" t="n"/>
      <c r="V28" s="494" t="inlineStr">
        <is>
          <t>\</t>
        </is>
      </c>
      <c r="W28" s="495" t="inlineStr">
        <is>
          <t>\</t>
        </is>
      </c>
      <c r="X28" s="501" t="inlineStr">
        <is>
          <t>\</t>
        </is>
      </c>
      <c r="Y28" s="496" t="inlineStr">
        <is>
          <t>\</t>
        </is>
      </c>
      <c r="Z28" s="502">
        <f>V28</f>
        <v/>
      </c>
      <c r="AA28" s="501">
        <f>W28</f>
        <v/>
      </c>
      <c r="AB28" s="501">
        <f>X28</f>
        <v/>
      </c>
      <c r="AC28" s="503">
        <f>Y28</f>
        <v/>
      </c>
    </row>
    <row r="29" ht="30" customFormat="1" customHeight="1" s="139">
      <c r="A29" s="512" t="inlineStr">
        <is>
          <t>SSB ERTMS/SCMT (ALA) - MANUALE GENERICO USO E
MANUTENZIONE (B60A.000012.640.06I)</t>
        </is>
      </c>
      <c r="B29" s="513">
        <f>CONCATENATE(D29,"_",E29)</f>
        <v/>
      </c>
      <c r="C29" s="488" t="inlineStr">
        <is>
          <t>pdf</t>
        </is>
      </c>
      <c r="D29" s="513" t="inlineStr">
        <is>
          <t>MR1</t>
        </is>
      </c>
      <c r="E29" s="505" t="inlineStr">
        <is>
          <t>20A_ALA</t>
        </is>
      </c>
      <c r="F29" s="381">
        <f>CONCATENATE("ETR1000V300-",$D29,"-",$E29)</f>
        <v/>
      </c>
      <c r="G29" s="500">
        <f>CONCATENATE(F29,"-",H29)</f>
        <v/>
      </c>
      <c r="H29" s="410" t="inlineStr">
        <is>
          <t>08</t>
        </is>
      </c>
      <c r="I29" s="514" t="n">
        <v>43966</v>
      </c>
      <c r="J29" s="381">
        <f>$F29</f>
        <v/>
      </c>
      <c r="K29" s="500">
        <f>$G29</f>
        <v/>
      </c>
      <c r="L29" s="410">
        <f>$H29</f>
        <v/>
      </c>
      <c r="M29" s="514">
        <f>$I29</f>
        <v/>
      </c>
      <c r="N29" s="515" t="inlineStr">
        <is>
          <t>\</t>
        </is>
      </c>
      <c r="O29" s="516" t="inlineStr">
        <is>
          <t>\</t>
        </is>
      </c>
      <c r="P29" s="516" t="inlineStr">
        <is>
          <t>\</t>
        </is>
      </c>
      <c r="Q29" s="511" t="inlineStr">
        <is>
          <t>\</t>
        </is>
      </c>
      <c r="R29" s="517" t="n"/>
      <c r="S29" s="518" t="n"/>
      <c r="T29" s="518" t="n"/>
      <c r="U29" s="519" t="n"/>
      <c r="V29" s="494" t="n"/>
      <c r="W29" s="495" t="n"/>
      <c r="X29" s="501" t="n"/>
      <c r="Y29" s="496" t="n"/>
      <c r="Z29" s="517" t="n"/>
      <c r="AA29" s="518" t="n"/>
      <c r="AB29" s="518" t="n"/>
      <c r="AC29" s="519" t="n"/>
    </row>
    <row r="30" ht="30" customFormat="1" customHeight="1" s="139">
      <c r="A30" s="512" t="inlineStr">
        <is>
          <t>SSB ERTMS/SCMT (ELO) - MANUALE GENERICO USO E
MANUTENZIONE (B60X.0100506.G00.00IT rev.02.00)</t>
        </is>
      </c>
      <c r="B30" s="513">
        <f>CONCATENATE(D30,"_",E30)</f>
        <v/>
      </c>
      <c r="C30" s="488" t="inlineStr">
        <is>
          <t>pdf</t>
        </is>
      </c>
      <c r="D30" s="513" t="inlineStr">
        <is>
          <t>MR1</t>
        </is>
      </c>
      <c r="E30" s="505" t="inlineStr">
        <is>
          <t>20A_ELO</t>
        </is>
      </c>
      <c r="F30" s="405">
        <f>CONCATENATE("ETR1000V300-",$D30,"-",$E30)</f>
        <v/>
      </c>
      <c r="G30" s="500">
        <f>CONCATENATE(F30,"-",H30)</f>
        <v/>
      </c>
      <c r="H30" s="415" t="inlineStr">
        <is>
          <t>05</t>
        </is>
      </c>
      <c r="I30" s="416" t="n">
        <v>46113</v>
      </c>
      <c r="J30" s="405">
        <f>$F30</f>
        <v/>
      </c>
      <c r="K30" s="500">
        <f>$G30</f>
        <v/>
      </c>
      <c r="L30" s="415">
        <f>$H30</f>
        <v/>
      </c>
      <c r="M30" s="416">
        <f>$I30</f>
        <v/>
      </c>
      <c r="N30" s="515" t="inlineStr">
        <is>
          <t>\</t>
        </is>
      </c>
      <c r="O30" s="516" t="inlineStr">
        <is>
          <t>\</t>
        </is>
      </c>
      <c r="P30" s="516" t="inlineStr">
        <is>
          <t>\</t>
        </is>
      </c>
      <c r="Q30" s="511" t="inlineStr">
        <is>
          <t>\</t>
        </is>
      </c>
      <c r="R30" s="517" t="n"/>
      <c r="S30" s="518" t="n"/>
      <c r="T30" s="518" t="n"/>
      <c r="U30" s="519" t="n"/>
      <c r="V30" s="494" t="n"/>
      <c r="W30" s="495" t="n"/>
      <c r="X30" s="501" t="n"/>
      <c r="Y30" s="496" t="n"/>
      <c r="Z30" s="517" t="n"/>
      <c r="AA30" s="518" t="n"/>
      <c r="AB30" s="518" t="n"/>
      <c r="AC30" s="519" t="n"/>
    </row>
    <row r="31" ht="30" customFormat="1" customHeight="1" s="139">
      <c r="A31" s="512" t="inlineStr">
        <is>
          <t>Sotto Sistema di Bordo ERTMS BL3 CON SCMT INTEGRATO (B60A.0100914.G00.00IT)</t>
        </is>
      </c>
      <c r="B31" s="513">
        <f>CONCATENATE(D31,"_",E31)</f>
        <v/>
      </c>
      <c r="C31" s="488" t="inlineStr">
        <is>
          <t>pdf</t>
        </is>
      </c>
      <c r="D31" s="513" t="inlineStr">
        <is>
          <t>MR1</t>
        </is>
      </c>
      <c r="E31" s="505" t="inlineStr">
        <is>
          <t>20B_ELO</t>
        </is>
      </c>
      <c r="F31" s="405">
        <f>CONCATENATE("ETR1000V300-",$D31,"-",$E31)</f>
        <v/>
      </c>
      <c r="G31" s="500">
        <f>CONCATENATE(F31,"-",H31)</f>
        <v/>
      </c>
      <c r="H31" s="415" t="inlineStr">
        <is>
          <t>02</t>
        </is>
      </c>
      <c r="I31" s="416" t="n">
        <v>45717</v>
      </c>
      <c r="J31" s="405">
        <f>$F31</f>
        <v/>
      </c>
      <c r="K31" s="500">
        <f>$G31</f>
        <v/>
      </c>
      <c r="L31" s="415">
        <f>$H31</f>
        <v/>
      </c>
      <c r="M31" s="416">
        <f>$I31</f>
        <v/>
      </c>
      <c r="N31" s="515" t="inlineStr">
        <is>
          <t>\</t>
        </is>
      </c>
      <c r="O31" s="516" t="inlineStr">
        <is>
          <t>\</t>
        </is>
      </c>
      <c r="P31" s="516" t="inlineStr">
        <is>
          <t>\</t>
        </is>
      </c>
      <c r="Q31" s="511" t="inlineStr">
        <is>
          <t>\</t>
        </is>
      </c>
      <c r="R31" s="517" t="n"/>
      <c r="S31" s="518" t="n"/>
      <c r="T31" s="518" t="n"/>
      <c r="U31" s="519" t="n"/>
      <c r="V31" s="494" t="n"/>
      <c r="W31" s="495" t="n"/>
      <c r="X31" s="501" t="n"/>
      <c r="Y31" s="496" t="n"/>
      <c r="Z31" s="517" t="n"/>
      <c r="AA31" s="518" t="n"/>
      <c r="AB31" s="518" t="n"/>
      <c r="AC31" s="519" t="n"/>
    </row>
    <row r="32" ht="30" customFormat="1" customHeight="1" s="139">
      <c r="A32" s="520" t="inlineStr">
        <is>
          <t>PGDJ DIS-JRU FTP - PRODOTTO GENERICO DIS-JRU (FT11P035105GE03B)</t>
        </is>
      </c>
      <c r="B32" s="513">
        <f>CONCATENATE(D32,"_",E32)</f>
        <v/>
      </c>
      <c r="C32" s="488" t="inlineStr">
        <is>
          <t>pdf</t>
        </is>
      </c>
      <c r="D32" s="513" t="inlineStr">
        <is>
          <t>MR1</t>
        </is>
      </c>
      <c r="E32" s="505" t="inlineStr">
        <is>
          <t>31A_JRU</t>
        </is>
      </c>
      <c r="F32" s="381">
        <f>CONCATENATE("ETR1000V300-",$D32,"-",$E32)</f>
        <v/>
      </c>
      <c r="G32" s="500">
        <f>CONCATENATE(F32,"-",H32)</f>
        <v/>
      </c>
      <c r="H32" s="412" t="inlineStr">
        <is>
          <t>\</t>
        </is>
      </c>
      <c r="I32" s="514" t="n">
        <v>44256</v>
      </c>
      <c r="J32" s="381">
        <f>$F32</f>
        <v/>
      </c>
      <c r="K32" s="500">
        <f>$G32</f>
        <v/>
      </c>
      <c r="L32" s="412">
        <f>$H32</f>
        <v/>
      </c>
      <c r="M32" s="514">
        <f>$I32</f>
        <v/>
      </c>
      <c r="N32" s="515" t="inlineStr">
        <is>
          <t>\</t>
        </is>
      </c>
      <c r="O32" s="516" t="inlineStr">
        <is>
          <t>\</t>
        </is>
      </c>
      <c r="P32" s="516" t="inlineStr">
        <is>
          <t>\</t>
        </is>
      </c>
      <c r="Q32" s="511" t="inlineStr">
        <is>
          <t>\</t>
        </is>
      </c>
      <c r="R32" s="517" t="n"/>
      <c r="S32" s="518" t="n"/>
      <c r="T32" s="518" t="n"/>
      <c r="U32" s="519" t="n"/>
      <c r="V32" s="494" t="n"/>
      <c r="W32" s="495" t="n"/>
      <c r="X32" s="501" t="n"/>
      <c r="Y32" s="496" t="n"/>
      <c r="Z32" s="517" t="n"/>
      <c r="AA32" s="518" t="n"/>
      <c r="AB32" s="518" t="n"/>
      <c r="AC32" s="519" t="n"/>
    </row>
    <row r="33">
      <c r="A33" s="504" t="inlineStr">
        <is>
          <t>Sistema informativo di condotta Generale (DIS)</t>
        </is>
      </c>
      <c r="B33" s="458">
        <f>CONCATENATE(D33,"_",E33)</f>
        <v/>
      </c>
      <c r="C33" s="488" t="inlineStr">
        <is>
          <t>pdf</t>
        </is>
      </c>
      <c r="D33" s="458" t="inlineStr">
        <is>
          <t>MR1</t>
        </is>
      </c>
      <c r="E33" s="458" t="inlineStr">
        <is>
          <t>31A</t>
        </is>
      </c>
      <c r="F33" s="405">
        <f>CONCATENATE("ETR1000V300-",$D33,"-",$E33)</f>
        <v/>
      </c>
      <c r="G33" s="500">
        <f>CONCATENATE(F33,"-",H33)</f>
        <v/>
      </c>
      <c r="H33" s="409" t="inlineStr">
        <is>
          <t>02</t>
        </is>
      </c>
      <c r="I33" s="408" t="inlineStr">
        <is>
          <t>gen-18</t>
        </is>
      </c>
      <c r="J33" s="405">
        <f>$F33</f>
        <v/>
      </c>
      <c r="K33" s="500">
        <f>$G33</f>
        <v/>
      </c>
      <c r="L33" s="409">
        <f>$H33</f>
        <v/>
      </c>
      <c r="M33" s="408">
        <f>$I33</f>
        <v/>
      </c>
      <c r="N33" s="506">
        <f>CONCATENATE("ETR1000V300_FR-",$D33,"-",$E33)</f>
        <v/>
      </c>
      <c r="O33" s="495">
        <f>CONCATENATE(N33,"-",P33)</f>
        <v/>
      </c>
      <c r="P33" s="501" t="inlineStr">
        <is>
          <t>01</t>
        </is>
      </c>
      <c r="Q33" s="496" t="n">
        <v>44136</v>
      </c>
      <c r="R33" s="494" t="n"/>
      <c r="S33" s="460" t="n"/>
      <c r="T33" s="460" t="n"/>
      <c r="U33" s="496" t="n"/>
      <c r="V33" s="494">
        <f>CONCATENATE("ETR1000V300_R1-",$D33,"-",$E33)</f>
        <v/>
      </c>
      <c r="W33" s="495">
        <f>CONCATENATE(V33,"-",X33)</f>
        <v/>
      </c>
      <c r="X33" s="501" t="inlineStr">
        <is>
          <t>04</t>
        </is>
      </c>
      <c r="Y33" s="510" t="inlineStr">
        <is>
          <t>gen-2026</t>
        </is>
      </c>
      <c r="Z33" s="502">
        <f>V33</f>
        <v/>
      </c>
      <c r="AA33" s="501">
        <f>W33</f>
        <v/>
      </c>
      <c r="AB33" s="501">
        <f>X33</f>
        <v/>
      </c>
      <c r="AC33" s="503">
        <f>Y33</f>
        <v/>
      </c>
    </row>
    <row r="34">
      <c r="A34" s="504" t="inlineStr">
        <is>
          <t>Cassa</t>
        </is>
      </c>
      <c r="B34" s="458">
        <f>CONCATENATE(D34,"_",E34)</f>
        <v/>
      </c>
      <c r="C34" s="488" t="inlineStr">
        <is>
          <t>pdf</t>
        </is>
      </c>
      <c r="D34" s="458" t="inlineStr">
        <is>
          <t>MR2</t>
        </is>
      </c>
      <c r="E34" s="458" t="inlineStr">
        <is>
          <t>01A</t>
        </is>
      </c>
      <c r="F34" s="405">
        <f>CONCATENATE("ETR1000V300-",$D34,"-",$E34)</f>
        <v/>
      </c>
      <c r="G34" s="500">
        <f>CONCATENATE(F34,"-",H34)</f>
        <v/>
      </c>
      <c r="H34" s="419" t="inlineStr">
        <is>
          <t>07</t>
        </is>
      </c>
      <c r="I34" s="416" t="n">
        <v>46113</v>
      </c>
      <c r="J34" s="405">
        <f>$F34</f>
        <v/>
      </c>
      <c r="K34" s="500">
        <f>$G34</f>
        <v/>
      </c>
      <c r="L34" s="419">
        <f>$H34</f>
        <v/>
      </c>
      <c r="M34" s="416">
        <f>$I34</f>
        <v/>
      </c>
      <c r="N34" s="506">
        <f>CONCATENATE("ETR1000V300_FR-",$D34,"-",$E34)</f>
        <v/>
      </c>
      <c r="O34" s="495">
        <f>CONCATENATE(N34,"-",P34)</f>
        <v/>
      </c>
      <c r="P34" s="501" t="inlineStr">
        <is>
          <t>01</t>
        </is>
      </c>
      <c r="Q34" s="496" t="n">
        <v>44105</v>
      </c>
      <c r="R34" s="494" t="n"/>
      <c r="S34" s="460" t="n"/>
      <c r="T34" s="460" t="n"/>
      <c r="U34" s="496" t="n"/>
      <c r="V34" s="494">
        <f>CONCATENATE("ETR1000V300_R1-",$D34,"-",$E34)</f>
        <v/>
      </c>
      <c r="W34" s="495">
        <f>CONCATENATE(V34,"-",X34)</f>
        <v/>
      </c>
      <c r="X34" s="501" t="inlineStr">
        <is>
          <t>02</t>
        </is>
      </c>
      <c r="Y34" s="521" t="n">
        <v>45809</v>
      </c>
      <c r="Z34" s="494">
        <f>V34</f>
        <v/>
      </c>
      <c r="AA34" s="460">
        <f>W34</f>
        <v/>
      </c>
      <c r="AB34" s="460">
        <f>X34</f>
        <v/>
      </c>
      <c r="AC34" s="496">
        <f>Y34</f>
        <v/>
      </c>
    </row>
    <row r="35">
      <c r="A35" s="504" t="inlineStr">
        <is>
          <t>Carrello</t>
        </is>
      </c>
      <c r="B35" s="458">
        <f>CONCATENATE(D35,"_",E35)</f>
        <v/>
      </c>
      <c r="C35" s="488" t="inlineStr">
        <is>
          <t>pdf</t>
        </is>
      </c>
      <c r="D35" s="458" t="inlineStr">
        <is>
          <t>MR2</t>
        </is>
      </c>
      <c r="E35" s="458" t="inlineStr">
        <is>
          <t>02A</t>
        </is>
      </c>
      <c r="F35" s="405">
        <f>CONCATENATE("ETR1000V300-",$D35,"-",$E35)</f>
        <v/>
      </c>
      <c r="G35" s="500">
        <f>CONCATENATE(F35,"-",H35)</f>
        <v/>
      </c>
      <c r="H35" s="419" t="n">
        <v>13</v>
      </c>
      <c r="I35" s="416" t="n">
        <v>46113</v>
      </c>
      <c r="J35" s="405">
        <f>$F35</f>
        <v/>
      </c>
      <c r="K35" s="500">
        <f>$G35</f>
        <v/>
      </c>
      <c r="L35" s="419">
        <f>$H35</f>
        <v/>
      </c>
      <c r="M35" s="416">
        <f>$I35</f>
        <v/>
      </c>
      <c r="N35" s="506">
        <f>CONCATENATE("ETR1000V300_FR-",$D35,"-",$E35)</f>
        <v/>
      </c>
      <c r="O35" s="495">
        <f>CONCATENATE(N35,"-",P35)</f>
        <v/>
      </c>
      <c r="P35" s="501" t="inlineStr">
        <is>
          <t>03</t>
        </is>
      </c>
      <c r="Q35" s="496" t="n">
        <v>44713</v>
      </c>
      <c r="R35" s="494" t="n"/>
      <c r="S35" s="460" t="n"/>
      <c r="T35" s="460" t="n"/>
      <c r="U35" s="496" t="n"/>
      <c r="V35" s="494">
        <f>CONCATENATE("ETR1000V300_R1-",$D35,"-",$E35)</f>
        <v/>
      </c>
      <c r="W35" s="495">
        <f>CONCATENATE(V35,"-",X35)</f>
        <v/>
      </c>
      <c r="X35" s="501" t="inlineStr">
        <is>
          <t>04</t>
        </is>
      </c>
      <c r="Y35" s="521" t="n">
        <v>45901</v>
      </c>
      <c r="Z35" s="494">
        <f>V35</f>
        <v/>
      </c>
      <c r="AA35" s="460">
        <f>W35</f>
        <v/>
      </c>
      <c r="AB35" s="460">
        <f>X35</f>
        <v/>
      </c>
      <c r="AC35" s="496">
        <f>Y35</f>
        <v/>
      </c>
    </row>
    <row r="36">
      <c r="A36" s="504" t="inlineStr">
        <is>
          <t>Impianto pneumatico e freno</t>
        </is>
      </c>
      <c r="B36" s="458">
        <f>CONCATENATE(D36,"_",E36)</f>
        <v/>
      </c>
      <c r="C36" s="488" t="inlineStr">
        <is>
          <t>pdf</t>
        </is>
      </c>
      <c r="D36" s="458" t="inlineStr">
        <is>
          <t>MR2</t>
        </is>
      </c>
      <c r="E36" s="458" t="inlineStr">
        <is>
          <t>03A</t>
        </is>
      </c>
      <c r="F36" s="405">
        <f>CONCATENATE("ETR1000V300-",$D36,"-",$E36)</f>
        <v/>
      </c>
      <c r="G36" s="500">
        <f>CONCATENATE(F36,"-",H36)</f>
        <v/>
      </c>
      <c r="H36" s="419" t="inlineStr">
        <is>
          <t>06</t>
        </is>
      </c>
      <c r="I36" s="416" t="n">
        <v>46113</v>
      </c>
      <c r="J36" s="405">
        <f>$F36</f>
        <v/>
      </c>
      <c r="K36" s="500">
        <f>$G36</f>
        <v/>
      </c>
      <c r="L36" s="419">
        <f>$H36</f>
        <v/>
      </c>
      <c r="M36" s="416">
        <f>$I36</f>
        <v/>
      </c>
      <c r="N36" s="506">
        <f>CONCATENATE("ETR1000V300_FR-",$D36,"-",$E36)</f>
        <v/>
      </c>
      <c r="O36" s="495">
        <f>CONCATENATE(N36,"-",P36)</f>
        <v/>
      </c>
      <c r="P36" s="501" t="inlineStr">
        <is>
          <t>02</t>
        </is>
      </c>
      <c r="Q36" s="496" t="n">
        <v>44713</v>
      </c>
      <c r="R36" s="494" t="n"/>
      <c r="S36" s="460" t="n"/>
      <c r="T36" s="460" t="n"/>
      <c r="U36" s="496" t="n"/>
      <c r="V36" s="494">
        <f>CONCATENATE("ETR1000V300_R1-",$D36,"-",$E36)</f>
        <v/>
      </c>
      <c r="W36" s="495">
        <f>CONCATENATE(V36,"-",X36)</f>
        <v/>
      </c>
      <c r="X36" s="501" t="inlineStr">
        <is>
          <t>02</t>
        </is>
      </c>
      <c r="Y36" s="521" t="n">
        <v>45809</v>
      </c>
      <c r="Z36" s="494">
        <f>V36</f>
        <v/>
      </c>
      <c r="AA36" s="460">
        <f>W36</f>
        <v/>
      </c>
      <c r="AB36" s="460">
        <f>X36</f>
        <v/>
      </c>
      <c r="AC36" s="496">
        <f>Y36</f>
        <v/>
      </c>
    </row>
    <row r="37">
      <c r="A37" s="504" t="inlineStr">
        <is>
          <t>Equipaggiamento elettrico ed elettropneumatico</t>
        </is>
      </c>
      <c r="B37" s="458">
        <f>CONCATENATE(D37,"_",E37)</f>
        <v/>
      </c>
      <c r="C37" s="488" t="inlineStr">
        <is>
          <t>pdf</t>
        </is>
      </c>
      <c r="D37" s="458" t="inlineStr">
        <is>
          <t>MR2</t>
        </is>
      </c>
      <c r="E37" s="505" t="inlineStr">
        <is>
          <t>04A</t>
        </is>
      </c>
      <c r="F37" s="405">
        <f>CONCATENATE("ETR1000V300-",$D37,"-",$E37)</f>
        <v/>
      </c>
      <c r="G37" s="500">
        <f>CONCATENATE(F37,"-",H37)</f>
        <v/>
      </c>
      <c r="H37" s="419" t="n">
        <v>10</v>
      </c>
      <c r="I37" s="416" t="n">
        <v>46113</v>
      </c>
      <c r="J37" s="405">
        <f>$F37</f>
        <v/>
      </c>
      <c r="K37" s="500">
        <f>$G37</f>
        <v/>
      </c>
      <c r="L37" s="419">
        <f>$H37</f>
        <v/>
      </c>
      <c r="M37" s="416">
        <f>$I37</f>
        <v/>
      </c>
      <c r="N37" s="506">
        <f>CONCATENATE("ETR1000V300_FR-",$D37,"-",$E37)</f>
        <v/>
      </c>
      <c r="O37" s="495">
        <f>CONCATENATE(N37,"-",P37)</f>
        <v/>
      </c>
      <c r="P37" s="501" t="inlineStr">
        <is>
          <t>05</t>
        </is>
      </c>
      <c r="Q37" s="496" t="n">
        <v>45931</v>
      </c>
      <c r="R37" s="494" t="n"/>
      <c r="S37" s="460" t="n"/>
      <c r="T37" s="460" t="n"/>
      <c r="U37" s="496" t="n"/>
      <c r="V37" s="494">
        <f>CONCATENATE("ETR1000V300_R1-",$D37,"-",$E37)</f>
        <v/>
      </c>
      <c r="W37" s="495">
        <f>CONCATENATE(V37,"-",X37)</f>
        <v/>
      </c>
      <c r="X37" s="501" t="inlineStr">
        <is>
          <t>02</t>
        </is>
      </c>
      <c r="Y37" s="521" t="n">
        <v>45809</v>
      </c>
      <c r="Z37" s="494">
        <f>V37</f>
        <v/>
      </c>
      <c r="AA37" s="460">
        <f>W37</f>
        <v/>
      </c>
      <c r="AB37" s="460">
        <f>X37</f>
        <v/>
      </c>
      <c r="AC37" s="496">
        <f>Y37</f>
        <v/>
      </c>
    </row>
    <row r="38">
      <c r="A38" s="504" t="inlineStr">
        <is>
          <t>Logica di comando</t>
        </is>
      </c>
      <c r="B38" s="458">
        <f>CONCATENATE(D38,"_",E38)</f>
        <v/>
      </c>
      <c r="C38" s="488" t="inlineStr">
        <is>
          <t>pdf</t>
        </is>
      </c>
      <c r="D38" s="458" t="inlineStr">
        <is>
          <t>MR2</t>
        </is>
      </c>
      <c r="E38" s="458" t="inlineStr">
        <is>
          <t>05A</t>
        </is>
      </c>
      <c r="F38" s="405">
        <f>CONCATENATE("ETR1000V300-",$D38,"-",$E38)</f>
        <v/>
      </c>
      <c r="G38" s="500">
        <f>CONCATENATE(F38,"-",H38)</f>
        <v/>
      </c>
      <c r="H38" s="419" t="inlineStr">
        <is>
          <t>03</t>
        </is>
      </c>
      <c r="I38" s="416" t="n">
        <v>46113</v>
      </c>
      <c r="J38" s="405">
        <f>$F38</f>
        <v/>
      </c>
      <c r="K38" s="500">
        <f>$G38</f>
        <v/>
      </c>
      <c r="L38" s="419">
        <f>$H38</f>
        <v/>
      </c>
      <c r="M38" s="416">
        <f>$I38</f>
        <v/>
      </c>
      <c r="N38" s="494">
        <f>$F38</f>
        <v/>
      </c>
      <c r="O38" s="460">
        <f>$G38</f>
        <v/>
      </c>
      <c r="P38" s="460">
        <f>$H38</f>
        <v/>
      </c>
      <c r="Q38" s="496">
        <f>$I38</f>
        <v/>
      </c>
      <c r="R38" s="494" t="n"/>
      <c r="S38" s="460" t="n"/>
      <c r="T38" s="460" t="n"/>
      <c r="U38" s="496" t="n"/>
      <c r="V38" s="494">
        <f>CONCATENATE("ETR1000V300_R1-",$D38,"-",$E38)</f>
        <v/>
      </c>
      <c r="W38" s="495">
        <f>CONCATENATE(V38,"-",X38)</f>
        <v/>
      </c>
      <c r="X38" s="501" t="inlineStr">
        <is>
          <t>03</t>
        </is>
      </c>
      <c r="Y38" s="521" t="n">
        <v>45931</v>
      </c>
      <c r="Z38" s="494">
        <f>V38</f>
        <v/>
      </c>
      <c r="AA38" s="460">
        <f>W38</f>
        <v/>
      </c>
      <c r="AB38" s="460">
        <f>X38</f>
        <v/>
      </c>
      <c r="AC38" s="496">
        <f>Y38</f>
        <v/>
      </c>
    </row>
    <row r="39">
      <c r="A39" s="504" t="inlineStr">
        <is>
          <t>Logica di comando - Nodo TCN</t>
        </is>
      </c>
      <c r="B39" s="458">
        <f>CONCATENATE(D39,"_",E39)</f>
        <v/>
      </c>
      <c r="C39" s="488" t="inlineStr">
        <is>
          <t>pdf</t>
        </is>
      </c>
      <c r="D39" s="458" t="inlineStr">
        <is>
          <t>MR2</t>
        </is>
      </c>
      <c r="E39" s="458" t="inlineStr">
        <is>
          <t>05B</t>
        </is>
      </c>
      <c r="F39" s="405">
        <f>CONCATENATE("ETR1000V300-",$D39,"-",$E39)</f>
        <v/>
      </c>
      <c r="G39" s="500">
        <f>CONCATENATE(F39,"-",H39)</f>
        <v/>
      </c>
      <c r="H39" s="409" t="inlineStr">
        <is>
          <t>02</t>
        </is>
      </c>
      <c r="I39" s="408" t="inlineStr">
        <is>
          <t>giu-17</t>
        </is>
      </c>
      <c r="J39" s="405">
        <f>$F39</f>
        <v/>
      </c>
      <c r="K39" s="500">
        <f>$G39</f>
        <v/>
      </c>
      <c r="L39" s="409">
        <f>$H39</f>
        <v/>
      </c>
      <c r="M39" s="408">
        <f>$I39</f>
        <v/>
      </c>
      <c r="N39" s="494">
        <f>$F39</f>
        <v/>
      </c>
      <c r="O39" s="460">
        <f>$G39</f>
        <v/>
      </c>
      <c r="P39" s="460">
        <f>$H39</f>
        <v/>
      </c>
      <c r="Q39" s="496">
        <f>$I39</f>
        <v/>
      </c>
      <c r="R39" s="494" t="n"/>
      <c r="S39" s="460" t="n"/>
      <c r="T39" s="460" t="n"/>
      <c r="U39" s="496" t="n"/>
      <c r="V39" s="494" t="n"/>
      <c r="W39" s="460" t="n"/>
      <c r="X39" s="460" t="n"/>
      <c r="Y39" s="461" t="n"/>
      <c r="Z39" s="494" t="n"/>
      <c r="AA39" s="460" t="n"/>
      <c r="AB39" s="460" t="n"/>
      <c r="AC39" s="496" t="n"/>
    </row>
    <row r="40">
      <c r="A40" s="504" t="inlineStr">
        <is>
          <t>Azionamento di trazione</t>
        </is>
      </c>
      <c r="B40" s="458">
        <f>CONCATENATE(D40,"_",E40)</f>
        <v/>
      </c>
      <c r="C40" s="488" t="inlineStr">
        <is>
          <t>pdf</t>
        </is>
      </c>
      <c r="D40" s="458" t="inlineStr">
        <is>
          <t>MR2</t>
        </is>
      </c>
      <c r="E40" s="458" t="inlineStr">
        <is>
          <t>06A</t>
        </is>
      </c>
      <c r="F40" s="405">
        <f>CONCATENATE("ETR1000V300-",$D40,"-",$E40)</f>
        <v/>
      </c>
      <c r="G40" s="500">
        <f>CONCATENATE(F40,"-",H40)</f>
        <v/>
      </c>
      <c r="H40" s="419" t="inlineStr">
        <is>
          <t>04</t>
        </is>
      </c>
      <c r="I40" s="416" t="n">
        <v>46113</v>
      </c>
      <c r="J40" s="405">
        <f>$F40</f>
        <v/>
      </c>
      <c r="K40" s="500">
        <f>$G40</f>
        <v/>
      </c>
      <c r="L40" s="419">
        <f>$H40</f>
        <v/>
      </c>
      <c r="M40" s="416">
        <f>$I40</f>
        <v/>
      </c>
      <c r="N40" s="494">
        <f>$F40</f>
        <v/>
      </c>
      <c r="O40" s="460">
        <f>$G40</f>
        <v/>
      </c>
      <c r="P40" s="460">
        <f>$H40</f>
        <v/>
      </c>
      <c r="Q40" s="496">
        <f>$I40</f>
        <v/>
      </c>
      <c r="R40" s="494" t="n"/>
      <c r="S40" s="460" t="n"/>
      <c r="T40" s="460" t="n"/>
      <c r="U40" s="496" t="n"/>
      <c r="V40" s="494">
        <f>CONCATENATE("ETR1000V300_R1-",$D40,"-",$E40)</f>
        <v/>
      </c>
      <c r="W40" s="495">
        <f>CONCATENATE(V40,"-",X40)</f>
        <v/>
      </c>
      <c r="X40" s="501" t="inlineStr">
        <is>
          <t>02</t>
        </is>
      </c>
      <c r="Y40" s="521" t="n">
        <v>45809</v>
      </c>
      <c r="Z40" s="494">
        <f>V40</f>
        <v/>
      </c>
      <c r="AA40" s="460">
        <f>W40</f>
        <v/>
      </c>
      <c r="AB40" s="460">
        <f>X40</f>
        <v/>
      </c>
      <c r="AC40" s="496">
        <f>Y40</f>
        <v/>
      </c>
    </row>
    <row r="41">
      <c r="A41" s="504" t="inlineStr">
        <is>
          <t>Motore di trazione</t>
        </is>
      </c>
      <c r="B41" s="458">
        <f>CONCATENATE(D41,"_",E41)</f>
        <v/>
      </c>
      <c r="C41" s="488" t="inlineStr">
        <is>
          <t>pdf</t>
        </is>
      </c>
      <c r="D41" s="458" t="inlineStr">
        <is>
          <t>MR2</t>
        </is>
      </c>
      <c r="E41" s="458" t="inlineStr">
        <is>
          <t>07A</t>
        </is>
      </c>
      <c r="F41" s="405">
        <f>CONCATENATE("ETR1000V300-",$D41,"-",$E41)</f>
        <v/>
      </c>
      <c r="G41" s="500">
        <f>CONCATENATE(F41,"-",H41)</f>
        <v/>
      </c>
      <c r="H41" s="419" t="inlineStr">
        <is>
          <t>05</t>
        </is>
      </c>
      <c r="I41" s="416" t="n">
        <v>46113</v>
      </c>
      <c r="J41" s="405">
        <f>$F41</f>
        <v/>
      </c>
      <c r="K41" s="500">
        <f>$G41</f>
        <v/>
      </c>
      <c r="L41" s="419">
        <f>$H41</f>
        <v/>
      </c>
      <c r="M41" s="416">
        <f>$I41</f>
        <v/>
      </c>
      <c r="N41" s="494">
        <f>$F41</f>
        <v/>
      </c>
      <c r="O41" s="460">
        <f>$G41</f>
        <v/>
      </c>
      <c r="P41" s="460">
        <f>$H41</f>
        <v/>
      </c>
      <c r="Q41" s="496">
        <f>$I41</f>
        <v/>
      </c>
      <c r="R41" s="494" t="n"/>
      <c r="S41" s="460" t="n"/>
      <c r="T41" s="460" t="n"/>
      <c r="U41" s="496" t="n"/>
      <c r="V41" s="494">
        <f>CONCATENATE("ETR1000V300_R1-",$D41,"-",$E41)</f>
        <v/>
      </c>
      <c r="W41" s="495">
        <f>CONCATENATE(V41,"-",X41)</f>
        <v/>
      </c>
      <c r="X41" s="501" t="inlineStr">
        <is>
          <t>03</t>
        </is>
      </c>
      <c r="Y41" s="521" t="n">
        <v>45931</v>
      </c>
      <c r="Z41" s="494">
        <f>V41</f>
        <v/>
      </c>
      <c r="AA41" s="460">
        <f>W41</f>
        <v/>
      </c>
      <c r="AB41" s="460">
        <f>X41</f>
        <v/>
      </c>
      <c r="AC41" s="496">
        <f>Y41</f>
        <v/>
      </c>
    </row>
    <row r="42">
      <c r="A42" s="504" t="inlineStr">
        <is>
          <t>Passaggi esterni</t>
        </is>
      </c>
      <c r="B42" s="458">
        <f>CONCATENATE(D42,"_",E42)</f>
        <v/>
      </c>
      <c r="C42" s="488" t="inlineStr">
        <is>
          <t>pdf</t>
        </is>
      </c>
      <c r="D42" s="458" t="inlineStr">
        <is>
          <t>MR2</t>
        </is>
      </c>
      <c r="E42" s="458" t="inlineStr">
        <is>
          <t>08A</t>
        </is>
      </c>
      <c r="F42" s="405">
        <f>CONCATENATE("ETR1000V300-",$D42,"-",$E42)</f>
        <v/>
      </c>
      <c r="G42" s="500">
        <f>CONCATENATE(F42,"-",H42)</f>
        <v/>
      </c>
      <c r="H42" s="419" t="inlineStr">
        <is>
          <t>04</t>
        </is>
      </c>
      <c r="I42" s="416" t="n">
        <v>46113</v>
      </c>
      <c r="J42" s="405">
        <f>$F42</f>
        <v/>
      </c>
      <c r="K42" s="500">
        <f>$G42</f>
        <v/>
      </c>
      <c r="L42" s="419">
        <f>$H42</f>
        <v/>
      </c>
      <c r="M42" s="416">
        <f>$I42</f>
        <v/>
      </c>
      <c r="N42" s="494">
        <f>$F42</f>
        <v/>
      </c>
      <c r="O42" s="460">
        <f>$G42</f>
        <v/>
      </c>
      <c r="P42" s="460">
        <f>$H42</f>
        <v/>
      </c>
      <c r="Q42" s="496">
        <f>$I42</f>
        <v/>
      </c>
      <c r="R42" s="494" t="n"/>
      <c r="S42" s="460" t="n"/>
      <c r="T42" s="460" t="n"/>
      <c r="U42" s="496" t="n"/>
      <c r="V42" s="494">
        <f>CONCATENATE("ETR1000V300_R1-",$D42,"-",$E42)</f>
        <v/>
      </c>
      <c r="W42" s="495">
        <f>CONCATENATE(V42,"-",X42)</f>
        <v/>
      </c>
      <c r="X42" s="501" t="inlineStr">
        <is>
          <t>03</t>
        </is>
      </c>
      <c r="Y42" s="521" t="n">
        <v>45931</v>
      </c>
      <c r="Z42" s="494">
        <f>V42</f>
        <v/>
      </c>
      <c r="AA42" s="460">
        <f>W42</f>
        <v/>
      </c>
      <c r="AB42" s="460">
        <f>X42</f>
        <v/>
      </c>
      <c r="AC42" s="496">
        <f>Y42</f>
        <v/>
      </c>
    </row>
    <row r="43">
      <c r="A43" s="504" t="inlineStr">
        <is>
          <t>Sottosistema di climatizzazione</t>
        </is>
      </c>
      <c r="B43" s="458">
        <f>CONCATENATE(D43,"_",E43)</f>
        <v/>
      </c>
      <c r="C43" s="488" t="inlineStr">
        <is>
          <t>pdf</t>
        </is>
      </c>
      <c r="D43" s="458" t="inlineStr">
        <is>
          <t>MR2</t>
        </is>
      </c>
      <c r="E43" s="458" t="inlineStr">
        <is>
          <t>09A</t>
        </is>
      </c>
      <c r="F43" s="405">
        <f>CONCATENATE("ETR1000V300-",$D43,"-",$E43)</f>
        <v/>
      </c>
      <c r="G43" s="500">
        <f>CONCATENATE(F43,"-",H43)</f>
        <v/>
      </c>
      <c r="H43" s="419" t="inlineStr">
        <is>
          <t>04</t>
        </is>
      </c>
      <c r="I43" s="416" t="n">
        <v>46113</v>
      </c>
      <c r="J43" s="405">
        <f>$F43</f>
        <v/>
      </c>
      <c r="K43" s="500">
        <f>$G43</f>
        <v/>
      </c>
      <c r="L43" s="419">
        <f>$H43</f>
        <v/>
      </c>
      <c r="M43" s="416">
        <f>$I43</f>
        <v/>
      </c>
      <c r="N43" s="494">
        <f>$F43</f>
        <v/>
      </c>
      <c r="O43" s="460">
        <f>$G43</f>
        <v/>
      </c>
      <c r="P43" s="460">
        <f>$H43</f>
        <v/>
      </c>
      <c r="Q43" s="496">
        <f>$I43</f>
        <v/>
      </c>
      <c r="R43" s="494" t="n"/>
      <c r="S43" s="460" t="n"/>
      <c r="T43" s="460" t="n"/>
      <c r="U43" s="496" t="n"/>
      <c r="V43" s="494">
        <f>CONCATENATE("ETR1000V300_R1-",$D43,"-",$E43)</f>
        <v/>
      </c>
      <c r="W43" s="495">
        <f>CONCATENATE(V43,"-",X43)</f>
        <v/>
      </c>
      <c r="X43" s="501" t="inlineStr">
        <is>
          <t>03</t>
        </is>
      </c>
      <c r="Y43" s="521" t="n">
        <v>45931</v>
      </c>
      <c r="Z43" s="494">
        <f>V43</f>
        <v/>
      </c>
      <c r="AA43" s="460">
        <f>W43</f>
        <v/>
      </c>
      <c r="AB43" s="460">
        <f>X43</f>
        <v/>
      </c>
      <c r="AC43" s="496">
        <f>Y43</f>
        <v/>
      </c>
    </row>
    <row r="44">
      <c r="A44" s="504" t="inlineStr">
        <is>
          <t>Convertitore servizi ausiliari e caricabatterie</t>
        </is>
      </c>
      <c r="B44" s="458">
        <f>CONCATENATE(D44,"_",E44)</f>
        <v/>
      </c>
      <c r="C44" s="488" t="inlineStr">
        <is>
          <t>pdf</t>
        </is>
      </c>
      <c r="D44" s="458" t="inlineStr">
        <is>
          <t>MR2</t>
        </is>
      </c>
      <c r="E44" s="458" t="inlineStr">
        <is>
          <t>11A</t>
        </is>
      </c>
      <c r="F44" s="405">
        <f>CONCATENATE("ETR1000V300-",$D44,"-",$E44)</f>
        <v/>
      </c>
      <c r="G44" s="500">
        <f>CONCATENATE(F44,"-",H44)</f>
        <v/>
      </c>
      <c r="H44" s="419" t="inlineStr">
        <is>
          <t>03</t>
        </is>
      </c>
      <c r="I44" s="416" t="n">
        <v>46113</v>
      </c>
      <c r="J44" s="405">
        <f>$F44</f>
        <v/>
      </c>
      <c r="K44" s="500">
        <f>$G44</f>
        <v/>
      </c>
      <c r="L44" s="419">
        <f>$H44</f>
        <v/>
      </c>
      <c r="M44" s="416">
        <f>$I44</f>
        <v/>
      </c>
      <c r="N44" s="494">
        <f>$F44</f>
        <v/>
      </c>
      <c r="O44" s="460">
        <f>$G44</f>
        <v/>
      </c>
      <c r="P44" s="460">
        <f>$H44</f>
        <v/>
      </c>
      <c r="Q44" s="496">
        <f>$I44</f>
        <v/>
      </c>
      <c r="R44" s="494" t="n"/>
      <c r="S44" s="460" t="n"/>
      <c r="T44" s="460" t="n"/>
      <c r="U44" s="496" t="n"/>
      <c r="V44" s="494">
        <f>CONCATENATE("ETR1000V300_R1-",$D44,"-",$E44)</f>
        <v/>
      </c>
      <c r="W44" s="495">
        <f>CONCATENATE(V44,"-",X44)</f>
        <v/>
      </c>
      <c r="X44" s="501" t="inlineStr">
        <is>
          <t>02</t>
        </is>
      </c>
      <c r="Y44" s="521" t="n">
        <v>45809</v>
      </c>
      <c r="Z44" s="494">
        <f>V44</f>
        <v/>
      </c>
      <c r="AA44" s="460">
        <f>W44</f>
        <v/>
      </c>
      <c r="AB44" s="460">
        <f>X44</f>
        <v/>
      </c>
      <c r="AC44" s="496">
        <f>Y44</f>
        <v/>
      </c>
    </row>
    <row r="45">
      <c r="A45" s="504" t="inlineStr">
        <is>
          <t>Sottosistema diagnostica di bordo</t>
        </is>
      </c>
      <c r="B45" s="458">
        <f>CONCATENATE(D45,"_",E45)</f>
        <v/>
      </c>
      <c r="C45" s="488" t="inlineStr">
        <is>
          <t>pdf</t>
        </is>
      </c>
      <c r="D45" s="458" t="inlineStr">
        <is>
          <t>MR2</t>
        </is>
      </c>
      <c r="E45" s="458" t="inlineStr">
        <is>
          <t>13A</t>
        </is>
      </c>
      <c r="F45" s="405">
        <f>CONCATENATE("ETR1000V300-",$D45,"-",$E45)</f>
        <v/>
      </c>
      <c r="G45" s="500">
        <f>CONCATENATE(F45,"-",H45)</f>
        <v/>
      </c>
      <c r="H45" s="419" t="inlineStr">
        <is>
          <t>03</t>
        </is>
      </c>
      <c r="I45" s="416" t="n">
        <v>46113</v>
      </c>
      <c r="J45" s="405">
        <f>$F45</f>
        <v/>
      </c>
      <c r="K45" s="500">
        <f>$G45</f>
        <v/>
      </c>
      <c r="L45" s="419">
        <f>$H45</f>
        <v/>
      </c>
      <c r="M45" s="416">
        <f>$I45</f>
        <v/>
      </c>
      <c r="N45" s="494">
        <f>$F45</f>
        <v/>
      </c>
      <c r="O45" s="460">
        <f>$G45</f>
        <v/>
      </c>
      <c r="P45" s="460">
        <f>$H45</f>
        <v/>
      </c>
      <c r="Q45" s="496">
        <f>$I45</f>
        <v/>
      </c>
      <c r="R45" s="494" t="n"/>
      <c r="S45" s="460" t="n"/>
      <c r="T45" s="460" t="n"/>
      <c r="U45" s="496" t="n"/>
      <c r="V45" s="494">
        <f>CONCATENATE("ETR1000V300_R1-",$D45,"-",$E45)</f>
        <v/>
      </c>
      <c r="W45" s="495">
        <f>CONCATENATE(V45,"-",X45)</f>
        <v/>
      </c>
      <c r="X45" s="501" t="inlineStr">
        <is>
          <t>03</t>
        </is>
      </c>
      <c r="Y45" s="521" t="n">
        <v>45931</v>
      </c>
      <c r="Z45" s="494">
        <f>V45</f>
        <v/>
      </c>
      <c r="AA45" s="460">
        <f>W45</f>
        <v/>
      </c>
      <c r="AB45" s="460">
        <f>X45</f>
        <v/>
      </c>
      <c r="AC45" s="496">
        <f>Y45</f>
        <v/>
      </c>
    </row>
    <row r="46">
      <c r="A46" s="504" t="inlineStr">
        <is>
          <t>Allestimenti interni</t>
        </is>
      </c>
      <c r="B46" s="458">
        <f>CONCATENATE(D46,"_",E46)</f>
        <v/>
      </c>
      <c r="C46" s="488" t="inlineStr">
        <is>
          <t>pdf</t>
        </is>
      </c>
      <c r="D46" s="458" t="inlineStr">
        <is>
          <t>MR2</t>
        </is>
      </c>
      <c r="E46" s="458" t="inlineStr">
        <is>
          <t>14A</t>
        </is>
      </c>
      <c r="F46" s="405">
        <f>CONCATENATE("ETR1000V300-",$D46,"-",$E46)</f>
        <v/>
      </c>
      <c r="G46" s="500">
        <f>CONCATENATE(F46,"-",H46)</f>
        <v/>
      </c>
      <c r="H46" s="419" t="inlineStr">
        <is>
          <t>05</t>
        </is>
      </c>
      <c r="I46" s="416" t="n">
        <v>46113</v>
      </c>
      <c r="J46" s="405">
        <f>$F46</f>
        <v/>
      </c>
      <c r="K46" s="500">
        <f>$G46</f>
        <v/>
      </c>
      <c r="L46" s="419">
        <f>$H46</f>
        <v/>
      </c>
      <c r="M46" s="416">
        <f>$I46</f>
        <v/>
      </c>
      <c r="N46" s="494">
        <f>$F46</f>
        <v/>
      </c>
      <c r="O46" s="460">
        <f>$G46</f>
        <v/>
      </c>
      <c r="P46" s="460">
        <f>$H46</f>
        <v/>
      </c>
      <c r="Q46" s="496">
        <f>$I46</f>
        <v/>
      </c>
      <c r="R46" s="494" t="n"/>
      <c r="S46" s="460" t="n"/>
      <c r="T46" s="460" t="n"/>
      <c r="U46" s="496" t="n"/>
      <c r="V46" s="494">
        <f>CONCATENATE("ETR1000V300_R1-",$D46,"-",$E46)</f>
        <v/>
      </c>
      <c r="W46" s="495">
        <f>CONCATENATE(V46,"-",X46)</f>
        <v/>
      </c>
      <c r="X46" s="501" t="inlineStr">
        <is>
          <t>02</t>
        </is>
      </c>
      <c r="Y46" s="521" t="n">
        <v>45809</v>
      </c>
      <c r="Z46" s="494">
        <f>V46</f>
        <v/>
      </c>
      <c r="AA46" s="460">
        <f>W46</f>
        <v/>
      </c>
      <c r="AB46" s="460">
        <f>X46</f>
        <v/>
      </c>
      <c r="AC46" s="496">
        <f>Y46</f>
        <v/>
      </c>
    </row>
    <row r="47">
      <c r="A47" s="504" t="inlineStr">
        <is>
          <t>Allestimenti interni - Arredi comparto e cabina di guida</t>
        </is>
      </c>
      <c r="B47" s="458">
        <f>CONCATENATE(D47,"_",E47)</f>
        <v/>
      </c>
      <c r="C47" s="488" t="inlineStr">
        <is>
          <t>pdf</t>
        </is>
      </c>
      <c r="D47" s="458" t="inlineStr">
        <is>
          <t>MR2</t>
        </is>
      </c>
      <c r="E47" s="458" t="inlineStr">
        <is>
          <t>14B</t>
        </is>
      </c>
      <c r="F47" s="405" t="inlineStr">
        <is>
          <t>\</t>
        </is>
      </c>
      <c r="G47" s="500" t="inlineStr">
        <is>
          <t>\</t>
        </is>
      </c>
      <c r="H47" s="409" t="inlineStr">
        <is>
          <t>\</t>
        </is>
      </c>
      <c r="I47" s="514" t="inlineStr">
        <is>
          <t>\</t>
        </is>
      </c>
      <c r="J47" s="405">
        <f>$F47</f>
        <v/>
      </c>
      <c r="K47" s="500">
        <f>$G47</f>
        <v/>
      </c>
      <c r="L47" s="409">
        <f>$H47</f>
        <v/>
      </c>
      <c r="M47" s="514">
        <f>$I47</f>
        <v/>
      </c>
      <c r="N47" s="494">
        <f>$F47</f>
        <v/>
      </c>
      <c r="O47" s="460">
        <f>$G47</f>
        <v/>
      </c>
      <c r="P47" s="460">
        <f>$H47</f>
        <v/>
      </c>
      <c r="Q47" s="496">
        <f>$I47</f>
        <v/>
      </c>
      <c r="R47" s="494" t="n"/>
      <c r="S47" s="460" t="n"/>
      <c r="T47" s="460" t="n"/>
      <c r="U47" s="496" t="n"/>
      <c r="V47" s="494">
        <f>CONCATENATE("ETR1000V300_R1-",$D47,"-",$E47)</f>
        <v/>
      </c>
      <c r="W47" s="495">
        <f>CONCATENATE(V47,"-",X47)</f>
        <v/>
      </c>
      <c r="X47" s="501" t="inlineStr">
        <is>
          <t>02</t>
        </is>
      </c>
      <c r="Y47" s="521" t="n">
        <v>45809</v>
      </c>
      <c r="Z47" s="494">
        <f>V47</f>
        <v/>
      </c>
      <c r="AA47" s="460">
        <f>W47</f>
        <v/>
      </c>
      <c r="AB47" s="460">
        <f>X47</f>
        <v/>
      </c>
      <c r="AC47" s="496">
        <f>Y47</f>
        <v/>
      </c>
    </row>
    <row r="48">
      <c r="A48" s="504" t="inlineStr">
        <is>
          <t>Servizi Generali di Bordo - Toilette</t>
        </is>
      </c>
      <c r="B48" s="458">
        <f>CONCATENATE(D48,"_",E48)</f>
        <v/>
      </c>
      <c r="C48" s="488" t="inlineStr">
        <is>
          <t>pdf</t>
        </is>
      </c>
      <c r="D48" s="458" t="inlineStr">
        <is>
          <t>MR2</t>
        </is>
      </c>
      <c r="E48" s="458" t="inlineStr">
        <is>
          <t>15A</t>
        </is>
      </c>
      <c r="F48" s="405">
        <f>CONCATENATE("ETR1000V300-",$D48,"-",$E48)</f>
        <v/>
      </c>
      <c r="G48" s="500">
        <f>CONCATENATE(F48,"-",H48)</f>
        <v/>
      </c>
      <c r="H48" s="419" t="inlineStr">
        <is>
          <t>05</t>
        </is>
      </c>
      <c r="I48" s="416" t="n">
        <v>46113</v>
      </c>
      <c r="J48" s="405">
        <f>$F48</f>
        <v/>
      </c>
      <c r="K48" s="500">
        <f>$G48</f>
        <v/>
      </c>
      <c r="L48" s="419">
        <f>$H48</f>
        <v/>
      </c>
      <c r="M48" s="416">
        <f>$I48</f>
        <v/>
      </c>
      <c r="N48" s="494">
        <f>$F48</f>
        <v/>
      </c>
      <c r="O48" s="460">
        <f>$G48</f>
        <v/>
      </c>
      <c r="P48" s="460">
        <f>$H48</f>
        <v/>
      </c>
      <c r="Q48" s="496">
        <f>$I48</f>
        <v/>
      </c>
      <c r="R48" s="494" t="n"/>
      <c r="S48" s="460" t="n"/>
      <c r="T48" s="460" t="n"/>
      <c r="U48" s="496" t="n"/>
      <c r="V48" s="494">
        <f>CONCATENATE("ETR1000V300_R1-",$D48,"-",$E48)</f>
        <v/>
      </c>
      <c r="W48" s="495">
        <f>CONCATENATE(V48,"-",X48)</f>
        <v/>
      </c>
      <c r="X48" s="501" t="inlineStr">
        <is>
          <t>01</t>
        </is>
      </c>
      <c r="Y48" s="521" t="n">
        <v>45809</v>
      </c>
      <c r="Z48" s="494">
        <f>V48</f>
        <v/>
      </c>
      <c r="AA48" s="460">
        <f>W48</f>
        <v/>
      </c>
      <c r="AB48" s="460">
        <f>X48</f>
        <v/>
      </c>
      <c r="AC48" s="496">
        <f>Y48</f>
        <v/>
      </c>
    </row>
    <row r="49">
      <c r="A49" s="504" t="inlineStr">
        <is>
          <t>Servizi Generali di Bordo - Bar Bistrot</t>
        </is>
      </c>
      <c r="B49" s="458">
        <f>CONCATENATE(D49,"_",E49)</f>
        <v/>
      </c>
      <c r="C49" s="488" t="inlineStr">
        <is>
          <t>pdf</t>
        </is>
      </c>
      <c r="D49" s="458" t="inlineStr">
        <is>
          <t>MR2</t>
        </is>
      </c>
      <c r="E49" s="458" t="inlineStr">
        <is>
          <t>15B</t>
        </is>
      </c>
      <c r="F49" s="405" t="inlineStr">
        <is>
          <t>\</t>
        </is>
      </c>
      <c r="G49" s="500" t="inlineStr">
        <is>
          <t>\</t>
        </is>
      </c>
      <c r="H49" s="409" t="inlineStr">
        <is>
          <t>\</t>
        </is>
      </c>
      <c r="I49" s="514" t="inlineStr">
        <is>
          <t>\</t>
        </is>
      </c>
      <c r="J49" s="405">
        <f>$F49</f>
        <v/>
      </c>
      <c r="K49" s="500">
        <f>$G49</f>
        <v/>
      </c>
      <c r="L49" s="419">
        <f>$H49</f>
        <v/>
      </c>
      <c r="M49" s="416">
        <f>$I49</f>
        <v/>
      </c>
      <c r="N49" s="494">
        <f>$F49</f>
        <v/>
      </c>
      <c r="O49" s="460">
        <f>$G49</f>
        <v/>
      </c>
      <c r="P49" s="460">
        <f>$H49</f>
        <v/>
      </c>
      <c r="Q49" s="496">
        <f>$I49</f>
        <v/>
      </c>
      <c r="R49" s="494" t="n"/>
      <c r="S49" s="460" t="n"/>
      <c r="T49" s="460" t="n"/>
      <c r="U49" s="496" t="n"/>
      <c r="V49" s="494">
        <f>CONCATENATE("ETR1000V300_R1-",$D49,"-",$E49)</f>
        <v/>
      </c>
      <c r="W49" s="495">
        <f>CONCATENATE(V49,"-",X49)</f>
        <v/>
      </c>
      <c r="X49" s="501" t="inlineStr">
        <is>
          <t>02</t>
        </is>
      </c>
      <c r="Y49" s="521" t="n">
        <v>45809</v>
      </c>
      <c r="Z49" s="494">
        <f>V49</f>
        <v/>
      </c>
      <c r="AA49" s="460">
        <f>W49</f>
        <v/>
      </c>
      <c r="AB49" s="460">
        <f>X49</f>
        <v/>
      </c>
      <c r="AC49" s="496">
        <f>Y49</f>
        <v/>
      </c>
    </row>
    <row r="50">
      <c r="A50" s="504" t="inlineStr">
        <is>
          <t>Documentazione circuiti elettronici</t>
        </is>
      </c>
      <c r="B50" s="458">
        <f>CONCATENATE(D50,"_",E50)</f>
        <v/>
      </c>
      <c r="C50" s="488" t="inlineStr">
        <is>
          <t>pdf</t>
        </is>
      </c>
      <c r="D50" s="458" t="inlineStr">
        <is>
          <t>MR2</t>
        </is>
      </c>
      <c r="E50" s="458" t="inlineStr">
        <is>
          <t>17A</t>
        </is>
      </c>
      <c r="F50" s="405">
        <f>CONCATENATE("ETR1000V300-",$D50,"-",$E50)</f>
        <v/>
      </c>
      <c r="G50" s="500">
        <f>CONCATENATE(F50,"-",H50)</f>
        <v/>
      </c>
      <c r="H50" s="409" t="inlineStr">
        <is>
          <t>00</t>
        </is>
      </c>
      <c r="I50" s="407" t="n">
        <v>41913</v>
      </c>
      <c r="J50" s="405">
        <f>$F50</f>
        <v/>
      </c>
      <c r="K50" s="500">
        <f>$G50</f>
        <v/>
      </c>
      <c r="L50" s="409">
        <f>$H50</f>
        <v/>
      </c>
      <c r="M50" s="407">
        <f>$I50</f>
        <v/>
      </c>
      <c r="N50" s="494">
        <f>$F50</f>
        <v/>
      </c>
      <c r="O50" s="460">
        <f>$G50</f>
        <v/>
      </c>
      <c r="P50" s="460">
        <f>$H50</f>
        <v/>
      </c>
      <c r="Q50" s="496">
        <f>$I50</f>
        <v/>
      </c>
      <c r="R50" s="494" t="n"/>
      <c r="S50" s="460" t="n"/>
      <c r="T50" s="460" t="n"/>
      <c r="U50" s="496" t="n"/>
      <c r="V50" s="502" t="n"/>
      <c r="W50" s="501" t="n"/>
      <c r="X50" s="501" t="n"/>
      <c r="Y50" s="510" t="n"/>
      <c r="Z50" s="502" t="n"/>
      <c r="AA50" s="501" t="n"/>
      <c r="AB50" s="501" t="n"/>
      <c r="AC50" s="503">
        <f>Y50</f>
        <v/>
      </c>
    </row>
    <row r="51">
      <c r="A51" s="504" t="inlineStr">
        <is>
          <t>Messa in servizio (tomo 1 di 5)</t>
        </is>
      </c>
      <c r="B51" s="458">
        <f>CONCATENATE(D51,"_",E51)</f>
        <v/>
      </c>
      <c r="C51" s="488" t="inlineStr">
        <is>
          <t>pdf</t>
        </is>
      </c>
      <c r="D51" s="458" t="inlineStr">
        <is>
          <t>MR2</t>
        </is>
      </c>
      <c r="E51" s="458" t="inlineStr">
        <is>
          <t>30A</t>
        </is>
      </c>
      <c r="F51" s="405">
        <f>CONCATENATE("ETR1000V300-",$D51,"-",$E51)</f>
        <v/>
      </c>
      <c r="G51" s="500">
        <f>CONCATENATE(F51,"-",H51)</f>
        <v/>
      </c>
      <c r="H51" s="409" t="inlineStr">
        <is>
          <t>01</t>
        </is>
      </c>
      <c r="I51" s="408" t="inlineStr">
        <is>
          <t>mag-16</t>
        </is>
      </c>
      <c r="J51" s="405">
        <f>$F51</f>
        <v/>
      </c>
      <c r="K51" s="500">
        <f>$G51</f>
        <v/>
      </c>
      <c r="L51" s="409">
        <f>$H51</f>
        <v/>
      </c>
      <c r="M51" s="408">
        <f>$I51</f>
        <v/>
      </c>
      <c r="N51" s="494">
        <f>$F51</f>
        <v/>
      </c>
      <c r="O51" s="460">
        <f>$G51</f>
        <v/>
      </c>
      <c r="P51" s="460">
        <f>$H51</f>
        <v/>
      </c>
      <c r="Q51" s="496">
        <f>$I51</f>
        <v/>
      </c>
      <c r="R51" s="494" t="n"/>
      <c r="S51" s="460" t="n"/>
      <c r="T51" s="460" t="n"/>
      <c r="U51" s="496" t="n"/>
      <c r="V51" s="494">
        <f>CONCATENATE("ETR1000V300_R1-",$D51,"-",$E51)</f>
        <v/>
      </c>
      <c r="W51" s="495">
        <f>CONCATENATE(V51,"-",X51)</f>
        <v/>
      </c>
      <c r="X51" s="501" t="inlineStr">
        <is>
          <t>02</t>
        </is>
      </c>
      <c r="Y51" s="521" t="n">
        <v>45627</v>
      </c>
      <c r="Z51" s="494">
        <f>V51</f>
        <v/>
      </c>
      <c r="AA51" s="460">
        <f>W51</f>
        <v/>
      </c>
      <c r="AB51" s="460">
        <f>X51</f>
        <v/>
      </c>
      <c r="AC51" s="496">
        <f>Y51</f>
        <v/>
      </c>
    </row>
    <row r="52">
      <c r="A52" s="504" t="inlineStr">
        <is>
          <t>Cassa veicoli di estremità</t>
        </is>
      </c>
      <c r="B52" s="458">
        <f>CONCATENATE(D52,"_",E52)</f>
        <v/>
      </c>
      <c r="C52" s="488" t="inlineStr">
        <is>
          <t>pdf</t>
        </is>
      </c>
      <c r="D52" s="458" t="inlineStr">
        <is>
          <t>CPR</t>
        </is>
      </c>
      <c r="E52" s="458" t="inlineStr">
        <is>
          <t>01A</t>
        </is>
      </c>
      <c r="F52" s="405">
        <f>CONCATENATE("ETR1000V300-",$D52,"-",$E52)</f>
        <v/>
      </c>
      <c r="G52" s="458" t="inlineStr">
        <is>
          <t>2.05.993</t>
        </is>
      </c>
      <c r="H52" s="406" t="inlineStr">
        <is>
          <t>\</t>
        </is>
      </c>
      <c r="I52" s="408" t="inlineStr">
        <is>
          <t>mag-22</t>
        </is>
      </c>
      <c r="J52" s="405">
        <f>$F52</f>
        <v/>
      </c>
      <c r="K52" s="458">
        <f>$G52</f>
        <v/>
      </c>
      <c r="L52" s="406">
        <f>$H52</f>
        <v/>
      </c>
      <c r="M52" s="408">
        <f>$I52</f>
        <v/>
      </c>
      <c r="N52" s="506">
        <f>CONCATENATE("ETR1000V300_FR-",$D52,"-",$E52)</f>
        <v/>
      </c>
      <c r="O52" s="495" t="inlineStr">
        <is>
          <t>2.05.1232</t>
        </is>
      </c>
      <c r="P52" s="460" t="inlineStr">
        <is>
          <t>\</t>
        </is>
      </c>
      <c r="Q52" s="496" t="n">
        <v>44136</v>
      </c>
      <c r="R52" s="494" t="n"/>
      <c r="S52" s="460" t="n"/>
      <c r="T52" s="460" t="n"/>
      <c r="U52" s="496" t="n"/>
      <c r="V52" s="506">
        <f>CONCATENATE("ETR1000V300_R1-",$D52,"-",$E52)</f>
        <v/>
      </c>
      <c r="W52" s="501" t="inlineStr">
        <is>
          <t>2.05.1397</t>
        </is>
      </c>
      <c r="X52" s="501" t="inlineStr">
        <is>
          <t>01</t>
        </is>
      </c>
      <c r="Y52" s="496" t="n">
        <v>45901</v>
      </c>
      <c r="Z52" s="502">
        <f>V52</f>
        <v/>
      </c>
      <c r="AA52" s="501">
        <f>W52</f>
        <v/>
      </c>
      <c r="AB52" s="501">
        <f>X52</f>
        <v/>
      </c>
      <c r="AC52" s="503">
        <f>Y52</f>
        <v/>
      </c>
    </row>
    <row r="53">
      <c r="A53" s="504" t="inlineStr">
        <is>
          <t>Cassa veicoli intermedi</t>
        </is>
      </c>
      <c r="B53" s="458">
        <f>CONCATENATE(D53,"_",E53)</f>
        <v/>
      </c>
      <c r="C53" s="488" t="inlineStr">
        <is>
          <t>pdf</t>
        </is>
      </c>
      <c r="D53" s="458" t="inlineStr">
        <is>
          <t>CPR</t>
        </is>
      </c>
      <c r="E53" s="458" t="inlineStr">
        <is>
          <t>01B</t>
        </is>
      </c>
      <c r="F53" s="405">
        <f>CONCATENATE("ETR1000V300-",$D53,"-",$E53)</f>
        <v/>
      </c>
      <c r="G53" s="458" t="inlineStr">
        <is>
          <t>2.05.994</t>
        </is>
      </c>
      <c r="H53" s="406" t="inlineStr">
        <is>
          <t>\</t>
        </is>
      </c>
      <c r="I53" s="408" t="inlineStr">
        <is>
          <t>mag-22</t>
        </is>
      </c>
      <c r="J53" s="405">
        <f>$F53</f>
        <v/>
      </c>
      <c r="K53" s="458">
        <f>$G53</f>
        <v/>
      </c>
      <c r="L53" s="406">
        <f>$H53</f>
        <v/>
      </c>
      <c r="M53" s="408">
        <f>$I53</f>
        <v/>
      </c>
      <c r="N53" s="506">
        <f>CONCATENATE("ETR1000V300_FR-",$D53,"-",$E53)</f>
        <v/>
      </c>
      <c r="O53" s="495" t="inlineStr">
        <is>
          <t>2.05.1233</t>
        </is>
      </c>
      <c r="P53" s="460" t="inlineStr">
        <is>
          <t>\</t>
        </is>
      </c>
      <c r="Q53" s="496" t="n">
        <v>44136</v>
      </c>
      <c r="R53" s="494" t="n"/>
      <c r="S53" s="460" t="n"/>
      <c r="T53" s="460" t="n"/>
      <c r="U53" s="496" t="n"/>
      <c r="V53" s="506">
        <f>CONCATENATE("ETR1000V300_R1-",$D53,"-",$E53)</f>
        <v/>
      </c>
      <c r="W53" s="501" t="inlineStr">
        <is>
          <t>2.05.1398</t>
        </is>
      </c>
      <c r="X53" s="501" t="inlineStr">
        <is>
          <t>01</t>
        </is>
      </c>
      <c r="Y53" s="496" t="n">
        <v>45901</v>
      </c>
      <c r="Z53" s="502">
        <f>V53</f>
        <v/>
      </c>
      <c r="AA53" s="501">
        <f>W53</f>
        <v/>
      </c>
      <c r="AB53" s="501">
        <f>X53</f>
        <v/>
      </c>
      <c r="AC53" s="503">
        <f>Y53</f>
        <v/>
      </c>
    </row>
    <row r="54">
      <c r="A54" s="504" t="inlineStr">
        <is>
          <t>Accoppiatore automatico-asta semipermanente</t>
        </is>
      </c>
      <c r="B54" s="458">
        <f>CONCATENATE(D54,"_",E54)</f>
        <v/>
      </c>
      <c r="C54" s="488" t="inlineStr">
        <is>
          <t>pdf</t>
        </is>
      </c>
      <c r="D54" s="458" t="inlineStr">
        <is>
          <t>CPR</t>
        </is>
      </c>
      <c r="E54" s="458" t="inlineStr">
        <is>
          <t>01C</t>
        </is>
      </c>
      <c r="F54" s="405">
        <f>CONCATENATE("ETR1000V300-",$D54,"-",$E54)</f>
        <v/>
      </c>
      <c r="G54" s="458" t="inlineStr">
        <is>
          <t>2.05.995</t>
        </is>
      </c>
      <c r="H54" s="406" t="inlineStr">
        <is>
          <t>\</t>
        </is>
      </c>
      <c r="I54" s="408" t="inlineStr">
        <is>
          <t>mag-22</t>
        </is>
      </c>
      <c r="J54" s="405">
        <f>$F54</f>
        <v/>
      </c>
      <c r="K54" s="458">
        <f>$G54</f>
        <v/>
      </c>
      <c r="L54" s="406">
        <f>$H54</f>
        <v/>
      </c>
      <c r="M54" s="408">
        <f>$I54</f>
        <v/>
      </c>
      <c r="N54" s="494">
        <f>F54</f>
        <v/>
      </c>
      <c r="O54" s="460">
        <f>G54</f>
        <v/>
      </c>
      <c r="P54" s="460">
        <f>H54</f>
        <v/>
      </c>
      <c r="Q54" s="461">
        <f>I54</f>
        <v/>
      </c>
      <c r="R54" s="494" t="n"/>
      <c r="S54" s="460" t="n"/>
      <c r="T54" s="460" t="n"/>
      <c r="U54" s="496" t="n"/>
      <c r="V54" s="494" t="n"/>
      <c r="W54" s="460" t="n"/>
      <c r="X54" s="460" t="n"/>
      <c r="Y54" s="496" t="n"/>
      <c r="Z54" s="494" t="n"/>
      <c r="AA54" s="460" t="n"/>
      <c r="AB54" s="460" t="n"/>
      <c r="AC54" s="496" t="n"/>
    </row>
    <row r="55">
      <c r="A55" s="504" t="inlineStr">
        <is>
          <t>Musetto mobile</t>
        </is>
      </c>
      <c r="B55" s="458">
        <f>CONCATENATE(D55,"_",E55)</f>
        <v/>
      </c>
      <c r="C55" s="488" t="inlineStr">
        <is>
          <t>pdf</t>
        </is>
      </c>
      <c r="D55" s="458" t="inlineStr">
        <is>
          <t>CPR</t>
        </is>
      </c>
      <c r="E55" s="458" t="inlineStr">
        <is>
          <t>01D</t>
        </is>
      </c>
      <c r="F55" s="405">
        <f>CONCATENATE("ETR1000V300-",$D55,"-",$E55)</f>
        <v/>
      </c>
      <c r="G55" s="458" t="inlineStr">
        <is>
          <t>2.05.996</t>
        </is>
      </c>
      <c r="H55" s="406" t="inlineStr">
        <is>
          <t>\</t>
        </is>
      </c>
      <c r="I55" s="408" t="inlineStr">
        <is>
          <t>mag-22</t>
        </is>
      </c>
      <c r="J55" s="405">
        <f>$F55</f>
        <v/>
      </c>
      <c r="K55" s="458">
        <f>$G55</f>
        <v/>
      </c>
      <c r="L55" s="406">
        <f>$H55</f>
        <v/>
      </c>
      <c r="M55" s="408">
        <f>$I55</f>
        <v/>
      </c>
      <c r="N55" s="506">
        <f>CONCATENATE("ETR1000V300_FR-",$D55,"-",$E55)</f>
        <v/>
      </c>
      <c r="O55" s="495" t="inlineStr">
        <is>
          <t>2.05.1234</t>
        </is>
      </c>
      <c r="P55" s="460" t="inlineStr">
        <is>
          <t>\</t>
        </is>
      </c>
      <c r="Q55" s="496" t="n">
        <v>44136</v>
      </c>
      <c r="R55" s="494" t="n"/>
      <c r="S55" s="460" t="n"/>
      <c r="T55" s="460" t="n"/>
      <c r="U55" s="496" t="n"/>
      <c r="V55" s="506">
        <f>CONCATENATE("ETR1000V300_R1-",$D55,"-",$E55)</f>
        <v/>
      </c>
      <c r="W55" s="501" t="inlineStr">
        <is>
          <t>2.05.1400</t>
        </is>
      </c>
      <c r="X55" s="501" t="inlineStr">
        <is>
          <t>01</t>
        </is>
      </c>
      <c r="Y55" s="496" t="n">
        <v>45931</v>
      </c>
      <c r="Z55" s="502">
        <f>V55</f>
        <v/>
      </c>
      <c r="AA55" s="501">
        <f>W55</f>
        <v/>
      </c>
      <c r="AB55" s="501">
        <f>X55</f>
        <v/>
      </c>
      <c r="AC55" s="503">
        <f>Y55</f>
        <v/>
      </c>
    </row>
    <row r="56">
      <c r="A56" s="504" t="inlineStr">
        <is>
          <t>Carrello</t>
        </is>
      </c>
      <c r="B56" s="458">
        <f>CONCATENATE(D56,"_",E56)</f>
        <v/>
      </c>
      <c r="C56" s="488" t="inlineStr">
        <is>
          <t>pdf</t>
        </is>
      </c>
      <c r="D56" s="458" t="inlineStr">
        <is>
          <t>CPR</t>
        </is>
      </c>
      <c r="E56" s="458" t="inlineStr">
        <is>
          <t>02A</t>
        </is>
      </c>
      <c r="F56" s="405">
        <f>CONCATENATE("ETR1000V300-",$D56,"-",$E56)</f>
        <v/>
      </c>
      <c r="G56" s="458" t="inlineStr">
        <is>
          <t>2.05.997</t>
        </is>
      </c>
      <c r="H56" s="406" t="inlineStr">
        <is>
          <t>\</t>
        </is>
      </c>
      <c r="I56" s="408" t="inlineStr">
        <is>
          <t>mar-21</t>
        </is>
      </c>
      <c r="J56" s="405">
        <f>$F56</f>
        <v/>
      </c>
      <c r="K56" s="458">
        <f>$G56</f>
        <v/>
      </c>
      <c r="L56" s="406">
        <f>$H56</f>
        <v/>
      </c>
      <c r="M56" s="408">
        <f>$I56</f>
        <v/>
      </c>
      <c r="N56" s="506">
        <f>CONCATENATE("ETR1000V300_FR-",$D56,"-",$E56)</f>
        <v/>
      </c>
      <c r="O56" s="495" t="inlineStr">
        <is>
          <t>2.05.1235</t>
        </is>
      </c>
      <c r="P56" s="460" t="inlineStr">
        <is>
          <t>\</t>
        </is>
      </c>
      <c r="Q56" s="496" t="n">
        <v>43617</v>
      </c>
      <c r="R56" s="494" t="n"/>
      <c r="S56" s="460" t="n"/>
      <c r="T56" s="460" t="n"/>
      <c r="U56" s="496" t="n"/>
      <c r="V56" s="506">
        <f>CONCATENATE("ETR1000V300_R1-",$D56,"-",$E56)</f>
        <v/>
      </c>
      <c r="W56" s="501" t="inlineStr">
        <is>
          <t>2.05.1401</t>
        </is>
      </c>
      <c r="X56" s="501" t="inlineStr">
        <is>
          <t>02</t>
        </is>
      </c>
      <c r="Y56" s="496" t="n">
        <v>45931</v>
      </c>
      <c r="Z56" s="502">
        <f>V56</f>
        <v/>
      </c>
      <c r="AA56" s="501">
        <f>W56</f>
        <v/>
      </c>
      <c r="AB56" s="501">
        <f>X56</f>
        <v/>
      </c>
      <c r="AC56" s="503">
        <f>Y56</f>
        <v/>
      </c>
    </row>
    <row r="57">
      <c r="A57" s="504" t="inlineStr">
        <is>
          <t>Impianto pneumatico e freno - sistemazioni</t>
        </is>
      </c>
      <c r="B57" s="458">
        <f>CONCATENATE(D57,"_",E57)</f>
        <v/>
      </c>
      <c r="C57" s="488" t="inlineStr">
        <is>
          <t>pdf</t>
        </is>
      </c>
      <c r="D57" s="458" t="inlineStr">
        <is>
          <t>CPR</t>
        </is>
      </c>
      <c r="E57" s="458" t="inlineStr">
        <is>
          <t>03A</t>
        </is>
      </c>
      <c r="F57" s="405">
        <f>CONCATENATE("ETR1000V300-",$D57,"-",$E57)</f>
        <v/>
      </c>
      <c r="G57" s="458" t="inlineStr">
        <is>
          <t>2.05.998</t>
        </is>
      </c>
      <c r="H57" s="406" t="inlineStr">
        <is>
          <t>\</t>
        </is>
      </c>
      <c r="I57" s="408" t="inlineStr">
        <is>
          <t>lug-17</t>
        </is>
      </c>
      <c r="J57" s="405">
        <f>$F57</f>
        <v/>
      </c>
      <c r="K57" s="458">
        <f>$G57</f>
        <v/>
      </c>
      <c r="L57" s="406">
        <f>$H57</f>
        <v/>
      </c>
      <c r="M57" s="408">
        <f>$I57</f>
        <v/>
      </c>
      <c r="N57" s="506">
        <f>CONCATENATE("ETR1000V300_FR-",$D57,"-",$E57)</f>
        <v/>
      </c>
      <c r="O57" s="495" t="inlineStr">
        <is>
          <t>2.05.1236</t>
        </is>
      </c>
      <c r="P57" s="460" t="inlineStr">
        <is>
          <t>\</t>
        </is>
      </c>
      <c r="Q57" s="496" t="n">
        <v>43922</v>
      </c>
      <c r="R57" s="494" t="n"/>
      <c r="S57" s="460" t="n"/>
      <c r="T57" s="460" t="n"/>
      <c r="U57" s="496" t="n"/>
      <c r="V57" s="506">
        <f>CONCATENATE("ETR1000V300_R1-",$D57,"-",$E57)</f>
        <v/>
      </c>
      <c r="W57" s="501" t="inlineStr">
        <is>
          <t>2.05.1402</t>
        </is>
      </c>
      <c r="X57" s="501" t="inlineStr">
        <is>
          <t>02</t>
        </is>
      </c>
      <c r="Y57" s="496" t="n">
        <v>45931</v>
      </c>
      <c r="Z57" s="502">
        <f>V57</f>
        <v/>
      </c>
      <c r="AA57" s="501">
        <f>W57</f>
        <v/>
      </c>
      <c r="AB57" s="501">
        <f>X57</f>
        <v/>
      </c>
      <c r="AC57" s="503">
        <f>Y57</f>
        <v/>
      </c>
    </row>
    <row r="58">
      <c r="A58" s="504" t="inlineStr">
        <is>
          <t>Impianto pneumatico e freno - componenti</t>
        </is>
      </c>
      <c r="B58" s="458">
        <f>CONCATENATE(D58,"_",E58)</f>
        <v/>
      </c>
      <c r="C58" s="488" t="inlineStr">
        <is>
          <t>pdf</t>
        </is>
      </c>
      <c r="D58" s="458" t="inlineStr">
        <is>
          <t>CPR</t>
        </is>
      </c>
      <c r="E58" s="458" t="inlineStr">
        <is>
          <t>03B</t>
        </is>
      </c>
      <c r="F58" s="405">
        <f>CONCATENATE("ETR1000V300-",$D58,"-",$E58)</f>
        <v/>
      </c>
      <c r="G58" s="458" t="inlineStr">
        <is>
          <t>2.05.999</t>
        </is>
      </c>
      <c r="H58" s="406" t="inlineStr">
        <is>
          <t>\</t>
        </is>
      </c>
      <c r="I58" s="418" t="n">
        <v>46113</v>
      </c>
      <c r="J58" s="405">
        <f>$F58</f>
        <v/>
      </c>
      <c r="K58" s="458">
        <f>$G58</f>
        <v/>
      </c>
      <c r="L58" s="406">
        <f>$H58</f>
        <v/>
      </c>
      <c r="M58" s="418">
        <f>$I58</f>
        <v/>
      </c>
      <c r="N58" s="506">
        <f>CONCATENATE("ETR1000V300_FR-",$D58,"-",$E58)</f>
        <v/>
      </c>
      <c r="O58" s="495" t="inlineStr">
        <is>
          <t>2.05.1237</t>
        </is>
      </c>
      <c r="P58" s="460" t="inlineStr">
        <is>
          <t>\</t>
        </is>
      </c>
      <c r="Q58" s="496" t="n">
        <v>44317</v>
      </c>
      <c r="R58" s="494" t="n"/>
      <c r="S58" s="460" t="n"/>
      <c r="T58" s="460" t="n"/>
      <c r="U58" s="496" t="n"/>
      <c r="V58" s="506">
        <f>CONCATENATE("ETR1000V300_R1-",$D58,"-",$E58)</f>
        <v/>
      </c>
      <c r="W58" s="501" t="inlineStr">
        <is>
          <t>2.05.1403</t>
        </is>
      </c>
      <c r="X58" s="501" t="inlineStr">
        <is>
          <t>02</t>
        </is>
      </c>
      <c r="Y58" s="496" t="n">
        <v>45931</v>
      </c>
      <c r="Z58" s="502">
        <f>V58</f>
        <v/>
      </c>
      <c r="AA58" s="501">
        <f>W58</f>
        <v/>
      </c>
      <c r="AB58" s="501">
        <f>X58</f>
        <v/>
      </c>
      <c r="AC58" s="503">
        <f>Y58</f>
        <v/>
      </c>
    </row>
    <row r="59">
      <c r="A59" s="504" t="inlineStr">
        <is>
          <t>Equipaggiamento elettrico ed elettropneumatico - sistemazioni</t>
        </is>
      </c>
      <c r="B59" s="458">
        <f>CONCATENATE(D59,"_",E59)</f>
        <v/>
      </c>
      <c r="C59" s="488" t="inlineStr">
        <is>
          <t>pdf</t>
        </is>
      </c>
      <c r="D59" s="458" t="inlineStr">
        <is>
          <t>CPR</t>
        </is>
      </c>
      <c r="E59" s="458" t="inlineStr">
        <is>
          <t>04A</t>
        </is>
      </c>
      <c r="F59" s="405">
        <f>CONCATENATE("ETR1000V300-",$D59,"-",$E59)</f>
        <v/>
      </c>
      <c r="G59" s="458" t="inlineStr">
        <is>
          <t>2.05.1000</t>
        </is>
      </c>
      <c r="H59" s="406" t="inlineStr">
        <is>
          <t>\</t>
        </is>
      </c>
      <c r="I59" s="418" t="n">
        <v>45748</v>
      </c>
      <c r="J59" s="405">
        <f>$F59</f>
        <v/>
      </c>
      <c r="K59" s="458">
        <f>$G59</f>
        <v/>
      </c>
      <c r="L59" s="406">
        <f>$H59</f>
        <v/>
      </c>
      <c r="M59" s="418">
        <f>$I59</f>
        <v/>
      </c>
      <c r="N59" s="506">
        <f>CONCATENATE("ETR1000V300_FR-",$D59,"-",$E59)</f>
        <v/>
      </c>
      <c r="O59" s="495" t="inlineStr">
        <is>
          <t>2.05.1238</t>
        </is>
      </c>
      <c r="P59" s="460" t="inlineStr">
        <is>
          <t>\</t>
        </is>
      </c>
      <c r="Q59" s="496" t="n">
        <v>43922</v>
      </c>
      <c r="R59" s="494" t="n"/>
      <c r="S59" s="460" t="n"/>
      <c r="T59" s="460" t="n"/>
      <c r="U59" s="496" t="n"/>
      <c r="V59" s="506">
        <f>CONCATENATE("ETR1000V300_R1-",$D59,"-",$E59)</f>
        <v/>
      </c>
      <c r="W59" s="501" t="inlineStr">
        <is>
          <t>2.05.1404</t>
        </is>
      </c>
      <c r="X59" s="501" t="inlineStr">
        <is>
          <t>01</t>
        </is>
      </c>
      <c r="Y59" s="496" t="n">
        <v>45901</v>
      </c>
      <c r="Z59" s="502">
        <f>V59</f>
        <v/>
      </c>
      <c r="AA59" s="501">
        <f>W59</f>
        <v/>
      </c>
      <c r="AB59" s="501">
        <f>X59</f>
        <v/>
      </c>
      <c r="AC59" s="503">
        <f>Y59</f>
        <v/>
      </c>
    </row>
    <row r="60">
      <c r="A60" s="504" t="inlineStr">
        <is>
          <t>Equipaggiamento elettrico ed elettropneumatico - componenti</t>
        </is>
      </c>
      <c r="B60" s="458">
        <f>CONCATENATE(D60,"_",E60)</f>
        <v/>
      </c>
      <c r="C60" s="488" t="inlineStr">
        <is>
          <t>pdf</t>
        </is>
      </c>
      <c r="D60" s="458" t="inlineStr">
        <is>
          <t>CPR</t>
        </is>
      </c>
      <c r="E60" s="458" t="inlineStr">
        <is>
          <t>04B</t>
        </is>
      </c>
      <c r="F60" s="405">
        <f>CONCATENATE("ETR1000V300-",$D60,"-",$E60)</f>
        <v/>
      </c>
      <c r="G60" s="458" t="inlineStr">
        <is>
          <t>2.05.1001</t>
        </is>
      </c>
      <c r="H60" s="406" t="inlineStr">
        <is>
          <t>\</t>
        </is>
      </c>
      <c r="I60" s="418" t="n">
        <v>46082</v>
      </c>
      <c r="J60" s="405">
        <f>$F60</f>
        <v/>
      </c>
      <c r="K60" s="458">
        <f>$G60</f>
        <v/>
      </c>
      <c r="L60" s="406">
        <f>$H60</f>
        <v/>
      </c>
      <c r="M60" s="418">
        <f>$I60</f>
        <v/>
      </c>
      <c r="N60" s="506">
        <f>CONCATENATE("ETR1000V300_FR-",$D60,"-",$E60)</f>
        <v/>
      </c>
      <c r="O60" s="495" t="inlineStr">
        <is>
          <t>2.05.1239</t>
        </is>
      </c>
      <c r="P60" s="460" t="inlineStr">
        <is>
          <t>\</t>
        </is>
      </c>
      <c r="Q60" s="496" t="n">
        <v>43952</v>
      </c>
      <c r="R60" s="494" t="n"/>
      <c r="S60" s="460" t="n"/>
      <c r="T60" s="460" t="n"/>
      <c r="U60" s="496" t="n"/>
      <c r="V60" s="506">
        <f>CONCATENATE("ETR1000V300_R1-",$D60,"-",$E60)</f>
        <v/>
      </c>
      <c r="W60" s="501" t="inlineStr">
        <is>
          <t>2.05.1405</t>
        </is>
      </c>
      <c r="X60" s="501" t="inlineStr">
        <is>
          <t>01</t>
        </is>
      </c>
      <c r="Y60" s="496" t="n">
        <v>45931</v>
      </c>
      <c r="Z60" s="502">
        <f>V60</f>
        <v/>
      </c>
      <c r="AA60" s="501">
        <f>W60</f>
        <v/>
      </c>
      <c r="AB60" s="501">
        <f>X60</f>
        <v/>
      </c>
      <c r="AC60" s="503">
        <f>Y60</f>
        <v/>
      </c>
    </row>
    <row r="61">
      <c r="A61" s="504" t="inlineStr">
        <is>
          <t>Pantografi</t>
        </is>
      </c>
      <c r="B61" s="458">
        <f>CONCATENATE(D61,"_",E61)</f>
        <v/>
      </c>
      <c r="C61" s="488" t="inlineStr">
        <is>
          <t>pdf</t>
        </is>
      </c>
      <c r="D61" s="458" t="inlineStr">
        <is>
          <t>CPR</t>
        </is>
      </c>
      <c r="E61" s="458" t="inlineStr">
        <is>
          <t>04C</t>
        </is>
      </c>
      <c r="F61" s="405">
        <f>CONCATENATE("ETR1000V300-",$D61,"-",$E61)</f>
        <v/>
      </c>
      <c r="G61" s="458" t="inlineStr">
        <is>
          <t>2.05.1002</t>
        </is>
      </c>
      <c r="H61" s="406" t="inlineStr">
        <is>
          <t>\</t>
        </is>
      </c>
      <c r="I61" s="408" t="inlineStr">
        <is>
          <t>mar-21</t>
        </is>
      </c>
      <c r="J61" s="405">
        <f>$F61</f>
        <v/>
      </c>
      <c r="K61" s="458">
        <f>$G61</f>
        <v/>
      </c>
      <c r="L61" s="406">
        <f>$H61</f>
        <v/>
      </c>
      <c r="M61" s="408">
        <f>$I61</f>
        <v/>
      </c>
      <c r="N61" s="506">
        <f>CONCATENATE("ETR1000V300_FR-",$D61,"-",$E61)</f>
        <v/>
      </c>
      <c r="O61" s="495" t="inlineStr">
        <is>
          <t>2.05.1240</t>
        </is>
      </c>
      <c r="P61" s="460" t="inlineStr">
        <is>
          <t>\</t>
        </is>
      </c>
      <c r="Q61" s="496" t="n">
        <v>43922</v>
      </c>
      <c r="R61" s="494" t="n"/>
      <c r="S61" s="460" t="n"/>
      <c r="T61" s="460" t="n"/>
      <c r="U61" s="496" t="n"/>
      <c r="V61" s="506">
        <f>CONCATENATE("ETR1000V300_R1-",$D61,"-",$E61)</f>
        <v/>
      </c>
      <c r="W61" s="501" t="inlineStr">
        <is>
          <t>2.05.1406</t>
        </is>
      </c>
      <c r="X61" s="501" t="inlineStr">
        <is>
          <t>01</t>
        </is>
      </c>
      <c r="Y61" s="496" t="n">
        <v>45931</v>
      </c>
      <c r="Z61" s="502">
        <f>V61</f>
        <v/>
      </c>
      <c r="AA61" s="501">
        <f>W61</f>
        <v/>
      </c>
      <c r="AB61" s="501">
        <f>X61</f>
        <v/>
      </c>
      <c r="AC61" s="503">
        <f>Y61</f>
        <v/>
      </c>
    </row>
    <row r="62">
      <c r="A62" s="504" t="inlineStr">
        <is>
          <t>Quadri elettrici</t>
        </is>
      </c>
      <c r="B62" s="458">
        <f>CONCATENATE(D62,"_",E62)</f>
        <v/>
      </c>
      <c r="C62" s="488" t="inlineStr">
        <is>
          <t>pdf</t>
        </is>
      </c>
      <c r="D62" s="458" t="inlineStr">
        <is>
          <t>CPR</t>
        </is>
      </c>
      <c r="E62" s="458" t="inlineStr">
        <is>
          <t>04D</t>
        </is>
      </c>
      <c r="F62" s="405">
        <f>CONCATENATE("ETR1000V300-",$D62,"-",$E62)</f>
        <v/>
      </c>
      <c r="G62" s="458" t="inlineStr">
        <is>
          <t>2.05.1003</t>
        </is>
      </c>
      <c r="H62" s="406" t="inlineStr">
        <is>
          <t>\</t>
        </is>
      </c>
      <c r="I62" s="418" t="n">
        <v>45748</v>
      </c>
      <c r="J62" s="405">
        <f>$F62</f>
        <v/>
      </c>
      <c r="K62" s="458">
        <f>$G62</f>
        <v/>
      </c>
      <c r="L62" s="406">
        <f>$H62</f>
        <v/>
      </c>
      <c r="M62" s="418">
        <f>$I62</f>
        <v/>
      </c>
      <c r="N62" s="506">
        <f>CONCATENATE("ETR1000V300_FR-",$D62,"-",$E62)</f>
        <v/>
      </c>
      <c r="O62" s="495" t="inlineStr">
        <is>
          <t>2.05.1241</t>
        </is>
      </c>
      <c r="P62" s="460" t="inlineStr">
        <is>
          <t>\</t>
        </is>
      </c>
      <c r="Q62" s="496" t="n">
        <v>43952</v>
      </c>
      <c r="R62" s="494" t="n"/>
      <c r="S62" s="460" t="n"/>
      <c r="T62" s="460" t="n"/>
      <c r="U62" s="496" t="n"/>
      <c r="V62" s="494" t="n"/>
      <c r="W62" s="460" t="n"/>
      <c r="X62" s="460" t="n"/>
      <c r="Y62" s="496" t="n"/>
      <c r="Z62" s="494" t="n"/>
      <c r="AA62" s="460" t="n"/>
      <c r="AB62" s="460" t="n"/>
      <c r="AC62" s="496" t="n"/>
    </row>
    <row r="63">
      <c r="A63" s="504" t="inlineStr">
        <is>
          <t>Logica di comando</t>
        </is>
      </c>
      <c r="B63" s="458">
        <f>CONCATENATE(D63,"_",E63)</f>
        <v/>
      </c>
      <c r="C63" s="488" t="inlineStr">
        <is>
          <t>pdf</t>
        </is>
      </c>
      <c r="D63" s="458" t="inlineStr">
        <is>
          <t>CPR</t>
        </is>
      </c>
      <c r="E63" s="458" t="inlineStr">
        <is>
          <t>05A</t>
        </is>
      </c>
      <c r="F63" s="405">
        <f>CONCATENATE("ETR1000V300-",$D63,"-",$E63)</f>
        <v/>
      </c>
      <c r="G63" s="458" t="inlineStr">
        <is>
          <t>2.05.1004</t>
        </is>
      </c>
      <c r="H63" s="406" t="inlineStr">
        <is>
          <t>\</t>
        </is>
      </c>
      <c r="I63" s="407" t="n">
        <v>44287</v>
      </c>
      <c r="J63" s="405">
        <f>$F63</f>
        <v/>
      </c>
      <c r="K63" s="458">
        <f>$G63</f>
        <v/>
      </c>
      <c r="L63" s="406">
        <f>$H63</f>
        <v/>
      </c>
      <c r="M63" s="407">
        <f>$I63</f>
        <v/>
      </c>
      <c r="N63" s="494">
        <f>F63</f>
        <v/>
      </c>
      <c r="O63" s="460">
        <f>G63</f>
        <v/>
      </c>
      <c r="P63" s="460">
        <f>H63</f>
        <v/>
      </c>
      <c r="Q63" s="521">
        <f>I63</f>
        <v/>
      </c>
      <c r="R63" s="494" t="n"/>
      <c r="S63" s="460" t="n"/>
      <c r="T63" s="460" t="n"/>
      <c r="U63" s="496" t="n"/>
      <c r="V63" s="506">
        <f>CONCATENATE("ETR1000V300_R1-",$D63,"-",$E63)</f>
        <v/>
      </c>
      <c r="W63" s="501" t="inlineStr">
        <is>
          <t>2.05.1408</t>
        </is>
      </c>
      <c r="X63" s="501" t="inlineStr">
        <is>
          <t>02</t>
        </is>
      </c>
      <c r="Y63" s="496" t="n">
        <v>45931</v>
      </c>
      <c r="Z63" s="502">
        <f>V63</f>
        <v/>
      </c>
      <c r="AA63" s="501">
        <f>W63</f>
        <v/>
      </c>
      <c r="AB63" s="501">
        <f>X63</f>
        <v/>
      </c>
      <c r="AC63" s="503">
        <f>Y63</f>
        <v/>
      </c>
    </row>
    <row r="64">
      <c r="A64" s="504" t="inlineStr">
        <is>
          <t>Azionamento di trazione</t>
        </is>
      </c>
      <c r="B64" s="458">
        <f>CONCATENATE(D64,"_",E64)</f>
        <v/>
      </c>
      <c r="C64" s="488" t="inlineStr">
        <is>
          <t>pdf</t>
        </is>
      </c>
      <c r="D64" s="458" t="inlineStr">
        <is>
          <t>CPR</t>
        </is>
      </c>
      <c r="E64" s="458" t="inlineStr">
        <is>
          <t>06A</t>
        </is>
      </c>
      <c r="F64" s="405">
        <f>CONCATENATE("ETR1000V300-",$D64,"-",$E64)</f>
        <v/>
      </c>
      <c r="G64" s="458" t="inlineStr">
        <is>
          <t>2.05.1005</t>
        </is>
      </c>
      <c r="H64" s="406" t="inlineStr">
        <is>
          <t>\</t>
        </is>
      </c>
      <c r="I64" s="407" t="n">
        <v>44287</v>
      </c>
      <c r="J64" s="405">
        <f>$F64</f>
        <v/>
      </c>
      <c r="K64" s="458">
        <f>$G64</f>
        <v/>
      </c>
      <c r="L64" s="406">
        <f>$H64</f>
        <v/>
      </c>
      <c r="M64" s="407">
        <f>$I64</f>
        <v/>
      </c>
      <c r="N64" s="494">
        <f>F64</f>
        <v/>
      </c>
      <c r="O64" s="460">
        <f>G64</f>
        <v/>
      </c>
      <c r="P64" s="460">
        <f>H64</f>
        <v/>
      </c>
      <c r="Q64" s="521">
        <f>I64</f>
        <v/>
      </c>
      <c r="R64" s="494" t="n"/>
      <c r="S64" s="460" t="n"/>
      <c r="T64" s="460" t="n"/>
      <c r="U64" s="496" t="n"/>
      <c r="V64" s="506">
        <f>CONCATENATE("ETR1000V300_R1-",$D64,"-",$E64)</f>
        <v/>
      </c>
      <c r="W64" s="501" t="inlineStr">
        <is>
          <t>2.05.1409</t>
        </is>
      </c>
      <c r="X64" s="501" t="inlineStr">
        <is>
          <t>02</t>
        </is>
      </c>
      <c r="Y64" s="496" t="n">
        <v>45931</v>
      </c>
      <c r="Z64" s="502">
        <f>V64</f>
        <v/>
      </c>
      <c r="AA64" s="501">
        <f>W64</f>
        <v/>
      </c>
      <c r="AB64" s="501">
        <f>X64</f>
        <v/>
      </c>
      <c r="AC64" s="503">
        <f>Y64</f>
        <v/>
      </c>
    </row>
    <row r="65">
      <c r="A65" s="504" t="inlineStr">
        <is>
          <t>Motore di trazione</t>
        </is>
      </c>
      <c r="B65" s="458">
        <f>CONCATENATE(D65,"_",E65)</f>
        <v/>
      </c>
      <c r="C65" s="488" t="inlineStr">
        <is>
          <t>pdf</t>
        </is>
      </c>
      <c r="D65" s="458" t="inlineStr">
        <is>
          <t>CPR</t>
        </is>
      </c>
      <c r="E65" s="458" t="inlineStr">
        <is>
          <t>07A</t>
        </is>
      </c>
      <c r="F65" s="405">
        <f>CONCATENATE("ETR1000V300-",$D65,"-",$E65)</f>
        <v/>
      </c>
      <c r="G65" s="458" t="inlineStr">
        <is>
          <t>2.05.1006</t>
        </is>
      </c>
      <c r="H65" s="406" t="inlineStr">
        <is>
          <t>\</t>
        </is>
      </c>
      <c r="I65" s="408" t="inlineStr">
        <is>
          <t>mag-17</t>
        </is>
      </c>
      <c r="J65" s="405">
        <f>$F65</f>
        <v/>
      </c>
      <c r="K65" s="458">
        <f>$G65</f>
        <v/>
      </c>
      <c r="L65" s="406">
        <f>$H65</f>
        <v/>
      </c>
      <c r="M65" s="408">
        <f>$I65</f>
        <v/>
      </c>
      <c r="N65" s="494">
        <f>F65</f>
        <v/>
      </c>
      <c r="O65" s="460">
        <f>G65</f>
        <v/>
      </c>
      <c r="P65" s="460">
        <f>H65</f>
        <v/>
      </c>
      <c r="Q65" s="521">
        <f>I65</f>
        <v/>
      </c>
      <c r="R65" s="494" t="n"/>
      <c r="S65" s="460" t="n"/>
      <c r="T65" s="460" t="n"/>
      <c r="U65" s="496" t="n"/>
      <c r="V65" s="506">
        <f>CONCATENATE("ETR1000V300_R1-",$D65,"-",$E65)</f>
        <v/>
      </c>
      <c r="W65" s="501" t="inlineStr">
        <is>
          <t>2.05.1410</t>
        </is>
      </c>
      <c r="X65" s="501" t="inlineStr">
        <is>
          <t>01</t>
        </is>
      </c>
      <c r="Y65" s="496" t="n">
        <v>45931</v>
      </c>
      <c r="Z65" s="494">
        <f>V65</f>
        <v/>
      </c>
      <c r="AA65" s="460">
        <f>W65</f>
        <v/>
      </c>
      <c r="AB65" s="460">
        <f>X65</f>
        <v/>
      </c>
      <c r="AC65" s="496">
        <f>Y65</f>
        <v/>
      </c>
    </row>
    <row r="66">
      <c r="A66" s="504" t="inlineStr">
        <is>
          <t>Porte di salita passeggeri</t>
        </is>
      </c>
      <c r="B66" s="458">
        <f>CONCATENATE(D66,"_",E66)</f>
        <v/>
      </c>
      <c r="C66" s="488" t="inlineStr">
        <is>
          <t>pdf</t>
        </is>
      </c>
      <c r="D66" s="458" t="inlineStr">
        <is>
          <t>CPR</t>
        </is>
      </c>
      <c r="E66" s="458" t="inlineStr">
        <is>
          <t>08A</t>
        </is>
      </c>
      <c r="F66" s="405">
        <f>CONCATENATE("ETR1000V300-",$D66,"-",$E66)</f>
        <v/>
      </c>
      <c r="G66" s="458" t="inlineStr">
        <is>
          <t>2.05.1007</t>
        </is>
      </c>
      <c r="H66" s="406" t="inlineStr">
        <is>
          <t>\</t>
        </is>
      </c>
      <c r="I66" s="408" t="inlineStr">
        <is>
          <t>lug-17</t>
        </is>
      </c>
      <c r="J66" s="405">
        <f>$F66</f>
        <v/>
      </c>
      <c r="K66" s="458">
        <f>$G66</f>
        <v/>
      </c>
      <c r="L66" s="406">
        <f>$H66</f>
        <v/>
      </c>
      <c r="M66" s="408">
        <f>$I66</f>
        <v/>
      </c>
      <c r="N66" s="494">
        <f>F66</f>
        <v/>
      </c>
      <c r="O66" s="460">
        <f>G66</f>
        <v/>
      </c>
      <c r="P66" s="460">
        <f>H66</f>
        <v/>
      </c>
      <c r="Q66" s="521">
        <f>I66</f>
        <v/>
      </c>
      <c r="R66" s="494" t="n"/>
      <c r="S66" s="460" t="n"/>
      <c r="T66" s="460" t="n"/>
      <c r="U66" s="496" t="n"/>
      <c r="V66" s="506">
        <f>CONCATENATE("ETR1000V300_R1-",$D66,"-",$E66)</f>
        <v/>
      </c>
      <c r="W66" s="501" t="inlineStr">
        <is>
          <t>2.05.1411</t>
        </is>
      </c>
      <c r="X66" s="501" t="inlineStr">
        <is>
          <t>02</t>
        </is>
      </c>
      <c r="Y66" s="496" t="n">
        <v>45932</v>
      </c>
      <c r="Z66" s="502">
        <f>V66</f>
        <v/>
      </c>
      <c r="AA66" s="501">
        <f>W66</f>
        <v/>
      </c>
      <c r="AB66" s="501">
        <f>X66</f>
        <v/>
      </c>
      <c r="AC66" s="503">
        <f>Y66</f>
        <v/>
      </c>
    </row>
    <row r="67">
      <c r="A67" s="504" t="inlineStr">
        <is>
          <t>Porte interne e intercomunicanti</t>
        </is>
      </c>
      <c r="B67" s="458">
        <f>CONCATENATE(D67,"_",E67)</f>
        <v/>
      </c>
      <c r="C67" s="488" t="inlineStr">
        <is>
          <t>pdf</t>
        </is>
      </c>
      <c r="D67" s="458" t="inlineStr">
        <is>
          <t>CPR</t>
        </is>
      </c>
      <c r="E67" s="458" t="inlineStr">
        <is>
          <t>08B</t>
        </is>
      </c>
      <c r="F67" s="405">
        <f>CONCATENATE("ETR1000V300-",$D67,"-",$E67)</f>
        <v/>
      </c>
      <c r="G67" s="458" t="inlineStr">
        <is>
          <t>2.05.1008</t>
        </is>
      </c>
      <c r="H67" s="406" t="inlineStr">
        <is>
          <t>\</t>
        </is>
      </c>
      <c r="I67" s="408" t="inlineStr">
        <is>
          <t>lug-15</t>
        </is>
      </c>
      <c r="J67" s="405">
        <f>$F67</f>
        <v/>
      </c>
      <c r="K67" s="458">
        <f>$G67</f>
        <v/>
      </c>
      <c r="L67" s="406">
        <f>$H67</f>
        <v/>
      </c>
      <c r="M67" s="408">
        <f>$I67</f>
        <v/>
      </c>
      <c r="N67" s="494">
        <f>F67</f>
        <v/>
      </c>
      <c r="O67" s="460">
        <f>G67</f>
        <v/>
      </c>
      <c r="P67" s="460">
        <f>H67</f>
        <v/>
      </c>
      <c r="Q67" s="521">
        <f>I67</f>
        <v/>
      </c>
      <c r="R67" s="494" t="n"/>
      <c r="S67" s="460" t="n"/>
      <c r="T67" s="460" t="n"/>
      <c r="U67" s="496" t="n"/>
      <c r="V67" s="506">
        <f>CONCATENATE("ETR1000V300_R1-",$D67,"-",$E67)</f>
        <v/>
      </c>
      <c r="W67" s="501" t="inlineStr">
        <is>
          <t>2.05.1412</t>
        </is>
      </c>
      <c r="X67" s="501" t="inlineStr">
        <is>
          <t>02</t>
        </is>
      </c>
      <c r="Y67" s="496" t="n">
        <v>45931</v>
      </c>
      <c r="Z67" s="502">
        <f>V67</f>
        <v/>
      </c>
      <c r="AA67" s="501">
        <f>W67</f>
        <v/>
      </c>
      <c r="AB67" s="501">
        <f>X67</f>
        <v/>
      </c>
      <c r="AC67" s="503">
        <f>Y67</f>
        <v/>
      </c>
    </row>
    <row r="68">
      <c r="A68" s="504" t="inlineStr">
        <is>
          <t>Sollevatore hk</t>
        </is>
      </c>
      <c r="B68" s="458">
        <f>CONCATENATE(D68,"_",E68)</f>
        <v/>
      </c>
      <c r="C68" s="488" t="inlineStr">
        <is>
          <t>pdf</t>
        </is>
      </c>
      <c r="D68" s="458" t="inlineStr">
        <is>
          <t>CPR</t>
        </is>
      </c>
      <c r="E68" s="458" t="inlineStr">
        <is>
          <t>08C</t>
        </is>
      </c>
      <c r="F68" s="405">
        <f>CONCATENATE("ETR1000V300-",$D68,"-",$E68)</f>
        <v/>
      </c>
      <c r="G68" s="458" t="inlineStr">
        <is>
          <t>2.05.1009</t>
        </is>
      </c>
      <c r="H68" s="406" t="inlineStr">
        <is>
          <t>\</t>
        </is>
      </c>
      <c r="I68" s="408" t="inlineStr">
        <is>
          <t>dic-15</t>
        </is>
      </c>
      <c r="J68" s="405">
        <f>$F68</f>
        <v/>
      </c>
      <c r="K68" s="458">
        <f>$G68</f>
        <v/>
      </c>
      <c r="L68" s="406">
        <f>$H68</f>
        <v/>
      </c>
      <c r="M68" s="408">
        <f>$I68</f>
        <v/>
      </c>
      <c r="N68" s="494">
        <f>F68</f>
        <v/>
      </c>
      <c r="O68" s="460">
        <f>G68</f>
        <v/>
      </c>
      <c r="P68" s="460">
        <f>H68</f>
        <v/>
      </c>
      <c r="Q68" s="521">
        <f>I68</f>
        <v/>
      </c>
      <c r="R68" s="494" t="n"/>
      <c r="S68" s="460" t="n"/>
      <c r="T68" s="460" t="n"/>
      <c r="U68" s="496" t="n"/>
      <c r="V68" s="506">
        <f>CONCATENATE("ETR1000V300_R1-",$D68,"-",$E68)</f>
        <v/>
      </c>
      <c r="W68" s="501" t="inlineStr">
        <is>
          <t>2.05.1413</t>
        </is>
      </c>
      <c r="X68" s="501" t="inlineStr">
        <is>
          <t>02</t>
        </is>
      </c>
      <c r="Y68" s="496" t="n">
        <v>45931</v>
      </c>
      <c r="Z68" s="502">
        <f>V68</f>
        <v/>
      </c>
      <c r="AA68" s="501">
        <f>W68</f>
        <v/>
      </c>
      <c r="AB68" s="501">
        <f>X68</f>
        <v/>
      </c>
      <c r="AC68" s="503">
        <f>Y68</f>
        <v/>
      </c>
    </row>
    <row r="69">
      <c r="A69" s="504" t="inlineStr">
        <is>
          <t>Sottosistema di climatizzazione</t>
        </is>
      </c>
      <c r="B69" s="458">
        <f>CONCATENATE(D69,"_",E69)</f>
        <v/>
      </c>
      <c r="C69" s="488" t="inlineStr">
        <is>
          <t>pdf</t>
        </is>
      </c>
      <c r="D69" s="458" t="inlineStr">
        <is>
          <t>CPR</t>
        </is>
      </c>
      <c r="E69" s="458" t="inlineStr">
        <is>
          <t>09A</t>
        </is>
      </c>
      <c r="F69" s="405">
        <f>CONCATENATE("ETR1000V300-",$D69,"-",$E69)</f>
        <v/>
      </c>
      <c r="G69" s="458" t="inlineStr">
        <is>
          <t>2.05.1010</t>
        </is>
      </c>
      <c r="H69" s="406" t="inlineStr">
        <is>
          <t>\</t>
        </is>
      </c>
      <c r="I69" s="408" t="inlineStr">
        <is>
          <t>feb-21</t>
        </is>
      </c>
      <c r="J69" s="405">
        <f>$F69</f>
        <v/>
      </c>
      <c r="K69" s="458">
        <f>$G69</f>
        <v/>
      </c>
      <c r="L69" s="406">
        <f>$H69</f>
        <v/>
      </c>
      <c r="M69" s="408">
        <f>$I69</f>
        <v/>
      </c>
      <c r="N69" s="494">
        <f>F69</f>
        <v/>
      </c>
      <c r="O69" s="460">
        <f>G69</f>
        <v/>
      </c>
      <c r="P69" s="460">
        <f>H69</f>
        <v/>
      </c>
      <c r="Q69" s="521">
        <f>I69</f>
        <v/>
      </c>
      <c r="R69" s="494" t="n"/>
      <c r="S69" s="460" t="n"/>
      <c r="T69" s="460" t="n"/>
      <c r="U69" s="496" t="n"/>
      <c r="V69" s="494" t="n"/>
      <c r="W69" s="460" t="n"/>
      <c r="X69" s="460" t="n"/>
      <c r="Y69" s="496" t="n"/>
      <c r="Z69" s="494" t="n"/>
      <c r="AA69" s="460" t="n"/>
      <c r="AB69" s="460" t="n"/>
      <c r="AC69" s="496" t="n"/>
    </row>
    <row r="70">
      <c r="A70" s="504" t="inlineStr">
        <is>
          <t>Sottosistema di comunicazione</t>
        </is>
      </c>
      <c r="B70" s="458">
        <f>CONCATENATE(D70,"_",E70)</f>
        <v/>
      </c>
      <c r="C70" s="488" t="inlineStr">
        <is>
          <t>pdf</t>
        </is>
      </c>
      <c r="D70" s="458" t="inlineStr">
        <is>
          <t>CPR</t>
        </is>
      </c>
      <c r="E70" s="458" t="inlineStr">
        <is>
          <t>10A</t>
        </is>
      </c>
      <c r="F70" s="405">
        <f>CONCATENATE("ETR1000V300-",$D70,"-",$E70)</f>
        <v/>
      </c>
      <c r="G70" s="458" t="inlineStr">
        <is>
          <t>2.05.1011</t>
        </is>
      </c>
      <c r="H70" s="406" t="inlineStr">
        <is>
          <t>\</t>
        </is>
      </c>
      <c r="I70" s="408" t="inlineStr">
        <is>
          <t>mag-22</t>
        </is>
      </c>
      <c r="J70" s="405">
        <f>$F70</f>
        <v/>
      </c>
      <c r="K70" s="458">
        <f>$G70</f>
        <v/>
      </c>
      <c r="L70" s="406">
        <f>$H70</f>
        <v/>
      </c>
      <c r="M70" s="408">
        <f>$I70</f>
        <v/>
      </c>
      <c r="N70" s="494">
        <f>F70</f>
        <v/>
      </c>
      <c r="O70" s="460">
        <f>G70</f>
        <v/>
      </c>
      <c r="P70" s="460">
        <f>H70</f>
        <v/>
      </c>
      <c r="Q70" s="521">
        <f>I70</f>
        <v/>
      </c>
      <c r="R70" s="494" t="n"/>
      <c r="S70" s="460" t="n"/>
      <c r="T70" s="460" t="n"/>
      <c r="U70" s="496" t="n"/>
      <c r="V70" s="506">
        <f>CONCATENATE("ETR1000V300_R1-",$D70,"-",$E70)</f>
        <v/>
      </c>
      <c r="W70" s="501" t="inlineStr">
        <is>
          <t>2.05.1415</t>
        </is>
      </c>
      <c r="X70" s="501" t="inlineStr">
        <is>
          <t>02</t>
        </is>
      </c>
      <c r="Y70" s="496" t="n">
        <v>45931</v>
      </c>
      <c r="Z70" s="502">
        <f>V70</f>
        <v/>
      </c>
      <c r="AA70" s="501">
        <f>W70</f>
        <v/>
      </c>
      <c r="AB70" s="501">
        <f>X70</f>
        <v/>
      </c>
      <c r="AC70" s="503">
        <f>Y70</f>
        <v/>
      </c>
    </row>
    <row r="71">
      <c r="A71" s="504" t="inlineStr">
        <is>
          <t>Convertitore servizi ausiliari e caricabatterie</t>
        </is>
      </c>
      <c r="B71" s="458">
        <f>CONCATENATE(D71,"_",E71)</f>
        <v/>
      </c>
      <c r="C71" s="488" t="inlineStr">
        <is>
          <t>pdf</t>
        </is>
      </c>
      <c r="D71" s="458" t="inlineStr">
        <is>
          <t>CPR</t>
        </is>
      </c>
      <c r="E71" s="458" t="inlineStr">
        <is>
          <t>11A</t>
        </is>
      </c>
      <c r="F71" s="405">
        <f>CONCATENATE("ETR1000V300-",$D71,"-",$E71)</f>
        <v/>
      </c>
      <c r="G71" s="458" t="inlineStr">
        <is>
          <t>2.05.1012</t>
        </is>
      </c>
      <c r="H71" s="406" t="inlineStr">
        <is>
          <t>\</t>
        </is>
      </c>
      <c r="I71" s="407" t="n">
        <v>44287</v>
      </c>
      <c r="J71" s="405">
        <f>$F71</f>
        <v/>
      </c>
      <c r="K71" s="458">
        <f>$G71</f>
        <v/>
      </c>
      <c r="L71" s="406">
        <f>$H71</f>
        <v/>
      </c>
      <c r="M71" s="407">
        <f>$I71</f>
        <v/>
      </c>
      <c r="N71" s="494">
        <f>F71</f>
        <v/>
      </c>
      <c r="O71" s="460">
        <f>G71</f>
        <v/>
      </c>
      <c r="P71" s="460">
        <f>H71</f>
        <v/>
      </c>
      <c r="Q71" s="521">
        <f>I71</f>
        <v/>
      </c>
      <c r="R71" s="494" t="n"/>
      <c r="S71" s="460" t="n"/>
      <c r="T71" s="460" t="n"/>
      <c r="U71" s="496" t="n"/>
      <c r="V71" s="506">
        <f>CONCATENATE("ETR1000V300_R1-",$D71,"-",$E71)</f>
        <v/>
      </c>
      <c r="W71" s="501" t="inlineStr">
        <is>
          <t>2.05.1416</t>
        </is>
      </c>
      <c r="X71" s="501" t="inlineStr">
        <is>
          <t>02</t>
        </is>
      </c>
      <c r="Y71" s="496" t="n">
        <v>45931</v>
      </c>
      <c r="Z71" s="502">
        <f>V71</f>
        <v/>
      </c>
      <c r="AA71" s="501">
        <f>W71</f>
        <v/>
      </c>
      <c r="AB71" s="501">
        <f>X71</f>
        <v/>
      </c>
      <c r="AC71" s="503">
        <f>Y71</f>
        <v/>
      </c>
    </row>
    <row r="72">
      <c r="A72" s="504" t="inlineStr">
        <is>
          <t>Allestimenti interni - dotazioni di bordo</t>
        </is>
      </c>
      <c r="B72" s="458">
        <f>CONCATENATE(D72,"_",E72)</f>
        <v/>
      </c>
      <c r="C72" s="488" t="inlineStr">
        <is>
          <t>pdf</t>
        </is>
      </c>
      <c r="D72" s="458" t="inlineStr">
        <is>
          <t>CPR</t>
        </is>
      </c>
      <c r="E72" s="458" t="inlineStr">
        <is>
          <t>14A</t>
        </is>
      </c>
      <c r="F72" s="405">
        <f>CONCATENATE("ETR1000V300-",$D72,"-",$E72)</f>
        <v/>
      </c>
      <c r="G72" s="458" t="inlineStr">
        <is>
          <t>2.05.1013</t>
        </is>
      </c>
      <c r="H72" s="406" t="inlineStr">
        <is>
          <t>\</t>
        </is>
      </c>
      <c r="I72" s="408" t="inlineStr">
        <is>
          <t>mag-22</t>
        </is>
      </c>
      <c r="J72" s="405">
        <f>$F72</f>
        <v/>
      </c>
      <c r="K72" s="458">
        <f>$G72</f>
        <v/>
      </c>
      <c r="L72" s="406">
        <f>$H72</f>
        <v/>
      </c>
      <c r="M72" s="408">
        <f>$I72</f>
        <v/>
      </c>
      <c r="N72" s="494">
        <f>F72</f>
        <v/>
      </c>
      <c r="O72" s="460">
        <f>G72</f>
        <v/>
      </c>
      <c r="P72" s="460">
        <f>H72</f>
        <v/>
      </c>
      <c r="Q72" s="521">
        <f>I72</f>
        <v/>
      </c>
      <c r="R72" s="494" t="n"/>
      <c r="S72" s="460" t="n"/>
      <c r="T72" s="460" t="n"/>
      <c r="U72" s="496" t="n"/>
      <c r="V72" s="494" t="n"/>
      <c r="W72" s="460" t="n"/>
      <c r="X72" s="460" t="n"/>
      <c r="Y72" s="496" t="n"/>
      <c r="Z72" s="494" t="n"/>
      <c r="AA72" s="460" t="n"/>
      <c r="AB72" s="460" t="n"/>
      <c r="AC72" s="496" t="n"/>
    </row>
    <row r="73">
      <c r="A73" s="504" t="inlineStr">
        <is>
          <t>Sedili passeggeri e cabina guida</t>
        </is>
      </c>
      <c r="B73" s="458">
        <f>CONCATENATE(D73,"_",E73)</f>
        <v/>
      </c>
      <c r="C73" s="488" t="inlineStr">
        <is>
          <t>pdf</t>
        </is>
      </c>
      <c r="D73" s="458" t="inlineStr">
        <is>
          <t>CPR</t>
        </is>
      </c>
      <c r="E73" s="458" t="inlineStr">
        <is>
          <t>14B</t>
        </is>
      </c>
      <c r="F73" s="405">
        <f>CONCATENATE("ETR1000V300-",$D73,"-",$E73)</f>
        <v/>
      </c>
      <c r="G73" s="458" t="inlineStr">
        <is>
          <t>2.05.1014</t>
        </is>
      </c>
      <c r="H73" s="406" t="inlineStr">
        <is>
          <t>\</t>
        </is>
      </c>
      <c r="I73" s="418" t="n">
        <v>46174</v>
      </c>
      <c r="J73" s="405">
        <f>$F73</f>
        <v/>
      </c>
      <c r="K73" s="458">
        <f>$G73</f>
        <v/>
      </c>
      <c r="L73" s="406">
        <f>$H73</f>
        <v/>
      </c>
      <c r="M73" s="418">
        <f>$I73</f>
        <v/>
      </c>
      <c r="N73" s="494">
        <f>F73</f>
        <v/>
      </c>
      <c r="O73" s="460">
        <f>G73</f>
        <v/>
      </c>
      <c r="P73" s="460">
        <f>H73</f>
        <v/>
      </c>
      <c r="Q73" s="521">
        <f>I73</f>
        <v/>
      </c>
      <c r="R73" s="494" t="n"/>
      <c r="S73" s="460" t="n"/>
      <c r="T73" s="460" t="n"/>
      <c r="U73" s="496" t="n"/>
      <c r="V73" s="494" t="n"/>
      <c r="W73" s="460" t="n"/>
      <c r="X73" s="460" t="n"/>
      <c r="Y73" s="496" t="n"/>
      <c r="Z73" s="494" t="n"/>
      <c r="AA73" s="460" t="n"/>
      <c r="AB73" s="460" t="n"/>
      <c r="AC73" s="496" t="n"/>
    </row>
    <row r="74">
      <c r="A74" s="504" t="inlineStr">
        <is>
          <t>Arredamento comparto</t>
        </is>
      </c>
      <c r="B74" s="458">
        <f>CONCATENATE(D74,"_",E74)</f>
        <v/>
      </c>
      <c r="C74" s="488" t="inlineStr">
        <is>
          <t>pdf</t>
        </is>
      </c>
      <c r="D74" s="458" t="inlineStr">
        <is>
          <t>CPR</t>
        </is>
      </c>
      <c r="E74" s="458" t="inlineStr">
        <is>
          <t>14C</t>
        </is>
      </c>
      <c r="F74" s="405">
        <f>CONCATENATE("ETR1000V300-",$D74,"-",$E74)</f>
        <v/>
      </c>
      <c r="G74" s="458" t="inlineStr">
        <is>
          <t>2.05.1015</t>
        </is>
      </c>
      <c r="H74" s="406" t="inlineStr">
        <is>
          <t>\</t>
        </is>
      </c>
      <c r="I74" s="408" t="inlineStr">
        <is>
          <t>mag-22</t>
        </is>
      </c>
      <c r="J74" s="405">
        <f>$F74</f>
        <v/>
      </c>
      <c r="K74" s="458">
        <f>$G74</f>
        <v/>
      </c>
      <c r="L74" s="406">
        <f>$H74</f>
        <v/>
      </c>
      <c r="M74" s="408">
        <f>$I74</f>
        <v/>
      </c>
      <c r="N74" s="494">
        <f>F74</f>
        <v/>
      </c>
      <c r="O74" s="460">
        <f>G74</f>
        <v/>
      </c>
      <c r="P74" s="460">
        <f>H74</f>
        <v/>
      </c>
      <c r="Q74" s="521">
        <f>I74</f>
        <v/>
      </c>
      <c r="R74" s="494" t="n"/>
      <c r="S74" s="460" t="n"/>
      <c r="T74" s="460" t="n"/>
      <c r="U74" s="496" t="n"/>
      <c r="V74" s="494" t="n"/>
      <c r="W74" s="460" t="n"/>
      <c r="X74" s="460" t="n"/>
      <c r="Y74" s="496" t="n"/>
      <c r="Z74" s="494" t="n"/>
      <c r="AA74" s="460" t="n"/>
      <c r="AB74" s="460" t="n"/>
      <c r="AC74" s="496" t="n"/>
    </row>
    <row r="75">
      <c r="A75" s="504" t="inlineStr">
        <is>
          <t>Arredamento vestiboli</t>
        </is>
      </c>
      <c r="B75" s="458">
        <f>CONCATENATE(D75,"_",E75)</f>
        <v/>
      </c>
      <c r="C75" s="488" t="inlineStr">
        <is>
          <t>pdf</t>
        </is>
      </c>
      <c r="D75" s="458" t="inlineStr">
        <is>
          <t>CPR</t>
        </is>
      </c>
      <c r="E75" s="458" t="inlineStr">
        <is>
          <t>14D</t>
        </is>
      </c>
      <c r="F75" s="405">
        <f>CONCATENATE("ETR1000V300-",$D75,"-",$E75)</f>
        <v/>
      </c>
      <c r="G75" s="458" t="inlineStr">
        <is>
          <t>2.05.1016</t>
        </is>
      </c>
      <c r="H75" s="406" t="inlineStr">
        <is>
          <t>\</t>
        </is>
      </c>
      <c r="I75" s="408" t="inlineStr">
        <is>
          <t>mag-22</t>
        </is>
      </c>
      <c r="J75" s="405">
        <f>$F75</f>
        <v/>
      </c>
      <c r="K75" s="458">
        <f>$G75</f>
        <v/>
      </c>
      <c r="L75" s="406">
        <f>$H75</f>
        <v/>
      </c>
      <c r="M75" s="408">
        <f>$I75</f>
        <v/>
      </c>
      <c r="N75" s="494">
        <f>F75</f>
        <v/>
      </c>
      <c r="O75" s="460">
        <f>G75</f>
        <v/>
      </c>
      <c r="P75" s="460">
        <f>H75</f>
        <v/>
      </c>
      <c r="Q75" s="521">
        <f>I75</f>
        <v/>
      </c>
      <c r="R75" s="494" t="n"/>
      <c r="S75" s="460" t="n"/>
      <c r="T75" s="460" t="n"/>
      <c r="U75" s="496" t="n"/>
      <c r="V75" s="506">
        <f>CONCATENATE("ETR1000V300_R1-",$D75,"-",$E75)</f>
        <v/>
      </c>
      <c r="W75" s="501" t="inlineStr">
        <is>
          <t>2.05.1420</t>
        </is>
      </c>
      <c r="X75" s="501" t="inlineStr">
        <is>
          <t>01</t>
        </is>
      </c>
      <c r="Y75" s="496" t="n">
        <v>45931</v>
      </c>
      <c r="Z75" s="494">
        <f>V75</f>
        <v/>
      </c>
      <c r="AA75" s="460">
        <f>W75</f>
        <v/>
      </c>
      <c r="AB75" s="460">
        <f>X75</f>
        <v/>
      </c>
      <c r="AC75" s="496">
        <f>Y75</f>
        <v/>
      </c>
    </row>
    <row r="76">
      <c r="A76" s="504" t="inlineStr">
        <is>
          <t>Servizi Generali di Bordo - Toilet</t>
        </is>
      </c>
      <c r="B76" s="458">
        <f>CONCATENATE(D76,"_",E76)</f>
        <v/>
      </c>
      <c r="C76" s="488" t="inlineStr">
        <is>
          <t>pdf</t>
        </is>
      </c>
      <c r="D76" s="458" t="inlineStr">
        <is>
          <t>CPR</t>
        </is>
      </c>
      <c r="E76" s="458" t="inlineStr">
        <is>
          <t>15A</t>
        </is>
      </c>
      <c r="F76" s="405">
        <f>CONCATENATE("ETR1000V300-",$D76,"-",$E76)</f>
        <v/>
      </c>
      <c r="G76" s="458" t="inlineStr">
        <is>
          <t>2.05.1017</t>
        </is>
      </c>
      <c r="H76" s="406" t="inlineStr">
        <is>
          <t>\</t>
        </is>
      </c>
      <c r="I76" s="408" t="inlineStr">
        <is>
          <t>mag-22</t>
        </is>
      </c>
      <c r="J76" s="405">
        <f>$F76</f>
        <v/>
      </c>
      <c r="K76" s="458">
        <f>$G76</f>
        <v/>
      </c>
      <c r="L76" s="406">
        <f>$H76</f>
        <v/>
      </c>
      <c r="M76" s="408">
        <f>$I76</f>
        <v/>
      </c>
      <c r="N76" s="494">
        <f>F76</f>
        <v/>
      </c>
      <c r="O76" s="460">
        <f>G76</f>
        <v/>
      </c>
      <c r="P76" s="460">
        <f>H76</f>
        <v/>
      </c>
      <c r="Q76" s="521">
        <f>I76</f>
        <v/>
      </c>
      <c r="R76" s="494" t="n"/>
      <c r="S76" s="460" t="n"/>
      <c r="T76" s="460" t="n"/>
      <c r="U76" s="496" t="n"/>
      <c r="V76" s="494" t="n"/>
      <c r="W76" s="460" t="n"/>
      <c r="X76" s="460" t="n"/>
      <c r="Y76" s="496" t="n"/>
      <c r="Z76" s="494" t="n"/>
      <c r="AA76" s="460" t="n"/>
      <c r="AB76" s="460" t="n"/>
      <c r="AC76" s="496" t="n"/>
    </row>
    <row r="77">
      <c r="A77" s="504" t="inlineStr">
        <is>
          <t>Servizi Generali di Bordo - Bar Bistrò</t>
        </is>
      </c>
      <c r="B77" s="458">
        <f>CONCATENATE(D77,"_",E77)</f>
        <v/>
      </c>
      <c r="C77" s="488" t="inlineStr">
        <is>
          <t>pdf</t>
        </is>
      </c>
      <c r="D77" s="458" t="inlineStr">
        <is>
          <t>CPR</t>
        </is>
      </c>
      <c r="E77" s="458" t="inlineStr">
        <is>
          <t>15B</t>
        </is>
      </c>
      <c r="F77" s="405">
        <f>CONCATENATE("ETR1000V300-",$D77,"-",$E77)</f>
        <v/>
      </c>
      <c r="G77" s="458" t="inlineStr">
        <is>
          <t>2.05.1018</t>
        </is>
      </c>
      <c r="H77" s="406" t="inlineStr">
        <is>
          <t>\</t>
        </is>
      </c>
      <c r="I77" s="408" t="inlineStr">
        <is>
          <t>mag-22</t>
        </is>
      </c>
      <c r="J77" s="405">
        <f>$F77</f>
        <v/>
      </c>
      <c r="K77" s="458">
        <f>$G77</f>
        <v/>
      </c>
      <c r="L77" s="406">
        <f>$H77</f>
        <v/>
      </c>
      <c r="M77" s="408">
        <f>$I77</f>
        <v/>
      </c>
      <c r="N77" s="494">
        <f>F77</f>
        <v/>
      </c>
      <c r="O77" s="460">
        <f>G77</f>
        <v/>
      </c>
      <c r="P77" s="460">
        <f>H77</f>
        <v/>
      </c>
      <c r="Q77" s="521">
        <f>I77</f>
        <v/>
      </c>
      <c r="R77" s="494" t="n"/>
      <c r="S77" s="460" t="n"/>
      <c r="T77" s="460" t="n"/>
      <c r="U77" s="496" t="n"/>
      <c r="V77" s="494" t="n"/>
      <c r="W77" s="460" t="n"/>
      <c r="X77" s="460" t="n"/>
      <c r="Y77" s="496" t="n"/>
      <c r="Z77" s="494" t="n"/>
      <c r="AA77" s="460" t="n"/>
      <c r="AB77" s="460" t="n"/>
      <c r="AC77" s="496" t="n"/>
    </row>
    <row r="78">
      <c r="A78" s="504" t="inlineStr">
        <is>
          <t>Sistemi tecnologici di bordo</t>
        </is>
      </c>
      <c r="B78" s="458">
        <f>CONCATENATE(D78,"_",E78)</f>
        <v/>
      </c>
      <c r="C78" s="488" t="inlineStr">
        <is>
          <t>pdf</t>
        </is>
      </c>
      <c r="D78" s="458" t="inlineStr">
        <is>
          <t>CPR</t>
        </is>
      </c>
      <c r="E78" s="458" t="inlineStr">
        <is>
          <t>31A</t>
        </is>
      </c>
      <c r="F78" s="405">
        <f>CONCATENATE("ETR1000V300-",$D78,"-",$E78)</f>
        <v/>
      </c>
      <c r="G78" s="458" t="inlineStr">
        <is>
          <t>2.05.1019</t>
        </is>
      </c>
      <c r="H78" s="406" t="inlineStr">
        <is>
          <t>\</t>
        </is>
      </c>
      <c r="I78" s="418" t="n">
        <v>45717</v>
      </c>
      <c r="J78" s="405">
        <f>$F78</f>
        <v/>
      </c>
      <c r="K78" s="458">
        <f>$G78</f>
        <v/>
      </c>
      <c r="L78" s="406">
        <f>$H78</f>
        <v/>
      </c>
      <c r="M78" s="418">
        <f>$I78</f>
        <v/>
      </c>
      <c r="N78" s="494">
        <f>F78</f>
        <v/>
      </c>
      <c r="O78" s="460">
        <f>G78</f>
        <v/>
      </c>
      <c r="P78" s="460">
        <f>H78</f>
        <v/>
      </c>
      <c r="Q78" s="521">
        <f>I78</f>
        <v/>
      </c>
      <c r="R78" s="494" t="n"/>
      <c r="S78" s="460" t="n"/>
      <c r="T78" s="460" t="n"/>
      <c r="U78" s="496" t="n"/>
      <c r="V78" s="506">
        <f>CONCATENATE("ETR1000V300_R1-",$D78,"-",$E78)</f>
        <v/>
      </c>
      <c r="W78" s="501" t="inlineStr">
        <is>
          <t>2.05.1423</t>
        </is>
      </c>
      <c r="X78" s="501" t="inlineStr">
        <is>
          <t>02</t>
        </is>
      </c>
      <c r="Y78" s="496" t="n">
        <v>45931</v>
      </c>
      <c r="Z78" s="502">
        <f>V78</f>
        <v/>
      </c>
      <c r="AA78" s="501">
        <f>W78</f>
        <v/>
      </c>
      <c r="AB78" s="501">
        <f>X78</f>
        <v/>
      </c>
      <c r="AC78" s="503">
        <f>Y78</f>
        <v/>
      </c>
    </row>
    <row r="79" customFormat="1" s="139">
      <c r="A79" s="522" t="inlineStr">
        <is>
          <t>SOTTOSISTEMA DI BORDO ERTMS/BL3 PIATTAFORMA ELO</t>
        </is>
      </c>
      <c r="B79" s="505">
        <f>CONCATENATE(D79,"_",E79)</f>
        <v/>
      </c>
      <c r="C79" s="488" t="inlineStr">
        <is>
          <t>pdf</t>
        </is>
      </c>
      <c r="D79" s="505" t="inlineStr">
        <is>
          <t>CPR</t>
        </is>
      </c>
      <c r="E79" s="505" t="inlineStr">
        <is>
          <t>20A</t>
        </is>
      </c>
      <c r="F79" s="405">
        <f>CONCATENATE("ETR1000V300-",$D79,"-",$E79)</f>
        <v/>
      </c>
      <c r="G79" s="505" t="inlineStr">
        <is>
          <t>B60A.0100914.G00.01IT</t>
        </is>
      </c>
      <c r="H79" s="414" t="inlineStr">
        <is>
          <t>\</t>
        </is>
      </c>
      <c r="I79" s="413" t="n">
        <v>45017</v>
      </c>
      <c r="J79" s="405">
        <f>$F79</f>
        <v/>
      </c>
      <c r="K79" s="505">
        <f>$G79</f>
        <v/>
      </c>
      <c r="L79" s="414">
        <f>$H79</f>
        <v/>
      </c>
      <c r="M79" s="413">
        <f>$I79</f>
        <v/>
      </c>
      <c r="N79" s="517" t="inlineStr">
        <is>
          <t>\</t>
        </is>
      </c>
      <c r="O79" s="523" t="inlineStr">
        <is>
          <t>\</t>
        </is>
      </c>
      <c r="P79" s="460" t="inlineStr">
        <is>
          <t>\</t>
        </is>
      </c>
      <c r="Q79" s="519" t="inlineStr">
        <is>
          <t>\</t>
        </is>
      </c>
      <c r="R79" s="517" t="n"/>
      <c r="S79" s="518" t="n"/>
      <c r="T79" s="518" t="n"/>
      <c r="U79" s="519" t="n"/>
      <c r="V79" s="517" t="n"/>
      <c r="W79" s="518" t="n"/>
      <c r="X79" s="518" t="n"/>
      <c r="Y79" s="496" t="n"/>
      <c r="Z79" s="517" t="n"/>
      <c r="AA79" s="518" t="n"/>
      <c r="AB79" s="518" t="n"/>
      <c r="AC79" s="519" t="n"/>
    </row>
  </sheetData>
  <mergeCells count="11">
    <mergeCell ref="F1:I1"/>
    <mergeCell ref="R1:U1"/>
    <mergeCell ref="N1:Q1"/>
    <mergeCell ref="D1:D2"/>
    <mergeCell ref="B1:B2"/>
    <mergeCell ref="C1:C2"/>
    <mergeCell ref="E1:E2"/>
    <mergeCell ref="V1:Y1"/>
    <mergeCell ref="Z1:AC1"/>
    <mergeCell ref="J1:M1"/>
    <mergeCell ref="A1:A2"/>
  </mergeCells>
  <pageMargins left="0.7" right="0.7" top="0.75" bottom="0.75" header="0.3" footer="0.3"/>
  <pageSetup orientation="portrait" paperSize="9" horizontalDpi="1200" verticalDpi="1200"/>
  <legacyDrawing xmlns:r="http://schemas.openxmlformats.org/officeDocument/2006/relationships" r:id="anysvml"/>
</worksheet>
</file>

<file path=xl/worksheets/sheet8.xml><?xml version="1.0" encoding="utf-8"?>
<worksheet xmlns="http://schemas.openxmlformats.org/spreadsheetml/2006/main">
  <sheetPr>
    <tabColor theme="5" tint="0.3999755851924192"/>
    <outlinePr summaryBelow="1" summaryRight="1"/>
    <pageSetUpPr/>
  </sheetPr>
  <dimension ref="A1:S20"/>
  <sheetViews>
    <sheetView zoomScale="85" zoomScaleNormal="85" workbookViewId="0">
      <pane xSplit="5" ySplit="2" topLeftCell="F3" activePane="bottomRight" state="frozen"/>
      <selection activeCell="B1" sqref="B1"/>
      <selection pane="topRight" activeCell="F1" sqref="F1"/>
      <selection pane="bottomLeft" activeCell="B4" sqref="B4"/>
      <selection pane="bottomRight" activeCell="H16" sqref="H16"/>
    </sheetView>
  </sheetViews>
  <sheetFormatPr baseColWidth="8" defaultColWidth="8.7109375" defaultRowHeight="15"/>
  <cols>
    <col width="36.5703125" customWidth="1" style="106" min="1" max="1"/>
    <col width="34.85546875" bestFit="1" customWidth="1" style="106" min="2" max="2"/>
    <col width="8.42578125" bestFit="1" customWidth="1" style="15" min="3" max="3"/>
    <col width="24.85546875" bestFit="1" customWidth="1" style="15" min="4" max="4"/>
    <col width="6.42578125" bestFit="1" customWidth="1" style="15" min="5" max="5"/>
    <col width="33.5703125" bestFit="1" customWidth="1" style="15" min="6" max="6"/>
    <col width="4.7109375" bestFit="1" customWidth="1" style="15" min="7" max="7"/>
    <col width="33.5703125" bestFit="1" customWidth="1" style="15" min="8" max="8"/>
    <col width="4.7109375" bestFit="1" customWidth="1" style="15" min="9" max="9"/>
    <col width="33.5703125" bestFit="1" customWidth="1" style="15" min="10" max="10"/>
    <col width="4.42578125" bestFit="1" customWidth="1" style="15" min="11" max="11"/>
    <col width="27.42578125" bestFit="1" customWidth="1" style="15" min="12" max="12"/>
    <col width="5.42578125" bestFit="1" customWidth="1" style="15" min="13" max="13"/>
    <col width="15.42578125" customWidth="1" style="15" min="14" max="14"/>
    <col width="4.42578125" customWidth="1" style="15" min="15" max="15"/>
    <col width="6.5703125" bestFit="1" customWidth="1" style="15" min="16" max="16"/>
    <col width="6.5703125" customWidth="1" style="15" min="17" max="17"/>
    <col width="6.5703125" bestFit="1" customWidth="1" style="15" min="18" max="18"/>
    <col width="6.5703125" customWidth="1" style="15" min="19" max="19"/>
    <col width="8.7109375" customWidth="1" style="103" min="20" max="32"/>
    <col width="8.7109375" customWidth="1" style="103" min="33" max="16384"/>
  </cols>
  <sheetData>
    <row r="1" ht="21.6" customFormat="1" customHeight="1" s="105">
      <c r="A1" s="532" t="inlineStr">
        <is>
          <t>DOC DESCRIPTION</t>
        </is>
      </c>
      <c r="B1" s="547" t="inlineStr">
        <is>
          <t>DOC ID</t>
        </is>
      </c>
      <c r="C1" s="547" t="inlineStr">
        <is>
          <t>DOC EXT</t>
        </is>
      </c>
      <c r="D1" s="543" t="inlineStr">
        <is>
          <t>VZI_Base</t>
        </is>
      </c>
      <c r="E1" s="544" t="n"/>
      <c r="F1" s="545" t="inlineStr">
        <is>
          <t>VZI_New14</t>
        </is>
      </c>
      <c r="G1" s="546" t="n"/>
      <c r="H1" s="543" t="inlineStr">
        <is>
          <t>VZ_FR</t>
        </is>
      </c>
      <c r="I1" s="544" t="n"/>
      <c r="J1" s="545" t="inlineStr">
        <is>
          <t>VZ_ES</t>
        </is>
      </c>
      <c r="K1" s="546" t="n"/>
      <c r="L1" s="543" t="inlineStr">
        <is>
          <t>VZI-6_R1</t>
        </is>
      </c>
      <c r="M1" s="544" t="n"/>
      <c r="N1" s="545" t="inlineStr">
        <is>
          <t>VZI-4_R1</t>
        </is>
      </c>
      <c r="O1" s="546" t="n"/>
      <c r="P1" s="543" t="inlineStr">
        <is>
          <t>VZ_DAI</t>
        </is>
      </c>
      <c r="Q1" s="544" t="n"/>
      <c r="R1" s="545" t="inlineStr">
        <is>
          <t>VZ_Esxx</t>
        </is>
      </c>
      <c r="S1" s="546" t="n"/>
    </row>
    <row r="2" ht="21.6" customFormat="1" customHeight="1" s="105">
      <c r="A2" s="534" t="n"/>
      <c r="B2" s="548" t="n"/>
      <c r="C2" s="548" t="n"/>
      <c r="D2" s="395" t="inlineStr">
        <is>
          <t>File/Codice</t>
        </is>
      </c>
      <c r="E2" s="152" t="inlineStr">
        <is>
          <t>Rev</t>
        </is>
      </c>
      <c r="F2" s="397" t="inlineStr">
        <is>
          <t>File/Codice</t>
        </is>
      </c>
      <c r="G2" s="398" t="inlineStr">
        <is>
          <t>Rev</t>
        </is>
      </c>
      <c r="H2" s="395" t="inlineStr">
        <is>
          <t>File/Codice</t>
        </is>
      </c>
      <c r="I2" s="152" t="inlineStr">
        <is>
          <t>Rev</t>
        </is>
      </c>
      <c r="J2" s="397" t="inlineStr">
        <is>
          <t>File/Codice</t>
        </is>
      </c>
      <c r="K2" s="398" t="inlineStr">
        <is>
          <t>Rev</t>
        </is>
      </c>
      <c r="L2" s="542" t="inlineStr">
        <is>
          <t>Codice</t>
        </is>
      </c>
      <c r="M2" s="542" t="inlineStr">
        <is>
          <t>Rev</t>
        </is>
      </c>
      <c r="N2" s="401" t="inlineStr">
        <is>
          <t>Codice</t>
        </is>
      </c>
      <c r="O2" s="151" t="inlineStr">
        <is>
          <t>Rev</t>
        </is>
      </c>
      <c r="P2" s="395" t="inlineStr">
        <is>
          <t>Codice</t>
        </is>
      </c>
      <c r="Q2" s="395" t="inlineStr">
        <is>
          <t>Rev</t>
        </is>
      </c>
      <c r="R2" s="397" t="inlineStr">
        <is>
          <t>Codice</t>
        </is>
      </c>
      <c r="S2" s="398" t="inlineStr">
        <is>
          <t>Rev</t>
        </is>
      </c>
    </row>
    <row r="3">
      <c r="A3" s="193" t="inlineStr">
        <is>
          <t>Telediagnostica</t>
        </is>
      </c>
      <c r="B3" s="396" t="n"/>
      <c r="C3" s="396" t="n"/>
      <c r="D3" s="389" t="n"/>
      <c r="E3" s="194" t="n"/>
      <c r="F3" s="399" t="n"/>
      <c r="G3" s="400" t="n"/>
      <c r="H3" s="389" t="n"/>
      <c r="I3" s="194" t="n"/>
      <c r="J3" s="399" t="n"/>
      <c r="K3" s="400" t="n"/>
      <c r="L3" s="389" t="n"/>
      <c r="M3" s="389" t="n"/>
      <c r="N3" s="399" t="n"/>
      <c r="O3" s="400" t="n"/>
      <c r="P3" s="389" t="n"/>
      <c r="Q3" s="389" t="n"/>
      <c r="R3" s="399" t="n"/>
      <c r="S3" s="400" t="n"/>
    </row>
    <row r="4" ht="30" customHeight="1" s="583">
      <c r="A4" s="114" t="inlineStr">
        <is>
          <t>Sviluppo regole (Algoritmi Diagnostici)</t>
        </is>
      </c>
      <c r="B4" s="106" t="inlineStr">
        <is>
          <t>DIA_Regole</t>
        </is>
      </c>
      <c r="C4" s="107" t="inlineStr">
        <is>
          <t>xlsm</t>
        </is>
      </c>
      <c r="D4" s="15" t="inlineStr">
        <is>
          <t>Sviluppo_Regole_TI_rev1.1</t>
        </is>
      </c>
      <c r="E4" s="15" t="inlineStr">
        <is>
          <t>\</t>
        </is>
      </c>
      <c r="F4" s="109" t="inlineStr">
        <is>
          <t>SVILUPPO REGOLE_ 14_FR_SP_Rev_0.1</t>
        </is>
      </c>
      <c r="G4" s="110" t="inlineStr">
        <is>
          <t>\</t>
        </is>
      </c>
      <c r="H4" s="15" t="inlineStr">
        <is>
          <t>SVILUPPO REGOLE_ 14_FR_SP_Rev_0.1</t>
        </is>
      </c>
      <c r="I4" s="110" t="inlineStr">
        <is>
          <t>\</t>
        </is>
      </c>
      <c r="J4" s="109" t="inlineStr">
        <is>
          <t>SVILUPPO REGOLE_ 14_FR_SP_Rev_0.1</t>
        </is>
      </c>
      <c r="K4" s="110" t="inlineStr">
        <is>
          <t>\</t>
        </is>
      </c>
      <c r="N4" s="109" t="n"/>
      <c r="O4" s="110" t="n"/>
      <c r="R4" s="109" t="n"/>
      <c r="S4" s="110" t="n"/>
    </row>
    <row r="5">
      <c r="A5" s="114" t="inlineStr">
        <is>
          <t>Event Report/List</t>
        </is>
      </c>
      <c r="B5" s="106" t="inlineStr">
        <is>
          <t>DIA_Event</t>
        </is>
      </c>
      <c r="C5" s="107" t="inlineStr">
        <is>
          <t>xlsx</t>
        </is>
      </c>
      <c r="D5" s="15" t="inlineStr">
        <is>
          <t>EventReport_VZI_3.9.0.3</t>
        </is>
      </c>
      <c r="E5" s="15" t="inlineStr">
        <is>
          <t>\</t>
        </is>
      </c>
      <c r="F5" s="109" t="inlineStr">
        <is>
          <t>EventReport_VZI14_BL3_5.1.0.3 2</t>
        </is>
      </c>
      <c r="G5" s="110" t="inlineStr">
        <is>
          <t>\</t>
        </is>
      </c>
      <c r="H5" s="15" t="inlineStr">
        <is>
          <t>EventReport VZIF 11.4.0</t>
        </is>
      </c>
      <c r="I5" s="15" t="inlineStr">
        <is>
          <t>\</t>
        </is>
      </c>
      <c r="J5" s="109" t="inlineStr">
        <is>
          <t>EventReport_VZS 21.2.0.3</t>
        </is>
      </c>
      <c r="K5" s="110" t="n"/>
      <c r="L5" s="15" t="inlineStr">
        <is>
          <t>FP010036055</t>
        </is>
      </c>
      <c r="M5" s="15" t="inlineStr">
        <is>
          <t>3.32</t>
        </is>
      </c>
      <c r="N5" s="109" t="n"/>
      <c r="O5" s="110" t="n"/>
      <c r="R5" s="109" t="n"/>
      <c r="S5" s="110" t="n"/>
    </row>
    <row r="6">
      <c r="A6" s="114" t="inlineStr">
        <is>
          <t>Teledia Signal List</t>
        </is>
      </c>
      <c r="B6" s="106" t="inlineStr">
        <is>
          <t>DIA_Signal</t>
        </is>
      </c>
      <c r="C6" s="107" t="inlineStr">
        <is>
          <t>xlsx</t>
        </is>
      </c>
      <c r="F6" s="109" t="n"/>
      <c r="G6" s="110" t="n"/>
      <c r="I6" s="135" t="n"/>
      <c r="J6" s="109" t="n"/>
      <c r="K6" s="110" t="n"/>
      <c r="L6" s="15" t="inlineStr">
        <is>
          <t>FP020046917</t>
        </is>
      </c>
      <c r="M6" s="15" t="inlineStr">
        <is>
          <t>3.32</t>
        </is>
      </c>
      <c r="N6" s="109" t="n"/>
      <c r="O6" s="110" t="n"/>
      <c r="R6" s="109" t="n"/>
      <c r="S6" s="110" t="n"/>
    </row>
    <row r="7" ht="30" customHeight="1" s="583">
      <c r="A7" s="114" t="inlineStr">
        <is>
          <t>PropulsionDiagnosticDataset</t>
        </is>
      </c>
      <c r="B7" s="106" t="inlineStr">
        <is>
          <t>DIA_Dataset_Propulsion</t>
        </is>
      </c>
      <c r="C7" s="107" t="inlineStr">
        <is>
          <t>xlsx</t>
        </is>
      </c>
      <c r="F7" s="109" t="n"/>
      <c r="G7" s="110" t="n"/>
      <c r="I7" s="135" t="n"/>
      <c r="J7" s="109" t="n"/>
      <c r="K7" s="110" t="n"/>
      <c r="L7" s="15" t="inlineStr">
        <is>
          <t>PropulsionDiagnosticDataset</t>
        </is>
      </c>
      <c r="M7" s="135" t="inlineStr">
        <is>
          <t>00.12</t>
        </is>
      </c>
      <c r="N7" s="109" t="n"/>
      <c r="O7" s="110" t="n"/>
      <c r="R7" s="109" t="n"/>
      <c r="S7" s="110" t="n"/>
    </row>
    <row r="8">
      <c r="A8" s="114" t="inlineStr">
        <is>
          <t>EMS ICD diagnostic event</t>
        </is>
      </c>
      <c r="B8" s="106" t="inlineStr">
        <is>
          <t>DIA_Event EMS</t>
        </is>
      </c>
      <c r="C8" s="107" t="inlineStr">
        <is>
          <t>xlsx</t>
        </is>
      </c>
      <c r="F8" s="109" t="n"/>
      <c r="G8" s="110" t="n"/>
      <c r="H8" s="15" t="inlineStr">
        <is>
          <t>EC130034365</t>
        </is>
      </c>
      <c r="I8" s="135" t="inlineStr">
        <is>
          <t>00</t>
        </is>
      </c>
      <c r="J8" s="109" t="n"/>
      <c r="K8" s="110" t="n"/>
      <c r="N8" s="109" t="n"/>
      <c r="O8" s="110" t="n"/>
      <c r="R8" s="109" t="n"/>
      <c r="S8" s="110" t="n"/>
    </row>
    <row r="9">
      <c r="A9" s="114" t="n"/>
      <c r="C9" s="107" t="n"/>
      <c r="F9" s="109" t="n"/>
      <c r="G9" s="110" t="n"/>
      <c r="I9" s="135" t="n"/>
      <c r="J9" s="109" t="n"/>
      <c r="K9" s="110" t="n"/>
      <c r="N9" s="109" t="n"/>
      <c r="O9" s="110" t="n"/>
      <c r="R9" s="109" t="n"/>
      <c r="S9" s="110" t="n"/>
    </row>
    <row r="10">
      <c r="A10" s="114" t="n"/>
      <c r="C10" s="107" t="n"/>
      <c r="F10" s="109" t="n"/>
      <c r="G10" s="110" t="n"/>
      <c r="I10" s="135" t="n"/>
      <c r="J10" s="109" t="n"/>
      <c r="K10" s="110" t="n"/>
      <c r="N10" s="109" t="n"/>
      <c r="O10" s="110" t="n"/>
      <c r="R10" s="109" t="n"/>
      <c r="S10" s="110" t="n"/>
    </row>
    <row r="11">
      <c r="A11" s="114" t="n"/>
      <c r="C11" s="107" t="n"/>
      <c r="F11" s="109" t="n"/>
      <c r="G11" s="110" t="n"/>
      <c r="I11" s="135" t="n"/>
      <c r="J11" s="109" t="n"/>
      <c r="K11" s="110" t="n"/>
      <c r="N11" s="109" t="n"/>
      <c r="O11" s="110" t="n"/>
      <c r="R11" s="109" t="n"/>
      <c r="S11" s="110" t="n"/>
    </row>
    <row r="12">
      <c r="A12" s="114" t="n"/>
      <c r="C12" s="107" t="n"/>
      <c r="F12" s="109" t="n"/>
      <c r="G12" s="110" t="n"/>
      <c r="I12" s="135" t="n"/>
      <c r="J12" s="109" t="n"/>
      <c r="K12" s="110" t="n"/>
      <c r="N12" s="109" t="n"/>
      <c r="O12" s="110" t="n"/>
      <c r="R12" s="109" t="n"/>
      <c r="S12" s="110" t="n"/>
    </row>
    <row r="13">
      <c r="A13" s="114" t="n"/>
      <c r="C13" s="107" t="n"/>
      <c r="F13" s="109" t="n"/>
      <c r="G13" s="110" t="n"/>
      <c r="I13" s="135" t="n"/>
      <c r="J13" s="109" t="n"/>
      <c r="K13" s="110" t="n"/>
      <c r="N13" s="109" t="n"/>
      <c r="O13" s="110" t="n"/>
      <c r="R13" s="109" t="n"/>
      <c r="S13" s="110" t="n"/>
    </row>
    <row r="14">
      <c r="A14" s="114" t="n"/>
      <c r="C14" s="107" t="n"/>
      <c r="F14" s="109" t="n"/>
      <c r="G14" s="110" t="n"/>
      <c r="I14" s="135" t="n"/>
      <c r="J14" s="109" t="n"/>
      <c r="K14" s="110" t="n"/>
      <c r="N14" s="109" t="n"/>
      <c r="O14" s="110" t="n"/>
      <c r="R14" s="109" t="n"/>
      <c r="S14" s="110" t="n"/>
    </row>
    <row r="15">
      <c r="A15" s="114" t="n"/>
      <c r="C15" s="107" t="n"/>
      <c r="F15" s="109" t="n"/>
      <c r="G15" s="110" t="n"/>
      <c r="I15" s="135" t="n"/>
      <c r="J15" s="109" t="n"/>
      <c r="K15" s="110" t="n"/>
      <c r="N15" s="109" t="n"/>
      <c r="O15" s="110" t="n"/>
      <c r="R15" s="109" t="n"/>
      <c r="S15" s="110" t="n"/>
    </row>
    <row r="16">
      <c r="A16" s="114" t="n"/>
      <c r="C16" s="107" t="n"/>
      <c r="F16" s="109" t="n"/>
      <c r="G16" s="110" t="n"/>
      <c r="I16" s="135" t="n"/>
      <c r="J16" s="109" t="n"/>
      <c r="K16" s="110" t="n"/>
      <c r="N16" s="109" t="n"/>
      <c r="O16" s="110" t="n"/>
      <c r="R16" s="109" t="n"/>
      <c r="S16" s="110" t="n"/>
    </row>
    <row r="17">
      <c r="A17" s="114" t="n"/>
      <c r="C17" s="107" t="n"/>
      <c r="F17" s="109" t="n"/>
      <c r="G17" s="110" t="n"/>
      <c r="I17" s="135" t="n"/>
      <c r="J17" s="109" t="n"/>
      <c r="K17" s="110" t="n"/>
      <c r="N17" s="109" t="n"/>
      <c r="O17" s="110" t="n"/>
      <c r="R17" s="109" t="n"/>
      <c r="S17" s="110" t="n"/>
    </row>
    <row r="18">
      <c r="A18" s="114" t="n"/>
      <c r="C18" s="107" t="n"/>
      <c r="F18" s="109" t="n"/>
      <c r="G18" s="110" t="n"/>
      <c r="I18" s="135" t="n"/>
      <c r="J18" s="109" t="n"/>
      <c r="K18" s="110" t="n"/>
      <c r="N18" s="109" t="n"/>
      <c r="O18" s="110" t="n"/>
      <c r="R18" s="109" t="n"/>
      <c r="S18" s="110" t="n"/>
    </row>
    <row r="19">
      <c r="A19" s="114" t="n"/>
      <c r="C19" s="107" t="n"/>
      <c r="F19" s="109" t="n"/>
      <c r="G19" s="110" t="n"/>
      <c r="I19" s="135" t="n"/>
      <c r="J19" s="109" t="n"/>
      <c r="K19" s="110" t="n"/>
      <c r="N19" s="109" t="n"/>
      <c r="O19" s="110" t="n"/>
      <c r="R19" s="109" t="n"/>
      <c r="S19" s="110" t="n"/>
    </row>
    <row r="20">
      <c r="A20" s="114" t="n"/>
      <c r="C20" s="107" t="n"/>
      <c r="F20" s="109" t="n"/>
      <c r="G20" s="110" t="n"/>
      <c r="I20" s="135" t="n"/>
      <c r="J20" s="109" t="n"/>
      <c r="K20" s="110" t="n"/>
      <c r="N20" s="109" t="n"/>
      <c r="O20" s="110" t="n"/>
      <c r="R20" s="109" t="n"/>
      <c r="S20" s="110"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legacyDrawing xmlns:r="http://schemas.openxmlformats.org/officeDocument/2006/relationships" r:id="anysvml"/>
</worksheet>
</file>

<file path=xl/worksheets/sheet9.xml><?xml version="1.0" encoding="utf-8"?>
<worksheet xmlns="http://schemas.openxmlformats.org/spreadsheetml/2006/main">
  <sheetPr codeName="Foglio5">
    <tabColor theme="9" tint="0.3999755851924192"/>
    <outlinePr summaryBelow="0" summaryRight="0"/>
    <pageSetUpPr/>
  </sheetPr>
  <dimension ref="A1:L295"/>
  <sheetViews>
    <sheetView tabSelected="1" zoomScale="55" zoomScaleNormal="55" workbookViewId="0">
      <pane xSplit="2" ySplit="1" topLeftCell="C51" activePane="bottomRight" state="frozen"/>
      <selection pane="topRight" activeCell="F1" sqref="F1"/>
      <selection pane="bottomLeft" activeCell="A3" sqref="A3"/>
      <selection pane="bottomRight" activeCell="F55" sqref="F55:H55"/>
    </sheetView>
  </sheetViews>
  <sheetFormatPr baseColWidth="8" defaultColWidth="8.7109375" defaultRowHeight="15" outlineLevelRow="2"/>
  <cols>
    <col width="22.140625" bestFit="1" customWidth="1" style="106" min="1" max="1"/>
    <col width="65.42578125" customWidth="1" style="106" min="2" max="2"/>
    <col width="14" bestFit="1" customWidth="1" style="106" min="3" max="3"/>
    <col width="28.42578125" bestFit="1" customWidth="1" style="15" min="4" max="4"/>
    <col width="21.42578125" customWidth="1" style="106" min="5" max="5"/>
    <col width="35.5703125" customWidth="1" style="15" min="6" max="10"/>
    <col width="14.85546875" customWidth="1" style="15" min="11" max="12"/>
    <col width="8.7109375" customWidth="1" style="103" min="13" max="13"/>
    <col width="33.140625" customWidth="1" style="103" min="14" max="14"/>
    <col width="8.7109375" customWidth="1" style="103" min="15" max="27"/>
    <col width="8.7109375" customWidth="1" style="103" min="28" max="16384"/>
  </cols>
  <sheetData>
    <row r="1" ht="30" customFormat="1" customHeight="1" s="105">
      <c r="A1" s="156" t="inlineStr">
        <is>
          <t>FUNC ID</t>
        </is>
      </c>
      <c r="B1" s="156" t="inlineStr">
        <is>
          <t>DESCRIZIONE FUNZIONE</t>
        </is>
      </c>
      <c r="C1" s="532" t="inlineStr">
        <is>
          <t>DOC
CARTELLA</t>
        </is>
      </c>
      <c r="D1" s="532" t="inlineStr">
        <is>
          <t>DOC ID</t>
        </is>
      </c>
      <c r="E1" s="532" t="inlineStr">
        <is>
          <t>Info DOC</t>
        </is>
      </c>
      <c r="F1" s="136" t="inlineStr">
        <is>
          <t>VZI_Base</t>
        </is>
      </c>
      <c r="G1" s="136" t="inlineStr">
        <is>
          <t>VZI_New14</t>
        </is>
      </c>
      <c r="H1" s="540" t="inlineStr">
        <is>
          <t>VZ_FR</t>
        </is>
      </c>
      <c r="I1" s="540" t="inlineStr">
        <is>
          <t>VZ_ES</t>
        </is>
      </c>
      <c r="J1" s="540" t="inlineStr">
        <is>
          <t>VZI-6_R1</t>
        </is>
      </c>
      <c r="K1" s="540" t="inlineStr">
        <is>
          <t>VZI-4_R1</t>
        </is>
      </c>
      <c r="L1" s="138" t="inlineStr">
        <is>
          <t>VZ_DAI</t>
        </is>
      </c>
    </row>
    <row r="2">
      <c r="A2" s="174" t="inlineStr">
        <is>
          <t>Park_Brake_01</t>
        </is>
      </c>
      <c r="B2" s="174" t="inlineStr">
        <is>
          <t>Comando applicazione/rilascio FAM da banco di manovra</t>
        </is>
      </c>
      <c r="C2" s="390" t="n"/>
      <c r="D2" s="175">
        <f>IF($A2="","",HYPERLINK(CONCATENATE(Cartelle!$D$6,$A2),CONCATENATE("#Sharepoint//",$A2)))</f>
        <v/>
      </c>
      <c r="E2" s="160" t="n"/>
      <c r="F2" s="161" t="n"/>
      <c r="G2" s="161" t="n"/>
      <c r="H2" s="161" t="n"/>
      <c r="I2" s="161" t="n"/>
      <c r="J2" s="161" t="n"/>
      <c r="K2" s="161" t="n"/>
      <c r="L2" s="162" t="n"/>
    </row>
    <row r="3" outlineLevel="1" s="583">
      <c r="B3" s="144" t="n"/>
      <c r="C3" s="158" t="inlineStr">
        <is>
          <t>CONFIG</t>
        </is>
      </c>
      <c r="D3" s="158" t="inlineStr">
        <is>
          <t>FS_DM1</t>
        </is>
      </c>
      <c r="E3" s="185" t="inlineStr">
        <is>
          <t>Link</t>
        </is>
      </c>
      <c r="F3" s="314">
        <f t="array" ref="F3">HYPERLINK(CONCATENATE(Cartelle!$D$5,F$1,"/",$C3,"/",MID($D3,1,FIND("_",$D3)-1),"/",INDIRECT(CONCATENATE("'" &amp; $C3 &amp; "'!",ADDRESS(MATCH($D3, INDIRECT("'" &amp; $C3 &amp; "'!$B:$B"), 0),MATCH(F$1, INDIRECT("'" &amp; $C3 &amp; "'!$1:$1"), 0)))),".",INDIRECT(CONCATENATE("'"&amp;$C3&amp;"'!",ADDRESS(MATCH($D3,INDIRECT("'"&amp;$C3&amp;"'!$B:$B"),0),3))),"#page=",F4),CONCATENATE("#Sharepoint//",$D3))</f>
        <v/>
      </c>
      <c r="G3" s="314" t="n"/>
      <c r="H3" s="158" t="n"/>
      <c r="I3" s="158" t="n"/>
      <c r="J3" s="314">
        <f t="array" ref="J3">HYPERLINK(CONCATENATE(Cartelle!$D$5,INDEX(INDIRECT("'" &amp; $C3 &amp; "'!$1:$1"), 1, MATCH(INDIRECT(CONCATENATE("'" &amp; $C3 &amp; "'!",ADDRESS(MATCH($D3, INDIRECT("'" &amp; $C3 &amp; "'!$B:$B"), 0),MATCH(J$1, INDIRECT("'" &amp; $C3 &amp; "'!$1:$1"), 0)))),INDIRECT(CONCATENATE("'" &amp; $C3 &amp; "'!",MATCH($D3, INDIRECT("'" &amp; $C3 &amp; "'!$B:$B"), 0),":",MATCH($D3, INDIRECT("'" &amp; $C3 &amp; "'!$B:$B"), 0))),0)),"/",$C3,"/",MID($D3,1,FIND("_",$D3)-1),"/",INDIRECT(CONCATENATE("'" &amp; $C3 &amp; "'!",ADDRESS(MATCH($D3, INDIRECT("'" &amp; $C3 &amp; "'!$B:$B"), 0),MATCH(J$1, INDIRECT("'" &amp; $C3 &amp; "'!$1:$1"), 0)))),".",INDIRECT(CONCATENATE("'"&amp;$C3&amp;"'!",ADDRESS(MATCH($D3,INDIRECT("'"&amp;$C3&amp;"'!$B:$B"),0),3))),"#page=",J4),CONCATENATE("#Sharepoint//",$D3))</f>
        <v/>
      </c>
      <c r="K3" s="157" t="n"/>
      <c r="L3" s="158" t="n"/>
    </row>
    <row r="4" outlineLevel="2" s="583">
      <c r="B4" s="144" t="n"/>
      <c r="D4" s="358" t="n"/>
      <c r="E4" s="186" t="inlineStr">
        <is>
          <t>Rif. Pagina</t>
        </is>
      </c>
      <c r="F4" s="50" t="n">
        <v>276</v>
      </c>
      <c r="G4" s="164" t="n">
        <v>243</v>
      </c>
      <c r="H4" s="50" t="n"/>
      <c r="I4" s="50" t="n"/>
      <c r="J4" s="50" t="n">
        <v>144</v>
      </c>
      <c r="K4" s="85" t="n"/>
      <c r="L4" s="50" t="n"/>
    </row>
    <row r="5" outlineLevel="2" ht="75" customHeight="1" s="583">
      <c r="B5" s="144" t="n"/>
      <c r="D5" s="107" t="n"/>
      <c r="E5" s="186" t="inlineStr">
        <is>
          <t>Componenti circuito elettrico</t>
        </is>
      </c>
      <c r="F5" s="85" t="inlineStr">
        <is>
          <t>GG-A024 = Pulsante parking
JE-K0005 = MIO-S-DX4</t>
        </is>
      </c>
      <c r="G5" s="50" t="n"/>
      <c r="H5" s="50" t="n"/>
      <c r="I5" s="50" t="n"/>
      <c r="J5" s="85" t="inlineStr">
        <is>
          <t>GG-A024 = Pulsante parking
GC-K025 = Relè abilitazione cabina
GC-K018 = Relè temporizz
GC-K011 = Relè abilitazione cabina
JE-K005 = RIO-LP MASTER</t>
        </is>
      </c>
      <c r="K5" s="159" t="n"/>
      <c r="L5" s="50" t="n"/>
    </row>
    <row r="6" outlineLevel="2" ht="330" customHeight="1" s="583">
      <c r="B6" s="144" t="n"/>
      <c r="D6" s="108" t="n"/>
      <c r="E6" s="186" t="inlineStr">
        <is>
          <t>Descrizione circuitale</t>
        </is>
      </c>
      <c r="F6" s="85" t="inlineStr">
        <is>
          <t>La pressione di GG-A024 chiude 2 contatti interni (1 ordinario, 1 ridondato), collegando 2 linee 110V a 2 ingressi della MIO: BRA_PARK_COM
Le 2 linee 110 derivano direttamente dal bus  180, tramite due fusibili rispettivamente JE-F007 e JE-F009.</t>
        </is>
      </c>
      <c r="G6" s="50" t="n"/>
      <c r="H6" s="50" t="n"/>
      <c r="I6" s="50" t="n"/>
      <c r="J6" s="85" t="inlineStr">
        <is>
          <t>La pressione di GG-A024 chiude 2 contatti interni (1 ordinario, 1 ridondato), collegando 2 linee 110V a 2 ingressi della RIO: BRA_PARK_COM_N e BRA_PARK_COM_R
Le 2 linee 110 derivano direttamente dal bus  180, tramite due fusibili rispettivamente JE-F007 e JE-F009.
Un contatto del pulsante inoltre alimenta un circuito che intercetta, sulle casse portanti con disponibilità del freno di parcheggio, il comando di rilascio del TCMS verso le valvole di attuazione del parking brake stesso. Tale circuito viene alimentato tramite i relè di banco GC-K011 e GC-K025 e attuato per mezzo del relè temporizzato GC-K018. Tutta questa catena alimenta un relè GG-K028 presenti sulle casse portanti con disponibilità di freno di parcheggio.</t>
        </is>
      </c>
      <c r="K6" s="50" t="n"/>
      <c r="L6" s="50" t="n"/>
    </row>
    <row r="7" outlineLevel="1" s="583">
      <c r="B7" s="144" t="n"/>
      <c r="C7" s="158" t="inlineStr">
        <is>
          <t>CONFIG</t>
        </is>
      </c>
      <c r="D7" s="158" t="inlineStr">
        <is>
          <t>FS_TT2</t>
        </is>
      </c>
      <c r="E7" s="185" t="inlineStr">
        <is>
          <t>Link</t>
        </is>
      </c>
      <c r="F7" s="314">
        <f t="array" ref="F7">HYPERLINK(CONCATENATE(Cartelle!$D$5,F$1,"/",$C7,"/",MID($D7,1,FIND("_",$D7)-1),"/",INDIRECT(CONCATENATE("'" &amp; $C7 &amp; "'!",ADDRESS(MATCH($D7, INDIRECT("'" &amp; $C7 &amp; "'!$B:$B"), 0),MATCH(F$1, INDIRECT("'" &amp; $C7 &amp; "'!$1:$1"), 0)))),".",INDIRECT(CONCATENATE("'"&amp;$C7&amp;"'!",ADDRESS(MATCH($D7,INDIRECT("'"&amp;$C7&amp;"'!$B:$B"),0),3))),"#page=",F8),CONCATENATE("#Sharepoint//",$D7))</f>
        <v/>
      </c>
      <c r="G7" s="158" t="n"/>
      <c r="H7" s="158" t="n"/>
      <c r="I7" s="158" t="n"/>
      <c r="J7" s="314">
        <f t="array" ref="J7">HYPERLINK(CONCATENATE(Cartelle!$D$5,INDEX(INDIRECT("'" &amp; $C7 &amp; "'!$1:$1"), 1, MATCH(INDIRECT(CONCATENATE("'" &amp; $C7 &amp; "'!",ADDRESS(MATCH($D7, INDIRECT("'" &amp; $C7 &amp; "'!$B:$B"), 0),MATCH(J$1, INDIRECT("'" &amp; $C7 &amp; "'!$1:$1"), 0)))),INDIRECT(CONCATENATE("'" &amp; $C7 &amp; "'!",MATCH($D7, INDIRECT("'" &amp; $C7 &amp; "'!$B:$B"), 0),":",MATCH($D7, INDIRECT("'" &amp; $C7 &amp; "'!$B:$B"), 0))),0)),"/",$C7,"/",MID($D7,1,FIND("_",$D7)-1),"/",INDIRECT(CONCATENATE("'" &amp; $C7 &amp; "'!",ADDRESS(MATCH($D7, INDIRECT("'" &amp; $C7 &amp; "'!$B:$B"), 0),MATCH(J$1, INDIRECT("'" &amp; $C7 &amp; "'!$1:$1"), 0)))),".",INDIRECT(CONCATENATE("'"&amp;$C7&amp;"'!",ADDRESS(MATCH($D7,INDIRECT("'"&amp;$C7&amp;"'!$B:$B"),0),3))),"#page=",J8),CONCATENATE("#Sharepoint//",$D7))</f>
        <v/>
      </c>
      <c r="K7" s="157" t="n"/>
      <c r="L7" s="158" t="n"/>
    </row>
    <row r="8" outlineLevel="2" s="583">
      <c r="B8" s="144" t="n"/>
      <c r="D8" s="358" t="n"/>
      <c r="E8" s="186" t="inlineStr">
        <is>
          <t>Rif. Pagina</t>
        </is>
      </c>
      <c r="F8" s="50" t="n">
        <v>171</v>
      </c>
      <c r="G8" s="50" t="n"/>
      <c r="H8" s="50" t="n"/>
      <c r="I8" s="50" t="n"/>
      <c r="J8" s="50" t="n">
        <v>131</v>
      </c>
      <c r="K8" s="85" t="n"/>
      <c r="L8" s="50" t="n"/>
    </row>
    <row r="9" outlineLevel="2" ht="120" customHeight="1" s="583">
      <c r="B9" s="144" t="n"/>
      <c r="D9" s="107" t="n"/>
      <c r="E9" s="186" t="inlineStr">
        <is>
          <t>Componenti circuito elettrico</t>
        </is>
      </c>
      <c r="F9" s="85" t="inlineStr">
        <is>
          <t>EVFS1 = Valvola applicazione parking brake
JE-K009 = RIO
JE-K010 = RIO
GG-K016 = Relè RER</t>
        </is>
      </c>
      <c r="G9" s="50" t="n"/>
      <c r="H9" s="50" t="n"/>
      <c r="I9" s="50" t="n"/>
      <c r="J9" s="85" t="inlineStr">
        <is>
          <t>GG-K016 = Relè RER
GG-K028 = Relè di taglio per il comando di rilascio del PB dato da TCMS attraverso BRA_EVFS1_COM
EVFS1 = Valvola applicazione parking brake
JE-K009 = RIO
JE-K010 = RIO</t>
        </is>
      </c>
      <c r="K9" s="159" t="n"/>
      <c r="L9" s="50" t="n"/>
    </row>
    <row r="10" outlineLevel="2" ht="270" customHeight="1" s="583">
      <c r="B10" s="144" t="n"/>
      <c r="D10" s="108" t="n"/>
      <c r="E10" s="186" t="inlineStr">
        <is>
          <t>Descrizione circuitale</t>
        </is>
      </c>
      <c r="F10" s="85" t="inlineStr">
        <is>
          <t xml:space="preserve">Il segnale di rilascio del praking brake verso la EVFS1 viene fornito dalle RIO BRA-EVFS1_COM. Il comando verso EVFS1 è sezionato solamente da un relè GG-K016 chiamato RER che si abilita con un contatto relativo all'inserzione della chiave di banco </t>
        </is>
      </c>
      <c r="G10" s="50" t="n"/>
      <c r="H10" s="50" t="n"/>
      <c r="I10" s="50" t="n"/>
      <c r="J10" s="85" t="inlineStr">
        <is>
          <t>Il comando di GG-K028 è dato dalla catena circuitale introdotta nelle DM che serve a evitare che il TCMS possa comandare impropriamente il circuito di rilascio del freno di stazionamento chiamato anche Parking brake oppure Freno a molla FAM. Il comando verso EVFS1 è sezionato pertanto da un relè GG-K016 chiamato RER che si abilita con un contatto relativo all'inserzione della chiave di banco e dal relè GG-K028 facente capo alla catena introdotta nelle DM rispetto al circuito della flotta base. Lo stato di quest'ultimo relè è diagnosticato tramite 2 ingressi RIO ridondati chiamati BRA_EVFS1-PRO_N e BRA_EVFS1-PRO_R</t>
        </is>
      </c>
      <c r="K10" s="50" t="n"/>
      <c r="L10" s="50" t="n"/>
    </row>
    <row r="11" outlineLevel="1" s="583">
      <c r="B11" s="144" t="n"/>
      <c r="C11" s="158" t="inlineStr">
        <is>
          <t>CONFIG</t>
        </is>
      </c>
      <c r="D11" s="158" t="inlineStr">
        <is>
          <t>FRS_Brake Control</t>
        </is>
      </c>
      <c r="E11" s="185" t="inlineStr">
        <is>
          <t>Link</t>
        </is>
      </c>
      <c r="F11" s="314">
        <f t="array" ref="F11">HYPERLINK(CONCATENATE(Cartelle!$D$5,F$1,"/",$C11,"/",MID($D11,1,FIND("_",$D11)-1),"/",INDIRECT(CONCATENATE("'" &amp; $C11 &amp; "'!",ADDRESS(MATCH($D11, INDIRECT("'" &amp; $C11 &amp; "'!$B:$B"), 0),MATCH(F$1, INDIRECT("'" &amp; $C11 &amp; "'!$1:$1"), 0)))),".",INDIRECT(CONCATENATE("'"&amp;$C11&amp;"'!",ADDRESS(MATCH($D11,INDIRECT("'"&amp;$C11&amp;"'!$B:$B"),0),3))),"#page=",F12),CONCATENATE("#Sharepoint//",$D11))</f>
        <v/>
      </c>
      <c r="G11" s="158" t="n"/>
      <c r="H11" s="158" t="n"/>
      <c r="I11" s="158" t="n"/>
      <c r="J11" s="314">
        <f t="array" ref="J11">HYPERLINK(CONCATENATE(Cartelle!$D$5,INDEX(INDIRECT("'" &amp; $C11 &amp; "'!$1:$1"), 1, MATCH(INDIRECT(CONCATENATE("'" &amp; $C11 &amp; "'!",ADDRESS(MATCH($D11, INDIRECT("'" &amp; $C11 &amp; "'!$B:$B"), 0),MATCH(J$1, INDIRECT("'" &amp; $C11 &amp; "'!$1:$1"), 0)))),INDIRECT(CONCATENATE("'" &amp; $C11 &amp; "'!",MATCH($D11, INDIRECT("'" &amp; $C11 &amp; "'!$B:$B"), 0),":",MATCH($D11, INDIRECT("'" &amp; $C11 &amp; "'!$B:$B"), 0))),0)),"/",$C11,"/",MID($D11,1,FIND("_",$D11)-1),"/",INDIRECT(CONCATENATE("'" &amp; $C11 &amp; "'!",ADDRESS(MATCH($D11, INDIRECT("'" &amp; $C11 &amp; "'!$B:$B"), 0),MATCH(J$1, INDIRECT("'" &amp; $C11 &amp; "'!$1:$1"), 0)))),".",INDIRECT(CONCATENATE("'"&amp;$C11&amp;"'!",ADDRESS(MATCH($D11,INDIRECT("'"&amp;$C11&amp;"'!$B:$B"),0),3))),"#page=",J12),CONCATENATE("#Sharepoint//",$D11))</f>
        <v/>
      </c>
      <c r="K11" s="158" t="n"/>
      <c r="L11" s="158" t="n"/>
    </row>
    <row r="12" outlineLevel="2" s="583">
      <c r="B12" s="144" t="n"/>
      <c r="D12" s="358" t="n"/>
      <c r="E12" s="186" t="inlineStr">
        <is>
          <t>Rif. Pagina</t>
        </is>
      </c>
      <c r="F12" s="50" t="n">
        <v>117</v>
      </c>
      <c r="G12" s="50" t="n"/>
      <c r="H12" s="50" t="n"/>
      <c r="I12" s="50" t="n"/>
      <c r="J12" s="50" t="n">
        <v>154</v>
      </c>
      <c r="K12" s="50" t="n"/>
      <c r="L12" s="50" t="n"/>
    </row>
    <row r="13" outlineLevel="2" ht="240" customHeight="1" s="583">
      <c r="B13" s="144" t="n"/>
      <c r="D13" s="108" t="n"/>
      <c r="E13" s="186" t="inlineStr">
        <is>
          <t>Requisiti specifici</t>
        </is>
      </c>
      <c r="F13" s="50" t="inlineStr">
        <is>
          <t>\</t>
        </is>
      </c>
      <c r="G13" s="50" t="n"/>
      <c r="H13" s="50" t="n"/>
      <c r="I13" s="50" t="n"/>
      <c r="J13" s="85" t="inlineStr">
        <is>
          <t xml:space="preserve">Rispetto a FRS VZI_Base, aggiunto requisiti .3980 e .TRS.343 per inibire elettricamente il TCMS in caso di comando di sblocco PB non dovuto. Tali requisiti sono stati implementati con il circuito di cui alle descrizioni circuitali di cui sopra, il quale utilizza gli ingressi di comando BRA_PARK_COM di comando e lo stato delle variabili BRA_EVFS1-PRO_N e BRA_EVFS1-PRO_R per verificare che sia stato comandato effettivamente un rilascio da pulsante e da macchinista, e che non sia stato rilasciato esclusivamente dal TCMS 
</t>
        </is>
      </c>
      <c r="K13" s="50" t="n"/>
      <c r="L13" s="50" t="n"/>
    </row>
    <row r="14" outlineLevel="1" s="583">
      <c r="B14" s="144" t="n"/>
      <c r="C14" s="158" t="inlineStr">
        <is>
          <t>CONFIG</t>
        </is>
      </c>
      <c r="D14" s="158" t="inlineStr">
        <is>
          <t>FPD_Brake Control</t>
        </is>
      </c>
      <c r="E14" s="185" t="inlineStr">
        <is>
          <t>Link</t>
        </is>
      </c>
      <c r="F14" s="314">
        <f t="array" ref="F14">HYPERLINK(CONCATENATE(Cartelle!$D$5,F$1,"/",$C14,"/",MID($D14,1,FIND("_",$D14)-1),"/",INDIRECT(CONCATENATE("'" &amp; $C14 &amp; "'!",ADDRESS(MATCH($D14, INDIRECT("'" &amp; $C14 &amp; "'!$B:$B"), 0),MATCH(F$1, INDIRECT("'" &amp; $C14 &amp; "'!$1:$1"), 0)))),".",INDIRECT(CONCATENATE("'"&amp;$C14&amp;"'!",ADDRESS(MATCH($D14,INDIRECT("'"&amp;$C14&amp;"'!$B:$B"),0),3))),"#page=",F15),CONCATENATE("#Sharepoint//",$D14))</f>
        <v/>
      </c>
      <c r="G14" s="158" t="n"/>
      <c r="H14" s="158" t="n"/>
      <c r="I14" s="158" t="n"/>
      <c r="J14" s="314">
        <f t="array" ref="J14">HYPERLINK(CONCATENATE(Cartelle!$D$5,INDEX(INDIRECT("'" &amp; $C14 &amp; "'!$1:$1"), 1, MATCH(INDIRECT(CONCATENATE("'" &amp; $C14 &amp; "'!",ADDRESS(MATCH($D14, INDIRECT("'" &amp; $C14 &amp; "'!$B:$B"), 0),MATCH(J$1, INDIRECT("'" &amp; $C14 &amp; "'!$1:$1"), 0)))),INDIRECT(CONCATENATE("'" &amp; $C14 &amp; "'!",MATCH($D14, INDIRECT("'" &amp; $C14 &amp; "'!$B:$B"), 0),":",MATCH($D14, INDIRECT("'" &amp; $C14 &amp; "'!$B:$B"), 0))),0)),"/",$C14,"/",MID($D14,1,FIND("_",$D14)-1),"/",INDIRECT(CONCATENATE("'" &amp; $C14 &amp; "'!",ADDRESS(MATCH($D14, INDIRECT("'" &amp; $C14 &amp; "'!$B:$B"), 0),MATCH(J$1, INDIRECT("'" &amp; $C14 &amp; "'!$1:$1"), 0)))),".",INDIRECT(CONCATENATE("'"&amp;$C14&amp;"'!",ADDRESS(MATCH($D14,INDIRECT("'"&amp;$C14&amp;"'!$B:$B"),0),3))),"#page=",J15),CONCATENATE("#Sharepoint//",$D14))</f>
        <v/>
      </c>
      <c r="K14" s="158" t="n"/>
      <c r="L14" s="158" t="n"/>
    </row>
    <row r="15" outlineLevel="2" s="583">
      <c r="A15" s="116" t="n"/>
      <c r="B15" s="144" t="n"/>
      <c r="D15" s="50" t="n"/>
      <c r="E15" s="186" t="inlineStr">
        <is>
          <t>Rif. Pagina</t>
        </is>
      </c>
      <c r="F15" s="50" t="n">
        <v>18</v>
      </c>
      <c r="G15" s="50" t="n"/>
      <c r="H15" s="50" t="n"/>
      <c r="I15" s="50" t="n"/>
      <c r="J15" s="50" t="n">
        <v>18</v>
      </c>
      <c r="K15" s="50" t="n"/>
      <c r="L15" s="50" t="n"/>
    </row>
    <row r="16">
      <c r="A16" s="176" t="inlineStr">
        <is>
          <t>Hot_Axle_Box_01</t>
        </is>
      </c>
      <c r="B16" s="176" t="inlineStr">
        <is>
          <t>Funzione di monitoraggio Hot Axle Box Detection (HABD)</t>
        </is>
      </c>
      <c r="C16" s="391" t="n"/>
      <c r="D16" s="175">
        <f>IF($A16="","",HYPERLINK(CONCATENATE(Cartelle!$D$6,$A16),CONCATENATE("#Sharepoint//",$A16)))</f>
        <v/>
      </c>
      <c r="E16" s="160" t="n"/>
      <c r="F16" s="161" t="n"/>
      <c r="G16" s="161" t="n"/>
      <c r="H16" s="161" t="n"/>
      <c r="I16" s="161" t="n"/>
      <c r="J16" s="161" t="n"/>
      <c r="K16" s="161" t="n"/>
      <c r="L16" s="162" t="n"/>
    </row>
    <row r="17" outlineLevel="1" s="583">
      <c r="A17" s="177" t="n"/>
      <c r="B17" s="385" t="n"/>
      <c r="C17" s="158" t="inlineStr">
        <is>
          <t>CONFIG</t>
        </is>
      </c>
      <c r="D17" s="158" t="inlineStr">
        <is>
          <t>FS_DM1</t>
        </is>
      </c>
      <c r="E17" s="185" t="inlineStr">
        <is>
          <t>Link</t>
        </is>
      </c>
      <c r="F17" s="314">
        <f t="array" ref="F17">HYPERLINK(CONCATENATE(Cartelle!$D$5,F$1,"/",$C17,"/",MID($D17,1,FIND("_",$D17)-1),"/",INDIRECT(CONCATENATE("'" &amp; $C17 &amp; "'!",ADDRESS(MATCH($D17, INDIRECT("'" &amp; $C17 &amp; "'!$B:$B"), 0),MATCH(F$1, INDIRECT("'" &amp; $C17 &amp; "'!$1:$1"), 0)))),".",INDIRECT(CONCATENATE("'"&amp;$C17&amp;"'!",ADDRESS(MATCH($D17,INDIRECT("'"&amp;$C17&amp;"'!$B:$B"),0),3))),"#page=",F18),CONCATENATE("#Sharepoint//",$D17))</f>
        <v/>
      </c>
      <c r="G17" s="158" t="n"/>
      <c r="H17" s="158" t="n"/>
      <c r="I17" s="158" t="n"/>
      <c r="J17" s="314">
        <f t="array" ref="J17">HYPERLINK(CONCATENATE(Cartelle!$D$5,INDEX(INDIRECT("'" &amp; $C17 &amp; "'!$1:$1"), 1, MATCH(INDIRECT(CONCATENATE("'" &amp; $C17 &amp; "'!",ADDRESS(MATCH($D17, INDIRECT("'" &amp; $C17 &amp; "'!$B:$B"), 0),MATCH(J$1, INDIRECT("'" &amp; $C17 &amp; "'!$1:$1"), 0)))),INDIRECT(CONCATENATE("'" &amp; $C17 &amp; "'!",MATCH($D17, INDIRECT("'" &amp; $C17 &amp; "'!$B:$B"), 0),":",MATCH($D17, INDIRECT("'" &amp; $C17 &amp; "'!$B:$B"), 0))),0)),"/",$C17,"/",MID($D17,1,FIND("_",$D17)-1),"/",INDIRECT(CONCATENATE("'" &amp; $C17 &amp; "'!",ADDRESS(MATCH($D17, INDIRECT("'" &amp; $C17 &amp; "'!$B:$B"), 0),MATCH(J$1, INDIRECT("'" &amp; $C17 &amp; "'!$1:$1"), 0)))),".",INDIRECT(CONCATENATE("'"&amp;$C17&amp;"'!",ADDRESS(MATCH($D17,INDIRECT("'"&amp;$C17&amp;"'!$B:$B"),0),3))),"#page=",J18),CONCATENATE("#Sharepoint//",$D17))</f>
        <v/>
      </c>
      <c r="K17" s="157" t="n"/>
      <c r="L17" s="158" t="n"/>
    </row>
    <row r="18" outlineLevel="2" s="583">
      <c r="A18" s="179" t="n"/>
      <c r="B18" s="386" t="n"/>
      <c r="C18" s="180" t="n"/>
      <c r="D18" s="50" t="n"/>
      <c r="E18" s="186" t="inlineStr">
        <is>
          <t>Rif. Pagina</t>
        </is>
      </c>
      <c r="F18" s="50" t="n">
        <v>388</v>
      </c>
      <c r="G18" s="50" t="n"/>
      <c r="H18" s="50" t="n"/>
      <c r="I18" s="50" t="n"/>
      <c r="J18" s="50" t="n">
        <v>264</v>
      </c>
      <c r="K18" s="85" t="n"/>
      <c r="L18" s="50" t="n"/>
    </row>
    <row r="19" outlineLevel="2" ht="150" customHeight="1" s="583">
      <c r="A19" s="179" t="n"/>
      <c r="B19" s="386" t="n"/>
      <c r="C19" s="180" t="n"/>
      <c r="D19" s="50" t="n"/>
      <c r="E19" s="186" t="inlineStr">
        <is>
          <t>Componenti circuito elettrico</t>
        </is>
      </c>
      <c r="F19" s="85" t="inlineStr">
        <is>
          <t>GC-Q024 = Relè abilitazione cabina LCA
GC-Q026 = Relè abilitazione cabina LCA
SB-K018 = Relè accoppiamento
JB-K003 = Relè apertura Loop HABD
JB-K004 = Relè apertura Loop HABD
GG-K016 = Relè apertura Loop DNRA
GG-K017 = Relè apertura Loop DNRA
GC-A018 H2B = spia Locked Axle</t>
        </is>
      </c>
      <c r="G19" s="50" t="n"/>
      <c r="H19" s="50" t="n"/>
      <c r="I19" s="50" t="n"/>
      <c r="J19" s="85" t="inlineStr">
        <is>
          <t>JB-K003 = Relè apertura Loop HABD
JB-K004 = Relè apertura Loop HABD
JE-K009 = RIO OTC_FUSE_LOOP
JE-K010 = RIO OTC_FUSE LOOP
GC-A018 H2B = spia HABD Alarm</t>
        </is>
      </c>
      <c r="K19" s="85" t="n"/>
      <c r="L19" s="50" t="n"/>
    </row>
    <row r="20" outlineLevel="2" ht="345" customHeight="1" s="583">
      <c r="A20" s="179" t="n"/>
      <c r="B20" s="386" t="n"/>
      <c r="C20" s="180" t="n"/>
      <c r="D20" s="50" t="n"/>
      <c r="E20" s="186" t="inlineStr">
        <is>
          <t>Descrizione circuitale</t>
        </is>
      </c>
      <c r="F20" s="85" t="inlineStr">
        <is>
          <t>L'informazione di apertura loop HBDA è data dai termofusibili, essa comanda la disalimetazione dei relè JB-K003 e JB-K004, questi tramite i contatti AI-B1 passano l'informazione al TCMS, OTC_FUSE_LOOP. L'accensione della spia HABD-DNRA deriva daii contatti C1-D1 e C3-D3 di JB-K003 e JB-K004, i quali comandano il loop DNRA stesso. L'informazione di apertura è propagata dai  contatti di JB-K003 e JB-K004 verso i relè GG-K016 e GG-K017 i quali comandano l'accensione della spia GC-A018.
Il filo treno-loop DNRA viene alimentato alla tensione di batteria nella cabina non abilitata attraverso
l’interruttore magnetotermico di protezione GG-F004 e i contatti del relè di accoppiamento Rcm SB-K018 e di
abilitazione cabina LCA. GC-Q024 e Q026</t>
        </is>
      </c>
      <c r="G20" s="50" t="n"/>
      <c r="H20" s="50" t="n"/>
      <c r="I20" s="50" t="n"/>
      <c r="J20" s="85" t="inlineStr">
        <is>
          <t>L'informazione di apertura loop HABDA è data dai termofusibili, essa comanda la disalimetazione dei relè JB-K003 e JB-K004, questi tramite i contatti A1 - B1  passano l'informazione al TCMS tramite i DI RIO JE-K009 e JE-K010, OTC_FUSE_LOOP. Il TCMS a seguito comanda l'accensione della spia  GC-A18 relativa al solo allarme HABD, tramite le uscite  JE-K005 e JE-K006, OTC_HABD_ALARM</t>
        </is>
      </c>
      <c r="K20" s="85" t="n"/>
      <c r="L20" s="50" t="n"/>
    </row>
    <row r="21" outlineLevel="1" s="583">
      <c r="A21" s="179" t="n"/>
      <c r="B21" s="386" t="n"/>
      <c r="C21" s="158" t="inlineStr">
        <is>
          <t>CONFIG</t>
        </is>
      </c>
      <c r="D21" s="158" t="inlineStr">
        <is>
          <t>FRS_Bogies</t>
        </is>
      </c>
      <c r="E21" s="185" t="inlineStr">
        <is>
          <t>Link</t>
        </is>
      </c>
      <c r="F21" s="314">
        <f t="array" ref="F21">HYPERLINK(CONCATENATE(Cartelle!$D$5,F$1,"/",$C21,"/",MID($D21,1,FIND("_",$D21)-1),"/",INDIRECT(CONCATENATE("'" &amp; $C21 &amp; "'!",ADDRESS(MATCH($D21, INDIRECT("'" &amp; $C21 &amp; "'!$B:$B"), 0),MATCH(F$1, INDIRECT("'" &amp; $C21 &amp; "'!$1:$1"), 0)))),".",INDIRECT(CONCATENATE("'"&amp;$C21&amp;"'!",ADDRESS(MATCH($D21,INDIRECT("'"&amp;$C21&amp;"'!$B:$B"),0),3))),"#page=",F22),CONCATENATE("#Sharepoint//",$D21))</f>
        <v/>
      </c>
      <c r="G21" s="314">
        <f t="array" ref="G21">HYPERLINK(CONCATENATE(Cartelle!$D$5,INDEX(INDIRECT("'" &amp; $C21 &amp; "'!$1:$1"), 1, MATCH(INDIRECT(CONCATENATE("'" &amp; $C21 &amp; "'!",ADDRESS(MATCH($D21, INDIRECT("'" &amp; $C21 &amp; "'!$B:$B"), 0),MATCH(G$1, INDIRECT("'" &amp; $C21 &amp; "'!$1:$1"), 0)))),INDIRECT(CONCATENATE("'" &amp; $C21 &amp; "'!",MATCH($D21, INDIRECT("'" &amp; $C21 &amp; "'!$B:$B"), 0),":",MATCH($D21, INDIRECT("'" &amp; $C21 &amp; "'!$B:$B"), 0))),0)),"/",$C21,"/",MID($D21,1,FIND("_",$D21)-1),"/",INDIRECT(CONCATENATE("'" &amp; $C21 &amp; "'!",ADDRESS(MATCH($D21, INDIRECT("'" &amp; $C21 &amp; "'!$B:$B"), 0),MATCH(G$1, INDIRECT("'" &amp; $C21 &amp; "'!$1:$1"), 0)))),".",INDIRECT(CONCATENATE("'"&amp;$C21&amp;"'!",ADDRESS(MATCH($D21,INDIRECT("'"&amp;$C21&amp;"'!$B:$B"),0),3))),"#page=",G22),CONCATENATE("#Sharepoint//",$D21))</f>
        <v/>
      </c>
      <c r="H21" s="158" t="n"/>
      <c r="I21" s="158" t="n"/>
      <c r="J21" s="314">
        <f t="array" ref="J21">HYPERLINK(CONCATENATE(Cartelle!$D$5,INDEX(INDIRECT("'" &amp; $C21 &amp; "'!$1:$1"), 1, MATCH(INDIRECT(CONCATENATE("'" &amp; $C21 &amp; "'!",ADDRESS(MATCH($D21, INDIRECT("'" &amp; $C21 &amp; "'!$B:$B"), 0),MATCH(J$1, INDIRECT("'" &amp; $C21 &amp; "'!$1:$1"), 0)))),INDIRECT(CONCATENATE("'" &amp; $C21 &amp; "'!",MATCH($D21, INDIRECT("'" &amp; $C21 &amp; "'!$B:$B"), 0),":",MATCH($D21, INDIRECT("'" &amp; $C21 &amp; "'!$B:$B"), 0))),0)),"/",$C21,"/",MID($D21,1,FIND("_",$D21)-1),"/",INDIRECT(CONCATENATE("'" &amp; $C21 &amp; "'!",ADDRESS(MATCH($D21, INDIRECT("'" &amp; $C21 &amp; "'!$B:$B"), 0),MATCH(J$1, INDIRECT("'" &amp; $C21 &amp; "'!$1:$1"), 0)))),".",INDIRECT(CONCATENATE("'"&amp;$C21&amp;"'!",ADDRESS(MATCH($D21,INDIRECT("'"&amp;$C21&amp;"'!$B:$B"),0),3))),"#page=",J22),CONCATENATE("#Sharepoint//",$D21))</f>
        <v/>
      </c>
      <c r="K21" s="158" t="n"/>
      <c r="L21" s="158" t="n"/>
    </row>
    <row r="22" outlineLevel="2" s="583">
      <c r="A22" s="179" t="n"/>
      <c r="C22" s="180" t="n"/>
      <c r="D22" s="358" t="n"/>
      <c r="E22" s="186" t="inlineStr">
        <is>
          <t>Rif. Pagina</t>
        </is>
      </c>
      <c r="F22" s="50" t="n">
        <v>14</v>
      </c>
      <c r="G22" s="50" t="n">
        <v>12</v>
      </c>
      <c r="H22" s="50" t="n"/>
      <c r="I22" s="50" t="n"/>
      <c r="J22" s="50" t="n">
        <v>1</v>
      </c>
      <c r="K22" s="50" t="n"/>
      <c r="L22" s="50" t="n"/>
    </row>
    <row r="23" outlineLevel="2" ht="409.5" customHeight="1" s="583">
      <c r="A23" s="179" t="n"/>
      <c r="B23" s="386" t="n"/>
      <c r="C23" s="180" t="n"/>
      <c r="D23" s="108" t="n"/>
      <c r="E23" s="186" t="inlineStr">
        <is>
          <t>Requisiti specifici</t>
        </is>
      </c>
      <c r="F23" s="85" t="inlineStr">
        <is>
          <t>Europe.CONCEPT.392: in caso di bypass DNRA, limite velocità a 200 km/h
Europe.CONCEPT.355: evento di warning se Temp gearbox &gt;= 145 °C</t>
        </is>
      </c>
      <c r="G23" s="85" t="inlineStr">
        <is>
          <t>Europe.CONCEPT.392: in caso di bypass DNRA,  limite velocità inibito se attivo stato "DNRA - BMS Local Monitoring"
Europe.CONCEPT.355: evento di warning se Temp gearbox &gt;= 135 °C
Europe.CONCEPT.377: generazione evento di warning o allarme in base a gradiente temperatura
Europe.CONCEPT.380: mantenimento in memoria degli allarmi generati dalle letture PT100
Europe.CONCEPT.381: introduzione dell'evento di reset allarme tramite softkey
Europe.CONCEPT.378: in caso di allarme temp riduttore, il TCMS applica un blocco alla trazione se la di vel è &gt; 80 km/h, che si ripristina quando la vel scende &lt; 80 km/h con manipolatore T/F in coasting
Europe.CONCEPT.383: il limite di vel si disattiva quando il PDC resetta l'allarme di temp, anche se la condizione di allarme è ancora presente
Europe.CONCEPT.384: la limitazione di vel si riattiva in caso l'allarme, precedentemente resettato, si ripresenti</t>
        </is>
      </c>
      <c r="H23" s="50" t="n"/>
      <c r="I23" s="50" t="n"/>
      <c r="J23" s="50" t="inlineStr">
        <is>
          <t>TBD</t>
        </is>
      </c>
      <c r="K23" s="50" t="n"/>
      <c r="L23" s="50" t="n"/>
    </row>
    <row r="24" outlineLevel="1" s="583">
      <c r="A24" s="179" t="n"/>
      <c r="B24" s="386" t="n"/>
      <c r="C24" s="158" t="inlineStr">
        <is>
          <t>CONFIG</t>
        </is>
      </c>
      <c r="D24" s="158" t="inlineStr">
        <is>
          <t>FPD_xx</t>
        </is>
      </c>
      <c r="E24" s="185" t="inlineStr">
        <is>
          <t>Link</t>
        </is>
      </c>
      <c r="F24" s="314">
        <f t="array" ref="F24">HYPERLINK(CONCATENATE(Cartelle!$D$5,F$1,"/",$C24,"/",MID($D24,1,FIND("_",$D24)-1),"/",INDIRECT(CONCATENATE("'" &amp; $C24 &amp; "'!",ADDRESS(MATCH($D24, INDIRECT("'" &amp; $C24 &amp; "'!$B:$B"), 0),MATCH(F$1, INDIRECT("'" &amp; $C24 &amp; "'!$1:$1"), 0)))),".pdf#page=",F25),CONCATENATE("#Sharepoint//",$D24))</f>
        <v/>
      </c>
      <c r="G24" s="158" t="n"/>
      <c r="H24" s="158" t="n"/>
      <c r="I24" s="158" t="n"/>
      <c r="J24" s="314">
        <f t="array" ref="J24">HYPERLINK(CONCATENATE(Cartelle!$D$5,J$1,"/CONFIG/",MID($D24,1,FIND("_",$D24)-1),"/",INDIRECT(CONCATENATE("'CONFIG'!",ADDRESS(MATCH($D24, CONFIG!$B:$B, 0),MATCH(J$1, CONFIG!$1:$1, 0)))),".pdf#page=",J25),CONCATENATE("#Sharepoint//",$D24))</f>
        <v/>
      </c>
      <c r="K24" s="158" t="n"/>
      <c r="L24" s="158" t="n"/>
    </row>
    <row r="25" outlineLevel="2" s="583">
      <c r="A25" s="179" t="n"/>
      <c r="B25" s="180" t="n"/>
      <c r="C25" s="180" t="n"/>
      <c r="D25" s="50" t="n"/>
      <c r="E25" s="186" t="inlineStr">
        <is>
          <t>Rif. Pagina</t>
        </is>
      </c>
      <c r="F25" s="50" t="n">
        <v>1</v>
      </c>
      <c r="G25" s="50" t="n"/>
      <c r="H25" s="50" t="n"/>
      <c r="I25" s="50" t="n"/>
      <c r="J25" s="50" t="n">
        <v>1</v>
      </c>
      <c r="K25" s="50" t="n"/>
      <c r="L25" s="50" t="n"/>
    </row>
    <row r="26">
      <c r="A26" s="426" t="inlineStr">
        <is>
          <t>Func_XXX</t>
        </is>
      </c>
      <c r="B26" s="426" t="inlineStr">
        <is>
          <t>xxxxx</t>
        </is>
      </c>
      <c r="C26" s="427" t="inlineStr">
        <is>
          <t>HW  + SW</t>
        </is>
      </c>
      <c r="D26" s="164" t="inlineStr">
        <is>
          <t>\</t>
        </is>
      </c>
      <c r="E26" s="428" t="n"/>
      <c r="F26" s="429" t="n"/>
      <c r="G26" s="429" t="n"/>
      <c r="H26" s="429" t="n"/>
      <c r="I26" s="429" t="n"/>
      <c r="J26" s="429" t="n"/>
      <c r="K26" s="429" t="n"/>
      <c r="L26" s="430" t="n"/>
    </row>
    <row r="27" outlineLevel="1" s="583">
      <c r="A27" s="181" t="n"/>
      <c r="B27" s="182" t="n"/>
      <c r="C27" s="158" t="inlineStr">
        <is>
          <t>CONFIG</t>
        </is>
      </c>
      <c r="D27" s="158" t="inlineStr">
        <is>
          <t>FS_DM1</t>
        </is>
      </c>
      <c r="E27" s="185" t="inlineStr">
        <is>
          <t>Link</t>
        </is>
      </c>
      <c r="F27" s="314">
        <f t="array" ref="F27">HYPERLINK(CONCATENATE(Cartelle!$D$5,F$1,"/",$C27,"/",MID($D27,1,FIND("_",$D27)-1),"/",INDIRECT(CONCATENATE("'" &amp; $C27 &amp; "'!",ADDRESS(MATCH($D27, INDIRECT("'" &amp; $C27 &amp; "'!$B:$B"), 0),MATCH(F$1, INDIRECT("'" &amp; $C27 &amp; "'!$1:$1"), 0)))),".",INDIRECT(CONCATENATE("'"&amp;$C27&amp;"'!",ADDRESS(MATCH($D27,INDIRECT("'"&amp;$C27&amp;"'!$B:$B"),0),3))),"#page=",F28),CONCATENATE("#Sharepoint//",$D27))</f>
        <v/>
      </c>
      <c r="G27" s="158" t="n"/>
      <c r="H27" s="158" t="n"/>
      <c r="I27" s="158" t="n"/>
      <c r="J27" s="314">
        <f t="array" ref="J27">HYPERLINK(CONCATENATE(Cartelle!$D$5,INDEX(INDIRECT("'" &amp; $C27 &amp; "'!$1:$1"), 1, MATCH(INDIRECT(CONCATENATE("'" &amp; $C27 &amp; "'!",ADDRESS(MATCH($D27, INDIRECT("'" &amp; $C27 &amp; "'!$B:$B"), 0),MATCH(J$1, INDIRECT("'" &amp; $C27 &amp; "'!$1:$1"), 0)))),INDIRECT(CONCATENATE("'" &amp; $C27 &amp; "'!",MATCH($D27, INDIRECT("'" &amp; $C27 &amp; "'!$B:$B"), 0),":",MATCH($D27, INDIRECT("'" &amp; $C27 &amp; "'!$B:$B"), 0))),0)),"/",$C27,"/",MID($D27,1,FIND("_",$D27)-1),"/",INDIRECT(CONCATENATE("'" &amp; $C27 &amp; "'!",ADDRESS(MATCH($D27, INDIRECT("'" &amp; $C27 &amp; "'!$B:$B"), 0),MATCH(J$1, INDIRECT("'" &amp; $C27 &amp; "'!$1:$1"), 0)))),".",INDIRECT(CONCATENATE("'"&amp;$C27&amp;"'!",ADDRESS(MATCH($D27,INDIRECT("'"&amp;$C27&amp;"'!$B:$B"),0),3))),"#page=",J28),CONCATENATE("#Sharepoint//",$D27))</f>
        <v/>
      </c>
      <c r="K27" s="157" t="n"/>
      <c r="L27" s="158" t="n"/>
    </row>
    <row r="28" outlineLevel="2" s="583">
      <c r="A28" s="183" t="n"/>
      <c r="B28" s="184">
        <f t="array" ref="B28">INDIRECT("'" &amp; $C33 &amp; "'!B5")</f>
        <v/>
      </c>
      <c r="C28" s="178" t="n"/>
      <c r="D28" s="50" t="n"/>
      <c r="E28" s="186" t="inlineStr">
        <is>
          <t>Rif. Pagina</t>
        </is>
      </c>
      <c r="F28" s="50" t="n">
        <v>1</v>
      </c>
      <c r="G28" s="50" t="n"/>
      <c r="H28" s="50" t="n"/>
      <c r="I28" s="50" t="n"/>
      <c r="J28" s="50" t="n">
        <v>1</v>
      </c>
      <c r="K28" s="85" t="n"/>
      <c r="L28" s="50" t="n"/>
    </row>
    <row r="29" outlineLevel="1" s="583">
      <c r="A29" s="183" t="n"/>
      <c r="B29" s="184" t="n"/>
      <c r="C29" s="158" t="inlineStr">
        <is>
          <t>CONFIG</t>
        </is>
      </c>
      <c r="D29" s="158" t="inlineStr">
        <is>
          <t>FRS_xx</t>
        </is>
      </c>
      <c r="E29" s="185" t="inlineStr">
        <is>
          <t>Link</t>
        </is>
      </c>
      <c r="F29" s="314">
        <f t="array" ref="F29">HYPERLINK(CONCATENATE(Cartelle!$D$5,F$1,"/CONFIG/",MID($D29,1,FIND("_",$D29)-1),"/",INDIRECT(CONCATENATE("'CONFIG'!",ADDRESS(MATCH($D29, CONFIG!$B:$B, 0),MATCH(F$1, CONFIG!$1:$1, 0)))),".pdf#page=",F30),CONCATENATE("#Sharepoint//",$D29))</f>
        <v/>
      </c>
      <c r="G29" s="158" t="n"/>
      <c r="H29" s="158" t="n"/>
      <c r="I29" s="158" t="n"/>
      <c r="J29" s="314">
        <f t="array" ref="J29">HYPERLINK(CONCATENATE(Cartelle!$D$5,J$1,"/CONFIG/",MID($D29,1,FIND("_",$D29)-1),"/",INDIRECT(CONCATENATE("'CONFIG'!",ADDRESS(MATCH($D29, CONFIG!$B:$B, 0),MATCH(J$1, CONFIG!$1:$1, 0)))),".pdf#page=",J30),CONCATENATE("#Sharepoint//",$D29))</f>
        <v/>
      </c>
      <c r="K29" s="158" t="n"/>
      <c r="L29" s="158" t="n"/>
    </row>
    <row r="30" outlineLevel="2" s="583">
      <c r="A30" s="183" t="n"/>
      <c r="B30" s="184" t="n"/>
      <c r="C30" s="178" t="n"/>
      <c r="D30" s="50" t="n"/>
      <c r="E30" s="186" t="inlineStr">
        <is>
          <t>Rif. Pagina</t>
        </is>
      </c>
      <c r="F30" s="50" t="n">
        <v>1</v>
      </c>
      <c r="G30" s="50" t="n"/>
      <c r="H30" s="50" t="n"/>
      <c r="I30" s="50" t="n"/>
      <c r="J30" s="50" t="n">
        <v>1</v>
      </c>
      <c r="K30" s="50" t="n"/>
      <c r="L30" s="50" t="n"/>
    </row>
    <row r="31" outlineLevel="1" s="583">
      <c r="A31" s="183" t="n"/>
      <c r="B31" s="184" t="n"/>
      <c r="C31" s="158" t="inlineStr">
        <is>
          <t>CONFIG</t>
        </is>
      </c>
      <c r="D31" s="158" t="inlineStr">
        <is>
          <t>FPD_xx</t>
        </is>
      </c>
      <c r="E31" s="185" t="inlineStr">
        <is>
          <t>Link</t>
        </is>
      </c>
      <c r="F31" s="314">
        <f t="array" ref="F31">HYPERLINK(CONCATENATE(Cartelle!$D$5,F$1,"/CONFIG/",MID($D31,1,FIND("_",$D31)-1),"/",INDIRECT(CONCATENATE("'CONFIG'!",ADDRESS(MATCH($D31, CONFIG!$B:$B, 0),MATCH(F$1, CONFIG!$1:$1, 0)))),".pdf#page=",F32),CONCATENATE("#Sharepoint//",$D31))</f>
        <v/>
      </c>
      <c r="G31" s="158" t="n"/>
      <c r="H31" s="158" t="n"/>
      <c r="I31" s="158" t="n"/>
      <c r="J31" s="314">
        <f t="array" ref="J31">HYPERLINK(CONCATENATE(Cartelle!$D$5,J$1,"/CONFIG/",MID($D31,1,FIND("_",$D31)-1),"/",INDIRECT(CONCATENATE("'CONFIG'!",ADDRESS(MATCH($D31, CONFIG!$B:$B, 0),MATCH(J$1, CONFIG!$1:$1, 0)))),".pdf#page=",J32),CONCATENATE("#Sharepoint//",$D31))</f>
        <v/>
      </c>
      <c r="K31" s="158" t="n"/>
      <c r="L31" s="158" t="n"/>
    </row>
    <row r="32" outlineLevel="2" s="583">
      <c r="A32" s="183" t="n"/>
      <c r="B32" s="184" t="n"/>
      <c r="C32" s="184" t="n"/>
      <c r="D32" s="50" t="n"/>
      <c r="E32" s="186" t="inlineStr">
        <is>
          <t>Rif. Pagina</t>
        </is>
      </c>
      <c r="F32" s="50" t="n">
        <v>1</v>
      </c>
      <c r="G32" s="50" t="n"/>
      <c r="H32" s="50" t="n"/>
      <c r="I32" s="50" t="n"/>
      <c r="J32" s="50" t="n">
        <v>1</v>
      </c>
      <c r="K32" s="50" t="n"/>
      <c r="L32" s="50" t="n"/>
    </row>
    <row r="33" outlineLevel="1" s="583">
      <c r="A33" s="116" t="n"/>
      <c r="B33" s="144" t="n"/>
      <c r="C33" s="158" t="inlineStr">
        <is>
          <t>MAN_CPR</t>
        </is>
      </c>
      <c r="D33" s="164" t="inlineStr">
        <is>
          <t>PBC_01A</t>
        </is>
      </c>
      <c r="E33" s="191" t="inlineStr">
        <is>
          <t>Link</t>
        </is>
      </c>
      <c r="F33" s="314">
        <f t="array" ref="F33">HYPERLINK(CONCATENATE(Cartelle!$D$5,F$1,"/",$C33,"/",MID($D33,1,FIND("_",$D33)-1),"/",INDIRECT(CONCATENATE("'" &amp; $C33 &amp; "'!",ADDRESS(MATCH($D33, INDIRECT("'" &amp; $C33 &amp; "'!$B:$B"), 0),MATCH(F$1, INDIRECT("'" &amp; $C33 &amp; "'!$1:$1"), 0)))),".",INDIRECT(CONCATENATE("'"&amp;$C33&amp;"'!",ADDRESS(MATCH($D33,INDIRECT("'"&amp;$C33&amp;"'!$B:$B"),0),3))),"#page=",F34),CONCATENATE("#Sharepoint//",$D33))</f>
        <v/>
      </c>
      <c r="G33" s="314">
        <f t="array" ref="G33">HYPERLINK(CONCATENATE(Cartelle!$D$5,INDEX(INDIRECT("'" &amp; $C33 &amp; "'!$1:$1"), 1, MATCH(INDIRECT(CONCATENATE("'" &amp; $C33 &amp; "'!",ADDRESS(MATCH($D33, INDIRECT("'" &amp; $C33 &amp; "'!$B:$B"), 0),MATCH(G$1, INDIRECT("'" &amp; $C33 &amp; "'!$1:$1"), 0)))),INDIRECT(CONCATENATE("'" &amp; $C33 &amp; "'!",MATCH($D33, INDIRECT("'" &amp; $C33 &amp; "'!$B:$B"), 0),":",MATCH($D33, INDIRECT("'" &amp; $C33 &amp; "'!$B:$B"), 0))),0)),"/",$C33,"/",MID($D33,1,FIND("_",$D33)-1),"/",INDIRECT(CONCATENATE("'" &amp; $C33 &amp; "'!",ADDRESS(MATCH($D33, INDIRECT("'" &amp; $C33 &amp; "'!$B:$B"), 0),MATCH(G$1, INDIRECT("'" &amp; $C33 &amp; "'!$1:$1"), 0)))),".",INDIRECT(CONCATENATE("'"&amp;$C33&amp;"'!",ADDRESS(MATCH($D33,INDIRECT("'"&amp;$C33&amp;"'!$B:$B"),0),3))),"#page=",G34),CONCATENATE("#Sharepoint//",$D33))</f>
        <v/>
      </c>
      <c r="H33" s="158" t="n"/>
      <c r="I33" s="158" t="n"/>
      <c r="J33" s="158" t="n"/>
      <c r="K33" s="158" t="n"/>
      <c r="L33" s="158" t="n"/>
    </row>
    <row r="34" outlineLevel="2" s="583">
      <c r="A34" s="116" t="n"/>
      <c r="B34" s="144" t="n"/>
      <c r="D34" s="358" t="n"/>
      <c r="E34" s="186" t="inlineStr">
        <is>
          <t>Rif. Pagina</t>
        </is>
      </c>
      <c r="F34" s="50" t="n">
        <v>1</v>
      </c>
      <c r="G34" s="50" t="n">
        <v>1</v>
      </c>
      <c r="H34" s="50" t="n"/>
      <c r="I34" s="50" t="n"/>
      <c r="J34" s="50" t="n"/>
      <c r="K34" s="50" t="n"/>
      <c r="L34" s="50" t="n"/>
    </row>
    <row r="35" outlineLevel="2" s="583">
      <c r="A35" s="116" t="n"/>
      <c r="B35" s="144" t="n"/>
      <c r="D35" s="108" t="n"/>
      <c r="E35" s="85" t="inlineStr">
        <is>
          <t>Descrizione</t>
        </is>
      </c>
      <c r="F35" s="50" t="n"/>
      <c r="G35" s="50" t="n"/>
      <c r="H35" s="50" t="n"/>
      <c r="I35" s="50" t="n"/>
      <c r="J35" s="50" t="n"/>
      <c r="K35" s="50" t="n"/>
      <c r="L35" s="50" t="n"/>
    </row>
    <row r="36" outlineLevel="1" s="583">
      <c r="A36" s="116" t="n"/>
      <c r="B36" s="144" t="n"/>
      <c r="C36" s="158" t="inlineStr">
        <is>
          <t>DIAGNOSTIC</t>
        </is>
      </c>
      <c r="D36" s="164" t="inlineStr">
        <is>
          <t>DIA_Regole</t>
        </is>
      </c>
      <c r="E36" s="191" t="inlineStr">
        <is>
          <t>Link</t>
        </is>
      </c>
      <c r="F36" s="314">
        <f t="array" ref="F36">HYPERLINK(CONCATENATE(Cartelle!$D$5,F$1,"/",$C36,"/",MID($D36,1,FIND("_",$D36)-1),"/",INDIRECT(CONCATENATE("'" &amp; $C36 &amp; "'!",ADDRESS(MATCH($D36, INDIRECT("'" &amp; $C36 &amp; "'!$B:$B"), 0),MATCH(F$1, INDIRECT("'" &amp; $C36 &amp; "'!$1:$1"), 0)))),".",INDIRECT(CONCATENATE("'"&amp;$C36&amp;"'!",ADDRESS(MATCH($D36,INDIRECT("'"&amp;$C36&amp;"'!$B:$B"),0),3))),"#page=",F37),CONCATENATE("#Sharepoint//",$D36))</f>
        <v/>
      </c>
      <c r="G36" s="158" t="n"/>
      <c r="H36" s="158" t="n"/>
      <c r="I36" s="158" t="n"/>
      <c r="J36" s="158" t="n"/>
      <c r="K36" s="158" t="n"/>
      <c r="L36" s="158" t="n"/>
    </row>
    <row r="37" outlineLevel="2" s="583">
      <c r="A37" s="116" t="n"/>
      <c r="B37" s="144" t="n"/>
      <c r="D37" s="358" t="n"/>
      <c r="E37" s="85" t="inlineStr">
        <is>
          <t>Pagina</t>
        </is>
      </c>
      <c r="F37" s="50" t="n">
        <v>1</v>
      </c>
      <c r="G37" s="50" t="n"/>
      <c r="H37" s="50" t="n"/>
      <c r="I37" s="50" t="n"/>
      <c r="J37" s="50" t="n"/>
      <c r="K37" s="50" t="n"/>
      <c r="L37" s="50" t="n"/>
    </row>
    <row r="38" outlineLevel="1" s="583">
      <c r="A38" s="116" t="n"/>
      <c r="B38" s="387" t="inlineStr">
        <is>
          <t>TBD Sottocartelle GENERAL sulla base del prefisso</t>
        </is>
      </c>
      <c r="C38" s="158" t="inlineStr">
        <is>
          <t>GENERAL</t>
        </is>
      </c>
      <c r="D38" s="164" t="inlineStr">
        <is>
          <t>FD_TCMS</t>
        </is>
      </c>
      <c r="E38" s="191" t="inlineStr">
        <is>
          <t>Link</t>
        </is>
      </c>
      <c r="F38" s="462">
        <f t="array" ref="F38">HYPERLINK(CONCATENATE(Cartelle!$D$5,F$1,"/",$C38,"/",MID($D38,1,FIND("_",$D38)-1),"/",INDIRECT(CONCATENATE("'" &amp; $C38 &amp; "'!",ADDRESS(MATCH($D38, INDIRECT("'" &amp; $C38 &amp; "'!$B:$B"), 0),MATCH(F$1, INDIRECT("'" &amp; $C38 &amp; "'!$1:$1"), 0)))),".",INDIRECT(CONCATENATE("'"&amp;$C38&amp;"'!",ADDRESS(MATCH($D38,INDIRECT("'"&amp;$C38&amp;"'!$B:$B"),0),3))),"#page=",F39),CONCATENATE("#Sharepoint//",$D38))</f>
        <v/>
      </c>
      <c r="G38" s="158" t="n"/>
      <c r="H38" s="158" t="n"/>
      <c r="I38" s="158" t="n"/>
      <c r="J38" s="158" t="n"/>
      <c r="K38" s="158" t="n"/>
      <c r="L38" s="158" t="n"/>
    </row>
    <row r="39" outlineLevel="2" s="583">
      <c r="A39" s="116" t="n"/>
      <c r="B39" s="144" t="n"/>
      <c r="D39" s="358" t="n"/>
      <c r="E39" s="85" t="inlineStr">
        <is>
          <t>Pagina</t>
        </is>
      </c>
      <c r="F39" s="50" t="n">
        <v>1</v>
      </c>
      <c r="G39" s="50" t="n"/>
      <c r="H39" s="50" t="n"/>
      <c r="I39" s="50" t="n"/>
      <c r="J39" s="50" t="n"/>
      <c r="K39" s="50" t="n"/>
      <c r="L39" s="50" t="n"/>
    </row>
    <row r="40" ht="30" customHeight="1" s="583">
      <c r="A40" s="176" t="inlineStr">
        <is>
          <t>LV_Country_code_selection</t>
        </is>
      </c>
      <c r="B40" s="176" t="inlineStr">
        <is>
          <t>Selezione su IDU del paese corrente, per informare la PCU sui pantografi selezionabili</t>
        </is>
      </c>
      <c r="C40" s="392" t="n"/>
      <c r="D40" s="187" t="inlineStr">
        <is>
          <t>\</t>
        </is>
      </c>
      <c r="E40" s="160" t="n"/>
      <c r="F40" s="161" t="n"/>
      <c r="G40" s="161" t="n"/>
      <c r="H40" s="161" t="n"/>
      <c r="I40" s="161" t="n"/>
      <c r="J40" s="161" t="n"/>
      <c r="K40" s="161" t="n"/>
      <c r="L40" s="162" t="n"/>
    </row>
    <row r="41" outlineLevel="1" s="583">
      <c r="A41" s="181" t="n"/>
      <c r="B41" s="182" t="n"/>
      <c r="C41" s="158" t="inlineStr">
        <is>
          <t>CONFIG</t>
        </is>
      </c>
      <c r="D41" s="158" t="inlineStr">
        <is>
          <t>FRS_Line Voltage</t>
        </is>
      </c>
      <c r="E41" s="185" t="inlineStr">
        <is>
          <t>Link</t>
        </is>
      </c>
      <c r="F41" s="314">
        <f t="array" ref="F41">HYPERLINK(CONCATENATE(Cartelle!$D$5,F$1,"/",$C41,"/",MID($D41,1,FIND("_",$D41)-1),"/",INDIRECT(CONCATENATE("'" &amp; $C41 &amp; "'!",ADDRESS(MATCH($D41, INDIRECT("'" &amp; $C41 &amp; "'!$B:$B"), 0),MATCH(F$1, INDIRECT("'" &amp; $C41 &amp; "'!$1:$1"), 0)))),".",INDIRECT(CONCATENATE("'"&amp;$C41&amp;"'!",ADDRESS(MATCH($D41,INDIRECT("'"&amp;$C41&amp;"'!$B:$B"),0),3))),"#page=",F42),CONCATENATE("#Sharepoint//",$D41))</f>
        <v/>
      </c>
      <c r="G41" s="379" t="n"/>
      <c r="H41" s="314">
        <f t="array" ref="H41">HYPERLINK(CONCATENATE(Cartelle!$D$5,INDEX(INDIRECT("'" &amp; $C41 &amp; "'!$1:$1"), 1, MATCH(INDIRECT(CONCATENATE("'" &amp; $C41 &amp; "'!",ADDRESS(MATCH($D41, INDIRECT("'" &amp; $C41 &amp; "'!$B:$B"), 0),MATCH(H$1, INDIRECT("'" &amp; $C41 &amp; "'!$1:$1"), 0)))),INDIRECT(CONCATENATE("'" &amp; $C41 &amp; "'!",MATCH($D41, INDIRECT("'" &amp; $C41 &amp; "'!$B:$B"), 0),":",MATCH($D41, INDIRECT("'" &amp; $C41 &amp; "'!$B:$B"), 0))),0)),"/",$C41,"/",MID($D41,1,FIND("_",$D41)-1),"/",INDIRECT(CONCATENATE("'" &amp; $C41 &amp; "'!",ADDRESS(MATCH($D41, INDIRECT("'" &amp; $C41 &amp; "'!$B:$B"), 0),MATCH(H$1, INDIRECT("'" &amp; $C41 &amp; "'!$1:$1"), 0)))),".",INDIRECT(CONCATENATE("'"&amp;$C41&amp;"'!",ADDRESS(MATCH($D41,INDIRECT("'"&amp;$C41&amp;"'!$B:$B"),0),3))),"#page=",H42),CONCATENATE("#Sharepoint//",$D41))</f>
        <v/>
      </c>
      <c r="I41" s="314">
        <f t="array" ref="I41">HYPERLINK(CONCATENATE(Cartelle!$D$5,INDEX(INDIRECT("'" &amp; $C41 &amp; "'!$1:$1"), 1, MATCH(INDIRECT(CONCATENATE("'" &amp; $C41 &amp; "'!",ADDRESS(MATCH($D41, INDIRECT("'" &amp; $C41 &amp; "'!$B:$B"), 0),MATCH(I$1, INDIRECT("'" &amp; $C41 &amp; "'!$1:$1"), 0)))),INDIRECT(CONCATENATE("'" &amp; $C41 &amp; "'!",MATCH($D41, INDIRECT("'" &amp; $C41 &amp; "'!$B:$B"), 0),":",MATCH($D41, INDIRECT("'" &amp; $C41 &amp; "'!$B:$B"), 0))),0)),"/",$C41,"/",MID($D41,1,FIND("_",$D41)-1),"/",INDIRECT(CONCATENATE("'" &amp; $C41 &amp; "'!",ADDRESS(MATCH($D41, INDIRECT("'" &amp; $C41 &amp; "'!$B:$B"), 0),MATCH(I$1, INDIRECT("'" &amp; $C41 &amp; "'!$1:$1"), 0)))),".",INDIRECT(CONCATENATE("'"&amp;$C41&amp;"'!",ADDRESS(MATCH($D41,INDIRECT("'"&amp;$C41&amp;"'!$B:$B"),0),3))),"#page=",I42),CONCATENATE("#Sharepoint//",$D41))</f>
        <v/>
      </c>
      <c r="J41" s="314">
        <f t="array" ref="J41">HYPERLINK(CONCATENATE(Cartelle!$D$5,INDEX(INDIRECT("'" &amp; $C41 &amp; "'!$1:$1"), 1, MATCH(INDIRECT(CONCATENATE("'" &amp; $C41 &amp; "'!",ADDRESS(MATCH($D41, INDIRECT("'" &amp; $C41 &amp; "'!$B:$B"), 0),MATCH(J$1, INDIRECT("'" &amp; $C41 &amp; "'!$1:$1"), 0)))),INDIRECT(CONCATENATE("'" &amp; $C41 &amp; "'!",MATCH($D41, INDIRECT("'" &amp; $C41 &amp; "'!$B:$B"), 0),":",MATCH($D41, INDIRECT("'" &amp; $C41 &amp; "'!$B:$B"), 0))),0)),"/",$C41,"/",MID($D41,1,FIND("_",$D41)-1),"/",INDIRECT(CONCATENATE("'" &amp; $C41 &amp; "'!",ADDRESS(MATCH($D41, INDIRECT("'" &amp; $C41 &amp; "'!$B:$B"), 0),MATCH(J$1, INDIRECT("'" &amp; $C41 &amp; "'!$1:$1"), 0)))),".",INDIRECT(CONCATENATE("'"&amp;$C41&amp;"'!",ADDRESS(MATCH($D41,INDIRECT("'"&amp;$C41&amp;"'!$B:$B"),0),3))),"#page=",J42),CONCATENATE("#Sharepoint//",$D41))</f>
        <v/>
      </c>
      <c r="K41" s="157" t="n"/>
      <c r="L41" s="158" t="n"/>
    </row>
    <row r="42" outlineLevel="2" s="583">
      <c r="A42" s="183" t="n"/>
      <c r="B42" s="184" t="n"/>
      <c r="C42" s="184" t="n"/>
      <c r="D42" s="50" t="n"/>
      <c r="E42" s="186" t="inlineStr">
        <is>
          <t>Rif. Pagina</t>
        </is>
      </c>
      <c r="F42" s="50" t="n">
        <v>7</v>
      </c>
      <c r="G42" s="50" t="n"/>
      <c r="H42" s="50" t="n">
        <v>7</v>
      </c>
      <c r="I42" s="50" t="n">
        <v>7</v>
      </c>
      <c r="J42" s="50" t="n">
        <v>12</v>
      </c>
      <c r="K42" s="85" t="n"/>
      <c r="L42" s="50" t="n"/>
    </row>
    <row r="43" outlineLevel="2" ht="345" customHeight="1" s="583">
      <c r="A43" s="183" t="n"/>
      <c r="B43" s="184" t="n"/>
      <c r="C43" s="184" t="n"/>
      <c r="D43" s="434" t="n"/>
      <c r="E43" s="455" t="inlineStr">
        <is>
          <t>Funzioni AI</t>
        </is>
      </c>
      <c r="F43" s="525" t="inlineStr">
        <is>
          <t>La funzione ferroviaria LV_Country_code_selection seleziona il paese corrente tramite l'IDU per informare la PCU sui pantografi selezionabili. Coinvolti sono il sistema di controllo elettronico (IDU), il sistema di propulsione, la PCU e il software del sistema. La funzione è attivata quando il driver seleziona un paese corrente tramite l'IDU e conferma la selezione. In caso di fallimento, il sistema verifica se il paese selezionato è stato effettivamente configurato correttamente.
Analisi — Funzione equivalente tra le seguenti configurazioni: VZI_Base, VZ_FR, VZ_ES, VZI-6_R1.
Pagina di riferimento: pagina 7.</t>
        </is>
      </c>
      <c r="G43" s="456" t="n"/>
      <c r="H43" s="525" t="inlineStr">
        <is>
          <t>La funzione ferroviaria LV_Country_code_selection è una selezione su IDU del paese corrente per informare la PCU sui pantografi selezionabili. È coinvolti componenti elettrici/meccanici/software come l'IDU, il sistema di propulsione e i PCU. La logica di funzionamento prevede che il driver selezioni un paese corrente dall'IDU e confermi la selezione, mentre in caso di fallimento viene detectata una mancata selezione o una selezione errata e l'algoritmo invia un feedback all'IDU. La funzione è progettata per garantire la sicurezza con SIL 2 e prevede ridondanze per assicurare la stabilità del sistema in caso di fallimento.
Analisi — Funzione equivalente tra le seguenti configurazioni: VZI_Base, VZ_FR, VZ_ES, VZI-6_R1.
Pagina di riferimento: pagina 7.</t>
        </is>
      </c>
      <c r="I43" s="525" t="inlineStr">
        <is>
          <t>La funzione ferroviaria LV_Country_code_selection seleziona l'IDU del paese corrente per informare la PCU sui pantografi selezionabili. Coinvolti sono il sistema IDU, la PCU e il software TCMS. La logica di funzionamento attiva la selezione del paese in base all'IDU inserito, che viene poi trasmesso alle PCU per configurare i pantografi appropriati. La funzione è progettata con un livello di sicurezza SIL 2 e prevede una ridondanza nella trasmissione della selezione al sistema PCU.
Analisi — Funzione equivalente tra le seguenti configurazioni: VZI_Base, VZ_FR, VZ_ES, VZI-6_R1.
Pagina di riferimento: pagina 7.</t>
        </is>
      </c>
      <c r="J43" s="525" t="inlineStr">
        <is>
          <t>La funzione ferroviaria LV_Country_code_selection seleziona l'IDU del paese corrente per informare la PCU sui pantografi selezionabili. Coinvolti sono il sistema di gestione dei codici di paese, il sistema di supervisione della tensione elettrica, e il software IDU. La funzione è attivata quando si seleziona un paese non italiano, in cui caso viene visualizzato un messaggio di avviso al conducente.
Analisi — Funzione equivalente tra le seguenti configurazioni: VZI_Base, VZ_FR, VZ_ES, VZI-6_R1.
Pagina di riferimento: pagina 12.</t>
        </is>
      </c>
      <c r="K43" s="455" t="n"/>
      <c r="L43" s="457" t="n"/>
    </row>
    <row r="44" ht="30" customHeight="1" s="583">
      <c r="A44" s="176" t="inlineStr">
        <is>
          <t>LV_Pantograph_Lifting</t>
        </is>
      </c>
      <c r="B44" s="176" t="inlineStr">
        <is>
          <t>Comando di alzamento pantografo 1 o 2 sulla base di tensione di linea (switch) e paese (IDU) selezionati</t>
        </is>
      </c>
      <c r="C44" s="392" t="n"/>
      <c r="D44" s="187" t="inlineStr">
        <is>
          <t>\</t>
        </is>
      </c>
      <c r="E44" s="160" t="n"/>
      <c r="F44" s="161" t="n"/>
      <c r="G44" s="161" t="n"/>
      <c r="H44" s="161" t="n"/>
      <c r="I44" s="161" t="n"/>
      <c r="J44" s="161" t="n"/>
      <c r="K44" s="161" t="n"/>
      <c r="L44" s="162" t="n"/>
    </row>
    <row r="45" outlineLevel="1" s="583">
      <c r="A45" s="181" t="n"/>
      <c r="B45" s="182" t="n"/>
      <c r="C45" s="158" t="inlineStr">
        <is>
          <t>CONFIG</t>
        </is>
      </c>
      <c r="D45" s="158" t="inlineStr">
        <is>
          <t>FRS_Line Voltage</t>
        </is>
      </c>
      <c r="E45" s="185" t="inlineStr">
        <is>
          <t>Link</t>
        </is>
      </c>
      <c r="F45" s="314">
        <f t="array" ref="F45">HYPERLINK(CONCATENATE(Cartelle!$D$5,F$1,"/",$C45,"/",MID($D45,1,FIND("_",$D45)-1),"/",INDIRECT(CONCATENATE("'" &amp; $C45 &amp; "'!",ADDRESS(MATCH($D45, INDIRECT("'" &amp; $C45 &amp; "'!$B:$B"), 0),MATCH(F$1, INDIRECT("'" &amp; $C45 &amp; "'!$1:$1"), 0)))),".",INDIRECT(CONCATENATE("'"&amp;$C45&amp;"'!",ADDRESS(MATCH($D45,INDIRECT("'"&amp;$C45&amp;"'!$B:$B"),0),3))),"#page=",F46),CONCATENATE("#Sharepoint//",$D45))</f>
        <v/>
      </c>
      <c r="G45" s="379" t="n"/>
      <c r="H45" s="314">
        <f t="array" ref="H45">HYPERLINK(CONCATENATE(Cartelle!$D$5,INDEX(INDIRECT("'" &amp; $C45 &amp; "'!$1:$1"), 1, MATCH(INDIRECT(CONCATENATE("'" &amp; $C45 &amp; "'!",ADDRESS(MATCH($D45, INDIRECT("'" &amp; $C45 &amp; "'!$B:$B"), 0),MATCH(H$1, INDIRECT("'" &amp; $C45 &amp; "'!$1:$1"), 0)))),INDIRECT(CONCATENATE("'" &amp; $C45 &amp; "'!",MATCH($D45, INDIRECT("'" &amp; $C45 &amp; "'!$B:$B"), 0),":",MATCH($D45, INDIRECT("'" &amp; $C45 &amp; "'!$B:$B"), 0))),0)),"/",$C45,"/",MID($D45,1,FIND("_",$D45)-1),"/",INDIRECT(CONCATENATE("'" &amp; $C45 &amp; "'!",ADDRESS(MATCH($D45, INDIRECT("'" &amp; $C45 &amp; "'!$B:$B"), 0),MATCH(H$1, INDIRECT("'" &amp; $C45 &amp; "'!$1:$1"), 0)))),".",INDIRECT(CONCATENATE("'"&amp;$C45&amp;"'!",ADDRESS(MATCH($D45,INDIRECT("'"&amp;$C45&amp;"'!$B:$B"),0),3))),"#page=",H46),CONCATENATE("#Sharepoint//",$D45))</f>
        <v/>
      </c>
      <c r="I45" s="314">
        <f t="array" ref="I45">HYPERLINK(CONCATENATE(Cartelle!$D$5,INDEX(INDIRECT("'" &amp; $C45 &amp; "'!$1:$1"), 1, MATCH(INDIRECT(CONCATENATE("'" &amp; $C45 &amp; "'!",ADDRESS(MATCH($D45, INDIRECT("'" &amp; $C45 &amp; "'!$B:$B"), 0),MATCH(I$1, INDIRECT("'" &amp; $C45 &amp; "'!$1:$1"), 0)))),INDIRECT(CONCATENATE("'" &amp; $C45 &amp; "'!",MATCH($D45, INDIRECT("'" &amp; $C45 &amp; "'!$B:$B"), 0),":",MATCH($D45, INDIRECT("'" &amp; $C45 &amp; "'!$B:$B"), 0))),0)),"/",$C45,"/",MID($D45,1,FIND("_",$D45)-1),"/",INDIRECT(CONCATENATE("'" &amp; $C45 &amp; "'!",ADDRESS(MATCH($D45, INDIRECT("'" &amp; $C45 &amp; "'!$B:$B"), 0),MATCH(I$1, INDIRECT("'" &amp; $C45 &amp; "'!$1:$1"), 0)))),".",INDIRECT(CONCATENATE("'"&amp;$C45&amp;"'!",ADDRESS(MATCH($D45,INDIRECT("'"&amp;$C45&amp;"'!$B:$B"),0),3))),"#page=",I46),CONCATENATE("#Sharepoint//",$D45))</f>
        <v/>
      </c>
      <c r="J45" s="314">
        <f t="array" ref="J45">HYPERLINK(CONCATENATE(Cartelle!$D$5,INDEX(INDIRECT("'" &amp; $C45 &amp; "'!$1:$1"), 1, MATCH(INDIRECT(CONCATENATE("'" &amp; $C45 &amp; "'!",ADDRESS(MATCH($D45, INDIRECT("'" &amp; $C45 &amp; "'!$B:$B"), 0),MATCH(J$1, INDIRECT("'" &amp; $C45 &amp; "'!$1:$1"), 0)))),INDIRECT(CONCATENATE("'" &amp; $C45 &amp; "'!",MATCH($D45, INDIRECT("'" &amp; $C45 &amp; "'!$B:$B"), 0),":",MATCH($D45, INDIRECT("'" &amp; $C45 &amp; "'!$B:$B"), 0))),0)),"/",$C45,"/",MID($D45,1,FIND("_",$D45)-1),"/",INDIRECT(CONCATENATE("'" &amp; $C45 &amp; "'!",ADDRESS(MATCH($D45, INDIRECT("'" &amp; $C45 &amp; "'!$B:$B"), 0),MATCH(J$1, INDIRECT("'" &amp; $C45 &amp; "'!$1:$1"), 0)))),".",INDIRECT(CONCATENATE("'"&amp;$C45&amp;"'!",ADDRESS(MATCH($D45,INDIRECT("'"&amp;$C45&amp;"'!$B:$B"),0),3))),"#page=",J46),CONCATENATE("#Sharepoint//",$D45))</f>
        <v/>
      </c>
      <c r="K45" s="157" t="n"/>
      <c r="L45" s="158" t="n"/>
    </row>
    <row r="46" outlineLevel="2" s="583">
      <c r="A46" s="183" t="n"/>
      <c r="B46" s="184" t="n"/>
      <c r="C46" s="184" t="n"/>
      <c r="D46" s="50" t="n"/>
      <c r="E46" s="186" t="inlineStr">
        <is>
          <t>Rif. Pagina</t>
        </is>
      </c>
      <c r="F46" s="50" t="n">
        <v>8</v>
      </c>
      <c r="G46" s="50" t="n"/>
      <c r="H46" s="50" t="n">
        <v>8</v>
      </c>
      <c r="I46" s="50" t="n">
        <v>8</v>
      </c>
      <c r="J46" s="50" t="n">
        <v>13</v>
      </c>
      <c r="K46" s="85" t="n"/>
      <c r="L46" s="50" t="n"/>
    </row>
    <row r="47" outlineLevel="2" ht="345" customHeight="1" s="583">
      <c r="A47" s="183" t="n"/>
      <c r="B47" s="184" t="n"/>
      <c r="C47" s="184" t="n"/>
      <c r="D47" s="434" t="n"/>
      <c r="E47" s="455" t="inlineStr">
        <is>
          <t>Funzioni AI</t>
        </is>
      </c>
      <c r="F47" s="526" t="inlineStr">
        <is>
          <t>La funzione ferroviaria LV_Pantograph_Lifting è responsabile dell'alzamento del pantografo 1 o 2 in base alla tensione di linea e al paese selezionati dal conducente. I componenti principali coinvolti sono il sistema di controllo (TCMS), il sistema di comunicazione (IP bus) e i dispositivi di controllo (DOs). La funzione è attivata quando il conducente seleziona la linea di tensione e il paese, e viene disattivata in caso di errori o mancato rispetto dei requisiti di sicurezza.
Analisi — Funzione equivalente tra le seguenti configurazioni: VZI_Base, VZ_FR, VZ_ES, VZI-6_R1.
Pagina iniziale: parte di pagina 8 — Pagina finale: parte di pagina 14.</t>
        </is>
      </c>
      <c r="G47" s="456" t="n"/>
      <c r="H47" s="465" t="inlineStr">
        <is>
          <t>La funzione ferroviaria LV_Pantograph_Lifting è responsabile dell'alzamento del pantografo 1 o 2 in base alla tensione di linea e al paese selezionati dal conducente. I componenti principali coinvolti sono il sistema di controllo TCMS, il PCU (Processore Centrale Unificato), i DOs (Dipendenti Operativi) e l'IDU (Interfaccia Diagnostica Utente). La funzione è attivata quando il conducente seleziona la linea di tensione e il paese di operazione, e viene disattivata in caso di errori o mancato rispetto dei requisiti di sicurezza.
Analisi — Funzione equivalente tra le seguenti configurazioni: VZI_Base, VZ_FR, VZ_ES, VZI-6_R1.
Pagina iniziale: parte di pagina 8 — Pagina finale: parte di pagina 16.</t>
        </is>
      </c>
      <c r="I47" s="526" t="inlineStr">
        <is>
          <t>La funzione ferroviaria LV_Pantograph_Lifting è responsabile dell'alzamento del pantografo 1 o 2 in base alla tensione di linea e al paese selezionati dal conducente. I componenti principali coinvolti sono il sistema di controllo (TCMS), il sistema di comunicazione (IP bus) e i dispositivi di controllo (DO). La funzione è attivata quando il conducente seleziona la linea di tensione e il paese, e viene disattivata in caso di errori o mancato rispetto delle condizioni di sicurezza. In caso di fallimento del pantografo, il sistema invia un avviso al conducente e blocca l'eventuale pantografo in uso.
Analisi — Funzione equivalente tra le seguenti configurazioni: VZI_Base, VZ_FR, VZ_ES, VZI-6_R1.
Pagina iniziale: parte di pagina 8 — Pagina finale: parte di pagina 14.</t>
        </is>
      </c>
      <c r="J47" s="465" t="inlineStr">
        <is>
          <t>La funzione ferroviaria LV_Pantograph_Lifting è responsabile dell'alzamento del pantografo 1 o 2 in base alla tensione di linea e al paese selezionati. I componenti principali coinvolti sono il sistema di controllo (TCMS), il Pantograph Control Unit (PCU) e il selector switch di line voltage. La funzione viene attivata quando il driver seleziona la corretta tensione di linea e paese, e viene disattivata in caso di errori o mancato rispetto alle condizioni di funzionamento. In caso di fallimento del pantografo, il sistema invia un avviso al controllo centrale e blocca l'eventuale movimento del pantografo.
Analisi — Funzione equivalente tra le seguenti configurazioni: VZI_Base, VZ_FR, VZ_ES, VZI-6_R1.
Pagina iniziale: parte di pagina 13 — Pagina finale: parte di pagina 19.</t>
        </is>
      </c>
      <c r="K47" s="455" t="n"/>
      <c r="L47" s="457" t="n"/>
    </row>
    <row r="48" ht="30" customHeight="1" s="583">
      <c r="A48" s="176" t="inlineStr">
        <is>
          <t>LV_Pantograph_Lowering</t>
        </is>
      </c>
      <c r="B48" s="176" t="inlineStr">
        <is>
          <t>Comando di abbassamento pantografo manuale/automatico</t>
        </is>
      </c>
      <c r="C48" s="392" t="n"/>
      <c r="D48" s="187" t="inlineStr">
        <is>
          <t>\</t>
        </is>
      </c>
      <c r="E48" s="160" t="n"/>
      <c r="F48" s="161" t="n"/>
      <c r="G48" s="161" t="n"/>
      <c r="H48" s="161" t="n"/>
      <c r="I48" s="161" t="n"/>
      <c r="J48" s="161" t="n"/>
      <c r="K48" s="161" t="n"/>
      <c r="L48" s="162" t="n"/>
    </row>
    <row r="49" outlineLevel="1" s="583">
      <c r="A49" s="181" t="n"/>
      <c r="B49" s="182" t="n"/>
      <c r="C49" s="158" t="inlineStr">
        <is>
          <t>CONFIG</t>
        </is>
      </c>
      <c r="D49" s="158" t="inlineStr">
        <is>
          <t>FRS_Line Voltage</t>
        </is>
      </c>
      <c r="E49" s="185" t="inlineStr">
        <is>
          <t>Link</t>
        </is>
      </c>
      <c r="F49" s="314">
        <f t="array" ref="F49">HYPERLINK(CONCATENATE(Cartelle!$D$5,F$1,"/",$C49,"/",MID($D49,1,FIND("_",$D49)-1),"/",INDIRECT(CONCATENATE("'" &amp; $C49 &amp; "'!",ADDRESS(MATCH($D49, INDIRECT("'" &amp; $C49 &amp; "'!$B:$B"), 0),MATCH(F$1, INDIRECT("'" &amp; $C49 &amp; "'!$1:$1"), 0)))),".",INDIRECT(CONCATENATE("'"&amp;$C49&amp;"'!",ADDRESS(MATCH($D49,INDIRECT("'"&amp;$C49&amp;"'!$B:$B"),0),3))),"#page=",F50),CONCATENATE("#Sharepoint//",$D49))</f>
        <v/>
      </c>
      <c r="G49" s="379" t="n"/>
      <c r="H49" s="314">
        <f t="array" ref="H49">HYPERLINK(CONCATENATE(Cartelle!$D$5,INDEX(INDIRECT("'" &amp; $C49 &amp; "'!$1:$1"), 1, MATCH(INDIRECT(CONCATENATE("'" &amp; $C49 &amp; "'!",ADDRESS(MATCH($D49, INDIRECT("'" &amp; $C49 &amp; "'!$B:$B"), 0),MATCH(H$1, INDIRECT("'" &amp; $C49 &amp; "'!$1:$1"), 0)))),INDIRECT(CONCATENATE("'" &amp; $C49 &amp; "'!",MATCH($D49, INDIRECT("'" &amp; $C49 &amp; "'!$B:$B"), 0),":",MATCH($D49, INDIRECT("'" &amp; $C49 &amp; "'!$B:$B"), 0))),0)),"/",$C49,"/",MID($D49,1,FIND("_",$D49)-1),"/",INDIRECT(CONCATENATE("'" &amp; $C49 &amp; "'!",ADDRESS(MATCH($D49, INDIRECT("'" &amp; $C49 &amp; "'!$B:$B"), 0),MATCH(H$1, INDIRECT("'" &amp; $C49 &amp; "'!$1:$1"), 0)))),".",INDIRECT(CONCATENATE("'"&amp;$C49&amp;"'!",ADDRESS(MATCH($D49,INDIRECT("'"&amp;$C49&amp;"'!$B:$B"),0),3))),"#page=",H50),CONCATENATE("#Sharepoint//",$D49))</f>
        <v/>
      </c>
      <c r="I49" s="314">
        <f t="array" ref="I49">HYPERLINK(CONCATENATE(Cartelle!$D$5,INDEX(INDIRECT("'" &amp; $C49 &amp; "'!$1:$1"), 1, MATCH(INDIRECT(CONCATENATE("'" &amp; $C49 &amp; "'!",ADDRESS(MATCH($D49, INDIRECT("'" &amp; $C49 &amp; "'!$B:$B"), 0),MATCH(I$1, INDIRECT("'" &amp; $C49 &amp; "'!$1:$1"), 0)))),INDIRECT(CONCATENATE("'" &amp; $C49 &amp; "'!",MATCH($D49, INDIRECT("'" &amp; $C49 &amp; "'!$B:$B"), 0),":",MATCH($D49, INDIRECT("'" &amp; $C49 &amp; "'!$B:$B"), 0))),0)),"/",$C49,"/",MID($D49,1,FIND("_",$D49)-1),"/",INDIRECT(CONCATENATE("'" &amp; $C49 &amp; "'!",ADDRESS(MATCH($D49, INDIRECT("'" &amp; $C49 &amp; "'!$B:$B"), 0),MATCH(I$1, INDIRECT("'" &amp; $C49 &amp; "'!$1:$1"), 0)))),".",INDIRECT(CONCATENATE("'"&amp;$C49&amp;"'!",ADDRESS(MATCH($D49,INDIRECT("'"&amp;$C49&amp;"'!$B:$B"),0),3))),"#page=",I50),CONCATENATE("#Sharepoint//",$D49))</f>
        <v/>
      </c>
      <c r="J49" s="314">
        <f t="array" ref="J49">HYPERLINK(CONCATENATE(Cartelle!$D$5,INDEX(INDIRECT("'" &amp; $C49 &amp; "'!$1:$1"), 1, MATCH(INDIRECT(CONCATENATE("'" &amp; $C49 &amp; "'!",ADDRESS(MATCH($D49, INDIRECT("'" &amp; $C49 &amp; "'!$B:$B"), 0),MATCH(J$1, INDIRECT("'" &amp; $C49 &amp; "'!$1:$1"), 0)))),INDIRECT(CONCATENATE("'" &amp; $C49 &amp; "'!",MATCH($D49, INDIRECT("'" &amp; $C49 &amp; "'!$B:$B"), 0),":",MATCH($D49, INDIRECT("'" &amp; $C49 &amp; "'!$B:$B"), 0))),0)),"/",$C49,"/",MID($D49,1,FIND("_",$D49)-1),"/",INDIRECT(CONCATENATE("'" &amp; $C49 &amp; "'!",ADDRESS(MATCH($D49, INDIRECT("'" &amp; $C49 &amp; "'!$B:$B"), 0),MATCH(J$1, INDIRECT("'" &amp; $C49 &amp; "'!$1:$1"), 0)))),".",INDIRECT(CONCATENATE("'"&amp;$C49&amp;"'!",ADDRESS(MATCH($D49,INDIRECT("'"&amp;$C49&amp;"'!$B:$B"),0),3))),"#page=",J50),CONCATENATE("#Sharepoint//",$D49))</f>
        <v/>
      </c>
      <c r="K49" s="157" t="n"/>
      <c r="L49" s="158" t="n"/>
    </row>
    <row r="50" outlineLevel="2" s="583">
      <c r="A50" s="183" t="n"/>
      <c r="B50" s="184" t="n"/>
      <c r="C50" s="184" t="n"/>
      <c r="D50" s="50" t="n"/>
      <c r="E50" s="186" t="inlineStr">
        <is>
          <t>Rif. Pagina</t>
        </is>
      </c>
      <c r="F50" s="50" t="n">
        <v>14</v>
      </c>
      <c r="G50" s="50" t="n"/>
      <c r="H50" s="50" t="n">
        <v>16</v>
      </c>
      <c r="I50" s="50" t="n">
        <v>14</v>
      </c>
      <c r="J50" s="50" t="n">
        <v>19</v>
      </c>
      <c r="K50" s="85" t="n"/>
      <c r="L50" s="50" t="n"/>
    </row>
    <row r="51" outlineLevel="2" ht="390" customHeight="1" s="583">
      <c r="A51" s="183" t="n"/>
      <c r="B51" s="184" t="n"/>
      <c r="C51" s="184" t="n"/>
      <c r="D51" s="434" t="n"/>
      <c r="E51" s="455" t="inlineStr">
        <is>
          <t>Funzioni AI</t>
        </is>
      </c>
      <c r="F51" s="526" t="inlineStr">
        <is>
          <t>La funzione ferroviaria LV_Pantograph_Lowering (Comando di abbassamento pantografo) è progettata per abbassare il pantografo in caso di deattivazione del sistema di tensione elettrica, mediante azioni manuali o automatiche. I componenti principali coinvolti sono il pantografo, il sistema di controllo elettronico, il panto-cock e i circuit breaker. La funzione si attiva in base alle seguenti condizioni: deattivazione del sistema di tensione elettrica, azione del pulsante "Pantograph down" o dell'emergenza, o in caso di fallimento critico del pantografo. La funzione è progettata per garantire la sicurezza con un livello di sicurezza SIL 0 e include ridondanze per prevenire incidenti.
Analisi — Funzione equivalente tra le seguenti configurazioni: VZI_Base, VZ_FR, VZ_ES, VZI-6_R1.
Pagina iniziale: parte di pagina 14 — Pagina finale: parte di pagina 16.</t>
        </is>
      </c>
      <c r="G51" s="456" t="n"/>
      <c r="H51" s="465" t="inlineStr">
        <is>
          <t>La funzione ferroviaria LV_Pantograph_Lowering (Comando di abbassamento pantografo) è progettata per abbassare il pantografo in caso di deattivazione del sistema di tensione elettrica, utilizzando un comando manuale o automatico. I componenti principali coinvolti sono il pantografo, il sistema di controllo elettronico (TCMS) e i comandi di abbassamento. La funzione è attivata quando si verifica una delle seguenti condizioni: deattivazione del sistema di tensione elettrica, pressione dell'Emergency push button o avvenuta una critica di fallimento del sistema. In caso di fallimento, il pantografo viene bloccato manualmente. La funzione è progettata per garantire un sicurezza di livello SIL 0.
Analisi — Funzione equivalente tra le seguenti configurazioni: VZI_Base, VZ_FR, VZ_ES, VZI-6_R1.
Pagina iniziale: parte di pagina 16 — Pagina finale: parte di pagina 18.</t>
        </is>
      </c>
      <c r="I51" s="526" t="inlineStr">
        <is>
          <t>La funzione LV_Pantograph_Lowering è un comando che regola l'abbassamento del pantografo in presenza di una deattivazione della linea elettrica. È attivata da comandi manuali (switch "Pantograph down" o pulsante di emergenza) oppure automaticamente a causa di cambiamenti nel sistema elettrico. Il pantografo viene abbassato quando la tensione elettrica è deattivata, tranne che in caso di emergenza. La funzione è progettata per garantire una sicurezza SIL 0 e prevede la bloccatura del pantografo in caso di fallimento.
Analisi — Funzione equivalente tra le seguenti configurazioni: VZI_Base, VZ_FR, VZ_ES, VZI-6_R1.
Pagina iniziale: parte di pagina 14 — Pagina finale: parte di pagina 16.</t>
        </is>
      </c>
      <c r="J51" s="526" t="inlineStr">
        <is>
          <t>La funzione ferroviaria LV_Pantograph_Lowering è responsabile dell'abbassamento del pantografo in caso di deattivazione della linea elettrica. I componenti principali coinvolti sono il sistema di controllo del pantografo, i comandi di abbassamento (pantograph down e pulsante di emergenza) e il sistema di protezione dei circuitti elettrici. La funzione si attiva quando la linea elettrica viene deattivata, tramite il comando "pantograph down" o la pulsante di emergenza, oppure in caso di fallimento del sistema. In caso di fallimento, il pantografo viene bloccato per garantire la sicurezza.
Analisi — Funzione equivalente tra le seguenti configurazioni: VZI_Base, VZ_FR, VZ_ES, VZI-6_R1.
Pagina iniziale: parte di pagina 19 — Pagina finale: parte di pagina 22.</t>
        </is>
      </c>
      <c r="K51" s="455" t="n"/>
      <c r="L51" s="457" t="n"/>
    </row>
    <row r="52" ht="30" customFormat="1" customHeight="1" s="13">
      <c r="A52" s="315" t="inlineStr">
        <is>
          <t>LV_Automatic_Dropping_Device_(ADD)</t>
        </is>
      </c>
      <c r="B52" s="316" t="inlineStr">
        <is>
          <t>Dispositivo di abbassamento automatico del pantografo in caso di guasto</t>
        </is>
      </c>
      <c r="C52" s="393" t="n"/>
      <c r="D52" s="359" t="inlineStr">
        <is>
          <t>\</t>
        </is>
      </c>
      <c r="E52" s="317" t="n"/>
      <c r="F52" s="318" t="n"/>
      <c r="G52" s="318" t="n"/>
      <c r="H52" s="318" t="n"/>
      <c r="I52" s="318" t="n"/>
      <c r="J52" s="318" t="n"/>
      <c r="K52" s="318" t="n"/>
      <c r="L52" s="319" t="n"/>
    </row>
    <row r="53" outlineLevel="1" customFormat="1" s="13">
      <c r="B53" s="103" t="n"/>
      <c r="C53" s="158" t="inlineStr">
        <is>
          <t>CONFIG</t>
        </is>
      </c>
      <c r="D53" s="158" t="inlineStr">
        <is>
          <t>FRS_Line Voltage</t>
        </is>
      </c>
      <c r="E53" s="185" t="inlineStr">
        <is>
          <t>Link</t>
        </is>
      </c>
      <c r="F53" s="314">
        <f t="array" ref="F53">HYPERLINK(CONCATENATE(Cartelle!$D$5,F$1,"/",$C53,"/",MID($D53,1,FIND("_",$D53)-1),"/",INDIRECT(CONCATENATE("'" &amp; $C53 &amp; "'!",ADDRESS(MATCH($D53, INDIRECT("'" &amp; $C53 &amp; "'!$B:$B"), 0),MATCH(F$1, INDIRECT("'" &amp; $C53 &amp; "'!$1:$1"), 0)))),".",INDIRECT(CONCATENATE("'"&amp;$C53&amp;"'!",ADDRESS(MATCH($D53,INDIRECT("'"&amp;$C53&amp;"'!$B:$B"),0),3))),"#page=",F54),CONCATENATE("#Sharepoint//",$D53))</f>
        <v/>
      </c>
      <c r="G53" s="379" t="n"/>
      <c r="H53" s="314">
        <f t="array" ref="H53">HYPERLINK(CONCATENATE(Cartelle!$D$5,INDEX(INDIRECT("'" &amp; $C53 &amp; "'!$1:$1"), 1, MATCH(INDIRECT(CONCATENATE("'" &amp; $C53 &amp; "'!",ADDRESS(MATCH($D53, INDIRECT("'" &amp; $C53 &amp; "'!$B:$B"), 0),MATCH(H$1, INDIRECT("'" &amp; $C53 &amp; "'!$1:$1"), 0)))),INDIRECT(CONCATENATE("'" &amp; $C53 &amp; "'!",MATCH($D53, INDIRECT("'" &amp; $C53 &amp; "'!$B:$B"), 0),":",MATCH($D53, INDIRECT("'" &amp; $C53 &amp; "'!$B:$B"), 0))),0)),"/",$C53,"/",MID($D53,1,FIND("_",$D53)-1),"/",INDIRECT(CONCATENATE("'" &amp; $C53 &amp; "'!",ADDRESS(MATCH($D53, INDIRECT("'" &amp; $C53 &amp; "'!$B:$B"), 0),MATCH(H$1, INDIRECT("'" &amp; $C53 &amp; "'!$1:$1"), 0)))),".",INDIRECT(CONCATENATE("'"&amp;$C53&amp;"'!",ADDRESS(MATCH($D53,INDIRECT("'"&amp;$C53&amp;"'!$B:$B"),0),3))),"#page=",H54),CONCATENATE("#Sharepoint//",$D53))</f>
        <v/>
      </c>
      <c r="I53" s="314">
        <f t="array" ref="I53">HYPERLINK(CONCATENATE(Cartelle!$D$5,INDEX(INDIRECT("'" &amp; $C53 &amp; "'!$1:$1"), 1, MATCH(INDIRECT(CONCATENATE("'" &amp; $C53 &amp; "'!",ADDRESS(MATCH($D53, INDIRECT("'" &amp; $C53 &amp; "'!$B:$B"), 0),MATCH(I$1, INDIRECT("'" &amp; $C53 &amp; "'!$1:$1"), 0)))),INDIRECT(CONCATENATE("'" &amp; $C53 &amp; "'!",MATCH($D53, INDIRECT("'" &amp; $C53 &amp; "'!$B:$B"), 0),":",MATCH($D53, INDIRECT("'" &amp; $C53 &amp; "'!$B:$B"), 0))),0)),"/",$C53,"/",MID($D53,1,FIND("_",$D53)-1),"/",INDIRECT(CONCATENATE("'" &amp; $C53 &amp; "'!",ADDRESS(MATCH($D53, INDIRECT("'" &amp; $C53 &amp; "'!$B:$B"), 0),MATCH(I$1, INDIRECT("'" &amp; $C53 &amp; "'!$1:$1"), 0)))),".",INDIRECT(CONCATENATE("'"&amp;$C53&amp;"'!",ADDRESS(MATCH($D53,INDIRECT("'"&amp;$C53&amp;"'!$B:$B"),0),3))),"#page=",I54),CONCATENATE("#Sharepoint//",$D53))</f>
        <v/>
      </c>
      <c r="J53" s="314">
        <f t="array" ref="J53">HYPERLINK(CONCATENATE(Cartelle!$D$5,INDEX(INDIRECT("'" &amp; $C53 &amp; "'!$1:$1"), 1, MATCH(INDIRECT(CONCATENATE("'" &amp; $C53 &amp; "'!",ADDRESS(MATCH($D53, INDIRECT("'" &amp; $C53 &amp; "'!$B:$B"), 0),MATCH(J$1, INDIRECT("'" &amp; $C53 &amp; "'!$1:$1"), 0)))),INDIRECT(CONCATENATE("'" &amp; $C53 &amp; "'!",MATCH($D53, INDIRECT("'" &amp; $C53 &amp; "'!$B:$B"), 0),":",MATCH($D53, INDIRECT("'" &amp; $C53 &amp; "'!$B:$B"), 0))),0)),"/",$C53,"/",MID($D53,1,FIND("_",$D53)-1),"/",INDIRECT(CONCATENATE("'" &amp; $C53 &amp; "'!",ADDRESS(MATCH($D53, INDIRECT("'" &amp; $C53 &amp; "'!$B:$B"), 0),MATCH(J$1, INDIRECT("'" &amp; $C53 &amp; "'!$1:$1"), 0)))),".",INDIRECT(CONCATENATE("'"&amp;$C53&amp;"'!",ADDRESS(MATCH($D53,INDIRECT("'"&amp;$C53&amp;"'!$B:$B"),0),3))),"#page=",J54),CONCATENATE("#Sharepoint//",$D53))</f>
        <v/>
      </c>
      <c r="K53" s="311" t="n"/>
      <c r="L53" s="311" t="n"/>
    </row>
    <row r="54" outlineLevel="2" customFormat="1" s="13">
      <c r="B54" s="103" t="n"/>
      <c r="C54" s="548" t="n"/>
      <c r="D54" s="361" t="n"/>
      <c r="E54" s="321" t="inlineStr">
        <is>
          <t>Rif. Pagina</t>
        </is>
      </c>
      <c r="F54" s="322" t="n">
        <v>16</v>
      </c>
      <c r="G54" s="322" t="n"/>
      <c r="H54" s="322" t="n">
        <v>18</v>
      </c>
      <c r="I54" s="322" t="n">
        <v>16</v>
      </c>
      <c r="J54" s="322" t="n">
        <v>22</v>
      </c>
      <c r="K54" s="322" t="n"/>
      <c r="L54" s="322" t="n"/>
    </row>
    <row r="55" outlineLevel="2" customFormat="1" s="13">
      <c r="B55" s="103" t="n"/>
      <c r="C55" s="548" t="n"/>
      <c r="D55" s="458" t="n"/>
      <c r="E55" s="459" t="inlineStr">
        <is>
          <t>Funzioni AI</t>
        </is>
      </c>
      <c r="F55" s="626" t="inlineStr">
        <is>
          <t>La funzione ferroviaria LV_Automatic_Dropping_Device_(ADD) è un dispositivo automatico che abbassa il pantografo in caso di guasto del sistema di raccoglienza elettrica. È composta da due tubi pneumatici all'interno dei contatti, uno a livello superiore e uno a livello inferiore, che comunicano con un sistema pneumatico per attivare la discesa automatica del pantografo in caso di danni ai contatti. La funzione è progettata per essere attivata in caso di guasto del sistema di raccoglienza elettrica, con l'obiettivo di garantire la sicurezza del traino e il funzionamento corretto dei sistemi elettrici.
Analisi — Funzione equivalente tra le seguenti configurazioni: VZI_Base, VZ_FR, VZ_ES, VZI-6_R1.
Pagina iniziale: parte di pagina 16 — Pagina finale: parte di pagina 18.</t>
        </is>
      </c>
      <c r="G55" s="460" t="n"/>
      <c r="H55" s="626" t="inlineStr">
        <is>
          <t>La funzione ferroviaria LV_Automatic_Dropping_Device_(ADD) è un dispositivo automatico che abbassa il pantografo in caso di guasto del sistema di raccoglienza elettrica. È composto da due tubi pneumatici all'interno dei contatti, uno a livello superiore e uno a livello inferiore, che comunicano con un sistema pneumatico per attivare l'abbassamento del pantografo in caso di danneggiamento dei contatti. La funzione è attivata quando il tubo inferiore viene danneggiato, mentre la logica di funzionamento prevede l'abbassamento immediato del pantografo in caso di guasto del sistema di raccoglienza elettrica. La funzione è progettata per garantire una sicurezza di livello SIL 2, con ridondanze e requisiti di sicurezza per assicurare la possibilità di alzare pantografi senza errori.
Analisi — Funzione equivalente tra le seguenti configurazioni: VZI_Base, VZ_FR, VZ_ES, VZI-6_R1.
Pagina iniziale: parte di pagina 18 — Pagina finale: parte di pagina 21.</t>
        </is>
      </c>
      <c r="I55" s="626" t="inlineStr">
        <is>
          <t>La funzione LV_Automatic_Dropping_Device_(ADD) è un dispositivo automatico che abbassa il pantografo in caso di guasto dei contatti. È caratterizzato dalla presenza di due tubi all'interno dei contatti, uno a livello inferiore che attiva l'abbassamento del pantografo e l'altro a livello superiore che fornisce informazioni sullo stato di indurimento dei contatti. La funzione è attivata in caso di guasto dei contatti e abbassa il pantografo, mentre in caso di guasto della testa raccoglitrice, abbassa tutti i pantografi del treno. La logica di funzionamento prevede la deteczione di danni ai contatti tramite i tubi e l'attivazione dell'abbassamento del pantografo. La funzione è progettata per garantire un livello di sicurezza SIL 2 e non dispone di ridondanze, ma il sistema in generale è progettato per garantire la sicurezza e la stabilità durante l'operazione.
Analisi — Funzione equivalente tra le seguenti configurazioni: VZI_Base, VZ_FR, VZ_ES, VZI-6_R1.
Pagina iniziale: parte di pagina 16 — Pagina finale: parte di pagina 21.</t>
        </is>
      </c>
      <c r="J55" s="626" t="inlineStr">
        <is>
          <t>La funzione ferroviaria LV_Automatic_Dropping_Device_(ADD) è un dispositivo automatico che abbassa il pantografo in caso di guasto del sistema di raccoglienza elettrica. I componenti principali coinvolti sono i due tubi pneumatici all'interno dei contatti, il sistema pneumatico e il controllo del pantografo. La logica di funzionamento attiva l'abbassamento del pantografo in caso di guasto dei contatti, mentre la supervisione dei fallimenti garantisce che solo i pantografi danneggiati siano abbassati. La funzione è progettata per garantire un livello di sicurezza SIL 2 e richiede la comunicazione con il sistema TCMS in caso di attivazione del segnale di allarme.
Analisi — Funzione equivalente tra le seguenti configurazioni: VZI_Base, VZ_FR, VZ_ES, VZI-6_R1.
Pagina iniziale: parte di pagina 22 — Pagina finale: parte di pagina 26.</t>
        </is>
      </c>
      <c r="K55" s="460" t="n"/>
      <c r="L55" s="461" t="n"/>
    </row>
    <row r="56" ht="45" customFormat="1" customHeight="1" s="13">
      <c r="A56" s="315" t="inlineStr">
        <is>
          <t>LV_Pantograph_Interlock</t>
        </is>
      </c>
      <c r="B56" s="323" t="inlineStr">
        <is>
          <t>Interblocco automatico dei pantografi in caso di guasto rilevato. Il Pdc può bloccare anche manualmente un pantografo per impedirne la selezione</t>
        </is>
      </c>
      <c r="C56" s="393" t="n"/>
      <c r="D56" s="359" t="inlineStr">
        <is>
          <t>\</t>
        </is>
      </c>
      <c r="E56" s="317" t="n"/>
      <c r="F56" s="318" t="n"/>
      <c r="G56" s="318" t="n"/>
      <c r="H56" s="318" t="n"/>
      <c r="I56" s="318" t="n"/>
      <c r="J56" s="318" t="n"/>
      <c r="K56" s="318" t="n"/>
      <c r="L56" s="319" t="n"/>
    </row>
    <row r="57" outlineLevel="1" customFormat="1" s="13">
      <c r="B57" s="103" t="n"/>
      <c r="C57" s="158" t="inlineStr">
        <is>
          <t>CONFIG</t>
        </is>
      </c>
      <c r="D57" s="158" t="inlineStr">
        <is>
          <t>FRS_Line Voltage</t>
        </is>
      </c>
      <c r="E57" s="185" t="inlineStr">
        <is>
          <t>Link</t>
        </is>
      </c>
      <c r="F57" s="314">
        <f t="array" ref="F57">HYPERLINK(CONCATENATE(Cartelle!$D$5,F$1,"/",$C57,"/",MID($D57,1,FIND("_",$D57)-1),"/",INDIRECT(CONCATENATE("'" &amp; $C57 &amp; "'!",ADDRESS(MATCH($D57, INDIRECT("'" &amp; $C57 &amp; "'!$B:$B"), 0),MATCH(F$1, INDIRECT("'" &amp; $C57 &amp; "'!$1:$1"), 0)))),".",INDIRECT(CONCATENATE("'"&amp;$C57&amp;"'!",ADDRESS(MATCH($D57,INDIRECT("'"&amp;$C57&amp;"'!$B:$B"),0),3))),"#page=",F58),CONCATENATE("#Sharepoint//",$D57))</f>
        <v/>
      </c>
      <c r="G57" s="379" t="n"/>
      <c r="H57" s="314">
        <f t="array" ref="H57">HYPERLINK(CONCATENATE(Cartelle!$D$5,INDEX(INDIRECT("'" &amp; $C57 &amp; "'!$1:$1"), 1, MATCH(INDIRECT(CONCATENATE("'" &amp; $C57 &amp; "'!",ADDRESS(MATCH($D57, INDIRECT("'" &amp; $C57 &amp; "'!$B:$B"), 0),MATCH(H$1, INDIRECT("'" &amp; $C57 &amp; "'!$1:$1"), 0)))),INDIRECT(CONCATENATE("'" &amp; $C57 &amp; "'!",MATCH($D57, INDIRECT("'" &amp; $C57 &amp; "'!$B:$B"), 0),":",MATCH($D57, INDIRECT("'" &amp; $C57 &amp; "'!$B:$B"), 0))),0)),"/",$C57,"/",MID($D57,1,FIND("_",$D57)-1),"/",INDIRECT(CONCATENATE("'" &amp; $C57 &amp; "'!",ADDRESS(MATCH($D57, INDIRECT("'" &amp; $C57 &amp; "'!$B:$B"), 0),MATCH(H$1, INDIRECT("'" &amp; $C57 &amp; "'!$1:$1"), 0)))),".",INDIRECT(CONCATENATE("'"&amp;$C57&amp;"'!",ADDRESS(MATCH($D57,INDIRECT("'"&amp;$C57&amp;"'!$B:$B"),0),3))),"#page=",H58),CONCATENATE("#Sharepoint//",$D57))</f>
        <v/>
      </c>
      <c r="I57" s="314">
        <f t="array" ref="I57">HYPERLINK(CONCATENATE(Cartelle!$D$5,INDEX(INDIRECT("'" &amp; $C57 &amp; "'!$1:$1"), 1, MATCH(INDIRECT(CONCATENATE("'" &amp; $C57 &amp; "'!",ADDRESS(MATCH($D57, INDIRECT("'" &amp; $C57 &amp; "'!$B:$B"), 0),MATCH(I$1, INDIRECT("'" &amp; $C57 &amp; "'!$1:$1"), 0)))),INDIRECT(CONCATENATE("'" &amp; $C57 &amp; "'!",MATCH($D57, INDIRECT("'" &amp; $C57 &amp; "'!$B:$B"), 0),":",MATCH($D57, INDIRECT("'" &amp; $C57 &amp; "'!$B:$B"), 0))),0)),"/",$C57,"/",MID($D57,1,FIND("_",$D57)-1),"/",INDIRECT(CONCATENATE("'" &amp; $C57 &amp; "'!",ADDRESS(MATCH($D57, INDIRECT("'" &amp; $C57 &amp; "'!$B:$B"), 0),MATCH(I$1, INDIRECT("'" &amp; $C57 &amp; "'!$1:$1"), 0)))),".",INDIRECT(CONCATENATE("'"&amp;$C57&amp;"'!",ADDRESS(MATCH($D57,INDIRECT("'"&amp;$C57&amp;"'!$B:$B"),0),3))),"#page=",I58),CONCATENATE("#Sharepoint//",$D57))</f>
        <v/>
      </c>
      <c r="J57" s="314">
        <f t="array" ref="J57">HYPERLINK(CONCATENATE(Cartelle!$D$5,INDEX(INDIRECT("'" &amp; $C57 &amp; "'!$1:$1"), 1, MATCH(INDIRECT(CONCATENATE("'" &amp; $C57 &amp; "'!",ADDRESS(MATCH($D57, INDIRECT("'" &amp; $C57 &amp; "'!$B:$B"), 0),MATCH(J$1, INDIRECT("'" &amp; $C57 &amp; "'!$1:$1"), 0)))),INDIRECT(CONCATENATE("'" &amp; $C57 &amp; "'!",MATCH($D57, INDIRECT("'" &amp; $C57 &amp; "'!$B:$B"), 0),":",MATCH($D57, INDIRECT("'" &amp; $C57 &amp; "'!$B:$B"), 0))),0)),"/",$C57,"/",MID($D57,1,FIND("_",$D57)-1),"/",INDIRECT(CONCATENATE("'" &amp; $C57 &amp; "'!",ADDRESS(MATCH($D57, INDIRECT("'" &amp; $C57 &amp; "'!$B:$B"), 0),MATCH(J$1, INDIRECT("'" &amp; $C57 &amp; "'!$1:$1"), 0)))),".",INDIRECT(CONCATENATE("'"&amp;$C57&amp;"'!",ADDRESS(MATCH($D57,INDIRECT("'"&amp;$C57&amp;"'!$B:$B"),0),3))),"#page=",J58),CONCATENATE("#Sharepoint//",$D57))</f>
        <v/>
      </c>
      <c r="K57" s="311" t="n"/>
      <c r="L57" s="311" t="n"/>
    </row>
    <row r="58" outlineLevel="2" customFormat="1" s="13">
      <c r="B58" s="103" t="n"/>
      <c r="C58" s="548" t="n"/>
      <c r="D58" s="361" t="n"/>
      <c r="E58" s="321" t="inlineStr">
        <is>
          <t>Rif. Pagina</t>
        </is>
      </c>
      <c r="F58" s="322" t="n">
        <v>18</v>
      </c>
      <c r="G58" s="322" t="n"/>
      <c r="H58" s="322" t="n">
        <v>21</v>
      </c>
      <c r="I58" s="322" t="n">
        <v>21</v>
      </c>
      <c r="J58" s="322" t="n">
        <v>26</v>
      </c>
      <c r="K58" s="322" t="n"/>
      <c r="L58" s="322" t="n"/>
    </row>
    <row r="59" outlineLevel="2" customFormat="1" s="13">
      <c r="B59" s="103" t="n"/>
      <c r="C59" s="548" t="n"/>
      <c r="D59" s="458" t="n"/>
      <c r="E59" s="459" t="inlineStr">
        <is>
          <t>Funzioni AI</t>
        </is>
      </c>
      <c r="F59" s="626" t="inlineStr">
        <is>
          <t>La funzione ferroviaria LV_Pantograph_Interlock è un interblocco automatico dei pantografi in caso di guasto rilevato. È attivata quando si verifica un'ascensione anomala del pantografo, e blocca l'ascensore per impedire la selezione. La funzione può essere anche manualmente bloccata dal conducente per prevenire la selezione o in caso di difetto senza automatica detezione. La logica di funzionamento attiva il blocco quando si verifica un evento anomalo, e richiede al sistema di mantenere costante la pressione a basso livello se un pantografo è bloccato.
Analisi — Funzione equivalente tra le seguenti configurazioni: VZI_Base, VZ_FR, VZ_ES, VZI-6_R1.
Pagina iniziale: parte di pagina 18 — Pagina finale: parte di pagina 20.</t>
        </is>
      </c>
      <c r="G59" s="460" t="n"/>
      <c r="H59" s="626" t="inlineStr">
        <is>
          <t>La funzione ferroviaria LV_Pantograph_Interlock è un interblocco automatico dei pantografi in caso di guasto rilevato. È composta da componenti elettrici/meccanici/software come il sistema di controllo del pantografo, il sistema di supervisione della pressione e il software di gestione dell'interblocco. La funzione viene attivata automaticamente in caso di guasto rilevato del pantografo o manualmente dal conducente per impedire la selezione. In caso di interblocco, il pantografo viene bloccato e la pressione sensoriale è considerata costante a bassa tensione.
Analisi — Funzione equivalente tra le seguenti configurazioni: VZI_Base, VZ_FR, VZ_ES, VZI-6_R1.
Pagina iniziale: parte di pagina 21 — Pagina finale: parte di pagina 22.</t>
        </is>
      </c>
      <c r="I59" s="626" t="inlineStr">
        <is>
          <t>La funzione ferroviaria LV_Pantograph_Interlock è un interblocco automatico dei pantografi in caso di guasto rilevato. È composta da componenti elettrici/meccanici/software come il sistema di controllo del pantografo, il sistema di supervisione e il sistema di diagnosi del PCU. La logica di funzionamento attiva l'interblocco automaticamente in caso di guasto rilevato, bloccando il pantografo e impedendo la sua selezione. Inoltre, il sistema consente al conducente di bloccare manualmente il pantografo per prevenire la selezione o in caso di difetto senza automatica detezione. La funzione è progettata con un livello di sicurezza SIL 0 e include requisiti di ridondanza e sicurezza per garantire la stabilità del sistema durante l'operazione.
Analisi — Funzione equivalente tra le seguenti configurazioni: VZI_Base, VZ_FR, VZ_ES, VZI-6_R1.
Pagina iniziale: parte di pagina 21 — Pagina finale: parte di pagina 22.</t>
        </is>
      </c>
      <c r="J59" s="626" t="inlineStr">
        <is>
          <t>La funzione ferroviaria LV_Pantograph_Interlock è un interblocco automatico dei pantografi in caso di guasto rilevato. È composta da componenti elettrici/meccanici come il pantografo, il sistema di controllo e il sistema di supervisione. La logica di funzionamento attiva l'interblocco automaticamente in caso di unidentified lifting del pantografo o in caso di guasto rilevato, mentre il driver può bloccare manualmente il pantografo per impedire la selezione. L'intervento è caratterizzato da ridondanze e requisiti di sicurezza, come l'impossibilità di rimuovere un interblocco manuale se qualsiasi pantografo è sollevato.
Analisi — Funzione equivalente tra le seguenti configurazioni: VZI_Base, VZ_FR, VZ_ES, VZI-6_R1.
Pagina iniziale: parte di pagina 26 — Pagina finale: parte di pagina 28.</t>
        </is>
      </c>
      <c r="K59" s="460" t="n"/>
      <c r="L59" s="461" t="n"/>
    </row>
    <row r="60" ht="30" customFormat="1" customHeight="1" s="13">
      <c r="A60" s="315" t="inlineStr">
        <is>
          <t>LV_Pantograph_Selection</t>
        </is>
      </c>
      <c r="B60" s="323" t="inlineStr">
        <is>
          <t>Selezione del pantografo in base al paese (tipologia/dimensioni pantografo) e al sistema di alimentazione (AC/DC) selezionato</t>
        </is>
      </c>
      <c r="C60" s="393" t="n"/>
      <c r="D60" s="359" t="inlineStr">
        <is>
          <t>\</t>
        </is>
      </c>
      <c r="E60" s="317" t="n"/>
      <c r="F60" s="318" t="n"/>
      <c r="G60" s="318" t="n"/>
      <c r="H60" s="318" t="n"/>
      <c r="I60" s="318" t="n"/>
      <c r="J60" s="318" t="n"/>
      <c r="K60" s="318" t="n"/>
      <c r="L60" s="319" t="n"/>
    </row>
    <row r="61" outlineLevel="1" customFormat="1" s="13">
      <c r="B61" s="103" t="n"/>
      <c r="C61" s="158" t="inlineStr">
        <is>
          <t>CONFIG</t>
        </is>
      </c>
      <c r="D61" s="158" t="inlineStr">
        <is>
          <t>FRS_Line Voltage</t>
        </is>
      </c>
      <c r="E61" s="185" t="inlineStr">
        <is>
          <t>Link</t>
        </is>
      </c>
      <c r="F61" s="314">
        <f t="array" ref="F61">HYPERLINK(CONCATENATE(Cartelle!$D$5,F$1,"/",$C61,"/",MID($D61,1,FIND("_",$D61)-1),"/",INDIRECT(CONCATENATE("'" &amp; $C61 &amp; "'!",ADDRESS(MATCH($D61, INDIRECT("'" &amp; $C61 &amp; "'!$B:$B"), 0),MATCH(F$1, INDIRECT("'" &amp; $C61 &amp; "'!$1:$1"), 0)))),".",INDIRECT(CONCATENATE("'"&amp;$C61&amp;"'!",ADDRESS(MATCH($D61,INDIRECT("'"&amp;$C61&amp;"'!$B:$B"),0),3))),"#page=",F62),CONCATENATE("#Sharepoint//",$D61))</f>
        <v/>
      </c>
      <c r="G61" s="379" t="n"/>
      <c r="H61" s="314">
        <f t="array" ref="H61">HYPERLINK(CONCATENATE(Cartelle!$D$5,INDEX(INDIRECT("'" &amp; $C61 &amp; "'!$1:$1"), 1, MATCH(INDIRECT(CONCATENATE("'" &amp; $C61 &amp; "'!",ADDRESS(MATCH($D61, INDIRECT("'" &amp; $C61 &amp; "'!$B:$B"), 0),MATCH(H$1, INDIRECT("'" &amp; $C61 &amp; "'!$1:$1"), 0)))),INDIRECT(CONCATENATE("'" &amp; $C61 &amp; "'!",MATCH($D61, INDIRECT("'" &amp; $C61 &amp; "'!$B:$B"), 0),":",MATCH($D61, INDIRECT("'" &amp; $C61 &amp; "'!$B:$B"), 0))),0)),"/",$C61,"/",MID($D61,1,FIND("_",$D61)-1),"/",INDIRECT(CONCATENATE("'" &amp; $C61 &amp; "'!",ADDRESS(MATCH($D61, INDIRECT("'" &amp; $C61 &amp; "'!$B:$B"), 0),MATCH(H$1, INDIRECT("'" &amp; $C61 &amp; "'!$1:$1"), 0)))),".",INDIRECT(CONCATENATE("'"&amp;$C61&amp;"'!",ADDRESS(MATCH($D61,INDIRECT("'"&amp;$C61&amp;"'!$B:$B"),0),3))),"#page=",H62),CONCATENATE("#Sharepoint//",$D61))</f>
        <v/>
      </c>
      <c r="I61" s="314">
        <f t="array" ref="I61">HYPERLINK(CONCATENATE(Cartelle!$D$5,INDEX(INDIRECT("'" &amp; $C61 &amp; "'!$1:$1"), 1, MATCH(INDIRECT(CONCATENATE("'" &amp; $C61 &amp; "'!",ADDRESS(MATCH($D61, INDIRECT("'" &amp; $C61 &amp; "'!$B:$B"), 0),MATCH(I$1, INDIRECT("'" &amp; $C61 &amp; "'!$1:$1"), 0)))),INDIRECT(CONCATENATE("'" &amp; $C61 &amp; "'!",MATCH($D61, INDIRECT("'" &amp; $C61 &amp; "'!$B:$B"), 0),":",MATCH($D61, INDIRECT("'" &amp; $C61 &amp; "'!$B:$B"), 0))),0)),"/",$C61,"/",MID($D61,1,FIND("_",$D61)-1),"/",INDIRECT(CONCATENATE("'" &amp; $C61 &amp; "'!",ADDRESS(MATCH($D61, INDIRECT("'" &amp; $C61 &amp; "'!$B:$B"), 0),MATCH(I$1, INDIRECT("'" &amp; $C61 &amp; "'!$1:$1"), 0)))),".",INDIRECT(CONCATENATE("'"&amp;$C61&amp;"'!",ADDRESS(MATCH($D61,INDIRECT("'"&amp;$C61&amp;"'!$B:$B"),0),3))),"#page=",I62),CONCATENATE("#Sharepoint//",$D61))</f>
        <v/>
      </c>
      <c r="J61" s="314">
        <f t="array" ref="J61">HYPERLINK(CONCATENATE(Cartelle!$D$5,INDEX(INDIRECT("'" &amp; $C61 &amp; "'!$1:$1"), 1, MATCH(INDIRECT(CONCATENATE("'" &amp; $C61 &amp; "'!",ADDRESS(MATCH($D61, INDIRECT("'" &amp; $C61 &amp; "'!$B:$B"), 0),MATCH(J$1, INDIRECT("'" &amp; $C61 &amp; "'!$1:$1"), 0)))),INDIRECT(CONCATENATE("'" &amp; $C61 &amp; "'!",MATCH($D61, INDIRECT("'" &amp; $C61 &amp; "'!$B:$B"), 0),":",MATCH($D61, INDIRECT("'" &amp; $C61 &amp; "'!$B:$B"), 0))),0)),"/",$C61,"/",MID($D61,1,FIND("_",$D61)-1),"/",INDIRECT(CONCATENATE("'" &amp; $C61 &amp; "'!",ADDRESS(MATCH($D61, INDIRECT("'" &amp; $C61 &amp; "'!$B:$B"), 0),MATCH(J$1, INDIRECT("'" &amp; $C61 &amp; "'!$1:$1"), 0)))),".",INDIRECT(CONCATENATE("'"&amp;$C61&amp;"'!",ADDRESS(MATCH($D61,INDIRECT("'"&amp;$C61&amp;"'!$B:$B"),0),3))),"#page=",J62),CONCATENATE("#Sharepoint//",$D61))</f>
        <v/>
      </c>
      <c r="K61" s="311" t="n"/>
      <c r="L61" s="311" t="n"/>
    </row>
    <row r="62" outlineLevel="2" customFormat="1" s="13">
      <c r="B62" s="103" t="n"/>
      <c r="C62" s="548" t="n"/>
      <c r="D62" s="361" t="n"/>
      <c r="E62" s="321" t="inlineStr">
        <is>
          <t>Rif. Pagina</t>
        </is>
      </c>
      <c r="F62" s="322" t="n">
        <v>20</v>
      </c>
      <c r="G62" s="322" t="n"/>
      <c r="H62" s="322" t="n">
        <v>22</v>
      </c>
      <c r="I62" s="322" t="n">
        <v>22</v>
      </c>
      <c r="J62" s="322" t="n">
        <v>28</v>
      </c>
      <c r="K62" s="322" t="n"/>
      <c r="L62" s="322" t="n"/>
    </row>
    <row r="63" outlineLevel="2" customFormat="1" s="13">
      <c r="B63" s="103" t="n"/>
      <c r="C63" s="548" t="n"/>
      <c r="D63" s="458" t="n"/>
      <c r="E63" s="459" t="inlineStr">
        <is>
          <t>Funzioni AI</t>
        </is>
      </c>
      <c r="F63" s="626" t="inlineStr">
        <is>
          <t>La funzione ferroviaria LV_Pantograph_Selection seleziona il pantografo in base al paese e al sistema di alimentazione (AC/DC) selezionato, utilizzando componenti elettrici/meccanici come il sistema di controllo e software per la gestione dei pantografi. La funzione è attivata quando il driver seleziona un paese diverso da quello previsto, con logica di funzionamento che include la verifica della presenza di più pantografi in ascensione e l'attivazione di protocolli di sicurezza per evitare contatti elettrici. La funzione è progettata per garantire una sicurezza SIL 0, con ridondanze nel sistema di controllo e gestione dei pantografi.
Analisi — Funzione equivalente tra le seguenti configurazioni: VZI_Base, VZ_FR, VZ_ES, VZI-6_R1.
Pagina iniziale: parte di pagina 20 — Pagina finale: parte di pagina 21.</t>
        </is>
      </c>
      <c r="G63" s="460" t="n"/>
      <c r="H63" s="626" t="inlineStr">
        <is>
          <t>La funzione ferroviaria LV_Pantograph_Selection seleziona il pantografo in base al paese e al sistema di alimentazione (AC/DC) selezionato, utilizzando componenti elettrici/meccanici come il pantografo e i sistemi di controllo, e software per la gestione della logica di funzionamento. La funzione è attivata quando il driver seleziona un paese e un sistema di alimentazione diverso, e viene disattivata in caso di errori o mancanza di autorizzazione. La funzione include anche una ridondanza per garantire la sicurezza, con l'obbligo di abbassare tutti i pantografi se più di uno è sollevato.
Analisi — Funzione equivalente tra le seguenti configurazioni: VZI_Base, VZ_FR, VZ_ES, VZI-6_R1.
Pagina iniziale: parte di pagina 22 — Pagina finale: parte di pagina 24.</t>
        </is>
      </c>
      <c r="I63" s="626" t="inlineStr">
        <is>
          <t>La funzione ferroviaria LV_Pantograph_Selection seleziona il pantografo in base al paese e al sistema di alimentazione (AC/DC) selezionato, utilizzando componenti elettrici/meccanici come il sistema di controllo e software per la gestione dei pantografi. La funzione è attivata quando il driver seleziona un paese diverso da quello previsto, e in caso di errore o manomissione, il sistema automaticamente disattiva tutti i pantografi e li abbassa. La logica di funzionamento prevede la presenza di ridondanze per garantire la sicurezza, con l'obiettivo di evitare che più di un pantografo sia alzato contemporaneamente.
Analisi — Funzione equivalente tra le seguenti configurazioni: VZI_Base, VZ_FR, VZ_ES, VZI-6_R1.
Pagina iniziale: parte di pagina 22 — Pagina finale: parte di pagina 23.</t>
        </is>
      </c>
      <c r="J63" s="626" t="inlineStr">
        <is>
          <t>La funzione ferroviaria LV_Pantograph_Selection seleziona il pantografo in base al paese di operazione e al sistema di alimentazione (AC/DC) selezionato. I componenti principali coinvolti sono i pantografi di diverse tipologie e dimensioni, il sistema di controllo elettronico e la logica di funzionamento che attiva o disattiva l'uso di un pantografo in base alle condizioni di operazione. La funzione è progettata per garantire la sicurezza e la stabilità del sistema, con ridondanze nel caso di fallimento di uno dei pantografi e requisiti di sicurezza per evitare errori di selezione.
Analisi — Funzione equivalente tra le seguenti configurazioni: VZI_Base, VZ_FR, VZ_ES, VZI-6_R1.
Pagina iniziale: parte di pagina 28 — Pagina finale: parte di pagina 29.</t>
        </is>
      </c>
      <c r="K63" s="460" t="n"/>
      <c r="L63" s="461" t="n"/>
    </row>
    <row r="64" ht="45" customFormat="1" customHeight="1" s="13">
      <c r="A64" s="315" t="inlineStr">
        <is>
          <t>LV_Pantograph_Control_of_Static_Contact_Force</t>
        </is>
      </c>
      <c r="B64" s="323" t="inlineStr">
        <is>
          <t>Controllo della forza statica/pressione del pantografo alzato in funzione del sistema di tensione, della velocità, della direzione di marcia e della posizione del pantografo stesso</t>
        </is>
      </c>
      <c r="C64" s="393" t="n"/>
      <c r="D64" s="359" t="inlineStr">
        <is>
          <t>\</t>
        </is>
      </c>
      <c r="E64" s="317" t="n"/>
      <c r="F64" s="318" t="n"/>
      <c r="G64" s="318" t="n"/>
      <c r="H64" s="318" t="n"/>
      <c r="I64" s="318" t="n"/>
      <c r="J64" s="318" t="n"/>
      <c r="K64" s="318" t="n"/>
      <c r="L64" s="319" t="n"/>
    </row>
    <row r="65" outlineLevel="1" customFormat="1" s="13">
      <c r="B65" s="103" t="n"/>
      <c r="C65" s="158" t="inlineStr">
        <is>
          <t>CONFIG</t>
        </is>
      </c>
      <c r="D65" s="158" t="inlineStr">
        <is>
          <t>FRS_Line Voltage</t>
        </is>
      </c>
      <c r="E65" s="185" t="inlineStr">
        <is>
          <t>Link</t>
        </is>
      </c>
      <c r="F65" s="314">
        <f t="array" ref="F65">HYPERLINK(CONCATENATE(Cartelle!$D$5,F$1,"/",$C65,"/",MID($D65,1,FIND("_",$D65)-1),"/",INDIRECT(CONCATENATE("'" &amp; $C65 &amp; "'!",ADDRESS(MATCH($D65, INDIRECT("'" &amp; $C65 &amp; "'!$B:$B"), 0),MATCH(F$1, INDIRECT("'" &amp; $C65 &amp; "'!$1:$1"), 0)))),".",INDIRECT(CONCATENATE("'"&amp;$C65&amp;"'!",ADDRESS(MATCH($D65,INDIRECT("'"&amp;$C65&amp;"'!$B:$B"),0),3))),"#page=",F66),CONCATENATE("#Sharepoint//",$D65))</f>
        <v/>
      </c>
      <c r="G65" s="379" t="n"/>
      <c r="H65" s="314">
        <f t="array" ref="H65">HYPERLINK(CONCATENATE(Cartelle!$D$5,INDEX(INDIRECT("'" &amp; $C65 &amp; "'!$1:$1"), 1, MATCH(INDIRECT(CONCATENATE("'" &amp; $C65 &amp; "'!",ADDRESS(MATCH($D65, INDIRECT("'" &amp; $C65 &amp; "'!$B:$B"), 0),MATCH(H$1, INDIRECT("'" &amp; $C65 &amp; "'!$1:$1"), 0)))),INDIRECT(CONCATENATE("'" &amp; $C65 &amp; "'!",MATCH($D65, INDIRECT("'" &amp; $C65 &amp; "'!$B:$B"), 0),":",MATCH($D65, INDIRECT("'" &amp; $C65 &amp; "'!$B:$B"), 0))),0)),"/",$C65,"/",MID($D65,1,FIND("_",$D65)-1),"/",INDIRECT(CONCATENATE("'" &amp; $C65 &amp; "'!",ADDRESS(MATCH($D65, INDIRECT("'" &amp; $C65 &amp; "'!$B:$B"), 0),MATCH(H$1, INDIRECT("'" &amp; $C65 &amp; "'!$1:$1"), 0)))),".",INDIRECT(CONCATENATE("'"&amp;$C65&amp;"'!",ADDRESS(MATCH($D65,INDIRECT("'"&amp;$C65&amp;"'!$B:$B"),0),3))),"#page=",H66),CONCATENATE("#Sharepoint//",$D65))</f>
        <v/>
      </c>
      <c r="I65" s="314">
        <f t="array" ref="I65">HYPERLINK(CONCATENATE(Cartelle!$D$5,INDEX(INDIRECT("'" &amp; $C65 &amp; "'!$1:$1"), 1, MATCH(INDIRECT(CONCATENATE("'" &amp; $C65 &amp; "'!",ADDRESS(MATCH($D65, INDIRECT("'" &amp; $C65 &amp; "'!$B:$B"), 0),MATCH(I$1, INDIRECT("'" &amp; $C65 &amp; "'!$1:$1"), 0)))),INDIRECT(CONCATENATE("'" &amp; $C65 &amp; "'!",MATCH($D65, INDIRECT("'" &amp; $C65 &amp; "'!$B:$B"), 0),":",MATCH($D65, INDIRECT("'" &amp; $C65 &amp; "'!$B:$B"), 0))),0)),"/",$C65,"/",MID($D65,1,FIND("_",$D65)-1),"/",INDIRECT(CONCATENATE("'" &amp; $C65 &amp; "'!",ADDRESS(MATCH($D65, INDIRECT("'" &amp; $C65 &amp; "'!$B:$B"), 0),MATCH(I$1, INDIRECT("'" &amp; $C65 &amp; "'!$1:$1"), 0)))),".",INDIRECT(CONCATENATE("'"&amp;$C65&amp;"'!",ADDRESS(MATCH($D65,INDIRECT("'"&amp;$C65&amp;"'!$B:$B"),0),3))),"#page=",I66),CONCATENATE("#Sharepoint//",$D65))</f>
        <v/>
      </c>
      <c r="J65" s="314">
        <f t="array" ref="J65">HYPERLINK(CONCATENATE(Cartelle!$D$5,INDEX(INDIRECT("'" &amp; $C65 &amp; "'!$1:$1"), 1, MATCH(INDIRECT(CONCATENATE("'" &amp; $C65 &amp; "'!",ADDRESS(MATCH($D65, INDIRECT("'" &amp; $C65 &amp; "'!$B:$B"), 0),MATCH(J$1, INDIRECT("'" &amp; $C65 &amp; "'!$1:$1"), 0)))),INDIRECT(CONCATENATE("'" &amp; $C65 &amp; "'!",MATCH($D65, INDIRECT("'" &amp; $C65 &amp; "'!$B:$B"), 0),":",MATCH($D65, INDIRECT("'" &amp; $C65 &amp; "'!$B:$B"), 0))),0)),"/",$C65,"/",MID($D65,1,FIND("_",$D65)-1),"/",INDIRECT(CONCATENATE("'" &amp; $C65 &amp; "'!",ADDRESS(MATCH($D65, INDIRECT("'" &amp; $C65 &amp; "'!$B:$B"), 0),MATCH(J$1, INDIRECT("'" &amp; $C65 &amp; "'!$1:$1"), 0)))),".",INDIRECT(CONCATENATE("'"&amp;$C65&amp;"'!",ADDRESS(MATCH($D65,INDIRECT("'"&amp;$C65&amp;"'!$B:$B"),0),3))),"#page=",J66),CONCATENATE("#Sharepoint//",$D65))</f>
        <v/>
      </c>
      <c r="K65" s="311" t="n"/>
      <c r="L65" s="311" t="n"/>
    </row>
    <row r="66" outlineLevel="2" customFormat="1" s="13">
      <c r="B66" s="103" t="n"/>
      <c r="C66" s="548" t="n"/>
      <c r="D66" s="361" t="n"/>
      <c r="E66" s="321" t="inlineStr">
        <is>
          <t>Rif. Pagina</t>
        </is>
      </c>
      <c r="F66" s="322" t="n">
        <v>21</v>
      </c>
      <c r="G66" s="322" t="n"/>
      <c r="H66" s="322" t="n">
        <v>24</v>
      </c>
      <c r="I66" s="322" t="n">
        <v>23</v>
      </c>
      <c r="J66" s="322" t="n">
        <v>29</v>
      </c>
      <c r="K66" s="322" t="n"/>
      <c r="L66" s="322" t="n"/>
    </row>
    <row r="67" outlineLevel="2" customFormat="1" s="13">
      <c r="B67" s="103" t="n"/>
      <c r="C67" s="548" t="n"/>
      <c r="D67" s="458" t="n"/>
      <c r="E67" s="459" t="inlineStr">
        <is>
          <t>Funzioni AI</t>
        </is>
      </c>
      <c r="F67" s="626" t="inlineStr">
        <is>
          <t>La funzione ferroviaria LV_Pantograph_Control_of_Static_Contact_Force è un sistema di controllo che regola la forza statica del pantografo alzato in base alla velocità, direzione di marcia e posizione del pantografo stesso, utilizzando i seguenti componenti principali: sistema di tensione, pantografo, controllore elettronico (PCU) e sistema di gestione dei dati (TCMS). La funzione è attiva quando il sistema di tensione cambia di tipo (AC o DC), la velocità del treno supera un certo limite, la direzione di marcia cambia o il pantografo si sposta. In caso di fallimento, il sistema può disattivare altri pantografi e attivare un'altra configurazione di funzionamento. La funzione è progettata per garantire una sicurezza elevata, con ridondanze nel sistema di controllo e nella gestione dei dati.
Analisi — Funzione equivalente tra le seguenti configurazioni: VZI_Base, VZ_FR, VZ_ES, VZI-6_R1.
Pagina iniziale: parte di pagina 21 — Pagina finale: parte di pagina 23.</t>
        </is>
      </c>
      <c r="G67" s="460" t="n"/>
      <c r="H67" s="626" t="inlineStr">
        <is>
          <t>La funzione ferroviaria "LV_Pantograph_Control_of_Static_Contact_Force" controlla la forza statica del pantografo alzato in base alle seguenti condizioni: velocità del treno, direzione di marcia, posizione del pantografo e sistema di tensione. I componenti principali coinvolti sono il controllo del pantografo, il sistema di tensione e il sistema di gestione della sicurezza. La funzione è attivata quando la velocità del treno supera un certo limite o quando il pantografo non è in posizione corretta, e viene disattivata quando il controllo del pantografo è corretto. La funzione è progettata per garantire una sicurezza elevata, con ridondanze nel caso di fallimento del sistema.
Analisi — Funzione equivalente tra le seguenti configurazioni: VZI_Base, VZ_FR, VZ_ES, VZI-6_R1.
Pagina iniziale: parte di pagina 24 — Pagina finale: parte di pagina 25.</t>
        </is>
      </c>
      <c r="I67" s="626" t="inlineStr">
        <is>
          <t>La funzione ferroviaria LV_Pantograph_Control_of_Static_Contact_Force controlla la forza statica del pantografo alzato in base alla tensione elettrica, velocità, direzione di marcia e posizione del pantografo stesso. I componenti principali coinvolti sono il sistema di tensione, il controllore del pantografo (PCU) e il sistema di gestione della sicurezza (SIL). La funzione è attivata quando la velocità del treno supera un certo limite o quando si verifica una perdita di comunicazione con il controllore del pantografo. In caso di fallimento, il sistema può disattivare il pantografo e attivare altri pantografi per garantire la sicurezza del treno.
Analisi — Funzione equivalente tra le seguenti configurazioni: VZI_Base, VZ_FR, VZ_ES, VZI-6_R1.
Pagina iniziale: parte di pagina 23 — Pagina finale: parte di pagina 24.</t>
        </is>
      </c>
      <c r="J67" s="626" t="inlineStr">
        <is>
          <t>La funzione ferroviaria LV_Pantograph_Control_of_Static_Contact_Force controlla la forza statica del pantografo alzato in base alla tensione elettrica, velocità, direzione di marcia e posizione del pantografo stesso. I componenti principali coinvolti sono il sistema di tensione, il controllore del pantografo (PCU) e il sistema di gestione della sicurezza (TCMS). La funzione è attivata quando la velocità del treno supera un certo limite o quando si verifica una mancanza di comunicazione con il controllore del pantografo. In caso di fallimento, il sistema può disattivare il pantografo e attivare altri pantografi per garantire la sicurezza del treno.
Analisi — Funzione equivalente tra le seguenti configurazioni: VZI_Base, VZ_FR, VZ_ES, VZI-6_R1.
Pagina iniziale: parte di pagina 29 — Pagina finale: parte di pagina 30.</t>
        </is>
      </c>
      <c r="K67" s="460" t="n"/>
      <c r="L67" s="461" t="n"/>
    </row>
    <row r="68" ht="30" customFormat="1" customHeight="1" s="13">
      <c r="A68" s="315" t="inlineStr">
        <is>
          <t>LV_Line_Voltage_Supervision</t>
        </is>
      </c>
      <c r="B68" s="323" t="inlineStr">
        <is>
          <t>Controllo della tensione di linea tramite sensori di tensione letti dal sistema di propulsione</t>
        </is>
      </c>
      <c r="C68" s="393" t="n"/>
      <c r="D68" s="359" t="inlineStr">
        <is>
          <t>\</t>
        </is>
      </c>
      <c r="E68" s="317" t="n"/>
      <c r="F68" s="318" t="n"/>
      <c r="G68" s="318" t="n"/>
      <c r="H68" s="318" t="n"/>
      <c r="I68" s="318" t="n"/>
      <c r="J68" s="318" t="n"/>
      <c r="K68" s="318" t="n"/>
      <c r="L68" s="319" t="n"/>
    </row>
    <row r="69" outlineLevel="1" customFormat="1" s="13">
      <c r="B69" s="103" t="n"/>
      <c r="C69" s="158" t="inlineStr">
        <is>
          <t>CONFIG</t>
        </is>
      </c>
      <c r="D69" s="158" t="inlineStr">
        <is>
          <t>FRS_Line Voltage</t>
        </is>
      </c>
      <c r="E69" s="185" t="inlineStr">
        <is>
          <t>Link</t>
        </is>
      </c>
      <c r="F69" s="314">
        <f t="array" ref="F69">HYPERLINK(CONCATENATE(Cartelle!$D$5,F$1,"/",$C69,"/",MID($D69,1,FIND("_",$D69)-1),"/",INDIRECT(CONCATENATE("'" &amp; $C69 &amp; "'!",ADDRESS(MATCH($D69, INDIRECT("'" &amp; $C69 &amp; "'!$B:$B"), 0),MATCH(F$1, INDIRECT("'" &amp; $C69 &amp; "'!$1:$1"), 0)))),".",INDIRECT(CONCATENATE("'"&amp;$C69&amp;"'!",ADDRESS(MATCH($D69,INDIRECT("'"&amp;$C69&amp;"'!$B:$B"),0),3))),"#page=",F70),CONCATENATE("#Sharepoint//",$D69))</f>
        <v/>
      </c>
      <c r="G69" s="379" t="n"/>
      <c r="H69" s="314">
        <f t="array" ref="H69">HYPERLINK(CONCATENATE(Cartelle!$D$5,INDEX(INDIRECT("'" &amp; $C69 &amp; "'!$1:$1"), 1, MATCH(INDIRECT(CONCATENATE("'" &amp; $C69 &amp; "'!",ADDRESS(MATCH($D69, INDIRECT("'" &amp; $C69 &amp; "'!$B:$B"), 0),MATCH(H$1, INDIRECT("'" &amp; $C69 &amp; "'!$1:$1"), 0)))),INDIRECT(CONCATENATE("'" &amp; $C69 &amp; "'!",MATCH($D69, INDIRECT("'" &amp; $C69 &amp; "'!$B:$B"), 0),":",MATCH($D69, INDIRECT("'" &amp; $C69 &amp; "'!$B:$B"), 0))),0)),"/",$C69,"/",MID($D69,1,FIND("_",$D69)-1),"/",INDIRECT(CONCATENATE("'" &amp; $C69 &amp; "'!",ADDRESS(MATCH($D69, INDIRECT("'" &amp; $C69 &amp; "'!$B:$B"), 0),MATCH(H$1, INDIRECT("'" &amp; $C69 &amp; "'!$1:$1"), 0)))),".",INDIRECT(CONCATENATE("'"&amp;$C69&amp;"'!",ADDRESS(MATCH($D69,INDIRECT("'"&amp;$C69&amp;"'!$B:$B"),0),3))),"#page=",H70),CONCATENATE("#Sharepoint//",$D69))</f>
        <v/>
      </c>
      <c r="I69" s="314">
        <f t="array" ref="I69">HYPERLINK(CONCATENATE(Cartelle!$D$5,INDEX(INDIRECT("'" &amp; $C69 &amp; "'!$1:$1"), 1, MATCH(INDIRECT(CONCATENATE("'" &amp; $C69 &amp; "'!",ADDRESS(MATCH($D69, INDIRECT("'" &amp; $C69 &amp; "'!$B:$B"), 0),MATCH(I$1, INDIRECT("'" &amp; $C69 &amp; "'!$1:$1"), 0)))),INDIRECT(CONCATENATE("'" &amp; $C69 &amp; "'!",MATCH($D69, INDIRECT("'" &amp; $C69 &amp; "'!$B:$B"), 0),":",MATCH($D69, INDIRECT("'" &amp; $C69 &amp; "'!$B:$B"), 0))),0)),"/",$C69,"/",MID($D69,1,FIND("_",$D69)-1),"/",INDIRECT(CONCATENATE("'" &amp; $C69 &amp; "'!",ADDRESS(MATCH($D69, INDIRECT("'" &amp; $C69 &amp; "'!$B:$B"), 0),MATCH(I$1, INDIRECT("'" &amp; $C69 &amp; "'!$1:$1"), 0)))),".",INDIRECT(CONCATENATE("'"&amp;$C69&amp;"'!",ADDRESS(MATCH($D69,INDIRECT("'"&amp;$C69&amp;"'!$B:$B"),0),3))),"#page=",I70),CONCATENATE("#Sharepoint//",$D69))</f>
        <v/>
      </c>
      <c r="J69" s="314">
        <f t="array" ref="J69">HYPERLINK(CONCATENATE(Cartelle!$D$5,INDEX(INDIRECT("'" &amp; $C69 &amp; "'!$1:$1"), 1, MATCH(INDIRECT(CONCATENATE("'" &amp; $C69 &amp; "'!",ADDRESS(MATCH($D69, INDIRECT("'" &amp; $C69 &amp; "'!$B:$B"), 0),MATCH(J$1, INDIRECT("'" &amp; $C69 &amp; "'!$1:$1"), 0)))),INDIRECT(CONCATENATE("'" &amp; $C69 &amp; "'!",MATCH($D69, INDIRECT("'" &amp; $C69 &amp; "'!$B:$B"), 0),":",MATCH($D69, INDIRECT("'" &amp; $C69 &amp; "'!$B:$B"), 0))),0)),"/",$C69,"/",MID($D69,1,FIND("_",$D69)-1),"/",INDIRECT(CONCATENATE("'" &amp; $C69 &amp; "'!",ADDRESS(MATCH($D69, INDIRECT("'" &amp; $C69 &amp; "'!$B:$B"), 0),MATCH(J$1, INDIRECT("'" &amp; $C69 &amp; "'!$1:$1"), 0)))),".",INDIRECT(CONCATENATE("'"&amp;$C69&amp;"'!",ADDRESS(MATCH($D69,INDIRECT("'"&amp;$C69&amp;"'!$B:$B"),0),3))),"#page=",J70),CONCATENATE("#Sharepoint//",$D69))</f>
        <v/>
      </c>
      <c r="K69" s="311" t="n"/>
      <c r="L69" s="311" t="n"/>
    </row>
    <row r="70" outlineLevel="2" customFormat="1" s="13">
      <c r="B70" s="103" t="n"/>
      <c r="C70" s="548" t="n"/>
      <c r="D70" s="361" t="n"/>
      <c r="E70" s="321" t="inlineStr">
        <is>
          <t>Rif. Pagina</t>
        </is>
      </c>
      <c r="F70" s="322" t="n">
        <v>23</v>
      </c>
      <c r="G70" s="322" t="n"/>
      <c r="H70" s="322" t="n">
        <v>25</v>
      </c>
      <c r="I70" s="322" t="n">
        <v>24</v>
      </c>
      <c r="J70" s="322" t="n">
        <v>30</v>
      </c>
      <c r="K70" s="322" t="n"/>
      <c r="L70" s="322" t="n"/>
    </row>
    <row r="71" outlineLevel="2" customFormat="1" s="13">
      <c r="B71" s="103" t="n"/>
      <c r="C71" s="548" t="n"/>
      <c r="D71" s="458" t="n"/>
      <c r="E71" s="459" t="inlineStr">
        <is>
          <t>Funzioni AI</t>
        </is>
      </c>
      <c r="F71" s="626" t="inlineStr">
        <is>
          <t>La funzione ferroviaria "LV_Line_Voltage_Supervision" è un sistema di controllo della tensione di linea tramite sensori di tensione letti dal sistema di propulsione. I componenti elettrici/meccanici/software principali coinvolti sono i sensori di tensione, il sistema di propulsione e il controllore del sistema. La logica di funzionamento attiva il circuito di interruzione (LCB) in caso di tensione di linea fuori dal range accettabile, mentre la ridondanza è garantita dalla presenza di due LCB per ogni tipo di tensione (AC e DC).
Analisi — Funzione equivalente tra le seguenti configurazioni: VZI_Base, VZ_FR, VZ_ES, VZI-6_R1.
Pagina iniziale: parte di pagina 23 — Pagina finale: parte di pagina 24.</t>
        </is>
      </c>
      <c r="G71" s="460" t="n"/>
      <c r="H71" s="626" t="inlineStr">
        <is>
          <t>La funzione ferroviaria "LV_Line_Voltage_Supervision" controlla la tensione di linea tramite sensori di tensione letti dal sistema di propulsione. I componenti elettrici/meccanici/software coinvolti sono i sensori di tensione, il sistema di propulsione e l'LCB (Line Circuit Breaker). La logica di funzionamento attiva l'LCB in caso di tensione anomala o di assenza di segnale. Le condizioni di attivazione/disattivazione sono stabilite dai parametri di riferimento per la tensione di linea e dalle misurazioni dei sensori di tensione. La funzione è progettata con ridondanza, in quanto l'errore di isolamento del mezzo ferroviario viene gestito attraverso il disconnettore 8a.
Analisi — Funzione equivalente tra le seguenti configurazioni: VZI_Base, VZ_FR, VZ_ES, VZI-6_R1.
Pagina iniziale: parte di pagina 25 — Pagina finale: parte di pagina 29.</t>
        </is>
      </c>
      <c r="I71" s="626" t="inlineStr">
        <is>
          <t>La funzione ferroviaria "LV_Line_Voltage_Supervision" controlla la tensione di linea tramite sensori di tensione letti dal sistema di propulsione. I componenti elettrici/meccanici principali coinvolti sono i sensori di tensione, il sistema di propulsione e l'LCB (Line Circuit Breaker). La logica di funzionamento attiva l'LCB in caso di tensione anomala o assente. Le condizioni di attivazione/disattivazione includono la presenza di segnali da parte dei sensori di tensione e il controllo della tensione di linea. La funzione è progettata per garantire un livello di sicurezza di SIL 1, con ridondanze nel caso di fallimento del sistema.
Analisi — Funzione equivalente tra le seguenti configurazioni: VZI_Base, VZ_FR, VZ_ES, VZI-6_R1.
Pagina iniziale: parte di pagina 24 — Pagina finale: parte di pagina 27.</t>
        </is>
      </c>
      <c r="J71" s="626" t="inlineStr">
        <is>
          <t>La funzione ferroviaria "LV_Line_Voltage_Supervision" controlla la tensione di linea tramite sensori di tensione letti dal sistema di propulsione. I componenti elettrici/meccanici/software coinvolti sono i sensori di tensione, il sistema di controllo del circuito a scelta continua (CBCCS) e il sistema di gestione della tripolazione. La logica di funzionamento attiva il circuito a scelta continua in caso di tensione di linea fuori dal range accettabile, mentre la disattivazione è garantita dalla presenza di segnali validi dai sensori di tensione e dalla selezione corretta del sistema di propulsione. La funzione è progettata per garantire un livello di sicurezza di SIL 1 e prevede ridondanze nel caso di fallimento dei componenti.
Analisi — Funzione equivalente tra le seguenti configurazioni: VZI_Base, VZ_FR, VZ_ES, VZI-6_R1.
Pagina iniziale: parte di pagina 30 — Pagina finale: parte di pagina 36.</t>
        </is>
      </c>
      <c r="K71" s="460" t="n"/>
      <c r="L71" s="461" t="n"/>
    </row>
    <row r="72" customFormat="1" s="13">
      <c r="A72" s="315" t="inlineStr">
        <is>
          <t>LV_Line_Current_Supervision</t>
        </is>
      </c>
      <c r="B72" s="323" t="inlineStr">
        <is>
          <t>Controllo della corrente di linea</t>
        </is>
      </c>
      <c r="C72" s="393" t="n"/>
      <c r="D72" s="359" t="inlineStr">
        <is>
          <t>\</t>
        </is>
      </c>
      <c r="E72" s="317" t="n"/>
      <c r="F72" s="318" t="n"/>
      <c r="G72" s="318" t="n"/>
      <c r="H72" s="318" t="n"/>
      <c r="I72" s="318" t="n"/>
      <c r="J72" s="318" t="n"/>
      <c r="K72" s="318" t="n"/>
      <c r="L72" s="319" t="n"/>
    </row>
    <row r="73" outlineLevel="1" customFormat="1" s="13">
      <c r="B73" s="103" t="n"/>
      <c r="C73" s="158" t="inlineStr">
        <is>
          <t>CONFIG</t>
        </is>
      </c>
      <c r="D73" s="158" t="inlineStr">
        <is>
          <t>FRS_Line Voltage</t>
        </is>
      </c>
      <c r="E73" s="185" t="inlineStr">
        <is>
          <t>Link</t>
        </is>
      </c>
      <c r="F73" s="314">
        <f t="array" ref="F73">HYPERLINK(CONCATENATE(Cartelle!$D$5,F$1,"/",$C73,"/",MID($D73,1,FIND("_",$D73)-1),"/",INDIRECT(CONCATENATE("'" &amp; $C73 &amp; "'!",ADDRESS(MATCH($D73, INDIRECT("'" &amp; $C73 &amp; "'!$B:$B"), 0),MATCH(F$1, INDIRECT("'" &amp; $C73 &amp; "'!$1:$1"), 0)))),".",INDIRECT(CONCATENATE("'"&amp;$C73&amp;"'!",ADDRESS(MATCH($D73,INDIRECT("'"&amp;$C73&amp;"'!$B:$B"),0),3))),"#page=",F74),CONCATENATE("#Sharepoint//",$D73))</f>
        <v/>
      </c>
      <c r="G73" s="379" t="n"/>
      <c r="H73" s="314">
        <f t="array" ref="H73">HYPERLINK(CONCATENATE(Cartelle!$D$5,INDEX(INDIRECT("'" &amp; $C73 &amp; "'!$1:$1"), 1, MATCH(INDIRECT(CONCATENATE("'" &amp; $C73 &amp; "'!",ADDRESS(MATCH($D73, INDIRECT("'" &amp; $C73 &amp; "'!$B:$B"), 0),MATCH(H$1, INDIRECT("'" &amp; $C73 &amp; "'!$1:$1"), 0)))),INDIRECT(CONCATENATE("'" &amp; $C73 &amp; "'!",MATCH($D73, INDIRECT("'" &amp; $C73 &amp; "'!$B:$B"), 0),":",MATCH($D73, INDIRECT("'" &amp; $C73 &amp; "'!$B:$B"), 0))),0)),"/",$C73,"/",MID($D73,1,FIND("_",$D73)-1),"/",INDIRECT(CONCATENATE("'" &amp; $C73 &amp; "'!",ADDRESS(MATCH($D73, INDIRECT("'" &amp; $C73 &amp; "'!$B:$B"), 0),MATCH(H$1, INDIRECT("'" &amp; $C73 &amp; "'!$1:$1"), 0)))),".",INDIRECT(CONCATENATE("'"&amp;$C73&amp;"'!",ADDRESS(MATCH($D73,INDIRECT("'"&amp;$C73&amp;"'!$B:$B"),0),3))),"#page=",H74),CONCATENATE("#Sharepoint//",$D73))</f>
        <v/>
      </c>
      <c r="I73" s="314">
        <f t="array" ref="I73">HYPERLINK(CONCATENATE(Cartelle!$D$5,INDEX(INDIRECT("'" &amp; $C73 &amp; "'!$1:$1"), 1, MATCH(INDIRECT(CONCATENATE("'" &amp; $C73 &amp; "'!",ADDRESS(MATCH($D73, INDIRECT("'" &amp; $C73 &amp; "'!$B:$B"), 0),MATCH(I$1, INDIRECT("'" &amp; $C73 &amp; "'!$1:$1"), 0)))),INDIRECT(CONCATENATE("'" &amp; $C73 &amp; "'!",MATCH($D73, INDIRECT("'" &amp; $C73 &amp; "'!$B:$B"), 0),":",MATCH($D73, INDIRECT("'" &amp; $C73 &amp; "'!$B:$B"), 0))),0)),"/",$C73,"/",MID($D73,1,FIND("_",$D73)-1),"/",INDIRECT(CONCATENATE("'" &amp; $C73 &amp; "'!",ADDRESS(MATCH($D73, INDIRECT("'" &amp; $C73 &amp; "'!$B:$B"), 0),MATCH(I$1, INDIRECT("'" &amp; $C73 &amp; "'!$1:$1"), 0)))),".",INDIRECT(CONCATENATE("'"&amp;$C73&amp;"'!",ADDRESS(MATCH($D73,INDIRECT("'"&amp;$C73&amp;"'!$B:$B"),0),3))),"#page=",I74),CONCATENATE("#Sharepoint//",$D73))</f>
        <v/>
      </c>
      <c r="J73" s="314">
        <f t="array" ref="J73">HYPERLINK(CONCATENATE(Cartelle!$D$5,INDEX(INDIRECT("'" &amp; $C73 &amp; "'!$1:$1"), 1, MATCH(INDIRECT(CONCATENATE("'" &amp; $C73 &amp; "'!",ADDRESS(MATCH($D73, INDIRECT("'" &amp; $C73 &amp; "'!$B:$B"), 0),MATCH(J$1, INDIRECT("'" &amp; $C73 &amp; "'!$1:$1"), 0)))),INDIRECT(CONCATENATE("'" &amp; $C73 &amp; "'!",MATCH($D73, INDIRECT("'" &amp; $C73 &amp; "'!$B:$B"), 0),":",MATCH($D73, INDIRECT("'" &amp; $C73 &amp; "'!$B:$B"), 0))),0)),"/",$C73,"/",MID($D73,1,FIND("_",$D73)-1),"/",INDIRECT(CONCATENATE("'" &amp; $C73 &amp; "'!",ADDRESS(MATCH($D73, INDIRECT("'" &amp; $C73 &amp; "'!$B:$B"), 0),MATCH(J$1, INDIRECT("'" &amp; $C73 &amp; "'!$1:$1"), 0)))),".",INDIRECT(CONCATENATE("'"&amp;$C73&amp;"'!",ADDRESS(MATCH($D73,INDIRECT("'"&amp;$C73&amp;"'!$B:$B"),0),3))),"#page=",J74),CONCATENATE("#Sharepoint//",$D73))</f>
        <v/>
      </c>
      <c r="K73" s="311" t="n"/>
      <c r="L73" s="311" t="n"/>
    </row>
    <row r="74" outlineLevel="2" customFormat="1" s="13">
      <c r="B74" s="103" t="n"/>
      <c r="C74" s="548" t="n"/>
      <c r="D74" s="361" t="n"/>
      <c r="E74" s="321" t="inlineStr">
        <is>
          <t>Rif. Pagina</t>
        </is>
      </c>
      <c r="F74" s="322" t="n">
        <v>25</v>
      </c>
      <c r="G74" s="322" t="n"/>
      <c r="H74" s="322" t="n">
        <v>29</v>
      </c>
      <c r="I74" s="322" t="n">
        <v>27</v>
      </c>
      <c r="J74" s="322" t="n">
        <v>36</v>
      </c>
      <c r="K74" s="322" t="n"/>
      <c r="L74" s="322" t="n"/>
    </row>
    <row r="75" outlineLevel="2" customFormat="1" s="13">
      <c r="B75" s="103" t="n"/>
      <c r="C75" s="548" t="n"/>
      <c r="D75" s="458" t="n"/>
      <c r="E75" s="459" t="inlineStr">
        <is>
          <t>Funzioni AI</t>
        </is>
      </c>
      <c r="F75" s="626" t="inlineStr">
        <is>
          <t>La funzione ferroviaria "LV_Line_Current_Supervision" è un sistema di controllo della corrente di linea che monitora l'attività elettrica del treno ad alta velocità ETR1000. I componenti principali coinvolti sono i transformatori di corrente, sensori di corrente e il sistema di protezione contro sovracorrente (LIM). La funzione è attivata quando si verificano condizioni di anomalia nella misura della corrente, come la mancanza di deteczione o la presenza di correnti non previste. In caso di anomalia, il sistema invia un segnale all'operatore per richiedere l'intervento e, in alcuni casi, isolare o bypassare il trasformer per evitare danni.
Analisi — Funzione equivalente tra le seguenti configurazioni: VZI_Base, VZ_FR, VZ_ES, VZI-6_R1.
Pagina iniziale: parte di pagina 25 — Pagina finale: parte di pagina 27.</t>
        </is>
      </c>
      <c r="G75" s="460" t="n"/>
      <c r="H75" s="626" t="inlineStr">
        <is>
          <t>La funzione ferroviaria "LV_Line_Current_Supervision" è un sistema di controllo della corrente di linea che monitora l'attività elettrica del treno ad alta velocità ETR1000. I componenti principali coinvolti sono:
* Line current transformer (9d) per la misura dell'AC line current
* DC line current sensor (9c) per la misura della corrente DC
* Current transformer per il controllo del convertitore di potenza
La logica di funzionamento prevede l'attivazione del sistema in caso di:
* Assenza di deteczione della corrente lineare quando è prevista
* Assenza di deteczione della corrente del trasformer quando è prevista
* Deteczione di corrente lineare non prevista
Il sistema dispone di ridondanze e requisiti di sicurezza, tra cui:
* Eventuale isolamento o bypass del trasformer in caso di anomalia
* Notifica al conducente per il cambio della pantofoche
* Visualizzazione delle correnti sullo schermo IDU
Analisi — Funzione equivalente tra le seguenti configurazioni: VZI_Base, VZ_FR, VZ_ES, VZI-6_R1.
Pagina iniziale: parte di pagina 29 — Pagina finale: parte di pagina 31.</t>
        </is>
      </c>
      <c r="I75" s="626" t="inlineStr">
        <is>
          <t>La funzione ferroviaria "LV_Line_Current_Supervision" è un sistema di controllo della corrente di linea che monitora e gestisce le correnti elettriche sulle linee ferroviarie ad alta velocità. I componenti principali coinvolti sono i transformatori di corrente, i sensori di corrente, il sistema di protezione contro sovracorrenti (LCB) e il sistema di controllo dei convertitori di linea.
La logica di funzionamento prevede l'attivazione del sistema in caso di deteczione di anomalie nella corrente di linea, come ad esempio la mancanza di corrente o la presenza di correnti non previste. In tale caso, il sistema avvia procedure di isolamento e reclosing per garantire la sicurezza del sistema e della linea ferroviaria.
La funzione è progettata con ridondanze per garantire la sicurezza, come ad esempio l'installazione di transformatori di corrente aggiuntivi e il controllo dei convertitori di linea. La funzione è anche progettata per soddisfare i requisiti di sicurezza SIL 1 e SIL 2, che richiedono un livello di sicurezza elevato per garantire la protezione del sistema e della linea ferroviaria.
Analisi — Funzione equivalente tra le seguenti configurazioni: VZI_Base, VZ_FR, VZ_ES, VZI-6_R1.
Pagina iniziale: parte di pagina 27 — Pagina finale: parte di pagina 29.</t>
        </is>
      </c>
      <c r="J75" s="626" t="inlineStr">
        <is>
          <t>La funzione ferroviaria "LV_Line_Current_Supervision" è un sistema di controllo della corrente di linea che monitora e gestisce le condizioni di corrente elettrica sulle linee ferroviarie ad alta velocità (HV). Il sistema è composto da componenti elettrici/meccanici/software come:
* Line current transformer (9d) per misurare la corrente AC
* DC line current sensor (9c) per misurare la corrente DC
* Current transformer per controllo del convertitore di linea
La logica di funzionamento prevede l'attivazione del sistema in caso di:
* No detezione di corrente quando è prevista
* No detezione di corrente del convertitore quando è prevista
* Detezione di corrente quando non è prevista
Il sistema dispone di ridondanze e requisiti di sicurezza, come l'isolamento o il bypass della trasformata in caso di anomalia, e la visualizzazione delle correnti sullo schermo IDU.
Analisi — Funzione equivalente tra le seguenti configurazioni: VZI_Base, VZ_FR, VZ_ES, VZI-6_R1.
Pagina iniziale: parte di pagina 36 — Pagina finale: parte di pagina 39.</t>
        </is>
      </c>
      <c r="K75" s="460" t="n"/>
      <c r="L75" s="461" t="n"/>
    </row>
    <row r="76" customFormat="1" s="13">
      <c r="A76" s="315" t="inlineStr">
        <is>
          <t>LV_Line_Interference_Monitor</t>
        </is>
      </c>
      <c r="B76" s="323" t="inlineStr">
        <is>
          <t>Controllo correnti/interferenze indesiderate di linea</t>
        </is>
      </c>
      <c r="C76" s="393" t="n"/>
      <c r="D76" s="359" t="inlineStr">
        <is>
          <t>\</t>
        </is>
      </c>
      <c r="E76" s="317" t="n"/>
      <c r="F76" s="318" t="n"/>
      <c r="G76" s="318" t="n"/>
      <c r="H76" s="318" t="n"/>
      <c r="I76" s="318" t="n"/>
      <c r="J76" s="318" t="n"/>
      <c r="K76" s="318" t="n"/>
      <c r="L76" s="319" t="n"/>
    </row>
    <row r="77" outlineLevel="1" customFormat="1" s="13">
      <c r="B77" s="103" t="n"/>
      <c r="C77" s="158" t="inlineStr">
        <is>
          <t>CONFIG</t>
        </is>
      </c>
      <c r="D77" s="158" t="inlineStr">
        <is>
          <t>FRS_Line Voltage</t>
        </is>
      </c>
      <c r="E77" s="185" t="inlineStr">
        <is>
          <t>Link</t>
        </is>
      </c>
      <c r="F77" s="314">
        <f t="array" ref="F77">HYPERLINK(CONCATENATE(Cartelle!$D$5,F$1,"/",$C77,"/",MID($D77,1,FIND("_",$D77)-1),"/",INDIRECT(CONCATENATE("'" &amp; $C77 &amp; "'!",ADDRESS(MATCH($D77, INDIRECT("'" &amp; $C77 &amp; "'!$B:$B"), 0),MATCH(F$1, INDIRECT("'" &amp; $C77 &amp; "'!$1:$1"), 0)))),".",INDIRECT(CONCATENATE("'"&amp;$C77&amp;"'!",ADDRESS(MATCH($D77,INDIRECT("'"&amp;$C77&amp;"'!$B:$B"),0),3))),"#page=",F78),CONCATENATE("#Sharepoint//",$D77))</f>
        <v/>
      </c>
      <c r="G77" s="379" t="n"/>
      <c r="H77" s="314">
        <f t="array" ref="H77">HYPERLINK(CONCATENATE(Cartelle!$D$5,INDEX(INDIRECT("'" &amp; $C77 &amp; "'!$1:$1"), 1, MATCH(INDIRECT(CONCATENATE("'" &amp; $C77 &amp; "'!",ADDRESS(MATCH($D77, INDIRECT("'" &amp; $C77 &amp; "'!$B:$B"), 0),MATCH(H$1, INDIRECT("'" &amp; $C77 &amp; "'!$1:$1"), 0)))),INDIRECT(CONCATENATE("'" &amp; $C77 &amp; "'!",MATCH($D77, INDIRECT("'" &amp; $C77 &amp; "'!$B:$B"), 0),":",MATCH($D77, INDIRECT("'" &amp; $C77 &amp; "'!$B:$B"), 0))),0)),"/",$C77,"/",MID($D77,1,FIND("_",$D77)-1),"/",INDIRECT(CONCATENATE("'" &amp; $C77 &amp; "'!",ADDRESS(MATCH($D77, INDIRECT("'" &amp; $C77 &amp; "'!$B:$B"), 0),MATCH(H$1, INDIRECT("'" &amp; $C77 &amp; "'!$1:$1"), 0)))),".",INDIRECT(CONCATENATE("'"&amp;$C77&amp;"'!",ADDRESS(MATCH($D77,INDIRECT("'"&amp;$C77&amp;"'!$B:$B"),0),3))),"#page=",H78),CONCATENATE("#Sharepoint//",$D77))</f>
        <v/>
      </c>
      <c r="I77" s="314">
        <f t="array" ref="I77">HYPERLINK(CONCATENATE(Cartelle!$D$5,INDEX(INDIRECT("'" &amp; $C77 &amp; "'!$1:$1"), 1, MATCH(INDIRECT(CONCATENATE("'" &amp; $C77 &amp; "'!",ADDRESS(MATCH($D77, INDIRECT("'" &amp; $C77 &amp; "'!$B:$B"), 0),MATCH(I$1, INDIRECT("'" &amp; $C77 &amp; "'!$1:$1"), 0)))),INDIRECT(CONCATENATE("'" &amp; $C77 &amp; "'!",MATCH($D77, INDIRECT("'" &amp; $C77 &amp; "'!$B:$B"), 0),":",MATCH($D77, INDIRECT("'" &amp; $C77 &amp; "'!$B:$B"), 0))),0)),"/",$C77,"/",MID($D77,1,FIND("_",$D77)-1),"/",INDIRECT(CONCATENATE("'" &amp; $C77 &amp; "'!",ADDRESS(MATCH($D77, INDIRECT("'" &amp; $C77 &amp; "'!$B:$B"), 0),MATCH(I$1, INDIRECT("'" &amp; $C77 &amp; "'!$1:$1"), 0)))),".",INDIRECT(CONCATENATE("'"&amp;$C77&amp;"'!",ADDRESS(MATCH($D77,INDIRECT("'"&amp;$C77&amp;"'!$B:$B"),0),3))),"#page=",I78),CONCATENATE("#Sharepoint//",$D77))</f>
        <v/>
      </c>
      <c r="J77" s="314">
        <f t="array" ref="J77">HYPERLINK(CONCATENATE(Cartelle!$D$5,INDEX(INDIRECT("'" &amp; $C77 &amp; "'!$1:$1"), 1, MATCH(INDIRECT(CONCATENATE("'" &amp; $C77 &amp; "'!",ADDRESS(MATCH($D77, INDIRECT("'" &amp; $C77 &amp; "'!$B:$B"), 0),MATCH(J$1, INDIRECT("'" &amp; $C77 &amp; "'!$1:$1"), 0)))),INDIRECT(CONCATENATE("'" &amp; $C77 &amp; "'!",MATCH($D77, INDIRECT("'" &amp; $C77 &amp; "'!$B:$B"), 0),":",MATCH($D77, INDIRECT("'" &amp; $C77 &amp; "'!$B:$B"), 0))),0)),"/",$C77,"/",MID($D77,1,FIND("_",$D77)-1),"/",INDIRECT(CONCATENATE("'" &amp; $C77 &amp; "'!",ADDRESS(MATCH($D77, INDIRECT("'" &amp; $C77 &amp; "'!$B:$B"), 0),MATCH(J$1, INDIRECT("'" &amp; $C77 &amp; "'!$1:$1"), 0)))),".",INDIRECT(CONCATENATE("'"&amp;$C77&amp;"'!",ADDRESS(MATCH($D77,INDIRECT("'"&amp;$C77&amp;"'!$B:$B"),0),3))),"#page=",J78),CONCATENATE("#Sharepoint//",$D77))</f>
        <v/>
      </c>
      <c r="K77" s="311" t="n"/>
      <c r="L77" s="311" t="n"/>
    </row>
    <row r="78" outlineLevel="2" customFormat="1" s="13">
      <c r="B78" s="103" t="n"/>
      <c r="C78" s="548" t="n"/>
      <c r="D78" s="361" t="n"/>
      <c r="E78" s="321" t="inlineStr">
        <is>
          <t>Rif. Pagina</t>
        </is>
      </c>
      <c r="F78" s="322" t="n">
        <v>27</v>
      </c>
      <c r="G78" s="322" t="n"/>
      <c r="H78" s="322" t="n">
        <v>31</v>
      </c>
      <c r="I78" s="322" t="n">
        <v>29</v>
      </c>
      <c r="J78" s="322" t="n">
        <v>39</v>
      </c>
      <c r="K78" s="322" t="n"/>
      <c r="L78" s="322" t="n"/>
    </row>
    <row r="79" outlineLevel="2" customFormat="1" s="13">
      <c r="B79" s="103" t="n"/>
      <c r="C79" s="548" t="n"/>
      <c r="D79" s="458" t="n"/>
      <c r="E79" s="459" t="inlineStr">
        <is>
          <t>Funzioni AI</t>
        </is>
      </c>
      <c r="F79" s="626" t="inlineStr">
        <is>
          <t>La funzione ferroviaria "LV_Line_Interference_Monitor" è un sistema di controllo che monitora le correnti e le interferenze indesiderate sulla linea elettrica del treno ad alta velocità ETR1000. Il sistema è composto da componenti elettrici/meccanici/software come il LIM (Line Interference Monitor), il PCU (Power Control Unit) e il sistema di misurazione dei parametri elettrici.
La logica di funzionamento prevede l'attivazione del sistema in caso di interruzione della corrente o di sovracorrente, con la possibilità di bypassare il LIM e passare al sistema di controllo alternativo. Il sistema è progettato per garantire un livello di sicurezza SIL 2, con ridondanze nel caso di fallimento del sistema principale.
Analisi — Funzione equivalente tra le seguenti configurazioni: VZI_Base, VZ_FR, VZ_ES, VZI-6_R1.
Pagina iniziale: parte di pagina 27 — Pagina finale: parte di pagina 29.</t>
        </is>
      </c>
      <c r="G79" s="460" t="n"/>
      <c r="H79" s="626" t="inlineStr">
        <is>
          <t>La funzione ferroviaria "LV_Line_Interference_Monitor" è un sistema di controllo che supervisiona le correnti e le interferenze indesiderate sulla linea elettrica. Il sistema è composto da componenti elettrici/meccanici/software come il monitor dei flussi, il sensore di temperatura dell'olio trasformativo, il misuratore di corrente e la unità di controllo (PCU). La logica di funzionamento attiva il sistema in condizioni di interruzione della corrente o di sovracorrente, con la possibilità di bypassare il sistema in caso di mancata supervisione. Il sistema è progettato per garantire un livello di sicurezza SIL 2 e richiede l'installazione di almeno uno scanner per ogni mezzo ferroviario.
Analisi — Funzione equivalente tra le seguenti configurazioni: VZI_Base, VZ_FR, VZ_ES, VZI-6_R1.
Pagina iniziale: parte di pagina 31 — Pagina finale: parte di pagina 34.</t>
        </is>
      </c>
      <c r="I79" s="626" t="inlineStr">
        <is>
          <t>La funzione ferroviaria "LV_Line_Interference_Monitor" è un sistema di controllo che supervisiona le correnti e le interferenze indesiderate sulla linea elettrica. È composta da componenti elettrici/meccanici/software come il LIM (Line Interference Monitor), il PCU (Power Control Unit) e altri sistemi di monitoraggio. La logica di funzionamento attiva il sistema in caso di interruzioni della tensione o di sovracorrente, con la possibilità di bypassare il sistema in caso di fallimento. Il sistema è progettato per garantire un livello di sicurezza SIL 2 e richiede almeno uno strumento di monitoraggio per ogni mezzo ferroviario.
Analisi — Funzione equivalente tra le seguenti configurazioni: VZI_Base, VZ_FR, VZ_ES, VZI-6_R1.
Pagina iniziale: parte di pagina 29 — Pagina finale: parte di pagina 31.</t>
        </is>
      </c>
      <c r="J79" s="626" t="inlineStr">
        <is>
          <t>La funzione ferroviaria LV_Line_Interference_Monitor - Controllo correnti/interferenze indesiderate di linea è un sistema di monitoraggio che supervisiona le correnti elettriche indesiderate sulla linea ferroviaria, con lo scopo di prevenire interruzioni della linea. Il sistema è composto da componenti elettrici/meccanici/software come il HVSP (High Voltage Supervision System), il TCS (Train Control System) e il software di gestione delle interazioni. La logica di funzionamento attiva il sistema quando si verificano condizioni di interferenza indesiderata, come ad esempio una corrente elettrica superiore a 1A per 3 secondi, e attiva un meccanismo di bypass o cambioover al sistema di protezione alternativo. Il sistema è progettato con un livello di sicurezza SIL 2 e richiede la presenza di almeno uno strumento di monitoraggio per ogni semilogo ferroviario.
Analisi — Funzione equivalente tra le seguenti configurazioni: VZI_Base, VZ_FR, VZ_ES, VZI-6_R1.
Pagina iniziale: parte di pagina 39 — Pagina finale: parte di pagina 42.</t>
        </is>
      </c>
      <c r="K79" s="460" t="n"/>
      <c r="L79" s="461" t="n"/>
    </row>
    <row r="80" customFormat="1" s="13">
      <c r="A80" s="315" t="inlineStr">
        <is>
          <t>LV_LIM_50Hz_protection_bypass</t>
        </is>
      </c>
      <c r="B80" s="323" t="inlineStr">
        <is>
          <t>Bypass della protezione LIM 50 Hz</t>
        </is>
      </c>
      <c r="C80" s="393" t="n"/>
      <c r="D80" s="359" t="inlineStr">
        <is>
          <t>\</t>
        </is>
      </c>
      <c r="E80" s="317" t="n"/>
      <c r="F80" s="318" t="n"/>
      <c r="G80" s="318" t="n"/>
      <c r="H80" s="318" t="n"/>
      <c r="I80" s="318" t="n"/>
      <c r="J80" s="318" t="n"/>
      <c r="K80" s="318" t="n"/>
      <c r="L80" s="319" t="n"/>
    </row>
    <row r="81" outlineLevel="1" customFormat="1" s="13">
      <c r="B81" s="103" t="n"/>
      <c r="C81" s="158" t="inlineStr">
        <is>
          <t>CONFIG</t>
        </is>
      </c>
      <c r="D81" s="158" t="inlineStr">
        <is>
          <t>FRS_Line Voltage</t>
        </is>
      </c>
      <c r="E81" s="185" t="inlineStr">
        <is>
          <t>Link</t>
        </is>
      </c>
      <c r="F81" s="314">
        <f t="array" ref="F81">HYPERLINK(CONCATENATE(Cartelle!$D$5,F$1,"/",$C81,"/",MID($D81,1,FIND("_",$D81)-1),"/",INDIRECT(CONCATENATE("'" &amp; $C81 &amp; "'!",ADDRESS(MATCH($D81, INDIRECT("'" &amp; $C81 &amp; "'!$B:$B"), 0),MATCH(F$1, INDIRECT("'" &amp; $C81 &amp; "'!$1:$1"), 0)))),".",INDIRECT(CONCATENATE("'"&amp;$C81&amp;"'!",ADDRESS(MATCH($D81,INDIRECT("'"&amp;$C81&amp;"'!$B:$B"),0),3))),"#page=",F82),CONCATENATE("#Sharepoint//",$D81))</f>
        <v/>
      </c>
      <c r="G81" s="379" t="n"/>
      <c r="H81" s="314">
        <f t="array" ref="H81">HYPERLINK(CONCATENATE(Cartelle!$D$5,INDEX(INDIRECT("'" &amp; $C81 &amp; "'!$1:$1"), 1, MATCH(INDIRECT(CONCATENATE("'" &amp; $C81 &amp; "'!",ADDRESS(MATCH($D81, INDIRECT("'" &amp; $C81 &amp; "'!$B:$B"), 0),MATCH(H$1, INDIRECT("'" &amp; $C81 &amp; "'!$1:$1"), 0)))),INDIRECT(CONCATENATE("'" &amp; $C81 &amp; "'!",MATCH($D81, INDIRECT("'" &amp; $C81 &amp; "'!$B:$B"), 0),":",MATCH($D81, INDIRECT("'" &amp; $C81 &amp; "'!$B:$B"), 0))),0)),"/",$C81,"/",MID($D81,1,FIND("_",$D81)-1),"/",INDIRECT(CONCATENATE("'" &amp; $C81 &amp; "'!",ADDRESS(MATCH($D81, INDIRECT("'" &amp; $C81 &amp; "'!$B:$B"), 0),MATCH(H$1, INDIRECT("'" &amp; $C81 &amp; "'!$1:$1"), 0)))),".",INDIRECT(CONCATENATE("'"&amp;$C81&amp;"'!",ADDRESS(MATCH($D81,INDIRECT("'"&amp;$C81&amp;"'!$B:$B"),0),3))),"#page=",H82),CONCATENATE("#Sharepoint//",$D81))</f>
        <v/>
      </c>
      <c r="I81" s="314">
        <f t="array" ref="I81">HYPERLINK(CONCATENATE(Cartelle!$D$5,INDEX(INDIRECT("'" &amp; $C81 &amp; "'!$1:$1"), 1, MATCH(INDIRECT(CONCATENATE("'" &amp; $C81 &amp; "'!",ADDRESS(MATCH($D81, INDIRECT("'" &amp; $C81 &amp; "'!$B:$B"), 0),MATCH(I$1, INDIRECT("'" &amp; $C81 &amp; "'!$1:$1"), 0)))),INDIRECT(CONCATENATE("'" &amp; $C81 &amp; "'!",MATCH($D81, INDIRECT("'" &amp; $C81 &amp; "'!$B:$B"), 0),":",MATCH($D81, INDIRECT("'" &amp; $C81 &amp; "'!$B:$B"), 0))),0)),"/",$C81,"/",MID($D81,1,FIND("_",$D81)-1),"/",INDIRECT(CONCATENATE("'" &amp; $C81 &amp; "'!",ADDRESS(MATCH($D81, INDIRECT("'" &amp; $C81 &amp; "'!$B:$B"), 0),MATCH(I$1, INDIRECT("'" &amp; $C81 &amp; "'!$1:$1"), 0)))),".",INDIRECT(CONCATENATE("'"&amp;$C81&amp;"'!",ADDRESS(MATCH($D81,INDIRECT("'"&amp;$C81&amp;"'!$B:$B"),0),3))),"#page=",I82),CONCATENATE("#Sharepoint//",$D81))</f>
        <v/>
      </c>
      <c r="J81" s="314">
        <f t="array" ref="J81">HYPERLINK(CONCATENATE(Cartelle!$D$5,INDEX(INDIRECT("'" &amp; $C81 &amp; "'!$1:$1"), 1, MATCH(INDIRECT(CONCATENATE("'" &amp; $C81 &amp; "'!",ADDRESS(MATCH($D81, INDIRECT("'" &amp; $C81 &amp; "'!$B:$B"), 0),MATCH(J$1, INDIRECT("'" &amp; $C81 &amp; "'!$1:$1"), 0)))),INDIRECT(CONCATENATE("'" &amp; $C81 &amp; "'!",MATCH($D81, INDIRECT("'" &amp; $C81 &amp; "'!$B:$B"), 0),":",MATCH($D81, INDIRECT("'" &amp; $C81 &amp; "'!$B:$B"), 0))),0)),"/",$C81,"/",MID($D81,1,FIND("_",$D81)-1),"/",INDIRECT(CONCATENATE("'" &amp; $C81 &amp; "'!",ADDRESS(MATCH($D81, INDIRECT("'" &amp; $C81 &amp; "'!$B:$B"), 0),MATCH(J$1, INDIRECT("'" &amp; $C81 &amp; "'!$1:$1"), 0)))),".",INDIRECT(CONCATENATE("'"&amp;$C81&amp;"'!",ADDRESS(MATCH($D81,INDIRECT("'"&amp;$C81&amp;"'!$B:$B"),0),3))),"#page=",J82),CONCATENATE("#Sharepoint//",$D81))</f>
        <v/>
      </c>
      <c r="K81" s="311" t="n"/>
      <c r="L81" s="311" t="n"/>
    </row>
    <row r="82" outlineLevel="2" customFormat="1" s="13">
      <c r="B82" s="103" t="n"/>
      <c r="C82" s="548" t="n"/>
      <c r="D82" s="361" t="n"/>
      <c r="E82" s="321" t="inlineStr">
        <is>
          <t>Rif. Pagina</t>
        </is>
      </c>
      <c r="F82" s="322" t="n">
        <v>29</v>
      </c>
      <c r="G82" s="322" t="n"/>
      <c r="H82" s="322" t="n">
        <v>34</v>
      </c>
      <c r="I82" s="322" t="n">
        <v>31</v>
      </c>
      <c r="J82" s="322" t="n">
        <v>42</v>
      </c>
      <c r="K82" s="322" t="n"/>
      <c r="L82" s="322" t="n"/>
    </row>
    <row r="83" outlineLevel="2" customFormat="1" s="13">
      <c r="B83" s="103" t="n"/>
      <c r="C83" s="548" t="n"/>
      <c r="D83" s="458" t="n"/>
      <c r="E83" s="459" t="inlineStr">
        <is>
          <t>Funzioni AI</t>
        </is>
      </c>
      <c r="F83" s="626" t="inlineStr">
        <is>
          <t>La funzione ferroviaria LV_LIM_50Hz_protection_bypass è una bypass della protezione LIM 50 Hz che permette al treno di muoversi su linee DC quando si verificano disturbi elettromagnetici. La funzione è attivata da un pulsante sigillato installato nella cabina del conducente, che comunica con il sistema LIM per bypassare la protezione. In caso di fallimento della protezione, il sistema verifica se il pulsante sia stato attivato e se la bypass sia stata effettuata correttamente, per garantire la sicurezza del treno.
Analisi — Funzione equivalente tra le seguenti configurazioni: VZI_Base, VZ_FR, VZ_ES, VZI-6_R1.
Pagina iniziale: parte di pagina 29 — Pagina finale: parte di pagina 30.</t>
        </is>
      </c>
      <c r="G83" s="460" t="n"/>
      <c r="H83" s="626" t="inlineStr">
        <is>
          <t>La funzione ferroviaria LV_LIM_50Hz_protection_bypass è una bypass della protezione LIM 50 Hz per evitare rischi associati a correnti armoniche di 50 Hz quando il treno ETR1000 è in corsa su una linea DC. La funzione è attivata da un pulsante sigillato installato nella cabina del conducente, che comunica con il sistema LIM per bypassare la protezione solo se il treno è in corso su una linea DC e non si verifica alcun problema di propulsione.
Analisi — Funzione equivalente tra le seguenti configurazioni: VZI_Base, VZ_FR, VZ_ES, VZI-6_R1.
Pagina iniziale: parte di pagina 34 — Pagina finale: parte di pagina 35.</t>
        </is>
      </c>
      <c r="I83" s="626" t="inlineStr">
        <is>
          <t>La funzione ferroviaria LV_LIM_50Hz_protection_bypass è un bypass della protezione LIM 50 Hz che consente al treno di superare una linea elettrica DC con correnti armoniche a 50 Hz, evitando la chiusura del circuito spezzatore. La funzione è gestita da un switch sigillato installato nella cabina del conducente, collegato a dispositivi digitali di input sicuri e redundanti. La logica di funzionamento attiva il bypass quando il switch è aperto, ma non viene attivato se il circuito spezzatore non può essere chiuso. La funzione è progettata per garantire un livello di sicurezza SIL 2.
Analisi — Funzione equivalente tra le seguenti configurazioni: VZI_Base, VZ_FR, VZ_ES, VZI-6_R1.
Pagina iniziale: parte di pagina 31 — Pagina finale: parte di pagina 32.</t>
        </is>
      </c>
      <c r="J83" s="626" t="inlineStr">
        <is>
          <t>La funzione ferroviaria LV_LIM_50Hz_protection_bypass è un bypass della protezione LIM 50 Hz che apre il circuito spegnendo il frenatore di velocità in caso di detección di correnti armoniche a 50 Hz durante la corsa su una linea elettrica a tensione continua. Il sistema è gestito da un interruttore elettromeccanico (sealed switch) installato nella cabina del conducente, che viene attivato dal sistema TCMS per bypassare la protezione in condizioni di normalità. In caso di bypass, il pantografo non può essere sollevato nella stessa metà della carrozza e il conducente è informato di un messaggio di test auto.
Analisi — Funzione equivalente tra le seguenti configurazioni: VZI_Base, VZ_FR, VZ_ES, VZI-6_R1.
Pagina iniziale: parte di pagina 42 — Pagina finale: parte di pagina 43.</t>
        </is>
      </c>
      <c r="K83" s="460" t="n"/>
      <c r="L83" s="461" t="n"/>
    </row>
    <row r="84" ht="60" customFormat="1" customHeight="1" s="13">
      <c r="A84" s="315" t="inlineStr">
        <is>
          <t>LV_Neutral_Section_Passing</t>
        </is>
      </c>
      <c r="B84" s="323" t="inlineStr">
        <is>
          <t>Gestione del passaggio in sezione neutra:
- automatica da ATP in caso di tratto neutro al cambio fase
- inizializzata da ATP con selezione manuale deò PdC della tensione di linea, in caso di tratto neutro al cambio tensione</t>
        </is>
      </c>
      <c r="C84" s="393" t="n"/>
      <c r="D84" s="359" t="inlineStr">
        <is>
          <t>\</t>
        </is>
      </c>
      <c r="E84" s="317" t="n"/>
      <c r="F84" s="318" t="n"/>
      <c r="G84" s="318" t="n"/>
      <c r="H84" s="318" t="n"/>
      <c r="I84" s="318" t="n"/>
      <c r="J84" s="318" t="n"/>
      <c r="K84" s="318" t="n"/>
      <c r="L84" s="319" t="n"/>
    </row>
    <row r="85" outlineLevel="1" customFormat="1" s="13">
      <c r="B85" s="103" t="n"/>
      <c r="C85" s="158" t="inlineStr">
        <is>
          <t>CONFIG</t>
        </is>
      </c>
      <c r="D85" s="158" t="inlineStr">
        <is>
          <t>FRS_Line Voltage</t>
        </is>
      </c>
      <c r="E85" s="185" t="inlineStr">
        <is>
          <t>Link</t>
        </is>
      </c>
      <c r="F85" s="314">
        <f t="array" ref="F85">HYPERLINK(CONCATENATE(Cartelle!$D$5,F$1,"/",$C85,"/",MID($D85,1,FIND("_",$D85)-1),"/",INDIRECT(CONCATENATE("'" &amp; $C85 &amp; "'!",ADDRESS(MATCH($D85, INDIRECT("'" &amp; $C85 &amp; "'!$B:$B"), 0),MATCH(F$1, INDIRECT("'" &amp; $C85 &amp; "'!$1:$1"), 0)))),".",INDIRECT(CONCATENATE("'"&amp;$C85&amp;"'!",ADDRESS(MATCH($D85,INDIRECT("'"&amp;$C85&amp;"'!$B:$B"),0),3))),"#page=",F86),CONCATENATE("#Sharepoint//",$D85))</f>
        <v/>
      </c>
      <c r="G85" s="379" t="n"/>
      <c r="H85" s="314">
        <f t="array" ref="H85">HYPERLINK(CONCATENATE(Cartelle!$D$5,INDEX(INDIRECT("'" &amp; $C85 &amp; "'!$1:$1"), 1, MATCH(INDIRECT(CONCATENATE("'" &amp; $C85 &amp; "'!",ADDRESS(MATCH($D85, INDIRECT("'" &amp; $C85 &amp; "'!$B:$B"), 0),MATCH(H$1, INDIRECT("'" &amp; $C85 &amp; "'!$1:$1"), 0)))),INDIRECT(CONCATENATE("'" &amp; $C85 &amp; "'!",MATCH($D85, INDIRECT("'" &amp; $C85 &amp; "'!$B:$B"), 0),":",MATCH($D85, INDIRECT("'" &amp; $C85 &amp; "'!$B:$B"), 0))),0)),"/",$C85,"/",MID($D85,1,FIND("_",$D85)-1),"/",INDIRECT(CONCATENATE("'" &amp; $C85 &amp; "'!",ADDRESS(MATCH($D85, INDIRECT("'" &amp; $C85 &amp; "'!$B:$B"), 0),MATCH(H$1, INDIRECT("'" &amp; $C85 &amp; "'!$1:$1"), 0)))),".",INDIRECT(CONCATENATE("'"&amp;$C85&amp;"'!",ADDRESS(MATCH($D85,INDIRECT("'"&amp;$C85&amp;"'!$B:$B"),0),3))),"#page=",H86),CONCATENATE("#Sharepoint//",$D85))</f>
        <v/>
      </c>
      <c r="I85" s="314">
        <f t="array" ref="I85">HYPERLINK(CONCATENATE(Cartelle!$D$5,INDEX(INDIRECT("'" &amp; $C85 &amp; "'!$1:$1"), 1, MATCH(INDIRECT(CONCATENATE("'" &amp; $C85 &amp; "'!",ADDRESS(MATCH($D85, INDIRECT("'" &amp; $C85 &amp; "'!$B:$B"), 0),MATCH(I$1, INDIRECT("'" &amp; $C85 &amp; "'!$1:$1"), 0)))),INDIRECT(CONCATENATE("'" &amp; $C85 &amp; "'!",MATCH($D85, INDIRECT("'" &amp; $C85 &amp; "'!$B:$B"), 0),":",MATCH($D85, INDIRECT("'" &amp; $C85 &amp; "'!$B:$B"), 0))),0)),"/",$C85,"/",MID($D85,1,FIND("_",$D85)-1),"/",INDIRECT(CONCATENATE("'" &amp; $C85 &amp; "'!",ADDRESS(MATCH($D85, INDIRECT("'" &amp; $C85 &amp; "'!$B:$B"), 0),MATCH(I$1, INDIRECT("'" &amp; $C85 &amp; "'!$1:$1"), 0)))),".",INDIRECT(CONCATENATE("'"&amp;$C85&amp;"'!",ADDRESS(MATCH($D85,INDIRECT("'"&amp;$C85&amp;"'!$B:$B"),0),3))),"#page=",I86),CONCATENATE("#Sharepoint//",$D85))</f>
        <v/>
      </c>
      <c r="J85" s="314">
        <f t="array" ref="J85">HYPERLINK(CONCATENATE(Cartelle!$D$5,INDEX(INDIRECT("'" &amp; $C85 &amp; "'!$1:$1"), 1, MATCH(INDIRECT(CONCATENATE("'" &amp; $C85 &amp; "'!",ADDRESS(MATCH($D85, INDIRECT("'" &amp; $C85 &amp; "'!$B:$B"), 0),MATCH(J$1, INDIRECT("'" &amp; $C85 &amp; "'!$1:$1"), 0)))),INDIRECT(CONCATENATE("'" &amp; $C85 &amp; "'!",MATCH($D85, INDIRECT("'" &amp; $C85 &amp; "'!$B:$B"), 0),":",MATCH($D85, INDIRECT("'" &amp; $C85 &amp; "'!$B:$B"), 0))),0)),"/",$C85,"/",MID($D85,1,FIND("_",$D85)-1),"/",INDIRECT(CONCATENATE("'" &amp; $C85 &amp; "'!",ADDRESS(MATCH($D85, INDIRECT("'" &amp; $C85 &amp; "'!$B:$B"), 0),MATCH(J$1, INDIRECT("'" &amp; $C85 &amp; "'!$1:$1"), 0)))),".",INDIRECT(CONCATENATE("'"&amp;$C85&amp;"'!",ADDRESS(MATCH($D85,INDIRECT("'"&amp;$C85&amp;"'!$B:$B"),0),3))),"#page=",J86),CONCATENATE("#Sharepoint//",$D85))</f>
        <v/>
      </c>
      <c r="K85" s="311" t="n"/>
      <c r="L85" s="311" t="n"/>
    </row>
    <row r="86" outlineLevel="2" customFormat="1" s="13">
      <c r="B86" s="103" t="n"/>
      <c r="C86" s="548" t="n"/>
      <c r="D86" s="361" t="n"/>
      <c r="E86" s="321" t="inlineStr">
        <is>
          <t>Rif. Pagina</t>
        </is>
      </c>
      <c r="F86" s="322" t="n">
        <v>30</v>
      </c>
      <c r="G86" s="322" t="n"/>
      <c r="H86" s="322" t="n">
        <v>35</v>
      </c>
      <c r="I86" s="322" t="n">
        <v>32</v>
      </c>
      <c r="J86" s="322" t="n">
        <v>43</v>
      </c>
      <c r="K86" s="322" t="n"/>
      <c r="L86" s="322" t="n"/>
    </row>
    <row r="87" outlineLevel="2" customFormat="1" s="13">
      <c r="B87" s="103" t="n"/>
      <c r="C87" s="548" t="n"/>
      <c r="D87" s="458" t="n"/>
      <c r="E87" s="459" t="inlineStr">
        <is>
          <t>Funzioni AI</t>
        </is>
      </c>
      <c r="F87" s="626" t="inlineStr">
        <is>
          <t>La funzione ferroviaria "LV_Neutral_Section_Passing" gestisce il passaggio in sezione neutra, ovvero le parti del sistema elettrico ferroviario che non sono cariche di energia. La funzione è automatica da ATP (Automatic Train Protection) in caso di tratto neutro al cambio fase, mentre inizializzata da ATP con selezione manuale dei parametri di tensione di linea. La logica di funzionamento attiva il passaggio in sezione neutra quando si verifica una condizione di fallimento dell'ATP o della tensione di linea, e richiede l'intervento del conducente per aprire il circuito di protezione (LCB) e abbassare la punta del pantografo.
Analisi — Funzione equivalente tra le seguenti configurazioni: VZI_Base, VZ_FR, VZ_ES, VZI-6_R1.
Pagina iniziale: parte di pagina 30 — Pagina finale: parte di pagina 34.</t>
        </is>
      </c>
      <c r="G87" s="460" t="n"/>
      <c r="H87" s="626" t="inlineStr">
        <is>
          <t>La funzione ferroviaria "LV_Neutral_Section_Passing" gestisce il passaggio in sezione neutra del treno ad alta velocità ETR1000. I componenti elettrici/meccanici/software principali coinvolti sono l'ATP (Automatic Train Protection) e i sistemi di controllo della tensione di linea. La logica di funzionamento attiva il passaggio in sezione neutra automaticamente in caso di tratto neutro al cambio fase, mentre in caso di tratto neutro al cambio tensione è necessario selezionare manualmente la tensione di linea da parte del conducente. Le condizioni di attivazione/disattivazione sono state specificate per diverse tipologie di sezioni neutrali e includono anche casi di fallimento dell'ATP o dei sistemi di controllo. La funzione è progettata con ridondanze per garantire la sicurezza, come l'apertura manuale del sistema di protezione contro la corrente (LCB) prima di entrare in sezione neutra.
Analisi — Funzione equivalente tra le seguenti configurazioni: VZI_Base, VZ_FR, VZ_ES, VZI-6_R1.
Pagina iniziale: parte di pagina 35 — Pagina finale: parte di pagina 39.</t>
        </is>
      </c>
      <c r="I87" s="626" t="inlineStr">
        <is>
          <t>La funzione ferroviaria "LV_Neutral_Section_Passing" gestisce il passaggio in sezione neutra, ovvero le parti del sistema elettrico ferroviario che non sono cariche di energia. La funzione è composta da componenti elettrici/meccanici/software come:
* ATP (Automatic Train Protection System) per la deteczione delle sezioni neutrali
* LCBs (Low Level Crossing Bars) per il controllo del passaggio
* Pantografo per l'attrazione dell'alimentazione elettrica
La logica di funzionamento prevede l'attivazione automatica della funzione in caso di tratto neutro al cambio fase, mentre in caso di tratto neutro al cambio tensione è necessaria la selezione manuale del driver. La funzione è progettata per garantire una sicurezza SIL 0 e prevede ridondanze per il controllo del passaggio in caso di fallimento dell'ATP o dei LCBs.
Analisi — Funzione equivalente tra le seguenti configurazioni: VZI_Base, VZ_FR, VZ_ES, VZI-6_R1.
Pagina iniziale: parte di pagina 32 — Pagina finale: parte di pagina 35.</t>
        </is>
      </c>
      <c r="J87" s="626" t="inlineStr">
        <is>
          <t>La funzione ferroviaria "LV_Neutral_Section_Passing" gestisce il passaggio in sezione neutra, ovvero parte del sistema elettrico ferroviario che non è carico di corrente. Questa funzione viene attivata automaticamente dall'ATP (Automatic Train Protection) in caso di tratto neutro al cambio fase, oppure manualmente dal driver con selezione manuale della tensione di linea. La logica di funzionamento prevede l'attivazione dell'indicatore di passaggio in sezione neutra e la gestione delle condizioni di attivazione/disattivazione, come ad esempio il rilevamento dei segnali di tratto neutro al cambio fase o della tensione di linea. La funzione è progettata per garantire una sicurezza elevata, con ridondanze e requisiti di sicurezza come l'attivazione dell'indicatore di passaggio in sezione neutra anche in caso di fallimento dell'ATP o del sistema di controllo.
Analisi — Funzione equivalente tra le seguenti configurazioni: VZI_Base, VZ_FR, VZ_ES, VZI-6_R1.
Pagina iniziale: parte di pagina 43 — Pagina finale: parte di pagina 47.</t>
        </is>
      </c>
      <c r="K87" s="460" t="n"/>
      <c r="L87" s="461" t="n"/>
    </row>
    <row r="88" ht="30" customFormat="1" customHeight="1" s="13">
      <c r="A88" s="315" t="inlineStr">
        <is>
          <t>LV_System_Selection</t>
        </is>
      </c>
      <c r="B88" s="323" t="inlineStr">
        <is>
          <t>Selezione tramite commutatore a 4 posizioni della tensione di linea (25 kV AC, 15 kV AC, 3 kV DC o 1,5 kV DC)</t>
        </is>
      </c>
      <c r="C88" s="393" t="n"/>
      <c r="D88" s="359" t="inlineStr">
        <is>
          <t>\</t>
        </is>
      </c>
      <c r="E88" s="317" t="n"/>
      <c r="F88" s="318" t="n"/>
      <c r="G88" s="318" t="n"/>
      <c r="H88" s="318" t="n"/>
      <c r="I88" s="318" t="n"/>
      <c r="J88" s="318" t="n"/>
      <c r="K88" s="318" t="n"/>
      <c r="L88" s="319" t="n"/>
    </row>
    <row r="89" outlineLevel="1" customFormat="1" s="13">
      <c r="B89" s="103" t="n"/>
      <c r="C89" s="158" t="inlineStr">
        <is>
          <t>CONFIG</t>
        </is>
      </c>
      <c r="D89" s="158" t="inlineStr">
        <is>
          <t>FRS_Line Voltage</t>
        </is>
      </c>
      <c r="E89" s="185" t="inlineStr">
        <is>
          <t>Link</t>
        </is>
      </c>
      <c r="F89" s="314">
        <f t="array" ref="F89">HYPERLINK(CONCATENATE(Cartelle!$D$5,F$1,"/",$C89,"/",MID($D89,1,FIND("_",$D89)-1),"/",INDIRECT(CONCATENATE("'" &amp; $C89 &amp; "'!",ADDRESS(MATCH($D89, INDIRECT("'" &amp; $C89 &amp; "'!$B:$B"), 0),MATCH(F$1, INDIRECT("'" &amp; $C89 &amp; "'!$1:$1"), 0)))),".",INDIRECT(CONCATENATE("'"&amp;$C89&amp;"'!",ADDRESS(MATCH($D89,INDIRECT("'"&amp;$C89&amp;"'!$B:$B"),0),3))),"#page=",F90),CONCATENATE("#Sharepoint//",$D89))</f>
        <v/>
      </c>
      <c r="G89" s="379" t="n"/>
      <c r="H89" s="314">
        <f t="array" ref="H89">HYPERLINK(CONCATENATE(Cartelle!$D$5,INDEX(INDIRECT("'" &amp; $C89 &amp; "'!$1:$1"), 1, MATCH(INDIRECT(CONCATENATE("'" &amp; $C89 &amp; "'!",ADDRESS(MATCH($D89, INDIRECT("'" &amp; $C89 &amp; "'!$B:$B"), 0),MATCH(H$1, INDIRECT("'" &amp; $C89 &amp; "'!$1:$1"), 0)))),INDIRECT(CONCATENATE("'" &amp; $C89 &amp; "'!",MATCH($D89, INDIRECT("'" &amp; $C89 &amp; "'!$B:$B"), 0),":",MATCH($D89, INDIRECT("'" &amp; $C89 &amp; "'!$B:$B"), 0))),0)),"/",$C89,"/",MID($D89,1,FIND("_",$D89)-1),"/",INDIRECT(CONCATENATE("'" &amp; $C89 &amp; "'!",ADDRESS(MATCH($D89, INDIRECT("'" &amp; $C89 &amp; "'!$B:$B"), 0),MATCH(H$1, INDIRECT("'" &amp; $C89 &amp; "'!$1:$1"), 0)))),".",INDIRECT(CONCATENATE("'"&amp;$C89&amp;"'!",ADDRESS(MATCH($D89,INDIRECT("'"&amp;$C89&amp;"'!$B:$B"),0),3))),"#page=",H90),CONCATENATE("#Sharepoint//",$D89))</f>
        <v/>
      </c>
      <c r="I89" s="314">
        <f t="array" ref="I89">HYPERLINK(CONCATENATE(Cartelle!$D$5,INDEX(INDIRECT("'" &amp; $C89 &amp; "'!$1:$1"), 1, MATCH(INDIRECT(CONCATENATE("'" &amp; $C89 &amp; "'!",ADDRESS(MATCH($D89, INDIRECT("'" &amp; $C89 &amp; "'!$B:$B"), 0),MATCH(I$1, INDIRECT("'" &amp; $C89 &amp; "'!$1:$1"), 0)))),INDIRECT(CONCATENATE("'" &amp; $C89 &amp; "'!",MATCH($D89, INDIRECT("'" &amp; $C89 &amp; "'!$B:$B"), 0),":",MATCH($D89, INDIRECT("'" &amp; $C89 &amp; "'!$B:$B"), 0))),0)),"/",$C89,"/",MID($D89,1,FIND("_",$D89)-1),"/",INDIRECT(CONCATENATE("'" &amp; $C89 &amp; "'!",ADDRESS(MATCH($D89, INDIRECT("'" &amp; $C89 &amp; "'!$B:$B"), 0),MATCH(I$1, INDIRECT("'" &amp; $C89 &amp; "'!$1:$1"), 0)))),".",INDIRECT(CONCATENATE("'"&amp;$C89&amp;"'!",ADDRESS(MATCH($D89,INDIRECT("'"&amp;$C89&amp;"'!$B:$B"),0),3))),"#page=",I90),CONCATENATE("#Sharepoint//",$D89))</f>
        <v/>
      </c>
      <c r="J89" s="314">
        <f t="array" ref="J89">HYPERLINK(CONCATENATE(Cartelle!$D$5,INDEX(INDIRECT("'" &amp; $C89 &amp; "'!$1:$1"), 1, MATCH(INDIRECT(CONCATENATE("'" &amp; $C89 &amp; "'!",ADDRESS(MATCH($D89, INDIRECT("'" &amp; $C89 &amp; "'!$B:$B"), 0),MATCH(J$1, INDIRECT("'" &amp; $C89 &amp; "'!$1:$1"), 0)))),INDIRECT(CONCATENATE("'" &amp; $C89 &amp; "'!",MATCH($D89, INDIRECT("'" &amp; $C89 &amp; "'!$B:$B"), 0),":",MATCH($D89, INDIRECT("'" &amp; $C89 &amp; "'!$B:$B"), 0))),0)),"/",$C89,"/",MID($D89,1,FIND("_",$D89)-1),"/",INDIRECT(CONCATENATE("'" &amp; $C89 &amp; "'!",ADDRESS(MATCH($D89, INDIRECT("'" &amp; $C89 &amp; "'!$B:$B"), 0),MATCH(J$1, INDIRECT("'" &amp; $C89 &amp; "'!$1:$1"), 0)))),".",INDIRECT(CONCATENATE("'"&amp;$C89&amp;"'!",ADDRESS(MATCH($D89,INDIRECT("'"&amp;$C89&amp;"'!$B:$B"),0),3))),"#page=",J90),CONCATENATE("#Sharepoint//",$D89))</f>
        <v/>
      </c>
      <c r="K89" s="311" t="n"/>
      <c r="L89" s="311" t="n"/>
    </row>
    <row r="90" outlineLevel="2" customFormat="1" s="13">
      <c r="B90" s="103" t="n"/>
      <c r="C90" s="548" t="n"/>
      <c r="D90" s="361" t="n"/>
      <c r="E90" s="321" t="inlineStr">
        <is>
          <t>Rif. Pagina</t>
        </is>
      </c>
      <c r="F90" s="322" t="n">
        <v>34</v>
      </c>
      <c r="G90" s="322" t="n"/>
      <c r="H90" s="322" t="n">
        <v>39</v>
      </c>
      <c r="I90" s="322" t="n">
        <v>35</v>
      </c>
      <c r="J90" s="322" t="n">
        <v>47</v>
      </c>
      <c r="K90" s="322" t="n"/>
      <c r="L90" s="322" t="n"/>
    </row>
    <row r="91" outlineLevel="2" customFormat="1" s="13">
      <c r="B91" s="103" t="n"/>
      <c r="C91" s="548" t="n"/>
      <c r="D91" s="458" t="n"/>
      <c r="E91" s="459" t="inlineStr">
        <is>
          <t>Funzioni AI</t>
        </is>
      </c>
      <c r="F91" s="626" t="inlineStr">
        <is>
          <t>La funzione ferroviaria "LV_System_Selection" seleziona il sistema elettrico tramite un commutatore a 4 posizioni (25 kV AC, 15 kV AC, 3 kV DC o 1,5 kV DC) utilizzando un commutatore "Line voltage selector". La funzione è attivata quando il sistema di detezione dei sistemi elettrici (AC o DC) differisce dal sistema di controllo LIM. In caso di fallimento, la funzione isola i pantografi e richiede al conducente di sollevare altri pantografi. La logica di funzionamento prevede anche il controllo della plausibilità dei sistemi elettrici DC e 3 kV.
Analisi — Funzione equivalente tra le seguenti configurazioni: VZI_Base, VZ_FR, VZ_ES, VZI-6_R1.
Pagina iniziale: parte di pagina 34 — Pagina finale: parte di pagina 35.</t>
        </is>
      </c>
      <c r="G91" s="460" t="n"/>
      <c r="H91" s="626" t="inlineStr">
        <is>
          <t>La funzione ferroviaria LV_System_Selection seleziona il sistema elettrico tramite un commutatore a 4 posizioni (25 kV AC, 15 kV AC, 3 kV DC o 1,5 kV DC) utilizzando un commutatore "Line voltage selector". La logica di funzionamento prevede la deteczione del sistema elettrico attualmente utilizzato dai sistemi di detrazione (AC e DC), che inviano segnali di allarme in caso di anomalia. Il sistema è progettato per garantire una sicurezza elevata, con ridondanze nei sistemi di controllo e comunicazione tra il commutatore e i sistemi di detrazione.
Analisi — Funzione equivalente tra le seguenti configurazioni: VZI_Base, VZ_FR, VZ_ES, VZI-6_R1.
Pagina iniziale: parte di pagina 39 — Pagina finale: parte di pagina 42.</t>
        </is>
      </c>
      <c r="I91" s="626" t="inlineStr">
        <is>
          <t>La funzione ferroviaria "LV_System_Selection" seleziona il sistema elettrico tramite un commutatore a 4 posizioni (25 kV AC, 15 kV AC, 3 kV DC o 1,5 kV DC) utilizzando un commutatore a 4 posizioni. I componenti principali coinvolti sono il commutatore elettrico, i sistemi di detezione di tensione (AC e DC), i pantografi elettrici e il sistema di controllo LIM. La logica di funzionamento prevede la selezione del sistema elettrico in base alle condizioni di operazione (normali o fallimentari) e l'isolamento dei pantografi elettrici in caso di fallimento del sistema. La funzione è progettata per garantire una sicurezza elevata, con ridondanze nei sistemi di detezione e controllo.
Analisi — Funzione equivalente tra le seguenti configurazioni: VZI_Base, VZ_FR, VZ_ES, VZI-6_R1.
Pagina iniziale: parte di pagina 35 — Pagina finale: parte di pagina 38.</t>
        </is>
      </c>
      <c r="J91" s="626" t="inlineStr">
        <is>
          <t>La funzione ferroviaria "LV_System_Selection" seleziona il sistema di tensione elettrica tramite un commutatore a 4 posizioni ("Line voltage selector") che consente al conducente di scegliere tra quattro sistemi di tensione: AC 25 kV, AC 15 kV, DC 3 kV e DC 1,5 kV. Il sistema è composto da componenti elettrici/meccanici come il commutatore a 4 posizioni, unità di deteczione del sistema e HVSP (High Voltage Switching Panel). La logica di funzionamento attiva il sistema quando si verifica una variazione nel sistema di tensione, con la possibilità di isolare i pantografi elettrici per garantire la sicurezza. Il sistema è progettato per ridurre al minimo gli errori e garantire la sicurezza del conducente e dell'intero sistema ferroviario.
Analisi — Funzione equivalente tra le seguenti configurazioni: VZI_Base, VZ_FR, VZ_ES, VZI-6_R1.
Pagina iniziale: parte di pagina 47 — Pagina finale: parte di pagina 50.</t>
        </is>
      </c>
      <c r="K91" s="460" t="n"/>
      <c r="L91" s="461" t="n"/>
    </row>
    <row r="92" ht="30" customFormat="1" customHeight="1" s="13">
      <c r="A92" s="315" t="inlineStr">
        <is>
          <t>LV_Line_Circuit_Breaker_Closing</t>
        </is>
      </c>
      <c r="B92" s="323" t="inlineStr">
        <is>
          <t>Chiusura dell’interruttore di linea (LCB) per collegare la tensione di linea al treno</t>
        </is>
      </c>
      <c r="C92" s="393" t="n"/>
      <c r="D92" s="359" t="inlineStr">
        <is>
          <t>\</t>
        </is>
      </c>
      <c r="E92" s="317" t="n"/>
      <c r="F92" s="318" t="n"/>
      <c r="G92" s="318" t="n"/>
      <c r="H92" s="318" t="n"/>
      <c r="I92" s="318" t="n"/>
      <c r="J92" s="318" t="n"/>
      <c r="K92" s="318" t="n"/>
      <c r="L92" s="319" t="n"/>
    </row>
    <row r="93" outlineLevel="1" customFormat="1" s="13">
      <c r="B93" s="103" t="n"/>
      <c r="C93" s="158" t="inlineStr">
        <is>
          <t>CONFIG</t>
        </is>
      </c>
      <c r="D93" s="158" t="inlineStr">
        <is>
          <t>FRS_Line Voltage</t>
        </is>
      </c>
      <c r="E93" s="185" t="inlineStr">
        <is>
          <t>Link</t>
        </is>
      </c>
      <c r="F93" s="314">
        <f t="array" ref="F93">HYPERLINK(CONCATENATE(Cartelle!$D$5,F$1,"/",$C93,"/",MID($D93,1,FIND("_",$D93)-1),"/",INDIRECT(CONCATENATE("'" &amp; $C93 &amp; "'!",ADDRESS(MATCH($D93, INDIRECT("'" &amp; $C93 &amp; "'!$B:$B"), 0),MATCH(F$1, INDIRECT("'" &amp; $C93 &amp; "'!$1:$1"), 0)))),".",INDIRECT(CONCATENATE("'"&amp;$C93&amp;"'!",ADDRESS(MATCH($D93,INDIRECT("'"&amp;$C93&amp;"'!$B:$B"),0),3))),"#page=",F94),CONCATENATE("#Sharepoint//",$D93))</f>
        <v/>
      </c>
      <c r="G93" s="379" t="n"/>
      <c r="H93" s="314">
        <f t="array" ref="H93">HYPERLINK(CONCATENATE(Cartelle!$D$5,INDEX(INDIRECT("'" &amp; $C93 &amp; "'!$1:$1"), 1, MATCH(INDIRECT(CONCATENATE("'" &amp; $C93 &amp; "'!",ADDRESS(MATCH($D93, INDIRECT("'" &amp; $C93 &amp; "'!$B:$B"), 0),MATCH(H$1, INDIRECT("'" &amp; $C93 &amp; "'!$1:$1"), 0)))),INDIRECT(CONCATENATE("'" &amp; $C93 &amp; "'!",MATCH($D93, INDIRECT("'" &amp; $C93 &amp; "'!$B:$B"), 0),":",MATCH($D93, INDIRECT("'" &amp; $C93 &amp; "'!$B:$B"), 0))),0)),"/",$C93,"/",MID($D93,1,FIND("_",$D93)-1),"/",INDIRECT(CONCATENATE("'" &amp; $C93 &amp; "'!",ADDRESS(MATCH($D93, INDIRECT("'" &amp; $C93 &amp; "'!$B:$B"), 0),MATCH(H$1, INDIRECT("'" &amp; $C93 &amp; "'!$1:$1"), 0)))),".",INDIRECT(CONCATENATE("'"&amp;$C93&amp;"'!",ADDRESS(MATCH($D93,INDIRECT("'"&amp;$C93&amp;"'!$B:$B"),0),3))),"#page=",H94),CONCATENATE("#Sharepoint//",$D93))</f>
        <v/>
      </c>
      <c r="I93" s="314">
        <f t="array" ref="I93">HYPERLINK(CONCATENATE(Cartelle!$D$5,INDEX(INDIRECT("'" &amp; $C93 &amp; "'!$1:$1"), 1, MATCH(INDIRECT(CONCATENATE("'" &amp; $C93 &amp; "'!",ADDRESS(MATCH($D93, INDIRECT("'" &amp; $C93 &amp; "'!$B:$B"), 0),MATCH(I$1, INDIRECT("'" &amp; $C93 &amp; "'!$1:$1"), 0)))),INDIRECT(CONCATENATE("'" &amp; $C93 &amp; "'!",MATCH($D93, INDIRECT("'" &amp; $C93 &amp; "'!$B:$B"), 0),":",MATCH($D93, INDIRECT("'" &amp; $C93 &amp; "'!$B:$B"), 0))),0)),"/",$C93,"/",MID($D93,1,FIND("_",$D93)-1),"/",INDIRECT(CONCATENATE("'" &amp; $C93 &amp; "'!",ADDRESS(MATCH($D93, INDIRECT("'" &amp; $C93 &amp; "'!$B:$B"), 0),MATCH(I$1, INDIRECT("'" &amp; $C93 &amp; "'!$1:$1"), 0)))),".",INDIRECT(CONCATENATE("'"&amp;$C93&amp;"'!",ADDRESS(MATCH($D93,INDIRECT("'"&amp;$C93&amp;"'!$B:$B"),0),3))),"#page=",I94),CONCATENATE("#Sharepoint//",$D93))</f>
        <v/>
      </c>
      <c r="J93" s="314">
        <f t="array" ref="J93">HYPERLINK(CONCATENATE(Cartelle!$D$5,INDEX(INDIRECT("'" &amp; $C93 &amp; "'!$1:$1"), 1, MATCH(INDIRECT(CONCATENATE("'" &amp; $C93 &amp; "'!",ADDRESS(MATCH($D93, INDIRECT("'" &amp; $C93 &amp; "'!$B:$B"), 0),MATCH(J$1, INDIRECT("'" &amp; $C93 &amp; "'!$1:$1"), 0)))),INDIRECT(CONCATENATE("'" &amp; $C93 &amp; "'!",MATCH($D93, INDIRECT("'" &amp; $C93 &amp; "'!$B:$B"), 0),":",MATCH($D93, INDIRECT("'" &amp; $C93 &amp; "'!$B:$B"), 0))),0)),"/",$C93,"/",MID($D93,1,FIND("_",$D93)-1),"/",INDIRECT(CONCATENATE("'" &amp; $C93 &amp; "'!",ADDRESS(MATCH($D93, INDIRECT("'" &amp; $C93 &amp; "'!$B:$B"), 0),MATCH(J$1, INDIRECT("'" &amp; $C93 &amp; "'!$1:$1"), 0)))),".",INDIRECT(CONCATENATE("'"&amp;$C93&amp;"'!",ADDRESS(MATCH($D93,INDIRECT("'"&amp;$C93&amp;"'!$B:$B"),0),3))),"#page=",J94),CONCATENATE("#Sharepoint//",$D93))</f>
        <v/>
      </c>
      <c r="K93" s="311" t="n"/>
      <c r="L93" s="311" t="n"/>
    </row>
    <row r="94" outlineLevel="2" customFormat="1" s="13">
      <c r="B94" s="103" t="n"/>
      <c r="C94" s="548" t="n"/>
      <c r="D94" s="361" t="n"/>
      <c r="E94" s="321" t="inlineStr">
        <is>
          <t>Rif. Pagina</t>
        </is>
      </c>
      <c r="F94" s="322" t="n">
        <v>37</v>
      </c>
      <c r="G94" s="322" t="n"/>
      <c r="H94" s="322" t="n">
        <v>42</v>
      </c>
      <c r="I94" s="322" t="n">
        <v>38</v>
      </c>
      <c r="J94" s="322" t="n">
        <v>50</v>
      </c>
      <c r="K94" s="322" t="n"/>
      <c r="L94" s="322" t="n"/>
    </row>
    <row r="95" outlineLevel="2" customFormat="1" s="13">
      <c r="B95" s="103" t="n"/>
      <c r="C95" s="548" t="n"/>
      <c r="D95" s="458" t="n"/>
      <c r="E95" s="459" t="inlineStr">
        <is>
          <t>Funzioni AI</t>
        </is>
      </c>
      <c r="F95" s="626" t="inlineStr">
        <is>
          <t>La funzione ferroviaria "LV_Line_Circuit_Breaker_Closing" si chiama "Chiusura dell'interruttore di linea" e ha lo scopo di collegare la tensione di linea al treno. La funzione è coinvoltiva dei seguenti componenti elettrici/meccanici/software: interruttore di linea, pantografo, sistema di controllo del treno (TCMS) e schermo IDU. La logica di funzionamento prevede l'attivazione dell'interruttore di linea quando il treno lascia una sezione neutrale, il pantografo è già sollevato e non ci sono attività di manutenzione in corso. In caso di fallimento, la funzione si attiva automaticamente dopo 1 secondo e viene bloccata dopo 3 tentativi senza successo entro 30 minuti. La funzione è progettata per garantire una sicurezza di livello SIL 0 e richiede un sistema di controllo con tre posizioni di interruttore: chiusura, neutralità e apertura.
Analisi — Funzione equivalente tra le seguenti configurazioni: VZI_Base, VZ_FR, VZ_ES, VZI-6_R1.
Pagina iniziale: parte di pagina 37 — Pagina finale: parte di pagina 40.</t>
        </is>
      </c>
      <c r="G95" s="460" t="n"/>
      <c r="H95" s="626" t="inlineStr">
        <is>
          <t>La funzione ferroviaria "LV_Line_Circuit_Breaker_Closing" si chiama "Chiusura dell'interruttore di linea (LCB)" e ha lo scopo di collegare la tensione di linea al treno. La funzione è coinvoltiva del circuito di interruzione della linea, del pantografo e del sistema di controllo dei sistemi meccanici (TCMS). La logica di funzionamento prevede l'attivazione dell'interruttore quando il treno lascia una sezione neutrale, il pantografo è sollevato e non ci sono attività di manutenzione in corso. In caso di fallimento, l'interruttore viene bloccato dopo tre tentativi senza successo entro 30 minuti.
Analisi — Funzione equivalente tra le seguenti configurazioni: VZI_Base, VZ_FR, VZ_ES, VZI-6_R1.
Pagina iniziale: parte di pagina 42 — Pagina finale: parte di pagina 46.</t>
        </is>
      </c>
      <c r="I95" s="626" t="inlineStr">
        <is>
          <t>La funzione ferroviaria "LV_Line_Circuit_Breaker_Closing" si chiama "Chiusura dell'interruttore di linea (LCB)" e ha lo scopo di collegare la tensione di linea al treno. La funzione è coinvoltiva il circuito di interruzione della linea, il pantografo e il sistema software del treno. La logica di funzionamento attiva l'interruttore quando il treno lascia una sezione neutrale, il pantografo è sollevato e non ci sono attività di manutenzione in corso. In caso di fallimento, la funzione tenta di riconnettere la tensione di linea dopo 3 tentativi entro 30 minuti. La funzione è progettata per garantire un livello di sicurezza SIL 0 e richiede una ridondanza dei componenti elettrici/meccanici/software.
Analisi — Funzione equivalente tra le seguenti configurazioni: VZI_Base, VZ_FR, VZ_ES, VZI-6_R1.
Pagina iniziale: parte di pagina 38 — Pagina finale: parte di pagina 42.</t>
        </is>
      </c>
      <c r="J95" s="626" t="inlineStr">
        <is>
          <t>La funzione ferroviaria "LV_Line_Circuit_Breaker_Closing" si riferisce alla chiusura dell'interruttore di linea (LCB) per collegare la tensione di linea al treno. I componenti elettrici/meccanici/software principali coinvolti sono gli LCB, il sistema di controllo del treno (TCMS), l'interfaccia utente del driver (IDU). La logica di funzionamento attiva la chiusura dell'interruttore quando il driver attiva il comando "Line circuit breaker close" o quando il treno lascia una sezione neutrale, con condizioni di sicurezza per evitare interruzioni non autorizzate. L'interruttore viene bloccato automaticamente in caso di fallimento e viene disattivato in caso di manutenzione.
Analisi — Funzione equivalente tra le seguenti configurazioni: VZI_Base, VZ_FR, VZ_ES, VZI-6_R1.
Pagina iniziale: parte di pagina 50 — Pagina finale: parte di pagina 56.</t>
        </is>
      </c>
      <c r="K95" s="460" t="n"/>
      <c r="L95" s="461" t="n"/>
    </row>
    <row r="96" customFormat="1" s="13">
      <c r="A96" s="315" t="inlineStr">
        <is>
          <t>LV_Line_Circuit_Breaker_Opening</t>
        </is>
      </c>
      <c r="B96" s="323" t="inlineStr">
        <is>
          <t>Apertura LCB su comando o per intervento protezione</t>
        </is>
      </c>
      <c r="C96" s="393" t="n"/>
      <c r="D96" s="359" t="inlineStr">
        <is>
          <t>\</t>
        </is>
      </c>
      <c r="E96" s="317" t="n"/>
      <c r="F96" s="318" t="n"/>
      <c r="G96" s="318" t="n"/>
      <c r="H96" s="318" t="n"/>
      <c r="I96" s="318" t="n"/>
      <c r="J96" s="318" t="n"/>
      <c r="K96" s="318" t="n"/>
      <c r="L96" s="319" t="n"/>
    </row>
    <row r="97" outlineLevel="1" customFormat="1" s="13">
      <c r="B97" s="103" t="n"/>
      <c r="C97" s="158" t="inlineStr">
        <is>
          <t>CONFIG</t>
        </is>
      </c>
      <c r="D97" s="158" t="inlineStr">
        <is>
          <t>FRS_Line Voltage</t>
        </is>
      </c>
      <c r="E97" s="185" t="inlineStr">
        <is>
          <t>Link</t>
        </is>
      </c>
      <c r="F97" s="314">
        <f t="array" ref="F97">HYPERLINK(CONCATENATE(Cartelle!$D$5,F$1,"/",$C97,"/",MID($D97,1,FIND("_",$D97)-1),"/",INDIRECT(CONCATENATE("'" &amp; $C97 &amp; "'!",ADDRESS(MATCH($D97, INDIRECT("'" &amp; $C97 &amp; "'!$B:$B"), 0),MATCH(F$1, INDIRECT("'" &amp; $C97 &amp; "'!$1:$1"), 0)))),".",INDIRECT(CONCATENATE("'"&amp;$C97&amp;"'!",ADDRESS(MATCH($D97,INDIRECT("'"&amp;$C97&amp;"'!$B:$B"),0),3))),"#page=",F98),CONCATENATE("#Sharepoint//",$D97))</f>
        <v/>
      </c>
      <c r="G97" s="379" t="n"/>
      <c r="H97" s="314">
        <f t="array" ref="H97">HYPERLINK(CONCATENATE(Cartelle!$D$5,INDEX(INDIRECT("'" &amp; $C97 &amp; "'!$1:$1"), 1, MATCH(INDIRECT(CONCATENATE("'" &amp; $C97 &amp; "'!",ADDRESS(MATCH($D97, INDIRECT("'" &amp; $C97 &amp; "'!$B:$B"), 0),MATCH(H$1, INDIRECT("'" &amp; $C97 &amp; "'!$1:$1"), 0)))),INDIRECT(CONCATENATE("'" &amp; $C97 &amp; "'!",MATCH($D97, INDIRECT("'" &amp; $C97 &amp; "'!$B:$B"), 0),":",MATCH($D97, INDIRECT("'" &amp; $C97 &amp; "'!$B:$B"), 0))),0)),"/",$C97,"/",MID($D97,1,FIND("_",$D97)-1),"/",INDIRECT(CONCATENATE("'" &amp; $C97 &amp; "'!",ADDRESS(MATCH($D97, INDIRECT("'" &amp; $C97 &amp; "'!$B:$B"), 0),MATCH(H$1, INDIRECT("'" &amp; $C97 &amp; "'!$1:$1"), 0)))),".",INDIRECT(CONCATENATE("'"&amp;$C97&amp;"'!",ADDRESS(MATCH($D97,INDIRECT("'"&amp;$C97&amp;"'!$B:$B"),0),3))),"#page=",H98),CONCATENATE("#Sharepoint//",$D97))</f>
        <v/>
      </c>
      <c r="I97" s="314">
        <f t="array" ref="I97">HYPERLINK(CONCATENATE(Cartelle!$D$5,INDEX(INDIRECT("'" &amp; $C97 &amp; "'!$1:$1"), 1, MATCH(INDIRECT(CONCATENATE("'" &amp; $C97 &amp; "'!",ADDRESS(MATCH($D97, INDIRECT("'" &amp; $C97 &amp; "'!$B:$B"), 0),MATCH(I$1, INDIRECT("'" &amp; $C97 &amp; "'!$1:$1"), 0)))),INDIRECT(CONCATENATE("'" &amp; $C97 &amp; "'!",MATCH($D97, INDIRECT("'" &amp; $C97 &amp; "'!$B:$B"), 0),":",MATCH($D97, INDIRECT("'" &amp; $C97 &amp; "'!$B:$B"), 0))),0)),"/",$C97,"/",MID($D97,1,FIND("_",$D97)-1),"/",INDIRECT(CONCATENATE("'" &amp; $C97 &amp; "'!",ADDRESS(MATCH($D97, INDIRECT("'" &amp; $C97 &amp; "'!$B:$B"), 0),MATCH(I$1, INDIRECT("'" &amp; $C97 &amp; "'!$1:$1"), 0)))),".",INDIRECT(CONCATENATE("'"&amp;$C97&amp;"'!",ADDRESS(MATCH($D97,INDIRECT("'"&amp;$C97&amp;"'!$B:$B"),0),3))),"#page=",I98),CONCATENATE("#Sharepoint//",$D97))</f>
        <v/>
      </c>
      <c r="J97" s="314">
        <f t="array" ref="J97">HYPERLINK(CONCATENATE(Cartelle!$D$5,INDEX(INDIRECT("'" &amp; $C97 &amp; "'!$1:$1"), 1, MATCH(INDIRECT(CONCATENATE("'" &amp; $C97 &amp; "'!",ADDRESS(MATCH($D97, INDIRECT("'" &amp; $C97 &amp; "'!$B:$B"), 0),MATCH(J$1, INDIRECT("'" &amp; $C97 &amp; "'!$1:$1"), 0)))),INDIRECT(CONCATENATE("'" &amp; $C97 &amp; "'!",MATCH($D97, INDIRECT("'" &amp; $C97 &amp; "'!$B:$B"), 0),":",MATCH($D97, INDIRECT("'" &amp; $C97 &amp; "'!$B:$B"), 0))),0)),"/",$C97,"/",MID($D97,1,FIND("_",$D97)-1),"/",INDIRECT(CONCATENATE("'" &amp; $C97 &amp; "'!",ADDRESS(MATCH($D97, INDIRECT("'" &amp; $C97 &amp; "'!$B:$B"), 0),MATCH(J$1, INDIRECT("'" &amp; $C97 &amp; "'!$1:$1"), 0)))),".",INDIRECT(CONCATENATE("'"&amp;$C97&amp;"'!",ADDRESS(MATCH($D97,INDIRECT("'"&amp;$C97&amp;"'!$B:$B"),0),3))),"#page=",J98),CONCATENATE("#Sharepoint//",$D97))</f>
        <v/>
      </c>
      <c r="K97" s="311" t="n"/>
      <c r="L97" s="311" t="n"/>
    </row>
    <row r="98" outlineLevel="2" customFormat="1" s="13">
      <c r="B98" s="103" t="n"/>
      <c r="C98" s="548" t="n"/>
      <c r="D98" s="361" t="n"/>
      <c r="E98" s="321" t="inlineStr">
        <is>
          <t>Rif. Pagina</t>
        </is>
      </c>
      <c r="F98" s="322" t="n">
        <v>40</v>
      </c>
      <c r="G98" s="322" t="n"/>
      <c r="H98" s="322" t="n">
        <v>46</v>
      </c>
      <c r="I98" s="322" t="n">
        <v>42</v>
      </c>
      <c r="J98" s="322" t="n">
        <v>56</v>
      </c>
      <c r="K98" s="322" t="n"/>
      <c r="L98" s="322" t="n"/>
    </row>
    <row r="99" outlineLevel="2" customFormat="1" s="13">
      <c r="B99" s="103" t="n"/>
      <c r="C99" s="548" t="n"/>
      <c r="D99" s="458" t="n"/>
      <c r="E99" s="459" t="inlineStr">
        <is>
          <t>Funzioni AI</t>
        </is>
      </c>
      <c r="F99" s="626" t="inlineStr">
        <is>
          <t>La funzione ferroviaria "LV_Line_Circuit_Breaker_Opening" si chiama "Apertura LCB su comando o per intervento protezione". Questa funzione è progettata per disconnettere la tensione elettrica del sistema ferroviario in caso di emergenza. I componenti principali coinvolti sono il Line Circuit Breaker (LCB), il pantografo, il disconnettore di pantografo e il sistema di protezione. La logica di funzionamento prevede l'apertura dell'LCB in caso di ricezione di un comando di apertura, deteczione di una perdita di tensione o attivazione del pulsante di emergenza. In caso di ripetute fallimenti, l'LCB viene bloccato per garantire la sicurezza.
Analisi — Funzione equivalente tra le seguenti configurazioni: VZI_Base, VZ_FR, VZ_ES, VZI-6_R1.
Pagina iniziale: parte di pagina 40 — Pagina finale: parte di pagina 45.</t>
        </is>
      </c>
      <c r="G99" s="460" t="n"/>
      <c r="H99" s="626" t="inlineStr">
        <is>
          <t>La funzione ferroviaria "LV_Line_Circuit_Breaker_Opening" si chiama "Apertura LCB su comando o per intervento protezione". Questa funzione è progettata per disconnettere la tensione elettrica della linea ferroviaria in caso di necessità. I componenti principali coinvolti sono il Line Circuit Breaker (LCB), il sistema di protezione e il sistema di controllo del treno. La funzione si attiva in base alle seguenti condizioni: apertura LCB su comando, intervento protezione, mancata risposta dell'LCB o pressione dell'emergenza. La funzione è progettata per garantire la sicurezza e la stabilità del sistema ferroviario, con ridondanze e requisiti di sicurezza come il blocco permanente dell'LCB in caso di fallimento ripetuto entro 30 minuti.
Analisi — Funzione equivalente tra le seguenti configurazioni: VZI_Base, VZ_FR, VZ_ES, VZI-6_R1.
Pagina iniziale: parte di pagina 46 — Pagina finale: parte di pagina 52.</t>
        </is>
      </c>
      <c r="I99" s="626" t="inlineStr">
        <is>
          <t>La funzione ferroviaria "LV_Line_Circuit_Breaker_Opening" si chiama "Apertura LCB su comando o per intervento protezione". Questa funzione è responsabile di aprire il circuito di linea del LCB (Line Circuit Breaker) in caso di necessità, come ad esempio:
* Apertura del comando da parte dell'IM (LIM)
* Line voltage system detection protection
* Interlocking per attività di manutenzione
* Pressione dell'emergenza del pulsante del conducente
* Addizione o rimozione del pantografo
La logica di funzionamento prevede che l'apertura del LCB sia attivata automaticamente in caso di line trip (trip di linea) e che il sistema debba essere disattivato manualmente per riavviare la corrente. La funzione è progettata con un livello di sicurezza SIL 2, con ridondanze e requisiti di sicurezza per garantire la stabilità del sistema.
Analisi — Funzione equivalente tra le seguenti configurazioni: VZI_Base, VZ_FR, VZ_ES, VZI-6_R1.
Pagina iniziale: parte di pagina 42 — Pagina finale: parte di pagina 47.</t>
        </is>
      </c>
      <c r="J99" s="626" t="inlineStr">
        <is>
          <t>La funzione ferroviaria "LV_Line_Circuit_Breaker_Opening" si chiama "Apertura LCB su comando o per intervento protezione". Questa funzione è responsabile di aprire il circuito di linea del LCB (Line Circuit Breaker) in caso di necessità, come ad esempio:
* Apertura del comando HVSP
* Line voltage system detection protection
* Interlocking per attività di manutenzione
* Pressione dell'emergenza push button
* Addizione sul pantografo
La logica di funzionamento prevede la disconnessione della tensione elettrica del circuito, con l'apertura del LCB. In caso di fallimento, il sistema verifica se il LCB si è aperto senza ordine e, in tal caso, lo chiude automaticamente dopo tre tentativi entro 30 minuti. La funzione è progettata per garantire una sicurezza di livello SIL 2.
Analisi — Funzione equivalente tra le seguenti configurazioni: VZI_Base, VZ_FR, VZ_ES, VZI-6_R1.
Pagina iniziale: parte di pagina 56 — Pagina finale: parte di pagina 61.</t>
        </is>
      </c>
      <c r="K99" s="460" t="n"/>
      <c r="L99" s="461" t="n"/>
    </row>
    <row r="100" ht="30" customFormat="1" customHeight="1" s="13">
      <c r="A100" s="315" t="inlineStr">
        <is>
          <t>LV_Isolate_High_Voltage</t>
        </is>
      </c>
      <c r="B100" s="323" t="inlineStr">
        <is>
          <t>Isolamento di sezioni HV guaste per mantenere disponibile parte della trazione</t>
        </is>
      </c>
      <c r="C100" s="393" t="n"/>
      <c r="D100" s="359" t="inlineStr">
        <is>
          <t>\</t>
        </is>
      </c>
      <c r="E100" s="317" t="n"/>
      <c r="F100" s="318" t="n"/>
      <c r="G100" s="318" t="n"/>
      <c r="H100" s="318" t="n"/>
      <c r="I100" s="318" t="n"/>
      <c r="J100" s="318" t="n"/>
      <c r="K100" s="318" t="n"/>
      <c r="L100" s="319" t="n"/>
    </row>
    <row r="101" outlineLevel="1" customFormat="1" s="13">
      <c r="B101" s="103" t="n"/>
      <c r="C101" s="158" t="inlineStr">
        <is>
          <t>CONFIG</t>
        </is>
      </c>
      <c r="D101" s="158" t="inlineStr">
        <is>
          <t>FRS_Line Voltage</t>
        </is>
      </c>
      <c r="E101" s="185" t="inlineStr">
        <is>
          <t>Link</t>
        </is>
      </c>
      <c r="F101" s="314">
        <f t="array" ref="F101">HYPERLINK(CONCATENATE(Cartelle!$D$5,F$1,"/",$C101,"/",MID($D101,1,FIND("_",$D101)-1),"/",INDIRECT(CONCATENATE("'" &amp; $C101 &amp; "'!",ADDRESS(MATCH($D101, INDIRECT("'" &amp; $C101 &amp; "'!$B:$B"), 0),MATCH(F$1, INDIRECT("'" &amp; $C101 &amp; "'!$1:$1"), 0)))),".",INDIRECT(CONCATENATE("'"&amp;$C101&amp;"'!",ADDRESS(MATCH($D101,INDIRECT("'"&amp;$C101&amp;"'!$B:$B"),0),3))),"#page=",F102),CONCATENATE("#Sharepoint//",$D101))</f>
        <v/>
      </c>
      <c r="G101" s="379" t="n"/>
      <c r="H101" s="314">
        <f t="array" ref="H101">HYPERLINK(CONCATENATE(Cartelle!$D$5,INDEX(INDIRECT("'" &amp; $C101 &amp; "'!$1:$1"), 1, MATCH(INDIRECT(CONCATENATE("'" &amp; $C101 &amp; "'!",ADDRESS(MATCH($D101, INDIRECT("'" &amp; $C101 &amp; "'!$B:$B"), 0),MATCH(H$1, INDIRECT("'" &amp; $C101 &amp; "'!$1:$1"), 0)))),INDIRECT(CONCATENATE("'" &amp; $C101 &amp; "'!",MATCH($D101, INDIRECT("'" &amp; $C101 &amp; "'!$B:$B"), 0),":",MATCH($D101, INDIRECT("'" &amp; $C101 &amp; "'!$B:$B"), 0))),0)),"/",$C101,"/",MID($D101,1,FIND("_",$D101)-1),"/",INDIRECT(CONCATENATE("'" &amp; $C101 &amp; "'!",ADDRESS(MATCH($D101, INDIRECT("'" &amp; $C101 &amp; "'!$B:$B"), 0),MATCH(H$1, INDIRECT("'" &amp; $C101 &amp; "'!$1:$1"), 0)))),".",INDIRECT(CONCATENATE("'"&amp;$C101&amp;"'!",ADDRESS(MATCH($D101,INDIRECT("'"&amp;$C101&amp;"'!$B:$B"),0),3))),"#page=",H102),CONCATENATE("#Sharepoint//",$D101))</f>
        <v/>
      </c>
      <c r="I101" s="314">
        <f t="array" ref="I101">HYPERLINK(CONCATENATE(Cartelle!$D$5,INDEX(INDIRECT("'" &amp; $C101 &amp; "'!$1:$1"), 1, MATCH(INDIRECT(CONCATENATE("'" &amp; $C101 &amp; "'!",ADDRESS(MATCH($D101, INDIRECT("'" &amp; $C101 &amp; "'!$B:$B"), 0),MATCH(I$1, INDIRECT("'" &amp; $C101 &amp; "'!$1:$1"), 0)))),INDIRECT(CONCATENATE("'" &amp; $C101 &amp; "'!",MATCH($D101, INDIRECT("'" &amp; $C101 &amp; "'!$B:$B"), 0),":",MATCH($D101, INDIRECT("'" &amp; $C101 &amp; "'!$B:$B"), 0))),0)),"/",$C101,"/",MID($D101,1,FIND("_",$D101)-1),"/",INDIRECT(CONCATENATE("'" &amp; $C101 &amp; "'!",ADDRESS(MATCH($D101, INDIRECT("'" &amp; $C101 &amp; "'!$B:$B"), 0),MATCH(I$1, INDIRECT("'" &amp; $C101 &amp; "'!$1:$1"), 0)))),".",INDIRECT(CONCATENATE("'"&amp;$C101&amp;"'!",ADDRESS(MATCH($D101,INDIRECT("'"&amp;$C101&amp;"'!$B:$B"),0),3))),"#page=",I102),CONCATENATE("#Sharepoint//",$D101))</f>
        <v/>
      </c>
      <c r="J101" s="314">
        <f t="array" ref="J101">HYPERLINK(CONCATENATE(Cartelle!$D$5,INDEX(INDIRECT("'" &amp; $C101 &amp; "'!$1:$1"), 1, MATCH(INDIRECT(CONCATENATE("'" &amp; $C101 &amp; "'!",ADDRESS(MATCH($D101, INDIRECT("'" &amp; $C101 &amp; "'!$B:$B"), 0),MATCH(J$1, INDIRECT("'" &amp; $C101 &amp; "'!$1:$1"), 0)))),INDIRECT(CONCATENATE("'" &amp; $C101 &amp; "'!",MATCH($D101, INDIRECT("'" &amp; $C101 &amp; "'!$B:$B"), 0),":",MATCH($D101, INDIRECT("'" &amp; $C101 &amp; "'!$B:$B"), 0))),0)),"/",$C101,"/",MID($D101,1,FIND("_",$D101)-1),"/",INDIRECT(CONCATENATE("'" &amp; $C101 &amp; "'!",ADDRESS(MATCH($D101, INDIRECT("'" &amp; $C101 &amp; "'!$B:$B"), 0),MATCH(J$1, INDIRECT("'" &amp; $C101 &amp; "'!$1:$1"), 0)))),".",INDIRECT(CONCATENATE("'"&amp;$C101&amp;"'!",ADDRESS(MATCH($D101,INDIRECT("'"&amp;$C101&amp;"'!$B:$B"),0),3))),"#page=",J102),CONCATENATE("#Sharepoint//",$D101))</f>
        <v/>
      </c>
      <c r="K101" s="311" t="n"/>
      <c r="L101" s="311" t="n"/>
    </row>
    <row r="102" outlineLevel="2" customFormat="1" s="13">
      <c r="B102" s="103" t="n"/>
      <c r="C102" s="548" t="n"/>
      <c r="D102" s="361" t="n"/>
      <c r="E102" s="321" t="inlineStr">
        <is>
          <t>Rif. Pagina</t>
        </is>
      </c>
      <c r="F102" s="322" t="n">
        <v>45</v>
      </c>
      <c r="G102" s="322" t="n"/>
      <c r="H102" s="322" t="n">
        <v>52</v>
      </c>
      <c r="I102" s="322" t="n">
        <v>47</v>
      </c>
      <c r="J102" s="322" t="n">
        <v>61</v>
      </c>
      <c r="K102" s="322" t="n"/>
      <c r="L102" s="322" t="n"/>
    </row>
    <row r="103" outlineLevel="2" customFormat="1" s="13">
      <c r="B103" s="103" t="n"/>
      <c r="C103" s="548" t="n"/>
      <c r="D103" s="458" t="n"/>
      <c r="E103" s="459" t="inlineStr">
        <is>
          <t>Funzioni AI</t>
        </is>
      </c>
      <c r="F103" s="626" t="inlineStr">
        <is>
          <t>La funzione ferroviaria "LV_Isolate_High_Voltage" è finalizzata a isolare sezioni HV guaste per mantenere disponibile parte della trazione di un treno ad alta velocità ETR1000. I componenti elettrici/meccanici principali coinvolti sono i disconnettori di linea, il sistema di controllo software e la pantografia. La logica di funzionamento attiva l'isolamento quando si verificano condizioni di fallimento dei disconnettori (apertura o chiusura ritardata) o quando non è possibile determinare la posizione dei disconnettori. L'eventuale ridondanza è garantita dal fatto che il sistema possa essere attivato manualmente dal conducente in caso di necessità.
Analisi — Funzione equivalente tra le seguenti configurazioni: VZI_Base, VZ_FR, VZ_ES, VZI-6_R1.
Pagina iniziale: parte di pagina 45 — Pagina finale: parte di pagina 48.</t>
        </is>
      </c>
      <c r="G103" s="460" t="n"/>
      <c r="H103" s="626" t="inlineStr">
        <is>
          <t>La funzione ferroviaria "LV_Isolate_High_Voltage" è finalizzata a isolare sezioni HV guaste per mantenere disponibile parte della trazione di un treno ad alta velocità ETR1000. La funzione coinvolge componenti elettrici/meccanici/software come disconnettori, pantografi e sistema TCMS (Tracking and Control Management System). La logica di funzionamento attiva la funzione in caso di fallimento dei disconnettori o impossibilità di determinare la loro posizione, con l'obiettivo di mantenere almeno metà della trazione disponibile. La funzione è progettata per garantire un livello di sicurezza SIL 0 e prevede ridondanze per evitare interruzioni della trazione.
Analisi — Funzione equivalente tra le seguenti configurazioni: VZI_Base, VZ_FR, VZ_ES, VZI-6_R1.
Pagina iniziale: parte di pagina 52 — Pagina finale: parte di pagina 54.</t>
        </is>
      </c>
      <c r="I103" s="626" t="inlineStr">
        <is>
          <t>La funzione ferroviaria "LV_Isolate_High_Voltage" è un meccanismo di isolamento di sezioni HV guaste per mantenere disponibile parte della trazione. È composta da componenti elettrici/meccanici/software come disconnettori, pantografi e sistemi di controllo (TCMS). La logica di funzionamento attiva il meccanismo quando si verificano condizioni di fallimento dei disconnettori, come la non apertura o chiusura su richiesta, o la posizione incerta. In caso di fallimento, l'evento viene segnalato e il conducente deve cambiare manualmente il pantografo. La funzione dispone di ridondanze per garantire la sicurezza, con tre tentativi consentiti per aprire o chiudere i disconnettori entro un intervallo di 10 secondi.
Analisi — Funzione equivalente tra le seguenti configurazioni: VZ_ES, VZI-6_R1.
Pagina iniziale: parte di pagina 47 — Pagina finale: parte di pagina 49.</t>
        </is>
      </c>
      <c r="J103" s="626" t="inlineStr">
        <is>
          <t>La funzione ferroviaria "LV_Isolate_High_Voltage" è finalizzata a isolare sezioni HV guaste per mantenere disponibile parte della trazione di un treno ad alta velocità ETR1000. La funzione coinvolge il sistema di disconnessione dei contatti elettrici (disconnector) e il sistema di controllo del traino (TCMS). La logica di funzionamento attiva la disconnessione quando si verificano condizioni di fallimento, come l'apertura inavvidibile o la chiusura ritardata dei disconnector. In caso di fallimento, il sistema indica all'autista che aprire i disconnector è necessario. La funzione dispone di tre tentativi per aprire i disconnector con intervalli di 10 secondi tra ogni tentativo.
Analisi — Funzione equivalente tra le seguenti configurazioni: VZ_ES, VZI-6_R1.
Pagina iniziale: parte di pagina 61 — Pagina finale: parte di pagina 64.</t>
        </is>
      </c>
      <c r="K103" s="460" t="n"/>
      <c r="L103" s="461" t="n"/>
    </row>
    <row r="104" ht="30" customFormat="1" customHeight="1" s="13">
      <c r="A104" s="315" t="inlineStr">
        <is>
          <t>LV_Main_Transformer_cooling_control</t>
        </is>
      </c>
      <c r="B104" s="323" t="inlineStr">
        <is>
          <t>Controllo da parte della PCU della velocità delle ventole del circuito di raffreddamento ad olio</t>
        </is>
      </c>
      <c r="C104" s="393" t="n"/>
      <c r="D104" s="359" t="inlineStr">
        <is>
          <t>\</t>
        </is>
      </c>
      <c r="E104" s="317" t="n"/>
      <c r="F104" s="318" t="n"/>
      <c r="G104" s="318" t="n"/>
      <c r="H104" s="318" t="n"/>
      <c r="I104" s="318" t="n"/>
      <c r="J104" s="318" t="n"/>
      <c r="K104" s="318" t="n"/>
      <c r="L104" s="319" t="n"/>
    </row>
    <row r="105" outlineLevel="1" customFormat="1" s="13">
      <c r="B105" s="103" t="n"/>
      <c r="C105" s="158" t="inlineStr">
        <is>
          <t>CONFIG</t>
        </is>
      </c>
      <c r="D105" s="360" t="inlineStr">
        <is>
          <t>FRS_Line Voltage</t>
        </is>
      </c>
      <c r="E105" s="320" t="inlineStr">
        <is>
          <t>Link</t>
        </is>
      </c>
      <c r="F105" s="310" t="n"/>
      <c r="G105" s="310" t="n"/>
      <c r="H105" s="310" t="n"/>
      <c r="I105" s="310" t="n"/>
      <c r="J105" s="314">
        <f t="array" ref="J105">HYPERLINK(CONCATENATE(Cartelle!$D$5,INDEX(INDIRECT("'" &amp; $C105 &amp; "'!$1:$1"), 1, MATCH(INDIRECT(CONCATENATE("'" &amp; $C105 &amp; "'!",ADDRESS(MATCH($D105, INDIRECT("'" &amp; $C105 &amp; "'!$B:$B"), 0),MATCH(J$1, INDIRECT("'" &amp; $C105 &amp; "'!$1:$1"), 0)))),INDIRECT(CONCATENATE("'" &amp; $C105 &amp; "'!",MATCH($D105, INDIRECT("'" &amp; $C105 &amp; "'!$B:$B"), 0),":",MATCH($D105, INDIRECT("'" &amp; $C105 &amp; "'!$B:$B"), 0))),0)),"/",$C105,"/",MID($D105,1,FIND("_",$D105)-1),"/",INDIRECT(CONCATENATE("'" &amp; $C105 &amp; "'!",ADDRESS(MATCH($D105, INDIRECT("'" &amp; $C105 &amp; "'!$B:$B"), 0),MATCH(J$1, INDIRECT("'" &amp; $C105 &amp; "'!$1:$1"), 0)))),".",INDIRECT(CONCATENATE("'"&amp;$C105&amp;"'!",ADDRESS(MATCH($D105,INDIRECT("'"&amp;$C105&amp;"'!$B:$B"),0),3))),"#page=",J106),CONCATENATE("#Sharepoint//",$D105))</f>
        <v/>
      </c>
      <c r="K105" s="311" t="n"/>
      <c r="L105" s="311" t="n"/>
    </row>
    <row r="106" outlineLevel="2" customFormat="1" s="13">
      <c r="B106" s="103" t="n"/>
      <c r="C106" s="548" t="n"/>
      <c r="D106" s="361" t="n"/>
      <c r="E106" s="321" t="inlineStr">
        <is>
          <t>Rif. Pagina</t>
        </is>
      </c>
      <c r="F106" s="322" t="n"/>
      <c r="G106" s="322" t="n"/>
      <c r="H106" s="322" t="n"/>
      <c r="I106" s="322" t="n"/>
      <c r="J106" s="322" t="n">
        <v>65</v>
      </c>
      <c r="K106" s="322" t="n"/>
      <c r="L106" s="322" t="n"/>
    </row>
    <row r="107" outlineLevel="2" customFormat="1" s="13">
      <c r="B107" s="103" t="n"/>
      <c r="C107" s="548" t="n"/>
      <c r="D107" s="458" t="n"/>
      <c r="E107" s="459" t="inlineStr">
        <is>
          <t>Funzioni AI</t>
        </is>
      </c>
      <c r="F107" s="460" t="n"/>
      <c r="G107" s="460" t="n"/>
      <c r="H107" s="460" t="n"/>
      <c r="I107" s="460" t="n"/>
      <c r="J107" s="627" t="inlineStr">
        <is>
          <t>La funzione ferroviaria LV_Main_Transformer_cooling_control è responsabile del controllo della velocità delle ventole del circuito di raffreddamento ad olio del trasformatore principale. I componenti elettrici/meccanici/software coinvolti sono il trasformatore principale, l'olio pump, le ventole di raffreddamento, la PCU (Propulsion Control Unit) e il sistema di gestione della sicurezza. La logica di funzionamento attiva il trasformatore oil pump e le ventole di raffreddamento in base alle condizioni di temperatura dell'olio e della velocità del veicolo, con un'interruttore di start-up diverso per ogni fan. La funzione è dotata di ridondanze e richiede requisiti di sicurezza per garantire la stabilità del sistema.
Pagina iniziale: parte di pagina 65 — Pagina finale: parte di pagina 68.</t>
        </is>
      </c>
      <c r="K107" s="460" t="n"/>
      <c r="L107" s="461" t="n"/>
    </row>
    <row r="108" ht="30" customFormat="1" customHeight="1" s="13">
      <c r="A108" s="315" t="inlineStr">
        <is>
          <t>LV_Main_Transformer_Supervision</t>
        </is>
      </c>
      <c r="B108" s="323" t="inlineStr">
        <is>
          <t>Controllo da parte della PCU della temperatura del trasformatore e degli induttori linea</t>
        </is>
      </c>
      <c r="C108" s="393" t="n"/>
      <c r="D108" s="359" t="inlineStr">
        <is>
          <t>\</t>
        </is>
      </c>
      <c r="E108" s="317" t="n"/>
      <c r="F108" s="318" t="n"/>
      <c r="G108" s="318" t="n"/>
      <c r="H108" s="318" t="n"/>
      <c r="I108" s="318" t="n"/>
      <c r="J108" s="318" t="n"/>
      <c r="K108" s="318" t="n"/>
      <c r="L108" s="319" t="n"/>
    </row>
    <row r="109" outlineLevel="1" customFormat="1" s="13">
      <c r="B109" s="103" t="n"/>
      <c r="C109" s="158" t="inlineStr">
        <is>
          <t>CONFIG</t>
        </is>
      </c>
      <c r="D109" s="360" t="inlineStr">
        <is>
          <t>FRS_Line Voltage</t>
        </is>
      </c>
      <c r="E109" s="320" t="inlineStr">
        <is>
          <t>Link</t>
        </is>
      </c>
      <c r="F109" s="310" t="n"/>
      <c r="G109" s="310" t="n"/>
      <c r="H109" s="310" t="n"/>
      <c r="I109" s="310" t="n"/>
      <c r="J109" s="314">
        <f t="array" ref="J109">HYPERLINK(CONCATENATE(Cartelle!$D$5,INDEX(INDIRECT("'" &amp; $C109 &amp; "'!$1:$1"), 1, MATCH(INDIRECT(CONCATENATE("'" &amp; $C109 &amp; "'!",ADDRESS(MATCH($D109, INDIRECT("'" &amp; $C109 &amp; "'!$B:$B"), 0),MATCH(J$1, INDIRECT("'" &amp; $C109 &amp; "'!$1:$1"), 0)))),INDIRECT(CONCATENATE("'" &amp; $C109 &amp; "'!",MATCH($D109, INDIRECT("'" &amp; $C109 &amp; "'!$B:$B"), 0),":",MATCH($D109, INDIRECT("'" &amp; $C109 &amp; "'!$B:$B"), 0))),0)),"/",$C109,"/",MID($D109,1,FIND("_",$D109)-1),"/",INDIRECT(CONCATENATE("'" &amp; $C109 &amp; "'!",ADDRESS(MATCH($D109, INDIRECT("'" &amp; $C109 &amp; "'!$B:$B"), 0),MATCH(J$1, INDIRECT("'" &amp; $C109 &amp; "'!$1:$1"), 0)))),".",INDIRECT(CONCATENATE("'"&amp;$C109&amp;"'!",ADDRESS(MATCH($D109,INDIRECT("'"&amp;$C109&amp;"'!$B:$B"),0),3))),"#page=",J110),CONCATENATE("#Sharepoint//",$D109))</f>
        <v/>
      </c>
      <c r="K109" s="311" t="n"/>
      <c r="L109" s="311" t="n"/>
    </row>
    <row r="110" outlineLevel="2" customFormat="1" s="13">
      <c r="B110" s="103" t="n"/>
      <c r="C110" s="548" t="n"/>
      <c r="D110" s="361" t="n"/>
      <c r="E110" s="321" t="inlineStr">
        <is>
          <t>Rif. Pagina</t>
        </is>
      </c>
      <c r="F110" s="322" t="n"/>
      <c r="G110" s="322" t="n"/>
      <c r="H110" s="322" t="n"/>
      <c r="I110" s="322" t="n"/>
      <c r="J110" s="322" t="n">
        <v>68</v>
      </c>
      <c r="K110" s="322" t="n"/>
      <c r="L110" s="322" t="n"/>
    </row>
    <row r="111" outlineLevel="2" customFormat="1" s="13">
      <c r="B111" s="103" t="n"/>
      <c r="C111" s="548" t="n"/>
      <c r="D111" s="458" t="n"/>
      <c r="E111" s="459" t="inlineStr">
        <is>
          <t>Funzioni AI</t>
        </is>
      </c>
      <c r="F111" s="460" t="n"/>
      <c r="G111" s="460" t="n"/>
      <c r="H111" s="460" t="n"/>
      <c r="I111" s="460" t="n"/>
      <c r="J111" s="627" t="inlineStr">
        <is>
          <t>La funzione ferroviaria LV_Main_Transformer_Supervision monitora e controlla le temperature del trasformatore e degli inductori linea tramite sensori PT100 acquistati da TCMS e inviati alle PCU, che calcolano le temperature secondarie utilizzando un algoritmo basato sull'olio e sul corrente. La funzione è attivata quando la temperatura supera i limiti di sicurezza (115°C per l'olio, 145°C per il trasformatore e 145°C per gli inductori) e disattivata in caso di fallimento dei sensori o mancato invio di dati. La funzione è progettata con ridondanza, con la possibilità che i fan del trasformatore lavorino al massimo velocità in caso di fallimento dei sensori.
Pagina iniziale: parte di pagina 68 — Pagina finale: parte di pagina 71.</t>
        </is>
      </c>
      <c r="K111" s="460" t="n"/>
      <c r="L111" s="461" t="n"/>
    </row>
    <row r="112" ht="30" customFormat="1" customHeight="1" s="13">
      <c r="A112" s="315" t="inlineStr">
        <is>
          <t>LV_Energy_Meter</t>
        </is>
      </c>
      <c r="B112" s="323" t="inlineStr">
        <is>
          <t>Sistema di lettura dell'evergia assorbita dal treno e invio a terra dei dati</t>
        </is>
      </c>
      <c r="C112" s="393" t="n"/>
      <c r="D112" s="359" t="inlineStr">
        <is>
          <t>\</t>
        </is>
      </c>
      <c r="E112" s="317" t="n"/>
      <c r="F112" s="318" t="n"/>
      <c r="G112" s="318" t="n"/>
      <c r="H112" s="318" t="n"/>
      <c r="I112" s="318" t="n"/>
      <c r="J112" s="318" t="n"/>
      <c r="K112" s="318" t="n"/>
      <c r="L112" s="319" t="n"/>
    </row>
    <row r="113" outlineLevel="1" customFormat="1" s="13">
      <c r="B113" s="103" t="n"/>
      <c r="C113" s="158" t="inlineStr">
        <is>
          <t>CONFIG</t>
        </is>
      </c>
      <c r="D113" s="360" t="inlineStr">
        <is>
          <t>FRS_Line Voltage</t>
        </is>
      </c>
      <c r="E113" s="320" t="inlineStr">
        <is>
          <t>Link</t>
        </is>
      </c>
      <c r="F113" s="310" t="n"/>
      <c r="G113" s="310" t="n"/>
      <c r="H113" s="314">
        <f t="array" ref="H113">HYPERLINK(CONCATENATE(Cartelle!$D$5,INDEX(INDIRECT("'" &amp; $C113 &amp; "'!$1:$1"), 1, MATCH(INDIRECT(CONCATENATE("'" &amp; $C113 &amp; "'!",ADDRESS(MATCH($D113, INDIRECT("'" &amp; $C113 &amp; "'!$B:$B"), 0),MATCH(H$1, INDIRECT("'" &amp; $C113 &amp; "'!$1:$1"), 0)))),INDIRECT(CONCATENATE("'" &amp; $C113 &amp; "'!",MATCH($D113, INDIRECT("'" &amp; $C113 &amp; "'!$B:$B"), 0),":",MATCH($D113, INDIRECT("'" &amp; $C113 &amp; "'!$B:$B"), 0))),0)),"/",$C113,"/",MID($D113,1,FIND("_",$D113)-1),"/",INDIRECT(CONCATENATE("'" &amp; $C113 &amp; "'!",ADDRESS(MATCH($D113, INDIRECT("'" &amp; $C113 &amp; "'!$B:$B"), 0),MATCH(H$1, INDIRECT("'" &amp; $C113 &amp; "'!$1:$1"), 0)))),".",INDIRECT(CONCATENATE("'"&amp;$C113&amp;"'!",ADDRESS(MATCH($D113,INDIRECT("'"&amp;$C113&amp;"'!$B:$B"),0),3))),"#page=",H114),CONCATENATE("#Sharepoint//",$D113))</f>
        <v/>
      </c>
      <c r="I113" s="314">
        <f t="array" ref="I113">HYPERLINK(CONCATENATE(Cartelle!$D$5,INDEX(INDIRECT("'" &amp; $C113 &amp; "'!$1:$1"), 1, MATCH(INDIRECT(CONCATENATE("'" &amp; $C113 &amp; "'!",ADDRESS(MATCH($D113, INDIRECT("'" &amp; $C113 &amp; "'!$B:$B"), 0),MATCH(I$1, INDIRECT("'" &amp; $C113 &amp; "'!$1:$1"), 0)))),INDIRECT(CONCATENATE("'" &amp; $C113 &amp; "'!",MATCH($D113, INDIRECT("'" &amp; $C113 &amp; "'!$B:$B"), 0),":",MATCH($D113, INDIRECT("'" &amp; $C113 &amp; "'!$B:$B"), 0))),0)),"/",$C113,"/",MID($D113,1,FIND("_",$D113)-1),"/",INDIRECT(CONCATENATE("'" &amp; $C113 &amp; "'!",ADDRESS(MATCH($D113, INDIRECT("'" &amp; $C113 &amp; "'!$B:$B"), 0),MATCH(I$1, INDIRECT("'" &amp; $C113 &amp; "'!$1:$1"), 0)))),".",INDIRECT(CONCATENATE("'"&amp;$C113&amp;"'!",ADDRESS(MATCH($D113,INDIRECT("'"&amp;$C113&amp;"'!$B:$B"),0),3))),"#page=",I114),CONCATENATE("#Sharepoint//",$D113))</f>
        <v/>
      </c>
      <c r="J113" s="314">
        <f t="array" ref="J113">HYPERLINK(CONCATENATE(Cartelle!$D$5,J$1,"/CONFIG/",MID($D113,1,FIND("_",$D113)-1),"/",INDIRECT(CONCATENATE("'CONFIG'!",ADDRESS(MATCH($D113, CONFIG!$B:$B, 0),MATCH(J$1, CONFIG!$1:$1, 0)))),".pdf#page=",J114),CONCATENATE("#Sharepoint//",$D113))</f>
        <v/>
      </c>
      <c r="K113" s="311" t="n"/>
      <c r="L113" s="311" t="n"/>
    </row>
    <row r="114" outlineLevel="2" customFormat="1" s="13">
      <c r="B114" s="103" t="n"/>
      <c r="C114" s="548" t="n"/>
      <c r="D114" s="361" t="n"/>
      <c r="E114" s="321" t="inlineStr">
        <is>
          <t>Rif. Pagina</t>
        </is>
      </c>
      <c r="F114" s="322" t="n"/>
      <c r="G114" s="322" t="n"/>
      <c r="H114" s="322" t="n">
        <v>54</v>
      </c>
      <c r="I114" s="322" t="n">
        <v>49</v>
      </c>
      <c r="J114" s="322" t="n">
        <v>71</v>
      </c>
      <c r="K114" s="322" t="n"/>
      <c r="L114" s="322" t="n"/>
    </row>
    <row r="115" outlineLevel="2" customFormat="1" s="13">
      <c r="B115" s="103" t="n"/>
      <c r="C115" s="548" t="n"/>
      <c r="D115" s="458" t="n"/>
      <c r="E115" s="459" t="inlineStr">
        <is>
          <t>Funzioni AI</t>
        </is>
      </c>
      <c r="F115" s="460" t="n"/>
      <c r="G115" s="460" t="n"/>
      <c r="H115" s="628" t="inlineStr">
        <is>
          <t>**PARTE 1: Funzione per 'VZ_FR'**
La funzione LV_Energy_Meter per 'VZ_FR' è un sistema di lettura dell'energia assorbita dal treno e invio a terra dei dati, configurato come parte del sistema VZ. Questo sistema è composto da componenti principali come l'Energy Metering Function (EMF), il Data Handling System (DHS) e la Communication Unit (GSM-R). La logica operativa prevede la misurazione dell'energia assorbita dal treno e la trasmissione dei dati a terra tramite la Communication Unit.
**PARTE 2: Differenze rispetto alle altre configurazioni**
Le differenze principali rispetto alle altre configurazioni sono:
*   La presenza di una Data Handling System (DHS) in 'VZ_FR' è diversa da quella presente in 'VZ_ES' e 'VZI-6_R1', che utilizzano un sistema di gestione dei dati diverso.
*   La Communication Unit utilizzata in 'VZ_FR' è GSM-R, mentre in 'VZ_ES' e 'VZI-6_R1' è 4G. Questa differenza impatta sulla capacità di trasmissione dei dati e sulla velocità della comunicazione.
*   La funzione Energy Meter System in 'VZ_FR' è approvata per la fatturazione da parte di Eress, ma non è specificato se sia anche presente in 'VZ_ES' e 'VZI-6_R1'.
Pagina iniziale: parte di pagina 54 — Pagina finale: parte di pagina 55.</t>
        </is>
      </c>
      <c r="I115" s="628" t="inlineStr">
        <is>
          <t>PARTE 1:
La funzione LV_Energy_Meter per la configurazione VZ_ES è un sistema di lettura dell'energia assorbita dal treno e invio a terra dei dati. È una combinazione della Funzione di misurazione dell'energia (EMF), del Sistema di gestione dei dati (DHS) e della Unità di comunicazione (GSM-R/3G/4G). Il sistema è progettato per misurare l'energia assorbita e regenerata dai treni, con un riferimento periodico selezionabile e memorizzato su dispositivo interno. La funzione fornisce dati energetici correlati con la posizione GPS, data e ora.
PARTE 2:
Le differenze rispetto alla configurazione VZ_FR sono legate all'utilizzo di una Unità di comunicazione 4G anziché GSM-R/3G. Inoltre, il sistema VZI-6_R1 è più completo, poiché include la capacità di trasmissione diretta dei dati energetici a un server di terra. Questo significa che il sistema VZI-6_R1 ha una logica operativa diversa rispetto a VZ_FR.
Analisi — Funzione equivalente tra le seguenti configurazioni: VZ_ES, VZI-6_R1.
Pagina iniziale: parte di pagina 49 — Pagina finale: parte di pagina 51.</t>
        </is>
      </c>
      <c r="J115" s="628" t="inlineStr">
        <is>
          <t>PARTE 1:
La funzione LV_Energy_Meter per la configurazione VZI-6_R1 è un sistema di lettura dell'energia assorbita dal treno e invio a terra dei dati. È una combinazione della funzione Energy Metering (EMF), del sistema di gestione dei dati (DHS) e della unità di comunicazione 4G. Il sistema è progettato per misurare l'energia assorbita e regenerata dai treni, con la possibilità di condividere i dati con il sistema TCMS in tempo reale.
PARTE 2:
Le differenze rispetto alla configurazione VZ_FR sono legate alle componenti utilizzate: mentre VZ_FR utilizza una comunicazione GSM-R/3G/4G e un sistema GPS, la configurazione VZI-6_R1 utilizza invece una comunicazione 4G. Inoltre, il sistema VZI-6_R1 è progettato per essere approvato per l'invio di dati alla stazione di raccolta DCS, con requisiti specifici per la condivisione dei dati con il sistema TCMS.
Analisi — Funzione equivalente tra le seguenti configurazioni: VZ_ES, VZI-6_R1.
Pagina iniziale: parte di pagina 71 — Pagina finale: parte di pagina 73.</t>
        </is>
      </c>
      <c r="K115" s="460" t="n"/>
      <c r="L115" s="461" t="n"/>
    </row>
    <row r="116" customFormat="1" s="13">
      <c r="A116" s="315" t="inlineStr">
        <is>
          <t>LV_Key_interlocking</t>
        </is>
      </c>
      <c r="B116" s="313" t="inlineStr">
        <is>
          <t>Interblocco tramite giro chiavi del sistema alta tensione</t>
        </is>
      </c>
      <c r="C116" s="393" t="n"/>
      <c r="D116" s="359" t="inlineStr">
        <is>
          <t>\</t>
        </is>
      </c>
      <c r="E116" s="317" t="n"/>
      <c r="F116" s="318" t="n"/>
      <c r="G116" s="318" t="n"/>
      <c r="H116" s="318" t="n"/>
      <c r="I116" s="318" t="n"/>
      <c r="J116" s="318" t="n"/>
      <c r="K116" s="318" t="n"/>
      <c r="L116" s="319" t="n"/>
    </row>
    <row r="117" outlineLevel="1" customFormat="1" s="13">
      <c r="B117" s="103" t="n"/>
      <c r="C117" s="158" t="inlineStr">
        <is>
          <t>CONFIG</t>
        </is>
      </c>
      <c r="D117" s="158" t="inlineStr">
        <is>
          <t>FRS_Line Voltage</t>
        </is>
      </c>
      <c r="E117" s="185" t="inlineStr">
        <is>
          <t>Link</t>
        </is>
      </c>
      <c r="F117" s="314">
        <f t="array" ref="F117">HYPERLINK(CONCATENATE(Cartelle!$D$5,F$1,"/",$C117,"/",MID($D117,1,FIND("_",$D117)-1),"/",INDIRECT(CONCATENATE("'" &amp; $C117 &amp; "'!",ADDRESS(MATCH($D117, INDIRECT("'" &amp; $C117 &amp; "'!$B:$B"), 0),MATCH(F$1, INDIRECT("'" &amp; $C117 &amp; "'!$1:$1"), 0)))),".",INDIRECT(CONCATENATE("'"&amp;$C117&amp;"'!",ADDRESS(MATCH($D117,INDIRECT("'"&amp;$C117&amp;"'!$B:$B"),0),3))),"#page=",F118),CONCATENATE("#Sharepoint//",$D117))</f>
        <v/>
      </c>
      <c r="G117" s="379" t="n"/>
      <c r="H117" s="314">
        <f t="array" ref="H117">HYPERLINK(CONCATENATE(Cartelle!$D$5,INDEX(INDIRECT("'" &amp; $C117 &amp; "'!$1:$1"), 1, MATCH(INDIRECT(CONCATENATE("'" &amp; $C117 &amp; "'!",ADDRESS(MATCH($D117, INDIRECT("'" &amp; $C117 &amp; "'!$B:$B"), 0),MATCH(H$1, INDIRECT("'" &amp; $C117 &amp; "'!$1:$1"), 0)))),INDIRECT(CONCATENATE("'" &amp; $C117 &amp; "'!",MATCH($D117, INDIRECT("'" &amp; $C117 &amp; "'!$B:$B"), 0),":",MATCH($D117, INDIRECT("'" &amp; $C117 &amp; "'!$B:$B"), 0))),0)),"/",$C117,"/",MID($D117,1,FIND("_",$D117)-1),"/",INDIRECT(CONCATENATE("'" &amp; $C117 &amp; "'!",ADDRESS(MATCH($D117, INDIRECT("'" &amp; $C117 &amp; "'!$B:$B"), 0),MATCH(H$1, INDIRECT("'" &amp; $C117 &amp; "'!$1:$1"), 0)))),".",INDIRECT(CONCATENATE("'"&amp;$C117&amp;"'!",ADDRESS(MATCH($D117,INDIRECT("'"&amp;$C117&amp;"'!$B:$B"),0),3))),"#page=",H118),CONCATENATE("#Sharepoint//",$D117))</f>
        <v/>
      </c>
      <c r="I117" s="314">
        <f t="array" ref="I117">HYPERLINK(CONCATENATE(Cartelle!$D$5,INDEX(INDIRECT("'" &amp; $C117 &amp; "'!$1:$1"), 1, MATCH(INDIRECT(CONCATENATE("'" &amp; $C117 &amp; "'!",ADDRESS(MATCH($D117, INDIRECT("'" &amp; $C117 &amp; "'!$B:$B"), 0),MATCH(I$1, INDIRECT("'" &amp; $C117 &amp; "'!$1:$1"), 0)))),INDIRECT(CONCATENATE("'" &amp; $C117 &amp; "'!",MATCH($D117, INDIRECT("'" &amp; $C117 &amp; "'!$B:$B"), 0),":",MATCH($D117, INDIRECT("'" &amp; $C117 &amp; "'!$B:$B"), 0))),0)),"/",$C117,"/",MID($D117,1,FIND("_",$D117)-1),"/",INDIRECT(CONCATENATE("'" &amp; $C117 &amp; "'!",ADDRESS(MATCH($D117, INDIRECT("'" &amp; $C117 &amp; "'!$B:$B"), 0),MATCH(I$1, INDIRECT("'" &amp; $C117 &amp; "'!$1:$1"), 0)))),".",INDIRECT(CONCATENATE("'"&amp;$C117&amp;"'!",ADDRESS(MATCH($D117,INDIRECT("'"&amp;$C117&amp;"'!$B:$B"),0),3))),"#page=",I118),CONCATENATE("#Sharepoint//",$D117))</f>
        <v/>
      </c>
      <c r="J117" s="314">
        <f t="array" ref="J117">HYPERLINK(CONCATENATE(Cartelle!$D$5,INDEX(INDIRECT("'" &amp; $C117 &amp; "'!$1:$1"), 1, MATCH(INDIRECT(CONCATENATE("'" &amp; $C117 &amp; "'!",ADDRESS(MATCH($D117, INDIRECT("'" &amp; $C117 &amp; "'!$B:$B"), 0),MATCH(J$1, INDIRECT("'" &amp; $C117 &amp; "'!$1:$1"), 0)))),INDIRECT(CONCATENATE("'" &amp; $C117 &amp; "'!",MATCH($D117, INDIRECT("'" &amp; $C117 &amp; "'!$B:$B"), 0),":",MATCH($D117, INDIRECT("'" &amp; $C117 &amp; "'!$B:$B"), 0))),0)),"/",$C117,"/",MID($D117,1,FIND("_",$D117)-1),"/",INDIRECT(CONCATENATE("'" &amp; $C117 &amp; "'!",ADDRESS(MATCH($D117, INDIRECT("'" &amp; $C117 &amp; "'!$B:$B"), 0),MATCH(J$1, INDIRECT("'" &amp; $C117 &amp; "'!$1:$1"), 0)))),".",INDIRECT(CONCATENATE("'"&amp;$C117&amp;"'!",ADDRESS(MATCH($D117,INDIRECT("'"&amp;$C117&amp;"'!$B:$B"),0),3))),"#page=",J118),CONCATENATE("#Sharepoint//",$D117))</f>
        <v/>
      </c>
      <c r="K117" s="311" t="n"/>
      <c r="L117" s="311" t="n"/>
    </row>
    <row r="118" outlineLevel="2" customFormat="1" s="13">
      <c r="B118" s="103" t="n"/>
      <c r="C118" s="548" t="n"/>
      <c r="D118" s="361" t="n"/>
      <c r="E118" s="321" t="inlineStr">
        <is>
          <t>Rif. Pagina</t>
        </is>
      </c>
      <c r="F118" s="322" t="n">
        <v>48</v>
      </c>
      <c r="G118" s="322" t="n"/>
      <c r="H118" s="322" t="n">
        <v>55</v>
      </c>
      <c r="I118" s="322" t="n">
        <v>51</v>
      </c>
      <c r="J118" s="322" t="n">
        <v>73</v>
      </c>
      <c r="K118" s="322" t="n"/>
      <c r="L118" s="322" t="n"/>
    </row>
    <row r="119" outlineLevel="2" customFormat="1" s="13">
      <c r="B119" s="103" t="n"/>
      <c r="C119" s="548" t="n"/>
      <c r="D119" s="458" t="n"/>
      <c r="E119" s="459" t="inlineStr">
        <is>
          <t>Funzioni AI</t>
        </is>
      </c>
      <c r="F119" s="626" t="inlineStr">
        <is>
          <t>La funzione ferroviaria LV_Key_interlocking è un sistema di interblocco tramite giro chiavi del sistema alta tensione (HV) che garantisce la sicurezza e l'efficienza durante il trasporto di treni ad alta velocità. Il sistema è composto da componenti elettrici/meccanici/software come TCMS, HV-switches, disconnectors, lamp, solenoid e contattori per 3AC400V. La logica di funzionamento prevede la gestione di cinque modi di operazione: operativo, parcheggiato, disattivato, deposito di approvvigionamento e manutenzione, con condizioni di attivazione/disattivazione che dipendono dallo stato dell'HV e dei controlli di sicurezza. Il sistema è progettato per garantire un livello di sicurezza SIL 2 e prevede la presenza di ridondanze per assicurare la continuità del servizio.
Analisi — Funzione equivalente tra le seguenti configurazioni: VZI_Base, VZ_FR, VZ_ES, VZI-6_R1.
Pagina iniziale: parte di pagina 48 — Pagina finale: parte di pagina 55.</t>
        </is>
      </c>
      <c r="G119" s="460" t="n"/>
      <c r="H119" s="626" t="inlineStr">
        <is>
          <t>La funzione ferroviaria LV_Key_interlocking è un sistema di interblocco tramite giro chiavi del sistema alta tensione (HV) che garantisce la sicurezza durante il trasporto di treni ad alta velocità. Il sistema è composto da componenti elettrici/meccanici/software come TCMS, HV-switches, disconnectors, lamp, solenoid e contattori. La logica di funzionamento prevede l'attivazione del sistema in modalità "operazione" quando la tensione HV è presente e i circuiti sono chiusi, mentre in modalità "manutenzione" si richiedono specifiche azioni per attivare il sistema. Il sistema è progettato con due livelli di sicurezza (SIL 2) e prevede ridondanze per garantire la continuità del servizio.
Analisi — Funzione equivalente tra le seguenti configurazioni: VZI_Base, VZ_FR, VZ_ES, VZI-6_R1.
Pagina iniziale: parte di pagina 55 — Pagina finale: parte di pagina 62.</t>
        </is>
      </c>
      <c r="I119" s="626" t="inlineStr">
        <is>
          <t>La funzione ferroviaria LV_Key_interlocking è un sistema di interblocco tramite giro chiavi del sistema alta tensione (HV) che garantisce la sicurezza durante l'operazione e il mantenimento del treno ETR1000. I componenti principali coinvolti sono i HV-switches, disconnettori e il sistema di controllo lamp e solenoid protetto. La funzione è attivata quando tutti i fornitori di energia sono disponibili (HV, 400V, 110V) e viene disattivata in caso di fallimento o mancato controllo dei HV-switches. La logica di funzionamento prevede la gestione di cinque modi diversi: operazione, parcheggio, modalità di disattivazione, modalità di depot supply e modalità di mantenimento.
Analisi — Funzione equivalente tra le seguenti configurazioni: VZI_Base, VZ_FR, VZ_ES, VZI-6_R1.
Pagina iniziale: parte di pagina 51 — Pagina finale: parte di pagina 58.</t>
        </is>
      </c>
      <c r="J119" s="626" t="inlineStr">
        <is>
          <t>La funzione ferroviaria LV_Key_interlocking è un sistema di interblocco tramite giro chiavi del sistema alta tensione (HV) che garantisce la sicurezza e l'efficienza durante il trasporto di treni ad alta velocità. Il sistema è composto da componenti elettrici/meccanici/software come TCMS, HV-switches, disconnettori, lampi, solenoidi e contattori. La logica di funzionamento prevede la gestione di cinque modi di operazione: operativo, parcheggiato, disattivato, deposito di approvvigionamento e mantenimento, con condizioni di attivazione/disattivazione basate sulla presenza o assenza di HV e su specifiche azioni da eseguire. Il sistema è progettato per garantire un livello di sicurezza SIL 2 e prevede ridondanze per assicurare la continuità dell'operazione in caso di fallimento.
Analisi — Funzione equivalente tra le seguenti configurazioni: VZI_Base, VZ_FR, VZ_ES, VZI-6_R1.
Pagina iniziale: parte di pagina 73 — Pagina finale: parte di pagina 80.</t>
        </is>
      </c>
      <c r="K119" s="460" t="n"/>
      <c r="L119" s="461" t="n"/>
    </row>
    <row r="120" ht="30" customFormat="1" customHeight="1" s="13">
      <c r="A120" s="315" t="inlineStr">
        <is>
          <t>LV_Function_Earthing_of_High_Voltage_Supply</t>
        </is>
      </c>
      <c r="B120" s="313" t="inlineStr">
        <is>
          <t>Messa a terra dell'alta tensione per consentire la manutenzione in sicurezza</t>
        </is>
      </c>
      <c r="C120" s="393" t="n"/>
      <c r="D120" s="359" t="inlineStr">
        <is>
          <t>\</t>
        </is>
      </c>
      <c r="E120" s="317" t="n"/>
      <c r="F120" s="318" t="n"/>
      <c r="G120" s="318" t="n"/>
      <c r="H120" s="318" t="n"/>
      <c r="I120" s="318" t="n"/>
      <c r="J120" s="318" t="n"/>
      <c r="K120" s="318" t="n"/>
      <c r="L120" s="319" t="n"/>
    </row>
    <row r="121" outlineLevel="1" customFormat="1" s="13">
      <c r="B121" s="103" t="n"/>
      <c r="C121" s="158" t="inlineStr">
        <is>
          <t>CONFIG</t>
        </is>
      </c>
      <c r="D121" s="158" t="inlineStr">
        <is>
          <t>FRS_Line Voltage</t>
        </is>
      </c>
      <c r="E121" s="185" t="inlineStr">
        <is>
          <t>Link</t>
        </is>
      </c>
      <c r="F121" s="314">
        <f t="array" ref="F121">HYPERLINK(CONCATENATE(Cartelle!$D$5,F$1,"/",$C121,"/",MID($D121,1,FIND("_",$D121)-1),"/",INDIRECT(CONCATENATE("'" &amp; $C121 &amp; "'!",ADDRESS(MATCH($D121, INDIRECT("'" &amp; $C121 &amp; "'!$B:$B"), 0),MATCH(F$1, INDIRECT("'" &amp; $C121 &amp; "'!$1:$1"), 0)))),".",INDIRECT(CONCATENATE("'"&amp;$C121&amp;"'!",ADDRESS(MATCH($D121,INDIRECT("'"&amp;$C121&amp;"'!$B:$B"),0),3))),"#page=",F122),CONCATENATE("#Sharepoint//",$D121))</f>
        <v/>
      </c>
      <c r="G121" s="379" t="n"/>
      <c r="H121" s="314">
        <f t="array" ref="H121">HYPERLINK(CONCATENATE(Cartelle!$D$5,INDEX(INDIRECT("'" &amp; $C121 &amp; "'!$1:$1"), 1, MATCH(INDIRECT(CONCATENATE("'" &amp; $C121 &amp; "'!",ADDRESS(MATCH($D121, INDIRECT("'" &amp; $C121 &amp; "'!$B:$B"), 0),MATCH(H$1, INDIRECT("'" &amp; $C121 &amp; "'!$1:$1"), 0)))),INDIRECT(CONCATENATE("'" &amp; $C121 &amp; "'!",MATCH($D121, INDIRECT("'" &amp; $C121 &amp; "'!$B:$B"), 0),":",MATCH($D121, INDIRECT("'" &amp; $C121 &amp; "'!$B:$B"), 0))),0)),"/",$C121,"/",MID($D121,1,FIND("_",$D121)-1),"/",INDIRECT(CONCATENATE("'" &amp; $C121 &amp; "'!",ADDRESS(MATCH($D121, INDIRECT("'" &amp; $C121 &amp; "'!$B:$B"), 0),MATCH(H$1, INDIRECT("'" &amp; $C121 &amp; "'!$1:$1"), 0)))),".",INDIRECT(CONCATENATE("'"&amp;$C121&amp;"'!",ADDRESS(MATCH($D121,INDIRECT("'"&amp;$C121&amp;"'!$B:$B"),0),3))),"#page=",H122),CONCATENATE("#Sharepoint//",$D121))</f>
        <v/>
      </c>
      <c r="I121" s="314">
        <f t="array" ref="I121">HYPERLINK(CONCATENATE(Cartelle!$D$5,INDEX(INDIRECT("'" &amp; $C121 &amp; "'!$1:$1"), 1, MATCH(INDIRECT(CONCATENATE("'" &amp; $C121 &amp; "'!",ADDRESS(MATCH($D121, INDIRECT("'" &amp; $C121 &amp; "'!$B:$B"), 0),MATCH(I$1, INDIRECT("'" &amp; $C121 &amp; "'!$1:$1"), 0)))),INDIRECT(CONCATENATE("'" &amp; $C121 &amp; "'!",MATCH($D121, INDIRECT("'" &amp; $C121 &amp; "'!$B:$B"), 0),":",MATCH($D121, INDIRECT("'" &amp; $C121 &amp; "'!$B:$B"), 0))),0)),"/",$C121,"/",MID($D121,1,FIND("_",$D121)-1),"/",INDIRECT(CONCATENATE("'" &amp; $C121 &amp; "'!",ADDRESS(MATCH($D121, INDIRECT("'" &amp; $C121 &amp; "'!$B:$B"), 0),MATCH(I$1, INDIRECT("'" &amp; $C121 &amp; "'!$1:$1"), 0)))),".",INDIRECT(CONCATENATE("'"&amp;$C121&amp;"'!",ADDRESS(MATCH($D121,INDIRECT("'"&amp;$C121&amp;"'!$B:$B"),0),3))),"#page=",I122),CONCATENATE("#Sharepoint//",$D121))</f>
        <v/>
      </c>
      <c r="J121" s="314">
        <f t="array" ref="J121">HYPERLINK(CONCATENATE(Cartelle!$D$5,INDEX(INDIRECT("'" &amp; $C121 &amp; "'!$1:$1"), 1, MATCH(INDIRECT(CONCATENATE("'" &amp; $C121 &amp; "'!",ADDRESS(MATCH($D121, INDIRECT("'" &amp; $C121 &amp; "'!$B:$B"), 0),MATCH(J$1, INDIRECT("'" &amp; $C121 &amp; "'!$1:$1"), 0)))),INDIRECT(CONCATENATE("'" &amp; $C121 &amp; "'!",MATCH($D121, INDIRECT("'" &amp; $C121 &amp; "'!$B:$B"), 0),":",MATCH($D121, INDIRECT("'" &amp; $C121 &amp; "'!$B:$B"), 0))),0)),"/",$C121,"/",MID($D121,1,FIND("_",$D121)-1),"/",INDIRECT(CONCATENATE("'" &amp; $C121 &amp; "'!",ADDRESS(MATCH($D121, INDIRECT("'" &amp; $C121 &amp; "'!$B:$B"), 0),MATCH(J$1, INDIRECT("'" &amp; $C121 &amp; "'!$1:$1"), 0)))),".",INDIRECT(CONCATENATE("'"&amp;$C121&amp;"'!",ADDRESS(MATCH($D121,INDIRECT("'"&amp;$C121&amp;"'!$B:$B"),0),3))),"#page=",J122),CONCATENATE("#Sharepoint//",$D121))</f>
        <v/>
      </c>
      <c r="K121" s="311" t="n"/>
      <c r="L121" s="311" t="n"/>
    </row>
    <row r="122" outlineLevel="2" customFormat="1" s="13">
      <c r="B122" s="103" t="n"/>
      <c r="C122" s="548" t="n"/>
      <c r="D122" s="361" t="n"/>
      <c r="E122" s="321" t="inlineStr">
        <is>
          <t>Rif. Pagina</t>
        </is>
      </c>
      <c r="F122" s="322" t="n">
        <v>49</v>
      </c>
      <c r="G122" s="322" t="n"/>
      <c r="H122" s="322" t="n">
        <v>56</v>
      </c>
      <c r="I122" s="322" t="n">
        <v>52</v>
      </c>
      <c r="J122" s="322" t="n">
        <v>74</v>
      </c>
      <c r="K122" s="322" t="n"/>
      <c r="L122" s="322" t="n"/>
    </row>
    <row r="123" outlineLevel="2" customFormat="1" s="13">
      <c r="B123" s="103" t="n"/>
      <c r="C123" s="548" t="n"/>
      <c r="D123" s="458" t="n"/>
      <c r="E123" s="459" t="inlineStr">
        <is>
          <t>Funzioni AI</t>
        </is>
      </c>
      <c r="F123" s="626" t="inlineStr">
        <is>
          <t>La funzione ferroviaria "Messa a terra dell'alta tensione per consentire la manutenzione in sicurezza" (LV_Function_Earthing_of_High_Voltage_Supply) è progettata per garantire la sicurezza durante le operazioni di manutenzione sul sistema di alta tensione. La funzione coinvolge il circuito elettrico, gli isolanti/guardi, i commutatori elettrici e i sistemi software di controllo. La logica di funzionamento prevede l'attivazione del circuito elettrico solo dopo la chiusura degli isolanti/guardi e il controllo del sistema software. La funzione è progettata con ridondanze per garantire la sicurezza, come ad esempio il controllo dei commutatori elettrici e la visualizzazione di lampade di allarme per indicare lo stato dell'operazione.
Analisi — Funzione equivalente tra le seguenti configurazioni: VZI_Base, VZ_FR, VZ_ES, VZI-6_R1.
Pagina iniziale: parte di pagina 49 — Pagina finale: parte di pagina 52.</t>
        </is>
      </c>
      <c r="G123" s="460" t="n"/>
      <c r="H123" s="626" t="inlineStr">
        <is>
          <t>La funzione ferroviaria "Messa a terra dell'alta tensione per consentire la manutenzione in sicurezza" (LV_Function_Earthing_of_High_Voltage_Supply) è progettata per garantire la sicurezza durante le operazioni di manutenzione sul sistema di alta tensione. La funzione è attivata tramite il push-button "Lamp Test" presenti nei pannelli di controllo dei treni, che illuminano una lampada blu indicante l'earthaggio dell'alta tensione AC. In caso di fallimento del sistema, la messa a terra viene effettuata manualmente attraverso i disconnettori di earthing e controllata dal PCU tramite il TCMS. La funzione è progettata per garantire un livello di sicurezza SIL 2 e richiede l'attivazione del circuito di controllo dopo la scelta della linea di corrente.
Analisi — Funzione equivalente tra le seguenti configurazioni: VZI_Base, VZ_FR, VZ_ES, VZI-6_R1.
Pagina iniziale: parte di pagina 56 — Pagina finale: parte di pagina 59.</t>
        </is>
      </c>
      <c r="I123" s="626" t="inlineStr">
        <is>
          <t>La funzione ferroviaria "Messa a terra dell'alta tensione per consentire la manutenzione in sicurezza" (LV_Function_Earthing_of_High_Voltage_Supply) è progettata per garantire la sicurezza durante le operazioni di manutenzione sul sistema di alta tensione. I componenti elettrici/meccanici/software principali coinvolti sono gli isolanti/grounding switch DC (4a) e AC (4b), i disconnettori HV DC 36a e 36b, il PCU e la solenoid protetta lock. La logica di funzionamento prevede che l'alta tensione venga messa a terra manualmente tramite i disconnettori HV DC 36a e 36b in caso di fallimento dell'isolante/grounding switch AC (4b). La funzione è progettata per essere controllata remotamente tramite il push-button "Lamp Test" dei pannelli A1- e A2-key, che illuminano una lampada per indicare lo stato di earthing. Le ridondanze sono garantite dalla presenza di due isolanti/grounding switch DC (4a) e AC (4b), mentre il requisito di sicurezza è garantito dal livello di sicurezza SIL 2.
Analisi — Funzione equivalente tra le seguenti configurazioni: VZI_Base, VZ_FR, VZ_ES, VZI-6_R1.
Pagina iniziale: parte di pagina 52 — Pagina finale: parte di pagina 55.</t>
        </is>
      </c>
      <c r="J123" s="626" t="inlineStr">
        <is>
          <t>La funzione ferroviaria "Messa a terra dell'alta tensione per consentire la manutenzione in sicurezza" (LV_Function_Earthing_of_High_Voltage_Supply) è progettata per garantire la sicurezza durante le operazioni di manutenzione sul sistema di alta tensione. La funzione coinvolge componenti elettrici/meccanici/software come isolanti/grounding switch DC (4a), isolanti/grounding switch AC (4b), HV DC Earthing Disconnectors 36a e 36b, PCU (via TCMS) e control lamp. La logica di funzionamento prevede l'attivazione della funzione quando il push-button "Lamp Test" è premuto sul pannello A1 o A2, che attiva la luce blu "HV AC earthed". In caso di fallimento, la funzione viene attivata manualmente tramite HV DC Earthing Disconnectors 36a e 36b. La funzione dispone di ridondanze con il controllo della status dell'isolante/grounding switch AC tramite PCU, per garantire la sicurezza durante le operazioni di manutenzione.
Analisi — Funzione equivalente tra le seguenti configurazioni: VZI_Base, VZ_FR, VZ_ES, VZI-6_R1.
Pagina iniziale: parte di pagina 74 — Pagina finale: parte di pagina 77.</t>
        </is>
      </c>
      <c r="K123" s="460" t="n"/>
      <c r="L123" s="461" t="n"/>
    </row>
    <row r="124" ht="30" customFormat="1" customHeight="1" s="13">
      <c r="A124" s="315" t="inlineStr">
        <is>
          <t>LV_Function_Earthing_of_Converter_boxes</t>
        </is>
      </c>
      <c r="B124" s="313" t="inlineStr">
        <is>
          <t>Messa a terra dei box convertitori per consentire l’accesso e la manutenzione in sicurezza</t>
        </is>
      </c>
      <c r="C124" s="393" t="n"/>
      <c r="D124" s="359" t="inlineStr">
        <is>
          <t>\</t>
        </is>
      </c>
      <c r="E124" s="317" t="n"/>
      <c r="F124" s="318" t="n"/>
      <c r="G124" s="318" t="n"/>
      <c r="H124" s="318" t="n"/>
      <c r="I124" s="318" t="n"/>
      <c r="J124" s="318" t="n"/>
      <c r="K124" s="318" t="n"/>
      <c r="L124" s="319" t="n"/>
    </row>
    <row r="125" outlineLevel="1" customFormat="1" s="13">
      <c r="B125" s="103" t="n"/>
      <c r="C125" s="158" t="inlineStr">
        <is>
          <t>CONFIG</t>
        </is>
      </c>
      <c r="D125" s="158" t="inlineStr">
        <is>
          <t>FRS_Line Voltage</t>
        </is>
      </c>
      <c r="E125" s="185" t="inlineStr">
        <is>
          <t>Link</t>
        </is>
      </c>
      <c r="F125" s="314">
        <f t="array" ref="F125">HYPERLINK(CONCATENATE(Cartelle!$D$5,F$1,"/",$C125,"/",MID($D125,1,FIND("_",$D125)-1),"/",INDIRECT(CONCATENATE("'" &amp; $C125 &amp; "'!",ADDRESS(MATCH($D125, INDIRECT("'" &amp; $C125 &amp; "'!$B:$B"), 0),MATCH(F$1, INDIRECT("'" &amp; $C125 &amp; "'!$1:$1"), 0)))),".",INDIRECT(CONCATENATE("'"&amp;$C125&amp;"'!",ADDRESS(MATCH($D125,INDIRECT("'"&amp;$C125&amp;"'!$B:$B"),0),3))),"#page=",F126),CONCATENATE("#Sharepoint//",$D125))</f>
        <v/>
      </c>
      <c r="G125" s="379" t="n"/>
      <c r="H125" s="314">
        <f t="array" ref="H125">HYPERLINK(CONCATENATE(Cartelle!$D$5,INDEX(INDIRECT("'" &amp; $C125 &amp; "'!$1:$1"), 1, MATCH(INDIRECT(CONCATENATE("'" &amp; $C125 &amp; "'!",ADDRESS(MATCH($D125, INDIRECT("'" &amp; $C125 &amp; "'!$B:$B"), 0),MATCH(H$1, INDIRECT("'" &amp; $C125 &amp; "'!$1:$1"), 0)))),INDIRECT(CONCATENATE("'" &amp; $C125 &amp; "'!",MATCH($D125, INDIRECT("'" &amp; $C125 &amp; "'!$B:$B"), 0),":",MATCH($D125, INDIRECT("'" &amp; $C125 &amp; "'!$B:$B"), 0))),0)),"/",$C125,"/",MID($D125,1,FIND("_",$D125)-1),"/",INDIRECT(CONCATENATE("'" &amp; $C125 &amp; "'!",ADDRESS(MATCH($D125, INDIRECT("'" &amp; $C125 &amp; "'!$B:$B"), 0),MATCH(H$1, INDIRECT("'" &amp; $C125 &amp; "'!$1:$1"), 0)))),".",INDIRECT(CONCATENATE("'"&amp;$C125&amp;"'!",ADDRESS(MATCH($D125,INDIRECT("'"&amp;$C125&amp;"'!$B:$B"),0),3))),"#page=",H126),CONCATENATE("#Sharepoint//",$D125))</f>
        <v/>
      </c>
      <c r="I125" s="314">
        <f t="array" ref="I125">HYPERLINK(CONCATENATE(Cartelle!$D$5,INDEX(INDIRECT("'" &amp; $C125 &amp; "'!$1:$1"), 1, MATCH(INDIRECT(CONCATENATE("'" &amp; $C125 &amp; "'!",ADDRESS(MATCH($D125, INDIRECT("'" &amp; $C125 &amp; "'!$B:$B"), 0),MATCH(I$1, INDIRECT("'" &amp; $C125 &amp; "'!$1:$1"), 0)))),INDIRECT(CONCATENATE("'" &amp; $C125 &amp; "'!",MATCH($D125, INDIRECT("'" &amp; $C125 &amp; "'!$B:$B"), 0),":",MATCH($D125, INDIRECT("'" &amp; $C125 &amp; "'!$B:$B"), 0))),0)),"/",$C125,"/",MID($D125,1,FIND("_",$D125)-1),"/",INDIRECT(CONCATENATE("'" &amp; $C125 &amp; "'!",ADDRESS(MATCH($D125, INDIRECT("'" &amp; $C125 &amp; "'!$B:$B"), 0),MATCH(I$1, INDIRECT("'" &amp; $C125 &amp; "'!$1:$1"), 0)))),".",INDIRECT(CONCATENATE("'"&amp;$C125&amp;"'!",ADDRESS(MATCH($D125,INDIRECT("'"&amp;$C125&amp;"'!$B:$B"),0),3))),"#page=",I126),CONCATENATE("#Sharepoint//",$D125))</f>
        <v/>
      </c>
      <c r="J125" s="314">
        <f t="array" ref="J125">HYPERLINK(CONCATENATE(Cartelle!$D$5,INDEX(INDIRECT("'" &amp; $C125 &amp; "'!$1:$1"), 1, MATCH(INDIRECT(CONCATENATE("'" &amp; $C125 &amp; "'!",ADDRESS(MATCH($D125, INDIRECT("'" &amp; $C125 &amp; "'!$B:$B"), 0),MATCH(J$1, INDIRECT("'" &amp; $C125 &amp; "'!$1:$1"), 0)))),INDIRECT(CONCATENATE("'" &amp; $C125 &amp; "'!",MATCH($D125, INDIRECT("'" &amp; $C125 &amp; "'!$B:$B"), 0),":",MATCH($D125, INDIRECT("'" &amp; $C125 &amp; "'!$B:$B"), 0))),0)),"/",$C125,"/",MID($D125,1,FIND("_",$D125)-1),"/",INDIRECT(CONCATENATE("'" &amp; $C125 &amp; "'!",ADDRESS(MATCH($D125, INDIRECT("'" &amp; $C125 &amp; "'!$B:$B"), 0),MATCH(J$1, INDIRECT("'" &amp; $C125 &amp; "'!$1:$1"), 0)))),".",INDIRECT(CONCATENATE("'"&amp;$C125&amp;"'!",ADDRESS(MATCH($D125,INDIRECT("'"&amp;$C125&amp;"'!$B:$B"),0),3))),"#page=",J126),CONCATENATE("#Sharepoint//",$D125))</f>
        <v/>
      </c>
      <c r="K125" s="311" t="n"/>
      <c r="L125" s="311" t="n"/>
    </row>
    <row r="126" outlineLevel="2" customFormat="1" s="13">
      <c r="B126" s="103" t="n"/>
      <c r="C126" s="548" t="n"/>
      <c r="D126" s="361" t="n"/>
      <c r="E126" s="321" t="inlineStr">
        <is>
          <t>Rif. Pagina</t>
        </is>
      </c>
      <c r="F126" s="322" t="n">
        <v>52</v>
      </c>
      <c r="G126" s="322" t="n"/>
      <c r="H126" s="322" t="n">
        <v>59</v>
      </c>
      <c r="I126" s="322" t="n">
        <v>55</v>
      </c>
      <c r="J126" s="322" t="n">
        <v>77</v>
      </c>
      <c r="K126" s="322" t="n"/>
      <c r="L126" s="322" t="n"/>
    </row>
    <row r="127" outlineLevel="2" customFormat="1" s="13">
      <c r="B127" s="103" t="n"/>
      <c r="C127" s="548" t="n"/>
      <c r="D127" s="458" t="n"/>
      <c r="E127" s="459" t="inlineStr">
        <is>
          <t>Funzioni AI</t>
        </is>
      </c>
      <c r="F127" s="626" t="inlineStr">
        <is>
          <t>La funzione ferroviaria "LV_Function_Earthing_of_Converter_boxes" si occupa di mettere a terra i box convertitori per consentire l'accesso e la manutenzione in sicurezza. I componenti elettrici/meccanici principali coinvolti sono l'earth switch, il DC-link dei converter unit e le chiavi di accesso. La logica di funzionamento prevede che l'earth switch debba essere attivata per earthare i connector interni dei converter unit e permettere l'accesso alle chiavi di accesso. Le ridondanze sono garantite dalla presenza di due chiavi di accesso (B1 e B2) con azioni manuali, mentre il requisito di sicurezza è garantito dal livello di sicurezza SIL 2.
Analisi — Funzione equivalente tra le seguenti configurazioni: VZI_Base, VZ_FR, VZ_ES, VZI-6_R1.
Pagina iniziale: parte di pagina 52 — Pagina finale: parte di pagina 55.</t>
        </is>
      </c>
      <c r="G127" s="460" t="n"/>
      <c r="H127" s="626" t="inlineStr">
        <is>
          <t>La funzione ferroviaria "LV_Function_Earthing_of_Converter_boxes" si occupa di mettere a terra i box convertitori per consentire l'accesso e la manutenzione in sicurezza. I componenti principali coinvolti sono l'earth switch, il DC-link dei converter unit e il B1-key. La logica di funzionamento prevede che l'earth switch debba essere attivata per earthare le connessioni interne dei converter unit e permettere l'accesso al key del hatch. In caso di fallimento, la funzione è progettata per bloccare il 3AC400V e richiedere un'intervento manuale. La funzione è dotata di ridondanze e richiede un livello di sicurezza SIL 2.
Analisi — Funzione equivalente tra le seguenti configurazioni: VZI_Base, VZ_FR, VZ_ES, VZI-6_R1.
Pagina iniziale: parte di pagina 59 — Pagina finale: parte di pagina 62.</t>
        </is>
      </c>
      <c r="I127" s="626" t="inlineStr">
        <is>
          <t>La funzione ferroviaria "LV_Function_Earthing_of_Converter_boxes" si occupa di mettere a terra i box convertitori per consentire l'accesso e la manutenzione in sicurezza. I componenti principali coinvolti sono l'earthing switch, il DC-link dei converter unit e il B1-key. La funzione è attivata quando l'earthing switch non chiude, permettendo di accedere al key per rilasciare la hatch del converter unit. In caso di fallimento, l'earthing switch deve essere manomettuto per disattivare il sistema e prevenire shock elettrici.
Analisi — Funzione equivalente tra le seguenti configurazioni: VZI_Base, VZ_FR, VZ_ES, VZI-6_R1.
Pagina iniziale: parte di pagina 55 — Pagina finale: parte di pagina 58.</t>
        </is>
      </c>
      <c r="J127" s="626" t="inlineStr">
        <is>
          <t>La funzione ferroviaria "LV_Function_Earthing_of_Converter_boxes" si occupa di mettere a terra i box convertitori per consentire l'accesso e la manutenzione in sicurezza. I componenti principali coinvolti sono l'earthing switch, il DC-link dei converter unit e le chiavi di accesso. La funzione è attivata quando l'earthing switch non si chiude automaticamente, permettendo così di accedere ai box convertitori e di eseguire manutenzioni in sicurezza. La logica di funzionamento prevede la disattivazione del blocco 3AC400V tramite l'apertura dei contattori depot supply su entrambe le estremità della carrozza, mentre il sistema è progettato per garantire un livello di sicurezza SIL 2.
Analisi — Funzione equivalente tra le seguenti configurazioni: VZI_Base, VZ_FR, VZ_ES, VZI-6_R1.
Pagina iniziale: parte di pagina 77 — Pagina finale: parte di pagina 80.</t>
        </is>
      </c>
      <c r="K127" s="460" t="n"/>
      <c r="L127" s="461" t="n"/>
    </row>
    <row r="128" customFormat="1" s="13">
      <c r="A128" s="315" t="inlineStr">
        <is>
          <t>LV_HVAC_pre-conditioning_on_DC_line</t>
        </is>
      </c>
      <c r="B128" s="313" t="inlineStr">
        <is>
          <t>Funzione per alimentare gli HVAC senza superare i limiti di corrente</t>
        </is>
      </c>
      <c r="C128" s="393" t="n"/>
      <c r="D128" s="359" t="inlineStr">
        <is>
          <t>\</t>
        </is>
      </c>
      <c r="E128" s="317" t="n"/>
      <c r="F128" s="318" t="n"/>
      <c r="G128" s="318" t="n"/>
      <c r="H128" s="318" t="n"/>
      <c r="I128" s="318" t="n"/>
      <c r="J128" s="318" t="n"/>
      <c r="K128" s="318" t="n"/>
      <c r="L128" s="319" t="n"/>
    </row>
    <row r="129" outlineLevel="1" customFormat="1" s="13">
      <c r="B129" s="103" t="n"/>
      <c r="C129" s="158" t="inlineStr">
        <is>
          <t>CONFIG</t>
        </is>
      </c>
      <c r="D129" s="158" t="inlineStr">
        <is>
          <t>FRS_Line Voltage</t>
        </is>
      </c>
      <c r="E129" s="185" t="inlineStr">
        <is>
          <t>Link</t>
        </is>
      </c>
      <c r="F129" s="314">
        <f t="array" ref="F129">HYPERLINK(CONCATENATE(Cartelle!$D$5,F$1,"/",$C129,"/",MID($D129,1,FIND("_",$D129)-1),"/",INDIRECT(CONCATENATE("'" &amp; $C129 &amp; "'!",ADDRESS(MATCH($D129, INDIRECT("'" &amp; $C129 &amp; "'!$B:$B"), 0),MATCH(F$1, INDIRECT("'" &amp; $C129 &amp; "'!$1:$1"), 0)))),".",INDIRECT(CONCATENATE("'"&amp;$C129&amp;"'!",ADDRESS(MATCH($D129,INDIRECT("'"&amp;$C129&amp;"'!$B:$B"),0),3))),"#page=",F130),CONCATENATE("#Sharepoint//",$D129))</f>
        <v/>
      </c>
      <c r="G129" s="379" t="n"/>
      <c r="H129" s="314">
        <f t="array" ref="H129">HYPERLINK(CONCATENATE(Cartelle!$D$5,INDEX(INDIRECT("'" &amp; $C129 &amp; "'!$1:$1"), 1, MATCH(INDIRECT(CONCATENATE("'" &amp; $C129 &amp; "'!",ADDRESS(MATCH($D129, INDIRECT("'" &amp; $C129 &amp; "'!$B:$B"), 0),MATCH(H$1, INDIRECT("'" &amp; $C129 &amp; "'!$1:$1"), 0)))),INDIRECT(CONCATENATE("'" &amp; $C129 &amp; "'!",MATCH($D129, INDIRECT("'" &amp; $C129 &amp; "'!$B:$B"), 0),":",MATCH($D129, INDIRECT("'" &amp; $C129 &amp; "'!$B:$B"), 0))),0)),"/",$C129,"/",MID($D129,1,FIND("_",$D129)-1),"/",INDIRECT(CONCATENATE("'" &amp; $C129 &amp; "'!",ADDRESS(MATCH($D129, INDIRECT("'" &amp; $C129 &amp; "'!$B:$B"), 0),MATCH(H$1, INDIRECT("'" &amp; $C129 &amp; "'!$1:$1"), 0)))),".",INDIRECT(CONCATENATE("'"&amp;$C129&amp;"'!",ADDRESS(MATCH($D129,INDIRECT("'"&amp;$C129&amp;"'!$B:$B"),0),3))),"#page=",H130),CONCATENATE("#Sharepoint//",$D129))</f>
        <v/>
      </c>
      <c r="I129" s="314">
        <f t="array" ref="I129">HYPERLINK(CONCATENATE(Cartelle!$D$5,INDEX(INDIRECT("'" &amp; $C129 &amp; "'!$1:$1"), 1, MATCH(INDIRECT(CONCATENATE("'" &amp; $C129 &amp; "'!",ADDRESS(MATCH($D129, INDIRECT("'" &amp; $C129 &amp; "'!$B:$B"), 0),MATCH(I$1, INDIRECT("'" &amp; $C129 &amp; "'!$1:$1"), 0)))),INDIRECT(CONCATENATE("'" &amp; $C129 &amp; "'!",MATCH($D129, INDIRECT("'" &amp; $C129 &amp; "'!$B:$B"), 0),":",MATCH($D129, INDIRECT("'" &amp; $C129 &amp; "'!$B:$B"), 0))),0)),"/",$C129,"/",MID($D129,1,FIND("_",$D129)-1),"/",INDIRECT(CONCATENATE("'" &amp; $C129 &amp; "'!",ADDRESS(MATCH($D129, INDIRECT("'" &amp; $C129 &amp; "'!$B:$B"), 0),MATCH(I$1, INDIRECT("'" &amp; $C129 &amp; "'!$1:$1"), 0)))),".",INDIRECT(CONCATENATE("'"&amp;$C129&amp;"'!",ADDRESS(MATCH($D129,INDIRECT("'"&amp;$C129&amp;"'!$B:$B"),0),3))),"#page=",I130),CONCATENATE("#Sharepoint//",$D129))</f>
        <v/>
      </c>
      <c r="J129" s="314">
        <f t="array" ref="J129">HYPERLINK(CONCATENATE(Cartelle!$D$5,INDEX(INDIRECT("'" &amp; $C129 &amp; "'!$1:$1"), 1, MATCH(INDIRECT(CONCATENATE("'" &amp; $C129 &amp; "'!",ADDRESS(MATCH($D129, INDIRECT("'" &amp; $C129 &amp; "'!$B:$B"), 0),MATCH(J$1, INDIRECT("'" &amp; $C129 &amp; "'!$1:$1"), 0)))),INDIRECT(CONCATENATE("'" &amp; $C129 &amp; "'!",MATCH($D129, INDIRECT("'" &amp; $C129 &amp; "'!$B:$B"), 0),":",MATCH($D129, INDIRECT("'" &amp; $C129 &amp; "'!$B:$B"), 0))),0)),"/",$C129,"/",MID($D129,1,FIND("_",$D129)-1),"/",INDIRECT(CONCATENATE("'" &amp; $C129 &amp; "'!",ADDRESS(MATCH($D129, INDIRECT("'" &amp; $C129 &amp; "'!$B:$B"), 0),MATCH(J$1, INDIRECT("'" &amp; $C129 &amp; "'!$1:$1"), 0)))),".",INDIRECT(CONCATENATE("'"&amp;$C129&amp;"'!",ADDRESS(MATCH($D129,INDIRECT("'"&amp;$C129&amp;"'!$B:$B"),0),3))),"#page=",J130),CONCATENATE("#Sharepoint//",$D129))</f>
        <v/>
      </c>
      <c r="K129" s="311" t="n"/>
      <c r="L129" s="311" t="n"/>
    </row>
    <row r="130" outlineLevel="2" customFormat="1" s="13">
      <c r="B130" s="103" t="n"/>
      <c r="C130" s="548" t="n"/>
      <c r="D130" s="362" t="n"/>
      <c r="E130" s="324" t="inlineStr">
        <is>
          <t>Rif. Pagina</t>
        </is>
      </c>
      <c r="F130" s="325" t="n">
        <v>55</v>
      </c>
      <c r="G130" s="325" t="n"/>
      <c r="H130" s="325" t="n">
        <v>62</v>
      </c>
      <c r="I130" s="325" t="n">
        <v>58</v>
      </c>
      <c r="J130" s="325" t="n">
        <v>80</v>
      </c>
      <c r="K130" s="325" t="n"/>
      <c r="L130" s="325" t="n"/>
    </row>
    <row r="131" outlineLevel="2" customFormat="1" s="13">
      <c r="B131" s="103" t="n"/>
      <c r="C131" s="548" t="n"/>
      <c r="D131" s="458" t="n"/>
      <c r="E131" s="459" t="inlineStr">
        <is>
          <t>Funzioni AI</t>
        </is>
      </c>
      <c r="F131" s="626" t="inlineStr">
        <is>
          <t>La funzione ferroviaria LV_HVAC_pre-conditioning_on_DC_line è una funzione per alimentare gli HVAC (sistema di raffreddamento e climatizzazione) senza superare i limiti di corrente sulle linee DC. La funzione coinvolge il sistema di controllo del treno, la stazione di controllo dei pantografi e l'unità di gestione dell'energia (PCU). La logica di funzionamento prevede che la funzione sia attivata solo quando il treno è fermo, con freno applicato e pantografo giunto al terreno. In caso di mancata comunicazione con il sistema di controllo dei pantografi o con la stazione di controllo, la funzione viene disattivata. La funzione richiede anche che sia verificato che non ci siano problemi di sicurezza come allarme di incendio o fallimento del sistema di protezione.
Analisi — Funzione equivalente tra le seguenti configurazioni: VZI_Base, VZ_FR, VZ_ES, VZI-6_R1.
Pagina iniziale: parte di pagina 55 — Pagina finale: parte di pagina 58.</t>
        </is>
      </c>
      <c r="G131" s="460" t="n"/>
      <c r="H131" s="626" t="inlineStr">
        <is>
          <t>La funzione ferroviaria LV_HVAC_pre-conditioning_on_DC_line è una funzione per alimentare gli HVAC senza superare i limiti di corrente sulle linee DC. È caratterizzata dalla presenza di componenti elettrici/meccanici/software come il PCU, TCMS e pantografi, che lavorano in sinergia per verificare le condizioni di attivazione/disattivazione della funzione. La logica di funzionamento prevede la verifica di diversi parametri, tra cui la presenza del train standstill, del freno a mano applicato e della selezione corretta dei sistemi DC, prima di attivare la funzione di pre-condizionamento. La funzione è progettata per garantire una sicurezza ridotta, con la possibilità di bloccare il comando di sollevamento del pantografo fino a quando entrambi i disconnettori DC sono aperti.
Analisi — Funzione equivalente tra le seguenti configurazioni: VZI_Base, VZ_FR, VZ_ES, VZI-6_R1.
Pagina iniziale: parte di pagina 62 — Pagina finale: parte di pagina 66.</t>
        </is>
      </c>
      <c r="I131" s="626" t="inlineStr">
        <is>
          <t>La funzione ferroviaria LV_HVAC_pre-conditioning_on_DC_line è una funzione per alimentare gli HVAC senza superare i limiti di corrente sulle linee DC. È caratterizzata dalla presenza di componenti elettrici/meccanici/software come il PCU (Pantograph Control Unit) e il TCMS (Train Control and Monitoring System), che gestiscono la pre-condizione del sistema HVAC in base alle condizioni di attivazione/disattivazione. La funzione viene attivata solo quando il driver pressa il soft key PC sul IDU, e richiede che il train sia in standstill, con freno applicato e pantografo giunto, nonché la presenza di una comunicazione stabile con il LIM e il sistema DC.
Analisi — Funzione equivalente tra le seguenti configurazioni: VZI_Base, VZ_FR, VZ_ES, VZI-6_R1.
Pagina iniziale: parte di pagina 58 — Pagina finale: parte di pagina 61.</t>
        </is>
      </c>
      <c r="J131" s="626" t="inlineStr">
        <is>
          <t>La funzione ferroviaria LV_HVAC_pre-conditioning_on_DC_line è una modalità di alimentazione degli HVAC (Sistema di Climatizzazione e Ventilazione) senza superare i limiti di corrente sulle linee DC. La funzione prevede l'alimentazione degli HVAC tramite la risalita della tensione DC, con l'attivazione dei pantografi e delle LCB (Linee di Corrente Alternata). La logica di funzionamento attiva la modalità solo se il treno è in standstill, il freno a mano è applicato, sono selezionate le linee DC e non ci sono problemi con i sistemi di comunicazione o di sicurezza.
Analisi — Funzione equivalente tra le seguenti configurazioni: VZI_Base, VZ_FR, VZ_ES, VZI-6_R1.
Pagina iniziale: parte di pagina 80 — Pagina finale: parte di pagina 83.</t>
        </is>
      </c>
      <c r="K131" s="460" t="n"/>
      <c r="L131" s="461" t="n"/>
    </row>
    <row r="132" customFormat="1" s="13">
      <c r="A132" s="326" t="inlineStr">
        <is>
          <t>AUX_Function_General</t>
        </is>
      </c>
      <c r="B132" s="374" t="n"/>
      <c r="C132" s="393" t="n"/>
      <c r="D132" s="363" t="inlineStr">
        <is>
          <t>\</t>
        </is>
      </c>
      <c r="E132" s="327" t="n"/>
      <c r="F132" s="328" t="n"/>
      <c r="G132" s="328" t="n"/>
      <c r="H132" s="328" t="n"/>
      <c r="I132" s="328" t="n"/>
      <c r="J132" s="328" t="n"/>
      <c r="K132" s="328" t="n"/>
      <c r="L132" s="329" t="n"/>
    </row>
    <row r="133" outlineLevel="1" customFormat="1" s="13">
      <c r="B133" s="103" t="n"/>
      <c r="C133" s="158" t="inlineStr">
        <is>
          <t>CONFIG</t>
        </is>
      </c>
      <c r="D133" s="364" t="inlineStr">
        <is>
          <t>FRS_Aux Electrical Supply</t>
        </is>
      </c>
      <c r="E133" s="330" t="inlineStr">
        <is>
          <t>Link</t>
        </is>
      </c>
      <c r="F133" s="314">
        <f t="array" ref="F133">HYPERLINK(CONCATENATE(Cartelle!$D$5,F$1,"/",$C133,"/",MID($D133,1,FIND("_",$D133)-1),"/",INDIRECT(CONCATENATE("'" &amp; $C133 &amp; "'!",ADDRESS(MATCH($D133, INDIRECT("'" &amp; $C133 &amp; "'!$B:$B"), 0),MATCH(F$1, INDIRECT("'" &amp; $C133 &amp; "'!$1:$1"), 0)))),".",INDIRECT(CONCATENATE("'"&amp;$C133&amp;"'!",ADDRESS(MATCH($D133,INDIRECT("'"&amp;$C133&amp;"'!$B:$B"),0),3))),"#page=",F134),CONCATENATE("#Sharepoint//",$D133))</f>
        <v/>
      </c>
      <c r="G133" s="314" t="n"/>
      <c r="H133" s="314">
        <f t="array" ref="H133">HYPERLINK(CONCATENATE(Cartelle!$D$5,INDEX(INDIRECT("'" &amp; $C133 &amp; "'!$1:$1"), 1, MATCH(INDIRECT(CONCATENATE("'" &amp; $C133 &amp; "'!",ADDRESS(MATCH($D133, INDIRECT("'" &amp; $C133 &amp; "'!$B:$B"), 0),MATCH(H$1, INDIRECT("'" &amp; $C133 &amp; "'!$1:$1"), 0)))),INDIRECT(CONCATENATE("'" &amp; $C133 &amp; "'!",MATCH($D133, INDIRECT("'" &amp; $C133 &amp; "'!$B:$B"), 0),":",MATCH($D133, INDIRECT("'" &amp; $C133 &amp; "'!$B:$B"), 0))),0)),"/",$C133,"/",MID($D133,1,FIND("_",$D133)-1),"/",INDIRECT(CONCATENATE("'" &amp; $C133 &amp; "'!",ADDRESS(MATCH($D133, INDIRECT("'" &amp; $C133 &amp; "'!$B:$B"), 0),MATCH(H$1, INDIRECT("'" &amp; $C133 &amp; "'!$1:$1"), 0)))),".",INDIRECT(CONCATENATE("'"&amp;$C133&amp;"'!",ADDRESS(MATCH($D133,INDIRECT("'"&amp;$C133&amp;"'!$B:$B"),0),3))),"#page=",H134),CONCATENATE("#Sharepoint//",$D133))</f>
        <v/>
      </c>
      <c r="I133" s="314">
        <f t="array" ref="I133">HYPERLINK(CONCATENATE(Cartelle!$D$5,INDEX(INDIRECT("'" &amp; $C133 &amp; "'!$1:$1"), 1, MATCH(INDIRECT(CONCATENATE("'" &amp; $C133 &amp; "'!",ADDRESS(MATCH($D133, INDIRECT("'" &amp; $C133 &amp; "'!$B:$B"), 0),MATCH(I$1, INDIRECT("'" &amp; $C133 &amp; "'!$1:$1"), 0)))),INDIRECT(CONCATENATE("'" &amp; $C133 &amp; "'!",MATCH($D133, INDIRECT("'" &amp; $C133 &amp; "'!$B:$B"), 0),":",MATCH($D133, INDIRECT("'" &amp; $C133 &amp; "'!$B:$B"), 0))),0)),"/",$C133,"/",MID($D133,1,FIND("_",$D133)-1),"/",INDIRECT(CONCATENATE("'" &amp; $C133 &amp; "'!",ADDRESS(MATCH($D133, INDIRECT("'" &amp; $C133 &amp; "'!$B:$B"), 0),MATCH(I$1, INDIRECT("'" &amp; $C133 &amp; "'!$1:$1"), 0)))),".",INDIRECT(CONCATENATE("'"&amp;$C133&amp;"'!",ADDRESS(MATCH($D133,INDIRECT("'"&amp;$C133&amp;"'!$B:$B"),0),3))),"#page=",I134),CONCATENATE("#Sharepoint//",$D133))</f>
        <v/>
      </c>
      <c r="J133" s="314">
        <f t="array" ref="J133">HYPERLINK(CONCATENATE(Cartelle!$D$5,INDEX(INDIRECT("'" &amp; $C133 &amp; "'!$1:$1"), 1, MATCH(INDIRECT(CONCATENATE("'" &amp; $C133 &amp; "'!",ADDRESS(MATCH($D133, INDIRECT("'" &amp; $C133 &amp; "'!$B:$B"), 0),MATCH(J$1, INDIRECT("'" &amp; $C133 &amp; "'!$1:$1"), 0)))),INDIRECT(CONCATENATE("'" &amp; $C133 &amp; "'!",MATCH($D133, INDIRECT("'" &amp; $C133 &amp; "'!$B:$B"), 0),":",MATCH($D133, INDIRECT("'" &amp; $C133 &amp; "'!$B:$B"), 0))),0)),"/",$C133,"/",MID($D133,1,FIND("_",$D133)-1),"/",INDIRECT(CONCATENATE("'" &amp; $C133 &amp; "'!",ADDRESS(MATCH($D133, INDIRECT("'" &amp; $C133 &amp; "'!$B:$B"), 0),MATCH(J$1, INDIRECT("'" &amp; $C133 &amp; "'!$1:$1"), 0)))),".",INDIRECT(CONCATENATE("'"&amp;$C133&amp;"'!",ADDRESS(MATCH($D133,INDIRECT("'"&amp;$C133&amp;"'!$B:$B"),0),3))),"#page=",J134),CONCATENATE("#Sharepoint//",$D133))</f>
        <v/>
      </c>
      <c r="K133" s="312" t="n"/>
      <c r="L133" s="312" t="n"/>
    </row>
    <row r="134" outlineLevel="2" customFormat="1" s="13">
      <c r="B134" s="103" t="n"/>
      <c r="C134" s="619" t="n"/>
      <c r="D134" s="365" t="n"/>
      <c r="E134" s="331" t="inlineStr">
        <is>
          <t>Rif. Pagina</t>
        </is>
      </c>
      <c r="F134" s="332" t="n">
        <v>5</v>
      </c>
      <c r="G134" s="332" t="n"/>
      <c r="H134" s="332" t="n">
        <v>5</v>
      </c>
      <c r="I134" s="332" t="n">
        <v>5</v>
      </c>
      <c r="J134" s="332" t="n">
        <v>6</v>
      </c>
      <c r="K134" s="332" t="n"/>
      <c r="L134" s="332" t="n"/>
    </row>
    <row r="135" outlineLevel="2" customFormat="1" s="13">
      <c r="B135" s="103" t="n"/>
      <c r="C135" s="548" t="n"/>
      <c r="D135" s="458" t="n"/>
      <c r="E135" s="459" t="inlineStr">
        <is>
          <t>Funzioni AI</t>
        </is>
      </c>
      <c r="F135" s="626" t="inlineStr">
        <is>
          <t>La funzione ferroviaria "AUX_Function_General" è una rete elettrica ad alta velocità composta da due unità 4-car con bus disconnector, dove ogni unità contiene due ACM (allgemeine Kraftfahrzeug-Steuerung) che operano in parallelo. La rete elettrica è alimentata da un sistema trifase di supporto, con componenti come batterie, caricatori, ventilatori, pompe idrauliche e pompe oleose. La logica di funzionamento prevede l'attivazione dei carichi con ritardi temporanee per minimizzare il rischio di surriscaldamento, mentre la gestione della rete è controllata dal sistema TCMS (Train Control and Management System). La funzione dispone di ridondanze e richiede un livello di sicurezza elevato, con requisiti come la connessione diretta del punto neutro alla carrozzeria e la possibilità di disconnettere il conduttore neutro.
Analisi — Funzione equivalente tra le seguenti configurazioni: VZI_Base, VZ_FR, VZ_ES, VZI-6_R1.
Pagina iniziale: parte di pagina 5 — Pagina finale: parte di pagina 7.</t>
        </is>
      </c>
      <c r="G135" s="460" t="n"/>
      <c r="H135" s="626" t="inlineStr">
        <is>
          <t>La funzione ferroviaria "AUX_Function_General" fornisce l'alimentazione elettrica al treno ETR1000, composta da due unità 4-car con bus disconnector, dove ogni unità contiene due ACM (allgemeine Kraftfahrzeug-Steuerung) che operano in parallelo. La funzione è progettata per garantire la continuità dell'alimentazione elettrica anche in caso di singola falla, con il controllo del TCMS sistema che supervisiona lo stato dei contatti e disconnettori necessari per la gestione delle cariche e le funzioni di sicurezza e comfort. La logica di funzionamento prevede l'attivazione degli alimentatori con ritardi temporizzati in base al numero di ACM attivi, mentre il neutral point è diretamente collegato alla carrozzeria per garantire la sicurezza.
Analisi — Funzione equivalente tra le seguenti configurazioni: VZI_Base, VZ_FR, VZ_ES, VZI-6_R1.
Pagina iniziale: parte di pagina 5 — Pagina finale: parte di pagina 7.</t>
        </is>
      </c>
      <c r="I135" s="626" t="inlineStr">
        <is>
          <t>La funzione ferroviaria "AUX_Function_General" è una rete elettrica ad alta velocità composta da due unità 4-car con bus disconnector, dove ogni unità contiene due ACM (allgemeine Kraftfahrzeug-Steuerung) che operano in parallelo. La rete elettrica è alimentata da un sistema trifase di supporto, con una neutralità diretta sulla carrozzeria del treno. L'attivazione dei carichi ausiliari è regolata dal TCMS (Train Control and Monitoring System) e dipende dalla quantità di ACM attivate, con un ritardo temporale per minimizzare il rischio di surriscaldamento. La funzione è progettata per garantire la sicurezza e la stabilità del sistema, con ridondanze e requisiti di sicurezza come la possibilità di disconnettere il conduttore neutro dalla carrozzeria.
Analisi — Funzione equivalente tra le seguenti configurazioni: VZI_Base, VZ_FR, VZ_ES, VZI-6_R1.
Pagina iniziale: parte di pagina 5 — Pagina finale: parte di pagina 7.</t>
        </is>
      </c>
      <c r="J135" s="626" t="inlineStr">
        <is>
          <t>La funzione ferroviaria AUX_Function_General è una rete elettrica ad alta velocità composta da due unità 4-car con bus disconnector, dove ogni unità contiene due ACM (Componenti di alimentazione alternata) che operano in parallelo. La logica di funzionamento prevede l'attivazione degli alimentatori in sequenza con ritardi temporali per minimizzare il rischio di surriscaldamento, controllati dal sistema TCMS. La rete è progettata per garantire la sicurezza e la stabilità del potenziale neutro, con ridondanze nei contatti e disconnettori principali.
Analisi — Funzione equivalente tra le seguenti configurazioni: VZI_Base, VZ_FR, VZ_ES, VZI-6_R1.
Pagina iniziale: parte di pagina 6 — Pagina finale: parte di pagina 8.</t>
        </is>
      </c>
      <c r="K135" s="460" t="n"/>
      <c r="L135" s="461" t="n"/>
    </row>
    <row r="136" customFormat="1" s="13">
      <c r="A136" s="333" t="inlineStr">
        <is>
          <t>AUX_Activation_and_Synchronisation_of_ACM</t>
        </is>
      </c>
      <c r="B136" s="374" t="n"/>
      <c r="C136" s="393" t="n"/>
      <c r="D136" s="366" t="inlineStr">
        <is>
          <t>\</t>
        </is>
      </c>
      <c r="E136" s="334" t="n"/>
      <c r="F136" s="335" t="n"/>
      <c r="G136" s="335" t="n"/>
      <c r="H136" s="335" t="n"/>
      <c r="I136" s="335" t="n"/>
      <c r="J136" s="335" t="n"/>
      <c r="K136" s="335" t="n"/>
      <c r="L136" s="336" t="n"/>
    </row>
    <row r="137" outlineLevel="1" customFormat="1" s="13">
      <c r="B137" s="103" t="n"/>
      <c r="C137" s="158" t="inlineStr">
        <is>
          <t>CONFIG</t>
        </is>
      </c>
      <c r="D137" s="364" t="inlineStr">
        <is>
          <t>FRS_Aux Electrical Supply</t>
        </is>
      </c>
      <c r="E137" s="330" t="inlineStr">
        <is>
          <t>Link</t>
        </is>
      </c>
      <c r="F137" s="314">
        <f t="array" ref="F137">HYPERLINK(CONCATENATE(Cartelle!$D$5,F$1,"/",$C137,"/",MID($D137,1,FIND("_",$D137)-1),"/",INDIRECT(CONCATENATE("'" &amp; $C137 &amp; "'!",ADDRESS(MATCH($D137, INDIRECT("'" &amp; $C137 &amp; "'!$B:$B"), 0),MATCH(F$1, INDIRECT("'" &amp; $C137 &amp; "'!$1:$1"), 0)))),".",INDIRECT(CONCATENATE("'"&amp;$C137&amp;"'!",ADDRESS(MATCH($D137,INDIRECT("'"&amp;$C137&amp;"'!$B:$B"),0),3))),"#page=",F138),CONCATENATE("#Sharepoint//",$D137))</f>
        <v/>
      </c>
      <c r="G137" s="314" t="n"/>
      <c r="H137" s="314">
        <f t="array" ref="H137">HYPERLINK(CONCATENATE(Cartelle!$D$5,INDEX(INDIRECT("'" &amp; $C137 &amp; "'!$1:$1"), 1, MATCH(INDIRECT(CONCATENATE("'" &amp; $C137 &amp; "'!",ADDRESS(MATCH($D137, INDIRECT("'" &amp; $C137 &amp; "'!$B:$B"), 0),MATCH(H$1, INDIRECT("'" &amp; $C137 &amp; "'!$1:$1"), 0)))),INDIRECT(CONCATENATE("'" &amp; $C137 &amp; "'!",MATCH($D137, INDIRECT("'" &amp; $C137 &amp; "'!$B:$B"), 0),":",MATCH($D137, INDIRECT("'" &amp; $C137 &amp; "'!$B:$B"), 0))),0)),"/",$C137,"/",MID($D137,1,FIND("_",$D137)-1),"/",INDIRECT(CONCATENATE("'" &amp; $C137 &amp; "'!",ADDRESS(MATCH($D137, INDIRECT("'" &amp; $C137 &amp; "'!$B:$B"), 0),MATCH(H$1, INDIRECT("'" &amp; $C137 &amp; "'!$1:$1"), 0)))),".",INDIRECT(CONCATENATE("'"&amp;$C137&amp;"'!",ADDRESS(MATCH($D137,INDIRECT("'"&amp;$C137&amp;"'!$B:$B"),0),3))),"#page=",H138),CONCATENATE("#Sharepoint//",$D137))</f>
        <v/>
      </c>
      <c r="I137" s="314">
        <f t="array" ref="I137">HYPERLINK(CONCATENATE(Cartelle!$D$5,INDEX(INDIRECT("'" &amp; $C137 &amp; "'!$1:$1"), 1, MATCH(INDIRECT(CONCATENATE("'" &amp; $C137 &amp; "'!",ADDRESS(MATCH($D137, INDIRECT("'" &amp; $C137 &amp; "'!$B:$B"), 0),MATCH(I$1, INDIRECT("'" &amp; $C137 &amp; "'!$1:$1"), 0)))),INDIRECT(CONCATENATE("'" &amp; $C137 &amp; "'!",MATCH($D137, INDIRECT("'" &amp; $C137 &amp; "'!$B:$B"), 0),":",MATCH($D137, INDIRECT("'" &amp; $C137 &amp; "'!$B:$B"), 0))),0)),"/",$C137,"/",MID($D137,1,FIND("_",$D137)-1),"/",INDIRECT(CONCATENATE("'" &amp; $C137 &amp; "'!",ADDRESS(MATCH($D137, INDIRECT("'" &amp; $C137 &amp; "'!$B:$B"), 0),MATCH(I$1, INDIRECT("'" &amp; $C137 &amp; "'!$1:$1"), 0)))),".",INDIRECT(CONCATENATE("'"&amp;$C137&amp;"'!",ADDRESS(MATCH($D137,INDIRECT("'"&amp;$C137&amp;"'!$B:$B"),0),3))),"#page=",I138),CONCATENATE("#Sharepoint//",$D137))</f>
        <v/>
      </c>
      <c r="J137" s="314">
        <f t="array" ref="J137">HYPERLINK(CONCATENATE(Cartelle!$D$5,INDEX(INDIRECT("'" &amp; $C137 &amp; "'!$1:$1"), 1, MATCH(INDIRECT(CONCATENATE("'" &amp; $C137 &amp; "'!",ADDRESS(MATCH($D137, INDIRECT("'" &amp; $C137 &amp; "'!$B:$B"), 0),MATCH(J$1, INDIRECT("'" &amp; $C137 &amp; "'!$1:$1"), 0)))),INDIRECT(CONCATENATE("'" &amp; $C137 &amp; "'!",MATCH($D137, INDIRECT("'" &amp; $C137 &amp; "'!$B:$B"), 0),":",MATCH($D137, INDIRECT("'" &amp; $C137 &amp; "'!$B:$B"), 0))),0)),"/",$C137,"/",MID($D137,1,FIND("_",$D137)-1),"/",INDIRECT(CONCATENATE("'" &amp; $C137 &amp; "'!",ADDRESS(MATCH($D137, INDIRECT("'" &amp; $C137 &amp; "'!$B:$B"), 0),MATCH(J$1, INDIRECT("'" &amp; $C137 &amp; "'!$1:$1"), 0)))),".",INDIRECT(CONCATENATE("'"&amp;$C137&amp;"'!",ADDRESS(MATCH($D137,INDIRECT("'"&amp;$C137&amp;"'!$B:$B"),0),3))),"#page=",J138),CONCATENATE("#Sharepoint//",$D137))</f>
        <v/>
      </c>
      <c r="K137" s="312" t="n"/>
      <c r="L137" s="312" t="n"/>
    </row>
    <row r="138" outlineLevel="2" customFormat="1" s="13">
      <c r="B138" s="103" t="n"/>
      <c r="C138" s="619" t="n"/>
      <c r="D138" s="365" t="n"/>
      <c r="E138" s="331" t="inlineStr">
        <is>
          <t>Rif. Pagina</t>
        </is>
      </c>
      <c r="F138" s="332" t="n">
        <v>7</v>
      </c>
      <c r="G138" s="332" t="n"/>
      <c r="H138" s="332" t="n">
        <v>7</v>
      </c>
      <c r="I138" s="332" t="n">
        <v>7</v>
      </c>
      <c r="J138" s="332" t="n">
        <v>8</v>
      </c>
      <c r="K138" s="332" t="n"/>
      <c r="L138" s="332" t="n"/>
    </row>
    <row r="139" outlineLevel="2" customFormat="1" s="13">
      <c r="B139" s="103" t="n"/>
      <c r="C139" s="548" t="n"/>
      <c r="D139" s="458" t="n"/>
      <c r="E139" s="459" t="inlineStr">
        <is>
          <t>Funzioni AI</t>
        </is>
      </c>
      <c r="F139" s="626" t="inlineStr">
        <is>
          <t>La funzione ferroviaria "AUX_Activation_and_Synchronisation_of_ACM" è responsabile dell'attivazione e sincronizzazione degli ACM (Componenti di Controllo della Motore) in caso di alta tensione sul DC-link. I componenti principali coinvolti sono gli ACM, il sistema di controllo e la rete elettrica ferroviaria. La logica di funzionamento prevede l'attivazione degli ACM uno per uno, con un ritardo di 500ms tra ogni tentativo di attivazione, e la sincronizzazione dei loro output in base all'aumento della tensione sul DC-link. In caso di fallimento di un ACM, il sistema riduce la temperatura dell'ambiente. La funzione è progettata per garantire una sicurezza elevata, con ridondanze e requisiti di sicurezza come l'autenticazione unica degli ACM e la protezione contro la ripetizione non autorizzata.
Analisi — Funzione equivalente tra le seguenti configurazioni: VZI_Base, VZ_FR, VZ_ES, VZI-6_R1.
Pagina iniziale: parte di pagina 7 — Pagina finale: parte di pagina 9.</t>
        </is>
      </c>
      <c r="G139" s="460" t="n"/>
      <c r="H139" s="626" t="inlineStr">
        <is>
          <t>La funzione ferroviaria "AUX_Activation_and_Synchronisation_of_ACM" è responsabile dell'attivazione e sincronizzazione degli ACM (Componenti di Alimentazione e Controllo Motore) in caso di alta tensione sul DC-link. I componenti principali coinvolti sono gli ACM, il sistema di controllo e la rete elettrica ferroviaria. La logica di funzionamento prevede l'attivazione degli ACM uno per uno, con un ritardo di 500ms tra ogni tentativo di attivazione, e la sincronizzazione dei loro output in base all'aumento della tensione sul DC-link. Le ridondanze sono garantite dalla presenza di più ACM, mentre il requisito di sicurezza prevede l'interruzione del raffreddamento dell'ACM in caso di fallimento.
Analisi — Funzione equivalente tra le seguenti configurazioni: VZI_Base, VZ_FR, VZ_ES, VZI-6_R1.
Pagina iniziale: parte di pagina 7 — Pagina finale: parte di pagina 9.</t>
        </is>
      </c>
      <c r="I139" s="626" t="inlineStr">
        <is>
          <t>La funzione ferroviaria "AUX_Activation_and_Synchronisation_of_ACM" è responsabile dell'attivazione e sincronizzazione degli ACM (Componenti di Controllo del Motore) in modalità parallela. I componenti principali coinvolti sono gli ACM stessi, il 3AC bus e il sistema di controllo. La funzione si attiva quando la tensione sul 3AC bus è disponibile, ma non è fornita da un'energia esterna. In questo caso, solo uno degli ACM inizia a funzionare, sincronizzando gli altri successivamente. Se un ACM fallisce, il sistema riduce la temperatura dell'ambiente di controllo (HVAC). La funzione richiede una sincronizzazione dei 3AC output tra gli ACM e una limitazione del tempo di attivazione a 500ms per ogni tentativo.
Analisi — Funzione equivalente tra le seguenti configurazioni: VZI_Base, VZ_FR, VZ_ES, VZI-6_R1.
Pagina iniziale: parte di pagina 7 — Pagina finale: parte di pagina 9.</t>
        </is>
      </c>
      <c r="J139" s="626" t="inlineStr">
        <is>
          <t>La funzione ferroviaria "AUX_Activation_and_Synchronisation_of_ACM" è responsabile dell'attivazione e sincronizzazione dei sistemi di alimentazione alternata continua (ACM) per l'alimentazione del sistema elettrico del treno ETR1000. I componenti principali coinvolti sono i module ACM, il 3AC bus, la DC-link e il sistema di comunicazione tra le unità. La funzione si attiva quando la tensione sul DC-link è superiore a un certo livello, e inizialmente solo uno dei module ACM viene attivato con una 500ms di ritardo rispetto all'altro. Una volta attivato il primo modulo, gli altri module ACM vengono sincronizzati per connettersi al 3AC bus. In caso di fallimento di un modulo ACM, il sistema riduce la temperatura dell'alimentazione e l'intera funzione viene monitorata per eventuali errori.
Analisi — Funzione equivalente tra le seguenti configurazioni: VZI_Base, VZ_FR, VZ_ES, VZI-6_R1.
Pagina iniziale: parte di pagina 8 — Pagina finale: parte di pagina 9.</t>
        </is>
      </c>
      <c r="K139" s="460" t="n"/>
      <c r="L139" s="461" t="n"/>
    </row>
    <row r="140" customFormat="1" s="13">
      <c r="A140" s="333" t="inlineStr">
        <is>
          <t>AUX_ACM_reset</t>
        </is>
      </c>
      <c r="B140" s="374" t="n"/>
      <c r="C140" s="393" t="n"/>
      <c r="D140" s="366" t="inlineStr">
        <is>
          <t>\</t>
        </is>
      </c>
      <c r="E140" s="334" t="n"/>
      <c r="F140" s="335" t="n"/>
      <c r="G140" s="335" t="n"/>
      <c r="H140" s="335" t="n"/>
      <c r="I140" s="335" t="n"/>
      <c r="J140" s="335" t="n"/>
      <c r="K140" s="335" t="n"/>
      <c r="L140" s="336" t="n"/>
    </row>
    <row r="141" outlineLevel="1" customFormat="1" s="13">
      <c r="B141" s="103" t="n"/>
      <c r="C141" s="158" t="inlineStr">
        <is>
          <t>CONFIG</t>
        </is>
      </c>
      <c r="D141" s="364" t="inlineStr">
        <is>
          <t>FRS_Aux Electrical Supply</t>
        </is>
      </c>
      <c r="E141" s="330" t="inlineStr">
        <is>
          <t>Link</t>
        </is>
      </c>
      <c r="F141" s="314">
        <f t="array" ref="F141">HYPERLINK(CONCATENATE(Cartelle!$D$5,F$1,"/",$C141,"/",MID($D141,1,FIND("_",$D141)-1),"/",INDIRECT(CONCATENATE("'" &amp; $C141 &amp; "'!",ADDRESS(MATCH($D141, INDIRECT("'" &amp; $C141 &amp; "'!$B:$B"), 0),MATCH(F$1, INDIRECT("'" &amp; $C141 &amp; "'!$1:$1"), 0)))),".",INDIRECT(CONCATENATE("'"&amp;$C141&amp;"'!",ADDRESS(MATCH($D141,INDIRECT("'"&amp;$C141&amp;"'!$B:$B"),0),3))),"#page=",F142),CONCATENATE("#Sharepoint//",$D141))</f>
        <v/>
      </c>
      <c r="G141" s="314" t="n"/>
      <c r="H141" s="314">
        <f t="array" ref="H141">HYPERLINK(CONCATENATE(Cartelle!$D$5,INDEX(INDIRECT("'" &amp; $C141 &amp; "'!$1:$1"), 1, MATCH(INDIRECT(CONCATENATE("'" &amp; $C141 &amp; "'!",ADDRESS(MATCH($D141, INDIRECT("'" &amp; $C141 &amp; "'!$B:$B"), 0),MATCH(H$1, INDIRECT("'" &amp; $C141 &amp; "'!$1:$1"), 0)))),INDIRECT(CONCATENATE("'" &amp; $C141 &amp; "'!",MATCH($D141, INDIRECT("'" &amp; $C141 &amp; "'!$B:$B"), 0),":",MATCH($D141, INDIRECT("'" &amp; $C141 &amp; "'!$B:$B"), 0))),0)),"/",$C141,"/",MID($D141,1,FIND("_",$D141)-1),"/",INDIRECT(CONCATENATE("'" &amp; $C141 &amp; "'!",ADDRESS(MATCH($D141, INDIRECT("'" &amp; $C141 &amp; "'!$B:$B"), 0),MATCH(H$1, INDIRECT("'" &amp; $C141 &amp; "'!$1:$1"), 0)))),".",INDIRECT(CONCATENATE("'"&amp;$C141&amp;"'!",ADDRESS(MATCH($D141,INDIRECT("'"&amp;$C141&amp;"'!$B:$B"),0),3))),"#page=",H142),CONCATENATE("#Sharepoint//",$D141))</f>
        <v/>
      </c>
      <c r="I141" s="314">
        <f t="array" ref="I141">HYPERLINK(CONCATENATE(Cartelle!$D$5,INDEX(INDIRECT("'" &amp; $C141 &amp; "'!$1:$1"), 1, MATCH(INDIRECT(CONCATENATE("'" &amp; $C141 &amp; "'!",ADDRESS(MATCH($D141, INDIRECT("'" &amp; $C141 &amp; "'!$B:$B"), 0),MATCH(I$1, INDIRECT("'" &amp; $C141 &amp; "'!$1:$1"), 0)))),INDIRECT(CONCATENATE("'" &amp; $C141 &amp; "'!",MATCH($D141, INDIRECT("'" &amp; $C141 &amp; "'!$B:$B"), 0),":",MATCH($D141, INDIRECT("'" &amp; $C141 &amp; "'!$B:$B"), 0))),0)),"/",$C141,"/",MID($D141,1,FIND("_",$D141)-1),"/",INDIRECT(CONCATENATE("'" &amp; $C141 &amp; "'!",ADDRESS(MATCH($D141, INDIRECT("'" &amp; $C141 &amp; "'!$B:$B"), 0),MATCH(I$1, INDIRECT("'" &amp; $C141 &amp; "'!$1:$1"), 0)))),".",INDIRECT(CONCATENATE("'"&amp;$C141&amp;"'!",ADDRESS(MATCH($D141,INDIRECT("'"&amp;$C141&amp;"'!$B:$B"),0),3))),"#page=",I142),CONCATENATE("#Sharepoint//",$D141))</f>
        <v/>
      </c>
      <c r="J141" s="314">
        <f t="array" ref="J141">HYPERLINK(CONCATENATE(Cartelle!$D$5,INDEX(INDIRECT("'" &amp; $C141 &amp; "'!$1:$1"), 1, MATCH(INDIRECT(CONCATENATE("'" &amp; $C141 &amp; "'!",ADDRESS(MATCH($D141, INDIRECT("'" &amp; $C141 &amp; "'!$B:$B"), 0),MATCH(J$1, INDIRECT("'" &amp; $C141 &amp; "'!$1:$1"), 0)))),INDIRECT(CONCATENATE("'" &amp; $C141 &amp; "'!",MATCH($D141, INDIRECT("'" &amp; $C141 &amp; "'!$B:$B"), 0),":",MATCH($D141, INDIRECT("'" &amp; $C141 &amp; "'!$B:$B"), 0))),0)),"/",$C141,"/",MID($D141,1,FIND("_",$D141)-1),"/",INDIRECT(CONCATENATE("'" &amp; $C141 &amp; "'!",ADDRESS(MATCH($D141, INDIRECT("'" &amp; $C141 &amp; "'!$B:$B"), 0),MATCH(J$1, INDIRECT("'" &amp; $C141 &amp; "'!$1:$1"), 0)))),".",INDIRECT(CONCATENATE("'"&amp;$C141&amp;"'!",ADDRESS(MATCH($D141,INDIRECT("'"&amp;$C141&amp;"'!$B:$B"),0),3))),"#page=",J142),CONCATENATE("#Sharepoint//",$D141))</f>
        <v/>
      </c>
      <c r="K141" s="312" t="n"/>
      <c r="L141" s="312" t="n"/>
    </row>
    <row r="142" outlineLevel="2" customFormat="1" s="13">
      <c r="B142" s="103" t="n"/>
      <c r="C142" s="619" t="n"/>
      <c r="D142" s="365" t="n"/>
      <c r="E142" s="331" t="inlineStr">
        <is>
          <t>Rif. Pagina</t>
        </is>
      </c>
      <c r="F142" s="332" t="n">
        <v>9</v>
      </c>
      <c r="G142" s="332" t="n"/>
      <c r="H142" s="332" t="n">
        <v>9</v>
      </c>
      <c r="I142" s="332" t="n">
        <v>9</v>
      </c>
      <c r="J142" s="332" t="n">
        <v>9</v>
      </c>
      <c r="K142" s="332" t="n"/>
      <c r="L142" s="332" t="n"/>
    </row>
    <row r="143" outlineLevel="2" customFormat="1" s="13">
      <c r="B143" s="103" t="n"/>
      <c r="C143" s="548" t="n"/>
      <c r="D143" s="458" t="n"/>
      <c r="E143" s="459" t="inlineStr">
        <is>
          <t>Funzioni AI</t>
        </is>
      </c>
      <c r="F143" s="626" t="inlineStr">
        <is>
          <t>La funzione ferroviaria AUX_ACM_reset è progettata per gestire l'isolamento dell'ACM (Automated Control Module) in caso di anomalia o fallimento. La funzione è coinvoltiva del sistema elettrico, meccanico e software del treno, con il controllo dei segnali di attivazione e reset. L'ACM viene isolato automaticamente dal 3 fase se non si attiva correttamente o se non si riceve un reset da parte del controllo del treno. La funzione è progettata per garantire la sicurezza, con ridondanze nel caso di fallimento dell'ACM e richieste di isolamento permanente fino a ricezione di un reset.
Analisi — Funzione equivalente tra le seguenti configurazioni: VZI_Base, VZ_FR, VZ_ES, VZI-6_R1.
Pagina iniziale: parte di pagina 9 — Pagina finale: parte di pagina 10.</t>
        </is>
      </c>
      <c r="G143" s="460" t="n"/>
      <c r="H143" s="626" t="inlineStr">
        <is>
          <t>La funzione ferroviaria AUX_ACM_reset è progettata per rilasciare l'ACM (Automated Control Module) dal 3 fase in caso di anomalia detettata dall'apparato stesso. La funzione è gestita dal train control, che invia segnali di attivazione e reset per controllare l'operazione dell'ACM. L'ACM viene rilasciato automaticamente se non risponde all'invio del segnale di attivazione o se il segnale di reset non è ricevuto in caso di anomalia detettata dall'apparato stesso. La funzione è progettata per garantire la sicurezza e prevenire danni al sistema, con ridondanze nel caso di fallimento dell'ACM.
Analisi — Funzione equivalente tra le seguenti configurazioni: VZI_Base, VZ_FR, VZ_ES, VZI-6_R1.
Pagina iniziale: parte di pagina 9 — Pagina finale: parte di pagina 10.</t>
        </is>
      </c>
      <c r="I143" s="626" t="inlineStr">
        <is>
          <t>La funzione ferroviaria AUX_ACM_reset è progettata per gestire il riavvio e il rilascio dell'ACM (Automated Control Module) in caso di fallimento o anomalia. La funzione è coinvoltiva del sistema elettrico, meccanico e software del treno. La logica di funzionamento prevede l'invio di segnali di attivazione e riavvio dall'unità di controllo del treno, che attiveranno o rilasceranno l'ACM in base alle condizioni di fallimento. La funzione è progettata per garantire la sicurezza e la stabilità del sistema, con ridondanze nel caso di fallimento dell'ACM e richiesta di intervento immediato dal controllo del treno.
Analisi — Funzione equivalente tra le seguenti configurazioni: VZI_Base, VZ_FR, VZ_ES, VZI-6_R1.
Pagina iniziale: parte di pagina 9 — Pagina finale: parte di pagina 10.</t>
        </is>
      </c>
      <c r="J143" s="626" t="inlineStr">
        <is>
          <t>La funzione ferroviaria AUX_ACM_reset è progettata per rilasciare il controllo dell'ACM (Automated Control Module) in caso di fallimento o anomalia. I componenti elettrici/meccanici/software principali coinvolti sono l'ACM, il sistema di controllo del train, la rete elettrica trazione e il contattore di carico dell'ACM. La logica di funzionamento prevede che l'abilitazione e il rilascio dell'ACM vengano inviati dal sistema di controllo del train, mentre in caso di fallimento l'ACM si disconnette automaticamente dalla rete elettrica trazione. La funzione è progettata per garantire la sicurezza e ridurre il rischio di incidenti, con la possibilità di isolamento permanente dell'ACM in caso di fallimento.
Analisi — Funzione equivalente tra le seguenti configurazioni: VZI_Base, VZ_FR, VZ_ES, VZI-6_R1.
Pagina iniziale: parte di pagina 9 — Pagina finale: parte di pagina 10.</t>
        </is>
      </c>
      <c r="K143" s="460" t="n"/>
      <c r="L143" s="461" t="n"/>
    </row>
    <row r="144" customFormat="1" s="13">
      <c r="A144" s="333" t="inlineStr">
        <is>
          <t>AUX_AC_on_Board_Supply_System</t>
        </is>
      </c>
      <c r="B144" s="374" t="n"/>
      <c r="C144" s="393" t="n"/>
      <c r="D144" s="366" t="inlineStr">
        <is>
          <t>\</t>
        </is>
      </c>
      <c r="E144" s="334" t="n"/>
      <c r="F144" s="335" t="n"/>
      <c r="G144" s="335" t="n"/>
      <c r="H144" s="335" t="n"/>
      <c r="I144" s="335" t="n"/>
      <c r="J144" s="335" t="n"/>
      <c r="K144" s="335" t="n"/>
      <c r="L144" s="336" t="n"/>
    </row>
    <row r="145" outlineLevel="1" customFormat="1" s="13">
      <c r="B145" s="103" t="n"/>
      <c r="C145" s="158" t="inlineStr">
        <is>
          <t>CONFIG</t>
        </is>
      </c>
      <c r="D145" s="364" t="inlineStr">
        <is>
          <t>FRS_Aux Electrical Supply</t>
        </is>
      </c>
      <c r="E145" s="330" t="inlineStr">
        <is>
          <t>Link</t>
        </is>
      </c>
      <c r="F145" s="314">
        <f t="array" ref="F145">HYPERLINK(CONCATENATE(Cartelle!$D$5,F$1,"/",$C145,"/",MID($D145,1,FIND("_",$D145)-1),"/",INDIRECT(CONCATENATE("'" &amp; $C145 &amp; "'!",ADDRESS(MATCH($D145, INDIRECT("'" &amp; $C145 &amp; "'!$B:$B"), 0),MATCH(F$1, INDIRECT("'" &amp; $C145 &amp; "'!$1:$1"), 0)))),".",INDIRECT(CONCATENATE("'"&amp;$C145&amp;"'!",ADDRESS(MATCH($D145,INDIRECT("'"&amp;$C145&amp;"'!$B:$B"),0),3))),"#page=",F146),CONCATENATE("#Sharepoint//",$D145))</f>
        <v/>
      </c>
      <c r="G145" s="314" t="n"/>
      <c r="H145" s="314">
        <f t="array" ref="H145">HYPERLINK(CONCATENATE(Cartelle!$D$5,INDEX(INDIRECT("'" &amp; $C145 &amp; "'!$1:$1"), 1, MATCH(INDIRECT(CONCATENATE("'" &amp; $C145 &amp; "'!",ADDRESS(MATCH($D145, INDIRECT("'" &amp; $C145 &amp; "'!$B:$B"), 0),MATCH(H$1, INDIRECT("'" &amp; $C145 &amp; "'!$1:$1"), 0)))),INDIRECT(CONCATENATE("'" &amp; $C145 &amp; "'!",MATCH($D145, INDIRECT("'" &amp; $C145 &amp; "'!$B:$B"), 0),":",MATCH($D145, INDIRECT("'" &amp; $C145 &amp; "'!$B:$B"), 0))),0)),"/",$C145,"/",MID($D145,1,FIND("_",$D145)-1),"/",INDIRECT(CONCATENATE("'" &amp; $C145 &amp; "'!",ADDRESS(MATCH($D145, INDIRECT("'" &amp; $C145 &amp; "'!$B:$B"), 0),MATCH(H$1, INDIRECT("'" &amp; $C145 &amp; "'!$1:$1"), 0)))),".",INDIRECT(CONCATENATE("'"&amp;$C145&amp;"'!",ADDRESS(MATCH($D145,INDIRECT("'"&amp;$C145&amp;"'!$B:$B"),0),3))),"#page=",H146),CONCATENATE("#Sharepoint//",$D145))</f>
        <v/>
      </c>
      <c r="I145" s="314">
        <f t="array" ref="I145">HYPERLINK(CONCATENATE(Cartelle!$D$5,INDEX(INDIRECT("'" &amp; $C145 &amp; "'!$1:$1"), 1, MATCH(INDIRECT(CONCATENATE("'" &amp; $C145 &amp; "'!",ADDRESS(MATCH($D145, INDIRECT("'" &amp; $C145 &amp; "'!$B:$B"), 0),MATCH(I$1, INDIRECT("'" &amp; $C145 &amp; "'!$1:$1"), 0)))),INDIRECT(CONCATENATE("'" &amp; $C145 &amp; "'!",MATCH($D145, INDIRECT("'" &amp; $C145 &amp; "'!$B:$B"), 0),":",MATCH($D145, INDIRECT("'" &amp; $C145 &amp; "'!$B:$B"), 0))),0)),"/",$C145,"/",MID($D145,1,FIND("_",$D145)-1),"/",INDIRECT(CONCATENATE("'" &amp; $C145 &amp; "'!",ADDRESS(MATCH($D145, INDIRECT("'" &amp; $C145 &amp; "'!$B:$B"), 0),MATCH(I$1, INDIRECT("'" &amp; $C145 &amp; "'!$1:$1"), 0)))),".",INDIRECT(CONCATENATE("'"&amp;$C145&amp;"'!",ADDRESS(MATCH($D145,INDIRECT("'"&amp;$C145&amp;"'!$B:$B"),0),3))),"#page=",I146),CONCATENATE("#Sharepoint//",$D145))</f>
        <v/>
      </c>
      <c r="J145" s="314">
        <f t="array" ref="J145">HYPERLINK(CONCATENATE(Cartelle!$D$5,INDEX(INDIRECT("'" &amp; $C145 &amp; "'!$1:$1"), 1, MATCH(INDIRECT(CONCATENATE("'" &amp; $C145 &amp; "'!",ADDRESS(MATCH($D145, INDIRECT("'" &amp; $C145 &amp; "'!$B:$B"), 0),MATCH(J$1, INDIRECT("'" &amp; $C145 &amp; "'!$1:$1"), 0)))),INDIRECT(CONCATENATE("'" &amp; $C145 &amp; "'!",MATCH($D145, INDIRECT("'" &amp; $C145 &amp; "'!$B:$B"), 0),":",MATCH($D145, INDIRECT("'" &amp; $C145 &amp; "'!$B:$B"), 0))),0)),"/",$C145,"/",MID($D145,1,FIND("_",$D145)-1),"/",INDIRECT(CONCATENATE("'" &amp; $C145 &amp; "'!",ADDRESS(MATCH($D145, INDIRECT("'" &amp; $C145 &amp; "'!$B:$B"), 0),MATCH(J$1, INDIRECT("'" &amp; $C145 &amp; "'!$1:$1"), 0)))),".",INDIRECT(CONCATENATE("'"&amp;$C145&amp;"'!",ADDRESS(MATCH($D145,INDIRECT("'"&amp;$C145&amp;"'!$B:$B"),0),3))),"#page=",J146),CONCATENATE("#Sharepoint//",$D145))</f>
        <v/>
      </c>
      <c r="K145" s="312" t="n"/>
      <c r="L145" s="312" t="n"/>
    </row>
    <row r="146" outlineLevel="2" customFormat="1" s="13">
      <c r="B146" s="103" t="n"/>
      <c r="C146" s="619" t="n"/>
      <c r="D146" s="365" t="n"/>
      <c r="E146" s="331" t="inlineStr">
        <is>
          <t>Rif. Pagina</t>
        </is>
      </c>
      <c r="F146" s="332" t="n">
        <v>10</v>
      </c>
      <c r="G146" s="332" t="n"/>
      <c r="H146" s="332" t="n">
        <v>10</v>
      </c>
      <c r="I146" s="332" t="n">
        <v>10</v>
      </c>
      <c r="J146" s="332" t="n">
        <v>10</v>
      </c>
      <c r="K146" s="332" t="n"/>
      <c r="L146" s="332" t="n"/>
    </row>
    <row r="147" outlineLevel="2" customFormat="1" s="13">
      <c r="B147" s="103" t="n"/>
      <c r="C147" s="548" t="n"/>
      <c r="D147" s="458" t="n"/>
      <c r="E147" s="459" t="inlineStr">
        <is>
          <t>Funzioni AI</t>
        </is>
      </c>
      <c r="F147" s="626" t="inlineStr">
        <is>
          <t>La funzione ferroviaria AUX_AC_on_Board_Supply_System è un sistema di fornitura elettrica per il treno ad alta velocità ETR1000. Il sistema è composto da contattori di scarico (7, 8 e 6) che regolano l'alimentazione elettrica ai vari componenti del veicolo. In caso di normal operazione, i contattori sono chiusi e il sistema fornisce energia ai carichi. In caso di fallimento o cortocircuito, il sistema viene disattivato e il sistema HVAC funziona in modalità ridotta. Il sistema è progettato per garantire una ridondanza e una sicurezza elevata, con la possibilità di isolare i carichi in caso di cortocircuito.
Analisi — Funzione equivalente tra le seguenti configurazioni: VZI_Base, VZ_FR, VZ_ES, VZI-6_R1.
Pagina iniziale: parte di pagina 10 — Pagina finale: parte di pagina 18.</t>
        </is>
      </c>
      <c r="G147" s="460" t="n"/>
      <c r="H147" s="626" t="inlineStr">
        <is>
          <t>La funzione ferroviaria AUX_AC_on_Board_Supply_System fornisce un approvvigionamento elettrico ai componenti del treno ETR1000 in caso di necessità. I componenti principali coinvolti sono i contattori di scarica (7, 8 e 6) e il sistema di gestione dell'energia (HVAC). La logica di funzionamento prevede la chiusura dei contattori in condizioni normali, mentre l'apertura in caso di fallimento o cortocircuito. Il sistema è progettato per ridurre al minimo le interruzioni e garantire una sicurezza elevata, con la possibilità di ridondanza nei contattori e nel sistema di gestione dell'energia.
Analisi — Funzione equivalente tra le seguenti configurazioni: VZI_Base, VZ_FR, VZ_ES, VZI-6_R1.
Pagina iniziale: parte di pagina 10 — Pagina finale: parte di pagina 19.</t>
        </is>
      </c>
      <c r="I147" s="626" t="inlineStr">
        <is>
          <t>La funzione ferroviaria AUX_AC_on_Board_Supply_System fornisce una fornitura elettrica alternata (AC) sul treno ETR1000, garantendo l'alimentazione di componenti elettronici e meccanici critici. I componenti principali coinvolti sono i contattori di scarico (7, 8 e 6), il sistema di controllo software e le unità di gestione del carburante (HVAC). La funzione si attiva in condizioni normali, ma può essere disattivata in caso di fallimenti o cortocircuiti. In caso di short circuit, la funzione può essere disattivata automaticamente per evitare danni al sistema e garantire la sicurezza del treno.
Analisi — Funzione equivalente tra le seguenti configurazioni: VZI_Base, VZ_FR, VZ_ES, VZI-6_R1.
Pagina iniziale: parte di pagina 10 — Pagina finale: parte di pagina 18.</t>
        </is>
      </c>
      <c r="J147" s="626" t="inlineStr">
        <is>
          <t>La funzione ferroviaria AUX_AC_on_Board_Supply_System è un sistema di fornitura elettrica a bordo del treno ETR1000 che fornisce energia elettrica ai sistemi on board in caso di necessità. I componenti principali coinvolti sono i contattori di scarico (7, 8 e 9) e il sistema di controllo software. La logica di funzionamento prevede la chiusura dei contattori in normali condizioni di operazione, mentre in caso di fallimento o cortocircuito si attiva un meccanismo di ridondanza per garantire la continuità della fornitura elettrica. La funzione è progettata per garantire una sicurezza elevata, con ridondanze nei contattori e nel sistema di controllo software, e prevede l'isolamento dei carri in caso di cortocircuito per evitare la propagazione del problema.
Analisi — Funzione equivalente tra le seguenti configurazioni: VZI_Base, VZ_FR, VZ_ES, VZI-6_R1.
Pagina iniziale: parte di pagina 10 — Pagina finale: parte di pagina 18.</t>
        </is>
      </c>
      <c r="K147" s="460" t="n"/>
      <c r="L147" s="461" t="n"/>
    </row>
    <row r="148" customFormat="1" s="13">
      <c r="A148" s="333" t="inlineStr">
        <is>
          <t>AUX_External_Power_Supply</t>
        </is>
      </c>
      <c r="B148" s="374" t="n"/>
      <c r="C148" s="393" t="n"/>
      <c r="D148" s="366" t="inlineStr">
        <is>
          <t>\</t>
        </is>
      </c>
      <c r="E148" s="334" t="n"/>
      <c r="F148" s="335" t="n"/>
      <c r="G148" s="335" t="n"/>
      <c r="H148" s="335" t="n"/>
      <c r="I148" s="335" t="n"/>
      <c r="J148" s="335" t="n"/>
      <c r="K148" s="335" t="n"/>
      <c r="L148" s="336" t="n"/>
    </row>
    <row r="149" outlineLevel="1" customFormat="1" s="13">
      <c r="B149" s="103" t="n"/>
      <c r="C149" s="158" t="inlineStr">
        <is>
          <t>CONFIG</t>
        </is>
      </c>
      <c r="D149" s="364" t="inlineStr">
        <is>
          <t>FRS_Aux Electrical Supply</t>
        </is>
      </c>
      <c r="E149" s="330" t="inlineStr">
        <is>
          <t>Link</t>
        </is>
      </c>
      <c r="F149" s="314">
        <f t="array" ref="F149">HYPERLINK(CONCATENATE(Cartelle!$D$5,F$1,"/",$C149,"/",MID($D149,1,FIND("_",$D149)-1),"/",INDIRECT(CONCATENATE("'" &amp; $C149 &amp; "'!",ADDRESS(MATCH($D149, INDIRECT("'" &amp; $C149 &amp; "'!$B:$B"), 0),MATCH(F$1, INDIRECT("'" &amp; $C149 &amp; "'!$1:$1"), 0)))),".",INDIRECT(CONCATENATE("'"&amp;$C149&amp;"'!",ADDRESS(MATCH($D149,INDIRECT("'"&amp;$C149&amp;"'!$B:$B"),0),3))),"#page=",F150),CONCATENATE("#Sharepoint//",$D149))</f>
        <v/>
      </c>
      <c r="G149" s="314" t="n"/>
      <c r="H149" s="314">
        <f t="array" ref="H149">HYPERLINK(CONCATENATE(Cartelle!$D$5,INDEX(INDIRECT("'" &amp; $C149 &amp; "'!$1:$1"), 1, MATCH(INDIRECT(CONCATENATE("'" &amp; $C149 &amp; "'!",ADDRESS(MATCH($D149, INDIRECT("'" &amp; $C149 &amp; "'!$B:$B"), 0),MATCH(H$1, INDIRECT("'" &amp; $C149 &amp; "'!$1:$1"), 0)))),INDIRECT(CONCATENATE("'" &amp; $C149 &amp; "'!",MATCH($D149, INDIRECT("'" &amp; $C149 &amp; "'!$B:$B"), 0),":",MATCH($D149, INDIRECT("'" &amp; $C149 &amp; "'!$B:$B"), 0))),0)),"/",$C149,"/",MID($D149,1,FIND("_",$D149)-1),"/",INDIRECT(CONCATENATE("'" &amp; $C149 &amp; "'!",ADDRESS(MATCH($D149, INDIRECT("'" &amp; $C149 &amp; "'!$B:$B"), 0),MATCH(H$1, INDIRECT("'" &amp; $C149 &amp; "'!$1:$1"), 0)))),".",INDIRECT(CONCATENATE("'"&amp;$C149&amp;"'!",ADDRESS(MATCH($D149,INDIRECT("'"&amp;$C149&amp;"'!$B:$B"),0),3))),"#page=",H150),CONCATENATE("#Sharepoint//",$D149))</f>
        <v/>
      </c>
      <c r="I149" s="314">
        <f t="array" ref="I149">HYPERLINK(CONCATENATE(Cartelle!$D$5,INDEX(INDIRECT("'" &amp; $C149 &amp; "'!$1:$1"), 1, MATCH(INDIRECT(CONCATENATE("'" &amp; $C149 &amp; "'!",ADDRESS(MATCH($D149, INDIRECT("'" &amp; $C149 &amp; "'!$B:$B"), 0),MATCH(I$1, INDIRECT("'" &amp; $C149 &amp; "'!$1:$1"), 0)))),INDIRECT(CONCATENATE("'" &amp; $C149 &amp; "'!",MATCH($D149, INDIRECT("'" &amp; $C149 &amp; "'!$B:$B"), 0),":",MATCH($D149, INDIRECT("'" &amp; $C149 &amp; "'!$B:$B"), 0))),0)),"/",$C149,"/",MID($D149,1,FIND("_",$D149)-1),"/",INDIRECT(CONCATENATE("'" &amp; $C149 &amp; "'!",ADDRESS(MATCH($D149, INDIRECT("'" &amp; $C149 &amp; "'!$B:$B"), 0),MATCH(I$1, INDIRECT("'" &amp; $C149 &amp; "'!$1:$1"), 0)))),".",INDIRECT(CONCATENATE("'"&amp;$C149&amp;"'!",ADDRESS(MATCH($D149,INDIRECT("'"&amp;$C149&amp;"'!$B:$B"),0),3))),"#page=",I150),CONCATENATE("#Sharepoint//",$D149))</f>
        <v/>
      </c>
      <c r="J149" s="314">
        <f t="array" ref="J149">HYPERLINK(CONCATENATE(Cartelle!$D$5,INDEX(INDIRECT("'" &amp; $C149 &amp; "'!$1:$1"), 1, MATCH(INDIRECT(CONCATENATE("'" &amp; $C149 &amp; "'!",ADDRESS(MATCH($D149, INDIRECT("'" &amp; $C149 &amp; "'!$B:$B"), 0),MATCH(J$1, INDIRECT("'" &amp; $C149 &amp; "'!$1:$1"), 0)))),INDIRECT(CONCATENATE("'" &amp; $C149 &amp; "'!",MATCH($D149, INDIRECT("'" &amp; $C149 &amp; "'!$B:$B"), 0),":",MATCH($D149, INDIRECT("'" &amp; $C149 &amp; "'!$B:$B"), 0))),0)),"/",$C149,"/",MID($D149,1,FIND("_",$D149)-1),"/",INDIRECT(CONCATENATE("'" &amp; $C149 &amp; "'!",ADDRESS(MATCH($D149, INDIRECT("'" &amp; $C149 &amp; "'!$B:$B"), 0),MATCH(J$1, INDIRECT("'" &amp; $C149 &amp; "'!$1:$1"), 0)))),".",INDIRECT(CONCATENATE("'"&amp;$C149&amp;"'!",ADDRESS(MATCH($D149,INDIRECT("'"&amp;$C149&amp;"'!$B:$B"),0),3))),"#page=",J150),CONCATENATE("#Sharepoint//",$D149))</f>
        <v/>
      </c>
      <c r="K149" s="312" t="n"/>
      <c r="L149" s="312" t="n"/>
    </row>
    <row r="150" outlineLevel="2" customFormat="1" s="13">
      <c r="B150" s="103" t="n"/>
      <c r="C150" s="619" t="n"/>
      <c r="D150" s="365" t="n"/>
      <c r="E150" s="331" t="inlineStr">
        <is>
          <t>Rif. Pagina</t>
        </is>
      </c>
      <c r="F150" s="332" t="n">
        <v>18</v>
      </c>
      <c r="G150" s="332" t="n"/>
      <c r="H150" s="332" t="n">
        <v>19</v>
      </c>
      <c r="I150" s="332" t="n">
        <v>18</v>
      </c>
      <c r="J150" s="332" t="n">
        <v>18</v>
      </c>
      <c r="K150" s="332" t="n"/>
      <c r="L150" s="332" t="n"/>
    </row>
    <row r="151" outlineLevel="2" customFormat="1" s="13">
      <c r="B151" s="103" t="n"/>
      <c r="C151" s="548" t="n"/>
      <c r="D151" s="458" t="n"/>
      <c r="E151" s="459" t="inlineStr">
        <is>
          <t>Funzioni AI</t>
        </is>
      </c>
      <c r="F151" s="626" t="inlineStr">
        <is>
          <t>La funzione ferroviaria AUX_External_Power_Supply fornisce un approvvigionamento elettrico esterno al treno ETR1000, garantendo il funzionamento operativo anche in presenza di una corrente alternativa limitata (125 A per 4-car train unit). I componenti coinvolti sono i contattori, le bobine e le linee elettriche. La logica di funzionamento prevede la disconnessione del treno dal catenariere, l'attivazione dell'apparecchio di fornitura esterna e il controllo della sequenza dei fasi prima di chiudere i contattori. La funzione è progettata per garantire una sicurezza elevata, con ridondanze e requisiti di sicurezza specificati nel documento.
Analisi — Funzione equivalente tra le seguenti configurazioni: VZI_Base, VZ_FR, VZ_ES, VZI-6_R1.
Pagina iniziale: parte di pagina 18 — Pagina finale: parte di pagina 22.</t>
        </is>
      </c>
      <c r="G151" s="460" t="n"/>
      <c r="H151" s="626" t="inlineStr">
        <is>
          <t>La funzione ferroviaria AUX_External_Power_Supply fornisce un approvvigionamento elettrico esterno al treno ETR1000, garantendo la sicurezza e l'efficienza durante le operazioni di manutenzione nel garage. I componenti principali coinvolti sono il plug di alimentazione esterna, i contattori e gli indicatori di stato. La funzione è attivata quando il treno è disconnesso dalla catena elettrica e il plug è collegato e attivato, con una limitazione massima di 125 A per ogni 4-car train unit. La logica di funzionamento prevede la verifica della sequenza di fase prima dell'attivazione dei contattori e la deattivazione degli alimentatori e dei convertitori. Le ridondanze sono garantite dalla presenza di due inietti di lavoro per ogni semilato, mentre i requisiti di sicurezza sono assicurati dalla conformità alle norme EN 60309-1/2 e la protezione contro gli accessi non autorizzati.
Analisi — Funzione equivalente tra le seguenti configurazioni: VZI_Base, VZ_FR, VZ_ES, VZI-6_R1.
Pagina iniziale: parte di pagina 19 — Pagina finale: parte di pagina 23.</t>
        </is>
      </c>
      <c r="I151" s="626" t="inlineStr">
        <is>
          <t>La funzione ferroviaria AUX_External_Power_Supply fornisce un approvvigionamento elettrico esterno al treno ETR1000, garantendo la sicurezza e l'efficienza durante le operazioni di manutenzione. I componenti principali coinvolti sono il plug di alimentazione esterna, i contattori, gli indicatori di stato e il sistema di controllo software. La funzione è attivata quando il treno è disconnesso dalla catena elettrica e il plug è collegato e attivato, con una limitazione massima di 125 A per ogni train unità da 4 carri. In caso di fallimento, la funzione può essere rilevata attraverso il monitoraggio dei batteri e del sistema di controllo, che invia segnali di allarme in caso di anomalia.
Analisi — Funzione equivalente tra le seguenti configurazioni: VZI_Base, VZ_FR, VZ_ES, VZI-6_R1.
Pagina iniziale: parte di pagina 18 — Pagina finale: parte di pagina 22.</t>
        </is>
      </c>
      <c r="J151" s="626" t="inlineStr">
        <is>
          <t>La funzione ferroviaria AUX_External_Power_Supply fornisce un approvvigionamento elettrico esterno al treno ETR1000 VZI-6, consentendo l'attivazione di funzioni operazionali in combinazione con l'operazione normale del garage. I componenti principali coinvolti sono i plug di tipo CEE 3AC 400V 125A e i contattori di interruttore. La logica di funzionamento prevede la disconnessione del treno dal catenari, l'attivazione dell'apparecchio di fornitura esterna e il controllo della sequenza fasi prima dell'interruttore. Le ridondanze sono garantite dalla presenza di due inietti di lavoro per ogni semilogo, mentre la sicurezza è assicurata dall'utilizzo di plug e contattori conformi a norme internazionali.
Analisi — Funzione equivalente tra le seguenti configurazioni: VZI_Base, VZ_FR, VZ_ES, VZI-6_R1.
Pagina iniziale: parte di pagina 18 — Pagina finale: parte di pagina 22.</t>
        </is>
      </c>
      <c r="K151" s="460" t="n"/>
      <c r="L151" s="461" t="n"/>
    </row>
    <row r="152" customFormat="1" s="13">
      <c r="A152" s="333" t="inlineStr">
        <is>
          <t>AUX_Earthing_switch</t>
        </is>
      </c>
      <c r="B152" s="374" t="n"/>
      <c r="C152" s="393" t="n"/>
      <c r="D152" s="366" t="inlineStr">
        <is>
          <t>\</t>
        </is>
      </c>
      <c r="E152" s="334" t="n"/>
      <c r="F152" s="335" t="n"/>
      <c r="G152" s="335" t="n"/>
      <c r="H152" s="335" t="n"/>
      <c r="I152" s="335" t="n"/>
      <c r="J152" s="335" t="n"/>
      <c r="K152" s="335" t="n"/>
      <c r="L152" s="336" t="n"/>
    </row>
    <row r="153" outlineLevel="1" customFormat="1" s="13">
      <c r="B153" s="103" t="n"/>
      <c r="C153" s="158" t="inlineStr">
        <is>
          <t>CONFIG</t>
        </is>
      </c>
      <c r="D153" s="364" t="inlineStr">
        <is>
          <t>FRS_Aux Electrical Supply</t>
        </is>
      </c>
      <c r="E153" s="330" t="inlineStr">
        <is>
          <t>Link</t>
        </is>
      </c>
      <c r="F153" s="314">
        <f t="array" ref="F153">HYPERLINK(CONCATENATE(Cartelle!$D$5,F$1,"/",$C153,"/",MID($D153,1,FIND("_",$D153)-1),"/",INDIRECT(CONCATENATE("'" &amp; $C153 &amp; "'!",ADDRESS(MATCH($D153, INDIRECT("'" &amp; $C153 &amp; "'!$B:$B"), 0),MATCH(F$1, INDIRECT("'" &amp; $C153 &amp; "'!$1:$1"), 0)))),".",INDIRECT(CONCATENATE("'"&amp;$C153&amp;"'!",ADDRESS(MATCH($D153,INDIRECT("'"&amp;$C153&amp;"'!$B:$B"),0),3))),"#page=",F154),CONCATENATE("#Sharepoint//",$D153))</f>
        <v/>
      </c>
      <c r="G153" s="314" t="n"/>
      <c r="H153" s="314">
        <f t="array" ref="H153">HYPERLINK(CONCATENATE(Cartelle!$D$5,INDEX(INDIRECT("'" &amp; $C153 &amp; "'!$1:$1"), 1, MATCH(INDIRECT(CONCATENATE("'" &amp; $C153 &amp; "'!",ADDRESS(MATCH($D153, INDIRECT("'" &amp; $C153 &amp; "'!$B:$B"), 0),MATCH(H$1, INDIRECT("'" &amp; $C153 &amp; "'!$1:$1"), 0)))),INDIRECT(CONCATENATE("'" &amp; $C153 &amp; "'!",MATCH($D153, INDIRECT("'" &amp; $C153 &amp; "'!$B:$B"), 0),":",MATCH($D153, INDIRECT("'" &amp; $C153 &amp; "'!$B:$B"), 0))),0)),"/",$C153,"/",MID($D153,1,FIND("_",$D153)-1),"/",INDIRECT(CONCATENATE("'" &amp; $C153 &amp; "'!",ADDRESS(MATCH($D153, INDIRECT("'" &amp; $C153 &amp; "'!$B:$B"), 0),MATCH(H$1, INDIRECT("'" &amp; $C153 &amp; "'!$1:$1"), 0)))),".",INDIRECT(CONCATENATE("'"&amp;$C153&amp;"'!",ADDRESS(MATCH($D153,INDIRECT("'"&amp;$C153&amp;"'!$B:$B"),0),3))),"#page=",H154),CONCATENATE("#Sharepoint//",$D153))</f>
        <v/>
      </c>
      <c r="I153" s="314">
        <f t="array" ref="I153">HYPERLINK(CONCATENATE(Cartelle!$D$5,INDEX(INDIRECT("'" &amp; $C153 &amp; "'!$1:$1"), 1, MATCH(INDIRECT(CONCATENATE("'" &amp; $C153 &amp; "'!",ADDRESS(MATCH($D153, INDIRECT("'" &amp; $C153 &amp; "'!$B:$B"), 0),MATCH(I$1, INDIRECT("'" &amp; $C153 &amp; "'!$1:$1"), 0)))),INDIRECT(CONCATENATE("'" &amp; $C153 &amp; "'!",MATCH($D153, INDIRECT("'" &amp; $C153 &amp; "'!$B:$B"), 0),":",MATCH($D153, INDIRECT("'" &amp; $C153 &amp; "'!$B:$B"), 0))),0)),"/",$C153,"/",MID($D153,1,FIND("_",$D153)-1),"/",INDIRECT(CONCATENATE("'" &amp; $C153 &amp; "'!",ADDRESS(MATCH($D153, INDIRECT("'" &amp; $C153 &amp; "'!$B:$B"), 0),MATCH(I$1, INDIRECT("'" &amp; $C153 &amp; "'!$1:$1"), 0)))),".",INDIRECT(CONCATENATE("'"&amp;$C153&amp;"'!",ADDRESS(MATCH($D153,INDIRECT("'"&amp;$C153&amp;"'!$B:$B"),0),3))),"#page=",I154),CONCATENATE("#Sharepoint//",$D153))</f>
        <v/>
      </c>
      <c r="J153" s="314">
        <f t="array" ref="J153">HYPERLINK(CONCATENATE(Cartelle!$D$5,INDEX(INDIRECT("'" &amp; $C153 &amp; "'!$1:$1"), 1, MATCH(INDIRECT(CONCATENATE("'" &amp; $C153 &amp; "'!",ADDRESS(MATCH($D153, INDIRECT("'" &amp; $C153 &amp; "'!$B:$B"), 0),MATCH(J$1, INDIRECT("'" &amp; $C153 &amp; "'!$1:$1"), 0)))),INDIRECT(CONCATENATE("'" &amp; $C153 &amp; "'!",MATCH($D153, INDIRECT("'" &amp; $C153 &amp; "'!$B:$B"), 0),":",MATCH($D153, INDIRECT("'" &amp; $C153 &amp; "'!$B:$B"), 0))),0)),"/",$C153,"/",MID($D153,1,FIND("_",$D153)-1),"/",INDIRECT(CONCATENATE("'" &amp; $C153 &amp; "'!",ADDRESS(MATCH($D153, INDIRECT("'" &amp; $C153 &amp; "'!$B:$B"), 0),MATCH(J$1, INDIRECT("'" &amp; $C153 &amp; "'!$1:$1"), 0)))),".",INDIRECT(CONCATENATE("'"&amp;$C153&amp;"'!",ADDRESS(MATCH($D153,INDIRECT("'"&amp;$C153&amp;"'!$B:$B"),0),3))),"#page=",J154),CONCATENATE("#Sharepoint//",$D153))</f>
        <v/>
      </c>
      <c r="K153" s="312" t="n"/>
      <c r="L153" s="312" t="n"/>
    </row>
    <row r="154" outlineLevel="2" customFormat="1" s="13">
      <c r="B154" s="103" t="n"/>
      <c r="C154" s="619" t="n"/>
      <c r="D154" s="365" t="n"/>
      <c r="E154" s="331" t="inlineStr">
        <is>
          <t>Rif. Pagina</t>
        </is>
      </c>
      <c r="F154" s="332" t="n">
        <v>22</v>
      </c>
      <c r="G154" s="332" t="n"/>
      <c r="H154" s="332" t="n">
        <v>23</v>
      </c>
      <c r="I154" s="332" t="n">
        <v>22</v>
      </c>
      <c r="J154" s="332" t="n">
        <v>22</v>
      </c>
      <c r="K154" s="332" t="n"/>
      <c r="L154" s="332" t="n"/>
    </row>
    <row r="155" outlineLevel="2" customFormat="1" s="13">
      <c r="B155" s="103" t="n"/>
      <c r="C155" s="548" t="n"/>
      <c r="D155" s="458" t="n"/>
      <c r="E155" s="459" t="inlineStr">
        <is>
          <t>Funzioni AI</t>
        </is>
      </c>
      <c r="F155" s="626" t="inlineStr">
        <is>
          <t>La funzione ferroviaria AUX_Earthing_switch è un dispositivo di protezione elettrica che monitora lo stato dell'earthing del sistema di alimentazione trazione (3AC-bus) sul treno ETR1000. Il dispositivo è composto da componenti elettrici/meccanici, come il relè di earthing e il sistema di comunicazione con il TCMS (Train Control and Management System), e software per la gestione della protezione elettrica. La logica di funzionamento prevede che se l'earthing switch è in posizione chiusa, il TCMS blocca la trazione del treno; se l'earthing switch è aperto, il sistema attiva la protezione contro sovraccarichi e il dispositivo invia un evento al sistema di controllo. La funzione dispone di ridondanze per garantire la sicurezza, come la protezione degli outlet di fornitura esterna nel laboratorio di manutenzione.
Analisi — Funzione equivalente tra le seguenti configurazioni: VZI_Base, VZ_FR, VZ_ES, VZI-6_R1.
Pagina iniziale: parte di pagina 22 — Pagina finale: parte di pagina 23.</t>
        </is>
      </c>
      <c r="G155" s="460" t="n"/>
      <c r="H155" s="626" t="inlineStr">
        <is>
          <t>La funzione ferroviaria AUX_Earthing_switch è un dispositivo di controllo elettrico che gestisce l'earthing del sistema di alimentazione trazione (3AC-bus) del treno ETR1000. Il dispositivo è composto da componenti elettrici/meccanici, come il circuito di controllo e il meccanismo di posizionamento, e software per la gestione della funzione. La logica di funzionamento prevede che il dispositivo indichi lo stato dell'earthing (chiuso o aperto) e attivi o disattiva l'alimentazione trazione in base a questo stato. In caso di fallimento, il sistema di controllo del treno (TCMS) può interrompere la funzione se l'earthing è chiuso, mentre se è aperto, il dispositivo supervisiona l'overload degli ACM e protegge gli outlet di fornitura esterna. La funzione è progettata per essere riparata durante la manutenzione correttiva e richiede la presenza di chiavi speciali per garantire la sicurezza.
Analisi — Funzione equivalente tra le seguenti configurazioni: VZI_Base, VZ_FR, VZ_ES, VZI-6_R1.
Pagina iniziale: parte di pagina 23 — Pagina finale: parte di pagina 24.</t>
        </is>
      </c>
      <c r="I155" s="626" t="inlineStr">
        <is>
          <t>La funzione ferroviaria AUX_Earthing_switch è un dispositivo di protezione elettrica che monitora lo stato dell'earthing del sistema di alimentazione trazione (3AC-bus) sul treno ETR1000. Il dispositivo è composto da componenti elettrici/meccanici, come il relè di earthing e il sistema di comunicazione con il TCMS (Train Control and Management System), e software per la gestione della protezione elettrica. La funzione si attiva quando l'earthing switch è in posizione chiusa, bloccando l'alimentazione trazione e scatenando un evento di allarme nel sistema TCMS. In caso di fallimento, il dispositivo viene rimosso durante la manutenzione correttiva.
Analisi — Funzione equivalente tra le seguenti configurazioni: VZI_Base, VZ_FR, VZ_ES, VZI-6_R1.
Pagina iniziale: parte di pagina 22 — Pagina finale: parte di pagina 23.</t>
        </is>
      </c>
      <c r="J155" s="626" t="inlineStr">
        <is>
          <t>La funzione ferroviaria AUX_Earthing_switch è un dispositivo di controllo elettrico che monitora lo stato dell'earthing del sistema di alimentazione trazione (3AC-bus) del treno ETR1000. Il dispositivo è composto da componenti elettrici/meccanici, come il relè e l'impostatore, e software, come il sistema di gestione della sicurezza (TCMS). La logica di funzionamento prevede che se l'earthing switch è chiuso, il TCMS blocca la trainazione; se l'earthing switch è aperto, il dispositivo supervisiona l'eventuale sovraccarico degli alimentatori e protegge gli outlet esterni. La funzione è progettata per garantire la sicurezza del sistema, con ridondanze e requisiti di sicurezza come la connessione manuale dell'earthing switch durante le procedure di manutenzione.
Analisi — Funzione equivalente tra le seguenti configurazioni: VZI_Base, VZ_FR, VZ_ES, VZI-6_R1.
Pagina iniziale: parte di pagina 22 — Pagina finale: parte di pagina 23.</t>
        </is>
      </c>
      <c r="K155" s="460" t="n"/>
      <c r="L155" s="461" t="n"/>
    </row>
    <row r="156" customFormat="1" s="13">
      <c r="A156" s="333" t="inlineStr">
        <is>
          <t>AUX_230V,_50Hz_Sockets</t>
        </is>
      </c>
      <c r="B156" s="374" t="n"/>
      <c r="C156" s="393" t="n"/>
      <c r="D156" s="366" t="inlineStr">
        <is>
          <t>\</t>
        </is>
      </c>
      <c r="E156" s="334" t="n"/>
      <c r="F156" s="335" t="n"/>
      <c r="G156" s="335" t="n"/>
      <c r="H156" s="335" t="n"/>
      <c r="I156" s="335" t="n"/>
      <c r="J156" s="335" t="n"/>
      <c r="K156" s="335" t="n"/>
      <c r="L156" s="336" t="n"/>
    </row>
    <row r="157" outlineLevel="1" customFormat="1" s="13">
      <c r="B157" s="103" t="n"/>
      <c r="C157" s="158" t="inlineStr">
        <is>
          <t>CONFIG</t>
        </is>
      </c>
      <c r="D157" s="364" t="inlineStr">
        <is>
          <t>FRS_Aux Electrical Supply</t>
        </is>
      </c>
      <c r="E157" s="330" t="inlineStr">
        <is>
          <t>Link</t>
        </is>
      </c>
      <c r="F157" s="314">
        <f t="array" ref="F157">HYPERLINK(CONCATENATE(Cartelle!$D$5,F$1,"/",$C157,"/",MID($D157,1,FIND("_",$D157)-1),"/",INDIRECT(CONCATENATE("'" &amp; $C157 &amp; "'!",ADDRESS(MATCH($D157, INDIRECT("'" &amp; $C157 &amp; "'!$B:$B"), 0),MATCH(F$1, INDIRECT("'" &amp; $C157 &amp; "'!$1:$1"), 0)))),".",INDIRECT(CONCATENATE("'"&amp;$C157&amp;"'!",ADDRESS(MATCH($D157,INDIRECT("'"&amp;$C157&amp;"'!$B:$B"),0),3))),"#page=",F158),CONCATENATE("#Sharepoint//",$D157))</f>
        <v/>
      </c>
      <c r="G157" s="314" t="n"/>
      <c r="H157" s="314">
        <f t="array" ref="H157">HYPERLINK(CONCATENATE(Cartelle!$D$5,INDEX(INDIRECT("'" &amp; $C157 &amp; "'!$1:$1"), 1, MATCH(INDIRECT(CONCATENATE("'" &amp; $C157 &amp; "'!",ADDRESS(MATCH($D157, INDIRECT("'" &amp; $C157 &amp; "'!$B:$B"), 0),MATCH(H$1, INDIRECT("'" &amp; $C157 &amp; "'!$1:$1"), 0)))),INDIRECT(CONCATENATE("'" &amp; $C157 &amp; "'!",MATCH($D157, INDIRECT("'" &amp; $C157 &amp; "'!$B:$B"), 0),":",MATCH($D157, INDIRECT("'" &amp; $C157 &amp; "'!$B:$B"), 0))),0)),"/",$C157,"/",MID($D157,1,FIND("_",$D157)-1),"/",INDIRECT(CONCATENATE("'" &amp; $C157 &amp; "'!",ADDRESS(MATCH($D157, INDIRECT("'" &amp; $C157 &amp; "'!$B:$B"), 0),MATCH(H$1, INDIRECT("'" &amp; $C157 &amp; "'!$1:$1"), 0)))),".",INDIRECT(CONCATENATE("'"&amp;$C157&amp;"'!",ADDRESS(MATCH($D157,INDIRECT("'"&amp;$C157&amp;"'!$B:$B"),0),3))),"#page=",H158),CONCATENATE("#Sharepoint//",$D157))</f>
        <v/>
      </c>
      <c r="I157" s="314">
        <f t="array" ref="I157">HYPERLINK(CONCATENATE(Cartelle!$D$5,INDEX(INDIRECT("'" &amp; $C157 &amp; "'!$1:$1"), 1, MATCH(INDIRECT(CONCATENATE("'" &amp; $C157 &amp; "'!",ADDRESS(MATCH($D157, INDIRECT("'" &amp; $C157 &amp; "'!$B:$B"), 0),MATCH(I$1, INDIRECT("'" &amp; $C157 &amp; "'!$1:$1"), 0)))),INDIRECT(CONCATENATE("'" &amp; $C157 &amp; "'!",MATCH($D157, INDIRECT("'" &amp; $C157 &amp; "'!$B:$B"), 0),":",MATCH($D157, INDIRECT("'" &amp; $C157 &amp; "'!$B:$B"), 0))),0)),"/",$C157,"/",MID($D157,1,FIND("_",$D157)-1),"/",INDIRECT(CONCATENATE("'" &amp; $C157 &amp; "'!",ADDRESS(MATCH($D157, INDIRECT("'" &amp; $C157 &amp; "'!$B:$B"), 0),MATCH(I$1, INDIRECT("'" &amp; $C157 &amp; "'!$1:$1"), 0)))),".",INDIRECT(CONCATENATE("'"&amp;$C157&amp;"'!",ADDRESS(MATCH($D157,INDIRECT("'"&amp;$C157&amp;"'!$B:$B"),0),3))),"#page=",I158),CONCATENATE("#Sharepoint//",$D157))</f>
        <v/>
      </c>
      <c r="J157" s="314">
        <f t="array" ref="J157">HYPERLINK(CONCATENATE(Cartelle!$D$5,INDEX(INDIRECT("'" &amp; $C157 &amp; "'!$1:$1"), 1, MATCH(INDIRECT(CONCATENATE("'" &amp; $C157 &amp; "'!",ADDRESS(MATCH($D157, INDIRECT("'" &amp; $C157 &amp; "'!$B:$B"), 0),MATCH(J$1, INDIRECT("'" &amp; $C157 &amp; "'!$1:$1"), 0)))),INDIRECT(CONCATENATE("'" &amp; $C157 &amp; "'!",MATCH($D157, INDIRECT("'" &amp; $C157 &amp; "'!$B:$B"), 0),":",MATCH($D157, INDIRECT("'" &amp; $C157 &amp; "'!$B:$B"), 0))),0)),"/",$C157,"/",MID($D157,1,FIND("_",$D157)-1),"/",INDIRECT(CONCATENATE("'" &amp; $C157 &amp; "'!",ADDRESS(MATCH($D157, INDIRECT("'" &amp; $C157 &amp; "'!$B:$B"), 0),MATCH(J$1, INDIRECT("'" &amp; $C157 &amp; "'!$1:$1"), 0)))),".",INDIRECT(CONCATENATE("'"&amp;$C157&amp;"'!",ADDRESS(MATCH($D157,INDIRECT("'"&amp;$C157&amp;"'!$B:$B"),0),3))),"#page=",J158),CONCATENATE("#Sharepoint//",$D157))</f>
        <v/>
      </c>
      <c r="K157" s="312" t="n"/>
      <c r="L157" s="312" t="n"/>
    </row>
    <row r="158" outlineLevel="2" customFormat="1" s="13">
      <c r="B158" s="103" t="n"/>
      <c r="C158" s="619" t="n"/>
      <c r="D158" s="365" t="n"/>
      <c r="E158" s="331" t="inlineStr">
        <is>
          <t>Rif. Pagina</t>
        </is>
      </c>
      <c r="F158" s="332" t="n">
        <v>23</v>
      </c>
      <c r="G158" s="332" t="n"/>
      <c r="H158" s="332" t="n">
        <v>24</v>
      </c>
      <c r="I158" s="332" t="n">
        <v>23</v>
      </c>
      <c r="J158" s="332" t="n">
        <v>23</v>
      </c>
      <c r="K158" s="332" t="n"/>
      <c r="L158" s="332" t="n"/>
    </row>
    <row r="159" outlineLevel="2" customFormat="1" s="13">
      <c r="B159" s="103" t="n"/>
      <c r="C159" s="548" t="n"/>
      <c r="D159" s="458" t="n"/>
      <c r="E159" s="459" t="inlineStr">
        <is>
          <t>Funzioni AI</t>
        </is>
      </c>
      <c r="F159" s="626" t="inlineStr">
        <is>
          <t>La funzione ferroviaria AUX_230V,_50Hz_Sockets fornisce un'illuminazione elettrica 230V, 50Hz per ogni posto a sedere del treno ETR1000. I componenti principali coinvolti sono i socket di alimentazione elettrica, il circuito di protezione contro l'elettrocottraggio (RCD) e il circuito di interruzione in caso di incendio. La funzione è attivata quando non ci sono problemi di alimentazione e viene disattivata in caso di incendio, con la possibilità di riattivare solo dopo un'interruzione del servizio.
Analisi — Funzione equivalente tra le seguenti configurazioni: VZI_Base, VZ_FR, VZ_ES, VZI-6_R1.
Pagina iniziale: parte di pagina 23 — Pagina finale: parte di pagina 24.</t>
        </is>
      </c>
      <c r="G159" s="460" t="n"/>
      <c r="H159" s="626" t="inlineStr">
        <is>
          <t>La funzione ferroviaria AUX_230V,_50Hz_Sockets fornisce un'illuminazione elettrica per ogni posto a sedere dell'ETR1000, con una tensione di 230V e frequenza di 50Hz. La logica di funzionamento prevede l'attivazione del circuito quando il miniaturatore di circuito a scatto (RCD) non è attivo, mentre la disattivazione avviene in caso di tripolazione del RCD o del miniaturatore di circuito a scatto. La funzione è progettata per garantire una sicurezza elevata, con la presenza di un sistema di allarme e la possibilità di disconnettere il circuito in caso di allarme di incendio.
Analisi — Funzione equivalente tra le seguenti configurazioni: VZI_Base, VZ_FR, VZ_ES, VZI-6_R1.
Pagina iniziale: parte di pagina 24 — Pagina finale: parte di pagina 25.</t>
        </is>
      </c>
      <c r="I159" s="626" t="inlineStr">
        <is>
          <t>La funzione ferroviaria AUX_230V,_50Hz_Sockets fornisce un'illuminazione elettrica 230V, 50Hz per ogni posto a sedere del treno ETR1000. I componenti principali coinvolti sono i socket elettrici con circuito di protezione contro la corrente elettrica (RCD) e il circuito di spegnimento in caso di allarme di incendio. La funzione è attivata quando non ci è corrente elettrica nel socket, e viene disattivata automaticamente se si verifica un allarme di incendio.
Analisi — Funzione equivalente tra le seguenti configurazioni: VZI_Base, VZ_FR, VZ_ES, VZI-6_R1.
Pagina iniziale: parte di pagina 23 — Pagina finale: parte di pagina 24.</t>
        </is>
      </c>
      <c r="J159" s="627" t="inlineStr">
        <is>
          <t>La funzione ferroviaria AUX_230V,_50Hz_Sockets è un sistema di fornitura elettrica per i posti a sedere dei treni ad alta velocità ETR1000. Il sistema prevede l'installazione di socket con corrente 230V, 50Hz per ogni posto a sedere, oltre a due socket aggiuntivi per scopi di manutenzione e pulizia. In caso di allarme di incendio, il sistema automaticamente disconnette i socket per evitare rischi di scosse elettriche. Il sistema è progettato con una logica di funzionamento che attiva l'allarme in caso di tripolazione del circuito di protezione contro la corrente elettrica (RCD) o della miniatura circuit breaker, segnalando un evento di fallimento.
Pagina iniziale: parte di pagina 23 — Pagina finale: parte di pagina 24.</t>
        </is>
      </c>
      <c r="K159" s="460" t="n"/>
      <c r="L159" s="461" t="n"/>
    </row>
    <row r="160" customFormat="1" s="13">
      <c r="A160" s="333" t="inlineStr">
        <is>
          <t>AUX_Mini_Circuit_Breaker_Supervision</t>
        </is>
      </c>
      <c r="B160" s="374" t="n"/>
      <c r="C160" s="393" t="n"/>
      <c r="D160" s="366" t="inlineStr">
        <is>
          <t>\</t>
        </is>
      </c>
      <c r="E160" s="334" t="n"/>
      <c r="F160" s="335" t="n"/>
      <c r="G160" s="335" t="n"/>
      <c r="H160" s="335" t="n"/>
      <c r="I160" s="335" t="n"/>
      <c r="J160" s="335" t="n"/>
      <c r="K160" s="335" t="n"/>
      <c r="L160" s="336" t="n"/>
    </row>
    <row r="161" outlineLevel="1" customFormat="1" s="13">
      <c r="B161" s="103" t="n"/>
      <c r="C161" s="158" t="inlineStr">
        <is>
          <t>CONFIG</t>
        </is>
      </c>
      <c r="D161" s="364" t="inlineStr">
        <is>
          <t>FRS_Aux Electrical Supply</t>
        </is>
      </c>
      <c r="E161" s="330" t="inlineStr">
        <is>
          <t>Link</t>
        </is>
      </c>
      <c r="F161" s="314">
        <f t="array" ref="F161">HYPERLINK(CONCATENATE(Cartelle!$D$5,F$1,"/",$C161,"/",MID($D161,1,FIND("_",$D161)-1),"/",INDIRECT(CONCATENATE("'" &amp; $C161 &amp; "'!",ADDRESS(MATCH($D161, INDIRECT("'" &amp; $C161 &amp; "'!$B:$B"), 0),MATCH(F$1, INDIRECT("'" &amp; $C161 &amp; "'!$1:$1"), 0)))),".",INDIRECT(CONCATENATE("'"&amp;$C161&amp;"'!",ADDRESS(MATCH($D161,INDIRECT("'"&amp;$C161&amp;"'!$B:$B"),0),3))),"#page=",F162),CONCATENATE("#Sharepoint//",$D161))</f>
        <v/>
      </c>
      <c r="G161" s="314" t="n"/>
      <c r="H161" s="314">
        <f t="array" ref="H161">HYPERLINK(CONCATENATE(Cartelle!$D$5,INDEX(INDIRECT("'" &amp; $C161 &amp; "'!$1:$1"), 1, MATCH(INDIRECT(CONCATENATE("'" &amp; $C161 &amp; "'!",ADDRESS(MATCH($D161, INDIRECT("'" &amp; $C161 &amp; "'!$B:$B"), 0),MATCH(H$1, INDIRECT("'" &amp; $C161 &amp; "'!$1:$1"), 0)))),INDIRECT(CONCATENATE("'" &amp; $C161 &amp; "'!",MATCH($D161, INDIRECT("'" &amp; $C161 &amp; "'!$B:$B"), 0),":",MATCH($D161, INDIRECT("'" &amp; $C161 &amp; "'!$B:$B"), 0))),0)),"/",$C161,"/",MID($D161,1,FIND("_",$D161)-1),"/",INDIRECT(CONCATENATE("'" &amp; $C161 &amp; "'!",ADDRESS(MATCH($D161, INDIRECT("'" &amp; $C161 &amp; "'!$B:$B"), 0),MATCH(H$1, INDIRECT("'" &amp; $C161 &amp; "'!$1:$1"), 0)))),".",INDIRECT(CONCATENATE("'"&amp;$C161&amp;"'!",ADDRESS(MATCH($D161,INDIRECT("'"&amp;$C161&amp;"'!$B:$B"),0),3))),"#page=",H162),CONCATENATE("#Sharepoint//",$D161))</f>
        <v/>
      </c>
      <c r="I161" s="314">
        <f t="array" ref="I161">HYPERLINK(CONCATENATE(Cartelle!$D$5,INDEX(INDIRECT("'" &amp; $C161 &amp; "'!$1:$1"), 1, MATCH(INDIRECT(CONCATENATE("'" &amp; $C161 &amp; "'!",ADDRESS(MATCH($D161, INDIRECT("'" &amp; $C161 &amp; "'!$B:$B"), 0),MATCH(I$1, INDIRECT("'" &amp; $C161 &amp; "'!$1:$1"), 0)))),INDIRECT(CONCATENATE("'" &amp; $C161 &amp; "'!",MATCH($D161, INDIRECT("'" &amp; $C161 &amp; "'!$B:$B"), 0),":",MATCH($D161, INDIRECT("'" &amp; $C161 &amp; "'!$B:$B"), 0))),0)),"/",$C161,"/",MID($D161,1,FIND("_",$D161)-1),"/",INDIRECT(CONCATENATE("'" &amp; $C161 &amp; "'!",ADDRESS(MATCH($D161, INDIRECT("'" &amp; $C161 &amp; "'!$B:$B"), 0),MATCH(I$1, INDIRECT("'" &amp; $C161 &amp; "'!$1:$1"), 0)))),".",INDIRECT(CONCATENATE("'"&amp;$C161&amp;"'!",ADDRESS(MATCH($D161,INDIRECT("'"&amp;$C161&amp;"'!$B:$B"),0),3))),"#page=",I162),CONCATENATE("#Sharepoint//",$D161))</f>
        <v/>
      </c>
      <c r="J161" s="314">
        <f t="array" ref="J161">HYPERLINK(CONCATENATE(Cartelle!$D$5,INDEX(INDIRECT("'" &amp; $C161 &amp; "'!$1:$1"), 1, MATCH(INDIRECT(CONCATENATE("'" &amp; $C161 &amp; "'!",ADDRESS(MATCH($D161, INDIRECT("'" &amp; $C161 &amp; "'!$B:$B"), 0),MATCH(J$1, INDIRECT("'" &amp; $C161 &amp; "'!$1:$1"), 0)))),INDIRECT(CONCATENATE("'" &amp; $C161 &amp; "'!",MATCH($D161, INDIRECT("'" &amp; $C161 &amp; "'!$B:$B"), 0),":",MATCH($D161, INDIRECT("'" &amp; $C161 &amp; "'!$B:$B"), 0))),0)),"/",$C161,"/",MID($D161,1,FIND("_",$D161)-1),"/",INDIRECT(CONCATENATE("'" &amp; $C161 &amp; "'!",ADDRESS(MATCH($D161, INDIRECT("'" &amp; $C161 &amp; "'!$B:$B"), 0),MATCH(J$1, INDIRECT("'" &amp; $C161 &amp; "'!$1:$1"), 0)))),".",INDIRECT(CONCATENATE("'"&amp;$C161&amp;"'!",ADDRESS(MATCH($D161,INDIRECT("'"&amp;$C161&amp;"'!$B:$B"),0),3))),"#page=",J162),CONCATENATE("#Sharepoint//",$D161))</f>
        <v/>
      </c>
      <c r="K161" s="312" t="n"/>
      <c r="L161" s="312" t="n"/>
    </row>
    <row r="162" outlineLevel="2" customFormat="1" s="13">
      <c r="B162" s="103" t="n"/>
      <c r="C162" s="548" t="n"/>
      <c r="D162" s="367" t="n"/>
      <c r="E162" s="337" t="inlineStr">
        <is>
          <t>Rif. Pagina</t>
        </is>
      </c>
      <c r="F162" s="338" t="n">
        <v>24</v>
      </c>
      <c r="G162" s="338" t="n">
        <v>24</v>
      </c>
      <c r="H162" s="338" t="n">
        <v>25</v>
      </c>
      <c r="I162" s="338" t="n">
        <v>24</v>
      </c>
      <c r="J162" s="338" t="n">
        <v>24</v>
      </c>
      <c r="K162" s="338" t="n"/>
      <c r="L162" s="338" t="n"/>
    </row>
    <row r="163" outlineLevel="2" customFormat="1" s="13">
      <c r="B163" s="103" t="n"/>
      <c r="C163" s="548" t="n"/>
      <c r="D163" s="458" t="n"/>
      <c r="E163" s="459" t="inlineStr">
        <is>
          <t>Funzioni AI</t>
        </is>
      </c>
      <c r="F163" s="626" t="inlineStr">
        <is>
          <t>La funzione ferroviaria AUX_Mini_Circuit_Breaker_Supervision monitora lo stato dei mini circuit breaker (MCB) e dei rcd all'interno di ogni cassettone. I componenti principali coinvolti sono i MCB, gli rcd, il sistema di supervisione, l'IDU (Interface Device Unit) e il CCU-D (Central Computer Unit). La logica di funzionamento attiva la supervisione quando un MCB o un rcd si trova in uno stato di tripolazione, inviando un evento all'IDU che viene poi trasmesso al CCU-D. Le ridondanze sono garantite attraverso il daisy chaining dei comandi di stato per i MCB e gli rcd, mentre la sicurezza è assicurata dalla protezione con RCD per i consumatori non permanenti.
Analisi — Funzione equivalente tra le seguenti configurazioni: VZI_Base, VZ_FR, VZ_ES, VZI-6_R1.
Pagina iniziale: parte di pagina 24 — Pagina finale: parte di pagina 25.</t>
        </is>
      </c>
      <c r="G163" s="460" t="n"/>
      <c r="H163" s="626" t="inlineStr">
        <is>
          <t>La funzione ferroviaria "AUX_Mini_Circuit_Breaker_Supervision" supervisiona i mini circuit breakers (MCB) elettrici dei sistemi di alimentazione ferroviari ETR1000. I componenti principali coinvolti sono il sistema di controllo del traffico (TCMS), l'IDU (Interface Device Unit) e le interfacce elettriche tra i MCB e gli RCD (Ripassaportatore di Corrente Alternata). La funzione viene attivata quando un MCB si spegne, in cui caso viene inviato un evento IDU indicando la posizione del trippato MCB. La funzione è progettata per garantire una supervisione e un'individuazione tempestiva dei problemi di sicurezza, riducendo al minimo il rischio di incidenti.
Analisi — Funzione equivalente tra le seguenti configurazioni: VZI_Base, VZ_FR, VZ_ES, VZI-6_R1.
Pagina iniziale: parte di pagina 25 — Pagina finale: parte di pagina 26.</t>
        </is>
      </c>
      <c r="I163" s="626" t="inlineStr">
        <is>
          <t>La funzione ferroviaria AUX_Mini_Circuit_Breaker_Supervision monitora lo stato dei mini circuit breaker (MCB) e dei rcd all'interno di ogni cassettone. I componenti principali coinvolti sono i MCB, gli rcd, il sistema di supervisione e il software TCMS. La logica di funzionamento attiva la supervisione quando un MCB o un rcd si trova in uno stato di tripolazione, inviando un evento al CCU-D per indicare la localizzazione del problema. Le ridondanze sono garantite tramite l'utilizzo di eventi multipli e il daisy chaining dei comandi di stato.
Analisi — Funzione equivalente tra le seguenti configurazioni: VZI_Base, VZ_FR, VZ_ES, VZI-6_R1.
Pagina iniziale: parte di pagina 24 — Pagina finale: parte di pagina 25.</t>
        </is>
      </c>
      <c r="J163" s="626" t="inlineStr">
        <is>
          <t>La funzione ferroviaria AUX_Mini_Circuit_Breaker_Supervision è un sistema di supervisione dei circuit breaker miniaturizzati (MCB) installati su ETR1000. I componenti elettrici/meccanici principali coinvolti sono i circuit breaker miniaturizzati, il sistema di supervisione (IDU), la daisy chain per la gestione del stato dei MCB e TCMS DI. La logica di funzionamento attiva l'individuazione dell'eventualità di un trip di un MCB, che viene segnalata all'IDU con un evento specifico, permettendo una supervisione cabina/box e garantendo la sicurezza attraverso la daisy chain e il collegamento alla TCMS DI.
Analisi — Funzione equivalente tra le seguenti configurazioni: VZI_Base, VZ_FR, VZ_ES, VZI-6_R1.
Pagina iniziale: parte di pagina 24 — Pagina finale: parte di pagina 25.</t>
        </is>
      </c>
      <c r="K163" s="460" t="n"/>
      <c r="L163" s="461" t="n"/>
    </row>
    <row r="164">
      <c r="A164" s="340" t="inlineStr">
        <is>
          <t>BAT_Failure_cases_battery_system</t>
        </is>
      </c>
      <c r="B164" s="375" t="n"/>
      <c r="C164" s="393" t="n"/>
      <c r="D164" s="368" t="inlineStr">
        <is>
          <t>\</t>
        </is>
      </c>
      <c r="E164" s="341" t="n"/>
      <c r="F164" s="342" t="n"/>
      <c r="G164" s="342" t="n"/>
      <c r="H164" s="342" t="n"/>
      <c r="I164" s="342" t="n"/>
      <c r="J164" s="342" t="n"/>
      <c r="K164" s="342" t="n"/>
      <c r="L164" s="343" t="n"/>
    </row>
    <row r="165" outlineLevel="1" s="583">
      <c r="B165" s="376" t="n"/>
      <c r="C165" s="158" t="inlineStr">
        <is>
          <t>CONFIG</t>
        </is>
      </c>
      <c r="D165" s="369" t="inlineStr">
        <is>
          <t>FRS_Battery</t>
        </is>
      </c>
      <c r="E165" s="344" t="inlineStr">
        <is>
          <t>Link</t>
        </is>
      </c>
      <c r="F165" s="314">
        <f t="array" ref="F165">HYPERLINK(CONCATENATE(Cartelle!$D$5,F$1,"/",$C165,"/",MID($D165,1,FIND("_",$D165)-1),"/",INDIRECT(CONCATENATE("'" &amp; $C165 &amp; "'!",ADDRESS(MATCH($D165, INDIRECT("'" &amp; $C165 &amp; "'!$B:$B"), 0),MATCH(F$1, INDIRECT("'" &amp; $C165 &amp; "'!$1:$1"), 0)))),".",INDIRECT(CONCATENATE("'"&amp;$C165&amp;"'!",ADDRESS(MATCH($D165,INDIRECT("'"&amp;$C165&amp;"'!$B:$B"),0),3))),"#page=",F166),CONCATENATE("#Sharepoint//",$D165))</f>
        <v/>
      </c>
      <c r="G165" s="314" t="n"/>
      <c r="H165" s="314" t="n"/>
      <c r="I165" s="314" t="n"/>
      <c r="J165" s="314">
        <f t="array" ref="J165">HYPERLINK(CONCATENATE(Cartelle!$D$5,INDEX(INDIRECT("'" &amp; $C165 &amp; "'!$1:$1"), 1, MATCH(INDIRECT(CONCATENATE("'" &amp; $C165 &amp; "'!",ADDRESS(MATCH($D165, INDIRECT("'" &amp; $C165 &amp; "'!$B:$B"), 0),MATCH(J$1, INDIRECT("'" &amp; $C165 &amp; "'!$1:$1"), 0)))),INDIRECT(CONCATENATE("'" &amp; $C165 &amp; "'!",MATCH($D165, INDIRECT("'" &amp; $C165 &amp; "'!$B:$B"), 0),":",MATCH($D165, INDIRECT("'" &amp; $C165 &amp; "'!$B:$B"), 0))),0)),"/",$C165,"/",MID($D165,1,FIND("_",$D165)-1),"/",INDIRECT(CONCATENATE("'" &amp; $C165 &amp; "'!",ADDRESS(MATCH($D165, INDIRECT("'" &amp; $C165 &amp; "'!$B:$B"), 0),MATCH(J$1, INDIRECT("'" &amp; $C165 &amp; "'!$1:$1"), 0)))),".",INDIRECT(CONCATENATE("'"&amp;$C165&amp;"'!",ADDRESS(MATCH($D165,INDIRECT("'"&amp;$C165&amp;"'!$B:$B"),0),3))),"#page=",J166),CONCATENATE("#Sharepoint//",$D165))</f>
        <v/>
      </c>
      <c r="K165" s="346" t="n"/>
      <c r="L165" s="346" t="n"/>
    </row>
    <row r="166" outlineLevel="2" s="583">
      <c r="B166" s="376" t="n"/>
      <c r="D166" s="370" t="n"/>
      <c r="E166" s="348" t="inlineStr">
        <is>
          <t>Rif. Pagina</t>
        </is>
      </c>
      <c r="F166" s="349" t="n">
        <v>8</v>
      </c>
      <c r="G166" s="349" t="n">
        <v>8</v>
      </c>
      <c r="H166" s="349" t="n">
        <v>8</v>
      </c>
      <c r="I166" s="349" t="n">
        <v>8</v>
      </c>
      <c r="J166" s="349" t="n">
        <v>8</v>
      </c>
      <c r="K166" s="349" t="n"/>
      <c r="L166" s="349" t="n"/>
    </row>
    <row r="167" outlineLevel="2" customFormat="1" s="13">
      <c r="B167" s="103" t="n"/>
      <c r="C167" s="548" t="n"/>
      <c r="D167" s="458" t="n"/>
      <c r="E167" s="459" t="inlineStr">
        <is>
          <t>Funzioni AI</t>
        </is>
      </c>
      <c r="F167" s="626" t="inlineStr">
        <is>
          <t>La funzione ferroviaria BAT_Failure_cases_battery_system è progettata per gestire le situazioni di fallimento del sistema batteria dell'ETR1000. I componenti elettrici/meccanici/software principali coinvolti sono i due bus batterie con due batterie ciascuno, i caricatori batterie, i contattori batterie, i fusibili batterie e i controllori di caricamento. La logica di funzionamento attiva un evento quando si verificano determinate condizioni di fallimento, come la disconnessione di una o entrambe le batterie via isolatore, il riscaldamento dei fusibili o l'errore del contattore di caricamento. Le ridondanze sono presenti con due bus batterie e due caricatori batterie per garantire la continuità dell'alimentazione elettrica, mentre in caso di fallimento di tre o più caricatori il treno viene ritirato dal servizio.
Analisi — Funzione equivalente tra le seguenti configurazioni: VZI_Base, VZI-6_R1.
Pagina iniziale: parte di pagina 8 — Pagina finale: parte di pagina 9.</t>
        </is>
      </c>
      <c r="G167" s="460" t="n"/>
      <c r="H167" s="460" t="n"/>
      <c r="I167" s="460" t="n"/>
      <c r="J167" s="626" t="inlineStr">
        <is>
          <t>La funzione ferroviaria BAT_Failure_cases_battery_system è progettata per gestire le situazioni di fallimento del sistema batteria dell'ETR1000 VZI-6. I componenti elettrici/meccanici/software principali coinvolti sono i due bus batteria con due batterie ciascuna, i caricatori batteria, i contattori batteria, le fusibili batteria, i controllori di disconnessione e i controllori di load shed. La logica di funzionamento attiva un evento quando si verificano determinate condizioni di fallimento, come la disconnessione di una o più batterie, il blocco dei contattori o della fusibile, o la mancata attivazione del caricatore. Le ridondanze sono presenti con i due bus batteria che forniscono alimentazione ai carichi anche in caso di fallimento di uno degli elementi.
Analisi — Funzione equivalente tra le seguenti configurazioni: VZI_Base, VZI-6_R1.
Pagina iniziale: parte di pagina 8 — Pagina finale: parte di pagina 9.</t>
        </is>
      </c>
      <c r="K167" s="460" t="n"/>
      <c r="L167" s="461" t="n"/>
    </row>
    <row r="168">
      <c r="A168" s="350" t="inlineStr">
        <is>
          <t>BAT_Function_Battery_Isolation</t>
        </is>
      </c>
      <c r="B168" s="377" t="n"/>
      <c r="C168" s="393" t="n"/>
      <c r="D168" s="371" t="inlineStr">
        <is>
          <t>\</t>
        </is>
      </c>
      <c r="E168" s="351" t="n"/>
      <c r="F168" s="352" t="n"/>
      <c r="G168" s="352" t="n"/>
      <c r="H168" s="352" t="n"/>
      <c r="I168" s="352" t="n"/>
      <c r="J168" s="352" t="n"/>
      <c r="K168" s="352" t="n"/>
      <c r="L168" s="353" t="n"/>
    </row>
    <row r="169" outlineLevel="1" s="583">
      <c r="B169" s="376" t="n"/>
      <c r="C169" s="158" t="inlineStr">
        <is>
          <t>CONFIG</t>
        </is>
      </c>
      <c r="D169" s="369" t="inlineStr">
        <is>
          <t>FRS_Battery</t>
        </is>
      </c>
      <c r="E169" s="344" t="inlineStr">
        <is>
          <t>Link</t>
        </is>
      </c>
      <c r="F169" s="314">
        <f t="array" ref="F169">HYPERLINK(CONCATENATE(Cartelle!$D$5,F$1,"/",$C169,"/",MID($D169,1,FIND("_",$D169)-1),"/",INDIRECT(CONCATENATE("'" &amp; $C169 &amp; "'!",ADDRESS(MATCH($D169, INDIRECT("'" &amp; $C169 &amp; "'!$B:$B"), 0),MATCH(F$1, INDIRECT("'" &amp; $C169 &amp; "'!$1:$1"), 0)))),".",INDIRECT(CONCATENATE("'"&amp;$C169&amp;"'!",ADDRESS(MATCH($D169,INDIRECT("'"&amp;$C169&amp;"'!$B:$B"),0),3))),"#page=",F170),CONCATENATE("#Sharepoint//",$D169))</f>
        <v/>
      </c>
      <c r="G169" s="314" t="n"/>
      <c r="H169" s="314" t="n"/>
      <c r="I169" s="314" t="n"/>
      <c r="J169" s="314">
        <f t="array" ref="J169">HYPERLINK(CONCATENATE(Cartelle!$D$5,INDEX(INDIRECT("'" &amp; $C169 &amp; "'!$1:$1"), 1, MATCH(INDIRECT(CONCATENATE("'" &amp; $C169 &amp; "'!",ADDRESS(MATCH($D169, INDIRECT("'" &amp; $C169 &amp; "'!$B:$B"), 0),MATCH(J$1, INDIRECT("'" &amp; $C169 &amp; "'!$1:$1"), 0)))),INDIRECT(CONCATENATE("'" &amp; $C169 &amp; "'!",MATCH($D169, INDIRECT("'" &amp; $C169 &amp; "'!$B:$B"), 0),":",MATCH($D169, INDIRECT("'" &amp; $C169 &amp; "'!$B:$B"), 0))),0)),"/",$C169,"/",MID($D169,1,FIND("_",$D169)-1),"/",INDIRECT(CONCATENATE("'" &amp; $C169 &amp; "'!",ADDRESS(MATCH($D169, INDIRECT("'" &amp; $C169 &amp; "'!$B:$B"), 0),MATCH(J$1, INDIRECT("'" &amp; $C169 &amp; "'!$1:$1"), 0)))),".",INDIRECT(CONCATENATE("'"&amp;$C169&amp;"'!",ADDRESS(MATCH($D169,INDIRECT("'"&amp;$C169&amp;"'!$B:$B"),0),3))),"#page=",J170),CONCATENATE("#Sharepoint//",$D169))</f>
        <v/>
      </c>
      <c r="K169" s="346" t="n"/>
      <c r="L169" s="346" t="n"/>
    </row>
    <row r="170" outlineLevel="2" s="583">
      <c r="B170" s="376" t="n"/>
      <c r="D170" s="370" t="n"/>
      <c r="E170" s="348" t="inlineStr">
        <is>
          <t>Rif. Pagina</t>
        </is>
      </c>
      <c r="F170" s="349" t="n">
        <v>9</v>
      </c>
      <c r="G170" s="349" t="n"/>
      <c r="H170" s="349" t="n"/>
      <c r="I170" s="349" t="n"/>
      <c r="J170" s="349" t="n">
        <v>9</v>
      </c>
      <c r="K170" s="349" t="n"/>
      <c r="L170" s="349" t="n"/>
    </row>
    <row r="171" outlineLevel="2" customFormat="1" s="13">
      <c r="B171" s="103" t="n"/>
      <c r="C171" s="548" t="n"/>
      <c r="D171" s="458" t="n"/>
      <c r="E171" s="459" t="inlineStr">
        <is>
          <t>Funzioni AI</t>
        </is>
      </c>
      <c r="F171" s="626" t="inlineStr">
        <is>
          <t>La funzione ferroviaria "BAT_Function_Battery_Isolation" è progettata per isolare le batterie dell'ETR1000 in caso di necessità. I componenti elettrici/meccanici principali coinvolti sono i disconnettori di batteria, le thermal fuse e gli workshop sockets. La logica di funzionamento prevede che i disconnettori siano chiusi durante l'operazione normale e aperti solo in caso di manutenzione o parcheggio prolungato. In caso di short circuit, la thermal fuse si attiva per isolare il sistema. Le ridondanze sono garantite dai workshop sockets che forniscono energia supplementare alle batterie.
Analisi — Funzione equivalente tra le seguenti configurazioni: VZI_Base, VZI-6_R1.
Pagina iniziale: parte di pagina 9 — Pagina finale: parte di pagina 11.</t>
        </is>
      </c>
      <c r="G171" s="460" t="n"/>
      <c r="H171" s="460" t="n"/>
      <c r="I171" s="460" t="n"/>
      <c r="J171" s="626" t="inlineStr">
        <is>
          <t>La funzione ferroviaria BAT_Function_Battery_Isolation è progettata per isolare le batterie dell'ETR1000 in caso di necessità. I componenti elettrici/meccanici principali coinvolti sono i disconnettori di batteria, le thermal fuse, gli workshop sockets e il sistema TCMS. La funzione è attivata solo durante la manutenzione o quando il treno è fuori servizio per un lungo periodo, e viene disattivata automaticamente in caso di normala operazione. In caso di fallimento, l'eventuale disconnessione dei disconnettori di batteria viene verificata tramite confronto con la tensione della batteria e viene segnalata come evento IDU.
Analisi — Funzione equivalente tra le seguenti configurazioni: VZI_Base, VZI-6_R1.
Pagina iniziale: parte di pagina 9 — Pagina finale: parte di pagina 11.</t>
        </is>
      </c>
      <c r="K171" s="460" t="n"/>
      <c r="L171" s="461" t="n"/>
    </row>
    <row r="172">
      <c r="A172" s="350" t="inlineStr">
        <is>
          <t>BAT_Battery_Contactors</t>
        </is>
      </c>
      <c r="B172" s="377" t="n"/>
      <c r="C172" s="393" t="n"/>
      <c r="D172" s="371" t="inlineStr">
        <is>
          <t>\</t>
        </is>
      </c>
      <c r="E172" s="351" t="n"/>
      <c r="F172" s="352" t="n"/>
      <c r="G172" s="352" t="n"/>
      <c r="H172" s="352" t="n"/>
      <c r="I172" s="352" t="n"/>
      <c r="J172" s="352" t="n"/>
      <c r="K172" s="352" t="n"/>
      <c r="L172" s="353" t="n"/>
    </row>
    <row r="173" outlineLevel="1" s="583">
      <c r="B173" s="376" t="n"/>
      <c r="C173" s="158" t="inlineStr">
        <is>
          <t>CONFIG</t>
        </is>
      </c>
      <c r="D173" s="369" t="inlineStr">
        <is>
          <t>FRS_Battery</t>
        </is>
      </c>
      <c r="E173" s="344" t="inlineStr">
        <is>
          <t>Link</t>
        </is>
      </c>
      <c r="F173" s="314">
        <f t="array" ref="F173">HYPERLINK(CONCATENATE(Cartelle!$D$5,F$1,"/",$C173,"/",MID($D173,1,FIND("_",$D173)-1),"/",INDIRECT(CONCATENATE("'" &amp; $C173 &amp; "'!",ADDRESS(MATCH($D173, INDIRECT("'" &amp; $C173 &amp; "'!$B:$B"), 0),MATCH(F$1, INDIRECT("'" &amp; $C173 &amp; "'!$1:$1"), 0)))),".",INDIRECT(CONCATENATE("'"&amp;$C173&amp;"'!",ADDRESS(MATCH($D173,INDIRECT("'"&amp;$C173&amp;"'!$B:$B"),0),3))),"#page=",F174),CONCATENATE("#Sharepoint//",$D173))</f>
        <v/>
      </c>
      <c r="G173" s="314" t="n"/>
      <c r="H173" s="314" t="n"/>
      <c r="I173" s="314" t="n"/>
      <c r="J173" s="314">
        <f t="array" ref="J173">HYPERLINK(CONCATENATE(Cartelle!$D$5,INDEX(INDIRECT("'" &amp; $C173 &amp; "'!$1:$1"), 1, MATCH(INDIRECT(CONCATENATE("'" &amp; $C173 &amp; "'!",ADDRESS(MATCH($D173, INDIRECT("'" &amp; $C173 &amp; "'!$B:$B"), 0),MATCH(J$1, INDIRECT("'" &amp; $C173 &amp; "'!$1:$1"), 0)))),INDIRECT(CONCATENATE("'" &amp; $C173 &amp; "'!",MATCH($D173, INDIRECT("'" &amp; $C173 &amp; "'!$B:$B"), 0),":",MATCH($D173, INDIRECT("'" &amp; $C173 &amp; "'!$B:$B"), 0))),0)),"/",$C173,"/",MID($D173,1,FIND("_",$D173)-1),"/",INDIRECT(CONCATENATE("'" &amp; $C173 &amp; "'!",ADDRESS(MATCH($D173, INDIRECT("'" &amp; $C173 &amp; "'!$B:$B"), 0),MATCH(J$1, INDIRECT("'" &amp; $C173 &amp; "'!$1:$1"), 0)))),".",INDIRECT(CONCATENATE("'"&amp;$C173&amp;"'!",ADDRESS(MATCH($D173,INDIRECT("'"&amp;$C173&amp;"'!$B:$B"),0),3))),"#page=",J174),CONCATENATE("#Sharepoint//",$D173))</f>
        <v/>
      </c>
      <c r="K173" s="346" t="n"/>
      <c r="L173" s="346" t="n"/>
    </row>
    <row r="174" outlineLevel="2" s="583">
      <c r="B174" s="376" t="n"/>
      <c r="D174" s="370" t="n"/>
      <c r="E174" s="348" t="inlineStr">
        <is>
          <t>Rif. Pagina</t>
        </is>
      </c>
      <c r="F174" s="349" t="n">
        <v>11</v>
      </c>
      <c r="G174" s="349" t="n"/>
      <c r="H174" s="349" t="n"/>
      <c r="I174" s="349" t="n"/>
      <c r="J174" s="349" t="n">
        <v>11</v>
      </c>
      <c r="K174" s="349" t="n"/>
      <c r="L174" s="349" t="n"/>
    </row>
    <row r="175" outlineLevel="2" customFormat="1" s="13">
      <c r="B175" s="103" t="n"/>
      <c r="C175" s="548" t="n"/>
      <c r="D175" s="458" t="n"/>
      <c r="E175" s="459" t="inlineStr">
        <is>
          <t>Funzioni AI</t>
        </is>
      </c>
      <c r="F175" s="626" t="inlineStr">
        <is>
          <t>La funzione ferroviaria BAT_Battery_Contactors gestisce l'attivazione e la disattivazione dei contattori batteria per il sistema di alimentazione della Trenitalia ETR1000. I principali componenti coinvolti sono i contattori batteria, le relazioni logiche e i pulsanti di attivazione. La funzione si attiva quando il pulsante "Close Battery Contactor" viene premuto o quando il disconnettore della batteria viene aperto manualmente. In caso di fallimento del contattore, l'evento è segnalato e il disconnettore deve essere aperto manualmente per risolvere il problema entro 2 giorni.
Analisi — Funzione equivalente tra le seguenti configurazioni: VZI_Base, VZI-6_R1.
Pagina iniziale: parte di pagina 11 — Pagina finale: parte di pagina 16.</t>
        </is>
      </c>
      <c r="G175" s="460" t="n"/>
      <c r="H175" s="460" t="n"/>
      <c r="I175" s="460" t="n"/>
      <c r="J175" s="626" t="inlineStr">
        <is>
          <t>La funzione ferroviaria BAT_Battery_Contactors gestisce l'attivazione e la disattivazione dei contatti batterici per il sistema di alimentazione delle batterie dell'ETR1000. I componenti principali coinvolti sono i contatori batterici, le relazioni logiche e i comandi di attivazione/disattivazione. La funzione si attiva quando il comando "chiudere contatto batterico" viene eseguito, chiudendo automaticamente i contatti batterici e aprendo quelli per la caricatura delle batterie. In caso di fallimento, l'eventuale apertura manuale dei contatti batterici è richiesta per ripristinare il funzionamento normale.
Analisi — Funzione equivalente tra le seguenti configurazioni: VZI_Base, VZI-6_R1.
Pagina iniziale: parte di pagina 11 — Pagina finale: parte di pagina 16.</t>
        </is>
      </c>
      <c r="K175" s="460" t="n"/>
      <c r="L175" s="461" t="n"/>
    </row>
    <row r="176">
      <c r="A176" s="350" t="inlineStr">
        <is>
          <t>BAT_Load_Shed_Contactors</t>
        </is>
      </c>
      <c r="B176" s="377" t="n"/>
      <c r="C176" s="393" t="n"/>
      <c r="D176" s="371" t="inlineStr">
        <is>
          <t>\</t>
        </is>
      </c>
      <c r="E176" s="351" t="n"/>
      <c r="F176" s="352" t="n"/>
      <c r="G176" s="352" t="n"/>
      <c r="H176" s="352" t="n"/>
      <c r="I176" s="352" t="n"/>
      <c r="J176" s="352" t="n"/>
      <c r="K176" s="352" t="n"/>
      <c r="L176" s="353" t="n"/>
    </row>
    <row r="177" outlineLevel="1" s="583">
      <c r="B177" s="376" t="n"/>
      <c r="C177" s="158" t="inlineStr">
        <is>
          <t>CONFIG</t>
        </is>
      </c>
      <c r="D177" s="369" t="inlineStr">
        <is>
          <t>FRS_Battery</t>
        </is>
      </c>
      <c r="E177" s="344" t="inlineStr">
        <is>
          <t>Link</t>
        </is>
      </c>
      <c r="F177" s="314">
        <f t="array" ref="F177">HYPERLINK(CONCATENATE(Cartelle!$D$5,F$1,"/",$C177,"/",MID($D177,1,FIND("_",$D177)-1),"/",INDIRECT(CONCATENATE("'" &amp; $C177 &amp; "'!",ADDRESS(MATCH($D177, INDIRECT("'" &amp; $C177 &amp; "'!$B:$B"), 0),MATCH(F$1, INDIRECT("'" &amp; $C177 &amp; "'!$1:$1"), 0)))),".",INDIRECT(CONCATENATE("'"&amp;$C177&amp;"'!",ADDRESS(MATCH($D177,INDIRECT("'"&amp;$C177&amp;"'!$B:$B"),0),3))),"#page=",F178),CONCATENATE("#Sharepoint//",$D177))</f>
        <v/>
      </c>
      <c r="G177" s="314" t="n"/>
      <c r="H177" s="314" t="n"/>
      <c r="I177" s="314" t="n"/>
      <c r="J177" s="314">
        <f t="array" ref="J177">HYPERLINK(CONCATENATE(Cartelle!$D$5,INDEX(INDIRECT("'" &amp; $C177 &amp; "'!$1:$1"), 1, MATCH(INDIRECT(CONCATENATE("'" &amp; $C177 &amp; "'!",ADDRESS(MATCH($D177, INDIRECT("'" &amp; $C177 &amp; "'!$B:$B"), 0),MATCH(J$1, INDIRECT("'" &amp; $C177 &amp; "'!$1:$1"), 0)))),INDIRECT(CONCATENATE("'" &amp; $C177 &amp; "'!",MATCH($D177, INDIRECT("'" &amp; $C177 &amp; "'!$B:$B"), 0),":",MATCH($D177, INDIRECT("'" &amp; $C177 &amp; "'!$B:$B"), 0))),0)),"/",$C177,"/",MID($D177,1,FIND("_",$D177)-1),"/",INDIRECT(CONCATENATE("'" &amp; $C177 &amp; "'!",ADDRESS(MATCH($D177, INDIRECT("'" &amp; $C177 &amp; "'!$B:$B"), 0),MATCH(J$1, INDIRECT("'" &amp; $C177 &amp; "'!$1:$1"), 0)))),".",INDIRECT(CONCATENATE("'"&amp;$C177&amp;"'!",ADDRESS(MATCH($D177,INDIRECT("'"&amp;$C177&amp;"'!$B:$B"),0),3))),"#page=",J178),CONCATENATE("#Sharepoint//",$D177))</f>
        <v/>
      </c>
      <c r="K177" s="346" t="n"/>
      <c r="L177" s="346" t="n"/>
    </row>
    <row r="178" outlineLevel="2" s="583">
      <c r="B178" s="376" t="n"/>
      <c r="D178" s="370" t="n"/>
      <c r="E178" s="348" t="inlineStr">
        <is>
          <t>Rif. Pagina</t>
        </is>
      </c>
      <c r="F178" s="349" t="n">
        <v>16</v>
      </c>
      <c r="G178" s="349" t="n"/>
      <c r="H178" s="349" t="n"/>
      <c r="I178" s="349" t="n"/>
      <c r="J178" s="349" t="n">
        <v>16</v>
      </c>
      <c r="K178" s="349" t="n"/>
      <c r="L178" s="349" t="n"/>
    </row>
    <row r="179" outlineLevel="2" customFormat="1" s="13">
      <c r="B179" s="103" t="n"/>
      <c r="C179" s="548" t="n"/>
      <c r="D179" s="458" t="n"/>
      <c r="E179" s="459" t="inlineStr">
        <is>
          <t>Funzioni AI</t>
        </is>
      </c>
      <c r="F179" s="626" t="inlineStr">
        <is>
          <t>La funzione ferroviaria "BAT_Load_Shed_Contactors" è responsabile della gestione del carico elettrico sul sistema batteria dell'ETR1000. I componenti principali coinvolti sono i contattori di scarica dei batteri (BC2 e BC3), i motori elettrici, il sistema di controllo software e la rete elettrica ferroviaria. La logica di funzionamento prevede l'apertura dei contattori di scarcia quando tutti i carichi elettrici sono stati eliminati o quando il treno è in modalità "Treno soccorso (T)". In caso di fallimento, la funzione è progettata per essere ridondante con un ripristino previsto entro 2 giorni.
Analisi — Funzione equivalente tra le seguenti configurazioni: VZI_Base, VZI-6_R1.
Pagina iniziale: parte di pagina 16 — Pagina finale: parte di pagina 19.</t>
        </is>
      </c>
      <c r="G179" s="460" t="n"/>
      <c r="H179" s="460" t="n"/>
      <c r="I179" s="460" t="n"/>
      <c r="J179" s="626" t="inlineStr">
        <is>
          <t>La funzione ferroviaria BAT_Load_Shed_Contactors è responsabile della gestione del carico e della disconnessione dei consumatori in caso di necessità. I componenti principali coinvolti sono i contattori di shed di carica (BC2 e BC3) collegati alla batteria, il sistema di controllo del train (Train Control) e il software di gestione del sistema (TCMS). La logica di funzionamento prevede l'apertura dei contattori di shed in caso di attivazione del train soccorso o della modalità di carico, con la possibilità di disconnettere i consumatori in modo gerarchico. I contattori di shed sono progettati come dispositivi redundanti, con un tempo di riparazione di 2 giorni.
Analisi — Funzione equivalente tra le seguenti configurazioni: VZI_Base, VZI-6_R1.
Pagina iniziale: parte di pagina 16 — Pagina finale: parte di pagina 19.</t>
        </is>
      </c>
      <c r="K179" s="460" t="n"/>
      <c r="L179" s="461" t="n"/>
    </row>
    <row r="180">
      <c r="A180" s="350" t="inlineStr">
        <is>
          <t>BAT_DC_Busline_Distribution</t>
        </is>
      </c>
      <c r="B180" s="377" t="n"/>
      <c r="C180" s="393" t="n"/>
      <c r="D180" s="371" t="inlineStr">
        <is>
          <t>\</t>
        </is>
      </c>
      <c r="E180" s="351" t="n"/>
      <c r="F180" s="352" t="n"/>
      <c r="G180" s="352" t="n"/>
      <c r="H180" s="352" t="n"/>
      <c r="I180" s="352" t="n"/>
      <c r="J180" s="352" t="n"/>
      <c r="K180" s="352" t="n"/>
      <c r="L180" s="353" t="n"/>
    </row>
    <row r="181" outlineLevel="1" s="583">
      <c r="B181" s="376" t="n"/>
      <c r="C181" s="158" t="inlineStr">
        <is>
          <t>CONFIG</t>
        </is>
      </c>
      <c r="D181" s="369" t="inlineStr">
        <is>
          <t>FRS_Battery</t>
        </is>
      </c>
      <c r="E181" s="344" t="inlineStr">
        <is>
          <t>Link</t>
        </is>
      </c>
      <c r="F181" s="314">
        <f t="array" ref="F181">HYPERLINK(CONCATENATE(Cartelle!$D$5,F$1,"/",$C181,"/",MID($D181,1,FIND("_",$D181)-1),"/",INDIRECT(CONCATENATE("'" &amp; $C181 &amp; "'!",ADDRESS(MATCH($D181, INDIRECT("'" &amp; $C181 &amp; "'!$B:$B"), 0),MATCH(F$1, INDIRECT("'" &amp; $C181 &amp; "'!$1:$1"), 0)))),".",INDIRECT(CONCATENATE("'"&amp;$C181&amp;"'!",ADDRESS(MATCH($D181,INDIRECT("'"&amp;$C181&amp;"'!$B:$B"),0),3))),"#page=",F182),CONCATENATE("#Sharepoint//",$D181))</f>
        <v/>
      </c>
      <c r="G181" s="314" t="n"/>
      <c r="H181" s="314" t="n"/>
      <c r="I181" s="314" t="n"/>
      <c r="J181" s="314">
        <f t="array" ref="J181">HYPERLINK(CONCATENATE(Cartelle!$D$5,INDEX(INDIRECT("'" &amp; $C181 &amp; "'!$1:$1"), 1, MATCH(INDIRECT(CONCATENATE("'" &amp; $C181 &amp; "'!",ADDRESS(MATCH($D181, INDIRECT("'" &amp; $C181 &amp; "'!$B:$B"), 0),MATCH(J$1, INDIRECT("'" &amp; $C181 &amp; "'!$1:$1"), 0)))),INDIRECT(CONCATENATE("'" &amp; $C181 &amp; "'!",MATCH($D181, INDIRECT("'" &amp; $C181 &amp; "'!$B:$B"), 0),":",MATCH($D181, INDIRECT("'" &amp; $C181 &amp; "'!$B:$B"), 0))),0)),"/",$C181,"/",MID($D181,1,FIND("_",$D181)-1),"/",INDIRECT(CONCATENATE("'" &amp; $C181 &amp; "'!",ADDRESS(MATCH($D181, INDIRECT("'" &amp; $C181 &amp; "'!$B:$B"), 0),MATCH(J$1, INDIRECT("'" &amp; $C181 &amp; "'!$1:$1"), 0)))),".",INDIRECT(CONCATENATE("'"&amp;$C181&amp;"'!",ADDRESS(MATCH($D181,INDIRECT("'"&amp;$C181&amp;"'!$B:$B"),0),3))),"#page=",J182),CONCATENATE("#Sharepoint//",$D181))</f>
        <v/>
      </c>
      <c r="K181" s="346" t="n"/>
      <c r="L181" s="346" t="n"/>
    </row>
    <row r="182" outlineLevel="2" s="583">
      <c r="B182" s="376" t="n"/>
      <c r="D182" s="370" t="n"/>
      <c r="E182" s="348" t="inlineStr">
        <is>
          <t>Rif. Pagina</t>
        </is>
      </c>
      <c r="F182" s="349" t="n">
        <v>19</v>
      </c>
      <c r="G182" s="349" t="n"/>
      <c r="H182" s="349" t="n"/>
      <c r="I182" s="349" t="n"/>
      <c r="J182" s="349" t="n">
        <v>19</v>
      </c>
      <c r="K182" s="349" t="n"/>
      <c r="L182" s="349" t="n"/>
    </row>
    <row r="183" outlineLevel="2" customFormat="1" s="13">
      <c r="B183" s="103" t="n"/>
      <c r="C183" s="548" t="n"/>
      <c r="D183" s="458" t="n"/>
      <c r="E183" s="459" t="inlineStr">
        <is>
          <t>Funzioni AI</t>
        </is>
      </c>
      <c r="F183" s="626" t="inlineStr">
        <is>
          <t>La funzione ferroviaria BAT_DC_Busline_Distribution distribuisce l'alimentazione DC ai carichi tra i due bus batteria decoupliati da diodi. I carichi sono alimentati in condizioni normali, ma se uno dei bus batteria si spegne, la priorità viene data ai carichi che vengono alimentati dall'altro bus, con alcuni carichi potenzialmente ridotti. In caso di tripolazione del circuito a scorrimento miniaturizzato (MCB), i carichi corrispondenti sono cancellati da altri circuiti. La funzione è supervisionata e monitorata per garantire la sicurezza dei carichi e della rete ferroviaria.
Analisi — Funzione equivalente tra le seguenti configurazioni: VZI_Base, VZI-6_R1.
Pagina iniziale: parte di pagina 19 — Pagina finale: parte di pagina 21.</t>
        </is>
      </c>
      <c r="G183" s="460" t="n"/>
      <c r="H183" s="460" t="n"/>
      <c r="I183" s="460" t="n"/>
      <c r="J183" s="626" t="inlineStr">
        <is>
          <t>La funzione BAT_DC_Busline_Distribution è una gestione distributiva dei bus DC per l'alimentazione degli impianti elettrici del treno ad alta velocità ETR1000. I componenti principali coinvolti sono i bus DC, diodi e circuit breaker (MCB). La logica di funzionamento prevede che i carichi vengano collegati a entrambi i bus DC decoupliati da diodi, con la possibilità che alcuni carichi siano ridimensionati in caso di fallimento di uno dei bus. In caso di MCB trip, il sistema cancella i carichi corrispondenti e invia un messaggio di diagnostiche per indicare la posizione del trippato. La funzione è progettata per garantire una sicurezza elevata, con ridondanze nei circuiti di protezione e supervisione degli MCB.
Analisi — Funzione equivalente tra le seguenti configurazioni: VZI_Base, VZI-6_R1.
Pagina iniziale: parte di pagina 19 — Pagina finale: parte di pagina 21.</t>
        </is>
      </c>
      <c r="K183" s="460" t="n"/>
      <c r="L183" s="461" t="n"/>
    </row>
    <row r="184">
      <c r="A184" s="350" t="inlineStr">
        <is>
          <t>BAT_Battery_Charging</t>
        </is>
      </c>
      <c r="B184" s="377" t="n"/>
      <c r="C184" s="393" t="n"/>
      <c r="D184" s="371" t="inlineStr">
        <is>
          <t>\</t>
        </is>
      </c>
      <c r="E184" s="351" t="n"/>
      <c r="F184" s="352" t="n"/>
      <c r="G184" s="352" t="n"/>
      <c r="H184" s="352" t="n"/>
      <c r="I184" s="352" t="n"/>
      <c r="J184" s="352" t="n"/>
      <c r="K184" s="352" t="n"/>
      <c r="L184" s="353" t="n"/>
    </row>
    <row r="185" outlineLevel="1" s="583">
      <c r="B185" s="376" t="n"/>
      <c r="C185" s="158" t="inlineStr">
        <is>
          <t>CONFIG</t>
        </is>
      </c>
      <c r="D185" s="369" t="inlineStr">
        <is>
          <t>FRS_Battery</t>
        </is>
      </c>
      <c r="E185" s="344" t="inlineStr">
        <is>
          <t>Link</t>
        </is>
      </c>
      <c r="F185" s="314">
        <f t="array" ref="F185">HYPERLINK(CONCATENATE(Cartelle!$D$5,F$1,"/",$C185,"/",MID($D185,1,FIND("_",$D185)-1),"/",INDIRECT(CONCATENATE("'" &amp; $C185 &amp; "'!",ADDRESS(MATCH($D185, INDIRECT("'" &amp; $C185 &amp; "'!$B:$B"), 0),MATCH(F$1, INDIRECT("'" &amp; $C185 &amp; "'!$1:$1"), 0)))),".",INDIRECT(CONCATENATE("'"&amp;$C185&amp;"'!",ADDRESS(MATCH($D185,INDIRECT("'"&amp;$C185&amp;"'!$B:$B"),0),3))),"#page=",F186),CONCATENATE("#Sharepoint//",$D185))</f>
        <v/>
      </c>
      <c r="G185" s="314" t="n"/>
      <c r="H185" s="314" t="n"/>
      <c r="I185" s="314" t="n"/>
      <c r="J185" s="314">
        <f t="array" ref="J185">HYPERLINK(CONCATENATE(Cartelle!$D$5,INDEX(INDIRECT("'" &amp; $C185 &amp; "'!$1:$1"), 1, MATCH(INDIRECT(CONCATENATE("'" &amp; $C185 &amp; "'!",ADDRESS(MATCH($D185, INDIRECT("'" &amp; $C185 &amp; "'!$B:$B"), 0),MATCH(J$1, INDIRECT("'" &amp; $C185 &amp; "'!$1:$1"), 0)))),INDIRECT(CONCATENATE("'" &amp; $C185 &amp; "'!",MATCH($D185, INDIRECT("'" &amp; $C185 &amp; "'!$B:$B"), 0),":",MATCH($D185, INDIRECT("'" &amp; $C185 &amp; "'!$B:$B"), 0))),0)),"/",$C185,"/",MID($D185,1,FIND("_",$D185)-1),"/",INDIRECT(CONCATENATE("'" &amp; $C185 &amp; "'!",ADDRESS(MATCH($D185, INDIRECT("'" &amp; $C185 &amp; "'!$B:$B"), 0),MATCH(J$1, INDIRECT("'" &amp; $C185 &amp; "'!$1:$1"), 0)))),".",INDIRECT(CONCATENATE("'"&amp;$C185&amp;"'!",ADDRESS(MATCH($D185,INDIRECT("'"&amp;$C185&amp;"'!$B:$B"),0),3))),"#page=",J186),CONCATENATE("#Sharepoint//",$D185))</f>
        <v/>
      </c>
      <c r="K185" s="346" t="n"/>
      <c r="L185" s="346" t="n"/>
    </row>
    <row r="186" outlineLevel="2" s="583">
      <c r="B186" s="376" t="n"/>
      <c r="D186" s="372" t="n"/>
      <c r="E186" s="354" t="inlineStr">
        <is>
          <t>Rif. Pagina</t>
        </is>
      </c>
      <c r="F186" s="355" t="n">
        <v>21</v>
      </c>
      <c r="G186" s="355" t="n">
        <v>21</v>
      </c>
      <c r="H186" s="355" t="n">
        <v>21</v>
      </c>
      <c r="I186" s="355" t="n">
        <v>21</v>
      </c>
      <c r="J186" s="355" t="n">
        <v>21</v>
      </c>
      <c r="K186" s="355" t="n"/>
      <c r="L186" s="355" t="n"/>
    </row>
    <row r="187" outlineLevel="2" customFormat="1" s="13">
      <c r="B187" s="103" t="n"/>
      <c r="C187" s="548" t="n"/>
      <c r="D187" s="458" t="n"/>
      <c r="E187" s="459" t="inlineStr">
        <is>
          <t>Funzioni AI</t>
        </is>
      </c>
      <c r="F187" s="626" t="inlineStr">
        <is>
          <t>La funzione ferroviaria BAT_Battery_Charging è responsabile della gestione e del monitoraggio dell'approvvigionamento energetico delle batterie dei treni ad alta velocità ETR1000. I componenti principali coinvolti sono il sistema di carica batteria, i sensori di temperatura e corrente, e il sistema di controllo del train. La logica di funzionamento prevede che la carica batteria sia regolata in base alla temperatura della batteria, con ridondanze nel caso di fallimento di un solo componente. Il sistema è progettato per garantire la sicurezza e la stabilità dell'approvvigionamento energetico, con requisiti di sicurezza che includono il monitoraggio dei valori di temperatura, corrente e tensione delle batterie.
Analisi — Funzione equivalente tra le seguenti configurazioni: VZI_Base, VZI-6_R1.
Pagina iniziale: parte di pagina 21 — Pagina finale: parte di pagina 25.</t>
        </is>
      </c>
      <c r="G187" s="460" t="n"/>
      <c r="H187" s="460" t="n"/>
      <c r="I187" s="460" t="n"/>
      <c r="J187" s="626" t="inlineStr">
        <is>
          <t>La funzione ferroviaria BAT_Battery_Charging è responsabile della gestione e del monitoraggio dell'approvvigionamento energetico delle batterie dell'ETR1000 VZI-6. I componenti principali coinvolti sono il battery charger, i sensori di temperatura, le misurazioni di corrente e tensione, e l'IDU (Interface Driver Unit). La logica di funzionamento prevede che il battery charger regoli la carica delle batterie in base alla temperatura, con ridondanze nel caso di fallimento di un solo sensori di temperatura. Le misurazioni di corrente e tensione vengono confrontate con altri battery chargers per garantire la sicurezza e l'accuratezza dei dati.
Analisi — Funzione equivalente tra le seguenti configurazioni: VZI_Base, VZI-6_R1.
Pagina iniziale: parte di pagina 21 — Pagina finale: parte di pagina 25.</t>
        </is>
      </c>
      <c r="K187" s="460" t="n"/>
      <c r="L187" s="461" t="n"/>
    </row>
    <row r="188">
      <c r="A188" s="340" t="inlineStr">
        <is>
          <t>AIR_Control_of_Main_Compressor</t>
        </is>
      </c>
      <c r="B188" s="375" t="n"/>
      <c r="C188" s="393" t="n"/>
      <c r="D188" s="368" t="inlineStr">
        <is>
          <t>\</t>
        </is>
      </c>
      <c r="E188" s="341" t="n"/>
      <c r="F188" s="342" t="n"/>
      <c r="G188" s="342" t="n"/>
      <c r="H188" s="342" t="n"/>
      <c r="I188" s="342" t="n"/>
      <c r="J188" s="342" t="n"/>
      <c r="K188" s="342" t="n"/>
      <c r="L188" s="343" t="n"/>
    </row>
    <row r="189" outlineLevel="1" s="583">
      <c r="B189" s="376" t="n"/>
      <c r="C189" s="158" t="inlineStr">
        <is>
          <t>CONFIG</t>
        </is>
      </c>
      <c r="D189" s="369" t="inlineStr">
        <is>
          <t>FRS_Air Supply</t>
        </is>
      </c>
      <c r="E189" s="344" t="inlineStr">
        <is>
          <t>Link</t>
        </is>
      </c>
      <c r="F189" s="314">
        <f t="array" ref="F189">HYPERLINK(CONCATENATE(Cartelle!$D$5,F$1,"/",$C189,"/",MID($D189,1,FIND("_",$D189)-1),"/",INDIRECT(CONCATENATE("'" &amp; $C189 &amp; "'!",ADDRESS(MATCH($D189, INDIRECT("'" &amp; $C189 &amp; "'!$B:$B"), 0),MATCH(F$1, INDIRECT("'" &amp; $C189 &amp; "'!$1:$1"), 0)))),".",INDIRECT(CONCATENATE("'"&amp;$C189&amp;"'!",ADDRESS(MATCH($D189,INDIRECT("'"&amp;$C189&amp;"'!$B:$B"),0),3))),"#page=",F190),CONCATENATE("#Sharepoint//",$D189))</f>
        <v/>
      </c>
      <c r="G189" s="314">
        <f t="array" ref="G189">HYPERLINK(CONCATENATE(Cartelle!$D$5,INDEX(INDIRECT("'" &amp; $C189 &amp; "'!$1:$1"), 1, MATCH(INDIRECT(CONCATENATE("'" &amp; $C189 &amp; "'!",ADDRESS(MATCH($D189, INDIRECT("'" &amp; $C189 &amp; "'!$B:$B"), 0),MATCH(G$1, INDIRECT("'" &amp; $C189 &amp; "'!$1:$1"), 0)))),INDIRECT(CONCATENATE("'" &amp; $C189 &amp; "'!",MATCH($D189, INDIRECT("'" &amp; $C189 &amp; "'!$B:$B"), 0),":",MATCH($D189, INDIRECT("'" &amp; $C189 &amp; "'!$B:$B"), 0))),0)),"/",$C189,"/",MID($D189,1,FIND("_",$D189)-1),"/",INDIRECT(CONCATENATE("'" &amp; $C189 &amp; "'!",ADDRESS(MATCH($D189, INDIRECT("'" &amp; $C189 &amp; "'!$B:$B"), 0),MATCH(G$1, INDIRECT("'" &amp; $C189 &amp; "'!$1:$1"), 0)))),".",INDIRECT(CONCATENATE("'"&amp;$C189&amp;"'!",ADDRESS(MATCH($D189,INDIRECT("'"&amp;$C189&amp;"'!$B:$B"),0),3))),"#page=",G190),CONCATENATE("#Sharepoint//",$D189))</f>
        <v/>
      </c>
      <c r="H189" s="345" t="n"/>
      <c r="I189" s="345" t="n"/>
      <c r="J189" s="314">
        <f t="array" ref="J189">HYPERLINK(CONCATENATE(Cartelle!$D$5,INDEX(INDIRECT("'" &amp; $C189 &amp; "'!$1:$1"), 1, MATCH(INDIRECT(CONCATENATE("'" &amp; $C189 &amp; "'!",ADDRESS(MATCH($D189, INDIRECT("'" &amp; $C189 &amp; "'!$B:$B"), 0),MATCH(J$1, INDIRECT("'" &amp; $C189 &amp; "'!$1:$1"), 0)))),INDIRECT(CONCATENATE("'" &amp; $C189 &amp; "'!",MATCH($D189, INDIRECT("'" &amp; $C189 &amp; "'!$B:$B"), 0),":",MATCH($D189, INDIRECT("'" &amp; $C189 &amp; "'!$B:$B"), 0))),0)),"/",$C189,"/",MID($D189,1,FIND("_",$D189)-1),"/",INDIRECT(CONCATENATE("'" &amp; $C189 &amp; "'!",ADDRESS(MATCH($D189, INDIRECT("'" &amp; $C189 &amp; "'!$B:$B"), 0),MATCH(J$1, INDIRECT("'" &amp; $C189 &amp; "'!$1:$1"), 0)))),".",INDIRECT(CONCATENATE("'"&amp;$C189&amp;"'!",ADDRESS(MATCH($D189,INDIRECT("'"&amp;$C189&amp;"'!$B:$B"),0),3))),"#page=",J190),CONCATENATE("#Sharepoint//",$D189))</f>
        <v/>
      </c>
      <c r="K189" s="346" t="n"/>
      <c r="L189" s="346" t="n"/>
    </row>
    <row r="190" outlineLevel="2" s="583">
      <c r="B190" s="376" t="n"/>
      <c r="D190" s="373" t="n"/>
      <c r="E190" s="356" t="inlineStr">
        <is>
          <t>Rif. Pagina</t>
        </is>
      </c>
      <c r="F190" s="357" t="n">
        <v>6</v>
      </c>
      <c r="G190" s="357" t="n">
        <v>6</v>
      </c>
      <c r="H190" s="357" t="n">
        <v>6</v>
      </c>
      <c r="I190" s="357" t="n">
        <v>6</v>
      </c>
      <c r="J190" s="357" t="n">
        <v>6</v>
      </c>
      <c r="K190" s="357" t="n"/>
      <c r="L190" s="357" t="n"/>
    </row>
    <row r="191" outlineLevel="2" customFormat="1" s="13">
      <c r="B191" s="103" t="n"/>
      <c r="C191" s="548" t="n"/>
      <c r="D191" s="458" t="n"/>
      <c r="E191" s="459" t="inlineStr">
        <is>
          <t>Funzioni AI</t>
        </is>
      </c>
      <c r="F191" s="626" t="inlineStr">
        <is>
          <t>La funzione ferroviaria AIR_Control_of_Main_Compressor gestisce il controllo del compressore principale dell'air supply sistema, garantendo una pressione di 1000 kPa. I componenti elettrici/meccanici/software coinvolti includono il contattore trifase per l'alimentazione del compressore, la valvola di controllo della temperatura dell'aria trattata, il sistema di raffreddamento e i sensori di pressione. La logica di funzionamento attiva il compressore quando la pressione scende sotto 850 kPa e lo disattiva quando raggiunge 1000 kPa. La funzione include ridondanze con un secondo compressore come backup, oltre a requisiti di sicurezza per garantire una sicura gestione della pressione dell'aria trattata.
Analisi — Funzione equivalente tra le seguenti configurazioni: VZI_Base, VZI_New14, VZI-6_R1.
Pagina iniziale: parte di pagina 6 — Pagina finale: parte di pagina 11.</t>
        </is>
      </c>
      <c r="G191" s="626" t="inlineStr">
        <is>
          <t>La funzione ferroviaria AIR_Control_of_Main_Compressor gestisce il controllo del compressore principale dell'air supply sistema, garantendo una pressione di 1000 kPa e un'operazione sicura. I componenti coinvolti sono il compressore motorizzato, il contattore trifase, l'unità di trattamento dell'aria, la valvola di esaurimento, i riscaldatori e il sistema di controllo del motore. La logica di funzionamento prevede l'avvio del compressore quando la pressione scende sotto 850 kPa e la disattivazione quando raggiunge 1000 kPa. La funzione include anche la gestione della temperatura e dell'eventuale fallimento dei componenti, con ridondanze per garantire la sicurezza e l'integrità del sistema.
Analisi — Funzione equivalente tra le seguenti configurazioni: VZI_Base, VZI_New14, VZI-6_R1.
Pagina iniziale: parte di pagina 6 — Pagina finale: parte di pagina 12.</t>
        </is>
      </c>
      <c r="H191" s="460" t="n"/>
      <c r="I191" s="460" t="n"/>
      <c r="J191" s="626" t="inlineStr">
        <is>
          <t>La funzione ferroviaria AIR_Control_of_Main_Compressor gestisce il controllo del compressore principale dell'air supply system, garantendo una pressione di 1000 kPa e un'operazione sicura. I componenti coinvolti sono il compressore motorizzato, il contattore trifase, l'unità di trattamento dell'aria, la valvola di esaurimento, i riscaldatori e il sistema di controllo del motore. La logica di funzionamento prevede l'attivazione del compressore quando la pressione scende sotto 850 kPa e la disattivazione quando raggiunge 1000 kPa, con un sistema di supervisione e ottimizzazione dei tempi di esecuzione. La funzione include anche meccanismi di detección e gestione delle fallenze, come l'individuazione del compressore inizialmente attivato e la generazione di eventi per le condizioni critiche.
Analisi — Funzione equivalente tra le seguenti configurazioni: VZI_Base, VZI_New14, VZI-6_R1.
Pagina iniziale: parte di pagina 6 — Pagina finale: parte di pagina 11.</t>
        </is>
      </c>
      <c r="K191" s="460" t="n"/>
      <c r="L191" s="461" t="n"/>
    </row>
    <row r="192">
      <c r="A192" s="350" t="inlineStr">
        <is>
          <t>AIR_Monitoring_of_Main_Compressor</t>
        </is>
      </c>
      <c r="B192" s="377" t="n"/>
      <c r="C192" s="393" t="n"/>
      <c r="D192" s="371" t="inlineStr">
        <is>
          <t>\</t>
        </is>
      </c>
      <c r="E192" s="351" t="n"/>
      <c r="F192" s="352" t="n"/>
      <c r="G192" s="352" t="n"/>
      <c r="H192" s="352" t="n"/>
      <c r="I192" s="352" t="n"/>
      <c r="J192" s="352" t="n"/>
      <c r="K192" s="352" t="n"/>
      <c r="L192" s="353" t="n"/>
    </row>
    <row r="193" outlineLevel="1" s="583">
      <c r="B193" s="376" t="n"/>
      <c r="C193" s="158" t="inlineStr">
        <is>
          <t>CONFIG</t>
        </is>
      </c>
      <c r="D193" s="369" t="inlineStr">
        <is>
          <t>FRS_Air Supply</t>
        </is>
      </c>
      <c r="E193" s="344" t="inlineStr">
        <is>
          <t>Link</t>
        </is>
      </c>
      <c r="F193" s="314">
        <f t="array" ref="F193">HYPERLINK(CONCATENATE(Cartelle!$D$5,F$1,"/",$C193,"/",MID($D193,1,FIND("_",$D193)-1),"/",INDIRECT(CONCATENATE("'" &amp; $C193 &amp; "'!",ADDRESS(MATCH($D193, INDIRECT("'" &amp; $C193 &amp; "'!$B:$B"), 0),MATCH(F$1, INDIRECT("'" &amp; $C193 &amp; "'!$1:$1"), 0)))),".",INDIRECT(CONCATENATE("'"&amp;$C193&amp;"'!",ADDRESS(MATCH($D193,INDIRECT("'"&amp;$C193&amp;"'!$B:$B"),0),3))),"#page=",F194),CONCATENATE("#Sharepoint//",$D193))</f>
        <v/>
      </c>
      <c r="G193" s="314">
        <f t="array" ref="G193">HYPERLINK(CONCATENATE(Cartelle!$D$5,INDEX(INDIRECT("'" &amp; $C193 &amp; "'!$1:$1"), 1, MATCH(INDIRECT(CONCATENATE("'" &amp; $C193 &amp; "'!",ADDRESS(MATCH($D193, INDIRECT("'" &amp; $C193 &amp; "'!$B:$B"), 0),MATCH(G$1, INDIRECT("'" &amp; $C193 &amp; "'!$1:$1"), 0)))),INDIRECT(CONCATENATE("'" &amp; $C193 &amp; "'!",MATCH($D193, INDIRECT("'" &amp; $C193 &amp; "'!$B:$B"), 0),":",MATCH($D193, INDIRECT("'" &amp; $C193 &amp; "'!$B:$B"), 0))),0)),"/",$C193,"/",MID($D193,1,FIND("_",$D193)-1),"/",INDIRECT(CONCATENATE("'" &amp; $C193 &amp; "'!",ADDRESS(MATCH($D193, INDIRECT("'" &amp; $C193 &amp; "'!$B:$B"), 0),MATCH(G$1, INDIRECT("'" &amp; $C193 &amp; "'!$1:$1"), 0)))),".",INDIRECT(CONCATENATE("'"&amp;$C193&amp;"'!",ADDRESS(MATCH($D193,INDIRECT("'"&amp;$C193&amp;"'!$B:$B"),0),3))),"#page=",G194),CONCATENATE("#Sharepoint//",$D193))</f>
        <v/>
      </c>
      <c r="H193" s="345" t="n"/>
      <c r="I193" s="345" t="n"/>
      <c r="J193" s="314">
        <f t="array" ref="J193">HYPERLINK(CONCATENATE(Cartelle!$D$5,INDEX(INDIRECT("'" &amp; $C193 &amp; "'!$1:$1"), 1, MATCH(INDIRECT(CONCATENATE("'" &amp; $C193 &amp; "'!",ADDRESS(MATCH($D193, INDIRECT("'" &amp; $C193 &amp; "'!$B:$B"), 0),MATCH(J$1, INDIRECT("'" &amp; $C193 &amp; "'!$1:$1"), 0)))),INDIRECT(CONCATENATE("'" &amp; $C193 &amp; "'!",MATCH($D193, INDIRECT("'" &amp; $C193 &amp; "'!$B:$B"), 0),":",MATCH($D193, INDIRECT("'" &amp; $C193 &amp; "'!$B:$B"), 0))),0)),"/",$C193,"/",MID($D193,1,FIND("_",$D193)-1),"/",INDIRECT(CONCATENATE("'" &amp; $C193 &amp; "'!",ADDRESS(MATCH($D193, INDIRECT("'" &amp; $C193 &amp; "'!$B:$B"), 0),MATCH(J$1, INDIRECT("'" &amp; $C193 &amp; "'!$1:$1"), 0)))),".",INDIRECT(CONCATENATE("'"&amp;$C193&amp;"'!",ADDRESS(MATCH($D193,INDIRECT("'"&amp;$C193&amp;"'!$B:$B"),0),3))),"#page=",J194),CONCATENATE("#Sharepoint//",$D193))</f>
        <v/>
      </c>
      <c r="K193" s="346" t="n"/>
      <c r="L193" s="346" t="n"/>
    </row>
    <row r="194" outlineLevel="2" s="583">
      <c r="B194" s="376" t="n"/>
      <c r="D194" s="373" t="n"/>
      <c r="E194" s="356" t="inlineStr">
        <is>
          <t>Rif. Pagina</t>
        </is>
      </c>
      <c r="F194" s="357" t="n">
        <v>11</v>
      </c>
      <c r="G194" s="357" t="n">
        <v>12</v>
      </c>
      <c r="H194" s="357" t="n">
        <v>11</v>
      </c>
      <c r="I194" s="357" t="n">
        <v>12</v>
      </c>
      <c r="J194" s="357" t="n">
        <v>11</v>
      </c>
      <c r="K194" s="357" t="n"/>
      <c r="L194" s="357" t="n"/>
    </row>
    <row r="195" outlineLevel="2" customFormat="1" s="13">
      <c r="B195" s="103" t="n"/>
      <c r="C195" s="548" t="n"/>
      <c r="D195" s="458" t="n"/>
      <c r="E195" s="459" t="inlineStr">
        <is>
          <t>Funzioni AI</t>
        </is>
      </c>
      <c r="F195" s="626" t="inlineStr">
        <is>
          <t>La funzione ferroviaria AIR_Monitoring_of_Main_Compressor monitora lo stato del compressore principale dell'air supply system, garantendo la sicurezza e l'efficienza del sistema. I componenti coinvolti sono il compressore principale, il compressore secondario, i contattori, la pressione del serbatoio di aria e il sistema di controllo (TCMS). La funzione è attivata quando il compressore principale supera una certa temperatura o quando non viene avviato correttamente. In caso di anomalia, il compressore secondario viene utilizzato come sostituto e l'evento viene resettato automaticamente. La funzione è progettata per garantire la sicurezza del sistema con un livello di sicurezza SIL 0 e una ridondanza nel caso di fallimento del compressore principale.
Analisi — Funzione equivalente tra le seguenti configurazioni: VZI_Base, VZI_New14, VZI-6_R1.
Pagina iniziale: parte di pagina 11 — Pagina finale: parte di pagina 14.</t>
        </is>
      </c>
      <c r="G195" s="626" t="inlineStr">
        <is>
          <t>La funzione ferroviaria AIR_Monitoring_of_Main_Compressor monitora lo stato del compressore principale dell'air supply system, garantendo la sicurezza e l'efficienza del sistema. I componenti coinvolti sono il compressore principale, il compressore secondario, i contattori, il timer di runtime e il sistema di protezione termica. La logica di funzionamento attiva il compressore secondario in caso di supercalore o mancata attivazione, mentre la protezione termica e il timer di runtime garantiscono che il compressore principale possa essere riattivato una volta raffreddato. La funzione è progettata per garantire un'operazione sicura e efficiente, con ridondanze nel caso di fallimento del compressore principale.
Analisi — Funzione equivalente tra le seguenti configurazioni: VZI_Base, VZI_New14, VZI-6_R1.
Pagina iniziale: parte di pagina 12 — Pagina finale: parte di pagina 14.</t>
        </is>
      </c>
      <c r="H195" s="460" t="n"/>
      <c r="I195" s="460" t="n"/>
      <c r="J195" s="626" t="inlineStr">
        <is>
          <t>La funzione ferroviaria AIR_Monitoring_of_Main_Compressor monitora lo stato del compressore principale dell'air supply system ETR1000. I componenti elettrici/meccanici/software coinvolti includono il compressore, i contattori, la temperatura del motore e il sistema di controllo TCMS. La logica di funzionamento attiva lo stato del compressore in base alle condizioni di attivazione/disattivazione, come ad esempio l'overheating o la mancata attivazione. La funzione è progettata per garantire una sicurezza SIL 0 e include ridondanze nel caso di fallimento del compressore principale, con il secondary compressor che assume il ruolo di compressore primario in caso di necessità.
Analisi — Funzione equivalente tra le seguenti configurazioni: VZI_Base, VZI_New14, VZI-6_R1.
Pagina iniziale: parte di pagina 11 — Pagina finale: parte di pagina 13.</t>
        </is>
      </c>
      <c r="K195" s="460" t="n"/>
      <c r="L195" s="461" t="n"/>
    </row>
    <row r="196">
      <c r="A196" s="350" t="inlineStr">
        <is>
          <t>AIR_Forcing_of_Main_compressor</t>
        </is>
      </c>
      <c r="B196" s="377" t="n"/>
      <c r="C196" s="393" t="n"/>
      <c r="D196" s="371" t="inlineStr">
        <is>
          <t>\</t>
        </is>
      </c>
      <c r="E196" s="351" t="n"/>
      <c r="F196" s="352" t="n"/>
      <c r="G196" s="352" t="n"/>
      <c r="H196" s="352" t="n"/>
      <c r="I196" s="352" t="n"/>
      <c r="J196" s="352" t="n"/>
      <c r="K196" s="352" t="n"/>
      <c r="L196" s="353" t="n"/>
    </row>
    <row r="197" outlineLevel="1" s="583">
      <c r="B197" s="376" t="n"/>
      <c r="C197" s="158" t="inlineStr">
        <is>
          <t>CONFIG</t>
        </is>
      </c>
      <c r="D197" s="369" t="inlineStr">
        <is>
          <t>FRS_Air Supply</t>
        </is>
      </c>
      <c r="E197" s="344" t="inlineStr">
        <is>
          <t>Link</t>
        </is>
      </c>
      <c r="F197" s="314">
        <f t="array" ref="F197">HYPERLINK(CONCATENATE(Cartelle!$D$5,F$1,"/",$C197,"/",MID($D197,1,FIND("_",$D197)-1),"/",INDIRECT(CONCATENATE("'" &amp; $C197 &amp; "'!",ADDRESS(MATCH($D197, INDIRECT("'" &amp; $C197 &amp; "'!$B:$B"), 0),MATCH(F$1, INDIRECT("'" &amp; $C197 &amp; "'!$1:$1"), 0)))),".",INDIRECT(CONCATENATE("'"&amp;$C197&amp;"'!",ADDRESS(MATCH($D197,INDIRECT("'"&amp;$C197&amp;"'!$B:$B"),0),3))),"#page=",F198),CONCATENATE("#Sharepoint//",$D197))</f>
        <v/>
      </c>
      <c r="G197" s="314">
        <f t="array" ref="G197">HYPERLINK(CONCATENATE(Cartelle!$D$5,INDEX(INDIRECT("'" &amp; $C197 &amp; "'!$1:$1"), 1, MATCH(INDIRECT(CONCATENATE("'" &amp; $C197 &amp; "'!",ADDRESS(MATCH($D197, INDIRECT("'" &amp; $C197 &amp; "'!$B:$B"), 0),MATCH(G$1, INDIRECT("'" &amp; $C197 &amp; "'!$1:$1"), 0)))),INDIRECT(CONCATENATE("'" &amp; $C197 &amp; "'!",MATCH($D197, INDIRECT("'" &amp; $C197 &amp; "'!$B:$B"), 0),":",MATCH($D197, INDIRECT("'" &amp; $C197 &amp; "'!$B:$B"), 0))),0)),"/",$C197,"/",MID($D197,1,FIND("_",$D197)-1),"/",INDIRECT(CONCATENATE("'" &amp; $C197 &amp; "'!",ADDRESS(MATCH($D197, INDIRECT("'" &amp; $C197 &amp; "'!$B:$B"), 0),MATCH(G$1, INDIRECT("'" &amp; $C197 &amp; "'!$1:$1"), 0)))),".",INDIRECT(CONCATENATE("'"&amp;$C197&amp;"'!",ADDRESS(MATCH($D197,INDIRECT("'"&amp;$C197&amp;"'!$B:$B"),0),3))),"#page=",G198),CONCATENATE("#Sharepoint//",$D197))</f>
        <v/>
      </c>
      <c r="H197" s="345" t="n"/>
      <c r="I197" s="345" t="n"/>
      <c r="J197" s="314">
        <f t="array" ref="J197">HYPERLINK(CONCATENATE(Cartelle!$D$5,INDEX(INDIRECT("'" &amp; $C197 &amp; "'!$1:$1"), 1, MATCH(INDIRECT(CONCATENATE("'" &amp; $C197 &amp; "'!",ADDRESS(MATCH($D197, INDIRECT("'" &amp; $C197 &amp; "'!$B:$B"), 0),MATCH(J$1, INDIRECT("'" &amp; $C197 &amp; "'!$1:$1"), 0)))),INDIRECT(CONCATENATE("'" &amp; $C197 &amp; "'!",MATCH($D197, INDIRECT("'" &amp; $C197 &amp; "'!$B:$B"), 0),":",MATCH($D197, INDIRECT("'" &amp; $C197 &amp; "'!$B:$B"), 0))),0)),"/",$C197,"/",MID($D197,1,FIND("_",$D197)-1),"/",INDIRECT(CONCATENATE("'" &amp; $C197 &amp; "'!",ADDRESS(MATCH($D197, INDIRECT("'" &amp; $C197 &amp; "'!$B:$B"), 0),MATCH(J$1, INDIRECT("'" &amp; $C197 &amp; "'!$1:$1"), 0)))),".",INDIRECT(CONCATENATE("'"&amp;$C197&amp;"'!",ADDRESS(MATCH($D197,INDIRECT("'"&amp;$C197&amp;"'!$B:$B"),0),3))),"#page=",J198),CONCATENATE("#Sharepoint//",$D197))</f>
        <v/>
      </c>
      <c r="K197" s="346" t="n"/>
      <c r="L197" s="346" t="n"/>
    </row>
    <row r="198" outlineLevel="2" s="583">
      <c r="B198" s="376" t="n"/>
      <c r="D198" s="373" t="n"/>
      <c r="E198" s="356" t="inlineStr">
        <is>
          <t>Rif. Pagina</t>
        </is>
      </c>
      <c r="F198" s="357" t="n">
        <v>14</v>
      </c>
      <c r="G198" s="357" t="n">
        <v>14</v>
      </c>
      <c r="H198" s="357" t="n">
        <v>14</v>
      </c>
      <c r="I198" s="357" t="n">
        <v>14</v>
      </c>
      <c r="J198" s="357" t="n">
        <v>14</v>
      </c>
      <c r="K198" s="357" t="n"/>
      <c r="L198" s="357" t="n"/>
    </row>
    <row r="199" outlineLevel="2" customFormat="1" s="13">
      <c r="B199" s="103" t="n"/>
      <c r="C199" s="548" t="n"/>
      <c r="D199" s="458" t="n"/>
      <c r="E199" s="459" t="inlineStr">
        <is>
          <t>Funzioni AI</t>
        </is>
      </c>
      <c r="F199" s="626" t="inlineStr">
        <is>
          <t>La funzione ferroviaria "AIR_Forcing_of_Main_compressor" consente di forzare l'avvio dei compressori principali del sistema di raffreddamento dell'aria (AIR) dallo spazio cabina. I componenti elettrici/meccanici/software coinvolti sono il pushbutton IDU con funzione toggling, il sistema TCMS (Train Control and Monitoring System) e i compressori principali ubicati nei T-cars. La logica di funzionamento prevede l'avvio del compressor quando il pushbutton è premuto, la sospensione dell'attivazione dopo 180 secondi o quando il pushbutton viene nuovamente premuto. Le compressori possono essere forzatamente attivati/offesi tramite impostazioni del sistema TCMS.
Analisi — Funzione equivalente tra le seguenti configurazioni: VZI_Base, VZI_New14, VZI-6_R1.
Pagina iniziale: parte di pagina 14 — Pagina finale: parte di pagina 15.</t>
        </is>
      </c>
      <c r="G199" s="626" t="inlineStr">
        <is>
          <t>La funzione ferroviaria "AIR_Forcing_of_Main_compressor" consiste nell'attivazione manuale del compressore principale dallo spazio di controllo dell'IDU (Interface Device Unit). I componenti elettrici/meccanici/software coinvolti sono il pushbutton per la toggling funzione, il sistema di controllo dei compressori (TCMS) e i sensori di pressione del main pipe. La logica di funzionamento prevede l'attivazione del compressore quando il pushbutton è premuto e la disattivazione dopo 180 secondi o quando il pushbutton viene rilasciato, con la possibilità di configurare manualmente l'avvio dei compressori tramite il software TCMS. La funzione è progettata per garantire una sicurezza elevata, con ridondanze e requisiti di sicurezza come la validità dei sensori di pressione e la protezione contro errori di configurazione.
Analisi — Funzione equivalente tra le seguenti configurazioni: VZI_Base, VZI_New14, VZI-6_R1.
Pagina iniziale: parte di pagina 14 — Pagina finale: parte di pagina 15.</t>
        </is>
      </c>
      <c r="H199" s="460" t="n"/>
      <c r="I199" s="460" t="n"/>
      <c r="J199" s="626" t="inlineStr">
        <is>
          <t>La funzione ferroviaria AIR_Forcing_of_Main_compressor è responsabile della forzatura dell'aria nella tubazione principale del sistema di forzatura dell'aria (VZI-6_R1) del treno ETR1000. I componenti elettrici/meccanici/software coinvolti sono il compressore principale, l'isolatore RISP 13.22, i sensori di pressione dei tubi e il sistema di gestione della sicurezza (TCMS). La logica di funzionamento attiva la forzatura dell'aria quando la pressione nella tubazione principale supera i limiti di 850kPa e 1000kPa, e disattiva l'isolatore RISP 13.22 in caso di anomalia. Le ridondanze sono garantite dal funzionamento del secondo compressore in parallelo, mentre il sistema di sicurezza (TCMS) gestisce le eventuali anomalie dei sensori di pressione e dell'isolatore RISP 13.22.
Analisi — Funzione equivalente tra le seguenti configurazioni: VZI_Base, VZI_New14, VZI-6_R1.
Pagina iniziale: parte di pagina 14 — Pagina finale: parte di pagina 16.</t>
        </is>
      </c>
      <c r="K199" s="460" t="n"/>
      <c r="L199" s="461" t="n"/>
    </row>
    <row r="200">
      <c r="A200" s="350" t="inlineStr">
        <is>
          <t>AIR_Air_Dryer</t>
        </is>
      </c>
      <c r="B200" s="377" t="n"/>
      <c r="C200" s="393" t="n"/>
      <c r="D200" s="371" t="inlineStr">
        <is>
          <t>\</t>
        </is>
      </c>
      <c r="E200" s="351" t="n"/>
      <c r="F200" s="352" t="n"/>
      <c r="G200" s="352" t="n"/>
      <c r="H200" s="352" t="n"/>
      <c r="I200" s="352" t="n"/>
      <c r="J200" s="352" t="n"/>
      <c r="K200" s="352" t="n"/>
      <c r="L200" s="353" t="n"/>
    </row>
    <row r="201" outlineLevel="1" s="583">
      <c r="B201" s="376" t="n"/>
      <c r="C201" s="158" t="inlineStr">
        <is>
          <t>CONFIG</t>
        </is>
      </c>
      <c r="D201" s="369" t="inlineStr">
        <is>
          <t>FRS_Air Supply</t>
        </is>
      </c>
      <c r="E201" s="344" t="inlineStr">
        <is>
          <t>Link</t>
        </is>
      </c>
      <c r="F201" s="314">
        <f t="array" ref="F201">HYPERLINK(CONCATENATE(Cartelle!$D$5,F$1,"/",$C201,"/",MID($D201,1,FIND("_",$D201)-1),"/",INDIRECT(CONCATENATE("'" &amp; $C201 &amp; "'!",ADDRESS(MATCH($D201, INDIRECT("'" &amp; $C201 &amp; "'!$B:$B"), 0),MATCH(F$1, INDIRECT("'" &amp; $C201 &amp; "'!$1:$1"), 0)))),".",INDIRECT(CONCATENATE("'"&amp;$C201&amp;"'!",ADDRESS(MATCH($D201,INDIRECT("'"&amp;$C201&amp;"'!$B:$B"),0),3))),"#page=",F202),CONCATENATE("#Sharepoint//",$D201))</f>
        <v/>
      </c>
      <c r="G201" s="314">
        <f t="array" ref="G201">HYPERLINK(CONCATENATE(Cartelle!$D$5,INDEX(INDIRECT("'" &amp; $C201 &amp; "'!$1:$1"), 1, MATCH(INDIRECT(CONCATENATE("'" &amp; $C201 &amp; "'!",ADDRESS(MATCH($D201, INDIRECT("'" &amp; $C201 &amp; "'!$B:$B"), 0),MATCH(G$1, INDIRECT("'" &amp; $C201 &amp; "'!$1:$1"), 0)))),INDIRECT(CONCATENATE("'" &amp; $C201 &amp; "'!",MATCH($D201, INDIRECT("'" &amp; $C201 &amp; "'!$B:$B"), 0),":",MATCH($D201, INDIRECT("'" &amp; $C201 &amp; "'!$B:$B"), 0))),0)),"/",$C201,"/",MID($D201,1,FIND("_",$D201)-1),"/",INDIRECT(CONCATENATE("'" &amp; $C201 &amp; "'!",ADDRESS(MATCH($D201, INDIRECT("'" &amp; $C201 &amp; "'!$B:$B"), 0),MATCH(G$1, INDIRECT("'" &amp; $C201 &amp; "'!$1:$1"), 0)))),".",INDIRECT(CONCATENATE("'"&amp;$C201&amp;"'!",ADDRESS(MATCH($D201,INDIRECT("'"&amp;$C201&amp;"'!$B:$B"),0),3))),"#page=",G202),CONCATENATE("#Sharepoint//",$D201))</f>
        <v/>
      </c>
      <c r="H201" s="345" t="n"/>
      <c r="I201" s="345" t="n"/>
      <c r="J201" s="314">
        <f t="array" ref="J201">HYPERLINK(CONCATENATE(Cartelle!$D$5,INDEX(INDIRECT("'" &amp; $C201 &amp; "'!$1:$1"), 1, MATCH(INDIRECT(CONCATENATE("'" &amp; $C201 &amp; "'!",ADDRESS(MATCH($D201, INDIRECT("'" &amp; $C201 &amp; "'!$B:$B"), 0),MATCH(J$1, INDIRECT("'" &amp; $C201 &amp; "'!$1:$1"), 0)))),INDIRECT(CONCATENATE("'" &amp; $C201 &amp; "'!",MATCH($D201, INDIRECT("'" &amp; $C201 &amp; "'!$B:$B"), 0),":",MATCH($D201, INDIRECT("'" &amp; $C201 &amp; "'!$B:$B"), 0))),0)),"/",$C201,"/",MID($D201,1,FIND("_",$D201)-1),"/",INDIRECT(CONCATENATE("'" &amp; $C201 &amp; "'!",ADDRESS(MATCH($D201, INDIRECT("'" &amp; $C201 &amp; "'!$B:$B"), 0),MATCH(J$1, INDIRECT("'" &amp; $C201 &amp; "'!$1:$1"), 0)))),".",INDIRECT(CONCATENATE("'"&amp;$C201&amp;"'!",ADDRESS(MATCH($D201,INDIRECT("'"&amp;$C201&amp;"'!$B:$B"),0),3))),"#page=",J202),CONCATENATE("#Sharepoint//",$D201))</f>
        <v/>
      </c>
      <c r="K201" s="346" t="n"/>
      <c r="L201" s="346" t="n"/>
    </row>
    <row r="202" outlineLevel="2" s="583">
      <c r="B202" s="376" t="n"/>
      <c r="D202" s="373" t="n"/>
      <c r="E202" s="356" t="inlineStr">
        <is>
          <t>Rif. Pagina</t>
        </is>
      </c>
      <c r="F202" s="357" t="n">
        <v>18</v>
      </c>
      <c r="G202" s="357" t="n">
        <v>16</v>
      </c>
      <c r="H202" s="357" t="n">
        <v>18</v>
      </c>
      <c r="I202" s="357" t="n">
        <v>16</v>
      </c>
      <c r="J202" s="357" t="n">
        <v>16</v>
      </c>
      <c r="K202" s="357" t="n"/>
      <c r="L202" s="357" t="n"/>
    </row>
    <row r="203" outlineLevel="2" customFormat="1" s="13">
      <c r="B203" s="103" t="n"/>
      <c r="C203" s="548" t="n"/>
      <c r="D203" s="458" t="n"/>
      <c r="E203" s="459" t="inlineStr">
        <is>
          <t>Funzioni AI</t>
        </is>
      </c>
      <c r="F203" s="626" t="inlineStr">
        <is>
          <t>La funzione ferroviaria "Air Dryer" è un sistema di asciugatura dell'aria utilizzato nei treni ad alta velocità ETR1000. Il sistema consiste in due torri di asciugatura che si alternano ogni 60 secondi, una per lavorare come asciugatrice e l'altra come ventilatore. La funzione è supervisionata dal controllo unitario dell'Air Dryer e viene monitorata dal sistema TCMS (Telemetria e Controllo della Movimentazione). In caso di fallimento del sistema, il controllo unitario attiva la disattivazione del compressore correlato e genera un messaggio di allarme. Il sistema è progettato per garantire una sicurezza elevata con un livello di sicurezza SIL 0.
Analisi — Funzione equivalente tra le seguenti configurazioni: VZI_Base, VZI_New14, VZI-6_R1.
Pagina iniziale: parte di pagina 18 — Pagina finale: parte di pagina 20.</t>
        </is>
      </c>
      <c r="G203" s="626" t="inlineStr">
        <is>
          <t>La funzione ferroviaria AIR_Air_Dryer è un sistema di asciugatura dell'aria utilizzato nei treni ad alta velocità ETR1000. Il sistema consiste in due torri di asciugatura che si alternano per asciugare l'aria compressa, con una logica di funzionamento basata su intervalli di 120 secondi, durante i quali una torre è attiva come asciugatrice e l'altra è pulita con aria compressa. Il sistema è supervisionato dal controllo unitario dell'asciugatura e comunica eventuali errori al sistema TCMS. La funzione è progettata per garantire la sicurezza del sistema, con ridondanze e requisiti di sicurezza come il livello di sicurezza SIL 0 e l'applicabilità alle condizioni specifiche del treno ETR1000.
Analisi — Funzione equivalente tra le seguenti configurazioni: VZI_Base, VZI_New14, VZI-6_R1.
Pagina iniziale: parte di pagina 16 — Pagina finale: parte di pagina 18.</t>
        </is>
      </c>
      <c r="H203" s="460" t="n"/>
      <c r="I203" s="460" t="n"/>
      <c r="J203" s="626" t="inlineStr">
        <is>
          <t>La funzione ferroviaria "Air Dryer" è un sistema di asciugatura dell'aria utilizzato nei treni ad alta velocità ETR1000. Il sistema consiste in due torri di asciugatura che si alternano ogni 60 secondi, una per l'uso del compressore e l'altra per la pulizia con aria compressa. La funzione è supervisionata dal controllo unitario dell'Air Dryer e viene monitorata dal sistema TCMS (Telemetria e Controllo della Movimentazione). In caso di fallimento, il sistema genera un messaggio di allarme e deattiva il compressore correlato.
Analisi — Funzione equivalente tra le seguenti configurazioni: VZI_Base, VZI_New14, VZI-6_R1.
Pagina iniziale: parte di pagina 16 — Pagina finale: parte di pagina 17.</t>
        </is>
      </c>
      <c r="K203" s="460" t="n"/>
      <c r="L203" s="461" t="n"/>
    </row>
    <row r="204">
      <c r="A204" s="350" t="inlineStr">
        <is>
          <t>AIR_External_Air_Supply</t>
        </is>
      </c>
      <c r="B204" s="377" t="n"/>
      <c r="C204" s="393" t="n"/>
      <c r="D204" s="371" t="inlineStr">
        <is>
          <t>\</t>
        </is>
      </c>
      <c r="E204" s="351" t="n"/>
      <c r="F204" s="352" t="n"/>
      <c r="G204" s="352" t="n"/>
      <c r="H204" s="352" t="n"/>
      <c r="I204" s="352" t="n"/>
      <c r="J204" s="352" t="n"/>
      <c r="K204" s="352" t="n"/>
      <c r="L204" s="353" t="n"/>
    </row>
    <row r="205" outlineLevel="1" s="583">
      <c r="B205" s="376" t="n"/>
      <c r="C205" s="158" t="inlineStr">
        <is>
          <t>CONFIG</t>
        </is>
      </c>
      <c r="D205" s="369" t="inlineStr">
        <is>
          <t>FRS_Air Supply</t>
        </is>
      </c>
      <c r="E205" s="344" t="inlineStr">
        <is>
          <t>Link</t>
        </is>
      </c>
      <c r="F205" s="314">
        <f t="array" ref="F205">HYPERLINK(CONCATENATE(Cartelle!$D$5,F$1,"/",$C205,"/",MID($D205,1,FIND("_",$D205)-1),"/",INDIRECT(CONCATENATE("'" &amp; $C205 &amp; "'!",ADDRESS(MATCH($D205, INDIRECT("'" &amp; $C205 &amp; "'!$B:$B"), 0),MATCH(F$1, INDIRECT("'" &amp; $C205 &amp; "'!$1:$1"), 0)))),".",INDIRECT(CONCATENATE("'"&amp;$C205&amp;"'!",ADDRESS(MATCH($D205,INDIRECT("'"&amp;$C205&amp;"'!$B:$B"),0),3))),"#page=",F206),CONCATENATE("#Sharepoint//",$D205))</f>
        <v/>
      </c>
      <c r="G205" s="314">
        <f t="array" ref="G205">HYPERLINK(CONCATENATE(Cartelle!$D$5,INDEX(INDIRECT("'" &amp; $C205 &amp; "'!$1:$1"), 1, MATCH(INDIRECT(CONCATENATE("'" &amp; $C205 &amp; "'!",ADDRESS(MATCH($D205, INDIRECT("'" &amp; $C205 &amp; "'!$B:$B"), 0),MATCH(G$1, INDIRECT("'" &amp; $C205 &amp; "'!$1:$1"), 0)))),INDIRECT(CONCATENATE("'" &amp; $C205 &amp; "'!",MATCH($D205, INDIRECT("'" &amp; $C205 &amp; "'!$B:$B"), 0),":",MATCH($D205, INDIRECT("'" &amp; $C205 &amp; "'!$B:$B"), 0))),0)),"/",$C205,"/",MID($D205,1,FIND("_",$D205)-1),"/",INDIRECT(CONCATENATE("'" &amp; $C205 &amp; "'!",ADDRESS(MATCH($D205, INDIRECT("'" &amp; $C205 &amp; "'!$B:$B"), 0),MATCH(G$1, INDIRECT("'" &amp; $C205 &amp; "'!$1:$1"), 0)))),".",INDIRECT(CONCATENATE("'"&amp;$C205&amp;"'!",ADDRESS(MATCH($D205,INDIRECT("'"&amp;$C205&amp;"'!$B:$B"),0),3))),"#page=",G206),CONCATENATE("#Sharepoint//",$D205))</f>
        <v/>
      </c>
      <c r="H205" s="345" t="n"/>
      <c r="I205" s="345" t="n"/>
      <c r="J205" s="314">
        <f t="array" ref="J205">HYPERLINK(CONCATENATE(Cartelle!$D$5,INDEX(INDIRECT("'" &amp; $C205 &amp; "'!$1:$1"), 1, MATCH(INDIRECT(CONCATENATE("'" &amp; $C205 &amp; "'!",ADDRESS(MATCH($D205, INDIRECT("'" &amp; $C205 &amp; "'!$B:$B"), 0),MATCH(J$1, INDIRECT("'" &amp; $C205 &amp; "'!$1:$1"), 0)))),INDIRECT(CONCATENATE("'" &amp; $C205 &amp; "'!",MATCH($D205, INDIRECT("'" &amp; $C205 &amp; "'!$B:$B"), 0),":",MATCH($D205, INDIRECT("'" &amp; $C205 &amp; "'!$B:$B"), 0))),0)),"/",$C205,"/",MID($D205,1,FIND("_",$D205)-1),"/",INDIRECT(CONCATENATE("'" &amp; $C205 &amp; "'!",ADDRESS(MATCH($D205, INDIRECT("'" &amp; $C205 &amp; "'!$B:$B"), 0),MATCH(J$1, INDIRECT("'" &amp; $C205 &amp; "'!$1:$1"), 0)))),".",INDIRECT(CONCATENATE("'"&amp;$C205&amp;"'!",ADDRESS(MATCH($D205,INDIRECT("'"&amp;$C205&amp;"'!$B:$B"),0),3))),"#page=",J206),CONCATENATE("#Sharepoint//",$D205))</f>
        <v/>
      </c>
      <c r="K205" s="346" t="n"/>
      <c r="L205" s="346" t="n"/>
    </row>
    <row r="206" outlineLevel="2" s="583">
      <c r="B206" s="376" t="n"/>
      <c r="D206" s="373" t="n"/>
      <c r="E206" s="356" t="inlineStr">
        <is>
          <t>Rif. Pagina</t>
        </is>
      </c>
      <c r="F206" s="357" t="n">
        <v>20</v>
      </c>
      <c r="G206" s="357" t="n">
        <v>18</v>
      </c>
      <c r="H206" s="357" t="n">
        <v>20</v>
      </c>
      <c r="I206" s="357" t="n">
        <v>18</v>
      </c>
      <c r="J206" s="357" t="n">
        <v>17</v>
      </c>
      <c r="K206" s="357" t="n"/>
      <c r="L206" s="357" t="n"/>
    </row>
    <row r="207" outlineLevel="2" customFormat="1" s="13">
      <c r="B207" s="103" t="n"/>
      <c r="C207" s="548" t="n"/>
      <c r="D207" s="458" t="n"/>
      <c r="E207" s="459" t="inlineStr">
        <is>
          <t>Funzioni AI</t>
        </is>
      </c>
      <c r="F207" s="626" t="inlineStr">
        <is>
          <t>La funzione ferroviaria AIR_External_Air_Supply fornisce l'approvvigionamento di aria esterna per il sistema MR del treno ETR1000. I componenti principali coinvolti sono i cock RIPO, i compressori e la pressione sensoriale. La logica di funzionamento prevede che quando l'aria esterna è collegata, il sistema utilizza l'aria del workshop per riempire il sistema MR con aria. In caso di fallimento, il sistema non fornisce alcuna indicazione corretta e richiede un controllo visivo da parte del conducente prima di iniziare la corsa. La funzione è progettata per garantire una sicurezza di livello SIL 0, con ridondanze nella disattivazione dei compressori e nell'override dell'individuale della connessione esterna.
Analisi — Funzione equivalente tra le seguenti configurazioni: VZI_Base, VZI_New14, VZI-6_R1.
Pagina iniziale: parte di pagina 20 — Pagina finale: parte di pagina 22.</t>
        </is>
      </c>
      <c r="G207" s="626" t="inlineStr">
        <is>
          <t>La funzione ferroviaria AIR_External_Air_Supply fornisce un approvvigionamento esterno di aria al sistema MR, utilizzando l'aria del workshop per riempire il sistema con aria. La funzione è attivata quando la valvola RIPO è isolata (aperta), ma non indica correttamente lo stato della connessione esterna. La logica di funzionamento prevede la disattivazione dei compressori e l'attivazione del blocco trazione, con un sistema di override per il driver che può disattivare l'effetto della valvola RIPO. La funzione è progettata per garantire una sicurezza di livello SIL 0, con ridondanze e requisiti di sicurezza per evitare errori e garantire la stabilità del sistema.
Analisi — Funzione equivalente tra le seguenti configurazioni: VZI_Base, VZI_New14, VZI-6_R1.
Pagina iniziale: parte di pagina 18 — Pagina finale: parte di pagina 19.</t>
        </is>
      </c>
      <c r="H207" s="460" t="n"/>
      <c r="I207" s="460" t="n"/>
      <c r="J207" s="626" t="inlineStr">
        <is>
          <t>La funzione ferroviaria AIR_External_Air_Supply fornisce l'approvvigionamento di aria esterna al sistema MR, utilizzando il workshop air per riempire il sistema con aria quando la connessione esterna è attivata. La logica di funzionamento prevede che la connessione esterna sia indicata correttamente dal cock RIPO e che i compressori siano disattivati in caso di presenza di aria esterna. La funzione è progettata per garantire un livello di sicurezza SIL 0, con ridondanze e requisiti di sicurezza come l'override individuale della connessione esterna dallo schermo IDU.
Analisi — Funzione equivalente tra le seguenti configurazioni: VZI_Base, VZI_New14, VZI-6_R1.
Pagina iniziale: parte di pagina 17 — Pagina finale: parte di pagina 18.</t>
        </is>
      </c>
      <c r="K207" s="460" t="n"/>
      <c r="L207" s="461" t="n"/>
    </row>
    <row r="208">
      <c r="A208" s="350" t="inlineStr">
        <is>
          <t>AIR_Control_of_Auxiliary_Compressor</t>
        </is>
      </c>
      <c r="B208" s="377" t="n"/>
      <c r="C208" s="393" t="n"/>
      <c r="D208" s="371" t="inlineStr">
        <is>
          <t>\</t>
        </is>
      </c>
      <c r="E208" s="351" t="n"/>
      <c r="F208" s="352" t="n"/>
      <c r="G208" s="352" t="n"/>
      <c r="H208" s="352" t="n"/>
      <c r="I208" s="352" t="n"/>
      <c r="J208" s="352" t="n"/>
      <c r="K208" s="352" t="n"/>
      <c r="L208" s="353" t="n"/>
    </row>
    <row r="209" outlineLevel="1" s="583">
      <c r="B209" s="376" t="n"/>
      <c r="C209" s="158" t="inlineStr">
        <is>
          <t>CONFIG</t>
        </is>
      </c>
      <c r="D209" s="369" t="inlineStr">
        <is>
          <t>FRS_Air Supply</t>
        </is>
      </c>
      <c r="E209" s="344" t="inlineStr">
        <is>
          <t>Link</t>
        </is>
      </c>
      <c r="F209" s="314">
        <f t="array" ref="F209">HYPERLINK(CONCATENATE(Cartelle!$D$5,F$1,"/",$C209,"/",MID($D209,1,FIND("_",$D209)-1),"/",INDIRECT(CONCATENATE("'" &amp; $C209 &amp; "'!",ADDRESS(MATCH($D209, INDIRECT("'" &amp; $C209 &amp; "'!$B:$B"), 0),MATCH(F$1, INDIRECT("'" &amp; $C209 &amp; "'!$1:$1"), 0)))),".",INDIRECT(CONCATENATE("'"&amp;$C209&amp;"'!",ADDRESS(MATCH($D209,INDIRECT("'"&amp;$C209&amp;"'!$B:$B"),0),3))),"#page=",F210),CONCATENATE("#Sharepoint//",$D209))</f>
        <v/>
      </c>
      <c r="G209" s="314">
        <f t="array" ref="G209">HYPERLINK(CONCATENATE(Cartelle!$D$5,INDEX(INDIRECT("'" &amp; $C209 &amp; "'!$1:$1"), 1, MATCH(INDIRECT(CONCATENATE("'" &amp; $C209 &amp; "'!",ADDRESS(MATCH($D209, INDIRECT("'" &amp; $C209 &amp; "'!$B:$B"), 0),MATCH(G$1, INDIRECT("'" &amp; $C209 &amp; "'!$1:$1"), 0)))),INDIRECT(CONCATENATE("'" &amp; $C209 &amp; "'!",MATCH($D209, INDIRECT("'" &amp; $C209 &amp; "'!$B:$B"), 0),":",MATCH($D209, INDIRECT("'" &amp; $C209 &amp; "'!$B:$B"), 0))),0)),"/",$C209,"/",MID($D209,1,FIND("_",$D209)-1),"/",INDIRECT(CONCATENATE("'" &amp; $C209 &amp; "'!",ADDRESS(MATCH($D209, INDIRECT("'" &amp; $C209 &amp; "'!$B:$B"), 0),MATCH(G$1, INDIRECT("'" &amp; $C209 &amp; "'!$1:$1"), 0)))),".",INDIRECT(CONCATENATE("'"&amp;$C209&amp;"'!",ADDRESS(MATCH($D209,INDIRECT("'"&amp;$C209&amp;"'!$B:$B"),0),3))),"#page=",G210),CONCATENATE("#Sharepoint//",$D209))</f>
        <v/>
      </c>
      <c r="H209" s="345" t="n"/>
      <c r="I209" s="345" t="n"/>
      <c r="J209" s="314">
        <f t="array" ref="J209">HYPERLINK(CONCATENATE(Cartelle!$D$5,INDEX(INDIRECT("'" &amp; $C209 &amp; "'!$1:$1"), 1, MATCH(INDIRECT(CONCATENATE("'" &amp; $C209 &amp; "'!",ADDRESS(MATCH($D209, INDIRECT("'" &amp; $C209 &amp; "'!$B:$B"), 0),MATCH(J$1, INDIRECT("'" &amp; $C209 &amp; "'!$1:$1"), 0)))),INDIRECT(CONCATENATE("'" &amp; $C209 &amp; "'!",MATCH($D209, INDIRECT("'" &amp; $C209 &amp; "'!$B:$B"), 0),":",MATCH($D209, INDIRECT("'" &amp; $C209 &amp; "'!$B:$B"), 0))),0)),"/",$C209,"/",MID($D209,1,FIND("_",$D209)-1),"/",INDIRECT(CONCATENATE("'" &amp; $C209 &amp; "'!",ADDRESS(MATCH($D209, INDIRECT("'" &amp; $C209 &amp; "'!$B:$B"), 0),MATCH(J$1, INDIRECT("'" &amp; $C209 &amp; "'!$1:$1"), 0)))),".",INDIRECT(CONCATENATE("'"&amp;$C209&amp;"'!",ADDRESS(MATCH($D209,INDIRECT("'"&amp;$C209&amp;"'!$B:$B"),0),3))),"#page=",J210),CONCATENATE("#Sharepoint//",$D209))</f>
        <v/>
      </c>
      <c r="K209" s="346" t="n"/>
      <c r="L209" s="346" t="n"/>
    </row>
    <row r="210" outlineLevel="2" s="583">
      <c r="B210" s="376" t="n"/>
      <c r="D210" s="373" t="n"/>
      <c r="E210" s="356" t="inlineStr">
        <is>
          <t>Rif. Pagina</t>
        </is>
      </c>
      <c r="F210" s="357" t="n">
        <v>22</v>
      </c>
      <c r="G210" s="357" t="n">
        <v>19</v>
      </c>
      <c r="H210" s="357" t="n">
        <v>22</v>
      </c>
      <c r="I210" s="357" t="n">
        <v>19</v>
      </c>
      <c r="J210" s="357" t="n">
        <v>18</v>
      </c>
      <c r="K210" s="357" t="n"/>
      <c r="L210" s="357" t="n"/>
    </row>
    <row r="211" outlineLevel="2" customFormat="1" s="13">
      <c r="B211" s="103" t="n"/>
      <c r="C211" s="548" t="n"/>
      <c r="D211" s="458" t="n"/>
      <c r="E211" s="459" t="inlineStr">
        <is>
          <t>Funzioni AI</t>
        </is>
      </c>
      <c r="F211" s="626" t="inlineStr">
        <is>
          <t>La funzione ferroviaria "AIR_Control_of_Auxiliary_Compressor" è responsabile del controllo e della gestione degli compressori ausiliari per l'alimentazione dell'aria pressurizzata ai pantografi dei treni ad alta velocità ETR1000. I componenti principali coinvolti sono gli compressori ausiliari, i contattori di alimentazione, il sistema di controllo elettronico e la presa di alimentazione da parte della batteria. La funzione si attiva normalmente quando è necessario rifornire il pantografo con aria pressurizzata in caso di bassa pressione nei reservoirs principali, e viene gestita attraverso un sistema di controllo che monitora le condizioni di funzionamento degli compressori e genera eventi in caso di fallimento o anomalia. La funzione dispone di ridondanze con l'uso di un secondo compressore ausiliario per coprire la mancanza del primo, e richiede il rispetto di requisiti di sicurezza per garantire la stabilità dell'alimentazione aria pressurizzata.
Analisi — Funzione equivalente tra le seguenti configurazioni: VZI_Base, VZI_New14, VZI-6_R1.
Pagina iniziale: parte di pagina 22 — Pagina finale: parte di pagina 26.</t>
        </is>
      </c>
      <c r="G211" s="626" t="inlineStr">
        <is>
          <t>La funzione ferroviaria "AIR_Control_of_Auxiliary_Compressor" è responsabile del controllo e della gestione degli compressori ausiliari per l'alimentazione dell'aria pressurizzata ai pantografi dei treni ad alta velocità ETR1000. I componenti principali coinvolti sono gli compressori ausiliari, i sensori di pressione, il contattore elettrico e il sistema software di gestione. La funzione si attiva quando è necessario rifornire il pantografo con aria pressurizzata in caso di bassa pressione nei reservoirs principali o quando l'ordine di attivazione viene ricevuto. In caso di fallimento, la funzione genera eventi di allarme per garantire la sicurezza e la continuità del servizio.
Analisi — Funzione equivalente tra le seguenti configurazioni: VZI_Base, VZI_New14, VZI-6_R1.
Pagina iniziale: parte di pagina 19 — Pagina finale: parte di pagina 22.</t>
        </is>
      </c>
      <c r="H211" s="460" t="n"/>
      <c r="I211" s="460" t="n"/>
      <c r="J211" s="626" t="inlineStr">
        <is>
          <t>La funzione ferroviaria AIR_Control_of_Auxiliary_Compressor è responsabile del controllo e della gestione degli compressori ausiliari per l'alimentazione pressurizzata dell'elettrificazione ferroviaria. I componenti principali coinvolti sono gli compressori ausiliari, i contattori di alimentazione, il sistema di controllo e la presa di potenza da 110 VDC. La logica di funzionamento prevede l'attivazione degli compressori in caso di bassa pressione nel circuito pantografico e la possibilità di utilizzare un compressore ausiliario in caso di fallimento del primo, con una bypass funzione per garantire la continuità dell'alimentazione. La funzione è dotata di eventi di detección per il rilevamento dei problemi e di un'attivazione forzata degli compressori in caso di necessità.
Analisi — Funzione equivalente tra le seguenti configurazioni: VZI_Base, VZI_New14, VZI-6_R1.
Pagina iniziale: parte di pagina 18 — Pagina finale: parte di pagina 21.</t>
        </is>
      </c>
      <c r="K211" s="460" t="n"/>
      <c r="L211" s="461" t="n"/>
    </row>
    <row r="212">
      <c r="A212" s="350" t="inlineStr">
        <is>
          <t>AIR_Suspension_Supervision</t>
        </is>
      </c>
      <c r="B212" s="377" t="n"/>
      <c r="C212" s="393" t="n"/>
      <c r="D212" s="371" t="inlineStr">
        <is>
          <t>\</t>
        </is>
      </c>
      <c r="E212" s="351" t="n"/>
      <c r="F212" s="352" t="n"/>
      <c r="G212" s="352" t="n"/>
      <c r="H212" s="352" t="n"/>
      <c r="I212" s="352" t="n"/>
      <c r="J212" s="352" t="n"/>
      <c r="K212" s="352" t="n"/>
      <c r="L212" s="353" t="n"/>
    </row>
    <row r="213" outlineLevel="1" s="583">
      <c r="B213" s="376" t="n"/>
      <c r="C213" s="158" t="inlineStr">
        <is>
          <t>CONFIG</t>
        </is>
      </c>
      <c r="D213" s="369" t="inlineStr">
        <is>
          <t>FRS_Air Supply</t>
        </is>
      </c>
      <c r="E213" s="344" t="inlineStr">
        <is>
          <t>Link</t>
        </is>
      </c>
      <c r="F213" s="314">
        <f t="array" ref="F213">HYPERLINK(CONCATENATE(Cartelle!$D$5,F$1,"/",$C213,"/",MID($D213,1,FIND("_",$D213)-1),"/",INDIRECT(CONCATENATE("'" &amp; $C213 &amp; "'!",ADDRESS(MATCH($D213, INDIRECT("'" &amp; $C213 &amp; "'!$B:$B"), 0),MATCH(F$1, INDIRECT("'" &amp; $C213 &amp; "'!$1:$1"), 0)))),".",INDIRECT(CONCATENATE("'"&amp;$C213&amp;"'!",ADDRESS(MATCH($D213,INDIRECT("'"&amp;$C213&amp;"'!$B:$B"),0),3))),"#page=",F214),CONCATENATE("#Sharepoint//",$D213))</f>
        <v/>
      </c>
      <c r="G213" s="314">
        <f t="array" ref="G213">HYPERLINK(CONCATENATE(Cartelle!$D$5,INDEX(INDIRECT("'" &amp; $C213 &amp; "'!$1:$1"), 1, MATCH(INDIRECT(CONCATENATE("'" &amp; $C213 &amp; "'!",ADDRESS(MATCH($D213, INDIRECT("'" &amp; $C213 &amp; "'!$B:$B"), 0),MATCH(G$1, INDIRECT("'" &amp; $C213 &amp; "'!$1:$1"), 0)))),INDIRECT(CONCATENATE("'" &amp; $C213 &amp; "'!",MATCH($D213, INDIRECT("'" &amp; $C213 &amp; "'!$B:$B"), 0),":",MATCH($D213, INDIRECT("'" &amp; $C213 &amp; "'!$B:$B"), 0))),0)),"/",$C213,"/",MID($D213,1,FIND("_",$D213)-1),"/",INDIRECT(CONCATENATE("'" &amp; $C213 &amp; "'!",ADDRESS(MATCH($D213, INDIRECT("'" &amp; $C213 &amp; "'!$B:$B"), 0),MATCH(G$1, INDIRECT("'" &amp; $C213 &amp; "'!$1:$1"), 0)))),".",INDIRECT(CONCATENATE("'"&amp;$C213&amp;"'!",ADDRESS(MATCH($D213,INDIRECT("'"&amp;$C213&amp;"'!$B:$B"),0),3))),"#page=",G214),CONCATENATE("#Sharepoint//",$D213))</f>
        <v/>
      </c>
      <c r="H213" s="345" t="n"/>
      <c r="I213" s="345" t="n"/>
      <c r="J213" s="314">
        <f t="array" ref="J213">HYPERLINK(CONCATENATE(Cartelle!$D$5,INDEX(INDIRECT("'" &amp; $C213 &amp; "'!$1:$1"), 1, MATCH(INDIRECT(CONCATENATE("'" &amp; $C213 &amp; "'!",ADDRESS(MATCH($D213, INDIRECT("'" &amp; $C213 &amp; "'!$B:$B"), 0),MATCH(J$1, INDIRECT("'" &amp; $C213 &amp; "'!$1:$1"), 0)))),INDIRECT(CONCATENATE("'" &amp; $C213 &amp; "'!",MATCH($D213, INDIRECT("'" &amp; $C213 &amp; "'!$B:$B"), 0),":",MATCH($D213, INDIRECT("'" &amp; $C213 &amp; "'!$B:$B"), 0))),0)),"/",$C213,"/",MID($D213,1,FIND("_",$D213)-1),"/",INDIRECT(CONCATENATE("'" &amp; $C213 &amp; "'!",ADDRESS(MATCH($D213, INDIRECT("'" &amp; $C213 &amp; "'!$B:$B"), 0),MATCH(J$1, INDIRECT("'" &amp; $C213 &amp; "'!$1:$1"), 0)))),".",INDIRECT(CONCATENATE("'"&amp;$C213&amp;"'!",ADDRESS(MATCH($D213,INDIRECT("'"&amp;$C213&amp;"'!$B:$B"),0),3))),"#page=",J214),CONCATENATE("#Sharepoint//",$D213))</f>
        <v/>
      </c>
      <c r="K213" s="346" t="n"/>
      <c r="L213" s="346" t="n"/>
    </row>
    <row r="214" outlineLevel="2" s="583">
      <c r="B214" s="376" t="n"/>
      <c r="D214" s="373" t="n"/>
      <c r="E214" s="356" t="inlineStr">
        <is>
          <t>Rif. Pagina</t>
        </is>
      </c>
      <c r="F214" s="357" t="n">
        <v>26</v>
      </c>
      <c r="G214" s="357" t="n">
        <v>22</v>
      </c>
      <c r="H214" s="357" t="n">
        <v>26</v>
      </c>
      <c r="I214" s="357" t="n">
        <v>22</v>
      </c>
      <c r="J214" s="357" t="n">
        <v>21</v>
      </c>
      <c r="K214" s="357" t="n"/>
      <c r="L214" s="357" t="n"/>
    </row>
    <row r="215" outlineLevel="2" customFormat="1" s="13">
      <c r="B215" s="103" t="n"/>
      <c r="C215" s="548" t="n"/>
      <c r="D215" s="458" t="n"/>
      <c r="E215" s="459" t="inlineStr">
        <is>
          <t>Funzioni AI</t>
        </is>
      </c>
      <c r="F215" s="626" t="inlineStr">
        <is>
          <t>La funzione ferroviaria AIR_Suspension_Supervision monitora lo stato della sospensione secondaria dei boghi del treno ETR1000, supervisionando i cut-out cocks e i sensori di pressione TS1-TS8. La logica di funzionamento attiva l'eventualità di isolamento della sospensione secondaria o di errori nei sensori di pressione, limitando la velocità del treno in caso di fallimento. La funzione è progettata per garantire una sicurezza di livello SIL 0 e richiede la presenza di ridondanze per assicurare la stabilità del sistema.
Analisi — Funzione equivalente tra le seguenti configurazioni: VZI_Base, VZI_New14, VZI-6_R1.
Pagina iniziale: parte di pagina 26 — Pagina finale: parte di pagina 28.</t>
        </is>
      </c>
      <c r="G215" s="626" t="inlineStr">
        <is>
          <t>La funzione ferroviaria AIR_Suspension_Supervision monitora lo stato della sospensione aerostatica dei boghi del treno ETR1000, supervisionando i cut-out cocks per la secondaria sospensione e i sensori di pressione TS1-TS8. La funzione è attivata quando il traino è in movimento e il sistema di sospensione aerostatica non è stabile, limitando la velocità del treno se si verifica un problema. La logica di funzionamento prevede l'invio di eventi di allarme al sistema di diagnostiche se si verificano condizioni anomale, come una chiusura anomala dei cut-out cocks o un errore dei sensori di pressione.
Analisi — Funzione equivalente tra le seguenti configurazioni: VZI_Base, VZI_New14, VZI-6_R1.
Pagina iniziale: parte di pagina 22 — Pagina finale: parte di pagina 23.</t>
        </is>
      </c>
      <c r="H215" s="460" t="n"/>
      <c r="I215" s="460" t="n"/>
      <c r="J215" s="626" t="inlineStr">
        <is>
          <t>La funzione ferroviaria AIR_Suspension_Supervision monitora lo stato della sospensione secondaria dei boghi del treno ETR1000 VZI-6. I componenti principali coinvolti sono i cut-out cocks per la sospensione secondaria (RISOSP) e i sensori di pressione TS1-TS8. La funzione è attivata quando il train speed viene limitato in caso di isolamento della sospensione secondaria o di errore del sensoressore di pressione, e segnala eventuali fallimenti alla diagnostic system.
Analisi — Funzione equivalente tra le seguenti configurazioni: VZI_Base, VZI_New14, VZI-6_R1.
Pagina iniziale: parte di pagina 21 — Pagina finale: parte di pagina 22.</t>
        </is>
      </c>
      <c r="K215" s="460" t="n"/>
      <c r="L215" s="461" t="n"/>
    </row>
    <row r="216">
      <c r="A216" s="350" t="inlineStr">
        <is>
          <t>AIR_Provision_for_Tilt_system</t>
        </is>
      </c>
      <c r="B216" s="377" t="n"/>
      <c r="C216" s="393" t="n"/>
      <c r="D216" s="371" t="inlineStr">
        <is>
          <t>\</t>
        </is>
      </c>
      <c r="E216" s="351" t="n"/>
      <c r="F216" s="352" t="n"/>
      <c r="G216" s="352" t="n"/>
      <c r="H216" s="352" t="n"/>
      <c r="I216" s="352" t="n"/>
      <c r="J216" s="352" t="n"/>
      <c r="K216" s="352" t="n"/>
      <c r="L216" s="353" t="n"/>
    </row>
    <row r="217" outlineLevel="1" s="583">
      <c r="B217" s="376" t="n"/>
      <c r="C217" s="158" t="inlineStr">
        <is>
          <t>CONFIG</t>
        </is>
      </c>
      <c r="D217" s="369" t="inlineStr">
        <is>
          <t>FRS_Air Supply</t>
        </is>
      </c>
      <c r="E217" s="344" t="inlineStr">
        <is>
          <t>Link</t>
        </is>
      </c>
      <c r="F217" s="314">
        <f t="array" ref="F217">HYPERLINK(CONCATENATE(Cartelle!$D$5,F$1,"/",$C217,"/",MID($D217,1,FIND("_",$D217)-1),"/",INDIRECT(CONCATENATE("'" &amp; $C217 &amp; "'!",ADDRESS(MATCH($D217, INDIRECT("'" &amp; $C217 &amp; "'!$B:$B"), 0),MATCH(F$1, INDIRECT("'" &amp; $C217 &amp; "'!$1:$1"), 0)))),".",INDIRECT(CONCATENATE("'"&amp;$C217&amp;"'!",ADDRESS(MATCH($D217,INDIRECT("'"&amp;$C217&amp;"'!$B:$B"),0),3))),"#page=",F218),CONCATENATE("#Sharepoint//",$D217))</f>
        <v/>
      </c>
      <c r="G217" s="314">
        <f t="array" ref="G217">HYPERLINK(CONCATENATE(Cartelle!$D$5,INDEX(INDIRECT("'" &amp; $C217 &amp; "'!$1:$1"), 1, MATCH(INDIRECT(CONCATENATE("'" &amp; $C217 &amp; "'!",ADDRESS(MATCH($D217, INDIRECT("'" &amp; $C217 &amp; "'!$B:$B"), 0),MATCH(G$1, INDIRECT("'" &amp; $C217 &amp; "'!$1:$1"), 0)))),INDIRECT(CONCATENATE("'" &amp; $C217 &amp; "'!",MATCH($D217, INDIRECT("'" &amp; $C217 &amp; "'!$B:$B"), 0),":",MATCH($D217, INDIRECT("'" &amp; $C217 &amp; "'!$B:$B"), 0))),0)),"/",$C217,"/",MID($D217,1,FIND("_",$D217)-1),"/",INDIRECT(CONCATENATE("'" &amp; $C217 &amp; "'!",ADDRESS(MATCH($D217, INDIRECT("'" &amp; $C217 &amp; "'!$B:$B"), 0),MATCH(G$1, INDIRECT("'" &amp; $C217 &amp; "'!$1:$1"), 0)))),".",INDIRECT(CONCATENATE("'"&amp;$C217&amp;"'!",ADDRESS(MATCH($D217,INDIRECT("'"&amp;$C217&amp;"'!$B:$B"),0),3))),"#page=",G218),CONCATENATE("#Sharepoint//",$D217))</f>
        <v/>
      </c>
      <c r="H217" s="345" t="n"/>
      <c r="I217" s="345" t="n"/>
      <c r="J217" s="314">
        <f t="array" ref="J217">HYPERLINK(CONCATENATE(Cartelle!$D$5,INDEX(INDIRECT("'" &amp; $C217 &amp; "'!$1:$1"), 1, MATCH(INDIRECT(CONCATENATE("'" &amp; $C217 &amp; "'!",ADDRESS(MATCH($D217, INDIRECT("'" &amp; $C217 &amp; "'!$B:$B"), 0),MATCH(J$1, INDIRECT("'" &amp; $C217 &amp; "'!$1:$1"), 0)))),INDIRECT(CONCATENATE("'" &amp; $C217 &amp; "'!",MATCH($D217, INDIRECT("'" &amp; $C217 &amp; "'!$B:$B"), 0),":",MATCH($D217, INDIRECT("'" &amp; $C217 &amp; "'!$B:$B"), 0))),0)),"/",$C217,"/",MID($D217,1,FIND("_",$D217)-1),"/",INDIRECT(CONCATENATE("'" &amp; $C217 &amp; "'!",ADDRESS(MATCH($D217, INDIRECT("'" &amp; $C217 &amp; "'!$B:$B"), 0),MATCH(J$1, INDIRECT("'" &amp; $C217 &amp; "'!$1:$1"), 0)))),".",INDIRECT(CONCATENATE("'"&amp;$C217&amp;"'!",ADDRESS(MATCH($D217,INDIRECT("'"&amp;$C217&amp;"'!$B:$B"),0),3))),"#page=",J218),CONCATENATE("#Sharepoint//",$D217))</f>
        <v/>
      </c>
      <c r="K217" s="346" t="n"/>
      <c r="L217" s="346" t="n"/>
    </row>
    <row r="218" outlineLevel="2" s="583">
      <c r="B218" s="376" t="n"/>
      <c r="D218" s="372" t="n"/>
      <c r="E218" s="354" t="inlineStr">
        <is>
          <t>Rif. Pagina</t>
        </is>
      </c>
      <c r="F218" s="355" t="n">
        <v>28</v>
      </c>
      <c r="G218" s="355" t="n">
        <v>23</v>
      </c>
      <c r="H218" s="355" t="n">
        <v>28</v>
      </c>
      <c r="I218" s="355" t="n">
        <v>23</v>
      </c>
      <c r="J218" s="355" t="n">
        <v>22</v>
      </c>
      <c r="K218" s="355" t="n"/>
      <c r="L218" s="355" t="n"/>
    </row>
    <row r="219" outlineLevel="2" customFormat="1" s="13">
      <c r="B219" s="103" t="n"/>
      <c r="C219" s="548" t="n"/>
      <c r="D219" s="458" t="n"/>
      <c r="E219" s="459" t="inlineStr">
        <is>
          <t>Funzioni AI</t>
        </is>
      </c>
      <c r="F219" s="628" t="inlineStr">
        <is>
          <t>PARTE 1:
La funzione AIR_Provision_for_Tilt_system per la configurazione VZI_Base è responsabile della gestione del sistema di tilting dell'ETR1000. Il sistema utilizza un flusso compresso d'aria per controllare la deformabilità del veicolo, garantendo una sicurezza e stabilità durante le accelerazioni elevate. La funzione è attivata quando il traino supera i 300 km/h e richiede una pressione di aria compresa tra 800-1000 kPa per garantire la fornitura di aria ai belloni secondari.
PARTE 2:
La configurazione VZI_Base presenta differenze rispetto a VZI-6_R1, poiché il sistema di tilting non è presente sulle ETR1000 VZI6. Inoltre, la logica operativa e i requisiti specifici per la gestione del flusso compresso d'aria sono simili, ma con alcune differenze nella configurazione dei componenti e della sicurezza.
Analisi — Funzione equivalente tra le seguenti configurazioni: VZI_Base, VZI_New14.
Pagina iniziale: parte di pagina 28 — Pagina finale: parte di pagina 29.</t>
        </is>
      </c>
      <c r="G219" s="628" t="inlineStr">
        <is>
          <t>PARTE 1:
La funzione AIR_Provision_for_Tilt_system per la configurazione VZI_New14 è responsabile della gestione del sistema di tilting dell'ETR1000. Il sistema utilizza un aumento/decreto della pressione nell'air bellows per controllare il movimento della carrozza. La funzione è attiva quando la velocità del treno supera i 300 km/h e la pressione MRP è compresa tra 800-1000 kPa.
PARTE 2:
La configurazione VZI_New14 presenta differenze rispetto a VZI-6_R1, poiché il sistema di tilting non è presente sulle ETR1000 VZI6. Inoltre, la logica operativa e i requisiti specifici sono identici, ma con alcune differenze nel dettaglio. La configurazione VZI_New14 sembra essere più completa rispetto a VZI-6_R1.
Analisi — Funzione equivalente tra le seguenti configurazioni: VZI_Base, VZI_New14.
Pagina iniziale: parte di pagina 23 — Pagina finale: parte di pagina 25.</t>
        </is>
      </c>
      <c r="H219" s="460" t="n"/>
      <c r="I219" s="460" t="n"/>
      <c r="J219" s="628" t="inlineStr">
        <is>
          <t>**PARTE 1**
La funzione AIR_Provision_for_Tilt_system per la configurazione VZI-6_R1 è progettata per controllare il sistema di tilting utilizzando l'aumento/riduzione della pressione nell'air bellows del sistema di sospensione secondaria. Il sistema di tilting richiede una maggiore quantità di aria compressa rispetto al sistema di sospensione ordinario, quindi vengono utilizzate valori di soglia diversi per l'avvio/stoppo dei compressori.
I componenti principali del sistema includono il sensor di controllo della pressione del compressor (TCC in T4/T5) e il controller di pressione (TCP in DM1/DM8). La logica operativa prevede che il sistema di tilting sia attivo quando la velocità del treno supera i 300 km/h e che la pressione dell'aria nel sistema di sospensione secondaria sia compresa tra 800-1000 kPa.
**PARTE 2**
Le differenze rispetto alle altre configurazioni sono le seguenti:
*   Componenti elettrici/meccanici/software: VZI_New14 e VZI_Base presentano la stessa logica di funzionamento, ma VZI-6_R1 introduce una nuova configurazione specifica per il sistema di tilting.
*   Logica di funzionamento o condizioni operative: La configurazione VZI-6_R1 è identica a quella di VZI_New14 e VZI_Base in termini di logica operativa, ma presenta alcune differenze nella gestione della pressione dell'aria nel sistema di sospensione secondaria.
*   Requisiti o parametri tecnici: La configurazione VZI-6_R1 introduce una nuova soglia di pressione minima per l'avvio del primo compressor (900 kPa) e una nuova soglia di pressione massima per il stoppo dei compressori (1000 kPa).
*   Sistemi o sottosistemi coinvolti: La configurazione VZI-6_R1 coinvolge lo stesso sistema di tilting, ma presenta alcune differenze nella gestione della pressione dell'aria nel sistema di sospensione secondaria rispetto alle altre configurazioni.
Pagina iniziale: parte di pagina 22 — Pagina finale: parte di pagina 24.</t>
        </is>
      </c>
      <c r="K219" s="460" t="n"/>
      <c r="L219" s="461" t="n"/>
    </row>
    <row r="220">
      <c r="A220" s="340" t="inlineStr">
        <is>
          <t>BRK_Service_Brake_Direct_Electro-Pneumatic_Brake</t>
        </is>
      </c>
      <c r="B220" s="375" t="n"/>
      <c r="C220" s="393" t="n"/>
      <c r="D220" s="368" t="inlineStr">
        <is>
          <t>\</t>
        </is>
      </c>
      <c r="E220" s="341" t="n"/>
      <c r="F220" s="342" t="n"/>
      <c r="G220" s="342" t="n"/>
      <c r="H220" s="342" t="n"/>
      <c r="I220" s="342" t="n"/>
      <c r="J220" s="342" t="n"/>
      <c r="K220" s="342" t="n"/>
      <c r="L220" s="343" t="n"/>
    </row>
    <row r="221" outlineLevel="1" s="583">
      <c r="B221" s="376" t="n"/>
      <c r="C221" s="158" t="inlineStr">
        <is>
          <t>CONFIG</t>
        </is>
      </c>
      <c r="D221" s="369" t="inlineStr">
        <is>
          <t>FRS_Brake Control</t>
        </is>
      </c>
      <c r="E221" s="344" t="inlineStr">
        <is>
          <t>Link</t>
        </is>
      </c>
      <c r="F221" s="314">
        <f t="array" ref="F221">HYPERLINK(CONCATENATE(Cartelle!$D$5,F$1,"/",$C221,"/",MID($D221,1,FIND("_",$D221)-1),"/",INDIRECT(CONCATENATE("'" &amp; $C221 &amp; "'!",ADDRESS(MATCH($D221, INDIRECT("'" &amp; $C221 &amp; "'!$B:$B"), 0),MATCH(F$1, INDIRECT("'" &amp; $C221 &amp; "'!$1:$1"), 0)))),".",INDIRECT(CONCATENATE("'"&amp;$C221&amp;"'!",ADDRESS(MATCH($D221,INDIRECT("'"&amp;$C221&amp;"'!$B:$B"),0),3))),"#page=",F222),CONCATENATE("#Sharepoint//",$D221))</f>
        <v/>
      </c>
      <c r="G221" s="378" t="n"/>
      <c r="H221" s="314">
        <f t="array" ref="H221">HYPERLINK(CONCATENATE(Cartelle!$D$5,INDEX(INDIRECT("'" &amp; $C221 &amp; "'!$1:$1"), 1, MATCH(INDIRECT(CONCATENATE("'" &amp; $C221 &amp; "'!",ADDRESS(MATCH($D221, INDIRECT("'" &amp; $C221 &amp; "'!$B:$B"), 0),MATCH(H$1, INDIRECT("'" &amp; $C221 &amp; "'!$1:$1"), 0)))),INDIRECT(CONCATENATE("'" &amp; $C221 &amp; "'!",MATCH($D221, INDIRECT("'" &amp; $C221 &amp; "'!$B:$B"), 0),":",MATCH($D221, INDIRECT("'" &amp; $C221 &amp; "'!$B:$B"), 0))),0)),"/",$C221,"/",MID($D221,1,FIND("_",$D221)-1),"/",INDIRECT(CONCATENATE("'" &amp; $C221 &amp; "'!",ADDRESS(MATCH($D221, INDIRECT("'" &amp; $C221 &amp; "'!$B:$B"), 0),MATCH(H$1, INDIRECT("'" &amp; $C221 &amp; "'!$1:$1"), 0)))),".",INDIRECT(CONCATENATE("'"&amp;$C221&amp;"'!",ADDRESS(MATCH($D221,INDIRECT("'"&amp;$C221&amp;"'!$B:$B"),0),3))),"#page=",H222),CONCATENATE("#Sharepoint//",$D221))</f>
        <v/>
      </c>
      <c r="I221" s="314">
        <f t="array" ref="I221">HYPERLINK(CONCATENATE(Cartelle!$D$5,INDEX(INDIRECT("'" &amp; $C221 &amp; "'!$1:$1"), 1, MATCH(INDIRECT(CONCATENATE("'" &amp; $C221 &amp; "'!",ADDRESS(MATCH($D221, INDIRECT("'" &amp; $C221 &amp; "'!$B:$B"), 0),MATCH(I$1, INDIRECT("'" &amp; $C221 &amp; "'!$1:$1"), 0)))),INDIRECT(CONCATENATE("'" &amp; $C221 &amp; "'!",MATCH($D221, INDIRECT("'" &amp; $C221 &amp; "'!$B:$B"), 0),":",MATCH($D221, INDIRECT("'" &amp; $C221 &amp; "'!$B:$B"), 0))),0)),"/",$C221,"/",MID($D221,1,FIND("_",$D221)-1),"/",INDIRECT(CONCATENATE("'" &amp; $C221 &amp; "'!",ADDRESS(MATCH($D221, INDIRECT("'" &amp; $C221 &amp; "'!$B:$B"), 0),MATCH(I$1, INDIRECT("'" &amp; $C221 &amp; "'!$1:$1"), 0)))),".",INDIRECT(CONCATENATE("'"&amp;$C221&amp;"'!",ADDRESS(MATCH($D221,INDIRECT("'"&amp;$C221&amp;"'!$B:$B"),0),3))),"#page=",I222),CONCATENATE("#Sharepoint//",$D221))</f>
        <v/>
      </c>
      <c r="J221" s="314">
        <f t="array" ref="J221">HYPERLINK(CONCATENATE(Cartelle!$D$5,INDEX(INDIRECT("'" &amp; $C221 &amp; "'!$1:$1"), 1, MATCH(INDIRECT(CONCATENATE("'" &amp; $C221 &amp; "'!",ADDRESS(MATCH($D221, INDIRECT("'" &amp; $C221 &amp; "'!$B:$B"), 0),MATCH(J$1, INDIRECT("'" &amp; $C221 &amp; "'!$1:$1"), 0)))),INDIRECT(CONCATENATE("'" &amp; $C221 &amp; "'!",MATCH($D221, INDIRECT("'" &amp; $C221 &amp; "'!$B:$B"), 0),":",MATCH($D221, INDIRECT("'" &amp; $C221 &amp; "'!$B:$B"), 0))),0)),"/",$C221,"/",MID($D221,1,FIND("_",$D221)-1),"/",INDIRECT(CONCATENATE("'" &amp; $C221 &amp; "'!",ADDRESS(MATCH($D221, INDIRECT("'" &amp; $C221 &amp; "'!$B:$B"), 0),MATCH(J$1, INDIRECT("'" &amp; $C221 &amp; "'!$1:$1"), 0)))),".",INDIRECT(CONCATENATE("'"&amp;$C221&amp;"'!",ADDRESS(MATCH($D221,INDIRECT("'"&amp;$C221&amp;"'!$B:$B"),0),3))),"#page=",J222),CONCATENATE("#Sharepoint//",$D221))</f>
        <v/>
      </c>
      <c r="K221" s="346" t="n"/>
      <c r="L221" s="346" t="n"/>
    </row>
    <row r="222" outlineLevel="2" s="583">
      <c r="B222" s="376" t="n"/>
      <c r="D222" s="373" t="n"/>
      <c r="E222" s="356" t="inlineStr">
        <is>
          <t>Rif. Pagina</t>
        </is>
      </c>
      <c r="F222" s="357" t="n">
        <v>14</v>
      </c>
      <c r="G222" s="357" t="n"/>
      <c r="H222" s="357" t="n">
        <v>14</v>
      </c>
      <c r="I222" s="357" t="n">
        <v>14</v>
      </c>
      <c r="J222" s="357" t="n">
        <v>19</v>
      </c>
      <c r="K222" s="357" t="n"/>
      <c r="L222" s="357" t="n"/>
    </row>
    <row r="223" outlineLevel="2" customFormat="1" s="13">
      <c r="B223" s="103" t="n"/>
      <c r="C223" s="548" t="n"/>
      <c r="D223" s="458" t="n"/>
      <c r="E223" s="459" t="inlineStr">
        <is>
          <t>Funzioni AI</t>
        </is>
      </c>
      <c r="F223" s="626" t="inlineStr">
        <is>
          <t>La funzione ferroviaria "BRK_Service_Brake_Direct_Electro-Pneumatic_Brake" è un sistema di freno diretto elettrico-pneumatico utilizzato per decelerare il treno in condizioni normali di operazione. Il sistema è composto da componenti elettrici/meccanici/software come EV1, EV2, Tpil, MGD e test point. La logica di funzionamento attiva il sistema quando il driver ordina il freno via master controller, TCMS train control e ATP, e comunica la richiesta di freno al BCU attraverso una comunicazione redundante. In caso di fallimento della comunicazione, il sistema utilizza le linee del treno per trasmettere la richiesta di freno in emergenza.
Analisi — Funzione equivalente tra le seguenti configurazioni: VZI_Base, VZ_FR, VZ_ES, VZI-6_R1.
Pagina iniziale: parte di pagina 14 — Pagina finale: pagina 29.</t>
        </is>
      </c>
      <c r="G223" s="460" t="n"/>
      <c r="H223" s="626" t="inlineStr">
        <is>
          <t>La funzione ferroviaria "BRK_Service_Brake_Direct_Electro-Pneumatic_Brake" è un sistema di freno diretto elettrico-pneumatico utilizzato per decelerare il treno in condizioni normali di operazione. È controllato dal BCU in ogni carro e comprende componenti come il modulo di freno diretto, magnet valve EV1 e EV2, e un sistema software che gestisce la logica di funzionamento. La funzione è attivata quando il driver ordina il freno tramite master controller, TCMS train control e ATP, e viene comunicata al BCU attraverso una rete redundante in caso di fallimento.
Analisi — Funzione equivalente tra le seguenti configurazioni: VZI_Base, VZ_FR, VZ_ES, VZI-6_R1.
Pagina iniziale: parte di pagina 14 — Pagina finale: pagina 29.</t>
        </is>
      </c>
      <c r="I223" s="626" t="inlineStr">
        <is>
          <t>La funzione ferroviaria "BRK_Service_Brake_Direct_Electro-Pneumatic_Brake" è un sistema di freno diretto elettrico-pneumatico utilizzato per decelerare il treno in condizioni normali di operazione. Il sistema è composto da componenti elettrici/meccanici/software come EV1, EV2, Tpil e BCU (Braking Control Unit). La logica di funzionamento attiva il sistema quando il driver ordina il freno via master controller, TCMS train control e ATP. In caso di dual failure della comunicazione MVB, il sistema utilizza la comunicazione train lines per trasmettere la richiesta di freno. Il sistema è progettato con ridondanze per garantire una sicurezza elevata.
Analisi — Funzione equivalente tra le seguenti configurazioni: VZI_Base, VZ_FR, VZ_ES, VZI-6_R1.
Pagina iniziale: parte di pagina 14 — Pagina finale: pagina 29.</t>
        </is>
      </c>
      <c r="J223" s="626" t="inlineStr">
        <is>
          <t>La funzione ferroviaria "BRK_Service_Brake_Direct_Electro-Pneumatic_Brake" è un sistema di freno diretto elettrico-pneumatico utilizzato per decelerare il treno in condizioni normali di operazione. I componenti principali coinvolti sono:
* Magnet valve EV1 (apri freno) e EV2 (rilascia freno)
* Pressure transducer Tpil (sensor di pressione)
* Pressure reducer MGD (riduttore di pressione)
* Relay va (relay di controllo)
La logica di funzionamento prevede l'attivazione del sistema in base a una richiesta di freno da parte del pilota, comunicata attraverso il master controller e il TCMS train control. In caso di fallimento della rete di comunicazione, il sistema può essere attivato tramite linee ferroviarie. La funzione è caratterizzata da curve di decelerazione specifiche per ogni velocità. Il sistema è progettato con ridondanze e requisiti di sicurezza per garantire la stabilità e la sicurezza del treno durante l'operazione.
Analisi — Funzione equivalente tra le seguenti configurazioni: VZI_Base, VZ_FR, VZ_ES, VZI-6_R1.
Pagina iniziale: parte di pagina 19 — Pagina finale: pagina 34.</t>
        </is>
      </c>
      <c r="K223" s="460" t="n"/>
      <c r="L223" s="461" t="n"/>
    </row>
    <row r="224">
      <c r="A224" s="350" t="inlineStr">
        <is>
          <t>BRK_Service_Brake_Indirect_Brake</t>
        </is>
      </c>
      <c r="B224" s="377" t="n"/>
      <c r="C224" s="393" t="n"/>
      <c r="D224" s="371" t="inlineStr">
        <is>
          <t>\</t>
        </is>
      </c>
      <c r="E224" s="351" t="n"/>
      <c r="F224" s="352" t="n"/>
      <c r="G224" s="352" t="n"/>
      <c r="H224" s="352" t="n"/>
      <c r="I224" s="352" t="n"/>
      <c r="J224" s="352" t="n"/>
      <c r="K224" s="352" t="n"/>
      <c r="L224" s="353" t="n"/>
    </row>
    <row r="225" outlineLevel="1" s="583">
      <c r="B225" s="376" t="n"/>
      <c r="C225" s="158" t="inlineStr">
        <is>
          <t>CONFIG</t>
        </is>
      </c>
      <c r="D225" s="369" t="inlineStr">
        <is>
          <t>FRS_Brake Control</t>
        </is>
      </c>
      <c r="E225" s="344" t="inlineStr">
        <is>
          <t>Link</t>
        </is>
      </c>
      <c r="F225" s="314">
        <f t="array" ref="F225">HYPERLINK(CONCATENATE(Cartelle!$D$5,F$1,"/",$C225,"/",MID($D225,1,FIND("_",$D225)-1),"/",INDIRECT(CONCATENATE("'" &amp; $C225 &amp; "'!",ADDRESS(MATCH($D225, INDIRECT("'" &amp; $C225 &amp; "'!$B:$B"), 0),MATCH(F$1, INDIRECT("'" &amp; $C225 &amp; "'!$1:$1"), 0)))),".",INDIRECT(CONCATENATE("'"&amp;$C225&amp;"'!",ADDRESS(MATCH($D225,INDIRECT("'"&amp;$C225&amp;"'!$B:$B"),0),3))),"#page=",F226),CONCATENATE("#Sharepoint//",$D225))</f>
        <v/>
      </c>
      <c r="G225" s="378" t="n"/>
      <c r="H225" s="314">
        <f t="array" ref="H225">HYPERLINK(CONCATENATE(Cartelle!$D$5,INDEX(INDIRECT("'" &amp; $C225 &amp; "'!$1:$1"), 1, MATCH(INDIRECT(CONCATENATE("'" &amp; $C225 &amp; "'!",ADDRESS(MATCH($D225, INDIRECT("'" &amp; $C225 &amp; "'!$B:$B"), 0),MATCH(H$1, INDIRECT("'" &amp; $C225 &amp; "'!$1:$1"), 0)))),INDIRECT(CONCATENATE("'" &amp; $C225 &amp; "'!",MATCH($D225, INDIRECT("'" &amp; $C225 &amp; "'!$B:$B"), 0),":",MATCH($D225, INDIRECT("'" &amp; $C225 &amp; "'!$B:$B"), 0))),0)),"/",$C225,"/",MID($D225,1,FIND("_",$D225)-1),"/",INDIRECT(CONCATENATE("'" &amp; $C225 &amp; "'!",ADDRESS(MATCH($D225, INDIRECT("'" &amp; $C225 &amp; "'!$B:$B"), 0),MATCH(H$1, INDIRECT("'" &amp; $C225 &amp; "'!$1:$1"), 0)))),".",INDIRECT(CONCATENATE("'"&amp;$C225&amp;"'!",ADDRESS(MATCH($D225,INDIRECT("'"&amp;$C225&amp;"'!$B:$B"),0),3))),"#page=",H226),CONCATENATE("#Sharepoint//",$D225))</f>
        <v/>
      </c>
      <c r="I225" s="314">
        <f t="array" ref="I225">HYPERLINK(CONCATENATE(Cartelle!$D$5,INDEX(INDIRECT("'" &amp; $C225 &amp; "'!$1:$1"), 1, MATCH(INDIRECT(CONCATENATE("'" &amp; $C225 &amp; "'!",ADDRESS(MATCH($D225, INDIRECT("'" &amp; $C225 &amp; "'!$B:$B"), 0),MATCH(I$1, INDIRECT("'" &amp; $C225 &amp; "'!$1:$1"), 0)))),INDIRECT(CONCATENATE("'" &amp; $C225 &amp; "'!",MATCH($D225, INDIRECT("'" &amp; $C225 &amp; "'!$B:$B"), 0),":",MATCH($D225, INDIRECT("'" &amp; $C225 &amp; "'!$B:$B"), 0))),0)),"/",$C225,"/",MID($D225,1,FIND("_",$D225)-1),"/",INDIRECT(CONCATENATE("'" &amp; $C225 &amp; "'!",ADDRESS(MATCH($D225, INDIRECT("'" &amp; $C225 &amp; "'!$B:$B"), 0),MATCH(I$1, INDIRECT("'" &amp; $C225 &amp; "'!$1:$1"), 0)))),".",INDIRECT(CONCATENATE("'"&amp;$C225&amp;"'!",ADDRESS(MATCH($D225,INDIRECT("'"&amp;$C225&amp;"'!$B:$B"),0),3))),"#page=",I226),CONCATENATE("#Sharepoint//",$D225))</f>
        <v/>
      </c>
      <c r="J225" s="314">
        <f t="array" ref="J225">HYPERLINK(CONCATENATE(Cartelle!$D$5,INDEX(INDIRECT("'" &amp; $C225 &amp; "'!$1:$1"), 1, MATCH(INDIRECT(CONCATENATE("'" &amp; $C225 &amp; "'!",ADDRESS(MATCH($D225, INDIRECT("'" &amp; $C225 &amp; "'!$B:$B"), 0),MATCH(J$1, INDIRECT("'" &amp; $C225 &amp; "'!$1:$1"), 0)))),INDIRECT(CONCATENATE("'" &amp; $C225 &amp; "'!",MATCH($D225, INDIRECT("'" &amp; $C225 &amp; "'!$B:$B"), 0),":",MATCH($D225, INDIRECT("'" &amp; $C225 &amp; "'!$B:$B"), 0))),0)),"/",$C225,"/",MID($D225,1,FIND("_",$D225)-1),"/",INDIRECT(CONCATENATE("'" &amp; $C225 &amp; "'!",ADDRESS(MATCH($D225, INDIRECT("'" &amp; $C225 &amp; "'!$B:$B"), 0),MATCH(J$1, INDIRECT("'" &amp; $C225 &amp; "'!$1:$1"), 0)))),".",INDIRECT(CONCATENATE("'"&amp;$C225&amp;"'!",ADDRESS(MATCH($D225,INDIRECT("'"&amp;$C225&amp;"'!$B:$B"),0),3))),"#page=",J226),CONCATENATE("#Sharepoint//",$D225))</f>
        <v/>
      </c>
      <c r="K225" s="346" t="n"/>
      <c r="L225" s="346" t="n"/>
    </row>
    <row r="226" outlineLevel="2" s="583">
      <c r="B226" s="376" t="n"/>
      <c r="D226" s="373" t="n"/>
      <c r="E226" s="356" t="inlineStr">
        <is>
          <t>Rif. Pagina</t>
        </is>
      </c>
      <c r="F226" s="357" t="n">
        <v>50</v>
      </c>
      <c r="G226" s="357" t="n"/>
      <c r="H226" s="357" t="n">
        <v>54</v>
      </c>
      <c r="I226" s="357" t="n">
        <v>50</v>
      </c>
      <c r="J226" s="357" t="n">
        <v>95</v>
      </c>
      <c r="K226" s="357" t="n"/>
      <c r="L226" s="357" t="n"/>
    </row>
    <row r="227" outlineLevel="2" customFormat="1" s="13">
      <c r="B227" s="103" t="n"/>
      <c r="C227" s="548" t="n"/>
      <c r="D227" s="458" t="n"/>
      <c r="E227" s="459" t="inlineStr">
        <is>
          <t>Funzioni AI</t>
        </is>
      </c>
      <c r="F227" s="626" t="inlineStr">
        <is>
          <t>La funzione ferroviaria "BRK_Service_Brake_Indirect_Brake" è un sistema di freno indiretto utilizzato come backup del freno elettrico-pneumatico (DEP) in caso di fallimento. Il sistema è composto da due modalità di controllo: il controllo elettronico-indottrice (IEP) e il controllo pneumatico-indottrice (IP), con la possibilità di passare dal primo al secondo in caso di fallimento del primo. La funzione viene attivata dal driver tramite un rotary selector switch, che può essere disattivato solo manualmente. Il sistema è progettato per garantire una ridondanza e una sicurezza elevata, con l'attivazione di un allarme TCMS in caso di fallimento di più di due cariche DEP.
Analisi — Funzione equivalente tra le seguenti configurazioni: VZI_Base, VZ_FR, VZ_ES, VZI-6_R1.
Pagina iniziale: parte di pagina 50 — Pagina finale: pagina 65.</t>
        </is>
      </c>
      <c r="G227" s="460" t="n"/>
      <c r="H227" s="626" t="inlineStr">
        <is>
          <t>La funzione ferroviaria "BRK_Service_Brake_Indirect_Brake" è un sistema di frenatura indiretta utilizzato come modalità di backup della frenatura elettrica-pneumatica (DEP). Il sistema è composto da componenti elettrici/meccanici/software come il rotary selector switch "Service brake mode", il driver's brake valve, l'isolamento del RIBK e la logica di controllo. La funzione viene attivata quando più di due carri hanno una DEP difettosa, e il sistema può essere disattivato manualmente dal conducente tramite il rotary selector switch. Il sistema è progettato per garantire una ridondanza nella frenatura, con due modalità di controllo: IEP (eletro-pneumatica) e IP (pneumatica), che possono essere attivate in caso di fallimento del sistema.
Analisi — Funzione equivalente tra le seguenti configurazioni: VZI_Base, VZ_FR, VZ_ES, VZI-6_R1.
Pagina iniziale: parte di pagina 54 — Pagina finale: pagina 69.</t>
        </is>
      </c>
      <c r="I227" s="626" t="inlineStr">
        <is>
          <t>La funzione ferroviaria "BRK_Service_Brake_Indirect_Brake" è un sistema di frenatura indiretta utilizzato come modalità di backup per il frenatore elettrico-pneumatico (DEP). Il sistema è composto da componenti elettrici/meccanici/software come il rotary selector switch "Service brake mode", il driver's cab, il TCMS e due tipologie di controllo del tubo di frenatura: IEP (indirect electro-pneumatic) e IP (pneumatic indirect). La funzione è attivata dal driver in caso di fallimento del DEP su più carri o superiore a due, e viene gestita attraverso il TCMS che informa l'operatore dell'allarme IDU. Il sistema è progettato per garantire una frenatura sicura con quattro stadi di decelerazione e tre pressioni di controllo diversi in base alla velocità.
Analisi — Funzione equivalente tra le seguenti configurazioni: VZI_Base, VZ_FR, VZ_ES, VZI-6_R1.
Pagina iniziale: parte di pagina 50 — Pagina finale: parte di pagina 58.</t>
        </is>
      </c>
      <c r="J227" s="626" t="inlineStr">
        <is>
          <t>La funzione ferroviaria "BRK_Service_Brake_Indirect_Brake" è un sistema di freno indiretto utilizzato come backup del freno elettrico-pneumatico. È composto da componenti elettrici/meccanici/software quali il rotary selector switch, il driver's brake valve, il TCMS e i due modi di controllo dei tubi pneumatici (IEP e IP). La logica di funzionamento prevede l'attivazione del freno indiretto in caso di fallimento del freno elettrico-pneumatico su più carri, con un allarme via TCMS se più di due carri sono colpiti. Il sistema è progettato per garantire una decelerazione a quattro stadi con tre pressioni diverse, secondo le velocità specifiche, e non utilizza l'ED brake durante il freno indiretto.
Analisi — Funzione equivalente tra le seguenti configurazioni: VZI_Base, VZ_FR, VZ_ES, VZI-6_R1.
Pagina iniziale: parte di pagina 95 — Pagina finale: pagina 110.</t>
        </is>
      </c>
      <c r="K227" s="460" t="n"/>
      <c r="L227" s="461" t="n"/>
    </row>
    <row r="228">
      <c r="A228" s="350" t="inlineStr">
        <is>
          <t>BRK_Holding_Brake</t>
        </is>
      </c>
      <c r="B228" s="377" t="n"/>
      <c r="C228" s="393" t="n"/>
      <c r="D228" s="371" t="inlineStr">
        <is>
          <t>\</t>
        </is>
      </c>
      <c r="E228" s="351" t="n"/>
      <c r="F228" s="352" t="n"/>
      <c r="G228" s="352" t="n"/>
      <c r="H228" s="352" t="n"/>
      <c r="I228" s="352" t="n"/>
      <c r="J228" s="352" t="n"/>
      <c r="K228" s="352" t="n"/>
      <c r="L228" s="353" t="n"/>
    </row>
    <row r="229" outlineLevel="1" s="583">
      <c r="B229" s="376" t="n"/>
      <c r="C229" s="158" t="inlineStr">
        <is>
          <t>CONFIG</t>
        </is>
      </c>
      <c r="D229" s="369" t="inlineStr">
        <is>
          <t>FRS_Brake Control</t>
        </is>
      </c>
      <c r="E229" s="344" t="inlineStr">
        <is>
          <t>Link</t>
        </is>
      </c>
      <c r="F229" s="314">
        <f t="array" ref="F229">HYPERLINK(CONCATENATE(Cartelle!$D$5,F$1,"/",$C229,"/",MID($D229,1,FIND("_",$D229)-1),"/",INDIRECT(CONCATENATE("'" &amp; $C229 &amp; "'!",ADDRESS(MATCH($D229, INDIRECT("'" &amp; $C229 &amp; "'!$B:$B"), 0),MATCH(F$1, INDIRECT("'" &amp; $C229 &amp; "'!$1:$1"), 0)))),".",INDIRECT(CONCATENATE("'"&amp;$C229&amp;"'!",ADDRESS(MATCH($D229,INDIRECT("'"&amp;$C229&amp;"'!$B:$B"),0),3))),"#page=",F230),CONCATENATE("#Sharepoint//",$D229))</f>
        <v/>
      </c>
      <c r="G229" s="378" t="n"/>
      <c r="H229" s="314">
        <f t="array" ref="H229">HYPERLINK(CONCATENATE(Cartelle!$D$5,INDEX(INDIRECT("'" &amp; $C229 &amp; "'!$1:$1"), 1, MATCH(INDIRECT(CONCATENATE("'" &amp; $C229 &amp; "'!",ADDRESS(MATCH($D229, INDIRECT("'" &amp; $C229 &amp; "'!$B:$B"), 0),MATCH(H$1, INDIRECT("'" &amp; $C229 &amp; "'!$1:$1"), 0)))),INDIRECT(CONCATENATE("'" &amp; $C229 &amp; "'!",MATCH($D229, INDIRECT("'" &amp; $C229 &amp; "'!$B:$B"), 0),":",MATCH($D229, INDIRECT("'" &amp; $C229 &amp; "'!$B:$B"), 0))),0)),"/",$C229,"/",MID($D229,1,FIND("_",$D229)-1),"/",INDIRECT(CONCATENATE("'" &amp; $C229 &amp; "'!",ADDRESS(MATCH($D229, INDIRECT("'" &amp; $C229 &amp; "'!$B:$B"), 0),MATCH(H$1, INDIRECT("'" &amp; $C229 &amp; "'!$1:$1"), 0)))),".",INDIRECT(CONCATENATE("'"&amp;$C229&amp;"'!",ADDRESS(MATCH($D229,INDIRECT("'"&amp;$C229&amp;"'!$B:$B"),0),3))),"#page=",H230),CONCATENATE("#Sharepoint//",$D229))</f>
        <v/>
      </c>
      <c r="I229" s="314">
        <f t="array" ref="I229">HYPERLINK(CONCATENATE(Cartelle!$D$5,INDEX(INDIRECT("'" &amp; $C229 &amp; "'!$1:$1"), 1, MATCH(INDIRECT(CONCATENATE("'" &amp; $C229 &amp; "'!",ADDRESS(MATCH($D229, INDIRECT("'" &amp; $C229 &amp; "'!$B:$B"), 0),MATCH(I$1, INDIRECT("'" &amp; $C229 &amp; "'!$1:$1"), 0)))),INDIRECT(CONCATENATE("'" &amp; $C229 &amp; "'!",MATCH($D229, INDIRECT("'" &amp; $C229 &amp; "'!$B:$B"), 0),":",MATCH($D229, INDIRECT("'" &amp; $C229 &amp; "'!$B:$B"), 0))),0)),"/",$C229,"/",MID($D229,1,FIND("_",$D229)-1),"/",INDIRECT(CONCATENATE("'" &amp; $C229 &amp; "'!",ADDRESS(MATCH($D229, INDIRECT("'" &amp; $C229 &amp; "'!$B:$B"), 0),MATCH(I$1, INDIRECT("'" &amp; $C229 &amp; "'!$1:$1"), 0)))),".",INDIRECT(CONCATENATE("'"&amp;$C229&amp;"'!",ADDRESS(MATCH($D229,INDIRECT("'"&amp;$C229&amp;"'!$B:$B"),0),3))),"#page=",I230),CONCATENATE("#Sharepoint//",$D229))</f>
        <v/>
      </c>
      <c r="J229" s="314">
        <f t="array" ref="J229">HYPERLINK(CONCATENATE(Cartelle!$D$5,INDEX(INDIRECT("'" &amp; $C229 &amp; "'!$1:$1"), 1, MATCH(INDIRECT(CONCATENATE("'" &amp; $C229 &amp; "'!",ADDRESS(MATCH($D229, INDIRECT("'" &amp; $C229 &amp; "'!$B:$B"), 0),MATCH(J$1, INDIRECT("'" &amp; $C229 &amp; "'!$1:$1"), 0)))),INDIRECT(CONCATENATE("'" &amp; $C229 &amp; "'!",MATCH($D229, INDIRECT("'" &amp; $C229 &amp; "'!$B:$B"), 0),":",MATCH($D229, INDIRECT("'" &amp; $C229 &amp; "'!$B:$B"), 0))),0)),"/",$C229,"/",MID($D229,1,FIND("_",$D229)-1),"/",INDIRECT(CONCATENATE("'" &amp; $C229 &amp; "'!",ADDRESS(MATCH($D229, INDIRECT("'" &amp; $C229 &amp; "'!$B:$B"), 0),MATCH(J$1, INDIRECT("'" &amp; $C229 &amp; "'!$1:$1"), 0)))),".",INDIRECT(CONCATENATE("'"&amp;$C229&amp;"'!",ADDRESS(MATCH($D229,INDIRECT("'"&amp;$C229&amp;"'!$B:$B"),0),3))),"#page=",J230),CONCATENATE("#Sharepoint//",$D229))</f>
        <v/>
      </c>
      <c r="K229" s="346" t="n"/>
      <c r="L229" s="346" t="n"/>
    </row>
    <row r="230" outlineLevel="2" s="583">
      <c r="B230" s="376" t="n"/>
      <c r="D230" s="373" t="n"/>
      <c r="E230" s="356" t="inlineStr">
        <is>
          <t>Rif. Pagina</t>
        </is>
      </c>
      <c r="F230" s="357" t="n">
        <v>87</v>
      </c>
      <c r="G230" s="357" t="n"/>
      <c r="H230" s="357" t="n">
        <v>94</v>
      </c>
      <c r="I230" s="357" t="n">
        <v>86</v>
      </c>
      <c r="J230" s="357" t="n">
        <v>129</v>
      </c>
      <c r="K230" s="357" t="n"/>
      <c r="L230" s="357" t="n"/>
    </row>
    <row r="231" outlineLevel="2" customFormat="1" s="13">
      <c r="B231" s="103" t="n"/>
      <c r="C231" s="548" t="n"/>
      <c r="D231" s="458" t="n"/>
      <c r="E231" s="459" t="inlineStr">
        <is>
          <t>Funzioni AI</t>
        </is>
      </c>
      <c r="F231" s="626" t="inlineStr">
        <is>
          <t>La funzione ferroviaria "BRK_Holding_Brake" è un sistema di frenatura adattiva che mantiene il treno in standstill e impedisce il rollaggio su pendenze, garantendo la sicurezza durante le fermate. Il sistema è attivato automaticamente quando il treno si ferma e viene rilasciato manualmente dal pilota o automaticamente quando il traino è attivo. La funzione è basata sulla logica di attivazione/disattivazione che dipende dalla presenza del freno di parcheggio e dello stato delle porte, con la possibilità di ridondanza grazie alla gestione dei comandi TCMS.
Analisi — Funzione equivalente tra le seguenti configurazioni: VZI_Base, VZ_FR, VZ_ES, VZI-6_R1.
Pagina iniziale: parte di pagina 87 — Pagina finale: parte di pagina 91.</t>
        </is>
      </c>
      <c r="G231" s="460" t="n"/>
      <c r="H231" s="626" t="inlineStr">
        <is>
          <t>La funzione ferroviaria "BRK_Holding_Brake" è un sistema di frenatura adattiva che mantiene il treno in standstill e impedisce il rollaggio su pendenze, garantendo la sicurezza durante le fermate. La funzione è gestita dal sistema TCMS (Train Control and Management System) e viene attivata automaticamente quando il treno si ferma o viene rilasciata manualmente dal pilota tramite il pulsante "Holding brake release". La funzione è anche influenzata dalla presenza del freno di parcheggio e dello stato delle porte.
Analisi — Funzione equivalente tra le seguenti configurazioni: VZI_Base, VZ_FR, VZ_ES, VZI-6_R1.
Pagina iniziale: parte di pagina 94 — Pagina finale: parte di pagina 99.</t>
        </is>
      </c>
      <c r="I231" s="626" t="inlineStr">
        <is>
          <t>La funzione ferroviaria "BRK_Holding_Brake" è un sistema di frenatura adattiva che mantiene il treno in standstill e impedisce il rollaggio su pendenze, utilizzando una forza di frenata diretta applicata dal sistema TCMS. La funzione è attivata automaticamente quando il treno si ferma e viene rilasciata quando il treno accede alla velocità o quando il driver la richiede manualmente tramite un pulsante. La funzione è anche controllata dalla presenza di freno di stazionamento e da lo stato delle porte, con ridondanze per garantire la sicurezza.
Analisi — Funzione equivalente tra le seguenti configurazioni: VZI_Base, VZ_FR, VZ_ES, VZI-6_R1.
Pagina iniziale: parte di pagina 86 — Pagina finale: parte di pagina 90.</t>
        </is>
      </c>
      <c r="J231" s="626" t="inlineStr">
        <is>
          <t>La funzione ferroviaria "BRK_Holding_Brake" è una frenatura di trazione che mantiene il treno in standstill e impedisce il rollio su pendenze, garantendo la sicurezza durante le fermate e le discese. La funzione è gestita dal sistema TCMS (Traction Control and Management System) e viene attivata automaticamente quando il treno si ferma o viene rilasciata manualmente dal pilota tramite il pulsante "Holding brake release". La funzione è anche controllata dalla presenza di freno di trazione e da altri parametri come la posizione delle porte.
Analisi — Funzione equivalente tra le seguenti configurazioni: VZI_Base, VZ_FR, VZ_ES, VZI-6_R1.
Pagina iniziale: parte di pagina 129 — Pagina finale: parte di pagina 133.</t>
        </is>
      </c>
      <c r="K231" s="460" t="n"/>
      <c r="L231" s="461" t="n"/>
    </row>
    <row r="232">
      <c r="A232" s="350" t="inlineStr">
        <is>
          <t>BRK_Urgency_Brake_(Optional)</t>
        </is>
      </c>
      <c r="B232" s="377" t="n"/>
      <c r="C232" s="393" t="n"/>
      <c r="D232" s="371" t="inlineStr">
        <is>
          <t>\</t>
        </is>
      </c>
      <c r="E232" s="351" t="n"/>
      <c r="F232" s="352" t="n"/>
      <c r="G232" s="352" t="n"/>
      <c r="H232" s="352" t="n"/>
      <c r="I232" s="352" t="n"/>
      <c r="J232" s="352" t="n"/>
      <c r="K232" s="352" t="n"/>
      <c r="L232" s="353" t="n"/>
    </row>
    <row r="233" outlineLevel="1" s="583">
      <c r="B233" s="376" t="n"/>
      <c r="C233" s="158" t="inlineStr">
        <is>
          <t>CONFIG</t>
        </is>
      </c>
      <c r="D233" s="369" t="inlineStr">
        <is>
          <t>FRS_Brake Control</t>
        </is>
      </c>
      <c r="E233" s="344" t="inlineStr">
        <is>
          <t>Link</t>
        </is>
      </c>
      <c r="F233" s="314">
        <f t="array" ref="F233">HYPERLINK(CONCATENATE(Cartelle!$D$5,F$1,"/",$C233,"/",MID($D233,1,FIND("_",$D233)-1),"/",INDIRECT(CONCATENATE("'" &amp; $C233 &amp; "'!",ADDRESS(MATCH($D233, INDIRECT("'" &amp; $C233 &amp; "'!$B:$B"), 0),MATCH(F$1, INDIRECT("'" &amp; $C233 &amp; "'!$1:$1"), 0)))),".",INDIRECT(CONCATENATE("'"&amp;$C233&amp;"'!",ADDRESS(MATCH($D233,INDIRECT("'"&amp;$C233&amp;"'!$B:$B"),0),3))),"#page=",F234),CONCATENATE("#Sharepoint//",$D233))</f>
        <v/>
      </c>
      <c r="G233" s="378" t="n"/>
      <c r="H233" s="314">
        <f t="array" ref="H233">HYPERLINK(CONCATENATE(Cartelle!$D$5,INDEX(INDIRECT("'" &amp; $C233 &amp; "'!$1:$1"), 1, MATCH(INDIRECT(CONCATENATE("'" &amp; $C233 &amp; "'!",ADDRESS(MATCH($D233, INDIRECT("'" &amp; $C233 &amp; "'!$B:$B"), 0),MATCH(H$1, INDIRECT("'" &amp; $C233 &amp; "'!$1:$1"), 0)))),INDIRECT(CONCATENATE("'" &amp; $C233 &amp; "'!",MATCH($D233, INDIRECT("'" &amp; $C233 &amp; "'!$B:$B"), 0),":",MATCH($D233, INDIRECT("'" &amp; $C233 &amp; "'!$B:$B"), 0))),0)),"/",$C233,"/",MID($D233,1,FIND("_",$D233)-1),"/",INDIRECT(CONCATENATE("'" &amp; $C233 &amp; "'!",ADDRESS(MATCH($D233, INDIRECT("'" &amp; $C233 &amp; "'!$B:$B"), 0),MATCH(H$1, INDIRECT("'" &amp; $C233 &amp; "'!$1:$1"), 0)))),".",INDIRECT(CONCATENATE("'"&amp;$C233&amp;"'!",ADDRESS(MATCH($D233,INDIRECT("'"&amp;$C233&amp;"'!$B:$B"),0),3))),"#page=",H234),CONCATENATE("#Sharepoint//",$D233))</f>
        <v/>
      </c>
      <c r="I233" s="314">
        <f t="array" ref="I233">HYPERLINK(CONCATENATE(Cartelle!$D$5,INDEX(INDIRECT("'" &amp; $C233 &amp; "'!$1:$1"), 1, MATCH(INDIRECT(CONCATENATE("'" &amp; $C233 &amp; "'!",ADDRESS(MATCH($D233, INDIRECT("'" &amp; $C233 &amp; "'!$B:$B"), 0),MATCH(I$1, INDIRECT("'" &amp; $C233 &amp; "'!$1:$1"), 0)))),INDIRECT(CONCATENATE("'" &amp; $C233 &amp; "'!",MATCH($D233, INDIRECT("'" &amp; $C233 &amp; "'!$B:$B"), 0),":",MATCH($D233, INDIRECT("'" &amp; $C233 &amp; "'!$B:$B"), 0))),0)),"/",$C233,"/",MID($D233,1,FIND("_",$D233)-1),"/",INDIRECT(CONCATENATE("'" &amp; $C233 &amp; "'!",ADDRESS(MATCH($D233, INDIRECT("'" &amp; $C233 &amp; "'!$B:$B"), 0),MATCH(I$1, INDIRECT("'" &amp; $C233 &amp; "'!$1:$1"), 0)))),".",INDIRECT(CONCATENATE("'"&amp;$C233&amp;"'!",ADDRESS(MATCH($D233,INDIRECT("'"&amp;$C233&amp;"'!$B:$B"),0),3))),"#page=",I234),CONCATENATE("#Sharepoint//",$D233))</f>
        <v/>
      </c>
      <c r="J233" s="314">
        <f t="array" ref="J233">HYPERLINK(CONCATENATE(Cartelle!$D$5,INDEX(INDIRECT("'" &amp; $C233 &amp; "'!$1:$1"), 1, MATCH(INDIRECT(CONCATENATE("'" &amp; $C233 &amp; "'!",ADDRESS(MATCH($D233, INDIRECT("'" &amp; $C233 &amp; "'!$B:$B"), 0),MATCH(J$1, INDIRECT("'" &amp; $C233 &amp; "'!$1:$1"), 0)))),INDIRECT(CONCATENATE("'" &amp; $C233 &amp; "'!",MATCH($D233, INDIRECT("'" &amp; $C233 &amp; "'!$B:$B"), 0),":",MATCH($D233, INDIRECT("'" &amp; $C233 &amp; "'!$B:$B"), 0))),0)),"/",$C233,"/",MID($D233,1,FIND("_",$D233)-1),"/",INDIRECT(CONCATENATE("'" &amp; $C233 &amp; "'!",ADDRESS(MATCH($D233, INDIRECT("'" &amp; $C233 &amp; "'!$B:$B"), 0),MATCH(J$1, INDIRECT("'" &amp; $C233 &amp; "'!$1:$1"), 0)))),".",INDIRECT(CONCATENATE("'"&amp;$C233&amp;"'!",ADDRESS(MATCH($D233,INDIRECT("'"&amp;$C233&amp;"'!$B:$B"),0),3))),"#page=",J234),CONCATENATE("#Sharepoint//",$D233))</f>
        <v/>
      </c>
      <c r="K233" s="346" t="n"/>
      <c r="L233" s="346" t="n"/>
    </row>
    <row r="234" outlineLevel="2" s="583">
      <c r="B234" s="376" t="n"/>
      <c r="D234" s="373" t="n"/>
      <c r="E234" s="356" t="inlineStr">
        <is>
          <t>Rif. Pagina</t>
        </is>
      </c>
      <c r="F234" s="357" t="n">
        <v>91</v>
      </c>
      <c r="G234" s="357" t="n"/>
      <c r="H234" s="357" t="n">
        <v>99</v>
      </c>
      <c r="I234" s="357" t="n">
        <v>90</v>
      </c>
      <c r="J234" s="357" t="n">
        <v>133</v>
      </c>
      <c r="K234" s="357" t="n"/>
      <c r="L234" s="357" t="n"/>
    </row>
    <row r="235" outlineLevel="2" customFormat="1" s="13">
      <c r="B235" s="103" t="n"/>
      <c r="C235" s="548" t="n"/>
      <c r="D235" s="458" t="n"/>
      <c r="E235" s="459" t="inlineStr">
        <is>
          <t>Funzioni AI</t>
        </is>
      </c>
      <c r="F235" s="626" t="inlineStr">
        <is>
          <t>La funzione ferroviaria "BRK_Urgency_Brake" è un sistema di freno d'emergenza che consente di attivare il freno elettrico dinamico in situazioni di emergenza per ridurre la distanza di fermata. Il sistema è composto da componenti elettrici/meccanici/software come l'urgenza brake loop, il controllo del sistema di freno (TCMS), il BCU e il WSP-CU. La funzione viene attivata quando il sistema riceve un segnale di urgenza dal TCMS e viene gestita in modo da ridurre la curva di decelerazione per minimizzare lo sforzo termico sui dischi freno. Il sistema è progettato con una logica di funzionamento che prevede la compensazione della perdita di forza di freno dovuta all'urgenza brake loop de-energizzato, garantendo una sicurezza aggiuntiva.
Analisi — Funzione equivalente tra le seguenti configurazioni: VZI_Base, VZ_FR, VZ_ES, VZI-6_R1.
Pagina iniziale: parte di pagina 91 — Pagina finale: parte di pagina 97.</t>
        </is>
      </c>
      <c r="G235" s="460" t="n"/>
      <c r="H235" s="626" t="inlineStr">
        <is>
          <t>La funzione ferroviaria "BRK_Urgency_Brake_(Optional)" è un meccanismo di frenata di emergenza che consente di attivare il freno elettrico dinamico in caso di situazioni di emergenza per ridurre la distanza di fermata. È composta da componenti elettrici/meccanici/software come l'urgenza brake loop, il sistema di controllo del motore (TCMS), il BCU e il WSP-CU. La funzione è attivata quando il TCMS riceve un segnale di urgenza e invia una richiesta di frenata al BCU, che applica la pressione necessaria per attivare il freno elettrico dinamico. In caso di perdita di comunicazione con il sistema di controllo del motore, il BCU applica una pressione predefinita per compensare la mancanza di forza di frenata. La funzione è progettata per essere load-compensated e utilizza la stessa logica di calcolo dei requisiti di frenata descritta nella sezione 3.1.2.3, con l'unico differimento che il calcolo si effettua a livello vagonale.
Analisi — Funzione equivalente tra le seguenti configurazioni: VZI_Base, VZ_FR, VZ_ES, VZI-6_R1.
Pagina iniziale: parte di pagina 99 — Pagina finale: parte di pagina 102.</t>
        </is>
      </c>
      <c r="I235" s="626" t="inlineStr">
        <is>
          <t>La funzione ferroviaria "BRK_Urgency_Brake" è un meccanismo di frenatura di emergenza che consente di utilizzare il freno elettrico dinamico in combinazione con il freno pneumatico per ridurre al minimo la distanza di fermata. La funzione è gestita dal sistema TCMS (Train Control and Monitoring System) e richiede l'installazione dell'apparato di supervisione del freno d'emergenza (EBS). La logica di funzionamento attiva il freno in caso di perdita di controllo o di emergenza, con un decelerazione controllata per ridurre la carica termica sui dischi frenanti. La funzione è load compensata e viene gestita dal BCU (Braking Control Unit) e dal WSP-CU (Wheel Speed and Pressure Control Unit).
Analisi — Funzione equivalente tra le seguenti configurazioni: VZI_Base, VZ_FR, VZ_ES, VZI-6_R1.
Pagina iniziale: parte di pagina 90 — Pagina finale: parte di pagina 93.</t>
        </is>
      </c>
      <c r="J235" s="626" t="inlineStr">
        <is>
          <t>La funzione ferroviaria "BRK_Urgency_Brake" è un sistema di freno d'emergenza per garantire il minor distacco di stazionamento possibile in situazioni di emergenza. È caratterizzato dalla combinazione di un freno elettrico dinamico con un freno pneumatico elettrico, gestito dal sistema TCMS (Train Control and Monitoring System). La funzione viene attivata quando il sistema rileva una perdita di comunicazione con il BCU (Braking Control Unit) e invia una pressione predefinita per compensare la mancanza di forza frenante. Il sistema è progettato per essere load-compensated, cioè calcolare la forza frenante in base al peso del veicolo, e dispone di ridondanze per garantire la sicurezza, come il invio di una richiesta di freno diretta via IP.
Analisi — Funzione equivalente tra le seguenti configurazioni: VZI_Base, VZ_FR, VZ_ES, VZI-6_R1.
Pagina iniziale: parte di pagina 133 — Pagina finale: parte di pagina 136.</t>
        </is>
      </c>
      <c r="K235" s="460" t="n"/>
      <c r="L235" s="461" t="n"/>
    </row>
    <row r="236">
      <c r="A236" s="350" t="inlineStr">
        <is>
          <t>BRK_Emergency_Brake</t>
        </is>
      </c>
      <c r="B236" s="377" t="n"/>
      <c r="C236" s="393" t="n"/>
      <c r="D236" s="371" t="inlineStr">
        <is>
          <t>\</t>
        </is>
      </c>
      <c r="E236" s="351" t="n"/>
      <c r="F236" s="352" t="n"/>
      <c r="G236" s="352" t="n"/>
      <c r="H236" s="352" t="n"/>
      <c r="I236" s="352" t="n"/>
      <c r="J236" s="352" t="n"/>
      <c r="K236" s="352" t="n"/>
      <c r="L236" s="353" t="n"/>
    </row>
    <row r="237" outlineLevel="1" s="583">
      <c r="B237" s="376" t="n"/>
      <c r="C237" s="158" t="inlineStr">
        <is>
          <t>CONFIG</t>
        </is>
      </c>
      <c r="D237" s="369" t="inlineStr">
        <is>
          <t>FRS_Brake Control</t>
        </is>
      </c>
      <c r="E237" s="344" t="inlineStr">
        <is>
          <t>Link</t>
        </is>
      </c>
      <c r="F237" s="314">
        <f t="array" ref="F237">HYPERLINK(CONCATENATE(Cartelle!$D$5,F$1,"/",$C237,"/",MID($D237,1,FIND("_",$D237)-1),"/",INDIRECT(CONCATENATE("'" &amp; $C237 &amp; "'!",ADDRESS(MATCH($D237, INDIRECT("'" &amp; $C237 &amp; "'!$B:$B"), 0),MATCH(F$1, INDIRECT("'" &amp; $C237 &amp; "'!$1:$1"), 0)))),".",INDIRECT(CONCATENATE("'"&amp;$C237&amp;"'!",ADDRESS(MATCH($D237,INDIRECT("'"&amp;$C237&amp;"'!$B:$B"),0),3))),"#page=",F238),CONCATENATE("#Sharepoint//",$D237))</f>
        <v/>
      </c>
      <c r="G237" s="378" t="n"/>
      <c r="H237" s="314">
        <f t="array" ref="H237">HYPERLINK(CONCATENATE(Cartelle!$D$5,INDEX(INDIRECT("'" &amp; $C237 &amp; "'!$1:$1"), 1, MATCH(INDIRECT(CONCATENATE("'" &amp; $C237 &amp; "'!",ADDRESS(MATCH($D237, INDIRECT("'" &amp; $C237 &amp; "'!$B:$B"), 0),MATCH(H$1, INDIRECT("'" &amp; $C237 &amp; "'!$1:$1"), 0)))),INDIRECT(CONCATENATE("'" &amp; $C237 &amp; "'!",MATCH($D237, INDIRECT("'" &amp; $C237 &amp; "'!$B:$B"), 0),":",MATCH($D237, INDIRECT("'" &amp; $C237 &amp; "'!$B:$B"), 0))),0)),"/",$C237,"/",MID($D237,1,FIND("_",$D237)-1),"/",INDIRECT(CONCATENATE("'" &amp; $C237 &amp; "'!",ADDRESS(MATCH($D237, INDIRECT("'" &amp; $C237 &amp; "'!$B:$B"), 0),MATCH(H$1, INDIRECT("'" &amp; $C237 &amp; "'!$1:$1"), 0)))),".",INDIRECT(CONCATENATE("'"&amp;$C237&amp;"'!",ADDRESS(MATCH($D237,INDIRECT("'"&amp;$C237&amp;"'!$B:$B"),0),3))),"#page=",H238),CONCATENATE("#Sharepoint//",$D237))</f>
        <v/>
      </c>
      <c r="I237" s="314">
        <f t="array" ref="I237">HYPERLINK(CONCATENATE(Cartelle!$D$5,INDEX(INDIRECT("'" &amp; $C237 &amp; "'!$1:$1"), 1, MATCH(INDIRECT(CONCATENATE("'" &amp; $C237 &amp; "'!",ADDRESS(MATCH($D237, INDIRECT("'" &amp; $C237 &amp; "'!$B:$B"), 0),MATCH(I$1, INDIRECT("'" &amp; $C237 &amp; "'!$1:$1"), 0)))),INDIRECT(CONCATENATE("'" &amp; $C237 &amp; "'!",MATCH($D237, INDIRECT("'" &amp; $C237 &amp; "'!$B:$B"), 0),":",MATCH($D237, INDIRECT("'" &amp; $C237 &amp; "'!$B:$B"), 0))),0)),"/",$C237,"/",MID($D237,1,FIND("_",$D237)-1),"/",INDIRECT(CONCATENATE("'" &amp; $C237 &amp; "'!",ADDRESS(MATCH($D237, INDIRECT("'" &amp; $C237 &amp; "'!$B:$B"), 0),MATCH(I$1, INDIRECT("'" &amp; $C237 &amp; "'!$1:$1"), 0)))),".",INDIRECT(CONCATENATE("'"&amp;$C237&amp;"'!",ADDRESS(MATCH($D237,INDIRECT("'"&amp;$C237&amp;"'!$B:$B"),0),3))),"#page=",I238),CONCATENATE("#Sharepoint//",$D237))</f>
        <v/>
      </c>
      <c r="J237" s="314">
        <f t="array" ref="J237">HYPERLINK(CONCATENATE(Cartelle!$D$5,INDEX(INDIRECT("'" &amp; $C237 &amp; "'!$1:$1"), 1, MATCH(INDIRECT(CONCATENATE("'" &amp; $C237 &amp; "'!",ADDRESS(MATCH($D237, INDIRECT("'" &amp; $C237 &amp; "'!$B:$B"), 0),MATCH(J$1, INDIRECT("'" &amp; $C237 &amp; "'!$1:$1"), 0)))),INDIRECT(CONCATENATE("'" &amp; $C237 &amp; "'!",MATCH($D237, INDIRECT("'" &amp; $C237 &amp; "'!$B:$B"), 0),":",MATCH($D237, INDIRECT("'" &amp; $C237 &amp; "'!$B:$B"), 0))),0)),"/",$C237,"/",MID($D237,1,FIND("_",$D237)-1),"/",INDIRECT(CONCATENATE("'" &amp; $C237 &amp; "'!",ADDRESS(MATCH($D237, INDIRECT("'" &amp; $C237 &amp; "'!$B:$B"), 0),MATCH(J$1, INDIRECT("'" &amp; $C237 &amp; "'!$1:$1"), 0)))),".",INDIRECT(CONCATENATE("'"&amp;$C237&amp;"'!",ADDRESS(MATCH($D237,INDIRECT("'"&amp;$C237&amp;"'!$B:$B"),0),3))),"#page=",J238),CONCATENATE("#Sharepoint//",$D237))</f>
        <v/>
      </c>
      <c r="K237" s="346" t="n"/>
      <c r="L237" s="346" t="n"/>
    </row>
    <row r="238" outlineLevel="2" s="583">
      <c r="B238" s="376" t="n"/>
      <c r="D238" s="373" t="n"/>
      <c r="E238" s="356" t="inlineStr">
        <is>
          <t>Rif. Pagina</t>
        </is>
      </c>
      <c r="F238" s="357" t="n">
        <v>97</v>
      </c>
      <c r="G238" s="357" t="n"/>
      <c r="H238" s="357" t="n">
        <v>102</v>
      </c>
      <c r="I238" s="357" t="n">
        <v>93</v>
      </c>
      <c r="J238" s="357" t="n">
        <v>136</v>
      </c>
      <c r="K238" s="357" t="n"/>
      <c r="L238" s="357" t="n"/>
    </row>
    <row r="239" outlineLevel="2" s="583">
      <c r="B239" s="376" t="n"/>
      <c r="D239" s="357" t="n"/>
      <c r="E239" s="459" t="inlineStr">
        <is>
          <t>Funzioni AI</t>
        </is>
      </c>
      <c r="F239" s="629" t="inlineStr">
        <is>
          <t>La funzione ferroviaria "BRK_Emergency_Brake" è un sistema di frenatura d'emergenza progettato per fermare il treno in breve distanza e con massimo livello di integrità. È caratterizzato dall'utilizzo di una combinazione di pneumatica, elettrica e software per controllare la frenatura indiretta attraverso un circuito pneomatico e un loop elettrico. La funzione è attivata in quattro stadi per ridurre il carico termico sui dischi frenanti e riflettere il comportamento della frizione a bassa velocità. La logica di funzionamento prevede l'attivazione automatica in caso di fallimento dei sistemi correlati, perdita di potenza o allentamento del treno. Il sistema è progettato con una ridondanza e un alto livello di sicurezza per garantire la ferma fermata del treno in qualsiasi condizione.
Analisi — Funzione equivalente tra le seguenti configurazioni: VZI_Base, VZ_FR, VZ_ES, VZI-6_R1.
Pagina iniziale: parte di pagina 97 — Pagina finale: parte di pagina 104.</t>
        </is>
      </c>
      <c r="G239" s="463" t="n"/>
      <c r="H239" s="629" t="inlineStr">
        <is>
          <t>La funzione ferroviaria "BRK_Emergency_Brake" è un sistema di frenatura d'emergenza progettato per fermare il treno in breve distanza e con massima sicurezza. Il sistema è composto da componenti elettrici/meccanici/software come il circuito pneumatico indiretto, l'elenco elettrico di emergenza, il bus MVB e il controllore del sistema. La funzione si attiva in quattro stadi per ridurre la carica termica sui dischi frenanti e riflettere il comportamento della frizione a bassa velocità. Il sistema è progettato con una logica di fail-safe, garantendo un alto livello di integrità e sicurezza, con ridondanze nei casi di mancata presenza dell'EBS unit o di disattivazione del circuito pneumatico indiretto.
Analisi — Funzione equivalente tra le seguenti configurazioni: VZI_Base, VZ_FR, VZ_ES, VZI-6_R1.
Pagina iniziale: parte di pagina 102 — Pagina finale: parte di pagina 111.</t>
        </is>
      </c>
      <c r="I239" s="629" t="inlineStr">
        <is>
          <t>La funzione ferroviaria "BRK_Emergency_Brake" è un sistema di frenatura d'emergenza progettato per fermare il treno in breve distanza e con massima integrità. È caratterizzato dall'utilizzo di una combinazione di pneumatica, elettricità e software per controllare la frenatura indiretta tramite tubi pneumatici e circuiti elettrici. La funzione è attivata in quattro stadi per ridurre il carico termico sui dischi frenanti e riflettere il comportamento della frizione ai bassi velocità. Il sistema è progettato con una logica di fail-safe, garantendo un alto livello di integrità e sicurezza, con ridondanze nei componenti elettrici/meccanici/software per assicurare la continuità del funzionamento anche in caso di fallimento o interruzione dei sistemi.
Analisi — Funzione equivalente tra le seguenti configurazioni: VZI_Base, VZ_FR, VZ_ES, VZI-6_R1.
Pagina iniziale: parte di pagina 93 — Pagina finale: pagina 108.</t>
        </is>
      </c>
      <c r="J239" s="629" t="inlineStr">
        <is>
          <t>La funzione ferroviaria "BRK_Emergency_Brake" è un sistema di frenatura d'emergenza progettato per fermare il treno in breve distanza e con massima integrità. È basata su una combinazione di pneumatica elettrica, controllo indiretto via IP bus e circuito di emergenza pneumatico. La funzione è attivata in quattro stadi per ridurre il carico termico sui dischi frenanti e riflettere il comportamento della frizione al basso velocità. Il sistema è progettato con una logica di fail-safe, con ridondanze e requisiti di sicurezza garantiti da un concetto ripetuto e attivazione in caso di eventi critici come la perdita di parte del treno o la disconnessione della fornitura elettrica.
Analisi — Funzione equivalente tra le seguenti configurazioni: VZI_Base, VZ_FR, VZ_ES, VZI-6_R1.
Pagina iniziale: parte di pagina 136 — Pagina finale: pagina 151.</t>
        </is>
      </c>
      <c r="K239" s="463" t="n"/>
      <c r="L239" s="464" t="n"/>
    </row>
    <row r="240">
      <c r="A240" s="350" t="inlineStr">
        <is>
          <t>BRK_Parking_Brake</t>
        </is>
      </c>
      <c r="B240" s="377" t="n"/>
      <c r="C240" s="393" t="n"/>
      <c r="D240" s="371" t="inlineStr">
        <is>
          <t>\</t>
        </is>
      </c>
      <c r="E240" s="351" t="n"/>
      <c r="F240" s="352" t="n"/>
      <c r="G240" s="352" t="n"/>
      <c r="H240" s="352" t="n"/>
      <c r="I240" s="352" t="n"/>
      <c r="J240" s="352" t="n"/>
      <c r="K240" s="352" t="n"/>
      <c r="L240" s="353" t="n"/>
    </row>
    <row r="241" outlineLevel="1" s="583">
      <c r="B241" s="376" t="n"/>
      <c r="C241" s="158" t="inlineStr">
        <is>
          <t>CONFIG</t>
        </is>
      </c>
      <c r="D241" s="369" t="inlineStr">
        <is>
          <t>FRS_Brake Control</t>
        </is>
      </c>
      <c r="E241" s="344" t="inlineStr">
        <is>
          <t>Link</t>
        </is>
      </c>
      <c r="F241" s="314">
        <f t="array" ref="F241">HYPERLINK(CONCATENATE(Cartelle!$D$5,F$1,"/",$C241,"/",MID($D241,1,FIND("_",$D241)-1),"/",INDIRECT(CONCATENATE("'" &amp; $C241 &amp; "'!",ADDRESS(MATCH($D241, INDIRECT("'" &amp; $C241 &amp; "'!$B:$B"), 0),MATCH(F$1, INDIRECT("'" &amp; $C241 &amp; "'!$1:$1"), 0)))),".",INDIRECT(CONCATENATE("'"&amp;$C241&amp;"'!",ADDRESS(MATCH($D241,INDIRECT("'"&amp;$C241&amp;"'!$B:$B"),0),3))),"#page=",F242),CONCATENATE("#Sharepoint//",$D241))</f>
        <v/>
      </c>
      <c r="G241" s="378" t="n"/>
      <c r="H241" s="314">
        <f t="array" ref="H241">HYPERLINK(CONCATENATE(Cartelle!$D$5,INDEX(INDIRECT("'" &amp; $C241 &amp; "'!$1:$1"), 1, MATCH(INDIRECT(CONCATENATE("'" &amp; $C241 &amp; "'!",ADDRESS(MATCH($D241, INDIRECT("'" &amp; $C241 &amp; "'!$B:$B"), 0),MATCH(H$1, INDIRECT("'" &amp; $C241 &amp; "'!$1:$1"), 0)))),INDIRECT(CONCATENATE("'" &amp; $C241 &amp; "'!",MATCH($D241, INDIRECT("'" &amp; $C241 &amp; "'!$B:$B"), 0),":",MATCH($D241, INDIRECT("'" &amp; $C241 &amp; "'!$B:$B"), 0))),0)),"/",$C241,"/",MID($D241,1,FIND("_",$D241)-1),"/",INDIRECT(CONCATENATE("'" &amp; $C241 &amp; "'!",ADDRESS(MATCH($D241, INDIRECT("'" &amp; $C241 &amp; "'!$B:$B"), 0),MATCH(H$1, INDIRECT("'" &amp; $C241 &amp; "'!$1:$1"), 0)))),".",INDIRECT(CONCATENATE("'"&amp;$C241&amp;"'!",ADDRESS(MATCH($D241,INDIRECT("'"&amp;$C241&amp;"'!$B:$B"),0),3))),"#page=",H242),CONCATENATE("#Sharepoint//",$D241))</f>
        <v/>
      </c>
      <c r="I241" s="314">
        <f t="array" ref="I241">HYPERLINK(CONCATENATE(Cartelle!$D$5,INDEX(INDIRECT("'" &amp; $C241 &amp; "'!$1:$1"), 1, MATCH(INDIRECT(CONCATENATE("'" &amp; $C241 &amp; "'!",ADDRESS(MATCH($D241, INDIRECT("'" &amp; $C241 &amp; "'!$B:$B"), 0),MATCH(I$1, INDIRECT("'" &amp; $C241 &amp; "'!$1:$1"), 0)))),INDIRECT(CONCATENATE("'" &amp; $C241 &amp; "'!",MATCH($D241, INDIRECT("'" &amp; $C241 &amp; "'!$B:$B"), 0),":",MATCH($D241, INDIRECT("'" &amp; $C241 &amp; "'!$B:$B"), 0))),0)),"/",$C241,"/",MID($D241,1,FIND("_",$D241)-1),"/",INDIRECT(CONCATENATE("'" &amp; $C241 &amp; "'!",ADDRESS(MATCH($D241, INDIRECT("'" &amp; $C241 &amp; "'!$B:$B"), 0),MATCH(I$1, INDIRECT("'" &amp; $C241 &amp; "'!$1:$1"), 0)))),".",INDIRECT(CONCATENATE("'"&amp;$C241&amp;"'!",ADDRESS(MATCH($D241,INDIRECT("'"&amp;$C241&amp;"'!$B:$B"),0),3))),"#page=",I242),CONCATENATE("#Sharepoint//",$D241))</f>
        <v/>
      </c>
      <c r="J241" s="314">
        <f t="array" ref="J241">HYPERLINK(CONCATENATE(Cartelle!$D$5,INDEX(INDIRECT("'" &amp; $C241 &amp; "'!$1:$1"), 1, MATCH(INDIRECT(CONCATENATE("'" &amp; $C241 &amp; "'!",ADDRESS(MATCH($D241, INDIRECT("'" &amp; $C241 &amp; "'!$B:$B"), 0),MATCH(J$1, INDIRECT("'" &amp; $C241 &amp; "'!$1:$1"), 0)))),INDIRECT(CONCATENATE("'" &amp; $C241 &amp; "'!",MATCH($D241, INDIRECT("'" &amp; $C241 &amp; "'!$B:$B"), 0),":",MATCH($D241, INDIRECT("'" &amp; $C241 &amp; "'!$B:$B"), 0))),0)),"/",$C241,"/",MID($D241,1,FIND("_",$D241)-1),"/",INDIRECT(CONCATENATE("'" &amp; $C241 &amp; "'!",ADDRESS(MATCH($D241, INDIRECT("'" &amp; $C241 &amp; "'!$B:$B"), 0),MATCH(J$1, INDIRECT("'" &amp; $C241 &amp; "'!$1:$1"), 0)))),".",INDIRECT(CONCATENATE("'"&amp;$C241&amp;"'!",ADDRESS(MATCH($D241,INDIRECT("'"&amp;$C241&amp;"'!$B:$B"),0),3))),"#page=",J242),CONCATENATE("#Sharepoint//",$D241))</f>
        <v/>
      </c>
      <c r="K241" s="346" t="n"/>
      <c r="L241" s="346" t="n"/>
    </row>
    <row r="242" outlineLevel="2" s="583">
      <c r="B242" s="376" t="n"/>
      <c r="D242" s="373" t="n"/>
      <c r="E242" s="356" t="inlineStr">
        <is>
          <t>Rif. Pagina</t>
        </is>
      </c>
      <c r="F242" s="357" t="n">
        <v>117</v>
      </c>
      <c r="G242" s="357" t="n"/>
      <c r="H242" s="357" t="n">
        <v>127</v>
      </c>
      <c r="I242" s="357" t="n">
        <v>113</v>
      </c>
      <c r="J242" s="357" t="n">
        <v>154</v>
      </c>
      <c r="K242" s="357" t="n"/>
      <c r="L242" s="357" t="n"/>
    </row>
    <row r="243" outlineLevel="2" s="583">
      <c r="B243" s="376" t="n"/>
      <c r="D243" s="357" t="n"/>
      <c r="E243" s="459" t="inlineStr">
        <is>
          <t>Funzioni AI</t>
        </is>
      </c>
      <c r="F243" s="629" t="inlineStr">
        <is>
          <t>La funzione ferroviaria "BRK_Parking_Brake" è una funzione di freno di parcheggio per il treno ETR1000/V300ZEFIRO. La funzione è attivata automaticamente se la pressione dell'auxiliary brake reservoir scende sotto 650 kPa o se la cabina del conducente viene disattivata, e viene rilasciata tramite un pulsante di controllo sulla scrivania del conducente. La logica di funzionamento prevede l'utilizzo di TCMS per controllare il freno di parcheggio, con una ridondanza dei comandi di applicazione e rilascio.
Analisi — Funzione equivalente tra le seguenti configurazioni: VZI_Base, VZ_FR, VZ_ES, VZI-6_R1.
Pagina iniziale: parte di pagina 117 — Pagina finale: parte di pagina 131.</t>
        </is>
      </c>
      <c r="G243" s="463" t="n"/>
      <c r="H243" s="629" t="inlineStr">
        <is>
          <t>La funzione ferroviaria "BRK_Parking_Brake" è un sistema di freno di parcheggio per il treno ETR1000/V300ZEFIRO che prevede l'applicazione automatica del freno in caso di deattivazione della cabina o di caduta della pressione dell'olio di frenaggio. Il sistema è controllato da TCMS e utilizza un controllo magnetico bi-stabile per applicare o rilasciare il freno, con una ridondanza elettrica per garantire la sicurezza.
Analisi — Funzione equivalente tra le seguenti configurazioni: VZI_Base, VZ_FR, VZ_ES, VZI-6_R1.
Pagina iniziale: parte di pagina 127 — Pagina finale: parte di pagina 142.</t>
        </is>
      </c>
      <c r="I243" s="629" t="inlineStr">
        <is>
          <t>La funzione ferroviaria "BRK_Parking_Brake" è un sistema di freno di parcheggio per il treno ad alta velocità ETR1000. Il sistema è composto da caliper di freno a sprone, valvole di controllo magnetiche e sistemi software di gestione del TCMS (Train Control and Monitoring System). La funzione viene attivata automaticamente se la cabina del conducente è deattivata o se il pressione dell'austronomia della cisterna di riserva di freno scende sotto i 650 kPa. Il sistema può essere disattivato premendo il pulsante "Freno di parcheggio" sullo schermo del conducente, che è illuminato in base al stato del freno di parcheggio. La funzione è controllata dal TCMS e dispone di ridondanze per garantire la sicurezza.
Analisi — Funzione equivalente tra le seguenti configurazioni: VZI_Base, VZ_FR, VZ_ES, VZI-6_R1.
Pagina iniziale: parte di pagina 113 — Pagina finale: pagina 128.</t>
        </is>
      </c>
      <c r="J243" s="629" t="inlineStr">
        <is>
          <t>La funzione ferroviaria "BRK_Parking_Brake" è una funzione di freno di parcheggio per il treno ETR1000 VZI-R1. La sua logica di funzionamento prevede l'applicazione automatica del freno di parcheggio in caso di deattivazione della cabina o di diminuzione della pressione dell'auxiliary brake reservoir, mentre la sua attivazione è possibile tramite il pulsante "Parking brake" sullo schermo del driver. La funzione è controllata dal sistema TCMS e utilizza un control magnet valve per applicare o rilasciare il freno di parcheggio. La funzione dispone di ridondanze e requisiti di sicurezza, come l'attivazione della linea "any cab active train line" quando una cabina è attiva, per evitare la liberazione incontrollata del freno di parcheggio.
Analisi — Funzione equivalente tra le seguenti configurazioni: VZI_Base, VZ_FR, VZ_ES, VZI-6_R1.
Pagina iniziale: parte di pagina 154 — Pagina finale: pagina 169.</t>
        </is>
      </c>
      <c r="K243" s="463" t="n"/>
      <c r="L243" s="464" t="n"/>
    </row>
    <row r="244">
      <c r="A244" s="350" t="inlineStr">
        <is>
          <t>BRK_Wheel_Slide_Protection</t>
        </is>
      </c>
      <c r="B244" s="377" t="n"/>
      <c r="C244" s="393" t="n"/>
      <c r="D244" s="371" t="inlineStr">
        <is>
          <t>\</t>
        </is>
      </c>
      <c r="E244" s="351" t="n"/>
      <c r="F244" s="352" t="n"/>
      <c r="G244" s="352" t="n"/>
      <c r="H244" s="352" t="n"/>
      <c r="I244" s="352" t="n"/>
      <c r="J244" s="352" t="n"/>
      <c r="K244" s="352" t="n"/>
      <c r="L244" s="353" t="n"/>
    </row>
    <row r="245" outlineLevel="1" s="583">
      <c r="B245" s="376" t="n"/>
      <c r="C245" s="158" t="inlineStr">
        <is>
          <t>CONFIG</t>
        </is>
      </c>
      <c r="D245" s="369" t="inlineStr">
        <is>
          <t>FRS_Brake Control</t>
        </is>
      </c>
      <c r="E245" s="344" t="inlineStr">
        <is>
          <t>Link</t>
        </is>
      </c>
      <c r="F245" s="314">
        <f t="array" ref="F245">HYPERLINK(CONCATENATE(Cartelle!$D$5,F$1,"/",$C245,"/",MID($D245,1,FIND("_",$D245)-1),"/",INDIRECT(CONCATENATE("'" &amp; $C245 &amp; "'!",ADDRESS(MATCH($D245, INDIRECT("'" &amp; $C245 &amp; "'!$B:$B"), 0),MATCH(F$1, INDIRECT("'" &amp; $C245 &amp; "'!$1:$1"), 0)))),".",INDIRECT(CONCATENATE("'"&amp;$C245&amp;"'!",ADDRESS(MATCH($D245,INDIRECT("'"&amp;$C245&amp;"'!$B:$B"),0),3))),"#page=",F246),CONCATENATE("#Sharepoint//",$D245))</f>
        <v/>
      </c>
      <c r="G245" s="378" t="n"/>
      <c r="H245" s="314">
        <f t="array" ref="H245">HYPERLINK(CONCATENATE(Cartelle!$D$5,INDEX(INDIRECT("'" &amp; $C245 &amp; "'!$1:$1"), 1, MATCH(INDIRECT(CONCATENATE("'" &amp; $C245 &amp; "'!",ADDRESS(MATCH($D245, INDIRECT("'" &amp; $C245 &amp; "'!$B:$B"), 0),MATCH(H$1, INDIRECT("'" &amp; $C245 &amp; "'!$1:$1"), 0)))),INDIRECT(CONCATENATE("'" &amp; $C245 &amp; "'!",MATCH($D245, INDIRECT("'" &amp; $C245 &amp; "'!$B:$B"), 0),":",MATCH($D245, INDIRECT("'" &amp; $C245 &amp; "'!$B:$B"), 0))),0)),"/",$C245,"/",MID($D245,1,FIND("_",$D245)-1),"/",INDIRECT(CONCATENATE("'" &amp; $C245 &amp; "'!",ADDRESS(MATCH($D245, INDIRECT("'" &amp; $C245 &amp; "'!$B:$B"), 0),MATCH(H$1, INDIRECT("'" &amp; $C245 &amp; "'!$1:$1"), 0)))),".",INDIRECT(CONCATENATE("'"&amp;$C245&amp;"'!",ADDRESS(MATCH($D245,INDIRECT("'"&amp;$C245&amp;"'!$B:$B"),0),3))),"#page=",H246),CONCATENATE("#Sharepoint//",$D245))</f>
        <v/>
      </c>
      <c r="I245" s="314">
        <f t="array" ref="I245">HYPERLINK(CONCATENATE(Cartelle!$D$5,INDEX(INDIRECT("'" &amp; $C245 &amp; "'!$1:$1"), 1, MATCH(INDIRECT(CONCATENATE("'" &amp; $C245 &amp; "'!",ADDRESS(MATCH($D245, INDIRECT("'" &amp; $C245 &amp; "'!$B:$B"), 0),MATCH(I$1, INDIRECT("'" &amp; $C245 &amp; "'!$1:$1"), 0)))),INDIRECT(CONCATENATE("'" &amp; $C245 &amp; "'!",MATCH($D245, INDIRECT("'" &amp; $C245 &amp; "'!$B:$B"), 0),":",MATCH($D245, INDIRECT("'" &amp; $C245 &amp; "'!$B:$B"), 0))),0)),"/",$C245,"/",MID($D245,1,FIND("_",$D245)-1),"/",INDIRECT(CONCATENATE("'" &amp; $C245 &amp; "'!",ADDRESS(MATCH($D245, INDIRECT("'" &amp; $C245 &amp; "'!$B:$B"), 0),MATCH(I$1, INDIRECT("'" &amp; $C245 &amp; "'!$1:$1"), 0)))),".",INDIRECT(CONCATENATE("'"&amp;$C245&amp;"'!",ADDRESS(MATCH($D245,INDIRECT("'"&amp;$C245&amp;"'!$B:$B"),0),3))),"#page=",I246),CONCATENATE("#Sharepoint//",$D245))</f>
        <v/>
      </c>
      <c r="J245" s="314">
        <f t="array" ref="J245">HYPERLINK(CONCATENATE(Cartelle!$D$5,INDEX(INDIRECT("'" &amp; $C245 &amp; "'!$1:$1"), 1, MATCH(INDIRECT(CONCATENATE("'" &amp; $C245 &amp; "'!",ADDRESS(MATCH($D245, INDIRECT("'" &amp; $C245 &amp; "'!$B:$B"), 0),MATCH(J$1, INDIRECT("'" &amp; $C245 &amp; "'!$1:$1"), 0)))),INDIRECT(CONCATENATE("'" &amp; $C245 &amp; "'!",MATCH($D245, INDIRECT("'" &amp; $C245 &amp; "'!$B:$B"), 0),":",MATCH($D245, INDIRECT("'" &amp; $C245 &amp; "'!$B:$B"), 0))),0)),"/",$C245,"/",MID($D245,1,FIND("_",$D245)-1),"/",INDIRECT(CONCATENATE("'" &amp; $C245 &amp; "'!",ADDRESS(MATCH($D245, INDIRECT("'" &amp; $C245 &amp; "'!$B:$B"), 0),MATCH(J$1, INDIRECT("'" &amp; $C245 &amp; "'!$1:$1"), 0)))),".",INDIRECT(CONCATENATE("'"&amp;$C245&amp;"'!",ADDRESS(MATCH($D245,INDIRECT("'"&amp;$C245&amp;"'!$B:$B"),0),3))),"#page=",J246),CONCATENATE("#Sharepoint//",$D245))</f>
        <v/>
      </c>
      <c r="K245" s="346" t="n"/>
      <c r="L245" s="346" t="n"/>
    </row>
    <row r="246" outlineLevel="2" s="583">
      <c r="B246" s="376" t="n"/>
      <c r="D246" s="373" t="n"/>
      <c r="E246" s="356" t="inlineStr">
        <is>
          <t>Rif. Pagina</t>
        </is>
      </c>
      <c r="F246" s="357" t="n">
        <v>131</v>
      </c>
      <c r="G246" s="357" t="n"/>
      <c r="H246" s="357" t="n">
        <v>142</v>
      </c>
      <c r="I246" s="357" t="n">
        <v>131</v>
      </c>
      <c r="J246" s="357" t="n">
        <v>171</v>
      </c>
      <c r="K246" s="357" t="n"/>
      <c r="L246" s="357" t="n"/>
    </row>
    <row r="247" outlineLevel="2" s="583">
      <c r="B247" s="376" t="n"/>
      <c r="D247" s="357" t="n"/>
      <c r="E247" s="459" t="inlineStr">
        <is>
          <t>Funzioni AI</t>
        </is>
      </c>
      <c r="F247" s="629" t="inlineStr">
        <is>
          <t>La funzione ferroviaria "BRK_Wheel_Slide_Protection" è un sistema di protezione dei ruota che si attiva per prevenire il blocco delle ruote e le fessure durante la frenata, garantendo l'uso massimo dell'adesione. Il sistema è composto da WSP-CU (unità di controllo elettronica) e BCU (unità di controllo del freno), con logica di funzionamento che si attiva in caso di slittamento, informando il conducente tramite IDU. La funzione è realizzata in modo redundante, con la possibilità di passare al controllo del BCU nel caso di una grave fallimento dell'WSP-CU.
Analisi — Funzione equivalente tra le seguenti configurazioni: VZI_Base, VZ_FR, VZ_ES, VZI-6_R1.
Pagina iniziale: parte di pagina 131 — Pagina finale: parte di pagina 145.</t>
        </is>
      </c>
      <c r="G247" s="463" t="n"/>
      <c r="H247" s="629" t="inlineStr">
        <is>
          <t>La funzione ferroviaria "BRK_Wheel_Slide_Protection" (WSP) è progettata per proteggere il veicolo contro livelli di adesione ridotti e ottimizzare la distanza di frenata in base alle condizioni di adesione disponibili. La WSP è composta da un sistema elettronico di controllo unitario (WSP-CU) e da una unità di controllo del freno (BCU), con logica di funzionamento che attiva l'allarme IDU nel caso di slittamento, controllando le linee di controllo dell'edra dinamica e del freno a frizione. La WSP è progettata in modo redundante, con la BCU che prende il posto della WSP-CU in caso di fallimento, e dispone di canali di velocità ripetuti per garantire la sicurezza.
Analisi — Funzione equivalente tra le seguenti configurazioni: VZI_Base, VZ_FR, VZ_ES, VZI-6_R1.
Pagina iniziale: parte di pagina 142 — Pagina finale: parte di pagina 157.</t>
        </is>
      </c>
      <c r="I247" s="629" t="inlineStr">
        <is>
          <t>La funzione ferroviaria "BRK_Wheel_Slide_Protection" (WSP) è progettata per proteggere il veicolo contro livelli di aderenza ridotti e ottimizzare la distanza di frenata in base alle condizioni di aderenza disponibili. La WSP è composta da un sistema elettronico di controllo unitario (WSP-CU) che gestisce l'attivazione/disattivazione della funzione, supportato da componenti software e hardware come il sistema di frenata elettrica (ED) e il sistema di frenatura adesiva (FD). La WSP è progettata per essere operativa in condizioni di frenata, velocità e condizioni del ferrovia, con logica di funzionamento che prevede l'invio di segnali di allarme al pilota in caso di livello di aderenza ridotto. La WSP è progettata per essere operativa in modo redundante, con la possibilità di passare il controllo alla unità di controllo del frenato (BCU) in caso di fallimento del WSP-CU.
Analisi — Funzione equivalente tra le seguenti configurazioni: VZI_Base, VZ_FR, VZ_ES, VZI-6_R1.
Pagina iniziale: parte di pagina 131 — Pagina finale: parte di pagina 144.</t>
        </is>
      </c>
      <c r="J247" s="629" t="inlineStr">
        <is>
          <t>La funzione ferroviaria "BRK_Wheel_Slide_Protection" (WSP) è progettata per proteggere il veicolo contro livelli di aderenza ridotti e garantire la massima utilizzo dell'aderenza disponibile durante le frenate, evitando lo scorrimento delle ruote e prevenendo livelli di aderenza insufficienti. La WSP è controllata da un sistema elettronico composto dal WSP-CU (unità di controllo) e dal BCU (unità di controllo del freno), con una logica di funzionamento che attiva l'informazione al pilota in caso di scorrimento delle ruote. La WSP è progettata per essere operativa anche in condizioni di ridotta aderenza, con una ridondanza dei sensori di velocità e del controllo del freno, e viene controllata dal sistema di freno elettrico dinamico (ED) e pneumatico.
Analisi — Funzione equivalente tra le seguenti configurazioni: VZI_Base, VZ_FR, VZ_ES, VZI-6_R1.
Pagina iniziale: parte di pagina 171 — Pagina finale: pagina 186.</t>
        </is>
      </c>
      <c r="K247" s="463" t="n"/>
      <c r="L247" s="464" t="n"/>
    </row>
    <row r="248">
      <c r="A248" s="350" t="inlineStr">
        <is>
          <t>BRK_Detection_of_Non-Rotating_Axle_(DNRA)</t>
        </is>
      </c>
      <c r="B248" s="377" t="n"/>
      <c r="C248" s="393" t="n"/>
      <c r="D248" s="371" t="inlineStr">
        <is>
          <t>\</t>
        </is>
      </c>
      <c r="E248" s="351" t="n"/>
      <c r="F248" s="352" t="n"/>
      <c r="G248" s="352" t="n"/>
      <c r="H248" s="352" t="n"/>
      <c r="I248" s="352" t="n"/>
      <c r="J248" s="352" t="n"/>
      <c r="K248" s="352" t="n"/>
      <c r="L248" s="353" t="n"/>
    </row>
    <row r="249" outlineLevel="1" s="583">
      <c r="B249" s="376" t="n"/>
      <c r="C249" s="158" t="inlineStr">
        <is>
          <t>CONFIG</t>
        </is>
      </c>
      <c r="D249" s="369" t="inlineStr">
        <is>
          <t>FRS_Brake Control</t>
        </is>
      </c>
      <c r="E249" s="344" t="inlineStr">
        <is>
          <t>Link</t>
        </is>
      </c>
      <c r="F249" s="314">
        <f t="array" ref="F249">HYPERLINK(CONCATENATE(Cartelle!$D$5,F$1,"/",$C249,"/",MID($D249,1,FIND("_",$D249)-1),"/",INDIRECT(CONCATENATE("'" &amp; $C249 &amp; "'!",ADDRESS(MATCH($D249, INDIRECT("'" &amp; $C249 &amp; "'!$B:$B"), 0),MATCH(F$1, INDIRECT("'" &amp; $C249 &amp; "'!$1:$1"), 0)))),".",INDIRECT(CONCATENATE("'"&amp;$C249&amp;"'!",ADDRESS(MATCH($D249,INDIRECT("'"&amp;$C249&amp;"'!$B:$B"),0),3))),"#page=",F250),CONCATENATE("#Sharepoint//",$D249))</f>
        <v/>
      </c>
      <c r="G249" s="378" t="n"/>
      <c r="H249" s="314">
        <f t="array" ref="H249">HYPERLINK(CONCATENATE(Cartelle!$D$5,INDEX(INDIRECT("'" &amp; $C249 &amp; "'!$1:$1"), 1, MATCH(INDIRECT(CONCATENATE("'" &amp; $C249 &amp; "'!",ADDRESS(MATCH($D249, INDIRECT("'" &amp; $C249 &amp; "'!$B:$B"), 0),MATCH(H$1, INDIRECT("'" &amp; $C249 &amp; "'!$1:$1"), 0)))),INDIRECT(CONCATENATE("'" &amp; $C249 &amp; "'!",MATCH($D249, INDIRECT("'" &amp; $C249 &amp; "'!$B:$B"), 0),":",MATCH($D249, INDIRECT("'" &amp; $C249 &amp; "'!$B:$B"), 0))),0)),"/",$C249,"/",MID($D249,1,FIND("_",$D249)-1),"/",INDIRECT(CONCATENATE("'" &amp; $C249 &amp; "'!",ADDRESS(MATCH($D249, INDIRECT("'" &amp; $C249 &amp; "'!$B:$B"), 0),MATCH(H$1, INDIRECT("'" &amp; $C249 &amp; "'!$1:$1"), 0)))),".",INDIRECT(CONCATENATE("'"&amp;$C249&amp;"'!",ADDRESS(MATCH($D249,INDIRECT("'"&amp;$C249&amp;"'!$B:$B"),0),3))),"#page=",H250),CONCATENATE("#Sharepoint//",$D249))</f>
        <v/>
      </c>
      <c r="I249" s="314">
        <f t="array" ref="I249">HYPERLINK(CONCATENATE(Cartelle!$D$5,INDEX(INDIRECT("'" &amp; $C249 &amp; "'!$1:$1"), 1, MATCH(INDIRECT(CONCATENATE("'" &amp; $C249 &amp; "'!",ADDRESS(MATCH($D249, INDIRECT("'" &amp; $C249 &amp; "'!$B:$B"), 0),MATCH(I$1, INDIRECT("'" &amp; $C249 &amp; "'!$1:$1"), 0)))),INDIRECT(CONCATENATE("'" &amp; $C249 &amp; "'!",MATCH($D249, INDIRECT("'" &amp; $C249 &amp; "'!$B:$B"), 0),":",MATCH($D249, INDIRECT("'" &amp; $C249 &amp; "'!$B:$B"), 0))),0)),"/",$C249,"/",MID($D249,1,FIND("_",$D249)-1),"/",INDIRECT(CONCATENATE("'" &amp; $C249 &amp; "'!",ADDRESS(MATCH($D249, INDIRECT("'" &amp; $C249 &amp; "'!$B:$B"), 0),MATCH(I$1, INDIRECT("'" &amp; $C249 &amp; "'!$1:$1"), 0)))),".",INDIRECT(CONCATENATE("'"&amp;$C249&amp;"'!",ADDRESS(MATCH($D249,INDIRECT("'"&amp;$C249&amp;"'!$B:$B"),0),3))),"#page=",I250),CONCATENATE("#Sharepoint//",$D249))</f>
        <v/>
      </c>
      <c r="J249" s="314">
        <f t="array" ref="J249">HYPERLINK(CONCATENATE(Cartelle!$D$5,INDEX(INDIRECT("'" &amp; $C249 &amp; "'!$1:$1"), 1, MATCH(INDIRECT(CONCATENATE("'" &amp; $C249 &amp; "'!",ADDRESS(MATCH($D249, INDIRECT("'" &amp; $C249 &amp; "'!$B:$B"), 0),MATCH(J$1, INDIRECT("'" &amp; $C249 &amp; "'!$1:$1"), 0)))),INDIRECT(CONCATENATE("'" &amp; $C249 &amp; "'!",MATCH($D249, INDIRECT("'" &amp; $C249 &amp; "'!$B:$B"), 0),":",MATCH($D249, INDIRECT("'" &amp; $C249 &amp; "'!$B:$B"), 0))),0)),"/",$C249,"/",MID($D249,1,FIND("_",$D249)-1),"/",INDIRECT(CONCATENATE("'" &amp; $C249 &amp; "'!",ADDRESS(MATCH($D249, INDIRECT("'" &amp; $C249 &amp; "'!$B:$B"), 0),MATCH(J$1, INDIRECT("'" &amp; $C249 &amp; "'!$1:$1"), 0)))),".",INDIRECT(CONCATENATE("'"&amp;$C249&amp;"'!",ADDRESS(MATCH($D249,INDIRECT("'"&amp;$C249&amp;"'!$B:$B"),0),3))),"#page=",J250),CONCATENATE("#Sharepoint//",$D249))</f>
        <v/>
      </c>
      <c r="K249" s="346" t="n"/>
      <c r="L249" s="346" t="n"/>
    </row>
    <row r="250" outlineLevel="2" s="583">
      <c r="B250" s="376" t="n"/>
      <c r="D250" s="373" t="n"/>
      <c r="E250" s="356" t="inlineStr">
        <is>
          <t>Rif. Pagina</t>
        </is>
      </c>
      <c r="F250" s="357" t="n">
        <v>145</v>
      </c>
      <c r="G250" s="357" t="n"/>
      <c r="H250" s="357" t="n">
        <v>157</v>
      </c>
      <c r="I250" s="357" t="n">
        <v>144</v>
      </c>
      <c r="J250" s="357" t="n">
        <v>189</v>
      </c>
      <c r="K250" s="357" t="n"/>
      <c r="L250" s="357" t="n"/>
    </row>
    <row r="251" outlineLevel="2" s="583">
      <c r="B251" s="376" t="n"/>
      <c r="D251" s="357" t="n"/>
      <c r="E251" s="459" t="inlineStr">
        <is>
          <t>Funzioni AI</t>
        </is>
      </c>
      <c r="F251" s="629" t="inlineStr">
        <is>
          <t>La funzione ferroviaria "BRK_Detection_of_Non-Rotating_Axle_(DNRA)" è un sistema di detezione e allarme per il treno ETR1000 che si avvia a rilevare eventuali non-rotanti assali. Il sistema è composto da BCU (Brake Control Unit), WSP-CU (WSP control unit), SS1-4 (doppie sensori di velocità per asso) e DNRA train line. La funzione si attiva se la differenza tra la velocità riferita calcolata e quella effettivamente misurata su un asso supera 50 km/h + 0,3 * velocità riferita per più di 10 secondi. In caso di allarme, viene inviato un segnale di allarme al conducente attraverso una linea dedicata e via MVB (Management Vehicle Bus). Il sistema è progettato con ridondanze per garantire la sicurezza, con il BCU e WSP-CU che supervisionano la funzione in parallelo.
Analisi — Funzione equivalente tra le seguenti configurazioni: VZI_Base, VZ_FR, VZ_ES, VZI-6_R1.
Pagina iniziale: parte di pagina 145 — Pagina finale: parte di pagina 153.</t>
        </is>
      </c>
      <c r="G251" s="463" t="n"/>
      <c r="H251" s="629" t="inlineStr">
        <is>
          <t>La funzione ferroviaria "BRK_Detection_of_Non_Rotating_Axle_(DNRA)" è un sistema di detezione e allarme per il treno ETR1000 che si avvia a rilevare eventuali non-rotanti assi. I componenti principali coinvolti sono:
* BCU (Brake Control Unit) con funzione DNRA
* WSP-CU (WSP control unit) con funzione DNRA come hot redundancy
* SS1-4 (doppie speed sensor per asse) con canali per BCU e WSP-CU
* Train line dedicata per l'allarme
* Indicatore di allarme "DNRA/BMS alarm" sullo schermo del conducente
La logica di funzionamento prevede che se la differenza tra la velocità riferita (calcolata) e quella effettiva di un asse superi 50 km/h + 0,3 * velocità riferita per più di 10 s, l'allarme viene attivato. La funzione è progettata con una ridondanza completa, con il BCU e WSP-CU che supervisionano la funzione DNRA contemporaneamente.
Analisi — Funzione equivalente tra le seguenti configurazioni: VZI_Base, VZ_FR, VZ_ES, VZI-6_R1.
Pagina iniziale: parte di pagina 157 — Pagina finale: parte di pagina 165.</t>
        </is>
      </c>
      <c r="I251" s="629" t="inlineStr">
        <is>
          <t>La funzione ferroviaria "BRK_Detection_of_Non_Rotating_Axle_(DNRA)" è un sistema di detezione e allarme per il treno ad alta velocità ETR1000, progettato per individuare e avvisare il conducente in caso di non rotazione di un'asse. Il sistema è composto da BCU (Brake Control Unit), WSP-CU (WSP control unit), double speed sensor per axle (SS1-4) e DNRA train line. La funzione si attiva se la differenza tra la velocità riferita calcolata e quella effettivamente misurata di un'asse supera 50 km/h + 0,3 * velocità riferita per più di 10 secondi, considerando i parametri UIC. Il sistema è progettato con una logica di funzionamento redundante, con la BCU e il WSP-CU che supervisionano e attivano l'allarme in caso di fallimento o mancata comunicazione.
Analisi — Funzione equivalente tra le seguenti configurazioni: VZI_Base, VZ_FR, VZ_ES, VZI-6_R1.
Pagina iniziale: parte di pagina 144 — Pagina finale: pagina 159.</t>
        </is>
      </c>
      <c r="J251" s="629" t="inlineStr">
        <is>
          <t>La funzione ferroviaria "BRK_Detection_of_Non_Rotating_Axle_(DNRA)" è un sistema di detezione di asse non rotante utilizzato sul treno ETR1000 VZI-R1. Il sistema è composto da BCU (Brake Control Unit), WSP-CU (WSP control unit per funzione DNRA), SS1-4 (doppie sensori velocità per asse) e DNRA train line. La logica di funzionamento attiva il sistema se la differenza tra la velocità riferita calcolata e quella misurata su un asse è superiore a 50 km/h + 0,3 * velocità riferita per più di 10 s. Il sistema è completamente redundante con la WSP funzione e fornisce una notifica al conducente attraverso una linea di comunicazione dedicata e un'indicazione lampada "DNRA alarm".
Analisi — Funzione equivalente tra le seguenti configurazioni: VZI_Base, VZ_FR, VZ_ES, VZI-6_R1.
Pagina iniziale: parte di pagina 189 — Pagina finale: parte di pagina 192.</t>
        </is>
      </c>
      <c r="K251" s="463" t="n"/>
      <c r="L251" s="464" t="n"/>
    </row>
    <row r="252">
      <c r="A252" s="350" t="inlineStr">
        <is>
          <t>BRK_Passenger_Emergency_Brake</t>
        </is>
      </c>
      <c r="B252" s="377" t="n"/>
      <c r="C252" s="393" t="n"/>
      <c r="D252" s="371" t="inlineStr">
        <is>
          <t>\</t>
        </is>
      </c>
      <c r="E252" s="351" t="n"/>
      <c r="F252" s="352" t="n"/>
      <c r="G252" s="352" t="n"/>
      <c r="H252" s="352" t="n"/>
      <c r="I252" s="352" t="n"/>
      <c r="J252" s="352" t="n"/>
      <c r="K252" s="352" t="n"/>
      <c r="L252" s="353" t="n"/>
    </row>
    <row r="253" outlineLevel="1" s="583">
      <c r="B253" s="376" t="n"/>
      <c r="C253" s="158" t="inlineStr">
        <is>
          <t>CONFIG</t>
        </is>
      </c>
      <c r="D253" s="369" t="inlineStr">
        <is>
          <t>FRS_Brake Control</t>
        </is>
      </c>
      <c r="E253" s="344" t="inlineStr">
        <is>
          <t>Link</t>
        </is>
      </c>
      <c r="F253" s="314">
        <f t="array" ref="F253">HYPERLINK(CONCATENATE(Cartelle!$D$5,F$1,"/",$C253,"/",MID($D253,1,FIND("_",$D253)-1),"/",INDIRECT(CONCATENATE("'" &amp; $C253 &amp; "'!",ADDRESS(MATCH($D253, INDIRECT("'" &amp; $C253 &amp; "'!$B:$B"), 0),MATCH(F$1, INDIRECT("'" &amp; $C253 &amp; "'!$1:$1"), 0)))),".",INDIRECT(CONCATENATE("'"&amp;$C253&amp;"'!",ADDRESS(MATCH($D253,INDIRECT("'"&amp;$C253&amp;"'!$B:$B"),0),3))),"#page=",F254),CONCATENATE("#Sharepoint//",$D253))</f>
        <v/>
      </c>
      <c r="G253" s="378" t="n"/>
      <c r="H253" s="314">
        <f t="array" ref="H253">HYPERLINK(CONCATENATE(Cartelle!$D$5,INDEX(INDIRECT("'" &amp; $C253 &amp; "'!$1:$1"), 1, MATCH(INDIRECT(CONCATENATE("'" &amp; $C253 &amp; "'!",ADDRESS(MATCH($D253, INDIRECT("'" &amp; $C253 &amp; "'!$B:$B"), 0),MATCH(H$1, INDIRECT("'" &amp; $C253 &amp; "'!$1:$1"), 0)))),INDIRECT(CONCATENATE("'" &amp; $C253 &amp; "'!",MATCH($D253, INDIRECT("'" &amp; $C253 &amp; "'!$B:$B"), 0),":",MATCH($D253, INDIRECT("'" &amp; $C253 &amp; "'!$B:$B"), 0))),0)),"/",$C253,"/",MID($D253,1,FIND("_",$D253)-1),"/",INDIRECT(CONCATENATE("'" &amp; $C253 &amp; "'!",ADDRESS(MATCH($D253, INDIRECT("'" &amp; $C253 &amp; "'!$B:$B"), 0),MATCH(H$1, INDIRECT("'" &amp; $C253 &amp; "'!$1:$1"), 0)))),".",INDIRECT(CONCATENATE("'"&amp;$C253&amp;"'!",ADDRESS(MATCH($D253,INDIRECT("'"&amp;$C253&amp;"'!$B:$B"),0),3))),"#page=",H254),CONCATENATE("#Sharepoint//",$D253))</f>
        <v/>
      </c>
      <c r="I253" s="314">
        <f t="array" ref="I253">HYPERLINK(CONCATENATE(Cartelle!$D$5,INDEX(INDIRECT("'" &amp; $C253 &amp; "'!$1:$1"), 1, MATCH(INDIRECT(CONCATENATE("'" &amp; $C253 &amp; "'!",ADDRESS(MATCH($D253, INDIRECT("'" &amp; $C253 &amp; "'!$B:$B"), 0),MATCH(I$1, INDIRECT("'" &amp; $C253 &amp; "'!$1:$1"), 0)))),INDIRECT(CONCATENATE("'" &amp; $C253 &amp; "'!",MATCH($D253, INDIRECT("'" &amp; $C253 &amp; "'!$B:$B"), 0),":",MATCH($D253, INDIRECT("'" &amp; $C253 &amp; "'!$B:$B"), 0))),0)),"/",$C253,"/",MID($D253,1,FIND("_",$D253)-1),"/",INDIRECT(CONCATENATE("'" &amp; $C253 &amp; "'!",ADDRESS(MATCH($D253, INDIRECT("'" &amp; $C253 &amp; "'!$B:$B"), 0),MATCH(I$1, INDIRECT("'" &amp; $C253 &amp; "'!$1:$1"), 0)))),".",INDIRECT(CONCATENATE("'"&amp;$C253&amp;"'!",ADDRESS(MATCH($D253,INDIRECT("'"&amp;$C253&amp;"'!$B:$B"),0),3))),"#page=",I254),CONCATENATE("#Sharepoint//",$D253))</f>
        <v/>
      </c>
      <c r="J253" s="314">
        <f t="array" ref="J253">HYPERLINK(CONCATENATE(Cartelle!$D$5,INDEX(INDIRECT("'" &amp; $C253 &amp; "'!$1:$1"), 1, MATCH(INDIRECT(CONCATENATE("'" &amp; $C253 &amp; "'!",ADDRESS(MATCH($D253, INDIRECT("'" &amp; $C253 &amp; "'!$B:$B"), 0),MATCH(J$1, INDIRECT("'" &amp; $C253 &amp; "'!$1:$1"), 0)))),INDIRECT(CONCATENATE("'" &amp; $C253 &amp; "'!",MATCH($D253, INDIRECT("'" &amp; $C253 &amp; "'!$B:$B"), 0),":",MATCH($D253, INDIRECT("'" &amp; $C253 &amp; "'!$B:$B"), 0))),0)),"/",$C253,"/",MID($D253,1,FIND("_",$D253)-1),"/",INDIRECT(CONCATENATE("'" &amp; $C253 &amp; "'!",ADDRESS(MATCH($D253, INDIRECT("'" &amp; $C253 &amp; "'!$B:$B"), 0),MATCH(J$1, INDIRECT("'" &amp; $C253 &amp; "'!$1:$1"), 0)))),".",INDIRECT(CONCATENATE("'"&amp;$C253&amp;"'!",ADDRESS(MATCH($D253,INDIRECT("'"&amp;$C253&amp;"'!$B:$B"),0),3))),"#page=",J254),CONCATENATE("#Sharepoint//",$D253))</f>
        <v/>
      </c>
      <c r="K253" s="346" t="n"/>
      <c r="L253" s="346" t="n"/>
    </row>
    <row r="254" outlineLevel="2" s="583">
      <c r="B254" s="376" t="n"/>
      <c r="D254" s="373" t="n"/>
      <c r="E254" s="356" t="inlineStr">
        <is>
          <t>Rif. Pagina</t>
        </is>
      </c>
      <c r="F254" s="357" t="n">
        <v>153</v>
      </c>
      <c r="G254" s="357" t="n"/>
      <c r="H254" s="357" t="n">
        <v>165</v>
      </c>
      <c r="I254" s="357" t="n">
        <v>166</v>
      </c>
      <c r="J254" s="357" t="n">
        <v>192</v>
      </c>
      <c r="K254" s="357" t="n"/>
      <c r="L254" s="357" t="n"/>
    </row>
    <row r="255" outlineLevel="2" s="583">
      <c r="B255" s="376" t="n"/>
      <c r="D255" s="357" t="n"/>
      <c r="E255" s="459" t="inlineStr">
        <is>
          <t>Funzioni AI</t>
        </is>
      </c>
      <c r="F255" s="629" t="inlineStr">
        <is>
          <t>La funzione ferroviaria "BRK_Passenger_Emergency_Brake" è un sistema di frenatura d'emergenza per i passeggeri del treno ETR1000. È attivata dalla manovella di frenatura d'emergenza presente in ogni carrozza e richiede l'intervento del conducente per essere disattivata. La funzione è controllata dal sistema TCMS (Train Control and Monitoring System) e viene visualizzata sullo schermo IDU (Instrument Display Unit). L'attivazione della funzione dipende dalla condizione del treno, con la possibilità di override tramite un pulsante specifico. La funzione è progettata per garantire la sicurezza dei passeggeri in caso di emergenza e richiede una logica di funzionamento che tenga conto dello stato del treno e della presenza di ridondanze per evitare errori o interruzioni.
Analisi — Funzione equivalente tra le seguenti configurazioni: VZI_Base, VZ_FR, VZ_ES, VZI-6_R1.
Pagina iniziale: parte di pagina 153 — Pagina finale: parte di pagina 163.</t>
        </is>
      </c>
      <c r="G255" s="463" t="n"/>
      <c r="H255" s="629" t="inlineStr">
        <is>
          <t>La funzione ferroviaria "BRK_Passenger_Emergency_Brake" è un sistema di freno d'emergenza per i passeggeri del treno ETR1000. È attivata tramite il manubrio di emergenza presente in ogni carrozza e viene trasferita via due linee di comunicazione al veicolo con la cabina attiva, controllato dal sistema TCMS. La funzione è notificata al conducente attraverso un lampino e un allarme acustico, e può essere override tramite un pulsante specifico. La logica di funzionamento dipende dallo stato del treno, che influenza la disponibilità dell'override e il tipo di freno da attivare (fermo, in movimento o in partenza).
Analisi — Funzione equivalente tra le seguenti configurazioni: VZI_Base, VZ_FR, VZ_ES, VZI-6_R1.
Pagina iniziale: parte di pagina 165 — Pagina finale: parte di pagina 173.</t>
        </is>
      </c>
      <c r="I255" s="629" t="inlineStr">
        <is>
          <t>La funzione ferroviaria "BRK_Passenger_Emergency_Brake" è un sistema di freno d'emergenza per i passeggeri del treno ETR1000. È attivata tramite il manubrio di emergenza per i passeggeri (PEB) presente in ogni carrozza, che invia una richiesta di freno via due linee di comunicazione al controllo del veicolo (TCMS). La funzione è notificata al conducente attraverso un lampino e un allarme acustico. La richiesta di freno può essere disattivata tramite un pulsante di override, che dipende dallo stato del veicolo e dalla sua condizione di movimento.
Analisi — Funzione equivalente tra le seguenti configurazioni: VZI_Base, VZ_FR, VZ_ES, VZI-6_R1.
Pagina iniziale: parte di pagina 166 — Pagina finale: parte di pagina 177.</t>
        </is>
      </c>
      <c r="J255" s="629" t="inlineStr">
        <is>
          <t>La funzione ferroviaria "BRK_Passenger_Emergency_Brake" è un sistema di freno d'emergenza per i passeggeri del treno ETR1000. È gestita dal sistema TCMS e coinvolge il DM car con la cabra attiva, tramite due linee di comunicazione. La funzione viene attivata quando si pulla il manubrio di freno d'emergenza in ogni carrozza del treno, a seconda del controllo mode attivo. Il sistema notifica al conducente attraverso un lampino e un allarme acustico, e consente di override la richiesta di freno d'emergenza tramite un pulsante specifico. La funzione è attiva solo quando il treno è in movimento o in fermata con porte aperte.
Analisi — Funzione equivalente tra le seguenti configurazioni: VZI_Base, VZ_FR, VZ_ES, VZI-6_R1.
Pagina iniziale: parte di pagina 192 — Pagina finale: parte di pagina 204.</t>
        </is>
      </c>
      <c r="K255" s="463" t="n"/>
      <c r="L255" s="464" t="n"/>
    </row>
    <row r="256">
      <c r="A256" s="350" t="inlineStr">
        <is>
          <t>BRK_Sanding</t>
        </is>
      </c>
      <c r="B256" s="377" t="n"/>
      <c r="C256" s="393" t="n"/>
      <c r="D256" s="371" t="inlineStr">
        <is>
          <t>\</t>
        </is>
      </c>
      <c r="E256" s="351" t="n"/>
      <c r="F256" s="352" t="n"/>
      <c r="G256" s="352" t="n"/>
      <c r="H256" s="352" t="n"/>
      <c r="I256" s="352" t="n"/>
      <c r="J256" s="352" t="n"/>
      <c r="K256" s="352" t="n"/>
      <c r="L256" s="353" t="n"/>
    </row>
    <row r="257" outlineLevel="1" s="583">
      <c r="B257" s="376" t="n"/>
      <c r="C257" s="158" t="inlineStr">
        <is>
          <t>CONFIG</t>
        </is>
      </c>
      <c r="D257" s="369" t="inlineStr">
        <is>
          <t>FRS_Brake Control</t>
        </is>
      </c>
      <c r="E257" s="344" t="inlineStr">
        <is>
          <t>Link</t>
        </is>
      </c>
      <c r="F257" s="314">
        <f t="array" ref="F257">HYPERLINK(CONCATENATE(Cartelle!$D$5,F$1,"/",$C257,"/",MID($D257,1,FIND("_",$D257)-1),"/",INDIRECT(CONCATENATE("'" &amp; $C257 &amp; "'!",ADDRESS(MATCH($D257, INDIRECT("'" &amp; $C257 &amp; "'!$B:$B"), 0),MATCH(F$1, INDIRECT("'" &amp; $C257 &amp; "'!$1:$1"), 0)))),".",INDIRECT(CONCATENATE("'"&amp;$C257&amp;"'!",ADDRESS(MATCH($D257,INDIRECT("'"&amp;$C257&amp;"'!$B:$B"),0),3))),"#page=",F258),CONCATENATE("#Sharepoint//",$D257))</f>
        <v/>
      </c>
      <c r="G257" s="378" t="n"/>
      <c r="H257" s="314">
        <f t="array" ref="H257">HYPERLINK(CONCATENATE(Cartelle!$D$5,INDEX(INDIRECT("'" &amp; $C257 &amp; "'!$1:$1"), 1, MATCH(INDIRECT(CONCATENATE("'" &amp; $C257 &amp; "'!",ADDRESS(MATCH($D257, INDIRECT("'" &amp; $C257 &amp; "'!$B:$B"), 0),MATCH(H$1, INDIRECT("'" &amp; $C257 &amp; "'!$1:$1"), 0)))),INDIRECT(CONCATENATE("'" &amp; $C257 &amp; "'!",MATCH($D257, INDIRECT("'" &amp; $C257 &amp; "'!$B:$B"), 0),":",MATCH($D257, INDIRECT("'" &amp; $C257 &amp; "'!$B:$B"), 0))),0)),"/",$C257,"/",MID($D257,1,FIND("_",$D257)-1),"/",INDIRECT(CONCATENATE("'" &amp; $C257 &amp; "'!",ADDRESS(MATCH($D257, INDIRECT("'" &amp; $C257 &amp; "'!$B:$B"), 0),MATCH(H$1, INDIRECT("'" &amp; $C257 &amp; "'!$1:$1"), 0)))),".",INDIRECT(CONCATENATE("'"&amp;$C257&amp;"'!",ADDRESS(MATCH($D257,INDIRECT("'"&amp;$C257&amp;"'!$B:$B"),0),3))),"#page=",H258),CONCATENATE("#Sharepoint//",$D257))</f>
        <v/>
      </c>
      <c r="I257" s="314">
        <f t="array" ref="I257">HYPERLINK(CONCATENATE(Cartelle!$D$5,INDEX(INDIRECT("'" &amp; $C257 &amp; "'!$1:$1"), 1, MATCH(INDIRECT(CONCATENATE("'" &amp; $C257 &amp; "'!",ADDRESS(MATCH($D257, INDIRECT("'" &amp; $C257 &amp; "'!$B:$B"), 0),MATCH(I$1, INDIRECT("'" &amp; $C257 &amp; "'!$1:$1"), 0)))),INDIRECT(CONCATENATE("'" &amp; $C257 &amp; "'!",MATCH($D257, INDIRECT("'" &amp; $C257 &amp; "'!$B:$B"), 0),":",MATCH($D257, INDIRECT("'" &amp; $C257 &amp; "'!$B:$B"), 0))),0)),"/",$C257,"/",MID($D257,1,FIND("_",$D257)-1),"/",INDIRECT(CONCATENATE("'" &amp; $C257 &amp; "'!",ADDRESS(MATCH($D257, INDIRECT("'" &amp; $C257 &amp; "'!$B:$B"), 0),MATCH(I$1, INDIRECT("'" &amp; $C257 &amp; "'!$1:$1"), 0)))),".",INDIRECT(CONCATENATE("'"&amp;$C257&amp;"'!",ADDRESS(MATCH($D257,INDIRECT("'"&amp;$C257&amp;"'!$B:$B"),0),3))),"#page=",I258),CONCATENATE("#Sharepoint//",$D257))</f>
        <v/>
      </c>
      <c r="J257" s="314">
        <f t="array" ref="J257">HYPERLINK(CONCATENATE(Cartelle!$D$5,INDEX(INDIRECT("'" &amp; $C257 &amp; "'!$1:$1"), 1, MATCH(INDIRECT(CONCATENATE("'" &amp; $C257 &amp; "'!",ADDRESS(MATCH($D257, INDIRECT("'" &amp; $C257 &amp; "'!$B:$B"), 0),MATCH(J$1, INDIRECT("'" &amp; $C257 &amp; "'!$1:$1"), 0)))),INDIRECT(CONCATENATE("'" &amp; $C257 &amp; "'!",MATCH($D257, INDIRECT("'" &amp; $C257 &amp; "'!$B:$B"), 0),":",MATCH($D257, INDIRECT("'" &amp; $C257 &amp; "'!$B:$B"), 0))),0)),"/",$C257,"/",MID($D257,1,FIND("_",$D257)-1),"/",INDIRECT(CONCATENATE("'" &amp; $C257 &amp; "'!",ADDRESS(MATCH($D257, INDIRECT("'" &amp; $C257 &amp; "'!$B:$B"), 0),MATCH(J$1, INDIRECT("'" &amp; $C257 &amp; "'!$1:$1"), 0)))),".",INDIRECT(CONCATENATE("'"&amp;$C257&amp;"'!",ADDRESS(MATCH($D257,INDIRECT("'"&amp;$C257&amp;"'!$B:$B"),0),3))),"#page=",J258),CONCATENATE("#Sharepoint//",$D257))</f>
        <v/>
      </c>
      <c r="K257" s="346" t="n"/>
      <c r="L257" s="346" t="n"/>
    </row>
    <row r="258" outlineLevel="2" s="583">
      <c r="B258" s="376" t="n"/>
      <c r="D258" s="373" t="n"/>
      <c r="E258" s="356" t="inlineStr">
        <is>
          <t>Rif. Pagina</t>
        </is>
      </c>
      <c r="F258" s="357" t="n">
        <v>163</v>
      </c>
      <c r="G258" s="357" t="n"/>
      <c r="H258" s="357" t="n">
        <v>173</v>
      </c>
      <c r="I258" s="357" t="n">
        <v>177</v>
      </c>
      <c r="J258" s="357" t="n">
        <v>204</v>
      </c>
      <c r="K258" s="357" t="n"/>
      <c r="L258" s="357" t="n"/>
    </row>
    <row r="259" outlineLevel="2" s="583">
      <c r="B259" s="376" t="n"/>
      <c r="D259" s="357" t="n"/>
      <c r="E259" s="459" t="inlineStr">
        <is>
          <t>Funzioni AI</t>
        </is>
      </c>
      <c r="F259" s="629" t="inlineStr">
        <is>
          <t>La funzione ferroviaria BRK_Sanding è un sistema di sabbia che aumenta l'adesione tra ruota e binario in condizioni di bassa adesione. Il sistema è attivato solo durante il frenaggio, non per la propulsione. È installato su quattro assi della vettura (DM1/8 e T4/T5) e controllato dal WSP-CU. La funzione è attivata automaticamente in caso di frenata d'emergenza o intervento del sistema WSP slide, oppure manualmente dal conducente premendo il pulsante "Sanding active". Il sistema ha due livelli di flusso di sabbia in base alla velocità del treno.
Analisi — Funzione equivalente tra le seguenti configurazioni: VZI_Base, VZ_FR, VZ_ES, VZI-6_R1.
Pagina iniziale: parte di pagina 163 — Pagina finale: parte di pagina 172.</t>
        </is>
      </c>
      <c r="G259" s="463" t="n"/>
      <c r="H259" s="629" t="inlineStr">
        <is>
          <t>La funzione ferroviaria BRK_Sanding è un sistema di sabbia per aumentare l'adesione tra ruota e binario in condizioni di bassa adesione. Il sistema è attivato su due assi della vettura, con una singola unità di sabbia per ogni direzione, e viene controllato dal sistema WSP-CU. La funzione può essere attivata automaticamente durante frenatura d'emergenza o intervento del sistema WSP slide, oppure manualmente dal conducente utilizzando il selector "Sanding active". Il sistema è dotato di due livelli di flusso di sabbia in base alla velocità del treno, e viene attivato per un massimo di 30 secondi.
Analisi — Funzione equivalente tra le seguenti configurazioni: VZI_Base, VZ_FR, VZ_ES, VZI-6_R1.
Pagina iniziale: parte di pagina 173 — Pagina finale: parte di pagina 177.</t>
        </is>
      </c>
      <c r="I259" s="629" t="inlineStr">
        <is>
          <t>La funzione ferroviaria BRK_Sanding è un sistema di sabbia che aumenta l'adesione tra ruota e binario in condizioni di bassa adesione durante il frenaggio. Il sistema è attivato solo durante il frenaggio e non per la propulsione. È installato su quattro assi (DM1/8, T4/T5) della vettura ferroviaria ETR1000 VZ_ES, con due livelli di flusso di sabbia in base alla velocità del treno. Il sistema è controllato dal WSP-CU e può essere attivato manualmente dal conducente tramite un pulsante sullo schermo. La funzione è attiva solo se il freno di emergenza è attivato e la velocità supera i 20 km/h, con una durata massima di 30 secondi.
Analisi — Funzione equivalente tra le seguenti configurazioni: VZI_Base, VZ_FR, VZ_ES, VZI-6_R1.
Pagina iniziale: parte di pagina 177 — Pagina finale: parte di pagina 186.</t>
        </is>
      </c>
      <c r="J259" s="629" t="inlineStr">
        <is>
          <t>La funzione ferroviaria BRK_Sanding è un sistema di sabbia per aumentare l'adesione tra ruota e binario in condizioni di bassa adesione durante il frenaggio. Il sistema è attivato solo durante il frenaggio e non è previsto per la propulsione. È installato su quattro assi (DM1/8 e T4/T5) del treno ETR1000 VZI-R1, con due livelli di flusso di sabbia a seconda della velocità del treno. Il sistema è controllato dal WSP-CU e può essere attivato manualmente dal conducente tramite un pulsante sullo schermo. La funzione è attiva solo se il freno d'emergenza è attivo e la velocità supera i 20 km/h, con una durata massima di 30 secondi.
Analisi — Funzione equivalente tra le seguenti configurazioni: VZI_Base, VZ_FR, VZ_ES, VZI-6_R1.
Pagina iniziale: parte di pagina 204 — Pagina finale: parte di pagina 213.</t>
        </is>
      </c>
      <c r="K259" s="463" t="n"/>
      <c r="L259" s="464" t="n"/>
    </row>
    <row r="260">
      <c r="A260" s="350" t="inlineStr">
        <is>
          <t>BRK_Brake_Test</t>
        </is>
      </c>
      <c r="B260" s="377" t="n"/>
      <c r="C260" s="393" t="n"/>
      <c r="D260" s="371" t="inlineStr">
        <is>
          <t>\</t>
        </is>
      </c>
      <c r="E260" s="351" t="n"/>
      <c r="F260" s="352" t="n"/>
      <c r="G260" s="352" t="n"/>
      <c r="H260" s="352" t="n"/>
      <c r="I260" s="352" t="n"/>
      <c r="J260" s="352" t="n"/>
      <c r="K260" s="352" t="n"/>
      <c r="L260" s="353" t="n"/>
    </row>
    <row r="261" outlineLevel="1" s="583">
      <c r="B261" s="376" t="n"/>
      <c r="C261" s="158" t="inlineStr">
        <is>
          <t>CONFIG</t>
        </is>
      </c>
      <c r="D261" s="369" t="inlineStr">
        <is>
          <t>FRS_Brake Control</t>
        </is>
      </c>
      <c r="E261" s="344" t="inlineStr">
        <is>
          <t>Link</t>
        </is>
      </c>
      <c r="F261" s="314">
        <f t="array" ref="F261">HYPERLINK(CONCATENATE(Cartelle!$D$5,F$1,"/",$C261,"/",MID($D261,1,FIND("_",$D261)-1),"/",INDIRECT(CONCATENATE("'" &amp; $C261 &amp; "'!",ADDRESS(MATCH($D261, INDIRECT("'" &amp; $C261 &amp; "'!$B:$B"), 0),MATCH(F$1, INDIRECT("'" &amp; $C261 &amp; "'!$1:$1"), 0)))),".",INDIRECT(CONCATENATE("'"&amp;$C261&amp;"'!",ADDRESS(MATCH($D261,INDIRECT("'"&amp;$C261&amp;"'!$B:$B"),0),3))),"#page=",F262),CONCATENATE("#Sharepoint//",$D261))</f>
        <v/>
      </c>
      <c r="G261" s="378" t="n"/>
      <c r="H261" s="314">
        <f t="array" ref="H261">HYPERLINK(CONCATENATE(Cartelle!$D$5,INDEX(INDIRECT("'" &amp; $C261 &amp; "'!$1:$1"), 1, MATCH(INDIRECT(CONCATENATE("'" &amp; $C261 &amp; "'!",ADDRESS(MATCH($D261, INDIRECT("'" &amp; $C261 &amp; "'!$B:$B"), 0),MATCH(H$1, INDIRECT("'" &amp; $C261 &amp; "'!$1:$1"), 0)))),INDIRECT(CONCATENATE("'" &amp; $C261 &amp; "'!",MATCH($D261, INDIRECT("'" &amp; $C261 &amp; "'!$B:$B"), 0),":",MATCH($D261, INDIRECT("'" &amp; $C261 &amp; "'!$B:$B"), 0))),0)),"/",$C261,"/",MID($D261,1,FIND("_",$D261)-1),"/",INDIRECT(CONCATENATE("'" &amp; $C261 &amp; "'!",ADDRESS(MATCH($D261, INDIRECT("'" &amp; $C261 &amp; "'!$B:$B"), 0),MATCH(H$1, INDIRECT("'" &amp; $C261 &amp; "'!$1:$1"), 0)))),".",INDIRECT(CONCATENATE("'"&amp;$C261&amp;"'!",ADDRESS(MATCH($D261,INDIRECT("'"&amp;$C261&amp;"'!$B:$B"),0),3))),"#page=",H262),CONCATENATE("#Sharepoint//",$D261))</f>
        <v/>
      </c>
      <c r="I261" s="314">
        <f t="array" ref="I261">HYPERLINK(CONCATENATE(Cartelle!$D$5,INDEX(INDIRECT("'" &amp; $C261 &amp; "'!$1:$1"), 1, MATCH(INDIRECT(CONCATENATE("'" &amp; $C261 &amp; "'!",ADDRESS(MATCH($D261, INDIRECT("'" &amp; $C261 &amp; "'!$B:$B"), 0),MATCH(I$1, INDIRECT("'" &amp; $C261 &amp; "'!$1:$1"), 0)))),INDIRECT(CONCATENATE("'" &amp; $C261 &amp; "'!",MATCH($D261, INDIRECT("'" &amp; $C261 &amp; "'!$B:$B"), 0),":",MATCH($D261, INDIRECT("'" &amp; $C261 &amp; "'!$B:$B"), 0))),0)),"/",$C261,"/",MID($D261,1,FIND("_",$D261)-1),"/",INDIRECT(CONCATENATE("'" &amp; $C261 &amp; "'!",ADDRESS(MATCH($D261, INDIRECT("'" &amp; $C261 &amp; "'!$B:$B"), 0),MATCH(I$1, INDIRECT("'" &amp; $C261 &amp; "'!$1:$1"), 0)))),".",INDIRECT(CONCATENATE("'"&amp;$C261&amp;"'!",ADDRESS(MATCH($D261,INDIRECT("'"&amp;$C261&amp;"'!$B:$B"),0),3))),"#page=",I262),CONCATENATE("#Sharepoint//",$D261))</f>
        <v/>
      </c>
      <c r="J261" s="314">
        <f t="array" ref="J261">HYPERLINK(CONCATENATE(Cartelle!$D$5,INDEX(INDIRECT("'" &amp; $C261 &amp; "'!$1:$1"), 1, MATCH(INDIRECT(CONCATENATE("'" &amp; $C261 &amp; "'!",ADDRESS(MATCH($D261, INDIRECT("'" &amp; $C261 &amp; "'!$B:$B"), 0),MATCH(J$1, INDIRECT("'" &amp; $C261 &amp; "'!$1:$1"), 0)))),INDIRECT(CONCATENATE("'" &amp; $C261 &amp; "'!",MATCH($D261, INDIRECT("'" &amp; $C261 &amp; "'!$B:$B"), 0),":",MATCH($D261, INDIRECT("'" &amp; $C261 &amp; "'!$B:$B"), 0))),0)),"/",$C261,"/",MID($D261,1,FIND("_",$D261)-1),"/",INDIRECT(CONCATENATE("'" &amp; $C261 &amp; "'!",ADDRESS(MATCH($D261, INDIRECT("'" &amp; $C261 &amp; "'!$B:$B"), 0),MATCH(J$1, INDIRECT("'" &amp; $C261 &amp; "'!$1:$1"), 0)))),".",INDIRECT(CONCATENATE("'"&amp;$C261&amp;"'!",ADDRESS(MATCH($D261,INDIRECT("'"&amp;$C261&amp;"'!$B:$B"),0),3))),"#page=",J262),CONCATENATE("#Sharepoint//",$D261))</f>
        <v/>
      </c>
      <c r="K261" s="346" t="n"/>
      <c r="L261" s="346" t="n"/>
    </row>
    <row r="262" outlineLevel="2" s="583">
      <c r="B262" s="376" t="n"/>
      <c r="D262" s="373" t="n"/>
      <c r="E262" s="356" t="inlineStr">
        <is>
          <t>Rif. Pagina</t>
        </is>
      </c>
      <c r="F262" s="357" t="n">
        <v>172</v>
      </c>
      <c r="G262" s="357" t="n"/>
      <c r="H262" s="357" t="n">
        <v>184</v>
      </c>
      <c r="I262" s="357" t="n">
        <v>186</v>
      </c>
      <c r="J262" s="357" t="n">
        <v>213</v>
      </c>
      <c r="K262" s="357" t="n"/>
      <c r="L262" s="357" t="n"/>
    </row>
    <row r="263" outlineLevel="2" s="583">
      <c r="B263" s="376" t="n"/>
      <c r="D263" s="357" t="n"/>
      <c r="E263" s="459" t="inlineStr">
        <is>
          <t>Funzioni AI</t>
        </is>
      </c>
      <c r="F263" s="629" t="inlineStr">
        <is>
          <t>La funzione ferroviaria "BRK_Brake_Test" è una testata semi-automatica per verificare le funzionalità del sistema frenante dell'ETR1000/V300ZEFIRO. I componenti elettrici/meccanici/software coinvolti includono il sistema IDU, il manometro di pressione della tubazione di freno, il selector switch per il test della continuità della tubazione di freno e il push button "Brake test" illuminato. La logica di funzionamento prevede l'attivazione del test via menu IDU o push button, con l'obiettivo di verificare le funzionalità del sistema frenante in modalità DEP, Indirect service brake, emergency brake e passenger emergency brake. Il test è progettato per essere eseguito regolarmente durante la preparazione del treno e può essere eseguito manualmente in caso di fallimento della funzione semi-automatica.
Analisi — Funzione equivalente tra le seguenti configurazioni: VZI_Base, VZ_FR, VZ_ES, VZI-6_R1.
Pagina iniziale: parte di pagina 172 — Pagina finale: parte di pagina 187.</t>
        </is>
      </c>
      <c r="G263" s="463" t="n"/>
      <c r="H263" s="629" t="inlineStr">
        <is>
          <t>La funzione ferroviaria "BRK_Brake_Test" è un test di frenatura semi-automatica per il treno ETR1000/V300ZEFIRO. I componenti elettrici/meccanici/software coinvolti includono l'IDU (Interface Driver Unit), il selector switch, il manometer, la push button "Brake test" e il sistema di controllo dei freni. La logica di funzionamento prevede l'attivazione del test tramite la push button o il menu IDU, con obiettivo di verificare le funzionalità di frenatura semi-automatica, mentre in caso di fallimento si possono eseguire test manuali per verificare la continuità e la tensione della linea di frenatura. La funzione è progettata per essere attivata regolarmente durante il servizio di preparazione e per ogni attivazione del cabino, con l'obiettivo di garantire la sicurezza dei passeggeri e dell'equipaggio.
Analisi — Funzione equivalente tra le seguenti configurazioni: VZI_Base, VZ_FR, VZ_ES, VZI-6_R1.
Pagina iniziale: parte di pagina 184 — Pagina finale: pagina 199.</t>
        </is>
      </c>
      <c r="I263" s="629" t="inlineStr">
        <is>
          <t>La funzione ferroviaria BRK_Brake_Test è un test di frenatura semi-automatico che verifica le funzioni di base del sistema di frenata, come DEP, Indirect service brake e emergency brake. I componenti principali coinvolti sono l'IDU (Interface Driver Unit), il selector switch per la continuità della tubazione del freno, il manometro per la pressione del freno e il pulsante di conferma sicura. La funzione è attivata via IDU e può essere eseguita in modalità semi-automatica o manuale, con l'obiettivo di verificare la corretta funzionalità del sistema di frenata. In caso di fallimento, il test può essere eseguito manualmente per verificare la continuità e la pressione della tubazione del freno.
Analisi — Funzione equivalente tra le seguenti configurazioni: VZI_Base, VZ_FR, VZ_ES, VZI-6_R1.
Pagina iniziale: parte di pagina 186 — Pagina finale: pagina 201.</t>
        </is>
      </c>
      <c r="J263" s="629" t="inlineStr">
        <is>
          <t>La funzione ferroviaria BRK_Brake_Test è un test di frenatura semi-automatico per verificare le funzioni di frenazione del treno ETR1000 VZI-R1. I componenti elettrici/meccanici/software coinvolti includono l'IDU (Interface Driver Unit), il selector switch, il manometro, la push button di sicurezza e il sistema di comunicazione. La logica di funzionamento prevede l'attivazione del test via IDU, con opzioni per selezione tra test semi-automatici (full e basic) e test singoli di funzione di frenatura. In caso di fallimento del test, si attiva un procedimento di manutenzione manualmente. La funzione è progettata per garantire la sicurezza del treno e dei passeggeri, con ridondanze nel sistema di comunicazione e controllo.
Analisi — Funzione equivalente tra le seguenti configurazioni: VZI_Base, VZ_FR, VZ_ES, VZI-6_R1.
Pagina iniziale: parte di pagina 213 — Pagina finale: pagina 228.</t>
        </is>
      </c>
      <c r="K263" s="463" t="n"/>
      <c r="L263" s="464" t="n"/>
    </row>
    <row r="264">
      <c r="A264" s="350" t="inlineStr">
        <is>
          <t>BRK_Towing</t>
        </is>
      </c>
      <c r="B264" s="377" t="n"/>
      <c r="C264" s="393" t="n"/>
      <c r="D264" s="371" t="inlineStr">
        <is>
          <t>\</t>
        </is>
      </c>
      <c r="E264" s="351" t="n"/>
      <c r="F264" s="352" t="n"/>
      <c r="G264" s="352" t="n"/>
      <c r="H264" s="352" t="n"/>
      <c r="I264" s="352" t="n"/>
      <c r="J264" s="352" t="n"/>
      <c r="K264" s="352" t="n"/>
      <c r="L264" s="353" t="n"/>
    </row>
    <row r="265" outlineLevel="1" s="583">
      <c r="B265" s="376" t="n"/>
      <c r="C265" s="158" t="inlineStr">
        <is>
          <t>CONFIG</t>
        </is>
      </c>
      <c r="D265" s="369" t="inlineStr">
        <is>
          <t>FRS_Brake Control</t>
        </is>
      </c>
      <c r="E265" s="344" t="inlineStr">
        <is>
          <t>Link</t>
        </is>
      </c>
      <c r="F265" s="314">
        <f t="array" ref="F265">HYPERLINK(CONCATENATE(Cartelle!$D$5,F$1,"/",$C265,"/",MID($D265,1,FIND("_",$D265)-1),"/",INDIRECT(CONCATENATE("'" &amp; $C265 &amp; "'!",ADDRESS(MATCH($D265, INDIRECT("'" &amp; $C265 &amp; "'!$B:$B"), 0),MATCH(F$1, INDIRECT("'" &amp; $C265 &amp; "'!$1:$1"), 0)))),".",INDIRECT(CONCATENATE("'"&amp;$C265&amp;"'!",ADDRESS(MATCH($D265,INDIRECT("'"&amp;$C265&amp;"'!$B:$B"),0),3))),"#page=",F266),CONCATENATE("#Sharepoint//",$D265))</f>
        <v/>
      </c>
      <c r="G265" s="378" t="n"/>
      <c r="H265" s="314">
        <f t="array" ref="H265">HYPERLINK(CONCATENATE(Cartelle!$D$5,INDEX(INDIRECT("'" &amp; $C265 &amp; "'!$1:$1"), 1, MATCH(INDIRECT(CONCATENATE("'" &amp; $C265 &amp; "'!",ADDRESS(MATCH($D265, INDIRECT("'" &amp; $C265 &amp; "'!$B:$B"), 0),MATCH(H$1, INDIRECT("'" &amp; $C265 &amp; "'!$1:$1"), 0)))),INDIRECT(CONCATENATE("'" &amp; $C265 &amp; "'!",MATCH($D265, INDIRECT("'" &amp; $C265 &amp; "'!$B:$B"), 0),":",MATCH($D265, INDIRECT("'" &amp; $C265 &amp; "'!$B:$B"), 0))),0)),"/",$C265,"/",MID($D265,1,FIND("_",$D265)-1),"/",INDIRECT(CONCATENATE("'" &amp; $C265 &amp; "'!",ADDRESS(MATCH($D265, INDIRECT("'" &amp; $C265 &amp; "'!$B:$B"), 0),MATCH(H$1, INDIRECT("'" &amp; $C265 &amp; "'!$1:$1"), 0)))),".",INDIRECT(CONCATENATE("'"&amp;$C265&amp;"'!",ADDRESS(MATCH($D265,INDIRECT("'"&amp;$C265&amp;"'!$B:$B"),0),3))),"#page=",H266),CONCATENATE("#Sharepoint//",$D265))</f>
        <v/>
      </c>
      <c r="I265" s="314">
        <f t="array" ref="I265">HYPERLINK(CONCATENATE(Cartelle!$D$5,INDEX(INDIRECT("'" &amp; $C265 &amp; "'!$1:$1"), 1, MATCH(INDIRECT(CONCATENATE("'" &amp; $C265 &amp; "'!",ADDRESS(MATCH($D265, INDIRECT("'" &amp; $C265 &amp; "'!$B:$B"), 0),MATCH(I$1, INDIRECT("'" &amp; $C265 &amp; "'!$1:$1"), 0)))),INDIRECT(CONCATENATE("'" &amp; $C265 &amp; "'!",MATCH($D265, INDIRECT("'" &amp; $C265 &amp; "'!$B:$B"), 0),":",MATCH($D265, INDIRECT("'" &amp; $C265 &amp; "'!$B:$B"), 0))),0)),"/",$C265,"/",MID($D265,1,FIND("_",$D265)-1),"/",INDIRECT(CONCATENATE("'" &amp; $C265 &amp; "'!",ADDRESS(MATCH($D265, INDIRECT("'" &amp; $C265 &amp; "'!$B:$B"), 0),MATCH(I$1, INDIRECT("'" &amp; $C265 &amp; "'!$1:$1"), 0)))),".",INDIRECT(CONCATENATE("'"&amp;$C265&amp;"'!",ADDRESS(MATCH($D265,INDIRECT("'"&amp;$C265&amp;"'!$B:$B"),0),3))),"#page=",I266),CONCATENATE("#Sharepoint//",$D265))</f>
        <v/>
      </c>
      <c r="J265" s="314">
        <f t="array" ref="J265">HYPERLINK(CONCATENATE(Cartelle!$D$5,INDEX(INDIRECT("'" &amp; $C265 &amp; "'!$1:$1"), 1, MATCH(INDIRECT(CONCATENATE("'" &amp; $C265 &amp; "'!",ADDRESS(MATCH($D265, INDIRECT("'" &amp; $C265 &amp; "'!$B:$B"), 0),MATCH(J$1, INDIRECT("'" &amp; $C265 &amp; "'!$1:$1"), 0)))),INDIRECT(CONCATENATE("'" &amp; $C265 &amp; "'!",MATCH($D265, INDIRECT("'" &amp; $C265 &amp; "'!$B:$B"), 0),":",MATCH($D265, INDIRECT("'" &amp; $C265 &amp; "'!$B:$B"), 0))),0)),"/",$C265,"/",MID($D265,1,FIND("_",$D265)-1),"/",INDIRECT(CONCATENATE("'" &amp; $C265 &amp; "'!",ADDRESS(MATCH($D265, INDIRECT("'" &amp; $C265 &amp; "'!$B:$B"), 0),MATCH(J$1, INDIRECT("'" &amp; $C265 &amp; "'!$1:$1"), 0)))),".",INDIRECT(CONCATENATE("'"&amp;$C265&amp;"'!",ADDRESS(MATCH($D265,INDIRECT("'"&amp;$C265&amp;"'!$B:$B"),0),3))),"#page=",J266),CONCATENATE("#Sharepoint//",$D265))</f>
        <v/>
      </c>
      <c r="K265" s="346" t="n"/>
      <c r="L265" s="346" t="n"/>
    </row>
    <row r="266" outlineLevel="2" s="583">
      <c r="B266" s="376" t="n"/>
      <c r="D266" s="373" t="n"/>
      <c r="E266" s="356" t="inlineStr">
        <is>
          <t>Rif. Pagina</t>
        </is>
      </c>
      <c r="F266" s="357" t="n">
        <v>224</v>
      </c>
      <c r="G266" s="357" t="n"/>
      <c r="H266" s="357" t="n">
        <v>238</v>
      </c>
      <c r="I266" s="357" t="n">
        <v>234</v>
      </c>
      <c r="J266" s="357" t="n">
        <v>262</v>
      </c>
      <c r="K266" s="357" t="n"/>
      <c r="L266" s="357" t="n"/>
    </row>
    <row r="267" outlineLevel="2" s="583">
      <c r="B267" s="376" t="n"/>
      <c r="D267" s="357" t="n"/>
      <c r="E267" s="459" t="inlineStr">
        <is>
          <t>Funzioni AI</t>
        </is>
      </c>
      <c r="F267" s="629" t="inlineStr">
        <is>
          <t>La funzione ferroviaria BRK_Towing è progettata per consentire all'ETR1000/V300ZEFIRO di essere trascinato da un altro veicolo o di trascinare altri veicoli, utilizzando il sistema di frenatura e il collegamento con l'altra unità tramite coupler. La funzione è attivata solo se la cabina del veicolo in direzione di guida è sempre attiva e il sistema di frenatura è impostato in modalità IP. Il controllo elettrico delle due unità deve essere disattivato per garantire la sicurezza durante il towing.
Analisi — Funzione equivalente tra le seguenti configurazioni: VZI_Base, VZ_FR, VZ_ES, VZI-6_R1.
Pagina iniziale: parte di pagina 224 — Pagina finale: parte di pagina 233.</t>
        </is>
      </c>
      <c r="G267" s="463" t="n"/>
      <c r="H267" s="629" t="inlineStr">
        <is>
          <t>La funzione ferroviaria BRK_Towing è progettata per consentire all'ETR1000/V300ZEFIRO di essere trascinato da un altro veicolo o di trascinare un altro veicolo, utilizzando il sistema di frenatura e connessione dei tubi di frenatura. La funzione richiede che il cabriolo sia attivo nella direzione di marcia e che l'alimentatore sia disconnesso in caso di connessione elettrica con un altro veicolo. La logica di funzionamento attiva la funzione quando il cabriolo è attivo nella direzione di marcia e il sistema di frenatura è configurato per utilizzare i tubi di frenatura, mentre la disattivazione richiede che il cabriolo sia inattivo o che l'alimentatore sia connesso. La funzione è progettata per garantire una sicurezza ridotta, poiché richiede che il cabriolo sia sempre attivo nella direzione di marcia e che l'alimentatore sia disconnesso in caso di connessione elettrica con un altro veicolo.
Analisi — Funzione equivalente tra le seguenti configurazioni: VZI_Base, VZ_FR, VZ_ES, VZI-6_R1.
Pagina iniziale: parte di pagina 238 — Pagina finale: parte di pagina 246.</t>
        </is>
      </c>
      <c r="I267" s="629" t="inlineStr">
        <is>
          <t>La funzione ferroviaria BRK_Towing è progettata per gestire il recupero di un treno in difficoltà tramite l'utilizzo dell'emergency coupler e della connessione dei tubi frenanti. La funzione viene attivata solo se il treno è in modalità IP brake e la cabina in direzione di guida è sempre attiva, mentre non è consentito toware un treno con una cabina non in direzione di guida attiva. La logica di funzionamento prevede l'utilizzo del towing/towed switch con 5 posizioni, tra cui quattro modi di recupero diversi e uno stato di disattivazione.
Analisi — Funzione equivalente tra le seguenti configurazioni: VZI_Base, VZ_FR, VZ_ES, VZI-6_R1.
Pagina iniziale: parte di pagina 234 — Pagina finale: parte di pagina 242.</t>
        </is>
      </c>
      <c r="J267" s="629" t="inlineStr">
        <is>
          <t>La funzione ferroviaria BRK_Towing è progettata per consentire al treno ETR1000 VZI-R1 di essere trascinato da un altro veicolo o di trascinare un altro veicolo, garantendo la sicurezza e il controllo del sistema frenante. La funzione è attivata quando il cabrilettino è in posizione corretta e il sistema elettrico è disattivato, permettendo al treno di utilizzare il sistema di frenatura a pressione e il sistema di frenatura ad aria compressa per controllare la velocità e la direzione del veicolo. La funzione è progettata per garantire una sicurezza ridotta rispetto alla normale operazione del treno, con l'uso di un isolatore di frenatura elettrico per prevenire il contatto tra i due cabriletti.
Analisi — Funzione equivalente tra le seguenti configurazioni: VZI_Base, VZ_FR, VZ_ES, VZI-6_R1.
Pagina iniziale: parte di pagina 262 — Pagina finale: parte di pagina 270.</t>
        </is>
      </c>
      <c r="K267" s="463" t="n"/>
      <c r="L267" s="464" t="n"/>
    </row>
    <row r="268">
      <c r="A268" s="350" t="inlineStr">
        <is>
          <t>BRK_Fire_Safety_&amp;_Running_Capability</t>
        </is>
      </c>
      <c r="B268" s="377" t="n"/>
      <c r="C268" s="393" t="n"/>
      <c r="D268" s="371" t="inlineStr">
        <is>
          <t>\</t>
        </is>
      </c>
      <c r="E268" s="351" t="n"/>
      <c r="F268" s="352" t="n"/>
      <c r="G268" s="352" t="n"/>
      <c r="H268" s="352" t="n"/>
      <c r="I268" s="352" t="n"/>
      <c r="J268" s="352" t="n"/>
      <c r="K268" s="352" t="n"/>
      <c r="L268" s="353" t="n"/>
    </row>
    <row r="269" outlineLevel="1" s="583">
      <c r="B269" s="376" t="n"/>
      <c r="C269" s="158" t="inlineStr">
        <is>
          <t>CONFIG</t>
        </is>
      </c>
      <c r="D269" s="369" t="inlineStr">
        <is>
          <t>FRS_Brake Control</t>
        </is>
      </c>
      <c r="E269" s="344" t="inlineStr">
        <is>
          <t>Link</t>
        </is>
      </c>
      <c r="F269" s="314">
        <f t="array" ref="F269">HYPERLINK(CONCATENATE(Cartelle!$D$5,F$1,"/",$C269,"/",MID($D269,1,FIND("_",$D269)-1),"/",INDIRECT(CONCATENATE("'" &amp; $C269 &amp; "'!",ADDRESS(MATCH($D269, INDIRECT("'" &amp; $C269 &amp; "'!$B:$B"), 0),MATCH(F$1, INDIRECT("'" &amp; $C269 &amp; "'!$1:$1"), 0)))),".",INDIRECT(CONCATENATE("'"&amp;$C269&amp;"'!",ADDRESS(MATCH($D269,INDIRECT("'"&amp;$C269&amp;"'!$B:$B"),0),3))),"#page=",F270),CONCATENATE("#Sharepoint//",$D269))</f>
        <v/>
      </c>
      <c r="G269" s="378" t="n"/>
      <c r="H269" s="314">
        <f t="array" ref="H269">HYPERLINK(CONCATENATE(Cartelle!$D$5,INDEX(INDIRECT("'" &amp; $C269 &amp; "'!$1:$1"), 1, MATCH(INDIRECT(CONCATENATE("'" &amp; $C269 &amp; "'!",ADDRESS(MATCH($D269, INDIRECT("'" &amp; $C269 &amp; "'!$B:$B"), 0),MATCH(H$1, INDIRECT("'" &amp; $C269 &amp; "'!$1:$1"), 0)))),INDIRECT(CONCATENATE("'" &amp; $C269 &amp; "'!",MATCH($D269, INDIRECT("'" &amp; $C269 &amp; "'!$B:$B"), 0),":",MATCH($D269, INDIRECT("'" &amp; $C269 &amp; "'!$B:$B"), 0))),0)),"/",$C269,"/",MID($D269,1,FIND("_",$D269)-1),"/",INDIRECT(CONCATENATE("'" &amp; $C269 &amp; "'!",ADDRESS(MATCH($D269, INDIRECT("'" &amp; $C269 &amp; "'!$B:$B"), 0),MATCH(H$1, INDIRECT("'" &amp; $C269 &amp; "'!$1:$1"), 0)))),".",INDIRECT(CONCATENATE("'"&amp;$C269&amp;"'!",ADDRESS(MATCH($D269,INDIRECT("'"&amp;$C269&amp;"'!$B:$B"),0),3))),"#page=",H270),CONCATENATE("#Sharepoint//",$D269))</f>
        <v/>
      </c>
      <c r="I269" s="314">
        <f t="array" ref="I269">HYPERLINK(CONCATENATE(Cartelle!$D$5,INDEX(INDIRECT("'" &amp; $C269 &amp; "'!$1:$1"), 1, MATCH(INDIRECT(CONCATENATE("'" &amp; $C269 &amp; "'!",ADDRESS(MATCH($D269, INDIRECT("'" &amp; $C269 &amp; "'!$B:$B"), 0),MATCH(I$1, INDIRECT("'" &amp; $C269 &amp; "'!$1:$1"), 0)))),INDIRECT(CONCATENATE("'" &amp; $C269 &amp; "'!",MATCH($D269, INDIRECT("'" &amp; $C269 &amp; "'!$B:$B"), 0),":",MATCH($D269, INDIRECT("'" &amp; $C269 &amp; "'!$B:$B"), 0))),0)),"/",$C269,"/",MID($D269,1,FIND("_",$D269)-1),"/",INDIRECT(CONCATENATE("'" &amp; $C269 &amp; "'!",ADDRESS(MATCH($D269, INDIRECT("'" &amp; $C269 &amp; "'!$B:$B"), 0),MATCH(I$1, INDIRECT("'" &amp; $C269 &amp; "'!$1:$1"), 0)))),".",INDIRECT(CONCATENATE("'"&amp;$C269&amp;"'!",ADDRESS(MATCH($D269,INDIRECT("'"&amp;$C269&amp;"'!$B:$B"),0),3))),"#page=",I270),CONCATENATE("#Sharepoint//",$D269))</f>
        <v/>
      </c>
      <c r="J269" s="314">
        <f t="array" ref="J269">HYPERLINK(CONCATENATE(Cartelle!$D$5,INDEX(INDIRECT("'" &amp; $C269 &amp; "'!$1:$1"), 1, MATCH(INDIRECT(CONCATENATE("'" &amp; $C269 &amp; "'!",ADDRESS(MATCH($D269, INDIRECT("'" &amp; $C269 &amp; "'!$B:$B"), 0),MATCH(J$1, INDIRECT("'" &amp; $C269 &amp; "'!$1:$1"), 0)))),INDIRECT(CONCATENATE("'" &amp; $C269 &amp; "'!",MATCH($D269, INDIRECT("'" &amp; $C269 &amp; "'!$B:$B"), 0),":",MATCH($D269, INDIRECT("'" &amp; $C269 &amp; "'!$B:$B"), 0))),0)),"/",$C269,"/",MID($D269,1,FIND("_",$D269)-1),"/",INDIRECT(CONCATENATE("'" &amp; $C269 &amp; "'!",ADDRESS(MATCH($D269, INDIRECT("'" &amp; $C269 &amp; "'!$B:$B"), 0),MATCH(J$1, INDIRECT("'" &amp; $C269 &amp; "'!$1:$1"), 0)))),".",INDIRECT(CONCATENATE("'"&amp;$C269&amp;"'!",ADDRESS(MATCH($D269,INDIRECT("'"&amp;$C269&amp;"'!$B:$B"),0),3))),"#page=",J270),CONCATENATE("#Sharepoint//",$D269))</f>
        <v/>
      </c>
      <c r="K269" s="346" t="n"/>
      <c r="L269" s="346" t="n"/>
    </row>
    <row r="270" outlineLevel="2" s="583">
      <c r="B270" s="376" t="n"/>
      <c r="D270" s="373" t="n"/>
      <c r="E270" s="356" t="inlineStr">
        <is>
          <t>Rif. Pagina</t>
        </is>
      </c>
      <c r="F270" s="357" t="n">
        <v>233</v>
      </c>
      <c r="G270" s="357" t="n"/>
      <c r="H270" s="357" t="n">
        <v>246</v>
      </c>
      <c r="I270" s="357" t="n">
        <v>242</v>
      </c>
      <c r="J270" s="357" t="n">
        <v>270</v>
      </c>
      <c r="K270" s="357" t="n"/>
      <c r="L270" s="357" t="n"/>
    </row>
    <row r="271" outlineLevel="2" s="583">
      <c r="B271" s="376" t="n"/>
      <c r="D271" s="357" t="n"/>
      <c r="E271" s="459" t="inlineStr">
        <is>
          <t>Funzioni AI</t>
        </is>
      </c>
      <c r="F271" s="629" t="inlineStr">
        <is>
          <t>La funzione ferroviaria BRK_Fire_Safety_&amp;_Running_Capability è progettata per garantire la sicurezza del treno ETR1000 in caso di attacco di fuoco. I componenti elettrici/meccanici/software principali coinvolti sono i sistemi di controllo e comunicazione dei freni, inclusi il sistema di allarme antincendio e il sistema di controllo della velocità. La logica di funzionamento attiva il sistema di emergenza in caso di fuoco, garantendo la continuità del servizio e prevenendo l'attivazione automatica dei freni. Le ridondanze sono previste per i sistemi di comunicazione e controllo, con un minimo di 15 minuti di durata senza interruzioni per garantire la sicurezza del treno.
Analisi — Funzione equivalente tra le seguenti configurazioni: VZI_Base, VZ_FR, VZ_ES, VZI-6_R1.
Pagina iniziale: parte di pagina 233 — Pagina finale: parte di pagina 234.</t>
        </is>
      </c>
      <c r="G271" s="463" t="n"/>
      <c r="H271" s="629" t="inlineStr">
        <is>
          <t>La funzione ferroviaria "BRK_Fire_Safety_&amp;_Running_Capability" è progettata per garantire la sicurezza del treno ETR1000 in caso di attacco di fuoco. I componenti principali coinvolti sono i sistemi elettrici e pneumatici, nonché le comunicazioni tra il controllo e l'unità motrice. La funzione è attivata quando il treno raggiunge una velocità superiore a 80 km/h e si trova in una distanza di 20 km da un punto di riferimento. In caso di fuoco, la funzione viene attivata per garantire che non vengano applicate le frenature automatiche, mentre i sistemi di controllo e comunicazione sono progettati per essere resistenti al calore per durare almeno 15 minuti.
Analisi — Funzione equivalente tra le seguenti configurazioni: VZI_Base, VZ_FR, VZ_ES, VZI-6_R1.
Pagina iniziale: parte di pagina 246 — Pagina finale: parte di pagina 247.</t>
        </is>
      </c>
      <c r="I271" s="629" t="inlineStr">
        <is>
          <t>La funzione ferroviaria BRK_Fire_Safety_&amp;_Running_Capability è progettata per garantire la sicurezza del treno ETR1000 in caso di attacco di fuoco. I componenti elettrici/meccanici/software principali coinvolti sono i sistemi di controllo e comunicazione, inclusi il sistema di frenatura e il sistema di gestione della velocità. La logica di funzionamento prevede che in caso di attacco di fuoco, i sistemi di controllo e comunicazione siano progettati per essere fire-resistant e durare almeno 15 minuti, evitando l'attivazione automatica del frenatore. Le ridondanze sono garantite attraverso la presenza di emergenza operativo e il sistema di gestione della velocità, che possono essere attivati in caso di fallimento dei sistemi principali.
Analisi — Funzione equivalente tra le seguenti configurazioni: VZI_Base, VZ_FR, VZ_ES, VZI-6_R1.
Pagina iniziale: parte di pagina 242 — Pagina finale: parte di pagina 243.</t>
        </is>
      </c>
      <c r="J271" s="629" t="inlineStr">
        <is>
          <t>La funzione ferroviaria BRK_Fire_Safety_&amp;_Running_Capability è progettata per garantire la sicurezza del treno ETR1000 VZI-R1 in caso di attacco di fuoco. I componenti principali coinvolti sono i sistemi elettrici e pneumatici, nonché il software di controllo. La funzione viene attivata quando il treno raggiunge una velocità critica (80 km/h) e si trova a distanza di 20 km da un punto di riferimento. In caso di fuoco, i sistemi di controllo devono essere progettati per resistere per almeno 15 minuti, evitando l'applicazione automatica del freno. La funzione include anche requisiti di sicurezza come la ridondanza dei sistemi e la protezione contro false indicazioni.
Analisi — Funzione equivalente tra le seguenti configurazioni: VZI_Base, VZ_FR, VZ_ES, VZI-6_R1.
Pagina iniziale: parte di pagina 270 — Pagina finale: parte di pagina 271.</t>
        </is>
      </c>
      <c r="K271" s="463" t="n"/>
      <c r="L271" s="464" t="n"/>
    </row>
    <row r="272">
      <c r="A272" s="350" t="inlineStr">
        <is>
          <t>BRK_Magnetic_Track_Brake_Optional</t>
        </is>
      </c>
      <c r="B272" s="377" t="n"/>
      <c r="C272" s="393" t="n"/>
      <c r="D272" s="371" t="inlineStr">
        <is>
          <t>\</t>
        </is>
      </c>
      <c r="E272" s="351" t="n"/>
      <c r="F272" s="352" t="n"/>
      <c r="G272" s="352" t="n"/>
      <c r="H272" s="352" t="n"/>
      <c r="I272" s="352" t="n"/>
      <c r="J272" s="352" t="n"/>
      <c r="K272" s="352" t="n"/>
      <c r="L272" s="353" t="n"/>
    </row>
    <row r="273" outlineLevel="1" s="583">
      <c r="B273" s="376" t="n"/>
      <c r="C273" s="158" t="inlineStr">
        <is>
          <t>CONFIG</t>
        </is>
      </c>
      <c r="D273" s="369" t="inlineStr">
        <is>
          <t>FRS_Brake Control</t>
        </is>
      </c>
      <c r="E273" s="344" t="inlineStr">
        <is>
          <t>Link</t>
        </is>
      </c>
      <c r="F273" s="314">
        <f t="array" ref="F273">HYPERLINK(CONCATENATE(Cartelle!$D$5,F$1,"/",$C273,"/",MID($D273,1,FIND("_",$D273)-1),"/",INDIRECT(CONCATENATE("'" &amp; $C273 &amp; "'!",ADDRESS(MATCH($D273, INDIRECT("'" &amp; $C273 &amp; "'!$B:$B"), 0),MATCH(F$1, INDIRECT("'" &amp; $C273 &amp; "'!$1:$1"), 0)))),".",INDIRECT(CONCATENATE("'"&amp;$C273&amp;"'!",ADDRESS(MATCH($D273,INDIRECT("'"&amp;$C273&amp;"'!$B:$B"),0),3))),"#page=",F274),CONCATENATE("#Sharepoint//",$D273))</f>
        <v/>
      </c>
      <c r="G273" s="378" t="n"/>
      <c r="H273" s="314">
        <f t="array" ref="H273">HYPERLINK(CONCATENATE(Cartelle!$D$5,INDEX(INDIRECT("'" &amp; $C273 &amp; "'!$1:$1"), 1, MATCH(INDIRECT(CONCATENATE("'" &amp; $C273 &amp; "'!",ADDRESS(MATCH($D273, INDIRECT("'" &amp; $C273 &amp; "'!$B:$B"), 0),MATCH(H$1, INDIRECT("'" &amp; $C273 &amp; "'!$1:$1"), 0)))),INDIRECT(CONCATENATE("'" &amp; $C273 &amp; "'!",MATCH($D273, INDIRECT("'" &amp; $C273 &amp; "'!$B:$B"), 0),":",MATCH($D273, INDIRECT("'" &amp; $C273 &amp; "'!$B:$B"), 0))),0)),"/",$C273,"/",MID($D273,1,FIND("_",$D273)-1),"/",INDIRECT(CONCATENATE("'" &amp; $C273 &amp; "'!",ADDRESS(MATCH($D273, INDIRECT("'" &amp; $C273 &amp; "'!$B:$B"), 0),MATCH(H$1, INDIRECT("'" &amp; $C273 &amp; "'!$1:$1"), 0)))),".",INDIRECT(CONCATENATE("'"&amp;$C273&amp;"'!",ADDRESS(MATCH($D273,INDIRECT("'"&amp;$C273&amp;"'!$B:$B"),0),3))),"#page=",H274),CONCATENATE("#Sharepoint//",$D273))</f>
        <v/>
      </c>
      <c r="I273" s="314">
        <f t="array" ref="I273">HYPERLINK(CONCATENATE(Cartelle!$D$5,INDEX(INDIRECT("'" &amp; $C273 &amp; "'!$1:$1"), 1, MATCH(INDIRECT(CONCATENATE("'" &amp; $C273 &amp; "'!",ADDRESS(MATCH($D273, INDIRECT("'" &amp; $C273 &amp; "'!$B:$B"), 0),MATCH(I$1, INDIRECT("'" &amp; $C273 &amp; "'!$1:$1"), 0)))),INDIRECT(CONCATENATE("'" &amp; $C273 &amp; "'!",MATCH($D273, INDIRECT("'" &amp; $C273 &amp; "'!$B:$B"), 0),":",MATCH($D273, INDIRECT("'" &amp; $C273 &amp; "'!$B:$B"), 0))),0)),"/",$C273,"/",MID($D273,1,FIND("_",$D273)-1),"/",INDIRECT(CONCATENATE("'" &amp; $C273 &amp; "'!",ADDRESS(MATCH($D273, INDIRECT("'" &amp; $C273 &amp; "'!$B:$B"), 0),MATCH(I$1, INDIRECT("'" &amp; $C273 &amp; "'!$1:$1"), 0)))),".",INDIRECT(CONCATENATE("'"&amp;$C273&amp;"'!",ADDRESS(MATCH($D273,INDIRECT("'"&amp;$C273&amp;"'!$B:$B"),0),3))),"#page=",I274),CONCATENATE("#Sharepoint//",$D273))</f>
        <v/>
      </c>
      <c r="J273" s="314">
        <f t="array" ref="J273">HYPERLINK(CONCATENATE(Cartelle!$D$5,INDEX(INDIRECT("'" &amp; $C273 &amp; "'!$1:$1"), 1, MATCH(INDIRECT(CONCATENATE("'" &amp; $C273 &amp; "'!",ADDRESS(MATCH($D273, INDIRECT("'" &amp; $C273 &amp; "'!$B:$B"), 0),MATCH(J$1, INDIRECT("'" &amp; $C273 &amp; "'!$1:$1"), 0)))),INDIRECT(CONCATENATE("'" &amp; $C273 &amp; "'!",MATCH($D273, INDIRECT("'" &amp; $C273 &amp; "'!$B:$B"), 0),":",MATCH($D273, INDIRECT("'" &amp; $C273 &amp; "'!$B:$B"), 0))),0)),"/",$C273,"/",MID($D273,1,FIND("_",$D273)-1),"/",INDIRECT(CONCATENATE("'" &amp; $C273 &amp; "'!",ADDRESS(MATCH($D273, INDIRECT("'" &amp; $C273 &amp; "'!$B:$B"), 0),MATCH(J$1, INDIRECT("'" &amp; $C273 &amp; "'!$1:$1"), 0)))),".",INDIRECT(CONCATENATE("'"&amp;$C273&amp;"'!",ADDRESS(MATCH($D273,INDIRECT("'"&amp;$C273&amp;"'!$B:$B"),0),3))),"#page=",J274),CONCATENATE("#Sharepoint//",$D273))</f>
        <v/>
      </c>
      <c r="K273" s="346" t="n"/>
      <c r="L273" s="346" t="n"/>
    </row>
    <row r="274" outlineLevel="2" s="583">
      <c r="B274" s="376" t="n"/>
      <c r="D274" s="372" t="n"/>
      <c r="E274" s="354" t="inlineStr">
        <is>
          <t>Rif. Pagina</t>
        </is>
      </c>
      <c r="F274" s="355" t="n">
        <v>234</v>
      </c>
      <c r="G274" s="355" t="n"/>
      <c r="H274" s="355" t="n">
        <v>247</v>
      </c>
      <c r="I274" s="355" t="n"/>
      <c r="J274" s="355" t="n"/>
      <c r="K274" s="355" t="n"/>
      <c r="L274" s="355" t="n"/>
    </row>
    <row r="275" outlineLevel="2" s="583">
      <c r="B275" s="376" t="n"/>
      <c r="D275" s="357" t="n"/>
      <c r="E275" s="459" t="inlineStr">
        <is>
          <t>Funzioni AI</t>
        </is>
      </c>
      <c r="F275" s="629" t="inlineStr">
        <is>
          <t>La funzione ferroviaria "BRK_Magnetic_Track_Brake_Optional" è un sistema di freno magnetico opzionale previsto solo per il corridoio DACH. Il sistema è montato su tutti i bogie dei carri (TT e T). I componenti principali sono: isolazione del cock RIPM, valvola di attivazione pneumatica, pressochessia "MTB", contattore elettrico per magnetizzare il circuito MTB con feedback. Il sistema è attivo in caso di emergenza e viene utilizzato per raggiungere il percentuale di frenatura richiesto. In caso di fallimento, il sistema viene isolato tramite il cock RIPM.
Analisi — Funzione equivalente tra le seguenti configurazioni: VZI_Base, VZ_FR, VZ_ES, VZI-6_R1.
Pagina iniziale: parte di pagina 234 — Pagina finale: parte di pagina 236.</t>
        </is>
      </c>
      <c r="G275" s="463" t="n"/>
      <c r="H275" s="629" t="inlineStr">
        <is>
          <t>La funzione ferroviaria "BRK_Magnetic_Track_Brake_Optional" è un sistema di frenatura magnetico opzionale per il treno ad alta velocità ETR1000. Questo sistema utilizza componenti elettrici/meccanici/software come motori elettrici, sensori di distanza e algoritmi software per controllare la frenata magnetica. La funzione è attivata quando le condizioni di velocità e posizione del treno soddisfano determinate criteri, il che avviene attraverso un sistema di controllo logico che verifica i dati provenienti dai sensori e dal software. Il sistema è progettato per garantire una frenata sicura e efficiente, con ridondanze e requisiti di sicurezza per prevenire errori o interruzioni improvvisi.
Analisi — Funzione equivalente tra le seguenti configurazioni: VZI_Base, VZ_FR, VZ_ES, VZI-6_R1.
Pagina iniziale: parte di pagina 247 — Pagina finale: parte di pagina 248.</t>
        </is>
      </c>
      <c r="I275" s="629" t="inlineStr">
        <is>
          <t>La funzione ferroviaria BRK_Magnetic_Track_Brake_Optional è un sistema di freno magnetico per il treno ad alta velocità ETR1000. È composta da componenti elettrici/meccanici/software come motori elettrici, impianti di controllo e sensori magnetici. La logica di funzionamento attiva il sistema quando la velocità del treno supera un certo limite, utilizzando i sensori magnetici per rilevare la presenza di oggetti sulla linea ferroviaria e attivare il freno magnetico per rallentare o fermare il treno. La funzione è progettata per garantire una sicurezza elevata e ridurre al minimo il rischio di incidenti, con requisiti di sicurezza come la presenza di un sistema di controllo redundante e la possibilità di attivazione manuale del freno magnetico.
Analisi — Funzione equivalente tra le seguenti configurazioni: VZI_Base, VZ_FR, VZ_ES, VZI-6_R1.
Pagina di riferimento: pagina 0.</t>
        </is>
      </c>
      <c r="J275" s="629" t="inlineStr">
        <is>
          <t>La funzione ferroviaria BRK_Magnetic_Track_Brake_Optional è un sistema di frenatura magnetica che consente l'attivazione del freno magnetico in caso di necessità. I componenti elettrici/meccanici/software principali coinvolti sono il sistema di controllo del freno, il generatore di campo magnetico e il sistema di gestione dei comandi. La logica di funzionamento attiva il sistema quando la velocità del treno supera un determinato limite, in modo da garantire una frenata rapida e sicura. Questo sistema è progettato per essere ridondante, con almeno due generatori di campo magnetico e due sistemi di controllo del freno, per garantire la sicurezza e la continuità dell'operazione.
Analisi — Funzione equivalente tra le seguenti configurazioni: VZI_Base, VZ_FR, VZ_ES, VZI-6_R1.
Pagina di riferimento: pagina 0.</t>
        </is>
      </c>
      <c r="K275" s="463" t="n"/>
      <c r="L275" s="464" t="n"/>
    </row>
    <row r="276">
      <c r="A276" s="340" t="inlineStr">
        <is>
          <t>BOG_Flange_Lubrication</t>
        </is>
      </c>
      <c r="B276" s="375" t="n"/>
      <c r="C276" s="393" t="n"/>
      <c r="D276" s="368" t="inlineStr">
        <is>
          <t>\</t>
        </is>
      </c>
      <c r="E276" s="341" t="n"/>
      <c r="F276" s="342" t="n"/>
      <c r="G276" s="342" t="n"/>
      <c r="H276" s="342" t="n"/>
      <c r="I276" s="342" t="n"/>
      <c r="J276" s="342" t="n"/>
      <c r="K276" s="342" t="n"/>
      <c r="L276" s="343" t="n"/>
    </row>
    <row r="277" outlineLevel="1" s="583">
      <c r="B277" s="376" t="n"/>
      <c r="C277" s="158" t="inlineStr">
        <is>
          <t>CONFIG</t>
        </is>
      </c>
      <c r="D277" s="369" t="inlineStr">
        <is>
          <t>FRS_Bogies</t>
        </is>
      </c>
      <c r="E277" s="344" t="inlineStr">
        <is>
          <t>Link</t>
        </is>
      </c>
      <c r="F277" s="314">
        <f t="array" ref="F277">HYPERLINK(CONCATENATE(Cartelle!$D$5,F$1,"/",$C277,"/",MID($D277,1,FIND("_",$D277)-1),"/",INDIRECT(CONCATENATE("'" &amp; $C277 &amp; "'!",ADDRESS(MATCH($D277, INDIRECT("'" &amp; $C277 &amp; "'!$B:$B"), 0),MATCH(F$1, INDIRECT("'" &amp; $C277 &amp; "'!$1:$1"), 0)))),".",INDIRECT(CONCATENATE("'"&amp;$C277&amp;"'!",ADDRESS(MATCH($D277,INDIRECT("'"&amp;$C277&amp;"'!$B:$B"),0),3))),"#page=",F278),CONCATENATE("#Sharepoint//",$D277))</f>
        <v/>
      </c>
      <c r="G277" s="314">
        <f t="array" ref="G277">HYPERLINK(CONCATENATE(Cartelle!$D$5,INDEX(INDIRECT("'" &amp; $C277 &amp; "'!$1:$1"), 1, MATCH(INDIRECT(CONCATENATE("'" &amp; $C277 &amp; "'!",ADDRESS(MATCH($D277, INDIRECT("'" &amp; $C277 &amp; "'!$B:$B"), 0),MATCH(G$1, INDIRECT("'" &amp; $C277 &amp; "'!$1:$1"), 0)))),INDIRECT(CONCATENATE("'" &amp; $C277 &amp; "'!",MATCH($D277, INDIRECT("'" &amp; $C277 &amp; "'!$B:$B"), 0),":",MATCH($D277, INDIRECT("'" &amp; $C277 &amp; "'!$B:$B"), 0))),0)),"/",$C277,"/",MID($D277,1,FIND("_",$D277)-1),"/",INDIRECT(CONCATENATE("'" &amp; $C277 &amp; "'!",ADDRESS(MATCH($D277, INDIRECT("'" &amp; $C277 &amp; "'!$B:$B"), 0),MATCH(G$1, INDIRECT("'" &amp; $C277 &amp; "'!$1:$1"), 0)))),".",INDIRECT(CONCATENATE("'"&amp;$C277&amp;"'!",ADDRESS(MATCH($D277,INDIRECT("'"&amp;$C277&amp;"'!$B:$B"),0),3))),"#page=",G278),CONCATENATE("#Sharepoint//",$D277))</f>
        <v/>
      </c>
      <c r="H277" s="378" t="n"/>
      <c r="I277" s="345" t="n"/>
      <c r="J277" s="314">
        <f t="array" ref="J277">HYPERLINK(CONCATENATE(Cartelle!$D$5,INDEX(INDIRECT("'" &amp; $C277 &amp; "'!$1:$1"), 1, MATCH(INDIRECT(CONCATENATE("'" &amp; $C277 &amp; "'!",ADDRESS(MATCH($D277, INDIRECT("'" &amp; $C277 &amp; "'!$B:$B"), 0),MATCH(J$1, INDIRECT("'" &amp; $C277 &amp; "'!$1:$1"), 0)))),INDIRECT(CONCATENATE("'" &amp; $C277 &amp; "'!",MATCH($D277, INDIRECT("'" &amp; $C277 &amp; "'!$B:$B"), 0),":",MATCH($D277, INDIRECT("'" &amp; $C277 &amp; "'!$B:$B"), 0))),0)),"/",$C277,"/",MID($D277,1,FIND("_",$D277)-1),"/",INDIRECT(CONCATENATE("'" &amp; $C277 &amp; "'!",ADDRESS(MATCH($D277, INDIRECT("'" &amp; $C277 &amp; "'!$B:$B"), 0),MATCH(J$1, INDIRECT("'" &amp; $C277 &amp; "'!$1:$1"), 0)))),".",INDIRECT(CONCATENATE("'"&amp;$C277&amp;"'!",ADDRESS(MATCH($D277,INDIRECT("'"&amp;$C277&amp;"'!$B:$B"),0),3))),"#page=",J278),CONCATENATE("#Sharepoint//",$D277))</f>
        <v/>
      </c>
      <c r="K277" s="346" t="n"/>
      <c r="L277" s="346" t="n"/>
    </row>
    <row r="278" outlineLevel="2" s="583">
      <c r="B278" s="376" t="n"/>
      <c r="D278" s="373" t="n"/>
      <c r="E278" s="356" t="inlineStr">
        <is>
          <t>Rif. Pagina</t>
        </is>
      </c>
      <c r="F278" s="357" t="n">
        <v>11</v>
      </c>
      <c r="G278" s="357" t="n">
        <v>10</v>
      </c>
      <c r="H278" s="357" t="n"/>
      <c r="I278" s="357" t="n"/>
      <c r="J278" s="357" t="n">
        <v>11</v>
      </c>
      <c r="K278" s="357" t="n"/>
      <c r="L278" s="357" t="n"/>
    </row>
    <row r="279" outlineLevel="2" s="583">
      <c r="B279" s="376" t="n"/>
      <c r="D279" s="357" t="n"/>
      <c r="E279" s="459" t="inlineStr">
        <is>
          <t>Funzioni AI</t>
        </is>
      </c>
      <c r="F279" s="629" t="inlineStr">
        <is>
          <t>La BOG_Flange_Lubrication è una funzione ferroviaria che mira a ridurre l'usura tra le ali ruote e il ferrovia mediante l'applicazione di lubrificanti specializzati tramite spruzzo aerostatico. I componenti principali coinvolti sono: controllo unità (WFL), sensori curve, solenoid valves, pompe di lubrificante e tank di lubrificante. La funzione è attiva quando tutti i requisiti del traine sono soddisfatti, ma può essere disattivata in caso di fallimento della controllo unità o di mancato riempimento dei tank di lubrificante. La logica di funzionamento prevede l'attivazione del sistema quando il sensori curve rileva una curvatura, e la disattivazione in caso di fallimento o mancato riempimento.
Analisi — Funzione equivalente tra le seguenti configurazioni: VZI_Base, VZI_New14, VZI-6_R1.
Pagina iniziale: parte di pagina 11 — Pagina finale: parte di pagina 14.</t>
        </is>
      </c>
      <c r="G279" s="629" t="inlineStr">
        <is>
          <t>La BOG_Flange_Lubrication è una funzione ferroviaria che mira a ridurre l'usura tra le ali ruote e il ferrovia mediante l'applicazione di lubrificanti specializzati tramite spruzzo aerostatico. La funzione è composta da un controllo unitario (WFL control unit) con sensori curve e solenoidi, che attivano la spruzzata di lubrificante quando le condizioni di flusso sono soddisfatte. In caso di fallimento, il sistema viene riconosciuto durante la manutenzione programmata e riparato in modo da garantire la sicurezza del veicolo.
Analisi — Funzione equivalente tra le seguenti configurazioni: VZI_Base, VZI_New14, VZI-6_R1.
Pagina iniziale: parte di pagina 10 — Pagina finale: parte di pagina 12.</t>
        </is>
      </c>
      <c r="H279" s="463" t="n"/>
      <c r="I279" s="463" t="n"/>
      <c r="J279" s="629" t="inlineStr">
        <is>
          <t>La BOG_Flange_Lubrication è una funzione ferroviaria che mira a ridurre l'usura tra le ali ruote e il ferrovia utilizzando un sistema di lubrificazione specializzato. La funzione è composta da un controllo unità (inc. curve sensor) e da solenoidi valvole TCMS, che rilasciano una spruzzata di lubrificante quando la curva sensor attiva il sistema. In caso di fallimento del sistema, l'evento viene registrato nel TCMS e il sistema viene riparato durante la prossima manutenzione programmata.
Analisi — Funzione equivalente tra le seguenti configurazioni: VZI_Base, VZI_New14, VZI-6_R1.
Pagina iniziale: pagina 11 — Pagina finale: pagina 13.</t>
        </is>
      </c>
      <c r="K279" s="463" t="n"/>
      <c r="L279" s="464" t="n"/>
    </row>
    <row r="280">
      <c r="A280" s="350" t="inlineStr">
        <is>
          <t>BOG_Hotbox_Detection</t>
        </is>
      </c>
      <c r="B280" s="377" t="n"/>
      <c r="C280" s="393" t="n"/>
      <c r="D280" s="371" t="inlineStr">
        <is>
          <t>\</t>
        </is>
      </c>
      <c r="E280" s="351" t="n"/>
      <c r="F280" s="352" t="n"/>
      <c r="G280" s="352" t="n"/>
      <c r="H280" s="352" t="n"/>
      <c r="I280" s="352" t="n"/>
      <c r="J280" s="352" t="n"/>
      <c r="K280" s="352" t="n"/>
      <c r="L280" s="353" t="n"/>
    </row>
    <row r="281" outlineLevel="1" s="583">
      <c r="B281" s="376" t="n"/>
      <c r="C281" s="158" t="inlineStr">
        <is>
          <t>CONFIG</t>
        </is>
      </c>
      <c r="D281" s="369" t="inlineStr">
        <is>
          <t>FRS_Bogies</t>
        </is>
      </c>
      <c r="E281" s="344" t="inlineStr">
        <is>
          <t>Link</t>
        </is>
      </c>
      <c r="F281" s="314">
        <f t="array" ref="F281">HYPERLINK(CONCATENATE(Cartelle!$D$5,F$1,"/",$C281,"/",MID($D281,1,FIND("_",$D281)-1),"/",INDIRECT(CONCATENATE("'" &amp; $C281 &amp; "'!",ADDRESS(MATCH($D281, INDIRECT("'" &amp; $C281 &amp; "'!$B:$B"), 0),MATCH(F$1, INDIRECT("'" &amp; $C281 &amp; "'!$1:$1"), 0)))),".",INDIRECT(CONCATENATE("'"&amp;$C281&amp;"'!",ADDRESS(MATCH($D281,INDIRECT("'"&amp;$C281&amp;"'!$B:$B"),0),3))),"#page=",F282),CONCATENATE("#Sharepoint//",$D281))</f>
        <v/>
      </c>
      <c r="G281" s="314">
        <f t="array" ref="G281">HYPERLINK(CONCATENATE(Cartelle!$D$5,INDEX(INDIRECT("'" &amp; $C281 &amp; "'!$1:$1"), 1, MATCH(INDIRECT(CONCATENATE("'" &amp; $C281 &amp; "'!",ADDRESS(MATCH($D281, INDIRECT("'" &amp; $C281 &amp; "'!$B:$B"), 0),MATCH(G$1, INDIRECT("'" &amp; $C281 &amp; "'!$1:$1"), 0)))),INDIRECT(CONCATENATE("'" &amp; $C281 &amp; "'!",MATCH($D281, INDIRECT("'" &amp; $C281 &amp; "'!$B:$B"), 0),":",MATCH($D281, INDIRECT("'" &amp; $C281 &amp; "'!$B:$B"), 0))),0)),"/",$C281,"/",MID($D281,1,FIND("_",$D281)-1),"/",INDIRECT(CONCATENATE("'" &amp; $C281 &amp; "'!",ADDRESS(MATCH($D281, INDIRECT("'" &amp; $C281 &amp; "'!$B:$B"), 0),MATCH(G$1, INDIRECT("'" &amp; $C281 &amp; "'!$1:$1"), 0)))),".",INDIRECT(CONCATENATE("'"&amp;$C281&amp;"'!",ADDRESS(MATCH($D281,INDIRECT("'"&amp;$C281&amp;"'!$B:$B"),0),3))),"#page=",G282),CONCATENATE("#Sharepoint//",$D281))</f>
        <v/>
      </c>
      <c r="H281" s="378" t="n"/>
      <c r="I281" s="345" t="n"/>
      <c r="J281" s="314">
        <f t="array" ref="J281">HYPERLINK(CONCATENATE(Cartelle!$D$5,INDEX(INDIRECT("'" &amp; $C281 &amp; "'!$1:$1"), 1, MATCH(INDIRECT(CONCATENATE("'" &amp; $C281 &amp; "'!",ADDRESS(MATCH($D281, INDIRECT("'" &amp; $C281 &amp; "'!$B:$B"), 0),MATCH(J$1, INDIRECT("'" &amp; $C281 &amp; "'!$1:$1"), 0)))),INDIRECT(CONCATENATE("'" &amp; $C281 &amp; "'!",MATCH($D281, INDIRECT("'" &amp; $C281 &amp; "'!$B:$B"), 0),":",MATCH($D281, INDIRECT("'" &amp; $C281 &amp; "'!$B:$B"), 0))),0)),"/",$C281,"/",MID($D281,1,FIND("_",$D281)-1),"/",INDIRECT(CONCATENATE("'" &amp; $C281 &amp; "'!",ADDRESS(MATCH($D281, INDIRECT("'" &amp; $C281 &amp; "'!$B:$B"), 0),MATCH(J$1, INDIRECT("'" &amp; $C281 &amp; "'!$1:$1"), 0)))),".",INDIRECT(CONCATENATE("'"&amp;$C281&amp;"'!",ADDRESS(MATCH($D281,INDIRECT("'"&amp;$C281&amp;"'!$B:$B"),0),3))),"#page=",J282),CONCATENATE("#Sharepoint//",$D281))</f>
        <v/>
      </c>
      <c r="K281" s="346" t="n"/>
      <c r="L281" s="346" t="n"/>
    </row>
    <row r="282" outlineLevel="2" s="583">
      <c r="B282" s="376" t="n"/>
      <c r="D282" s="373" t="n"/>
      <c r="E282" s="356" t="inlineStr">
        <is>
          <t>Rif. Pagina</t>
        </is>
      </c>
      <c r="F282" s="357" t="n">
        <v>14</v>
      </c>
      <c r="G282" s="357" t="n">
        <v>12</v>
      </c>
      <c r="H282" s="357" t="n"/>
      <c r="I282" s="357" t="n"/>
      <c r="J282" s="357" t="n">
        <v>14</v>
      </c>
      <c r="K282" s="357" t="n"/>
      <c r="L282" s="357" t="n"/>
    </row>
    <row r="283" outlineLevel="2" s="583">
      <c r="B283" s="376" t="n"/>
      <c r="D283" s="357" t="n"/>
      <c r="E283" s="459" t="inlineStr">
        <is>
          <t>Funzioni AI</t>
        </is>
      </c>
      <c r="F283" s="629" t="inlineStr">
        <is>
          <t>La funzione ferroviaria BOG_Hotbox_Detection è un sistema di monitoraggio della temperatura delle bullone dei freni (Hotbox Detection) che verifica la salute dei bulloni per evitare incidenti critici. Il sistema è composto da sensori Pt 100, thermal fusi e TCMS (Temperature Control and Monitoring System). La funzione si attiva quando il temperature superano un determinato threshold, attivando un'allarme e bloccando il freno di emergenza della carrozzeria interessata. In caso di fallimento del sistema, viene registrato un evento diagnostico nel sistema di controllo del treno.
Analisi — Funzione equivalente tra le seguenti configurazioni: VZI_Base, VZI_New14, VZI-6_R1.
Pagina iniziale: parte di pagina 14 — Pagina finale: parte di pagina 20.</t>
        </is>
      </c>
      <c r="G283" s="629" t="inlineStr">
        <is>
          <t>La funzione ferroviaria BOG_Hotbox_Detection è un sistema di monitoraggio della temperatura dei bulloni delle ruote che indizza danni alle stesse che possono portare a incidenti critici. Il sistema è composto da sensori Pt 100 e TCMS (Temperature Control Management System) per la misurazione della temperatura, thermal fusi e relays di sicurezza. La funzione si attiva quando il riscaldamento supera un determinato threshold, provocando l'attivazione di un loop di sicurezza che attiva un allarme. La logica di funzionamento prevede la supervisione dei bulloni delle ruote e la verifica della temperatura per evitare false positivi o negativi.
Analisi — Funzione equivalente tra le seguenti configurazioni: VZI_Base, VZI_New14, VZI-6_R1.
Pagina iniziale: parte di pagina 12 — Pagina finale: parte di pagina 20.</t>
        </is>
      </c>
      <c r="H283" s="463" t="n"/>
      <c r="I283" s="463" t="n"/>
      <c r="J283" s="629" t="inlineStr">
        <is>
          <t>La funzione ferroviaria BOG_Hotbox_Detection monitora le temperature dei bulloni delle ruote per individuare eventuali danni alle estremità delle ruote che potrebbero portare a incidenti critici. La funzione è implementata tramite due sistemi separati onboard, uno gestito dal TCMS e l'altro con sensori Pt100. La logica di funzionamento attiva un'allarme se la temperatura supera un certo threshold o se si verifica una perdita di carico del sistema di sicurezza. La funzione è progettata per garantire una ridondanza e una sicurezza elevata, con l'attivazione di un allarme lampada sullo schermo del conducente e un avviso sulla console IDU.
Analisi — Funzione equivalente tra le seguenti configurazioni: VZI_Base, VZI_New14, VZI-6_R1.
Pagina di riferimento: pagina 14.</t>
        </is>
      </c>
      <c r="K283" s="463" t="n"/>
      <c r="L283" s="464" t="n"/>
    </row>
    <row r="284">
      <c r="A284" s="350" t="inlineStr">
        <is>
          <t>BOG_Instability_Monitoring</t>
        </is>
      </c>
      <c r="B284" s="377" t="n"/>
      <c r="C284" s="393" t="n"/>
      <c r="D284" s="371" t="inlineStr">
        <is>
          <t>\</t>
        </is>
      </c>
      <c r="E284" s="351" t="n"/>
      <c r="F284" s="352" t="n"/>
      <c r="G284" s="352" t="n"/>
      <c r="H284" s="352" t="n"/>
      <c r="I284" s="352" t="n"/>
      <c r="J284" s="352" t="n"/>
      <c r="K284" s="352" t="n"/>
      <c r="L284" s="353" t="n"/>
    </row>
    <row r="285" outlineLevel="1" s="583">
      <c r="B285" s="376" t="n"/>
      <c r="C285" s="158" t="inlineStr">
        <is>
          <t>CONFIG</t>
        </is>
      </c>
      <c r="D285" s="369" t="inlineStr">
        <is>
          <t>FRS_Bogies</t>
        </is>
      </c>
      <c r="E285" s="344" t="inlineStr">
        <is>
          <t>Link</t>
        </is>
      </c>
      <c r="F285" s="314">
        <f t="array" ref="F285">HYPERLINK(CONCATENATE(Cartelle!$D$5,F$1,"/",$C285,"/",MID($D285,1,FIND("_",$D285)-1),"/",INDIRECT(CONCATENATE("'" &amp; $C285 &amp; "'!",ADDRESS(MATCH($D285, INDIRECT("'" &amp; $C285 &amp; "'!$B:$B"), 0),MATCH(F$1, INDIRECT("'" &amp; $C285 &amp; "'!$1:$1"), 0)))),".",INDIRECT(CONCATENATE("'"&amp;$C285&amp;"'!",ADDRESS(MATCH($D285,INDIRECT("'"&amp;$C285&amp;"'!$B:$B"),0),3))),"#page=",F286),CONCATENATE("#Sharepoint//",$D285))</f>
        <v/>
      </c>
      <c r="G285" s="314">
        <f t="array" ref="G285">HYPERLINK(CONCATENATE(Cartelle!$D$5,INDEX(INDIRECT("'" &amp; $C285 &amp; "'!$1:$1"), 1, MATCH(INDIRECT(CONCATENATE("'" &amp; $C285 &amp; "'!",ADDRESS(MATCH($D285, INDIRECT("'" &amp; $C285 &amp; "'!$B:$B"), 0),MATCH(G$1, INDIRECT("'" &amp; $C285 &amp; "'!$1:$1"), 0)))),INDIRECT(CONCATENATE("'" &amp; $C285 &amp; "'!",MATCH($D285, INDIRECT("'" &amp; $C285 &amp; "'!$B:$B"), 0),":",MATCH($D285, INDIRECT("'" &amp; $C285 &amp; "'!$B:$B"), 0))),0)),"/",$C285,"/",MID($D285,1,FIND("_",$D285)-1),"/",INDIRECT(CONCATENATE("'" &amp; $C285 &amp; "'!",ADDRESS(MATCH($D285, INDIRECT("'" &amp; $C285 &amp; "'!$B:$B"), 0),MATCH(G$1, INDIRECT("'" &amp; $C285 &amp; "'!$1:$1"), 0)))),".",INDIRECT(CONCATENATE("'"&amp;$C285&amp;"'!",ADDRESS(MATCH($D285,INDIRECT("'"&amp;$C285&amp;"'!$B:$B"),0),3))),"#page=",G286),CONCATENATE("#Sharepoint//",$D285))</f>
        <v/>
      </c>
      <c r="H285" s="378" t="n"/>
      <c r="I285" s="345" t="n"/>
      <c r="J285" s="314">
        <f t="array" ref="J285">HYPERLINK(CONCATENATE(Cartelle!$D$5,INDEX(INDIRECT("'" &amp; $C285 &amp; "'!$1:$1"), 1, MATCH(INDIRECT(CONCATENATE("'" &amp; $C285 &amp; "'!",ADDRESS(MATCH($D285, INDIRECT("'" &amp; $C285 &amp; "'!$B:$B"), 0),MATCH(J$1, INDIRECT("'" &amp; $C285 &amp; "'!$1:$1"), 0)))),INDIRECT(CONCATENATE("'" &amp; $C285 &amp; "'!",MATCH($D285, INDIRECT("'" &amp; $C285 &amp; "'!$B:$B"), 0),":",MATCH($D285, INDIRECT("'" &amp; $C285 &amp; "'!$B:$B"), 0))),0)),"/",$C285,"/",MID($D285,1,FIND("_",$D285)-1),"/",INDIRECT(CONCATENATE("'" &amp; $C285 &amp; "'!",ADDRESS(MATCH($D285, INDIRECT("'" &amp; $C285 &amp; "'!$B:$B"), 0),MATCH(J$1, INDIRECT("'" &amp; $C285 &amp; "'!$1:$1"), 0)))),".",INDIRECT(CONCATENATE("'"&amp;$C285&amp;"'!",ADDRESS(MATCH($D285,INDIRECT("'"&amp;$C285&amp;"'!$B:$B"),0),3))),"#page=",J286),CONCATENATE("#Sharepoint//",$D285))</f>
        <v/>
      </c>
      <c r="K285" s="346" t="n"/>
      <c r="L285" s="346" t="n"/>
    </row>
    <row r="286" outlineLevel="2" s="583">
      <c r="B286" s="376" t="n"/>
      <c r="D286" s="373" t="n"/>
      <c r="E286" s="356" t="inlineStr">
        <is>
          <t>Rif. Pagina</t>
        </is>
      </c>
      <c r="F286" s="357" t="n">
        <v>20</v>
      </c>
      <c r="G286" s="357" t="n">
        <v>20</v>
      </c>
      <c r="H286" s="357" t="n"/>
      <c r="I286" s="357" t="n"/>
      <c r="J286" s="357" t="n">
        <v>36</v>
      </c>
      <c r="K286" s="357" t="n"/>
      <c r="L286" s="357" t="n"/>
    </row>
    <row r="287" outlineLevel="2" s="583">
      <c r="B287" s="376" t="n"/>
      <c r="D287" s="357" t="n"/>
      <c r="E287" s="459" t="inlineStr">
        <is>
          <t>Funzioni AI</t>
        </is>
      </c>
      <c r="F287" s="629" t="inlineStr">
        <is>
          <t>La funzione ferroviaria BOG_Instability_Monitoring supervisiona l'instabilità dei boghi durante il servizio del treno ad alta velocità ETR1000 V300ZEFIRO. I componenti principali coinvolti sono i sistemi di misurazione della lateral acceleration, le IMS boxes (supervision devices) e il TCMS (Telematics Control Module System). La logica di funzionamento attiva l'individuazione dell'instabilità quando le condizioni specificate (10 cicli consecutivi di lateral acceleration superiore a 0,8g e frequenza tra 3 e 9 Hz) sono presenti, con due IMS boxes montati diagonally su ogni bogie che indicano l'instabilità al driver tramite visuali e suoni. La funzione dispone anche di ridondanze e requisiti di sicurezza per garantire la stabilità del sistema e informare il driver in caso di instabilità.
Analisi — Funzione equivalente tra le seguenti configurazioni: VZI_Base, VZI_New14, VZI-6_R1.
Pagina iniziale: parte di pagina 20 — Pagina finale: parte di pagina 29.</t>
        </is>
      </c>
      <c r="G287" s="629" t="inlineStr">
        <is>
          <t>La BOG_Instability_Monitoring è una funzione ferroviaria che supervisiona l'instabilità dei boghi durante il servizio del treno ad alta velocità ETR1000 V300ZEFIRO. I componenti principali coinvolti sono i sistemi di misura della lateral acceleration, le IMS boxes (supervision devices) e il TCMS (Tracking and Control Management System). La funzione è attivata quando si raggiungono condizioni specifiche di lateral acceleration, che indicano l'instabilità del bogie. In caso di instabilità, vengono inviati segnali visivi e sonori al pilota e il sistema registra l'incidente nel TCMS. La funzione è progettata con ridondanza, con due IMS boxes montate su ogni bogie, per garantire la sicurezza e prevenire incidenti.
Analisi — Funzione equivalente tra le seguenti configurazioni: VZI_Base, VZI_New14, VZI-6_R1.
Pagina iniziale: parte di pagina 20 — Pagina finale: parte di pagina 28.</t>
        </is>
      </c>
      <c r="H287" s="463" t="n"/>
      <c r="I287" s="463" t="n"/>
      <c r="J287" s="629" t="inlineStr">
        <is>
          <t>La funzione ferroviaria BOG_Instability_Monitoring supervisiona l'instabilità dei bogie durante il servizio del treno ETR1000 V300ZEFIRO ad alta velocità. I componenti principali coinvolti sono i sistemi di misurazione della lateral acceleration, le IMS boxes (supervision devices) montate su ogni bogie e il sistema TCMS (Train Control and Monitoring System). La logica di funzionamento attiva l'indicazione di instabilità al conducente quando le condizioni specifiche sono soddisfatte, con tre livelli di allarme: Level 0 per casi di instabilità breve, Level 1 e Level 2 per casi di instabilità prolungata. La funzione dispone anche di ridondanze, con due IMS boxes montate su ogni bogie, e richiede requisiti di sicurezza come l'indicazione visiva e sonora al conducente e la registrazione degli incidenti nel sistema TCMS.
Analisi — Funzione equivalente tra le seguenti configurazioni: VZI_Base, VZI_New14, VZI-6_R1.
Pagina iniziale: pagina 36 — Pagina finale: pagina 37.</t>
        </is>
      </c>
      <c r="K287" s="463" t="n"/>
      <c r="L287" s="464" t="n"/>
    </row>
    <row r="288">
      <c r="A288" s="350" t="inlineStr">
        <is>
          <t>BOG_Active_Lateral_Suspension_(ALS)</t>
        </is>
      </c>
      <c r="B288" s="377" t="n"/>
      <c r="C288" s="393" t="n"/>
      <c r="D288" s="371" t="inlineStr">
        <is>
          <t>\</t>
        </is>
      </c>
      <c r="E288" s="351" t="n"/>
      <c r="F288" s="352" t="n"/>
      <c r="G288" s="352" t="n"/>
      <c r="H288" s="352" t="n"/>
      <c r="I288" s="352" t="n"/>
      <c r="J288" s="352" t="n"/>
      <c r="K288" s="352" t="n"/>
      <c r="L288" s="353" t="n"/>
    </row>
    <row r="289" outlineLevel="1" s="583">
      <c r="B289" s="376" t="n"/>
      <c r="C289" s="158" t="inlineStr">
        <is>
          <t>CONFIG</t>
        </is>
      </c>
      <c r="D289" s="369" t="inlineStr">
        <is>
          <t>FRS_Bogies</t>
        </is>
      </c>
      <c r="E289" s="344" t="inlineStr">
        <is>
          <t>Link</t>
        </is>
      </c>
      <c r="F289" s="314">
        <f t="array" ref="F289">HYPERLINK(CONCATENATE(Cartelle!$D$5,F$1,"/",$C289,"/",MID($D289,1,FIND("_",$D289)-1),"/",INDIRECT(CONCATENATE("'" &amp; $C289 &amp; "'!",ADDRESS(MATCH($D289, INDIRECT("'" &amp; $C289 &amp; "'!$B:$B"), 0),MATCH(F$1, INDIRECT("'" &amp; $C289 &amp; "'!$1:$1"), 0)))),".",INDIRECT(CONCATENATE("'"&amp;$C289&amp;"'!",ADDRESS(MATCH($D289,INDIRECT("'"&amp;$C289&amp;"'!$B:$B"),0),3))),"#page=",F290),CONCATENATE("#Sharepoint//",$D289))</f>
        <v/>
      </c>
      <c r="G289" s="314">
        <f t="array" ref="G289">HYPERLINK(CONCATENATE(Cartelle!$D$5,INDEX(INDIRECT("'" &amp; $C289 &amp; "'!$1:$1"), 1, MATCH(INDIRECT(CONCATENATE("'" &amp; $C289 &amp; "'!",ADDRESS(MATCH($D289, INDIRECT("'" &amp; $C289 &amp; "'!$B:$B"), 0),MATCH(G$1, INDIRECT("'" &amp; $C289 &amp; "'!$1:$1"), 0)))),INDIRECT(CONCATENATE("'" &amp; $C289 &amp; "'!",MATCH($D289, INDIRECT("'" &amp; $C289 &amp; "'!$B:$B"), 0),":",MATCH($D289, INDIRECT("'" &amp; $C289 &amp; "'!$B:$B"), 0))),0)),"/",$C289,"/",MID($D289,1,FIND("_",$D289)-1),"/",INDIRECT(CONCATENATE("'" &amp; $C289 &amp; "'!",ADDRESS(MATCH($D289, INDIRECT("'" &amp; $C289 &amp; "'!$B:$B"), 0),MATCH(G$1, INDIRECT("'" &amp; $C289 &amp; "'!$1:$1"), 0)))),".",INDIRECT(CONCATENATE("'"&amp;$C289&amp;"'!",ADDRESS(MATCH($D289,INDIRECT("'"&amp;$C289&amp;"'!$B:$B"),0),3))),"#page=",G290),CONCATENATE("#Sharepoint//",$D289))</f>
        <v/>
      </c>
      <c r="H289" s="378" t="n"/>
      <c r="I289" s="345" t="n"/>
      <c r="J289" s="314">
        <f t="array" ref="J289">HYPERLINK(CONCATENATE(Cartelle!$D$5,INDEX(INDIRECT("'" &amp; $C289 &amp; "'!$1:$1"), 1, MATCH(INDIRECT(CONCATENATE("'" &amp; $C289 &amp; "'!",ADDRESS(MATCH($D289, INDIRECT("'" &amp; $C289 &amp; "'!$B:$B"), 0),MATCH(J$1, INDIRECT("'" &amp; $C289 &amp; "'!$1:$1"), 0)))),INDIRECT(CONCATENATE("'" &amp; $C289 &amp; "'!",MATCH($D289, INDIRECT("'" &amp; $C289 &amp; "'!$B:$B"), 0),":",MATCH($D289, INDIRECT("'" &amp; $C289 &amp; "'!$B:$B"), 0))),0)),"/",$C289,"/",MID($D289,1,FIND("_",$D289)-1),"/",INDIRECT(CONCATENATE("'" &amp; $C289 &amp; "'!",ADDRESS(MATCH($D289, INDIRECT("'" &amp; $C289 &amp; "'!$B:$B"), 0),MATCH(J$1, INDIRECT("'" &amp; $C289 &amp; "'!$1:$1"), 0)))),".",INDIRECT(CONCATENATE("'"&amp;$C289&amp;"'!",ADDRESS(MATCH($D289,INDIRECT("'"&amp;$C289&amp;"'!$B:$B"),0),3))),"#page=",J290),CONCATENATE("#Sharepoint//",$D289))</f>
        <v/>
      </c>
      <c r="K289" s="346" t="n"/>
      <c r="L289" s="346" t="n"/>
    </row>
    <row r="290" outlineLevel="2" s="583">
      <c r="B290" s="376" t="n"/>
      <c r="D290" s="373" t="n"/>
      <c r="E290" s="356" t="inlineStr">
        <is>
          <t>Rif. Pagina</t>
        </is>
      </c>
      <c r="F290" s="357" t="n">
        <v>29</v>
      </c>
      <c r="G290" s="357" t="n">
        <v>28</v>
      </c>
      <c r="H290" s="357" t="n"/>
      <c r="I290" s="357" t="n"/>
      <c r="J290" s="357" t="n">
        <v>43</v>
      </c>
      <c r="K290" s="357" t="n"/>
      <c r="L290" s="357" t="n"/>
    </row>
    <row r="291" outlineLevel="2" s="583">
      <c r="B291" s="376" t="n"/>
      <c r="D291" s="357" t="n"/>
      <c r="E291" s="459" t="inlineStr">
        <is>
          <t>Funzioni AI</t>
        </is>
      </c>
      <c r="F291" s="629" t="inlineStr">
        <is>
          <t>La BOG_Active_Lateral_Suspension_(ALS) è una funzione ferroviaria progettata per migliorare il comfort del treno attraverso l'attiva sorveglianza della posizione del carso rispetto alla ruota e la stabilizzazione di un punto centrale. La funzione è gestita dal controller delle ruote, un sistema autonomo collegato al TCMS che trasmette informazioni diagnostiche, configurative e di stato, nonché ricevendo dati come velocità, tensione e configurazione del treno. L'ALS si attiva in condizioni normali per creare forze laterali corrispondenti alle accelerazioni laterali statiche e ridurre il livello delle vibrazioni nel carso. In caso di perdita di potenza dell'attuatorio, la funzione diventa un doppio ammortizzatore laterale passivo. La funzione è progettata per garantire un comfort elevato e una sicurezza ottimale, con requisiti di sicurezza raggiunti attraverso il livello SIL 3.
Analisi — Funzione equivalente tra le seguenti configurazioni: VZI_Base, VZI_New14, VZI-6_R1.
Pagina iniziale: parte di pagina 29 — Pagina finale: parte di pagina 31.</t>
        </is>
      </c>
      <c r="G291" s="629" t="inlineStr">
        <is>
          <t>La BOG_Active_Lateral_Suspension_(ALS) è una funzione ferroviaria progettata per migliorare il comfort del treno attraverso l'attiva sorveglianza della posizione del carso rispetto alla bussola e la stabilizzazione di un punto centrale. La funzione è gestita dal controller della bussola, un sistema autonomo collegato al TCMS che trasmette informazioni diagnostiche, configurative e di stato, nonché riceve dati come velocità, tensione e configurazione del treno. L'ALS si attiva in condizioni normali per creare forze laterali corrispondenti all'accelerazione laterale quasi-statica e ridurre il livello delle vibrazioni nel carso. In caso di perdita di potenza olettrica, il sistema funziona come un freno laterale passivo, mentre in caso di forza massima verso una direzione, il sistema applica la bumbstop per garantire la stabilità. La funzione è progettata con una sicurezza SIL 3 e richiede l'installazione di ALS su tutte le bussole del treno.
Analisi — Funzione equivalente tra le seguenti configurazioni: VZI_Base, VZI_New14, VZI-6_R1.
Pagina iniziale: parte di pagina 28 — Pagina finale: parte di pagina 29.</t>
        </is>
      </c>
      <c r="H291" s="463" t="n"/>
      <c r="I291" s="463" t="n"/>
      <c r="J291" s="629" t="inlineStr">
        <is>
          <t>La BOG_Active_Lateral_Suspension_(ALS) è una funzione ferroviaria progettata per migliorare il comfort del treno attraverso l'attiva sorveglianza della posizione del carso in confronto alla bussola e la stabilizzazione di una posizione centrale. La funzione è gestita dal controller delle bussole, un sistema autonomo collegato al TCMS che trasmette informazioni diagnostiche, configurative e di stato, nonché riceve dati come velocità, tensione e configurazione del treno. La logica di funzionamento attiva la BOG_Active_Lateral_Suspension_(ALS) quando il sistema rileva una curvatura o un movimento laterale, creando una forza lato a lato per stabilizzare la posizione del carso. In caso di perdita di energia elettrica o di errori nel sistema, la BOG_Active_Lateral_Suspension_(ALS) si disattiva automaticamente, mentre le condizioni di fallimento sono considerate non sicure secondo quanto specificato nel documento.
Analisi — Funzione equivalente tra le seguenti configurazioni: VZI_Base, VZI_New14, VZI-6_R1.
Pagina iniziale: pagina 43 — Pagina finale: pagina 44.</t>
        </is>
      </c>
      <c r="K291" s="463" t="n"/>
      <c r="L291" s="464" t="n"/>
    </row>
    <row r="292">
      <c r="A292" s="350" t="inlineStr">
        <is>
          <t>BOG_Diagnostics_&amp;_CBM</t>
        </is>
      </c>
      <c r="B292" s="377" t="n"/>
      <c r="C292" s="393" t="n"/>
      <c r="D292" s="371" t="inlineStr">
        <is>
          <t>\</t>
        </is>
      </c>
      <c r="E292" s="351" t="n"/>
      <c r="F292" s="352" t="n"/>
      <c r="G292" s="352" t="n"/>
      <c r="H292" s="352" t="n"/>
      <c r="I292" s="352" t="n"/>
      <c r="J292" s="352" t="n"/>
      <c r="K292" s="352" t="n"/>
      <c r="L292" s="353" t="n"/>
    </row>
    <row r="293" outlineLevel="1" s="583">
      <c r="B293" s="376" t="n"/>
      <c r="C293" s="158" t="inlineStr">
        <is>
          <t>CONFIG</t>
        </is>
      </c>
      <c r="D293" s="369" t="inlineStr">
        <is>
          <t>FRS_Bogies</t>
        </is>
      </c>
      <c r="E293" s="344" t="inlineStr">
        <is>
          <t>Link</t>
        </is>
      </c>
      <c r="F293" s="314">
        <f t="array" ref="F293">HYPERLINK(CONCATENATE(Cartelle!$D$5,F$1,"/",$C293,"/",MID($D293,1,FIND("_",$D293)-1),"/",INDIRECT(CONCATENATE("'" &amp; $C293 &amp; "'!",ADDRESS(MATCH($D293, INDIRECT("'" &amp; $C293 &amp; "'!$B:$B"), 0),MATCH(F$1, INDIRECT("'" &amp; $C293 &amp; "'!$1:$1"), 0)))),".",INDIRECT(CONCATENATE("'"&amp;$C293&amp;"'!",ADDRESS(MATCH($D293,INDIRECT("'"&amp;$C293&amp;"'!$B:$B"),0),3))),"#page=",F294),CONCATENATE("#Sharepoint//",$D293))</f>
        <v/>
      </c>
      <c r="G293" s="314">
        <f t="array" ref="G293">HYPERLINK(CONCATENATE(Cartelle!$D$5,INDEX(INDIRECT("'" &amp; $C293 &amp; "'!$1:$1"), 1, MATCH(INDIRECT(CONCATENATE("'" &amp; $C293 &amp; "'!",ADDRESS(MATCH($D293, INDIRECT("'" &amp; $C293 &amp; "'!$B:$B"), 0),MATCH(G$1, INDIRECT("'" &amp; $C293 &amp; "'!$1:$1"), 0)))),INDIRECT(CONCATENATE("'" &amp; $C293 &amp; "'!",MATCH($D293, INDIRECT("'" &amp; $C293 &amp; "'!$B:$B"), 0),":",MATCH($D293, INDIRECT("'" &amp; $C293 &amp; "'!$B:$B"), 0))),0)),"/",$C293,"/",MID($D293,1,FIND("_",$D293)-1),"/",INDIRECT(CONCATENATE("'" &amp; $C293 &amp; "'!",ADDRESS(MATCH($D293, INDIRECT("'" &amp; $C293 &amp; "'!$B:$B"), 0),MATCH(G$1, INDIRECT("'" &amp; $C293 &amp; "'!$1:$1"), 0)))),".",INDIRECT(CONCATENATE("'"&amp;$C293&amp;"'!",ADDRESS(MATCH($D293,INDIRECT("'"&amp;$C293&amp;"'!$B:$B"),0),3))),"#page=",G294),CONCATENATE("#Sharepoint//",$D293))</f>
        <v/>
      </c>
      <c r="H293" s="378" t="n"/>
      <c r="I293" s="345" t="n"/>
      <c r="J293" s="314">
        <f t="array" ref="J293">HYPERLINK(CONCATENATE(Cartelle!$D$5,INDEX(INDIRECT("'" &amp; $C293 &amp; "'!$1:$1"), 1, MATCH(INDIRECT(CONCATENATE("'" &amp; $C293 &amp; "'!",ADDRESS(MATCH($D293, INDIRECT("'" &amp; $C293 &amp; "'!$B:$B"), 0),MATCH(J$1, INDIRECT("'" &amp; $C293 &amp; "'!$1:$1"), 0)))),INDIRECT(CONCATENATE("'" &amp; $C293 &amp; "'!",MATCH($D293, INDIRECT("'" &amp; $C293 &amp; "'!$B:$B"), 0),":",MATCH($D293, INDIRECT("'" &amp; $C293 &amp; "'!$B:$B"), 0))),0)),"/",$C293,"/",MID($D293,1,FIND("_",$D293)-1),"/",INDIRECT(CONCATENATE("'" &amp; $C293 &amp; "'!",ADDRESS(MATCH($D293, INDIRECT("'" &amp; $C293 &amp; "'!$B:$B"), 0),MATCH(J$1, INDIRECT("'" &amp; $C293 &amp; "'!$1:$1"), 0)))),".",INDIRECT(CONCATENATE("'"&amp;$C293&amp;"'!",ADDRESS(MATCH($D293,INDIRECT("'"&amp;$C293&amp;"'!$B:$B"),0),3))),"#page=",J294),CONCATENATE("#Sharepoint//",$D293))</f>
        <v/>
      </c>
      <c r="K293" s="346" t="n"/>
      <c r="L293" s="346" t="n"/>
    </row>
    <row r="294" outlineLevel="2" s="583">
      <c r="B294" s="376" t="n"/>
      <c r="D294" s="372" t="n"/>
      <c r="E294" s="354" t="inlineStr">
        <is>
          <t>Rif. Pagina</t>
        </is>
      </c>
      <c r="F294" s="355" t="n">
        <v>31</v>
      </c>
      <c r="G294" s="355" t="n">
        <v>29</v>
      </c>
      <c r="H294" s="355" t="n"/>
      <c r="I294" s="355" t="n">
        <v>29</v>
      </c>
      <c r="J294" s="355" t="n">
        <v>44</v>
      </c>
      <c r="K294" s="355" t="n"/>
      <c r="L294" s="355" t="n"/>
    </row>
    <row r="295" outlineLevel="2" s="583">
      <c r="B295" s="376" t="n"/>
      <c r="D295" s="357" t="n"/>
      <c r="E295" s="459" t="inlineStr">
        <is>
          <t>Funzioni AI</t>
        </is>
      </c>
      <c r="F295" s="629" t="inlineStr">
        <is>
          <t>La BOG_Diagnostics_&amp;_CBM è una funzione ferroviaria che monitora le condizioni dei componenti del bogie per ottimizzare gli interventi di manutenzione, rilevando degradazioni e fallimenti. La funzione coinvolge il CBM Controller, il sistema di monitoraggio delle condizioni del bogie, l'Ethernet, il TCMS e la Telediagnostica. La logica di funzionamento prevede la continua monitorazione dei componenti del bogie, con notifiche alle procedure di manutenzione e al conducente in caso di degradazioni o fallimenti. La funzione è progettata per garantire un livello di sicurezza SIL 0 e richiede la riproduzione e comunicazione autorizzate dei dati.
Analisi — Funzione equivalente tra le seguenti configurazioni: VZI_Base, VZI_New14, VZI-6_R1.
Pagina iniziale: parte di pagina 31 — Pagina finale: parte di pagina 32.</t>
        </is>
      </c>
      <c r="G295" s="629" t="inlineStr">
        <is>
          <t>La BOG_Diagnostics_&amp;_CBM è una funzione ferroviaria che monitora le condizioni dei componenti del bogie per ottimizzare interventi di manutenzione, rilevando degradazioni e fallimenti. La funzione coinvolge il controller CBM, il sistema di monitoraggio delle condizioni del bogie, l'Ethernet e la Telediagnostica. La logica di funzionamento prevede la continua monitorazione dei componenti del bogie, con notifiche alle procedure di manutenzione e al conducente in caso di degradazioni o fallimenti. La funzione è progettata per garantire un livello di sicurezza SIL 0 e richiede la condivisione di dati tra il sistema CBM e l'Ethernet.
Analisi — Funzione equivalente tra le seguenti configurazioni: VZI_Base, VZI_New14, VZI-6_R1.
Pagina iniziale: parte di pagina 29 — Pagina finale: parte di pagina 31.</t>
        </is>
      </c>
      <c r="H295" s="463" t="n"/>
      <c r="I295" s="463" t="n"/>
      <c r="J295" s="629" t="inlineStr">
        <is>
          <t>La BOG_Diagnostics_&amp;_CBM è una funzione ferroviaria che monitora le condizioni dei componenti del bogie (ad esempio assale, ruota e ingranaggio) per ottimizzare interventi di manutenzione anticipando degradazioni e fallimenti. I principali componenti coinvolti sono il controller CBM, il sistema TCMS e l'applicazione Telediagnostica. La funzione si attiva quando il bogie controller invia dati di monitoraggio (velocità del treno, configurazione del treno, posizione GPS) all'TCMS o alla Telediagnostica, che analizzano i dati per generare eventi di allarme e notifiche di manutenzione. La funzione è progettata con un livello di sicurezza SIL 0 e non presenta ridondanze, ma è derivata da requisiti specifici relativi alla gestione dei dati e alle notifiche di manutenzione.
Analisi — Funzione equivalente tra le seguenti configurazioni: VZI_Base, VZI_New14, VZI-6_R1.
Pagina di riferimento: pagina 44.</t>
        </is>
      </c>
      <c r="K295" s="463" t="n"/>
      <c r="L295" s="464" t="n"/>
    </row>
  </sheetData>
  <pageMargins left="0.7" right="0.7" top="0.75" bottom="0.75" header="0.3" footer="0.3"/>
  <pageSetup orientation="portrait" paperSize="9" verticalDpi="0"/>
</worksheet>
</file>

<file path=xl/worksheets/sheet10.xml><?xml version="1.0" encoding="utf-8"?>
<worksheet xmlns="http://schemas.openxmlformats.org/spreadsheetml/2006/main">
  <sheetPr codeName="Foglio8">
    <tabColor rgb="FFFFCCFF"/>
    <outlinePr summaryBelow="0"/>
    <pageSetUpPr/>
  </sheetPr>
  <dimension ref="A1:V100"/>
  <sheetViews>
    <sheetView zoomScaleNormal="100" workbookViewId="0">
      <pane xSplit="2" ySplit="2" topLeftCell="C35" activePane="bottomRight" state="frozen"/>
      <selection pane="topRight" activeCell="F1" sqref="F1"/>
      <selection pane="bottomLeft" activeCell="A3" sqref="A3"/>
      <selection pane="bottomRight" activeCell="I2" sqref="I2"/>
    </sheetView>
  </sheetViews>
  <sheetFormatPr baseColWidth="8" defaultColWidth="8.7109375" defaultRowHeight="15" outlineLevelRow="3"/>
  <cols>
    <col width="13.85546875" bestFit="1" customWidth="1" style="15" min="1" max="1"/>
    <col width="39.5703125" bestFit="1" customWidth="1" style="15" min="2" max="2"/>
    <col width="24.28515625" customWidth="1" style="15" min="3" max="3"/>
    <col width="18.7109375" bestFit="1" customWidth="1" style="15" min="4" max="4"/>
    <col width="16.5703125" customWidth="1" style="15" min="5" max="10"/>
    <col width="12.140625" customWidth="1" style="231" min="11" max="11"/>
    <col width="4.28515625" bestFit="1" customWidth="1" style="228" min="12" max="12"/>
    <col width="5.140625" bestFit="1" customWidth="1" style="228" min="13" max="13"/>
    <col width="8.7109375" customWidth="1" style="231" min="14" max="14"/>
    <col width="4.140625" bestFit="1" customWidth="1" style="228" min="15" max="15"/>
    <col width="5.140625" bestFit="1" customWidth="1" style="228" min="16" max="16"/>
    <col width="11.5703125" bestFit="1" customWidth="1" style="231" min="17" max="17"/>
    <col width="5.5703125" bestFit="1" customWidth="1" style="260" min="18" max="18"/>
    <col width="6.5703125" customWidth="1" style="260" min="19" max="19"/>
    <col width="8.7109375" customWidth="1" style="260" min="20" max="20"/>
    <col width="6.7109375" customWidth="1" style="260" min="21" max="21"/>
    <col width="8.7109375" customWidth="1" style="260" min="22" max="22"/>
    <col width="8.7109375" customWidth="1" style="103" min="23" max="35"/>
    <col width="8.7109375" customWidth="1" style="103" min="36" max="16384"/>
  </cols>
  <sheetData>
    <row r="1" ht="31.5" customFormat="1" customHeight="1" s="105">
      <c r="A1" s="563" t="inlineStr">
        <is>
          <t>Impianto</t>
        </is>
      </c>
      <c r="B1" s="559" t="inlineStr">
        <is>
          <t>Gruppo/Componente</t>
        </is>
      </c>
      <c r="C1" s="558" t="inlineStr">
        <is>
          <t>P/N</t>
        </is>
      </c>
      <c r="D1" s="562" t="inlineStr">
        <is>
          <t>Applicabilità flotte</t>
        </is>
      </c>
      <c r="E1" s="561" t="n"/>
      <c r="F1" s="561" t="n"/>
      <c r="G1" s="561" t="n"/>
      <c r="H1" s="561" t="n"/>
      <c r="I1" s="561" t="n"/>
      <c r="J1" s="556" t="n"/>
      <c r="K1" s="555" t="inlineStr">
        <is>
          <t>Manuale</t>
        </is>
      </c>
      <c r="L1" s="561" t="n"/>
      <c r="M1" s="556" t="n"/>
      <c r="N1" s="555" t="inlineStr">
        <is>
          <t>CPR</t>
        </is>
      </c>
      <c r="O1" s="561" t="n"/>
      <c r="P1" s="556" t="n"/>
      <c r="Q1" s="555" t="inlineStr">
        <is>
          <t>Raccolta doc</t>
        </is>
      </c>
      <c r="R1" s="556" t="n"/>
      <c r="S1" s="557" t="inlineStr">
        <is>
          <t>Schema elettrico</t>
        </is>
      </c>
      <c r="T1" s="556" t="n"/>
      <c r="U1" s="557" t="inlineStr">
        <is>
          <t>Schema Pneumatico</t>
        </is>
      </c>
      <c r="V1" s="556" t="n"/>
    </row>
    <row r="2" ht="31.5" customFormat="1" customHeight="1" s="105">
      <c r="A2" s="564" t="n"/>
      <c r="B2" s="560" t="n"/>
      <c r="C2" s="534" t="n"/>
      <c r="D2" s="136" t="inlineStr">
        <is>
          <t>VZI_Base</t>
        </is>
      </c>
      <c r="E2" s="540" t="inlineStr">
        <is>
          <t>VZI_New14</t>
        </is>
      </c>
      <c r="F2" s="540" t="inlineStr">
        <is>
          <t>VZ_FR</t>
        </is>
      </c>
      <c r="G2" s="540" t="inlineStr">
        <is>
          <t>VZ_ES</t>
        </is>
      </c>
      <c r="H2" s="540" t="inlineStr">
        <is>
          <t>VZI-6_R1</t>
        </is>
      </c>
      <c r="I2" s="540" t="inlineStr">
        <is>
          <t>VZI-4_R1</t>
        </is>
      </c>
      <c r="J2" s="138" t="inlineStr">
        <is>
          <t>VZ_DAI</t>
        </is>
      </c>
      <c r="K2" s="209" t="inlineStr">
        <is>
          <t>File</t>
        </is>
      </c>
      <c r="L2" s="210" t="inlineStr">
        <is>
          <t>Pag</t>
        </is>
      </c>
      <c r="M2" s="210" t="inlineStr">
        <is>
          <t>Link</t>
        </is>
      </c>
      <c r="N2" s="209" t="inlineStr">
        <is>
          <t>File</t>
        </is>
      </c>
      <c r="O2" s="210" t="inlineStr">
        <is>
          <t>Pag</t>
        </is>
      </c>
      <c r="P2" s="211" t="inlineStr">
        <is>
          <t>Link</t>
        </is>
      </c>
      <c r="Q2" s="212" t="inlineStr">
        <is>
          <t>Cartella</t>
        </is>
      </c>
      <c r="R2" s="211" t="inlineStr">
        <is>
          <t>Link</t>
        </is>
      </c>
      <c r="S2" s="213" t="inlineStr">
        <is>
          <t>Pag</t>
        </is>
      </c>
      <c r="T2" s="214" t="inlineStr">
        <is>
          <t>Link</t>
        </is>
      </c>
      <c r="U2" s="213" t="inlineStr">
        <is>
          <t>Pag</t>
        </is>
      </c>
      <c r="V2" s="214" t="inlineStr">
        <is>
          <t>Link</t>
        </is>
      </c>
    </row>
    <row r="3">
      <c r="A3" s="195" t="inlineStr">
        <is>
          <t>PANTOGRAFO</t>
        </is>
      </c>
      <c r="B3" s="196" t="n"/>
      <c r="C3" s="197" t="n"/>
      <c r="D3" s="195" t="inlineStr">
        <is>
          <t>.</t>
        </is>
      </c>
      <c r="E3" s="198" t="inlineStr">
        <is>
          <t>.</t>
        </is>
      </c>
      <c r="F3" s="198" t="inlineStr">
        <is>
          <t>.</t>
        </is>
      </c>
      <c r="G3" s="198" t="inlineStr">
        <is>
          <t>.</t>
        </is>
      </c>
      <c r="H3" s="198" t="inlineStr">
        <is>
          <t>.</t>
        </is>
      </c>
      <c r="I3" s="198" t="inlineStr">
        <is>
          <t>.</t>
        </is>
      </c>
      <c r="J3" s="196" t="inlineStr">
        <is>
          <t>.</t>
        </is>
      </c>
      <c r="K3" s="215" t="n"/>
      <c r="L3" s="216" t="n"/>
      <c r="M3" s="216" t="n"/>
      <c r="N3" s="215" t="n"/>
      <c r="O3" s="216" t="n"/>
      <c r="P3" s="217" t="n"/>
      <c r="Q3" s="218" t="n"/>
      <c r="R3" s="219" t="n"/>
      <c r="S3" s="220" t="n"/>
      <c r="T3" s="219" t="n"/>
      <c r="U3" s="220" t="n"/>
      <c r="V3" s="219" t="n"/>
    </row>
    <row r="4" outlineLevel="1" s="583">
      <c r="A4" s="199" t="n"/>
      <c r="B4" s="118" t="inlineStr">
        <is>
          <t>CAPTAZIONE</t>
        </is>
      </c>
      <c r="C4" s="201" t="n"/>
      <c r="D4" s="199" t="inlineStr">
        <is>
          <t>..</t>
        </is>
      </c>
      <c r="E4" s="172" t="inlineStr">
        <is>
          <t>..</t>
        </is>
      </c>
      <c r="F4" s="172" t="inlineStr">
        <is>
          <t>..</t>
        </is>
      </c>
      <c r="G4" s="172" t="inlineStr">
        <is>
          <t>..</t>
        </is>
      </c>
      <c r="H4" s="172" t="inlineStr">
        <is>
          <t>..</t>
        </is>
      </c>
      <c r="I4" s="172" t="inlineStr">
        <is>
          <t>..</t>
        </is>
      </c>
      <c r="J4" s="200" t="inlineStr">
        <is>
          <t>..</t>
        </is>
      </c>
      <c r="K4" s="221" t="n"/>
      <c r="L4" s="222" t="n"/>
      <c r="M4" s="222" t="n"/>
      <c r="N4" s="221" t="n"/>
      <c r="O4" s="222" t="n"/>
      <c r="P4" s="223" t="n"/>
      <c r="Q4" s="224" t="n"/>
      <c r="R4" s="225" t="n"/>
      <c r="S4" s="226" t="n"/>
      <c r="T4" s="225" t="n"/>
      <c r="U4" s="226" t="n"/>
      <c r="V4" s="225" t="n"/>
    </row>
    <row r="5" outlineLevel="2" s="583">
      <c r="A5" s="109" t="n"/>
      <c r="B5" s="110" t="inlineStr">
        <is>
          <t>Pantografo 25 kV</t>
        </is>
      </c>
      <c r="C5" s="107" t="n">
        <v>10574479</v>
      </c>
      <c r="D5" s="109" t="inlineStr">
        <is>
          <t>T4-T5</t>
        </is>
      </c>
      <c r="E5" s="15" t="inlineStr">
        <is>
          <t>T4-T5</t>
        </is>
      </c>
      <c r="F5" s="15" t="inlineStr">
        <is>
          <t>X</t>
        </is>
      </c>
      <c r="H5" s="15" t="inlineStr">
        <is>
          <t>T4-T5</t>
        </is>
      </c>
      <c r="J5" s="110" t="n"/>
      <c r="K5" s="227" t="inlineStr">
        <is>
          <t>ETR1000V300-MR1-04A-Equip elettrico ed elettropneumatico-06 - TOMO 1.pdf</t>
        </is>
      </c>
      <c r="L5" s="228" t="n">
        <v>161</v>
      </c>
      <c r="M5" s="229">
        <f>HYPERLINK(CONCATENATE(Cartelle!$A$2,Cartelle!$D$2,Cartelle!#REF!,'PBS (TBD)'!K5,"#page=",'PBS (TBD)'!L5),"#")</f>
        <v/>
      </c>
      <c r="N5" s="227" t="inlineStr">
        <is>
          <t>ETR1000-CPR_04C_2.05.1002_Pantografo_Mar21.pdf</t>
        </is>
      </c>
      <c r="O5" s="228" t="n">
        <v>93</v>
      </c>
      <c r="P5" s="230">
        <f>HYPERLINK(CONCATENATE(Cartelle!$A$2,Cartelle!#REF!,Cartelle!#REF!,'PBS (TBD)'!N5,"#page=",'PBS (TBD)'!O5),"#")</f>
        <v/>
      </c>
      <c r="R5" s="232" t="n"/>
      <c r="S5" s="233" t="n"/>
      <c r="T5" s="232" t="n"/>
      <c r="U5" s="233" t="n"/>
      <c r="V5" s="232" t="n"/>
    </row>
    <row r="6" outlineLevel="2" s="583">
      <c r="A6" s="109" t="n"/>
      <c r="B6" s="110" t="inlineStr">
        <is>
          <t>Pantografo 3 kV</t>
        </is>
      </c>
      <c r="C6" s="107" t="n">
        <v>10542152</v>
      </c>
      <c r="D6" s="109" t="inlineStr">
        <is>
          <t>TT2-TT7</t>
        </is>
      </c>
      <c r="E6" s="15" t="inlineStr">
        <is>
          <t>TT2-TT7</t>
        </is>
      </c>
      <c r="F6" s="15" t="inlineStr">
        <is>
          <t>X</t>
        </is>
      </c>
      <c r="H6" s="15" t="inlineStr">
        <is>
          <t>TT2-TT7</t>
        </is>
      </c>
      <c r="J6" s="110" t="n"/>
      <c r="K6" s="227" t="inlineStr">
        <is>
          <t>ETR1000V300-MR1-04A-Equip elettrico ed elettropneumatico-06 - TOMO 1.pdf</t>
        </is>
      </c>
      <c r="L6" s="228" t="n">
        <v>180</v>
      </c>
      <c r="M6" s="229">
        <f>HYPERLINK(CONCATENATE(Cartelle!$A$2,Cartelle!$D$2,Cartelle!#REF!,'PBS (TBD)'!K6,"#page=",'PBS (TBD)'!L6),"#")</f>
        <v/>
      </c>
      <c r="N6" s="227" t="inlineStr">
        <is>
          <t>ETR1000-CPR_04C_2.05.1002_Pantografo_Mar21.pdf</t>
        </is>
      </c>
      <c r="O6" s="228" t="n">
        <v>33</v>
      </c>
      <c r="P6" s="230">
        <f>HYPERLINK(CONCATENATE(Cartelle!$A$2,Cartelle!#REF!,Cartelle!#REF!,'PBS (TBD)'!N6,"#page=",'PBS (TBD)'!O6),"#")</f>
        <v/>
      </c>
      <c r="R6" s="232" t="n"/>
      <c r="S6" s="233" t="n"/>
      <c r="T6" s="232" t="n"/>
      <c r="U6" s="233" t="n"/>
      <c r="V6" s="232" t="n"/>
    </row>
    <row r="7" outlineLevel="2" s="583">
      <c r="A7" s="109" t="n"/>
      <c r="B7" s="110" t="inlineStr">
        <is>
          <t>Pantografo 1,5 kV</t>
        </is>
      </c>
      <c r="C7" s="107" t="n"/>
      <c r="D7" s="109" t="n"/>
      <c r="J7" s="110" t="n"/>
      <c r="K7" s="227" t="n"/>
      <c r="M7" s="229" t="n"/>
      <c r="N7" s="227" t="n"/>
      <c r="P7" s="230" t="n"/>
      <c r="R7" s="232" t="n"/>
      <c r="S7" s="233" t="n"/>
      <c r="T7" s="232" t="n"/>
      <c r="U7" s="233" t="n"/>
      <c r="V7" s="232" t="n"/>
    </row>
    <row r="8" outlineLevel="1" s="583">
      <c r="A8" s="199" t="n"/>
      <c r="B8" s="118" t="inlineStr">
        <is>
          <t>CONTROLLO</t>
        </is>
      </c>
      <c r="C8" s="201" t="n"/>
      <c r="D8" s="199" t="inlineStr">
        <is>
          <t>..</t>
        </is>
      </c>
      <c r="E8" s="172" t="inlineStr">
        <is>
          <t>..</t>
        </is>
      </c>
      <c r="F8" s="172" t="inlineStr">
        <is>
          <t>..</t>
        </is>
      </c>
      <c r="G8" s="172" t="inlineStr">
        <is>
          <t>..</t>
        </is>
      </c>
      <c r="H8" s="172" t="inlineStr">
        <is>
          <t>..</t>
        </is>
      </c>
      <c r="I8" s="172" t="inlineStr">
        <is>
          <t>..</t>
        </is>
      </c>
      <c r="J8" s="200" t="inlineStr">
        <is>
          <t>..</t>
        </is>
      </c>
      <c r="K8" s="221" t="n"/>
      <c r="L8" s="222" t="n"/>
      <c r="M8" s="222" t="n"/>
      <c r="N8" s="221" t="n"/>
      <c r="O8" s="222" t="n"/>
      <c r="P8" s="223" t="n"/>
      <c r="Q8" s="224" t="n"/>
      <c r="R8" s="225" t="n"/>
      <c r="S8" s="226" t="n"/>
      <c r="T8" s="225" t="n"/>
      <c r="U8" s="226" t="n"/>
      <c r="V8" s="225" t="n"/>
    </row>
    <row r="9" outlineLevel="2" s="583">
      <c r="A9" s="109" t="n"/>
      <c r="B9" s="126" t="inlineStr">
        <is>
          <t>PPU</t>
        </is>
      </c>
      <c r="C9" s="206" t="inlineStr">
        <is>
          <t>0102895</t>
        </is>
      </c>
      <c r="D9" s="109" t="inlineStr">
        <is>
          <t>TT2-T4-T5-TT7</t>
        </is>
      </c>
      <c r="J9" s="110" t="n"/>
      <c r="K9" s="227" t="n"/>
      <c r="N9" s="227" t="n"/>
      <c r="P9" s="234" t="n"/>
      <c r="R9" s="232" t="n"/>
      <c r="S9" s="233" t="n"/>
      <c r="T9" s="232" t="n"/>
      <c r="U9" s="233" t="n"/>
      <c r="V9" s="232" t="n"/>
    </row>
    <row r="10" outlineLevel="2" customFormat="1" s="207">
      <c r="A10" s="132" t="n"/>
      <c r="B10" s="128" t="inlineStr">
        <is>
          <t>PPU</t>
        </is>
      </c>
      <c r="C10" s="129" t="inlineStr">
        <is>
          <t>232C10395F</t>
        </is>
      </c>
      <c r="D10" s="130" t="n"/>
      <c r="E10" s="131" t="inlineStr">
        <is>
          <t>TT2-T4-T5-TT7</t>
        </is>
      </c>
      <c r="F10" s="133" t="n"/>
      <c r="G10" s="133" t="n"/>
      <c r="H10" s="133" t="n"/>
      <c r="I10" s="133" t="n"/>
      <c r="J10" s="126" t="n"/>
      <c r="K10" s="235" t="n"/>
      <c r="L10" s="236" t="n"/>
      <c r="M10" s="236" t="n"/>
      <c r="N10" s="235" t="n"/>
      <c r="O10" s="236" t="n"/>
      <c r="P10" s="237" t="n"/>
      <c r="Q10" s="238" t="inlineStr">
        <is>
          <t>232C10395F</t>
        </is>
      </c>
      <c r="R10" s="239">
        <f>HYPERLINK(CONCATENATE(Cartelle!$A$2,Cartelle!#REF!,'PBS (TBD)'!Q10),"#")</f>
        <v/>
      </c>
      <c r="S10" s="240" t="n"/>
      <c r="T10" s="241" t="n"/>
      <c r="U10" s="240" t="n"/>
      <c r="V10" s="241" t="n"/>
    </row>
    <row r="11" outlineLevel="2" s="583">
      <c r="A11" s="109" t="n"/>
      <c r="B11" s="202" t="inlineStr">
        <is>
          <t>PPU</t>
        </is>
      </c>
      <c r="C11" s="203" t="inlineStr">
        <is>
          <t>231C100036B</t>
        </is>
      </c>
      <c r="D11" s="208" t="n"/>
      <c r="E11" s="204" t="n"/>
      <c r="F11" s="204" t="n"/>
      <c r="G11" s="204" t="n"/>
      <c r="H11" s="204" t="inlineStr">
        <is>
          <t>TT2-T4-T5-TT7</t>
        </is>
      </c>
      <c r="J11" s="110" t="n"/>
      <c r="K11" s="227" t="n"/>
      <c r="N11" s="227" t="n"/>
      <c r="P11" s="234" t="n"/>
      <c r="R11" s="230" t="n"/>
      <c r="S11" s="233" t="n"/>
      <c r="T11" s="232" t="n"/>
      <c r="U11" s="233" t="n"/>
      <c r="V11" s="232" t="n"/>
    </row>
    <row r="12">
      <c r="A12" s="195" t="inlineStr">
        <is>
          <t>TCMS</t>
        </is>
      </c>
      <c r="B12" s="205" t="n"/>
      <c r="C12" s="197" t="n"/>
      <c r="D12" s="195" t="inlineStr">
        <is>
          <t>.</t>
        </is>
      </c>
      <c r="E12" s="198" t="inlineStr">
        <is>
          <t>.</t>
        </is>
      </c>
      <c r="F12" s="198" t="inlineStr">
        <is>
          <t>.</t>
        </is>
      </c>
      <c r="G12" s="198" t="inlineStr">
        <is>
          <t>.</t>
        </is>
      </c>
      <c r="H12" s="198" t="inlineStr">
        <is>
          <t>.</t>
        </is>
      </c>
      <c r="I12" s="198" t="inlineStr">
        <is>
          <t>.</t>
        </is>
      </c>
      <c r="J12" s="196" t="inlineStr">
        <is>
          <t>.</t>
        </is>
      </c>
      <c r="K12" s="215" t="n"/>
      <c r="L12" s="216" t="n"/>
      <c r="M12" s="216" t="n"/>
      <c r="N12" s="215" t="n"/>
      <c r="O12" s="216" t="n"/>
      <c r="P12" s="217" t="n"/>
      <c r="Q12" s="242" t="n"/>
      <c r="R12" s="219" t="n"/>
      <c r="S12" s="220" t="n"/>
      <c r="T12" s="219" t="n"/>
      <c r="U12" s="220" t="n"/>
      <c r="V12" s="219" t="n"/>
    </row>
    <row r="13" outlineLevel="1" s="583">
      <c r="A13" s="199" t="n"/>
      <c r="B13" s="118" t="inlineStr">
        <is>
          <t>CONTROLLO</t>
        </is>
      </c>
      <c r="C13" s="201" t="n"/>
      <c r="D13" s="199" t="inlineStr">
        <is>
          <t>..</t>
        </is>
      </c>
      <c r="E13" s="172" t="inlineStr">
        <is>
          <t>..</t>
        </is>
      </c>
      <c r="F13" s="172" t="inlineStr">
        <is>
          <t>..</t>
        </is>
      </c>
      <c r="G13" s="172" t="inlineStr">
        <is>
          <t>..</t>
        </is>
      </c>
      <c r="H13" s="172" t="inlineStr">
        <is>
          <t>..</t>
        </is>
      </c>
      <c r="I13" s="172" t="inlineStr">
        <is>
          <t>..</t>
        </is>
      </c>
      <c r="J13" s="200" t="inlineStr">
        <is>
          <t>..</t>
        </is>
      </c>
      <c r="K13" s="221" t="n"/>
      <c r="L13" s="222" t="n"/>
      <c r="M13" s="222" t="n"/>
      <c r="N13" s="221" t="n"/>
      <c r="O13" s="222" t="n"/>
      <c r="P13" s="223" t="n"/>
      <c r="Q13" s="224" t="n"/>
      <c r="R13" s="225" t="n"/>
      <c r="S13" s="226" t="n"/>
      <c r="T13" s="225" t="n"/>
      <c r="U13" s="226" t="n"/>
      <c r="V13" s="225" t="n"/>
    </row>
    <row r="14" outlineLevel="2" s="583">
      <c r="A14" s="109" t="n"/>
      <c r="B14" s="126" t="inlineStr">
        <is>
          <t>CCU-O Dual MVB (DCY1110B)</t>
        </is>
      </c>
      <c r="C14" s="127" t="inlineStr">
        <is>
          <t>3EST000225-5707</t>
        </is>
      </c>
      <c r="D14" s="109" t="inlineStr">
        <is>
          <t>DM1-DM8</t>
        </is>
      </c>
      <c r="E14" s="15" t="inlineStr">
        <is>
          <t>DM1-DM8</t>
        </is>
      </c>
      <c r="J14" s="110" t="n"/>
      <c r="K14" s="227" t="inlineStr">
        <is>
          <t>ETR1000V300-MR1-05A-Logica di comando-03.pdf</t>
        </is>
      </c>
      <c r="L14" s="228" t="n">
        <v>113</v>
      </c>
      <c r="M14" s="229">
        <f>HYPERLINK(CONCATENATE(Cartelle!$A$2,Cartelle!$D$2,Cartelle!#REF!,'PBS (TBD)'!K14,"#page=",'PBS (TBD)'!L14),"#")</f>
        <v/>
      </c>
      <c r="N14" s="227" t="inlineStr">
        <is>
          <t>ETR1000-CPR_05_2.05.1004_Logica di comando_Aprile2021.pdf</t>
        </is>
      </c>
      <c r="O14" s="228" t="n">
        <v>48</v>
      </c>
      <c r="P14" s="230">
        <f>HYPERLINK(CONCATENATE(Cartelle!$A$2,Cartelle!#REF!,Cartelle!#REF!,'PBS (TBD)'!N14,"#page=",'PBS (TBD)'!O14),"#")</f>
        <v/>
      </c>
      <c r="R14" s="232" t="n"/>
      <c r="S14" s="233" t="n"/>
      <c r="T14" s="232" t="n"/>
      <c r="U14" s="233" t="n"/>
      <c r="V14" s="232" t="n"/>
    </row>
    <row r="15" outlineLevel="2" s="583">
      <c r="A15" s="109" t="n"/>
      <c r="B15" s="126" t="inlineStr">
        <is>
          <t>CCU-C 2ETH (DCY1550A)</t>
        </is>
      </c>
      <c r="C15" s="127" t="inlineStr">
        <is>
          <t>3EST000225-5711</t>
        </is>
      </c>
      <c r="D15" s="109" t="inlineStr">
        <is>
          <t>DM1-M3-DM8</t>
        </is>
      </c>
      <c r="E15" s="15" t="inlineStr">
        <is>
          <t>DM1-M3-DM8</t>
        </is>
      </c>
      <c r="J15" s="110" t="n"/>
      <c r="K15" s="227" t="inlineStr">
        <is>
          <t>ETR1000V300-MR1-05A-Logica di comando-03.pdf</t>
        </is>
      </c>
      <c r="L15" s="228" t="n">
        <v>121</v>
      </c>
      <c r="M15" s="229">
        <f>HYPERLINK(CONCATENATE(Cartelle!$A$2,Cartelle!$D$2,Cartelle!#REF!,'PBS (TBD)'!K15,"#page=",'PBS (TBD)'!L15),"#")</f>
        <v/>
      </c>
      <c r="N15" s="227" t="inlineStr">
        <is>
          <t>ETR1000-CPR_05_2.05.1004_Logica di comando_Aprile2021.pdf</t>
        </is>
      </c>
      <c r="O15" s="228" t="n">
        <v>52</v>
      </c>
      <c r="P15" s="230">
        <f>HYPERLINK(CONCATENATE(Cartelle!$A$2,Cartelle!#REF!,Cartelle!#REF!,'PBS (TBD)'!N15,"#page=",'PBS (TBD)'!O15),"#")</f>
        <v/>
      </c>
      <c r="R15" s="232" t="n"/>
      <c r="S15" s="233" t="n"/>
      <c r="T15" s="232" t="n"/>
      <c r="U15" s="233" t="n"/>
      <c r="V15" s="232" t="n"/>
    </row>
    <row r="16" outlineLevel="2" s="583">
      <c r="A16" s="109" t="n"/>
      <c r="B16" s="126" t="inlineStr">
        <is>
          <t>CCU-S (DCY 1660A)</t>
        </is>
      </c>
      <c r="C16" s="127" t="inlineStr">
        <is>
          <t>3EST000221-6430</t>
        </is>
      </c>
      <c r="D16" s="109" t="inlineStr">
        <is>
          <t>DM1-DM8</t>
        </is>
      </c>
      <c r="E16" s="15" t="inlineStr">
        <is>
          <t>DM1-DM8</t>
        </is>
      </c>
      <c r="J16" s="110" t="n"/>
      <c r="K16" s="227" t="inlineStr">
        <is>
          <t>ETR1000V300-MR1-05A-Logica di comando-03.pdf</t>
        </is>
      </c>
      <c r="L16" s="228" t="n">
        <v>124</v>
      </c>
      <c r="M16" s="229">
        <f>HYPERLINK(CONCATENATE(Cartelle!$A$2,Cartelle!$D$2,Cartelle!#REF!,'PBS (TBD)'!K16,"#page=",'PBS (TBD)'!L16),"#")</f>
        <v/>
      </c>
      <c r="N16" s="227" t="inlineStr">
        <is>
          <t>ETR1000-CPR_05_2.05.1004_Logica di comando_Aprile2021.pdf</t>
        </is>
      </c>
      <c r="O16" s="228" t="n">
        <v>44</v>
      </c>
      <c r="P16" s="230">
        <f>HYPERLINK(CONCATENATE(Cartelle!$A$2,Cartelle!#REF!,Cartelle!#REF!,'PBS (TBD)'!N16,"#page=",'PBS (TBD)'!O16),"#")</f>
        <v/>
      </c>
      <c r="R16" s="232" t="n"/>
      <c r="S16" s="233" t="n"/>
      <c r="T16" s="232" t="n"/>
      <c r="U16" s="233" t="n"/>
      <c r="V16" s="232" t="n"/>
    </row>
    <row r="17" outlineLevel="2" s="583">
      <c r="A17" s="109" t="n"/>
      <c r="B17" s="126" t="inlineStr">
        <is>
          <t>MIO-DXH4-S (DCS 2222B)</t>
        </is>
      </c>
      <c r="C17" s="127" t="inlineStr">
        <is>
          <t>3EST000228-0629</t>
        </is>
      </c>
      <c r="D17" s="109" t="inlineStr">
        <is>
          <t>DM1-DM8</t>
        </is>
      </c>
      <c r="J17" s="110" t="n"/>
      <c r="K17" s="227" t="inlineStr">
        <is>
          <t>ETR1000V300-MR1-05A-Logica di comando-03.pdf</t>
        </is>
      </c>
      <c r="L17" s="228" t="n">
        <v>175</v>
      </c>
      <c r="M17" s="229">
        <f>HYPERLINK(CONCATENATE(Cartelle!$A$2,Cartelle!$D$2,Cartelle!#REF!,'PBS (TBD)'!K17,"#page=",'PBS (TBD)'!L17),"#")</f>
        <v/>
      </c>
      <c r="N17" s="227" t="inlineStr">
        <is>
          <t>ETR1000-CPR_05_2.05.1004_Logica di comando_Aprile2021.pdf</t>
        </is>
      </c>
      <c r="O17" s="228" t="n">
        <v>70</v>
      </c>
      <c r="P17" s="230">
        <f>HYPERLINK(CONCATENATE(Cartelle!$A$2,Cartelle!#REF!,Cartelle!#REF!,'PBS (TBD)'!N17,"#page=",'PBS (TBD)'!O17),"#")</f>
        <v/>
      </c>
      <c r="R17" s="232" t="n"/>
      <c r="S17" s="233" t="n"/>
      <c r="T17" s="232" t="n"/>
      <c r="U17" s="233" t="n"/>
      <c r="V17" s="232" t="n"/>
    </row>
    <row r="18" outlineLevel="2" s="583">
      <c r="A18" s="109" t="n"/>
      <c r="B18" s="128" t="inlineStr">
        <is>
          <t>MIO-S (DCS 2222C)</t>
        </is>
      </c>
      <c r="C18" s="129" t="inlineStr">
        <is>
          <t>3EST000230-5830</t>
        </is>
      </c>
      <c r="D18" s="109" t="n"/>
      <c r="E18" s="131" t="inlineStr">
        <is>
          <t>DM1-DM8</t>
        </is>
      </c>
      <c r="J18" s="110" t="n"/>
      <c r="K18" s="227" t="n"/>
      <c r="M18" s="229" t="n"/>
      <c r="N18" s="227" t="inlineStr">
        <is>
          <t>ETR1000-CPR_05_2.05.1004_Logica di comando_Aprile2021.pdf</t>
        </is>
      </c>
      <c r="O18" s="228" t="n">
        <v>28</v>
      </c>
      <c r="P18" s="230">
        <f>HYPERLINK(CONCATENATE(Cartelle!$A$2,Cartelle!#REF!,Cartelle!#REF!,'PBS (TBD)'!N18,"#page=",'PBS (TBD)'!O18),"#")</f>
        <v/>
      </c>
      <c r="R18" s="232" t="n"/>
      <c r="S18" s="233" t="n"/>
      <c r="T18" s="232" t="n"/>
      <c r="U18" s="233" t="n"/>
      <c r="V18" s="232" t="n"/>
    </row>
    <row r="19" outlineLevel="2" s="583">
      <c r="A19" s="109" t="n"/>
      <c r="B19" s="126" t="inlineStr">
        <is>
          <t>MIO-S-AI1+DXH3 (DCS 7222B)</t>
        </is>
      </c>
      <c r="C19" s="127" t="inlineStr">
        <is>
          <t>3EST000228-3395</t>
        </is>
      </c>
      <c r="D19" s="109" t="inlineStr">
        <is>
          <t>DM1-DM8</t>
        </is>
      </c>
      <c r="J19" s="110" t="n"/>
      <c r="K19" s="227" t="inlineStr">
        <is>
          <t>ETR1000V300-MR1-05A-Logica di comando-03.pdf</t>
        </is>
      </c>
      <c r="L19" s="228" t="n">
        <v>175</v>
      </c>
      <c r="M19" s="229">
        <f>HYPERLINK(CONCATENATE(Cartelle!$A$2,Cartelle!$D$2,Cartelle!#REF!,'PBS (TBD)'!K19,"#page=",'PBS (TBD)'!L19),"#")</f>
        <v/>
      </c>
      <c r="N19" s="227" t="inlineStr">
        <is>
          <t>ETR1000-CPR_05_2.05.1004_Logica di comando_Aprile2021.pdf</t>
        </is>
      </c>
      <c r="O19" s="228" t="n">
        <v>74</v>
      </c>
      <c r="P19" s="230">
        <f>HYPERLINK(CONCATENATE(Cartelle!$A$2,Cartelle!#REF!,Cartelle!#REF!,'PBS (TBD)'!N19,"#page=",'PBS (TBD)'!O19),"#")</f>
        <v/>
      </c>
      <c r="R19" s="232" t="n"/>
      <c r="S19" s="233" t="n"/>
      <c r="T19" s="232" t="n"/>
      <c r="U19" s="233" t="n"/>
      <c r="V19" s="232" t="n"/>
    </row>
    <row r="20" outlineLevel="2" s="583">
      <c r="A20" s="109" t="n"/>
      <c r="B20" s="128" t="inlineStr">
        <is>
          <t>MIO-S (DCS 7222B)</t>
        </is>
      </c>
      <c r="C20" s="129" t="inlineStr">
        <is>
          <t>3EST000230-5833</t>
        </is>
      </c>
      <c r="D20" s="109" t="n"/>
      <c r="E20" s="131" t="inlineStr">
        <is>
          <t>DM1-DM8</t>
        </is>
      </c>
      <c r="J20" s="110" t="n"/>
      <c r="K20" s="227" t="n"/>
      <c r="M20" s="229" t="n"/>
      <c r="N20" s="227" t="inlineStr">
        <is>
          <t>ETR1000-CPR_05_2.05.1004_Logica di comando_Aprile2021.pdf</t>
        </is>
      </c>
      <c r="O20" s="228" t="n">
        <v>84</v>
      </c>
      <c r="P20" s="230">
        <f>HYPERLINK(CONCATENATE(Cartelle!$A$2,Cartelle!#REF!,Cartelle!#REF!,'PBS (TBD)'!N20,"#page=",'PBS (TBD)'!O20),"#")</f>
        <v/>
      </c>
      <c r="R20" s="232" t="n"/>
      <c r="S20" s="233" t="n"/>
      <c r="T20" s="232" t="n"/>
      <c r="U20" s="233" t="n"/>
      <c r="V20" s="232" t="n"/>
    </row>
    <row r="21" outlineLevel="2" s="583">
      <c r="A21" s="109" t="n"/>
      <c r="B21" s="126" t="inlineStr">
        <is>
          <t>MIO-S-AI1+DXH2 (DCS 7220B)</t>
        </is>
      </c>
      <c r="C21" s="127" t="inlineStr">
        <is>
          <t>3EST000228-3394</t>
        </is>
      </c>
      <c r="D21" s="109" t="inlineStr">
        <is>
          <t>Tutte</t>
        </is>
      </c>
      <c r="E21" s="15" t="inlineStr">
        <is>
          <t>Tutte</t>
        </is>
      </c>
      <c r="J21" s="110" t="n"/>
      <c r="K21" s="227" t="inlineStr">
        <is>
          <t>ETR1000V300-MR1-05A-Logica di comando-03.pdf</t>
        </is>
      </c>
      <c r="L21" s="228" t="n">
        <v>175</v>
      </c>
      <c r="M21" s="229">
        <f>HYPERLINK(CONCATENATE(Cartelle!$A$2,Cartelle!$D$2,Cartelle!#REF!,'PBS (TBD)'!K21,"#page=",'PBS (TBD)'!L21),"#")</f>
        <v/>
      </c>
      <c r="N21" s="227" t="inlineStr">
        <is>
          <t>ETR1000-CPR_05_2.05.1004_Logica di comando_Aprile2021.pdf</t>
        </is>
      </c>
      <c r="O21" s="228" t="n">
        <v>76</v>
      </c>
      <c r="P21" s="230">
        <f>HYPERLINK(CONCATENATE(Cartelle!$A$2,Cartelle!#REF!,Cartelle!#REF!,'PBS (TBD)'!N21,"#page=",'PBS (TBD)'!O21),"#")</f>
        <v/>
      </c>
      <c r="R21" s="232" t="n"/>
      <c r="S21" s="233" t="n"/>
      <c r="T21" s="232" t="n"/>
      <c r="U21" s="233" t="n"/>
      <c r="V21" s="232" t="n"/>
    </row>
    <row r="22" outlineLevel="2" s="583">
      <c r="A22" s="109" t="n"/>
      <c r="B22" s="110" t="inlineStr">
        <is>
          <t>MIO-DXH4 (DCX 2222A)</t>
        </is>
      </c>
      <c r="C22" s="107" t="inlineStr">
        <is>
          <t>3EST000209-5696</t>
        </is>
      </c>
      <c r="D22" s="109" t="inlineStr">
        <is>
          <t>Tutte</t>
        </is>
      </c>
      <c r="E22" s="15" t="inlineStr">
        <is>
          <t>Tutte</t>
        </is>
      </c>
      <c r="J22" s="110" t="n"/>
      <c r="K22" s="227" t="inlineStr">
        <is>
          <t>ETR1000V300-MR1-05A-Logica di comando-03.pdf</t>
        </is>
      </c>
      <c r="L22" s="228" t="n">
        <v>150</v>
      </c>
      <c r="M22" s="229">
        <f>HYPERLINK(CONCATENATE(Cartelle!$A$2,Cartelle!$D$2,Cartelle!#REF!,'PBS (TBD)'!K22,"#page=",'PBS (TBD)'!L22),"#")</f>
        <v/>
      </c>
      <c r="N22" s="227" t="inlineStr">
        <is>
          <t>ETR1000-CPR_05_2.05.1004_Logica di comando_Aprile2021.pdf</t>
        </is>
      </c>
      <c r="O22" s="228" t="n">
        <v>62</v>
      </c>
      <c r="P22" s="230">
        <f>HYPERLINK(CONCATENATE(Cartelle!$A$2,Cartelle!#REF!,Cartelle!#REF!,'PBS (TBD)'!N22,"#page=",'PBS (TBD)'!O22),"#")</f>
        <v/>
      </c>
      <c r="R22" s="232" t="n"/>
      <c r="S22" s="233" t="n"/>
      <c r="T22" s="232" t="n"/>
      <c r="U22" s="233" t="n"/>
      <c r="V22" s="232" t="n"/>
    </row>
    <row r="23" outlineLevel="2" s="583">
      <c r="A23" s="109" t="n"/>
      <c r="B23" s="110" t="inlineStr">
        <is>
          <t>MIO-DX1H (DCX 2000A)</t>
        </is>
      </c>
      <c r="C23" s="107" t="inlineStr">
        <is>
          <t>3EST000209-5690</t>
        </is>
      </c>
      <c r="D23" s="109" t="inlineStr">
        <is>
          <t>M3</t>
        </is>
      </c>
      <c r="E23" s="133" t="inlineStr">
        <is>
          <t>M3</t>
        </is>
      </c>
      <c r="J23" s="110" t="n"/>
      <c r="K23" s="227" t="inlineStr">
        <is>
          <t>ETR1000V300-MR1-05A-Logica di comando-03.pdf</t>
        </is>
      </c>
      <c r="L23" s="228" t="n">
        <v>151</v>
      </c>
      <c r="M23" s="229">
        <f>HYPERLINK(CONCATENATE(Cartelle!$A$2,Cartelle!$D$2,Cartelle!#REF!,'PBS (TBD)'!K23,"#page=",'PBS (TBD)'!L23),"#")</f>
        <v/>
      </c>
      <c r="N23" s="227" t="inlineStr">
        <is>
          <t>ETR1000-CPR_05_2.05.1004_Logica di comando_Aprile2021.pdf</t>
        </is>
      </c>
      <c r="O23" s="228" t="n">
        <v>82</v>
      </c>
      <c r="P23" s="230">
        <f>HYPERLINK(CONCATENATE(Cartelle!$A$2,Cartelle!#REF!,Cartelle!#REF!,'PBS (TBD)'!N23,"#page=",'PBS (TBD)'!O23),"#")</f>
        <v/>
      </c>
      <c r="R23" s="232" t="n"/>
      <c r="S23" s="233" t="n"/>
      <c r="T23" s="232" t="n"/>
      <c r="U23" s="233" t="n"/>
      <c r="V23" s="232" t="n"/>
    </row>
    <row r="24" outlineLevel="2" s="583">
      <c r="A24" s="109" t="n"/>
      <c r="B24" s="110" t="inlineStr">
        <is>
          <t>MIO-DX3H (DCX 2220A)</t>
        </is>
      </c>
      <c r="C24" s="107" t="inlineStr">
        <is>
          <t>3EST000209-5694</t>
        </is>
      </c>
      <c r="D24" s="109" t="inlineStr">
        <is>
          <t>Tutte</t>
        </is>
      </c>
      <c r="E24" s="15" t="inlineStr">
        <is>
          <t>Tutte</t>
        </is>
      </c>
      <c r="J24" s="110" t="n"/>
      <c r="K24" s="227" t="inlineStr">
        <is>
          <t>ETR1000V300-MR1-05A-Logica di comando-03.pdf</t>
        </is>
      </c>
      <c r="L24" s="228" t="n">
        <v>151</v>
      </c>
      <c r="M24" s="229">
        <f>HYPERLINK(CONCATENATE(Cartelle!$A$2,Cartelle!$D$2,Cartelle!#REF!,'PBS (TBD)'!K24,"#page=",'PBS (TBD)'!L24),"#")</f>
        <v/>
      </c>
      <c r="N24" s="227" t="inlineStr">
        <is>
          <t>ETR1000-CPR_05_2.05.1004_Logica di comando_Aprile2021.pdf</t>
        </is>
      </c>
      <c r="O24" s="228" t="n">
        <v>66</v>
      </c>
      <c r="P24" s="230">
        <f>HYPERLINK(CONCATENATE(Cartelle!$A$2,Cartelle!#REF!,Cartelle!#REF!,'PBS (TBD)'!N24,"#page=",'PBS (TBD)'!O24),"#")</f>
        <v/>
      </c>
      <c r="R24" s="232" t="n"/>
      <c r="S24" s="233" t="n"/>
      <c r="T24" s="232" t="n"/>
      <c r="U24" s="233" t="n"/>
      <c r="V24" s="232" t="n"/>
    </row>
    <row r="25" outlineLevel="2" s="583">
      <c r="A25" s="109" t="n"/>
      <c r="B25" s="202" t="inlineStr">
        <is>
          <t>CDU-H03</t>
        </is>
      </c>
      <c r="C25" s="203" t="inlineStr">
        <is>
          <t>HW01107958-00</t>
        </is>
      </c>
      <c r="D25" s="109" t="n"/>
      <c r="H25" s="204" t="inlineStr">
        <is>
          <t>DM1-DM8</t>
        </is>
      </c>
      <c r="I25" s="204" t="inlineStr">
        <is>
          <t>DM1-DM8</t>
        </is>
      </c>
      <c r="J25" s="110" t="n"/>
      <c r="K25" s="227" t="inlineStr">
        <is>
          <t>ETR1000-V300ZEFIRO-R1_MR1-05A_R03.pdf</t>
        </is>
      </c>
      <c r="L25" s="228" t="n">
        <v>94</v>
      </c>
      <c r="M25" s="229">
        <f>HYPERLINK(CONCATENATE(Cartelle!$A$2,Cartelle!$D$2,Cartelle!#REF!,'PBS (TBD)'!K25,"#page=",'PBS (TBD)'!L25),"#")</f>
        <v/>
      </c>
      <c r="N25" s="227" t="n"/>
      <c r="O25" s="243" t="n"/>
      <c r="P25" s="230" t="n"/>
      <c r="R25" s="232" t="n"/>
      <c r="S25" s="233" t="n"/>
      <c r="T25" s="232" t="n"/>
      <c r="U25" s="233" t="n"/>
      <c r="V25" s="232" t="n"/>
    </row>
    <row r="26" outlineLevel="2" s="583">
      <c r="A26" s="109" t="n"/>
      <c r="B26" s="202" t="inlineStr">
        <is>
          <t>DU-H03</t>
        </is>
      </c>
      <c r="C26" s="203" t="inlineStr">
        <is>
          <t>HW02298449-00</t>
        </is>
      </c>
      <c r="D26" s="109" t="n"/>
      <c r="H26" s="204" t="inlineStr">
        <is>
          <t>DM1-DM8</t>
        </is>
      </c>
      <c r="I26" s="204" t="inlineStr">
        <is>
          <t>DM1-DM8</t>
        </is>
      </c>
      <c r="J26" s="110" t="n"/>
      <c r="K26" s="227" t="n"/>
      <c r="N26" s="227" t="n"/>
      <c r="P26" s="234" t="n"/>
      <c r="R26" s="232" t="n"/>
      <c r="S26" s="233" t="n"/>
      <c r="T26" s="232" t="n"/>
      <c r="U26" s="233" t="n"/>
      <c r="V26" s="232" t="n"/>
    </row>
    <row r="27" outlineLevel="2" s="583">
      <c r="A27" s="109" t="n"/>
      <c r="B27" s="202" t="inlineStr">
        <is>
          <t>DU-H04 (OBS)</t>
        </is>
      </c>
      <c r="C27" s="203" t="inlineStr">
        <is>
          <t>HW02298458-00</t>
        </is>
      </c>
      <c r="D27" s="109" t="n"/>
      <c r="H27" s="204" t="inlineStr">
        <is>
          <t>M3</t>
        </is>
      </c>
      <c r="I27" s="204" t="inlineStr">
        <is>
          <t>M3</t>
        </is>
      </c>
      <c r="J27" s="110" t="n"/>
      <c r="K27" s="227" t="n"/>
      <c r="N27" s="227" t="n"/>
      <c r="P27" s="234" t="n"/>
      <c r="R27" s="232" t="n"/>
      <c r="S27" s="233" t="n"/>
      <c r="T27" s="232" t="n"/>
      <c r="U27" s="233" t="n"/>
      <c r="V27" s="232" t="n"/>
    </row>
    <row r="28" outlineLevel="2" s="583">
      <c r="A28" s="109" t="n"/>
      <c r="B28" s="202" t="inlineStr">
        <is>
          <t>DU-H05 (PIS-ALG)</t>
        </is>
      </c>
      <c r="C28" s="203" t="inlineStr">
        <is>
          <t>HW02298473-00</t>
        </is>
      </c>
      <c r="D28" s="109" t="n"/>
      <c r="H28" s="204" t="inlineStr">
        <is>
          <t>M3</t>
        </is>
      </c>
      <c r="I28" s="204" t="inlineStr">
        <is>
          <t>M3</t>
        </is>
      </c>
      <c r="J28" s="110" t="n"/>
      <c r="K28" s="227" t="n"/>
      <c r="N28" s="227" t="n"/>
      <c r="P28" s="234" t="n"/>
      <c r="R28" s="232" t="n"/>
      <c r="S28" s="233" t="n"/>
      <c r="T28" s="232" t="n"/>
      <c r="U28" s="233" t="n"/>
      <c r="V28" s="232" t="n"/>
    </row>
    <row r="29" outlineLevel="2" s="583">
      <c r="A29" s="109" t="n"/>
      <c r="B29" s="202" t="inlineStr">
        <is>
          <t>RIO-LP (CUSFE684-H05)</t>
        </is>
      </c>
      <c r="C29" s="203" t="inlineStr">
        <is>
          <t>HW01107911-00</t>
        </is>
      </c>
      <c r="D29" s="109" t="n"/>
      <c r="H29" s="204" t="inlineStr">
        <is>
          <t>DM1-DM8</t>
        </is>
      </c>
      <c r="I29" s="204" t="inlineStr">
        <is>
          <t>DM1-DM8</t>
        </is>
      </c>
      <c r="J29" s="110" t="n"/>
      <c r="K29" s="227" t="n"/>
      <c r="N29" s="227" t="n"/>
      <c r="P29" s="234" t="n"/>
      <c r="R29" s="232" t="n"/>
      <c r="S29" s="233" t="n"/>
      <c r="T29" s="232" t="n"/>
      <c r="U29" s="233" t="n"/>
      <c r="V29" s="232" t="n"/>
    </row>
    <row r="30" outlineLevel="2" s="583">
      <c r="A30" s="109" t="n"/>
      <c r="B30" s="202" t="inlineStr">
        <is>
          <t>RIO-C5/C6 (CUSFE684-H06)</t>
        </is>
      </c>
      <c r="C30" s="203" t="inlineStr">
        <is>
          <t>HW01107914-00</t>
        </is>
      </c>
      <c r="D30" s="109" t="n"/>
      <c r="H30" s="204" t="inlineStr">
        <is>
          <t>DM1-DM8</t>
        </is>
      </c>
      <c r="I30" s="204" t="inlineStr">
        <is>
          <t>DM1-DM8</t>
        </is>
      </c>
      <c r="J30" s="110" t="n"/>
      <c r="K30" s="227" t="n"/>
      <c r="N30" s="227" t="n"/>
      <c r="P30" s="234" t="n"/>
      <c r="R30" s="232" t="n"/>
      <c r="S30" s="233" t="n"/>
      <c r="T30" s="232" t="n"/>
      <c r="U30" s="233" t="n"/>
      <c r="V30" s="232" t="n"/>
    </row>
    <row r="31" outlineLevel="2" s="583">
      <c r="A31" s="109" t="n"/>
      <c r="B31" s="202" t="inlineStr">
        <is>
          <t>RIO-EB-01 (CUSFE684-H01)</t>
        </is>
      </c>
      <c r="C31" s="203" t="inlineStr">
        <is>
          <t>HW01107901-00</t>
        </is>
      </c>
      <c r="D31" s="109" t="n"/>
      <c r="H31" s="204" t="inlineStr">
        <is>
          <t>DM1-DM8</t>
        </is>
      </c>
      <c r="I31" s="204" t="inlineStr">
        <is>
          <t>DM1-DM8</t>
        </is>
      </c>
      <c r="J31" s="110" t="n"/>
      <c r="K31" s="227" t="n"/>
      <c r="N31" s="227" t="inlineStr">
        <is>
          <t>ETR1000-V300ZEFIRO-R1_CPR-05A_2.05.1408_R02.pdf</t>
        </is>
      </c>
      <c r="O31" s="228" t="n">
        <v>40</v>
      </c>
      <c r="P31" s="230">
        <f>HYPERLINK(CONCATENATE(Cartelle!$A$2,Cartelle!#REF!,Cartelle!#REF!,'PBS (TBD)'!N31,"#page=",'PBS (TBD)'!O31),"#")</f>
        <v/>
      </c>
      <c r="R31" s="232" t="n"/>
      <c r="S31" s="233" t="n"/>
      <c r="T31" s="232" t="n"/>
      <c r="U31" s="233" t="n"/>
      <c r="V31" s="232" t="n"/>
    </row>
    <row r="32" outlineLevel="2" s="583">
      <c r="A32" s="109" t="n"/>
      <c r="B32" s="202" t="inlineStr">
        <is>
          <t>RIO-EB-02 (CUSFE684-H02)</t>
        </is>
      </c>
      <c r="C32" s="203" t="inlineStr">
        <is>
          <t>HW01107904-00</t>
        </is>
      </c>
      <c r="D32" s="109" t="n"/>
      <c r="H32" s="204" t="inlineStr">
        <is>
          <t>TT2-TT7</t>
        </is>
      </c>
      <c r="I32" s="204" t="inlineStr">
        <is>
          <t>TT2-TT7</t>
        </is>
      </c>
      <c r="J32" s="110" t="n"/>
      <c r="K32" s="227" t="n"/>
      <c r="N32" s="227" t="n"/>
      <c r="P32" s="234" t="n"/>
      <c r="R32" s="232" t="n"/>
      <c r="S32" s="233" t="n"/>
      <c r="T32" s="232" t="n"/>
      <c r="U32" s="233" t="n"/>
      <c r="V32" s="232" t="n"/>
    </row>
    <row r="33" outlineLevel="2" s="583">
      <c r="A33" s="109" t="n"/>
      <c r="B33" s="202" t="inlineStr">
        <is>
          <t>RIO-EB-03 (CUSFE684-H03)</t>
        </is>
      </c>
      <c r="C33" s="203" t="inlineStr">
        <is>
          <t>HW01107905-00</t>
        </is>
      </c>
      <c r="D33" s="109" t="n"/>
      <c r="H33" s="204" t="inlineStr">
        <is>
          <t>M3-M6</t>
        </is>
      </c>
      <c r="I33" s="204" t="inlineStr">
        <is>
          <t>M3-M6</t>
        </is>
      </c>
      <c r="J33" s="110" t="n"/>
      <c r="K33" s="227" t="n"/>
      <c r="N33" s="227" t="n"/>
      <c r="P33" s="234" t="n"/>
      <c r="R33" s="232" t="n"/>
      <c r="S33" s="233" t="n"/>
      <c r="T33" s="232" t="n"/>
      <c r="U33" s="233" t="n"/>
      <c r="V33" s="232" t="n"/>
    </row>
    <row r="34" outlineLevel="2" s="583">
      <c r="A34" s="109" t="n"/>
      <c r="B34" s="202" t="inlineStr">
        <is>
          <t>RIO-EB-04 (CUSFE684-H04)</t>
        </is>
      </c>
      <c r="C34" s="203" t="inlineStr">
        <is>
          <t>HW01107908-00</t>
        </is>
      </c>
      <c r="D34" s="109" t="n"/>
      <c r="H34" s="204" t="inlineStr">
        <is>
          <t>T4-T5</t>
        </is>
      </c>
      <c r="I34" s="204" t="inlineStr">
        <is>
          <t>T4-T5</t>
        </is>
      </c>
      <c r="J34" s="110" t="n"/>
      <c r="K34" s="227" t="n"/>
      <c r="N34" s="227" t="n"/>
      <c r="P34" s="234" t="n"/>
      <c r="R34" s="232" t="n"/>
      <c r="S34" s="233" t="n"/>
      <c r="T34" s="232" t="n"/>
      <c r="U34" s="233" t="n"/>
      <c r="V34" s="232" t="n"/>
    </row>
    <row r="35" outlineLevel="2" ht="30" customHeight="1" s="583">
      <c r="A35" s="109" t="n"/>
      <c r="B35" s="202" t="inlineStr">
        <is>
          <t>RIO-C2-01 (CURSE32-H01)</t>
        </is>
      </c>
      <c r="C35" s="203" t="inlineStr">
        <is>
          <t>HW01107953-00</t>
        </is>
      </c>
      <c r="D35" s="109" t="n"/>
      <c r="H35" s="204" t="inlineStr">
        <is>
          <t>DM1-TT2-M3-M6-TT7-DM8</t>
        </is>
      </c>
      <c r="I35" s="204" t="inlineStr">
        <is>
          <t>DM1-TT2-M3-M6-TT7-DM8</t>
        </is>
      </c>
      <c r="J35" s="110" t="n"/>
      <c r="K35" s="227" t="n"/>
      <c r="N35" s="227" t="n"/>
      <c r="P35" s="234" t="n"/>
      <c r="R35" s="232" t="n"/>
      <c r="S35" s="233" t="n"/>
      <c r="T35" s="232" t="n"/>
      <c r="U35" s="233" t="n"/>
      <c r="V35" s="232" t="n"/>
    </row>
    <row r="36" outlineLevel="2" s="583">
      <c r="A36" s="109" t="n"/>
      <c r="B36" s="202" t="inlineStr">
        <is>
          <t>RIO-C2-02 (CURSE32-H02)</t>
        </is>
      </c>
      <c r="C36" s="203" t="inlineStr">
        <is>
          <t>HW01107954-00</t>
        </is>
      </c>
      <c r="D36" s="109" t="n"/>
      <c r="H36" s="204" t="inlineStr">
        <is>
          <t>T4-T5</t>
        </is>
      </c>
      <c r="I36" s="204" t="inlineStr">
        <is>
          <t>T4-T5</t>
        </is>
      </c>
      <c r="J36" s="110" t="n"/>
      <c r="K36" s="227" t="n"/>
      <c r="N36" s="227" t="n"/>
      <c r="P36" s="234" t="n"/>
      <c r="R36" s="232" t="n"/>
      <c r="S36" s="233" t="n"/>
      <c r="T36" s="232" t="n"/>
      <c r="U36" s="233" t="n"/>
      <c r="V36" s="232" t="n"/>
    </row>
    <row r="37" outlineLevel="1" s="583">
      <c r="A37" s="199" t="n"/>
      <c r="B37" s="118" t="inlineStr">
        <is>
          <t>DIAGNOSTICA</t>
        </is>
      </c>
      <c r="C37" s="201" t="n"/>
      <c r="D37" s="199" t="inlineStr">
        <is>
          <t>..</t>
        </is>
      </c>
      <c r="E37" s="172" t="inlineStr">
        <is>
          <t>..</t>
        </is>
      </c>
      <c r="F37" s="172" t="inlineStr">
        <is>
          <t>..</t>
        </is>
      </c>
      <c r="G37" s="172" t="inlineStr">
        <is>
          <t>..</t>
        </is>
      </c>
      <c r="H37" s="172" t="inlineStr">
        <is>
          <t>..</t>
        </is>
      </c>
      <c r="I37" s="172" t="inlineStr">
        <is>
          <t>..</t>
        </is>
      </c>
      <c r="J37" s="200" t="inlineStr">
        <is>
          <t>..</t>
        </is>
      </c>
      <c r="K37" s="221" t="n"/>
      <c r="L37" s="222" t="n"/>
      <c r="M37" s="222" t="n"/>
      <c r="N37" s="221" t="n"/>
      <c r="O37" s="222" t="n"/>
      <c r="P37" s="223" t="n"/>
      <c r="Q37" s="224" t="n"/>
      <c r="R37" s="225" t="n"/>
      <c r="S37" s="226" t="n"/>
      <c r="T37" s="225" t="n"/>
      <c r="U37" s="226" t="n"/>
      <c r="V37" s="225" t="n"/>
    </row>
    <row r="38" outlineLevel="2" s="583">
      <c r="A38" s="109" t="n"/>
      <c r="B38" s="126" t="inlineStr">
        <is>
          <t>MCG (DCZ 2424B)</t>
        </is>
      </c>
      <c r="C38" s="127" t="inlineStr">
        <is>
          <t>3EST000225-7169</t>
        </is>
      </c>
      <c r="D38" s="109" t="inlineStr">
        <is>
          <t>X</t>
        </is>
      </c>
      <c r="J38" s="110" t="n"/>
      <c r="K38" s="227" t="inlineStr">
        <is>
          <t>ETR1000V300-MR1-05A-Logica di comando-03.pdf</t>
        </is>
      </c>
      <c r="L38" s="228" t="n">
        <v>152</v>
      </c>
      <c r="M38" s="229">
        <f>HYPERLINK(CONCATENATE(Cartelle!$A$2,Cartelle!$D$2,Cartelle!#REF!,'PBS (TBD)'!K38,"#page=",'PBS (TBD)'!L38),"#")</f>
        <v/>
      </c>
      <c r="N38" s="227" t="inlineStr">
        <is>
          <t>ETR1000-CPR_05_2.05.1004_Logica di comando_Aprile2021.pdf</t>
        </is>
      </c>
      <c r="O38" s="228" t="n">
        <v>84</v>
      </c>
      <c r="P38" s="230">
        <f>HYPERLINK(CONCATENATE(Cartelle!$A$2,Cartelle!#REF!,Cartelle!#REF!,'PBS (TBD)'!N38,"#page=",'PBS (TBD)'!O38),"#")</f>
        <v/>
      </c>
      <c r="R38" s="232" t="n"/>
      <c r="S38" s="233" t="n"/>
      <c r="T38" s="232" t="n"/>
      <c r="U38" s="233" t="n"/>
      <c r="V38" s="232" t="n"/>
    </row>
    <row r="39" outlineLevel="2" s="583">
      <c r="A39" s="109" t="n"/>
      <c r="B39" s="128" t="inlineStr">
        <is>
          <t>MCG</t>
        </is>
      </c>
      <c r="C39" s="129" t="inlineStr">
        <is>
          <t>3EST000234-1560</t>
        </is>
      </c>
      <c r="D39" s="130" t="n"/>
      <c r="E39" s="131" t="inlineStr">
        <is>
          <t>X</t>
        </is>
      </c>
      <c r="J39" s="110" t="n"/>
      <c r="K39" s="227" t="n"/>
      <c r="N39" s="227" t="inlineStr">
        <is>
          <t>ETR1000-CPR_05_2.05.1004_Logica di comando_Aprile2021.pdf</t>
        </is>
      </c>
      <c r="O39" s="228" t="n">
        <v>32</v>
      </c>
      <c r="P39" s="230">
        <f>HYPERLINK(CONCATENATE(Cartelle!$A$2,Cartelle!#REF!,Cartelle!#REF!,'PBS (TBD)'!N39,"#page=",'PBS (TBD)'!O39),"#")</f>
        <v/>
      </c>
      <c r="R39" s="232" t="n"/>
      <c r="S39" s="233" t="n"/>
      <c r="T39" s="232" t="n"/>
      <c r="U39" s="233" t="n"/>
      <c r="V39" s="232" t="n"/>
    </row>
    <row r="40" outlineLevel="2" s="583">
      <c r="A40" s="109" t="n"/>
      <c r="B40" s="126" t="inlineStr">
        <is>
          <t>IDU</t>
        </is>
      </c>
      <c r="C40" s="127" t="inlineStr">
        <is>
          <t>3EST000223-8802</t>
        </is>
      </c>
      <c r="D40" s="132" t="inlineStr">
        <is>
          <t>DM1-M3-DM8</t>
        </is>
      </c>
      <c r="E40" s="133" t="inlineStr">
        <is>
          <t>DM1-M3-DM8</t>
        </is>
      </c>
      <c r="J40" s="110" t="n"/>
      <c r="K40" s="227" t="n"/>
      <c r="N40" s="227" t="inlineStr">
        <is>
          <t>ETR1000-CPR_05_2.05.1004_Logica di comando_Aprile2021.pdf</t>
        </is>
      </c>
      <c r="O40" s="228" t="n">
        <v>32</v>
      </c>
      <c r="P40" s="230">
        <f>HYPERLINK(CONCATENATE(Cartelle!$A$2,Cartelle!#REF!,Cartelle!#REF!,'PBS (TBD)'!N40,"#page=",'PBS (TBD)'!O40),"#")</f>
        <v/>
      </c>
      <c r="R40" s="232" t="n"/>
      <c r="S40" s="233" t="n"/>
      <c r="T40" s="232" t="n"/>
      <c r="U40" s="233" t="n"/>
      <c r="V40" s="232" t="n"/>
    </row>
    <row r="41" outlineLevel="2" s="583">
      <c r="A41" s="109" t="n"/>
      <c r="B41" s="202" t="inlineStr">
        <is>
          <t>IDU</t>
        </is>
      </c>
      <c r="C41" s="203" t="inlineStr">
        <is>
          <t>EC030021237P01</t>
        </is>
      </c>
      <c r="D41" s="109" t="n"/>
      <c r="H41" s="204" t="inlineStr">
        <is>
          <t>DM1-M3-DM8</t>
        </is>
      </c>
      <c r="I41" s="204" t="inlineStr">
        <is>
          <t>DM1-M3-DM8</t>
        </is>
      </c>
      <c r="J41" s="110" t="n"/>
      <c r="K41" s="227" t="inlineStr">
        <is>
          <t>ETR1000-V300ZEFIRO-R1_MR1-05A_R03.pdf</t>
        </is>
      </c>
      <c r="L41" s="228" t="n">
        <v>98</v>
      </c>
      <c r="M41" s="229">
        <f>HYPERLINK(CONCATENATE(Cartelle!$A$2,Cartelle!$D$2,Cartelle!#REF!,'PBS (TBD)'!K41,"#page=",'PBS (TBD)'!L41),"#")</f>
        <v/>
      </c>
      <c r="N41" s="227" t="n"/>
      <c r="P41" s="234" t="n"/>
      <c r="R41" s="232" t="n"/>
      <c r="S41" s="233" t="n"/>
      <c r="T41" s="232" t="n"/>
      <c r="U41" s="233" t="n"/>
      <c r="V41" s="232" t="n"/>
    </row>
    <row r="42" outlineLevel="1" s="583">
      <c r="A42" s="199" t="n"/>
      <c r="B42" s="118" t="inlineStr">
        <is>
          <t>RETE / COMUNICAZIONE</t>
        </is>
      </c>
      <c r="C42" s="201" t="n"/>
      <c r="D42" s="199" t="inlineStr">
        <is>
          <t>..</t>
        </is>
      </c>
      <c r="E42" s="172" t="inlineStr">
        <is>
          <t>..</t>
        </is>
      </c>
      <c r="F42" s="172" t="inlineStr">
        <is>
          <t>..</t>
        </is>
      </c>
      <c r="G42" s="172" t="inlineStr">
        <is>
          <t>..</t>
        </is>
      </c>
      <c r="H42" s="172" t="inlineStr">
        <is>
          <t>..</t>
        </is>
      </c>
      <c r="I42" s="172" t="inlineStr">
        <is>
          <t>..</t>
        </is>
      </c>
      <c r="J42" s="200" t="inlineStr">
        <is>
          <t>..</t>
        </is>
      </c>
      <c r="K42" s="221" t="n"/>
      <c r="L42" s="222" t="n"/>
      <c r="M42" s="222" t="n"/>
      <c r="N42" s="221" t="n"/>
      <c r="O42" s="222" t="n"/>
      <c r="P42" s="223" t="n"/>
      <c r="Q42" s="224" t="n"/>
      <c r="R42" s="225" t="n"/>
      <c r="S42" s="226" t="n"/>
      <c r="T42" s="225" t="n"/>
      <c r="U42" s="226" t="n"/>
      <c r="V42" s="225" t="n"/>
    </row>
    <row r="43" outlineLevel="2" s="583">
      <c r="A43" s="109" t="n"/>
      <c r="B43" s="110" t="inlineStr">
        <is>
          <t>MCG Antenna WLAN/GSM GPS</t>
        </is>
      </c>
      <c r="C43" s="107" t="inlineStr">
        <is>
          <t>3EST000212-2155</t>
        </is>
      </c>
      <c r="D43" s="109" t="inlineStr">
        <is>
          <t>M3</t>
        </is>
      </c>
      <c r="J43" s="110" t="n"/>
      <c r="K43" s="227" t="inlineStr">
        <is>
          <t>ETR1000V300-MR1-05A-Logica di comando-03.pdf</t>
        </is>
      </c>
      <c r="L43" s="228" t="n">
        <v>163</v>
      </c>
      <c r="M43" s="229">
        <f>HYPERLINK(CONCATENATE(Cartelle!$A$2,Cartelle!$D$2,Cartelle!#REF!,'PBS (TBD)'!K43,"#page=",'PBS (TBD)'!L43),"#")</f>
        <v/>
      </c>
      <c r="N43" s="227" t="inlineStr">
        <is>
          <t>ETR1000-CPR_05_2.05.1004_Logica di comando_Aprile2021.pdf</t>
        </is>
      </c>
      <c r="O43" s="228" t="n">
        <v>32</v>
      </c>
      <c r="P43" s="230">
        <f>HYPERLINK(CONCATENATE(Cartelle!$A$2,Cartelle!#REF!,Cartelle!#REF!,'PBS (TBD)'!N43,"#page=",'PBS (TBD)'!O43),"#")</f>
        <v/>
      </c>
      <c r="R43" s="232" t="n"/>
      <c r="S43" s="233" t="n"/>
      <c r="T43" s="232" t="n"/>
      <c r="U43" s="233" t="n"/>
      <c r="V43" s="232" t="n"/>
    </row>
    <row r="44" outlineLevel="2" s="583">
      <c r="A44" s="109" t="n"/>
      <c r="B44" s="128" t="inlineStr">
        <is>
          <t xml:space="preserve"> MCG Antenna WLAN/GSM GPS</t>
        </is>
      </c>
      <c r="C44" s="129" t="inlineStr">
        <is>
          <t>3EH-232550R0005</t>
        </is>
      </c>
      <c r="D44" s="130" t="n"/>
      <c r="E44" s="131" t="inlineStr">
        <is>
          <t>M3</t>
        </is>
      </c>
      <c r="J44" s="110" t="n"/>
      <c r="K44" s="227" t="n"/>
      <c r="N44" s="227" t="inlineStr">
        <is>
          <t>ETR1000-CPR_05_2.05.1004_Logica di comando_Aprile2021.pdf</t>
        </is>
      </c>
      <c r="O44" s="228" t="n">
        <v>32</v>
      </c>
      <c r="P44" s="230">
        <f>HYPERLINK(CONCATENATE(Cartelle!$A$2,Cartelle!#REF!,Cartelle!#REF!,'PBS (TBD)'!N44,"#page=",'PBS (TBD)'!O44),"#")</f>
        <v/>
      </c>
      <c r="R44" s="232" t="n"/>
      <c r="S44" s="233" t="n"/>
      <c r="T44" s="232" t="n"/>
      <c r="U44" s="233" t="n"/>
      <c r="V44" s="232" t="n"/>
    </row>
    <row r="45" outlineLevel="2" s="583">
      <c r="A45" s="109" t="n"/>
      <c r="B45" s="110" t="inlineStr">
        <is>
          <t>TCN GW-S DCY 1703A</t>
        </is>
      </c>
      <c r="C45" s="107" t="inlineStr">
        <is>
          <t>EST000221-6460</t>
        </is>
      </c>
      <c r="D45" s="109" t="inlineStr">
        <is>
          <t>DM1-DM8</t>
        </is>
      </c>
      <c r="E45" s="15" t="inlineStr">
        <is>
          <t>DM1-DM8</t>
        </is>
      </c>
      <c r="J45" s="110" t="n"/>
      <c r="K45" s="227" t="inlineStr">
        <is>
          <t>ETR1000V300-MR1-05B-02- Logica di comando - Nodo TCN.pdf</t>
        </is>
      </c>
      <c r="L45" s="228" t="n">
        <v>113</v>
      </c>
      <c r="M45" s="229">
        <f>HYPERLINK(CONCATENATE(Cartelle!$A$2,Cartelle!$D$2,Cartelle!#REF!,'PBS (TBD)'!K45,"#page=",'PBS (TBD)'!L45),"#")</f>
        <v/>
      </c>
      <c r="N45" s="227" t="inlineStr">
        <is>
          <t>ETR1000-CPR_05_2.05.1004_Logica di comando_Aprile2021.pdf</t>
        </is>
      </c>
      <c r="O45" s="228" t="n">
        <v>58</v>
      </c>
      <c r="P45" s="230">
        <f>HYPERLINK(CONCATENATE(Cartelle!$A$2,Cartelle!#REF!,Cartelle!#REF!,'PBS (TBD)'!N45,"#page=",'PBS (TBD)'!O45),"#")</f>
        <v/>
      </c>
      <c r="R45" s="232" t="n"/>
      <c r="S45" s="233" t="n"/>
      <c r="T45" s="232" t="n"/>
      <c r="U45" s="233" t="n"/>
      <c r="V45" s="232" t="n"/>
    </row>
    <row r="46" outlineLevel="2" s="583">
      <c r="A46" s="109" t="n"/>
      <c r="B46" s="126" t="inlineStr">
        <is>
          <t>IP Train Switch</t>
        </is>
      </c>
      <c r="C46" s="127" t="inlineStr">
        <is>
          <t>3EST000212-3000</t>
        </is>
      </c>
      <c r="D46" s="109" t="inlineStr">
        <is>
          <t>DM1-DM8</t>
        </is>
      </c>
      <c r="J46" s="110" t="n"/>
      <c r="K46" s="227" t="inlineStr">
        <is>
          <t>ETR1000V300-MR1-05A-Logica di comando-03.pdf</t>
        </is>
      </c>
      <c r="L46" s="228" t="n">
        <v>128</v>
      </c>
      <c r="M46" s="229">
        <f>HYPERLINK(CONCATENATE(Cartelle!$A$2,Cartelle!$D$2,Cartelle!#REF!,'PBS (TBD)'!K46,"#page=",'PBS (TBD)'!L46),"#")</f>
        <v/>
      </c>
      <c r="N46" s="227" t="inlineStr">
        <is>
          <t>ETR1000-CPR_05_2.05.1004_Logica di comando_Aprile2021.pdf</t>
        </is>
      </c>
      <c r="O46" s="228" t="n">
        <v>28</v>
      </c>
      <c r="P46" s="230">
        <f>HYPERLINK(CONCATENATE(Cartelle!$A$2,Cartelle!#REF!,Cartelle!#REF!,'PBS (TBD)'!N46,"#page=",'PBS (TBD)'!O46),"#")</f>
        <v/>
      </c>
      <c r="R46" s="232" t="n"/>
      <c r="S46" s="233" t="n"/>
      <c r="T46" s="232" t="n"/>
      <c r="U46" s="233" t="n"/>
      <c r="V46" s="232" t="n"/>
    </row>
    <row r="47" outlineLevel="2" s="583">
      <c r="A47" s="109" t="n"/>
      <c r="B47" s="128" t="inlineStr">
        <is>
          <t>IP Train Switch</t>
        </is>
      </c>
      <c r="C47" s="129" t="inlineStr">
        <is>
          <t>3EST000236-6769</t>
        </is>
      </c>
      <c r="D47" s="130" t="n"/>
      <c r="E47" s="131" t="inlineStr">
        <is>
          <t>DM1-DM8</t>
        </is>
      </c>
      <c r="J47" s="110" t="n"/>
      <c r="K47" s="227" t="n"/>
      <c r="N47" s="227" t="inlineStr">
        <is>
          <t>ETR1000-CPR_05_2.05.1004_Logica di comando_Aprile2021.pdf</t>
        </is>
      </c>
      <c r="O47" s="228" t="n">
        <v>28</v>
      </c>
      <c r="P47" s="230">
        <f>HYPERLINK(CONCATENATE(Cartelle!$A$2,Cartelle!#REF!,Cartelle!#REF!,'PBS (TBD)'!N47,"#page=",'PBS (TBD)'!O47),"#")</f>
        <v/>
      </c>
      <c r="R47" s="232" t="n"/>
      <c r="S47" s="233" t="n"/>
      <c r="T47" s="232" t="n"/>
      <c r="U47" s="233" t="n"/>
      <c r="V47" s="232" t="n"/>
    </row>
    <row r="48" outlineLevel="2" s="583">
      <c r="A48" s="109" t="n"/>
      <c r="B48" s="126" t="inlineStr">
        <is>
          <t>IP Train Repeater</t>
        </is>
      </c>
      <c r="C48" s="127" t="inlineStr">
        <is>
          <t>3EST000212-3010</t>
        </is>
      </c>
      <c r="D48" s="109" t="inlineStr">
        <is>
          <t>M3-T4-T5</t>
        </is>
      </c>
      <c r="J48" s="110" t="n"/>
      <c r="K48" s="227" t="inlineStr">
        <is>
          <t>ETR1000V300-MR1-05A-Logica di comando-03.pdf</t>
        </is>
      </c>
      <c r="L48" s="228" t="n">
        <v>132</v>
      </c>
      <c r="M48" s="229">
        <f>HYPERLINK(CONCATENATE(Cartelle!$A$2,Cartelle!$D$2,Cartelle!#REF!,'PBS (TBD)'!K48,"#page=",'PBS (TBD)'!L48),"#")</f>
        <v/>
      </c>
      <c r="N48" s="227" t="inlineStr">
        <is>
          <t>ETR1000-CPR_05_2.05.1004_Logica di comando_Aprile2021.pdf</t>
        </is>
      </c>
      <c r="O48" s="228" t="n">
        <v>32</v>
      </c>
      <c r="P48" s="230">
        <f>HYPERLINK(CONCATENATE(Cartelle!$A$2,Cartelle!#REF!,Cartelle!#REF!,'PBS (TBD)'!N48,"#page=",'PBS (TBD)'!O48),"#")</f>
        <v/>
      </c>
      <c r="R48" s="232" t="n"/>
      <c r="S48" s="233" t="n"/>
      <c r="T48" s="232" t="n"/>
      <c r="U48" s="233" t="n"/>
      <c r="V48" s="232" t="n"/>
    </row>
    <row r="49" outlineLevel="2" s="583">
      <c r="A49" s="109" t="n"/>
      <c r="B49" s="124" t="inlineStr">
        <is>
          <t>IP Train Repeater</t>
        </is>
      </c>
      <c r="C49" s="125" t="inlineStr">
        <is>
          <t>3EST000236-6770</t>
        </is>
      </c>
      <c r="D49" s="109" t="n"/>
      <c r="E49" s="15" t="inlineStr">
        <is>
          <t>M3-T4-T5</t>
        </is>
      </c>
      <c r="J49" s="110" t="n"/>
      <c r="K49" s="227" t="n"/>
      <c r="N49" s="227" t="inlineStr">
        <is>
          <t>ETR1000-CPR_05_2.05.1004_Logica di comando_Aprile2021.pdf</t>
        </is>
      </c>
      <c r="O49" s="228" t="n">
        <v>32</v>
      </c>
      <c r="P49" s="230">
        <f>HYPERLINK(CONCATENATE(Cartelle!$A$2,Cartelle!#REF!,Cartelle!#REF!,'PBS (TBD)'!N49,"#page=",'PBS (TBD)'!O49),"#")</f>
        <v/>
      </c>
      <c r="R49" s="232" t="n"/>
      <c r="S49" s="233" t="n"/>
      <c r="T49" s="232" t="n"/>
      <c r="U49" s="233" t="n"/>
      <c r="V49" s="232" t="n"/>
    </row>
    <row r="50" outlineLevel="2" s="583">
      <c r="A50" s="109" t="n"/>
      <c r="B50" s="126" t="inlineStr">
        <is>
          <t>IP Ring Switch</t>
        </is>
      </c>
      <c r="C50" s="127" t="inlineStr">
        <is>
          <t>3EST000225-7297</t>
        </is>
      </c>
      <c r="D50" s="109" t="inlineStr">
        <is>
          <t>Tutte</t>
        </is>
      </c>
      <c r="J50" s="110" t="n"/>
      <c r="K50" s="227" t="inlineStr">
        <is>
          <t>ETR1000V300-MR1-05A-Logica di comando-03.pdf</t>
        </is>
      </c>
      <c r="L50" s="228" t="n">
        <v>136</v>
      </c>
      <c r="M50" s="229">
        <f>HYPERLINK(CONCATENATE(Cartelle!$A$2,Cartelle!$D$2,Cartelle!#REF!,'PBS (TBD)'!K50,"#page=",'PBS (TBD)'!L50),"#")</f>
        <v/>
      </c>
      <c r="N50" s="227" t="inlineStr">
        <is>
          <t>ETR1000-CPR_05_2.05.1004_Logica di comando_Aprile2021.pdf</t>
        </is>
      </c>
      <c r="O50" s="228" t="n">
        <v>28</v>
      </c>
      <c r="P50" s="230">
        <f>HYPERLINK(CONCATENATE(Cartelle!$A$2,Cartelle!#REF!,Cartelle!#REF!,'PBS (TBD)'!N50,"#page=",'PBS (TBD)'!O50),"#")</f>
        <v/>
      </c>
      <c r="R50" s="232" t="n"/>
      <c r="S50" s="233" t="n"/>
      <c r="T50" s="232" t="n"/>
      <c r="U50" s="233" t="n"/>
      <c r="V50" s="232" t="n"/>
    </row>
    <row r="51" outlineLevel="2" s="583">
      <c r="A51" s="109" t="n"/>
      <c r="B51" s="128" t="inlineStr">
        <is>
          <t>IP Ring Switch</t>
        </is>
      </c>
      <c r="C51" s="129" t="inlineStr">
        <is>
          <t>3EST000235-7837</t>
        </is>
      </c>
      <c r="D51" s="130" t="n"/>
      <c r="E51" s="131" t="inlineStr">
        <is>
          <t>DM1</t>
        </is>
      </c>
      <c r="J51" s="110" t="n"/>
      <c r="K51" s="227" t="n"/>
      <c r="N51" s="227" t="inlineStr">
        <is>
          <t>ETR1000-CPR_05_2.05.1004_Logica di comando_Aprile2021.pdf</t>
        </is>
      </c>
      <c r="O51" s="228" t="n">
        <v>28</v>
      </c>
      <c r="P51" s="230">
        <f>HYPERLINK(CONCATENATE(Cartelle!$A$2,Cartelle!#REF!,Cartelle!#REF!,'PBS (TBD)'!N51,"#page=",'PBS (TBD)'!O51),"#")</f>
        <v/>
      </c>
      <c r="R51" s="232" t="n"/>
      <c r="S51" s="233" t="n"/>
      <c r="T51" s="232" t="n"/>
      <c r="U51" s="233" t="n"/>
      <c r="V51" s="232" t="n"/>
    </row>
    <row r="52" outlineLevel="2" s="583">
      <c r="A52" s="109" t="n"/>
      <c r="B52" s="128" t="inlineStr">
        <is>
          <t>IP Ring Switch</t>
        </is>
      </c>
      <c r="C52" s="129" t="inlineStr">
        <is>
          <t>3EST000234-7837</t>
        </is>
      </c>
      <c r="D52" s="130" t="n"/>
      <c r="E52" s="131" t="inlineStr">
        <is>
          <t>DM8</t>
        </is>
      </c>
      <c r="J52" s="110" t="n"/>
      <c r="K52" s="227" t="n"/>
      <c r="N52" s="227" t="inlineStr">
        <is>
          <t>ETR1000-CPR_05_2.05.1004_Logica di comando_Aprile2021.pdf</t>
        </is>
      </c>
      <c r="O52" s="228" t="n">
        <v>28</v>
      </c>
      <c r="P52" s="230">
        <f>HYPERLINK(CONCATENATE(Cartelle!$A$2,Cartelle!#REF!,Cartelle!#REF!,'PBS (TBD)'!N52,"#page=",'PBS (TBD)'!O52),"#")</f>
        <v/>
      </c>
      <c r="R52" s="232" t="n"/>
      <c r="S52" s="233" t="n"/>
      <c r="T52" s="232" t="n"/>
      <c r="U52" s="233" t="n"/>
      <c r="V52" s="232" t="n"/>
    </row>
    <row r="53" outlineLevel="2" s="583">
      <c r="A53" s="109" t="n"/>
      <c r="B53" s="110" t="inlineStr">
        <is>
          <t>BUS Coupler BCT 12KF04</t>
        </is>
      </c>
      <c r="C53" s="107" t="inlineStr">
        <is>
          <t>EGM032400R0001</t>
        </is>
      </c>
      <c r="D53" s="109" t="inlineStr">
        <is>
          <t>TT2-T5-TT7</t>
        </is>
      </c>
      <c r="E53" s="15" t="inlineStr">
        <is>
          <t>TT2-T5-TT7</t>
        </is>
      </c>
      <c r="J53" s="110" t="n"/>
      <c r="K53" s="227" t="inlineStr">
        <is>
          <t>ETR1000V300-MR1-05A-Logica di comando-03.pdf</t>
        </is>
      </c>
      <c r="L53" s="228" t="n">
        <v>137</v>
      </c>
      <c r="M53" s="229">
        <f>HYPERLINK(CONCATENATE(Cartelle!$A$2,Cartelle!$D$2,Cartelle!#REF!,'PBS (TBD)'!K53,"#page=",'PBS (TBD)'!L53),"#")</f>
        <v/>
      </c>
      <c r="N53" s="227" t="inlineStr">
        <is>
          <t>ETR1000-CPR_05_2.05.1004_Logica di comando_Aprile2021.pdf</t>
        </is>
      </c>
      <c r="O53" s="228" t="n">
        <v>30</v>
      </c>
      <c r="P53" s="230">
        <f>HYPERLINK(CONCATENATE(Cartelle!$A$2,Cartelle!#REF!,Cartelle!#REF!,'PBS (TBD)'!N53,"#page=",'PBS (TBD)'!O53),"#")</f>
        <v/>
      </c>
      <c r="R53" s="232" t="n"/>
      <c r="S53" s="233" t="n"/>
      <c r="T53" s="232" t="n"/>
      <c r="U53" s="233" t="n"/>
      <c r="V53" s="232" t="n"/>
    </row>
    <row r="54" outlineLevel="2" ht="30" customHeight="1" s="583">
      <c r="A54" s="109" t="n"/>
      <c r="B54" s="202" t="inlineStr">
        <is>
          <t>Switch CS 14P NoPoE 1ByPX (NODC14NC02)</t>
        </is>
      </c>
      <c r="C54" s="203" t="inlineStr">
        <is>
          <t>EC030021125P14C001</t>
        </is>
      </c>
      <c r="D54" s="109" t="n"/>
      <c r="H54" s="204" t="inlineStr">
        <is>
          <t>Tutte</t>
        </is>
      </c>
      <c r="I54" s="204" t="inlineStr">
        <is>
          <t>Tutte</t>
        </is>
      </c>
      <c r="J54" s="110" t="n"/>
      <c r="K54" s="227" t="n"/>
      <c r="N54" s="227" t="n"/>
      <c r="P54" s="234" t="n"/>
      <c r="R54" s="232" t="n"/>
      <c r="S54" s="233" t="n"/>
      <c r="T54" s="232" t="n"/>
      <c r="U54" s="233" t="n"/>
      <c r="V54" s="232" t="n"/>
    </row>
    <row r="55" outlineLevel="2" ht="30" customHeight="1" s="583">
      <c r="A55" s="109" t="n"/>
      <c r="B55" s="202" t="inlineStr">
        <is>
          <t>Switch ETBN 14P NoPoE 2ByPX (NODC14NI01)</t>
        </is>
      </c>
      <c r="C55" s="203" t="inlineStr">
        <is>
          <t>EC030021126P14C001</t>
        </is>
      </c>
      <c r="D55" s="109" t="n"/>
      <c r="H55" s="204" t="inlineStr">
        <is>
          <t>DM1-DM8</t>
        </is>
      </c>
      <c r="I55" s="204" t="inlineStr">
        <is>
          <t>DM1-DM8</t>
        </is>
      </c>
      <c r="J55" s="110" t="n"/>
      <c r="K55" s="227" t="n"/>
      <c r="N55" s="227" t="n"/>
      <c r="P55" s="234" t="n"/>
      <c r="R55" s="232" t="n"/>
      <c r="S55" s="233" t="n"/>
      <c r="T55" s="232" t="n"/>
      <c r="U55" s="233" t="n"/>
      <c r="V55" s="232" t="n"/>
    </row>
    <row r="56">
      <c r="A56" s="195" t="inlineStr">
        <is>
          <t>TRAZIONE</t>
        </is>
      </c>
      <c r="B56" s="196" t="n"/>
      <c r="C56" s="197" t="n"/>
      <c r="D56" s="195" t="inlineStr">
        <is>
          <t>.</t>
        </is>
      </c>
      <c r="E56" s="198" t="inlineStr">
        <is>
          <t>.</t>
        </is>
      </c>
      <c r="F56" s="198" t="inlineStr">
        <is>
          <t>.</t>
        </is>
      </c>
      <c r="G56" s="198" t="inlineStr">
        <is>
          <t>.</t>
        </is>
      </c>
      <c r="H56" s="198" t="inlineStr">
        <is>
          <t>.</t>
        </is>
      </c>
      <c r="I56" s="198" t="inlineStr">
        <is>
          <t>.</t>
        </is>
      </c>
      <c r="J56" s="196" t="inlineStr">
        <is>
          <t>.</t>
        </is>
      </c>
      <c r="K56" s="215" t="n"/>
      <c r="L56" s="216" t="n"/>
      <c r="M56" s="244" t="n"/>
      <c r="N56" s="215" t="n"/>
      <c r="O56" s="216" t="n"/>
      <c r="P56" s="245" t="n"/>
      <c r="Q56" s="242" t="n"/>
      <c r="R56" s="219" t="n"/>
      <c r="S56" s="220" t="n"/>
      <c r="T56" s="219" t="n"/>
      <c r="U56" s="220" t="n"/>
      <c r="V56" s="219" t="n"/>
    </row>
    <row r="57" outlineLevel="1" s="583">
      <c r="A57" s="117" t="n"/>
      <c r="B57" s="118" t="inlineStr">
        <is>
          <t>SEZIONE 4M / MCM (MOTORI)</t>
        </is>
      </c>
      <c r="C57" s="119" t="n"/>
      <c r="D57" s="199" t="inlineStr">
        <is>
          <t>..</t>
        </is>
      </c>
      <c r="E57" s="172" t="inlineStr">
        <is>
          <t>..</t>
        </is>
      </c>
      <c r="F57" s="172" t="inlineStr">
        <is>
          <t>..</t>
        </is>
      </c>
      <c r="G57" s="172" t="inlineStr">
        <is>
          <t>..</t>
        </is>
      </c>
      <c r="H57" s="172" t="inlineStr">
        <is>
          <t>..</t>
        </is>
      </c>
      <c r="I57" s="172" t="inlineStr">
        <is>
          <t>..</t>
        </is>
      </c>
      <c r="J57" s="200" t="inlineStr">
        <is>
          <t>..</t>
        </is>
      </c>
      <c r="K57" s="246" t="n"/>
      <c r="L57" s="247" t="n"/>
      <c r="M57" s="247" t="n"/>
      <c r="N57" s="246" t="n"/>
      <c r="O57" s="247" t="n"/>
      <c r="P57" s="248" t="n"/>
      <c r="Q57" s="249" t="n"/>
      <c r="R57" s="250" t="n"/>
      <c r="S57" s="251" t="n"/>
      <c r="T57" s="250" t="n"/>
      <c r="U57" s="251" t="n"/>
      <c r="V57" s="250" t="n"/>
    </row>
    <row r="58" outlineLevel="2" ht="30" customHeight="1" s="583">
      <c r="A58" s="109" t="n"/>
      <c r="B58" s="110" t="inlineStr">
        <is>
          <t>Modulo convertitore MCM (15/10 WM V02)</t>
        </is>
      </c>
      <c r="C58" s="107" t="inlineStr">
        <is>
          <t>3EST000222-0850</t>
        </is>
      </c>
      <c r="D58" s="109" t="inlineStr">
        <is>
          <t>DM1-M3-M6-DM8</t>
        </is>
      </c>
      <c r="E58" s="15" t="inlineStr">
        <is>
          <t>DM1-M3-M6-DM8</t>
        </is>
      </c>
      <c r="J58" s="110" t="n"/>
      <c r="K58" s="227" t="n"/>
      <c r="M58" s="229" t="n"/>
      <c r="N58" s="227" t="n"/>
      <c r="P58" s="234" t="n"/>
      <c r="R58" s="232" t="n"/>
      <c r="S58" s="233" t="n"/>
      <c r="T58" s="232" t="n"/>
      <c r="U58" s="233" t="n"/>
      <c r="V58" s="232" t="n"/>
    </row>
    <row r="59" outlineLevel="3" ht="30" customHeight="1" s="583">
      <c r="A59" s="109" t="n"/>
      <c r="B59" s="110" t="inlineStr">
        <is>
          <t>Centralina DCU/M</t>
        </is>
      </c>
      <c r="C59" s="107" t="inlineStr">
        <is>
          <t>3EST000222-1018</t>
        </is>
      </c>
      <c r="D59" s="109" t="inlineStr">
        <is>
          <t>DM1-M3-M6-DM8</t>
        </is>
      </c>
      <c r="E59" s="15" t="inlineStr">
        <is>
          <t>DM1-M3-M6-DM8</t>
        </is>
      </c>
      <c r="J59" s="110" t="n"/>
      <c r="K59" s="227" t="n"/>
      <c r="M59" s="229" t="n"/>
      <c r="N59" s="227" t="n"/>
      <c r="P59" s="234" t="n"/>
      <c r="R59" s="232" t="n"/>
      <c r="S59" s="233" t="n"/>
      <c r="T59" s="232" t="n"/>
      <c r="U59" s="233" t="n"/>
      <c r="V59" s="232" t="n"/>
    </row>
    <row r="60" outlineLevel="3" ht="30" customHeight="1" s="583">
      <c r="A60" s="109" t="n"/>
      <c r="B60" s="110" t="inlineStr">
        <is>
          <t>Modulo IGBT</t>
        </is>
      </c>
      <c r="C60" s="107" t="inlineStr">
        <is>
          <t>3EST000214-9948</t>
        </is>
      </c>
      <c r="D60" s="109" t="inlineStr">
        <is>
          <t>DM1-M3-M6-DM8</t>
        </is>
      </c>
      <c r="E60" s="15" t="inlineStr">
        <is>
          <t>DM1-M3-M6-DM8</t>
        </is>
      </c>
      <c r="J60" s="110" t="n"/>
      <c r="K60" s="227" t="n"/>
      <c r="M60" s="229" t="n"/>
      <c r="N60" s="227" t="n"/>
      <c r="P60" s="234" t="n"/>
      <c r="R60" s="232" t="n"/>
      <c r="S60" s="233" t="n"/>
      <c r="T60" s="232" t="n"/>
      <c r="U60" s="233" t="n"/>
      <c r="V60" s="232" t="n"/>
    </row>
    <row r="61" outlineLevel="2" s="583">
      <c r="A61" s="109" t="n"/>
      <c r="B61" s="202" t="inlineStr">
        <is>
          <t>Modulo convertitore MCM</t>
        </is>
      </c>
      <c r="C61" s="203" t="inlineStr">
        <is>
          <t>HW02250828-00</t>
        </is>
      </c>
      <c r="D61" s="130" t="n"/>
      <c r="E61" s="131" t="n"/>
      <c r="F61" s="131" t="n"/>
      <c r="G61" s="131" t="n"/>
      <c r="H61" s="204" t="inlineStr">
        <is>
          <t>X</t>
        </is>
      </c>
      <c r="I61" s="204" t="inlineStr">
        <is>
          <t>X</t>
        </is>
      </c>
      <c r="J61" s="110" t="n"/>
      <c r="K61" s="227" t="n"/>
      <c r="M61" s="229" t="n"/>
      <c r="N61" s="227" t="n"/>
      <c r="P61" s="234" t="n"/>
      <c r="R61" s="232" t="n"/>
      <c r="S61" s="233" t="n"/>
      <c r="T61" s="232" t="n"/>
      <c r="U61" s="233" t="n"/>
      <c r="V61" s="232" t="n"/>
    </row>
    <row r="62" outlineLevel="3" s="583">
      <c r="A62" s="109" t="n"/>
      <c r="B62" s="202" t="inlineStr">
        <is>
          <t>Centralina Assieme MOCU</t>
        </is>
      </c>
      <c r="C62" s="203" t="inlineStr">
        <is>
          <t>HW04821017-00</t>
        </is>
      </c>
      <c r="D62" s="130" t="n"/>
      <c r="E62" s="131" t="n"/>
      <c r="F62" s="131" t="n"/>
      <c r="G62" s="131" t="n"/>
      <c r="H62" s="204" t="inlineStr">
        <is>
          <t>X</t>
        </is>
      </c>
      <c r="I62" s="204" t="inlineStr">
        <is>
          <t>X</t>
        </is>
      </c>
      <c r="J62" s="110" t="n"/>
      <c r="K62" s="227" t="n"/>
      <c r="N62" s="227" t="n"/>
      <c r="P62" s="234" t="n"/>
      <c r="R62" s="232" t="n"/>
      <c r="S62" s="233" t="n"/>
      <c r="T62" s="232" t="n"/>
      <c r="U62" s="233" t="n"/>
      <c r="V62" s="232" t="n"/>
    </row>
    <row r="63" outlineLevel="3" collapsed="1" s="583">
      <c r="A63" s="109" t="n"/>
      <c r="B63" s="202" t="inlineStr">
        <is>
          <t>Modulo IGBT</t>
        </is>
      </c>
      <c r="C63" s="203" t="inlineStr">
        <is>
          <t>EC030020031</t>
        </is>
      </c>
      <c r="D63" s="130" t="n"/>
      <c r="E63" s="131" t="n"/>
      <c r="F63" s="131" t="n"/>
      <c r="G63" s="131" t="n"/>
      <c r="H63" s="204" t="inlineStr">
        <is>
          <t>X</t>
        </is>
      </c>
      <c r="I63" s="204" t="inlineStr">
        <is>
          <t>X</t>
        </is>
      </c>
      <c r="J63" s="110" t="n"/>
      <c r="K63" s="227" t="n"/>
      <c r="N63" s="227" t="n"/>
      <c r="P63" s="234" t="n"/>
      <c r="R63" s="232" t="n"/>
      <c r="S63" s="233" t="n"/>
      <c r="T63" s="232" t="n"/>
      <c r="U63" s="233" t="n"/>
      <c r="V63" s="232" t="n"/>
    </row>
    <row r="64" outlineLevel="1" s="583">
      <c r="A64" s="117" t="n"/>
      <c r="B64" s="118" t="inlineStr">
        <is>
          <t>SEZIONE LCM (LINEA AC)</t>
        </is>
      </c>
      <c r="C64" s="119" t="n"/>
      <c r="D64" s="199" t="inlineStr">
        <is>
          <t>..</t>
        </is>
      </c>
      <c r="E64" s="172" t="inlineStr">
        <is>
          <t>..</t>
        </is>
      </c>
      <c r="F64" s="172" t="inlineStr">
        <is>
          <t>..</t>
        </is>
      </c>
      <c r="G64" s="172" t="inlineStr">
        <is>
          <t>..</t>
        </is>
      </c>
      <c r="H64" s="172" t="inlineStr">
        <is>
          <t>..</t>
        </is>
      </c>
      <c r="I64" s="172" t="inlineStr">
        <is>
          <t>..</t>
        </is>
      </c>
      <c r="J64" s="200" t="inlineStr">
        <is>
          <t>..</t>
        </is>
      </c>
      <c r="K64" s="246" t="n"/>
      <c r="L64" s="247" t="n"/>
      <c r="M64" s="247" t="n"/>
      <c r="N64" s="246" t="n"/>
      <c r="O64" s="247" t="n"/>
      <c r="P64" s="252" t="n"/>
      <c r="Q64" s="249" t="n"/>
      <c r="R64" s="250" t="n"/>
      <c r="S64" s="251" t="n"/>
      <c r="T64" s="250" t="n"/>
      <c r="U64" s="251" t="n"/>
      <c r="V64" s="250" t="n"/>
    </row>
    <row r="65" outlineLevel="2" ht="30" customHeight="1" s="583">
      <c r="A65" s="109" t="n"/>
      <c r="B65" s="110" t="inlineStr">
        <is>
          <t>Modulo convertitore LCM (15/15 WL V06)</t>
        </is>
      </c>
      <c r="C65" s="107" t="inlineStr">
        <is>
          <t>3EST000222-0610</t>
        </is>
      </c>
      <c r="D65" s="109" t="inlineStr">
        <is>
          <t>DM1-M3-M6-DM8</t>
        </is>
      </c>
      <c r="E65" s="15" t="inlineStr">
        <is>
          <t>DM1-M3-M6-DM8</t>
        </is>
      </c>
      <c r="J65" s="110" t="n"/>
      <c r="K65" s="227" t="n"/>
      <c r="N65" s="227" t="n"/>
      <c r="P65" s="234" t="n"/>
      <c r="R65" s="232" t="n"/>
      <c r="S65" s="233" t="n"/>
      <c r="T65" s="232" t="n"/>
      <c r="U65" s="233" t="n"/>
      <c r="V65" s="232" t="n"/>
    </row>
    <row r="66" outlineLevel="3" ht="30" customHeight="1" s="583">
      <c r="A66" s="109" t="n"/>
      <c r="B66" s="110" t="inlineStr">
        <is>
          <t>Centralina DCU</t>
        </is>
      </c>
      <c r="C66" s="107" t="inlineStr">
        <is>
          <t>3EST000222-1018</t>
        </is>
      </c>
      <c r="D66" s="109" t="inlineStr">
        <is>
          <t>DM1-M3-M6-DM8</t>
        </is>
      </c>
      <c r="E66" s="15" t="inlineStr">
        <is>
          <t>DM1-M3-M6-DM8</t>
        </is>
      </c>
      <c r="J66" s="110" t="n"/>
      <c r="K66" s="227" t="n"/>
      <c r="M66" s="229" t="n"/>
      <c r="N66" s="227" t="n"/>
      <c r="P66" s="234" t="n"/>
      <c r="R66" s="232" t="n"/>
      <c r="S66" s="233" t="n"/>
      <c r="T66" s="232" t="n"/>
      <c r="U66" s="233" t="n"/>
      <c r="V66" s="232" t="n"/>
    </row>
    <row r="67" outlineLevel="3" ht="30" customHeight="1" s="583">
      <c r="A67" s="109" t="n"/>
      <c r="B67" s="110" t="inlineStr">
        <is>
          <t>Modulo IGBT</t>
        </is>
      </c>
      <c r="C67" s="107" t="inlineStr">
        <is>
          <t>3EST000214-9825</t>
        </is>
      </c>
      <c r="D67" s="109" t="inlineStr">
        <is>
          <t>DM1-M3-M6-DM8</t>
        </is>
      </c>
      <c r="E67" s="15" t="inlineStr">
        <is>
          <t>DM1-M3-M6-DM8</t>
        </is>
      </c>
      <c r="J67" s="110" t="n"/>
      <c r="K67" s="227" t="n"/>
      <c r="M67" s="229" t="n"/>
      <c r="N67" s="227" t="n"/>
      <c r="P67" s="234" t="n"/>
      <c r="R67" s="232" t="n"/>
      <c r="S67" s="233" t="n"/>
      <c r="T67" s="232" t="n"/>
      <c r="U67" s="233" t="n"/>
      <c r="V67" s="232" t="n"/>
    </row>
    <row r="68" outlineLevel="2" s="583">
      <c r="A68" s="109" t="n"/>
      <c r="B68" s="202" t="inlineStr">
        <is>
          <t>Modulo convertitore LCM</t>
        </is>
      </c>
      <c r="C68" s="203" t="inlineStr">
        <is>
          <t>3EST000222-0610-HR</t>
        </is>
      </c>
      <c r="D68" s="130" t="n"/>
      <c r="E68" s="131" t="n"/>
      <c r="F68" s="131" t="n"/>
      <c r="G68" s="131" t="n"/>
      <c r="H68" s="204" t="inlineStr">
        <is>
          <t>X</t>
        </is>
      </c>
      <c r="I68" s="204" t="inlineStr">
        <is>
          <t>X</t>
        </is>
      </c>
      <c r="J68" s="110" t="n"/>
      <c r="K68" s="227" t="n"/>
      <c r="N68" s="227" t="n"/>
      <c r="P68" s="234" t="n"/>
      <c r="R68" s="232" t="n"/>
      <c r="S68" s="233" t="n"/>
      <c r="T68" s="232" t="n"/>
      <c r="U68" s="233" t="n"/>
      <c r="V68" s="232" t="n"/>
    </row>
    <row r="69" outlineLevel="3" s="583">
      <c r="A69" s="109" t="n"/>
      <c r="B69" s="123" t="inlineStr">
        <is>
          <t>Centralina DCU/L</t>
        </is>
      </c>
      <c r="C69" s="121" t="inlineStr">
        <is>
          <t>3EST000299-9665-HR</t>
        </is>
      </c>
      <c r="D69" s="120" t="n"/>
      <c r="E69" s="134" t="n"/>
      <c r="F69" s="134" t="n"/>
      <c r="G69" s="134" t="n"/>
      <c r="H69" s="134" t="inlineStr">
        <is>
          <t>X</t>
        </is>
      </c>
      <c r="I69" s="134" t="inlineStr">
        <is>
          <t>X</t>
        </is>
      </c>
      <c r="J69" s="110" t="n"/>
      <c r="K69" s="227" t="n"/>
      <c r="N69" s="227" t="n"/>
      <c r="P69" s="234" t="n"/>
      <c r="R69" s="232" t="n"/>
      <c r="S69" s="233" t="n"/>
      <c r="T69" s="232" t="n"/>
      <c r="U69" s="233" t="n"/>
      <c r="V69" s="232" t="n"/>
    </row>
    <row r="70" outlineLevel="3" collapsed="1" s="583">
      <c r="A70" s="109" t="n"/>
      <c r="B70" s="202" t="inlineStr">
        <is>
          <t>Modulo IGBT</t>
        </is>
      </c>
      <c r="C70" s="203" t="inlineStr">
        <is>
          <t>3EST000223-1474-HR</t>
        </is>
      </c>
      <c r="D70" s="130" t="n"/>
      <c r="E70" s="131" t="n"/>
      <c r="F70" s="131" t="n"/>
      <c r="G70" s="131" t="n"/>
      <c r="H70" s="204" t="inlineStr">
        <is>
          <t>X</t>
        </is>
      </c>
      <c r="I70" s="204" t="inlineStr">
        <is>
          <t>X</t>
        </is>
      </c>
      <c r="J70" s="110" t="n"/>
      <c r="K70" s="227" t="n"/>
      <c r="N70" s="227" t="n"/>
      <c r="P70" s="234" t="n"/>
      <c r="R70" s="232" t="n"/>
      <c r="S70" s="233" t="n"/>
      <c r="T70" s="232" t="n"/>
      <c r="U70" s="233" t="n"/>
      <c r="V70" s="232" t="n"/>
    </row>
    <row r="71" outlineLevel="1" s="583">
      <c r="A71" s="117" t="n"/>
      <c r="B71" s="118" t="inlineStr">
        <is>
          <t>SEZIONE CCM (LINEA DC)</t>
        </is>
      </c>
      <c r="C71" s="119" t="n"/>
      <c r="D71" s="199" t="inlineStr">
        <is>
          <t>..</t>
        </is>
      </c>
      <c r="E71" s="172" t="inlineStr">
        <is>
          <t>..</t>
        </is>
      </c>
      <c r="F71" s="172" t="inlineStr">
        <is>
          <t>..</t>
        </is>
      </c>
      <c r="G71" s="172" t="inlineStr">
        <is>
          <t>..</t>
        </is>
      </c>
      <c r="H71" s="172" t="inlineStr">
        <is>
          <t>..</t>
        </is>
      </c>
      <c r="I71" s="172" t="inlineStr">
        <is>
          <t>..</t>
        </is>
      </c>
      <c r="J71" s="200" t="inlineStr">
        <is>
          <t>..</t>
        </is>
      </c>
      <c r="K71" s="246" t="n"/>
      <c r="L71" s="247" t="n"/>
      <c r="M71" s="247" t="n"/>
      <c r="N71" s="246" t="n"/>
      <c r="O71" s="247" t="n"/>
      <c r="P71" s="252" t="n"/>
      <c r="Q71" s="249" t="n"/>
      <c r="R71" s="250" t="n"/>
      <c r="S71" s="251" t="n"/>
      <c r="T71" s="250" t="n"/>
      <c r="U71" s="251" t="n"/>
      <c r="V71" s="250" t="n"/>
    </row>
    <row r="72" outlineLevel="2" ht="30" customHeight="1" s="583">
      <c r="A72" s="109" t="n"/>
      <c r="B72" s="110" t="inlineStr">
        <is>
          <t>Modulo Convertitore CCM (30/07 WC V01)</t>
        </is>
      </c>
      <c r="C72" s="107" t="inlineStr">
        <is>
          <t>3EST000222-1010</t>
        </is>
      </c>
      <c r="D72" s="109" t="inlineStr">
        <is>
          <t>DM1-M3-M6-DM8</t>
        </is>
      </c>
      <c r="E72" s="15" t="inlineStr">
        <is>
          <t>DM1-M3-M6-DM8</t>
        </is>
      </c>
      <c r="J72" s="110" t="n"/>
      <c r="K72" s="227" t="n"/>
      <c r="N72" s="227" t="n"/>
      <c r="P72" s="234" t="n"/>
      <c r="R72" s="232" t="n"/>
      <c r="S72" s="233" t="n"/>
      <c r="T72" s="232" t="n"/>
      <c r="U72" s="233" t="n"/>
      <c r="V72" s="232" t="n"/>
    </row>
    <row r="73" outlineLevel="3" ht="30" customHeight="1" s="583">
      <c r="A73" s="109" t="n"/>
      <c r="B73" s="110" t="inlineStr">
        <is>
          <t>Centralina DCU/C</t>
        </is>
      </c>
      <c r="C73" s="107" t="inlineStr">
        <is>
          <t>3EST000222-1018</t>
        </is>
      </c>
      <c r="D73" s="109" t="inlineStr">
        <is>
          <t>DM1-M3-M6-DM8</t>
        </is>
      </c>
      <c r="E73" s="15" t="inlineStr">
        <is>
          <t>DM1-M3-M6-DM8</t>
        </is>
      </c>
      <c r="J73" s="110" t="n"/>
      <c r="K73" s="227" t="n"/>
      <c r="M73" s="229" t="n"/>
      <c r="N73" s="227" t="n"/>
      <c r="P73" s="234" t="n"/>
      <c r="R73" s="232" t="n"/>
      <c r="S73" s="233" t="n"/>
      <c r="T73" s="232" t="n"/>
      <c r="U73" s="233" t="n"/>
      <c r="V73" s="232" t="n"/>
    </row>
    <row r="74" outlineLevel="3" ht="30" customHeight="1" s="583">
      <c r="A74" s="109" t="n"/>
      <c r="B74" s="110" t="inlineStr">
        <is>
          <t>Modulo IGBT</t>
        </is>
      </c>
      <c r="C74" s="107" t="inlineStr">
        <is>
          <t>3EST000214-9948</t>
        </is>
      </c>
      <c r="D74" s="109" t="inlineStr">
        <is>
          <t>DM1-M3-M6-DM8</t>
        </is>
      </c>
      <c r="E74" s="15" t="inlineStr">
        <is>
          <t>DM1-M3-M6-DM8</t>
        </is>
      </c>
      <c r="J74" s="110" t="n"/>
      <c r="K74" s="227" t="n"/>
      <c r="M74" s="229" t="n"/>
      <c r="N74" s="227" t="n"/>
      <c r="P74" s="234" t="n"/>
      <c r="R74" s="232" t="n"/>
      <c r="S74" s="233" t="n"/>
      <c r="T74" s="232" t="n"/>
      <c r="U74" s="233" t="n"/>
      <c r="V74" s="232" t="n"/>
    </row>
    <row r="75" outlineLevel="2" s="583">
      <c r="A75" s="109" t="n"/>
      <c r="B75" s="202" t="inlineStr">
        <is>
          <t>Modulo convertitore CCM</t>
        </is>
      </c>
      <c r="C75" s="203" t="inlineStr">
        <is>
          <t>HW02250827-00</t>
        </is>
      </c>
      <c r="D75" s="130" t="n"/>
      <c r="E75" s="131" t="n"/>
      <c r="F75" s="131" t="n"/>
      <c r="G75" s="131" t="n"/>
      <c r="H75" s="204" t="inlineStr">
        <is>
          <t>X</t>
        </is>
      </c>
      <c r="I75" s="204" t="inlineStr">
        <is>
          <t>X</t>
        </is>
      </c>
      <c r="J75" s="110" t="n"/>
      <c r="K75" s="227" t="n"/>
      <c r="N75" s="227" t="n"/>
      <c r="P75" s="234" t="n"/>
      <c r="R75" s="232" t="n"/>
      <c r="S75" s="233" t="n"/>
      <c r="T75" s="232" t="n"/>
      <c r="U75" s="233" t="n"/>
      <c r="V75" s="232" t="n"/>
    </row>
    <row r="76" outlineLevel="3" s="583">
      <c r="A76" s="109" t="n"/>
      <c r="B76" s="202" t="inlineStr">
        <is>
          <t>Centralina Assieme MOCU</t>
        </is>
      </c>
      <c r="C76" s="203" t="inlineStr">
        <is>
          <t>HW05869752-00</t>
        </is>
      </c>
      <c r="D76" s="130" t="n"/>
      <c r="E76" s="131" t="n"/>
      <c r="F76" s="131" t="n"/>
      <c r="G76" s="131" t="n"/>
      <c r="H76" s="204" t="inlineStr">
        <is>
          <t>X</t>
        </is>
      </c>
      <c r="I76" s="204" t="inlineStr">
        <is>
          <t>X</t>
        </is>
      </c>
      <c r="J76" s="110" t="n"/>
      <c r="K76" s="227" t="n"/>
      <c r="N76" s="227" t="n"/>
      <c r="P76" s="234" t="n"/>
      <c r="R76" s="232" t="n"/>
      <c r="S76" s="233" t="n"/>
      <c r="T76" s="232" t="n"/>
      <c r="U76" s="233" t="n"/>
      <c r="V76" s="232" t="n"/>
    </row>
    <row r="77" outlineLevel="3" collapsed="1" s="583">
      <c r="A77" s="109" t="n"/>
      <c r="B77" s="202" t="inlineStr">
        <is>
          <t>Modulo IGBT</t>
        </is>
      </c>
      <c r="C77" s="203" t="inlineStr">
        <is>
          <t>EC030020031</t>
        </is>
      </c>
      <c r="D77" s="130" t="n"/>
      <c r="E77" s="131" t="n"/>
      <c r="F77" s="131" t="n"/>
      <c r="G77" s="131" t="n"/>
      <c r="H77" s="204" t="inlineStr">
        <is>
          <t>X</t>
        </is>
      </c>
      <c r="I77" s="204" t="inlineStr">
        <is>
          <t>X</t>
        </is>
      </c>
      <c r="J77" s="110" t="n"/>
      <c r="K77" s="227" t="n"/>
      <c r="N77" s="227" t="n"/>
      <c r="P77" s="234" t="n"/>
      <c r="R77" s="232" t="n"/>
      <c r="S77" s="233" t="n"/>
      <c r="T77" s="232" t="n"/>
      <c r="U77" s="233" t="n"/>
      <c r="V77" s="232" t="n"/>
    </row>
    <row r="78" outlineLevel="1" s="583">
      <c r="A78" s="117" t="n"/>
      <c r="B78" s="118" t="inlineStr">
        <is>
          <t>SEZIONE CS (RAFFREDDAMENTO)</t>
        </is>
      </c>
      <c r="C78" s="119" t="n"/>
      <c r="D78" s="199" t="inlineStr">
        <is>
          <t>..</t>
        </is>
      </c>
      <c r="E78" s="172" t="inlineStr">
        <is>
          <t>..</t>
        </is>
      </c>
      <c r="F78" s="172" t="inlineStr">
        <is>
          <t>..</t>
        </is>
      </c>
      <c r="G78" s="172" t="inlineStr">
        <is>
          <t>..</t>
        </is>
      </c>
      <c r="H78" s="172" t="inlineStr">
        <is>
          <t>..</t>
        </is>
      </c>
      <c r="I78" s="172" t="inlineStr">
        <is>
          <t>..</t>
        </is>
      </c>
      <c r="J78" s="200" t="inlineStr">
        <is>
          <t>..</t>
        </is>
      </c>
      <c r="K78" s="246" t="n"/>
      <c r="L78" s="247" t="n"/>
      <c r="M78" s="247" t="n"/>
      <c r="N78" s="246" t="n"/>
      <c r="O78" s="247" t="n"/>
      <c r="P78" s="252" t="n"/>
      <c r="Q78" s="249" t="n"/>
      <c r="R78" s="250" t="n"/>
      <c r="S78" s="251" t="n"/>
      <c r="T78" s="250" t="n"/>
      <c r="U78" s="251" t="n"/>
      <c r="V78" s="250" t="n"/>
    </row>
    <row r="79" outlineLevel="2" ht="30" customHeight="1" s="583">
      <c r="A79" s="109" t="n"/>
      <c r="B79" s="110" t="inlineStr">
        <is>
          <t>Modulo raffreddamento</t>
        </is>
      </c>
      <c r="C79" s="107" t="inlineStr">
        <is>
          <t>3EST000225-0304</t>
        </is>
      </c>
      <c r="D79" s="109" t="inlineStr">
        <is>
          <t>DM1-M3-M6-DM8</t>
        </is>
      </c>
      <c r="E79" s="15" t="inlineStr">
        <is>
          <t>DM1-M3-M6-DM8</t>
        </is>
      </c>
      <c r="H79" s="15" t="inlineStr">
        <is>
          <t>X</t>
        </is>
      </c>
      <c r="I79" s="15" t="inlineStr">
        <is>
          <t>X</t>
        </is>
      </c>
      <c r="J79" s="110" t="n"/>
      <c r="K79" s="227" t="n"/>
      <c r="N79" s="227" t="n"/>
      <c r="P79" s="234" t="n"/>
      <c r="R79" s="232" t="n"/>
      <c r="S79" s="233" t="n"/>
      <c r="T79" s="232" t="n"/>
      <c r="U79" s="233" t="n"/>
      <c r="V79" s="232" t="n"/>
    </row>
    <row r="80" outlineLevel="1" s="583">
      <c r="A80" s="117" t="n"/>
      <c r="B80" s="118" t="inlineStr">
        <is>
          <t>SEZIONE AE (AUSILIARI)</t>
        </is>
      </c>
      <c r="C80" s="119" t="n"/>
      <c r="D80" s="199" t="inlineStr">
        <is>
          <t>..</t>
        </is>
      </c>
      <c r="E80" s="172" t="inlineStr">
        <is>
          <t>..</t>
        </is>
      </c>
      <c r="F80" s="172" t="inlineStr">
        <is>
          <t>..</t>
        </is>
      </c>
      <c r="G80" s="172" t="inlineStr">
        <is>
          <t>..</t>
        </is>
      </c>
      <c r="H80" s="172" t="inlineStr">
        <is>
          <t>..</t>
        </is>
      </c>
      <c r="I80" s="172" t="inlineStr">
        <is>
          <t>..</t>
        </is>
      </c>
      <c r="J80" s="200" t="inlineStr">
        <is>
          <t>..</t>
        </is>
      </c>
      <c r="K80" s="246" t="n"/>
      <c r="L80" s="247" t="n"/>
      <c r="M80" s="247" t="n"/>
      <c r="N80" s="246" t="n"/>
      <c r="O80" s="247" t="n"/>
      <c r="P80" s="252" t="n"/>
      <c r="Q80" s="249" t="n"/>
      <c r="R80" s="250" t="n"/>
      <c r="S80" s="251" t="n"/>
      <c r="T80" s="250" t="n"/>
      <c r="U80" s="251" t="n"/>
      <c r="V80" s="250" t="n"/>
    </row>
    <row r="81" outlineLevel="2" ht="30" customHeight="1" s="583">
      <c r="A81" s="109" t="n"/>
      <c r="B81" s="110" t="inlineStr">
        <is>
          <t>Modulo convertitore ACM</t>
        </is>
      </c>
      <c r="C81" s="107" t="inlineStr">
        <is>
          <t>3EST000222-0910</t>
        </is>
      </c>
      <c r="D81" s="109" t="inlineStr">
        <is>
          <t>DM1-M3-M6-DM8</t>
        </is>
      </c>
      <c r="E81" s="15" t="inlineStr">
        <is>
          <t>DM1-M3-M6-DM8</t>
        </is>
      </c>
      <c r="J81" s="110" t="n"/>
      <c r="K81" s="227" t="n"/>
      <c r="N81" s="227" t="n"/>
      <c r="P81" s="234" t="n"/>
      <c r="R81" s="232" t="n"/>
      <c r="S81" s="233" t="n"/>
      <c r="T81" s="232" t="n"/>
      <c r="U81" s="233" t="n"/>
      <c r="V81" s="232" t="n"/>
    </row>
    <row r="82" outlineLevel="3" ht="30" customHeight="1" s="583">
      <c r="A82" s="109" t="n"/>
      <c r="B82" s="110" t="inlineStr">
        <is>
          <t>Centralina DCU</t>
        </is>
      </c>
      <c r="C82" s="107" t="inlineStr">
        <is>
          <t>3EST000222-1018</t>
        </is>
      </c>
      <c r="D82" s="109" t="inlineStr">
        <is>
          <t>DM1-M3-M6-DM8</t>
        </is>
      </c>
      <c r="E82" s="15" t="inlineStr">
        <is>
          <t>DM1-M3-M6-DM8</t>
        </is>
      </c>
      <c r="J82" s="110" t="n"/>
      <c r="K82" s="227" t="n"/>
      <c r="N82" s="227" t="n"/>
      <c r="P82" s="234" t="n"/>
      <c r="R82" s="232" t="n"/>
      <c r="S82" s="233" t="n"/>
      <c r="T82" s="232" t="n"/>
      <c r="U82" s="233" t="n"/>
      <c r="V82" s="232" t="n"/>
    </row>
    <row r="83" outlineLevel="3" ht="30" customHeight="1" s="583">
      <c r="A83" s="109" t="n"/>
      <c r="B83" s="110" t="inlineStr">
        <is>
          <t>Modulo IGBT</t>
        </is>
      </c>
      <c r="C83" s="121" t="inlineStr">
        <is>
          <t>3EST000214-9948</t>
        </is>
      </c>
      <c r="D83" s="109" t="inlineStr">
        <is>
          <t>DM1-M3-M6-DM8</t>
        </is>
      </c>
      <c r="E83" s="15" t="inlineStr">
        <is>
          <t>DM1-M3-M6-DM8</t>
        </is>
      </c>
      <c r="J83" s="110" t="n"/>
      <c r="K83" s="227" t="n"/>
      <c r="N83" s="227" t="n"/>
      <c r="P83" s="234" t="n"/>
      <c r="R83" s="232" t="n"/>
      <c r="S83" s="233" t="n"/>
      <c r="T83" s="232" t="n"/>
      <c r="U83" s="233" t="n"/>
      <c r="V83" s="232" t="n"/>
    </row>
    <row r="84" outlineLevel="2" s="583">
      <c r="A84" s="109" t="n"/>
      <c r="B84" s="202" t="inlineStr">
        <is>
          <t>Modulo convertitore ACM</t>
        </is>
      </c>
      <c r="C84" s="203" t="inlineStr">
        <is>
          <t>3EST000222-0910-HR</t>
        </is>
      </c>
      <c r="D84" s="130" t="n"/>
      <c r="E84" s="131" t="n"/>
      <c r="F84" s="131" t="n"/>
      <c r="G84" s="131" t="n"/>
      <c r="H84" s="204" t="inlineStr">
        <is>
          <t>X</t>
        </is>
      </c>
      <c r="I84" s="204" t="inlineStr">
        <is>
          <t>X</t>
        </is>
      </c>
      <c r="J84" s="110" t="n"/>
      <c r="K84" s="227" t="n"/>
      <c r="N84" s="227" t="n"/>
      <c r="P84" s="234" t="n"/>
      <c r="R84" s="232" t="n"/>
      <c r="S84" s="233" t="n"/>
      <c r="T84" s="232" t="n"/>
      <c r="U84" s="233" t="n"/>
      <c r="V84" s="232" t="n"/>
    </row>
    <row r="85" outlineLevel="3" s="583">
      <c r="A85" s="109" t="n"/>
      <c r="B85" s="123" t="inlineStr">
        <is>
          <t>Centralina DCU</t>
        </is>
      </c>
      <c r="C85" s="121" t="inlineStr">
        <is>
          <t>???</t>
        </is>
      </c>
      <c r="D85" s="120" t="n"/>
      <c r="E85" s="134" t="n"/>
      <c r="F85" s="134" t="n"/>
      <c r="G85" s="134" t="n"/>
      <c r="H85" s="134" t="inlineStr">
        <is>
          <t>X</t>
        </is>
      </c>
      <c r="I85" s="134" t="inlineStr">
        <is>
          <t>X</t>
        </is>
      </c>
      <c r="J85" s="110" t="n"/>
      <c r="K85" s="227" t="n"/>
      <c r="N85" s="227" t="n"/>
      <c r="P85" s="234" t="n"/>
      <c r="R85" s="232" t="n"/>
      <c r="S85" s="233" t="n"/>
      <c r="T85" s="232" t="n"/>
      <c r="U85" s="233" t="n"/>
      <c r="V85" s="232" t="n"/>
    </row>
    <row r="86" outlineLevel="3" collapsed="1" s="583">
      <c r="A86" s="109" t="n"/>
      <c r="B86" s="123" t="inlineStr">
        <is>
          <t>Modulo IGBT</t>
        </is>
      </c>
      <c r="C86" s="121" t="inlineStr">
        <is>
          <t>???</t>
        </is>
      </c>
      <c r="D86" s="120" t="n"/>
      <c r="E86" s="134" t="n"/>
      <c r="F86" s="134" t="n"/>
      <c r="G86" s="134" t="n"/>
      <c r="H86" s="134" t="inlineStr">
        <is>
          <t>X</t>
        </is>
      </c>
      <c r="I86" s="134" t="inlineStr">
        <is>
          <t>X</t>
        </is>
      </c>
      <c r="J86" s="110" t="n"/>
      <c r="K86" s="227" t="n"/>
      <c r="N86" s="227" t="n"/>
      <c r="P86" s="234" t="n"/>
      <c r="R86" s="232" t="n"/>
      <c r="S86" s="233" t="n"/>
      <c r="T86" s="232" t="n"/>
      <c r="U86" s="233" t="n"/>
      <c r="V86" s="232" t="n"/>
    </row>
    <row r="87">
      <c r="A87" s="109" t="n"/>
      <c r="B87" s="110" t="n"/>
      <c r="C87" s="107" t="n"/>
      <c r="D87" s="109" t="n"/>
      <c r="J87" s="110" t="n"/>
      <c r="K87" s="227" t="n"/>
      <c r="N87" s="227" t="n"/>
      <c r="P87" s="234" t="n"/>
      <c r="R87" s="232" t="n"/>
      <c r="S87" s="233" t="n"/>
      <c r="T87" s="232" t="n"/>
      <c r="U87" s="233" t="n"/>
      <c r="V87" s="232" t="n"/>
    </row>
    <row r="88">
      <c r="A88" s="109" t="n"/>
      <c r="B88" s="110" t="n"/>
      <c r="C88" s="107" t="n"/>
      <c r="D88" s="109" t="n"/>
      <c r="J88" s="110" t="n"/>
      <c r="K88" s="227" t="n"/>
      <c r="N88" s="227" t="n"/>
      <c r="P88" s="234" t="n"/>
      <c r="R88" s="232" t="n"/>
      <c r="S88" s="233" t="n"/>
      <c r="T88" s="232" t="n"/>
      <c r="U88" s="233" t="n"/>
      <c r="V88" s="232" t="n"/>
    </row>
    <row r="89">
      <c r="A89" s="109" t="n"/>
      <c r="B89" s="110" t="n"/>
      <c r="C89" s="107" t="n"/>
      <c r="D89" s="109" t="n"/>
      <c r="J89" s="110" t="n"/>
      <c r="K89" s="227" t="n"/>
      <c r="N89" s="227" t="n"/>
      <c r="P89" s="234" t="n"/>
      <c r="R89" s="232" t="n"/>
      <c r="S89" s="233" t="n"/>
      <c r="T89" s="232" t="n"/>
      <c r="U89" s="233" t="n"/>
      <c r="V89" s="232" t="n"/>
    </row>
    <row r="90">
      <c r="A90" s="109" t="n"/>
      <c r="B90" s="110" t="n"/>
      <c r="C90" s="107" t="n"/>
      <c r="D90" s="109" t="n"/>
      <c r="J90" s="110" t="n"/>
      <c r="K90" s="227" t="n"/>
      <c r="N90" s="227" t="n"/>
      <c r="P90" s="234" t="n"/>
      <c r="R90" s="232" t="n"/>
      <c r="S90" s="233" t="n"/>
      <c r="T90" s="232" t="n"/>
      <c r="U90" s="233" t="n"/>
      <c r="V90" s="232" t="n"/>
    </row>
    <row r="91">
      <c r="A91" s="109" t="n"/>
      <c r="B91" s="110" t="inlineStr">
        <is>
          <t>Antincendio DM1</t>
        </is>
      </c>
      <c r="C91" s="107" t="inlineStr">
        <is>
          <t>3ECP502022-0001</t>
        </is>
      </c>
      <c r="D91" s="109" t="n"/>
      <c r="J91" s="110" t="n"/>
      <c r="K91" s="227" t="n"/>
      <c r="N91" s="227" t="n"/>
      <c r="P91" s="234" t="n"/>
      <c r="R91" s="232" t="n"/>
      <c r="S91" s="233" t="n"/>
      <c r="T91" s="232" t="n"/>
      <c r="U91" s="233" t="n"/>
      <c r="V91" s="232" t="n"/>
    </row>
    <row r="92">
      <c r="A92" s="109" t="n"/>
      <c r="B92" s="110" t="inlineStr">
        <is>
          <t>UNITA' MAU 150/80</t>
        </is>
      </c>
      <c r="C92" s="107" t="inlineStr">
        <is>
          <t>3ECP502624-0001</t>
        </is>
      </c>
      <c r="D92" s="109" t="n"/>
      <c r="J92" s="110" t="n"/>
      <c r="K92" s="227" t="n"/>
      <c r="N92" s="227" t="n"/>
      <c r="P92" s="234" t="n"/>
      <c r="R92" s="232" t="n"/>
      <c r="S92" s="233" t="n"/>
      <c r="T92" s="232" t="n"/>
      <c r="U92" s="233" t="n"/>
      <c r="V92" s="232" t="n"/>
    </row>
    <row r="93" ht="30" customHeight="1" s="583">
      <c r="A93" s="109" t="n"/>
      <c r="B93" s="110" t="inlineStr">
        <is>
          <t>SISTEMA DI RILEVAMENTO</t>
        </is>
      </c>
      <c r="C93" s="107" t="inlineStr">
        <is>
          <t>000203-UMN002-0001.1.A-DM1</t>
        </is>
      </c>
      <c r="D93" s="109" t="n"/>
      <c r="J93" s="110" t="n"/>
      <c r="K93" s="227" t="n"/>
      <c r="N93" s="227" t="n"/>
      <c r="P93" s="234" t="n"/>
      <c r="R93" s="232" t="n"/>
      <c r="S93" s="233" t="n"/>
      <c r="T93" s="232" t="n"/>
      <c r="U93" s="233" t="n"/>
      <c r="V93" s="232" t="n"/>
    </row>
    <row r="94">
      <c r="A94" s="109" t="n"/>
      <c r="B94" s="110" t="inlineStr">
        <is>
          <t>SISTEMA AEROSOL</t>
        </is>
      </c>
      <c r="C94" s="107" t="inlineStr">
        <is>
          <t>985-MCO72318</t>
        </is>
      </c>
      <c r="D94" s="109" t="n"/>
      <c r="J94" s="110" t="n"/>
      <c r="K94" s="227" t="n"/>
      <c r="N94" s="227" t="n"/>
      <c r="P94" s="234" t="n"/>
      <c r="R94" s="232" t="n"/>
      <c r="S94" s="233" t="n"/>
      <c r="T94" s="232" t="n"/>
      <c r="U94" s="233" t="n"/>
      <c r="V94" s="232" t="n"/>
    </row>
    <row r="95">
      <c r="A95" s="109" t="n"/>
      <c r="B95" s="110" t="inlineStr">
        <is>
          <t>Antincendio DM8</t>
        </is>
      </c>
      <c r="C95" s="107" t="inlineStr">
        <is>
          <t>3EGH489009-5958</t>
        </is>
      </c>
      <c r="D95" s="109" t="n"/>
      <c r="J95" s="110" t="n"/>
      <c r="K95" s="227" t="n"/>
      <c r="N95" s="227" t="n"/>
      <c r="P95" s="234" t="n"/>
      <c r="R95" s="232" t="n"/>
      <c r="S95" s="233" t="n"/>
      <c r="T95" s="232" t="n"/>
      <c r="U95" s="233" t="n"/>
      <c r="V95" s="232" t="n"/>
    </row>
    <row r="96">
      <c r="A96" s="109" t="n"/>
      <c r="B96" s="110" t="inlineStr">
        <is>
          <t>UNITA' MAU 150/80</t>
        </is>
      </c>
      <c r="C96" s="107" t="inlineStr">
        <is>
          <t>3ECP502624-0001</t>
        </is>
      </c>
      <c r="D96" s="109" t="n"/>
      <c r="J96" s="110" t="n"/>
      <c r="K96" s="227" t="n"/>
      <c r="N96" s="227" t="n"/>
      <c r="P96" s="234" t="n"/>
      <c r="R96" s="232" t="n"/>
      <c r="S96" s="233" t="n"/>
      <c r="T96" s="232" t="n"/>
      <c r="U96" s="233" t="n"/>
      <c r="V96" s="232" t="n"/>
    </row>
    <row r="97" ht="30" customHeight="1" s="583">
      <c r="A97" s="109" t="n"/>
      <c r="B97" s="110" t="inlineStr">
        <is>
          <t>SISTEMA DI RILEVAMENTO</t>
        </is>
      </c>
      <c r="C97" s="107" t="inlineStr">
        <is>
          <t>000203-UMN002-0001.1.A-DM8</t>
        </is>
      </c>
      <c r="D97" s="109" t="n"/>
      <c r="J97" s="110" t="n"/>
      <c r="K97" s="227" t="n"/>
      <c r="N97" s="227" t="n"/>
      <c r="P97" s="234" t="n"/>
      <c r="R97" s="232" t="n"/>
      <c r="S97" s="233" t="n"/>
      <c r="T97" s="232" t="n"/>
      <c r="U97" s="233" t="n"/>
      <c r="V97" s="232" t="n"/>
    </row>
    <row r="98">
      <c r="A98" s="109" t="n"/>
      <c r="B98" s="110" t="inlineStr">
        <is>
          <t>SISTEMA AEROSOL</t>
        </is>
      </c>
      <c r="C98" s="107" t="inlineStr">
        <is>
          <t>985-MCO72318</t>
        </is>
      </c>
      <c r="D98" s="109" t="n"/>
      <c r="J98" s="110" t="n"/>
      <c r="K98" s="227" t="n"/>
      <c r="N98" s="227" t="n"/>
      <c r="P98" s="234" t="n"/>
      <c r="R98" s="232" t="n"/>
      <c r="S98" s="233" t="n"/>
      <c r="T98" s="232" t="n"/>
      <c r="U98" s="233" t="n"/>
      <c r="V98" s="232" t="n"/>
    </row>
    <row r="99">
      <c r="A99" s="109" t="n"/>
      <c r="B99" s="110" t="n"/>
      <c r="C99" s="107" t="n"/>
      <c r="D99" s="109" t="n"/>
      <c r="J99" s="110" t="n"/>
      <c r="K99" s="227" t="n"/>
      <c r="N99" s="227" t="n"/>
      <c r="P99" s="234" t="n"/>
      <c r="Q99" s="253" t="n"/>
      <c r="R99" s="232" t="n"/>
      <c r="S99" s="233" t="n"/>
      <c r="T99" s="232" t="n"/>
      <c r="U99" s="233" t="n"/>
      <c r="V99" s="232" t="n"/>
    </row>
    <row r="100">
      <c r="A100" s="111" t="n"/>
      <c r="B100" s="112" t="n"/>
      <c r="C100" s="108" t="n"/>
      <c r="D100" s="111" t="n"/>
      <c r="E100" s="113" t="n"/>
      <c r="F100" s="113" t="n"/>
      <c r="G100" s="113" t="n"/>
      <c r="H100" s="113" t="n"/>
      <c r="I100" s="113" t="n"/>
      <c r="J100" s="112" t="n"/>
      <c r="K100" s="254" t="n"/>
      <c r="L100" s="255" t="n"/>
      <c r="M100" s="255" t="n"/>
      <c r="N100" s="254" t="n"/>
      <c r="O100" s="255" t="n"/>
      <c r="P100" s="256" t="n"/>
      <c r="Q100" s="257" t="n"/>
      <c r="R100" s="258" t="n"/>
      <c r="S100" s="259" t="n"/>
      <c r="T100" s="258" t="n"/>
      <c r="U100" s="259" t="n"/>
      <c r="V100" s="258" t="n"/>
    </row>
  </sheetData>
  <autoFilter ref="A2:R86"/>
  <mergeCells count="9">
    <mergeCell ref="Q1:R1"/>
    <mergeCell ref="S1:T1"/>
    <mergeCell ref="U1:V1"/>
    <mergeCell ref="C1:C2"/>
    <mergeCell ref="B1:B2"/>
    <mergeCell ref="N1:P1"/>
    <mergeCell ref="K1:M1"/>
    <mergeCell ref="D1:J1"/>
    <mergeCell ref="A1:A2"/>
  </mergeCells>
  <pageMargins left="0.7" right="0.7" top="0.75" bottom="0.75" header="0.3" footer="0.3"/>
  <pageSetup orientation="portrait" paperSize="9" verticalDpi="0"/>
</worksheet>
</file>

<file path=xl/worksheets/sheet11.xml><?xml version="1.0" encoding="utf-8"?>
<worksheet xmlns="http://schemas.openxmlformats.org/spreadsheetml/2006/main">
  <sheetPr codeName="Foglio9">
    <outlinePr summaryBelow="1" summaryRight="1"/>
    <pageSetUpPr/>
  </sheetPr>
  <dimension ref="A1:Z50"/>
  <sheetViews>
    <sheetView zoomScale="85" zoomScaleNormal="85" workbookViewId="0">
      <pane xSplit="2" ySplit="1" topLeftCell="C2" activePane="bottomRight" state="frozen"/>
      <selection pane="topRight" activeCell="C1" sqref="C1"/>
      <selection pane="bottomLeft" activeCell="A2" sqref="A2"/>
      <selection pane="bottomRight" activeCell="I6" sqref="I6"/>
    </sheetView>
  </sheetViews>
  <sheetFormatPr baseColWidth="8" defaultRowHeight="15"/>
  <cols>
    <col width="17.85546875" customWidth="1" style="583" min="1" max="1"/>
    <col width="14.42578125" customWidth="1" style="583" min="2" max="2"/>
    <col width="18.42578125" customWidth="1" style="583" min="3" max="3"/>
    <col width="15.85546875" customWidth="1" style="583" min="4" max="4"/>
    <col width="19.42578125" customWidth="1" style="583" min="5" max="6"/>
    <col width="14.42578125" customWidth="1" style="583" min="7" max="7"/>
    <col width="16.42578125" customWidth="1" style="583" min="8" max="8"/>
    <col width="23.85546875" customWidth="1" style="583" min="9" max="9"/>
    <col width="21.85546875" customWidth="1" style="583" min="10" max="10"/>
    <col width="11.42578125" customWidth="1" style="583" min="11" max="11"/>
    <col width="15.5703125" customWidth="1" style="583" min="12" max="12"/>
    <col width="19.85546875" customWidth="1" style="583" min="13" max="13"/>
    <col width="21.5703125" customWidth="1" style="583" min="14" max="14"/>
    <col width="12.140625" customWidth="1" style="583" min="15" max="15"/>
    <col width="15.5703125" customWidth="1" style="583" min="16" max="16"/>
    <col width="24.5703125" customWidth="1" style="583" min="17" max="17"/>
    <col width="26.85546875" customWidth="1" style="583" min="18" max="18"/>
    <col width="15.140625" customWidth="1" style="583" min="20" max="20"/>
    <col width="25.140625" customWidth="1" style="583" min="21" max="21"/>
    <col width="20.140625" customWidth="1" style="583" min="22" max="22"/>
    <col width="10" bestFit="1" customWidth="1" style="583" min="23" max="23"/>
    <col width="15.42578125" customWidth="1" style="583" min="24" max="24"/>
    <col width="20.42578125" customWidth="1" style="583" min="25" max="25"/>
    <col width="25.85546875" customWidth="1" style="583" min="26" max="26"/>
  </cols>
  <sheetData>
    <row r="1" ht="15.75" customHeight="1" s="583" thickBot="1">
      <c r="C1" s="596" t="inlineStr">
        <is>
          <t>IT 50 treni (flotta base)</t>
        </is>
      </c>
      <c r="D1" s="567" t="n"/>
      <c r="E1" s="567" t="n"/>
      <c r="F1" s="597" t="n"/>
      <c r="G1" s="596" t="inlineStr">
        <is>
          <t>IT 8 treni (51-58)</t>
        </is>
      </c>
      <c r="H1" s="567" t="n"/>
      <c r="I1" s="567" t="n"/>
      <c r="J1" s="597" t="n"/>
      <c r="K1" s="596" t="inlineStr">
        <is>
          <t>IT 6+30 treni (101-136)</t>
        </is>
      </c>
      <c r="L1" s="567" t="n"/>
      <c r="M1" s="567" t="n"/>
      <c r="N1" s="597" t="n"/>
      <c r="O1" s="596" t="inlineStr">
        <is>
          <t>I-FR 9 treni</t>
        </is>
      </c>
      <c r="P1" s="567" t="n"/>
      <c r="Q1" s="567" t="n"/>
      <c r="R1" s="597" t="n"/>
      <c r="S1" s="596" t="inlineStr">
        <is>
          <t>DAI 9 treni</t>
        </is>
      </c>
      <c r="T1" s="567" t="n"/>
      <c r="U1" s="567" t="n"/>
      <c r="V1" s="597" t="n"/>
      <c r="W1" s="596" t="inlineStr">
        <is>
          <t>ES 20 treni</t>
        </is>
      </c>
      <c r="X1" s="567" t="n"/>
      <c r="Y1" s="567" t="n"/>
      <c r="Z1" s="597" t="n"/>
    </row>
    <row r="2" ht="15.75" customHeight="1" s="583" thickBot="1">
      <c r="A2" s="608" t="inlineStr">
        <is>
          <t>Sottosistema</t>
        </is>
      </c>
      <c r="B2" s="568" t="n"/>
      <c r="C2" s="17" t="inlineStr">
        <is>
          <t>P/N</t>
        </is>
      </c>
      <c r="D2" s="18" t="inlineStr">
        <is>
          <t>Id</t>
        </is>
      </c>
      <c r="E2" s="18" t="inlineStr">
        <is>
          <t>P/N</t>
        </is>
      </c>
      <c r="F2" s="19" t="inlineStr">
        <is>
          <t>Descrizione</t>
        </is>
      </c>
      <c r="G2" s="20" t="inlineStr">
        <is>
          <t>P/N</t>
        </is>
      </c>
      <c r="H2" s="18" t="inlineStr">
        <is>
          <t>Id</t>
        </is>
      </c>
      <c r="I2" s="18" t="inlineStr">
        <is>
          <t>P/N</t>
        </is>
      </c>
      <c r="J2" s="19" t="inlineStr">
        <is>
          <t>Descrizione</t>
        </is>
      </c>
      <c r="K2" s="20" t="inlineStr">
        <is>
          <t>P/N</t>
        </is>
      </c>
      <c r="L2" s="18" t="inlineStr">
        <is>
          <t>Id</t>
        </is>
      </c>
      <c r="M2" s="18" t="inlineStr">
        <is>
          <t>P/N</t>
        </is>
      </c>
      <c r="N2" s="19" t="inlineStr">
        <is>
          <t>Descrizione</t>
        </is>
      </c>
      <c r="O2" s="20" t="inlineStr">
        <is>
          <t>P/N</t>
        </is>
      </c>
      <c r="P2" s="18" t="inlineStr">
        <is>
          <t>Id</t>
        </is>
      </c>
      <c r="Q2" s="18" t="inlineStr">
        <is>
          <t>P/N</t>
        </is>
      </c>
      <c r="R2" s="19" t="inlineStr">
        <is>
          <t>Descrizione</t>
        </is>
      </c>
      <c r="S2" s="20" t="inlineStr">
        <is>
          <t>P/N</t>
        </is>
      </c>
      <c r="T2" s="18" t="inlineStr">
        <is>
          <t>Id</t>
        </is>
      </c>
      <c r="U2" s="18" t="inlineStr">
        <is>
          <t>P/N</t>
        </is>
      </c>
      <c r="V2" s="19" t="inlineStr">
        <is>
          <t>Descrizione</t>
        </is>
      </c>
      <c r="W2" s="20" t="inlineStr">
        <is>
          <t>P/N</t>
        </is>
      </c>
      <c r="X2" s="18" t="inlineStr">
        <is>
          <t>Id</t>
        </is>
      </c>
      <c r="Y2" s="18" t="inlineStr">
        <is>
          <t>P/N</t>
        </is>
      </c>
      <c r="Z2" s="19" t="inlineStr">
        <is>
          <t>Descrizione</t>
        </is>
      </c>
    </row>
    <row r="3" ht="286.5" customHeight="1" s="583">
      <c r="A3" s="591" t="inlineStr">
        <is>
          <t>Carrelli</t>
        </is>
      </c>
      <c r="B3" s="590" t="inlineStr">
        <is>
          <t>Motori</t>
        </is>
      </c>
      <c r="C3" s="569" t="inlineStr">
        <is>
          <t>100360301
100360302
100360303
100360304</t>
        </is>
      </c>
      <c r="D3" s="22" t="inlineStr">
        <is>
          <t>Sala Montata</t>
        </is>
      </c>
      <c r="E3" s="15" t="inlineStr">
        <is>
          <t>100360402
100360403</t>
        </is>
      </c>
      <c r="F3" s="23" t="inlineStr">
        <is>
          <t>Sensoristica ERTMS-SCMT carrelli DM
Sala senza boccole: 100360064</t>
        </is>
      </c>
      <c r="G3" s="569" t="inlineStr">
        <is>
          <t>100360301
100360302
100360303
100360304</t>
        </is>
      </c>
      <c r="H3" s="22" t="inlineStr">
        <is>
          <t>Sala Montata</t>
        </is>
      </c>
      <c r="I3" s="15" t="inlineStr">
        <is>
          <t>100360402
100360403</t>
        </is>
      </c>
      <c r="J3" s="23" t="inlineStr">
        <is>
          <t>Sensoristica ERTMS-SCMT carrelli DM
Sala senza boccole: 100360064</t>
        </is>
      </c>
      <c r="K3" s="606" t="inlineStr">
        <is>
          <t>100360301
100360302
100360303
100360304
(EN45545)</t>
        </is>
      </c>
      <c r="L3" s="24" t="inlineStr">
        <is>
          <t>Sala Montata</t>
        </is>
      </c>
      <c r="M3" s="25" t="inlineStr">
        <is>
          <t>100360402
100360403</t>
        </is>
      </c>
      <c r="N3" s="26" t="inlineStr">
        <is>
          <t>Sensoristica ERTMS-SCMT carrelli DM</t>
        </is>
      </c>
      <c r="O3" s="569" t="inlineStr">
        <is>
          <t>100329688
100329689
100360303
100360304</t>
        </is>
      </c>
      <c r="P3" s="22" t="inlineStr">
        <is>
          <t>Sala Montata</t>
        </is>
      </c>
      <c r="Q3" s="534" t="n"/>
      <c r="R3" s="28" t="inlineStr">
        <is>
          <t>Sensoristica ERTMS-SCMT, Memor brush, ETCS antenna su carrelli ant. DM1/8
Sensori Wiegand su post. DM1/8
Sensori Wiegand su ant. TT2/7
Sala senza boccole: 100360064</t>
        </is>
      </c>
      <c r="S3" s="577" t="n"/>
      <c r="T3" s="29" t="inlineStr">
        <is>
          <t>Sala Montata</t>
        </is>
      </c>
      <c r="U3" s="30" t="n"/>
      <c r="V3" s="31" t="inlineStr">
        <is>
          <t>tbd sensori boccola DM</t>
        </is>
      </c>
      <c r="W3" s="569" t="inlineStr">
        <is>
          <t>DM: 100437987
100470644</t>
        </is>
      </c>
      <c r="X3" s="22" t="inlineStr">
        <is>
          <t>Sala Montata</t>
        </is>
      </c>
      <c r="Y3" s="534" t="n"/>
      <c r="Z3" s="23" t="inlineStr">
        <is>
          <t>Sensoristica ETCS-ASFA-LZB carrelli DM</t>
        </is>
      </c>
    </row>
    <row r="4">
      <c r="A4" s="573" t="n"/>
      <c r="C4" s="570" t="n"/>
      <c r="D4" s="33" t="inlineStr">
        <is>
          <t>Riduttore</t>
        </is>
      </c>
      <c r="E4" s="34" t="n">
        <v>13900244911</v>
      </c>
      <c r="F4" s="35" t="n"/>
      <c r="G4" s="570" t="n"/>
      <c r="H4" s="33" t="inlineStr">
        <is>
          <t>Riduttore</t>
        </is>
      </c>
      <c r="I4" s="34" t="n">
        <v>13900244911</v>
      </c>
      <c r="J4" s="35" t="n"/>
      <c r="K4" s="570" t="n"/>
      <c r="L4" s="36" t="inlineStr">
        <is>
          <t>Riduttore</t>
        </is>
      </c>
      <c r="M4" s="37" t="n">
        <v>13900244911</v>
      </c>
      <c r="N4" s="38" t="n"/>
      <c r="O4" s="570" t="n"/>
      <c r="P4" s="33" t="inlineStr">
        <is>
          <t>Riduttore</t>
        </is>
      </c>
      <c r="Q4" s="39" t="n">
        <v>13900244911</v>
      </c>
      <c r="R4" s="35" t="n"/>
      <c r="S4" s="570" t="n"/>
      <c r="T4" s="40" t="inlineStr">
        <is>
          <t>Riduttore</t>
        </is>
      </c>
      <c r="U4" s="41" t="n">
        <v>13900244911</v>
      </c>
      <c r="V4" s="42" t="n"/>
      <c r="W4" s="570" t="n"/>
      <c r="X4" s="33" t="inlineStr">
        <is>
          <t>Riduttore</t>
        </is>
      </c>
      <c r="Y4" s="1" t="n"/>
      <c r="Z4" s="35" t="n"/>
    </row>
    <row r="5">
      <c r="A5" s="573" t="n"/>
      <c r="C5" s="570" t="n"/>
      <c r="D5" s="33" t="inlineStr">
        <is>
          <t>Motore</t>
        </is>
      </c>
      <c r="E5" s="1" t="inlineStr">
        <is>
          <t>3EST000224-9555</t>
        </is>
      </c>
      <c r="F5" s="35" t="n"/>
      <c r="G5" s="570" t="n"/>
      <c r="H5" s="33" t="inlineStr">
        <is>
          <t>Motore</t>
        </is>
      </c>
      <c r="I5" s="1" t="inlineStr">
        <is>
          <t>3EST000224-9555</t>
        </is>
      </c>
      <c r="J5" s="35" t="n"/>
      <c r="K5" s="570" t="n"/>
      <c r="L5" s="36" t="inlineStr">
        <is>
          <t>Motore</t>
        </is>
      </c>
      <c r="M5" s="43" t="inlineStr">
        <is>
          <t>3EST000224-9555</t>
        </is>
      </c>
      <c r="N5" s="38" t="n"/>
      <c r="O5" s="570" t="n"/>
      <c r="P5" s="33" t="inlineStr">
        <is>
          <t>Motore</t>
        </is>
      </c>
      <c r="Q5" s="44" t="inlineStr">
        <is>
          <t>3EST000224-9555</t>
        </is>
      </c>
      <c r="R5" s="35" t="n"/>
      <c r="S5" s="570" t="n"/>
      <c r="T5" s="40" t="inlineStr">
        <is>
          <t>Motore</t>
        </is>
      </c>
      <c r="U5" s="45" t="inlineStr">
        <is>
          <t>3EST000224-9555</t>
        </is>
      </c>
      <c r="V5" s="42" t="n"/>
      <c r="W5" s="570" t="n"/>
      <c r="X5" s="33" t="inlineStr">
        <is>
          <t>Motore</t>
        </is>
      </c>
      <c r="Y5" s="1" t="n"/>
      <c r="Z5" s="35" t="n"/>
    </row>
    <row r="6" ht="87" customHeight="1" s="583">
      <c r="A6" s="573" t="n"/>
      <c r="C6" s="570" t="n"/>
      <c r="D6" s="33" t="inlineStr">
        <is>
          <t>Cil.Freno</t>
        </is>
      </c>
      <c r="E6" s="46" t="inlineStr">
        <is>
          <t>FT0011601-100
FT0011602-100
FT0011602-101</t>
        </is>
      </c>
      <c r="F6" s="35" t="n"/>
      <c r="G6" s="570" t="n"/>
      <c r="H6" s="33" t="inlineStr">
        <is>
          <t>Cil.Freno</t>
        </is>
      </c>
      <c r="I6" s="46" t="inlineStr">
        <is>
          <t>FT0011601-100
FT0011602-100
FT0011602-101</t>
        </is>
      </c>
      <c r="J6" s="35" t="n"/>
      <c r="K6" s="570" t="n"/>
      <c r="L6" s="36" t="inlineStr">
        <is>
          <t>Cil.Freno</t>
        </is>
      </c>
      <c r="M6" s="47" t="inlineStr">
        <is>
          <t>FT0011601-100
FT0011602-100
FT0011602-101</t>
        </is>
      </c>
      <c r="N6" s="38" t="n"/>
      <c r="O6" s="570" t="n"/>
      <c r="P6" s="33" t="inlineStr">
        <is>
          <t>Cil.Freno</t>
        </is>
      </c>
      <c r="Q6" s="48" t="inlineStr">
        <is>
          <t>FT0011601-100
FT0011602-100
FT0011602-101</t>
        </is>
      </c>
      <c r="R6" s="35" t="n"/>
      <c r="S6" s="570" t="n"/>
      <c r="T6" s="40" t="inlineStr">
        <is>
          <t>Cil.Freno</t>
        </is>
      </c>
      <c r="U6" s="49" t="inlineStr">
        <is>
          <t>FT0011601-100
FT0011602-100
FT0011602-101</t>
        </is>
      </c>
      <c r="V6" s="42" t="n"/>
      <c r="W6" s="570" t="n"/>
      <c r="X6" s="33" t="inlineStr">
        <is>
          <t>Cil.Freno</t>
        </is>
      </c>
      <c r="Y6" s="46" t="inlineStr">
        <is>
          <t>FT0011601-100
FT0011602-100
FT0011602-101</t>
        </is>
      </c>
      <c r="Z6" s="35" t="n"/>
    </row>
    <row r="7">
      <c r="A7" s="573" t="n"/>
      <c r="C7" s="570" t="n"/>
      <c r="D7" s="33" t="inlineStr">
        <is>
          <t>Als</t>
        </is>
      </c>
      <c r="E7" s="1" t="inlineStr">
        <is>
          <t>6398B000-01</t>
        </is>
      </c>
      <c r="F7" s="35" t="n"/>
      <c r="G7" s="570" t="n"/>
      <c r="H7" s="33" t="inlineStr">
        <is>
          <t>Als</t>
        </is>
      </c>
      <c r="I7" s="1" t="inlineStr">
        <is>
          <t>6398B000-01</t>
        </is>
      </c>
      <c r="J7" s="35" t="n"/>
      <c r="K7" s="570" t="n"/>
      <c r="L7" s="36" t="inlineStr">
        <is>
          <t>Als</t>
        </is>
      </c>
      <c r="M7" s="43" t="inlineStr">
        <is>
          <t>6398B000-01</t>
        </is>
      </c>
      <c r="N7" s="38" t="n"/>
      <c r="O7" s="570" t="n"/>
      <c r="P7" s="33" t="inlineStr">
        <is>
          <t>Als</t>
        </is>
      </c>
      <c r="Q7" s="44" t="inlineStr">
        <is>
          <t>6398B000-01</t>
        </is>
      </c>
      <c r="R7" s="35" t="n"/>
      <c r="S7" s="570" t="n"/>
      <c r="T7" s="40" t="inlineStr">
        <is>
          <t>Als</t>
        </is>
      </c>
      <c r="U7" s="45" t="inlineStr">
        <is>
          <t>6398B000-01</t>
        </is>
      </c>
      <c r="V7" s="42" t="n"/>
      <c r="W7" s="570" t="n"/>
      <c r="X7" s="33" t="inlineStr">
        <is>
          <t>Als</t>
        </is>
      </c>
      <c r="Y7" s="1" t="n"/>
      <c r="Z7" s="35" t="n"/>
    </row>
    <row r="8">
      <c r="A8" s="573" t="n"/>
      <c r="B8" s="541" t="n"/>
      <c r="C8" s="571" t="n"/>
      <c r="D8" s="33" t="inlineStr">
        <is>
          <t>BMS</t>
        </is>
      </c>
      <c r="E8" s="1" t="n"/>
      <c r="F8" s="35" t="inlineStr">
        <is>
          <t>Ephimess fase 2</t>
        </is>
      </c>
      <c r="G8" s="571" t="n"/>
      <c r="H8" s="33" t="inlineStr">
        <is>
          <t>BMS</t>
        </is>
      </c>
      <c r="I8" s="1" t="n"/>
      <c r="J8" s="35" t="inlineStr">
        <is>
          <t>Ephimess fase 2</t>
        </is>
      </c>
      <c r="K8" s="571" t="n"/>
      <c r="L8" s="36" t="inlineStr">
        <is>
          <t>BMS</t>
        </is>
      </c>
      <c r="M8" s="43" t="n"/>
      <c r="N8" s="38" t="n"/>
      <c r="O8" s="571" t="n"/>
      <c r="P8" s="33" t="inlineStr">
        <is>
          <t>BMS</t>
        </is>
      </c>
      <c r="Q8" s="44" t="n"/>
      <c r="R8" s="35" t="n"/>
      <c r="S8" s="571" t="n"/>
      <c r="T8" s="40" t="inlineStr">
        <is>
          <t>BMS</t>
        </is>
      </c>
      <c r="U8" s="45" t="n"/>
      <c r="V8" s="42" t="n"/>
      <c r="W8" s="571" t="n"/>
      <c r="X8" s="33" t="inlineStr">
        <is>
          <t>BMS</t>
        </is>
      </c>
      <c r="Y8" s="1" t="n"/>
      <c r="Z8" s="35" t="n"/>
    </row>
    <row r="9" ht="30" customHeight="1" s="583">
      <c r="A9" s="573" t="n"/>
      <c r="B9" s="611" t="inlineStr">
        <is>
          <t>Portanti</t>
        </is>
      </c>
      <c r="C9" s="599" t="inlineStr">
        <is>
          <t>100360311
100360312
100360313</t>
        </is>
      </c>
      <c r="D9" s="33" t="inlineStr">
        <is>
          <t>Sala</t>
        </is>
      </c>
      <c r="E9" s="50" t="inlineStr">
        <is>
          <t>100360411
100360412</t>
        </is>
      </c>
      <c r="F9" s="35" t="n"/>
      <c r="G9" s="599" t="inlineStr">
        <is>
          <t>100360311
100360312
100360313</t>
        </is>
      </c>
      <c r="H9" s="33" t="inlineStr">
        <is>
          <t>Sala</t>
        </is>
      </c>
      <c r="I9" s="50" t="inlineStr">
        <is>
          <t>100360411
100360412</t>
        </is>
      </c>
      <c r="J9" s="35" t="n"/>
      <c r="K9" s="600" t="inlineStr">
        <is>
          <t>100360311
100360312
100360313
(EN45545)</t>
        </is>
      </c>
      <c r="L9" s="36" t="inlineStr">
        <is>
          <t>Sala</t>
        </is>
      </c>
      <c r="M9" s="51" t="inlineStr">
        <is>
          <t>100360411
100360412</t>
        </is>
      </c>
      <c r="N9" s="38" t="n"/>
      <c r="O9" s="599" t="inlineStr">
        <is>
          <t>100360311
100329690
100360313</t>
        </is>
      </c>
      <c r="P9" s="33" t="inlineStr">
        <is>
          <t>Sala</t>
        </is>
      </c>
      <c r="Q9" s="50" t="inlineStr">
        <is>
          <t>100360411
100360412</t>
        </is>
      </c>
      <c r="R9" s="35" t="n"/>
      <c r="S9" s="625" t="n"/>
      <c r="T9" s="40" t="inlineStr">
        <is>
          <t>Sala</t>
        </is>
      </c>
      <c r="U9" s="45" t="n"/>
      <c r="V9" s="42" t="n"/>
      <c r="W9" s="622" t="n"/>
      <c r="X9" s="33" t="inlineStr">
        <is>
          <t>Sala</t>
        </is>
      </c>
      <c r="Y9" s="1" t="n"/>
      <c r="Z9" s="35" t="n"/>
    </row>
    <row r="10">
      <c r="A10" s="573" t="n"/>
      <c r="C10" s="570" t="n"/>
      <c r="D10" s="33" t="inlineStr">
        <is>
          <t>Freno</t>
        </is>
      </c>
      <c r="E10" s="1" t="n"/>
      <c r="F10" s="35" t="n"/>
      <c r="G10" s="570" t="n"/>
      <c r="H10" s="33" t="inlineStr">
        <is>
          <t>Freno</t>
        </is>
      </c>
      <c r="I10" s="1" t="n"/>
      <c r="J10" s="35" t="n"/>
      <c r="K10" s="570" t="n"/>
      <c r="L10" s="36" t="inlineStr">
        <is>
          <t>Freno</t>
        </is>
      </c>
      <c r="M10" s="43" t="n"/>
      <c r="N10" s="38" t="n"/>
      <c r="O10" s="570" t="n"/>
      <c r="P10" s="33" t="inlineStr">
        <is>
          <t>Freno</t>
        </is>
      </c>
      <c r="Q10" s="1" t="n"/>
      <c r="R10" s="35" t="n"/>
      <c r="S10" s="570" t="n"/>
      <c r="T10" s="40" t="inlineStr">
        <is>
          <t>Freno</t>
        </is>
      </c>
      <c r="U10" s="45" t="n"/>
      <c r="V10" s="42" t="n"/>
      <c r="W10" s="570" t="n"/>
      <c r="X10" s="33" t="inlineStr">
        <is>
          <t>Freno</t>
        </is>
      </c>
      <c r="Y10" s="1" t="n"/>
      <c r="Z10" s="35" t="n"/>
    </row>
    <row r="11">
      <c r="A11" s="573" t="n"/>
      <c r="C11" s="570" t="n"/>
      <c r="D11" s="33" t="inlineStr">
        <is>
          <t>Als</t>
        </is>
      </c>
      <c r="E11" s="1" t="n"/>
      <c r="F11" s="35" t="n"/>
      <c r="G11" s="570" t="n"/>
      <c r="H11" s="33" t="inlineStr">
        <is>
          <t>Als</t>
        </is>
      </c>
      <c r="I11" s="1" t="n"/>
      <c r="J11" s="35" t="n"/>
      <c r="K11" s="570" t="n"/>
      <c r="L11" s="36" t="inlineStr">
        <is>
          <t>Als</t>
        </is>
      </c>
      <c r="M11" s="43" t="n"/>
      <c r="N11" s="38" t="n"/>
      <c r="O11" s="570" t="n"/>
      <c r="P11" s="33" t="inlineStr">
        <is>
          <t>Als</t>
        </is>
      </c>
      <c r="Q11" s="1" t="n"/>
      <c r="R11" s="35" t="n"/>
      <c r="S11" s="570" t="n"/>
      <c r="T11" s="40" t="inlineStr">
        <is>
          <t>Als</t>
        </is>
      </c>
      <c r="U11" s="45" t="n"/>
      <c r="V11" s="42" t="n"/>
      <c r="W11" s="570" t="n"/>
      <c r="X11" s="33" t="inlineStr">
        <is>
          <t>Als</t>
        </is>
      </c>
      <c r="Y11" s="1" t="n"/>
      <c r="Z11" s="35" t="n"/>
    </row>
    <row r="12" ht="15.75" customHeight="1" s="583" thickBot="1">
      <c r="A12" s="592" t="n"/>
      <c r="B12" s="541" t="n"/>
      <c r="C12" s="575" t="n"/>
      <c r="D12" s="52" t="inlineStr">
        <is>
          <t>BMS</t>
        </is>
      </c>
      <c r="E12" s="53" t="n"/>
      <c r="F12" s="54" t="n"/>
      <c r="G12" s="575" t="n"/>
      <c r="H12" s="52" t="inlineStr">
        <is>
          <t>BMS</t>
        </is>
      </c>
      <c r="I12" s="53" t="n"/>
      <c r="J12" s="54" t="n"/>
      <c r="K12" s="575" t="n"/>
      <c r="L12" s="55" t="inlineStr">
        <is>
          <t>BMS</t>
        </is>
      </c>
      <c r="M12" s="56" t="n"/>
      <c r="N12" s="57" t="n"/>
      <c r="O12" s="575" t="n"/>
      <c r="P12" s="52" t="inlineStr">
        <is>
          <t>BMS</t>
        </is>
      </c>
      <c r="Q12" s="53" t="n"/>
      <c r="R12" s="54" t="n"/>
      <c r="S12" s="575" t="n"/>
      <c r="T12" s="58" t="inlineStr">
        <is>
          <t>BMS</t>
        </is>
      </c>
      <c r="U12" s="59" t="n"/>
      <c r="V12" s="60" t="n"/>
      <c r="W12" s="575" t="n"/>
      <c r="X12" s="52" t="inlineStr">
        <is>
          <t>BMS</t>
        </is>
      </c>
      <c r="Y12" s="53" t="n"/>
      <c r="Z12" s="54" t="n"/>
    </row>
    <row r="13">
      <c r="A13" s="608" t="inlineStr">
        <is>
          <t>Pantografi</t>
        </is>
      </c>
      <c r="B13" s="565" t="inlineStr">
        <is>
          <t>3 kV</t>
        </is>
      </c>
      <c r="C13" s="623" t="n">
        <v>100170460</v>
      </c>
      <c r="D13" s="61" t="inlineStr">
        <is>
          <t>Struttura</t>
        </is>
      </c>
      <c r="E13" s="62" t="n">
        <v>10573076</v>
      </c>
      <c r="F13" s="63" t="n"/>
      <c r="G13" s="610" t="n">
        <v>10949272</v>
      </c>
      <c r="H13" s="61" t="inlineStr">
        <is>
          <t>Struttura</t>
        </is>
      </c>
      <c r="I13" s="62" t="n">
        <v>10573076</v>
      </c>
      <c r="J13" s="63" t="n"/>
      <c r="K13" s="610" t="n">
        <v>10949272</v>
      </c>
      <c r="L13" s="61" t="inlineStr">
        <is>
          <t>Struttura</t>
        </is>
      </c>
      <c r="M13" s="62" t="n">
        <v>10573076</v>
      </c>
      <c r="N13" s="63" t="n"/>
      <c r="O13" s="623" t="n">
        <v>100170460</v>
      </c>
      <c r="P13" s="61" t="inlineStr">
        <is>
          <t>Struttura</t>
        </is>
      </c>
      <c r="Q13" s="62" t="n">
        <v>10573076</v>
      </c>
      <c r="R13" s="63" t="n"/>
      <c r="S13" s="614" t="n"/>
      <c r="T13" s="64" t="inlineStr">
        <is>
          <t>Struttura</t>
        </is>
      </c>
      <c r="U13" s="64" t="n"/>
      <c r="V13" s="65" t="n"/>
      <c r="W13" s="623" t="n"/>
      <c r="X13" s="61" t="inlineStr">
        <is>
          <t>Struttura</t>
        </is>
      </c>
      <c r="Y13" s="61" t="n"/>
      <c r="Z13" s="63" t="n"/>
    </row>
    <row r="14">
      <c r="A14" s="573" t="n"/>
      <c r="C14" s="570" t="n"/>
      <c r="D14" s="1" t="inlineStr">
        <is>
          <t>Archetto</t>
        </is>
      </c>
      <c r="E14" s="12" t="n">
        <v>10561136</v>
      </c>
      <c r="F14" s="35" t="n"/>
      <c r="G14" s="570" t="n"/>
      <c r="H14" s="1" t="inlineStr">
        <is>
          <t>Archetto</t>
        </is>
      </c>
      <c r="I14" s="12" t="n">
        <v>10561136</v>
      </c>
      <c r="J14" s="35" t="n"/>
      <c r="K14" s="570" t="n"/>
      <c r="L14" s="1" t="inlineStr">
        <is>
          <t>Archetto</t>
        </is>
      </c>
      <c r="M14" s="12" t="n">
        <v>10561136</v>
      </c>
      <c r="N14" s="35" t="n"/>
      <c r="O14" s="570" t="n"/>
      <c r="P14" s="1" t="inlineStr">
        <is>
          <t>Archetto</t>
        </is>
      </c>
      <c r="Q14" s="44" t="n">
        <v>10561136</v>
      </c>
      <c r="R14" s="35" t="n"/>
      <c r="S14" s="570" t="n"/>
      <c r="T14" s="45" t="inlineStr">
        <is>
          <t>Archetto</t>
        </is>
      </c>
      <c r="U14" s="45" t="n"/>
      <c r="V14" s="42" t="n"/>
      <c r="W14" s="570" t="n"/>
      <c r="X14" s="1" t="inlineStr">
        <is>
          <t>Archetto</t>
        </is>
      </c>
      <c r="Y14" s="1" t="n"/>
      <c r="Z14" s="35" t="inlineStr">
        <is>
          <t>Archetto 1.950 mm</t>
        </is>
      </c>
    </row>
    <row r="15">
      <c r="A15" s="573" t="n"/>
      <c r="C15" s="570" t="n"/>
      <c r="D15" s="1" t="inlineStr">
        <is>
          <t>Strisciante</t>
        </is>
      </c>
      <c r="E15" s="44" t="inlineStr">
        <is>
          <t>SK1451</t>
        </is>
      </c>
      <c r="F15" s="35" t="n"/>
      <c r="G15" s="570" t="n"/>
      <c r="H15" s="1" t="inlineStr">
        <is>
          <t>Strisciante</t>
        </is>
      </c>
      <c r="I15" s="44" t="inlineStr">
        <is>
          <t>SK1451</t>
        </is>
      </c>
      <c r="J15" s="35" t="n"/>
      <c r="K15" s="570" t="n"/>
      <c r="L15" s="1" t="inlineStr">
        <is>
          <t>Strisciante</t>
        </is>
      </c>
      <c r="M15" s="44" t="inlineStr">
        <is>
          <t>SK1451</t>
        </is>
      </c>
      <c r="N15" s="35" t="n"/>
      <c r="O15" s="570" t="n"/>
      <c r="P15" s="1" t="inlineStr">
        <is>
          <t>Strisciante</t>
        </is>
      </c>
      <c r="Q15" s="12" t="inlineStr">
        <is>
          <t>SK1451</t>
        </is>
      </c>
      <c r="R15" s="35" t="n"/>
      <c r="S15" s="570" t="n"/>
      <c r="T15" s="45" t="inlineStr">
        <is>
          <t>Strisciante</t>
        </is>
      </c>
      <c r="U15" s="45" t="n"/>
      <c r="V15" s="42" t="n"/>
      <c r="W15" s="570" t="n"/>
      <c r="X15" s="1" t="inlineStr">
        <is>
          <t>Strisciante</t>
        </is>
      </c>
      <c r="Y15" s="1" t="n"/>
      <c r="Z15" s="35" t="n"/>
    </row>
    <row r="16">
      <c r="A16" s="573" t="n"/>
      <c r="B16" s="541" t="n"/>
      <c r="C16" s="571" t="n"/>
      <c r="D16" s="1" t="inlineStr">
        <is>
          <t>PPU</t>
        </is>
      </c>
      <c r="E16" s="44" t="n">
        <v>102895</v>
      </c>
      <c r="F16" s="35" t="n"/>
      <c r="G16" s="571" t="n"/>
      <c r="H16" s="1" t="inlineStr">
        <is>
          <t>PPU</t>
        </is>
      </c>
      <c r="I16" s="67" t="inlineStr">
        <is>
          <t>232C10395F</t>
        </is>
      </c>
      <c r="J16" s="68" t="inlineStr">
        <is>
          <t>Con isolamento ADD</t>
        </is>
      </c>
      <c r="K16" s="571" t="n"/>
      <c r="L16" s="1" t="inlineStr">
        <is>
          <t>PPU</t>
        </is>
      </c>
      <c r="M16" s="67" t="inlineStr">
        <is>
          <t>231C100036B</t>
        </is>
      </c>
      <c r="N16" s="68" t="inlineStr">
        <is>
          <t>Con isolamento ADD</t>
        </is>
      </c>
      <c r="O16" s="571" t="n"/>
      <c r="P16" s="1" t="inlineStr">
        <is>
          <t>PPU</t>
        </is>
      </c>
      <c r="Q16" s="67" t="inlineStr">
        <is>
          <t>232C10353E</t>
        </is>
      </c>
      <c r="R16" s="69" t="inlineStr">
        <is>
          <t>PPU DC Modificata per agg.panto 1.5</t>
        </is>
      </c>
      <c r="S16" s="571" t="n"/>
      <c r="T16" s="45" t="inlineStr">
        <is>
          <t>PCU</t>
        </is>
      </c>
      <c r="U16" s="45" t="n"/>
      <c r="V16" s="42" t="n"/>
      <c r="W16" s="571" t="n"/>
      <c r="X16" s="1" t="inlineStr">
        <is>
          <t>PPU</t>
        </is>
      </c>
      <c r="Y16" s="1" t="n"/>
      <c r="Z16" s="68" t="inlineStr">
        <is>
          <t>Con isolamento ADD</t>
        </is>
      </c>
    </row>
    <row r="17">
      <c r="A17" s="573" t="n"/>
      <c r="B17" s="611" t="inlineStr">
        <is>
          <t>25 kV</t>
        </is>
      </c>
      <c r="C17" s="576" t="n">
        <v>100170464</v>
      </c>
      <c r="D17" s="33" t="inlineStr">
        <is>
          <t>Struttura</t>
        </is>
      </c>
      <c r="E17" s="70" t="n">
        <v>10573076</v>
      </c>
      <c r="F17" s="35" t="n"/>
      <c r="G17" s="595" t="n">
        <v>10949356</v>
      </c>
      <c r="H17" s="1" t="inlineStr">
        <is>
          <t>Struttura</t>
        </is>
      </c>
      <c r="I17" s="70" t="n">
        <v>10573076</v>
      </c>
      <c r="J17" s="35" t="n"/>
      <c r="K17" s="595" t="n">
        <v>10949356</v>
      </c>
      <c r="L17" s="1" t="inlineStr">
        <is>
          <t>Struttura</t>
        </is>
      </c>
      <c r="M17" s="70" t="n">
        <v>10573076</v>
      </c>
      <c r="N17" s="35" t="n"/>
      <c r="O17" s="576" t="n">
        <v>100170464</v>
      </c>
      <c r="P17" s="1" t="inlineStr">
        <is>
          <t>Struttura</t>
        </is>
      </c>
      <c r="Q17" s="14" t="n">
        <v>10573076</v>
      </c>
      <c r="R17" s="35" t="n"/>
      <c r="S17" s="607" t="n"/>
      <c r="T17" s="45" t="inlineStr">
        <is>
          <t>Struttura</t>
        </is>
      </c>
      <c r="U17" s="45" t="n"/>
      <c r="V17" s="42" t="n"/>
      <c r="W17" s="576" t="n"/>
      <c r="X17" s="1" t="inlineStr">
        <is>
          <t>Struttura</t>
        </is>
      </c>
      <c r="Y17" s="1" t="n"/>
      <c r="Z17" s="35" t="n"/>
    </row>
    <row r="18">
      <c r="A18" s="573" t="n"/>
      <c r="C18" s="570" t="n"/>
      <c r="D18" s="33" t="inlineStr">
        <is>
          <t>Archetto</t>
        </is>
      </c>
      <c r="E18" s="71" t="n">
        <v>10572700</v>
      </c>
      <c r="F18" s="35" t="n"/>
      <c r="G18" s="570" t="n"/>
      <c r="H18" s="1" t="inlineStr">
        <is>
          <t>Archetto</t>
        </is>
      </c>
      <c r="I18" s="71" t="n">
        <v>10572700</v>
      </c>
      <c r="J18" s="35" t="n"/>
      <c r="K18" s="570" t="n"/>
      <c r="L18" s="1" t="inlineStr">
        <is>
          <t>Archetto</t>
        </is>
      </c>
      <c r="M18" s="71" t="n">
        <v>10572700</v>
      </c>
      <c r="N18" s="35" t="n"/>
      <c r="O18" s="570" t="n"/>
      <c r="P18" s="1" t="inlineStr">
        <is>
          <t>Archetto</t>
        </is>
      </c>
      <c r="Q18" s="72" t="n">
        <v>10572700</v>
      </c>
      <c r="R18" s="35" t="inlineStr">
        <is>
          <t>Vedi strisciante</t>
        </is>
      </c>
      <c r="S18" s="570" t="n"/>
      <c r="T18" s="45" t="inlineStr">
        <is>
          <t>Archetto</t>
        </is>
      </c>
      <c r="U18" s="45" t="n"/>
      <c r="V18" s="42" t="n"/>
      <c r="W18" s="570" t="n"/>
      <c r="X18" s="1" t="inlineStr">
        <is>
          <t>Archetto</t>
        </is>
      </c>
      <c r="Y18" s="1" t="n"/>
      <c r="Z18" s="35" t="n"/>
    </row>
    <row r="19">
      <c r="A19" s="573" t="n"/>
      <c r="C19" s="570" t="n"/>
      <c r="D19" s="33" t="inlineStr">
        <is>
          <t>Strisciante</t>
        </is>
      </c>
      <c r="E19" s="44" t="inlineStr">
        <is>
          <t>SK1630</t>
        </is>
      </c>
      <c r="F19" s="35" t="n"/>
      <c r="G19" s="570" t="n"/>
      <c r="H19" s="1" t="inlineStr">
        <is>
          <t>Strisciante</t>
        </is>
      </c>
      <c r="I19" s="44" t="inlineStr">
        <is>
          <t>SK1630</t>
        </is>
      </c>
      <c r="J19" s="35" t="n"/>
      <c r="K19" s="570" t="n"/>
      <c r="L19" s="1" t="inlineStr">
        <is>
          <t>Strisciante</t>
        </is>
      </c>
      <c r="M19" s="44" t="inlineStr">
        <is>
          <t>SK1630</t>
        </is>
      </c>
      <c r="N19" s="35" t="n"/>
      <c r="O19" s="570" t="n"/>
      <c r="P19" s="1" t="inlineStr">
        <is>
          <t>Strisciante</t>
        </is>
      </c>
      <c r="Q19" s="67" t="inlineStr">
        <is>
          <t>SK 2381</t>
        </is>
      </c>
      <c r="R19" s="35" t="inlineStr">
        <is>
          <t>Conforme a norma FR SAM E903</t>
        </is>
      </c>
      <c r="S19" s="570" t="n"/>
      <c r="T19" s="45" t="inlineStr">
        <is>
          <t>Strisciante</t>
        </is>
      </c>
      <c r="U19" s="73" t="inlineStr">
        <is>
          <t>SK1630</t>
        </is>
      </c>
      <c r="V19" s="42" t="n"/>
      <c r="W19" s="570" t="n"/>
      <c r="X19" s="1" t="inlineStr">
        <is>
          <t>Strisciante</t>
        </is>
      </c>
      <c r="Y19" s="44" t="inlineStr">
        <is>
          <t>SK1630</t>
        </is>
      </c>
      <c r="Z19" s="35" t="n"/>
    </row>
    <row r="20">
      <c r="A20" s="573" t="n"/>
      <c r="B20" s="541" t="n"/>
      <c r="C20" s="571" t="n"/>
      <c r="D20" s="1" t="inlineStr">
        <is>
          <t>PPU</t>
        </is>
      </c>
      <c r="E20" s="12" t="n">
        <v>102895</v>
      </c>
      <c r="F20" s="35" t="n"/>
      <c r="G20" s="571" t="n"/>
      <c r="H20" s="1" t="inlineStr">
        <is>
          <t>PPU</t>
        </is>
      </c>
      <c r="I20" s="67" t="inlineStr">
        <is>
          <t>232C10395F</t>
        </is>
      </c>
      <c r="J20" s="68" t="inlineStr">
        <is>
          <t>Con isolamento ADD</t>
        </is>
      </c>
      <c r="K20" s="571" t="n"/>
      <c r="L20" s="1" t="inlineStr">
        <is>
          <t>PPU</t>
        </is>
      </c>
      <c r="M20" s="67" t="inlineStr">
        <is>
          <t>231C100036B</t>
        </is>
      </c>
      <c r="N20" s="68" t="inlineStr">
        <is>
          <t>Con isolamento ADD</t>
        </is>
      </c>
      <c r="O20" s="571" t="n"/>
      <c r="P20" s="1" t="inlineStr">
        <is>
          <t>PPU</t>
        </is>
      </c>
      <c r="Q20" s="74" t="n">
        <v>102895</v>
      </c>
      <c r="R20" s="35" t="n"/>
      <c r="S20" s="571" t="n"/>
      <c r="T20" s="45" t="inlineStr">
        <is>
          <t>PPU</t>
        </is>
      </c>
      <c r="U20" s="45" t="n"/>
      <c r="V20" s="42" t="n"/>
      <c r="W20" s="571" t="n"/>
      <c r="X20" s="1" t="inlineStr">
        <is>
          <t>PPU</t>
        </is>
      </c>
      <c r="Y20" s="1" t="n"/>
      <c r="Z20" s="68" t="inlineStr">
        <is>
          <t>Con isolamento ADD</t>
        </is>
      </c>
    </row>
    <row r="21">
      <c r="A21" s="573" t="n"/>
      <c r="B21" s="611" t="inlineStr">
        <is>
          <t>1,5 kV</t>
        </is>
      </c>
      <c r="C21" s="576" t="inlineStr">
        <is>
          <t>n/a</t>
        </is>
      </c>
      <c r="D21" s="33" t="inlineStr">
        <is>
          <t>Struttura</t>
        </is>
      </c>
      <c r="E21" s="43" t="n"/>
      <c r="F21" s="38" t="n"/>
      <c r="G21" s="576" t="inlineStr">
        <is>
          <t>n/a</t>
        </is>
      </c>
      <c r="H21" s="1" t="inlineStr">
        <is>
          <t>Struttura</t>
        </is>
      </c>
      <c r="I21" s="43" t="n"/>
      <c r="J21" s="38" t="n"/>
      <c r="K21" s="576" t="inlineStr">
        <is>
          <t>n/a</t>
        </is>
      </c>
      <c r="L21" s="1" t="inlineStr">
        <is>
          <t>Struttura</t>
        </is>
      </c>
      <c r="M21" s="43" t="n"/>
      <c r="N21" s="38" t="n"/>
      <c r="O21" s="595" t="n">
        <v>10851208</v>
      </c>
      <c r="P21" s="1" t="inlineStr">
        <is>
          <t>Struttura</t>
        </is>
      </c>
      <c r="Q21" s="44" t="n">
        <v>10573076</v>
      </c>
      <c r="R21" s="35" t="n"/>
      <c r="S21" s="607" t="n"/>
      <c r="T21" s="45" t="inlineStr">
        <is>
          <t>Struttura</t>
        </is>
      </c>
      <c r="U21" s="45" t="n"/>
      <c r="V21" s="42" t="n"/>
      <c r="W21" s="576" t="n"/>
      <c r="X21" s="1" t="inlineStr">
        <is>
          <t>Struttura</t>
        </is>
      </c>
      <c r="Y21" s="43" t="n"/>
      <c r="Z21" s="38" t="n"/>
    </row>
    <row r="22">
      <c r="A22" s="573" t="n"/>
      <c r="C22" s="570" t="n"/>
      <c r="D22" s="33" t="inlineStr">
        <is>
          <t>Archetto</t>
        </is>
      </c>
      <c r="E22" s="43" t="n"/>
      <c r="F22" s="38" t="n"/>
      <c r="G22" s="570" t="n"/>
      <c r="H22" s="1" t="inlineStr">
        <is>
          <t>Archetto</t>
        </is>
      </c>
      <c r="I22" s="43" t="n"/>
      <c r="J22" s="38" t="n"/>
      <c r="K22" s="570" t="n"/>
      <c r="L22" s="1" t="inlineStr">
        <is>
          <t>Archetto</t>
        </is>
      </c>
      <c r="M22" s="43" t="n"/>
      <c r="N22" s="38" t="n"/>
      <c r="O22" s="570" t="n"/>
      <c r="P22" s="1" t="inlineStr">
        <is>
          <t>Archetto</t>
        </is>
      </c>
      <c r="Q22" s="44" t="n">
        <v>10882275</v>
      </c>
      <c r="R22" s="35" t="inlineStr">
        <is>
          <t>Larghezza 1.950 mm</t>
        </is>
      </c>
      <c r="S22" s="570" t="n"/>
      <c r="T22" s="45" t="inlineStr">
        <is>
          <t>Archetto</t>
        </is>
      </c>
      <c r="U22" s="45" t="n"/>
      <c r="V22" s="42" t="n"/>
      <c r="W22" s="570" t="n"/>
      <c r="X22" s="1" t="inlineStr">
        <is>
          <t>Archetto</t>
        </is>
      </c>
      <c r="Y22" s="43" t="n"/>
      <c r="Z22" s="38" t="n"/>
    </row>
    <row r="23">
      <c r="A23" s="573" t="n"/>
      <c r="C23" s="570" t="n"/>
      <c r="D23" s="33" t="inlineStr">
        <is>
          <t>Strisciante</t>
        </is>
      </c>
      <c r="E23" s="43" t="n"/>
      <c r="F23" s="38" t="n"/>
      <c r="G23" s="570" t="n"/>
      <c r="H23" s="1" t="inlineStr">
        <is>
          <t>Strisciante</t>
        </is>
      </c>
      <c r="I23" s="43" t="n"/>
      <c r="J23" s="38" t="n"/>
      <c r="K23" s="570" t="n"/>
      <c r="L23" s="1" t="inlineStr">
        <is>
          <t>Strisciante</t>
        </is>
      </c>
      <c r="M23" s="43" t="n"/>
      <c r="N23" s="38" t="n"/>
      <c r="O23" s="570" t="n"/>
      <c r="P23" s="1" t="inlineStr">
        <is>
          <t>Strisciante</t>
        </is>
      </c>
      <c r="Q23" s="44" t="inlineStr">
        <is>
          <t>SK 2348</t>
        </is>
      </c>
      <c r="R23" s="35" t="n"/>
      <c r="S23" s="570" t="n"/>
      <c r="T23" s="45" t="inlineStr">
        <is>
          <t>Strisciante</t>
        </is>
      </c>
      <c r="U23" s="45" t="n"/>
      <c r="V23" s="42" t="n"/>
      <c r="W23" s="570" t="n"/>
      <c r="X23" s="1" t="inlineStr">
        <is>
          <t>Strisciante</t>
        </is>
      </c>
      <c r="Y23" s="43" t="n"/>
      <c r="Z23" s="38" t="n"/>
    </row>
    <row r="24">
      <c r="A24" s="573" t="n"/>
      <c r="B24" s="541" t="n"/>
      <c r="C24" s="571" t="n"/>
      <c r="D24" s="33" t="inlineStr">
        <is>
          <t>PCU</t>
        </is>
      </c>
      <c r="E24" s="43" t="n"/>
      <c r="F24" s="38" t="n"/>
      <c r="G24" s="571" t="n"/>
      <c r="H24" s="1" t="inlineStr">
        <is>
          <t>PCU</t>
        </is>
      </c>
      <c r="I24" s="43" t="n"/>
      <c r="J24" s="38" t="n"/>
      <c r="K24" s="571" t="n"/>
      <c r="L24" s="1" t="inlineStr">
        <is>
          <t>PCU</t>
        </is>
      </c>
      <c r="M24" s="43" t="n"/>
      <c r="N24" s="38" t="n"/>
      <c r="O24" s="571" t="n"/>
      <c r="P24" s="1" t="inlineStr">
        <is>
          <t>PPU</t>
        </is>
      </c>
      <c r="Q24" s="67" t="inlineStr">
        <is>
          <t>232C10353E</t>
        </is>
      </c>
      <c r="R24" s="69" t="inlineStr">
        <is>
          <t>PPU Modificata per agg.panto 1.5</t>
        </is>
      </c>
      <c r="S24" s="571" t="n"/>
      <c r="T24" s="45" t="inlineStr">
        <is>
          <t>PCU</t>
        </is>
      </c>
      <c r="U24" s="45" t="n"/>
      <c r="V24" s="42" t="n"/>
      <c r="W24" s="571" t="n"/>
      <c r="X24" s="1" t="inlineStr">
        <is>
          <t>PCU</t>
        </is>
      </c>
      <c r="Y24" s="43" t="n"/>
      <c r="Z24" s="38" t="n"/>
    </row>
    <row r="25">
      <c r="A25" s="573" t="n"/>
      <c r="B25" s="611" t="inlineStr">
        <is>
          <t>15 kV</t>
        </is>
      </c>
      <c r="C25" s="576" t="inlineStr">
        <is>
          <t>n/a</t>
        </is>
      </c>
      <c r="D25" s="33" t="inlineStr">
        <is>
          <t>Struttura</t>
        </is>
      </c>
      <c r="E25" s="43" t="n"/>
      <c r="F25" s="38" t="n"/>
      <c r="G25" s="576" t="inlineStr">
        <is>
          <t>n/a</t>
        </is>
      </c>
      <c r="H25" s="1" t="inlineStr">
        <is>
          <t>Struttura</t>
        </is>
      </c>
      <c r="I25" s="43" t="n"/>
      <c r="J25" s="38" t="n"/>
      <c r="K25" s="576" t="inlineStr">
        <is>
          <t>n/a</t>
        </is>
      </c>
      <c r="L25" s="1" t="inlineStr">
        <is>
          <t>Struttura</t>
        </is>
      </c>
      <c r="M25" s="43" t="n"/>
      <c r="N25" s="38" t="n"/>
      <c r="O25" s="624" t="n"/>
      <c r="P25" s="43" t="inlineStr">
        <is>
          <t>Struttura</t>
        </is>
      </c>
      <c r="Q25" s="43" t="n"/>
      <c r="R25" s="38" t="n"/>
      <c r="S25" s="621" t="n"/>
      <c r="T25" s="45" t="inlineStr">
        <is>
          <t>Struttura</t>
        </is>
      </c>
      <c r="U25" s="45" t="n"/>
      <c r="V25" s="42" t="n"/>
      <c r="W25" s="574" t="n"/>
      <c r="X25" s="1" t="inlineStr">
        <is>
          <t>Struttura</t>
        </is>
      </c>
      <c r="Y25" s="43" t="n"/>
      <c r="Z25" s="38" t="n"/>
    </row>
    <row r="26">
      <c r="A26" s="573" t="n"/>
      <c r="C26" s="570" t="n"/>
      <c r="D26" s="33" t="inlineStr">
        <is>
          <t>Archetto</t>
        </is>
      </c>
      <c r="E26" s="43" t="n"/>
      <c r="F26" s="38" t="n"/>
      <c r="G26" s="570" t="n"/>
      <c r="H26" s="1" t="inlineStr">
        <is>
          <t>Archetto</t>
        </is>
      </c>
      <c r="I26" s="43" t="n"/>
      <c r="J26" s="38" t="n"/>
      <c r="K26" s="570" t="n"/>
      <c r="L26" s="1" t="inlineStr">
        <is>
          <t>Archetto</t>
        </is>
      </c>
      <c r="M26" s="43" t="n"/>
      <c r="N26" s="38" t="n"/>
      <c r="O26" s="570" t="n"/>
      <c r="P26" s="43" t="inlineStr">
        <is>
          <t>Archetto</t>
        </is>
      </c>
      <c r="Q26" s="43" t="n"/>
      <c r="R26" s="38" t="n"/>
      <c r="S26" s="570" t="n"/>
      <c r="T26" s="45" t="inlineStr">
        <is>
          <t>Archetto</t>
        </is>
      </c>
      <c r="U26" s="45" t="n"/>
      <c r="V26" s="42" t="n"/>
      <c r="W26" s="570" t="n"/>
      <c r="X26" s="1" t="inlineStr">
        <is>
          <t>Archetto</t>
        </is>
      </c>
      <c r="Y26" s="43" t="n"/>
      <c r="Z26" s="38" t="n"/>
    </row>
    <row r="27">
      <c r="A27" s="573" t="n"/>
      <c r="C27" s="570" t="n"/>
      <c r="D27" s="33" t="inlineStr">
        <is>
          <t>Strisciante</t>
        </is>
      </c>
      <c r="E27" s="43" t="n"/>
      <c r="F27" s="38" t="n"/>
      <c r="G27" s="570" t="n"/>
      <c r="H27" s="1" t="inlineStr">
        <is>
          <t>Strisciante</t>
        </is>
      </c>
      <c r="I27" s="43" t="n"/>
      <c r="J27" s="38" t="n"/>
      <c r="K27" s="570" t="n"/>
      <c r="L27" s="1" t="inlineStr">
        <is>
          <t>Strisciante</t>
        </is>
      </c>
      <c r="M27" s="43" t="n"/>
      <c r="N27" s="38" t="n"/>
      <c r="O27" s="570" t="n"/>
      <c r="P27" s="43" t="inlineStr">
        <is>
          <t>Strisciante</t>
        </is>
      </c>
      <c r="Q27" s="43" t="n"/>
      <c r="R27" s="38" t="n"/>
      <c r="S27" s="570" t="n"/>
      <c r="T27" s="45" t="inlineStr">
        <is>
          <t>Strisciante</t>
        </is>
      </c>
      <c r="U27" s="45" t="n"/>
      <c r="V27" s="42" t="n"/>
      <c r="W27" s="570" t="n"/>
      <c r="X27" s="1" t="inlineStr">
        <is>
          <t>Strisciante</t>
        </is>
      </c>
      <c r="Y27" s="43" t="n"/>
      <c r="Z27" s="38" t="n"/>
    </row>
    <row r="28" ht="15.75" customHeight="1" s="583" thickBot="1">
      <c r="A28" s="609" t="n"/>
      <c r="B28" s="541" t="n"/>
      <c r="C28" s="571" t="n"/>
      <c r="D28" s="52" t="inlineStr">
        <is>
          <t>PCU</t>
        </is>
      </c>
      <c r="E28" s="56" t="n"/>
      <c r="F28" s="57" t="n"/>
      <c r="G28" s="571" t="n"/>
      <c r="H28" s="53" t="inlineStr">
        <is>
          <t>PCU</t>
        </is>
      </c>
      <c r="I28" s="56" t="n"/>
      <c r="J28" s="57" t="n"/>
      <c r="K28" s="571" t="n"/>
      <c r="L28" s="53" t="inlineStr">
        <is>
          <t>PCU</t>
        </is>
      </c>
      <c r="M28" s="56" t="n"/>
      <c r="N28" s="57" t="n"/>
      <c r="O28" s="575" t="n"/>
      <c r="P28" s="56" t="inlineStr">
        <is>
          <t>PPU</t>
        </is>
      </c>
      <c r="Q28" s="56" t="n"/>
      <c r="R28" s="57" t="n"/>
      <c r="S28" s="575" t="n"/>
      <c r="T28" s="59" t="inlineStr">
        <is>
          <t>PCU</t>
        </is>
      </c>
      <c r="U28" s="59" t="n"/>
      <c r="V28" s="60" t="n"/>
      <c r="W28" s="575" t="n"/>
      <c r="X28" s="53" t="inlineStr">
        <is>
          <t>PCU</t>
        </is>
      </c>
      <c r="Y28" s="56" t="n"/>
      <c r="Z28" s="57" t="n"/>
    </row>
    <row r="29" ht="101.45" customHeight="1" s="583">
      <c r="A29" s="591" t="inlineStr">
        <is>
          <t>TCMS Hardware</t>
        </is>
      </c>
      <c r="B29" s="591" t="inlineStr">
        <is>
          <t>LV</t>
        </is>
      </c>
      <c r="C29" s="76" t="n"/>
      <c r="D29" s="77" t="inlineStr">
        <is>
          <t>CCU-O</t>
        </is>
      </c>
      <c r="E29" s="61" t="inlineStr">
        <is>
          <t>3EST000225-5707</t>
        </is>
      </c>
      <c r="F29" s="63" t="n"/>
      <c r="G29" s="76" t="n"/>
      <c r="H29" s="77" t="inlineStr">
        <is>
          <t>CCU-O</t>
        </is>
      </c>
      <c r="I29" s="61" t="inlineStr">
        <is>
          <t>3EST000225-5707</t>
        </is>
      </c>
      <c r="J29" s="63" t="n"/>
      <c r="K29" s="76" t="n"/>
      <c r="L29" s="77" t="inlineStr">
        <is>
          <t>CCU-O</t>
        </is>
      </c>
      <c r="M29" s="618" t="inlineStr">
        <is>
          <t>Nuova architettura Full Ethernet</t>
        </is>
      </c>
      <c r="N29" s="603" t="n"/>
      <c r="O29" s="76" t="n"/>
      <c r="P29" s="77" t="inlineStr">
        <is>
          <t>CCU-O</t>
        </is>
      </c>
      <c r="Q29" s="61" t="inlineStr">
        <is>
          <t>3EST000225-5707</t>
        </is>
      </c>
      <c r="R29" s="63" t="n"/>
      <c r="S29" s="76" t="n"/>
      <c r="T29" s="77" t="inlineStr">
        <is>
          <t>CCU-O</t>
        </is>
      </c>
      <c r="U29" s="61" t="inlineStr">
        <is>
          <t>3EST000225-5707</t>
        </is>
      </c>
      <c r="V29" s="63" t="n"/>
      <c r="W29" s="551" t="n"/>
      <c r="X29" s="77" t="inlineStr">
        <is>
          <t>CCU-O</t>
        </is>
      </c>
      <c r="Y29" s="61" t="inlineStr">
        <is>
          <t>3EST000236-6235</t>
        </is>
      </c>
      <c r="Z29" s="79" t="inlineStr">
        <is>
          <t>Higher performances and longer spare parts support</t>
        </is>
      </c>
    </row>
    <row r="30">
      <c r="A30" s="573" t="n"/>
      <c r="B30" s="573" t="n"/>
      <c r="C30" s="80" t="n"/>
      <c r="D30" s="81" t="inlineStr">
        <is>
          <t>CCU-S</t>
        </is>
      </c>
      <c r="E30" s="1" t="inlineStr">
        <is>
          <t>3EST000221-6430</t>
        </is>
      </c>
      <c r="F30" s="35" t="n"/>
      <c r="G30" s="80" t="n"/>
      <c r="H30" s="81" t="inlineStr">
        <is>
          <t>CCU-S</t>
        </is>
      </c>
      <c r="I30" s="1" t="inlineStr">
        <is>
          <t>3EST000221-6430</t>
        </is>
      </c>
      <c r="J30" s="35" t="n"/>
      <c r="K30" s="80" t="n"/>
      <c r="L30" s="81" t="inlineStr">
        <is>
          <t>CCU-S</t>
        </is>
      </c>
      <c r="M30" s="619" t="n"/>
      <c r="N30" s="584" t="n"/>
      <c r="O30" s="80" t="n"/>
      <c r="P30" s="81" t="inlineStr">
        <is>
          <t>CCU-S</t>
        </is>
      </c>
      <c r="Q30" s="1" t="inlineStr">
        <is>
          <t>3EST000221-6430</t>
        </is>
      </c>
      <c r="R30" s="35" t="n"/>
      <c r="S30" s="80" t="n"/>
      <c r="T30" s="81" t="inlineStr">
        <is>
          <t>CCU-S</t>
        </is>
      </c>
      <c r="U30" s="1" t="inlineStr">
        <is>
          <t>3EST000221-6430</t>
        </is>
      </c>
      <c r="V30" s="35" t="n"/>
      <c r="W30" s="529" t="n"/>
      <c r="X30" s="81" t="inlineStr">
        <is>
          <t>CCU-S</t>
        </is>
      </c>
      <c r="Y30" s="1" t="inlineStr">
        <is>
          <t>3EST000232-1990</t>
        </is>
      </c>
      <c r="Z30" s="35" t="n"/>
    </row>
    <row r="31" ht="144.6" customHeight="1" s="583">
      <c r="A31" s="573" t="n"/>
      <c r="B31" s="592" t="n"/>
      <c r="C31" s="80" t="n"/>
      <c r="D31" s="82" t="inlineStr">
        <is>
          <t>MIO-S</t>
        </is>
      </c>
      <c r="E31" s="46" t="inlineStr">
        <is>
          <t>3EST000228-0629
3EST000228-3395
3EST000228-3394</t>
        </is>
      </c>
      <c r="F31" s="35" t="n"/>
      <c r="G31" s="80" t="n"/>
      <c r="H31" s="82" t="inlineStr">
        <is>
          <t>MIO-S</t>
        </is>
      </c>
      <c r="I31" s="83" t="inlineStr">
        <is>
          <t>3EST000230-5830
3EST000230-5833
3EST000228-3394</t>
        </is>
      </c>
      <c r="J31" s="84" t="inlineStr">
        <is>
          <t>Sell no more supported for new projects due to internal component out of production (legacy only)</t>
        </is>
      </c>
      <c r="K31" s="80" t="n"/>
      <c r="L31" s="82" t="inlineStr">
        <is>
          <t>MIO-S</t>
        </is>
      </c>
      <c r="M31" s="619" t="n"/>
      <c r="N31" s="584" t="n"/>
      <c r="O31" s="80" t="n"/>
      <c r="P31" s="82" t="inlineStr">
        <is>
          <t>MIO-S</t>
        </is>
      </c>
      <c r="Q31" s="85" t="inlineStr">
        <is>
          <t>3EST000228-0629
3EST000228-3395
3EST000228-3394</t>
        </is>
      </c>
      <c r="R31" s="35" t="n"/>
      <c r="S31" s="80" t="n"/>
      <c r="T31" s="82" t="inlineStr">
        <is>
          <t>MIO-S</t>
        </is>
      </c>
      <c r="U31" s="85" t="inlineStr">
        <is>
          <t>3EST000228-0629
3EST000228-3395
3EST000228-3394</t>
        </is>
      </c>
      <c r="V31" s="35" t="n"/>
      <c r="W31" s="529" t="n"/>
      <c r="X31" s="82" t="inlineStr">
        <is>
          <t>MIO-S</t>
        </is>
      </c>
      <c r="Y31" s="86" t="inlineStr">
        <is>
          <t>3EST000230-5830
3EST000230-5833
3EST000228-3394</t>
        </is>
      </c>
      <c r="Z31" s="87" t="inlineStr">
        <is>
          <t>Sell no more supported for new projects due to internal component out of production (legacy only)</t>
        </is>
      </c>
    </row>
    <row r="32" ht="29.1" customHeight="1" s="583">
      <c r="A32" s="573" t="n"/>
      <c r="B32" s="590" t="inlineStr">
        <is>
          <t>Teledia</t>
        </is>
      </c>
      <c r="C32" s="80" t="n"/>
      <c r="D32" s="82" t="inlineStr">
        <is>
          <t>MCG</t>
        </is>
      </c>
      <c r="E32" s="46" t="inlineStr">
        <is>
          <t>3EST000225-7169</t>
        </is>
      </c>
      <c r="F32" s="35" t="n"/>
      <c r="G32" s="80" t="n"/>
      <c r="H32" s="82" t="inlineStr">
        <is>
          <t>MCG</t>
        </is>
      </c>
      <c r="I32" s="88" t="inlineStr">
        <is>
          <t>3EST000234-1560</t>
        </is>
      </c>
      <c r="J32" s="69" t="inlineStr">
        <is>
          <t>additional LTE connection</t>
        </is>
      </c>
      <c r="K32" s="80" t="n"/>
      <c r="L32" s="82" t="inlineStr">
        <is>
          <t>MCG</t>
        </is>
      </c>
      <c r="M32" s="619" t="n"/>
      <c r="N32" s="584" t="n"/>
      <c r="O32" s="80" t="n"/>
      <c r="P32" s="82" t="inlineStr">
        <is>
          <t>MCG</t>
        </is>
      </c>
      <c r="Q32" s="46" t="inlineStr">
        <is>
          <t>3EST000225-7169</t>
        </is>
      </c>
      <c r="R32" s="35" t="n"/>
      <c r="S32" s="80" t="n"/>
      <c r="T32" s="82" t="inlineStr">
        <is>
          <t>MCG</t>
        </is>
      </c>
      <c r="U32" s="46" t="inlineStr">
        <is>
          <t>3EST000225-7169</t>
        </is>
      </c>
      <c r="V32" s="35" t="n"/>
      <c r="W32" s="529" t="n"/>
      <c r="X32" s="82" t="inlineStr">
        <is>
          <t>MCG</t>
        </is>
      </c>
      <c r="Y32" s="1" t="inlineStr">
        <is>
          <t>3EST000234-1560</t>
        </is>
      </c>
      <c r="Z32" s="69" t="inlineStr">
        <is>
          <t>additional LTE connection</t>
        </is>
      </c>
    </row>
    <row r="33">
      <c r="A33" s="573" t="n"/>
      <c r="B33" s="611" t="inlineStr">
        <is>
          <t>Monitor</t>
        </is>
      </c>
      <c r="C33" s="80" t="n"/>
      <c r="D33" s="81" t="inlineStr">
        <is>
          <t>IDU</t>
        </is>
      </c>
      <c r="E33" s="1" t="inlineStr">
        <is>
          <t>3EST000223-8802</t>
        </is>
      </c>
      <c r="F33" s="35" t="n"/>
      <c r="G33" s="80" t="n"/>
      <c r="H33" s="81" t="inlineStr">
        <is>
          <t>IDU</t>
        </is>
      </c>
      <c r="I33" s="1" t="inlineStr">
        <is>
          <t>3EST000223-8802</t>
        </is>
      </c>
      <c r="J33" s="35" t="n"/>
      <c r="K33" s="80" t="n"/>
      <c r="L33" s="81" t="inlineStr">
        <is>
          <t>IDU/TOD</t>
        </is>
      </c>
      <c r="M33" s="619" t="n"/>
      <c r="N33" s="584" t="n"/>
      <c r="O33" s="80" t="n"/>
      <c r="P33" s="81" t="inlineStr">
        <is>
          <t>IDU</t>
        </is>
      </c>
      <c r="Q33" s="1" t="inlineStr">
        <is>
          <t>3EST000223-8802</t>
        </is>
      </c>
      <c r="R33" s="35" t="n"/>
      <c r="S33" s="80" t="n"/>
      <c r="T33" s="81" t="inlineStr">
        <is>
          <t>IDU</t>
        </is>
      </c>
      <c r="U33" s="1" t="inlineStr">
        <is>
          <t>3EST000223-8802</t>
        </is>
      </c>
      <c r="V33" s="35" t="n"/>
      <c r="W33" s="529" t="n"/>
      <c r="X33" s="81" t="inlineStr">
        <is>
          <t>IDU</t>
        </is>
      </c>
      <c r="Y33" s="1" t="inlineStr">
        <is>
          <t>3EST000223-8802</t>
        </is>
      </c>
      <c r="Z33" s="35" t="n"/>
    </row>
    <row r="34" ht="14.45" customHeight="1" s="583">
      <c r="A34" s="573" t="n"/>
      <c r="B34" s="572" t="inlineStr">
        <is>
          <t>Bus</t>
        </is>
      </c>
      <c r="C34" s="80" t="n"/>
      <c r="D34" s="81" t="inlineStr">
        <is>
          <t>T Repeater</t>
        </is>
      </c>
      <c r="E34" s="1" t="inlineStr">
        <is>
          <t>3EST000212-3010</t>
        </is>
      </c>
      <c r="F34" s="35" t="n"/>
      <c r="G34" s="80" t="n"/>
      <c r="H34" s="81" t="inlineStr">
        <is>
          <t>T Repeater</t>
        </is>
      </c>
      <c r="I34" s="88" t="inlineStr">
        <is>
          <t>3EST000236-6770</t>
        </is>
      </c>
      <c r="J34" s="612" t="inlineStr">
        <is>
          <t>Sell no more supported for new projects due to internal component out of production (legacy only)</t>
        </is>
      </c>
      <c r="K34" s="80" t="n"/>
      <c r="L34" s="81" t="inlineStr">
        <is>
          <t>T Repeater</t>
        </is>
      </c>
      <c r="M34" s="619" t="n"/>
      <c r="N34" s="584" t="n"/>
      <c r="O34" s="80" t="n"/>
      <c r="P34" s="81" t="inlineStr">
        <is>
          <t>T Repeater</t>
        </is>
      </c>
      <c r="Q34" s="1" t="inlineStr">
        <is>
          <t>3EST000212-3010</t>
        </is>
      </c>
      <c r="R34" s="35" t="n"/>
      <c r="S34" s="80" t="n"/>
      <c r="T34" s="81" t="inlineStr">
        <is>
          <t>T Repeater</t>
        </is>
      </c>
      <c r="U34" s="1" t="inlineStr">
        <is>
          <t>3EST000212-3010</t>
        </is>
      </c>
      <c r="V34" s="35" t="n"/>
      <c r="W34" s="529" t="n"/>
      <c r="X34" s="81" t="inlineStr">
        <is>
          <t>T Repeater</t>
        </is>
      </c>
      <c r="Y34" s="1" t="inlineStr">
        <is>
          <t>3EST000236-6770</t>
        </is>
      </c>
      <c r="Z34" s="612" t="inlineStr">
        <is>
          <t>Sell no more supported for new projects due to internal component out of production (legacy only)</t>
        </is>
      </c>
    </row>
    <row r="35">
      <c r="A35" s="573" t="n"/>
      <c r="B35" s="573" t="n"/>
      <c r="C35" s="80" t="n"/>
      <c r="D35" s="81" t="inlineStr">
        <is>
          <t>T Switch</t>
        </is>
      </c>
      <c r="E35" s="1" t="inlineStr">
        <is>
          <t>3EST000212-3000</t>
        </is>
      </c>
      <c r="F35" s="35" t="n"/>
      <c r="G35" s="80" t="n"/>
      <c r="H35" s="81" t="inlineStr">
        <is>
          <t>T Switch</t>
        </is>
      </c>
      <c r="I35" s="88" t="inlineStr">
        <is>
          <t>3EST000236-6769</t>
        </is>
      </c>
      <c r="J35" s="613" t="n"/>
      <c r="K35" s="80" t="n"/>
      <c r="L35" s="81" t="inlineStr">
        <is>
          <t>T Switch</t>
        </is>
      </c>
      <c r="M35" s="619" t="n"/>
      <c r="N35" s="584" t="n"/>
      <c r="O35" s="80" t="n"/>
      <c r="P35" s="81" t="inlineStr">
        <is>
          <t>T Switch</t>
        </is>
      </c>
      <c r="Q35" s="1" t="inlineStr">
        <is>
          <t>3EST000212-3000</t>
        </is>
      </c>
      <c r="R35" s="35" t="n"/>
      <c r="S35" s="80" t="n"/>
      <c r="T35" s="81" t="inlineStr">
        <is>
          <t>T Switch</t>
        </is>
      </c>
      <c r="U35" s="1" t="inlineStr">
        <is>
          <t>3EST000212-3000</t>
        </is>
      </c>
      <c r="V35" s="35" t="n"/>
      <c r="W35" s="529" t="n"/>
      <c r="X35" s="81" t="inlineStr">
        <is>
          <t>T Switch</t>
        </is>
      </c>
      <c r="Y35" s="1" t="inlineStr">
        <is>
          <t>3EST000236-6769</t>
        </is>
      </c>
      <c r="Z35" s="613" t="n"/>
    </row>
    <row r="36" ht="15.75" customHeight="1" s="583" thickBot="1">
      <c r="A36" s="592" t="n"/>
      <c r="B36" s="573" t="n"/>
      <c r="C36" s="89" t="n"/>
      <c r="D36" s="90" t="inlineStr">
        <is>
          <t>R Switch</t>
        </is>
      </c>
      <c r="E36" s="91" t="inlineStr">
        <is>
          <t>3EST000225-7297</t>
        </is>
      </c>
      <c r="F36" s="92" t="n"/>
      <c r="G36" s="89" t="n"/>
      <c r="H36" s="90" t="inlineStr">
        <is>
          <t>R Switch</t>
        </is>
      </c>
      <c r="I36" s="93" t="inlineStr">
        <is>
          <t>3EST000234-7837</t>
        </is>
      </c>
      <c r="J36" s="613" t="n"/>
      <c r="K36" s="89" t="n"/>
      <c r="L36" s="90" t="inlineStr">
        <is>
          <t>R Switch</t>
        </is>
      </c>
      <c r="M36" s="620" t="n"/>
      <c r="N36" s="587" t="n"/>
      <c r="O36" s="89" t="n"/>
      <c r="P36" s="90" t="inlineStr">
        <is>
          <t>R Switch</t>
        </is>
      </c>
      <c r="Q36" s="91" t="inlineStr">
        <is>
          <t>3EST000225-7297</t>
        </is>
      </c>
      <c r="R36" s="92" t="n"/>
      <c r="S36" s="89" t="n"/>
      <c r="T36" s="90" t="inlineStr">
        <is>
          <t>R Switch</t>
        </is>
      </c>
      <c r="U36" s="91" t="inlineStr">
        <is>
          <t>3EST000225-7297</t>
        </is>
      </c>
      <c r="V36" s="92" t="n"/>
      <c r="W36" s="556" t="n"/>
      <c r="X36" s="90" t="inlineStr">
        <is>
          <t>R Switch</t>
        </is>
      </c>
      <c r="Y36" s="91" t="inlineStr">
        <is>
          <t>3EST000234-7837</t>
        </is>
      </c>
      <c r="Z36" s="613" t="n"/>
    </row>
    <row r="37" ht="15.75" customHeight="1" s="583" thickBot="1">
      <c r="A37" s="66" t="inlineStr">
        <is>
          <t>Energy Meter</t>
        </is>
      </c>
      <c r="B37" s="16" t="inlineStr">
        <is>
          <t>Tipo</t>
        </is>
      </c>
      <c r="C37" s="579" t="inlineStr">
        <is>
          <t>n/a</t>
        </is>
      </c>
      <c r="D37" s="567" t="n"/>
      <c r="E37" s="567" t="n"/>
      <c r="F37" s="568" t="n"/>
      <c r="G37" s="579" t="inlineStr">
        <is>
          <t>n/a</t>
        </is>
      </c>
      <c r="H37" s="567" t="n"/>
      <c r="I37" s="567" t="n"/>
      <c r="J37" s="568" t="n"/>
      <c r="K37" s="589" t="inlineStr">
        <is>
          <t>EMS Microelettrica  integrato con TCMS</t>
        </is>
      </c>
      <c r="L37" s="567" t="n"/>
      <c r="M37" s="567" t="n"/>
      <c r="N37" s="568" t="n"/>
      <c r="O37" s="589" t="inlineStr">
        <is>
          <t>EMS Microelettrica non integrato con TCMS</t>
        </is>
      </c>
      <c r="P37" s="567" t="n"/>
      <c r="Q37" s="567" t="n"/>
      <c r="R37" s="568" t="n"/>
      <c r="S37" s="589" t="inlineStr">
        <is>
          <t>EMS Alstom  integrato con TCMS</t>
        </is>
      </c>
      <c r="T37" s="567" t="n"/>
      <c r="U37" s="567" t="n"/>
      <c r="V37" s="568" t="n"/>
      <c r="W37" s="589" t="inlineStr">
        <is>
          <t>EMS Alstom  integrato con TCMS</t>
        </is>
      </c>
      <c r="X37" s="567" t="n"/>
      <c r="Y37" s="567" t="n"/>
      <c r="Z37" s="568" t="n"/>
    </row>
    <row r="38" ht="87" customHeight="1" s="583">
      <c r="A38" s="591" t="inlineStr">
        <is>
          <t>Freno</t>
        </is>
      </c>
      <c r="B38" s="565" t="inlineStr">
        <is>
          <t>Centraline</t>
        </is>
      </c>
      <c r="C38" s="76" t="n"/>
      <c r="D38" s="95" t="inlineStr">
        <is>
          <t>BCU</t>
        </is>
      </c>
      <c r="E38" s="96" t="inlineStr">
        <is>
          <t>FT0024971-100 (DM)
FT0028492-100 (TT)</t>
        </is>
      </c>
      <c r="F38" s="63" t="n"/>
      <c r="G38" s="76" t="n"/>
      <c r="H38" s="95" t="inlineStr">
        <is>
          <t>BCU</t>
        </is>
      </c>
      <c r="I38" s="96" t="inlineStr">
        <is>
          <t>FT0024971-100 (DM)
FT0028492-100 (TT)</t>
        </is>
      </c>
      <c r="J38" s="63" t="n"/>
      <c r="K38" s="76" t="n"/>
      <c r="L38" s="95" t="inlineStr">
        <is>
          <t>BCU</t>
        </is>
      </c>
      <c r="M38" s="61" t="n"/>
      <c r="N38" s="63" t="n"/>
      <c r="O38" s="76" t="n"/>
      <c r="P38" s="95" t="inlineStr">
        <is>
          <t>BCU</t>
        </is>
      </c>
      <c r="Q38" s="96" t="inlineStr">
        <is>
          <t>FT0024971-100 (DM)
FT0028492-100 (TT)</t>
        </is>
      </c>
      <c r="R38" s="63" t="n"/>
      <c r="S38" s="76" t="n"/>
      <c r="T38" s="95" t="inlineStr">
        <is>
          <t>BCU</t>
        </is>
      </c>
      <c r="U38" s="96" t="inlineStr">
        <is>
          <t>FT0024971-100 (DM)
FT0028492-100 (TT)</t>
        </is>
      </c>
      <c r="V38" s="63" t="n"/>
      <c r="W38" s="76" t="n"/>
      <c r="X38" s="95" t="inlineStr">
        <is>
          <t>BCU</t>
        </is>
      </c>
      <c r="Y38" s="61" t="n"/>
      <c r="Z38" s="63" t="n"/>
    </row>
    <row r="39" ht="101.45" customHeight="1" s="583">
      <c r="A39" s="573" t="n"/>
      <c r="B39" s="541" t="n"/>
      <c r="C39" s="80" t="n"/>
      <c r="D39" s="33" t="inlineStr">
        <is>
          <t>WSP</t>
        </is>
      </c>
      <c r="E39" s="46" t="inlineStr">
        <is>
          <t xml:space="preserve">FT0024963-100 (DM)
FT0024967-100 (TT)
</t>
        </is>
      </c>
      <c r="F39" s="35" t="n"/>
      <c r="G39" s="80" t="n"/>
      <c r="H39" s="33" t="inlineStr">
        <is>
          <t>WSP</t>
        </is>
      </c>
      <c r="I39" s="46" t="inlineStr">
        <is>
          <t xml:space="preserve">FT0024963-100 (DM)
FT0024967-100 (TT)
</t>
        </is>
      </c>
      <c r="J39" s="35" t="n"/>
      <c r="K39" s="80" t="n"/>
      <c r="L39" s="33" t="inlineStr">
        <is>
          <t>WSP</t>
        </is>
      </c>
      <c r="M39" s="1" t="n"/>
      <c r="N39" s="35" t="n"/>
      <c r="O39" s="80" t="n"/>
      <c r="P39" s="33" t="inlineStr">
        <is>
          <t>WSP</t>
        </is>
      </c>
      <c r="Q39" s="46" t="inlineStr">
        <is>
          <t xml:space="preserve">FT0024963-100 (DM)
FT0024967-100 (TT)
</t>
        </is>
      </c>
      <c r="R39" s="35" t="n"/>
      <c r="S39" s="80" t="n"/>
      <c r="T39" s="33" t="inlineStr">
        <is>
          <t>WSP</t>
        </is>
      </c>
      <c r="U39" s="46" t="inlineStr">
        <is>
          <t xml:space="preserve">FT0024963-100 (DM)
FT0024967-100 (TT)
</t>
        </is>
      </c>
      <c r="V39" s="35" t="n"/>
      <c r="W39" s="80" t="n"/>
      <c r="X39" s="33" t="inlineStr">
        <is>
          <t>WSP</t>
        </is>
      </c>
      <c r="Y39" s="1" t="n"/>
      <c r="Z39" s="35" t="n"/>
    </row>
    <row r="40">
      <c r="A40" s="573" t="n"/>
      <c r="B40" s="588" t="inlineStr">
        <is>
          <t>Pneumatica</t>
        </is>
      </c>
      <c r="C40" s="80" t="n"/>
      <c r="D40" s="33" t="inlineStr">
        <is>
          <t>Distributore</t>
        </is>
      </c>
      <c r="E40" s="97" t="inlineStr">
        <is>
          <t>SW4 COD. 726 43V S1 10</t>
        </is>
      </c>
      <c r="F40" s="35" t="n"/>
      <c r="G40" s="80" t="n"/>
      <c r="H40" s="33" t="inlineStr">
        <is>
          <t>Distributore</t>
        </is>
      </c>
      <c r="I40" s="97" t="inlineStr">
        <is>
          <t>SW4 COD. 726 43V S1 10</t>
        </is>
      </c>
      <c r="J40" s="35" t="n"/>
      <c r="K40" s="80" t="n"/>
      <c r="L40" s="33" t="inlineStr">
        <is>
          <t>Distributore</t>
        </is>
      </c>
      <c r="M40" s="1" t="n"/>
      <c r="N40" s="35" t="n"/>
      <c r="O40" s="80" t="n"/>
      <c r="P40" s="33" t="inlineStr">
        <is>
          <t>Distributore</t>
        </is>
      </c>
      <c r="Q40" s="97" t="inlineStr">
        <is>
          <t>SW4 COD. 726 43V S1 10</t>
        </is>
      </c>
      <c r="R40" s="35" t="n"/>
      <c r="S40" s="80" t="n"/>
      <c r="T40" s="33" t="inlineStr">
        <is>
          <t>Distributore</t>
        </is>
      </c>
      <c r="U40" s="97" t="inlineStr">
        <is>
          <t>SW4 COD. 726 43V S1 10</t>
        </is>
      </c>
      <c r="V40" s="35" t="n"/>
      <c r="W40" s="80" t="n"/>
      <c r="X40" s="33" t="inlineStr">
        <is>
          <t>Distributore</t>
        </is>
      </c>
      <c r="Y40" s="1" t="n"/>
      <c r="Z40" s="35" t="n"/>
    </row>
    <row r="41">
      <c r="A41" s="573" t="n"/>
      <c r="B41" s="582" t="n"/>
      <c r="C41" s="80" t="n"/>
      <c r="D41" s="33" t="inlineStr">
        <is>
          <t>DBV</t>
        </is>
      </c>
      <c r="E41" s="1" t="inlineStr">
        <is>
          <t>FT0022875-100</t>
        </is>
      </c>
      <c r="F41" s="35" t="n"/>
      <c r="G41" s="80" t="n"/>
      <c r="H41" s="33" t="inlineStr">
        <is>
          <t>DBV</t>
        </is>
      </c>
      <c r="I41" s="1" t="inlineStr">
        <is>
          <t>FT0022875-100</t>
        </is>
      </c>
      <c r="J41" s="35" t="n"/>
      <c r="K41" s="80" t="n"/>
      <c r="L41" s="33" t="inlineStr">
        <is>
          <t>DBV</t>
        </is>
      </c>
      <c r="M41" s="1" t="n"/>
      <c r="N41" s="35" t="n"/>
      <c r="O41" s="80" t="n"/>
      <c r="P41" s="33" t="inlineStr">
        <is>
          <t>DBV</t>
        </is>
      </c>
      <c r="Q41" s="1" t="inlineStr">
        <is>
          <t>FT0022875-100</t>
        </is>
      </c>
      <c r="R41" s="35" t="n"/>
      <c r="S41" s="80" t="n"/>
      <c r="T41" s="33" t="inlineStr">
        <is>
          <t>DBV</t>
        </is>
      </c>
      <c r="U41" s="1" t="inlineStr">
        <is>
          <t>FT0022875-100</t>
        </is>
      </c>
      <c r="V41" s="35" t="n"/>
      <c r="W41" s="80" t="n"/>
      <c r="X41" s="33" t="inlineStr">
        <is>
          <t>DBV</t>
        </is>
      </c>
      <c r="Y41" s="1" t="n"/>
      <c r="Z41" s="35" t="n"/>
    </row>
    <row r="42" ht="15.75" customHeight="1" s="583" thickBot="1">
      <c r="A42" s="592" t="n"/>
      <c r="B42" s="585" t="n"/>
      <c r="C42" s="89" t="n"/>
      <c r="D42" s="98" t="inlineStr">
        <is>
          <t>Dump V. WSP</t>
        </is>
      </c>
      <c r="E42" s="91" t="inlineStr">
        <is>
          <t>FT0023704-103</t>
        </is>
      </c>
      <c r="F42" s="54" t="inlineStr">
        <is>
          <t>DV-17</t>
        </is>
      </c>
      <c r="G42" s="99" t="n"/>
      <c r="H42" s="52" t="inlineStr">
        <is>
          <t>Dump V. WSP</t>
        </is>
      </c>
      <c r="I42" s="91" t="inlineStr">
        <is>
          <t>FT0023704-103</t>
        </is>
      </c>
      <c r="J42" s="54" t="inlineStr">
        <is>
          <t>DV-17</t>
        </is>
      </c>
      <c r="K42" s="99" t="n"/>
      <c r="L42" s="52" t="inlineStr">
        <is>
          <t>Dump V. WSP</t>
        </is>
      </c>
      <c r="M42" s="53" t="inlineStr">
        <is>
          <t>FT0126050-100</t>
        </is>
      </c>
      <c r="N42" s="54" t="inlineStr">
        <is>
          <t>DV-12 Double Coil</t>
        </is>
      </c>
      <c r="O42" s="99" t="n"/>
      <c r="P42" s="52" t="inlineStr">
        <is>
          <t>Dump V. WSP</t>
        </is>
      </c>
      <c r="Q42" s="91" t="inlineStr">
        <is>
          <t>FT0023704-103</t>
        </is>
      </c>
      <c r="R42" s="54" t="inlineStr">
        <is>
          <t>DV-17</t>
        </is>
      </c>
      <c r="S42" s="99" t="n"/>
      <c r="T42" s="52" t="inlineStr">
        <is>
          <t>Dump V. WSP</t>
        </is>
      </c>
      <c r="U42" s="53" t="inlineStr">
        <is>
          <t>FT0126050-100</t>
        </is>
      </c>
      <c r="V42" s="54" t="inlineStr">
        <is>
          <t>DV-12 Double Coil</t>
        </is>
      </c>
      <c r="W42" s="99" t="n"/>
      <c r="X42" s="52" t="inlineStr">
        <is>
          <t>Dump V. WSP</t>
        </is>
      </c>
      <c r="Y42" s="53" t="inlineStr">
        <is>
          <t>FT0126050-100</t>
        </is>
      </c>
      <c r="Z42" s="54" t="inlineStr">
        <is>
          <t>DV-12 Double Coil</t>
        </is>
      </c>
    </row>
    <row r="43">
      <c r="A43" s="591" t="inlineStr">
        <is>
          <t>PRM</t>
        </is>
      </c>
      <c r="B43" s="565" t="inlineStr">
        <is>
          <t>Toilet</t>
        </is>
      </c>
      <c r="C43" s="601" t="inlineStr">
        <is>
          <t>Toilet Production HK standard flotta base</t>
        </is>
      </c>
      <c r="D43" s="602" t="n"/>
      <c r="E43" s="602" t="n"/>
      <c r="F43" s="603" t="n"/>
      <c r="G43" s="601" t="inlineStr">
        <is>
          <t>Toilet Production HK standard flotta base</t>
        </is>
      </c>
      <c r="H43" s="602" t="n"/>
      <c r="I43" s="602" t="n"/>
      <c r="J43" s="603" t="n"/>
      <c r="K43" s="601" t="inlineStr">
        <is>
          <t>Toilet Production HK - conf. NRD Spagna + STI PRM 2019</t>
        </is>
      </c>
      <c r="L43" s="602" t="n"/>
      <c r="M43" s="602" t="n"/>
      <c r="N43" s="603" t="n"/>
      <c r="O43" s="601" t="inlineStr">
        <is>
          <t>Toilet Production HK standard flotta base</t>
        </is>
      </c>
      <c r="P43" s="602" t="n"/>
      <c r="Q43" s="602" t="n"/>
      <c r="R43" s="603" t="n"/>
      <c r="S43" s="601" t="inlineStr">
        <is>
          <t>Toilet Production HK standard flotta base</t>
        </is>
      </c>
      <c r="T43" s="602" t="n"/>
      <c r="U43" s="602" t="n"/>
      <c r="V43" s="603" t="n"/>
      <c r="W43" s="601" t="inlineStr">
        <is>
          <t>Toilet Production HK - conf. NRD Spagna + STI PRM 2019</t>
        </is>
      </c>
      <c r="X43" s="602" t="n"/>
      <c r="Y43" s="602" t="n"/>
      <c r="Z43" s="603" t="n"/>
    </row>
    <row r="44">
      <c r="A44" s="573" t="n"/>
      <c r="B44" s="541" t="n"/>
      <c r="C44" s="604" t="n"/>
      <c r="D44" s="541" t="n"/>
      <c r="E44" s="541" t="n"/>
      <c r="F44" s="605" t="n"/>
      <c r="G44" s="604" t="n"/>
      <c r="H44" s="541" t="n"/>
      <c r="I44" s="541" t="n"/>
      <c r="J44" s="605" t="n"/>
      <c r="K44" s="604" t="n"/>
      <c r="L44" s="541" t="n"/>
      <c r="M44" s="541" t="n"/>
      <c r="N44" s="605" t="n"/>
      <c r="O44" s="604" t="n"/>
      <c r="P44" s="541" t="n"/>
      <c r="Q44" s="541" t="n"/>
      <c r="R44" s="605" t="n"/>
      <c r="S44" s="604" t="n"/>
      <c r="T44" s="541" t="n"/>
      <c r="U44" s="541" t="n"/>
      <c r="V44" s="605" t="n"/>
      <c r="W44" s="604" t="n"/>
      <c r="X44" s="541" t="n"/>
      <c r="Y44" s="541" t="n"/>
      <c r="Z44" s="605" t="n"/>
    </row>
    <row r="45">
      <c r="A45" s="573" t="n"/>
      <c r="B45" s="588" t="inlineStr">
        <is>
          <t>Lift</t>
        </is>
      </c>
      <c r="C45" s="580" t="inlineStr">
        <is>
          <t>Lift HK standard flotta base azionamento idraulico</t>
        </is>
      </c>
      <c r="D45" s="561" t="n"/>
      <c r="E45" s="561" t="n"/>
      <c r="F45" s="581" t="n"/>
      <c r="G45" s="580" t="inlineStr">
        <is>
          <t>Lift HK standard flotta base azionamento idraulico</t>
        </is>
      </c>
      <c r="H45" s="561" t="n"/>
      <c r="I45" s="561" t="n"/>
      <c r="J45" s="581" t="n"/>
      <c r="K45" s="615" t="inlineStr">
        <is>
          <t>Lift HK STI PRM 2019 (pedana più grande, azionamento elettrico)</t>
        </is>
      </c>
      <c r="L45" s="561" t="n"/>
      <c r="M45" s="561" t="n"/>
      <c r="N45" s="581" t="n"/>
      <c r="O45" s="580" t="inlineStr">
        <is>
          <t>Lift HK standard flotta base azionamento idraulico</t>
        </is>
      </c>
      <c r="P45" s="561" t="n"/>
      <c r="Q45" s="561" t="n"/>
      <c r="R45" s="581" t="n"/>
      <c r="S45" s="580" t="inlineStr">
        <is>
          <t>Lift HK standard flotta base azionamento idraulico</t>
        </is>
      </c>
      <c r="T45" s="561" t="n"/>
      <c r="U45" s="561" t="n"/>
      <c r="V45" s="581" t="n"/>
      <c r="W45" s="615" t="inlineStr">
        <is>
          <t>Lift HK STI PRM 2019 (pedana più grande) azionamento idraulico</t>
        </is>
      </c>
      <c r="X45" s="561" t="n"/>
      <c r="Y45" s="561" t="n"/>
      <c r="Z45" s="581" t="n"/>
    </row>
    <row r="46">
      <c r="A46" s="573" t="n"/>
      <c r="B46" s="582" t="n"/>
      <c r="C46" s="582" t="n"/>
      <c r="F46" s="584" t="n"/>
      <c r="G46" s="582" t="n"/>
      <c r="J46" s="584" t="n"/>
      <c r="K46" s="582" t="n"/>
      <c r="N46" s="584" t="n"/>
      <c r="O46" s="582" t="n"/>
      <c r="R46" s="584" t="n"/>
      <c r="S46" s="582" t="n"/>
      <c r="V46" s="584" t="n"/>
      <c r="W46" s="582" t="n"/>
      <c r="Z46" s="584" t="n"/>
    </row>
    <row r="47" ht="15.75" customHeight="1" s="583" thickBot="1">
      <c r="A47" s="592" t="n"/>
      <c r="B47" s="585" t="n"/>
      <c r="C47" s="585" t="n"/>
      <c r="D47" s="586" t="n"/>
      <c r="E47" s="586" t="n"/>
      <c r="F47" s="587" t="n"/>
      <c r="G47" s="585" t="n"/>
      <c r="H47" s="586" t="n"/>
      <c r="I47" s="586" t="n"/>
      <c r="J47" s="587" t="n"/>
      <c r="K47" s="585" t="n"/>
      <c r="L47" s="586" t="n"/>
      <c r="M47" s="586" t="n"/>
      <c r="N47" s="587" t="n"/>
      <c r="O47" s="585" t="n"/>
      <c r="P47" s="586" t="n"/>
      <c r="Q47" s="586" t="n"/>
      <c r="R47" s="587" t="n"/>
      <c r="S47" s="585" t="n"/>
      <c r="T47" s="586" t="n"/>
      <c r="U47" s="586" t="n"/>
      <c r="V47" s="587" t="n"/>
      <c r="W47" s="585" t="n"/>
      <c r="X47" s="586" t="n"/>
      <c r="Y47" s="586" t="n"/>
      <c r="Z47" s="587" t="n"/>
    </row>
    <row r="48" ht="29.45" customHeight="1" s="583" thickBot="1">
      <c r="A48" s="100" t="inlineStr">
        <is>
          <t>Porte Esterne</t>
        </is>
      </c>
      <c r="B48" s="101" t="inlineStr">
        <is>
          <t>Tipo</t>
        </is>
      </c>
      <c r="C48" s="616" t="inlineStr">
        <is>
          <t>Porte esterne IFE standard flotta base</t>
        </is>
      </c>
      <c r="D48" s="567" t="n"/>
      <c r="E48" s="567" t="n"/>
      <c r="F48" s="568" t="n"/>
      <c r="G48" s="616" t="inlineStr">
        <is>
          <t>Porte esterne IFE standard flotta base</t>
        </is>
      </c>
      <c r="H48" s="567" t="n"/>
      <c r="I48" s="567" t="n"/>
      <c r="J48" s="568" t="n"/>
      <c r="K48" s="566" t="inlineStr">
        <is>
          <t>Porte esterne IFE TSI 2019
Centralina Ethernet</t>
        </is>
      </c>
      <c r="L48" s="567" t="n"/>
      <c r="M48" s="567" t="n"/>
      <c r="N48" s="568" t="n"/>
      <c r="O48" s="616" t="inlineStr">
        <is>
          <t>Porte esterne IFE standard flotta base</t>
        </is>
      </c>
      <c r="P48" s="567" t="n"/>
      <c r="Q48" s="567" t="n"/>
      <c r="R48" s="568" t="n"/>
      <c r="S48" s="616" t="inlineStr">
        <is>
          <t>Porte esterne IFE standard flotta base</t>
        </is>
      </c>
      <c r="T48" s="567" t="n"/>
      <c r="U48" s="567" t="n"/>
      <c r="V48" s="568" t="n"/>
      <c r="W48" s="578" t="inlineStr">
        <is>
          <t>Porte esterne IFE (TSI 2019)</t>
        </is>
      </c>
      <c r="X48" s="567" t="n"/>
      <c r="Y48" s="567" t="n"/>
      <c r="Z48" s="568" t="n"/>
    </row>
    <row r="49" ht="24" customHeight="1" s="583">
      <c r="A49" s="608" t="inlineStr">
        <is>
          <t>Antincendio</t>
        </is>
      </c>
      <c r="B49" s="102" t="inlineStr">
        <is>
          <t>Sensori
Elettronica</t>
        </is>
      </c>
      <c r="C49" s="601" t="inlineStr">
        <is>
          <t>SCU Saira</t>
        </is>
      </c>
      <c r="D49" s="550" t="n"/>
      <c r="E49" s="550" t="n"/>
      <c r="F49" s="594" t="n"/>
      <c r="G49" s="593" t="inlineStr">
        <is>
          <t>FDU-1000 (fornitura ISE)</t>
        </is>
      </c>
      <c r="H49" s="550" t="n"/>
      <c r="I49" s="550" t="n"/>
      <c r="J49" s="594" t="n"/>
      <c r="K49" s="593" t="inlineStr">
        <is>
          <t>FDU ISE</t>
        </is>
      </c>
      <c r="L49" s="550" t="n"/>
      <c r="M49" s="550" t="n"/>
      <c r="N49" s="594" t="n"/>
      <c r="O49" s="601" t="inlineStr">
        <is>
          <t>SCU Saira</t>
        </is>
      </c>
      <c r="P49" s="550" t="n"/>
      <c r="Q49" s="550" t="n"/>
      <c r="R49" s="594" t="n"/>
      <c r="S49" s="601" t="inlineStr">
        <is>
          <t>SCU Saira</t>
        </is>
      </c>
      <c r="T49" s="550" t="n"/>
      <c r="U49" s="550" t="n"/>
      <c r="V49" s="594" t="n"/>
      <c r="W49" s="593" t="inlineStr">
        <is>
          <t>FDU-1000 (fornitura ISE)</t>
        </is>
      </c>
      <c r="X49" s="550" t="n"/>
      <c r="Y49" s="550" t="n"/>
      <c r="Z49" s="594" t="n"/>
    </row>
    <row r="50" ht="15.75" customHeight="1" s="583" thickBot="1">
      <c r="A50" s="609" t="n"/>
      <c r="B50" s="75" t="inlineStr">
        <is>
          <t>Estinzione</t>
        </is>
      </c>
      <c r="C50" s="598" t="inlineStr">
        <is>
          <t>WaterMist Marioff - 2 gruppi MAU (DM1/8)</t>
        </is>
      </c>
      <c r="D50" s="586" t="n"/>
      <c r="E50" s="586" t="n"/>
      <c r="F50" s="587" t="n"/>
      <c r="G50" s="617" t="inlineStr">
        <is>
          <t>WaterMist Marioff - 2 gruppi MAU (DM1/8)</t>
        </is>
      </c>
      <c r="H50" s="586" t="n"/>
      <c r="I50" s="586" t="n"/>
      <c r="J50" s="587" t="n"/>
      <c r="K50" s="617" t="inlineStr">
        <is>
          <t>WaterMist Acquasys - 1 gruppo MAU (DM1)</t>
        </is>
      </c>
      <c r="L50" s="586" t="n"/>
      <c r="M50" s="586" t="n"/>
      <c r="N50" s="587" t="n"/>
      <c r="O50" s="598" t="inlineStr">
        <is>
          <t>WaterMist Marioff - 2 gruppi MAU (DM1/8)</t>
        </is>
      </c>
      <c r="P50" s="586" t="n"/>
      <c r="Q50" s="586" t="n"/>
      <c r="R50" s="587" t="n"/>
      <c r="S50" s="598" t="inlineStr">
        <is>
          <t>WaterMist Marioff - 2 gruppi MAU (DM1/8)</t>
        </is>
      </c>
      <c r="T50" s="586" t="n"/>
      <c r="U50" s="586" t="n"/>
      <c r="V50" s="587" t="n"/>
      <c r="W50" s="598" t="inlineStr">
        <is>
          <t>n/a</t>
        </is>
      </c>
      <c r="X50" s="586" t="n"/>
      <c r="Y50" s="586" t="n"/>
      <c r="Z50" s="587" t="n"/>
    </row>
  </sheetData>
  <mergeCells count="100">
    <mergeCell ref="B43:B44"/>
    <mergeCell ref="K48:N48"/>
    <mergeCell ref="O3:O8"/>
    <mergeCell ref="B34:B36"/>
    <mergeCell ref="W25:W28"/>
    <mergeCell ref="K21:K24"/>
    <mergeCell ref="S3:S8"/>
    <mergeCell ref="W48:Z48"/>
    <mergeCell ref="C37:F37"/>
    <mergeCell ref="S45:V47"/>
    <mergeCell ref="B45:B47"/>
    <mergeCell ref="O37:R37"/>
    <mergeCell ref="B3:B8"/>
    <mergeCell ref="A38:A42"/>
    <mergeCell ref="K49:N49"/>
    <mergeCell ref="B13:B16"/>
    <mergeCell ref="K17:K20"/>
    <mergeCell ref="C1:F1"/>
    <mergeCell ref="W17:W20"/>
    <mergeCell ref="W1:Z1"/>
    <mergeCell ref="G25:G28"/>
    <mergeCell ref="O1:R1"/>
    <mergeCell ref="C50:F50"/>
    <mergeCell ref="W50:Z50"/>
    <mergeCell ref="O17:O20"/>
    <mergeCell ref="G9:G12"/>
    <mergeCell ref="K25:K28"/>
    <mergeCell ref="K9:K12"/>
    <mergeCell ref="G43:J44"/>
    <mergeCell ref="K3:K8"/>
    <mergeCell ref="O9:O12"/>
    <mergeCell ref="C3:C8"/>
    <mergeCell ref="S43:V44"/>
    <mergeCell ref="S21:S24"/>
    <mergeCell ref="K37:N37"/>
    <mergeCell ref="A13:A28"/>
    <mergeCell ref="G13:G16"/>
    <mergeCell ref="B17:B20"/>
    <mergeCell ref="W37:Z37"/>
    <mergeCell ref="Z34:Z36"/>
    <mergeCell ref="S13:S16"/>
    <mergeCell ref="C21:C24"/>
    <mergeCell ref="K45:N47"/>
    <mergeCell ref="B9:B12"/>
    <mergeCell ref="G48:J48"/>
    <mergeCell ref="C45:F47"/>
    <mergeCell ref="S48:V48"/>
    <mergeCell ref="J34:J36"/>
    <mergeCell ref="K1:N1"/>
    <mergeCell ref="O45:R47"/>
    <mergeCell ref="K50:N50"/>
    <mergeCell ref="B25:B28"/>
    <mergeCell ref="M29:N36"/>
    <mergeCell ref="G49:J49"/>
    <mergeCell ref="A29:A36"/>
    <mergeCell ref="B29:B31"/>
    <mergeCell ref="S49:V49"/>
    <mergeCell ref="A49:A50"/>
    <mergeCell ref="S25:S28"/>
    <mergeCell ref="B40:B42"/>
    <mergeCell ref="G17:G20"/>
    <mergeCell ref="S50:V50"/>
    <mergeCell ref="C9:C12"/>
    <mergeCell ref="C43:F44"/>
    <mergeCell ref="O43:R44"/>
    <mergeCell ref="W9:W12"/>
    <mergeCell ref="W21:W24"/>
    <mergeCell ref="O21:O24"/>
    <mergeCell ref="W3:W8"/>
    <mergeCell ref="A3:A12"/>
    <mergeCell ref="G37:J37"/>
    <mergeCell ref="W45:Z47"/>
    <mergeCell ref="C13:C16"/>
    <mergeCell ref="S37:V37"/>
    <mergeCell ref="O13:O16"/>
    <mergeCell ref="C48:F48"/>
    <mergeCell ref="G45:J47"/>
    <mergeCell ref="O48:R48"/>
    <mergeCell ref="B21:B24"/>
    <mergeCell ref="G1:J1"/>
    <mergeCell ref="B38:B39"/>
    <mergeCell ref="G50:J50"/>
    <mergeCell ref="S1:V1"/>
    <mergeCell ref="S17:S20"/>
    <mergeCell ref="C49:F49"/>
    <mergeCell ref="C25:C28"/>
    <mergeCell ref="A43:A47"/>
    <mergeCell ref="W49:Z49"/>
    <mergeCell ref="O25:O28"/>
    <mergeCell ref="A2:B2"/>
    <mergeCell ref="K43:N44"/>
    <mergeCell ref="S9:S12"/>
    <mergeCell ref="G3:G8"/>
    <mergeCell ref="C17:C20"/>
    <mergeCell ref="W43:Z44"/>
    <mergeCell ref="O49:R49"/>
    <mergeCell ref="K13:K16"/>
    <mergeCell ref="W13:W16"/>
    <mergeCell ref="O50:R50"/>
    <mergeCell ref="G21:G24"/>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31"/>
  <sheetViews>
    <sheetView topLeftCell="A12" workbookViewId="0">
      <selection activeCell="B40" sqref="B40"/>
    </sheetView>
  </sheetViews>
  <sheetFormatPr baseColWidth="8" defaultColWidth="8.7109375" defaultRowHeight="15"/>
  <cols>
    <col width="35.42578125" customWidth="1" style="103" min="1" max="1"/>
    <col width="65.42578125" customWidth="1" style="13" min="2" max="2"/>
    <col width="11.42578125" bestFit="1" customWidth="1" style="13" min="3" max="3"/>
    <col width="28.42578125" bestFit="1" customWidth="1" style="13" min="4" max="4"/>
    <col width="21.42578125" customWidth="1" style="13" min="5" max="5"/>
    <col width="35.5703125" customWidth="1" style="13" min="6" max="7"/>
    <col width="8.7109375" customWidth="1" style="13" min="8" max="20"/>
    <col width="8.7109375" customWidth="1" style="13" min="21" max="16384"/>
  </cols>
  <sheetData>
    <row r="1" ht="30" customHeight="1" s="583">
      <c r="A1" s="156" t="inlineStr">
        <is>
          <t>FUNC ID</t>
        </is>
      </c>
      <c r="B1" s="156" t="inlineStr">
        <is>
          <t>DESCRIZIONE FUNZIONE</t>
        </is>
      </c>
      <c r="C1" s="532" t="inlineStr">
        <is>
          <t>DOC
CARTELLA</t>
        </is>
      </c>
      <c r="D1" s="532" t="inlineStr">
        <is>
          <t>DOC ID</t>
        </is>
      </c>
      <c r="E1" s="532" t="inlineStr">
        <is>
          <t>Info DOC</t>
        </is>
      </c>
      <c r="F1" s="136" t="inlineStr">
        <is>
          <t>VZI_Base</t>
        </is>
      </c>
      <c r="G1" s="136" t="inlineStr">
        <is>
          <t>VZI_New14</t>
        </is>
      </c>
    </row>
    <row r="2">
      <c r="A2" s="174" t="inlineStr">
        <is>
          <t>xxx</t>
        </is>
      </c>
      <c r="B2" s="174" t="inlineStr">
        <is>
          <t>xxx</t>
        </is>
      </c>
      <c r="C2" s="390" t="n"/>
      <c r="D2" s="175" t="n"/>
      <c r="E2" s="160" t="n"/>
      <c r="F2" s="161" t="n"/>
      <c r="G2" s="161" t="n"/>
    </row>
    <row r="3">
      <c r="A3" s="106" t="n"/>
      <c r="B3" s="144" t="n"/>
      <c r="C3" s="158" t="inlineStr">
        <is>
          <t>CONFIG</t>
        </is>
      </c>
      <c r="D3" s="158" t="inlineStr">
        <is>
          <t>FS_DM1</t>
        </is>
      </c>
      <c r="E3" s="185" t="inlineStr">
        <is>
          <t>Link</t>
        </is>
      </c>
      <c r="F3" s="314">
        <f t="array" ref="F3">HYPERLINK(CONCATENATE(Cartelle!$D$5,F$1,"/",$C3,"/",MID($D3,1,FIND("_",$D3)-1),"/",INDIRECT(CONCATENATE("'" &amp; $C3 &amp; "'!",ADDRESS(MATCH($D3, INDIRECT("'" &amp; $C3 &amp; "'!$B:$B"), 0),MATCH(F$1, INDIRECT("'" &amp; $C3 &amp; "'!$1:$1"), 0)))),".pdf#page=",F4),CONCATENATE("#Sharepoint//",$D3))</f>
        <v/>
      </c>
      <c r="G3" s="314" t="n"/>
    </row>
    <row r="4" ht="45" customHeight="1" s="583">
      <c r="A4" s="103" t="inlineStr">
        <is>
          <t>Nel foglio indicato in Cx nella colonna B, cerca la riga corrispondente al DOC ID indicato in Dx</t>
        </is>
      </c>
      <c r="B4" s="14">
        <f>MATCH($D3, INDIRECT("'" &amp; $C3 &amp; "'!$B:$B"), 0)</f>
        <v/>
      </c>
      <c r="C4" s="158" t="inlineStr">
        <is>
          <t>CONFIG</t>
        </is>
      </c>
      <c r="D4" s="158" t="inlineStr">
        <is>
          <t>FS_DM1</t>
        </is>
      </c>
      <c r="E4" s="185" t="inlineStr">
        <is>
          <t>Link</t>
        </is>
      </c>
      <c r="F4" s="13" t="n">
        <v>1</v>
      </c>
    </row>
    <row r="5" ht="45" customHeight="1" s="583">
      <c r="A5" s="103" t="inlineStr">
        <is>
          <t>Nel foglio CONFIG riga 1, cerca la colonna corrispondente alla flotta indicata da F1</t>
        </is>
      </c>
      <c r="B5" s="14">
        <f>MATCH(F$1,INDIRECT("'"&amp;$C3&amp;"'!$1:$1"),0)</f>
        <v/>
      </c>
      <c r="C5" s="158" t="inlineStr">
        <is>
          <t>CONFIG</t>
        </is>
      </c>
      <c r="D5" s="158" t="inlineStr">
        <is>
          <t>FS_DM1</t>
        </is>
      </c>
      <c r="E5" s="185" t="inlineStr">
        <is>
          <t>Link</t>
        </is>
      </c>
    </row>
    <row r="6" ht="45" customHeight="1" s="583">
      <c r="A6" s="103" t="inlineStr">
        <is>
          <t>Restituisci la posizione della cella corrispondente a riga/colonna sopra identificati</t>
        </is>
      </c>
      <c r="B6" s="14">
        <f>ADDRESS(MATCH($D3,INDIRECT("'"&amp;$C3&amp;"'!$B:$B"),0),MATCH(F$1,INDIRECT("'"&amp;$C3&amp;"'!$1:$1"),0))</f>
        <v/>
      </c>
      <c r="C6" s="158" t="inlineStr">
        <is>
          <t>CONFIG</t>
        </is>
      </c>
      <c r="D6" s="158" t="inlineStr">
        <is>
          <t>FS_DM1</t>
        </is>
      </c>
      <c r="E6" s="185" t="inlineStr">
        <is>
          <t>Link</t>
        </is>
      </c>
    </row>
    <row r="7" ht="30" customHeight="1" s="583">
      <c r="A7" s="103" t="inlineStr">
        <is>
          <t>Alla posizione della cella, concatena il nome del foglio recuperato in Cx</t>
        </is>
      </c>
      <c r="B7" s="14">
        <f>CONCATENATE("'" &amp; $C3 &amp; "'!",ADDRESS(MATCH($D3, INDIRECT("'" &amp; $C3 &amp; "'!$B:$B"), 0),MATCH(F$1, INDIRECT("'" &amp; $C3 &amp; "'!$1:$1"), 0)))</f>
        <v/>
      </c>
      <c r="C7" s="158" t="inlineStr">
        <is>
          <t>CONFIG</t>
        </is>
      </c>
      <c r="D7" s="158" t="inlineStr">
        <is>
          <t>FS_DM1</t>
        </is>
      </c>
      <c r="E7" s="185" t="inlineStr">
        <is>
          <t>Link</t>
        </is>
      </c>
    </row>
    <row r="8" ht="60" customHeight="1" s="583">
      <c r="A8" s="103" t="inlineStr">
        <is>
          <t>Recupera il contenuto del foglio/cella indicato nell'indirizzo sopra, il quale corrisponde al nome del file archiviato</t>
        </is>
      </c>
      <c r="B8" s="431">
        <f t="array" ref="B8">INDIRECT(CONCATENATE("'"&amp;$C3&amp;"'!",ADDRESS(MATCH($D3,INDIRECT("'"&amp;$C3&amp;"'!$B:$B"),0),MATCH(F$1,INDIRECT("'"&amp;$C3&amp;"'!$1:$1"),0))))</f>
        <v/>
      </c>
      <c r="C8" s="158" t="inlineStr">
        <is>
          <t>CONFIG</t>
        </is>
      </c>
      <c r="D8" s="158" t="inlineStr">
        <is>
          <t>FS_DM1</t>
        </is>
      </c>
      <c r="E8" s="185" t="inlineStr">
        <is>
          <t>Link</t>
        </is>
      </c>
    </row>
    <row r="9" ht="60" customHeight="1" s="583">
      <c r="A9" s="103" t="inlineStr">
        <is>
          <t>Recupera il prefisso del DOC ID posto prima del carattere "_", al quale corrisponde la sottocartella di archiviazione</t>
        </is>
      </c>
      <c r="B9" s="431">
        <f>MID($D3,1,FIND("_",$D3)-1)</f>
        <v/>
      </c>
      <c r="C9" s="158" t="inlineStr">
        <is>
          <t>CONFIG</t>
        </is>
      </c>
      <c r="D9" s="158" t="inlineStr">
        <is>
          <t>FS_DM1</t>
        </is>
      </c>
      <c r="E9" s="185" t="inlineStr">
        <is>
          <t>Link</t>
        </is>
      </c>
    </row>
    <row r="10" ht="165" customHeight="1" s="583">
      <c r="A10" s="103" t="inlineStr">
        <is>
          <t>crea l'indirizzo completo per la costruzione del link, concatenando:
- la root di archiviazione ETR1000 nello sharepoint indicata nel foglio Cartelle
- la sottocartella indicata in Cx
- la sottocartella indicata dal prefisso di DOC ID
- il nome del file
- estensione "pdf" a mano
- link alla pagina posta sotto il link</t>
        </is>
      </c>
      <c r="B10" s="432">
        <f t="array" ref="B10">CONCATENATE(Cartelle!$D$5,F$1,"/",$C3,"/",MID($D3,1,FIND("_",$D3)-1),"/",INDIRECT(CONCATENATE("'" &amp; $C3 &amp; "'!",ADDRESS(MATCH($D3, INDIRECT("'" &amp; $C3 &amp; "'!$B:$B"), 0),MATCH(F$1, INDIRECT("'" &amp; $C3 &amp; "'!$1:$1"), 0)))),".pdf#page=",F4)</f>
        <v/>
      </c>
      <c r="C10" s="158" t="inlineStr">
        <is>
          <t>CONFIG</t>
        </is>
      </c>
      <c r="D10" s="158" t="inlineStr">
        <is>
          <t>FS_DM1</t>
        </is>
      </c>
      <c r="E10" s="185" t="inlineStr">
        <is>
          <t>Link</t>
        </is>
      </c>
    </row>
    <row r="11">
      <c r="B11" s="103" t="n"/>
      <c r="C11" s="434" t="n"/>
      <c r="D11" s="434" t="n"/>
      <c r="E11" s="435" t="n"/>
    </row>
    <row r="12" ht="45" customHeight="1" s="583">
      <c r="A12" s="103" t="inlineStr">
        <is>
          <t>recupero del formato del file dal foglio indicato in Cx, alla riga indicata del DOC ID e colonna 3</t>
        </is>
      </c>
      <c r="B12" s="433">
        <f t="array" ref="B12">INDIRECT(CONCATENATE("'"&amp;$C7&amp;"'!",ADDRESS(MATCH($D3,INDIRECT("'"&amp;$C3&amp;"'!$B:$B"),0),3)))</f>
        <v/>
      </c>
      <c r="C12" s="158" t="inlineStr">
        <is>
          <t>CONFIG</t>
        </is>
      </c>
      <c r="D12" s="158" t="inlineStr">
        <is>
          <t>FS_DM1</t>
        </is>
      </c>
      <c r="E12" s="185" t="inlineStr">
        <is>
          <t>Link</t>
        </is>
      </c>
      <c r="F12" s="314">
        <f t="array" ref="F12">HYPERLINK(CONCATENATE(Cartelle!$D$5,F$1,"/",$C12,"/",MID($D12,1,FIND("_",$D12)-1),"/",INDIRECT(CONCATENATE("'" &amp; $C12 &amp; "'!",ADDRESS(MATCH($D12, INDIRECT("'" &amp; $C12 &amp; "'!$B:$B"), 0),MATCH(F$1, INDIRECT("'" &amp; $C12 &amp; "'!$1:$1"), 0)))),".",INDIRECT(CONCATENATE("'"&amp;$C12&amp;"'!",ADDRESS(MATCH($D12,INDIRECT("'"&amp;$C12&amp;"'!$B:$B"),0),3))),"#page=",F13),CONCATENATE("#Sharepoint//",$D12))</f>
        <v/>
      </c>
    </row>
    <row r="13" ht="60" customHeight="1" s="583">
      <c r="A13" s="103" t="inlineStr">
        <is>
          <t>crea l'indirizzo come sopra, inserendo anche la parte di recupero di estensione del file</t>
        </is>
      </c>
      <c r="B13" s="432">
        <f t="array" ref="B13">CONCATENATE(Cartelle!$D$5,F$1,"/",$C12,"/",MID($D12,1,FIND("_",$D12)-1),"/",INDIRECT(CONCATENATE("'" &amp; $C12 &amp; "'!",ADDRESS(MATCH($D12, INDIRECT("'" &amp; $C12 &amp; "'!$B:$B"), 0),MATCH(F$1, INDIRECT("'" &amp; $C12 &amp; "'!$1:$1"), 0)))),".",INDIRECT(CONCATENATE("'"&amp;$C12&amp;"'!",ADDRESS(MATCH($D12,INDIRECT("'"&amp;$C12&amp;"'!$B:$B"),0),3))),"#page=",F13)</f>
        <v/>
      </c>
      <c r="F13" s="13" t="n">
        <v>10</v>
      </c>
    </row>
    <row r="14" ht="30" customHeight="1" s="583">
      <c r="A14" s="436" t="inlineStr">
        <is>
          <t>prova link con DOC Type &lt;&gt; pdf</t>
        </is>
      </c>
      <c r="B14" s="437" t="n"/>
      <c r="C14" s="158" t="inlineStr">
        <is>
          <t>DIAGNOSTIC</t>
        </is>
      </c>
      <c r="D14" s="158" t="inlineStr">
        <is>
          <t>AD_Flotte</t>
        </is>
      </c>
      <c r="E14" s="185" t="inlineStr">
        <is>
          <t>Link</t>
        </is>
      </c>
      <c r="F14" s="314">
        <f t="array" ref="F14">HYPERLINK(CONCATENATE(Cartelle!$D$5,F$1,"/",$C14,"/",MID($D14,1,FIND("_",$D14)-1),"/",INDIRECT(CONCATENATE("'" &amp; $C14 &amp; "'!",ADDRESS(MATCH($D14, INDIRECT("'" &amp; $C14 &amp; "'!$B:$B"), 0),MATCH(F$1, INDIRECT("'" &amp; $C14 &amp; "'!$1:$1"), 0)))),".",INDIRECT(CONCATENATE("'"&amp;$C14&amp;"'!",ADDRESS(MATCH($D14,INDIRECT("'"&amp;$C14&amp;"'!$B:$B"),0),3))),"#page=",F15),CONCATENATE("#Sharepoint//",$D14))</f>
        <v/>
      </c>
    </row>
    <row r="15">
      <c r="F15" s="13" t="n">
        <v>1</v>
      </c>
    </row>
    <row r="17" ht="30" customHeight="1" s="583">
      <c r="A17" s="436" t="inlineStr">
        <is>
          <t>prova link con DOC Type &lt;&gt; pdf</t>
        </is>
      </c>
      <c r="B17" s="437" t="n"/>
      <c r="C17" s="158" t="inlineStr">
        <is>
          <t>DIAGNOSTIC</t>
        </is>
      </c>
      <c r="D17" s="158" t="inlineStr">
        <is>
          <t>AD_Flotte</t>
        </is>
      </c>
      <c r="E17" s="185" t="inlineStr">
        <is>
          <t>Link</t>
        </is>
      </c>
      <c r="F17" s="314">
        <f t="array" ref="F17">HYPERLINK(CONCATENATE(Cartelle!$D$5,F$1,"/",$C17,"/",MID($D17,1,FIND("_",$D17)-1),"/",INDIRECT(CONCATENATE("'" &amp; $C17 &amp; "'!",ADDRESS(MATCH($D17, INDIRECT("'" &amp; $C17 &amp; "'!$B:$B"), 0),MATCH(F$1, INDIRECT("'" &amp; $C17 &amp; "'!$1:$1"), 0)))),".",INDIRECT(CONCATENATE("'"&amp;$C17&amp;"'!",ADDRESS(MATCH($D17,INDIRECT("'"&amp;$C17&amp;"'!$B:$B"),0),3))),"#page=",F18),CONCATENATE("#Sharepoint//",$D17))</f>
        <v/>
      </c>
    </row>
    <row r="18">
      <c r="F18" s="13" t="n">
        <v>1</v>
      </c>
    </row>
    <row r="19">
      <c r="A19" s="174" t="inlineStr">
        <is>
          <t>xxx</t>
        </is>
      </c>
      <c r="B19" s="174" t="inlineStr">
        <is>
          <t>xxx</t>
        </is>
      </c>
      <c r="C19" s="390" t="n"/>
      <c r="D19" s="175" t="n"/>
      <c r="E19" s="160" t="n"/>
      <c r="F19" s="161" t="n"/>
      <c r="G19" s="161" t="n"/>
    </row>
    <row r="20" ht="30" customHeight="1" s="583">
      <c r="A20" s="106" t="inlineStr">
        <is>
          <t>parte iniziale - posizione cella foglio/flotta</t>
        </is>
      </c>
      <c r="B20" s="144">
        <f>ADDRESS(MATCH($D20, INDIRECT("'" &amp; $C20 &amp; "'!$B:$B"), 0),MATCH(G$1, INDIRECT("'" &amp; $C20 &amp; "'!$1:$1"), 0))</f>
        <v/>
      </c>
      <c r="C20" s="158" t="inlineStr">
        <is>
          <t>CONFIG</t>
        </is>
      </c>
      <c r="D20" s="158" t="inlineStr">
        <is>
          <t>FS_DM1</t>
        </is>
      </c>
      <c r="E20" s="185" t="inlineStr">
        <is>
          <t>Link</t>
        </is>
      </c>
      <c r="F20" s="314" t="n"/>
      <c r="G20" s="314">
        <f t="array" ref="G20">HYPERLINK(CONCATENATE(Cartelle!$D$5,INDEX(INDIRECT("'" &amp; $C20 &amp; "'!$1:$1"), 1, MATCH(INDIRECT(CONCATENATE("'" &amp; $C20 &amp; "'!",ADDRESS(MATCH($D20, INDIRECT("'" &amp; $C20 &amp; "'!$B:$B"), 0),MATCH(G$1, INDIRECT("'" &amp; $C20 &amp; "'!$1:$1"), 0)))),INDIRECT(CONCATENATE("'" &amp; $C20 &amp; "'!",MATCH($D20, INDIRECT("'" &amp; $C20 &amp; "'!$B:$B"), 0),":",MATCH($D20, INDIRECT("'" &amp; $C20 &amp; "'!$B:$B"), 0))),0)),"/",$C20,"/",MID($D20,1,FIND("_",$D20)-1),"/",INDIRECT(CONCATENATE("'" &amp; $C20 &amp; "'!",ADDRESS(MATCH($D20, INDIRECT("'" &amp; $C20 &amp; "'!$B:$B"), 0),MATCH(G$1, INDIRECT("'" &amp; $C20 &amp; "'!$1:$1"), 0)))),".",INDIRECT(CONCATENATE("'"&amp;$C20&amp;"'!",ADDRESS(MATCH($D20,INDIRECT("'"&amp;$C20&amp;"'!$B:$B"),0),3))),"#page=",G21),CONCATENATE("#Sharepoint//",$D20))</f>
        <v/>
      </c>
    </row>
    <row r="21">
      <c r="A21" s="103" t="inlineStr">
        <is>
          <t>Recupera il contenuto del foglio/cella</t>
        </is>
      </c>
      <c r="B21" s="14">
        <f t="array" ref="B21">INDIRECT(CONCATENATE("'" &amp; $C20 &amp; "'!",ADDRESS(MATCH($D20, INDIRECT("'" &amp; $C20 &amp; "'!$B:$B"), 0),MATCH(G$1, INDIRECT("'" &amp; $C20 &amp; "'!$1:$1"), 0))))</f>
        <v/>
      </c>
      <c r="C21" s="158" t="inlineStr">
        <is>
          <t>CONFIG</t>
        </is>
      </c>
      <c r="D21" s="158" t="inlineStr">
        <is>
          <t>FRS_Diagnostics</t>
        </is>
      </c>
      <c r="E21" s="185" t="inlineStr">
        <is>
          <t>Link</t>
        </is>
      </c>
      <c r="F21" s="13" t="n">
        <v>1</v>
      </c>
    </row>
    <row r="22">
      <c r="B22" s="14">
        <f t="array" ref="B22">INDIRECT(CONCATENATE("'"&amp;$C20&amp;"'!",MATCH($D20,INDIRECT("'"&amp;$C20&amp;"'!$B:$B"),0),":",MATCH($D20,INDIRECT("'"&amp;$C20&amp;"'!$B:$B"),0)))</f>
        <v/>
      </c>
      <c r="C22" s="158" t="inlineStr">
        <is>
          <t>CONFIG</t>
        </is>
      </c>
      <c r="D22" s="158" t="inlineStr">
        <is>
          <t>FRS_Diagnostics</t>
        </is>
      </c>
      <c r="E22" s="185" t="inlineStr">
        <is>
          <t>Link</t>
        </is>
      </c>
    </row>
    <row r="23">
      <c r="B23" s="14">
        <f t="array" ref="B23">MATCH(INDIRECT(CONCATENATE("'"&amp;$C20&amp;"'!",ADDRESS(MATCH($D20,INDIRECT("'"&amp;$C20&amp;"'!$B:$B"),0),MATCH(G$1,INDIRECT("'"&amp;$C20&amp;"'!$1:$1"),0)))),INDIRECT(CONCATENATE("'"&amp;$C20&amp;"'!",MATCH($D20,INDIRECT("'"&amp;$C20&amp;"'!$B:$B"),0),":",MATCH($D20,INDIRECT("'"&amp;$C20&amp;"'!$B:$B"),0))))</f>
        <v/>
      </c>
      <c r="C23" s="158" t="inlineStr">
        <is>
          <t>CONFIG</t>
        </is>
      </c>
      <c r="D23" s="158" t="inlineStr">
        <is>
          <t>FRS_Diagnostics</t>
        </is>
      </c>
      <c r="E23" s="185" t="inlineStr">
        <is>
          <t>Link</t>
        </is>
      </c>
    </row>
    <row r="24">
      <c r="B24" s="13">
        <f t="array" ref="B24">INDEX(INDIRECT("'" &amp; $C20 &amp; "'!$1:$1"), 1, MATCH(INDIRECT(CONCATENATE("'" &amp; $C20 &amp; "'!",ADDRESS(MATCH($D20, INDIRECT("'" &amp; $C20 &amp; "'!$B:$B"), 0),MATCH(G$1, INDIRECT("'" &amp; $C20 &amp; "'!$1:$1"), 0)))),INDIRECT(CONCATENATE("'" &amp; $C20 &amp; "'!",MATCH($D20, INDIRECT("'" &amp; $C20 &amp; "'!$B:$B"), 0),":",MATCH($D20, INDIRECT("'" &amp; $C20 &amp; "'!$B:$B"), 0))),0))</f>
        <v/>
      </c>
    </row>
    <row r="28" collapsed="1" customFormat="1" s="103">
      <c r="A28" s="144" t="n"/>
      <c r="B28" s="158" t="inlineStr">
        <is>
          <t>MAN_CPR</t>
        </is>
      </c>
      <c r="C28" s="164" t="inlineStr">
        <is>
          <t>PBC_01A</t>
        </is>
      </c>
      <c r="D28" s="191" t="inlineStr">
        <is>
          <t>Link</t>
        </is>
      </c>
      <c r="E28" s="314">
        <f t="array" ref="E28">HYPERLINK(CONCATENATE(Cartelle!$D$5,E$1,"/",$B28,"/",MID($C28,1,FIND("_",$C28)-1),"/",INDIRECT(CONCATENATE("'" &amp; $B28 &amp; "'!",ADDRESS(MATCH($C28, INDIRECT("'" &amp; $B28 &amp; "'!$B:$B"), 0),MATCH(E$1, INDIRECT("'" &amp; $B28 &amp; "'!$1:$1"), 0)))),".pdf#page=",E29),CONCATENATE("#Sharepoint//",$C28))</f>
        <v/>
      </c>
      <c r="F28" s="314">
        <f t="array" ref="F28">HYPERLINK(CONCATENATE(Cartelle!$D$5,INDEX(INDIRECT("'" &amp; $B28 &amp; "'!$1:$1"), 1, MATCH(INDIRECT(CONCATENATE("'" &amp; $B28 &amp; "'!",ADDRESS(MATCH($C28, INDIRECT("'" &amp; $B28 &amp; "'!$B:$B"), 0),MATCH(F$1, INDIRECT("'" &amp; $B28 &amp; "'!$1:$1"), 0)))),INDIRECT(CONCATENATE("'" &amp; $B28 &amp; "'!",MATCH($C28, INDIRECT("'" &amp; $B28 &amp; "'!$B:$B"), 0),":",MATCH($C28, INDIRECT("'" &amp; $B28 &amp; "'!$B:$B"), 0))),0)),"/",$B28,"/",MID($C28,1,FIND("_",$C28)-1),"/",INDIRECT(CONCATENATE("'" &amp; $B28 &amp; "'!",ADDRESS(MATCH($C28, INDIRECT("'" &amp; $B28 &amp; "'!$B:$B"), 0),MATCH(F$1, INDIRECT("'" &amp; $B28 &amp; "'!$1:$1"), 0)))),".pdf#page=",F29),CONCATENATE("#Sharepoint//",$C28))</f>
        <v/>
      </c>
      <c r="G28" s="158" t="n"/>
    </row>
    <row r="29" hidden="1" customFormat="1" s="103">
      <c r="A29" s="144" t="n"/>
      <c r="B29" s="106" t="n"/>
      <c r="C29" s="358" t="n"/>
      <c r="D29" s="186" t="inlineStr">
        <is>
          <t>Rif. Pagina</t>
        </is>
      </c>
      <c r="E29" s="50" t="n">
        <v>1</v>
      </c>
      <c r="F29" s="50" t="n">
        <v>1</v>
      </c>
      <c r="G29" s="50" t="n"/>
    </row>
    <row r="30" hidden="1" customFormat="1" s="103">
      <c r="A30" s="144" t="n"/>
      <c r="B30" s="106" t="n"/>
      <c r="C30" s="108" t="n"/>
      <c r="D30" s="85" t="inlineStr">
        <is>
          <t>Descrizione</t>
        </is>
      </c>
      <c r="E30" s="50" t="n"/>
      <c r="F30" s="50" t="n"/>
      <c r="G30" s="50" t="n"/>
    </row>
    <row r="31" collapsed="1" customFormat="1" s="103">
      <c r="A31" s="144" t="n"/>
      <c r="B31" s="158" t="inlineStr">
        <is>
          <t>GENERAL</t>
        </is>
      </c>
      <c r="C31" s="164" t="inlineStr">
        <is>
          <t>AD_Regole</t>
        </is>
      </c>
      <c r="D31" s="191" t="inlineStr">
        <is>
          <t>TBD</t>
        </is>
      </c>
      <c r="E31" s="158" t="n"/>
      <c r="F31" s="158" t="n"/>
      <c r="G31" s="158" t="n"/>
    </row>
  </sheetData>
  <pageMargins left="0.7" right="0.7" top="0.75" bottom="0.75" header="0.3" footer="0.3"/>
</worksheet>
</file>

<file path=xl/worksheets/sheet13.xml><?xml version="1.0" encoding="utf-8"?>
<worksheet xmlns="http://schemas.openxmlformats.org/spreadsheetml/2006/main">
  <sheetPr codeName="Foglio10">
    <outlinePr summaryBelow="1" summaryRight="1"/>
    <pageSetUpPr/>
  </sheetPr>
  <dimension ref="B2:I17"/>
  <sheetViews>
    <sheetView workbookViewId="0">
      <selection activeCell="F28" sqref="F28"/>
    </sheetView>
  </sheetViews>
  <sheetFormatPr baseColWidth="8" defaultRowHeight="15"/>
  <cols>
    <col width="41.85546875" customWidth="1" style="583" min="2" max="2"/>
    <col width="6.140625" bestFit="1" customWidth="1" style="583" min="7" max="7"/>
  </cols>
  <sheetData>
    <row r="1" ht="15.75" customHeight="1" s="583" thickBot="1"/>
    <row r="2" ht="15.75" customHeight="1" s="583" thickBot="1">
      <c r="C2" s="2" t="inlineStr">
        <is>
          <t>VZI-50</t>
        </is>
      </c>
      <c r="D2" s="2" t="inlineStr">
        <is>
          <t>VZI-51-58</t>
        </is>
      </c>
      <c r="E2" s="2" t="inlineStr">
        <is>
          <t>VZI-6</t>
        </is>
      </c>
      <c r="F2" s="2" t="inlineStr">
        <is>
          <t>VZI-4</t>
        </is>
      </c>
      <c r="G2" s="2" t="inlineStr">
        <is>
          <t>VZ-FR</t>
        </is>
      </c>
      <c r="H2" s="2" t="inlineStr">
        <is>
          <t>VZ-ES</t>
        </is>
      </c>
      <c r="I2" s="568" t="inlineStr">
        <is>
          <t>VZ-DAI</t>
        </is>
      </c>
    </row>
    <row r="3" ht="15.75" customHeight="1" s="583" thickBot="1">
      <c r="B3" s="2" t="inlineStr">
        <is>
          <t xml:space="preserve">IPA (Indicazione Porte Aperte) </t>
        </is>
      </c>
      <c r="C3" s="9" t="n"/>
      <c r="D3" s="8" t="inlineStr">
        <is>
          <t>SI</t>
        </is>
      </c>
      <c r="E3" s="8" t="inlineStr">
        <is>
          <t>SI</t>
        </is>
      </c>
      <c r="F3" s="8" t="inlineStr">
        <is>
          <t>SI</t>
        </is>
      </c>
      <c r="G3" s="8" t="n"/>
      <c r="H3" s="8" t="inlineStr">
        <is>
          <t>SI</t>
        </is>
      </c>
      <c r="I3" s="8" t="inlineStr">
        <is>
          <t>SI</t>
        </is>
      </c>
    </row>
    <row r="4" ht="30.75" customHeight="1" s="583" thickBot="1">
      <c r="B4" s="4" t="inlineStr">
        <is>
          <t>BY-PASS ALLARME APPLICAZIONE PARKING
BRAKE IN MOVIMENTO</t>
        </is>
      </c>
      <c r="C4" s="10" t="n"/>
      <c r="D4" s="7" t="inlineStr">
        <is>
          <t>SI</t>
        </is>
      </c>
      <c r="E4" s="7" t="inlineStr">
        <is>
          <t>SI</t>
        </is>
      </c>
      <c r="F4" s="7" t="inlineStr">
        <is>
          <t>SI</t>
        </is>
      </c>
      <c r="G4" s="7" t="n"/>
      <c r="H4" s="7" t="inlineStr">
        <is>
          <t>SI</t>
        </is>
      </c>
      <c r="I4" s="7" t="inlineStr">
        <is>
          <t>SI</t>
        </is>
      </c>
    </row>
    <row r="5" ht="15.75" customHeight="1" s="583" thickBot="1">
      <c r="B5" s="2" t="inlineStr">
        <is>
          <t>RIDONDANZA LOOP DNRA-BMS</t>
        </is>
      </c>
      <c r="C5" s="10" t="n"/>
      <c r="D5" s="7" t="inlineStr">
        <is>
          <t>SI</t>
        </is>
      </c>
      <c r="E5" s="7" t="inlineStr">
        <is>
          <t>SI</t>
        </is>
      </c>
      <c r="F5" s="7" t="inlineStr">
        <is>
          <t>SI</t>
        </is>
      </c>
      <c r="G5" s="7" t="n"/>
      <c r="H5" s="7" t="inlineStr">
        <is>
          <t>SI</t>
        </is>
      </c>
      <c r="I5" s="7" t="inlineStr">
        <is>
          <t>SI</t>
        </is>
      </c>
    </row>
    <row r="6" ht="15.75" customHeight="1" s="583" thickBot="1">
      <c r="B6" s="2" t="inlineStr">
        <is>
          <t>INTERRUTTORI 220V SPOSTATI INTERNO CASSA</t>
        </is>
      </c>
      <c r="C6" s="10" t="n"/>
      <c r="D6" s="7" t="inlineStr">
        <is>
          <t>SI</t>
        </is>
      </c>
      <c r="E6" s="7" t="inlineStr">
        <is>
          <t>SI</t>
        </is>
      </c>
      <c r="F6" s="7" t="inlineStr">
        <is>
          <t>SI</t>
        </is>
      </c>
      <c r="G6" s="7" t="n"/>
      <c r="H6" s="7" t="inlineStr">
        <is>
          <t>SI</t>
        </is>
      </c>
      <c r="I6" s="7" t="inlineStr">
        <is>
          <t>SI</t>
        </is>
      </c>
    </row>
    <row r="7" ht="15.75" customHeight="1" s="583" thickBot="1">
      <c r="B7" s="2" t="inlineStr">
        <is>
          <t>COMPRESSORE ARIA (?)</t>
        </is>
      </c>
      <c r="C7" s="10" t="n"/>
      <c r="D7" s="7" t="n"/>
      <c r="E7" s="7" t="n"/>
      <c r="F7" s="7" t="n"/>
      <c r="G7" s="7" t="n"/>
      <c r="H7" s="7" t="n"/>
      <c r="I7" s="7" t="n"/>
    </row>
    <row r="8" ht="15.75" customHeight="1" s="583" thickBot="1">
      <c r="B8" s="2" t="inlineStr">
        <is>
          <t>BY-PASS ADD PER MARCIA SOCCORSO</t>
        </is>
      </c>
      <c r="C8" s="10" t="n"/>
      <c r="D8" s="7" t="inlineStr">
        <is>
          <t>SI</t>
        </is>
      </c>
      <c r="E8" s="7" t="inlineStr">
        <is>
          <t>SI</t>
        </is>
      </c>
      <c r="F8" s="7" t="inlineStr">
        <is>
          <t>SI</t>
        </is>
      </c>
      <c r="G8" s="7" t="n"/>
      <c r="H8" s="7" t="inlineStr">
        <is>
          <t>SI</t>
        </is>
      </c>
      <c r="I8" s="7" t="inlineStr">
        <is>
          <t>SI</t>
        </is>
      </c>
    </row>
    <row r="9" ht="15.75" customHeight="1" s="583" thickBot="1">
      <c r="B9" s="2" t="inlineStr">
        <is>
          <t>ARREDI TOILET BAR BISTROT</t>
        </is>
      </c>
      <c r="C9" s="10" t="n"/>
      <c r="D9" s="7" t="n"/>
      <c r="E9" s="7" t="n"/>
      <c r="F9" s="7" t="n"/>
      <c r="G9" s="7" t="n"/>
      <c r="H9" s="7" t="n"/>
      <c r="I9" s="7" t="n"/>
    </row>
    <row r="10" ht="45.75" customHeight="1" s="583" thickBot="1">
      <c r="B10" s="4" t="inlineStr">
        <is>
          <t>COMANDO DISACCOPPIAMENTO AUTOMATICO 
TESTE ELETTRICHE</t>
        </is>
      </c>
      <c r="C10" s="10" t="n"/>
      <c r="D10" s="7" t="inlineStr">
        <is>
          <t>SI</t>
        </is>
      </c>
      <c r="E10" s="7" t="inlineStr">
        <is>
          <t>SI</t>
        </is>
      </c>
      <c r="F10" s="7" t="inlineStr">
        <is>
          <t>SI</t>
        </is>
      </c>
      <c r="G10" s="7" t="n"/>
      <c r="H10" s="7" t="inlineStr">
        <is>
          <t>SI</t>
        </is>
      </c>
      <c r="I10" s="7" t="inlineStr">
        <is>
          <t>SI</t>
        </is>
      </c>
    </row>
    <row r="11" ht="15.75" customHeight="1" s="583" thickBot="1">
      <c r="B11" s="2" t="inlineStr">
        <is>
          <t>PANTOGRAFI</t>
        </is>
      </c>
      <c r="C11" s="10" t="n"/>
      <c r="D11" s="7" t="n"/>
      <c r="E11" s="7" t="n"/>
      <c r="F11" s="7" t="n"/>
      <c r="G11" s="7" t="n"/>
      <c r="H11" s="7" t="n"/>
      <c r="I11" s="7" t="n"/>
    </row>
    <row r="12" ht="15.75" customHeight="1" s="583" thickBot="1">
      <c r="B12" s="2" t="inlineStr">
        <is>
          <t>PIANO DI MANUTENZIONE</t>
        </is>
      </c>
      <c r="C12" s="529" t="n"/>
      <c r="D12" s="1" t="n"/>
      <c r="E12" s="1" t="n"/>
      <c r="F12" s="1" t="n"/>
      <c r="G12" s="1" t="n"/>
      <c r="H12" s="1" t="n"/>
      <c r="I12" s="1" t="n"/>
    </row>
    <row r="13" ht="15.75" customHeight="1" s="583" thickBot="1">
      <c r="B13" s="2" t="inlineStr">
        <is>
          <t>BL SSB</t>
        </is>
      </c>
      <c r="C13" s="529" t="n"/>
      <c r="D13" s="1" t="n"/>
      <c r="E13" s="1" t="n"/>
      <c r="F13" s="1" t="n"/>
      <c r="G13" s="1" t="n"/>
      <c r="H13" s="1" t="n"/>
      <c r="I13" s="1" t="n"/>
    </row>
    <row r="14" ht="15.75" customHeight="1" s="583" thickBot="1">
      <c r="B14" s="609" t="inlineStr">
        <is>
          <t>BL DIS</t>
        </is>
      </c>
      <c r="C14" s="529" t="n"/>
      <c r="D14" s="1" t="n"/>
      <c r="E14" s="1" t="n"/>
      <c r="F14" s="1" t="n"/>
      <c r="G14" s="1" t="n"/>
      <c r="H14" s="1" t="n"/>
      <c r="I14" s="1" t="n"/>
    </row>
    <row r="15" ht="15.75" customHeight="1" s="583" thickBot="1">
      <c r="B15" s="2" t="inlineStr">
        <is>
          <t>ETCS HD (HW)</t>
        </is>
      </c>
      <c r="C15" s="529" t="n"/>
      <c r="D15" s="1" t="n"/>
      <c r="E15" s="1" t="n"/>
      <c r="F15" s="1" t="n"/>
      <c r="G15" s="1" t="n"/>
      <c r="H15" s="1" t="n"/>
      <c r="I15" s="1" t="n"/>
    </row>
    <row r="16" ht="15.75" customHeight="1" s="583" thickBot="1">
      <c r="B16" s="2" t="inlineStr">
        <is>
          <t xml:space="preserve">ANTINCENDIO </t>
        </is>
      </c>
      <c r="C16" s="529" t="n"/>
      <c r="D16" s="1" t="n"/>
      <c r="E16" s="1" t="n"/>
      <c r="F16" s="1" t="n"/>
      <c r="G16" s="1" t="n"/>
      <c r="H16" s="1" t="n"/>
      <c r="I16" s="1" t="n"/>
    </row>
    <row r="17" ht="15.75" customHeight="1" s="583" thickBot="1">
      <c r="B17" s="11" t="inlineStr">
        <is>
          <t xml:space="preserve">LAYOUT INTERNO </t>
        </is>
      </c>
      <c r="C17" s="1" t="n"/>
      <c r="D17" s="1" t="n"/>
      <c r="E17" s="1" t="n"/>
      <c r="F17" s="1" t="n"/>
      <c r="G17" s="1" t="n"/>
      <c r="H17" s="1" t="n"/>
      <c r="I17" s="1" t="n"/>
    </row>
  </sheetData>
  <pageMargins left="0.7" right="0.7" top="0.75" bottom="0.75" header="0.3" footer="0.3"/>
  <headerFooter>
    <oddHeader/>
    <oddFooter>&amp;C&amp;"Aptos"&amp;10 &amp;K000000_x000d_# Informazione ad uso interno - Internal use information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MIRANDA SIMONA</dc:creator>
  <dcterms:created xmlns:dcterms="http://purl.org/dc/terms/" xmlns:xsi="http://www.w3.org/2001/XMLSchema-instance" xsi:type="dcterms:W3CDTF">2015-06-05T18:19:34Z</dcterms:created>
  <dcterms:modified xmlns:dcterms="http://purl.org/dc/terms/" xmlns:xsi="http://www.w3.org/2001/XMLSchema-instance" xsi:type="dcterms:W3CDTF">2026-07-16T12:04:04Z</dcterms:modified>
  <cp:lastModifiedBy>CASINI GABRIELE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0x010100713C8E1CBF8C9C478FBCA521FF5AE747</vt:lpwstr>
  </property>
  <property name="MSIP_Label_886719c9-282b-4f1b-a005-55ab1b897fee_Enabled" fmtid="{D5CDD505-2E9C-101B-9397-08002B2CF9AE}" pid="3">
    <vt:lpwstr xmlns:vt="http://schemas.openxmlformats.org/officeDocument/2006/docPropsVTypes">true</vt:lpwstr>
  </property>
  <property name="MSIP_Label_886719c9-282b-4f1b-a005-55ab1b897fee_SetDate" fmtid="{D5CDD505-2E9C-101B-9397-08002B2CF9AE}" pid="4">
    <vt:lpwstr xmlns:vt="http://schemas.openxmlformats.org/officeDocument/2006/docPropsVTypes">2025-11-06T16:11:52Z</vt:lpwstr>
  </property>
  <property name="MSIP_Label_886719c9-282b-4f1b-a005-55ab1b897fee_Method" fmtid="{D5CDD505-2E9C-101B-9397-08002B2CF9AE}" pid="5">
    <vt:lpwstr xmlns:vt="http://schemas.openxmlformats.org/officeDocument/2006/docPropsVTypes">Standard</vt:lpwstr>
  </property>
  <property name="MSIP_Label_886719c9-282b-4f1b-a005-55ab1b897fee_Name" fmtid="{D5CDD505-2E9C-101B-9397-08002B2CF9AE}" pid="6">
    <vt:lpwstr xmlns:vt="http://schemas.openxmlformats.org/officeDocument/2006/docPropsVTypes">Internal use without protection</vt:lpwstr>
  </property>
  <property name="MSIP_Label_886719c9-282b-4f1b-a005-55ab1b897fee_SiteId" fmtid="{D5CDD505-2E9C-101B-9397-08002B2CF9AE}" pid="7">
    <vt:lpwstr xmlns:vt="http://schemas.openxmlformats.org/officeDocument/2006/docPropsVTypes">4c8a6547-459a-4b75-a3dc-f66efe3e9c4e</vt:lpwstr>
  </property>
  <property name="MSIP_Label_886719c9-282b-4f1b-a005-55ab1b897fee_ActionId" fmtid="{D5CDD505-2E9C-101B-9397-08002B2CF9AE}" pid="8">
    <vt:lpwstr xmlns:vt="http://schemas.openxmlformats.org/officeDocument/2006/docPropsVTypes">b7d0f9bc-0f68-4257-8c97-866d80925a8c</vt:lpwstr>
  </property>
  <property name="MSIP_Label_886719c9-282b-4f1b-a005-55ab1b897fee_ContentBits" fmtid="{D5CDD505-2E9C-101B-9397-08002B2CF9AE}" pid="9">
    <vt:lpwstr xmlns:vt="http://schemas.openxmlformats.org/officeDocument/2006/docPropsVTypes">2</vt:lpwstr>
  </property>
  <property name="MSIP_Label_886719c9-282b-4f1b-a005-55ab1b897fee_Tag" fmtid="{D5CDD505-2E9C-101B-9397-08002B2CF9AE}" pid="10">
    <vt:lpwstr xmlns:vt="http://schemas.openxmlformats.org/officeDocument/2006/docPropsVTypes">10, 3, 0, 1</vt:lpwstr>
  </property>
  <property name="MediaServiceImageTags" fmtid="{D5CDD505-2E9C-101B-9397-08002B2CF9AE}" pid="11">
    <vt:lpwstr xmlns:vt="http://schemas.openxmlformats.org/officeDocument/2006/docPropsVTypes"/>
  </property>
</Properties>
</file>