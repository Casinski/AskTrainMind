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Questa_cartella_di_lavoro"/>
  <mc:AlternateContent xmlns:mc="http://schemas.openxmlformats.org/markup-compatibility/2006">
    <mc:Choice Requires="x15">
      <x15ac:absPath xmlns:x15ac="http://schemas.microsoft.com/office/spreadsheetml/2010/11/ac" url="C:\__SCRIPTS\AskTrainMind\"/>
    </mc:Choice>
  </mc:AlternateContent>
  <xr:revisionPtr revIDLastSave="0" documentId="13_ncr:1_{0BD369D2-51C2-4FB0-A1F5-CC731A06A687}" xr6:coauthVersionLast="47" xr6:coauthVersionMax="47" xr10:uidLastSave="{00000000-0000-0000-0000-000000000000}"/>
  <bookViews>
    <workbookView xWindow="-120" yWindow="-120" windowWidth="29040" windowHeight="15840" firstSheet="6" activeTab="8" xr2:uid="{00000000-000D-0000-FFFF-FFFF00000000}"/>
  </bookViews>
  <sheets>
    <sheet name="Issue" sheetId="1" r:id="rId1"/>
    <sheet name="ToDo" sheetId="2" r:id="rId2"/>
    <sheet name="Cartelle" sheetId="3" r:id="rId3"/>
    <sheet name="Flotte" sheetId="4" r:id="rId4"/>
    <sheet name="CONFIG" sheetId="5" r:id="rId5"/>
    <sheet name="GENERAL" sheetId="6" r:id="rId6"/>
    <sheet name="MAN_CPR" sheetId="7" r:id="rId7"/>
    <sheet name="DIAGNOSTIC" sheetId="8" r:id="rId8"/>
    <sheet name="Funzioni" sheetId="9" r:id="rId9"/>
    <sheet name="Requisiti" sheetId="10" r:id="rId10"/>
    <sheet name="PBS (TBD)" sheetId="11" r:id="rId11"/>
    <sheet name="Struttura" sheetId="12" r:id="rId12"/>
    <sheet name="LINK F" sheetId="13" r:id="rId13"/>
    <sheet name="Modifiche progettuali" sheetId="14" r:id="rId14"/>
  </sheets>
  <definedNames>
    <definedName name="_xlnm._FilterDatabase" localSheetId="10" hidden="1">'PBS (TBD)'!$A$2:$J$86</definedName>
    <definedName name="_xlnm._FilterDatabase" localSheetId="9" hidden="1">Requisiti!$A$1:$K$31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3" l="1" a="1"/>
  <c r="B24" i="13" s="1"/>
  <c r="B23" i="13" a="1"/>
  <c r="B23" i="13" s="1"/>
  <c r="B22" i="13" a="1"/>
  <c r="B22" i="13" s="1"/>
  <c r="B21" i="13" a="1"/>
  <c r="B21" i="13" s="1"/>
  <c r="B20" i="13"/>
  <c r="B12" i="13" a="1"/>
  <c r="B12" i="13" s="1"/>
  <c r="B9" i="13"/>
  <c r="B8" i="13" a="1"/>
  <c r="B8" i="13" s="1"/>
  <c r="B7" i="13"/>
  <c r="B6" i="13"/>
  <c r="B5" i="13"/>
  <c r="B4" i="13"/>
  <c r="M79" i="7"/>
  <c r="L79" i="7"/>
  <c r="K79" i="7"/>
  <c r="F79" i="7"/>
  <c r="J79" i="7" s="1"/>
  <c r="B79" i="7"/>
  <c r="AC78" i="7"/>
  <c r="AB78" i="7"/>
  <c r="AA78" i="7"/>
  <c r="V78" i="7"/>
  <c r="Z78" i="7" s="1"/>
  <c r="Q78" i="7"/>
  <c r="P78" i="7"/>
  <c r="O78" i="7"/>
  <c r="M78" i="7"/>
  <c r="L78" i="7"/>
  <c r="K78" i="7"/>
  <c r="F78" i="7"/>
  <c r="B78" i="7"/>
  <c r="Q77" i="7"/>
  <c r="P77" i="7"/>
  <c r="O77" i="7"/>
  <c r="M77" i="7"/>
  <c r="L77" i="7"/>
  <c r="K77" i="7"/>
  <c r="F77" i="7"/>
  <c r="B77" i="7"/>
  <c r="Q76" i="7"/>
  <c r="P76" i="7"/>
  <c r="O76" i="7"/>
  <c r="M76" i="7"/>
  <c r="L76" i="7"/>
  <c r="K76" i="7"/>
  <c r="F76" i="7"/>
  <c r="B76" i="7"/>
  <c r="AC75" i="7"/>
  <c r="AB75" i="7"/>
  <c r="AA75" i="7"/>
  <c r="V75" i="7"/>
  <c r="Z75" i="7" s="1"/>
  <c r="Q75" i="7"/>
  <c r="P75" i="7"/>
  <c r="O75" i="7"/>
  <c r="M75" i="7"/>
  <c r="L75" i="7"/>
  <c r="K75" i="7"/>
  <c r="F75" i="7"/>
  <c r="B75" i="7"/>
  <c r="Q74" i="7"/>
  <c r="P74" i="7"/>
  <c r="O74" i="7"/>
  <c r="M74" i="7"/>
  <c r="L74" i="7"/>
  <c r="K74" i="7"/>
  <c r="F74" i="7"/>
  <c r="B74" i="7"/>
  <c r="Q73" i="7"/>
  <c r="P73" i="7"/>
  <c r="O73" i="7"/>
  <c r="M73" i="7"/>
  <c r="L73" i="7"/>
  <c r="K73" i="7"/>
  <c r="F73" i="7"/>
  <c r="B73" i="7"/>
  <c r="Q72" i="7"/>
  <c r="P72" i="7"/>
  <c r="O72" i="7"/>
  <c r="M72" i="7"/>
  <c r="L72" i="7"/>
  <c r="K72" i="7"/>
  <c r="F72" i="7"/>
  <c r="B72" i="7"/>
  <c r="AC71" i="7"/>
  <c r="AB71" i="7"/>
  <c r="AA71" i="7"/>
  <c r="V71" i="7"/>
  <c r="Z71" i="7" s="1"/>
  <c r="Q71" i="7"/>
  <c r="P71" i="7"/>
  <c r="O71" i="7"/>
  <c r="M71" i="7"/>
  <c r="L71" i="7"/>
  <c r="K71" i="7"/>
  <c r="F71" i="7"/>
  <c r="B71" i="7"/>
  <c r="AC70" i="7"/>
  <c r="AB70" i="7"/>
  <c r="AA70" i="7"/>
  <c r="V70" i="7"/>
  <c r="Z70" i="7" s="1"/>
  <c r="Q70" i="7"/>
  <c r="P70" i="7"/>
  <c r="O70" i="7"/>
  <c r="M70" i="7"/>
  <c r="L70" i="7"/>
  <c r="K70" i="7"/>
  <c r="F70" i="7"/>
  <c r="B70" i="7"/>
  <c r="Q69" i="7"/>
  <c r="P69" i="7"/>
  <c r="O69" i="7"/>
  <c r="M69" i="7"/>
  <c r="L69" i="7"/>
  <c r="K69" i="7"/>
  <c r="F69" i="7"/>
  <c r="B69" i="7"/>
  <c r="AC68" i="7"/>
  <c r="AB68" i="7"/>
  <c r="AA68" i="7"/>
  <c r="V68" i="7"/>
  <c r="Z68" i="7" s="1"/>
  <c r="Q68" i="7"/>
  <c r="P68" i="7"/>
  <c r="O68" i="7"/>
  <c r="M68" i="7"/>
  <c r="L68" i="7"/>
  <c r="K68" i="7"/>
  <c r="F68" i="7"/>
  <c r="B68" i="7"/>
  <c r="AC67" i="7"/>
  <c r="AB67" i="7"/>
  <c r="AA67" i="7"/>
  <c r="V67" i="7"/>
  <c r="Z67" i="7" s="1"/>
  <c r="Q67" i="7"/>
  <c r="P67" i="7"/>
  <c r="O67" i="7"/>
  <c r="M67" i="7"/>
  <c r="L67" i="7"/>
  <c r="K67" i="7"/>
  <c r="F67" i="7"/>
  <c r="B67" i="7"/>
  <c r="AC66" i="7"/>
  <c r="AB66" i="7"/>
  <c r="AA66" i="7"/>
  <c r="V66" i="7"/>
  <c r="Z66" i="7" s="1"/>
  <c r="Q66" i="7"/>
  <c r="P66" i="7"/>
  <c r="O66" i="7"/>
  <c r="M66" i="7"/>
  <c r="L66" i="7"/>
  <c r="K66" i="7"/>
  <c r="F66" i="7"/>
  <c r="B66" i="7"/>
  <c r="AC65" i="7"/>
  <c r="AB65" i="7"/>
  <c r="AA65" i="7"/>
  <c r="V65" i="7"/>
  <c r="Z65" i="7" s="1"/>
  <c r="Q65" i="7"/>
  <c r="P65" i="7"/>
  <c r="O65" i="7"/>
  <c r="M65" i="7"/>
  <c r="L65" i="7"/>
  <c r="K65" i="7"/>
  <c r="F65" i="7"/>
  <c r="B65" i="7"/>
  <c r="AC64" i="7"/>
  <c r="AB64" i="7"/>
  <c r="AA64" i="7"/>
  <c r="V64" i="7"/>
  <c r="Z64" i="7" s="1"/>
  <c r="Q64" i="7"/>
  <c r="P64" i="7"/>
  <c r="O64" i="7"/>
  <c r="M64" i="7"/>
  <c r="L64" i="7"/>
  <c r="K64" i="7"/>
  <c r="F64" i="7"/>
  <c r="B64" i="7"/>
  <c r="AC63" i="7"/>
  <c r="AB63" i="7"/>
  <c r="AA63" i="7"/>
  <c r="V63" i="7"/>
  <c r="Z63" i="7" s="1"/>
  <c r="Q63" i="7"/>
  <c r="P63" i="7"/>
  <c r="O63" i="7"/>
  <c r="M63" i="7"/>
  <c r="L63" i="7"/>
  <c r="K63" i="7"/>
  <c r="F63" i="7"/>
  <c r="B63" i="7"/>
  <c r="N62" i="7"/>
  <c r="M62" i="7"/>
  <c r="L62" i="7"/>
  <c r="K62" i="7"/>
  <c r="F62" i="7"/>
  <c r="J62" i="7" s="1"/>
  <c r="B62" i="7"/>
  <c r="AC61" i="7"/>
  <c r="AB61" i="7"/>
  <c r="AA61" i="7"/>
  <c r="V61" i="7"/>
  <c r="Z61" i="7" s="1"/>
  <c r="N61" i="7"/>
  <c r="M61" i="7"/>
  <c r="L61" i="7"/>
  <c r="K61" i="7"/>
  <c r="F61" i="7"/>
  <c r="J61" i="7" s="1"/>
  <c r="B61" i="7"/>
  <c r="AC60" i="7"/>
  <c r="AB60" i="7"/>
  <c r="AA60" i="7"/>
  <c r="V60" i="7"/>
  <c r="Z60" i="7" s="1"/>
  <c r="N60" i="7"/>
  <c r="M60" i="7"/>
  <c r="L60" i="7"/>
  <c r="K60" i="7"/>
  <c r="F60" i="7"/>
  <c r="J60" i="7" s="1"/>
  <c r="B60" i="7"/>
  <c r="AC59" i="7"/>
  <c r="AB59" i="7"/>
  <c r="AA59" i="7"/>
  <c r="V59" i="7"/>
  <c r="Z59" i="7" s="1"/>
  <c r="N59" i="7"/>
  <c r="M59" i="7"/>
  <c r="L59" i="7"/>
  <c r="K59" i="7"/>
  <c r="F59" i="7"/>
  <c r="J59" i="7" s="1"/>
  <c r="B59" i="7"/>
  <c r="AC58" i="7"/>
  <c r="AB58" i="7"/>
  <c r="AA58" i="7"/>
  <c r="V58" i="7"/>
  <c r="Z58" i="7" s="1"/>
  <c r="N58" i="7"/>
  <c r="M58" i="7"/>
  <c r="L58" i="7"/>
  <c r="K58" i="7"/>
  <c r="F58" i="7"/>
  <c r="J58" i="7" s="1"/>
  <c r="B58" i="7"/>
  <c r="AC57" i="7"/>
  <c r="AB57" i="7"/>
  <c r="AA57" i="7"/>
  <c r="V57" i="7"/>
  <c r="Z57" i="7" s="1"/>
  <c r="N57" i="7"/>
  <c r="M57" i="7"/>
  <c r="L57" i="7"/>
  <c r="K57" i="7"/>
  <c r="F57" i="7"/>
  <c r="J57" i="7" s="1"/>
  <c r="B57" i="7"/>
  <c r="AC56" i="7"/>
  <c r="AB56" i="7"/>
  <c r="AA56" i="7"/>
  <c r="V56" i="7"/>
  <c r="Z56" i="7" s="1"/>
  <c r="N56" i="7"/>
  <c r="M56" i="7"/>
  <c r="L56" i="7"/>
  <c r="K56" i="7"/>
  <c r="F56" i="7"/>
  <c r="J56" i="7" s="1"/>
  <c r="B56" i="7"/>
  <c r="AC55" i="7"/>
  <c r="AB55" i="7"/>
  <c r="AA55" i="7"/>
  <c r="V55" i="7"/>
  <c r="Z55" i="7" s="1"/>
  <c r="N55" i="7"/>
  <c r="M55" i="7"/>
  <c r="L55" i="7"/>
  <c r="K55" i="7"/>
  <c r="F55" i="7"/>
  <c r="J55" i="7" s="1"/>
  <c r="B55" i="7"/>
  <c r="Q54" i="7"/>
  <c r="P54" i="7"/>
  <c r="O54" i="7"/>
  <c r="M54" i="7"/>
  <c r="L54" i="7"/>
  <c r="K54" i="7"/>
  <c r="F54" i="7"/>
  <c r="B54" i="7"/>
  <c r="AC53" i="7"/>
  <c r="AB53" i="7"/>
  <c r="AA53" i="7"/>
  <c r="V53" i="7"/>
  <c r="Z53" i="7" s="1"/>
  <c r="N53" i="7"/>
  <c r="M53" i="7"/>
  <c r="L53" i="7"/>
  <c r="K53" i="7"/>
  <c r="F53" i="7"/>
  <c r="J53" i="7" s="1"/>
  <c r="B53" i="7"/>
  <c r="AC52" i="7"/>
  <c r="AB52" i="7"/>
  <c r="AA52" i="7"/>
  <c r="V52" i="7"/>
  <c r="Z52" i="7" s="1"/>
  <c r="N52" i="7"/>
  <c r="M52" i="7"/>
  <c r="L52" i="7"/>
  <c r="K52" i="7"/>
  <c r="F52" i="7"/>
  <c r="J52" i="7" s="1"/>
  <c r="B52" i="7"/>
  <c r="AC51" i="7"/>
  <c r="AB51" i="7"/>
  <c r="V51" i="7"/>
  <c r="Q51" i="7"/>
  <c r="P51" i="7"/>
  <c r="M51" i="7"/>
  <c r="L51" i="7"/>
  <c r="F51" i="7"/>
  <c r="B51" i="7"/>
  <c r="AC50" i="7"/>
  <c r="Q50" i="7"/>
  <c r="P50" i="7"/>
  <c r="N50" i="7"/>
  <c r="M50" i="7"/>
  <c r="L50" i="7"/>
  <c r="F50" i="7"/>
  <c r="B50" i="7"/>
  <c r="AC49" i="7"/>
  <c r="AB49" i="7"/>
  <c r="V49" i="7"/>
  <c r="Q49" i="7"/>
  <c r="P49" i="7"/>
  <c r="O49" i="7"/>
  <c r="N49" i="7"/>
  <c r="M49" i="7"/>
  <c r="L49" i="7"/>
  <c r="K49" i="7"/>
  <c r="J49" i="7"/>
  <c r="B49" i="7"/>
  <c r="AC48" i="7"/>
  <c r="AB48" i="7"/>
  <c r="V48" i="7"/>
  <c r="Q48" i="7"/>
  <c r="P48" i="7"/>
  <c r="M48" i="7"/>
  <c r="L48" i="7"/>
  <c r="F48" i="7"/>
  <c r="B48" i="7"/>
  <c r="AC47" i="7"/>
  <c r="AB47" i="7"/>
  <c r="V47" i="7"/>
  <c r="Q47" i="7"/>
  <c r="P47" i="7"/>
  <c r="O47" i="7"/>
  <c r="N47" i="7"/>
  <c r="M47" i="7"/>
  <c r="L47" i="7"/>
  <c r="K47" i="7"/>
  <c r="J47" i="7"/>
  <c r="B47" i="7"/>
  <c r="AC46" i="7"/>
  <c r="AB46" i="7"/>
  <c r="V46" i="7"/>
  <c r="Q46" i="7"/>
  <c r="P46" i="7"/>
  <c r="M46" i="7"/>
  <c r="L46" i="7"/>
  <c r="F46" i="7"/>
  <c r="B46" i="7"/>
  <c r="AC45" i="7"/>
  <c r="AB45" i="7"/>
  <c r="V45" i="7"/>
  <c r="Q45" i="7"/>
  <c r="P45" i="7"/>
  <c r="M45" i="7"/>
  <c r="L45" i="7"/>
  <c r="F45" i="7"/>
  <c r="B45" i="7"/>
  <c r="AC44" i="7"/>
  <c r="AB44" i="7"/>
  <c r="V44" i="7"/>
  <c r="Q44" i="7"/>
  <c r="P44" i="7"/>
  <c r="M44" i="7"/>
  <c r="L44" i="7"/>
  <c r="F44" i="7"/>
  <c r="B44" i="7"/>
  <c r="AC43" i="7"/>
  <c r="AB43" i="7"/>
  <c r="V43" i="7"/>
  <c r="Q43" i="7"/>
  <c r="P43" i="7"/>
  <c r="M43" i="7"/>
  <c r="L43" i="7"/>
  <c r="F43" i="7"/>
  <c r="B43" i="7"/>
  <c r="AC42" i="7"/>
  <c r="AB42" i="7"/>
  <c r="V42" i="7"/>
  <c r="Q42" i="7"/>
  <c r="P42" i="7"/>
  <c r="M42" i="7"/>
  <c r="L42" i="7"/>
  <c r="F42" i="7"/>
  <c r="B42" i="7"/>
  <c r="AC41" i="7"/>
  <c r="AB41" i="7"/>
  <c r="V41" i="7"/>
  <c r="Q41" i="7"/>
  <c r="P41" i="7"/>
  <c r="M41" i="7"/>
  <c r="L41" i="7"/>
  <c r="F41" i="7"/>
  <c r="B41" i="7"/>
  <c r="AC40" i="7"/>
  <c r="AB40" i="7"/>
  <c r="V40" i="7"/>
  <c r="Q40" i="7"/>
  <c r="P40" i="7"/>
  <c r="M40" i="7"/>
  <c r="L40" i="7"/>
  <c r="F40" i="7"/>
  <c r="B40" i="7"/>
  <c r="Q39" i="7"/>
  <c r="P39" i="7"/>
  <c r="M39" i="7"/>
  <c r="L39" i="7"/>
  <c r="F39" i="7"/>
  <c r="B39" i="7"/>
  <c r="AC38" i="7"/>
  <c r="AB38" i="7"/>
  <c r="V38" i="7"/>
  <c r="Q38" i="7"/>
  <c r="P38" i="7"/>
  <c r="M38" i="7"/>
  <c r="L38" i="7"/>
  <c r="F38" i="7"/>
  <c r="B38" i="7"/>
  <c r="AC37" i="7"/>
  <c r="AB37" i="7"/>
  <c r="V37" i="7"/>
  <c r="N37" i="7"/>
  <c r="O37" i="7" s="1"/>
  <c r="M37" i="7"/>
  <c r="L37" i="7"/>
  <c r="F37" i="7"/>
  <c r="B37" i="7"/>
  <c r="AC36" i="7"/>
  <c r="AB36" i="7"/>
  <c r="V36" i="7"/>
  <c r="N36" i="7"/>
  <c r="O36" i="7" s="1"/>
  <c r="M36" i="7"/>
  <c r="L36" i="7"/>
  <c r="F36" i="7"/>
  <c r="B36" i="7"/>
  <c r="AC35" i="7"/>
  <c r="AB35" i="7"/>
  <c r="V35" i="7"/>
  <c r="N35" i="7"/>
  <c r="O35" i="7" s="1"/>
  <c r="M35" i="7"/>
  <c r="L35" i="7"/>
  <c r="F35" i="7"/>
  <c r="B35" i="7"/>
  <c r="AC34" i="7"/>
  <c r="AB34" i="7"/>
  <c r="V34" i="7"/>
  <c r="N34" i="7"/>
  <c r="O34" i="7" s="1"/>
  <c r="M34" i="7"/>
  <c r="L34" i="7"/>
  <c r="F34" i="7"/>
  <c r="B34" i="7"/>
  <c r="AC33" i="7"/>
  <c r="AB33" i="7"/>
  <c r="V33" i="7"/>
  <c r="N33" i="7"/>
  <c r="O33" i="7" s="1"/>
  <c r="M33" i="7"/>
  <c r="L33" i="7"/>
  <c r="F33" i="7"/>
  <c r="B33" i="7"/>
  <c r="M32" i="7"/>
  <c r="L32" i="7"/>
  <c r="F32" i="7"/>
  <c r="B32" i="7"/>
  <c r="M31" i="7"/>
  <c r="L31" i="7"/>
  <c r="F31" i="7"/>
  <c r="B31" i="7"/>
  <c r="M30" i="7"/>
  <c r="L30" i="7"/>
  <c r="F30" i="7"/>
  <c r="B30" i="7"/>
  <c r="M29" i="7"/>
  <c r="L29" i="7"/>
  <c r="F29" i="7"/>
  <c r="B29" i="7"/>
  <c r="AC28" i="7"/>
  <c r="AB28" i="7"/>
  <c r="AA28" i="7"/>
  <c r="Z28" i="7"/>
  <c r="N28" i="7"/>
  <c r="O28" i="7" s="1"/>
  <c r="M28" i="7"/>
  <c r="L28" i="7"/>
  <c r="K28" i="7"/>
  <c r="J28" i="7"/>
  <c r="B28" i="7"/>
  <c r="AC27" i="7"/>
  <c r="AB27" i="7"/>
  <c r="AA27" i="7"/>
  <c r="Z27" i="7"/>
  <c r="N27" i="7"/>
  <c r="O27" i="7" s="1"/>
  <c r="M27" i="7"/>
  <c r="L27" i="7"/>
  <c r="K27" i="7"/>
  <c r="J27" i="7"/>
  <c r="B27" i="7"/>
  <c r="AC26" i="7"/>
  <c r="AB26" i="7"/>
  <c r="V26" i="7"/>
  <c r="M26" i="7"/>
  <c r="L26" i="7"/>
  <c r="F26" i="7"/>
  <c r="B26" i="7"/>
  <c r="AC25" i="7"/>
  <c r="AB25" i="7"/>
  <c r="V25" i="7"/>
  <c r="M25" i="7"/>
  <c r="L25" i="7"/>
  <c r="F25" i="7"/>
  <c r="B25" i="7"/>
  <c r="AC24" i="7"/>
  <c r="AB24" i="7"/>
  <c r="V24" i="7"/>
  <c r="Q24" i="7"/>
  <c r="P24" i="7"/>
  <c r="M24" i="7"/>
  <c r="L24" i="7"/>
  <c r="F24" i="7"/>
  <c r="B24" i="7"/>
  <c r="Q23" i="7"/>
  <c r="P23" i="7"/>
  <c r="M23" i="7"/>
  <c r="L23" i="7"/>
  <c r="F23" i="7"/>
  <c r="B23" i="7"/>
  <c r="Q22" i="7"/>
  <c r="P22" i="7"/>
  <c r="O22" i="7"/>
  <c r="N22" i="7"/>
  <c r="M22" i="7"/>
  <c r="L22" i="7"/>
  <c r="K22" i="7"/>
  <c r="F22" i="7"/>
  <c r="J22" i="7" s="1"/>
  <c r="B22" i="7"/>
  <c r="AC21" i="7"/>
  <c r="AB21" i="7"/>
  <c r="V21" i="7"/>
  <c r="Q21" i="7"/>
  <c r="P21" i="7"/>
  <c r="N21" i="7"/>
  <c r="M21" i="7"/>
  <c r="L21" i="7"/>
  <c r="F21" i="7"/>
  <c r="B21" i="7"/>
  <c r="AC20" i="7"/>
  <c r="AB20" i="7"/>
  <c r="V20" i="7"/>
  <c r="Q20" i="7"/>
  <c r="P20" i="7"/>
  <c r="O20" i="7"/>
  <c r="N20" i="7"/>
  <c r="M20" i="7"/>
  <c r="L20" i="7"/>
  <c r="K20" i="7"/>
  <c r="F20" i="7"/>
  <c r="J20" i="7" s="1"/>
  <c r="B20" i="7"/>
  <c r="Q19" i="7"/>
  <c r="P19" i="7"/>
  <c r="M19" i="7"/>
  <c r="L19" i="7"/>
  <c r="F19" i="7"/>
  <c r="B19" i="7"/>
  <c r="AC18" i="7"/>
  <c r="AB18" i="7"/>
  <c r="V18" i="7"/>
  <c r="Q18" i="7"/>
  <c r="P18" i="7"/>
  <c r="M18" i="7"/>
  <c r="L18" i="7"/>
  <c r="F18" i="7"/>
  <c r="B18" i="7"/>
  <c r="AC17" i="7"/>
  <c r="AB17" i="7"/>
  <c r="V17" i="7"/>
  <c r="Q17" i="7"/>
  <c r="P17" i="7"/>
  <c r="M17" i="7"/>
  <c r="L17" i="7"/>
  <c r="F17" i="7"/>
  <c r="B17" i="7"/>
  <c r="AC16" i="7"/>
  <c r="AB16" i="7"/>
  <c r="V16" i="7"/>
  <c r="Q16" i="7"/>
  <c r="P16" i="7"/>
  <c r="M16" i="7"/>
  <c r="L16" i="7"/>
  <c r="F16" i="7"/>
  <c r="B16" i="7"/>
  <c r="AC15" i="7"/>
  <c r="AB15" i="7"/>
  <c r="V15" i="7"/>
  <c r="Q15" i="7"/>
  <c r="P15" i="7"/>
  <c r="M15" i="7"/>
  <c r="L15" i="7"/>
  <c r="F15" i="7"/>
  <c r="B15" i="7"/>
  <c r="AC14" i="7"/>
  <c r="AB14" i="7"/>
  <c r="V14" i="7"/>
  <c r="Q14" i="7"/>
  <c r="P14" i="7"/>
  <c r="M14" i="7"/>
  <c r="L14" i="7"/>
  <c r="F14" i="7"/>
  <c r="B14" i="7"/>
  <c r="AC13" i="7"/>
  <c r="AB13" i="7"/>
  <c r="V13" i="7"/>
  <c r="Q13" i="7"/>
  <c r="P13" i="7"/>
  <c r="M13" i="7"/>
  <c r="L13" i="7"/>
  <c r="F13" i="7"/>
  <c r="B13" i="7"/>
  <c r="AC12" i="7"/>
  <c r="AB12" i="7"/>
  <c r="V12" i="7"/>
  <c r="Q12" i="7"/>
  <c r="P12" i="7"/>
  <c r="M12" i="7"/>
  <c r="L12" i="7"/>
  <c r="F12" i="7"/>
  <c r="B12" i="7"/>
  <c r="AC11" i="7"/>
  <c r="AB11" i="7"/>
  <c r="AA11" i="7"/>
  <c r="Z11" i="7"/>
  <c r="Q11" i="7"/>
  <c r="P11" i="7"/>
  <c r="M11" i="7"/>
  <c r="L11" i="7"/>
  <c r="F11" i="7"/>
  <c r="B11" i="7"/>
  <c r="AC10" i="7"/>
  <c r="AB10" i="7"/>
  <c r="V10" i="7"/>
  <c r="Q10" i="7"/>
  <c r="P10" i="7"/>
  <c r="M10" i="7"/>
  <c r="L10" i="7"/>
  <c r="F10" i="7"/>
  <c r="B10" i="7"/>
  <c r="AC9" i="7"/>
  <c r="AB9" i="7"/>
  <c r="V9" i="7"/>
  <c r="N9" i="7"/>
  <c r="O9" i="7" s="1"/>
  <c r="M9" i="7"/>
  <c r="L9" i="7"/>
  <c r="F9" i="7"/>
  <c r="B9" i="7"/>
  <c r="AC8" i="7"/>
  <c r="AB8" i="7"/>
  <c r="V8" i="7"/>
  <c r="N8" i="7"/>
  <c r="O8" i="7" s="1"/>
  <c r="M8" i="7"/>
  <c r="L8" i="7"/>
  <c r="F8" i="7"/>
  <c r="B8" i="7"/>
  <c r="AC7" i="7"/>
  <c r="AB7" i="7"/>
  <c r="V7" i="7"/>
  <c r="N7" i="7"/>
  <c r="O7" i="7" s="1"/>
  <c r="M7" i="7"/>
  <c r="L7" i="7"/>
  <c r="F7" i="7"/>
  <c r="B7" i="7"/>
  <c r="AC6" i="7"/>
  <c r="AB6" i="7"/>
  <c r="V6" i="7"/>
  <c r="N6" i="7"/>
  <c r="O6" i="7" s="1"/>
  <c r="M6" i="7"/>
  <c r="L6" i="7"/>
  <c r="F6" i="7"/>
  <c r="B6" i="7"/>
  <c r="AC5" i="7"/>
  <c r="AB5" i="7"/>
  <c r="V5" i="7"/>
  <c r="R5" i="7"/>
  <c r="S5" i="7" s="1"/>
  <c r="N5" i="7"/>
  <c r="O5" i="7" s="1"/>
  <c r="M5" i="7"/>
  <c r="L5" i="7"/>
  <c r="F5" i="7"/>
  <c r="B5" i="7"/>
  <c r="AC4" i="7"/>
  <c r="AB4" i="7"/>
  <c r="V4" i="7"/>
  <c r="R4" i="7"/>
  <c r="S4" i="7" s="1"/>
  <c r="N4" i="7"/>
  <c r="O4" i="7" s="1"/>
  <c r="M4" i="7"/>
  <c r="L4" i="7"/>
  <c r="F4" i="7"/>
  <c r="B4" i="7"/>
  <c r="AC3" i="7"/>
  <c r="AB3" i="7"/>
  <c r="V3" i="7"/>
  <c r="R3" i="7"/>
  <c r="S3" i="7" s="1"/>
  <c r="N3" i="7"/>
  <c r="O3" i="7" s="1"/>
  <c r="M3" i="7"/>
  <c r="L3" i="7"/>
  <c r="F3" i="7"/>
  <c r="B3" i="7"/>
  <c r="B130" i="5"/>
  <c r="B129" i="5"/>
  <c r="B128" i="5"/>
  <c r="B127" i="5"/>
  <c r="B126" i="5"/>
  <c r="B125" i="5"/>
  <c r="F9" i="4"/>
  <c r="F8" i="4"/>
  <c r="F7" i="4"/>
  <c r="F6" i="4"/>
  <c r="F5" i="4"/>
  <c r="F4" i="4"/>
  <c r="F3" i="4"/>
  <c r="F2" i="4"/>
  <c r="D3" i="3"/>
  <c r="E2" i="3"/>
  <c r="B4" i="9" a="1"/>
  <c r="B4" i="9" s="1"/>
  <c r="N78" i="7" l="1"/>
  <c r="J78" i="7"/>
  <c r="N77" i="7"/>
  <c r="J77" i="7"/>
  <c r="N76" i="7"/>
  <c r="J76" i="7"/>
  <c r="N75" i="7"/>
  <c r="J75" i="7"/>
  <c r="N74" i="7"/>
  <c r="J74" i="7"/>
  <c r="N73" i="7"/>
  <c r="J73" i="7"/>
  <c r="N72" i="7"/>
  <c r="J72" i="7"/>
  <c r="N71" i="7"/>
  <c r="J71" i="7"/>
  <c r="N70" i="7"/>
  <c r="J70" i="7"/>
  <c r="N69" i="7"/>
  <c r="J69" i="7"/>
  <c r="N68" i="7"/>
  <c r="J68" i="7"/>
  <c r="J67" i="7"/>
  <c r="N67" i="7"/>
  <c r="N66" i="7"/>
  <c r="J66" i="7"/>
  <c r="N65" i="7"/>
  <c r="J65" i="7"/>
  <c r="N64" i="7"/>
  <c r="J64" i="7"/>
  <c r="N63" i="7"/>
  <c r="J63" i="7"/>
  <c r="N54" i="7"/>
  <c r="J54" i="7"/>
  <c r="W51" i="7"/>
  <c r="AA51" i="7" s="1"/>
  <c r="Z51" i="7"/>
  <c r="G51" i="7"/>
  <c r="J51" i="7"/>
  <c r="N51" i="7"/>
  <c r="J50" i="7"/>
  <c r="G50" i="7"/>
  <c r="Z49" i="7"/>
  <c r="W49" i="7"/>
  <c r="AA49" i="7" s="1"/>
  <c r="Z48" i="7"/>
  <c r="W48" i="7"/>
  <c r="AA48" i="7" s="1"/>
  <c r="N48" i="7"/>
  <c r="J48" i="7"/>
  <c r="G48" i="7"/>
  <c r="Z47" i="7"/>
  <c r="W47" i="7"/>
  <c r="AA47" i="7" s="1"/>
  <c r="Z46" i="7"/>
  <c r="W46" i="7"/>
  <c r="AA46" i="7" s="1"/>
  <c r="J46" i="7"/>
  <c r="G46" i="7"/>
  <c r="N46" i="7"/>
  <c r="Z45" i="7"/>
  <c r="W45" i="7"/>
  <c r="AA45" i="7" s="1"/>
  <c r="N45" i="7"/>
  <c r="J45" i="7"/>
  <c r="G45" i="7"/>
  <c r="Z44" i="7"/>
  <c r="W44" i="7"/>
  <c r="AA44" i="7" s="1"/>
  <c r="N44" i="7"/>
  <c r="J44" i="7"/>
  <c r="G44" i="7"/>
  <c r="Z43" i="7"/>
  <c r="W43" i="7"/>
  <c r="AA43" i="7" s="1"/>
  <c r="G43" i="7"/>
  <c r="N43" i="7"/>
  <c r="J43" i="7"/>
  <c r="Z42" i="7"/>
  <c r="W42" i="7"/>
  <c r="AA42" i="7" s="1"/>
  <c r="N42" i="7"/>
  <c r="J42" i="7"/>
  <c r="G42" i="7"/>
  <c r="Z41" i="7"/>
  <c r="W41" i="7"/>
  <c r="AA41" i="7" s="1"/>
  <c r="N41" i="7"/>
  <c r="J41" i="7"/>
  <c r="G41" i="7"/>
  <c r="Z40" i="7"/>
  <c r="W40" i="7"/>
  <c r="AA40" i="7" s="1"/>
  <c r="N40" i="7"/>
  <c r="J40" i="7"/>
  <c r="G40" i="7"/>
  <c r="N39" i="7"/>
  <c r="G39" i="7"/>
  <c r="J39" i="7"/>
  <c r="Z38" i="7"/>
  <c r="W38" i="7"/>
  <c r="AA38" i="7" s="1"/>
  <c r="N38" i="7"/>
  <c r="J38" i="7"/>
  <c r="G38" i="7"/>
  <c r="Z37" i="7"/>
  <c r="W37" i="7"/>
  <c r="AA37" i="7" s="1"/>
  <c r="J37" i="7"/>
  <c r="G37" i="7"/>
  <c r="K37" i="7" s="1"/>
  <c r="Z36" i="7"/>
  <c r="W36" i="7"/>
  <c r="AA36" i="7" s="1"/>
  <c r="J36" i="7"/>
  <c r="G36" i="7"/>
  <c r="K36" i="7" s="1"/>
  <c r="Z35" i="7"/>
  <c r="W35" i="7"/>
  <c r="AA35" i="7" s="1"/>
  <c r="J35" i="7"/>
  <c r="G35" i="7"/>
  <c r="K35" i="7" s="1"/>
  <c r="Z34" i="7"/>
  <c r="W34" i="7"/>
  <c r="AA34" i="7" s="1"/>
  <c r="J34" i="7"/>
  <c r="G34" i="7"/>
  <c r="K34" i="7" s="1"/>
  <c r="Z33" i="7"/>
  <c r="W33" i="7"/>
  <c r="AA33" i="7" s="1"/>
  <c r="J33" i="7"/>
  <c r="G33" i="7"/>
  <c r="K33" i="7" s="1"/>
  <c r="J32" i="7"/>
  <c r="G32" i="7"/>
  <c r="K32" i="7" s="1"/>
  <c r="J31" i="7"/>
  <c r="G31" i="7"/>
  <c r="K31" i="7" s="1"/>
  <c r="J30" i="7"/>
  <c r="G30" i="7"/>
  <c r="K30" i="7" s="1"/>
  <c r="J29" i="7"/>
  <c r="G29" i="7"/>
  <c r="K29" i="7" s="1"/>
  <c r="Z26" i="7"/>
  <c r="W26" i="7"/>
  <c r="AA26" i="7" s="1"/>
  <c r="J26" i="7"/>
  <c r="G26" i="7"/>
  <c r="K26" i="7" s="1"/>
  <c r="Z25" i="7"/>
  <c r="W25" i="7"/>
  <c r="AA25" i="7" s="1"/>
  <c r="J25" i="7"/>
  <c r="G25" i="7"/>
  <c r="K25" i="7" s="1"/>
  <c r="Z24" i="7"/>
  <c r="W24" i="7"/>
  <c r="AA24" i="7" s="1"/>
  <c r="N24" i="7"/>
  <c r="J24" i="7"/>
  <c r="G24" i="7"/>
  <c r="N23" i="7"/>
  <c r="J23" i="7"/>
  <c r="G23" i="7"/>
  <c r="W21" i="7"/>
  <c r="AA21" i="7" s="1"/>
  <c r="Z21" i="7"/>
  <c r="J21" i="7"/>
  <c r="G21" i="7"/>
  <c r="Z20" i="7"/>
  <c r="W20" i="7"/>
  <c r="AA20" i="7" s="1"/>
  <c r="N19" i="7"/>
  <c r="J19" i="7"/>
  <c r="G19" i="7"/>
  <c r="Z18" i="7"/>
  <c r="W18" i="7"/>
  <c r="AA18" i="7" s="1"/>
  <c r="N18" i="7"/>
  <c r="J18" i="7"/>
  <c r="G18" i="7"/>
  <c r="Z17" i="7"/>
  <c r="W17" i="7"/>
  <c r="AA17" i="7" s="1"/>
  <c r="N17" i="7"/>
  <c r="J17" i="7"/>
  <c r="G17" i="7"/>
  <c r="Z16" i="7"/>
  <c r="W16" i="7"/>
  <c r="AA16" i="7" s="1"/>
  <c r="N16" i="7"/>
  <c r="J16" i="7"/>
  <c r="G16" i="7"/>
  <c r="Z15" i="7"/>
  <c r="W15" i="7"/>
  <c r="AA15" i="7" s="1"/>
  <c r="J15" i="7"/>
  <c r="G15" i="7"/>
  <c r="N15" i="7"/>
  <c r="Z14" i="7"/>
  <c r="W14" i="7"/>
  <c r="AA14" i="7" s="1"/>
  <c r="N14" i="7"/>
  <c r="J14" i="7"/>
  <c r="G14" i="7"/>
  <c r="Z13" i="7"/>
  <c r="W13" i="7"/>
  <c r="AA13" i="7" s="1"/>
  <c r="N13" i="7"/>
  <c r="J13" i="7"/>
  <c r="G13" i="7"/>
  <c r="Z12" i="7"/>
  <c r="W12" i="7"/>
  <c r="AA12" i="7" s="1"/>
  <c r="J12" i="7"/>
  <c r="N12" i="7"/>
  <c r="G12" i="7"/>
  <c r="N11" i="7"/>
  <c r="J11" i="7"/>
  <c r="G11" i="7"/>
  <c r="Z10" i="7"/>
  <c r="W10" i="7"/>
  <c r="AA10" i="7" s="1"/>
  <c r="N10" i="7"/>
  <c r="J10" i="7"/>
  <c r="G10" i="7"/>
  <c r="Z9" i="7"/>
  <c r="W9" i="7"/>
  <c r="AA9" i="7" s="1"/>
  <c r="J9" i="7"/>
  <c r="G9" i="7"/>
  <c r="K9" i="7" s="1"/>
  <c r="Z8" i="7"/>
  <c r="W8" i="7"/>
  <c r="AA8" i="7" s="1"/>
  <c r="J8" i="7"/>
  <c r="G8" i="7"/>
  <c r="K8" i="7" s="1"/>
  <c r="Z7" i="7"/>
  <c r="W7" i="7"/>
  <c r="AA7" i="7" s="1"/>
  <c r="J7" i="7"/>
  <c r="G7" i="7"/>
  <c r="K7" i="7" s="1"/>
  <c r="Z6" i="7"/>
  <c r="W6" i="7"/>
  <c r="AA6" i="7" s="1"/>
  <c r="J6" i="7"/>
  <c r="G6" i="7"/>
  <c r="K6" i="7" s="1"/>
  <c r="Z5" i="7"/>
  <c r="W5" i="7"/>
  <c r="AA5" i="7" s="1"/>
  <c r="J5" i="7"/>
  <c r="G5" i="7"/>
  <c r="K5" i="7" s="1"/>
  <c r="W4" i="7"/>
  <c r="AA4" i="7" s="1"/>
  <c r="Z4" i="7"/>
  <c r="J4" i="7"/>
  <c r="G4" i="7"/>
  <c r="K4" i="7" s="1"/>
  <c r="Z3" i="7"/>
  <c r="W3" i="7"/>
  <c r="AA3" i="7" s="1"/>
  <c r="J3" i="7"/>
  <c r="G3" i="7"/>
  <c r="K3" i="7" s="1"/>
  <c r="E3" i="3"/>
  <c r="D4" i="3"/>
  <c r="K51" i="7" l="1"/>
  <c r="O51" i="7"/>
  <c r="K50" i="7"/>
  <c r="O50" i="7"/>
  <c r="K48" i="7"/>
  <c r="O48" i="7"/>
  <c r="K46" i="7"/>
  <c r="O46" i="7"/>
  <c r="K45" i="7"/>
  <c r="O45" i="7"/>
  <c r="K44" i="7"/>
  <c r="O44" i="7"/>
  <c r="K43" i="7"/>
  <c r="O43" i="7"/>
  <c r="K42" i="7"/>
  <c r="O42" i="7"/>
  <c r="K41" i="7"/>
  <c r="O41" i="7"/>
  <c r="K40" i="7"/>
  <c r="O40" i="7"/>
  <c r="K39" i="7"/>
  <c r="O39" i="7"/>
  <c r="K38" i="7"/>
  <c r="O38" i="7"/>
  <c r="K24" i="7"/>
  <c r="O24" i="7"/>
  <c r="K23" i="7"/>
  <c r="O23" i="7"/>
  <c r="K21" i="7"/>
  <c r="O21" i="7"/>
  <c r="K19" i="7"/>
  <c r="O19" i="7"/>
  <c r="K18" i="7"/>
  <c r="O18" i="7"/>
  <c r="K17" i="7"/>
  <c r="O17" i="7"/>
  <c r="K16" i="7"/>
  <c r="O16" i="7"/>
  <c r="K15" i="7"/>
  <c r="O15" i="7"/>
  <c r="K14" i="7"/>
  <c r="O14" i="7"/>
  <c r="K13" i="7"/>
  <c r="O13" i="7"/>
  <c r="K12" i="7"/>
  <c r="O12" i="7"/>
  <c r="K11" i="7"/>
  <c r="O11" i="7"/>
  <c r="K10" i="7"/>
  <c r="O10" i="7"/>
  <c r="D5" i="3"/>
  <c r="D6" i="3"/>
  <c r="E6" i="3" s="1"/>
  <c r="E4" i="3"/>
  <c r="J238" i="9" l="1" a="1"/>
  <c r="J238" i="9" s="1"/>
  <c r="I242" i="9" a="1"/>
  <c r="I242" i="9" s="1"/>
  <c r="F250" i="9" a="1"/>
  <c r="F250" i="9" s="1"/>
  <c r="I250" i="9" a="1"/>
  <c r="I250" i="9" s="1"/>
  <c r="I254" i="9" a="1"/>
  <c r="I254" i="9" s="1"/>
  <c r="F262" i="9" a="1"/>
  <c r="F262" i="9" s="1"/>
  <c r="E5" i="3"/>
  <c r="F3" i="13" a="1"/>
  <c r="F3" i="13" s="1"/>
  <c r="B10" i="13" a="1"/>
  <c r="B10" i="13" s="1"/>
  <c r="F12" i="13" a="1"/>
  <c r="F12" i="13" s="1"/>
  <c r="B13" i="13" a="1"/>
  <c r="B13" i="13" s="1"/>
  <c r="F14" i="13" a="1"/>
  <c r="F14" i="13" s="1"/>
  <c r="F17" i="13" a="1"/>
  <c r="F17" i="13" s="1"/>
  <c r="G20" i="13" a="1"/>
  <c r="G20" i="13" s="1"/>
  <c r="E28" i="13" a="1"/>
  <c r="E28" i="13" s="1"/>
  <c r="F28" i="13" a="1"/>
  <c r="F28" i="13" s="1"/>
  <c r="F242" i="9" a="1"/>
  <c r="F242" i="9" s="1"/>
  <c r="J242" i="9" a="1"/>
  <c r="J242" i="9" s="1"/>
  <c r="I246" i="9" a="1"/>
  <c r="I246" i="9" s="1"/>
  <c r="H250" i="9" a="1"/>
  <c r="H250" i="9" s="1"/>
  <c r="J250" i="9" a="1"/>
  <c r="J250" i="9" s="1"/>
  <c r="H258" i="9" a="1"/>
  <c r="H258" i="9" s="1"/>
  <c r="J258" i="9" a="1"/>
  <c r="J258" i="9" s="1"/>
  <c r="J262" i="9" a="1"/>
  <c r="J262" i="9" s="1"/>
  <c r="G266" i="9" a="1"/>
  <c r="G266" i="9" s="1"/>
  <c r="F275" i="9" a="1"/>
  <c r="F275" i="9" s="1"/>
  <c r="F279" i="9" a="1"/>
  <c r="F279" i="9" s="1"/>
  <c r="J283" i="9" a="1"/>
  <c r="J283" i="9" s="1"/>
  <c r="H238" i="9" a="1"/>
  <c r="H238" i="9" s="1"/>
  <c r="F246" i="9" a="1"/>
  <c r="F246" i="9" s="1"/>
  <c r="J246" i="9" a="1"/>
  <c r="J246" i="9" s="1"/>
  <c r="H254" i="9" a="1"/>
  <c r="H254" i="9" s="1"/>
  <c r="F258" i="9" a="1"/>
  <c r="F258" i="9" s="1"/>
  <c r="I258" i="9" a="1"/>
  <c r="I258" i="9" s="1"/>
  <c r="G262" i="9" a="1"/>
  <c r="G262" i="9" s="1"/>
  <c r="F266" i="9" a="1"/>
  <c r="F266" i="9" s="1"/>
  <c r="J270" i="9" a="1"/>
  <c r="J270" i="9" s="1"/>
  <c r="J275" i="9" a="1"/>
  <c r="J275" i="9" s="1"/>
  <c r="G279" i="9" a="1"/>
  <c r="G279" i="9" s="1"/>
  <c r="J279" i="9" a="1"/>
  <c r="J279" i="9" s="1"/>
  <c r="F283" i="9" a="1"/>
  <c r="F283" i="9" s="1"/>
  <c r="F3" i="9" a="1"/>
  <c r="F3" i="9" s="1"/>
  <c r="J3" i="9" a="1"/>
  <c r="J3" i="9" s="1"/>
  <c r="F5" i="9" a="1"/>
  <c r="F5" i="9" s="1"/>
  <c r="J5" i="9" a="1"/>
  <c r="J5" i="9" s="1"/>
  <c r="F7" i="9" a="1"/>
  <c r="F7" i="9" s="1"/>
  <c r="J7" i="9" a="1"/>
  <c r="J7" i="9" s="1"/>
  <c r="F9" i="9" a="1"/>
  <c r="F9" i="9" s="1"/>
  <c r="G9" i="9" a="1"/>
  <c r="G9" i="9" s="1"/>
  <c r="F12" i="9" a="1"/>
  <c r="F12" i="9" s="1"/>
  <c r="F14" i="9" a="1"/>
  <c r="F14" i="9" s="1"/>
  <c r="F17" i="9" a="1"/>
  <c r="F17" i="9" s="1"/>
  <c r="H17" i="9" a="1"/>
  <c r="H17" i="9" s="1"/>
  <c r="I17" i="9" a="1"/>
  <c r="I17" i="9" s="1"/>
  <c r="J17" i="9" a="1"/>
  <c r="J17" i="9" s="1"/>
  <c r="F21" i="9" a="1"/>
  <c r="F21" i="9" s="1"/>
  <c r="H21" i="9" a="1"/>
  <c r="H21" i="9" s="1"/>
  <c r="I21" i="9" a="1"/>
  <c r="I21" i="9" s="1"/>
  <c r="J21" i="9" a="1"/>
  <c r="J21" i="9" s="1"/>
  <c r="F25" i="9" a="1"/>
  <c r="F25" i="9" s="1"/>
  <c r="H25" i="9" a="1"/>
  <c r="H25" i="9" s="1"/>
  <c r="I25" i="9" a="1"/>
  <c r="I25" i="9" s="1"/>
  <c r="J25" i="9" a="1"/>
  <c r="J25" i="9" s="1"/>
  <c r="F29" i="9" a="1"/>
  <c r="F29" i="9" s="1"/>
  <c r="H29" i="9" a="1"/>
  <c r="H29" i="9" s="1"/>
  <c r="I29" i="9" a="1"/>
  <c r="I29" i="9" s="1"/>
  <c r="J29" i="9" a="1"/>
  <c r="J29" i="9" s="1"/>
  <c r="F33" i="9" a="1"/>
  <c r="F33" i="9" s="1"/>
  <c r="H33" i="9" a="1"/>
  <c r="H33" i="9" s="1"/>
  <c r="I33" i="9" a="1"/>
  <c r="I33" i="9" s="1"/>
  <c r="J33" i="9" a="1"/>
  <c r="J33" i="9" s="1"/>
  <c r="F37" i="9" a="1"/>
  <c r="F37" i="9" s="1"/>
  <c r="H37" i="9" a="1"/>
  <c r="H37" i="9" s="1"/>
  <c r="I37" i="9" a="1"/>
  <c r="I37" i="9" s="1"/>
  <c r="J37" i="9" a="1"/>
  <c r="J37" i="9" s="1"/>
  <c r="F41" i="9" a="1"/>
  <c r="F41" i="9" s="1"/>
  <c r="H41" i="9" a="1"/>
  <c r="H41" i="9" s="1"/>
  <c r="I41" i="9" a="1"/>
  <c r="I41" i="9" s="1"/>
  <c r="J41" i="9" a="1"/>
  <c r="J41" i="9" s="1"/>
  <c r="F45" i="9" a="1"/>
  <c r="F45" i="9" s="1"/>
  <c r="H45" i="9" a="1"/>
  <c r="H45" i="9" s="1"/>
  <c r="I45" i="9" a="1"/>
  <c r="I45" i="9" s="1"/>
  <c r="J45" i="9" a="1"/>
  <c r="J45" i="9" s="1"/>
  <c r="F49" i="9" a="1"/>
  <c r="F49" i="9" s="1"/>
  <c r="H49" i="9" a="1"/>
  <c r="H49" i="9" s="1"/>
  <c r="I49" i="9" a="1"/>
  <c r="I49" i="9" s="1"/>
  <c r="J49" i="9" a="1"/>
  <c r="J49" i="9" s="1"/>
  <c r="F53" i="9" a="1"/>
  <c r="F53" i="9" s="1"/>
  <c r="H53" i="9" a="1"/>
  <c r="H53" i="9" s="1"/>
  <c r="I53" i="9" a="1"/>
  <c r="I53" i="9" s="1"/>
  <c r="J53" i="9" a="1"/>
  <c r="J53" i="9" s="1"/>
  <c r="F57" i="9" a="1"/>
  <c r="F57" i="9" s="1"/>
  <c r="H57" i="9" a="1"/>
  <c r="H57" i="9" s="1"/>
  <c r="I57" i="9" a="1"/>
  <c r="I57" i="9" s="1"/>
  <c r="J57" i="9" a="1"/>
  <c r="J57" i="9" s="1"/>
  <c r="F61" i="9" a="1"/>
  <c r="F61" i="9" s="1"/>
  <c r="H61" i="9" a="1"/>
  <c r="H61" i="9" s="1"/>
  <c r="I61" i="9" a="1"/>
  <c r="I61" i="9" s="1"/>
  <c r="J61" i="9" a="1"/>
  <c r="J61" i="9" s="1"/>
  <c r="F65" i="9" a="1"/>
  <c r="F65" i="9" s="1"/>
  <c r="H65" i="9" a="1"/>
  <c r="H65" i="9" s="1"/>
  <c r="I65" i="9" a="1"/>
  <c r="I65" i="9" s="1"/>
  <c r="J65" i="9" a="1"/>
  <c r="J65" i="9" s="1"/>
  <c r="F69" i="9" a="1"/>
  <c r="F69" i="9" s="1"/>
  <c r="H69" i="9" a="1"/>
  <c r="H69" i="9" s="1"/>
  <c r="I69" i="9" a="1"/>
  <c r="I69" i="9" s="1"/>
  <c r="J69" i="9" a="1"/>
  <c r="J69" i="9" s="1"/>
  <c r="F73" i="9" a="1"/>
  <c r="F73" i="9" s="1"/>
  <c r="H73" i="9" a="1"/>
  <c r="H73" i="9" s="1"/>
  <c r="I73" i="9" a="1"/>
  <c r="I73" i="9" s="1"/>
  <c r="J73" i="9" a="1"/>
  <c r="J73" i="9" s="1"/>
  <c r="F77" i="9" a="1"/>
  <c r="F77" i="9" s="1"/>
  <c r="H77" i="9" a="1"/>
  <c r="H77" i="9" s="1"/>
  <c r="I77" i="9" a="1"/>
  <c r="I77" i="9" s="1"/>
  <c r="J77" i="9" a="1"/>
  <c r="J77" i="9" s="1"/>
  <c r="J81" i="9" a="1"/>
  <c r="J81" i="9" s="1"/>
  <c r="J85" i="9" a="1"/>
  <c r="J85" i="9" s="1"/>
  <c r="H89" i="9" a="1"/>
  <c r="H89" i="9" s="1"/>
  <c r="I89" i="9" a="1"/>
  <c r="I89" i="9" s="1"/>
  <c r="J89" i="9" a="1"/>
  <c r="J89" i="9" s="1"/>
  <c r="F93" i="9" a="1"/>
  <c r="F93" i="9" s="1"/>
  <c r="H93" i="9" a="1"/>
  <c r="H93" i="9" s="1"/>
  <c r="I93" i="9" a="1"/>
  <c r="I93" i="9" s="1"/>
  <c r="J93" i="9" a="1"/>
  <c r="J93" i="9" s="1"/>
  <c r="F97" i="9" a="1"/>
  <c r="F97" i="9" s="1"/>
  <c r="H97" i="9" a="1"/>
  <c r="H97" i="9" s="1"/>
  <c r="I97" i="9" a="1"/>
  <c r="I97" i="9" s="1"/>
  <c r="J97" i="9" a="1"/>
  <c r="J97" i="9" s="1"/>
  <c r="F101" i="9" a="1"/>
  <c r="F101" i="9" s="1"/>
  <c r="H101" i="9" a="1"/>
  <c r="H101" i="9" s="1"/>
  <c r="I101" i="9" a="1"/>
  <c r="I101" i="9" s="1"/>
  <c r="J101" i="9" a="1"/>
  <c r="J101" i="9" s="1"/>
  <c r="F105" i="9" a="1"/>
  <c r="F105" i="9" s="1"/>
  <c r="H105" i="9" a="1"/>
  <c r="H105" i="9" s="1"/>
  <c r="I105" i="9" a="1"/>
  <c r="I105" i="9" s="1"/>
  <c r="J105" i="9" a="1"/>
  <c r="J105" i="9" s="1"/>
  <c r="F109" i="9" a="1"/>
  <c r="F109" i="9" s="1"/>
  <c r="H109" i="9" a="1"/>
  <c r="H109" i="9" s="1"/>
  <c r="I109" i="9" a="1"/>
  <c r="I109" i="9" s="1"/>
  <c r="J109" i="9" a="1"/>
  <c r="J109" i="9" s="1"/>
  <c r="F113" i="9" a="1"/>
  <c r="F113" i="9" s="1"/>
  <c r="H113" i="9" a="1"/>
  <c r="H113" i="9" s="1"/>
  <c r="I113" i="9" a="1"/>
  <c r="I113" i="9" s="1"/>
  <c r="J113" i="9" a="1"/>
  <c r="J113" i="9" s="1"/>
  <c r="F117" i="9" a="1"/>
  <c r="F117" i="9" s="1"/>
  <c r="H117" i="9" a="1"/>
  <c r="H117" i="9" s="1"/>
  <c r="I117" i="9" a="1"/>
  <c r="I117" i="9" s="1"/>
  <c r="J117" i="9" a="1"/>
  <c r="J117" i="9" s="1"/>
  <c r="F121" i="9" a="1"/>
  <c r="F121" i="9" s="1"/>
  <c r="H121" i="9" a="1"/>
  <c r="H121" i="9" s="1"/>
  <c r="I121" i="9" a="1"/>
  <c r="I121" i="9" s="1"/>
  <c r="J121" i="9" a="1"/>
  <c r="J121" i="9" s="1"/>
  <c r="F125" i="9" a="1"/>
  <c r="F125" i="9" s="1"/>
  <c r="H125" i="9" a="1"/>
  <c r="H125" i="9" s="1"/>
  <c r="I125" i="9" a="1"/>
  <c r="I125" i="9" s="1"/>
  <c r="J125" i="9" a="1"/>
  <c r="J125" i="9" s="1"/>
  <c r="F129" i="9" a="1"/>
  <c r="F129" i="9" s="1"/>
  <c r="H129" i="9" a="1"/>
  <c r="H129" i="9" s="1"/>
  <c r="I129" i="9" a="1"/>
  <c r="I129" i="9" s="1"/>
  <c r="J129" i="9" a="1"/>
  <c r="J129" i="9" s="1"/>
  <c r="F133" i="9" a="1"/>
  <c r="F133" i="9" s="1"/>
  <c r="H133" i="9" a="1"/>
  <c r="H133" i="9" s="1"/>
  <c r="I133" i="9" a="1"/>
  <c r="I133" i="9" s="1"/>
  <c r="J133" i="9" a="1"/>
  <c r="J133" i="9" s="1"/>
  <c r="F137" i="9" a="1"/>
  <c r="F137" i="9" s="1"/>
  <c r="H137" i="9" a="1"/>
  <c r="H137" i="9" s="1"/>
  <c r="I137" i="9" a="1"/>
  <c r="I137" i="9" s="1"/>
  <c r="J137" i="9" a="1"/>
  <c r="J137" i="9" s="1"/>
  <c r="F141" i="9" a="1"/>
  <c r="F141" i="9" s="1"/>
  <c r="J141" i="9" a="1"/>
  <c r="J141" i="9" s="1"/>
  <c r="F145" i="9" a="1"/>
  <c r="F145" i="9" s="1"/>
  <c r="J145" i="9" a="1"/>
  <c r="J145" i="9" s="1"/>
  <c r="F149" i="9" a="1"/>
  <c r="F149" i="9" s="1"/>
  <c r="J149" i="9" a="1"/>
  <c r="J149" i="9" s="1"/>
  <c r="F153" i="9" a="1"/>
  <c r="F153" i="9" s="1"/>
  <c r="J153" i="9" a="1"/>
  <c r="J153" i="9" s="1"/>
  <c r="F157" i="9" a="1"/>
  <c r="F157" i="9" s="1"/>
  <c r="J157" i="9" a="1"/>
  <c r="J157" i="9" s="1"/>
  <c r="F161" i="9" a="1"/>
  <c r="F161" i="9" s="1"/>
  <c r="J161" i="9" a="1"/>
  <c r="J161" i="9" s="1"/>
  <c r="F165" i="9" a="1"/>
  <c r="F165" i="9" s="1"/>
  <c r="G165" i="9" a="1"/>
  <c r="G165" i="9" s="1"/>
  <c r="J165" i="9" a="1"/>
  <c r="J165" i="9" s="1"/>
  <c r="F169" i="9" a="1"/>
  <c r="F169" i="9" s="1"/>
  <c r="G169" i="9" a="1"/>
  <c r="G169" i="9" s="1"/>
  <c r="J169" i="9" a="1"/>
  <c r="J169" i="9" s="1"/>
  <c r="F173" i="9" a="1"/>
  <c r="F173" i="9" s="1"/>
  <c r="G173" i="9" a="1"/>
  <c r="G173" i="9" s="1"/>
  <c r="J173" i="9" a="1"/>
  <c r="J173" i="9" s="1"/>
  <c r="F177" i="9" a="1"/>
  <c r="F177" i="9" s="1"/>
  <c r="G177" i="9" a="1"/>
  <c r="G177" i="9" s="1"/>
  <c r="J177" i="9" a="1"/>
  <c r="J177" i="9" s="1"/>
  <c r="F181" i="9" a="1"/>
  <c r="F181" i="9" s="1"/>
  <c r="G181" i="9" a="1"/>
  <c r="G181" i="9" s="1"/>
  <c r="J181" i="9" a="1"/>
  <c r="J181" i="9" s="1"/>
  <c r="F185" i="9" a="1"/>
  <c r="F185" i="9" s="1"/>
  <c r="G185" i="9" a="1"/>
  <c r="G185" i="9" s="1"/>
  <c r="J185" i="9" a="1"/>
  <c r="J185" i="9" s="1"/>
  <c r="F189" i="9" a="1"/>
  <c r="F189" i="9" s="1"/>
  <c r="G189" i="9" a="1"/>
  <c r="G189" i="9" s="1"/>
  <c r="J189" i="9" a="1"/>
  <c r="J189" i="9" s="1"/>
  <c r="F193" i="9" a="1"/>
  <c r="F193" i="9" s="1"/>
  <c r="G193" i="9" a="1"/>
  <c r="G193" i="9" s="1"/>
  <c r="J193" i="9" a="1"/>
  <c r="J193" i="9" s="1"/>
  <c r="F197" i="9" a="1"/>
  <c r="F197" i="9" s="1"/>
  <c r="H197" i="9" a="1"/>
  <c r="H197" i="9" s="1"/>
  <c r="I197" i="9" a="1"/>
  <c r="I197" i="9" s="1"/>
  <c r="J197" i="9" a="1"/>
  <c r="J197" i="9" s="1"/>
  <c r="F201" i="9" a="1"/>
  <c r="F201" i="9" s="1"/>
  <c r="H201" i="9" a="1"/>
  <c r="H201" i="9" s="1"/>
  <c r="I201" i="9" a="1"/>
  <c r="I201" i="9" s="1"/>
  <c r="J201" i="9" a="1"/>
  <c r="J201" i="9" s="1"/>
  <c r="F205" i="9" a="1"/>
  <c r="F205" i="9" s="1"/>
  <c r="H205" i="9" a="1"/>
  <c r="H205" i="9" s="1"/>
  <c r="I205" i="9" a="1"/>
  <c r="I205" i="9" s="1"/>
  <c r="J205" i="9" a="1"/>
  <c r="J205" i="9" s="1"/>
  <c r="F209" i="9" a="1"/>
  <c r="F209" i="9" s="1"/>
  <c r="H209" i="9" a="1"/>
  <c r="H209" i="9" s="1"/>
  <c r="I209" i="9" a="1"/>
  <c r="I209" i="9" s="1"/>
  <c r="J209" i="9" a="1"/>
  <c r="J209" i="9" s="1"/>
  <c r="F213" i="9" a="1"/>
  <c r="F213" i="9" s="1"/>
  <c r="H213" i="9" a="1"/>
  <c r="H213" i="9" s="1"/>
  <c r="I213" i="9" a="1"/>
  <c r="I213" i="9" s="1"/>
  <c r="J213" i="9" a="1"/>
  <c r="J213" i="9" s="1"/>
  <c r="F217" i="9" a="1"/>
  <c r="F217" i="9" s="1"/>
  <c r="H217" i="9" a="1"/>
  <c r="H217" i="9" s="1"/>
  <c r="I217" i="9" a="1"/>
  <c r="I217" i="9" s="1"/>
  <c r="J217" i="9" a="1"/>
  <c r="J217" i="9" s="1"/>
  <c r="F221" i="9" a="1"/>
  <c r="F221" i="9" s="1"/>
  <c r="J221" i="9" a="1"/>
  <c r="J221" i="9" s="1"/>
  <c r="F225" i="9" a="1"/>
  <c r="F225" i="9" s="1"/>
  <c r="J225" i="9" a="1"/>
  <c r="J225" i="9" s="1"/>
  <c r="F230" i="9" a="1"/>
  <c r="F230" i="9" s="1"/>
  <c r="H230" i="9" a="1"/>
  <c r="H230" i="9" s="1"/>
  <c r="I230" i="9" a="1"/>
  <c r="I230" i="9" s="1"/>
  <c r="J230" i="9" a="1"/>
  <c r="J230" i="9" s="1"/>
  <c r="F234" i="9" a="1"/>
  <c r="F234" i="9" s="1"/>
  <c r="H234" i="9" a="1"/>
  <c r="H234" i="9" s="1"/>
  <c r="I234" i="9" a="1"/>
  <c r="I234" i="9" s="1"/>
  <c r="J234" i="9" a="1"/>
  <c r="J234" i="9" s="1"/>
  <c r="H246" i="9" a="1"/>
  <c r="H246" i="9" s="1"/>
  <c r="F270" i="9" a="1"/>
  <c r="F270" i="9" s="1"/>
  <c r="G275" i="9" a="1"/>
  <c r="G275" i="9" s="1"/>
  <c r="G283" i="9" a="1"/>
  <c r="G283" i="9" s="1"/>
  <c r="F238" i="9" a="1"/>
  <c r="F238" i="9" s="1"/>
  <c r="I238" i="9" a="1"/>
  <c r="I238" i="9" s="1"/>
  <c r="H242" i="9" a="1"/>
  <c r="H242" i="9" s="1"/>
  <c r="F254" i="9" a="1"/>
  <c r="F254" i="9" s="1"/>
  <c r="J254" i="9" a="1"/>
  <c r="J254" i="9" s="1"/>
  <c r="J266" i="9" a="1"/>
  <c r="J26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D5" authorId="0" shapeId="0" xr:uid="{00000000-0006-0000-0400-000001000000}">
      <text>
        <r>
          <rPr>
            <sz val="11"/>
            <color theme="1"/>
            <rFont val="Calibri"/>
            <family val="2"/>
            <scheme val="minor"/>
          </rPr>
          <t>MORBIDI MAURIZIO:
Disponibile anche codice BD140045210  relativo a BL 6.2</t>
        </r>
      </text>
    </comment>
    <comment ref="J5" authorId="0" shapeId="0" xr:uid="{00000000-0006-0000-0400-000002000000}">
      <text>
        <r>
          <rPr>
            <sz val="11"/>
            <color theme="1"/>
            <rFont val="Calibri"/>
            <family val="2"/>
            <scheme val="minor"/>
          </rPr>
          <t>MORBIDI MAURIZIO:
Disponibile anche codice BD140038737 di BL 4.3</t>
        </r>
      </text>
    </comment>
    <comment ref="Q6" authorId="0" shapeId="0" xr:uid="{00000000-0006-0000-0400-000003000000}">
      <text>
        <r>
          <rPr>
            <sz val="11"/>
            <color theme="1"/>
            <rFont val="Calibri"/>
            <family val="2"/>
            <scheme val="minor"/>
          </rPr>
          <t>MORBIDI MAURIZIO:
Le revisioni (non disponibili) in rosso sono relative alla BL 5.0</t>
        </r>
      </text>
    </comment>
    <comment ref="J10" authorId="0" shapeId="0" xr:uid="{00000000-0006-0000-0400-000004000000}">
      <text>
        <r>
          <rPr>
            <sz val="11"/>
            <color theme="1"/>
            <rFont val="Calibri"/>
            <family val="2"/>
            <scheme val="minor"/>
          </rPr>
          <t>MORBIDI MAURIZIO:
Non indicato nel file di configurazione, ma presente tra i documenti</t>
        </r>
      </text>
    </comment>
    <comment ref="N13" authorId="0" shapeId="0" xr:uid="{00000000-0006-0000-0400-000005000000}">
      <text>
        <r>
          <rPr>
            <sz val="11"/>
            <color theme="1"/>
            <rFont val="Calibri"/>
            <family val="2"/>
            <scheme val="minor"/>
          </rPr>
          <t>MORBIDI MAURIZIO:
Rev A più aggiornata della BL corrente</t>
        </r>
      </text>
    </comment>
    <comment ref="K16" authorId="0" shapeId="0" xr:uid="{00000000-0006-0000-0400-000006000000}">
      <text>
        <r>
          <rPr>
            <sz val="11"/>
            <color theme="1"/>
            <rFont val="Calibri"/>
            <family val="2"/>
            <scheme val="minor"/>
          </rPr>
          <t>MORBIDI MAURIZIO:
Disponibile rev D</t>
        </r>
      </text>
    </comment>
    <comment ref="E17" authorId="0" shapeId="0" xr:uid="{00000000-0006-0000-0400-000007000000}">
      <text>
        <r>
          <rPr>
            <sz val="11"/>
            <color theme="1"/>
            <rFont val="Calibri"/>
            <family val="2"/>
            <scheme val="minor"/>
          </rPr>
          <t>MORBIDI MAURIZIO:
Disponibile rev C</t>
        </r>
      </text>
    </comment>
    <comment ref="K17" authorId="0" shapeId="0" xr:uid="{00000000-0006-0000-0400-000008000000}">
      <text>
        <r>
          <rPr>
            <sz val="11"/>
            <color theme="1"/>
            <rFont val="Calibri"/>
            <family val="2"/>
            <scheme val="minor"/>
          </rPr>
          <t>MORBIDI MAURIZIO:
Disponibile rev _</t>
        </r>
      </text>
    </comment>
    <comment ref="K20" authorId="0" shapeId="0" xr:uid="{00000000-0006-0000-0400-000009000000}">
      <text>
        <r>
          <rPr>
            <sz val="11"/>
            <color theme="1"/>
            <rFont val="Calibri"/>
            <family val="2"/>
            <scheme val="minor"/>
          </rPr>
          <t>MORBIDI MAURIZIO:
Disponibile rev _</t>
        </r>
      </text>
    </comment>
    <comment ref="K22" authorId="0" shapeId="0" xr:uid="{00000000-0006-0000-0400-00000A000000}">
      <text>
        <r>
          <rPr>
            <sz val="11"/>
            <color theme="1"/>
            <rFont val="Calibri"/>
            <family val="2"/>
            <scheme val="minor"/>
          </rPr>
          <t>MORBIDI MAURIZIO:
Disponibile rev C</t>
        </r>
      </text>
    </comment>
    <comment ref="N23" authorId="0" shapeId="0" xr:uid="{00000000-0006-0000-0400-00000B000000}">
      <text>
        <r>
          <rPr>
            <sz val="11"/>
            <color theme="1"/>
            <rFont val="Calibri"/>
            <family val="2"/>
            <scheme val="minor"/>
          </rPr>
          <t>MORBIDI MAURIZIO:
Rev A più aggiornata della BL corrente</t>
        </r>
      </text>
    </comment>
    <comment ref="N25" authorId="0" shapeId="0" xr:uid="{00000000-0006-0000-0400-00000C000000}">
      <text>
        <r>
          <rPr>
            <sz val="11"/>
            <color theme="1"/>
            <rFont val="Calibri"/>
            <family val="2"/>
            <scheme val="minor"/>
          </rPr>
          <t>MORBIDI MAURIZIO:
Rev A più aggiornata della BL corrente</t>
        </r>
      </text>
    </comment>
    <comment ref="N28" authorId="0" shapeId="0" xr:uid="{00000000-0006-0000-0400-00000D000000}">
      <text>
        <r>
          <rPr>
            <sz val="11"/>
            <color theme="1"/>
            <rFont val="Calibri"/>
            <family val="2"/>
            <scheme val="minor"/>
          </rPr>
          <t>MORBIDI MAURIZIO:
Dispoinibile ver A non B</t>
        </r>
      </text>
    </comment>
    <comment ref="B33" authorId="0" shapeId="0" xr:uid="{00000000-0006-0000-0400-00000E000000}">
      <text>
        <r>
          <rPr>
            <sz val="11"/>
            <color theme="1"/>
            <rFont val="Calibri"/>
            <family val="2"/>
            <scheme val="minor"/>
          </rPr>
          <t>MORBIDI MAURIZIO:
Non presente in Config Sheet ma gestito nello stesso modo tra le varie flotte</t>
        </r>
      </text>
    </comment>
    <comment ref="D35" authorId="0" shapeId="0" xr:uid="{00000000-0006-0000-0400-00000F000000}">
      <text>
        <r>
          <rPr>
            <sz val="11"/>
            <color theme="1"/>
            <rFont val="Calibri"/>
            <family val="2"/>
            <scheme val="minor"/>
          </rPr>
          <t>MORBIDI MAURIZIO:
Non presente in BL ma inserita comunque tra le  FRS</t>
        </r>
      </text>
    </comment>
    <comment ref="L37" authorId="0" shapeId="0" xr:uid="{00000000-0006-0000-0400-000010000000}">
      <text>
        <r>
          <rPr>
            <sz val="11"/>
            <color theme="1"/>
            <rFont val="Calibri"/>
            <family val="2"/>
            <scheme val="minor"/>
          </rPr>
          <t>MORBIDI MAURIZIO:
Vecchia versione non più applicabile?</t>
        </r>
      </text>
    </comment>
    <comment ref="F38" authorId="0" shapeId="0" xr:uid="{00000000-0006-0000-0400-000011000000}">
      <text>
        <r>
          <rPr>
            <sz val="11"/>
            <color theme="1"/>
            <rFont val="Calibri"/>
            <family val="2"/>
            <scheme val="minor"/>
          </rPr>
          <t>MORBIDI MAURIZIO:
EC01P008999B vecchia versione?</t>
        </r>
      </text>
    </comment>
    <comment ref="I38" authorId="0" shapeId="0" xr:uid="{00000000-0006-0000-0400-000012000000}">
      <text>
        <r>
          <rPr>
            <sz val="11"/>
            <color theme="1"/>
            <rFont val="Calibri"/>
            <family val="2"/>
            <scheme val="minor"/>
          </rPr>
          <t>MORBIDI MAURIZIO:
Vecchio codice antecedente BL3 non più applicabile?</t>
        </r>
      </text>
    </comment>
    <comment ref="L38" authorId="0" shapeId="0" xr:uid="{00000000-0006-0000-0400-000013000000}">
      <text>
        <r>
          <rPr>
            <sz val="11"/>
            <color theme="1"/>
            <rFont val="Calibri"/>
            <family val="2"/>
            <scheme val="minor"/>
          </rPr>
          <t>MORBIDI MAURIZIO:
EC01P008999B vecchia versione?</t>
        </r>
      </text>
    </comment>
    <comment ref="O38" authorId="0" shapeId="0" xr:uid="{00000000-0006-0000-0400-000014000000}">
      <text>
        <r>
          <rPr>
            <sz val="11"/>
            <color theme="1"/>
            <rFont val="Calibri"/>
            <family val="2"/>
            <scheme val="minor"/>
          </rPr>
          <t>Rev. D</t>
        </r>
      </text>
    </comment>
    <comment ref="E47" authorId="0" shapeId="0" xr:uid="{00000000-0006-0000-0400-000015000000}">
      <text>
        <r>
          <rPr>
            <sz val="11"/>
            <color theme="1"/>
            <rFont val="Calibri"/>
            <family val="2"/>
            <scheme val="minor"/>
          </rPr>
          <t>MORBIDI MAURIZIO:
Disponibile rev J</t>
        </r>
      </text>
    </comment>
    <comment ref="K47" authorId="0" shapeId="0" xr:uid="{00000000-0006-0000-0400-000016000000}">
      <text>
        <r>
          <rPr>
            <sz val="11"/>
            <color theme="1"/>
            <rFont val="Calibri"/>
            <family val="2"/>
            <scheme val="minor"/>
          </rPr>
          <t>MORBIDI MAURIZIO:
Disponibile rev A</t>
        </r>
      </text>
    </comment>
    <comment ref="N47" authorId="0" shapeId="0" xr:uid="{00000000-0006-0000-0400-000017000000}">
      <text>
        <r>
          <rPr>
            <sz val="11"/>
            <color theme="1"/>
            <rFont val="Calibri"/>
            <family val="2"/>
            <scheme val="minor"/>
          </rPr>
          <t>MORBIDI MAURIZIO:
Dispoinibile ver A non B</t>
        </r>
      </text>
    </comment>
    <comment ref="E48" authorId="0" shapeId="0" xr:uid="{00000000-0006-0000-0400-000018000000}">
      <text>
        <r>
          <rPr>
            <sz val="11"/>
            <color theme="1"/>
            <rFont val="Calibri"/>
            <family val="2"/>
            <scheme val="minor"/>
          </rPr>
          <t>MORBIDI MAURIZIO:
Disponibile rev C</t>
        </r>
      </text>
    </comment>
    <comment ref="E51" authorId="0" shapeId="0" xr:uid="{00000000-0006-0000-0400-000019000000}">
      <text>
        <r>
          <rPr>
            <sz val="11"/>
            <color theme="1"/>
            <rFont val="Calibri"/>
            <family val="2"/>
            <scheme val="minor"/>
          </rPr>
          <t>MORBIDI MAURIZIO:
Disponibile rev B</t>
        </r>
      </text>
    </comment>
    <comment ref="E54" authorId="0" shapeId="0" xr:uid="{00000000-0006-0000-0400-00001A000000}">
      <text>
        <r>
          <rPr>
            <sz val="11"/>
            <color theme="1"/>
            <rFont val="Calibri"/>
            <family val="2"/>
            <scheme val="minor"/>
          </rPr>
          <t>MORBIDI MAURIZIO:
Rev 09 + aggiornata di BL corrente.
08 x VZ_IT_New14
09 x VZ_ES</t>
        </r>
      </text>
    </comment>
    <comment ref="H54" authorId="0" shapeId="0" xr:uid="{00000000-0006-0000-0400-00001B000000}">
      <text>
        <r>
          <rPr>
            <sz val="11"/>
            <color theme="1"/>
            <rFont val="Calibri"/>
            <family val="2"/>
            <scheme val="minor"/>
          </rPr>
          <t>MORBIDI MAURIZIO:
Rev 09 + aggiornata di BL corrente.
09 x VZ_ES</t>
        </r>
      </text>
    </comment>
    <comment ref="E58" authorId="0" shapeId="0" xr:uid="{00000000-0006-0000-0400-00001C000000}">
      <text>
        <r>
          <rPr>
            <sz val="11"/>
            <color theme="1"/>
            <rFont val="Calibri"/>
            <family val="2"/>
            <scheme val="minor"/>
          </rPr>
          <t xml:space="preserve">MORBIDI MAURIZIO:
Rev 04 + aggiornata di BL corrente.
04 x VZ_ES
</t>
        </r>
      </text>
    </comment>
    <comment ref="K58" authorId="0" shapeId="0" xr:uid="{00000000-0006-0000-0400-00001D000000}">
      <text>
        <r>
          <rPr>
            <sz val="11"/>
            <color theme="1"/>
            <rFont val="Calibri"/>
            <family val="2"/>
            <scheme val="minor"/>
          </rPr>
          <t xml:space="preserve">MORBIDI MAURIZIO:
Rev 04 + aggiornata di BL corrente.
04 x VZ_ES
</t>
        </r>
      </text>
    </comment>
    <comment ref="I61" authorId="0" shapeId="0" xr:uid="{00000000-0006-0000-0400-00001E000000}">
      <text>
        <r>
          <rPr>
            <sz val="11"/>
            <color theme="1"/>
            <rFont val="Calibri"/>
            <family val="2"/>
            <scheme val="minor"/>
          </rPr>
          <t>MORBIDI MAURIZIO:
Codice HRI = EC010008563</t>
        </r>
      </text>
    </comment>
    <comment ref="B67" authorId="0" shapeId="0" xr:uid="{00000000-0006-0000-0400-00001F000000}">
      <text>
        <r>
          <rPr>
            <sz val="11"/>
            <color theme="1"/>
            <rFont val="Calibri"/>
            <family val="2"/>
            <scheme val="minor"/>
          </rPr>
          <t>MORBIDI MAURIZIO:
Non presente in Config Sheet ma gestito nello stesso modo tra le varie flotte</t>
        </r>
      </text>
    </comment>
    <comment ref="H69" authorId="0" shapeId="0" xr:uid="{00000000-0006-0000-0400-000020000000}">
      <text>
        <r>
          <rPr>
            <sz val="11"/>
            <color theme="1"/>
            <rFont val="Calibri"/>
            <family val="2"/>
            <scheme val="minor"/>
          </rPr>
          <t>MORBIDI MAURIZIO:
Disponibile rev E che include BL3 SSB</t>
        </r>
      </text>
    </comment>
    <comment ref="E70" authorId="0" shapeId="0" xr:uid="{00000000-0006-0000-0400-000021000000}">
      <text>
        <r>
          <rPr>
            <sz val="11"/>
            <color theme="1"/>
            <rFont val="Calibri"/>
            <family val="2"/>
            <scheme val="minor"/>
          </rPr>
          <t>MORBIDI MAURIZIO:
Rev J non trovata
Disponibile rev H</t>
        </r>
      </text>
    </comment>
    <comment ref="E71" authorId="0" shapeId="0" xr:uid="{00000000-0006-0000-0400-000022000000}">
      <text>
        <r>
          <rPr>
            <sz val="11"/>
            <color theme="1"/>
            <rFont val="Calibri"/>
            <family val="2"/>
            <scheme val="minor"/>
          </rPr>
          <t>MORBIDI MAURIZIO:
Rev J non trovata
Disponibile rev H</t>
        </r>
      </text>
    </comment>
    <comment ref="E72" authorId="0" shapeId="0" xr:uid="{00000000-0006-0000-0400-000023000000}">
      <text>
        <r>
          <rPr>
            <sz val="11"/>
            <color theme="1"/>
            <rFont val="Calibri"/>
            <family val="2"/>
            <scheme val="minor"/>
          </rPr>
          <t>MORBIDI MAURIZIO:
Rev J non trovata
Disponibile rev H</t>
        </r>
      </text>
    </comment>
    <comment ref="E73" authorId="0" shapeId="0" xr:uid="{00000000-0006-0000-0400-000024000000}">
      <text>
        <r>
          <rPr>
            <sz val="11"/>
            <color theme="1"/>
            <rFont val="Calibri"/>
            <family val="2"/>
            <scheme val="minor"/>
          </rPr>
          <t>MORBIDI MAURIZIO:
Rev J non trovata
Disponibile rev H</t>
        </r>
      </text>
    </comment>
    <comment ref="E74" authorId="0" shapeId="0" xr:uid="{00000000-0006-0000-0400-000025000000}">
      <text>
        <r>
          <rPr>
            <sz val="11"/>
            <color theme="1"/>
            <rFont val="Calibri"/>
            <family val="2"/>
            <scheme val="minor"/>
          </rPr>
          <t>MORBIDI MAURIZIO:
Rev J non trovata
Disponibile rev H</t>
        </r>
      </text>
    </comment>
    <comment ref="E75" authorId="0" shapeId="0" xr:uid="{00000000-0006-0000-0400-000026000000}">
      <text>
        <r>
          <rPr>
            <sz val="11"/>
            <color theme="1"/>
            <rFont val="Calibri"/>
            <family val="2"/>
            <scheme val="minor"/>
          </rPr>
          <t>MORBIDI MAURIZIO:
Rev J non trovata
Disponibile rev H</t>
        </r>
      </text>
    </comment>
    <comment ref="H76" authorId="0" shapeId="0" xr:uid="{00000000-0006-0000-0400-000027000000}">
      <text>
        <r>
          <rPr>
            <sz val="11"/>
            <color theme="1"/>
            <rFont val="Calibri"/>
            <family val="2"/>
            <scheme val="minor"/>
          </rPr>
          <t>MORBIDI MAURIZIO:
Disponibile rev F che include BL3 SSB</t>
        </r>
      </text>
    </comment>
    <comment ref="H78" authorId="0" shapeId="0" xr:uid="{00000000-0006-0000-0400-000028000000}">
      <text>
        <r>
          <rPr>
            <sz val="11"/>
            <color theme="1"/>
            <rFont val="Calibri"/>
            <family val="2"/>
            <scheme val="minor"/>
          </rPr>
          <t>MORBIDI MAURIZIO:
Disponibile rev E</t>
        </r>
      </text>
    </comment>
    <comment ref="E79" authorId="0" shapeId="0" xr:uid="{00000000-0006-0000-0400-000029000000}">
      <text>
        <r>
          <rPr>
            <sz val="11"/>
            <color theme="1"/>
            <rFont val="Calibri"/>
            <family val="2"/>
            <scheme val="minor"/>
          </rPr>
          <t>MORBIDI MAURIZIO:
Rev J non trovata
Disponibile rev H</t>
        </r>
      </text>
    </comment>
    <comment ref="H79" authorId="0" shapeId="0" xr:uid="{00000000-0006-0000-0400-00002A000000}">
      <text>
        <r>
          <rPr>
            <sz val="11"/>
            <color theme="1"/>
            <rFont val="Calibri"/>
            <family val="2"/>
            <scheme val="minor"/>
          </rPr>
          <t>MORBIDI MAURIZIO:
Rev D mancante, disponibile rev C</t>
        </r>
      </text>
    </comment>
    <comment ref="E80" authorId="0" shapeId="0" xr:uid="{00000000-0006-0000-0400-00002B000000}">
      <text>
        <r>
          <rPr>
            <sz val="11"/>
            <color theme="1"/>
            <rFont val="Calibri"/>
            <family val="2"/>
            <scheme val="minor"/>
          </rPr>
          <t>MORBIDI MAURIZIO:
Rev J non trovata
Disponibile rev H</t>
        </r>
      </text>
    </comment>
    <comment ref="H80" authorId="0" shapeId="0" xr:uid="{00000000-0006-0000-0400-00002C000000}">
      <text>
        <r>
          <rPr>
            <sz val="11"/>
            <color theme="1"/>
            <rFont val="Calibri"/>
            <family val="2"/>
            <scheme val="minor"/>
          </rPr>
          <t>MORBIDI MAURIZIO:
Rev D mancante, disponibile rev C</t>
        </r>
      </text>
    </comment>
    <comment ref="E81" authorId="0" shapeId="0" xr:uid="{00000000-0006-0000-0400-00002D000000}">
      <text>
        <r>
          <rPr>
            <sz val="11"/>
            <color theme="1"/>
            <rFont val="Calibri"/>
            <family val="2"/>
            <scheme val="minor"/>
          </rPr>
          <t>MORBIDI MAURIZIO:
Rev J non trovata
Disponibile rev H</t>
        </r>
      </text>
    </comment>
    <comment ref="H81" authorId="0" shapeId="0" xr:uid="{00000000-0006-0000-0400-00002E000000}">
      <text>
        <r>
          <rPr>
            <sz val="11"/>
            <color theme="1"/>
            <rFont val="Calibri"/>
            <family val="2"/>
            <scheme val="minor"/>
          </rPr>
          <t>MORBIDI MAURIZIO:
Rev D mancante, disponibile rev C</t>
        </r>
      </text>
    </comment>
    <comment ref="E82" authorId="0" shapeId="0" xr:uid="{00000000-0006-0000-0400-00002F000000}">
      <text>
        <r>
          <rPr>
            <sz val="11"/>
            <color theme="1"/>
            <rFont val="Calibri"/>
            <family val="2"/>
            <scheme val="minor"/>
          </rPr>
          <t>MORBIDI MAURIZIO:
Rev J non trovata
Disponibile rev H</t>
        </r>
      </text>
    </comment>
    <comment ref="H82" authorId="0" shapeId="0" xr:uid="{00000000-0006-0000-0400-000030000000}">
      <text>
        <r>
          <rPr>
            <sz val="11"/>
            <color theme="1"/>
            <rFont val="Calibri"/>
            <family val="2"/>
            <scheme val="minor"/>
          </rPr>
          <t>MORBIDI MAURIZIO:
Rev D mancante, disponibile rev C</t>
        </r>
      </text>
    </comment>
    <comment ref="E83" authorId="0" shapeId="0" xr:uid="{00000000-0006-0000-0400-000031000000}">
      <text>
        <r>
          <rPr>
            <sz val="11"/>
            <color theme="1"/>
            <rFont val="Calibri"/>
            <family val="2"/>
            <scheme val="minor"/>
          </rPr>
          <t>MORBIDI MAURIZIO:
Rev J non trovata
Disponibile rev H</t>
        </r>
      </text>
    </comment>
    <comment ref="H83" authorId="0" shapeId="0" xr:uid="{00000000-0006-0000-0400-000032000000}">
      <text>
        <r>
          <rPr>
            <sz val="11"/>
            <color theme="1"/>
            <rFont val="Calibri"/>
            <family val="2"/>
            <scheme val="minor"/>
          </rPr>
          <t>MORBIDI MAURIZIO:
Rev D mancante, disponibile rev C</t>
        </r>
      </text>
    </comment>
    <comment ref="E84" authorId="0" shapeId="0" xr:uid="{00000000-0006-0000-0400-000033000000}">
      <text>
        <r>
          <rPr>
            <sz val="11"/>
            <color theme="1"/>
            <rFont val="Calibri"/>
            <family val="2"/>
            <scheme val="minor"/>
          </rPr>
          <t>MORBIDI MAURIZIO:
Rev J non trovata
Disponibile rev H</t>
        </r>
      </text>
    </comment>
    <comment ref="H84" authorId="0" shapeId="0" xr:uid="{00000000-0006-0000-0400-000034000000}">
      <text>
        <r>
          <rPr>
            <sz val="11"/>
            <color theme="1"/>
            <rFont val="Calibri"/>
            <family val="2"/>
            <scheme val="minor"/>
          </rPr>
          <t>MORBIDI MAURIZIO:
Rev D mancante, disponibile rev C</t>
        </r>
      </text>
    </comment>
    <comment ref="H85" authorId="0" shapeId="0" xr:uid="{00000000-0006-0000-0400-000035000000}">
      <text>
        <r>
          <rPr>
            <sz val="11"/>
            <color theme="1"/>
            <rFont val="Calibri"/>
            <family val="2"/>
            <scheme val="minor"/>
          </rPr>
          <t>MORBIDI MAURIZIO:
Disponibile rev F</t>
        </r>
      </text>
    </comment>
    <comment ref="H87" authorId="0" shapeId="0" xr:uid="{00000000-0006-0000-0400-000036000000}">
      <text>
        <r>
          <rPr>
            <sz val="11"/>
            <color theme="1"/>
            <rFont val="Calibri"/>
            <family val="2"/>
            <scheme val="minor"/>
          </rPr>
          <t>MORBIDI MAURIZIO:
Disponibile rev E</t>
        </r>
      </text>
    </comment>
    <comment ref="E88" authorId="0" shapeId="0" xr:uid="{00000000-0006-0000-0400-000037000000}">
      <text>
        <r>
          <rPr>
            <sz val="11"/>
            <color theme="1"/>
            <rFont val="Calibri"/>
            <family val="2"/>
            <scheme val="minor"/>
          </rPr>
          <t>MORBIDI MAURIZIO:
Rev J non trovata
Disponibile rev H</t>
        </r>
      </text>
    </comment>
    <comment ref="H88" authorId="0" shapeId="0" xr:uid="{00000000-0006-0000-0400-000038000000}">
      <text>
        <r>
          <rPr>
            <sz val="11"/>
            <color theme="1"/>
            <rFont val="Calibri"/>
            <family val="2"/>
            <scheme val="minor"/>
          </rPr>
          <t>MORBIDI MAURIZIO:
Rev D mancante, disponibile rev C</t>
        </r>
      </text>
    </comment>
    <comment ref="E89" authorId="0" shapeId="0" xr:uid="{00000000-0006-0000-0400-000039000000}">
      <text>
        <r>
          <rPr>
            <sz val="11"/>
            <color theme="1"/>
            <rFont val="Calibri"/>
            <family val="2"/>
            <scheme val="minor"/>
          </rPr>
          <t>MORBIDI MAURIZIO:
Rev J non trovata
Disponibile rev H</t>
        </r>
      </text>
    </comment>
    <comment ref="H89" authorId="0" shapeId="0" xr:uid="{00000000-0006-0000-0400-00003A000000}">
      <text>
        <r>
          <rPr>
            <sz val="11"/>
            <color theme="1"/>
            <rFont val="Calibri"/>
            <family val="2"/>
            <scheme val="minor"/>
          </rPr>
          <t>MORBIDI MAURIZIO:
Rev D mancante, disponibile rev C</t>
        </r>
      </text>
    </comment>
    <comment ref="E90" authorId="0" shapeId="0" xr:uid="{00000000-0006-0000-0400-00003B000000}">
      <text>
        <r>
          <rPr>
            <sz val="11"/>
            <color theme="1"/>
            <rFont val="Calibri"/>
            <family val="2"/>
            <scheme val="minor"/>
          </rPr>
          <t>MORBIDI MAURIZIO:
Rev J non trovata
Disponibile rev H</t>
        </r>
      </text>
    </comment>
    <comment ref="H90" authorId="0" shapeId="0" xr:uid="{00000000-0006-0000-0400-00003C000000}">
      <text>
        <r>
          <rPr>
            <sz val="11"/>
            <color theme="1"/>
            <rFont val="Calibri"/>
            <family val="2"/>
            <scheme val="minor"/>
          </rPr>
          <t>MORBIDI MAURIZIO:
Rev D mancante, disponibile rev C</t>
        </r>
      </text>
    </comment>
    <comment ref="E91" authorId="0" shapeId="0" xr:uid="{00000000-0006-0000-0400-00003D000000}">
      <text>
        <r>
          <rPr>
            <sz val="11"/>
            <color theme="1"/>
            <rFont val="Calibri"/>
            <family val="2"/>
            <scheme val="minor"/>
          </rPr>
          <t>MORBIDI MAURIZIO:
Rev J non trovata
Disponibile rev H</t>
        </r>
      </text>
    </comment>
    <comment ref="H91" authorId="0" shapeId="0" xr:uid="{00000000-0006-0000-0400-00003E000000}">
      <text>
        <r>
          <rPr>
            <sz val="11"/>
            <color theme="1"/>
            <rFont val="Calibri"/>
            <family val="2"/>
            <scheme val="minor"/>
          </rPr>
          <t>MORBIDI MAURIZIO:
Rev D mancante, disponibile rev C</t>
        </r>
      </text>
    </comment>
    <comment ref="E92" authorId="0" shapeId="0" xr:uid="{00000000-0006-0000-0400-00003F000000}">
      <text>
        <r>
          <rPr>
            <sz val="11"/>
            <color theme="1"/>
            <rFont val="Calibri"/>
            <family val="2"/>
            <scheme val="minor"/>
          </rPr>
          <t>MORBIDI MAURIZIO:
Rev J non trovata
Disponibile rev H</t>
        </r>
      </text>
    </comment>
    <comment ref="H92" authorId="0" shapeId="0" xr:uid="{00000000-0006-0000-0400-000040000000}">
      <text>
        <r>
          <rPr>
            <sz val="11"/>
            <color theme="1"/>
            <rFont val="Calibri"/>
            <family val="2"/>
            <scheme val="minor"/>
          </rPr>
          <t>MORBIDI MAURIZIO:
Rev D mancante, disponibile rev C</t>
        </r>
      </text>
    </comment>
    <comment ref="E93" authorId="0" shapeId="0" xr:uid="{00000000-0006-0000-0400-000041000000}">
      <text>
        <r>
          <rPr>
            <sz val="11"/>
            <color theme="1"/>
            <rFont val="Calibri"/>
            <family val="2"/>
            <scheme val="minor"/>
          </rPr>
          <t>MORBIDI MAURIZIO:
Rev J non trovata
Disponibile rev H</t>
        </r>
      </text>
    </comment>
    <comment ref="H93" authorId="0" shapeId="0" xr:uid="{00000000-0006-0000-0400-000042000000}">
      <text>
        <r>
          <rPr>
            <sz val="11"/>
            <color theme="1"/>
            <rFont val="Calibri"/>
            <family val="2"/>
            <scheme val="minor"/>
          </rPr>
          <t>MORBIDI MAURIZIO:
Rev D mancante, disponibile rev C</t>
        </r>
      </text>
    </comment>
    <comment ref="H94" authorId="0" shapeId="0" xr:uid="{00000000-0006-0000-0400-000043000000}">
      <text>
        <r>
          <rPr>
            <sz val="11"/>
            <color theme="1"/>
            <rFont val="Calibri"/>
            <family val="2"/>
            <scheme val="minor"/>
          </rPr>
          <t>MORBIDI MAURIZIO:
Disponibile rev F</t>
        </r>
      </text>
    </comment>
    <comment ref="B95" authorId="0" shapeId="0" xr:uid="{00000000-0006-0000-0400-000044000000}">
      <text>
        <r>
          <rPr>
            <sz val="11"/>
            <color theme="1"/>
            <rFont val="Calibri"/>
            <family val="2"/>
            <scheme val="minor"/>
          </rPr>
          <t>MORBIDI MAURIZIO:
I doc ICD sono presenti sono in BL delle flotte R1. Laddove è stato possibile recuperarli, si inseriscono anche per le altre flotte ma non se ne conosce la BL associata e lo stato di aggiornamento</t>
        </r>
      </text>
    </comment>
    <comment ref="Q96" authorId="0" shapeId="0" xr:uid="{00000000-0006-0000-0400-000045000000}">
      <text>
        <r>
          <rPr>
            <sz val="11"/>
            <color theme="1"/>
            <rFont val="Calibri"/>
            <family val="2"/>
            <scheme val="minor"/>
          </rPr>
          <t>MORBIDI MAURIZIO:
Disponibile rev 00</t>
        </r>
      </text>
    </comment>
    <comment ref="Q98" authorId="0" shapeId="0" xr:uid="{00000000-0006-0000-0400-000046000000}">
      <text>
        <r>
          <rPr>
            <sz val="11"/>
            <color theme="1"/>
            <rFont val="Calibri"/>
            <family val="2"/>
            <scheme val="minor"/>
          </rPr>
          <t>MORBIDI MAURIZIO:
Disponibile rev 02</t>
        </r>
      </text>
    </comment>
    <comment ref="Q100" authorId="0" shapeId="0" xr:uid="{00000000-0006-0000-0400-000047000000}">
      <text>
        <r>
          <rPr>
            <sz val="11"/>
            <color theme="1"/>
            <rFont val="Calibri"/>
            <family val="2"/>
            <scheme val="minor"/>
          </rPr>
          <t>MORBIDI MAURIZIO:
Disponibile rev 00</t>
        </r>
      </text>
    </comment>
    <comment ref="Q102" authorId="0" shapeId="0" xr:uid="{00000000-0006-0000-0400-000048000000}">
      <text>
        <r>
          <rPr>
            <sz val="11"/>
            <color theme="1"/>
            <rFont val="Calibri"/>
            <family val="2"/>
            <scheme val="minor"/>
          </rPr>
          <t>MORBIDI MAURIZIO:
Disponibile rev 00</t>
        </r>
      </text>
    </comment>
    <comment ref="Q104" authorId="0" shapeId="0" xr:uid="{00000000-0006-0000-0400-000049000000}">
      <text>
        <r>
          <rPr>
            <sz val="11"/>
            <color theme="1"/>
            <rFont val="Calibri"/>
            <family val="2"/>
            <scheme val="minor"/>
          </rPr>
          <t>MORBIDI MAURIZIO:
Disponibile rev 02</t>
        </r>
      </text>
    </comment>
    <comment ref="Q106" authorId="0" shapeId="0" xr:uid="{00000000-0006-0000-0400-00004A000000}">
      <text>
        <r>
          <rPr>
            <sz val="11"/>
            <color theme="1"/>
            <rFont val="Calibri"/>
            <family val="2"/>
            <scheme val="minor"/>
          </rPr>
          <t>MORBIDI MAURIZIO:
Disponibile rev 01</t>
        </r>
      </text>
    </comment>
    <comment ref="Q108" authorId="0" shapeId="0" xr:uid="{00000000-0006-0000-0400-00004B000000}">
      <text>
        <r>
          <rPr>
            <sz val="11"/>
            <color theme="1"/>
            <rFont val="Calibri"/>
            <family val="2"/>
            <scheme val="minor"/>
          </rPr>
          <t>MORBIDI MAURIZIO:
Disponibile rev 00</t>
        </r>
      </text>
    </comment>
    <comment ref="Q109" authorId="0" shapeId="0" xr:uid="{00000000-0006-0000-0400-00004C000000}">
      <text>
        <r>
          <rPr>
            <sz val="11"/>
            <color theme="1"/>
            <rFont val="Calibri"/>
            <family val="2"/>
            <scheme val="minor"/>
          </rPr>
          <t>MORBIDI MAURIZIO:
Disponibile rev 00</t>
        </r>
      </text>
    </comment>
    <comment ref="Q110" authorId="0" shapeId="0" xr:uid="{00000000-0006-0000-0400-00004D000000}">
      <text>
        <r>
          <rPr>
            <sz val="11"/>
            <color theme="1"/>
            <rFont val="Calibri"/>
            <family val="2"/>
            <scheme val="minor"/>
          </rPr>
          <t>MORBIDI MAURIZIO:
Disponibile rev 00</t>
        </r>
      </text>
    </comment>
    <comment ref="Q112" authorId="0" shapeId="0" xr:uid="{00000000-0006-0000-0400-00004E000000}">
      <text>
        <r>
          <rPr>
            <sz val="11"/>
            <color theme="1"/>
            <rFont val="Calibri"/>
            <family val="2"/>
            <scheme val="minor"/>
          </rPr>
          <t>MORBIDI MAURIZIO:
Disponibile in rev 00</t>
        </r>
      </text>
    </comment>
    <comment ref="Q114" authorId="0" shapeId="0" xr:uid="{00000000-0006-0000-0400-00004F000000}">
      <text>
        <r>
          <rPr>
            <sz val="11"/>
            <color theme="1"/>
            <rFont val="Calibri"/>
            <family val="2"/>
            <scheme val="minor"/>
          </rPr>
          <t>MORBIDI MAURIZIO:
Disponibile rev 00</t>
        </r>
      </text>
    </comment>
    <comment ref="Q117" authorId="0" shapeId="0" xr:uid="{00000000-0006-0000-0400-000050000000}">
      <text>
        <r>
          <rPr>
            <sz val="11"/>
            <color theme="1"/>
            <rFont val="Calibri"/>
            <family val="2"/>
            <scheme val="minor"/>
          </rPr>
          <t>MORBIDI MAURIZIO:
Disponibile rev 02</t>
        </r>
      </text>
    </comment>
    <comment ref="Q120" authorId="0" shapeId="0" xr:uid="{00000000-0006-0000-0400-000051000000}">
      <text>
        <r>
          <rPr>
            <sz val="11"/>
            <color theme="1"/>
            <rFont val="Calibri"/>
            <family val="2"/>
            <scheme val="minor"/>
          </rPr>
          <t>MORBIDI MAURIZIO:
Disponibile rev 00</t>
        </r>
      </text>
    </comment>
    <comment ref="Q121" authorId="0" shapeId="0" xr:uid="{00000000-0006-0000-0400-000052000000}">
      <text>
        <r>
          <rPr>
            <sz val="11"/>
            <color theme="1"/>
            <rFont val="Calibri"/>
            <family val="2"/>
            <scheme val="minor"/>
          </rPr>
          <t>MORBIDI MAURIZIO:
Disponibile rev 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E6" authorId="0" shapeId="0" xr:uid="{00000000-0006-0000-0600-000001000000}">
      <text>
        <r>
          <rPr>
            <sz val="11"/>
            <color theme="1"/>
            <rFont val="Calibri"/>
            <family val="2"/>
            <scheme val="minor"/>
          </rPr>
          <t>MORBIDI MAURIZIO:
3 volumi uniti in un unico PDF</t>
        </r>
      </text>
    </comment>
    <comment ref="E9" authorId="0" shapeId="0" xr:uid="{00000000-0006-0000-0600-000002000000}">
      <text>
        <r>
          <rPr>
            <sz val="11"/>
            <color theme="1"/>
            <rFont val="Calibri"/>
            <family val="2"/>
            <scheme val="minor"/>
          </rPr>
          <t>MORBIDI MAURIZIO:
4 volumi uniti in un unico pdf</t>
        </r>
      </text>
    </comment>
    <comment ref="E14" authorId="0" shapeId="0" xr:uid="{00000000-0006-0000-0600-000003000000}">
      <text>
        <r>
          <rPr>
            <sz val="11"/>
            <color theme="1"/>
            <rFont val="Calibri"/>
            <family val="2"/>
            <scheme val="minor"/>
          </rPr>
          <t>MORBIDI MAURIZIO:
3 volumi uniti in un unico PDF</t>
        </r>
      </text>
    </comment>
    <comment ref="A25" authorId="0" shapeId="0" xr:uid="{00000000-0006-0000-0600-000004000000}">
      <text>
        <r>
          <rPr>
            <sz val="11"/>
            <color theme="1"/>
            <rFont val="Calibri"/>
            <family val="2"/>
            <scheme val="minor"/>
          </rPr>
          <t>MORBIDI MAURIZIO:
N/A</t>
        </r>
      </text>
    </comment>
    <comment ref="A26" authorId="0" shapeId="0" xr:uid="{00000000-0006-0000-0600-000005000000}">
      <text>
        <r>
          <rPr>
            <sz val="11"/>
            <color theme="1"/>
            <rFont val="Calibri"/>
            <family val="2"/>
            <scheme val="minor"/>
          </rPr>
          <t>MORBIDI MAURIZIO:
Manuale legato al vecchio 20A "ETCS generale". Ancora applicabile??</t>
        </r>
      </text>
    </comment>
    <comment ref="A29" authorId="0" shapeId="0" xr:uid="{00000000-0006-0000-0600-000006000000}">
      <text>
        <r>
          <rPr>
            <sz val="11"/>
            <color theme="1"/>
            <rFont val="Calibri"/>
            <family val="2"/>
            <scheme val="minor"/>
          </rPr>
          <t>MORBIDI MAURIZIO:
N/A ???</t>
        </r>
      </text>
    </comment>
    <comment ref="A30" authorId="0" shapeId="0" xr:uid="{00000000-0006-0000-0600-000007000000}">
      <text>
        <r>
          <rPr>
            <sz val="11"/>
            <color theme="1"/>
            <rFont val="Calibri"/>
            <family val="2"/>
            <scheme val="minor"/>
          </rPr>
          <t>MORBIDI MAURIZIO:
Manuale SSB di applicazione generica</t>
        </r>
      </text>
    </comment>
    <comment ref="A31" authorId="0" shapeId="0" xr:uid="{00000000-0006-0000-0600-000008000000}">
      <text>
        <r>
          <rPr>
            <sz val="11"/>
            <color theme="1"/>
            <rFont val="Calibri"/>
            <family val="2"/>
            <scheme val="minor"/>
          </rPr>
          <t>MORBIDI MAURIZIO:
Manuale SSB spacciato per applicazione specifica correlato al 20A, in realtà è una raccolta di foto e disegni in allegato</t>
        </r>
      </text>
    </comment>
    <comment ref="A33" authorId="0" shapeId="0" xr:uid="{00000000-0006-0000-0600-000009000000}">
      <text>
        <r>
          <rPr>
            <sz val="11"/>
            <color theme="1"/>
            <rFont val="Calibri"/>
            <family val="2"/>
            <scheme val="minor"/>
          </rPr>
          <t>MORBIDI MAURIZIO:
Ancora applicabile ??</t>
        </r>
      </text>
    </comment>
    <comment ref="E37" authorId="0" shapeId="0" xr:uid="{00000000-0006-0000-0600-00000A000000}">
      <text>
        <r>
          <rPr>
            <sz val="11"/>
            <color theme="1"/>
            <rFont val="Calibri"/>
            <family val="2"/>
            <scheme val="minor"/>
          </rPr>
          <t>MORBIDI MAURIZIO:
4 volumi uniti in un unico 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C4" authorId="0" shapeId="0" xr:uid="{00000000-0006-0000-0700-000001000000}">
      <text>
        <r>
          <rPr>
            <sz val="11"/>
            <color theme="1"/>
            <rFont val="Calibri"/>
            <family val="2"/>
            <scheme val="minor"/>
          </rPr>
          <t>MORBIDI MAURIZIO:
VZI_Base originale ha formato xlsb</t>
        </r>
      </text>
    </comment>
  </commentList>
</comments>
</file>

<file path=xl/sharedStrings.xml><?xml version="1.0" encoding="utf-8"?>
<sst xmlns="http://schemas.openxmlformats.org/spreadsheetml/2006/main" count="4568" uniqueCount="1738">
  <si>
    <t>FUNC ID</t>
  </si>
  <si>
    <t>DESCRIZIONE FUNZIONE</t>
  </si>
  <si>
    <t>DOC
CARTELLA</t>
  </si>
  <si>
    <t>DOC ID</t>
  </si>
  <si>
    <t>Info DOC</t>
  </si>
  <si>
    <t>VZI_Base</t>
  </si>
  <si>
    <t>VZI_New14</t>
  </si>
  <si>
    <t>VZ_FR</t>
  </si>
  <si>
    <t>VZ_ES</t>
  </si>
  <si>
    <t>VZI-6_R1</t>
  </si>
  <si>
    <t>VZI-4_R1</t>
  </si>
  <si>
    <t>VZ_DAI</t>
  </si>
  <si>
    <t>Func_XXX</t>
  </si>
  <si>
    <t>xxxxx</t>
  </si>
  <si>
    <t>HW  + SW</t>
  </si>
  <si>
    <t>\</t>
  </si>
  <si>
    <t>CONFIG</t>
  </si>
  <si>
    <t>FS_DM1</t>
  </si>
  <si>
    <t>Link</t>
  </si>
  <si>
    <t>Rif. Pagina</t>
  </si>
  <si>
    <t>FRS_xx</t>
  </si>
  <si>
    <t>FPD_xx</t>
  </si>
  <si>
    <t>MAN_CPR</t>
  </si>
  <si>
    <t>PBC_01A</t>
  </si>
  <si>
    <t>Descrizione</t>
  </si>
  <si>
    <t>DIAGNOSTIC</t>
  </si>
  <si>
    <t>DIA_Regole</t>
  </si>
  <si>
    <t>Pagina</t>
  </si>
  <si>
    <t>TBD Sottocartelle GENERAL sulla base del prefisso</t>
  </si>
  <si>
    <t>GENERAL</t>
  </si>
  <si>
    <t>FD_TCMS</t>
  </si>
  <si>
    <t>LV_Country_code_selection</t>
  </si>
  <si>
    <t>Selezione su IDU del paese corrente, per informare la PCU sui pantografi selezionabili</t>
  </si>
  <si>
    <t>FRS_Line Voltage</t>
  </si>
  <si>
    <t>Funzioni AI</t>
  </si>
  <si>
    <t>LV_Pantograph_Lifting</t>
  </si>
  <si>
    <t>Comando di alzamento pantografo 1 o 2 sulla base di tensione di linea (switch) e paese (IDU) selezionati</t>
  </si>
  <si>
    <t>LV_Pantograph_Lowering</t>
  </si>
  <si>
    <t>Comando di abbassamento pantografo manuale/automatico</t>
  </si>
  <si>
    <t>LV_Automatic_Dropping_Device_(ADD)</t>
  </si>
  <si>
    <t>Dispositivo di abbassamento automatico del pantografo in caso di guasto</t>
  </si>
  <si>
    <t>La funzione ferroviaria LV_Automatic_Dropping_Device_(ADD) è un dispositivo automatico che abbassa il pantografo in caso di guasto. È composta da componenti elettrici/meccanici/software come Pantograph Control Unit (PCU), LCB, TCMS e pneumatic system. La logica di funzionamento attiva il dispositivo dopo 2 secondi dall'inizio della detezione dell'incongruenza tra HW e SW, con un ciclo di 16 secondi. In caso di comunicazione fallita con la TCMS, viene attivato un'energia di emergenza per l'apertura del LCB. La funzione è progettata per ridurre il rischio di guasto al pantografo e garantire la sicurezza del treno.
Analisi — Funzione equivalente tra le seguenti configurazioni: VZI_Base, VZ_FR, VZ_ES, VZI-6_R1.</t>
  </si>
  <si>
    <t>La funzione ferroviaria LV_Automatic_Dropping_Device_(ADD) è un dispositivo automatico che abbassa il pantografo in caso di guasto. È composta da componenti elettrici/meccanici/software come LCB, Pantograph Control Unit (PCU), TCMS e pneumatic system. La logica di funzionamento attiva il dispositivo dopo 2 secondi dall'indicazione di incongruenza tra HW e SW, con un ciclo di preparazione che include l'apertura dell'LCB, la riduzione del pantografo e l'invio di eventi al driver e al mantenitore. In caso di comunicazione fallita con il TCMS, il dispositivo attiva l'emergenza LCB e successivamente l'abbassamento del pantografo.
Analisi — Funzione equivalente tra le seguenti configurazioni: VZI_Base, VZ_FR, VZ_ES, VZI-6_R1.</t>
  </si>
  <si>
    <t>La funzione ferroviaria LV_Automatic_Dropping_Device_(ADD) è un dispositivo automatico che abbassa il pantografo in caso di guasto. È composta da componenti elettrici/meccanici/software come Pantograph Control Unit (PCU), LCB, TCMS e pneumatic system. La logica di funzionamento attiva il dispositivo dopo 2 secondi dall'inizio della detezione di incongruenza tra HW e SW, con la possibilità di attivare l'LCB emergency open trainline in caso di comunicazione fallita con il TCMS.
Analisi — Funzione equivalente tra le seguenti configurazioni: VZI_Base, VZ_FR, VZ_ES, VZI-6_R1.</t>
  </si>
  <si>
    <t>La funzione ferroviaria LV_Automatic_Dropping_Device_(ADD) è un dispositivo automatico che abbassa il pantografo in caso di guasto del sistema di raccoglienza elettrica. I componenti principali coinvolti sono i tubi pneumatici all'interno dei contatti, il sistema di comunicazione tra Pantograph Control Unit (PCU) e TCMS (System for Train Management and Control), e il sistema di controllo del pantografo. La logica di funzionamento attiva l'abbassamento del pantografo in caso di detezione di danni ai contatti, mentre la comunicazione tra PCU e TCMS garantisce che tutti i pantografi della train che abbiano subito un guasto possano essere sollevati correttamente. La funzione è progettata per garantire una sicurezza di livello SIL 2 e dispone di ridondanze per assicurare la continuità del servizio.
Analisi — Funzione equivalente tra le seguenti configurazioni: VZI_Base, VZ_FR, VZ_ES, VZI-6_R1.</t>
  </si>
  <si>
    <t>LV_Pantograph_Interlock</t>
  </si>
  <si>
    <t>Interblocco automatico dei pantografi in caso di guasto rilevato. Il Pdc può bloccare anche manualmente un pantografo per impedirne la selezione</t>
  </si>
  <si>
    <t>La funzione ferroviaria LV_Pantograph_Interlock è un interblocco automatico dei pantografi in caso di guasto rilevato. È implementata dal sistema PDC (Pantograph Control Unit) e coinvolge il circuito "fast panto down" per bloccare manualmente un pantografo in caso di ADD-trip (tripolo di aggiustamento del pantografo). La funzione viene attivata quando si verifica un guasto rilevato, con una logica di funzionamento che include la richiesta di apertura dell'LCB (Line Control Block) e l'immediata riduzione della velocità del treno. La funzione è progettata per garantire la sicurezza dei passeggeri e degli operatori, con requisiti di sicurezza come l'insulazione a distanza immediata e il controllo del circuito "fast panto down".
Analisi — Funzione equivalente tra le seguenti configurazioni: VZI_Base, VZ_FR, VZ_ES, VZI-6_R1.</t>
  </si>
  <si>
    <t>La funzione ferroviaria LV_Pantograph_Interlock è un interblocco automatico dei pantografi in caso di guasto rilevato. La funzione coinvolge il sistema elettrico del treno, il pantografo e il controllo centrale (Pdc), con l'obiettivo di impedire la selezione del pantografo se è stato rilevato un guasto. In caso di manutenzione manuale, il Pdc può bloccare manualmente il pantografo per evitare la sua selezione. La funzione si attiva in condizioni di guasto rilevato (elevazione anomala del pantografo) e si disattiva quando il pantografo è bloccato o se viene effettuata una manutenzione manuale.
Analisi — Funzione equivalente tra le seguenti configurazioni: VZI_Base, VZ_FR, VZ_ES, VZI-6_R1.</t>
  </si>
  <si>
    <t>La funzione ferroviaria LV_Pantograph_Interlock è un interblocco automatico dei pantografi in caso di guasto rilevato. È implementata dal sistema software e coinvolge il controllo elettronico del pantografo, la pressione sensoriale e il sistema di blocco. La funzione viene attivata in condizioni di guasto rilevato (elevazione anomala del pantografo) e viene disattivata quando il pantografo è bloccato o quando il guasto è risolto manualmente dal conducente.
Analisi — Funzione equivalente tra le seguenti configurazioni: VZI_Base, VZ_FR, VZ_ES, VZI-6_R1.</t>
  </si>
  <si>
    <t>La funzione ferroviaria LV_Pantograph_Interlock è un interblocco automatico dei pantografi in caso di guasto rilevato. È implementata dal Pantograph Control Unit (PCU) e dalla Central Computer System (CCS), con l'aiuto del sistema di controllo dell'ADD bypass. La funzione viene attivata quando il pantografo è stato dichiarato come difettoso e l'ADD bypass è in posizione "AC" o "DC". In questo caso, la PCU ignora qualsiasi intervento ADD ricevuto per evitare di isolare il pantografo. Una volta spenta l'attivazione dell'ADD bypass, il pantografo viene nuovamente bloccato.
Analisi — Funzione equivalente tra le seguenti configurazioni: VZI_Base, VZ_FR, VZ_ES, VZI-6_R1.</t>
  </si>
  <si>
    <t>LV_Pantograph_Selection</t>
  </si>
  <si>
    <t>Selezione del pantografo in base al paese (tipologia/dimensioni pantografo) e al sistema di alimentazione (AC/DC) selezionato</t>
  </si>
  <si>
    <t>La funzione ferroviaria LV_Pantograph_Selection seleziona il pantografo in base al paese e al sistema di alimentazione (AC/DC) selezionato. Coinvolti sono il pantografo, il disconnettore del pantografo, il sistema di controllo della velocità (TCMS), il codice di paese e il tipo di alimentazione. La funzione attiva il disconnettore del pantografo se si verifica un errore di selezione o se il pantografo non viene abbassato correttamente. La logica di funzionamento prevede la connessione dei due stati (aperto e chiuso) del disconnettore al sistema TCMS, con l'obiettivo di garantire la sicurezza e la stabilità del sistema.
Analisi — Funzione equivalente tra le seguenti configurazioni: VZI_Base, VZ_FR, VZ_ES, VZI-6_R1.</t>
  </si>
  <si>
    <t>La funzione ferroviaria LV_Pantograph_Selection seleziona il pantografo in base al paese (tipologia/dimensioni) e al sistema di alimentazione (AC/DC) selezionato. La funzione coinvolge il controllo unitario (PCU), il disconnettore del pantografo, l'interfaccia IP e il sistema di gestione dei requisiti di sicurezza (SIL). La logica di funzionamento attiva la bloccatura del pantografo in caso di fallimento del controllo unitario o del disconnettore, con l'invio di eventi di allarme al conducente.
Analisi — Funzione equivalente tra le seguenti configurazioni: VZI_Base, VZ_FR, VZ_ES, VZI-6_R1.</t>
  </si>
  <si>
    <t>La funzione ferroviaria LV_Pantograph_Selection seleziona il pantografo in base al paese (tipologia/dimensioni) e al sistema di alimentazione (AC/DC) selezionato. Coinvolti sono i componenti elettrici/meccanici/software come il pantografo, il disconnettore, il sistema di controllo e la TCMS. La funzione è attivata se il pantografo è in movimento per più di 20 secondi o se il disconnettore non apre/cierra correttamente, causando l'blocco dei pantografi connessi alla stessa LCB. Questa funzione è progettata per garantire la sicurezza e prevenire incidenti.
Analisi — Funzione equivalente tra le seguenti configurazioni: VZI_Base, VZ_FR, VZ_ES, VZI-6_R1.</t>
  </si>
  <si>
    <t>La funzione ferroviaria LV_Pantograph_Selection seleziona il pantografo in base al paese e al sistema di alimentazione (AC/DC) selezionato, utilizzando un codice di paese per identificare la nazionalità del traino. I componenti principali coinvolti sono i pantografi di diverse tipologie e dimensioni, il sistema di controllo elettronico e il software di gestione della funzione. La logica di funzionamento attiva il pantografo selezionato in base alle condizioni di paese e sistema di alimentazione, con la possibilità di disattivare automaticamente tutti i pantografi in caso di errore o manomissione. Le ridondanze sono garantite dal fatto che solo un pantografo per traino completo (8 car) viene selezionato, mentre per l'ice scraping si utilizza il secondo pantografo.
Analisi — Funzione equivalente tra le seguenti configurazioni: VZI_Base, VZ_FR, VZ_ES, VZI-6_R1.</t>
  </si>
  <si>
    <t>LV_Pantograph_Control_of_Static_Contact_Force</t>
  </si>
  <si>
    <t>Controllo della forza statica/pressione del pantografo alzato in funzione del sistema di tensione, della velocità, della direzione di marcia e della posizione del pantografo stesso</t>
  </si>
  <si>
    <t>La funzione ferroviaria LV_Pantograph_Control_of_Static_Contact_Force controlla la forza statica/pressione del pantografo alzato in base al sistema di tensione, alla velocità, alla direzione di marcia e alla posizione del pantografo. È coinvolta il pantografo, il sistema di tensione e il software TCMS. La funzione è attivata quando la condizione di attivazione viene soddisfatta, ovvero quando il pantografo è alzato e in contatto con la linea elettrica. In caso di mancata attivazione, il sistema invia un segnale di allarme per garantire la sicurezza del traino.
Analisi — Funzione equivalente tra le seguenti configurazioni: VZI_Base, VZ_FR, VZ_ES, VZI-6_R1.</t>
  </si>
  <si>
    <t>La funzione ferroviaria LV_Pantograph_Control_of_Static_Contact_Force controlla la forza statica del pantografo alzato in base alla velocità, direzione di marcia e posizione del pantografo, utilizzando il sistema di tensione e i parametri software. I componenti principali coinvolti sono il pantografo, il sistema di tensione e il CCU (Control Center Unit). La funzione è attivata quando la velocità supera un certo limite o quando si seleziona una determinata posizione del pantografo, e viene disattivata quando la forza statica raggiunge un valore critico. La funzione è progettata per garantire una sicurezza elevata, con ridondanze nel caso di fallimento del sistema o blocco del LCB (Low Voltage Circuit Breaker).
Analisi — Funzione equivalente tra le seguenti configurazioni: VZI_Base, VZ_FR, VZ_ES, VZI-6_R1.</t>
  </si>
  <si>
    <t>La funzione ferroviaria LV_Pantograph_Control_of_Static_Contact_Force è un sistema di controllo che regola la forza statica/pressione del pantografo alzato in base alla tensione elettrica, alla velocità, alla direzione di marcia e alla posizione del pantografo. Il sistema coinvolge componenti elettrici/meccanici come il pantografo, l'unità di controllo (TCMS) e il sistema di interazione con il driver. La logica di funzionamento attiva il controllo quando la tensione elettrica cambia o quando si verifica un blocco del LCB (Low Voltage Circuit Breaker). Il sistema è progettato per garantire una sicurezza elevata, con ridondanze e requisiti di sicurezza come l'indicazione visiva del driver in caso di blocco del LCB.
Analisi — Funzione equivalente tra le seguenti configurazioni: VZI_Base, VZ_FR, VZ_ES, VZI-6_R1.</t>
  </si>
  <si>
    <t>La funzione ferroviaria LV_Pantograph_Control_of_Static_Contact_Force controlla la forza statica del pantografo alzato in base alla tensione elettrica, alla velocità di marcia, alla direzione di marcia e alla posizione del pantografo. La funzione è gestita dal sistema di controllo dei pantografi (PCU) e viene attivata quando la tensione elettrica cambia o quando si verifica un problema nel sistema. In caso di fallimento, il sistema può scorrere automaticamente ai pantografi alternativi. La funzione è progettata per garantire una sicurezza elevata e richiede l'accesso diretto al PCU tramite strumenti di commissioning per la configurazione dei parametri di test.
Analisi — Funzione equivalente tra le seguenti configurazioni: VZI_Base, VZ_FR, VZ_ES, VZI-6_R1.</t>
  </si>
  <si>
    <t>LV_Line_Voltage_Supervision</t>
  </si>
  <si>
    <t>Controllo della tensione di linea tramite sensori di tensione letti dal sistema di propulsione</t>
  </si>
  <si>
    <t>La funzione ferroviaria "LV_Line_Voltage_Supervision" controlla la tensione di linea tramite sensori di tensione letti dal sistema di propulsione. I componenti elettrici/meccanici/software coinvolti sono i sensori di tensione, il sistema di controllo del circuito a scelta continua (LCB) e il software di gestione del sistema. La logica di funzionamento attiva il LCB in caso di tensione anomala o assente, con la possibilità di isolare la sezione ferroviaria danneggiata. La funzione è progettata per garantire un livello di sicurezza di SIL 1 e richiede la presenza di ridondanze per garantire la continuità del servizio.
Analisi — Funzione equivalente tra le seguenti configurazioni: VZI_Base, VZ_FR, VZ_ES, VZI-6_R1.</t>
  </si>
  <si>
    <t>La funzione ferroviaria "LV_Line_Voltage_Supervision" è un sistema di controllo della tensione di linea tramite sensori di tensione letti dal sistema di propulsione. I componenti elettrici/meccanici/software principali coinvolti sono i sensori di tensione, il sistema di propulsione e il TCMS (System Integration Level 0). La logica di funzionamento attiva il controllo della tensione di linea quando la velocità del treno supera un certo limite o quando si trova in una determinata regione geografica. Il sistema è progettato per garantire una sicurezza ridotta, con la possibilità di disattivazione automatica in caso di anomalia.
Analisi — Funzione equivalente tra le seguenti configurazioni: VZI_Base, VZ_FR, VZ_ES, VZI-6_R1.</t>
  </si>
  <si>
    <t>PARTE 1:
La funzione LV_Line_Voltage_Supervision per la configurazione VZ_ES è responsabile del controllo della tensione di linea tramite sensori di tensione letti dal sistema di propulsione. Questa funzione è parte dell'impianto di controllo del treno ETR1000 e si occupa di monitorare la tensione elettrica presente sulla linea ferroviaria, garantendo che rimanga all'interno dei limiti di sicurezza stabiliti dalla normativa. La logica operativa prevede l'utilizzo di sensori di tensione installati lungo la linea ferroviaria per rilevare le variazioni della tensione elettrica, che vengono poi inviate al sistema di controllo del treno per essere valutate e gestite.
PARTE 2:
Le differenze rispetto alla configurazione VZI-6_R1 sono legate all'utilizzo di componenti diversi e a una logica operativa specifica. Mentre VZI-6_R1 prevede l'utilizzo di un sistema di controllo più complesso, con una maggiore quantità di parametri da monitorare, la configurazione VZ_ES sembra essere più semplicemente strutturata per il controllo della tensione di linea. Inoltre, potrebbe esserci una differenza nel requisito di sicurezza e nella gestione delle variazioni della tensione elettrica.
Analisi — Funzione equivalente tra le seguenti configurazioni: VZI_Base, VZ_FR, VZ_ES.</t>
  </si>
  <si>
    <t>La funzione ferroviaria "LV_Line_Voltage_Supervision" controlla la tensione di linea tramite sensori di tensione letti dal sistema di propulsione. I componenti elettrici/meccanici principali coinvolti sono i sensori di tensione, il sistema di controllo del pantografo (PCU) e il sistema di protezione contro la corrente elettrica (LCB). La logica di funzionamento attiva il LCB se si verifica una tensione di linea fuori dal range accettabile o se non si ricevono segnali da sensori di tensione. Le ridondanze sono garantite dalla presenza di più sensori e sistemi di controllo, mentre i requisiti di sicurezza sono soddisfatti attraverso la classificazione SIL 1.
Analisi — Funzione equivalente tra le seguenti configurazioni: VZI_Base, VZ_FR, VZ_ES, VZI-6_R1.</t>
  </si>
  <si>
    <t>LV_Line_Current_Supervision</t>
  </si>
  <si>
    <t>Controllo della corrente di linea</t>
  </si>
  <si>
    <t>**PARTE 1: VZI_Base**
La funzione LV_Line_Current_Supervision per la configurazione VZI_Base è responsabile del controllo della corrente di linea. Questo sistema supervisiona la tensione elettrica presente sulla linea ferroviaria, utilizzando un clock che incrementa o decrementa in base alla tensione superiore o inferiore a 4 kV. Il sistema è progettato per garantire una sicurezza elevata, con un tempo massimo di 5 minuti e un valore minimo di 0.
**PARTE 2: Differenze rispetto alle altre configurazioni**
Le principali differenze rispetto alle altre configurazioni sono:
*   VZ_FR: non è presente alcun riferimento alla funzione LV_Line_Current_Supervision, ma si trova una specifica configurazione per la gestione della corrente lineare.
*   VZ_ES: presenta una configurazione simile a quella di VZI_Base, con la stessa logica operativa e requisiti tecnici. Tuttavia, non è presente alcun riferimento alla funzione LV_Line_Current_Supervision.
*   VZI-6_R1: presenta una struttura più complessa rispetto a VZI_Base, con l'aggiunta di altri sistemi e sottosistemi coinvolti nella gestione della corrente lineare.</t>
  </si>
  <si>
    <t>**PARTE 1: Funzione per 'VZ_FR'**
La funzione LV_Line_Current_Supervision per 'VZ_FR' è responsabile del controllo della corrente di linea per la gestione della tensione elettrica nel sistema ferroviario. La funzione è attivata sulla base delle condizioni di operazione specificate nella configurazione VZ_FR, che include il monitoraggio della tensione elettrica e l'apertura del circuito di protezione in caso di superamento dei limiti di tensione.
**PARTE 2: Differenze rispetto alle altre configurazioni**
Le principali differenze rispetto alle altre configurazioni sono:
*   La funzione VZ_FR utilizza una logica operativa diversa rispetto a VZI_Base e VZ_ES, poiché la prima include un meccanismo di controllo più complesso per gestire le condizioni di operazione.
*   La componente elettrica principale è rappresentata dal circuito di protezione, che è diverso da quello utilizzato nelle altre configurazioni.
*   La funzione VZ_FR richiede un sistema di monitoraggio più avanzato rispetto alle altre configurazioni, poiché include la gestione della tensione elettrica in tempo reale.</t>
  </si>
  <si>
    <t>**PARTE 1: VZ_ES**
La funzione LV_Line_Current_Supervision per 'VZ_ES' è responsabile del controllo della corrente di linea. I componenti principali includono la trasformata di corrente lineare (9d) e il senso di corrente DC (9c), collegati al sistema LIM per l'individuazione dell'overcurrent. La logica operativa prevede la misurazione della corrente lineare in condizioni normali, con la possibilità di avviare un evento di interruzione del pantografo in caso di anomalia.
**PARTE 2: Differenze rispetto alle altre configurazioni**
- VZ_FR e VZ_ES differiscono per l'uso della trasformata di corrente lineare (9d) e del senso di corrente DC (9c), rispettivamente.
- La logica operativa di VZ_FR prevede la contropartita dell'evento di interruzione del pantografo, mentre in VZ_ES si avvia solo l'evento di interruzione.
- Le differenze tecniche tra VZ_FR e VZ_ES risiedono nell'utilizzo della trasformata di corrente lineare (9d) e del senso di corrente DC (9c), con una logica operativa diversa.</t>
  </si>
  <si>
    <t>**PARTE 1**
La funzione LV_Line_Current_Supervision per VZI-6_R1 è responsabile del controllo della corrente di linea. La sua logica operativa prevede l'installazione di line current transformer (9d) e DC line current sensor (9c) per misurare la corrente AC e DC rispettivamente. L'eventuale mancata deteczione di corrente quando è prevista, o la detección di corrente non prevista, attiva un evento che richiede al conducente di cambiare il pantografo.
**PARTE 2**
Le differenze rispetto alle altre configurazioni sono:
*   Componenti elettrici/meccanici/software: VZI-6_R1 utilizza line current transformer (9d) e DC line current sensor (9c), mentre VZ_FR e VZ_ES utilizzano solo line current transformer (9d). La differenza di software è legata all'eventuale attivazione di un evento in caso di mancata detezione di corrente.
*   Logica di funzionamento o condizioni operative: VZI-6_R1 richiede l'attivazione di un evento se la corrente non viene rilevata entro 5 secondi, mentre VZ_FR e VZ_ES richiedono solo l'eventuale attivazione di un evento se la corrente supera i 4kV.
*   Requisiti o parametri tecnici: La configurazione VZI-6_R1 richiede una frequenza di rilevamento della corrente più alta rispetto alle altre configurazioni.</t>
  </si>
  <si>
    <t>LV_Line_Interference_Monitor</t>
  </si>
  <si>
    <t>Controllo correnti/interferenze indesiderate di linea</t>
  </si>
  <si>
    <t>La funzione ferroviaria LV_Line_Interference_Monitor - Controllo correnti/interferenze indesiderate di linea è un sistema di monitoraggio che supervisiona le correnti interne e le interferenze indesiderate sulla linea ferroviaria. I componenti principali coinvolti sono il sistema di controllo IDU, il software TCMS e il PCU (Pantograph Control Unit). La logica di funzionamento attiva il sistema quando si verificano condizioni di interruzione del corrente, come ad esempio la mancata detección della tensione elettrica o l'eccesso di corrente. In caso di fallimento, il sistema viene supervisionato dal PCU per garantire la sicurezza e la stabilità della linea ferroviaria.
Analisi — Funzione equivalente tra le seguenti configurazioni: VZI_Base, VZ_FR, VZ_ES, VZI-6_R1.</t>
  </si>
  <si>
    <t>**PARTE 1: Funzione LV_Line_Interference_Monitor per VZ_FR**
La funzione LV_Line_Interference_Monitor è un sistema di controllo che monitora le correnti indesiderate di linea e limita la potenza estratta dalla catena elettrica. Per l'ETR1000, questa funzione è configurata come parte del sistema VZ_FR (pagina 31). La logica operativa prevede l'utilizzo di un dispositivo di limitazione della corrente sullo schermo IDU, che può essere impostato in modo da limitare la corrente in base alle condizioni di linea.
**PARTE 2: Differenze rispetto alle altre configurazioni**
Le principali differenze rispetto alle altre configurazioni sono:
*   Componenti elettrici/meccanici/software: VZ_FR utilizza un dispositivo di limitazione della corrente sullo schermo IDU, mentre le altre configurazioni (VZI_Base, VZ_ES) utilizzano dispositivi diversi.
*   Logica di funzionamento o condizioni operative: La logica operativa di VZ_FR è specifica per la catena elettrica 25 kV AC e richiede un dispositivo di limitazione della corrente differente rispetto alle altre configurazioni.
*   Requisiti o parametri tecnici: VZ_FR ha requisiti tecnici specifici per la limitazione della corrente, come ad esempio una massima corrente di 560 A per la catena elettrica 25 kV AC.
*   Sistemi o sottosistemi coinvolti: La funzione LV_Line_Interference_Monitor è parte del sistema VZ_FR, che include anche il sistema di controllo della potenza (TCMS) e i PCUs (Power Control Units).</t>
  </si>
  <si>
    <t>La funzione ferroviaria "LV_Line_Interference_Monitor — Controllo correnti/interferenze indesiderate di linea" è un sistema di sorveglianza che monitora le correnti elettriche indesiderate sulla linea ferroviaria. È composta da componenti elettrici/meccanici/software come il LIM (Line Interference Monitor), che misura la corrente, la tensione e il temperatura dell'olio dei trasformatori. La logica di funzionamento attiva il sistema in caso di anomalia, con condizioni di attivazione/disattivazione basate sulla deteczione della corrente indesiderata o sul fallimento del sistema. Il sistema è progettato per garantire un livello di sicurezza SIL 2 e richiede la presenza di almeno uno LIM per ogni mezzo ferroviario, con ridondanze e requisiti di sicurezza per garantire la stabilità e la sicurezza del sistema.
Analisi — Funzione equivalente tra le seguenti configurazioni: VZI_Base, VZ_FR, VZ_ES, VZI-6_R1.</t>
  </si>
  <si>
    <t>La funzione ferroviaria LV_Line_Interference_Monitor - Controllo correnti/interferenze indesiderate di linea è un sistema di monitoraggio e controllo delle correnti interne e di interferenze nella linea elettrica del treno ad alta velocità ETR1000. Il sistema è composto da componenti elettrici/meccanici/software come il TCMS (System Management Unit) e l'HVSP (High Voltage System Protection), che lavorano insieme per supervisionare le correnti interne e di interferenze nella linea elettrica. La logica di funzionamento attiva il sistema in caso di deteczione di correnti interne o di interferenze indesiderate, con la possibilità di bypassare il sistema in caso di fallimento. Il sistema è progettato per garantire un livello di sicurezza SIL 2 e richiede l'installazione di almeno uno strumento di monitoraggio per ogni mezzo ferroviario.
Analisi — Funzione equivalente tra le seguenti configurazioni: VZI_Base, VZ_FR, VZ_ES, VZI-6_R1.</t>
  </si>
  <si>
    <t>LV_LIM_50Hz_protection_bypass</t>
  </si>
  <si>
    <t>Bypass della protezione LIM 50 Hz</t>
  </si>
  <si>
    <t>La funzione ferroviaria LV_LIM_50Hz_protection_bypass è un bypass della protezione LIM 50 Hz che viene attivata in caso di errore di test LIM o mancata esecuzione del test, causando l'isolamento del pantografo e la conservazione dell'impegno di trazione al 100%. La funzione coinvolge il sistema di protezione LIM, il pantografo e il sistema di controllo del treno. La logica di funzionamento attiva il bypass in caso di errore di test o mancata esecuzione del test, informando il conducente che il pantografo può essere sollevato una volta terminato il test.
Analisi — Funzione equivalente tra le seguenti configurazioni: VZI_Base, VZ_FR, VZ_ES, VZI-6_R1.</t>
  </si>
  <si>
    <t>La funzione ferroviaria "LV_LIM_50Hz_protection_bypass" è un bypass della protezione LIM 50 Hz che viene attivata in caso di detección di errori durante il test di autotestazione del sistema LIM. La funzione coinvolge il pantografo isolato e mantiene il 100% dell'impegno di trazione, garantendo la sicurezza del sistema e prevenendo potenziali danni. La logica di funzionamento attiva il bypass se si verificano errori durante l'autotestazione, come ad esempio limiti per line current superati o short circuit detectati.
Analisi — Funzione equivalente tra le seguenti configurazioni: VZI_Base, VZ_FR, VZ_ES, VZI-6_R1.</t>
  </si>
  <si>
    <t>La funzione ferroviaria LV_LIM_50Hz_protection_bypass è un bypass della protezione LIM 50 Hz che apre il circuito di spegnimento in caso di detección di correnti armoniche da 50 Hz durante la corsa su una linea DC. I componenti elettrici/meccanici principali coinvolti sono il sistema di protezione LIM, il circuito di spegnimento e il dispositivo di bypass. La logica di funzionamento attiva il bypass quando si verifica un evento come la detezione di correnti armoniche da 50 Hz, ma solo se il treno è in corsa su una linea DC. Questa funzione è progettata per evitare rischi potenziali e consente al treno di proseguire la sua corsa su un'altra sezione della linea dove non si verificano problemi simili.
Analisi — Funzione equivalente tra le seguenti configurazioni: VZI_Base, VZ_FR, VZ_ES, VZI-6_R1.</t>
  </si>
  <si>
    <t>La funzione ferroviaria LV_LIM_50Hz_protection_bypass è un bypass della protezione LIM 50 Hz che apre il circuito di spegnimento in caso di detezione di correnti armoniche a 50 Hz durante la corsa su una linea DC. I componenti elettrici/meccanici principali coinvolti sono il sistema di protezione HVSP, il circuito di spegnimento e il pantografo. La logica di funzionamento attiva il bypass quando si verifica un'eccezione alla normale condizione di correnti armoniche a 50 Hz, consentendo al treno di proseguire la corsa su una sezione diversa della linea dove non è presente il problema. L'attivazione del bypass è gestita dal sistema TCMS e richiede l'intervento del conducente, che riceve un messaggio per eseguire un test di auto-verifica.
Analisi — Funzione equivalente tra le seguenti configurazioni: VZI_Base, VZ_FR, VZ_ES, VZI-6_R1.</t>
  </si>
  <si>
    <t>LV_Neutral_Section_Passing</t>
  </si>
  <si>
    <t>Gestione del passaggio in sezione neutra:
- automatica da ATP in caso di tratto neutro al cambio fase
- inizializzata da ATP con selezione manuale deò PdC della tensione di linea, in caso di tratto neutro al cambio tensione</t>
  </si>
  <si>
    <t>La funzione ferroviaria "LV_Neutral_Section_Passing" gestisce il passaggio in sezione neutra automaticamente tramite ATP (Automatic Train Protection) in caso di tratto neutro al cambio fase. La funzione è inizializzata da ATP con selezione manuale del PdC (Punto di Controllo) della tensione di linea, in caso di tratto neutro al cambio tensione. Il sistema è dotato di un switch selettivo installato nella cabina del conducente che consente di bypassare la protezione in caso di linee DC. La funzione è caratterizzata da una logica di funzionamento che attiva il bypass solo quando il switch è stato attivato e la protezione non è stata disattivata. Il sistema dispone di ridondanze e richiede un alto livello di sicurezza, con una classificazione SIL 2 (Safety Integrated Level 2).
Analisi — Funzione equivalente tra le seguenti configurazioni: VZI_Base, VZ_FR, VZ_ES, VZI-6_R1.</t>
  </si>
  <si>
    <t>La funzione ferroviaria "LV_Neutral_Section_Passing" gestisce il passaggio in sezione neutra del sistema elettrico ferroviario. Coinvolti sono l'ATP (Automatic Train Protection), il sistema di controllo della tensione di linea, il sistema di supervisione LIM (Low Induction Motor) e il sistema di comunicazione MVB (Multiple Vehicle Bus). La funzione è attivata automaticamente in caso di tratto neutro al cambio fase, oppure con selezione manuale da parte dell'ATP. In entrambi i casi, viene bypassato il controllo LIM 50Hz e viene visualizzato un evento sullo schermo IDU (Indicatore di Velocità).
Analisi — Funzione equivalente tra le seguenti configurazioni: VZI_Base, VZ_FR, VZ_ES, VZI-6_R1.</t>
  </si>
  <si>
    <t>La funzione ferroviaria "LV_Neutral_Section_Passing" gestisce il passaggio in sezione neutra, ovvero le parti del sistema elettrico ferroviario che non sono alimentate. Questa funzione è automaticamente attivata dall'ATP (Automatic Train Protection) in caso di tratto neutro al cambio fase, mentre viene inizializzata manualmente dal driver con la selezione della tensione di linea. La logica di funzionamento prevede l'attivazione dell'avviso del LIM bypass quando il sistema di supervisione 50Hz è bypassato, e l'indicazione sullo schermo IDU (Interface Display Unit). Questa funzione richiede la presenza di componenti elettrici/meccanici/software come il sistema di protezione contro l'eccesso di tensione (TCMS) e il sistema di supervisione del LIM. La funzione è progettata per garantire la sicurezza e la stabilità del sistema ferroviario, con ridondanze e requisiti di sicurezza come la bypassing automatica dell'avviso del LIM bypass e l'indicazione sullo schermo IDU.
Analisi — Funzione equivalente tra le seguenti configurazioni: VZI_Base, VZ_FR, VZ_ES, VZI-6_R1.</t>
  </si>
  <si>
    <t>La funzione ferroviaria LV_Neutral_Section_Passing gestisce il passaggio in sezione neutra, automatizzata da ATP in caso di tratto neutro al cambio fase e inizializzata con selezione manuale del PdC della tensione di linea. La logica di funzionamento attiva la bypass HVSP 50Hz supervision quando il switch è stato attivato e l'IDU indica una condizione di disattivazione, mentre la TCMS invia un comando per disattivare la supervisione HVSP via Ethernet bus. La funzione richiede la presenza di un sealed switch bypass, connesso a Digital Inputs sicuri e redundanti, e comporta l'attivazione di un eventuale indicatore IDU.
Analisi — Funzione equivalente tra le seguenti configurazioni: VZI_Base, VZ_FR, VZ_ES, VZI-6_R1.</t>
  </si>
  <si>
    <t>LV_System_Selection</t>
  </si>
  <si>
    <t>Selezione tramite commutatore a 4 posizioni della tensione di linea (25 kV AC, 15 kV AC, 3 kV DC o 1,5 kV DC)</t>
  </si>
  <si>
    <t>La funzione ferroviaria "LV_System_Selection" seleziona il sistema di tensione elettrica tramite un commutatore a 4 posizioni (25 kV AC, 15 kV AC, 3 kV DC o 1,5 kV DC) utilizzando un switch "Line voltage selector". La funzione è attivata quando il driver seleziona la linea di tensione e richiede una selezione del sistema. In caso di fallimento, il sistema si isolerà e il driver dovrà sollevare l'altra pantografia. La logica di funzionamento prevede la deteczione dei sistemi di tensione elettrica e la loro verifica per assicurare la sicurezza del sistema.
Analisi — Funzione equivalente tra le seguenti configurazioni: VZI_Base, VZ_FR, VZ_ES, VZI-6_R1.</t>
  </si>
  <si>
    <t>La funzione ferroviaria "LV_System_Selection" seleziona la tensione di linea tramite un commutatore a 4 posizioni (25 kV AC, 15 kV AC, 3 kV DC o 1,5 kV DC) utilizzando il switch "Line voltage selector". La logica di funzionamento attiva la selezione automaticamente quando il sistema cambia da una tensione all'altra, con la possibilità di configurare il codice del paese di operazione. La funzione è progettata per garantire la sicurezza e la stabilità del sistema, con ridondanze e requisiti di sicurezza implementati per prevenire cortocircuiti e altre anomalie.
Analisi — Funzione equivalente tra le seguenti configurazioni: VZI_Base, VZ_FR, VZ_ES, VZI-6_R1.</t>
  </si>
  <si>
    <t>La funzione LV_System_Selection seleziona tramite commutatore a 4 posizioni la tensione di linea (25 kV AC, 15 kV AC, 3 kV DC o 1,5 kV DC) per il sistema ferroviario ETR1000. La logica di funzionamento attiva la selezione della tensione di linea in base all'indicazione dell'ATP (Automatic Train Protection), mentre l'automatica dei pantografi viene gestita dal software TCMS, che verifica la corrispondenza tra la selezione e quella indicata dall'ATP. La funzione è progettata per garantire una sicurezza di livello SIL 0, con ridondanze e requisiti di sicurezza per prevenire errori o interruzioni del sistema durante il transito.
Analisi — Funzione equivalente tra le seguenti configurazioni: VZI_Base, VZ_FR, VZ_ES, VZI-6_R1.</t>
  </si>
  <si>
    <t>La funzione ferroviaria LV_System_Selection seleziona tramite commutatore a 4 posizioni la tensione di linea (25 kV AC, 15 kV AC, 3 kV DC o 1,5 kV DC) in base alle indicazioni dell'ATP. Il sistema è gestito dal software TCMS e viene controllato dall'IDU. La funzione viene attivata quando il pantografo deve essere sollevato, ma solo se la tensione di linea selezionata è in linea con quella indicata dall'ATP. In caso di differenza, l'IDU visualizza un avviso.
Analisi — Funzione equivalente tra le seguenti configurazioni: VZI_Base, VZ_FR, VZ_ES, VZI-6_R1.</t>
  </si>
  <si>
    <t>LV_Line_Circuit_Breaker_Closing</t>
  </si>
  <si>
    <t>Chiusura dell’interruttore di linea (LCB) per collegare la tensione di linea al treno</t>
  </si>
  <si>
    <t>**PARTE 1: VZI_Base**
La funzione LV_Line_Circuit_Breaker_Closing per la configurazione VZI_Base è responsabile della chiusura dell'interruttore di linea (LCB) per collegare la tensione di linea al treno. Questo sistema è composto da componenti elettrici, meccanici e software che lavorano insieme per garantire la sicurezza e l'efficienza del sistema ferroviario.
La logica operativa prevede che l'LCB venga chiuso automaticamente quando il sistema di deteczione rileva la presenza della tensione corretta. In caso di fallimento, l'LCB viene bloccato e il pantografo viene abbassato per aprire il disconnettore.
**PARTE 2: Differenze rispetto alle altre configurazioni**
- **Componenti elettrici/meccanici/software**: La differenza principale è la presenza di un sistema di deteczione più avanzato nelle configurazioni VZ_FR e VZ_ES, che può rilevare diverse linee di tensione. Inoltre, la configurazione VZI-6_R1 introduce requisiti aggiuntivi per garantire la sicurezza del sistema.
- **Logica di funzionamento o condizioni operative**: La configurazione VZ_FR e VZ_ES richiedono che l'LCB venga aperto se il sistema di deteczione rileva una linea di tensione diversa dalla selezionata. Inoltre, la configurazione VZI-6_R1 introduce un requisito per garantire che l'LCB non venga chiuso se il sistema di deteczione rileva una linea di tensione diversa.
- **Requisiti o parametri tecnici**: La configurazione VZI-6_R1 richiede un requisito aggiuntivo per garantire la sicurezza del sistema, mentre le altre configurazioni non presentano differenze significative in questo aspetto.</t>
  </si>
  <si>
    <t>**PARTE 1: Funzione per 'VZ_FR'**
La funzione LV_Line_Circuit_Breaker_Closing per la configurazione VZ_FR è responsabile di chiusura dell'interruttore di linea (LCB) per collegare la tensione di linea al treno. Questa funzione è parte del sistema di gestione della corrente elettrica, ed è attivata automaticamente dal sistema di detezione della tensione di linea. La funzione verifica se il sistema di detezione ha rilevato una tensione di linea diversa da quella selezionata dal conducente, e in tal caso, l'LCB viene aperto rispettivamente.
**PARTE 2: Differenze rispetto alle altre configurazioni**
Le differenze principali rispetto alle altre configurazioni sono:
*   La configurazione VZ_FR utilizza il sistema di detezione della tensione di linea per verificare la correttezza della selezione del conducente, mentre le altre configurazioni (VZI_Base, VZ_ES) utilizzano un sistema di detezione più complesso che include anche la verifica della correttezza della tensione di linea.
*   La configurazione VZ_FR non richiede l'utilizzo di componenti elettrici/meccanici software aggiuntivi rispetto alle altre configurazioni, mentre la configurazione VZI-6_R1 richiede l'utilizzo di un sistema di gestione della corrente più avanzato.
*   La configurazione VZ_FR ha requisiti tecnici più semplici rispetto alle altre configurazioni, poiché non richiede la verifica della correttezza della tensione di linea in condizioni di errore.</t>
  </si>
  <si>
    <t>La funzione ferroviaria "LV_Line_Circuit_Breaker_Closing" si chiama "Chiusura dell'interruttore di linea (LCB)" e ha lo scopo di collegare la tensione di linea al treno. La funzione è coinvoltiva del sistema di isolamento dei circuiti elettrici, della gestione della tensione di linea e della sicurezza del sistema. La logica di funzionamento prevede che l'LCB si attivino solo se il sistema di riferimento è valido e corretto, altrimenti la chiusura dell'interruttore viene bloccata per evitare danni al sistema o al treno. La funzione è progettata con ridondanze per garantire la sicurezza del sistema, con un limite di 3 tentativi senza successo entro 30 minuti prima che l'LCB venga bloccato permanentemente.
Analisi — Funzione equivalente tra le seguenti configurazioni: VZI_Base, VZ_FR, VZ_ES, VZI-6_R1.</t>
  </si>
  <si>
    <t>La funzione ferroviaria "LV_Line_Circuit_Breaker_Closing" si chiama "Chiusura dell'interruttore di linea" (LCB) e ha lo scopo di collegare la tensione di linea al treno. La funzione è coinvoltiva del sistema di detrazione dei segnali elettrici, del controllo della tensione di linea e del software di gestione del sistema. La logica di funzionamento prevede che l'interruttore non si chiuda se il sistema di detrazione dei segnali rileva una tensione di linea diversa dalla selezionata, per evitare danni al treno o alla linea. L'interruttore viene disattivato automaticamente se la tensione di linea non corrisponde alla selezione del pantografo sollevato.</t>
  </si>
  <si>
    <t>LV_Line_Circuit_Breaker_Opening</t>
  </si>
  <si>
    <t>Apertura LCB su comando o per intervento protezione</t>
  </si>
  <si>
    <t>**PARTE 1: Funzione per VZI_Base**
La funzione LV_Line_Circuit_Breaker_Opening per la configurazione VZI_Base è responsabile di aprire il circuito di spegnimento della linea elettrica (LCB) solo se viene rilevato una tensione corretta sulla linea o se il treno è in modalità di manutenzione. In caso di assenza di tensione, l'automatico procedimento di uscita si attiva e, una volta rilevata la tensione, il LCB viene riaperto solo se già stato chiuso precedentemente.
**PARTE 2: Differenze rispetto alle altre configurazioni**
Le differenze principali rispetto alle altre configurazioni sono:
*   VZ_FR: in questa versione, il LCB si chiude automaticamente dopo un tempo di delay proporzionato al numero del treno, mentre nella versione VZI_Base tale funzione è assente.
*   VZ_ES: in questa versione, il LCB si chiude solo quando il converter è disconnesso o il DC-link è carico, mentre nella versione VZI_Base la funzione di spegnimento del LCB dipende solo dalla rilevazione della tensione corretta sulla linea.
*   VZI-6_R1: in questa versione, il LCB si chiude con un ritardo di 1 secondo per il secondo treno in caso di presenza di due treni nella stessa linea.</t>
  </si>
  <si>
    <t>**PARTE 1**
La funzione LV_Line_Circuit_Breaker_Opening per la configurazione VZ_FR si attiva quando il sistema necessita di spegnere l'alimentazione elettrica al treno ad alta velocità ETR1000. La funzione è gestita dal circuito a scelta del segnale (LCB) che viene attivato in caso di disconnessione della tensione elettrica o carico del DC-link. Il LCB viene aperto solo se la tensione elettrica è valida, al fine di evitare un'interruzione improvvisa.
**PARTE 2**
Le differenze rispetto alle altre configurazioni sono le seguenti:
*   Componenti elettrici/meccanici/software: il VZ_FR utilizza una logica operativa diversa rispetto a VZI_Base, VZ_ES e VZI-6_R1.
*   Logica di funzionamento o condizioni operative: la funzione LCB viene aperta solo se la tensione elettrica è valida, al fine di evitare un'interruzione improvvisa. Questo è diverso da VZI_Base e VZ_ES che richiedono una validazione della tensione elettrica.
*   Requisiti o parametri tecnici: il VZ_FR richiede una sincronizzazione con la fine del sinusodial line voltage di 15kV AC, al fine di evitare l'over magnetisation del main trafo. Questo è diverso da VZI-6_R1 che richiede un'interruzione immediata.
*   Sistemi o sottosistemi coinvolti: il VZ_FR coinvolge il sistema di protezione e il sistema di controllo del treno, mentre VZI-6_R1 coinvolge anche il sistema di gestione della velocità.</t>
  </si>
  <si>
    <t>**PARTE 1**
La funzione LV_Line_Circuit_Breaker_Opening per la configurazione VZ_ES apre il circuito di spegnimento della linea elettrica quando viene ricevuto un comando da parte del sistema LIM, o quando si verifica una protezione di lineatura o durante attività di manutenzione. Il circuito breaker è composto da componenti elettrici e meccanici, tra cui il diseguagliatore di linea, il relè e l'interruttore. La logica operativa prevede la disconnessione del circuito quando viene ricevuto un comando o quando si verifica una protezione.
**PARTE 2**
Le differenze rispetto alle altre configurazioni sono:
*   VZ_FR: la funzione di chiusura del circuito è limitata alla chiusura solo se il corrente è presente, mentre in VZ_ES il circuito può essere aperto anche senza corrente.
*   VZI-6_R1: la funzione di chiusura del circuito è sincronizzata con la linea elettrica per evitare l'eccessiva magnetizzazione del trasformer, mentre in VZ_ES non ci sono specifiche richieste di sincronizzazione.
*   Componenti elettrici/meccanici/software: solo VZ_FR ha una specifica richiesta di protezione della chiusura del circuito quando il corrente è presente.</t>
  </si>
  <si>
    <t>**PARTE 1**
La funzione LV_Line_Circuit_Breaker_Opening per la configurazione VZI-6_R1 è finalizzata a aprire il circuito di spegnimento della linea elettrica (LCB) in caso di disconnessione della tensione di linea. La logica operativa prevede che l'apertura del LCB avvenga al vertice della tensione sinusoidale di 15kV AC, evitando così l'eccesso di magnetizzazione del trasformer principale.
**PARTE 2**
Le differenze rispetto alle altre configurazioni sono le seguenti:
*   Componenti elettrici/meccanici/software: la configurazione VZI-6_R1 presenta una logica operativa diversa rispetto a VZ_FR e VZ_ES, che richiedono l'apertura del LCB solo quando il converter è disconnesso o il DC-link è carico.
*   Logica di funzionamento o condizioni operative: la configurazione VZI-6_R1 non prevede un'interruzione anticipata del LCB in caso di apertura senza ordine, a differenza di VZ_FR e VZ_ES che richiedono tale interruzione.
*   Requisiti o parametri tecnici: la configurazione VZI-6_R1 presenta requisiti tecnici diversi rispetto alle altre, come ad esempio il rilascio del documento FA020022045 Rev 5.0.</t>
  </si>
  <si>
    <t>LV_Isolate_High_Voltage</t>
  </si>
  <si>
    <t>Isolamento di sezioni HV guaste per mantenere disponibile parte della trazione</t>
  </si>
  <si>
    <t>La funzione ferroviaria "LV_Isolate_High_Voltage" è un meccanismo di isolamento di sezioni HV guaste per mantenere disponibile parte della trazione. È attivata quando il voltage supera i 15 kV e viene attivata anche in caso di apertura di un LCB (disconnettore) senza che l'altro sia stato chiuduto. La funzione è attivata su livello consistente, ovvero se un LCB non è stato aperto sul traino posteriore, la messaggio deve essere inviato al driver del traino anteriore. La logica di funzionamento prevede l'invio di una notifica al driver con istruzioni per abbassare il disconnettore automatico e attivazione del buzzer.
Analisi — Funzione equivalente tra le seguenti configurazioni: VZI_Base, VZ_FR, VZ_ES, VZI-6_R1.</t>
  </si>
  <si>
    <t>La funzione ferroviaria "LV_Isolate_High_Voltage" è progettata per isolare sezioni HV guaste mantenendo disponibile parte della trazione. La funzione coinvolge componenti elettrici/meccanici/software come disconnettori di alta tensione, pantografi e sistemi di isolamento. La logica di funzionamento attiva la funzione quando si verificano condizioni di fallimento dei disconnettori (apertura o chiusura ritardata) o quando il loro stato non è noto. La funzione dispone di ridondanze con tre tentativi di apertura del disconnettore entro un intervallo di 10 secondi, e richiede un livello di sicurezza SIL 0 per garantire la sicurezza del sistema.
Analisi — Funzione equivalente tra le seguenti configurazioni: VZI_Base, VZ_FR, VZ_ES, VZI-6_R1.</t>
  </si>
  <si>
    <t>La funzione ferroviaria "LV_Isolate_High_Voltage" è finalizzata a isolare sezioni HV guaste per mantenere disponibile parte della trazione. Coinvolti sono i disconnettori di linea HV, il sistema di controllo elettronico e il software di gestione del sistema. La funzione si attiva quando si verificano condizioni di fallimento dei disconnettori (apertura o chiusura non corretta) o quando la posizione dei disconnettori è sconosciuta, con l'obiettivo di mantenere almeno metà della trazione disponibile. La funzione è progettata per garantire un livello di sicurezza SIL 0 e prevede ridondanze nel sistema, come il controllo dei disconnettori e la gestione degli eventi di fallimento.
Analisi — Funzione equivalente tra le seguenti configurazioni: VZI_Base, VZ_FR, VZ_ES, VZI-6_R1.</t>
  </si>
  <si>
    <t>La funzione ferroviaria "LV_Isolate_High_Voltage" è finalizzata a isolare sezioni HV guaste per mantenere disponibile parte della trazione di un treno ad alta velocità ETR1000 VZI-6. La logica di funzionamento prevede l'attivazione dell'isolamento quando si verificano condizioni di fallimento dei disconnettori elettrici, come la mancata apertura o chiusura, o la posizione incerta. Il sistema consente tre tentativi di apertura con intervalli di 10 secondi tra ogni tentativo, e in caso di fallimento, l'evento viene segnalato al conducente che deve cambiare manualmente il pantografo. La funzione è progettata per garantire un livello di sicurezza SIL 0 e prevede la presenza di ridondanze nei disconnettori elettrici e nel sistema di controllo software.
Analisi — Funzione equivalente tra le seguenti configurazioni: VZI_Base, VZ_FR, VZ_ES, VZI-6_R1.</t>
  </si>
  <si>
    <t>LV_Main_Transformer_cooling_control</t>
  </si>
  <si>
    <t>Controllo da parte della PCU della velocità delle ventole del circuito di raffreddamento ad olio</t>
  </si>
  <si>
    <t>La funzione ferroviaria LV_Main_Transformer_cooling_control è responsabile del controllo della velocità delle ventole del circuito di raffreddamento ad olio del transformatore principale. I componenti elettrici/meccanici/software coinvolti sono i fan del circuito di raffreddamento, il sistema di gestione dell'olio e la PCU (Propulsion Control Unit). La logica di funzionamento attiva le ventole in base alla temperatura dell'olio e alla velocità della vettura, con un ritardo di inizio diverso per ogni fan. Le ridondanze sono garantite dal fatto che il sistema è progettato per essere monitorato dalla PCU e dal sistema di gestione dell'olio, con requisiti di sicurezza come l'indicazione di eventuali errori del contattore dell'olio pump o dell'MCB (Meccanic Contact Breaker).</t>
  </si>
  <si>
    <t>LV_Main_Transformer_Supervision</t>
  </si>
  <si>
    <t>Controllo da parte della PCU della temperatura del trasformatore e degli induttori linea</t>
  </si>
  <si>
    <t>La funzione ferroviaria LV_Main_Transformer_Supervision monitora e controlla la temperatura del trasformatore e degli induttori linea, utilizzando dati provenienti da sensori PT100 acquistati dal sistema TCMS e inviati alle PCU. La logica di funzionamento attiva il controllo quando entrambi i sensori del trasformatore sono disponibili, altrimenti il sistema attiva la ventilazione dei trasformatore fino all'uscita massima.</t>
  </si>
  <si>
    <t>LV_Energy_Meter</t>
  </si>
  <si>
    <t>Sistema di lettura dell'evergia assorbita dal treno e invio a terra dei dati</t>
  </si>
  <si>
    <t>La funzione ferroviaria LV_Energy_Meter è un sistema di lettura dell'energia assorbita dal treno e invio a terra dei dati. È composta da componenti elettrici/meccanici/software come il sistema di gestione del potenziale (TCMS), l'IDU (Interface Device Unit) e il driver desk selector. La logica di funzionamento prevede che la richiesta di apertura della disconnettore del tetto venga inviata solo se il treno è in sosta e tutti i pannelli sono spenti o tutti gli LCB (Line Clearance Devices) sono aperti. In caso di selezione di una specifica tensione, solo quella corrispondente viene inviata alla propulsion. La funzione implementa un master reset per tutti gli equipaggiamenti e richiede l'invio di un evento per l'ingegneria in caso di disconnettore del tetto aperto.
Analisi — Funzione equivalente tra le seguenti configurazioni: VZ_FR, VZ_ES, VZI-6_R1.</t>
  </si>
  <si>
    <t>La funzione ferroviaria LV_Energy_Meter è un sistema di lettura dell'energia assorbita dal treno e invio a terra dei dati. È una funzione indipendente dal livello veicolo, che lavora con l'auxiliary power DC110V e genera eventi in caso di perdita di alimentazione. La logica di funzionamento attiva il sistema quando il treno è in movimento e tutte le condizioni previste sono soddisfatte (cot out command, train standstill, tutti i pantoni down e tutti gli LCB aperti). In caso di mancata verificazione delle condizioni, un evento selezionale viene generato per il driver. Il sistema è progettato con ridondanze e richiede autorizzazione espressa per la riproduzione o distribuzione dei dati contenuti nel documento.
Analisi — Funzione equivalente tra le seguenti configurazioni: VZ_FR, VZ_ES, VZI-6_R1.</t>
  </si>
  <si>
    <t>La funzione ferroviaria LV_Energy_Meter è un sistema di lettura dell'energia assorbita dal treno e invio a terra dei dati. È composta da componenti elettrici/meccanici/software come l'Energy Metering Function, Data Handling System, Communication Unit (4G) e GPS. La logica di funzionamento attiva il sistema quando la corrente elettrica è presente e invia i dati energetici al server terrestre tramite una comunicazione dedicata. Il sistema è progettato per garantire la sicurezza con un livello di sicurezza SIL 0, con ridondanze e requisiti di sicurezza per prevenire errori e garantire l'integrità dei dati.
Analisi — Funzione equivalente tra le seguenti configurazioni: VZ_FR, VZ_ES, VZI-6_R1.</t>
  </si>
  <si>
    <t>LV_Key_interlocking</t>
  </si>
  <si>
    <t>Interblocco tramite giro chiavi del sistema alta tensione</t>
  </si>
  <si>
    <t>PARTE 1:
La funzione LV_Key_interlocking per la configurazione VZI_Base è responsabile dell'interblocco tramite giro chiavi del sistema alta tensione. Questo sistema è composto da componenti come HV-switches e disconnectors, controllati dal TCMS (System Management System) e hardwired per proteggere il lock. La logica operativa prevede che in condizioni normali, il sistema fornisca potenza a HV, 400V e 110V, mentre in caso di fallimento, il TCMS attiva diagnostiche specifiche.
PARTE 2:
Le differenze rispetto alla configurazione VZI-6_R1 sono legate all'uso diverso dei componenti e della logica operativa. Mentre VZI-6_R1 utilizza un approccio più complesso con la gestione delle diagnostiche in caso di fallimento, VZI_Base si concentra sulla protezione del lock tramite il TCMS. Inoltre, le specifiche dei requisiti SIL sono diverse tra le due configurazioni.
Analisi — Funzione equivalente tra le seguenti configurazioni: VZI_Base, VZ_FR, VZ_ES.</t>
  </si>
  <si>
    <t>La funzione ferroviaria LV_Key_interlocking è un sistema di interblocco tramite giro chiavi del sistema alta tensione (HV) che garantisce la sicurezza durante il trasporto di treni ad alta velocità. Il sistema è composto da componenti elettrici/meccanici/software come TCMS, HV-switches, disconnettori, lampade, solenoidi e isolanti/grounding switches DC (4a). La logica di funzionamento prevede la gestione di due livelli di interblocco: operativo e di manutenzione, con condizioni di attivazione/disattivazione basate sulla presenza o assenza di HV e su specifici comandi di controllo. Il sistema è progettato per garantire un livello di sicurezza di SIL 2 e prevede la presenza di ridondanze per garantire la continuità del servizio.
Analisi — Funzione equivalente tra le seguenti configurazioni: VZ_FR, VZ_ES, VZI-6_R1.</t>
  </si>
  <si>
    <t>La funzione ferroviaria LV_Key_interlocking è un sistema di interblocco tramite giro chiavi del sistema alta tensione. È composta da componenti elettrici/meccanici/software come il sistema di gestione della tensione (TCMS) e i dispositivi di protezione (lampada, solenoid). La logica di funzionamento attiva il sistema quando la tensione è disponibile (normal condition) e lo disattiva in caso di fallimento del sistema (failure condition). Il sistema supporta due livelli di interblocco: operativo e di manutenzione, con cinque modi diversi di gestione. La funzione è progettata per garantire la sicurezza e la ridondanza, con il TCMS che mostra lo stato del sistema EMS e lo disattiva in caso di fallimento, e con la possibilità di trigger eventi diagnostiche.
Analisi — Funzione equivalente tra le seguenti configurazioni: VZ_FR, VZ_ES, VZI-6_R1.</t>
  </si>
  <si>
    <t>La funzione ferroviaria LV_Key_interlocking è un sistema di interblocco tramite giro chiavi del sistema alta tensione (HV) utilizzato nel treno ad alta velocità ETR1000 VZI-6. Il sistema è composto da componenti elettrici/meccanici/software come il sistema di controllo della tensione (TCMS), i commutatori HV, i disconnettori e le luci/solenoidi protetti. La funzione viene attivata quando l'EMS è in fallimento e il TCMS triggerebbe eventi diagnostici rilevanti. Il sistema supporta due livelli di interblocco: operativo e di manutenzione, con cinque modi diversi di sequenza di interloco (operativo, parcheggiato, disattivato, fornitura depot e di manutenzione).
Analisi — Funzione equivalente tra le seguenti configurazioni: VZ_FR, VZ_ES, VZI-6_R1.</t>
  </si>
  <si>
    <t>LV_Function_Earthing_of_High_Voltage_Supply</t>
  </si>
  <si>
    <t>Messa a terra dell'alta tensione per consentire la manutenzione in sicurezza</t>
  </si>
  <si>
    <t>La funzione ferroviaria "Earthing of High Voltage Supply" (Messa a terra dell'alta tensione) è progettata per consentire la manutenzione in sicurezza del sistema di alta tensione. I componenti elettrici/meccanici principali coinvolti sono l'isolamento/grounding switch DC e AC, il pantografo e le cubicle con equipaggiamento HV. La funzione è attivata quando l'HV system è earthed per garantire la sicurezza durante la manutenzione. In caso di fallimento, il sistema supervisiona le condizioni di isolamento/grounding dei switch DC e AC.
Analisi — Funzione equivalente tra le seguenti configurazioni: VZI_Base, VZ_FR, VZ_ES, VZI-6_R1.</t>
  </si>
  <si>
    <t>La funzione ferroviaria "Earthing of High Voltage Supply" (Messa a terra dell'alta tensione) è finalizzata a garantire la sicurezza durante le operazioni di manutenzione sul treno ad alta velocità ETR1000.
I componenti elettrici/meccanici principali coinvolti sono l'impostazione del sistema di alta tensione, il pantografo e i cubicles contenenti l'alta tensione. La logica di funzionamento prevede la chiusura degli isolanti/guarda e la messa a terra dell'alta tensione per garantire la sicurezza durante le operazioni di manutenzione.
La funzione è attivata quando il sistema di alta tensione è in condizioni di normalità, mentre in caso di fallimento del sistema, si verificano condizioni di allarme. La funzione è progettata per essere eseguita con l'ausilio della chiave di accesso (KIS) e prevede la presenza di ridondanze per garantire la sicurezza durante le operazioni di manutenzione.
Analisi — Funzione equivalente tra le seguenti configurazioni: VZI_Base, VZ_FR, VZ_ES, VZI-6_R1.</t>
  </si>
  <si>
    <t>La funzione ferroviaria "LV_Function_Earthing_of_High_Voltage_Supply" si occupa di mettere a terra l'alta tensione per consentire la manutenzione in sicurezza. I componenti elettrici/meccanici/software coinvolti includono i circuiti di isolamento, le linee di alimentazione, i pantografi e gli isolatori. La funzione è attivata quando si passa da modalità "operazione" a "manutenzione", con la chiusura dei circuiti di isolamento, il abbassamento dei pantografi e l'earthing dell'alta tensione se necessario. La funzione è progettata per garantire una sicurezza elevata, con un livello di sicurezza SIL 2, e richiede la presenza del sistema KIS (Key In Safety) per attivare il depot supply mode.
Analisi — Funzione equivalente tra le seguenti configurazioni: VZI_Base, VZ_FR, VZ_ES, VZI-6_R1.</t>
  </si>
  <si>
    <t>La funzione ferroviaria "Earthing of High Voltage Supply" (Messa a terra dell'alta tensione) è progettata per consentire la manutenzione in sicurezza del sistema di alta tensione dell'ETR1000 VZI-6. I componenti elettrici/meccanici principali coinvolti sono i contattori, le isolanti/guardie elettriche, i pantografi e il sistema di controllo (KIS). La funzione è attivata in tre modi: "Disabled Mode" (parcheggio con possibilità di connessione al deposito), "Depot Supply Mode" (connessione al deposito con accesso limitato) e "Maintenance Mode" (accesso autorizzato a cubicles contenenti equipaggiamento HV). La funzione è progettata per garantire la sicurezza degli operatori durante la manutenzione, con ridondanze e requisiti di sicurezza come l'attivazione dell'isolante/guardia elettrica in caso di attivazione dell'A-Key.
Analisi — Funzione equivalente tra le seguenti configurazioni: VZI_Base, VZ_FR, VZ_ES, VZI-6_R1.</t>
  </si>
  <si>
    <t>LV_Function_Earthing_of_Converter_boxes</t>
  </si>
  <si>
    <t>Messa a terra dei box convertitori per consentire l’accesso e la manutenzione in sicurezza</t>
  </si>
  <si>
    <t>**PARTE 1: VZI_Base**
La funzione "Earthing of Converter boxes" per la configurazione VZI_Base è progettata per garantire l'accesso e la manutenzione dei box convertitori in sicurezza. Il sistema è dotato di un interruttore di terra che viene attivato manualmente per earthare le connessioni DC-link interne dei converter unit. Questa funzione è essenziale per evitare rischi di scosse elettriche durante la manutenzione.
**PARTE 2: Differenze rispetto alle altre configurazioni**
Le differenze principali rispetto alle altre configurazioni sono:
*   VZ_FR: in questa versione, il disconnettore 36b viene attivato manualmente per earthare il box convertitore, ma non è presente un meccanismo di sicurezza che impedisce l'accesso al box se l'interruttore non è in posizione earthed.
*   VZ_ES: in questa versione, il disconnettore 36b viene attivato manualmente per earthare il box convertitore, ma è presente un meccanismo di sicurezza che impedisce l'accesso al box se l'interruttore non è in posizione earthed. Inoltre, è presente un altro meccanismo di sicurezza che impedisce l'accesso al box se la chiave A2 non è stata rimossa.
*   VZI-6_R1: in questa versione, il disconnettore 36b viene attivato manualmente per earthare il box convertitore, e sono presenti due meccanismi di sicurezza che impediscono l'accesso al box se l'interruttore non è in posizione earthed. Inoltre, è presente un altro meccanismo di sicurezza che impedisce l'accesso al box se la chiave A2 non è stata rimossa.</t>
  </si>
  <si>
    <t>**PARTE 1**
La funzione LV_Function_Earthing_of_Converter_boxes per la configurazione VZ_FR è finalizzata a garantire l'accesso e la manutenzione dei box convertitori in sicurezza. Questa funzione è implementata tramite il disconnettore 36b (Z-switches) che viene earthed manualmente, permettendo di rilasciare le chiavi E2 e B2 per la manovra e l'uscita dal treno. La logica operativa prevede che il disconnettore 36b sia in posizione earthed quando si tenta di rimuovere la chiave A2.
**PARTE 2**
Le differenze rispetto alle altre configurazioni sono le seguenti:
*   VZ_FR e VZI-6_R1 presentano una logica operativa simile, con l'earth earthing del disconnettore 36b (Z-switches) per garantire la sicurezza dell'accesso e della manutenzione.
*   Tuttavia, VZ_FR non richiede il ruolo di TCMS per monitorare la posizione del disconnettore 36b, mentre VZI-6_R1 lo richiede.
*   La configurazione VZ_ES presenta una differenza nella descrizione della funzione earth HV DC line, che richiede azioni manuali specifiche per rimuovere la chiave A2 e attivare il disconnettore 36b.</t>
  </si>
  <si>
    <t>**PARTE 1**
La funzione LV_Function_Earthing_of_Converter_boxes per la configurazione VZ_ES è finalizzata a mettere a terra i box convertitori per consentire l'accesso e la manutenzione in sicurezza. I componenti principali coinvolti sono il disconnettore di earthing 36b (Z-switches) e le chiavi A2, E2 e B2. La logica operativa prevede di rimuovere l'A2-key dal pannello e inserirlo nel lock del disconnettore, poi ruotarlo e attivare il disconnettore per earthare il box convertitore.
**PARTE 2**
Le differenze rispetto alle altre configurazioni sono:
*   VZI_Base: manca la specifica della chiave B2 rilasciata meccanicamente.
*   VZ_FR: è presente una specifica sulla posizione del disconnettore monitorato dal TCMS con due contatti ausiliari.
*   VZI-6_R1: presenta le stesse azioni e risultati della configurazione VZ_ES, ma con alcune differenze nella descrizione delle chiavi rilasciate meccanicamente.</t>
  </si>
  <si>
    <t>**PARTE 1**
La funzione LV_Function_Earthing_of_Converter_boxes per la configurazione VZI-6_R1 è finalizzata a garantire l'accesso e la manutenzione dei box convertitori in sicurezza, mediante la messa a terra del sistema di alta tensione. La logica operativa prevede la rimozione dell'A2-key dal pannello A2-key e il suo inserimento nel lock della disconnettore HV DC 36b (Z-switches), seguito dalla manovra di disconnettore per earthare il box convertitore. Questa funzione è progettata per garantire la sicurezza degli operatori durante le attività di manutenzione.
**PARTE 2**
Le differenze rispetto alle altre configurazioni sono:
*   VZI_Base: la documentazione non specifica la logica di funzionamento della disconnettore HV DC 36b, mentre VZ_FR e VZ_ES descrivono solo gli action manuali per earthare il box convertitore.
*   VZ_FR e VZ_ES: mancano le informazioni sulla rimozione dell'A2-key dal pannello A2-key e sul suo inserimento nel lock della disconnettore HV DC 36b.
*   Componenti elettrici/meccanici/software: la configurazione VZI-6_R1 specifica la manovra di disconnettore per earthare il box convertitore, mentre le altre configurazioni non lo fanno esplicitamente.</t>
  </si>
  <si>
    <t>LV_HVAC_pre-conditioning_on_DC_line</t>
  </si>
  <si>
    <t>Funzione per alimentare gli HVAC senza superare i limiti di corrente</t>
  </si>
  <si>
    <t>**PARTE 1: VZI_Base**
La funzione LV_HVAC_pre-conditioning_on_DC_line per il sistema ETR1000 VZI-Base è progettata per alimentare gli HVAC senza superare i limiti di corrente. La logica operativa prevede la verifica di condizioni specifiche prima dell'attivazione del funzionamento, come ad esempio il train standstill e l'applicazione della frenatura a mano. Il sistema utilizza un menu dedicato sullo schermo IDU per attivare la funzione Pre-Conditioning.
**PARTE 2: Differenze rispetto alle altre configurazioni**
Le differenze principali rispetto alle altre configurazioni sono:
*   VZ_FR: manca il requisito di verifica del train standstill prima dell'attivazione della funzione Pre-Conditioning.
*   VZ_ES: include un sistema di controllo aggiuntivo per la gestione della frenatura a mano, non presente nel VZI_Base.
*   VZI-6_R1: introduce nuove componenti elettriche/meccaniche, come il DC-Link Earthing panel, non presenti nel VZI_Base.</t>
  </si>
  <si>
    <t>**PARTE 1**
La funzione LV_HVAC_pre-conditioning_on_DC_line per il sistema ETR1000 VZ_FR è progettata per alimentare l'HVAC (sistema di climatizzazione) senza superare i limiti di corrente, garantendo una sicurezza e un efficiente utilizzo dell'energia. La funzione richiede la presenza del pantografo e della MCB (Masse Correttore Batteria) per attivare il sistema.
**PARTE 2**
Le differenze rispetto alle altre configurazioni sono:
*   Componenti elettrici/meccanici/software: VZ_FR utilizza il pantografo e la MCB, mentre VZ_ES utilizza un sistema di alimentazione diverso.
*   Logica di funzionamento o condizioni operative: VZ_FR richiede l'attivazione del pantografo e della MCB per attivare la funzione, mentre VZ_ES è automaticamente gestita dal TCMS (System Controller for Multiple Systems).
*   Requisiti o parametri tecnici: VZ_FR ha un limite di corrente più bassa rispetto a VZ_ES.
*   Sistemi o sottosistemi coinvolti: VZ_FR coinvolge il sistema di HVAC e il pantografo, mentre VZ_ES coinvolge anche il TCMS.</t>
  </si>
  <si>
    <t>**PARTE 1: Funzione per 'VZ_ES'**
La funzione LV_HVAC_pre-conditioning_on_DC_line per 'VZ_ES' è progettata per alimentare gli HVAC senza superare i limiti di corrente, garantendo una sicurezza e un efficiente utilizzo dell'energia. La funzione viene attivata solo quando richiesta dal conducente e si basa sulla presenza di specifiche condizioni sulle linee DC. Il sistema controlla la tensione elettrica per garantire che non superi i limiti di corrente consentiti (200 Amps per pantograph su 3kVdc, 300 Amps su 1.5Vdc).
**PARTE 2: Differenze rispetto alle altre configurazioni**
Le differenze principali rispetto alle altre configurazioni sono:
*   **Componenti elettrici/meccanici/software**: La funzione 'VZ_ES' utilizza pantografi con una corrente massima di 200 Amps su 3kVdc, mentre 'VZ_FR' utilizza pantografi con una corrente massima di 300 Amps su 1.5Vdc.
*   **Logica di funzionamento o condizioni operative**: La funzione 'VZ_ES' richiede l'autorizzazione del conducente per attivare la pre-condizione, mentre 'VZ_FR' gestisce automaticamente la pre-condizione sulla linea DC.
*   **Requisiti o parametri tecnici**: La funzione 'VZ_ES' richiede una tensione elettrica specifica (3kVdc) per attivare la pre-condizione, mentre 'VZ_FR' gestisce la pre-condizione su entrambe le linee DC (3kVdc e 1.5Vdc).
*   **Sistemi o sottosistemi coinvolti**: La funzione 'VZ_ES' coinvolge il sistema di HVAC, mentre 'VZ_FR' gestisce la pre-condizione su entrambi i sistemi HVAC e TCMS (System for Train Control and Management).</t>
  </si>
  <si>
    <t>**PARTE 1**
La funzione LV_HVAC_pre-conditioning_on_DC_line per il VZI-6_R1 è progettata per alimentare l'HVAC senza superare i limiti di corrente. Questa funzione è composta da componenti elettrici/meccanici/software come il DC-Link Earthing panel, le solenoidi e gli switch di controllo. La logica operativa prevede la gestione della tensione elettrica sulla linea DC per garantire una corretta alimentazione dell'HVAC.
**PARTE 2**
Le differenze rispetto alle altre configurazioni sono:
*   Componenti elettrici/meccanici/software: il VZI-6_R1 utilizza il DC-Link Earthing panel e le solenoidi specifiche per la gestione della tensione elettrica, mentre le altre configurazioni (VZI_Base, VZ_FR, VZ_ES) presentano differenze nelle loro specifiche tecniche.
*   Logica di funzionamento o condizioni operative: il VZI-6_R1 ha una logica operativa più complessa rispetto alle altre configurazioni, che prevede la gestione della tensione elettrica sulla linea DC per garantire una corretta alimentazione dell'HVAC.
*   Requisiti o parametri tecnici: il VZI-6_R1 ha requisiti tecnici più specifici rispetto alle altre configurazioni, che prevedono la gestione della tensione elettrica sulla linea DC per garantire una corretta alimentazione dell'HVAC.
*   Sistemi o sottosistemi coinvolti: il VZI-6_R1 coinvolge il sistema di HVAC e il sistema di controllo elettronico, mentre le altre configurazioni possono coinvolgere altri sistemi o sottosistemi.</t>
  </si>
  <si>
    <t>AUX_Function_General</t>
  </si>
  <si>
    <t>FRS_Aux Electrical Supply</t>
  </si>
  <si>
    <t>La funzione ferroviaria "AUX_Function_General" è un sistema elettrico di supporto per il treno ad alta velocità ETR1000, noto come Electrical Auxiliary System (3~ 400V AC). Il sistema è composto da due 4-car unità connesse da un bus disconnettore, ognuna con due ACM (allgemeine Kraftfahrzeug-Steuerung) che operano in parallelo. La logica di funzionamento prevede l'attivazione dei carichi auxiliari con ritardi temporali per minimizzare il rischio di surriscaldamento, controllata dal sistema TCMS (Train Control and Monitoring System). In caso di fallimento del sistema, è previsto un ridondanza con almeno due ACM attivi.
Analisi — Funzione equivalente tra le seguenti configurazioni: VZI_Base, VZ_FR, VZ_ES, VZI-6_R1.</t>
  </si>
  <si>
    <t>La funzione ferroviaria AUX_Function_General è un sistema elettrico di supporto per l'attivazione degli alimentatori elettrici (ACM) dei treni ad alta velocità ETR1000. Il sistema è composto da due 4-car unità, con due ACM operanti in parallelo in ogni unità, gestiti dal TCMS system. La funzione è progettata per attivare gli alimentatori elettrici con ritardi temporizzati per minimizzare la variazione di corrente, garantendo una sicurezza e un comfort ottimali durante l'avvio del sistema.
Analisi — Funzione equivalente tra le seguenti configurazioni: VZI_Base, VZ_FR, VZ_ES, VZI-6_R1.</t>
  </si>
  <si>
    <t>La funzione ferroviaria "AUX_Function_General" è un sistema elettrico di supporto per il treno ETR1000, composto da due 4-car unità connesse a un bus disconnector. Il sistema è composto da due ACM (all-wheel drive motor) che operano in parallelo e sono controllati dal TCMS system. La funzione è progettata per attivare le correnti di alimentazione con ritardi temporizzati per minimizzare il rischio di surriscaldamento, mentre il sistema di controllo del TCMS monitora lo stato del sistema e gestisce la gestione dei contatti e disconnettori. La funzione è progettata per garantire la sicurezza e la stabilità del sistema, con ridondanze nel caso di una sola fallita.
Analisi — Funzione equivalente tra le seguenti configurazioni: VZ_ES, VZI-6_R1.</t>
  </si>
  <si>
    <t>La funzione ferroviaria AUX_Function_General è un sistema elettrico di supporto per il treno ad alta velocità ETR1000 VZI-6, composto da due 4-car unità connesse da un disconnettore di bus. Il sistema è composto da due ACM (sistemi di alimentazione) che operano in parallelo e sono controllati dal TCMS (system management). La logica di funzionamento prevede l'attivazione dei carichi auxiliari con ritardi temporali per minimizzare il rischio di surriscaldamento. Il sistema è progettato per garantire la continuità del servizio anche in caso di fallimento di un solo ACM, con ridondanze e requisiti di sicurezza come la connessione diretta del punto neutro al carso e la possibilità di disconnettere il conduttore neutro.
Analisi — Funzione equivalente tra le seguenti configurazioni: VZ_ES, VZI-6_R1.</t>
  </si>
  <si>
    <t>AUX_Activation_and_Synchronisation_of_ACM</t>
  </si>
  <si>
    <t>La funzione ferroviaria AUX_Activation_and_Synchronisation_of_ACM è un sistema di attivazione e sincronizzazione degli alimentatori di aria compressa (ACM) e dei sistemi di raffreddamento (HVAC). I componenti principali coinvolti sono gli alimentatori di aria compressa, i sistemi di raffreddamento, il software di controllo e la rete elettrica. La logica di funzionamento prevede l'attivazione degli alimentatori di aria compressa in ordine di priorità, con un ritardo di 2 secondi tra ogni fase, e la disattivazione se non viene ricevuto feedback entro 20 secondi. Il sistema è progettato per garantire una sincronizzazione precisa e ridurre il rischio di guasti o problemi di sicurezza.
Analisi — Funzione equivalente tra le seguenti configurazioni: VZI_Base, VZ_FR, VZ_ES, VZI-6_R1.</t>
  </si>
  <si>
    <t>La funzione ferroviaria AUX_Activation_and_Synchronisation_of_ACM (Attivazione e Sincronizzazione del Sistema di Gestione dell'ACM) è responsabile della gestione degli alimentatori elettrici dei sistemi di HVAC, batterie e pompanti per l'olio e l'acqua. La funzione è coinvolti componenti elettrici/meccanici/software come i motori elettrici, le batterie, gli alimentatori e i sensori di stato. La logica di funzionamento prevede una sequenza di attivazione degli alimentatori in base a determinate condizioni, con un ritardo di 2 secondi tra ogni passaggio e la possibilità di disattivazione se non viene ricevuto feedback entro 20 secondi. La funzione è progettata per garantire la sicurezza e la stabilità del sistema, con ridondanze e requisiti di sicurezza per prevenire interruzioni o guasti.
Analisi — Funzione equivalente tra le seguenti configurazioni: VZI_Base, VZ_FR, VZ_ES, VZI-6_R1.</t>
  </si>
  <si>
    <t>La funzione ferroviaria AUX_Activation_and_Synchronisation_of_ACM è responsabile dell'attivazione e sincronizzazione degli sistemi di alimentazione e controllo dei servizi essenziali (HVAC, batterie, pompanti) del treno ETR1000. I componenti principali coinvolti sono i sistemi di alimentazione elettrica, i controller software e le sensori di stato. La funzione si attiva quando almeno due sistemi di controllo ACM hanno iniziato a funzionare, con una logica di funzionamento che prevede un ritardo di 2 secondi tra l'inizio di ogni carico e il successivo inizio del carico successivo. In caso di mancata ricezione di feedback entro 20 secondi, la possibilità di avviare nuovi carichi viene eliminata. La funzione è progettata per garantire una sincronizzazione precisa degli eventi e prevenire sovraccarichi o malfunzionamenti dei sistemi.
Analisi — Funzione equivalente tra le seguenti configurazioni: VZI_Base, VZ_FR, VZ_ES, VZI-6_R1.</t>
  </si>
  <si>
    <t>La funzione ferroviaria "Activation and Synchronisation of ACM" è responsabile dell'attivazione e sincronizzazione dei sistemi di alimentazione continua (ACM) del treno ETR1000 VZI-6. I componenti principali coinvolti sono i transformatori, i ventilatori, il pompa d'olio, la pompa d'acqua e il sistema di controllo software. La funzione si attiva quando è disponibile una corrente trifase sul bus trifase, e inizialmente solo un ACM viene attivato per alimentare il bus, mentre gli altri ACM vengono sincronizzati uno dopo l'altro. In caso di fallimento di un ACM, la temperatura dell'ambiente viene ridotta.
Analisi — Funzione equivalente tra le seguenti configurazioni: VZI_Base, VZ_FR, VZ_ES, VZI-6_R1.</t>
  </si>
  <si>
    <t>AUX_ACM_reset</t>
  </si>
  <si>
    <t>La funzione ferroviaria AUX_ACM_reset è responsabile di resetare l'ACM (Aumento della Potenza) in caso di fallimento. Coinvolti sono il sistema di controllo del treno (TCMS), l'ACM e il contattore di carica. La funzione viene attivata quando si riceve un segnale di reset dal train control, che disattiva l'ACM in caso di fallimento. In caso di fallimento dell'ACM, la funzione è anche responsabile di isolare il sistema e di ridurre le cariche per evitare danni. La logica di funzionamento prevede la verifica della presenza di segnali di avvio e reset, con una ridondanza dei contatti di carica per garantire la sicurezza.
Analisi — Funzione equivalente tra le seguenti configurazioni: VZI_Base, VZ_FR, VZ_ES, VZI-6_R1.</t>
  </si>
  <si>
    <t>La funzione ferroviaria AUX_ACM_reset è responsabile del riavvio dell'ACM (Automatic Converter Management) in caso di necessità. È coinvolti i componenti elettrici/meccanici/software come il sistema di controllo del train, il sistema di gestione della corrente elettrica e il software del sistema di controllo. La funzione viene attivata quando si ricevono segnali di riavvio dall'unità di controllo del treno (TCMS) e quando la tensione elettrica è presente sul bus 3*400V. In caso di fallimento, l'ACM viene considerato come non funzionante e il sistema di controllo cerca un altro ACM per avviarlo.
Analisi — Funzione equivalente tra le seguenti configurazioni: VZI_Base, VZ_FR, VZ_ES, VZI-6_R1.</t>
  </si>
  <si>
    <t>La funzione ferroviaria AUX_ACM_reset è finalizzata a gestire il riavvio dell'ACM (Ampel Converter Module) in caso di fallimento. Coinvolti sono l'ACM, il sistema di controllo del train (TCMS), il sistema di alimentazione elettrica e il contattore di carico dei carichi. La funzione viene attivata quando si riceve un segnale di riavvio dal TCMS, che invia un segnale di avvio e un segnale di reset all'ACM. In caso di fallimento dell'ACM, il sistema deve ridurre i carichi e richiamare un'intervento tecnico. La funzione è progettata per garantire la sicurezza del sistema, con la possibilità di isolamento automatico dell'ACM in caso di fallimento.
Analisi — Funzione equivalente tra le seguenti configurazioni: VZI_Base, VZ_FR, VZ_ES, VZI-6_R1.</t>
  </si>
  <si>
    <t>La funzione ferroviaria AUX_ACM_reset è responsabile della gestione dell'avvio e del riavvio dell'unità di alimentazione alternata continua (AUX) dell'ETR1000 VZI-6. La funzione è collegata al sistema di controllo del veicolo (PCU) e utilizza segnali di comunicazione per controllare lo stato dell'alimentatore e determinare l'atto di avvio o riavvio. In caso di assenza di alimentazione, l'AUX viene avviato in modalità "idle" per evitare danni al sistema; in caso di presenza di alimentazione, l'AUX viene avviata in modalità "sincronizzata". La funzione è progettata per garantire la sicurezza e la stabilità del sistema, con un tempo massimo di 10 secondi per l'avvio dell'AUX.
Analisi — Funzione equivalente tra le seguenti configurazioni: VZI_Base, VZ_FR, VZ_ES, VZI-6_R1.</t>
  </si>
  <si>
    <t>AUX_AC_on_Board_Supply_System</t>
  </si>
  <si>
    <t>La funzione ferroviaria AUX_AC_on_Board_Supply_System fornisce un approvvigionamento elettrico ai sistemi del treno ETR1000. I componenti principali coinvolti sono i contattori di carica (7, 8 e 6), il sistema di controllo e la HVAC (ventilazione e climatizzazione). La logica di funzionamento prevede che i contattori siano chiusi in normalità e aperti in caso di fallimento. Il sistema monitora le condizioni di attivazione/disattivazione dei contattori e della rete elettrica, con ridondanze per garantire la sicurezza, come ad esempio il controllo dei circuiti brevi e la gestione delle overload.
Analisi — Funzione equivalente tra le seguenti configurazioni: VZI_Base, VZ_FR, VZ_ES, VZI-6_R1.</t>
  </si>
  <si>
    <t>La funzione ferroviaria AUX_AC_on_Board_Supply_System è un sistema di fornitura elettrica a bordo del treno ETR1000, progettato per garantire una rete di alimentazione sicura e stabile. Il sistema è composto da load contactori (7, 8 e 6) che controllano l'alimentazione elettrica ai componenti del treno. In caso di fallimento o anomalia, il sistema si disconnette automaticamente per evitare danni al treno o alla rete ferroviaria. La logica di funzionamento prevede la disconnessione automatica in caso di fallimento, con la possibilità di reset manuale tramite master reset. Il sistema è progettato per garantire una sicurezza elevata e ridondanza, con il controllo dei load contactori che evita la sovraccarica o l'undercurrent.
Analisi — Funzione equivalente tra le seguenti configurazioni: VZI_Base, VZ_FR, VZ_ES, VZI-6_R1.</t>
  </si>
  <si>
    <t>La funzione ferroviaria AUX_AC_on_Board_Supply_System fornisce un approvvigionamento elettrico ai componenti del treno ETR1000 in caso di necessità. I componenti principali coinvolti sono i contattori di carica (7, 8 e 6) e il sistema di gestione dell'energia (HVAC). La logica di funzionamento prevede che i contattori siano chiusi in normalità e aperti in caso di fallimento. Il sistema monitora la presenza di ACMs (Componenti di Appoggio Elettrico) e segnala eventuali errori, come ad esempio una ridondanza dei contattori o un cortocircuito. In caso di fallimento, il HVAC funziona in modalità ridotta per garantire la sicurezza del treno.
Analisi — Funzione equivalente tra le seguenti configurazioni: VZI_Base, VZ_FR, VZ_ES, VZI-6_R1.</t>
  </si>
  <si>
    <t>La funzione ferroviaria AUX_AC_on_Board_Supply_System è un sistema di fornitura elettrica a bordo del treno ETR1000 VZI-6. Il sistema è composto da componenti elettrici/meccanici/software come load contactori, ACM (Automatic Control Module) e sistemi di controllo software.
Il sistema funziona normalmente quando i load contactori 7, 8 e 6 sono chiusi, ma si aprono in caso di fallimento. In caso di fallimento dell'ACM, il sistema automaticamente isolato dal bus trifase e rimane disconnesso fino a ricezione di un reset da parte del controllo della stazione. Il sistema è progettato per ridurre la quantità di corrente fornita in caso di fallimento di uno o più ACMs.
Analisi — Funzione equivalente tra le seguenti configurazioni: VZI_Base, VZ_FR, VZ_ES, VZI-6_R1.</t>
  </si>
  <si>
    <t>AUX_External_Power_Supply</t>
  </si>
  <si>
    <t>La funzione ferroviaria AUX_External_Power_Supply fornisce un approvvigionamento elettrico esterno al treno ETR1000, consentendo di utilizzare il potenziale della rete elettromagnetica (catenaria) anche in presenza di problemi con la batteria. La funzione è attivata quando il treno è disconnesso dalla catenaria e l'uscita esterna è collegata e attivata, con limitazioni di potenza massima di 125 A per ogni unità di 4 carri. La funzione viene utilizzata in condizioni normali e in caso di fallimento, con controlli di sequenzia dei fasi prima dell'attivazione del contatto.
Analisi — Funzione equivalente tra le seguenti configurazioni: VZI_Base, VZ_FR, VZ_ES, VZI-6_R1.</t>
  </si>
  <si>
    <t>La funzione ferroviaria AUX_External_Power_Supply fornisce un approvvigionamento elettrico esterno al treno ETR1000, garantendo la sicurezza e l'efficienza durante le operazioni di manutenzione. I componenti principali coinvolti sono il plug di connessione esterna, i contattori elettrici, il sistema di controllo software e il carico batteria. La funzione è attivata quando il treno è disconnesso dalla catena elettrica e il plug è collegato, con una limitazione massima di 125 A per ogni unità di 4 carrozze. In caso di fallimento, la funzione può essere rilevata attraverso controlli di batteria e contattori elettrici.
Analisi — Funzione equivalente tra le seguenti configurazioni: VZI_Base, VZ_FR, VZ_ES, VZI-6_R1.</t>
  </si>
  <si>
    <t>La funzione ferroviaria AUX_External_Power_Supply fornisce un approvvigionamento elettrico esterno al treno ETR1000, garantendo la sua operatività in condizioni di manutenzione. I componenti principali coinvolti sono il plug di connessione esterno, i contattori di interruzione e i convertitori di potenza. La funzione è attivata quando il treno è disconnesso dalla catena elettrica e il plug è collegato, con una limitazione massima di 125 A per ogni unità di 4 carri. In caso di fallimento, la funzione può essere rilevata attraverso controlli di batteria e convertitori.
Analisi — Funzione equivalente tra le seguenti configurazioni: VZI_Base, VZ_FR, VZ_ES, VZI-6_R1.</t>
  </si>
  <si>
    <t>La funzione ferroviaria AUX_External_Power_Supply è un sistema di fornitura esterna di energia elettrica per il treno ETR1000 VZI-6. Il sistema è composto da 4 convertitori ausiliari, che forniscono energia alle linee di alimentazione del treno (3AC) anche quando il treno è disconnesso dalla catena elettromagnetica. La funzione è attivata quando il treno è in modalità "Towed" e la velocità supera i 50 km/h, permettendo la regenerazione dell'energia durante il tratto di guida. Il sistema è progettato per garantire la continuità delle funzioni essenziali come la batteria carica e il freno essenziale anche in condizioni di bassa velocità.
Analisi — Funzione equivalente tra le seguenti configurazioni: VZI_Base, VZ_FR, VZ_ES, VZI-6_R1.</t>
  </si>
  <si>
    <t>AUX_Earthing_switch</t>
  </si>
  <si>
    <t>**PARTE 1: VZI_Base**
La funzione AUX_Earthing_switch su VZI_Base è responsabile di bloccare la chiusura dei contatti esterni se la rotazione delle fasi dell'energia esterna differisce dalla rotazione prevista dall'auxiliare sistema del treno. Questa funzione è implementata tramite un circuito elettrico con componenti principali come il relè, il trasformatore e il sistema di protezione. La logica operativa prevede la verifica della correttezza della rotazione delle fasi e l'attivazione del blocco se le condizioni non sono soddisfatte.
**PARTE 2: Differenze rispetto alle altre configurazioni**
Le differenze principali rispetto alle altre configurazioni sono:
*   VZ_FR: la funzione AUX_Earthing_switch è identica a quella di VZI_Base, ma con una configurazione diversa per il sistema di protezione.
*   VZ_ES: la funzione AUX_Earthing_switch è simile a quella di VZI_Base, ma con un requisito tecnico aggiuntivo che richiede la verifica della correttezza della rotazione delle fasi tramite un sensore esterno.
*   VZI-6_R1: la funzione AUX_Earthing_switch è diversa da quella di VZI_Base in quanto prevede l'attivazione di un evento se non viene rilevata alcuna energia sul bus 3AC.</t>
  </si>
  <si>
    <t>**PARTE 1: VZ_FR**
La funzione AUX_Earthing_switch è presente nella configurazione VZ_FR, che rappresenta una delle varianti del sistema ferroviario ETR1000. Questa funzione è responsabile di gestire la ratio tra il potenziale disponibile dall'approvvigionamento esterno e il carico dei consumatori interni. La logica operativa prevede che i contattori di forza esterna siano bloccati dal chiuso se la rotazione delle fasi dell'approvvigionamento esterno differisce dalla rotazione prevista dall'impianto di supporto.
**PARTE 2: Differenze rispetto alle altre configurazioni**
Le principali differenze rispetto alle altre configurazioni sono:
*   Componenti elettrici/meccanici/software: la VZ_FR presenta una configurazione diversa per il sistema di forza esterna, con contattori specifici per l'approvvigionamento.
*   Logica di funzionamento o condizioni operative: la VZ_FR ha una logica operativa più complessa rispetto alle altre varianti, che prevede la gestione della rotazione delle fasi dell'approvvigionamento esterno.
*   Requisiti o parametri tecnici: la VZ_FR presenta requisiti specifici per il sistema di forza esterna, come ad esempio la protezione contro l'operazione in senso errato.
*   Sistemi o sottosistemi coinvolti: la VZ_FR coinvolge il sistema di supporto e il sistema di controllo del treno, che lavorano insieme per gestire la forza esterna.</t>
  </si>
  <si>
    <t>**PARTE 1**
La funzione AUX_Earthing_switch per la configurazione VZ_ES è responsabile di bloccare il chiusura dei contatti esterni se la rotazione delle fasi dell'approvvigionamento esterno non corrisponde alla rotazione aspettata dal sistema di alimentazione secondaria (3AC Bus 1). I componenti principali coinvolti sono i contatti esterni, il sistema di controllo e le relazioni logiche tra essi. La logica operativa prevede una verifica continua della corrispondenza tra le fasi dell'approvvigionamento esterno e quelle aspettate dal sistema di alimentazione secondaria.
**PARTE 2**
Le differenze rispetto alle altre configurazioni sono:
*   VZ_FR: la funzione AUX_Earthing_switch è presente, ma con una logica operativa leggermente diversa, poiché il sistema di controllo è differente.
*   VZI-6_R1: la funzione AUX_Earthing_switch è presente e ha lo stesso scopo della configurazione VZ_ES. Tuttavia, la configurazione VZI-6_R1 introduce una nuova condizione di evento se non viene rilevato potere esterno sul bus 3AC.
*   Componenti elettrici/meccanici/software: le differenze sono legate alla specificità della configurazione VZ_FR, che presenta un sistema di controllo diverso rispetto alle altre due configurazioni.</t>
  </si>
  <si>
    <t>**PARTE 1**
La funzione AUX_Earthing_switch per la configurazione VZI-6_R1 è finalizzata a gestire l'eventuale presenza di un'estensione elettrica esterna al treno, verificando se il potenziale sul bus 3AC è presente. Se non è presente, si attiva un evento. La funzione è collegata alla logica del sistema TCMS (Train Control and Monitoring System) che gestisce l'isolamento dei contatti esterni e la disattivazione delle estensioni in caso di velocità superiore a 3 km/h o con HV attivo.
**PARTE 2**
Le differenze rispetto alle altre configurazioni sono:
*   La VZI-6_R1 include una specifica logica per gestire l'estensione elettrica esterna, mentre le altre configurazioni (VZI_Base, VZ_FR, VZ_ES) non presentano questa funzione.
*   La VZI-6_R1 richiede la presenza di un evento specifico in caso di assenza del potenziale sul bus 3AC, mentre le altre configurazioni non hanno requisiti simili.
*   La VZI-6_R1 è collegata al sistema TCMS per gestire l'isolamento dei contatti esterni e la disattivazione delle estensioni, mentre le altre configurazioni potrebbero avere sistemi di gestione diversi.</t>
  </si>
  <si>
    <t>AUX_230V,_50Hz_Sockets</t>
  </si>
  <si>
    <t>La funzione ferroviaria AUX_230V,_50Hz_Sockets fornisce un'illuminazione elettrica 230V, 50Hz per ogni posto a sedere del treno ETR1000. I componenti principali coinvolti sono i socket elettrici con una tensione di 230V e una frequenza di 50Hz. La logica di funzionamento prevede che il socket sia attivato in condizioni normali, ma si disattiva in caso di mancata fornitura di energia o in presenza di un'interruzione del circuito. Inoltre, è previsto l'uso di un interruttore di sicurezza per prevenire la scossa elettrica in caso di allagamento del posto a sedere.
Analisi — Funzione equivalente tra le seguenti configurazioni: VZI_Base, VZ_FR, VZ_ES, VZI-6_R1.</t>
  </si>
  <si>
    <t>La funzione ferroviaria AUX_230V,_50Hz_Sockets fornisce un'illuminazione elettrica 230V, 50Hz a ogni posto di servizio del treno ETR1000. I componenti principali coinvolti sono i socket elettrici, il circuito di protezione contro la corrente alternata (RCD) e il sistema di gestione della sicurezza (TCMS). La funzione è attivata quando il circuito RCD viene spezzato o il miniaturizzatore di scarto è stato rimosso. In caso di fallimento, l'evento viene segnalato al sistema di gestione della sicurezza e il posto di servizio viene messo fuori uso per la manutenzione.
Analisi — Funzione equivalente tra le seguenti configurazioni: VZI_Base, VZ_FR, VZ_ES, VZI-6_R1.</t>
  </si>
  <si>
    <t>La funzione ferroviaria AUX_230V,_50Hz_Sockets fornisce un'illuminazione elettrica 230V, 50Hz per ogni posto a sedere del treno ETR1000. I componenti principali coinvolti sono i socket di alimentazione elettrica con miniaturizzazione circuito interrotto (MCI) e rilascio di corrente di sicurezza (RCD). La logica di funzionamento prevede l'attivazione del socket in condizioni normali, mentre la disattivazione è prevista in caso di interruzione del circuito o della RCD. Inoltre, il sistema è progettato per essere disconnesso automaticamente nel caso di allarme di incendio nella cabina.
Analisi — Funzione equivalente tra le seguenti configurazioni: VZI_Base, VZ_FR, VZ_ES, VZI-6_R1.</t>
  </si>
  <si>
    <t>La funzione ferroviaria AUX_230V,_50Hz_Sockets è un sistema di fornitura elettrica per i passeggeri dell'ETR1000 VZI-6. Questo sistema è composto da socket 230V, 50Hz che forniscono una corrente elettrica per l'utilizzo dei passeggeri. La logica di funzionamento prevede che il sistema venga attivato quando l'earthing switch è in posizione chiusa, mentre la disattivazione avviene quando l'earthing switch è in posizione aperta. Il sistema è progettato per garantire una sicurezza elevata, con ridondanze e requisiti di sicurezza come il collegamento dell'earthing switch al sistema TCMS (Train Control and Management System) e la protezione degli accessori elettrici in un ambiente di manutenzione.
Analisi — Funzione equivalente tra le seguenti configurazioni: VZI_Base, VZ_FR, VZ_ES, VZI-6_R1.</t>
  </si>
  <si>
    <t>AUX_Mini_Circuit_Breaker_Supervision</t>
  </si>
  <si>
    <t>**PARTE 1: Funzione per 'VZI_Base'**
La funzione AUX_Mini_Circuit_Breaker_Supervision è presente nella configurazione VZI_Base, che rappresenta la base operativa del sistema ferroviario ETR1000. Questa funzione supervisiona i circuiti di spegnimento dei mini circuit breaker (MCB) e invia eventi di allarme in caso di tripolazione di un MCB. La logica operativa prevede l'invio di un evento IDU (Interface Data Unit) che indica la posizione del trippato MCB.
**PARTE 2: Differenze rispetto alle altre configurazioni**
Le differenze rispetto alle altre configurazioni sono le seguenti:
*   VZ_FR e VZ_ES presentano la stessa funzione, ma con una descrizione più dettagliata delle condizioni operative.
*   La configurazione VZI-6_R1 introduce nuove specifiche per l'installazione dei socket di alimentazione, come ad esempio l'uso di socket Italiani tipo.
*   Le differenze tecniche sono legate all'applicabilità e ai requisiti specifici delle diverse configurazioni.</t>
  </si>
  <si>
    <t>**PARTE 1: Funzione VZ_FR**
La funzione AUX_Mini_Circuit_Breaker_Supervision per la configurazione VZ_FR è responsabile della supervisione e del controllo dei circuiti di alimentazione elettrica nel treno ad alta velocità ETR1000. I componenti principali includono il circuito di interruzione miniaturizzato, il sistema di monitoraggio e il software di gestione. La logica operativa prevede la disconnessione dei circuiti di alimentazione in caso di deteczione di un incendio nel compartimento passeggero.
**PARTE 2: Differenze rispetto alle altre configurazioni**
Le differenze rispetto alle altre configurazioni sono le seguenti:
*   VZ_FR e VZI-6_R1 presentano la stessa funzione, ma VZ_FR è specificamente configurata per il sistema di controllo dei circuiti di alimentazione.
*   La configurazione VZ_ES non presenta differenze significative rispetto a VZ_FR, poiché entrambe condividono la stessa logica operativa e i componenti principali.
*   La configurazione VZI_Base è diversa da VZ_FR in quanto non include il sistema di monitoraggio e il software di gestione.</t>
  </si>
  <si>
    <t>**PARTE 1**
La funzione "AUX_Mini_Circuit_Breaker_Supervision" per la configurazione "VZ_ES" è responsabile della supervisione e del controllo dei circuiti di spegnimento dei mini circuit breaker. Questa funzione è integrata nel sistema di gestione dell'energia (SIL) e si occupa di monitorare lo stato dei circuiti e di inviare segnali di allarme in caso di tripolazione di un mini circuit breaker. La logica operativa prevede la comunicazione con l'IDU (Interface Device Unit) per ricevere informazioni sulla trippolazione dei circuiti e di inviare segnali di allarme al sistema di controllo.
**PARTE 2**
Le differenze rispetto alle altre configurazioni sono le seguenti:
*   La configurazione "VZ_FR" presenta una struttura logica simile, ma con alcune modifiche nel codice software.
*   La configurazione "VZ_ES" è caratterizzata dalla presenza di un circuito di spegnimento aggiuntivo per la Bistro e i bagni, che non è presente nelle altre configurazioni.
*   La configurazione "VZI-6_R1" presenta requisiti tecnici diversi, come ad esempio la presenza di un socket di alimentazione supplementare per la manutenzione e la pulizia.</t>
  </si>
  <si>
    <t>**PARTE 1**
La funzione AUX_Mini_Circuit_Breaker_Supervision per la configurazione VZI-6_R1 è progettata per supervisionare e gestire il circuito di spegnimento dei sistemi elettrici in caso di emergenza, come ad esempio un incendio. Questa funzione è integrata nel sistema di controllo del treno (TCMS) e viene attivata in caso di detección di un' anomaly nel sistema elettrico. La logica operativa prevede la disconnessione dei sistemi elettrici, compresi i socket di alimentazione per i passeggeri e le aree di servizio come Bistro e Toilets.
**PARTE 2**
Le differenze rispetto alle altre configurazioni sono:
*   VZI_Base: manca la specifica sulla disconnessione dei sistemi elettrici in caso di incendio.
*   VZ_FR: include una specifica sulla disconnessione del sistema di controllo della temperatura (TCMS) in caso di incendio, ma non dei sistemi elettrici.
*   VZ_ES: è identico a VZI_Base.
*   Componenti elettrici/meccanici/software: solo VZ_FR include una specifica sulla disconnessione del sistema TCMS.
*   Logica di funzionamento o condizioni operative: solo VZ_FR prevede la disconnessione del sistema TCMS in caso di incendio.
*   Requisiti o parametri tecnici: solo VZ_FR include una specifica sulla temperatura massima consentita per il sistema TCMS.</t>
  </si>
  <si>
    <t>BAT_Failure_cases_battery_system</t>
  </si>
  <si>
    <t>FRS_Battery</t>
  </si>
  <si>
    <t>La funzione ferroviaria BAT_Failure_cases_battery_system è progettata per gestire le situazioni di fallimento del sistema batteria dell'ETR1000. I componenti elettrici/meccanici/software principali coinvolti sono i due bus batteria con due batterie e caricatori batteria collegati a ciascun bus, nonché i disconnettori, le fusili, i contattori di batteria e i caricatori batteria. La logica di funzionamento attiva un evento quando si verificano determinate condizioni di fallimento, come la disconnessione di una o due batterie, il riscaldamento dei fusili o la mancata chiusura dei contattori di batteria. Le ridondanze sono presenti con la presenza di due bus batteria e caricatori batteria, garantendo un'assistenza continua al sistema anche in caso di fallimento di una parte.
Analisi — Funzione equivalente tra le seguenti configurazioni: VZI_Base, VZI-6_R1.</t>
  </si>
  <si>
    <t>La funzione ferroviaria BAT_Failure_cases_battery_system è progettata per gestire le situazioni di fallimento del sistema batteria dell'ETR1000 VZI-6. I componenti elettrici/meccanici/software principali coinvolti sono i due bus batteria con 2 batterie e caricatori batteria, disconnettori isolanti, fusibili, contattori di alimentazione e controlli software. La logica di funzionamento prevede l'attivazione di eventi di allarme in caso di fallimento del sistema, con ridondanze per garantire la continuità dell'alimentazione elettrica, ma con requisiti di sicurezza che richiedono il ritiro dal servizio nel caso di più di 3 caricatori batteria non funzionanti.
Analisi — Funzione equivalente tra le seguenti configurazioni: VZI_Base, VZI-6_R1.</t>
  </si>
  <si>
    <t>BAT_Function_Battery_Isolation</t>
  </si>
  <si>
    <t>La funzione ferroviaria "BAT_Function_Battery_Isolation" è una misura di sicurezza per isolare le batterie dell'ETR1000 in caso di necessità. I componenti elettrici/meccanici principali coinvolti sono i disconnettori di batteria, le terminali di alimentazione e il sistema di controllo (TCMS). La logica di funzionamento prevede che i disconnettori siano chiusi durante l'operazione normale e aperti solo in caso di manutenzione o parcheggio prolungato. In caso di short circuit, la fusina termica si attiva per spegnere il circuito. La funzione è progettata con una ridondanza, poiché ogni disconnettore ha un contatto di backup che viene monitorato dal sistema TCMS.
Analisi — Funzione equivalente tra le seguenti configurazioni: VZI_Base, VZI-6_R1.</t>
  </si>
  <si>
    <t>La funzione ferroviaria BAT_Function_Battery_Isolation è progettata per isolare le batterie dell'ETR1000 VZI-6 in caso di necessità. I componenti elettrici/meccanici principali coinvolti sono i disconnettori di batteria, le thermal fuse, gli eventi IDU e il sistema TCMS. La logica di funzionamento prevede l'apertura manuale dei disconnettori per mantenere la sicurezza durante le operazioni di manutenzione o parcheggio prolungato. In caso di fallimento, l'evento IDU viene inviato e il sistema TCMS viene attivato per garantire la sicurezza del train.
Analisi — Funzione equivalente tra le seguenti configurazioni: VZI_Base, VZI-6_R1.</t>
  </si>
  <si>
    <t>BAT_Battery_Contactors</t>
  </si>
  <si>
    <t>La funzione ferroviaria BAT_Battery_Contactors è responsabile della gestione dell'alimentazione elettrica delle batterie del treno ETR1000. I componenti principali coinvolti sono i contattori di batteria, il sistema di controllo relativo e il pushbutton per l'attivazione. La logica di funzionamento prevede la chiusura dei contattori di batteria in base alle istruzioni del sistema di controllo e al pushbutton, con una ridondanza garantita dal disconnettore di batteria che può essere aperto manualmente in caso di fallimento. La sicurezza è garantita da un livello di sicurezza SIL 0, con requisiti di sicurezza specificati nel documento.
Analisi — Funzione equivalente tra le seguenti configurazioni: VZI_Base, VZI-6_R1.</t>
  </si>
  <si>
    <t>La funzione ferroviaria BAT_Battery_Contactors è responsabile dell'attivazione e della disattivazione dei contatti batterici per il sistema di alimentazione delle batterie del treno ETR1000 VZI-6. I componenti principali coinvolti sono i contatori batterici, le pushbutton e la logica di controllo relativa. La funzione si attiva quando viene premuta la pushbutton, che chiude i contatori batterici in corrispondenza delle batterie e del carico. In caso di fallimento dei contatori, è necessario aprire manualmente il disconnettore della batteria per risolvere il problema entro 2 giorni. La funzione è progettata con una logica di controllo a doppio segnale, che richiede due segnali separati per chiudere e aprire i contatori. La funzione è stata progettata con un livello di sicurezza di SIL 0.
Analisi — Funzione equivalente tra le seguenti configurazioni: VZI_Base, VZI-6_R1.</t>
  </si>
  <si>
    <t>BAT_Load_Shed_Contactors</t>
  </si>
  <si>
    <t>La funzione ferroviaria "BAT_Load_Shed_Contactors" è responsabile della gestione del carico elettrico sul sistema batteria dell'ETR1000. I componenti principali coinvolti sono i contattori di shed load (BC2 e BC3) collegati alla batteria, il sistema di controllo software e la logica di funzionamento che attiva o disattiva questi contattori in base alle condizioni di operazione del treno. La funzione è progettata per garantire una distribuzione gerarchica dei carichi elettrici tra le diverse gruppi di consumatori, con ridondanza nei contattori di shed load e requisiti di sicurezza per evitare interruzioni del servizio.
Analisi — Funzione equivalente tra le seguenti configurazioni: VZI_Base, VZI-6_R1.</t>
  </si>
  <si>
    <t>La funzione ferroviaria BAT_Load_Shed_Contactors è responsabile della gestione del carico elettrico sul sistema batteria dell'ETR1000 VZI-6. I componenti principali coinvolti sono i contattori di scarica dei batteri (BC2 e BC3) e il sistema di controllo software. La logica di funzionamento prevede che i contattori di scarcia rimangano aperti fino a quando i caricatori di batteria sono in funzione, mentre in caso di fallimento, i carichi vengono redistribuiti tra i contattori rimanenti. La funzione è progettata per garantire la sicurezza e la ridondanza, con tutti i contattori di scarcia ripetuti e un sistema di controllo software che gestisce l'eventuale fallimento dei contattori.
Analisi — Funzione equivalente tra le seguenti configurazioni: VZI_Base, VZI-6_R1.</t>
  </si>
  <si>
    <t>BAT_DC_Busline_Distribution</t>
  </si>
  <si>
    <t>La funzione BAT_DC_Busline_Distribution è responsabile della distribuzione dell'alimentazione DC tra i carichi elettrici del treno ETR1000. I componenti principali coinvolti sono le due batterie DC, decouple dai carichi tramite diodi, Miniature Circuit Breakers (MCB) per la protezione dei carichi e un sistema di supervisione per il controllo degli MCB. La funzione è attivata quando entrambe le batterie sono disponibili, in caso di fallimento di una batteria, i carichi vengono ancora alimentati dalla seconda batteria con riduzione della potenza. L'eventuale trip di un MCB viene gestito automaticamente cancellando altri circuiti per evitare interruzioni del servizio.
Analisi — Funzione equivalente tra le seguenti configurazioni: VZI_Base, VZI-6_R1.</t>
  </si>
  <si>
    <t>La funzione ferroviaria BAT_DC_Busline_Distribution distribuisce l'alimentazione elettrica ai carichi DC dei treni ETR1000 VZI-6. I componenti principali coinvolti sono i bus di alimentazione batteria, diodi decouplenti, circuit breaker miniaturizzati (MCBs) e il sistema di supervisione dei MCBs. La logica di funzionamento prevede che in caso di fallimento di un bus di alimentazione, i carichi vengono riforniti dall'altro bus, mentre gli MCBs sono supervisionati per garantire la sicurezza e l'allarme in caso di trip. Le ridondanze e i requisiti di sicurezza prevedono la protezione dei carichi criticamente importanti (come il sistema di allarme antincendio) e la supervisione dei MCBs su livello di cassa per garantire una risposta rapida in caso di trip.
Analisi — Funzione equivalente tra le seguenti configurazioni: VZI_Base, VZI-6_R1.</t>
  </si>
  <si>
    <t>BAT_Battery_Charging</t>
  </si>
  <si>
    <t>La funzione ferroviaria BAT_Battery_Charging è responsabile della gestione e del monitoraggio dell'abbattimento batterico dei sistemi di alimentazione delle batterie degli ETR1000. I componenti principali coinvolti sono il sistema di controllo della batteria, il sensore di temperatura della batteria, i sensori di corrente e la stazione di alimentazione. La logica di funzionamento prevede che il sistema monitori le condizioni di temperatura, corrente e tensione delle batterie e adatti l'alimentazione in base a queste informazioni. Le ridondanze sono garantite dal confronto dei dati con altri sistemi simili, mentre la sicurezza è assicurata dalla presenza di un sistema di monitoraggio e gestione della batteria che fornisce informazioni utili al conducente.
Analisi — Funzione equivalente tra le seguenti configurazioni: VZI_Base, VZI-6_R1.</t>
  </si>
  <si>
    <t>La funzione ferroviaria BAT_Battery_Charging è responsabile della gestione e del monitoraggio dell'alimentazione batteria dell'ETR1000 VZI-6. I componenti principali coinvolti sono il sistema di alimentazione batteria, i sensori di temperatura e corrente, e il software di gestione del sistema. La logica di funzionamento prevede l'attivazione della funzione quando la temperatura del batterio supera un determinato limite, con una ridondanza garantita dal confronto dei dati con altri sistemi simili. In caso di fallimento, il sistema richiede la sostituzione del sensori di temperatura entro 2 giorni.
Analisi — Funzione equivalente tra le seguenti configurazioni: VZI_Base, VZI-6_R1.</t>
  </si>
  <si>
    <t>AIR_Control_of_Main_Compressor</t>
  </si>
  <si>
    <t>FRS_Air Supply</t>
  </si>
  <si>
    <t>La funzione ferroviaria AIR_Control_of_Main_Compressor è responsabile del controllo della compressione dell'aria nel sistema pneumatico del treno ETR1000. I componenti elettrici/meccanici principali coinvolti sono il contattore trilineare, la pressurazione sensoriale, l'unità di trattamento dell'aria, il sistema di riscaldamento e le valvole di controllo. La logica di funzionamento prevede che il compressore principale si attiva quando la pressione raggiunge i 850 kPa e si disattiva quando raggiunge i 1000 kPa, con un'interruzione temporanea del funzionamento in caso di temperatura estremamente bassa. La funzione è progettata per garantire una ridondanza nel sistema, con il compressore secondario che agisce come backup, e richiede la supervisione e l'ottimizzazione del tempo di funzionamento dei compressori.
Analisi — Funzione equivalente tra le seguenti configurazioni: VZI_Base, VZI_New14, VZI-6_R1.</t>
  </si>
  <si>
    <t>La funzione ferroviaria AIR_Control_of_Main_Compressor è responsabile del controllo e della gestione dell'compressore principale dell'unità di fornitura d'aria. I componenti elettrici/meccanici/software coinvolti includono il contattore trigno, il sistema di controllo dell'aria trattata, l'unidade di controllo del compressore, i sensori di pressione e le valvole di controllo. La logica di funzionamento prevede che il compressore principale venga attivato quando la pressione dell'aria scende sotto 850 kPa e disattivato quando raggiunge 1000 kPa, con un sistema di backup per garantire una continuità della fornitura d'aria. La funzione include anche controlli di temperatura e di sicurezza per evitare surriscaldamenti e perdite di pressione.
Analisi — Funzione equivalente tra le seguenti configurazioni: VZI_Base, VZI_New14, VZI-6_R1.</t>
  </si>
  <si>
    <t>La funzione ferroviaria AIR_Control_of_Main_Compressor gestisce il controllo del compressore principale dell'air supply system dell'ETR1000 VZI-6. I componenti elettrici/meccanici/software coinvolti includono il contattore trisfase, la pressione sensoriale, l'unità di controllo dell'aria secca, i valvole di esalazione e riscaldamento, e il sistema di memorizzazione dei dati condizionali. La logica di funzionamento attiva il compressore quando la pressione raggiunge 850 kPa e lo disattiva quando raggiunge 1000 kPa, con un'interruzione temporanea del funzionamento in caso di temperatura inferiore a -25°C. La funzione include anche la supervisione e l'optimizzazione della durata di esecuzione dei compressori, con ridondanze per garantire la sicurezza e la continuità dell'operazione.
Analisi — Funzione equivalente tra le seguenti configurazioni: VZI_Base, VZI_New14, VZI-6_R1.</t>
  </si>
  <si>
    <t>AIR_Monitoring_of_Main_Compressor</t>
  </si>
  <si>
    <t>La funzione ferroviaria AIR_Monitoring_of_Main_Compressor monitora lo stato del compressore principale dell'air supply system, verificando se è all'interno dei limiti di temperatura e pressione. I componenti coinvolti sono il compressore, i contattori, la safety valve e il sistema di controllo TCMS (Train Control and Monitoring System). La funzione si attiva in caso di condizioni di sovraccolta del sistema o di anomalia nel funzionamento del compressore, isolando temporaneamente l'apparecchio per evitare danni. In caso di tre anomalie consecutive entro 24 ore, il compressore viene fermato permanentemente fino a quando non viene riscaldato e riattivato da personale di mantenimento.
Analisi — Funzione equivalente tra le seguenti configurazioni: VZI_Base, VZI_New14, VZI-6_R1.</t>
  </si>
  <si>
    <t>La funzione AIR_Monitoring_of_Main_Compressor monitora lo stato del compressore principale dell'air supply system. I componenti coinvolti sono il compressore, i contattori, il sistema di controllo e la sicurezza valvola 13.13. La logica di funzionamento attiva il compressore in caso di sovraccolta del sistema MR e lo disattiva in caso di supercalore o mancata attivazione. In caso di supercalore, il compressore viene isolato dopo la terza occorrenza in 24 ore. La funzione è progettata per garantire una ridondanza nel sistema con l'attivazione del compressore secondario in caso di disattivazione del principale.
Analisi — Funzione equivalente tra le seguenti configurazioni: VZI_Base, VZI_New14, VZI-6_R1.</t>
  </si>
  <si>
    <t>La funzione ferroviaria AIR_Monitoring_of_Main_Compressor monitora lo stato del compressore principale del treno ETR1000 VZI-6. I componenti elettrici/meccanici/software coinvolti sono i sensori di pressione, il sistema di controllo del compressore (TCMS) e il sistema di allarme. La logica di funzionamento attiva l'allarme in caso di pressione inferiore a 600 kPa o superiore a 620 kPa, mentre esclude la validità dei dati se uno dei sensori non è valido. In caso di sola validità di un senso, viene applicata l'emergency brake. La funzione include anche la registrazione di eventi specifici, come l'applicazione dell'allarme in caso di pressione bassa.
Analisi — Funzione equivalente tra le seguenti configurazioni: VZI_Base, VZI_New14, VZI-6_R1.</t>
  </si>
  <si>
    <t>AIR_Forcing_of_Main_compressor</t>
  </si>
  <si>
    <t>**PARTE 1: VZI_Base**
La funzione AIR_Forcing_of_Main_compressor sulla configurazione VZI_Base consente di forzare l'avvio dei compressori principali manualmente dal cabino del treno. I componenti principali coinvolti sono il pushbutton sullo schermo IDU, il sistema di controllo dei compressori e la logica operativa per gestire l'avvio e la sospensione del funzionamento. La logica operativa prevede che il compressor si avvii se il pulsante viene premuto e si spegni se viene premuto nuovamente o dopo un tempo limite superato.
**PARTE 2: Differenze rispetto alle altre configurazioni**
Le differenze rispetto alle altre configurazioni sono le seguenti:
*   VZI_New14: non è presente la funzione di forzare l'avvio dei compressori principali.
*   VZI-6_R1: presenta una nuova specifica per la detezione delle fuga nell'air supply system, ma non include la funzione di forzare l'avvio dei compressori principali.
*   Componenti elettrici/meccanici/software: solo VZI_New14 presenta una nuova specifica per la detezione delle fuga, mentre le altre due configurazioni mantengono la stessa logica operativa.
*   Logica di funzionamento o condizioni operative: solo VZI-6_R1 presenta una condizione di sicurezza diversa (SIL 0) rispetto alle altre due configurazioni.
*   Requisiti o parametri tecnici: non ci sono differenze significative nei requisiti tecnici tra le tre configurazioni.</t>
  </si>
  <si>
    <t>**PARTE 1: Funzione per 'VZI_New14'**
La funzione AIR_Forcing_of_Main_compressor per la configurazione VZI_New14 è progettata per permettere al conduttore di forzare manualmente il funzionamento dei compressori principali. I componenti principali includono un pulsante da cabina che, quando premuto, attiva il funzionamento dei compressori. La logica operativa prevede che i compressori inizino a funzionare se il pulsante è premuto e si fermano entro 180 secondi se il pulsante viene rilasciato o la durata del funzionamento supera questo limite.
**PARTE 2: Differenze rispetto alle altre configurazioni**
Le differenze principali rispetto alle altre configurazioni sono:
*   La configurazione VZI_New14 non prevede la possibilità di forzare il funzionamento dei compressori manualmente, ma solo se il pulsante è premuto.
*   La configurazione VZI-6_R1 include una specifica logica per il controllo dei compressori, che prevede un tempo limite di 180 secondi per il funzionamento forzato.
*   La configurazione VZI_Base non include alcuna menzione della possibilità di forzare il funzionamento dei compressori manualmente.</t>
  </si>
  <si>
    <t>**PARTE 1**
La funzione AIR_Forcing_of_Main_compressor per la configurazione VZI-6_R1 è progettata per permettere il controllo manuale dell'avvio e della sospensione dei compressori principali. I componenti principali includono un pulsante di forza che attiva l'avvio del compressor, un timer che limita la durata di funzionamento a 180 secondi e un sistema di controllo automatico che ripristina il controllo automatico una volta raggiunta la fine della durata di funzionamento. La logica operativa prevede l'attivazione del compressor quando il pulsante è premuto, la sospensione del compressor quando il pulsante è rilasciato o quando la durata di funzionamento supera i 180 secondi.
**PARTE 2**
Le differenze rispetto alle altre configurazioni sono le seguenti:
*   La configurazione VZI_Base non prevede un timer per limitare la durata di funzionamento del compressor.
*   La configurazione VZI_New14 introduce una nuova funzione di deteczione delle fuga nell'air supply system, che non è presente nella configurazione VZI-6_R1.
*   La configurazione VZI_Base e VZI_New14 hanno requisiti tecnici diversi per la forza push button, con il VZI_Base richiedendo un livello di sicurezza più alto (SIL 0) rispetto al VZI-New14.</t>
  </si>
  <si>
    <t>AIR_Air_Dryer</t>
  </si>
  <si>
    <t>La funzione ferroviaria "Air Dryer" è un sistema di asciugatura dell'aria utilizzato nei treni ad alta velocità ETR 1000. Il sistema consiste in due torri di asciugatura che si alternano ogni 60 secondi, una per lavorare come asciugatrice e l'altra come ventilatore. La funzione è supervisionata dall'unità di controllo dell'asciugatrice e viene monitorata dal sistema TCMS (Telemetria e Controllo della Movimentazione). In caso di fallimento, il sistema può deattivare il compressore correlato e non influire sulla gestione del treno.
Analisi — Funzione equivalente tra le seguenti configurazioni: VZI_Base, VZI_New14, VZI-6_R1.</t>
  </si>
  <si>
    <t>**PARTE 1: VZI_New14**
La funzione AIR_Air_Dryer per la configurazione VZI_New14 è responsabile della gestione dell'aspiratore aria secco nel sistema di raffreddamento del treno ETR1000. Il sistema consiste in un unico tower air dryer situato nei T4 e T5 car, controllato dall'unità di controllo Air Dryer. La funzione è progettata per supervisionare la presenza di aria secca nel sistema e generare eventi di allarme in caso di mancata presenza o di guasto.
**PARTE 2: Differenze rispetto alle altre configurazioni**
Le principali differenze rispetto alle altre configurazioni sono:
*   La configurazione VZI-6_R1 presenta una struttura più complessa, con due torri air dryer nei T4 e T5 car, mentre la VZI_New14 ha un solo tower air dryer.
*   La configurazione VZI_Base non include specifiche su eventi di allarme per l'aspiratore aria secco, mentre le altre configurazioni presentano requisiti più dettagliati in questo senso.
*   La configurazione VZI_New14 presenta una logica operativa simile alle altre configurazioni, con la generazione di eventi di allarme in caso di mancata presenza o guasto dell'aspiratore aria secco.</t>
  </si>
  <si>
    <t>**PARTE 1**
La funzione AIR_Air_Dryer per la configurazione VZI-6_R1 è progettata per controllare e supervisionare il funzionamento di due torri di asciugatrice a bordo del treno ETR1000. La logica operativa prevede che le torri si alternino ogni 120 secondi, con una torre che funge da asciugatrice per 60 secondi e l'altra che viene pulita con aria compressa per 60 secondi.
**PARTE 2**
Le differenze rispetto alle altre configurazioni sono:
*   La configurazione VZI_Base non specifica la logica di funzionamento delle torri di asciugatrice, mentre VZI_New14 e VZI-6_R1 prevedono un ciclo di alternanza più preciso.
*   La configurazione VZI_New14 ha una revisione diversa rispetto a VZI-6_R1, ma entrambe condividono la stessa logica operativa.
*   La configurazione VZI_Base non specifica i requisiti tecnici per le torri di asciugatrice, mentre VZI-New14 e VZI-6_R1 prevedono una specifica revisione e documentazione.</t>
  </si>
  <si>
    <t>AIR_External_Air_Supply</t>
  </si>
  <si>
    <t>La funzione ferroviaria AIR_External_Air_Supply fornisce un approvvigionamento esterno di aria per il sistema MR del treno ETR1000. I componenti principali coinvolti sono l'isolazione del cock RIPO, i compressori e la bloccatura della trazione. La funzione è attivata quando il cock RIPO è isolato manualmente e viene utilizzata per riempire il sistema MR con aria. In caso di fallimento, la funzione non dispone di errori di gestione, ma richiede un controllo visivo prima dell'inizio dell'operazione. La sicurezza è garantita dal blocco della trazione e dall'attivazione del SIL 0.
Analisi — Funzione equivalente tra le seguenti configurazioni: VZI_Base, VZI_New14, VZI-6_R1.</t>
  </si>
  <si>
    <t>La funzione ferroviaria AIR_External_Air_Supply fornisce l'approvvigionamento di aria esterna al sistema MR, utilizzando il workshop air per riempire il sistema in caso di connessione all'esterno. I componenti principali coinvolti sono i cock RIPO e gli IDU. La funzione è attivata quando il cock RIPO è isolato (aperto), ma la sua indicazione può essere errata in casi di fallimento. In caso di connessione esterna, tutti i compressori devono essere disattivati e la trazione deve essere bloccata per garantire un sicurezza di livello SIL 0.
Analisi — Funzione equivalente tra le seguenti configurazioni: VZI_Base, VZI_New14, VZI-6_R1.</t>
  </si>
  <si>
    <t>La funzione ferroviaria AIR_External_Air_Supply fornisce l'approvvigionamento di aria esterna al sistema di compressione del treno ETR1000 VZI-6. I componenti principali coinvolti sono il sistema di isolamento dell'aria (RIPO) e il sistema di controllo della compressione (TCMS). La funzione è attivata quando l'isolamento dell'aria viene aperto manualmente, e in questo caso, il sistema di compressione viene disattivato e la trazione viene bloccata. In caso di fallimento, il sistema di controllo della compressione deve essere sovraccaricato dal pilota per evitare errori di sicurezza.
Analisi — Funzione equivalente tra le seguenti configurazioni: VZI_Base, VZI_New14, VZI-6_R1.</t>
  </si>
  <si>
    <t>AIR_Control_of_Auxiliary_Compressor</t>
  </si>
  <si>
    <t>La funzione ferroviaria "AIR_Control_of_Auxiliary_Compressor" è responsabile del controllo e della gestione degli compressori ausiliari per l'alimentazione dell'aria pressurizzata ai pantografi del treno ad alta velocità ETR1000. I componenti principali coinvolti sono gli compressori ausiliari, il sistema di alimentazione (110 VDC da batteria), i sensori di pressione e i contattori di controllo. La logica di funzionamento prevede l'attivazione degli compressori ausiliari in caso di bassa pressione nel circuito pantografico o di mancata autorizzazione, con la possibilità di bypass per garantire la continuità del servizio. La funzione dispone di ridondanze e requisiti di sicurezza per garantire la stabilità e la sicurezza del sistema.
Analisi — Funzione equivalente tra le seguenti configurazioni: VZI_Base, VZI_New14, VZI-6_R1.</t>
  </si>
  <si>
    <t>La funzione ferroviaria "AIR_Control_of_Auxiliary_Compressor" è responsabile del controllo e della gestione dell'auxiliare compressor nell'impianto di fornitura aria per il sistema di alimentazione elettrica dei pantografi. I componenti principali coinvolti sono l'auxiliare compressor, la pressione switch PSP 08.09, il sistema di controllo TCMS e il software IDU. La logica di funzionamento attiva l'auxiliare compressor in caso di bassa pressione nel sistema di alimentazione elettrica, con un bypass funzionale per garantire la continuità del servizio anche in caso di disfunzione del sistema TCMS.
Analisi — Funzione equivalente tra le seguenti configurazioni: VZI_Base, VZI_New14, VZI-6_R1.</t>
  </si>
  <si>
    <t>La funzione ferroviaria "Control of Auxiliary Compressor" è responsabile del controllo e della gestione dell'auxiliary compressor utilizzato per alimentare i pantografi del treno ad alta velocità ETR1000 VZI-6. I componenti principali coinvolti sono l'auxiliary compressor, il sistema di alimentazione (110 VDC da batteria), il sistema di controllo e gestione (IDU) e il software TCMS. La funzione è attivata quando l'auxiliary compressor è connesso all'alimentazione esterna e viene visualizzato sullo schermo dell'IDU, mentre la bypass funziona per permettere l'attivazione del pantografo in caso di disconnessione del sistema TCMS. La funzione è progettata per garantire una ridondanza nel sistema con due compressor che forniscono pressurizzato air ai pantografi, e viene attivata automaticamente se il RIPO switch indica "isolato" (esterno).
Analisi — Funzione equivalente tra le seguenti configurazioni: VZI_Base, VZI_New14, VZI-6_R1.</t>
  </si>
  <si>
    <t>AIR_Suspension_Supervision</t>
  </si>
  <si>
    <t>La funzione ferroviaria AIR_Suspension_Supervision supervisiona l'uso dell'air suspension dei boghi del treno ETR1000, garantendo la sicurezza e la stabilità durante il viaggio. I componenti principali coinvolti sono i cut-out cocks per la secondaria sospensione (RISOSP), i sensori di pressione per ogni boggia (TS1...TS8) e il sistema di controllo software. La funzione è attivata quando si verifica un problema con la secondaria sospensione, come ad esempio una perdita di pressione o un guasto al sensor di pressione, limitando la velocità del treno in caso di isolamento della sospensione secondaria.
Analisi — Funzione equivalente tra le seguenti configurazioni: VZI_Base, VZI_New14, VZI-6_R1.</t>
  </si>
  <si>
    <t>La funzione ferroviaria AIR_Suspension_Supervision monitora e controlla lo stato della sospensione secondaria dei treni ad alta velocità ETR1000. I componenti principali coinvolti sono i cut-out cocks per la sospensione secondaria, i sensori di pressione TS1-TS8 e il sistema di controllo software. La funzione viene attivata quando si verifica un'isolamento della sospensione secondaria o un problema con i sensori di pressione, limitando la velocità del treno in caso di insufficienza. L'evento viene registrato come condizione di sicurezza e il sistema è progettato per garantire una ridondanza e una sicurezza elevata.
Analisi — Funzione equivalente tra le seguenti configurazioni: VZI_Base, VZI_New14, VZI-6_R1.</t>
  </si>
  <si>
    <t>La funzione ferroviaria AIR_Suspension_Supervision monitora e controlla lo stato dell'air suspension dei boghi del treno ETR1000 VZI-6. I componenti principali coinvolti sono i cut-out cocks RISOSP, i sensori di pressione TS1...TS8 e il sistema di controllo software. La funzione viene attivata quando il compressor è in funzione per più di 10 minuti, generando un evento di allarme che disattiva l'auxiliary compressor per 60 minuti. In caso di fallimento del sistema, la velocità del treno viene limitata e l'evento di allarme viene inviato al sistema di diagnostiche.
Analisi — Funzione equivalente tra le seguenti configurazioni: VZI_Base, VZI_New14, VZI-6_R1.</t>
  </si>
  <si>
    <t>AIR_Provision_for_Tilt_system</t>
  </si>
  <si>
    <t>La funzione ferroviaria AIR_Provision_for_Tilt_system è responsabile della gestione del sistema di tilting dell'ETR1000, controllando l'aumento o il diminuzione della pressione nell'air bellows per la secondaria sospensione. I componenti principali coinvolti sono i compressori primari e secondari, il sensor di controllo di pressione del compressor (TCC) e il sistema di controllo di pressione (TCP). La logica di funzionamento attiva i compressori in base alle condizioni di pressione, con un aumento dei compressori primari quando la pressione scende a 900 kPa e l'aumento dei compressori secondari quando la pressione scende a 850 kPa. I compressori si disattivano quando la pressione supera i 1000 kPa. La funzione è progettata per garantire un livello di sicurezza di SIL 0, con ridondanze nei compressori e nel sistema di controllo.
Analisi — Funzione equivalente tra le seguenti configurazioni: VZI_Base, VZI_New14, VZI-6_R1.</t>
  </si>
  <si>
    <t>La funzione ferroviaria AIR_Provision_for_Tilt_system fornisce il controllo e la gestione del sistema di tilt dell'ETR1000, utilizzando l'aumento/riduzione della pressione nell'air bellows per controllare la funzione tilting. I componenti principali coinvolti sono il compressore, il sensor di controllo della pressione (TCC e TCP), il sistema di gestione del traino (TCMS) e il sistema di monitoraggio dei parametri (IDU). La logica di funzionamento attiva la funzione tilting quando la velocità del treno supera i 300 km/h, con un raffreddamento della pressione compresse a 800-1000 kPa. In caso di fallimento del sistema, il traino viene limitato a 230 km/h e l'indicazione è visualizzata sullo schermo IDU.
Analisi — Funzione equivalente tra le seguenti configurazioni: VZI_Base, VZI_New14, VZI-6_R1.</t>
  </si>
  <si>
    <t>La funzione ferroviaria AIR_Provision_for_Tilt_system è responsabile della gestione del sistema di tilting dell'ETR1000 VZI-6. I componenti principali coinvolti sono i compressori e i sensori di pressione, che lavorano in combinazione con il sistema di controllo TCMS (Traction Control and Management System). La logica di funzionamento attiva i compressori quando la pressione raggiunge limiti specifici (900 kPa e 850 kPa) e li disattiva quando la pressione supera il limite massimo di 1000 kPa. La funzione è progettata per garantire una sicurezza di livello SIL 0, con ridondanze nel sistema per assicurare la continuità dell'operazione anche in caso di fallimento di un componente.
Analisi — Funzione equivalente tra le seguenti configurazioni: VZI_Base, VZI_New14, VZI-6_R1.</t>
  </si>
  <si>
    <t>BRK_Service_Brake_Direct_Electro-Pneumatic_Brake</t>
  </si>
  <si>
    <t>FRS_Brake Control</t>
  </si>
  <si>
    <t>La funzione ferroviaria "BRK_Service_Brake_Direct_Electro-Pneumatic_Brake" è un sistema di freno diretto elettrico-pneumatico utilizzato per decelerare il treno in condizioni normali di operazione. I componenti principali coinvolti sono: EV1, EV2, Tpil e MGD, che controllano la frenatura elettromagnetica e pneumatica. La logica di funzionamento attiva il sistema quando il driver ordina il freno tramite master controller, TCMS train control e ATP, e comunica la richiesta di freno al BCU attraverso una comunicazione redundante. In caso di fallimento della comunicazione, il sistema utilizza le linee del treno per trasmettere la richiesta di freno in emergenza.
Analisi — Funzione equivalente tra le seguenti configurazioni: VZI_Base, VZ_FR, VZ_ES, VZI-6_R1.</t>
  </si>
  <si>
    <t>La funzione ferroviaria "BRK_Service_Brake_Direct_Electro-Pneumatic_Brake" è un sistema di freno diretto elettrico-pneumatico utilizzato per decelerare il treno in condizioni normali di operazione. I componenti principali coinvolti sono il master controller, il sistema di controllo automatico della velocità, la comunicazione con il BCU (Braking Control Unit) e il sistema pneumatico. La logica di funzionamento attiva il freno in base alla richiesta del conducente tramite il master controller e al livello di richiesta di freno che varia da 0 a 100%. In caso di fallimento della comunicazione con il BCU, la funzione si attiva attraverso i cavi di train. La funzione è progettata per garantire una alta affidabilità e sicurezza, con ridondanze nella comunicazione con il BCU e un sistema di controllo automatico della velocità.
Analisi — Funzione equivalente tra le seguenti configurazioni: VZI_Base, VZ_FR, VZ_ES, VZI-6_R1.</t>
  </si>
  <si>
    <t>La funzione ferroviaria "BRK_Service_Brake_Direct_Electro-Pneumatic_Brake" è un sistema di freno diretto elettrico-pneumatico utilizzato per decelerare il treno in condizioni normali di operazione. Il sistema è composto da componenti elettrici/meccanici/software come il controllore del freno, il modulo di freno diretto, il sistema di comunicazione MVB e il master controller. La logica di funzionamento attiva il sistema in base alla richiesta del conducente tramite il master controller, con una comunicazione redundante tra i componenti per garantire la sicurezza. In caso di fallimento della comunicazione, il sistema utilizza le linee di train per trasmettere la richiesta di freno.
Analisi — Funzione equivalente tra le seguenti configurazioni: VZI_Base, VZ_FR, VZ_ES, VZI-6_R1.</t>
  </si>
  <si>
    <t>La funzione ferroviaria "BRK_Service_Brake_Direct_Electro-Pneumatic_Brake" è un sistema di freno diretto elettrico-pneumatico utilizzato per decelerare il treno in condizioni normali di operazione. Il sistema è composto da componenti elettrici/meccanici/software come EV1, EV2, Tpil, MGD e BCU (Braking Control Unit), che lavorano insieme per controllare la frenata. La logica di funzionamento prevede l'attivazione del sistema in base a una richiesta di frenata da parte del conducente o del sistema di controllo, con un massimo di 100% di richiesta di frenata che viene comunicata al BCU. In caso di fallimento della rete di comunicazione, il sistema utilizza la linea ferroviaria per trasmettere la richiesta di frenata in emergenza. Il sistema è progettato con ridondanze e requisiti di sicurezza per garantire una alta disponibilità e una sicurezza elevata durante l'operazione del treno.
Analisi — Funzione equivalente tra le seguenti configurazioni: VZI_Base, VZ_FR, VZ_ES, VZI-6_R1.</t>
  </si>
  <si>
    <t>BRK_Service_Brake_Indirect_Brake</t>
  </si>
  <si>
    <t>La funzione ferroviaria "BRK_Service_Brake_Indirect_Brake" è un sistema di freno indiretto utilizzato come backup del freno elettrico-pneumatico (DEP) in caso di fallimento. Il sistema è composto da due modalità di controllo: elettrica (IEP) e pneumatica (IP), gestite dal driver tramite un rotary selector switch. La funzione viene attivata quando il driver riceve un allarme via TCMS per più di due cariche con DEP fallito, e deve essere manualemente attivata attraverso il controllo della valvola frenante sul desk del conducente. Il sistema è progettato per garantire una ridondanza nella gestione del freno in caso di fallimento, con la possibilità di attivare la modalità IP come secondo piano di sicurezza.
Analisi — Funzione equivalente tra le seguenti configurazioni: VZI_Base, VZ_FR, VZ_ES, VZI-6_R1.</t>
  </si>
  <si>
    <t>La funzione ferroviaria "Service Brake - Indirect Brake" è un sistema di freno indiretto utilizzato come backup del freno elettrico-pneumatico diretto. È attivato quando il freno diretto non funziona correttamente in più di due vagoni, e il driver viene informato tramite IDU di un allarme TCMS. La funzione è attivata dal rotary selector switch "Service brake mode" nel cabina del conducente, che consente di controllare la richiesta di freno indiretto attraverso il tubo pneumatico elettrico. La logica di funzionamento prevede l'attivazione della funzione quando il master controller è in "braking position" o la sua posizione è invalida, e il valore dell'impatto totale (ED + EP) train è inferiore o uguale a 0 per più di 2 secondi.
Analisi — Funzione equivalente tra le seguenti configurazioni: VZI_Base, VZ_FR, VZ_ES, VZI-6_R1.</t>
  </si>
  <si>
    <t>La funzione ferroviaria "BRK_Service_Brake_Indirect_Brake" è un sistema di freno indiretto utilizzato come backup del freno elettrico-pneumatico (DEP) in caso di fallimento di uno o più veicoli. Il sistema è composto da componenti elettrici/meccanici/software come il rotary selector switch "Service brake mode", la valvola di freno del conducente, l'isolamento del cock RIBK e due modi di controllo del tubo di freno: IEP (elettro-pneumatico) e IP (pneumatico). La logica di funzionamento attiva il sistema in caso di fallimento di più veicoli con DEP, allertando il conducente tramite TCMS via IDU. Il sistema è progettato per garantire una decelerazione a quattro stadi con tre pressioni di controllo diverse, basate su un limite di velocità.
Analisi — Funzione equivalente tra le seguenti configurazioni: VZI_Base, VZ_FR, VZ_ES, VZI-6_R1.</t>
  </si>
  <si>
    <t>La funzione ferroviaria "BRK_Service_Brake_Indirect_Brake" è un sistema di freno indiretto utilizzato come backup del freno elettrico-pneumatico (DEP) in caso di fallimento. Il sistema è composto da componenti elettrici/meccanici/software quali il rotary selector switch "Service brake mode", il driver's cab, il TCMS e i due modi di controllo della pipetta frenante: IEP (indirect electro-pneumatic) e IP (pneumatic indirect). La logica di funzionamento prevede l'attivazione del sistema in caso di fallimento del DEP su più carri, con un allarme via TCMS per il conducente. Il sistema è progettato per garantire una decelerazione a quattro stadi con tre pressioni diverse in base alla velocità, e presenta una ridondanza nella pipetta frenante IP che può essere attivata manualmente.
Analisi — Funzione equivalente tra le seguenti configurazioni: VZI_Base, VZ_FR, VZ_ES, VZI-6_R1.</t>
  </si>
  <si>
    <t>BRK_Holding_Brake</t>
  </si>
  <si>
    <t>La funzione ferroviaria "BRK_Holding_Brake" è un sistema di frenatura adattiva che mantiene il treno in standstill e impedisce il rollaggio su pendenze. È gestita dal sistema TCMS (Train Control and Monitoring System) e coinvolge componenti elettrici/meccanici come il motore elettrico, il sistema di frenatura e l'unità di controllo. La funzione è attivata automaticamente quando il treno si ferma e viene rilasciata quando il treno inizia a muoversi o quando la modalità di frenatura è disattivata. Il sistema è progettato per garantire una sicurezza ridotta, con un'attivazione automatica della frenatura anche in presenza di condizioni di rollaggio.
Analisi — Funzione equivalente tra le seguenti configurazioni: VZI_Base, VZ_FR, VZ_ES, VZI-6_R1.</t>
  </si>
  <si>
    <t>La funzione ferroviaria BRK_Holding_Brake è un sistema di freno adattivo che applica una forza di frenaggio diretta e definita dal sistema TCMS (Train Control and Monitoring System). Il sistema coinvolge il DBV-GW (Minitrol) come controllore elettronico, il sistema di comunicazione MVB e i WSP-CUs (Wheelside Signal Processing - Control Units) per la trasmissione della pressione del freno. La funzione viene attivata quando il DBV-GW rileva una breve circuito nella linea di test della valvola di prova dell'EVPCG, e viene disattivata se non si invia il segnale "DBV-GW start up OK" dopo l'avvio del treno o se il DBV-GW è in fase di reset. Il sistema è progettato per garantire la sicurezza e la stabilità durante le operazioni ferroviarie, con la possibilità di inviare segnali di allarme in caso di anomie nel funzionamento del sistema.
Analisi — Funzione equivalente tra le seguenti configurazioni: VZI_Base, VZ_FR, VZ_ES, VZI-6_R1.</t>
  </si>
  <si>
    <t>La funzione ferroviaria BRK_Holding_Brake è un sistema di frenatura adattiva che controlla l'integrità del sistema di frenatura elettrica (EVPCG) del treno ETR1000.
I componenti principali coinvolti sono il DBV-GW (braccio di controllo della velocità), il MVB (sistema di comunicazione), il TCMS (sistema di gestione dei dati) e il sistema di frenatura EVPCG. 
La logica di funzionamento prevede l'attivazione dell'evento se si verifica un aperto circuito o una breve circolazione del test valve EVPCG, oppure se non viene inviato il segnale "DBV-GW start up OK" al TCMS.
Analisi — Funzione equivalente tra le seguenti configurazioni: VZI_Base, VZ_FR, VZ_ES, VZI-6_R1.</t>
  </si>
  <si>
    <t>La funzione ferroviaria BRK_Holding_Brake è un sistema di frenatura adattiva che monitora lo stato del sistema di frenatura dell'ETR1000 VZI-R1. I componenti principali coinvolti sono il DBV-GW (Braking Control Unit) e il TCMS (Train Control Management System). La logica di funzionamento attiva l'evento se si verifica un aperto circuito o una breve circolazione dell'esaurimento della valvola di testo del sistema di frenatura, oppure se non viene inviato il segnale "DBV-GW start up OK" dopo l'avvio del treno. L'evento è anche attivato se il DBV-GW non invia il segnale "DBV-GW life sign" in caso di comunicazione senza errori.
Analisi — Funzione equivalente tra le seguenti configurazioni: VZI_Base, VZ_FR, VZ_ES, VZI-6_R1.</t>
  </si>
  <si>
    <t>BRK_Urgency_Brake_(Optional)</t>
  </si>
  <si>
    <t>La funzione ferroviaria "BRK_Urgency_Brake_(Optional)" è un sistema di freno d'emergenza che può essere attivato in caso di emergenza per raggiungere il minor distacco di fermata possibile. È composto da componenti elettrici/meccanici/software come l'EBS (supervisione del freno di emergenza), il TCMS (system manager dei freni) e il BCU (unità di controllo del freno). La funzione è attivata quando il sistema rileva una perdita di frizione, in cui il BCU applica una pressione predefinita per compensare la mancanza di forza di freno. Il sistema è progettato per essere load-compensated e ha lo stesso percorso di frenatura dell'emergenza con 4-step deceleration (con 3 pressioni di controllo).
Analisi — Funzione equivalente tra le seguenti configurazioni: VZI_Base, VZ_FR, VZ_ES, VZI-6_R1.</t>
  </si>
  <si>
    <t>La funzione ferroviaria "BRK_Urgency_Brake_(Optional)" è un sistema di freno d'emergenza che può essere attivato in caso di emergenza per ridurre al minimo la distanza di fermata. È composto da componenti elettrici/meccanici/software come il circuito di controllo (TCMS), il sistema di supervisione del freno (EBS) e il sistema di gestione della pressione (BCU). La funzione è attivata quando il sistema rileva una perdita di frizione, in cui caso il BCU applica una pressione predefinita per compensare la perdita di forza di freno.
Analisi — Funzione equivalente tra le seguenti configurazioni: VZI_Base, VZ_FR, VZ_ES, VZI-6_R1.</t>
  </si>
  <si>
    <t>La funzione ferroviaria "BRK_Urgency_Brake" è un sistema di frenatura d'emergenza che viene attivato in caso di fallimento del freno a tenuta di pressione. I componenti elettrici/meccanici principali coinvolti sono il pulsante di rilascio del freno a tenuta di pressione, il sistema di controllo del freno e il software di gestione dei sistemi di sicurezza. La logica di funzionamento prevede che il freno a tenuta di pressione venga rilasciato se il pulsante viene premuto per più di 1 secondo o se la porta è aperta, mentre in caso di frenata con freno a tenuta di pressione applicato, il freno vengono rilasciati quando il pulsante viene nuovamente premuto. La funzione è dotata di ridondanze e requisiti di sicurezza per garantire la stabilità del sistema e prevenire incidenti.
Analisi — Funzione equivalente tra le seguenti configurazioni: VZI_Base, VZ_FR, VZ_ES, VZI-6_R1.</t>
  </si>
  <si>
    <t>La funzione ferroviaria BRK_Urgency_Brake è un sistema di frenatura d'emergenza per il treno ETR1000 VZI-R1. È composta da componenti elettrici/meccanici come il pulsante di rilascio del freno di emergenza, il sistema di controllo della frenata e il software TCMS. La funzione viene attivata quando il pulsante di rilascio è pressato per più di 1 secondo o quando la frenata è disattivata, e viene disattivata quando il pulsante è rilasciato dopo un minimo di 3 secondi in caso di frenata attiva. La funzione è progettata per garantire una frenata d'emergenza rapida e sicura, con ridondanze nel sistema di controllo e requisiti di sicurezza come l'illuminazione del pulsante di rilascio quando il freno di emergenza è applicato.
Analisi — Funzione equivalente tra le seguenti configurazioni: VZI_Base, VZ_FR, VZ_ES, VZI-6_R1.</t>
  </si>
  <si>
    <t>BRK_Emergency_Brake</t>
  </si>
  <si>
    <t>La funzione ferroviaria "BRK_Emergency_Brake" è un sistema di frenatura d'emergenza utilizzato per fermare il treno in modo rapido e sicuro. È caratterizzata dalla combinazione di componenti elettrici, meccanici e software come:
* Indiretto brake pipe controllato pneumatico
* Pneumatica elettrica per l'applicazione del freno
* MVB bus per il comando diretto del freno
* Controllo elettronico via TCMS (Train Control and Management System)
* Fase di attivazione in 4 stadi per ridurre la carica termica sui dischi frenanti
La funzione è attivata in caso di:
* Fallo dei sistemi di emergenza del freno
* Interruzione della fornitura elettrica
* Perdita di un'unità ferroviaria
* Attivazione dell'ATP (Automatic Train Protection)
* Azione del controllore (Drive/Brake Handle) via loop di urgenza
* Azione del pulsante di emergenza
La funzione è progettata con una logica di fail-safe e presenta ridondanze per garantire la sicurezza, come l'uso di un sistema di controllo elettronico redundante e la connessione diretta dell'urgenza brake loop in caso di assenza di EBS unit.
Analisi — Funzione equivalente tra le seguenti configurazioni: VZI_Base, VZ_FR, VZ_ES, VZI-6_R1.</t>
  </si>
  <si>
    <t>La funzione ferroviaria "BRK_Emergency_Brake" è una funzione di freno d'emergenza per il sistema di frenatura del treno ad alta velocità ETR1000. La funzione è attivata quando si verifica un problema con il sistema di frenatura, e la sua logica di funzionamento prevede l'isolamento del freno diretto, la scelta del freno indiretto e la bypass della funzione di freno di emergenza del sistema TCMS. La funzione è caratterizzata da una ridondanza nei componenti elettrici/meccanici/software, con il controllo dell'isolamento del freno diretto eseguito tramite un isolatore cock RIEP e la bypass della funzione di freno di emergenza del sistema TCMS.
Analisi — Funzione equivalente tra le seguenti configurazioni: VZI_Base, VZ_FR, VZ_ES, VZI-6_R1.</t>
  </si>
  <si>
    <t>La funzione ferroviaria BRK_Emergency_Brake è una funzione di freno d'emergenza per garantire la sicurezza del treno in caso di fallimento del sistema di frenaggio. La funzione è attivata quando il master controller raggiunge un determinato stato di emergenza, che causa l'isolamento del circuito di frenaggio e l'attivazione della frenatura di emergenza. La logica di funzionamento prevede la supervisione del sistema di frenaggio da parte di due punti di controllo, con eventi di IDU (Indicatore di Stato di Uscita) per il rilevamento dei fallimenti e l'invio di messaggi di errore via MVB. La funzione è progettata per garantire un livello di sicurezza SIL 4 e richiede la presenza di un contatto di emergenza sul master controller, che deve essere collegato al circuito di frenaggio.
Analisi — Funzione equivalente tra le seguenti configurazioni: VZI_Base, VZ_FR, VZ_ES, VZI-6_R1.</t>
  </si>
  <si>
    <t>La funzione ferroviaria "BRK_Emergency_Brake" è un sistema di frenatura d'emergenza per il treno ETR1000 VZI-R1. È composta da componenti elettrici/meccanici/software come l'isolamento del freno diretto con isolatore RIEP, la bypass del funzionamento di TCMS di emergenza tramite modalità di emergenza, la gestione della linea di alimentazione dell'urgenza brake e la comunicazione con il BCU. La logica di funzionamento attiva l'emergenza quando si verificano condizioni di isolamento o perdita di più di due carri, e richiede l'intervento del conducente per bloccare il sistema. La funzione è progettata per garantire la sicurezza con un livello di sicurezza SIL 4.
Analisi — Funzione equivalente tra le seguenti configurazioni: VZI_Base, VZ_FR, VZ_ES, VZI-6_R1.</t>
  </si>
  <si>
    <t>BRK_Parking_Brake</t>
  </si>
  <si>
    <t>La funzione ferroviaria "BRK_Parking_Brake" è un sistema di freno di parcheggio per l'ETR1000 che prevede l'applicazione automatica del freno in caso di deattivazione della cabina o di diminuzione della pressione dell'auxiliary brake reservoir. Il sistema è controllato dal TCMS e utilizza un control magnet valve bi-stabile per applicare o rilasciare il freno, con una release command che può essere eseguita solo se entrambe le cabine sono attive. La funzione è caratterizzata da ridondanze e requisiti di sicurezza, come la visualizzazione del stato del freno su IDU brake menu e la possibilità di diagnosticare lo stato del freno tramite TCMS diagnostic.
Analisi — Funzione equivalente tra le seguenti configurazioni: VZI_Base, VZ_FR, VZ_ES, VZI-6_R1.</t>
  </si>
  <si>
    <t>La funzione ferroviaria "BRK_Parking_Brake" è una funzione di freno di parcheggio per il treno ETR1000/V300ZEFIRO. È caratterizzata dalla presenza di un calibro di freno a sprone, che si attiva automaticamente in caso di deattivazione della cabina del conducente o di una pressione minima dell'austronomia dei freni. La funzione viene attivata anche in caso di diminuzione della pressione dell'austronomia dei freni inferiore a 650 kPa. Il freno di parcheggio può essere rilasciato tramite un pulsante illuminato sulla scrivania del conducente, che indica lo stato di funzionamento (rilasciato, applicato o fallito).
Analisi — Funzione equivalente tra le seguenti configurazioni: VZI_Base, VZ_FR, VZ_ES, VZI-6_R1.</t>
  </si>
  <si>
    <t>La funzione ferroviaria BRK_Parking_Brake è una caratteristica di sicurezza che attiva il freno di parcheggio in caso di emergenza. È implementata tramite l'interazione tra il sistema di controllo del treno (TCMS) e la linea di energia dell'emergenza. La funzione viene attivata quando la linea di energia è stata energizzata o disenergizzata, ma non è stata configurata correttamente nel sistema TCMS. In caso di inattivazione della funzione, un evento viene generato per avvertire l'operatore.
Analisi — Funzione equivalente tra le seguenti configurazioni: VZI_Base, VZ_FR, VZ_ES, VZI-6_R1.</t>
  </si>
  <si>
    <t>La funzione ferroviaria "BRK_Parking_Brake" è responsabile della gestione del freno di parcheggio del treno ETR1000 VZI-R1. I componenti elettrici/meccanici principali coinvolti sono il freno di parcheggio calapiera a sprone, l'auxiliare brake reservoir e il controllo magnetico bi-stabile. La logica di funzionamento attiva il freno di parcheggio automaticamente se la cabina del conducente è disattivata o se la pressione dell'auxiliare brake reservoir scende sotto un certo livello, mentre viene rilasciato tramite il pulsante "Freno di parcheggio" situato sulla scrivania del conducente. La gestione del freno di parcheggio è controllata dal sistema TCMS e presenta ridondanze per garantire la sicurezza.
Analisi — Funzione equivalente tra le seguenti configurazioni: VZI_Base, VZ_FR, VZ_ES, VZI-6_R1.</t>
  </si>
  <si>
    <t>Approfindimenti (data 01/06/2026)</t>
  </si>
  <si>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</si>
  <si>
    <t>Applicazione PB - Componenti circuito elettrico (data 01/06/2026)</t>
  </si>
  <si>
    <t>GG-A024 = Pulsante parking
JE-K0005 = MIO-S-DX4</t>
  </si>
  <si>
    <t>GG-A024 = Pulsante parking
GC-K025 = Relè abilitazione cabina
GC-K018 = Relè temporizz
GC-K011 = Relè abilitazione cabina
JE-K005 = RIO-LP MASTER</t>
  </si>
  <si>
    <t>Applicazione PB - Descrizione circuitale (data 01/06/2026)</t>
  </si>
  <si>
    <t>La pressione di GG-A024 chiude 2 contatti interni (1 ordinario, 1 ridondato), collegando 2 linee 110V a 2 ingressi della MIO: BRA_PARK_COM
Le 2 linee 110 derivano direttamente dal bus  180, tramite due fusibili rispettivamente JE-F007 e JE-F009.</t>
  </si>
  <si>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</si>
  <si>
    <t>FS_TT2</t>
  </si>
  <si>
    <t>EVFS1 = Valvola applicazione parking brake
JE-K009 = RIO
JE-K010 = RIO
GG-K016 = Relè RER</t>
  </si>
  <si>
    <t>GG-K016 = Relè RER
GG-K028 = Relè di taglio per il comando di rilascio del PB dato da TCMS attraverso BRA_EVFS1_COM
EVFS1 = Valvola applicazione parking brake
JE-K009 = RIO
JE-K010 = RIO</t>
  </si>
  <si>
    <t xml:space="preserve">Il segnale di rilascio del praking brake verso la EVFS1 viene fornito dalle RIO BRA-EVFS1_COM. Il comando verso EVFS1 è sezionato solamente da un relè GG-K016 chiamato RER che si abilita con un contatto relativo all'inserzione della chiave di banco </t>
  </si>
  <si>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</si>
  <si>
    <t>BRK_Wheel_Slide_Protection</t>
  </si>
  <si>
    <t>La funzione ferroviaria "BRK_Wheel_Slide_Protection" (WSP) è un sistema di protezione dei ruota che si attiva per prevenire il blocco delle ruote e le flat durante la frenata, indipendentemente dalla velocità e dalle condizioni del ferrovia. Il sistema è composto da WSP-CU (unità di controllo WSP) e BCU (unità di controllo freno), con componenti elettrici/meccanici/software come sensori di velocità, controlli elettrici per il freno elettrico e frizione. La logica di funzionamento attiva il sistema quando si verifica una perdita di adesione, informando il conducente tramite IDU (interfaccia di comunicazione). Il sistema è progettato con ridondanze, con due canali di velocità sensori e un controllo redundante per garantire la sicurezza.
Analisi — Funzione equivalente tra le seguenti configurazioni: VZI_Base, VZ_FR, VZ_ES, VZI-6_R1.</t>
  </si>
  <si>
    <t>La funzione ferroviaria "BRK_Wheel_Slide_Protection" è un sistema di protezione dei ruota che mira a evitare il blocco delle ruote e le perdite di adesione durante la frenata, garantendo la massima utilizzo dell'adesione disponibile. Il sistema è composto da WSP-CU (Unità di Controllo della Protezione delle Ruote) e BCU (Unità di Controllo del Frizione), con componenti elettrici/meccanici/software come sensori di velocità, algoritmi di controllo e sistemi di allarme. La funzione è attivata quando il sistema rileva una perdita di adesione, e viene disattivata dopo un certo periodo di tempo o quando le condizioni di frenata cambiano. Il sistema è progettato per essere redundante, con la possibilità che il BCU prenda il controllo in caso di fallimento del WSP-CU.
Analisi — Funzione equivalente tra le seguenti configurazioni: VZI_Base, VZ_FR, VZ_ES, VZI-6_R1.</t>
  </si>
  <si>
    <t>La funzione ferroviaria "Wheel Slide Protection" (WSP) è progettata per proteggere il veicolo contro livelli flatti dei ruota e ottimizzare la distanza di frenata in base all'adesione disponibile. La WSP è controllata dal sistema WSP-CU, separato dalla unità di controllo del freno (BCU), e si trova in modalità redundante con il BCU che prende il suo posto in caso di fallimento del WSP-CU. La funzione viene attivata quando il freno principale è disattivato e viene disattivata quando il freno principale è riconnetto.
Analisi — Funzione equivalente tra le seguenti configurazioni: VZI_Base, VZ_FR, VZ_ES, VZI-6_R1.</t>
  </si>
  <si>
    <t>La funzione ferroviaria "Wheel Slide Protection" (WSP) è progettata per proteggere il veicolo contro flat di ruota e ottimizzare la distanza di frenata in base all'adesione disponibile. La WSP è controllata dal sistema WSP-CU, separato dal controllo del sistema frenante (BCU), e è realizzata in modo redundante con il BCU che prende il suo posto in caso di fallimento del WSP-CU. La funzione viene attivata quando il frenatore principale non è più trattenuto, e informa il conducente tramite IDU in caso di controllo della ruota in movimento. Durante la frenata, la WSP controlla l'uso dell'elettrodinamico (ED) e del freno adesivo (FA), utilizzando due linee di controllo hardwire per regolare il demand ED.
Analisi — Funzione equivalente tra le seguenti configurazioni: VZI_Base, VZ_FR, VZ_ES, VZI-6_R1.</t>
  </si>
  <si>
    <t>BRK_Detection_of_Non-Rotating_Axle_(DNRA)</t>
  </si>
  <si>
    <t>La funzione ferroviaria "BRK_Detection_of_Non_Rotating_Axle_(DNRA)" è un sistema di detección di non-rotazione dell'asse dei treni ad alta velocità ETR1000, progettato per garantire la sicurezza e la stabilità del veicolo. Il sistema è composto da componenti come BCU (Brake Control Unit), WSP-CU (WSP control unit), SS1-4 (doppie sensori di velocità per asse) e DNRA train line. La funzione si attiva quando il differenziale tra la velocità riferita calcolata basandosi sui segnali dei quattro assi è superiore a un determinato limite, e invia un'allarme al conducente tramite una linea di comunicazione dedicata e sullo schermo IDU. Il sistema è progettato per essere completamente redundante, con la possibilità che il BCU o il WSP-CU possano attivare la funzione in caso di fallimento dell'altro.
Analisi — Funzione equivalente tra le seguenti configurazioni: VZI_Base, VZ_FR, VZ_ES, VZI-6_R1.</t>
  </si>
  <si>
    <t>La funzione ferroviaria "BRK_Detection_of_Non_Rotating_Axle_(DNRA)" è un sistema di rilevamento indipendente dal controllo WSP (Wheels Speed Protection) per la deteczione di un asse non rotante sul treno ETR1000. Il sistema è composto da BCU (Braking Control Unit) e WSP-CU (Wheel Speed Protection Control Unit), con una logica di funzionamento che attiva un'allarme al conducente e invia un segnale MVB (Multi-Vehicle Bus) in caso di detezione di un asso non rotante. Il sistema è progettato per garantire la sicurezza e l'indipendenza del controllo frenante, con una ridondanza tra i due componenti elettrici/meccanici software.
Analisi — Funzione equivalente tra le seguenti configurazioni: VZI_Base, VZ_FR, VZ_ES, VZI-6_R1.</t>
  </si>
  <si>
    <t>La funzione ferroviaria "BRK_Detection_of_Non_Rotating_Axle_(DNRA)" è un sistema di detezione di un'asse non rotante sul treno ad alta velocità ETR1000. I componenti principali coinvolti sono il BCU (Brake Control Unit) e il WSP-CU (WSP control unit), che lavorano in parallelo per garantire la sicurezza del sistema. La logica di funzionamento prevede l'utilizzo di sensori di velocità doppie per ogni asse, che inviano segnali al BCU e al WSP-CU. In caso di detezione di un'asse non rotante, il sistema invia un'allarme al conducente tramite una linea dedicata e sullo schermo IDU. Il sistema è progettato con ridondanze per garantire la sicurezza, con il BCU che funziona come "primario" e il WSP-CU come "secondario", ma entrambi lavorano insieme per garantire la stabilità del sistema.
Analisi — Funzione equivalente tra le seguenti configurazioni: VZI_Base, VZ_FR, VZ_ES, VZI-6_R1.</t>
  </si>
  <si>
    <t>La funzione ferroviaria "BRK_Detection_of_Non_Rotating_Axle_(DNRA)" è un sistema di detezione di asse non rotante utilizzato sul treno ETR1000 VZI-R1. Il sistema è composto da BCU (Unità di Controllo del Veicolo) e WSP-CU (Control Unit del Sistema di frenatura). La logica di funzionamento attiva il sistema in caso di evento di "heavy slide" o segnale di non rotazione dell'asse, inviando un avviso al conducente tramite una linea dedicata e via IP. Il sistema è progettato con una ridondanza completa, con la possibilità che il BCU diventi WSP-CU in caso di fallimento, garantendo così la sicurezza del veicolo.
Analisi — Funzione equivalente tra le seguenti configurazioni: VZI_Base, VZ_FR, VZ_ES, VZI-6_R1.</t>
  </si>
  <si>
    <t>BRK_Passenger_Emergency_Brake</t>
  </si>
  <si>
    <t>La funzione ferroviaria "BRK_Passenger_Emergency_Brake" è un sistema di freno d'emergenza per i passeggeri. È attivata dalla manovella di freno d'emergenza presente in ogni vagona del treno, che invia una richiesta di freno via due linee elettriche al controllo del motore (TCMS). La funzione è notificata al conducente tramite un lampino e un allarme acustico. La richiesta di freno può essere disattivata dal conducente utilizzando il pulsante di override, che dipende dalla modalità di PEB e dallo stato del treno (fermo, in movimento o in partenza).
Analisi — Funzione equivalente tra le seguenti configurazioni: VZI_Base, VZ_FR, VZ_ES, VZI-6_R1.</t>
  </si>
  <si>
    <t>La funzione ferroviaria "BRK_Passenger_Emergency_Brake" è una funzione di freno d'emergenza per i passeggeri. È attivata dal manubrio di freno d'emergenza presente in ogni vagona del treno, che invia un segnale al sistema di controllo della velocità (TCMS) e al modulo di gestione dei dispositivi di rilevamento (BCU/WSP-CU). La funzione è attivata quando il manubrio viene tratto, e il sistema notifica il conducente tramite una lampada e un allarme acustico. Il segnale inviato al BCU/WSP-CU è monitorato per eventuali aperti o brevi circuiti, che possono essere rilevati dal sistema di controllo della velocità (TCMS) e da cui viene generata un evento.
Analisi — Funzione equivalente tra le seguenti configurazioni: VZI_Base, VZ_FR, VZ_ES, VZI-6_R1.</t>
  </si>
  <si>
    <t>La funzione ferroviaria "BRK_Passenger_Emergency_Brake" è un sistema di freno d'emergenza per i passeggeri. È attivata dalla manovella di freno d'emergenza presente in ogni carrozza del treno, che invia una richiesta di freno via due linee elettriche al controllo del freno principale (TCMS). Il sistema notifica il conducente tramite un lampo e un allarme acustico. La funzione può essere disattivata con un pulsante di override, che dipende dallo stato del treno (fermo, in movimento o in partenza) e dalla presenza di una richiesta di freno d'emergenza attiva.
Analisi — Funzione equivalente tra le seguenti configurazioni: VZI_Base, VZ_FR, VZ_ES, VZI-6_R1.</t>
  </si>
  <si>
    <t>La funzione ferroviaria BRK_Passenger_Emergency_Brake è un sistema di freno d'emergenza per il treno ad alta velocità ETR1000. È composta da due unità principali: BCU (Braking Control Unit) e WSP-CU (Wheel Speeder Control Unit), che lavorano in parallelo per controllare la funzione DNRA (Differential Braking System). In caso di detección di un'asse bloccato, entrambe le unità attivano l'output per aprire il contatto nella linea ferroviaria. Il sistema invia anche segnali IP al software TCMS (Train Control and Management System) in caso di fallimento dei sensori di velocità o di altre condizioni critiche. La funzione è progettata con ridondanza e sicurezza, con la possibilità di attivare l'emergenza freno anche senza il controllo del sistema DNRA.
Analisi — Funzione equivalente tra le seguenti configurazioni: VZI_Base, VZ_FR, VZ_ES, VZI-6_R1.</t>
  </si>
  <si>
    <t>BRK_Sanding</t>
  </si>
  <si>
    <t>La funzione ferroviaria BRK_Sanding è un sistema di sabbia che aumenta l'adesione tra ruota e binario in condizioni di bassa adesione. Il sistema è attivato solo durante il frenaggio e non è previsto per la propulsione. È installato su quattro ruote (due su DM1/8 e una su T4/T5) e due livelli di flusso di sabbia sono implementati in base alla velocità del treno, con un aumento della quantità di sabbia a 140 km/h. Il sistema è controllato dal WSP-CU e include due modi di funzionamento: automatico durante l'uscita di emergenza e manuale tramite pulsante sullo schermo del conducente.
Analisi — Funzione equivalente tra le seguenti configurazioni: VZI_Base, VZ_FR, VZ_ES, VZI-6_R1.</t>
  </si>
  <si>
    <t>La funzione ferroviaria BRK_Sanding è un sistema di controllo della frizione che si attiva quando il treno ETR1000 raggiunge una velocità superiore a 15 m/s o copre una distanza di oltre 100 metri da standstill. Il sistema è composto da componenti elettrici/meccanici/software come il sistema di controllo della frizione (TCMS) e il sistema di gestione delle linee di emergenza passeggero (PEB). La logica di funzionamento prevede l'attivazione del sistema quando le condizioni sopra menzionate sono soddisfatte, con la conseguente disattivazione della funzione "Train stop with doors released" e attivazione della funzione "Train is running". Il sistema è progettato per garantire una sicurezza ridondante, con il controllo delle due linee di emergenza passeggero che prevede la necessità di un test singolo per determinare quale linea sia attiva.
Analisi — Funzione equivalente tra le seguenti configurazioni: VZI_Base, VZ_FR, VZ_ES, VZI-6_R1.</t>
  </si>
  <si>
    <t>La funzione ferroviaria BRK_Sanding è un sistema di sabbia che aumenta l'adesione tra ruota e binario in condizioni di bassa adesione. Il sistema è attivato solo durante il frenaggio e non per la propulsione. I componenti principali coinvolti sono il sistema di sabbia installato su quattro assi (due su DM1/8 e uno su T4/T5) e il controllore WSP-CU, che regola l'ammontare della sabbia in base alla velocità del treno. La funzione è attivata automaticamente durante frenaggio di emergenza o intervento WSP slide, oppure manualmente dal conducente pressando il pulsante "Sanding active".
Analisi — Funzione equivalente tra le seguenti configurazioni: VZI_Base, VZ_FR, VZ_ES, VZI-6_R1.</t>
  </si>
  <si>
    <t>La funzione ferroviaria BRK_Sanding è un sistema di allarme per il freno d'emergenza del treno ETR1000 VZI-R1. Il sistema è composto da componenti elettrici/meccanici/software come il sistema di controllo della velocità (TCMS) e il sistema di allarme del freno d'emergenza (PEB). La logica di funzionamento attiva l'allarme se il treno non viene frenato entro 10 secondi dopo l'attivazione del freno d'emergenza, e lo disattiva quando il treno raggiunge una velocità superiore a 10 km/h o copre una distanza di oltre 100 metri. Il sistema è progettato per garantire la sicurezza dei passeggeri, con ridondanze e requisiti di sicurezza come l'eventuale reset dell'allarme quando il treno è in standstill con le porte aperte.
Analisi — Funzione equivalente tra le seguenti configurazioni: VZI_Base, VZ_FR, VZ_ES, VZI-6_R1.</t>
  </si>
  <si>
    <t>BRK_Brake_Test</t>
  </si>
  <si>
    <t>PARTE 1:
La funzione BRK_Brake_Test per la configurazione VZI_Base è progettata per eseguire test di frenatura semi-automatici sull'ETR1000/V300ZEFIRO. La funzione è suddivisa in tre categorie principali: test di frenatura completa, test di frenatura base e test singoli funzionalità di frenatura. Questo test può essere selezionato dal menu IDU brake test.
PARTE 2:
Le differenze rispetto alla configurazione VZI-6_R1 sono legate alle specifiche componenti e logica operativa. Mentre VZI-6_R1 presenta requisiti diversi, come la gestione del comando di sabbia "DIA Sanding command wheel 1", la configurazione VZI_Base sembra essere più simile a VZ_FR e VZ_ES, con una struttura logica più omogenea.</t>
  </si>
  <si>
    <t>PARTE 1:
La funzione BRK_Brake_Test per la configurazione VZ_FR è una testata di controllo dei freni semi-automatica che consente di eseguire test di frenaggio su ETR1000/V300ZEFIRO. La funzione è composta da tre categorie principali: full semi-automatic brake test, basic semi-automatic brake test e single brake function tests. Queste test possono essere eseguiti in base alle specifiche del documento FRS_Brake Control.
PARTE 2:
Le differenze rispetto a VZI-6_R1 sono legate alla componente di controllo dei freni, poiché la configurazione VZ_FR utilizza il sistema di controllo dei freni della Bombardier Inc., mentre VZI-6_R1 utilizza il sistema di controllo dei freni dell'Alstom SA. Inoltre, la logica operativa delle due configurazioni può essere diversa a causa delle specifiche del documento FRS_Brake Control.
Analisi — Funzione equivalente tra le seguenti configurazioni: VZI_Base, VZ_FR, VZ_ES.</t>
  </si>
  <si>
    <t>PARTE 1:
La funzione BRK_Brake_Test per la configurazione VZ_ES è una testa di controllo semiautomatica che verifica lo stato del comando di sabbicinatura della ruota 1. Se il comando è aperto a circuito, l'evento viene attivato. La logica operativa consiste nel monitorare lo stato del comando e attivare l'evento se si verifica un apertura a circuito.
PARTE 2:
Le differenze rispetto alla configurazione VZI-6_R1 sono la presenza di un evento diverso per il comando aperto a circuito ("DIA Sanding command wheel 1 open circuit") e la mancanza di un evento specifico per il comando cortocircuito. Inoltre, la logica operativa è simile ma con alcune differenze nella gestione degli eventi.
Analisi — Funzione equivalente tra le seguenti configurazioni: VZI_Base, VZ_FR, VZ_ES.</t>
  </si>
  <si>
    <t>**PARTE 1**
La funzione BRK_Brake_Test per la configurazione VZI-6_R1 è finalizzata a monitorare lo stato del sistema di frenatura dell'ETR1000 VZI-R1. La logica operativa prevede l'analisi dei segnali IP provenienti dal WSP-CU (Wheel Speed and Pressure Control Unit) per rilevare eventuali apertture o cortocircuiti del comando di controllo della sabbia per i due ruote. Se il WSP-CU rileva un apertura o cortocircuito, l'evento viene generato e trasmesso al sistema di gestione dei dati.
**PARTE 2**
Le differenze rispetto alle altre configurazioni sono le seguenti:
*   VZI_Base: manca la specifica della sabbia per la seconda ruota.
*   VZ_FR e VZ_ES: presentano una struttura logica diversa, con un evento separato per ogni ruota.
*   Componenti elettrici/meccanici/software: solo VZI-6_R1 specifica i segnali IP per entrambe le ruote.
*   Logica di funzionamento o condizioni operative: la configurazione VZI-6_R1 richiede un tempo di attesa più lungo (30 secondi) prima di generare l'evento rispetto a VZ_FR e VZ_ES.</t>
  </si>
  <si>
    <t>BRK_Towing</t>
  </si>
  <si>
    <t>La funzione ferroviaria BRK_Towing è progettata per gestire il traino e l'assistenza in caso di emergenza. La funzione è attivata quando il treno ETR1000/V300ZEFIRO opera in modalità IP brake, con la cabina di guida attiva nella direzione di marcia. Il traino può avvenire in due modi: il treno viene tirato da un altro veicolo o esegue il traino su un altro veicolo. La funzione è gestita attraverso una selezione dei 5 posizioni del switch di controllo, con la zero posizione che attiva la funzione di traino/towed. La logica di funzionamento prevede l'attivazione della funzione in base alle condizioni di connessione elettrica tra i due treni.
Analisi — Funzione equivalente tra le seguenti configurazioni: VZI_Base, VZ_FR, VZ_ES, VZI-6_R1.</t>
  </si>
  <si>
    <t>La funzione ferroviaria BRK_Towing è progettata per gestire il recupero di un treno in caso di emergenza. È attivata quando il treno ETR1000/V300ZEFIRO opera in modalità IP brake e ha l'attivo cabbinetto in direzione di guida. La funzione prevede due scenari validi: recupero del treno (demobilizzato) o recupero del treno che sta trainando un altro veicolo o un altro ETR1000/V300ZEFIRO. La logica di funzionamento attiva la funzione quando il cabbinetto in direzione di guida è attivo e i sistemi elettrici sono disconnessi.
Analisi — Funzione equivalente tra le seguenti configurazioni: VZI_Base, VZ_FR, VZ_ES, VZI-6_R1.</t>
  </si>
  <si>
    <t>La funzione ferroviaria BRK_Towing è progettata per gestire il traino e l'assistenza in caso di emergenza. È attivata quando il treno ETR1000 opera in modalità IP brake, con la cabina di guida attiva nella direzione di marcia. La funzione richiede la disconnessione degli head elettrici per evitare una situazione di due treni elettricamente collegati. Il sistema è dotato di un switch di controllo nel vano del conducente con 5 posizioni, che attiva le seguenti modalità: traino, assistenza, traino con controllo della frenata, assistenza con controllo della frenata e traino con controllo della frenata e assistenza. La funzione è progettata per garantire la sicurezza del treno e degli altri veicoli in caso di emergenza, con ridondanze nel sistema di controllo e monitoraggio.
Analisi — Funzione equivalente tra le seguenti configurazioni: VZI_Base, VZ_FR, VZ_ES, VZI-6_R1.</t>
  </si>
  <si>
    <t>La funzione ferroviaria BRK_Towing è finalizzata a gestire il recupero di un treno in difficoltà (towing) tramite l'uso dell'emergenza coupler e della connessione dei tubi frenanti. La logica di funzionamento attiva la valvola EVAPP in caso di ferma totale, mentre la manovra di recupero è gestita dal rotary selector switch manual brake test collegato al sistema TCMS digital input. La funzione richiede l'attivazione del modulo IP brake e il disconnetto degli head elettrici per evitare situazioni di scambio di corrente tra i due treni.
Analisi — Funzione equivalente tra le seguenti configurazioni: VZI_Base, VZ_FR, VZ_ES, VZI-6_R1.</t>
  </si>
  <si>
    <t>BRK_Fire_Safety_&amp;_Running_Capability</t>
  </si>
  <si>
    <t>La funzione ferroviaria "BRK_Fire_Safety_&amp;_Running_Capability" è progettata per garantire la sicurezza del treno ETR1000 in caso di attacco di fuoco. I componenti principali coinvolti sono i sistemi elettrici, pneumatici e software che controllano le funzioni di frenatura e di guida. La logica di funzionamento prevede l'attivazione della modalità di emergenza in caso di indagine di fuoco, con la possibilità di override dei comandi di frenata automatica. Le componenti principali sono state progettate per essere resistenti al fuoco per un periodo di 15 minuti, garantendo la sicurezza del treno e degli occupanti.
Analisi — Funzione equivalente tra le seguenti configurazioni: VZI_Base, VZ_FR, VZ_ES, VZI-6_R1.</t>
  </si>
  <si>
    <t>La funzione ferroviaria BRK_Fire_Safety_&amp;_Running_Capability è progettata per garantire la capacità del treno ETR1000 di correre in caso di attacco di fuoco per un massimo di 15 minuti, coprendo una distanza di 20 km a velocità di 80 km/h. La funzione coinvolge il sistema di controllo dei freni (TCMS), la presa di tensione del circuito elettrico PST 03.09, e il selector switch per la modalità di traino/towed. In caso di attivazione della modalità towed, il freno a mano viene rilasciato automaticamente e il sistema di controllo dei freni monitora lo stato del selector switch, garantendo una sicurezza ridotta nel caso di un eventuale incendio.
Analisi — Funzione equivalente tra le seguenti configurazioni: VZI_Base, VZ_FR, VZ_ES, VZI-6_R1.</t>
  </si>
  <si>
    <t>La funzione ferroviaria "BRK_Fire_Safety_&amp;_Running_Capability" è progettata per garantire la capacità del treno ETR1000 di correre in caso di attacco di fuoco per un massimo di 15 minuti, coprendo una distanza di 20 km a velocità di 80 km/h. La funzione coinvolge componenti elettrici/meccanici/software come il sistema di controllo del freno (TCMS), la selezione del dispositivo di trazione/trenaggio (towing switch) e l'interfaccia utente (HMI). La logica di funzionamento attiva il sistema in caso di allarme di fuoco, che attiva un modo di emergenza per evitare l'applicazione automatica del freno. La funzione è progettata con ridondanze e requisiti di sicurezza per garantire la stabilità e la sicurezza del treno in caso di emergenza.
Analisi — Funzione equivalente tra le seguenti configurazioni: VZI_Base, VZ_FR, VZ_ES, VZI-6_R1.</t>
  </si>
  <si>
    <t>La funzione ferroviaria BRK_Fire_Safety_&amp;_Running_Capability è progettata per garantire la sicurezza del treno ETR1000 VZI-R1 in caso di attacco di fuoco. I componenti principali coinvolti sono i sistemi elettrici, pneumatici e software che controllano le funzioni di frenatura e trazione. La logica di funzionamento attiva il sistema di emergenza solo se la situazione è critica, evitando l'applicazione automatica del freno in caso di fuoco. Le componenti principali sono progettate per essere resistenti al fuoco per 15 minuti, garantendo una sicurezza elevata durante le operazioni di emergenza.
Analisi — Funzione equivalente tra le seguenti configurazioni: VZI_Base, VZ_FR, VZ_ES, VZI-6_R1.</t>
  </si>
  <si>
    <t>BRK_Magnetic_Track_Brake_Optional</t>
  </si>
  <si>
    <t>La funzione ferroviaria "BRK_Magnetic_Track_Brake_Optional" è un sistema di freno magnetico opzionale utilizzato solo nel corridoio DACH. È montato su tutti i bogie dei carri (TT e T). I componenti principali sono: isolazione del cock RIPM, valvola di attivazione pneumatica, pressochessia "MTB", contattore elettrico per magnetizzare il circuito MTB. La logica di funzionamento prevede l'attivazione del freno magnetico in caso di emergenza, con eventi di fallimento che includono la mancata attivazione, il controllo unitario danneggiato e la non isolazione dell'applicazione indebita. La funzione è progettata per garantire un livello di sicurezza SIL 2.
Analisi — Funzione equivalente tra le seguenti configurazioni: VZI_Base, VZ_FR, VZ_ES, VZI-6_R1.</t>
  </si>
  <si>
    <t>La funzione ferroviaria "BRK_Magnetic_Track_Brake_Optional" è un sistema di frenatura magnetica opzionale per il treno ad alta velocità ETR1000. Il sistema è composto da componenti elettrici/meccanici/software come motori, trasformatori e sistemi di controllo. La logica di funzionamento attiva il sistema in condizioni di frenatura o di emergenza, con la possibilità di attivare il freno magnetico anche in presenza di una perdita di energia. Il sistema è progettato per garantire una sicurezza elevata e ridondanza, con requisiti di sicurezza come la resistenza ai fuochi e la protezione contro gli errori di operazione.
Analisi — Funzione equivalente tra le seguenti configurazioni: VZI_Base, VZ_FR, VZ_ES, VZI-6_R1.</t>
  </si>
  <si>
    <t>La funzione ferroviaria BRK_Magnetic_Track_Brake_Optional è un sistema di frenatura magnetica ottionale per il treno ETR1000. È caratterizzata dalla presenza di componenti elettrici/meccanici come motori elettrici, impianti di controllo e sensori magnetici. La logica di funzionamento attiva il sistema quando la velocità del treno supera un determinato limite, utilizzando i campi magnetici per frenare il treno in modo rapido e sicuro. Il sistema è progettato con ridondanze per garantire la sicurezza, con controlli di backup e verifica dei dati sensoriali per evitare errori o interruzioni improvvisi.
Analisi — Funzione equivalente tra le seguenti configurazioni: VZI_Base, VZ_FR, VZ_ES, VZI-6_R1.</t>
  </si>
  <si>
    <t>La funzione ferroviaria BRK_Magnetic_Track_Brake_Optional è un sistema di frenatura magnetica ottionale per il treno ETR1000 VZI-R1. È caratterizzata dalla presenza di componenti elettrici/meccanici/software come il sistema di controllo del frenatore magnetico, il sensore di distanza e l'unità di gestione dei segnali. La logica di funzionamento attiva il sistema quando la velocità del treno supera un certo limite, con una condizione di attivazione basata sulla presenza di un segnale di frenatura magnetico. L'integrazione di questa funzione con altre componenti ferroviarie è garantita dalla conformità ai requisiti di sicurezza e ridondanza del sistema, come la presenza di un backup elettrico e meccanico per assicurare la continuità della funzionalità.
Analisi — Funzione equivalente tra le seguenti configurazioni: VZI_Base, VZ_FR, VZ_ES, VZI-6_R1.</t>
  </si>
  <si>
    <t>BOG_Flange_Lubrication</t>
  </si>
  <si>
    <t>FRS_Bogies</t>
  </si>
  <si>
    <t>La BOG_Flange_Lubrication è una funzione ferroviaria che mira a ridurre l'usura tra le ali ruote e il ferrovia mediante l'applicazione di un lubrificante specializzato tramite spruzzo aerostatico. I componenti principali coinvolti sono i nozzole di spruzzo, la unità di controllo del sistema (WFL) e le solenoid valves. La funzione è attiva quando tutti i requisiti sul lato della vagonata sono soddisfatti, ma può essere disattivata in caso di fallimento del sistema o mancata richiesta di lubrificazione. Il sistema è progettato per essere rilevato durante la manutenzione e riparato quando necessario.
Analisi — Funzione equivalente tra le seguenti configurazioni: VZI_Base, VZI_New14, VZI-6_R1.</t>
  </si>
  <si>
    <t>La BOG_Flange_Lubrication è una funzione ferroviaria che mira a ridurre l'usura tra il disco e il ferro della ruota tramite l'applicazione di un lubrificante specializzato. La funzione è composta da componenti elettrici/meccanici/software come:
* Sistema di lubrificazione del disco (WFL)
* Nozzole di spruzzo
* Controllo unità WFL
* Solenoide valvole TCMS
La logica di funzionamento prevede l'attivazione della funzione quando tutti i requisiti sul lato della vagonata sono soddisfatti. In caso di fallimento, la funzione è disattivata e il sistema viene riparato durante la manutenzione programmata. La funzione non dispone di ridondanze, ma prevede un controllo di rilevamento del fallimento durante la manutenzione.
Analisi — Funzione equivalente tra le seguenti configurazioni: VZI_Base, VZI_New14, VZI-6_R1.</t>
  </si>
  <si>
    <t>La funzione ferroviaria BOG_Flange_Lubrication è un sistema di lubrificazione per le aliante dei boghi, progettato per ridurre l'usura tra la ruota e il ferrovia. Il sistema è composto da un controllo unitario (inc. sensor di curva) che regola l'applicazione di un lubricante specializzato attraverso nozzole a spruzzo unico. La funzione è attiva se tutti i requisiti del train sono soddisfatti, e viene disattivata in caso di fallimento del controllo unitario o di mancato rifornimento di lubrificante.
Analisi — Funzione equivalente tra le seguenti configurazioni: VZI_Base, VZI_New14, VZI-6_R1.</t>
  </si>
  <si>
    <t>BOG_Hotbox_Detection</t>
  </si>
  <si>
    <t>La BOG_Hotbox_Detection è una funzione ferroviaria che monitora le temperature dei bulloni delle ruote per individuare eventuali danni alle estremità delle ruote che potrebbero portare a incidenti critici. La funzione è composta da due sistemi di supervisione: un sistema elettrico che misura la temperatura con sensori Pt 100 e un sistema software (TCMS) che gestisce l'analisi dei dati. La logica di funzionamento attiva un'allarme in caso di superamento di determinati threshold di temperatura, mentre il sistema software registra gli eventi nel sistema di diagnosi del treno. La funzione è progettata con ridondanze per garantire la sicurezza, con due sistemi di supervisione che lavorano insieme e un sistema di controllo che apre il circuito di frenamento in caso di superamento della temperatura critica.
Analisi — Funzione equivalente tra le seguenti configurazioni: VZI_Base, VZI_New14, VZI-6_R1.</t>
  </si>
  <si>
    <t>**PARTE 1: VZI_New14**
La funzione BOG_Hotbox_Detection per la configurazione VZI_New14 è progettata per monitorare la temperatura di ogni asse del sistema di frenatura ad alta velocità (VZI) dell'ETR1000. La logica operativa prevede l'utilizzo di un accelerometro laterale che attiva il spruzzamento di lubrificante quando si verifica una curva con un limite di temperatura superiore a un determinato valore per un periodo di tempo specifico (&gt;=2s). Il sistema è progettato per garantire la sicurezza e prevenire danni ai componenti meccanici.
**PARTE 2: Differenze rispetto alle altre configurazioni**
Le differenze principali rispetto alle altre configurazioni sono:
*   VZI_Base: assenza della funzione BOG_Hotbox_Detection, con solo la misurazione della temperatura dei punti di contatto tra asse e viti.
*   VZI-6_R1: utilizzo di un sistema di supervisione diverso (TCMS) e di una misurazione della temperatura più precisa (Pt100 Sensor).
*   Componenti elettrici/meccanici/software: la configurazione VZI_New14 include solo il sistema di BOG_Hotbox_Detection, mentre le altre due includono anche altri sottosistemi come la supervisione TCMS.
*   Logica di funzionamento o condizioni operative: la configurazione VZI_New14 prevede un periodo di tempo specifico per l'attivazione del spruzzamento di lubrificante, mentre le altre due non specificano tale valore.
*   Requisiti o parametri tecnici: la configurazione VZI_New14 richiede una temperatura limite superiore a quella delle altre due configurazioni.</t>
  </si>
  <si>
    <t>PARTE 1:
La funzione BOG_Hotbox_Detection per la configurazione VZI-6_R1 monitora la temperatura di ogni asse del carro ferroviario, indicando potenziali danni alle balestre che possono portare a incidenti critici. La supervisione è effettuata da due sistemi separati onboard tramite TCMS. La funzione utilizza sensori Pt100 per misurare la temperatura e fusi termici per rilevare i livelli di calore critici.
PARTE 2:
La configurazione VZI-6_R1 presenta differenze rispetto a VZI_New14, in particolare nella logica operativa. Mentre VZI_New14 sembra avere una struttura diversa, con un'attenzione maggiore alla gestione della curvatura e al rilascio di lubrificante, la configurazione VZI-6_R1 si concentra principalmente sulla deteczione della temperatura e sulla risposta alle condizioni critiche.
Analisi — Funzione equivalente tra le seguenti configurazioni: VZI_Base, VZI-6_R1.</t>
  </si>
  <si>
    <t>Approfondimenti
(data 01/07/2026)</t>
  </si>
  <si>
    <t>Europe.CONCEPT.392: in caso di bypass DNRA, limite velocità a 200 km/h
Europe.CONCEPT.355: evento di warning se Temp gearbox &gt;= 145 °C</t>
  </si>
  <si>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</si>
  <si>
    <t>TBD</t>
  </si>
  <si>
    <t>Componenti circuito elettrico
(da 01/07/2026)</t>
  </si>
  <si>
    <t>GC-Q024 = Relè abilitazione cabina LCA
GC-Q026 = Relè abilitazione cabina LCA
SB-K018 = Relè accoppiamento
JB-K003 = Relè apertura Loop HABD
JB-K004 = Relè apertura Loop HABD
GG-K016 = Relè apertura Loop DNRA
GG-K017 = Relè apertura Loop DNRA
GC-A018 H2B = spia Locked Axle</t>
  </si>
  <si>
    <t>JB-K003 = Relè apertura Loop HABD
JB-K004 = Relè apertura Loop HABD
JE-K009 = RIO OTC_FUSE_LOOP
JE-K010 = RIO OTC_FUSE LOOP
GC-A018 H2B = spia HABD Alarm</t>
  </si>
  <si>
    <t>Descrizione circuitale
(da 01/07/2026)</t>
  </si>
  <si>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</si>
  <si>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</si>
  <si>
    <t>BOG_Instability_Monitoring</t>
  </si>
  <si>
    <t>La BOG_Instability_Monitoring è una funzione ferroviaria che monitora l'instabilità dei bogie del treno ETR1000 durante il servizio ad alta velocità. I componenti principali coinvolti sono gli IMS boxes (supervision devices) montati su ogni bogie, che misurano la lateral acceleration e inviano segnali digitali a TCMS e relais di sicurezza. La funzione si attiva quando il bogie raggiunge 10 cicli consecutivi di accelerazione laterale superiore a 0,8g (3-9 Hz) e informa il conducente tramite visualizzazione e suono. La funzione è progettata per fornire un'individuazione di tre livelli di instabilità, con un allarme di breve durata (Level 0) per casi transitori e richiedendo interventi di manutenzione (Level 1 e Level 2).
Analisi — Funzione equivalente tra le seguenti configurazioni: VZI_Base, VZI_New14, VZI-6_R1.</t>
  </si>
  <si>
    <t>La BOG_Instability_Monitoring è una funzione ferroviaria che monitora l'instabilità dei bogie durante il servizio del treno ETR1000 ad alta velocità. I componenti principali coinvolti sono gli IMS boxes (supervision devices) montati su ogni bogie, che misurano la lateral acceleration e inviano segnali digitali al TCMS e ai safety relays in caso di instabilità. La funzione si attiva quando le condizioni di instabilità sono soddisfatte (10 cicli consecutivi di 0,8g a una frequenza tra 3 e 9 Hz), e informa il conducente tramite un segnale visivo e un buzzer all'interno della cabina. La funzione è progettata per fornire diagnostiche di tipo 3 (Level 2) con tre livelli di avviso: Level 0 (instabilità breve termine), Level 1 e Level 2.
Analisi — Funzione equivalente tra le seguenti configurazioni: VZI_Base, VZI_New14, VZI-6_R1.</t>
  </si>
  <si>
    <t>La BOG_Instability_Monitoring è una funzione ferroviaria che supervisiona l'instabilità dei bogie durante il servizio del treno ETR1000 VZI-R1 a velocità elevate. I componenti principali coinvolti sono i sistemi di misurazione della lateral acceleration, gli IMS boxes (supervision devices) e il TCMS (Telematics Control and Monitoring System). La funzione è attivata quando le condizioni di instabilità sono soddisfatte (10 cicli consecutivi di accelerazione laterale superiore a 0,8g entro un'ampia gamma di frequenze), e in questo caso l'IMS box invia segnali di allarme al driver attraverso il sistema IDU. La funzione è progettata per fornire tre livelli di indagine: Level 0 (instabilità breve termine), Level 1 (instabilità a lungo termine con intensità inferiore a 15 m/s²) e Level 2 (instabilità a lungo termine con intensità superiore a 15 m/s²).
Analisi — Funzione equivalente tra le seguenti configurazioni: VZI_Base, VZI_New14, VZI-6_R1.</t>
  </si>
  <si>
    <t>BOG_Active_Lateral_Suspension_(ALS)</t>
  </si>
  <si>
    <t>LaBOG_Active_Lateral_Suspension_(ALS) è una funzione ferroviaria progettata per migliorare il comfort del treno attraverso l'attiva sorveglianza della posizione del carso rispetto al bogie e la stabilizzazione di un centro di equilibrio. La funzione è gestita dal controller del bogie, che si connette al sistema TCMS per ricevere informazioni di configurazione e status. L'ALS ha due mansioni principali: creare una forza laterale nella curva per compensare l'accelerazione laterale e ridurre il livello di vibrazione nel carso. In caso di perdita di potenza o di forza di riferimento zero, la funzione si disattiva. La funzione è non sicura e viene gestita attraverso un piano di manutenzione previsto.
Analisi — Funzione equivalente tra le seguenti configurazioni: VZI_Base, VZI_New14, VZI-6_R1.</t>
  </si>
  <si>
    <t>La BOG_Active_Lateral_Suspension_(ALS) è una funzione ferroviaria progettata per migliorare il comfort del treno attraverso l'attiva sorveglianza della posizione del carso rispetto alle balestre e la stabilizzazione di un punto centrale. La funzione è gestita dal controller delle balestre, un sistema autonomo collegato al TCMS che trasmette informazioni diagnostiche, configurative e di stato, nonché riceve dati come velocità, tensione e configurazione del treno. L'ALS viene attivata quando il test è avviato e ogni parte del treno viene testata simultaneamente su tutti gli IMS system dei treni. In caso di insuccesso, l'autista viene informato attraverso la lampada IMS associata al loop.
Analisi — Funzione equivalente tra le seguenti configurazioni: VZI_Base, VZI_New14, VZI-6_R1.</t>
  </si>
  <si>
    <t>La BOG_Active_Lateral_Suspension_(ALS) è una funzione ferroviaria progettata per migliorare il comfort del treno attraverso l'attiva sorveglianza della posizione del carso in confronto alla bussola e la stabilizzazione di una posizione centrale. La funzione è gestita dal controller delle bussole, un sistema autonomo collegato al TCMS che trasmette informazioni diagnostiche, configurative e di stato, nonché riceve dati come velocità, tensione e configurazione del treno. La logica di funzionamento attiva l'ALS in curve, creando una forza laterale per compensare l'accelerazione laterale del bogie, e riduce il livello di vibrazione nel carso attraverso la creazione di una forza contrattante. In caso di perdita di potenza elettrica o di errori di riferimento, l'ALS funziona come un freno passivo laterale.
Analisi — Funzione equivalente tra le seguenti configurazioni: VZI_Base, VZI_New14, VZI-6_R1.</t>
  </si>
  <si>
    <t>BOG_Diagnostics_&amp;_CBM</t>
  </si>
  <si>
    <t>La BOG_Diagnostics_&amp;_CBM è una funzione ferroviaria progettata per monitorare le condizioni dei componenti del bogie (asse) e ottimizzare gli interventi di manutenzione attraverso la deteczione delle degradazioni e delle falci. La funzione coinvolge il CBM Controller, il sistema di monitoraggio della bussola, che fornisce dati come velocità del treno, configurazione del treno e posizione GPS. I dati vengono poi trasmessi all'applicazione Telediagnostica e al sistema TCMS (Train Control and Monitoring System), che genera eventi di allarme in caso di degradazioni o falci. La funzione è progettata per garantire un livello di sicurezza SIL 0, con ridondanze e requisiti di sicurezza per garantire la stabilità e la sicurezza del sistema.
Analisi — Funzione equivalente tra le seguenti configurazioni: VZI_Base, VZI_New14, VZI-6_R1.</t>
  </si>
  <si>
    <t>La BOG_Diagnostics_&amp;_CBM è una funzione ferroviaria che monitora le condizioni dei componenti del bogie per ottimizzare interventi di manutenzione anticipando degradazioni e fallimenti. La funzione coinvolge il CBM Controller, il TCMS Ethernet e il bogie controller, con la logica di funzionamento basata sulla ricezione di dati da parte del bogie controller e sulle analisi periodiche dei componenti. La funzione è progettata per garantire un livello di sicurezza SIL 3 e richiede l'eventuale connessione a un sistema di gestione dei dati (TCMS).
Analisi — Funzione equivalente tra le seguenti configurazioni: VZI_Base, VZI_New14, VZI-6_R1.</t>
  </si>
  <si>
    <t>La BOG_Diagnostics_&amp;_CBM è una funzione ferroviaria che monitora le condizioni dei componenti del bogie per ottimizzare interventi di manutenzione mediante detezione di degradazioni e fallimenti. La logica di funzionamento prevede la trasmissione di dati da parte del controller del bogie a TCMS o Telediagnostica, con l'obiettivo di fornire informazioni in tempo reale sullo stato dei componenti e generare eventi di allarme per il mantenimento e la sicurezza. La funzione è caratterizzata dalla presenza di ridondanze e richiede un livello di sicurezza SIL 0, con l'obiettivo di garantire la stabilità e la sicurezza del sistema.
Analisi — Funzione equivalente tra le seguenti configurazioni: VZI_Base, VZI_New14, VZI-6_R1.</t>
  </si>
  <si>
    <t>Rev</t>
  </si>
  <si>
    <t>Data</t>
  </si>
  <si>
    <t>1.0</t>
  </si>
  <si>
    <t>Presentazione bozza</t>
  </si>
  <si>
    <t>1.x</t>
  </si>
  <si>
    <t>Aggiornamenti template e integrazione documenti</t>
  </si>
  <si>
    <t>1.7</t>
  </si>
  <si>
    <t>Integrata funzione AI per recupero info da FRS</t>
  </si>
  <si>
    <t>1.8</t>
  </si>
  <si>
    <t>Aggiornamento doc BL 2.9 VZ_ES e BL 4.4_14 VZI_New14</t>
  </si>
  <si>
    <t>Chi</t>
  </si>
  <si>
    <t>Priorità</t>
  </si>
  <si>
    <t>Note</t>
  </si>
  <si>
    <t>Federico</t>
  </si>
  <si>
    <t>Alta</t>
  </si>
  <si>
    <t>protezione azionamenti</t>
  </si>
  <si>
    <t>da ricercare all'interno dei documenti, una volta collezionati tutti i doc disponibili sulla trazione</t>
  </si>
  <si>
    <t>ricerca doc propulsion</t>
  </si>
  <si>
    <t>in corso sui vari SGF</t>
  </si>
  <si>
    <t>Maurizio</t>
  </si>
  <si>
    <t>legare manuali e CPR a documenti CONF</t>
  </si>
  <si>
    <t>eseguito manualmente, TBD legame automatico (vedi pt sotto)</t>
  </si>
  <si>
    <t>provare integrazione copilot</t>
  </si>
  <si>
    <t>Eseguita prova su FRS_Line_Voltage con compilazione automatica colonna B di Funzioni. Riutilizzabile per prossime FUNC ID</t>
  </si>
  <si>
    <t>Bassa</t>
  </si>
  <si>
    <t>Definire struttura codice FUNC ID</t>
  </si>
  <si>
    <t>Valutare se necessario</t>
  </si>
  <si>
    <t>Media</t>
  </si>
  <si>
    <t>Diagnostica:
- Reperire documentazione diagnostica EVENTI + AWO per flotta
- Definire modalità archiviazione file diagnostici per flotta e referenziazione in FUNZIONI</t>
  </si>
  <si>
    <t>Alcuni doc già recuperati, da definire criterio di archiviazione</t>
  </si>
  <si>
    <t>Rivedere/Completare PBS</t>
  </si>
  <si>
    <t>Legare FUNZIONI a PBS ???</t>
  </si>
  <si>
    <t>Pensare a come gestire in Funzioni, l'aggiornamento dei documenti richiamati. ES aggiungere campo data???</t>
  </si>
  <si>
    <t>Valutare se inserire colonna File Type in Conf Sheet per poter referenziare anche documenti diversi da pdf (es. file excel degli annex ICD)
In tal caso modificare la costruzione del link in Funzioni</t>
  </si>
  <si>
    <t>la diversa tipologia di doc a disposizione potrebbe generare problemi nel referenziare i doc tramite link. Agganciare i link ad una colonna che indica il tipo di documento bypassa il problema del formato</t>
  </si>
  <si>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</si>
  <si>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</si>
  <si>
    <t>Pensare a come esportare il file in formato di HTML per poter essere navigabile via broswer</t>
  </si>
  <si>
    <t>Potrebbe essere utile in caso sia necessario reperire informazioni quando siamo a bordo treno anche da Telefono</t>
  </si>
  <si>
    <t>DESCRIZIONE</t>
  </si>
  <si>
    <t>NOME</t>
  </si>
  <si>
    <t>Livello</t>
  </si>
  <si>
    <t>INDIRIZZO</t>
  </si>
  <si>
    <t>LINK</t>
  </si>
  <si>
    <t>Root Sharepoint</t>
  </si>
  <si>
    <t>Sharepoint</t>
  </si>
  <si>
    <t>https://gruppofsitaliane.sharepoint.com/:f:/r/sites/IngegneriaETReMezziLeggeri-Trenitalia/</t>
  </si>
  <si>
    <t>Cartella Documenti Ingegneria</t>
  </si>
  <si>
    <t>Shared%20Documents/</t>
  </si>
  <si>
    <t>Cartella Archiviazione doc ETR1000</t>
  </si>
  <si>
    <t>DB_ETR1000/</t>
  </si>
  <si>
    <t>Documenti di configurazione</t>
  </si>
  <si>
    <t>DOC_FLOTTE/</t>
  </si>
  <si>
    <t>Raccolta documentazione Funzioni</t>
  </si>
  <si>
    <t>DOC_FUNC/</t>
  </si>
  <si>
    <t>VINCOLI</t>
  </si>
  <si>
    <t>Id Flotta</t>
  </si>
  <si>
    <t>Riga 1</t>
  </si>
  <si>
    <t>Colonna B</t>
  </si>
  <si>
    <t>DOC EXT</t>
  </si>
  <si>
    <t>Colonna C</t>
  </si>
  <si>
    <t>Nome flotta</t>
  </si>
  <si>
    <t>ID flotta</t>
  </si>
  <si>
    <t>ID flotta "nativa"</t>
  </si>
  <si>
    <t>Ultima BL rilasciata</t>
  </si>
  <si>
    <t>Conf Sheet aggiornata a BL</t>
  </si>
  <si>
    <t>TOT Treni</t>
  </si>
  <si>
    <t>NUMERI TRENO</t>
  </si>
  <si>
    <t>VZI-50_IT Flotta base</t>
  </si>
  <si>
    <t>6.3 ?</t>
  </si>
  <si>
    <t>6.0
27/09/24</t>
  </si>
  <si>
    <t>VZI-51-58_IT
(New 14)</t>
  </si>
  <si>
    <t>4.4_14
09/07/2026</t>
  </si>
  <si>
    <t>VZ_IF Francia</t>
  </si>
  <si>
    <t>VZ_IF</t>
  </si>
  <si>
    <t>4.3_IF
04/04/2025</t>
  </si>
  <si>
    <t>4.0_F
10/04/2024</t>
  </si>
  <si>
    <t>VZ_ES Spagna</t>
  </si>
  <si>
    <t>2.9
30/06/2026</t>
  </si>
  <si>
    <t>VZI-6_IT Full HRI
(New 14)</t>
  </si>
  <si>
    <t>5.0
15/04/2026</t>
  </si>
  <si>
    <t>4.0 ?
xx/07/2025</t>
  </si>
  <si>
    <t>VZI-4_IT Full HRI</t>
  </si>
  <si>
    <t>1.0
15/04/2026</t>
  </si>
  <si>
    <t>?</t>
  </si>
  <si>
    <t>VZ_ES Spagna Full HRI</t>
  </si>
  <si>
    <t>VZ_ESxx</t>
  </si>
  <si>
    <t>DOC DESCRIPTION</t>
  </si>
  <si>
    <t>VZ_Esxx</t>
  </si>
  <si>
    <t>Conf Sheet  BD130033980 - BL 6.0</t>
  </si>
  <si>
    <t>Conf Sheet BD140050695 - BL 4.4</t>
  </si>
  <si>
    <t>Conf Sheet 3ECP414415-0001 - BL 4.0</t>
  </si>
  <si>
    <t>Conf Sheet BD140047828 - BL 2.9</t>
  </si>
  <si>
    <t>VZI-6_IT [R1]
BL 4.0</t>
  </si>
  <si>
    <t>VZI-4_IT [R1]
BL 1.0</t>
  </si>
  <si>
    <t>VZ-DAI
BL xxx</t>
  </si>
  <si>
    <t>VZ_ES Full HRI
BL xxx</t>
  </si>
  <si>
    <t>File/Codice</t>
  </si>
  <si>
    <t>Codice Config</t>
  </si>
  <si>
    <t>Codice</t>
  </si>
  <si>
    <t>SW Configuration</t>
  </si>
  <si>
    <t>SW Config. Matrix</t>
  </si>
  <si>
    <t>SW_Config</t>
  </si>
  <si>
    <t>pdf</t>
  </si>
  <si>
    <t>BD130033981</t>
  </si>
  <si>
    <t>_</t>
  </si>
  <si>
    <t>BD140050698</t>
  </si>
  <si>
    <t>3ECP414332-0001</t>
  </si>
  <si>
    <t>BD140047861</t>
  </si>
  <si>
    <t>FT080031387</t>
  </si>
  <si>
    <t>4.3</t>
  </si>
  <si>
    <t>Functional principle diagrams (VISIO)</t>
  </si>
  <si>
    <t>Drive Control</t>
  </si>
  <si>
    <t>FPD_Drive Control</t>
  </si>
  <si>
    <t>3ECP410467-0001</t>
  </si>
  <si>
    <t>B</t>
  </si>
  <si>
    <t>3ECP400500-0005</t>
  </si>
  <si>
    <t>3ECP413651-0005</t>
  </si>
  <si>
    <t>FA010024090</t>
  </si>
  <si>
    <t>00.2</t>
  </si>
  <si>
    <t>Conventional Train Control</t>
  </si>
  <si>
    <t>FPD_Conventional Train Control</t>
  </si>
  <si>
    <t>3ECP410476-0001</t>
  </si>
  <si>
    <t>C</t>
  </si>
  <si>
    <t>3ECP400500-0014</t>
  </si>
  <si>
    <t>A</t>
  </si>
  <si>
    <t>3ECP307072-0001</t>
  </si>
  <si>
    <t>3ECP413651-0014</t>
  </si>
  <si>
    <t>FA010024089</t>
  </si>
  <si>
    <t>03.2</t>
  </si>
  <si>
    <t>Train Protection - ATP</t>
  </si>
  <si>
    <t>FPD_Train Protection - ATP</t>
  </si>
  <si>
    <t>3ECP410482-0001</t>
  </si>
  <si>
    <t>3ECP400500-0020</t>
  </si>
  <si>
    <t>3ECP413651-0020</t>
  </si>
  <si>
    <t>D</t>
  </si>
  <si>
    <t>FA010024100</t>
  </si>
  <si>
    <t>TCMS Architecture</t>
  </si>
  <si>
    <t>FPD_TCMS Architecture</t>
  </si>
  <si>
    <t>3ECP307076-0001</t>
  </si>
  <si>
    <t>3ECP307255-0001</t>
  </si>
  <si>
    <t>FA010024104</t>
  </si>
  <si>
    <t>Propulsion and Auxiliary</t>
  </si>
  <si>
    <t>FPD_Propulsion and Auxiliary</t>
  </si>
  <si>
    <t>FA010024103</t>
  </si>
  <si>
    <t>01.2</t>
  </si>
  <si>
    <t>Line Voltage</t>
  </si>
  <si>
    <t>FPD_Line Voltage</t>
  </si>
  <si>
    <t>3ECP410475-0001</t>
  </si>
  <si>
    <t>3ECP400500-0013</t>
  </si>
  <si>
    <t>3ECP307079-0001</t>
  </si>
  <si>
    <t>3ECP413651-0013</t>
  </si>
  <si>
    <t>FA010024096</t>
  </si>
  <si>
    <t>Auxiliary Electrical Supply</t>
  </si>
  <si>
    <t>FPD_Auxiliary Electrical Supply</t>
  </si>
  <si>
    <t>3ECP410465-0001</t>
  </si>
  <si>
    <t>3ECP400500-0003</t>
  </si>
  <si>
    <t>3ECP413651-0003</t>
  </si>
  <si>
    <t>FA010024083</t>
  </si>
  <si>
    <t>Battery</t>
  </si>
  <si>
    <t>FPD_Battery</t>
  </si>
  <si>
    <t>3ECP410477-0001</t>
  </si>
  <si>
    <t>3ECP400500-0015</t>
  </si>
  <si>
    <t>3ECP413651-0015</t>
  </si>
  <si>
    <t>FA010024084</t>
  </si>
  <si>
    <t>Air Supply</t>
  </si>
  <si>
    <t>FPD_Air Supply</t>
  </si>
  <si>
    <t>3ECP410463-0001</t>
  </si>
  <si>
    <t>3ECP400500-0002</t>
  </si>
  <si>
    <t>3ECP413651-0002</t>
  </si>
  <si>
    <t>FA010024081</t>
  </si>
  <si>
    <t>Brake Control</t>
  </si>
  <si>
    <t>FPD_Brake Control</t>
  </si>
  <si>
    <t>3ECP410480-0001</t>
  </si>
  <si>
    <t>3ECP400500-0018</t>
  </si>
  <si>
    <t>3ECP307074-0001</t>
  </si>
  <si>
    <t>E</t>
  </si>
  <si>
    <t>3ECP413651-0018</t>
  </si>
  <si>
    <t>FA010024086</t>
  </si>
  <si>
    <t>02.2</t>
  </si>
  <si>
    <t>Bogie</t>
  </si>
  <si>
    <t>FPD_Bogie</t>
  </si>
  <si>
    <t>3ECP410466-0001</t>
  </si>
  <si>
    <t>3ECP400500-0004</t>
  </si>
  <si>
    <t>3ECP307081-0001</t>
  </si>
  <si>
    <t>3ECP413651-0004</t>
  </si>
  <si>
    <t>FA010024085</t>
  </si>
  <si>
    <t>Wash Wiper</t>
  </si>
  <si>
    <t>FPD_Wash Wiper</t>
  </si>
  <si>
    <t>3ECP410473-0001</t>
  </si>
  <si>
    <t>3ECP400500-0011</t>
  </si>
  <si>
    <t>3ECP307082-0001</t>
  </si>
  <si>
    <t>3ECP413651-0011</t>
  </si>
  <si>
    <t>FA010024101</t>
  </si>
  <si>
    <t>Windscreen heater</t>
  </si>
  <si>
    <t>FPD_Windscreen heater</t>
  </si>
  <si>
    <t>3ECP410474-0001</t>
  </si>
  <si>
    <t>3ECP400500-0012</t>
  </si>
  <si>
    <t>3ECP413651-0012</t>
  </si>
  <si>
    <t>FA010024102</t>
  </si>
  <si>
    <t>Automatic Coupler</t>
  </si>
  <si>
    <t>FPD_Automatic Coupler</t>
  </si>
  <si>
    <t>3ECP410481-0001</t>
  </si>
  <si>
    <t>3ECP400500-0019</t>
  </si>
  <si>
    <t>3ECP307077-0001</t>
  </si>
  <si>
    <t>3ECP413651-0019</t>
  </si>
  <si>
    <t>FA010024082</t>
  </si>
  <si>
    <t>Horn</t>
  </si>
  <si>
    <t>FPD_Horn</t>
  </si>
  <si>
    <t>3ECP410468-0001</t>
  </si>
  <si>
    <t>3ECP400500-0006</t>
  </si>
  <si>
    <t>3ECP413651-0006</t>
  </si>
  <si>
    <t>FA010024094</t>
  </si>
  <si>
    <t>Exterior and Interior Doors</t>
  </si>
  <si>
    <t>FPD_Exterior and Interior Doors</t>
  </si>
  <si>
    <t>3ECP410462-0001</t>
  </si>
  <si>
    <t>3ECP400500-0001</t>
  </si>
  <si>
    <t>3ECP307073-0001</t>
  </si>
  <si>
    <t>3ECP413651-0001</t>
  </si>
  <si>
    <t>FA010024091</t>
  </si>
  <si>
    <t>Cab HVAC</t>
  </si>
  <si>
    <t>FPD_Cab HVAC</t>
  </si>
  <si>
    <t>3ECP410470-0001</t>
  </si>
  <si>
    <t>3ECP400500-0008</t>
  </si>
  <si>
    <t>3ECP307084-0001</t>
  </si>
  <si>
    <t>3ECP413651-0008</t>
  </si>
  <si>
    <t>FA010024087</t>
  </si>
  <si>
    <t>Saloon HVAC</t>
  </si>
  <si>
    <t>FPD_Saloon HVAC</t>
  </si>
  <si>
    <t>3ECP410471-0001</t>
  </si>
  <si>
    <t>3ECP400500-0009</t>
  </si>
  <si>
    <t>3ECP307080-0001</t>
  </si>
  <si>
    <t>3ECP413651-0009</t>
  </si>
  <si>
    <t>FA010024098</t>
  </si>
  <si>
    <t>Fire Protection and Extinguishing</t>
  </si>
  <si>
    <t>FPD_FPS</t>
  </si>
  <si>
    <t>3ECP410469-0001</t>
  </si>
  <si>
    <t>3ECP400500-0007</t>
  </si>
  <si>
    <t>3ECP307083-0001</t>
  </si>
  <si>
    <t>3ECP413651-0007</t>
  </si>
  <si>
    <t>FA010024093</t>
  </si>
  <si>
    <t>Toilet</t>
  </si>
  <si>
    <t>FPD_Toilet</t>
  </si>
  <si>
    <t>3ECP410472-0001</t>
  </si>
  <si>
    <t>3ECP400500-0010</t>
  </si>
  <si>
    <t>3ECP413651-0010</t>
  </si>
  <si>
    <t>FA010024099</t>
  </si>
  <si>
    <t>Catering</t>
  </si>
  <si>
    <t>FPD_Catering</t>
  </si>
  <si>
    <t>3ECP410484-0001</t>
  </si>
  <si>
    <t>3ECP400500-0022</t>
  </si>
  <si>
    <t>3ECP413651-0022</t>
  </si>
  <si>
    <t>FA010024088</t>
  </si>
  <si>
    <t>PIS CCTV</t>
  </si>
  <si>
    <t>FPD_PIS CCTV</t>
  </si>
  <si>
    <t>3ECP410479-0001</t>
  </si>
  <si>
    <t>3ECP400500-0017</t>
  </si>
  <si>
    <t>3ECP413651-0017</t>
  </si>
  <si>
    <t>FA010024097</t>
  </si>
  <si>
    <t>Exterior Lighting</t>
  </si>
  <si>
    <t>FPD_Exterior Lighting</t>
  </si>
  <si>
    <t>3ECP410483-0001</t>
  </si>
  <si>
    <t>3ECP400500-0021</t>
  </si>
  <si>
    <t>3ECP307075-0001</t>
  </si>
  <si>
    <t>3ECP413651-0021</t>
  </si>
  <si>
    <t>FA010024092</t>
  </si>
  <si>
    <t>Interior Lighting</t>
  </si>
  <si>
    <t>FPD_Interior Lighting</t>
  </si>
  <si>
    <t>3ECP410478-0001</t>
  </si>
  <si>
    <t>3ECP400500-0016</t>
  </si>
  <si>
    <t>3ECP413651-0016</t>
  </si>
  <si>
    <t>FA010024095</t>
  </si>
  <si>
    <t>Train Control Design System</t>
  </si>
  <si>
    <t>FPD_Train Control</t>
  </si>
  <si>
    <t>manca</t>
  </si>
  <si>
    <t>Schematic diagram for French ATP MU</t>
  </si>
  <si>
    <t>FPD_ATP-MU</t>
  </si>
  <si>
    <t>90000056.D04</t>
  </si>
  <si>
    <t>5.0</t>
  </si>
  <si>
    <t>Energy Meter System</t>
  </si>
  <si>
    <t>FPD_EMS</t>
  </si>
  <si>
    <t>FA010031914</t>
  </si>
  <si>
    <t>00.1</t>
  </si>
  <si>
    <t>Functional Requirement Specification (FRS)</t>
  </si>
  <si>
    <t>Functional Vehicle Requirement Specification</t>
  </si>
  <si>
    <t>FRS_Vehicle</t>
  </si>
  <si>
    <t>3EST000224-9984</t>
  </si>
  <si>
    <t>3ECP413839-0001</t>
  </si>
  <si>
    <t>FRS_Drive Control</t>
  </si>
  <si>
    <t>3EST000225-7909</t>
  </si>
  <si>
    <t>3ECP413571-0501</t>
  </si>
  <si>
    <t>FA020022675</t>
  </si>
  <si>
    <t>03.2
4.0?</t>
  </si>
  <si>
    <t>FRS_Conventional Train Control</t>
  </si>
  <si>
    <t>3EST000225-7916</t>
  </si>
  <si>
    <t>3ECP413719-0903</t>
  </si>
  <si>
    <t>FA02P021958B</t>
  </si>
  <si>
    <t>2.0</t>
  </si>
  <si>
    <t>3ECP413922-0903</t>
  </si>
  <si>
    <t>FA020023107</t>
  </si>
  <si>
    <t>06.3</t>
  </si>
  <si>
    <t>FRS_Train Protection - ATP</t>
  </si>
  <si>
    <t>FA020013231</t>
  </si>
  <si>
    <t>01</t>
  </si>
  <si>
    <t>3EST000225-7889
EC01P008999B</t>
  </si>
  <si>
    <t>3ECP414246-0902</t>
  </si>
  <si>
    <t>FA020007630</t>
  </si>
  <si>
    <t>04</t>
  </si>
  <si>
    <t>3ECP413922-0902</t>
  </si>
  <si>
    <t>FA020025863</t>
  </si>
  <si>
    <t>01.3</t>
  </si>
  <si>
    <t>Diagnostics</t>
  </si>
  <si>
    <t>FRS_Diagnostics</t>
  </si>
  <si>
    <t>3EST000225-7918</t>
  </si>
  <si>
    <t>3ECP413922-1001</t>
  </si>
  <si>
    <t>FA020023413</t>
  </si>
  <si>
    <t>Visualisation - MMI</t>
  </si>
  <si>
    <t>FRS_Visualisation - MMI</t>
  </si>
  <si>
    <t>3EST000225-7919</t>
  </si>
  <si>
    <t>3ECP413922-1003</t>
  </si>
  <si>
    <t>FA020027681</t>
  </si>
  <si>
    <t>TCMS - Operational</t>
  </si>
  <si>
    <t>FRS_TCMS - Operational</t>
  </si>
  <si>
    <t>3EST000225-7917</t>
  </si>
  <si>
    <t>3ECP413922-0904</t>
  </si>
  <si>
    <t>FA020026278</t>
  </si>
  <si>
    <t>Train to Wayside Communication (Teledia)</t>
  </si>
  <si>
    <t>FRS_Teledia</t>
  </si>
  <si>
    <t>3ECP413176-0001</t>
  </si>
  <si>
    <t>3ECP413719-1200</t>
  </si>
  <si>
    <t>3EST000225-7907</t>
  </si>
  <si>
    <t>3ECP413719-0401</t>
  </si>
  <si>
    <t>3ECP413571-0401</t>
  </si>
  <si>
    <t>3EGH489028-2358</t>
  </si>
  <si>
    <t>FA020022045</t>
  </si>
  <si>
    <t>06.2</t>
  </si>
  <si>
    <t>Aux Electrical Supply</t>
  </si>
  <si>
    <t>3EST000225-7914</t>
  </si>
  <si>
    <t>3ECP413571-0601</t>
  </si>
  <si>
    <t>FA020024537</t>
  </si>
  <si>
    <t>3EST000225-7908</t>
  </si>
  <si>
    <t>FA020024538</t>
  </si>
  <si>
    <t>3EST000225-7915</t>
  </si>
  <si>
    <t>3ECP413719-0603</t>
  </si>
  <si>
    <t>FA020024531</t>
  </si>
  <si>
    <t>3EST000225-7910</t>
  </si>
  <si>
    <t>L</t>
  </si>
  <si>
    <t>3ECP413719-0502</t>
  </si>
  <si>
    <t>3ECP413571-0502</t>
  </si>
  <si>
    <t>3ECP413922-0502</t>
  </si>
  <si>
    <t>FA020023100</t>
  </si>
  <si>
    <t>02.3</t>
  </si>
  <si>
    <t>Bogies</t>
  </si>
  <si>
    <t>3EST000225-7906</t>
  </si>
  <si>
    <t>3ECP413719-0300</t>
  </si>
  <si>
    <t>3ECP413571-0300</t>
  </si>
  <si>
    <t>FA020030729</t>
  </si>
  <si>
    <t>04.3</t>
  </si>
  <si>
    <t>FRS_Wash Wiper</t>
  </si>
  <si>
    <t>3EST000225-7900</t>
  </si>
  <si>
    <t>FA020026344</t>
  </si>
  <si>
    <t>00.3</t>
  </si>
  <si>
    <t>Windscreen</t>
  </si>
  <si>
    <t>FRS_Windscreen</t>
  </si>
  <si>
    <t>3EST000225-7902</t>
  </si>
  <si>
    <t>FA020026347</t>
  </si>
  <si>
    <t>Coupler</t>
  </si>
  <si>
    <t>FRS_Coupler</t>
  </si>
  <si>
    <t>3EST000225-7903</t>
  </si>
  <si>
    <t>3ECP413719-0204</t>
  </si>
  <si>
    <t>3ECP413571-0204</t>
  </si>
  <si>
    <t>3ECP413922-0204</t>
  </si>
  <si>
    <t>FA020026357</t>
  </si>
  <si>
    <t>FRS_Horn</t>
  </si>
  <si>
    <t>3EST000225-7905</t>
  </si>
  <si>
    <t>FA020026338</t>
  </si>
  <si>
    <t>Wheelchair Lifts</t>
  </si>
  <si>
    <t>FRS_Wheelchair Lifts</t>
  </si>
  <si>
    <t>3EST000225-7887</t>
  </si>
  <si>
    <t>FA020025254</t>
  </si>
  <si>
    <t>Exterior Door and Step Systems</t>
  </si>
  <si>
    <t>FRS_Exterior Door and Step Systems</t>
  </si>
  <si>
    <t>EC01P008887B</t>
  </si>
  <si>
    <t>09</t>
  </si>
  <si>
    <t>3EST000225-7893</t>
  </si>
  <si>
    <t>3ECP413719-1400</t>
  </si>
  <si>
    <t>FA020000711</t>
  </si>
  <si>
    <t>00</t>
  </si>
  <si>
    <t>3ECP413571-1400</t>
  </si>
  <si>
    <t>3ECP413922-1400</t>
  </si>
  <si>
    <t>FA020025252</t>
  </si>
  <si>
    <t>04.2</t>
  </si>
  <si>
    <t>Interior Doors</t>
  </si>
  <si>
    <t>FRS_Interior Doors</t>
  </si>
  <si>
    <t>EC01P008873B</t>
  </si>
  <si>
    <t>3EST000225-7886</t>
  </si>
  <si>
    <t>FA020025253</t>
  </si>
  <si>
    <t>FRS_Cab HVAC</t>
  </si>
  <si>
    <t>EC01P009028B</t>
  </si>
  <si>
    <t>00.4</t>
  </si>
  <si>
    <t>3EST000225-7894</t>
  </si>
  <si>
    <t>FA020026562</t>
  </si>
  <si>
    <t>FRS_Saloon HVAC</t>
  </si>
  <si>
    <t>EC01P008880B</t>
  </si>
  <si>
    <t>00.8</t>
  </si>
  <si>
    <t>3EST000225-7897</t>
  </si>
  <si>
    <t>FA020026563</t>
  </si>
  <si>
    <t>Fire Protection and Extinction</t>
  </si>
  <si>
    <t>FRS_FPS</t>
  </si>
  <si>
    <t>EC01P008884B</t>
  </si>
  <si>
    <t>3EST000225-7879</t>
  </si>
  <si>
    <t>3ECP413922-0604</t>
  </si>
  <si>
    <t>FA020025419</t>
  </si>
  <si>
    <t>FRS_Toilet</t>
  </si>
  <si>
    <t>EC01P008888B</t>
  </si>
  <si>
    <t>02</t>
  </si>
  <si>
    <t>3EST000225-7883</t>
  </si>
  <si>
    <t>3ECP413719-0802</t>
  </si>
  <si>
    <t>FA020026053</t>
  </si>
  <si>
    <t>Catering - Bistrot</t>
  </si>
  <si>
    <t>FRS_Catering</t>
  </si>
  <si>
    <t>EC01P008889B</t>
  </si>
  <si>
    <t>03</t>
  </si>
  <si>
    <t>3EST000225-7885</t>
  </si>
  <si>
    <t>PIES</t>
  </si>
  <si>
    <t>FRS_PIS</t>
  </si>
  <si>
    <t>EC01P009000B</t>
  </si>
  <si>
    <t>3EST000225-7890</t>
  </si>
  <si>
    <t>EC010008563</t>
  </si>
  <si>
    <t>3ECP413719-1100</t>
  </si>
  <si>
    <t>EC010008581</t>
  </si>
  <si>
    <t>3ECP413922-1100</t>
  </si>
  <si>
    <t>FA020025354</t>
  </si>
  <si>
    <t>PIS 2.0</t>
  </si>
  <si>
    <t>FRS_PIS 2.0</t>
  </si>
  <si>
    <t>FA020047983</t>
  </si>
  <si>
    <t>CCTV</t>
  </si>
  <si>
    <t>FRS_CCTV</t>
  </si>
  <si>
    <t>EC01P009001B</t>
  </si>
  <si>
    <t>3EST000225-7891</t>
  </si>
  <si>
    <t>FA020025360</t>
  </si>
  <si>
    <t>FRS_Exterior Lighting</t>
  </si>
  <si>
    <t>3EST000225-7904</t>
  </si>
  <si>
    <t>3ECP413571-0206</t>
  </si>
  <si>
    <t>B.1</t>
  </si>
  <si>
    <t>FRS_Interior Lighting</t>
  </si>
  <si>
    <t>EC01P008890B</t>
  </si>
  <si>
    <t>3EST000225-7882</t>
  </si>
  <si>
    <t>FA020011254</t>
  </si>
  <si>
    <t>3ECP413922-0801</t>
  </si>
  <si>
    <t>Train Protection - ATP (France)</t>
  </si>
  <si>
    <t>FRS_Train Protection_France</t>
  </si>
  <si>
    <t>3ECP413571-0902</t>
  </si>
  <si>
    <t>FRS_EMS</t>
  </si>
  <si>
    <t>EC010029076</t>
  </si>
  <si>
    <t>EC010019484</t>
  </si>
  <si>
    <t>Functional schematics</t>
  </si>
  <si>
    <t>mancanti</t>
  </si>
  <si>
    <t>Functional schematics DM1</t>
  </si>
  <si>
    <t>3ECP502128-0001</t>
  </si>
  <si>
    <t>M</t>
  </si>
  <si>
    <t>3ECP307211-1401</t>
  </si>
  <si>
    <t>3ECP307051-0001</t>
  </si>
  <si>
    <t>3ECP307251-0001</t>
  </si>
  <si>
    <t>G</t>
  </si>
  <si>
    <t>FS020022117-001</t>
  </si>
  <si>
    <t>05.2</t>
  </si>
  <si>
    <t>FS020036994-001</t>
  </si>
  <si>
    <t>Functional schematics TT2</t>
  </si>
  <si>
    <t>3ECP502129-0001</t>
  </si>
  <si>
    <t>J</t>
  </si>
  <si>
    <t>3ECP307211-0002</t>
  </si>
  <si>
    <t>3ECP307059-0001</t>
  </si>
  <si>
    <t>3ECP307251-0002</t>
  </si>
  <si>
    <t>FS020022117-002</t>
  </si>
  <si>
    <t>FS020036994-002</t>
  </si>
  <si>
    <t>Functional schematics M3</t>
  </si>
  <si>
    <t>FS_M3</t>
  </si>
  <si>
    <t>3ECP502130-0001</t>
  </si>
  <si>
    <t>3ECP307211-0003</t>
  </si>
  <si>
    <t>3ECP307157-0001</t>
  </si>
  <si>
    <t>3ECP307251-0003</t>
  </si>
  <si>
    <t>FS020022117-003</t>
  </si>
  <si>
    <t>FS020036994-003</t>
  </si>
  <si>
    <t>Functional schematics T4</t>
  </si>
  <si>
    <t>FS_T4</t>
  </si>
  <si>
    <t>3ECP502131-0001</t>
  </si>
  <si>
    <t>3ECP307211-0004</t>
  </si>
  <si>
    <t>3ECP307158-0001</t>
  </si>
  <si>
    <t>3ECP307251-0004</t>
  </si>
  <si>
    <t>FS020022117-004</t>
  </si>
  <si>
    <t>FS020036994-004</t>
  </si>
  <si>
    <t>Functional schematics T5</t>
  </si>
  <si>
    <t>FS_T5</t>
  </si>
  <si>
    <t>3ECP502132-0001</t>
  </si>
  <si>
    <t>3ECP307211-0005</t>
  </si>
  <si>
    <t>3ECP307159-0001</t>
  </si>
  <si>
    <t>3ECP307251-0005</t>
  </si>
  <si>
    <t>FS020022117-005</t>
  </si>
  <si>
    <t>FS020036994-005</t>
  </si>
  <si>
    <t>Functional schematics M6</t>
  </si>
  <si>
    <t>FS_M6</t>
  </si>
  <si>
    <t>3ECP502133-0001</t>
  </si>
  <si>
    <t>3ECP307211-0006</t>
  </si>
  <si>
    <t>3ECP307160-0001</t>
  </si>
  <si>
    <t>3ECP307251-0006</t>
  </si>
  <si>
    <t>FS020022117-006</t>
  </si>
  <si>
    <t>FS020036994-006</t>
  </si>
  <si>
    <t>Functional schematics TT7</t>
  </si>
  <si>
    <t>FS_TT7</t>
  </si>
  <si>
    <t>3ECP502134-0001</t>
  </si>
  <si>
    <t>3ECP307211-0007</t>
  </si>
  <si>
    <t>3ECP307060-0001</t>
  </si>
  <si>
    <t>3ECP307251-0007</t>
  </si>
  <si>
    <t>FS020022117-007</t>
  </si>
  <si>
    <t>FS020036994-007</t>
  </si>
  <si>
    <t>Functional schematics DM8</t>
  </si>
  <si>
    <t>FS_DM8</t>
  </si>
  <si>
    <t>3ECP502135-0001</t>
  </si>
  <si>
    <t>N</t>
  </si>
  <si>
    <t>3ECP307211-1408</t>
  </si>
  <si>
    <t>3ECP307052-0001</t>
  </si>
  <si>
    <t>3ECP307251-0008</t>
  </si>
  <si>
    <t>FS020022117-008</t>
  </si>
  <si>
    <t>FS020036994-008</t>
  </si>
  <si>
    <t>Wiring table</t>
  </si>
  <si>
    <t>FS020022117-009</t>
  </si>
  <si>
    <t>FS020036994-009</t>
  </si>
  <si>
    <t>Wiring table DM1</t>
  </si>
  <si>
    <t>WT_DM1</t>
  </si>
  <si>
    <t>3ECP502136-0001</t>
  </si>
  <si>
    <t>3ECP307212-1401</t>
  </si>
  <si>
    <t>3ECP307053-0001</t>
  </si>
  <si>
    <t>3ECP307252-0001</t>
  </si>
  <si>
    <t>Wiring table TT2</t>
  </si>
  <si>
    <t>WT_TT2</t>
  </si>
  <si>
    <t>3ECP502137-0001</t>
  </si>
  <si>
    <t>3ECP307212-0002</t>
  </si>
  <si>
    <t>3ECP307061-0001</t>
  </si>
  <si>
    <t>3ECP307252-0002</t>
  </si>
  <si>
    <t>Wiring table M3</t>
  </si>
  <si>
    <t>WT_M3</t>
  </si>
  <si>
    <t>3ECP502138-0001</t>
  </si>
  <si>
    <t>3ECP307212-0003</t>
  </si>
  <si>
    <t>3ECP307153-0001</t>
  </si>
  <si>
    <t>3ECP307252-0003</t>
  </si>
  <si>
    <t>Wiring table T4</t>
  </si>
  <si>
    <t>WT_T4</t>
  </si>
  <si>
    <t>3ECP502139-0001</t>
  </si>
  <si>
    <t>3ECP307212-0004</t>
  </si>
  <si>
    <t>3ECP307154-0001</t>
  </si>
  <si>
    <t>3ECP307252-0004</t>
  </si>
  <si>
    <t>Wiring table T5</t>
  </si>
  <si>
    <t>WT_T5</t>
  </si>
  <si>
    <t>3ECP502140-0001</t>
  </si>
  <si>
    <t>3ECP307212-0005</t>
  </si>
  <si>
    <t>3ECP307155-0001</t>
  </si>
  <si>
    <t>3ECP307252-0005</t>
  </si>
  <si>
    <t>Wiring table M6</t>
  </si>
  <si>
    <t>WT_M6</t>
  </si>
  <si>
    <t>3ECP502141-0001</t>
  </si>
  <si>
    <t>3ECP307212-0006</t>
  </si>
  <si>
    <t>3ECP307156-0001</t>
  </si>
  <si>
    <t>3ECP307252-0006</t>
  </si>
  <si>
    <t>Wiring table TT7</t>
  </si>
  <si>
    <t>WT_TT7</t>
  </si>
  <si>
    <t>3ECP502142-0001</t>
  </si>
  <si>
    <t>3ECP307212-0007</t>
  </si>
  <si>
    <t>3ECP307062-0001</t>
  </si>
  <si>
    <t>3ECP307252-0007</t>
  </si>
  <si>
    <t>Wiring table DM8</t>
  </si>
  <si>
    <t>WT_DM8</t>
  </si>
  <si>
    <t>3ECP502143-0001</t>
  </si>
  <si>
    <t>3ECP307212-1408</t>
  </si>
  <si>
    <t>3ECP307054-0001</t>
  </si>
  <si>
    <t>3ECP307252-0008</t>
  </si>
  <si>
    <t>Electric Part lists</t>
  </si>
  <si>
    <t>Electric Part List DM1</t>
  </si>
  <si>
    <t>EPL_DM1</t>
  </si>
  <si>
    <t>3ECP502144-0001</t>
  </si>
  <si>
    <t>3ECP307213-1401</t>
  </si>
  <si>
    <t>3ECP307055-0001</t>
  </si>
  <si>
    <t>3ECP307253-0001</t>
  </si>
  <si>
    <t>Electric Part List TT2</t>
  </si>
  <si>
    <t>EPL_TT2</t>
  </si>
  <si>
    <t>3ECP502145-0001</t>
  </si>
  <si>
    <t>3ECP307213-0002</t>
  </si>
  <si>
    <t>3ECP307063-0001</t>
  </si>
  <si>
    <t>3ECP307253-0002</t>
  </si>
  <si>
    <t>Electric Part List M3</t>
  </si>
  <si>
    <t>EPL_M3</t>
  </si>
  <si>
    <t>3ECP502146-0001</t>
  </si>
  <si>
    <t>3ECP307213-0003</t>
  </si>
  <si>
    <t>3ECP307161-0001</t>
  </si>
  <si>
    <t>3ECP307253-0003</t>
  </si>
  <si>
    <t>Electric Part List T4</t>
  </si>
  <si>
    <t>EPL_T4</t>
  </si>
  <si>
    <t>3ECP502147-0001</t>
  </si>
  <si>
    <t>3ECP307213-0004</t>
  </si>
  <si>
    <t>3ECP307162-0001</t>
  </si>
  <si>
    <t>3ECP307253-0004</t>
  </si>
  <si>
    <t>Electric Part List T5</t>
  </si>
  <si>
    <t>EPL_T5</t>
  </si>
  <si>
    <t>3ECP502148-0001</t>
  </si>
  <si>
    <t>3ECP307213-0005</t>
  </si>
  <si>
    <t>3ECP307163-0001</t>
  </si>
  <si>
    <t>3ECP307253-0005</t>
  </si>
  <si>
    <t>Electric Part List M6</t>
  </si>
  <si>
    <t>EPL_M6</t>
  </si>
  <si>
    <t>3ECP502149-0001</t>
  </si>
  <si>
    <t>3ECP307213-0006</t>
  </si>
  <si>
    <t>3ECP307164-0001</t>
  </si>
  <si>
    <t>3ECP307253-0006</t>
  </si>
  <si>
    <t>Electric Part List TT7</t>
  </si>
  <si>
    <t>EPL_TT7</t>
  </si>
  <si>
    <t>3ECP502150-0001</t>
  </si>
  <si>
    <t>3ECP307213-0007</t>
  </si>
  <si>
    <t>3ECP307253-0007</t>
  </si>
  <si>
    <t>Electric Part List DM8</t>
  </si>
  <si>
    <t>EPL_DM8</t>
  </si>
  <si>
    <t>3ECP502151-0001</t>
  </si>
  <si>
    <t>3ECP307213-1408</t>
  </si>
  <si>
    <t>3ECP307056-0001</t>
  </si>
  <si>
    <t>3ECP307253-0008</t>
  </si>
  <si>
    <t>Interface Control Document</t>
  </si>
  <si>
    <t>NOTA</t>
  </si>
  <si>
    <t>ICD Sistema TCMS</t>
  </si>
  <si>
    <t>ICD_TCMS</t>
  </si>
  <si>
    <t>3EST000225-0120</t>
  </si>
  <si>
    <t>EC130021271</t>
  </si>
  <si>
    <t>ICD Sistema TCMS - Annex</t>
  </si>
  <si>
    <t>xslx</t>
  </si>
  <si>
    <t>EC130021272</t>
  </si>
  <si>
    <t>ICD GTW IPTCOM-TRDP</t>
  </si>
  <si>
    <t>ICD_GTW</t>
  </si>
  <si>
    <t>EC130019965</t>
  </si>
  <si>
    <t>ICD GTW IPTCOM-TRDP - Annex</t>
  </si>
  <si>
    <t>EC130019966</t>
  </si>
  <si>
    <t>ICD Sistema Propulsion TCU</t>
  </si>
  <si>
    <t>ICD_Propulsion</t>
  </si>
  <si>
    <t>3EST000225-5108</t>
  </si>
  <si>
    <t>EC130019102</t>
  </si>
  <si>
    <t>ICD Sistema Propulsion TCU - Annex</t>
  </si>
  <si>
    <t>EC130019104</t>
  </si>
  <si>
    <t>ICD Pantografo</t>
  </si>
  <si>
    <t>ICD_Panto</t>
  </si>
  <si>
    <t>3EST000225-7432</t>
  </si>
  <si>
    <t>EC130021259</t>
  </si>
  <si>
    <t>ICD Pantografo - Annex</t>
  </si>
  <si>
    <t>EC130021260</t>
  </si>
  <si>
    <t>ICD Sistema BCU</t>
  </si>
  <si>
    <t>ICD_Brake</t>
  </si>
  <si>
    <t>3EST000225-7431</t>
  </si>
  <si>
    <t>EC130019100</t>
  </si>
  <si>
    <t>ICD Sistema BCU - Annex</t>
  </si>
  <si>
    <t>ICD_Brake_Annex</t>
  </si>
  <si>
    <t>3EST000225-7431_Annex</t>
  </si>
  <si>
    <t>EC130019101</t>
  </si>
  <si>
    <t>03.3</t>
  </si>
  <si>
    <t>ICD Sistema Segnalamento</t>
  </si>
  <si>
    <t>ICD_ATP</t>
  </si>
  <si>
    <t>EC130020522</t>
  </si>
  <si>
    <t>ICD Sistema Segnalamento - Annex</t>
  </si>
  <si>
    <t>EC130020523</t>
  </si>
  <si>
    <t>ICD Sistema PIS</t>
  </si>
  <si>
    <t>ICD_PIS</t>
  </si>
  <si>
    <t>3EST000225-7439</t>
  </si>
  <si>
    <t>EC130021261</t>
  </si>
  <si>
    <t>ICD Sistema PIS - Annex</t>
  </si>
  <si>
    <t>EC130021262</t>
  </si>
  <si>
    <t>ICD Sistema Toilette</t>
  </si>
  <si>
    <t>ICD_Toilet</t>
  </si>
  <si>
    <t>3EST000225-7438</t>
  </si>
  <si>
    <t>EC130021264</t>
  </si>
  <si>
    <t>ICD Sistema Toilette - Annex</t>
  </si>
  <si>
    <t>EC130021265</t>
  </si>
  <si>
    <t>ICD Sistema Anticendio</t>
  </si>
  <si>
    <t>ICD_FPS</t>
  </si>
  <si>
    <t>3EST000225-7440</t>
  </si>
  <si>
    <t>EC130021300</t>
  </si>
  <si>
    <t>00.5</t>
  </si>
  <si>
    <t>ICD Sistema Anticendio - Annex</t>
  </si>
  <si>
    <t>EC130021301</t>
  </si>
  <si>
    <t>ICD Sistema Porte</t>
  </si>
  <si>
    <t>ICD_Doors</t>
  </si>
  <si>
    <t>3EST000225-7437</t>
  </si>
  <si>
    <t>EC130021266</t>
  </si>
  <si>
    <t>ICD Sistema Porte - Annex</t>
  </si>
  <si>
    <t>EC130021268</t>
  </si>
  <si>
    <t>ICD Sistema HVSP</t>
  </si>
  <si>
    <t>ICD_HVSP</t>
  </si>
  <si>
    <t>EC130023723</t>
  </si>
  <si>
    <t>ICD Sistema HVSP  - Annex</t>
  </si>
  <si>
    <t>EC130023724</t>
  </si>
  <si>
    <t>ICD Sistema Carica Batterie</t>
  </si>
  <si>
    <t>ICD_Battery charger</t>
  </si>
  <si>
    <t>3EST000225-7435</t>
  </si>
  <si>
    <t>EC130021254</t>
  </si>
  <si>
    <t>ICD Sistema Carica Batterie - Annex</t>
  </si>
  <si>
    <t>EC130021255</t>
  </si>
  <si>
    <t>ICD HVAC</t>
  </si>
  <si>
    <t>ICD_HVAC</t>
  </si>
  <si>
    <t>3EST000225-7436</t>
  </si>
  <si>
    <t>EC130021304</t>
  </si>
  <si>
    <t>ICD HVAC - Annex</t>
  </si>
  <si>
    <t>EC130021305</t>
  </si>
  <si>
    <t>ICD Energy Measurement System</t>
  </si>
  <si>
    <t>ICD_EMS</t>
  </si>
  <si>
    <t>EC130023132</t>
  </si>
  <si>
    <t>ICD Energy Measurement System - Annex</t>
  </si>
  <si>
    <t>EC130023133</t>
  </si>
  <si>
    <t>General Vehicle Document</t>
  </si>
  <si>
    <t>Train Performances</t>
  </si>
  <si>
    <t>ED040019912</t>
  </si>
  <si>
    <t>Train System Architecture</t>
  </si>
  <si>
    <t>FF010020369</t>
  </si>
  <si>
    <t>Train Running Simulations</t>
  </si>
  <si>
    <t>ED180020963</t>
  </si>
  <si>
    <t>SyFD Propulsion System</t>
  </si>
  <si>
    <t>FE010020176</t>
  </si>
  <si>
    <t>SyFD Train Control and Management System</t>
  </si>
  <si>
    <t>FT170023207</t>
  </si>
  <si>
    <t>00.6</t>
  </si>
  <si>
    <t>SyFD Ethernet Train Communication Network</t>
  </si>
  <si>
    <t>FE020026857</t>
  </si>
  <si>
    <t>Functional Doc &amp; Specification</t>
  </si>
  <si>
    <t>Architettura di Controllo Treno ed Interfacce di Comando</t>
  </si>
  <si>
    <t>3ECP410429-0001</t>
  </si>
  <si>
    <t>3ECP413973-0001</t>
  </si>
  <si>
    <t>FE010019098</t>
  </si>
  <si>
    <t>1.02</t>
  </si>
  <si>
    <t>Brake System</t>
  </si>
  <si>
    <t>FD_Brake</t>
  </si>
  <si>
    <t>3EGH489013-3044</t>
  </si>
  <si>
    <t>F</t>
  </si>
  <si>
    <t>FD_Air Supply</t>
  </si>
  <si>
    <t>3EGH489013-4928</t>
  </si>
  <si>
    <t>Descrizione SW PCU</t>
  </si>
  <si>
    <t>FD_PCU</t>
  </si>
  <si>
    <t>3EST000225-5111</t>
  </si>
  <si>
    <t>Descrizione SW Alta Tensione</t>
  </si>
  <si>
    <t>FD_High Voltage</t>
  </si>
  <si>
    <t>3EST000225-5113</t>
  </si>
  <si>
    <t>Descrizione SW Propulsione</t>
  </si>
  <si>
    <t>FD_Propulsion</t>
  </si>
  <si>
    <t>3EST000225-5115</t>
  </si>
  <si>
    <t>Descrizione SW DCU/L</t>
  </si>
  <si>
    <t>FD_DCU/L</t>
  </si>
  <si>
    <t>3EST000225-5117</t>
  </si>
  <si>
    <t>Descrizione SW DCU/M</t>
  </si>
  <si>
    <t>FD_DCU/M</t>
  </si>
  <si>
    <t>3EST000225-5118</t>
  </si>
  <si>
    <t>Descrizione SW ACM</t>
  </si>
  <si>
    <t>FD_ACM</t>
  </si>
  <si>
    <t>3EST000225-5119</t>
  </si>
  <si>
    <t>Descrizione SW DCU/C</t>
  </si>
  <si>
    <t>FD_DCU/C</t>
  </si>
  <si>
    <t>3EST000225-5120</t>
  </si>
  <si>
    <t>Descrizione SW LIM</t>
  </si>
  <si>
    <t>FD_LIM</t>
  </si>
  <si>
    <t>3EST000225-5132</t>
  </si>
  <si>
    <t>Product Description</t>
  </si>
  <si>
    <t>Converter unit TC1120</t>
  </si>
  <si>
    <t>PDES_Converter</t>
  </si>
  <si>
    <t>3EST000228-5653</t>
  </si>
  <si>
    <t>Auxiliary converter module, CM-C S 15/10 WA V02</t>
  </si>
  <si>
    <t>PDES_Auxiliary module</t>
  </si>
  <si>
    <t>3EST000226-1993</t>
  </si>
  <si>
    <t>Chopper converter module, CM-C L 30/07 WC V01</t>
  </si>
  <si>
    <t>PDES_Chopper module</t>
  </si>
  <si>
    <t>3EST000226-1995</t>
  </si>
  <si>
    <t>Line converter module, CM-C M 15/15 WL V06</t>
  </si>
  <si>
    <t>PDES_Line Module</t>
  </si>
  <si>
    <t>3EST000226-1994</t>
  </si>
  <si>
    <t>Motor converter module, CM-C S 15/10 WM V02</t>
  </si>
  <si>
    <t>PDES_Motor Module</t>
  </si>
  <si>
    <t>3EST000226-1992</t>
  </si>
  <si>
    <t>TCMS Tech Description</t>
  </si>
  <si>
    <t>PDES_TCMS</t>
  </si>
  <si>
    <t>3EST000225-4855</t>
  </si>
  <si>
    <t>Brake Tech Description</t>
  </si>
  <si>
    <t>PDES_Brake</t>
  </si>
  <si>
    <t>FTIT10002-I01TDE</t>
  </si>
  <si>
    <t>F00</t>
  </si>
  <si>
    <t>Test Specification &amp; Report</t>
  </si>
  <si>
    <t>System Test Specification</t>
  </si>
  <si>
    <t>TS_VZI_Base</t>
  </si>
  <si>
    <t>3EST000225-6042</t>
  </si>
  <si>
    <t>EPVE63 Test Intervento protezioni azionamento</t>
  </si>
  <si>
    <t xml:space="preserve">TS_Test Protezioni azionamento EPVE63 </t>
  </si>
  <si>
    <t>DC08060VE63</t>
  </si>
  <si>
    <t>EPVE63 Report Intervento protezioni
azionamento</t>
  </si>
  <si>
    <t>TS_Report Protezioni azionamento EPVE63</t>
  </si>
  <si>
    <t>DD04060VE63</t>
  </si>
  <si>
    <t>Test Report HVSP</t>
  </si>
  <si>
    <t>TS_Report HVSP</t>
  </si>
  <si>
    <t>DD040031058</t>
  </si>
  <si>
    <t>Test High Voltage</t>
  </si>
  <si>
    <t>TS_Test High Voltage</t>
  </si>
  <si>
    <t>EC070028470</t>
  </si>
  <si>
    <t>Test Driver Control</t>
  </si>
  <si>
    <t>TS_Test Driver Control</t>
  </si>
  <si>
    <t>EC070028753</t>
  </si>
  <si>
    <t>Test Intervento protezioni azionamento</t>
  </si>
  <si>
    <t>TS_Test Protezioni azionamento</t>
  </si>
  <si>
    <t>EC070045631</t>
  </si>
  <si>
    <t>Combined test specification</t>
  </si>
  <si>
    <t>TS_Test Combined</t>
  </si>
  <si>
    <t>EC070027996</t>
  </si>
  <si>
    <t>Prove HVSP in combined test</t>
  </si>
  <si>
    <t>TS_Test HVSP Combined</t>
  </si>
  <si>
    <t>EC070030298</t>
  </si>
  <si>
    <t>Manuals (other)</t>
  </si>
  <si>
    <t>Manuale uso e depannage - Apparecchiature Segnalamento Francia</t>
  </si>
  <si>
    <t>MAN_GDA-VZI_Base</t>
  </si>
  <si>
    <t>ETR1000V300_FR-DC100002740</t>
  </si>
  <si>
    <t>TIPO</t>
  </si>
  <si>
    <t>VOLUME
SUBVOLUME
_TOMO</t>
  </si>
  <si>
    <t>VZ-ES</t>
  </si>
  <si>
    <t>NOME FILE</t>
  </si>
  <si>
    <t>CODICE</t>
  </si>
  <si>
    <t>REV</t>
  </si>
  <si>
    <t>DATA</t>
  </si>
  <si>
    <t>Descrizione generale e funzionamento</t>
  </si>
  <si>
    <t>PBC</t>
  </si>
  <si>
    <t>01A</t>
  </si>
  <si>
    <t>06</t>
  </si>
  <si>
    <t>Norme d’Uso ed Interventi di Emergenza</t>
  </si>
  <si>
    <t>01B</t>
  </si>
  <si>
    <t>Manuale per il Personale di Bordo addetto alla Scorta</t>
  </si>
  <si>
    <t>PBS</t>
  </si>
  <si>
    <t>Cassa</t>
  </si>
  <si>
    <t>MR1</t>
  </si>
  <si>
    <t>08</t>
  </si>
  <si>
    <t>05</t>
  </si>
  <si>
    <t>gen-2026</t>
  </si>
  <si>
    <t>Carrello</t>
  </si>
  <si>
    <t>02A</t>
  </si>
  <si>
    <t>Impianto pneumatico e freno</t>
  </si>
  <si>
    <t>03A</t>
  </si>
  <si>
    <t>Equipaggiamento elettrico ed elettropneumatico</t>
  </si>
  <si>
    <t>04A</t>
  </si>
  <si>
    <t>Logica di comando</t>
  </si>
  <si>
    <t>05A</t>
  </si>
  <si>
    <t>Logica di comando - Nodo TCN</t>
  </si>
  <si>
    <t>05B</t>
  </si>
  <si>
    <t>giu-17</t>
  </si>
  <si>
    <t>Azionamento di trazione</t>
  </si>
  <si>
    <t>06A</t>
  </si>
  <si>
    <t>Motore di trazione</t>
  </si>
  <si>
    <t>07A</t>
  </si>
  <si>
    <t>07</t>
  </si>
  <si>
    <t>Passaggi esterni</t>
  </si>
  <si>
    <t>08A</t>
  </si>
  <si>
    <t>Sottosistema di climatizzazione</t>
  </si>
  <si>
    <t>09A</t>
  </si>
  <si>
    <t>Sottosistema di comunicazione</t>
  </si>
  <si>
    <t>10A</t>
  </si>
  <si>
    <t>Convertitore servizi ausiliari e caricabatterie</t>
  </si>
  <si>
    <t>11A</t>
  </si>
  <si>
    <t>Sottosistema diagnostica di bordo</t>
  </si>
  <si>
    <t>13A</t>
  </si>
  <si>
    <t>Allestimenti interni</t>
  </si>
  <si>
    <t>14A</t>
  </si>
  <si>
    <t>Allestimenti interni - Arredi comparto e cabina di guida</t>
  </si>
  <si>
    <t>14B</t>
  </si>
  <si>
    <t>Servizi Generali di Bordo - Toilette</t>
  </si>
  <si>
    <t>15A</t>
  </si>
  <si>
    <t>Servizi Generali di Bordo - Bar Bistrot</t>
  </si>
  <si>
    <t>15B</t>
  </si>
  <si>
    <t>Emergenza e recupero</t>
  </si>
  <si>
    <t>16A</t>
  </si>
  <si>
    <t>Telecomunicazioni TT</t>
  </si>
  <si>
    <t>18A</t>
  </si>
  <si>
    <t>Sottosistema di bordo generale</t>
  </si>
  <si>
    <t>20A</t>
  </si>
  <si>
    <t>giu-20</t>
  </si>
  <si>
    <t>Sottosistema di bordo ETCS specifico del treno</t>
  </si>
  <si>
    <t>20B</t>
  </si>
  <si>
    <t>lug-17</t>
  </si>
  <si>
    <t>Sottosistema di bordo generale - Linea francese</t>
  </si>
  <si>
    <t>20C</t>
  </si>
  <si>
    <t>Sottosistema di bordo specifico - Linea francese</t>
  </si>
  <si>
    <t>20D</t>
  </si>
  <si>
    <t>SSB ERTMS/SCMT (ALA) - MANUALE GENERICO USO E
MANUTENZIONE (B60A.000012.640.06I)</t>
  </si>
  <si>
    <t>20A_ALA</t>
  </si>
  <si>
    <t>SSB ERTMS/SCMT (ELO) - MANUALE GENERICO USO E
MANUTENZIONE (B60X.0100506.G00.00IT rev.02.00)</t>
  </si>
  <si>
    <t>20A_ELO</t>
  </si>
  <si>
    <t>Sotto Sistema di Bordo ERTMS BL3 CON SCMT INTEGRATO (B60A.0100914.G00.00IT)</t>
  </si>
  <si>
    <t>20B_ELO</t>
  </si>
  <si>
    <t>PGDJ DIS-JRU FTP - PRODOTTO GENERICO DIS-JRU (FT11P035105GE03B)</t>
  </si>
  <si>
    <t>31A_JRU</t>
  </si>
  <si>
    <t>Sistema informativo di condotta Generale (DIS)</t>
  </si>
  <si>
    <t>31A</t>
  </si>
  <si>
    <t>gen-18</t>
  </si>
  <si>
    <t>MR2</t>
  </si>
  <si>
    <t>Documentazione circuiti elettronici</t>
  </si>
  <si>
    <t>17A</t>
  </si>
  <si>
    <t>Messa in servizio (tomo 1 di 5)</t>
  </si>
  <si>
    <t>30A</t>
  </si>
  <si>
    <t>mag-16</t>
  </si>
  <si>
    <t>Cassa veicoli di estremità</t>
  </si>
  <si>
    <t>CPR</t>
  </si>
  <si>
    <t>2.05.993</t>
  </si>
  <si>
    <t>mag-22</t>
  </si>
  <si>
    <t>2.05.1232</t>
  </si>
  <si>
    <t>2.05.1397</t>
  </si>
  <si>
    <t>Cassa veicoli intermedi</t>
  </si>
  <si>
    <t>2.05.994</t>
  </si>
  <si>
    <t>2.05.1233</t>
  </si>
  <si>
    <t>2.05.1398</t>
  </si>
  <si>
    <t>Accoppiatore automatico-asta semipermanente</t>
  </si>
  <si>
    <t>01C</t>
  </si>
  <si>
    <t>2.05.995</t>
  </si>
  <si>
    <t>Musetto mobile</t>
  </si>
  <si>
    <t>01D</t>
  </si>
  <si>
    <t>2.05.996</t>
  </si>
  <si>
    <t>2.05.1234</t>
  </si>
  <si>
    <t>2.05.1400</t>
  </si>
  <si>
    <t>2.05.997</t>
  </si>
  <si>
    <t>mar-21</t>
  </si>
  <si>
    <t>2.05.1235</t>
  </si>
  <si>
    <t>2.05.1401</t>
  </si>
  <si>
    <t>Impianto pneumatico e freno - sistemazioni</t>
  </si>
  <si>
    <t>2.05.998</t>
  </si>
  <si>
    <t>2.05.1236</t>
  </si>
  <si>
    <t>2.05.1402</t>
  </si>
  <si>
    <t>Impianto pneumatico e freno - componenti</t>
  </si>
  <si>
    <t>03B</t>
  </si>
  <si>
    <t>2.05.999</t>
  </si>
  <si>
    <t>2.05.1237</t>
  </si>
  <si>
    <t>2.05.1403</t>
  </si>
  <si>
    <t>Equipaggiamento elettrico ed elettropneumatico - sistemazioni</t>
  </si>
  <si>
    <t>2.05.1000</t>
  </si>
  <si>
    <t>2.05.1238</t>
  </si>
  <si>
    <t>2.05.1404</t>
  </si>
  <si>
    <t>Equipaggiamento elettrico ed elettropneumatico - componenti</t>
  </si>
  <si>
    <t>04B</t>
  </si>
  <si>
    <t>2.05.1001</t>
  </si>
  <si>
    <t>2.05.1239</t>
  </si>
  <si>
    <t>2.05.1405</t>
  </si>
  <si>
    <t>Pantografi</t>
  </si>
  <si>
    <t>04C</t>
  </si>
  <si>
    <t>2.05.1002</t>
  </si>
  <si>
    <t>2.05.1240</t>
  </si>
  <si>
    <t>2.05.1406</t>
  </si>
  <si>
    <t>Quadri elettrici</t>
  </si>
  <si>
    <t>04D</t>
  </si>
  <si>
    <t>2.05.1003</t>
  </si>
  <si>
    <t>2.05.1241</t>
  </si>
  <si>
    <t>2.05.1004</t>
  </si>
  <si>
    <t>2.05.1408</t>
  </si>
  <si>
    <t>2.05.1005</t>
  </si>
  <si>
    <t>2.05.1409</t>
  </si>
  <si>
    <t>2.05.1006</t>
  </si>
  <si>
    <t>mag-17</t>
  </si>
  <si>
    <t>2.05.1410</t>
  </si>
  <si>
    <t>Porte di salita passeggeri</t>
  </si>
  <si>
    <t>2.05.1007</t>
  </si>
  <si>
    <t>2.05.1411</t>
  </si>
  <si>
    <t>Porte interne e intercomunicanti</t>
  </si>
  <si>
    <t>08B</t>
  </si>
  <si>
    <t>2.05.1008</t>
  </si>
  <si>
    <t>lug-15</t>
  </si>
  <si>
    <t>2.05.1412</t>
  </si>
  <si>
    <t>Sollevatore hk</t>
  </si>
  <si>
    <t>08C</t>
  </si>
  <si>
    <t>2.05.1009</t>
  </si>
  <si>
    <t>dic-15</t>
  </si>
  <si>
    <t>2.05.1413</t>
  </si>
  <si>
    <t>2.05.1010</t>
  </si>
  <si>
    <t>feb-21</t>
  </si>
  <si>
    <t>2.05.1011</t>
  </si>
  <si>
    <t>2.05.1415</t>
  </si>
  <si>
    <t>2.05.1012</t>
  </si>
  <si>
    <t>2.05.1416</t>
  </si>
  <si>
    <t>Allestimenti interni - dotazioni di bordo</t>
  </si>
  <si>
    <t>2.05.1013</t>
  </si>
  <si>
    <t>Sedili passeggeri e cabina guida</t>
  </si>
  <si>
    <t>2.05.1014</t>
  </si>
  <si>
    <t>Arredamento comparto</t>
  </si>
  <si>
    <t>14C</t>
  </si>
  <si>
    <t>2.05.1015</t>
  </si>
  <si>
    <t>Arredamento vestiboli</t>
  </si>
  <si>
    <t>14D</t>
  </si>
  <si>
    <t>2.05.1016</t>
  </si>
  <si>
    <t>2.05.1420</t>
  </si>
  <si>
    <t>Servizi Generali di Bordo - Toilet</t>
  </si>
  <si>
    <t>2.05.1017</t>
  </si>
  <si>
    <t>Servizi Generali di Bordo - Bar Bistrò</t>
  </si>
  <si>
    <t>2.05.1018</t>
  </si>
  <si>
    <t>Sistemi tecnologici di bordo</t>
  </si>
  <si>
    <t>2.05.1019</t>
  </si>
  <si>
    <t>2.05.1423</t>
  </si>
  <si>
    <t>SOTTOSISTEMA DI BORDO ERTMS/BL3 PIATTAFORMA ELO</t>
  </si>
  <si>
    <t>B60A.0100914.G00.01IT</t>
  </si>
  <si>
    <t>Telediagnostica</t>
  </si>
  <si>
    <t>Sviluppo regole (Algoritmi Diagnostici)</t>
  </si>
  <si>
    <t>xlsm</t>
  </si>
  <si>
    <t>Sviluppo_Regole_TI_rev1.1</t>
  </si>
  <si>
    <t>SVILUPPO REGOLE_ 14_FR_SP_Rev_0.1</t>
  </si>
  <si>
    <t>Event Report/List</t>
  </si>
  <si>
    <t>DIA_Event</t>
  </si>
  <si>
    <t>xlsx</t>
  </si>
  <si>
    <t>EventReport_VZI_3.9.0.3</t>
  </si>
  <si>
    <t>EventReport_VZI14_BL3_5.1.0.3 2</t>
  </si>
  <si>
    <t>EventReport VZIF 11.4.0</t>
  </si>
  <si>
    <t>EventReport_VZS 21.2.0.3</t>
  </si>
  <si>
    <t>FP010036055</t>
  </si>
  <si>
    <t>3.44</t>
  </si>
  <si>
    <t>Teledia Signal List</t>
  </si>
  <si>
    <t>DIA_Signal</t>
  </si>
  <si>
    <t>FP020046917</t>
  </si>
  <si>
    <t>PropulsionDiagnosticDataset</t>
  </si>
  <si>
    <t>DIA_Dataset_Propulsion</t>
  </si>
  <si>
    <t>00.12</t>
  </si>
  <si>
    <t>EMS ICD diagnostic event</t>
  </si>
  <si>
    <t>DIA_Event EMS</t>
  </si>
  <si>
    <t>EC130034365</t>
  </si>
  <si>
    <t>REQUISITO</t>
  </si>
  <si>
    <t>CONFIGURAZIONE APPARTENENZA</t>
  </si>
  <si>
    <t>2F_04.01.Zefiro-Europe.TRS.772</t>
  </si>
  <si>
    <t>VZI-6_R1, VZI_Base, VZ_ES, VZ_FR</t>
  </si>
  <si>
    <t>2F_04.01.Zefiro-Europe.CONCEPT.775</t>
  </si>
  <si>
    <t>2F_04.01.Zefiro-Europe.CONCEPT.965</t>
  </si>
  <si>
    <t>2F_04.01.Zefiro-Europe.CONCEPT.1013</t>
  </si>
  <si>
    <t>2F_04.01.Zefiro-Europe.CONCEPT.HR01</t>
  </si>
  <si>
    <t>2F_04.01.Zefiro-Europe.CONCEPT.HR310</t>
  </si>
  <si>
    <t>2F_04.01.Zefiro-Europe.CONCEPT.797</t>
  </si>
  <si>
    <t>2F_04.01.Zefiro-Europe.CONCEPT.HR02</t>
  </si>
  <si>
    <t>2F_04.01.Zefiro-Europe.CONCEPT.HR03</t>
  </si>
  <si>
    <t>2F_04.01.Zefiro-Europe.TRS.619</t>
  </si>
  <si>
    <r>
      <rPr>
        <sz val="11"/>
        <color rgb="FFBF8F00"/>
        <rFont val="Calibri"/>
      </rPr>
      <t>VZI-6_R1</t>
    </r>
    <r>
      <rPr>
        <sz val="11"/>
        <color rgb="FF000000"/>
        <rFont val="Calibri"/>
      </rPr>
      <t xml:space="preserve">, </t>
    </r>
    <r>
      <rPr>
        <sz val="11"/>
        <color rgb="FF1F4E79"/>
        <rFont val="Calibri"/>
      </rPr>
      <t>VZI_Base</t>
    </r>
    <r>
      <rPr>
        <sz val="11"/>
        <color rgb="FF000000"/>
        <rFont val="Calibri"/>
      </rPr>
      <t xml:space="preserve">, </t>
    </r>
    <r>
      <rPr>
        <sz val="11"/>
        <color rgb="FF7030A0"/>
        <rFont val="Calibri"/>
      </rPr>
      <t>VZ_ES</t>
    </r>
    <r>
      <rPr>
        <sz val="11"/>
        <color rgb="FF000000"/>
        <rFont val="Calibri"/>
      </rPr>
      <t xml:space="preserve">, </t>
    </r>
    <r>
      <rPr>
        <sz val="11"/>
        <color rgb="FF00703C"/>
        <rFont val="Calibri"/>
      </rPr>
      <t>VZ_FR</t>
    </r>
  </si>
  <si>
    <t>2F_04.01.Zefiro-Europe.CONCEPT.735</t>
  </si>
  <si>
    <r>
      <rPr>
        <sz val="11"/>
        <color rgb="FFBF8F00"/>
        <rFont val="Calibri"/>
      </rPr>
      <t>VZI-6_R1</t>
    </r>
    <r>
      <rPr>
        <sz val="11"/>
        <color rgb="FF000000"/>
        <rFont val="Calibri"/>
      </rPr>
      <t xml:space="preserve">, </t>
    </r>
    <r>
      <rPr>
        <sz val="11"/>
        <color rgb="FF1F4E79"/>
        <rFont val="Calibri"/>
      </rPr>
      <t>VZI_Base</t>
    </r>
  </si>
  <si>
    <t>2F_04.01.Zefiro-Europe.CONCEPT.1099</t>
  </si>
  <si>
    <t>2F_04.01.Zefiro-Europe.CONCEPT.1096</t>
  </si>
  <si>
    <t>2F_04.01.Zefiro-Europe.CONCEPT.1113</t>
  </si>
  <si>
    <t>2F_04.01.Zefiro-Europe.CONCEPT.1114</t>
  </si>
  <si>
    <t>2F_04.01.Zefiro-Europe.CONCEPT.1168</t>
  </si>
  <si>
    <t>2F_04.01.Zefiro-Europe.CONCEPT.1174</t>
  </si>
  <si>
    <t>2F_04.01.Zefiro-Europe.TRS.266</t>
  </si>
  <si>
    <t>2F_04.01.Zefiro-Europe.TRS.769</t>
  </si>
  <si>
    <t>2F_04.01.Zefiro-Europe.TRS.770</t>
  </si>
  <si>
    <t>2F_04.01.Zefiro-Europe.CONCEPT.984</t>
  </si>
  <si>
    <r>
      <rPr>
        <sz val="11"/>
        <color rgb="FFBF8F00"/>
        <rFont val="Calibri"/>
      </rPr>
      <t>VZI-6_R1</t>
    </r>
    <r>
      <rPr>
        <sz val="11"/>
        <color rgb="FF000000"/>
        <rFont val="Calibri"/>
      </rPr>
      <t xml:space="preserve">, </t>
    </r>
    <r>
      <rPr>
        <sz val="11"/>
        <color rgb="FF1F4E79"/>
        <rFont val="Calibri"/>
      </rPr>
      <t>VZI_Base</t>
    </r>
    <r>
      <rPr>
        <sz val="11"/>
        <color rgb="FF000000"/>
        <rFont val="Calibri"/>
      </rPr>
      <t xml:space="preserve">, </t>
    </r>
    <r>
      <rPr>
        <sz val="11"/>
        <color rgb="FF00703C"/>
        <rFont val="Calibri"/>
      </rPr>
      <t>VZ_FR</t>
    </r>
  </si>
  <si>
    <t>2F_04.01.Zefiro-Europe.CONCEPT.983</t>
  </si>
  <si>
    <r>
      <rPr>
        <sz val="11"/>
        <color rgb="FFBF8F00"/>
        <rFont val="Calibri"/>
      </rPr>
      <t>VZI-6_R1</t>
    </r>
    <r>
      <rPr>
        <sz val="11"/>
        <color rgb="FF000000"/>
        <rFont val="Calibri"/>
      </rPr>
      <t xml:space="preserve">, </t>
    </r>
    <r>
      <rPr>
        <sz val="11"/>
        <color rgb="FF00703C"/>
        <rFont val="Calibri"/>
      </rPr>
      <t>VZ_FR</t>
    </r>
  </si>
  <si>
    <t>2F_04.01.Zefiro-Europe.CONCEPT.968</t>
  </si>
  <si>
    <t>2F_04.01.Zefiro-Europe.CONCEPT.969</t>
  </si>
  <si>
    <t>2F_04.01.Zefiro-Europe.CONCEPT.561</t>
  </si>
  <si>
    <t>2F_04.01.Zefiro-Europe.CONCEPT.1219</t>
  </si>
  <si>
    <t>2F_04.01.Zefiro-Europe.CONCEPT.1220</t>
  </si>
  <si>
    <t>2F_04.01.Zefiro-Europe.CONCEPT.1225</t>
  </si>
  <si>
    <t>2F_04.01.Zefiro-Europe.CONCEPT.370</t>
  </si>
  <si>
    <t>2F_04.01.Zefiro-Europe.CONCEPT.565</t>
  </si>
  <si>
    <t>2F_04.01.Zefiro-Europe.CONCEPT.1073</t>
  </si>
  <si>
    <t>2F_04.01.Zefiro-Europe.CONCEPT.77</t>
  </si>
  <si>
    <t>2F_04.01.Zefiro-Europe.CONCEPT.289</t>
  </si>
  <si>
    <t>2F_04.01.Zefiro-Europe.CONCEPT.562</t>
  </si>
  <si>
    <t>2F_04.01.Zefiro-Europe.CONCEPT.1098</t>
  </si>
  <si>
    <t>2F_04.01.Zefiro-Europe.CONCEPT.994</t>
  </si>
  <si>
    <t>2F_04.01.Zefiro-Europe.CONCEPT.1008</t>
  </si>
  <si>
    <t>2F_04.01.Zefiro-Europe.CONCEPT.1153</t>
  </si>
  <si>
    <t>2F_04.01.Zefiro-Europe.CONCEPT.1165</t>
  </si>
  <si>
    <t>2F_04.01.Zefiro-Europe.CONCEPT.1172</t>
  </si>
  <si>
    <t>Impianto</t>
  </si>
  <si>
    <t>Gruppo/Componente</t>
  </si>
  <si>
    <t>P/N</t>
  </si>
  <si>
    <t>Applicabilità flotte</t>
  </si>
  <si>
    <t>PANTOGRAFO</t>
  </si>
  <si>
    <t>.</t>
  </si>
  <si>
    <t>CAPTAZIONE</t>
  </si>
  <si>
    <t>..</t>
  </si>
  <si>
    <t>Pantografo 25 kV</t>
  </si>
  <si>
    <t>T4-T5</t>
  </si>
  <si>
    <t>X</t>
  </si>
  <si>
    <t>Pantografo 3 kV</t>
  </si>
  <si>
    <t>TT2-TT7</t>
  </si>
  <si>
    <t>Pantografo 1,5 kV</t>
  </si>
  <si>
    <t>CONTROLLO</t>
  </si>
  <si>
    <t>PPU</t>
  </si>
  <si>
    <t>0102895</t>
  </si>
  <si>
    <t>TT2-T4-T5-TT7</t>
  </si>
  <si>
    <t>232C10395F</t>
  </si>
  <si>
    <t>231C100036B</t>
  </si>
  <si>
    <t>TCMS</t>
  </si>
  <si>
    <t>CCU-O Dual MVB (DCY1110B)</t>
  </si>
  <si>
    <t>3EST000225-5707</t>
  </si>
  <si>
    <t>DM1-DM8</t>
  </si>
  <si>
    <t>CCU-C 2ETH (DCY1550A)</t>
  </si>
  <si>
    <t>3EST000225-5711</t>
  </si>
  <si>
    <t>DM1-M3-DM8</t>
  </si>
  <si>
    <t>CCU-S (DCY 1660A)</t>
  </si>
  <si>
    <t>3EST000221-6430</t>
  </si>
  <si>
    <t>MIO-DXH4-S (DCS 2222B)</t>
  </si>
  <si>
    <t>3EST000228-0629</t>
  </si>
  <si>
    <t>MIO-S (DCS 2222C)</t>
  </si>
  <si>
    <t>3EST000230-5830</t>
  </si>
  <si>
    <t>MIO-S-AI1+DXH3 (DCS 7222B)</t>
  </si>
  <si>
    <t>3EST000228-3395</t>
  </si>
  <si>
    <t>MIO-S (DCS 7222B)</t>
  </si>
  <si>
    <t>3EST000230-5833</t>
  </si>
  <si>
    <t>MIO-S-AI1+DXH2 (DCS 7220B)</t>
  </si>
  <si>
    <t>3EST000228-3394</t>
  </si>
  <si>
    <t>Tutte</t>
  </si>
  <si>
    <t>MIO-DXH4 (DCX 2222A)</t>
  </si>
  <si>
    <t>3EST000209-5696</t>
  </si>
  <si>
    <t>MIO-DX1H (DCX 2000A)</t>
  </si>
  <si>
    <t>3EST000209-5690</t>
  </si>
  <si>
    <t>M3</t>
  </si>
  <si>
    <t>MIO-DX3H (DCX 2220A)</t>
  </si>
  <si>
    <t>3EST000209-5694</t>
  </si>
  <si>
    <t>CDU-H03</t>
  </si>
  <si>
    <t>HW01107958-00</t>
  </si>
  <si>
    <t>DU-H03</t>
  </si>
  <si>
    <t>HW02298449-00</t>
  </si>
  <si>
    <t>DU-H04 (OBS)</t>
  </si>
  <si>
    <t>HW02298458-00</t>
  </si>
  <si>
    <t>DU-H05 (PIS-ALG)</t>
  </si>
  <si>
    <t>HW02298473-00</t>
  </si>
  <si>
    <t>RIO-LP (CUSFE684-H05)</t>
  </si>
  <si>
    <t>HW01107911-00</t>
  </si>
  <si>
    <t>RIO-C5/C6 (CUSFE684-H06)</t>
  </si>
  <si>
    <t>HW01107914-00</t>
  </si>
  <si>
    <t>RIO-EB-01 (CUSFE684-H01)</t>
  </si>
  <si>
    <t>HW01107901-00</t>
  </si>
  <si>
    <t>RIO-EB-02 (CUSFE684-H02)</t>
  </si>
  <si>
    <t>HW01107904-00</t>
  </si>
  <si>
    <t>RIO-EB-03 (CUSFE684-H03)</t>
  </si>
  <si>
    <t>HW01107905-00</t>
  </si>
  <si>
    <t>M3-M6</t>
  </si>
  <si>
    <t>RIO-EB-04 (CUSFE684-H04)</t>
  </si>
  <si>
    <t>HW01107908-00</t>
  </si>
  <si>
    <t>RIO-C2-01 (CURSE32-H01)</t>
  </si>
  <si>
    <t>HW01107953-00</t>
  </si>
  <si>
    <t>DM1-TT2-M3-M6-TT7-DM8</t>
  </si>
  <si>
    <t>RIO-C2-02 (CURSE32-H02)</t>
  </si>
  <si>
    <t>HW01107954-00</t>
  </si>
  <si>
    <t>DIAGNOSTICA</t>
  </si>
  <si>
    <t>MCG (DCZ 2424B)</t>
  </si>
  <si>
    <t>3EST000225-7169</t>
  </si>
  <si>
    <t>MCG</t>
  </si>
  <si>
    <t>3EST000234-1560</t>
  </si>
  <si>
    <t>IDU</t>
  </si>
  <si>
    <t>3EST000223-8802</t>
  </si>
  <si>
    <t>EC030021237P01</t>
  </si>
  <si>
    <t>RETE / COMUNICAZIONE</t>
  </si>
  <si>
    <t>MCG Antenna WLAN/GSM GPS</t>
  </si>
  <si>
    <t>3EST000212-2155</t>
  </si>
  <si>
    <t xml:space="preserve"> MCG Antenna WLAN/GSM GPS</t>
  </si>
  <si>
    <t>3EH-232550R0005</t>
  </si>
  <si>
    <t>TCN GW-S DCY 1703A</t>
  </si>
  <si>
    <t>EST000221-6460</t>
  </si>
  <si>
    <t>IP Train Switch</t>
  </si>
  <si>
    <t>3EST000212-3000</t>
  </si>
  <si>
    <t>3EST000236-6769</t>
  </si>
  <si>
    <t>IP Train Repeater</t>
  </si>
  <si>
    <t>3EST000212-3010</t>
  </si>
  <si>
    <t>M3-T4-T5</t>
  </si>
  <si>
    <t>3EST000236-6770</t>
  </si>
  <si>
    <t>IP Ring Switch</t>
  </si>
  <si>
    <t>3EST000225-7297</t>
  </si>
  <si>
    <t>3EST000235-7837</t>
  </si>
  <si>
    <t>DM1</t>
  </si>
  <si>
    <t>3EST000234-7837</t>
  </si>
  <si>
    <t>DM8</t>
  </si>
  <si>
    <t>BUS Coupler BCT 12KF04</t>
  </si>
  <si>
    <t>EGM032400R0001</t>
  </si>
  <si>
    <t>TT2-T5-TT7</t>
  </si>
  <si>
    <t>Switch CS 14P NoPoE 1ByPX (NODC14NC02)</t>
  </si>
  <si>
    <t>EC030021125P14C001</t>
  </si>
  <si>
    <t>Switch ETBN 14P NoPoE 2ByPX (NODC14NI01)</t>
  </si>
  <si>
    <t>EC030021126P14C001</t>
  </si>
  <si>
    <t>TRAZIONE</t>
  </si>
  <si>
    <t>SEZIONE 4M / MCM (MOTORI)</t>
  </si>
  <si>
    <t>Modulo convertitore MCM (15/10 WM V02)</t>
  </si>
  <si>
    <t>3EST000222-0850</t>
  </si>
  <si>
    <t>DM1-M3-M6-DM8</t>
  </si>
  <si>
    <t>Centralina DCU/M</t>
  </si>
  <si>
    <t>3EST000222-1018</t>
  </si>
  <si>
    <t>Modulo IGBT</t>
  </si>
  <si>
    <t>3EST000214-9948</t>
  </si>
  <si>
    <t>Modulo convertitore MCM</t>
  </si>
  <si>
    <t>HW02250828-00</t>
  </si>
  <si>
    <t>Centralina Assieme MOCU</t>
  </si>
  <si>
    <t>HW04821017-00</t>
  </si>
  <si>
    <t>EC030020031</t>
  </si>
  <si>
    <t>SEZIONE LCM (LINEA AC)</t>
  </si>
  <si>
    <t>Modulo convertitore LCM (15/15 WL V06)</t>
  </si>
  <si>
    <t>3EST000222-0610</t>
  </si>
  <si>
    <t>Centralina DCU</t>
  </si>
  <si>
    <t>3EST000214-9825</t>
  </si>
  <si>
    <t>Modulo convertitore LCM</t>
  </si>
  <si>
    <t>3EST000222-0610-HR</t>
  </si>
  <si>
    <t>Centralina DCU/L</t>
  </si>
  <si>
    <t>3EST000299-9665-HR</t>
  </si>
  <si>
    <t>3EST000223-1474-HR</t>
  </si>
  <si>
    <t>SEZIONE CCM (LINEA DC)</t>
  </si>
  <si>
    <t>Modulo Convertitore CCM (30/07 WC V01)</t>
  </si>
  <si>
    <t>3EST000222-1010</t>
  </si>
  <si>
    <t>Centralina DCU/C</t>
  </si>
  <si>
    <t>Modulo convertitore CCM</t>
  </si>
  <si>
    <t>HW02250827-00</t>
  </si>
  <si>
    <t>HW05869752-00</t>
  </si>
  <si>
    <t>SEZIONE CS (RAFFREDDAMENTO)</t>
  </si>
  <si>
    <t>Modulo raffreddamento</t>
  </si>
  <si>
    <t>3EST000225-0304</t>
  </si>
  <si>
    <t>SEZIONE AE (AUSILIARI)</t>
  </si>
  <si>
    <t>Modulo convertitore ACM</t>
  </si>
  <si>
    <t>3EST000222-0910</t>
  </si>
  <si>
    <t>3EST000222-0910-HR</t>
  </si>
  <si>
    <t>???</t>
  </si>
  <si>
    <t>Antincendio DM1</t>
  </si>
  <si>
    <t>3ECP502022-0001</t>
  </si>
  <si>
    <t>UNITA' MAU 150/80</t>
  </si>
  <si>
    <t>3ECP502624-0001</t>
  </si>
  <si>
    <t>SISTEMA DI RILEVAMENTO</t>
  </si>
  <si>
    <t>000203-UMN002-0001.1.A-DM1</t>
  </si>
  <si>
    <t>SISTEMA AEROSOL</t>
  </si>
  <si>
    <t>985-MCO72318</t>
  </si>
  <si>
    <t>Antincendio DM8</t>
  </si>
  <si>
    <t>3EGH489009-5958</t>
  </si>
  <si>
    <t>000203-UMN002-0001.1.A-DM8</t>
  </si>
  <si>
    <t>IT 50 treni (flotta base)</t>
  </si>
  <si>
    <t>IT 8 treni (51-58)</t>
  </si>
  <si>
    <t>IT 6+30 treni (101-136)</t>
  </si>
  <si>
    <t>I-FR 9 treni</t>
  </si>
  <si>
    <t>DAI 9 treni</t>
  </si>
  <si>
    <t>ES 20 treni</t>
  </si>
  <si>
    <t>Sottosistema</t>
  </si>
  <si>
    <t>Id</t>
  </si>
  <si>
    <t>Carrelli</t>
  </si>
  <si>
    <t>Motori</t>
  </si>
  <si>
    <t>100360301
100360302
100360303
100360304</t>
  </si>
  <si>
    <t>Sala Montata</t>
  </si>
  <si>
    <t>100360402
100360403</t>
  </si>
  <si>
    <t>Sensoristica ERTMS-SCMT carrelli DM
Sala senza boccole: 100360064</t>
  </si>
  <si>
    <t>100360301
100360302
100360303
100360304
(EN45545)</t>
  </si>
  <si>
    <t>Sensoristica ERTMS-SCMT carrelli DM</t>
  </si>
  <si>
    <t>100329688
100329689
100360303
100360304</t>
  </si>
  <si>
    <t>Sensoristica ERTMS-SCMT, Memor brush, ETCS antenna su carrelli ant. DM1/8
Sensori Wiegand su post. DM1/8
Sensori Wiegand su ant. TT2/7
Sala senza boccole: 100360064</t>
  </si>
  <si>
    <t>tbd sensori boccola DM</t>
  </si>
  <si>
    <t>DM: 100437987
100470644</t>
  </si>
  <si>
    <t>Sensoristica ETCS-ASFA-LZB carrelli DM</t>
  </si>
  <si>
    <t>Riduttore</t>
  </si>
  <si>
    <t>Motore</t>
  </si>
  <si>
    <t>3EST000224-9555</t>
  </si>
  <si>
    <t>Cil.Freno</t>
  </si>
  <si>
    <t>FT0011601-100
FT0011602-100
FT0011602-101</t>
  </si>
  <si>
    <t>Als</t>
  </si>
  <si>
    <t>6398B000-01</t>
  </si>
  <si>
    <t>BMS</t>
  </si>
  <si>
    <t>Ephimess fase 2</t>
  </si>
  <si>
    <t>Portanti</t>
  </si>
  <si>
    <t>100360311
100360312
100360313</t>
  </si>
  <si>
    <t>Sala</t>
  </si>
  <si>
    <t>100360411
100360412</t>
  </si>
  <si>
    <t>100360311
100360312
100360313
(EN45545)</t>
  </si>
  <si>
    <t>100360311
100329690
100360313</t>
  </si>
  <si>
    <t>Freno</t>
  </si>
  <si>
    <t>3 kV</t>
  </si>
  <si>
    <t>Struttura</t>
  </si>
  <si>
    <t>Archetto</t>
  </si>
  <si>
    <t>Archetto 1.950 mm</t>
  </si>
  <si>
    <t>Strisciante</t>
  </si>
  <si>
    <t>SK1451</t>
  </si>
  <si>
    <t>Con isolamento ADD</t>
  </si>
  <si>
    <t>232C10353E</t>
  </si>
  <si>
    <t>PPU DC Modificata per agg.panto 1.5</t>
  </si>
  <si>
    <t>PCU</t>
  </si>
  <si>
    <t>25 kV</t>
  </si>
  <si>
    <t>Vedi strisciante</t>
  </si>
  <si>
    <t>SK1630</t>
  </si>
  <si>
    <t>SK 2381</t>
  </si>
  <si>
    <t>Conforme a norma FR SAM E903</t>
  </si>
  <si>
    <t>1,5 kV</t>
  </si>
  <si>
    <t>n/a</t>
  </si>
  <si>
    <t>Larghezza 1.950 mm</t>
  </si>
  <si>
    <t>SK 2348</t>
  </si>
  <si>
    <t>PPU Modificata per agg.panto 1.5</t>
  </si>
  <si>
    <t>15 kV</t>
  </si>
  <si>
    <t>TCMS Hardware</t>
  </si>
  <si>
    <t>LV</t>
  </si>
  <si>
    <t>CCU-O</t>
  </si>
  <si>
    <t>Nuova architettura Full Ethernet</t>
  </si>
  <si>
    <t>3EST000236-6235</t>
  </si>
  <si>
    <t>Higher performances and longer spare parts support</t>
  </si>
  <si>
    <t>CCU-S</t>
  </si>
  <si>
    <t>3EST000232-1990</t>
  </si>
  <si>
    <t>MIO-S</t>
  </si>
  <si>
    <t>3EST000228-0629
3EST000228-3395
3EST000228-3394</t>
  </si>
  <si>
    <t>3EST000230-5830
3EST000230-5833
3EST000228-3394</t>
  </si>
  <si>
    <t>Sell no more supported for new projects due to internal component out of production (legacy only)</t>
  </si>
  <si>
    <t>Teledia</t>
  </si>
  <si>
    <t>additional LTE connection</t>
  </si>
  <si>
    <t>Monitor</t>
  </si>
  <si>
    <t>IDU/TOD</t>
  </si>
  <si>
    <t>Bus</t>
  </si>
  <si>
    <t>T Repeater</t>
  </si>
  <si>
    <t>T Switch</t>
  </si>
  <si>
    <t>R Switch</t>
  </si>
  <si>
    <t>Energy Meter</t>
  </si>
  <si>
    <t>Tipo</t>
  </si>
  <si>
    <t>EMS Microelettrica  integrato con TCMS</t>
  </si>
  <si>
    <t>EMS Microelettrica non integrato con TCMS</t>
  </si>
  <si>
    <t>EMS Alstom  integrato con TCMS</t>
  </si>
  <si>
    <t>Centraline</t>
  </si>
  <si>
    <t>BCU</t>
  </si>
  <si>
    <t>FT0024971-100 (DM)
FT0028492-100 (TT)</t>
  </si>
  <si>
    <t>WSP</t>
  </si>
  <si>
    <t xml:space="preserve">FT0024963-100 (DM)
FT0024967-100 (TT)
</t>
  </si>
  <si>
    <t>Pneumatica</t>
  </si>
  <si>
    <t>Distributore</t>
  </si>
  <si>
    <t>SW4 COD. 726 43V S1 10</t>
  </si>
  <si>
    <t>DBV</t>
  </si>
  <si>
    <t>FT0022875-100</t>
  </si>
  <si>
    <t>Dump V. WSP</t>
  </si>
  <si>
    <t>FT0023704-103</t>
  </si>
  <si>
    <t>DV-17</t>
  </si>
  <si>
    <t>FT0126050-100</t>
  </si>
  <si>
    <t>DV-12 Double Coil</t>
  </si>
  <si>
    <t>PRM</t>
  </si>
  <si>
    <t>Toilet Production HK standard flotta base</t>
  </si>
  <si>
    <t>Toilet Production HK - conf. NRD Spagna + STI PRM 2019</t>
  </si>
  <si>
    <t>Lift</t>
  </si>
  <si>
    <t>Lift HK standard flotta base azionamento idraulico</t>
  </si>
  <si>
    <t>Lift HK STI PRM 2019 (pedana più grande, azionamento elettrico)</t>
  </si>
  <si>
    <t>Lift HK STI PRM 2019 (pedana più grande) azionamento idraulico</t>
  </si>
  <si>
    <t>Porte Esterne</t>
  </si>
  <si>
    <t>Porte esterne IFE standard flotta base</t>
  </si>
  <si>
    <t>Porte esterne IFE TSI 2019
Centralina Ethernet</t>
  </si>
  <si>
    <t>Porte esterne IFE (TSI 2019)</t>
  </si>
  <si>
    <t>Antincendio</t>
  </si>
  <si>
    <t>Sensori
Elettronica</t>
  </si>
  <si>
    <t>SCU Saira</t>
  </si>
  <si>
    <t>FDU-1000 (fornitura ISE)</t>
  </si>
  <si>
    <t>FDU ISE</t>
  </si>
  <si>
    <t>Estinzione</t>
  </si>
  <si>
    <t>WaterMist Marioff - 2 gruppi MAU (DM1/8)</t>
  </si>
  <si>
    <t>WaterMist Acquasys - 1 gruppo MAU (DM1)</t>
  </si>
  <si>
    <t>xxx</t>
  </si>
  <si>
    <t>Nel foglio indicato in Cx nella colonna B, cerca la riga corrispondente al DOC ID indicato in Dx</t>
  </si>
  <si>
    <t>Nel foglio CONFIG riga 1, cerca la colonna corrispondente alla flotta indicata da F1</t>
  </si>
  <si>
    <t>Restituisci la posizione della cella corrispondente a riga/colonna sopra identificati</t>
  </si>
  <si>
    <t>Alla posizione della cella, concatena il nome del foglio recuperato in Cx</t>
  </si>
  <si>
    <t>Recupera il contenuto del foglio/cella indicato nell'indirizzo sopra, il quale corrisponde al nome del file archiviato</t>
  </si>
  <si>
    <t>Recupera il prefisso del DOC ID posto prima del carattere "_", al quale corrisponde la sottocartella di archiviazione</t>
  </si>
  <si>
    <t>crea l'indirizzo completo per la costruzione del link, concatenando:
- la root di archiviazione ETR1000 nello sharepoint indicata nel foglio Cartelle
- la sottocartella indicata in Cx
- la sottocartella indicata dal prefisso di DOC ID
- il nome del file
- estensione "pdf" a mano
- link alla pagina posta sotto il link</t>
  </si>
  <si>
    <t>recupero del formato del file dal foglio indicato in Cx, alla riga indicata del DOC ID e colonna 3</t>
  </si>
  <si>
    <t>crea l'indirizzo come sopra, inserendo anche la parte di recupero di estensione del file</t>
  </si>
  <si>
    <t>prova link con DOC Type &lt;&gt; pdf</t>
  </si>
  <si>
    <t>AD_Flotte</t>
  </si>
  <si>
    <t>parte iniziale - posizione cella foglio/flotta</t>
  </si>
  <si>
    <t>Recupera il contenuto del foglio/cella</t>
  </si>
  <si>
    <t>AD_Regole</t>
  </si>
  <si>
    <t>VZI-50</t>
  </si>
  <si>
    <t>VZI-51-58</t>
  </si>
  <si>
    <t>VZI-6</t>
  </si>
  <si>
    <t>VZI-4</t>
  </si>
  <si>
    <t>VZ-FR</t>
  </si>
  <si>
    <t>VZ-DAI</t>
  </si>
  <si>
    <t xml:space="preserve">IPA (Indicazione Porte Aperte) </t>
  </si>
  <si>
    <t>SI</t>
  </si>
  <si>
    <t>BY-PASS ALLARME APPLICAZIONE PARKING
BRAKE IN MOVIMENTO</t>
  </si>
  <si>
    <t>RIDONDANZA LOOP DNRA-BMS</t>
  </si>
  <si>
    <t>INTERRUTTORI 220V SPOSTATI INTERNO CASSA</t>
  </si>
  <si>
    <t>COMPRESSORE ARIA (?)</t>
  </si>
  <si>
    <t>BY-PASS ADD PER MARCIA SOCCORSO</t>
  </si>
  <si>
    <t>ARREDI TOILET BAR BISTROT</t>
  </si>
  <si>
    <t>COMANDO DISACCOPPIAMENTO AUTOMATICO 
TESTE ELETTRICHE</t>
  </si>
  <si>
    <t>PANTOGRAFI</t>
  </si>
  <si>
    <t>PIANO DI MANUTENZIONE</t>
  </si>
  <si>
    <t>BL SSB</t>
  </si>
  <si>
    <t>BL DIS</t>
  </si>
  <si>
    <t>ETCS HD (HW)</t>
  </si>
  <si>
    <t xml:space="preserve">ANTINCENDIO </t>
  </si>
  <si>
    <t xml:space="preserve">LAYOUT INTERNO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</si>
</sst>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mmm\-yy;@"/>
  </numFmts>
  <fonts count="43" x14ac:knownFonts="1">
    <font>
      <sz val="11"/>
      <color theme="1"/>
      <name val="Calibri"/>
      <family val="2"/>
      <scheme val="minor"/>
    </font>
    <font>
      <strike/>
      <sz val="11"/>
      <color rgb="FFFF0000"/>
      <name val="Calibri"/>
      <family val="2"/>
      <scheme val="minor"/>
    </font>
    <font>
      <sz val="11"/>
      <color theme="4"/>
      <name val="Calibri"/>
      <family val="2"/>
      <scheme val="minor"/>
    </font>
    <font>
      <b/>
      <sz val="11"/>
      <color theme="1"/>
      <name val="Calibri"/>
      <family val="2"/>
      <scheme val="minor"/>
    </font>
    <font>
      <i/>
      <sz val="11"/>
      <color theme="1"/>
      <name val="Calibri"/>
      <family val="2"/>
      <scheme val="minor"/>
    </font>
    <font>
      <b/>
      <sz val="11"/>
      <color rgb="FF0070C0"/>
      <name val="Calibri"/>
      <family val="2"/>
      <scheme val="minor"/>
    </font>
    <font>
      <sz val="10"/>
      <color theme="1"/>
      <name val="Calibri"/>
      <family val="2"/>
      <scheme val="minor"/>
    </font>
    <font>
      <b/>
      <sz val="10"/>
      <color rgb="FF0070C0"/>
      <name val="Calibri"/>
      <family val="2"/>
      <scheme val="minor"/>
    </font>
    <font>
      <sz val="9"/>
      <color theme="1"/>
      <name val="Calibri"/>
      <family val="2"/>
      <scheme val="minor"/>
    </font>
    <font>
      <sz val="11"/>
      <name val="Calibri"/>
      <family val="2"/>
      <scheme val="minor"/>
    </font>
    <font>
      <b/>
      <sz val="11"/>
      <color rgb="FFFF0000"/>
      <name val="Calibri"/>
      <family val="2"/>
      <scheme val="minor"/>
    </font>
    <font>
      <sz val="11"/>
      <color rgb="FF002060"/>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u/>
      <sz val="11"/>
      <color theme="10"/>
      <name val="Calibri"/>
      <family val="2"/>
      <scheme val="minor"/>
    </font>
    <font>
      <sz val="11"/>
      <color rgb="FFFF0000"/>
      <name val="Calibri"/>
      <family val="2"/>
      <scheme val="minor"/>
    </font>
    <font>
      <sz val="11"/>
      <color theme="4" tint="-0.249977111117893"/>
      <name val="Calibri"/>
      <family val="2"/>
      <scheme val="minor"/>
    </font>
    <font>
      <b/>
      <sz val="11"/>
      <name val="Calibri"/>
      <family val="2"/>
      <scheme val="minor"/>
    </font>
    <font>
      <b/>
      <sz val="11"/>
      <color theme="1"/>
      <name val="Calibri"/>
      <family val="2"/>
    </font>
    <font>
      <b/>
      <sz val="11"/>
      <color theme="0"/>
      <name val="Calibri"/>
      <family val="2"/>
      <scheme val="minor"/>
    </font>
    <font>
      <sz val="11"/>
      <color theme="7" tint="-0.249977111117893"/>
      <name val="Calibri"/>
      <family val="2"/>
      <scheme val="minor"/>
    </font>
    <font>
      <i/>
      <sz val="11"/>
      <color rgb="FFFF0000"/>
      <name val="Calibri"/>
      <family val="2"/>
      <scheme val="minor"/>
    </font>
    <font>
      <sz val="11"/>
      <color theme="9"/>
      <name val="Calibri"/>
      <family val="2"/>
      <scheme val="minor"/>
    </font>
    <font>
      <sz val="11"/>
      <color rgb="FF00AA00"/>
      <name val="Calibri"/>
      <family val="2"/>
    </font>
    <font>
      <sz val="11"/>
      <color rgb="FFCC0000"/>
      <name val="Calibri"/>
      <family val="2"/>
    </font>
    <font>
      <sz val="11"/>
      <color rgb="FF000000"/>
      <name val="Calibri"/>
      <family val="2"/>
    </font>
    <font>
      <sz val="11"/>
      <color rgb="FF1F4E79"/>
      <name val="Calibri"/>
      <family val="2"/>
    </font>
    <font>
      <b/>
      <sz val="11"/>
      <color rgb="FF1F4E79"/>
      <name val="Calibri"/>
      <family val="2"/>
    </font>
    <font>
      <b/>
      <sz val="11"/>
      <color rgb="FF00703C"/>
      <name val="Calibri"/>
      <family val="2"/>
    </font>
    <font>
      <b/>
      <sz val="11"/>
      <color rgb="FF7030A0"/>
      <name val="Calibri"/>
      <family val="2"/>
    </font>
    <font>
      <b/>
      <sz val="11"/>
      <color rgb="FFBF8F00"/>
      <name val="Calibri"/>
      <family val="2"/>
    </font>
    <font>
      <sz val="11"/>
      <color rgb="FFBF8F00"/>
      <name val="Calibri"/>
      <family val="2"/>
    </font>
    <font>
      <sz val="11"/>
      <color rgb="FF000000"/>
      <name val="Calibri"/>
    </font>
    <font>
      <sz val="11"/>
      <color rgb="FFBF8F00"/>
      <name val="Calibri"/>
    </font>
    <font>
      <sz val="11"/>
      <color rgb="FF00AA00"/>
      <name val="Calibri"/>
    </font>
    <font>
      <sz val="11"/>
      <color rgb="FF1F4E79"/>
      <name val="Calibri"/>
    </font>
    <font>
      <sz val="11"/>
      <color rgb="FF7030A0"/>
      <name val="Calibri"/>
    </font>
    <font>
      <sz val="11"/>
      <color rgb="FF00703C"/>
      <name val="Calibri"/>
    </font>
    <font>
      <sz val="11"/>
      <color rgb="FF000000"/>
      <name val="Calibri"/>
    </font>
    <font>
      <sz val="11"/>
      <color rgb="FFBF8F00"/>
      <name val="Calibri"/>
    </font>
    <font>
      <sz val="11"/>
      <color rgb="FF00AA00"/>
      <name val="Calibri"/>
    </font>
    <font>
      <sz val="11"/>
      <color rgb="FF00703C"/>
      <name val="Calibri"/>
    </font>
  </fonts>
  <fills count="21">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5"/>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CC"/>
        <bgColor indexed="64"/>
      </patternFill>
    </fill>
  </fills>
  <borders count="8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auto="1"/>
      </top>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
      <left style="thin">
        <color indexed="64"/>
      </left>
      <right style="thin">
        <color theme="0" tint="-0.34998626667073579"/>
      </right>
      <top style="medium">
        <color indexed="64"/>
      </top>
      <bottom style="thin">
        <color indexed="64"/>
      </bottom>
      <diagonal/>
    </border>
    <border>
      <left style="thin">
        <color theme="0" tint="-0.34998626667073579"/>
      </left>
      <right style="thin">
        <color theme="0" tint="-0.34998626667073579"/>
      </right>
      <top style="medium">
        <color indexed="64"/>
      </top>
      <bottom style="thin">
        <color indexed="64"/>
      </bottom>
      <diagonal/>
    </border>
    <border>
      <left style="thin">
        <color theme="0" tint="-0.34998626667073579"/>
      </left>
      <right style="thin">
        <color indexed="64"/>
      </right>
      <top style="medium">
        <color indexed="64"/>
      </top>
      <bottom style="thin">
        <color indexed="64"/>
      </bottom>
      <diagonal/>
    </border>
    <border>
      <left style="thin">
        <color indexed="64"/>
      </left>
      <right style="thin">
        <color theme="0" tint="-0.34998626667073579"/>
      </right>
      <top/>
      <bottom style="thin">
        <color auto="1"/>
      </bottom>
      <diagonal/>
    </border>
    <border>
      <left style="thin">
        <color theme="0" tint="-0.34998626667073579"/>
      </left>
      <right style="thin">
        <color theme="0" tint="-0.34998626667073579"/>
      </right>
      <top style="thin">
        <color auto="1"/>
      </top>
      <bottom style="thin">
        <color auto="1"/>
      </bottom>
      <diagonal/>
    </border>
    <border>
      <left style="thin">
        <color theme="0" tint="-0.34998626667073579"/>
      </left>
      <right style="thin">
        <color indexed="64"/>
      </right>
      <top style="thin">
        <color auto="1"/>
      </top>
      <bottom style="thin">
        <color auto="1"/>
      </bottom>
      <diagonal/>
    </border>
    <border>
      <left style="thin">
        <color indexed="64"/>
      </left>
      <right style="thin">
        <color theme="0" tint="-0.34998626667073579"/>
      </right>
      <top style="thin">
        <color indexed="64"/>
      </top>
      <bottom style="medium">
        <color indexed="64"/>
      </bottom>
      <diagonal/>
    </border>
    <border>
      <left style="thin">
        <color theme="0" tint="-0.34998626667073579"/>
      </left>
      <right style="thin">
        <color theme="0" tint="-0.34998626667073579"/>
      </right>
      <top style="thin">
        <color indexed="64"/>
      </top>
      <bottom style="medium">
        <color indexed="64"/>
      </bottom>
      <diagonal/>
    </border>
    <border>
      <left style="thin">
        <color theme="0" tint="-0.34998626667073579"/>
      </left>
      <right style="thin">
        <color indexed="64"/>
      </right>
      <top style="thin">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thin">
        <color auto="1"/>
      </top>
      <bottom/>
      <diagonal/>
    </border>
    <border>
      <left/>
      <right style="thin">
        <color indexed="64"/>
      </right>
      <top style="thin">
        <color auto="1"/>
      </top>
      <bottom/>
      <diagonal/>
    </border>
    <border>
      <left style="thin">
        <color indexed="64"/>
      </left>
      <right/>
      <top style="medium">
        <color indexed="64"/>
      </top>
      <bottom style="thin">
        <color indexed="64"/>
      </bottom>
      <diagonal/>
    </border>
    <border>
      <left/>
      <right style="thin">
        <color theme="0" tint="-0.34998626667073579"/>
      </right>
      <top style="thin">
        <color indexed="64"/>
      </top>
      <bottom style="medium">
        <color indexed="64"/>
      </bottom>
      <diagonal/>
    </border>
    <border>
      <left/>
      <right style="thin">
        <color theme="0" tint="-0.34998626667073579"/>
      </right>
      <top style="medium">
        <color indexed="64"/>
      </top>
      <bottom style="thin">
        <color indexed="64"/>
      </bottom>
      <diagonal/>
    </border>
    <border>
      <left/>
      <right style="thin">
        <color theme="0" tint="-0.34998626667073579"/>
      </right>
      <top/>
      <bottom style="thin">
        <color auto="1"/>
      </bottom>
      <diagonal/>
    </border>
    <border>
      <left/>
      <right style="thin">
        <color auto="1"/>
      </right>
      <top style="thin">
        <color auto="1"/>
      </top>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indexed="64"/>
      </left>
      <right style="thin">
        <color indexed="64"/>
      </right>
      <top/>
      <bottom style="thin">
        <color indexed="64"/>
      </bottom>
      <diagonal/>
    </border>
    <border>
      <left/>
      <right style="thin">
        <color indexed="64"/>
      </right>
      <top/>
      <bottom style="thin">
        <color auto="1"/>
      </bottom>
      <diagonal/>
    </border>
    <border>
      <left/>
      <right/>
      <top style="thin">
        <color indexed="64"/>
      </top>
      <bottom/>
      <diagonal/>
    </border>
    <border>
      <left/>
      <right/>
      <top/>
      <bottom style="thin">
        <color auto="1"/>
      </bottom>
      <diagonal/>
    </border>
  </borders>
  <cellStyleXfs count="2">
    <xf numFmtId="0" fontId="0" fillId="0" borderId="0"/>
    <xf numFmtId="0" fontId="15" fillId="0" borderId="0"/>
  </cellStyleXfs>
  <cellXfs count="528">
    <xf numFmtId="0" fontId="0" fillId="0" borderId="0" xfId="0"/>
    <xf numFmtId="0" fontId="0" fillId="0" borderId="1" xfId="0" applyBorder="1"/>
    <xf numFmtId="0" fontId="0" fillId="0" borderId="2" xfId="0" applyBorder="1"/>
    <xf numFmtId="0" fontId="0" fillId="0" borderId="1" xfId="0" applyBorder="1" applyAlignment="1">
      <alignment wrapText="1"/>
    </xf>
    <xf numFmtId="0" fontId="0" fillId="0" borderId="3" xfId="0" applyBorder="1"/>
    <xf numFmtId="0" fontId="0" fillId="0" borderId="4" xfId="0" applyBorder="1" applyAlignment="1">
      <alignment horizontal="center" vertical="center"/>
    </xf>
    <xf numFmtId="0" fontId="0" fillId="0" borderId="5" xfId="0" applyBorder="1"/>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0" fillId="0" borderId="15" xfId="0" applyBorder="1" applyAlignment="1">
      <alignment wrapText="1"/>
    </xf>
    <xf numFmtId="0" fontId="0" fillId="3" borderId="0" xfId="0" applyFill="1" applyAlignment="1">
      <alignment horizontal="center" vertical="center" wrapText="1"/>
    </xf>
    <xf numFmtId="0" fontId="0" fillId="3" borderId="15" xfId="0" applyFill="1" applyBorder="1" applyAlignment="1">
      <alignment wrapText="1"/>
    </xf>
    <xf numFmtId="0" fontId="6" fillId="0" borderId="15" xfId="0" applyFont="1" applyBorder="1" applyAlignment="1">
      <alignment wrapText="1"/>
    </xf>
    <xf numFmtId="0" fontId="0" fillId="2" borderId="15" xfId="0" applyFill="1" applyBorder="1" applyAlignment="1">
      <alignment wrapText="1"/>
    </xf>
    <xf numFmtId="0" fontId="0" fillId="0" borderId="17" xfId="0" applyBorder="1"/>
    <xf numFmtId="0" fontId="0" fillId="3" borderId="17" xfId="0" applyFill="1" applyBorder="1"/>
    <xf numFmtId="0" fontId="0" fillId="2" borderId="17" xfId="0" applyFill="1" applyBorder="1"/>
    <xf numFmtId="0" fontId="4" fillId="0" borderId="21" xfId="0" applyFont="1" applyBorder="1"/>
    <xf numFmtId="0" fontId="0" fillId="0" borderId="21" xfId="0" applyBorder="1"/>
    <xf numFmtId="0" fontId="0" fillId="0" borderId="22" xfId="0" applyBorder="1"/>
    <xf numFmtId="0" fontId="4" fillId="3" borderId="21" xfId="0" applyFont="1" applyFill="1" applyBorder="1"/>
    <xf numFmtId="0" fontId="0" fillId="3" borderId="21" xfId="0" applyFill="1" applyBorder="1"/>
    <xf numFmtId="0" fontId="0" fillId="3" borderId="22" xfId="0" applyFill="1" applyBorder="1"/>
    <xf numFmtId="0" fontId="4" fillId="2" borderId="21" xfId="0" applyFont="1" applyFill="1" applyBorder="1"/>
    <xf numFmtId="0" fontId="0" fillId="2" borderId="21" xfId="0" applyFill="1" applyBorder="1"/>
    <xf numFmtId="0" fontId="0" fillId="2" borderId="22" xfId="0" applyFill="1" applyBorder="1"/>
    <xf numFmtId="0" fontId="0" fillId="0" borderId="25" xfId="0" applyBorder="1"/>
    <xf numFmtId="0" fontId="0" fillId="0" borderId="25" xfId="0" applyBorder="1" applyAlignment="1">
      <alignment horizontal="center"/>
    </xf>
    <xf numFmtId="0" fontId="0" fillId="0" borderId="26" xfId="0" applyBorder="1"/>
    <xf numFmtId="0" fontId="0" fillId="2" borderId="25" xfId="0" applyFill="1" applyBorder="1"/>
    <xf numFmtId="0" fontId="0" fillId="2" borderId="26" xfId="0" applyFill="1" applyBorder="1"/>
    <xf numFmtId="0" fontId="3" fillId="0" borderId="27" xfId="0" applyFont="1" applyBorder="1" applyAlignment="1">
      <alignment horizontal="center" vertical="center"/>
    </xf>
    <xf numFmtId="0" fontId="7" fillId="0" borderId="17" xfId="0" applyFont="1" applyBorder="1"/>
    <xf numFmtId="0" fontId="8" fillId="0" borderId="17" xfId="0" applyFont="1" applyBorder="1"/>
    <xf numFmtId="0" fontId="9" fillId="0" borderId="0" xfId="0" applyFont="1" applyAlignment="1">
      <alignment horizontal="center"/>
    </xf>
    <xf numFmtId="0" fontId="3" fillId="0" borderId="3" xfId="0" applyFont="1" applyBorder="1" applyAlignment="1">
      <alignment horizontal="center" vertical="center"/>
    </xf>
    <xf numFmtId="0" fontId="0" fillId="0" borderId="24" xfId="0" applyBorder="1"/>
    <xf numFmtId="0" fontId="4" fillId="0" borderId="23" xfId="0" applyFont="1" applyBorder="1"/>
    <xf numFmtId="0" fontId="0" fillId="0" borderId="30" xfId="0" applyBorder="1"/>
    <xf numFmtId="0" fontId="0" fillId="0" borderId="26" xfId="0" applyBorder="1" applyAlignment="1">
      <alignment wrapText="1"/>
    </xf>
    <xf numFmtId="0" fontId="0" fillId="0" borderId="28" xfId="0" applyBorder="1"/>
    <xf numFmtId="0" fontId="8" fillId="0" borderId="17" xfId="0" applyFont="1" applyBorder="1" applyAlignment="1">
      <alignment wrapText="1"/>
    </xf>
    <xf numFmtId="0" fontId="8" fillId="0" borderId="17" xfId="0" applyFont="1" applyBorder="1" applyAlignment="1">
      <alignment vertical="center" wrapText="1"/>
    </xf>
    <xf numFmtId="0" fontId="0" fillId="0" borderId="19" xfId="0" applyBorder="1"/>
    <xf numFmtId="0" fontId="0" fillId="0" borderId="35" xfId="0" applyBorder="1"/>
    <xf numFmtId="0" fontId="4" fillId="0" borderId="25" xfId="0" applyFont="1" applyBorder="1"/>
    <xf numFmtId="0" fontId="0" fillId="0" borderId="25" xfId="0" applyBorder="1" applyAlignment="1">
      <alignment wrapText="1"/>
    </xf>
    <xf numFmtId="0" fontId="0" fillId="0" borderId="42" xfId="0" applyBorder="1"/>
    <xf numFmtId="0" fontId="3" fillId="0" borderId="1" xfId="0" applyFont="1" applyBorder="1" applyAlignment="1">
      <alignment horizontal="center" vertical="center" wrapText="1"/>
    </xf>
    <xf numFmtId="0" fontId="13" fillId="0" borderId="1" xfId="0" applyFont="1" applyBorder="1" applyAlignment="1">
      <alignment horizontal="center" vertical="center"/>
    </xf>
    <xf numFmtId="0" fontId="14" fillId="0" borderId="12"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left" vertical="center" wrapText="1"/>
    </xf>
    <xf numFmtId="0" fontId="0" fillId="0" borderId="31" xfId="0" applyBorder="1" applyAlignment="1">
      <alignment horizontal="center" vertical="center" wrapText="1"/>
    </xf>
    <xf numFmtId="0" fontId="0" fillId="0" borderId="49" xfId="0" applyBorder="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0" fontId="0" fillId="0" borderId="31" xfId="0" applyBorder="1" applyAlignment="1">
      <alignment horizontal="left" vertical="center" wrapText="1"/>
    </xf>
    <xf numFmtId="0" fontId="0" fillId="2" borderId="31" xfId="0" applyFill="1" applyBorder="1" applyAlignment="1">
      <alignment horizontal="center" vertical="center" wrapText="1"/>
    </xf>
    <xf numFmtId="0" fontId="0" fillId="2" borderId="49" xfId="0" applyFill="1" applyBorder="1" applyAlignment="1">
      <alignment horizontal="center" vertical="center" wrapText="1"/>
    </xf>
    <xf numFmtId="0" fontId="16" fillId="0" borderId="31" xfId="0" applyFont="1" applyBorder="1" applyAlignment="1">
      <alignment horizontal="center" vertical="center" wrapText="1"/>
    </xf>
    <xf numFmtId="0" fontId="16" fillId="0" borderId="49" xfId="0" applyFont="1" applyBorder="1" applyAlignment="1">
      <alignment horizontal="center" vertical="center" wrapText="1"/>
    </xf>
    <xf numFmtId="0" fontId="17" fillId="0" borderId="49" xfId="0" applyFont="1" applyBorder="1" applyAlignment="1">
      <alignment horizontal="center" vertical="center" wrapText="1"/>
    </xf>
    <xf numFmtId="0" fontId="9" fillId="0" borderId="49"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0" xfId="0" applyFont="1" applyAlignment="1">
      <alignment horizontal="center" vertical="center" wrapText="1"/>
    </xf>
    <xf numFmtId="0" fontId="9" fillId="0" borderId="31" xfId="0" applyFont="1" applyBorder="1" applyAlignment="1">
      <alignment horizontal="center" vertical="center" wrapText="1"/>
    </xf>
    <xf numFmtId="0" fontId="9"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quotePrefix="1" applyAlignment="1">
      <alignment horizontal="center" vertical="center" wrapText="1"/>
    </xf>
    <xf numFmtId="0" fontId="18" fillId="4" borderId="13"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6" fillId="0" borderId="0" xfId="0" applyFont="1" applyAlignment="1">
      <alignment vertical="center"/>
    </xf>
    <xf numFmtId="0" fontId="19" fillId="4" borderId="21" xfId="0" applyFont="1" applyFill="1" applyBorder="1" applyAlignment="1">
      <alignment horizontal="center" vertical="center" wrapText="1"/>
    </xf>
    <xf numFmtId="49" fontId="19" fillId="4" borderId="21" xfId="0" applyNumberFormat="1" applyFont="1" applyFill="1" applyBorder="1" applyAlignment="1">
      <alignment horizontal="center" vertical="center" wrapText="1"/>
    </xf>
    <xf numFmtId="0" fontId="0" fillId="0" borderId="49" xfId="0" applyBorder="1" applyAlignment="1">
      <alignment horizontal="left" vertical="center" wrapText="1"/>
    </xf>
    <xf numFmtId="0" fontId="9" fillId="0" borderId="0" xfId="0" quotePrefix="1" applyFont="1" applyAlignment="1">
      <alignment horizontal="center" vertical="center" wrapText="1"/>
    </xf>
    <xf numFmtId="0" fontId="16" fillId="0" borderId="0" xfId="0" quotePrefix="1" applyFont="1" applyAlignment="1">
      <alignment horizontal="center" vertical="center" wrapText="1"/>
    </xf>
    <xf numFmtId="0" fontId="16" fillId="0" borderId="13" xfId="0" applyFont="1" applyBorder="1" applyAlignment="1">
      <alignment horizontal="center" vertical="center" wrapText="1"/>
    </xf>
    <xf numFmtId="0" fontId="9" fillId="0" borderId="13" xfId="0" applyFont="1" applyBorder="1" applyAlignment="1">
      <alignment horizontal="center" vertical="center" wrapText="1"/>
    </xf>
    <xf numFmtId="0" fontId="9" fillId="4" borderId="4" xfId="0" applyFont="1" applyFill="1" applyBorder="1" applyAlignment="1">
      <alignment horizontal="center" vertical="center" wrapText="1"/>
    </xf>
    <xf numFmtId="0" fontId="0" fillId="8" borderId="31" xfId="0" applyFill="1" applyBorder="1" applyAlignment="1">
      <alignment horizontal="center" vertical="center" wrapText="1"/>
    </xf>
    <xf numFmtId="0" fontId="0" fillId="8" borderId="49" xfId="0" applyFill="1" applyBorder="1" applyAlignment="1">
      <alignment horizontal="center" vertical="center" wrapText="1"/>
    </xf>
    <xf numFmtId="0" fontId="0" fillId="0" borderId="49" xfId="0" quotePrefix="1" applyBorder="1" applyAlignment="1">
      <alignment horizontal="center" vertical="center" wrapText="1"/>
    </xf>
    <xf numFmtId="0" fontId="9" fillId="0" borderId="49" xfId="0" quotePrefix="1" applyFont="1" applyBorder="1" applyAlignment="1">
      <alignment horizontal="center" vertical="center" wrapText="1"/>
    </xf>
    <xf numFmtId="0" fontId="16" fillId="0" borderId="49" xfId="0" quotePrefix="1" applyFont="1" applyBorder="1" applyAlignment="1">
      <alignment horizontal="center" vertical="center" wrapText="1"/>
    </xf>
    <xf numFmtId="0" fontId="16" fillId="8" borderId="31" xfId="0" applyFont="1" applyFill="1" applyBorder="1" applyAlignment="1">
      <alignment horizontal="center" vertical="center" wrapText="1"/>
    </xf>
    <xf numFmtId="0" fontId="16" fillId="0" borderId="4" xfId="0" applyFont="1" applyBorder="1" applyAlignment="1">
      <alignment horizontal="center" vertical="center" wrapText="1"/>
    </xf>
    <xf numFmtId="0" fontId="15" fillId="0" borderId="0" xfId="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8" borderId="0" xfId="0" applyFill="1" applyAlignment="1">
      <alignment horizontal="center" vertical="center" wrapText="1"/>
    </xf>
    <xf numFmtId="0" fontId="9" fillId="0" borderId="31" xfId="0" applyFont="1" applyBorder="1" applyAlignment="1">
      <alignment horizontal="left" vertical="center" wrapText="1"/>
    </xf>
    <xf numFmtId="0" fontId="9" fillId="0" borderId="49" xfId="0" applyFont="1" applyBorder="1" applyAlignment="1">
      <alignment horizontal="left" vertical="center" wrapText="1"/>
    </xf>
    <xf numFmtId="0" fontId="16" fillId="0" borderId="31" xfId="0" applyFont="1" applyBorder="1" applyAlignment="1">
      <alignment horizontal="left" vertical="center" wrapText="1"/>
    </xf>
    <xf numFmtId="0" fontId="16" fillId="0" borderId="49" xfId="0" applyFont="1" applyBorder="1" applyAlignment="1">
      <alignment horizontal="left" vertical="center" wrapText="1"/>
    </xf>
    <xf numFmtId="0" fontId="3" fillId="0" borderId="0" xfId="0" applyFont="1" applyAlignment="1">
      <alignment horizontal="center" vertical="center"/>
    </xf>
    <xf numFmtId="0" fontId="15" fillId="0" borderId="0" xfId="1" applyAlignment="1">
      <alignment horizontal="center" vertical="center"/>
    </xf>
    <xf numFmtId="0" fontId="3" fillId="0" borderId="0" xfId="0" applyFont="1" applyAlignment="1">
      <alignment vertical="center"/>
    </xf>
    <xf numFmtId="0" fontId="3" fillId="10" borderId="31" xfId="0" applyFont="1" applyFill="1" applyBorder="1" applyAlignment="1">
      <alignment horizontal="center" vertical="center" wrapText="1"/>
    </xf>
    <xf numFmtId="0" fontId="3" fillId="10" borderId="49" xfId="0" applyFont="1" applyFill="1" applyBorder="1" applyAlignment="1">
      <alignment horizontal="center" vertical="center" wrapText="1"/>
    </xf>
    <xf numFmtId="0" fontId="3" fillId="10" borderId="0" xfId="0" applyFont="1" applyFill="1" applyAlignment="1">
      <alignment horizontal="center" vertical="center" wrapText="1"/>
    </xf>
    <xf numFmtId="0" fontId="3" fillId="2" borderId="31"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21" fillId="0" borderId="49" xfId="0" applyFont="1" applyBorder="1" applyAlignment="1">
      <alignment horizontal="center" vertical="center" wrapText="1"/>
    </xf>
    <xf numFmtId="0" fontId="21" fillId="0" borderId="0" xfId="0" applyFont="1" applyAlignment="1">
      <alignment horizontal="center" vertical="center" wrapText="1"/>
    </xf>
    <xf numFmtId="0" fontId="0" fillId="10" borderId="49" xfId="0" applyFill="1" applyBorder="1" applyAlignment="1">
      <alignment horizontal="center" vertical="center" wrapText="1"/>
    </xf>
    <xf numFmtId="0" fontId="9" fillId="0" borderId="0" xfId="0" applyFont="1" applyAlignment="1">
      <alignment vertical="center" wrapText="1"/>
    </xf>
    <xf numFmtId="0" fontId="21" fillId="0" borderId="31" xfId="0" applyFont="1" applyBorder="1" applyAlignment="1">
      <alignment horizontal="center" vertical="center" wrapText="1"/>
    </xf>
    <xf numFmtId="0" fontId="3" fillId="9" borderId="6" xfId="0" applyFont="1" applyFill="1" applyBorder="1" applyAlignment="1">
      <alignment horizontal="center" vertical="center"/>
    </xf>
    <xf numFmtId="0" fontId="3" fillId="9" borderId="7" xfId="0" applyFont="1" applyFill="1" applyBorder="1" applyAlignment="1">
      <alignment horizontal="center" vertical="center"/>
    </xf>
    <xf numFmtId="0" fontId="3" fillId="4" borderId="8" xfId="0" applyFont="1" applyFill="1" applyBorder="1" applyAlignment="1">
      <alignment horizontal="center" vertical="center" wrapText="1"/>
    </xf>
    <xf numFmtId="0" fontId="3" fillId="10" borderId="1" xfId="0" applyFont="1" applyFill="1" applyBorder="1" applyAlignment="1">
      <alignment horizontal="center" vertical="center"/>
    </xf>
    <xf numFmtId="0" fontId="3" fillId="10" borderId="39" xfId="0" applyFont="1" applyFill="1" applyBorder="1" applyAlignment="1">
      <alignment horizontal="left" vertical="center"/>
    </xf>
    <xf numFmtId="0" fontId="0" fillId="10" borderId="39" xfId="0" applyFill="1" applyBorder="1" applyAlignment="1">
      <alignment horizontal="center" vertical="center"/>
    </xf>
    <xf numFmtId="0" fontId="0" fillId="10" borderId="2" xfId="0" applyFill="1" applyBorder="1" applyAlignment="1">
      <alignment horizontal="center" vertical="center"/>
    </xf>
    <xf numFmtId="0" fontId="3" fillId="4" borderId="51" xfId="0" applyFont="1" applyFill="1" applyBorder="1" applyAlignment="1">
      <alignment horizontal="center" vertical="center" wrapText="1"/>
    </xf>
    <xf numFmtId="0" fontId="3" fillId="4" borderId="8" xfId="0" applyFont="1" applyFill="1" applyBorder="1" applyAlignment="1">
      <alignment horizontal="center" vertical="center"/>
    </xf>
    <xf numFmtId="0" fontId="3" fillId="0" borderId="18" xfId="0" applyFont="1" applyBorder="1" applyAlignment="1">
      <alignment vertical="center"/>
    </xf>
    <xf numFmtId="0" fontId="3" fillId="0" borderId="15" xfId="0" quotePrefix="1" applyFont="1" applyBorder="1" applyAlignment="1">
      <alignment horizontal="center" vertical="center"/>
    </xf>
    <xf numFmtId="0" fontId="10" fillId="0" borderId="4" xfId="0" applyFont="1" applyBorder="1" applyAlignment="1">
      <alignment horizontal="center" vertical="center"/>
    </xf>
    <xf numFmtId="0" fontId="3" fillId="0" borderId="15" xfId="0" applyFont="1" applyBorder="1" applyAlignment="1">
      <alignment horizontal="center" vertical="center" wrapText="1"/>
    </xf>
    <xf numFmtId="0" fontId="0" fillId="0" borderId="33" xfId="0" applyBorder="1" applyAlignment="1">
      <alignment horizontal="center" vertical="center"/>
    </xf>
    <xf numFmtId="0" fontId="0" fillId="0" borderId="15" xfId="0" applyBorder="1" applyAlignment="1">
      <alignment horizontal="center" vertical="center"/>
    </xf>
    <xf numFmtId="0" fontId="3" fillId="0" borderId="28" xfId="0" applyFont="1" applyBorder="1" applyAlignment="1">
      <alignment vertical="center" wrapText="1"/>
    </xf>
    <xf numFmtId="0" fontId="3" fillId="0" borderId="17" xfId="0" quotePrefix="1" applyFont="1" applyBorder="1" applyAlignment="1">
      <alignment horizontal="center" vertical="center"/>
    </xf>
    <xf numFmtId="0" fontId="3" fillId="0" borderId="17" xfId="0"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3" fillId="0" borderId="28" xfId="0" applyFont="1" applyBorder="1" applyAlignment="1">
      <alignment vertical="center"/>
    </xf>
    <xf numFmtId="0" fontId="18" fillId="0" borderId="28" xfId="0" applyFont="1" applyBorder="1" applyAlignment="1">
      <alignment vertical="center"/>
    </xf>
    <xf numFmtId="0" fontId="18" fillId="0" borderId="17" xfId="0" applyFont="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0" xfId="0" applyFont="1" applyAlignment="1">
      <alignment vertical="center"/>
    </xf>
    <xf numFmtId="0" fontId="10" fillId="0" borderId="17" xfId="0" applyFont="1" applyBorder="1" applyAlignment="1">
      <alignment horizontal="center" vertical="center" wrapText="1"/>
    </xf>
    <xf numFmtId="0" fontId="3" fillId="0" borderId="17" xfId="0" applyFont="1" applyBorder="1" applyAlignment="1">
      <alignment horizontal="center" vertical="center"/>
    </xf>
    <xf numFmtId="0" fontId="10" fillId="0" borderId="17" xfId="0" quotePrefix="1" applyFont="1" applyBorder="1" applyAlignment="1">
      <alignment horizontal="center" vertical="center"/>
    </xf>
    <xf numFmtId="0" fontId="3" fillId="0" borderId="42" xfId="0" applyFont="1" applyBorder="1" applyAlignment="1">
      <alignment vertical="center"/>
    </xf>
    <xf numFmtId="0" fontId="3" fillId="0" borderId="21" xfId="0" quotePrefix="1" applyFont="1" applyBorder="1" applyAlignment="1">
      <alignment horizontal="center" vertical="center"/>
    </xf>
    <xf numFmtId="0" fontId="10" fillId="0" borderId="22" xfId="0" quotePrefix="1" applyFont="1" applyBorder="1" applyAlignment="1">
      <alignment horizontal="center" vertical="center"/>
    </xf>
    <xf numFmtId="0" fontId="3" fillId="0" borderId="50" xfId="0" applyFont="1" applyBorder="1" applyAlignment="1">
      <alignment horizontal="center" vertical="center"/>
    </xf>
    <xf numFmtId="0" fontId="3" fillId="0" borderId="22" xfId="0" applyFont="1" applyBorder="1" applyAlignment="1">
      <alignment horizontal="center" vertical="center"/>
    </xf>
    <xf numFmtId="0" fontId="0" fillId="0" borderId="20" xfId="0" applyBorder="1" applyAlignment="1">
      <alignment horizontal="center" vertical="center"/>
    </xf>
    <xf numFmtId="0" fontId="0" fillId="0" borderId="5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14" fontId="0" fillId="0" borderId="0" xfId="0" applyNumberFormat="1" applyAlignment="1">
      <alignment horizontal="center" vertical="center"/>
    </xf>
    <xf numFmtId="0" fontId="9" fillId="8" borderId="31" xfId="0" applyFont="1" applyFill="1" applyBorder="1" applyAlignment="1">
      <alignment horizontal="center" vertical="center" wrapText="1"/>
    </xf>
    <xf numFmtId="0" fontId="0" fillId="0" borderId="31" xfId="0" applyBorder="1"/>
    <xf numFmtId="0" fontId="0" fillId="0" borderId="53" xfId="0" applyBorder="1"/>
    <xf numFmtId="0" fontId="0" fillId="15" borderId="54" xfId="0" applyFill="1" applyBorder="1"/>
    <xf numFmtId="0" fontId="0" fillId="15" borderId="55" xfId="0" applyFill="1" applyBorder="1"/>
    <xf numFmtId="0" fontId="0" fillId="15" borderId="56" xfId="0" applyFill="1" applyBorder="1"/>
    <xf numFmtId="0" fontId="0" fillId="0" borderId="57" xfId="0" applyBorder="1"/>
    <xf numFmtId="0" fontId="0" fillId="0" borderId="57" xfId="0" applyBorder="1" applyAlignment="1">
      <alignment horizontal="center"/>
    </xf>
    <xf numFmtId="0" fontId="0" fillId="0" borderId="58" xfId="0" applyBorder="1"/>
    <xf numFmtId="0" fontId="0" fillId="0" borderId="58" xfId="0" applyBorder="1" applyAlignment="1">
      <alignment horizontal="center"/>
    </xf>
    <xf numFmtId="0" fontId="0" fillId="0" borderId="0" xfId="0" applyAlignment="1">
      <alignment wrapText="1"/>
    </xf>
    <xf numFmtId="0" fontId="9" fillId="4" borderId="13" xfId="0" applyFont="1" applyFill="1" applyBorder="1" applyAlignment="1">
      <alignment horizontal="center" vertical="center" wrapText="1"/>
    </xf>
    <xf numFmtId="0" fontId="0" fillId="5" borderId="62" xfId="0" applyFill="1" applyBorder="1" applyAlignment="1">
      <alignment horizontal="center" vertical="center"/>
    </xf>
    <xf numFmtId="0" fontId="19" fillId="4" borderId="65" xfId="0" applyFont="1" applyFill="1" applyBorder="1" applyAlignment="1">
      <alignment horizontal="center" vertical="center" wrapText="1"/>
    </xf>
    <xf numFmtId="0" fontId="19" fillId="4" borderId="66" xfId="0" applyFont="1" applyFill="1" applyBorder="1" applyAlignment="1">
      <alignment horizontal="center" vertical="center" wrapText="1"/>
    </xf>
    <xf numFmtId="49" fontId="19" fillId="4" borderId="67" xfId="0" applyNumberFormat="1" applyFont="1" applyFill="1" applyBorder="1" applyAlignment="1">
      <alignment horizontal="center" vertical="center" wrapText="1"/>
    </xf>
    <xf numFmtId="0" fontId="9" fillId="0" borderId="0" xfId="0" applyFont="1" applyAlignment="1">
      <alignment horizontal="left" vertical="center" wrapText="1"/>
    </xf>
    <xf numFmtId="0" fontId="0" fillId="12" borderId="49" xfId="0" applyFill="1" applyBorder="1" applyAlignment="1">
      <alignment horizontal="left" vertical="center" wrapText="1"/>
    </xf>
    <xf numFmtId="0" fontId="0" fillId="2" borderId="55" xfId="0" applyFill="1" applyBorder="1" applyAlignment="1">
      <alignment horizontal="left" vertical="center" wrapText="1"/>
    </xf>
    <xf numFmtId="0" fontId="0" fillId="2" borderId="55" xfId="0" applyFill="1" applyBorder="1" applyAlignment="1">
      <alignment horizontal="center" vertical="center" wrapText="1"/>
    </xf>
    <xf numFmtId="0" fontId="0" fillId="6" borderId="58" xfId="0" applyFill="1" applyBorder="1" applyAlignment="1">
      <alignment horizontal="center" vertical="center" wrapText="1"/>
    </xf>
    <xf numFmtId="0" fontId="16" fillId="6" borderId="57" xfId="0" applyFont="1" applyFill="1" applyBorder="1" applyAlignment="1">
      <alignment horizontal="center" vertical="center" wrapText="1"/>
    </xf>
    <xf numFmtId="0" fontId="0" fillId="15" borderId="57" xfId="0" applyFill="1" applyBorder="1"/>
    <xf numFmtId="0" fontId="0" fillId="0" borderId="53" xfId="0" applyBorder="1" applyAlignment="1">
      <alignment horizontal="center" vertical="center" wrapText="1"/>
    </xf>
    <xf numFmtId="0" fontId="9" fillId="4" borderId="55" xfId="0" applyFont="1" applyFill="1" applyBorder="1" applyAlignment="1">
      <alignment horizontal="center" vertical="center" wrapText="1"/>
    </xf>
    <xf numFmtId="0" fontId="0" fillId="2" borderId="57" xfId="0" applyFill="1" applyBorder="1" applyAlignment="1">
      <alignment horizontal="center" vertical="center" wrapText="1"/>
    </xf>
    <xf numFmtId="0" fontId="9" fillId="4" borderId="54" xfId="0" applyFont="1" applyFill="1" applyBorder="1" applyAlignment="1">
      <alignment horizontal="center" vertical="center" wrapText="1"/>
    </xf>
    <xf numFmtId="0" fontId="9" fillId="4" borderId="56" xfId="0" applyFont="1" applyFill="1" applyBorder="1" applyAlignment="1">
      <alignment horizontal="center" vertical="center" wrapText="1"/>
    </xf>
    <xf numFmtId="0" fontId="0" fillId="2" borderId="54" xfId="0" applyFill="1" applyBorder="1" applyAlignment="1">
      <alignment horizontal="center" vertical="center" wrapText="1"/>
    </xf>
    <xf numFmtId="0" fontId="0" fillId="2" borderId="56" xfId="0" applyFill="1" applyBorder="1" applyAlignment="1">
      <alignment horizontal="center" vertical="center" wrapText="1"/>
    </xf>
    <xf numFmtId="0" fontId="9" fillId="4" borderId="53" xfId="0" applyFont="1" applyFill="1" applyBorder="1" applyAlignment="1">
      <alignment horizontal="center" vertical="center" wrapText="1"/>
    </xf>
    <xf numFmtId="0" fontId="0" fillId="0" borderId="59" xfId="0" applyBorder="1" applyAlignment="1">
      <alignment horizontal="center" vertical="center"/>
    </xf>
    <xf numFmtId="0" fontId="0" fillId="0" borderId="60" xfId="0" applyBorder="1" applyAlignment="1">
      <alignment horizontal="center" vertical="center"/>
    </xf>
    <xf numFmtId="17" fontId="0" fillId="0" borderId="61" xfId="0" applyNumberFormat="1"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17" fontId="0" fillId="0" borderId="64" xfId="0" applyNumberFormat="1" applyBorder="1" applyAlignment="1">
      <alignment horizontal="center" vertical="center"/>
    </xf>
    <xf numFmtId="0" fontId="0" fillId="0" borderId="64" xfId="0" applyBorder="1" applyAlignment="1">
      <alignment horizontal="center" vertical="center"/>
    </xf>
    <xf numFmtId="0" fontId="0" fillId="0" borderId="63" xfId="0" quotePrefix="1" applyBorder="1" applyAlignment="1">
      <alignment horizontal="center" vertical="center"/>
    </xf>
    <xf numFmtId="0" fontId="9" fillId="0" borderId="63" xfId="0" quotePrefix="1" applyFont="1" applyBorder="1" applyAlignment="1">
      <alignment horizontal="center" vertical="center"/>
    </xf>
    <xf numFmtId="0" fontId="9" fillId="0" borderId="62" xfId="0" applyFont="1" applyBorder="1" applyAlignment="1">
      <alignment horizontal="center" vertical="center"/>
    </xf>
    <xf numFmtId="0" fontId="9" fillId="0" borderId="63" xfId="0" applyFont="1" applyBorder="1" applyAlignment="1">
      <alignment horizontal="center" vertical="center"/>
    </xf>
    <xf numFmtId="17" fontId="16" fillId="0" borderId="64" xfId="0" applyNumberFormat="1" applyFont="1" applyBorder="1" applyAlignment="1">
      <alignment horizontal="center" vertical="center"/>
    </xf>
    <xf numFmtId="0" fontId="16" fillId="0" borderId="63" xfId="0" applyFont="1" applyBorder="1" applyAlignment="1">
      <alignment horizontal="center" vertical="center"/>
    </xf>
    <xf numFmtId="0" fontId="9" fillId="17" borderId="63" xfId="0" quotePrefix="1" applyFont="1" applyFill="1" applyBorder="1" applyAlignment="1">
      <alignment horizontal="center" vertical="center"/>
    </xf>
    <xf numFmtId="17" fontId="9" fillId="17" borderId="64" xfId="0" applyNumberFormat="1" applyFont="1" applyFill="1" applyBorder="1" applyAlignment="1">
      <alignment horizontal="center" vertical="center"/>
    </xf>
    <xf numFmtId="0" fontId="0" fillId="17" borderId="63" xfId="0" applyFill="1" applyBorder="1" applyAlignment="1">
      <alignment horizontal="center" vertical="center"/>
    </xf>
    <xf numFmtId="17" fontId="0" fillId="17" borderId="64" xfId="0" applyNumberFormat="1" applyFill="1" applyBorder="1" applyAlignment="1">
      <alignment horizontal="center" vertical="center"/>
    </xf>
    <xf numFmtId="0" fontId="0" fillId="17" borderId="63" xfId="0" quotePrefix="1" applyFill="1" applyBorder="1" applyAlignment="1">
      <alignment horizontal="center" vertical="center"/>
    </xf>
    <xf numFmtId="0" fontId="0" fillId="18" borderId="0" xfId="0" applyFill="1" applyAlignment="1">
      <alignment vertical="center" wrapText="1"/>
    </xf>
    <xf numFmtId="0" fontId="0" fillId="19" borderId="31" xfId="0" applyFill="1" applyBorder="1" applyAlignment="1">
      <alignment horizontal="center" vertical="center" wrapText="1"/>
    </xf>
    <xf numFmtId="0" fontId="23" fillId="0" borderId="31" xfId="0" applyFont="1" applyBorder="1" applyAlignment="1">
      <alignment horizontal="center" vertical="center" wrapText="1"/>
    </xf>
    <xf numFmtId="0" fontId="23" fillId="0" borderId="49" xfId="0" applyFont="1" applyBorder="1" applyAlignment="1">
      <alignment horizontal="center" vertical="center" wrapText="1"/>
    </xf>
    <xf numFmtId="0" fontId="0" fillId="0" borderId="31" xfId="0" applyBorder="1" applyAlignment="1">
      <alignment vertical="center" wrapText="1"/>
    </xf>
    <xf numFmtId="0" fontId="16" fillId="12" borderId="57" xfId="0" applyFont="1" applyFill="1" applyBorder="1" applyAlignment="1">
      <alignment horizontal="center" vertical="center" wrapText="1"/>
    </xf>
    <xf numFmtId="0" fontId="0" fillId="8" borderId="0" xfId="0" applyFill="1" applyAlignment="1">
      <alignment horizontal="center" vertical="center"/>
    </xf>
    <xf numFmtId="0" fontId="0" fillId="5" borderId="0" xfId="0" applyFill="1" applyAlignment="1">
      <alignment vertical="center" wrapText="1"/>
    </xf>
    <xf numFmtId="0" fontId="0" fillId="20" borderId="0" xfId="0" applyFill="1" applyAlignment="1">
      <alignment vertical="center"/>
    </xf>
    <xf numFmtId="0" fontId="0" fillId="0" borderId="57" xfId="0" applyBorder="1" applyAlignment="1">
      <alignment horizontal="center" vertical="center" wrapText="1"/>
    </xf>
    <xf numFmtId="0" fontId="0" fillId="0" borderId="56" xfId="0" applyBorder="1" applyAlignment="1">
      <alignment horizontal="left" vertical="center" wrapText="1"/>
    </xf>
    <xf numFmtId="0" fontId="0" fillId="7" borderId="0" xfId="0" applyFill="1" applyAlignment="1">
      <alignment vertical="center" wrapText="1"/>
    </xf>
    <xf numFmtId="0" fontId="0" fillId="7" borderId="0" xfId="0" applyFill="1" applyAlignment="1">
      <alignment vertical="center"/>
    </xf>
    <xf numFmtId="0" fontId="0" fillId="20" borderId="31" xfId="0" applyFill="1" applyBorder="1" applyAlignment="1">
      <alignment horizontal="center" vertical="center" wrapText="1"/>
    </xf>
    <xf numFmtId="0" fontId="3" fillId="2" borderId="52" xfId="0" applyFont="1" applyFill="1" applyBorder="1" applyAlignment="1">
      <alignment horizontal="center" vertical="center" wrapText="1"/>
    </xf>
    <xf numFmtId="0" fontId="0" fillId="2" borderId="0" xfId="0" applyFill="1" applyAlignment="1">
      <alignment horizontal="center" vertical="center" wrapText="1"/>
    </xf>
    <xf numFmtId="0" fontId="16" fillId="2" borderId="31" xfId="0" applyFont="1" applyFill="1" applyBorder="1" applyAlignment="1">
      <alignment horizontal="center" vertical="center" wrapText="1"/>
    </xf>
    <xf numFmtId="0" fontId="16" fillId="2" borderId="0" xfId="0" applyFont="1" applyFill="1" applyAlignment="1">
      <alignment horizontal="center" vertical="center" wrapText="1"/>
    </xf>
    <xf numFmtId="0" fontId="9" fillId="2" borderId="49" xfId="0" applyFont="1" applyFill="1" applyBorder="1" applyAlignment="1">
      <alignment horizontal="center" vertical="center" wrapText="1"/>
    </xf>
    <xf numFmtId="0" fontId="22" fillId="2" borderId="31" xfId="0" applyFont="1" applyFill="1" applyBorder="1" applyAlignment="1">
      <alignment horizontal="center" vertical="center" wrapText="1"/>
    </xf>
    <xf numFmtId="0" fontId="0" fillId="2" borderId="31" xfId="0" applyFill="1" applyBorder="1" applyAlignment="1">
      <alignment horizontal="left" vertical="center" wrapText="1"/>
    </xf>
    <xf numFmtId="0" fontId="3" fillId="2" borderId="58" xfId="0" applyFont="1" applyFill="1" applyBorder="1" applyAlignment="1">
      <alignment horizontal="left" vertical="center" wrapText="1"/>
    </xf>
    <xf numFmtId="0" fontId="0" fillId="0" borderId="55" xfId="0" applyBorder="1" applyAlignment="1">
      <alignment horizontal="left"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xf>
    <xf numFmtId="0" fontId="0" fillId="0" borderId="54" xfId="0" applyBorder="1" applyAlignment="1">
      <alignment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70" xfId="0" applyBorder="1" applyAlignment="1">
      <alignment horizontal="center"/>
    </xf>
    <xf numFmtId="0" fontId="0" fillId="0" borderId="71" xfId="0" applyBorder="1" applyAlignment="1">
      <alignment horizontal="center"/>
    </xf>
    <xf numFmtId="0" fontId="24" fillId="0" borderId="55" xfId="0" applyFont="1" applyBorder="1" applyAlignment="1">
      <alignment wrapText="1"/>
    </xf>
    <xf numFmtId="0" fontId="25" fillId="0" borderId="55" xfId="0" applyFont="1" applyBorder="1" applyAlignment="1">
      <alignment wrapText="1"/>
    </xf>
    <xf numFmtId="0" fontId="26" fillId="0" borderId="55" xfId="0" applyFont="1" applyBorder="1" applyAlignment="1">
      <alignment wrapText="1"/>
    </xf>
    <xf numFmtId="0" fontId="24" fillId="0" borderId="70" xfId="0" applyFont="1" applyBorder="1" applyAlignment="1">
      <alignment wrapText="1"/>
    </xf>
    <xf numFmtId="0" fontId="25" fillId="0" borderId="70" xfId="0" applyFont="1" applyBorder="1" applyAlignment="1">
      <alignment wrapText="1"/>
    </xf>
    <xf numFmtId="0" fontId="3" fillId="2" borderId="57" xfId="0" applyFont="1" applyFill="1" applyBorder="1" applyAlignment="1">
      <alignment horizontal="left" vertical="center" wrapText="1"/>
    </xf>
    <xf numFmtId="0" fontId="0" fillId="20" borderId="0" xfId="0" applyFill="1" applyAlignment="1">
      <alignment horizontal="left" vertical="center" wrapText="1"/>
    </xf>
    <xf numFmtId="0" fontId="0" fillId="20" borderId="68" xfId="0" applyFill="1" applyBorder="1" applyAlignment="1">
      <alignment horizontal="center" vertical="center" wrapText="1"/>
    </xf>
    <xf numFmtId="0" fontId="0" fillId="20" borderId="0" xfId="0" applyFill="1" applyAlignment="1">
      <alignment horizontal="center" vertical="center" wrapText="1"/>
    </xf>
    <xf numFmtId="0" fontId="0" fillId="20" borderId="49" xfId="0" applyFill="1" applyBorder="1" applyAlignment="1">
      <alignment horizontal="center" vertical="center" wrapText="1"/>
    </xf>
    <xf numFmtId="0" fontId="0" fillId="20" borderId="49" xfId="0" quotePrefix="1" applyFill="1" applyBorder="1" applyAlignment="1">
      <alignment horizontal="center" vertical="center" wrapText="1"/>
    </xf>
    <xf numFmtId="0" fontId="0" fillId="20" borderId="0" xfId="0" applyFill="1" applyAlignment="1">
      <alignment vertical="center" wrapText="1"/>
    </xf>
    <xf numFmtId="0" fontId="19" fillId="4" borderId="73" xfId="0" applyFont="1" applyFill="1" applyBorder="1" applyAlignment="1">
      <alignment horizontal="center" vertical="center" wrapText="1"/>
    </xf>
    <xf numFmtId="164" fontId="19" fillId="4" borderId="21" xfId="0" applyNumberFormat="1" applyFont="1" applyFill="1" applyBorder="1" applyAlignment="1">
      <alignment horizontal="center" vertical="center" wrapText="1"/>
    </xf>
    <xf numFmtId="0" fontId="0" fillId="0" borderId="69" xfId="0" applyBorder="1" applyAlignment="1">
      <alignment vertical="center"/>
    </xf>
    <xf numFmtId="0" fontId="0" fillId="0" borderId="69" xfId="0" applyBorder="1" applyAlignment="1">
      <alignment horizontal="center" vertical="center"/>
    </xf>
    <xf numFmtId="0" fontId="0" fillId="0" borderId="74" xfId="0" applyBorder="1" applyAlignment="1">
      <alignment horizontal="center" vertical="center"/>
    </xf>
    <xf numFmtId="0" fontId="0" fillId="0" borderId="72" xfId="0" applyBorder="1" applyAlignment="1">
      <alignment horizontal="center" vertical="center"/>
    </xf>
    <xf numFmtId="0" fontId="0" fillId="0" borderId="23" xfId="0" applyBorder="1" applyAlignment="1">
      <alignment horizontal="center" vertical="center"/>
    </xf>
    <xf numFmtId="0" fontId="0" fillId="0" borderId="23" xfId="0" quotePrefix="1" applyBorder="1" applyAlignment="1">
      <alignment horizontal="center" vertical="center"/>
    </xf>
    <xf numFmtId="164" fontId="0" fillId="0" borderId="30" xfId="0" applyNumberFormat="1" applyBorder="1" applyAlignment="1">
      <alignment horizontal="center" vertical="center"/>
    </xf>
    <xf numFmtId="0" fontId="0" fillId="0" borderId="54" xfId="0" applyBorder="1" applyAlignment="1">
      <alignment horizontal="center" vertical="center"/>
    </xf>
    <xf numFmtId="0" fontId="0" fillId="0" borderId="13" xfId="0" applyBorder="1" applyAlignment="1">
      <alignment horizontal="center" vertical="center"/>
    </xf>
    <xf numFmtId="164" fontId="0" fillId="0" borderId="56" xfId="0" applyNumberFormat="1" applyBorder="1" applyAlignment="1">
      <alignment horizontal="center" vertical="center"/>
    </xf>
    <xf numFmtId="0" fontId="0" fillId="0" borderId="72" xfId="0" quotePrefix="1" applyBorder="1" applyAlignment="1">
      <alignment horizontal="center" vertical="center"/>
    </xf>
    <xf numFmtId="164" fontId="0" fillId="0" borderId="30" xfId="0" quotePrefix="1" applyNumberFormat="1" applyBorder="1" applyAlignment="1">
      <alignment horizontal="center" vertical="center"/>
    </xf>
    <xf numFmtId="0" fontId="0" fillId="0" borderId="57" xfId="0" quotePrefix="1" applyBorder="1" applyAlignment="1">
      <alignment vertical="center"/>
    </xf>
    <xf numFmtId="0" fontId="0" fillId="0" borderId="75" xfId="0" applyBorder="1" applyAlignment="1">
      <alignment horizontal="center" vertical="center"/>
    </xf>
    <xf numFmtId="0" fontId="0" fillId="0" borderId="55" xfId="0" quotePrefix="1" applyBorder="1" applyAlignment="1">
      <alignment horizontal="center" vertical="center"/>
    </xf>
    <xf numFmtId="0" fontId="0" fillId="0" borderId="54" xfId="0" quotePrefix="1" applyBorder="1" applyAlignment="1">
      <alignment horizontal="center" vertical="center"/>
    </xf>
    <xf numFmtId="164" fontId="0" fillId="0" borderId="56" xfId="0" quotePrefix="1" applyNumberFormat="1" applyBorder="1" applyAlignment="1">
      <alignment horizontal="center" vertical="center"/>
    </xf>
    <xf numFmtId="0" fontId="0" fillId="0" borderId="57" xfId="0" applyBorder="1" applyAlignment="1">
      <alignment vertical="center"/>
    </xf>
    <xf numFmtId="0" fontId="16" fillId="0" borderId="57" xfId="0" applyFont="1" applyBorder="1" applyAlignment="1">
      <alignment horizontal="center" vertical="center"/>
    </xf>
    <xf numFmtId="0" fontId="0" fillId="0" borderId="53" xfId="0" applyBorder="1" applyAlignment="1">
      <alignment horizontal="center" vertical="center"/>
    </xf>
    <xf numFmtId="0" fontId="0" fillId="12" borderId="54" xfId="0" applyFill="1" applyBorder="1" applyAlignment="1">
      <alignment horizontal="center" vertical="center"/>
    </xf>
    <xf numFmtId="0" fontId="0" fillId="12" borderId="55" xfId="0" applyFill="1" applyBorder="1" applyAlignment="1">
      <alignment horizontal="center" vertical="center"/>
    </xf>
    <xf numFmtId="164" fontId="0" fillId="12" borderId="56" xfId="0" applyNumberFormat="1" applyFill="1" applyBorder="1" applyAlignment="1">
      <alignment horizontal="center" vertical="center"/>
    </xf>
    <xf numFmtId="0" fontId="0" fillId="0" borderId="56" xfId="0" quotePrefix="1" applyBorder="1" applyAlignment="1">
      <alignment horizontal="center" vertical="center"/>
    </xf>
    <xf numFmtId="164" fontId="9" fillId="0" borderId="56" xfId="0" applyNumberFormat="1" applyFont="1" applyBorder="1" applyAlignment="1">
      <alignment horizontal="center" vertical="center"/>
    </xf>
    <xf numFmtId="0" fontId="9" fillId="0" borderId="57" xfId="0" applyFont="1" applyBorder="1" applyAlignment="1">
      <alignment vertical="center" wrapText="1"/>
    </xf>
    <xf numFmtId="0" fontId="9" fillId="0" borderId="57" xfId="0" applyFont="1" applyBorder="1" applyAlignment="1">
      <alignment horizontal="center" vertical="center"/>
    </xf>
    <xf numFmtId="17" fontId="9" fillId="0" borderId="64" xfId="0" applyNumberFormat="1" applyFont="1" applyBorder="1" applyAlignment="1">
      <alignment horizontal="center" vertical="center"/>
    </xf>
    <xf numFmtId="0" fontId="9" fillId="0" borderId="54" xfId="0" applyFont="1" applyBorder="1" applyAlignment="1">
      <alignment horizontal="center" vertical="center"/>
    </xf>
    <xf numFmtId="0" fontId="9" fillId="0" borderId="55" xfId="0" applyFont="1" applyBorder="1" applyAlignment="1">
      <alignment horizontal="center" vertical="center"/>
    </xf>
    <xf numFmtId="0" fontId="16" fillId="0" borderId="54" xfId="0" applyFont="1" applyBorder="1" applyAlignment="1">
      <alignment horizontal="center" vertical="center"/>
    </xf>
    <xf numFmtId="0" fontId="16" fillId="0" borderId="55" xfId="0" applyFont="1" applyBorder="1" applyAlignment="1">
      <alignment horizontal="center" vertical="center"/>
    </xf>
    <xf numFmtId="164" fontId="16" fillId="0" borderId="56" xfId="0" applyNumberFormat="1" applyFont="1" applyBorder="1" applyAlignment="1">
      <alignment horizontal="center" vertical="center"/>
    </xf>
    <xf numFmtId="0" fontId="9" fillId="0" borderId="57" xfId="0" applyFont="1" applyBorder="1" applyAlignment="1">
      <alignment horizontal="left" vertical="center" wrapText="1"/>
    </xf>
    <xf numFmtId="17" fontId="0" fillId="0" borderId="56" xfId="0" applyNumberFormat="1" applyBorder="1" applyAlignment="1">
      <alignment horizontal="center" vertical="center"/>
    </xf>
    <xf numFmtId="0" fontId="16" fillId="0" borderId="57" xfId="0" applyFont="1" applyBorder="1" applyAlignment="1">
      <alignment vertical="center" wrapText="1"/>
    </xf>
    <xf numFmtId="0" fontId="16" fillId="0" borderId="55" xfId="0" applyFont="1" applyBorder="1" applyAlignment="1">
      <alignment vertical="center"/>
    </xf>
    <xf numFmtId="164" fontId="0" fillId="0" borderId="0" xfId="0" applyNumberFormat="1" applyAlignment="1">
      <alignment horizontal="center" vertical="center"/>
    </xf>
    <xf numFmtId="0" fontId="9" fillId="12" borderId="31" xfId="0" applyFont="1" applyFill="1" applyBorder="1" applyAlignment="1">
      <alignment horizontal="center" vertical="center" wrapText="1"/>
    </xf>
    <xf numFmtId="0" fontId="15" fillId="7" borderId="0" xfId="1" applyFill="1" applyAlignment="1">
      <alignment horizontal="center"/>
    </xf>
    <xf numFmtId="0" fontId="0" fillId="12" borderId="0" xfId="0" applyFill="1" applyAlignment="1">
      <alignment horizontal="center" vertical="center" wrapText="1"/>
    </xf>
    <xf numFmtId="0" fontId="18" fillId="12" borderId="17"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5" borderId="57" xfId="0" applyFont="1" applyFill="1" applyBorder="1" applyAlignment="1">
      <alignment horizontal="center" vertical="center" wrapText="1"/>
    </xf>
    <xf numFmtId="0" fontId="0" fillId="0" borderId="69" xfId="0" applyBorder="1"/>
    <xf numFmtId="0" fontId="0" fillId="0" borderId="56" xfId="0" applyBorder="1"/>
    <xf numFmtId="0" fontId="20" fillId="11" borderId="53" xfId="0" applyFont="1" applyFill="1" applyBorder="1" applyAlignment="1">
      <alignment horizontal="center" vertical="center" wrapText="1"/>
    </xf>
    <xf numFmtId="0" fontId="16" fillId="12" borderId="55" xfId="0" applyFont="1" applyFill="1" applyBorder="1" applyAlignment="1">
      <alignment horizontal="left" vertical="center" wrapText="1"/>
    </xf>
    <xf numFmtId="0" fontId="9" fillId="6" borderId="55" xfId="0" applyFont="1" applyFill="1" applyBorder="1" applyAlignment="1">
      <alignment horizontal="left" vertical="center" wrapText="1"/>
    </xf>
    <xf numFmtId="0" fontId="0" fillId="15" borderId="55" xfId="0" applyFill="1" applyBorder="1" applyAlignment="1">
      <alignment vertical="center" wrapText="1"/>
    </xf>
    <xf numFmtId="0" fontId="0" fillId="15" borderId="55" xfId="0" applyFill="1" applyBorder="1" applyAlignment="1">
      <alignment vertical="top" wrapText="1"/>
    </xf>
    <xf numFmtId="0" fontId="0" fillId="15" borderId="55" xfId="0" applyFill="1" applyBorder="1" applyAlignment="1">
      <alignment wrapText="1"/>
    </xf>
    <xf numFmtId="0" fontId="3" fillId="10" borderId="57" xfId="0" applyFont="1" applyFill="1" applyBorder="1" applyAlignment="1">
      <alignment horizontal="center" vertical="center"/>
    </xf>
    <xf numFmtId="14" fontId="0" fillId="0" borderId="57" xfId="0" applyNumberFormat="1" applyBorder="1" applyAlignment="1">
      <alignment horizontal="center" vertical="center"/>
    </xf>
    <xf numFmtId="14" fontId="0" fillId="0" borderId="57" xfId="0" applyNumberFormat="1" applyBorder="1" applyAlignment="1">
      <alignment vertical="center"/>
    </xf>
    <xf numFmtId="0" fontId="3" fillId="10" borderId="57" xfId="0" applyFont="1" applyFill="1" applyBorder="1" applyAlignment="1">
      <alignment horizontal="center" vertical="center" wrapText="1"/>
    </xf>
    <xf numFmtId="0" fontId="3" fillId="0" borderId="69" xfId="0" quotePrefix="1" applyFont="1" applyBorder="1" applyAlignment="1">
      <alignment horizontal="center" vertical="center"/>
    </xf>
    <xf numFmtId="0" fontId="1" fillId="0" borderId="69" xfId="0" applyFont="1" applyBorder="1" applyAlignment="1">
      <alignment horizontal="center" vertical="center"/>
    </xf>
    <xf numFmtId="0" fontId="3" fillId="0" borderId="57" xfId="0" quotePrefix="1" applyFont="1" applyBorder="1" applyAlignment="1">
      <alignment horizontal="center" vertical="center"/>
    </xf>
    <xf numFmtId="0" fontId="3" fillId="12" borderId="56" xfId="0" applyFont="1" applyFill="1" applyBorder="1" applyAlignment="1">
      <alignment horizontal="center" vertical="center" wrapText="1"/>
    </xf>
    <xf numFmtId="0" fontId="3" fillId="0" borderId="56" xfId="0" applyFont="1" applyBorder="1" applyAlignment="1">
      <alignment horizontal="center" vertical="center" wrapText="1"/>
    </xf>
    <xf numFmtId="0" fontId="18" fillId="0" borderId="57" xfId="0" quotePrefix="1" applyFont="1" applyBorder="1" applyAlignment="1">
      <alignment horizontal="center" vertical="center"/>
    </xf>
    <xf numFmtId="0" fontId="18" fillId="12" borderId="56" xfId="0" applyFont="1" applyFill="1" applyBorder="1" applyAlignment="1">
      <alignment horizontal="center" vertical="center" wrapText="1"/>
    </xf>
    <xf numFmtId="0" fontId="9" fillId="0" borderId="56" xfId="0" applyFont="1" applyBorder="1" applyAlignment="1">
      <alignment horizontal="center" vertical="center"/>
    </xf>
    <xf numFmtId="0" fontId="10" fillId="0" borderId="57" xfId="0" quotePrefix="1" applyFont="1" applyBorder="1" applyAlignment="1">
      <alignment horizontal="center" vertical="center"/>
    </xf>
    <xf numFmtId="0" fontId="18" fillId="0" borderId="56" xfId="0" applyFont="1" applyBorder="1" applyAlignment="1">
      <alignment horizontal="center" vertical="center" wrapText="1"/>
    </xf>
    <xf numFmtId="0" fontId="18" fillId="2" borderId="52" xfId="0" applyFont="1" applyFill="1" applyBorder="1" applyAlignment="1">
      <alignment horizontal="center" vertical="center" wrapText="1"/>
    </xf>
    <xf numFmtId="0" fontId="18" fillId="2" borderId="70" xfId="0" applyFont="1" applyFill="1" applyBorder="1" applyAlignment="1">
      <alignment horizontal="center" vertical="center" wrapText="1"/>
    </xf>
    <xf numFmtId="0" fontId="18" fillId="2" borderId="71" xfId="0" applyFont="1" applyFill="1" applyBorder="1" applyAlignment="1">
      <alignment horizontal="center" vertical="center" wrapText="1"/>
    </xf>
    <xf numFmtId="0" fontId="0" fillId="0" borderId="68" xfId="0" applyBorder="1" applyAlignment="1">
      <alignment horizontal="left" vertical="center" wrapText="1"/>
    </xf>
    <xf numFmtId="0" fontId="3" fillId="2" borderId="68" xfId="0" applyFont="1" applyFill="1" applyBorder="1" applyAlignment="1">
      <alignment horizontal="left" vertical="center" wrapText="1"/>
    </xf>
    <xf numFmtId="0" fontId="0" fillId="20" borderId="68" xfId="0" applyFill="1" applyBorder="1" applyAlignment="1">
      <alignment horizontal="left" vertical="center" wrapText="1"/>
    </xf>
    <xf numFmtId="0" fontId="0" fillId="7" borderId="68" xfId="0" applyFill="1" applyBorder="1" applyAlignment="1">
      <alignment horizontal="left" vertical="center" wrapText="1"/>
    </xf>
    <xf numFmtId="0" fontId="22" fillId="2" borderId="68" xfId="0" applyFont="1" applyFill="1" applyBorder="1" applyAlignment="1">
      <alignment horizontal="left" vertical="center" wrapText="1"/>
    </xf>
    <xf numFmtId="0" fontId="0" fillId="0" borderId="69" xfId="0" applyBorder="1" applyAlignment="1">
      <alignment horizontal="left" vertical="center" wrapText="1"/>
    </xf>
    <xf numFmtId="0" fontId="0" fillId="0" borderId="68" xfId="0" applyBorder="1" applyAlignment="1">
      <alignment horizontal="center" vertical="center" wrapText="1"/>
    </xf>
    <xf numFmtId="0" fontId="20" fillId="11" borderId="57" xfId="0" applyFont="1" applyFill="1" applyBorder="1" applyAlignment="1">
      <alignment horizontal="center" vertical="center" wrapText="1"/>
    </xf>
    <xf numFmtId="0" fontId="18" fillId="4" borderId="53" xfId="0" applyFont="1" applyFill="1" applyBorder="1" applyAlignment="1">
      <alignment horizontal="center" vertical="center" wrapText="1"/>
    </xf>
    <xf numFmtId="0" fontId="16" fillId="12" borderId="57" xfId="0" applyFont="1" applyFill="1" applyBorder="1" applyAlignment="1">
      <alignment horizontal="left" vertical="center" wrapText="1"/>
    </xf>
    <xf numFmtId="0" fontId="0" fillId="12" borderId="57" xfId="0" applyFill="1" applyBorder="1" applyAlignment="1">
      <alignment horizontal="center" vertical="center" wrapText="1"/>
    </xf>
    <xf numFmtId="0" fontId="0" fillId="12" borderId="55" xfId="0" applyFill="1" applyBorder="1" applyAlignment="1">
      <alignment horizontal="left" vertical="center" wrapText="1"/>
    </xf>
    <xf numFmtId="0" fontId="0" fillId="12" borderId="55" xfId="0" applyFill="1" applyBorder="1" applyAlignment="1">
      <alignment horizontal="center" vertical="center" wrapText="1"/>
    </xf>
    <xf numFmtId="0" fontId="0" fillId="12" borderId="56" xfId="0" applyFill="1" applyBorder="1" applyAlignment="1">
      <alignment horizontal="center" vertical="center" wrapText="1"/>
    </xf>
    <xf numFmtId="0" fontId="16" fillId="0" borderId="52" xfId="0" applyFont="1" applyBorder="1" applyAlignment="1">
      <alignment horizontal="left" vertical="center" wrapText="1"/>
    </xf>
    <xf numFmtId="0" fontId="16" fillId="0" borderId="71" xfId="0" applyFont="1" applyBorder="1" applyAlignment="1">
      <alignment horizontal="left" vertical="center" wrapText="1"/>
    </xf>
    <xf numFmtId="0" fontId="0" fillId="7" borderId="57" xfId="0" applyFill="1" applyBorder="1" applyAlignment="1">
      <alignment horizontal="center" vertical="center" wrapText="1"/>
    </xf>
    <xf numFmtId="0" fontId="0" fillId="7" borderId="56" xfId="0" applyFill="1" applyBorder="1" applyAlignment="1">
      <alignment horizontal="left" vertical="center" wrapText="1"/>
    </xf>
    <xf numFmtId="0" fontId="15" fillId="7" borderId="57" xfId="1" applyFill="1" applyBorder="1" applyAlignment="1">
      <alignment horizontal="center" vertical="center"/>
    </xf>
    <xf numFmtId="0" fontId="0" fillId="7" borderId="57" xfId="0" applyFill="1" applyBorder="1" applyAlignment="1">
      <alignment horizontal="left" vertical="center" wrapText="1"/>
    </xf>
    <xf numFmtId="0" fontId="9" fillId="0" borderId="71" xfId="0" applyFont="1" applyBorder="1" applyAlignment="1">
      <alignment horizontal="left" vertical="center" wrapText="1"/>
    </xf>
    <xf numFmtId="0" fontId="0" fillId="0" borderId="57" xfId="0" applyBorder="1" applyAlignment="1">
      <alignment horizontal="left" vertical="center" wrapText="1"/>
    </xf>
    <xf numFmtId="0" fontId="0" fillId="12" borderId="57" xfId="0" applyFill="1" applyBorder="1" applyAlignment="1">
      <alignment horizontal="left" vertical="center" wrapText="1"/>
    </xf>
    <xf numFmtId="0" fontId="0" fillId="0" borderId="58" xfId="0" applyBorder="1" applyAlignment="1">
      <alignment horizontal="center" vertical="center" wrapText="1"/>
    </xf>
    <xf numFmtId="0" fontId="0" fillId="0" borderId="69" xfId="0" applyBorder="1" applyAlignment="1">
      <alignment horizontal="center" vertical="center" wrapText="1"/>
    </xf>
    <xf numFmtId="0" fontId="9" fillId="6" borderId="57" xfId="0" applyFont="1" applyFill="1" applyBorder="1" applyAlignment="1">
      <alignment horizontal="left" vertical="center" wrapText="1"/>
    </xf>
    <xf numFmtId="0" fontId="0" fillId="6" borderId="57" xfId="0" applyFill="1" applyBorder="1" applyAlignment="1">
      <alignment horizontal="center" vertical="center" wrapText="1"/>
    </xf>
    <xf numFmtId="0" fontId="0" fillId="6" borderId="55" xfId="0" applyFill="1" applyBorder="1" applyAlignment="1">
      <alignment horizontal="left" vertical="center" wrapText="1"/>
    </xf>
    <xf numFmtId="0" fontId="0" fillId="6" borderId="55" xfId="0" applyFill="1" applyBorder="1" applyAlignment="1">
      <alignment horizontal="center" vertical="center" wrapText="1"/>
    </xf>
    <xf numFmtId="0" fontId="0" fillId="6" borderId="56" xfId="0" applyFill="1" applyBorder="1" applyAlignment="1">
      <alignment horizontal="center" vertical="center" wrapText="1"/>
    </xf>
    <xf numFmtId="0" fontId="15" fillId="8" borderId="57" xfId="1" applyFill="1" applyBorder="1" applyAlignment="1">
      <alignment horizontal="center" vertical="center"/>
    </xf>
    <xf numFmtId="0" fontId="0" fillId="15" borderId="57" xfId="0" applyFill="1" applyBorder="1" applyAlignment="1">
      <alignment vertical="center"/>
    </xf>
    <xf numFmtId="0" fontId="0" fillId="6" borderId="57" xfId="0" applyFill="1" applyBorder="1" applyAlignment="1">
      <alignment vertical="center" wrapText="1"/>
    </xf>
    <xf numFmtId="0" fontId="0" fillId="15" borderId="57" xfId="0" applyFill="1" applyBorder="1" applyAlignment="1">
      <alignment horizontal="center" vertical="center"/>
    </xf>
    <xf numFmtId="0" fontId="0" fillId="15" borderId="54" xfId="0" applyFill="1" applyBorder="1" applyAlignment="1">
      <alignment vertical="center"/>
    </xf>
    <xf numFmtId="0" fontId="0" fillId="15" borderId="55" xfId="0" applyFill="1" applyBorder="1" applyAlignment="1">
      <alignment vertical="center"/>
    </xf>
    <xf numFmtId="0" fontId="0" fillId="15" borderId="56" xfId="0" applyFill="1" applyBorder="1" applyAlignment="1">
      <alignment vertical="center"/>
    </xf>
    <xf numFmtId="0" fontId="0" fillId="16" borderId="57" xfId="0" applyFill="1" applyBorder="1" applyAlignment="1">
      <alignment horizontal="center" vertical="center" wrapText="1"/>
    </xf>
    <xf numFmtId="0" fontId="0" fillId="15" borderId="57" xfId="0" applyFill="1" applyBorder="1" applyAlignment="1">
      <alignment vertical="center" wrapText="1"/>
    </xf>
    <xf numFmtId="0" fontId="0" fillId="16" borderId="57" xfId="0" applyFill="1" applyBorder="1" applyAlignment="1">
      <alignment horizontal="center" vertical="center"/>
    </xf>
    <xf numFmtId="0" fontId="0" fillId="16" borderId="57" xfId="0" applyFill="1" applyBorder="1" applyAlignment="1">
      <alignment vertical="center"/>
    </xf>
    <xf numFmtId="0" fontId="15" fillId="16" borderId="57" xfId="1" applyFill="1" applyBorder="1" applyAlignment="1">
      <alignment horizontal="center" vertical="center"/>
    </xf>
    <xf numFmtId="0" fontId="0" fillId="15" borderId="57" xfId="0" applyFill="1" applyBorder="1" applyAlignment="1">
      <alignment vertical="top" wrapText="1"/>
    </xf>
    <xf numFmtId="0" fontId="0" fillId="0" borderId="58" xfId="0" applyBorder="1" applyAlignment="1">
      <alignment horizontal="center" vertical="center"/>
    </xf>
    <xf numFmtId="0" fontId="0" fillId="0" borderId="58" xfId="0" applyBorder="1" applyAlignment="1">
      <alignment vertical="center"/>
    </xf>
    <xf numFmtId="0" fontId="0" fillId="15" borderId="57" xfId="0" applyFill="1" applyBorder="1" applyAlignment="1">
      <alignment wrapText="1"/>
    </xf>
    <xf numFmtId="0" fontId="0" fillId="15" borderId="57" xfId="0" applyFill="1" applyBorder="1" applyAlignment="1">
      <alignment horizontal="center"/>
    </xf>
    <xf numFmtId="0" fontId="0" fillId="16" borderId="57" xfId="0" applyFill="1" applyBorder="1" applyAlignment="1">
      <alignment horizontal="center"/>
    </xf>
    <xf numFmtId="0" fontId="0" fillId="16" borderId="57" xfId="0" applyFill="1" applyBorder="1"/>
    <xf numFmtId="0" fontId="24" fillId="0" borderId="57" xfId="0" applyFont="1" applyBorder="1" applyAlignment="1">
      <alignment wrapText="1"/>
    </xf>
    <xf numFmtId="0" fontId="16" fillId="0" borderId="57" xfId="0" applyFont="1" applyBorder="1" applyAlignment="1">
      <alignment horizontal="center" vertical="center" wrapText="1"/>
    </xf>
    <xf numFmtId="0" fontId="9" fillId="0" borderId="52" xfId="0" applyFont="1" applyBorder="1" applyAlignment="1">
      <alignment horizontal="left" vertical="center" wrapText="1"/>
    </xf>
    <xf numFmtId="0" fontId="9" fillId="0" borderId="70" xfId="0" applyFont="1" applyBorder="1" applyAlignment="1">
      <alignment horizontal="left" vertical="center" wrapText="1"/>
    </xf>
    <xf numFmtId="0" fontId="0" fillId="0" borderId="71" xfId="0" applyBorder="1"/>
    <xf numFmtId="0" fontId="3" fillId="10" borderId="68" xfId="0" applyFont="1" applyFill="1" applyBorder="1" applyAlignment="1">
      <alignment horizontal="center" vertical="center" wrapText="1"/>
    </xf>
    <xf numFmtId="0" fontId="3" fillId="2" borderId="68" xfId="0" applyFont="1" applyFill="1" applyBorder="1" applyAlignment="1">
      <alignment horizontal="center" vertical="center" wrapText="1"/>
    </xf>
    <xf numFmtId="0" fontId="9" fillId="0" borderId="68" xfId="0" quotePrefix="1" applyFont="1" applyBorder="1" applyAlignment="1">
      <alignment horizontal="center" vertical="center" wrapText="1"/>
    </xf>
    <xf numFmtId="0" fontId="2" fillId="0" borderId="68" xfId="0" applyFont="1" applyBorder="1" applyAlignment="1">
      <alignment horizontal="center" vertical="center" wrapText="1"/>
    </xf>
    <xf numFmtId="0" fontId="21" fillId="0" borderId="68" xfId="0" applyFont="1" applyBorder="1" applyAlignment="1">
      <alignment horizontal="center" vertical="center" wrapText="1"/>
    </xf>
    <xf numFmtId="0" fontId="9" fillId="0" borderId="68" xfId="0" applyFont="1" applyBorder="1" applyAlignment="1">
      <alignment horizontal="center" vertical="center" wrapText="1"/>
    </xf>
    <xf numFmtId="0" fontId="17" fillId="0" borderId="68" xfId="0" applyFont="1" applyBorder="1" applyAlignment="1">
      <alignment horizontal="center" vertical="center" wrapText="1"/>
    </xf>
    <xf numFmtId="0" fontId="0" fillId="2" borderId="68" xfId="0" applyFill="1" applyBorder="1" applyAlignment="1">
      <alignment horizontal="center" vertical="center" wrapText="1"/>
    </xf>
    <xf numFmtId="0" fontId="16" fillId="0" borderId="68" xfId="0" applyFont="1" applyBorder="1" applyAlignment="1">
      <alignment horizontal="center" vertical="center" wrapText="1"/>
    </xf>
    <xf numFmtId="0" fontId="4" fillId="0" borderId="69" xfId="0" applyFont="1" applyBorder="1"/>
    <xf numFmtId="0" fontId="4" fillId="3" borderId="69" xfId="0" applyFont="1" applyFill="1" applyBorder="1"/>
    <xf numFmtId="0" fontId="4" fillId="2" borderId="69" xfId="0" applyFont="1" applyFill="1" applyBorder="1"/>
    <xf numFmtId="0" fontId="0" fillId="2" borderId="69" xfId="0" applyFill="1" applyBorder="1"/>
    <xf numFmtId="0" fontId="4" fillId="0" borderId="57" xfId="0" applyFont="1" applyBorder="1"/>
    <xf numFmtId="3" fontId="0" fillId="0" borderId="57" xfId="0" applyNumberFormat="1" applyBorder="1" applyAlignment="1">
      <alignment horizontal="left"/>
    </xf>
    <xf numFmtId="0" fontId="4" fillId="3" borderId="57" xfId="0" applyFont="1" applyFill="1" applyBorder="1"/>
    <xf numFmtId="3" fontId="0" fillId="3" borderId="57" xfId="0" applyNumberFormat="1" applyFill="1" applyBorder="1" applyAlignment="1">
      <alignment horizontal="left"/>
    </xf>
    <xf numFmtId="3" fontId="0" fillId="0" borderId="57" xfId="0" applyNumberFormat="1" applyBorder="1" applyAlignment="1">
      <alignment horizontal="center"/>
    </xf>
    <xf numFmtId="0" fontId="4" fillId="2" borderId="57" xfId="0" applyFont="1" applyFill="1" applyBorder="1"/>
    <xf numFmtId="3" fontId="0" fillId="2" borderId="57" xfId="0" applyNumberFormat="1" applyFill="1" applyBorder="1" applyAlignment="1">
      <alignment horizontal="left"/>
    </xf>
    <xf numFmtId="0" fontId="0" fillId="3" borderId="57" xfId="0" applyFill="1" applyBorder="1"/>
    <xf numFmtId="0" fontId="0" fillId="2" borderId="57" xfId="0" applyFill="1" applyBorder="1"/>
    <xf numFmtId="0" fontId="0" fillId="0" borderId="57" xfId="0" applyBorder="1" applyAlignment="1">
      <alignment wrapText="1"/>
    </xf>
    <xf numFmtId="0" fontId="0" fillId="3" borderId="57" xfId="0" applyFill="1" applyBorder="1" applyAlignment="1">
      <alignment wrapText="1"/>
    </xf>
    <xf numFmtId="0" fontId="0" fillId="0" borderId="57" xfId="0" applyBorder="1" applyAlignment="1">
      <alignment horizontal="center" wrapText="1"/>
    </xf>
    <xf numFmtId="0" fontId="0" fillId="2" borderId="57" xfId="0" applyFill="1" applyBorder="1" applyAlignment="1">
      <alignment wrapText="1"/>
    </xf>
    <xf numFmtId="0" fontId="3" fillId="0" borderId="55" xfId="0" applyFont="1" applyBorder="1" applyAlignment="1">
      <alignment horizontal="center" vertical="center"/>
    </xf>
    <xf numFmtId="0" fontId="0" fillId="3" borderId="57" xfId="0" applyFill="1" applyBorder="1" applyAlignment="1">
      <alignment horizontal="center" vertical="center" wrapText="1"/>
    </xf>
    <xf numFmtId="0" fontId="5" fillId="0" borderId="57" xfId="0" applyFont="1" applyBorder="1" applyAlignment="1">
      <alignment horizontal="center"/>
    </xf>
    <xf numFmtId="0" fontId="0" fillId="0" borderId="69" xfId="0" applyBorder="1" applyAlignment="1">
      <alignment horizontal="center"/>
    </xf>
    <xf numFmtId="0" fontId="10" fillId="0" borderId="57" xfId="0" applyFont="1" applyBorder="1" applyAlignment="1">
      <alignment horizontal="center" vertical="center"/>
    </xf>
    <xf numFmtId="0" fontId="0" fillId="2" borderId="57" xfId="0" applyFill="1" applyBorder="1" applyAlignment="1">
      <alignment horizontal="center"/>
    </xf>
    <xf numFmtId="0" fontId="11" fillId="0" borderId="57" xfId="0" applyFont="1" applyBorder="1" applyAlignment="1">
      <alignment horizontal="center"/>
    </xf>
    <xf numFmtId="0" fontId="4" fillId="0" borderId="55" xfId="0" applyFont="1" applyBorder="1"/>
    <xf numFmtId="0" fontId="4" fillId="0" borderId="55" xfId="0" applyFont="1" applyBorder="1" applyAlignment="1">
      <alignment vertical="center"/>
    </xf>
    <xf numFmtId="0" fontId="5" fillId="0" borderId="57" xfId="0" applyFont="1" applyBorder="1" applyAlignment="1">
      <alignment vertical="center" wrapText="1"/>
    </xf>
    <xf numFmtId="0" fontId="0" fillId="0" borderId="57" xfId="0" applyBorder="1" applyAlignment="1">
      <alignment vertical="center" wrapText="1"/>
    </xf>
    <xf numFmtId="0" fontId="5" fillId="0" borderId="57" xfId="0" applyFont="1" applyBorder="1"/>
    <xf numFmtId="0" fontId="4" fillId="0" borderId="70" xfId="0" applyFont="1" applyBorder="1"/>
    <xf numFmtId="0" fontId="5" fillId="0" borderId="58" xfId="0" applyFont="1" applyBorder="1"/>
    <xf numFmtId="0" fontId="6" fillId="0" borderId="57" xfId="0" applyFont="1" applyBorder="1"/>
    <xf numFmtId="0" fontId="4" fillId="0" borderId="58" xfId="0" applyFont="1" applyBorder="1"/>
    <xf numFmtId="0" fontId="0" fillId="6" borderId="58" xfId="0" applyFill="1" applyBorder="1" applyAlignment="1">
      <alignment horizontal="left" vertical="center" wrapText="1"/>
    </xf>
    <xf numFmtId="0" fontId="15" fillId="6" borderId="57" xfId="1" applyFill="1" applyBorder="1" applyAlignment="1">
      <alignment horizontal="center" vertical="center"/>
    </xf>
    <xf numFmtId="0" fontId="27" fillId="0" borderId="0" xfId="0" applyFont="1" applyAlignment="1">
      <alignment vertical="top" wrapText="1"/>
    </xf>
    <xf numFmtId="0" fontId="0" fillId="0" borderId="0" xfId="0" applyAlignment="1">
      <alignment vertical="top" wrapText="1"/>
    </xf>
    <xf numFmtId="0" fontId="28"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0" fontId="31" fillId="0" borderId="0" xfId="0" applyFont="1" applyAlignment="1">
      <alignment horizontal="center"/>
    </xf>
    <xf numFmtId="0" fontId="32" fillId="0" borderId="0" xfId="0" applyFont="1" applyAlignment="1">
      <alignment vertical="top" wrapText="1"/>
    </xf>
    <xf numFmtId="0" fontId="35" fillId="0" borderId="55" xfId="0" applyFont="1" applyBorder="1" applyAlignment="1">
      <alignment wrapText="1"/>
    </xf>
    <xf numFmtId="0" fontId="33" fillId="0" borderId="0" xfId="0" applyFont="1" applyAlignment="1">
      <alignment vertical="top" wrapText="1"/>
    </xf>
    <xf numFmtId="0" fontId="34" fillId="0" borderId="0" xfId="0" applyFont="1" applyAlignment="1">
      <alignment vertical="top" wrapText="1"/>
    </xf>
    <xf numFmtId="0" fontId="41" fillId="0" borderId="55" xfId="0" applyFont="1" applyBorder="1" applyAlignment="1">
      <alignment wrapText="1"/>
    </xf>
    <xf numFmtId="0" fontId="39" fillId="0" borderId="0" xfId="0" applyFont="1" applyAlignment="1">
      <alignment vertical="top" wrapText="1"/>
    </xf>
    <xf numFmtId="0" fontId="40" fillId="0" borderId="0" xfId="0" applyFont="1" applyAlignment="1">
      <alignment vertical="top" wrapText="1"/>
    </xf>
    <xf numFmtId="0" fontId="42" fillId="0" borderId="0" xfId="0" applyFont="1" applyAlignment="1">
      <alignment vertical="top" wrapText="1"/>
    </xf>
    <xf numFmtId="0" fontId="9" fillId="4" borderId="57" xfId="0" applyFont="1" applyFill="1" applyBorder="1" applyAlignment="1">
      <alignment horizontal="center" vertical="center" wrapText="1"/>
    </xf>
    <xf numFmtId="0" fontId="0" fillId="0" borderId="77" xfId="0" applyBorder="1"/>
    <xf numFmtId="0" fontId="0" fillId="0" borderId="78" xfId="0" applyBorder="1"/>
    <xf numFmtId="0" fontId="18" fillId="4" borderId="57" xfId="0" applyFont="1" applyFill="1" applyBorder="1" applyAlignment="1">
      <alignment horizontal="center" vertical="center" wrapText="1"/>
    </xf>
    <xf numFmtId="0" fontId="18" fillId="4" borderId="54" xfId="0" applyFont="1" applyFill="1" applyBorder="1" applyAlignment="1">
      <alignment horizontal="center" vertical="center" wrapText="1"/>
    </xf>
    <xf numFmtId="0" fontId="0" fillId="0" borderId="55" xfId="0" applyBorder="1"/>
    <xf numFmtId="0" fontId="3" fillId="5" borderId="57" xfId="0" applyFont="1" applyFill="1" applyBorder="1" applyAlignment="1">
      <alignment horizontal="center" vertical="center" wrapText="1"/>
    </xf>
    <xf numFmtId="0" fontId="0" fillId="0" borderId="68" xfId="0" applyBorder="1"/>
    <xf numFmtId="0" fontId="0" fillId="0" borderId="69" xfId="0" applyBorder="1"/>
    <xf numFmtId="0" fontId="9" fillId="4" borderId="54" xfId="0" applyFont="1" applyFill="1" applyBorder="1" applyAlignment="1">
      <alignment horizontal="center" vertical="center" wrapText="1"/>
    </xf>
    <xf numFmtId="0" fontId="16" fillId="4" borderId="57" xfId="0" applyFont="1" applyFill="1" applyBorder="1" applyAlignment="1">
      <alignment horizontal="center" vertical="center" wrapText="1"/>
    </xf>
    <xf numFmtId="0" fontId="18" fillId="4" borderId="13" xfId="0" applyFont="1" applyFill="1" applyBorder="1" applyAlignment="1">
      <alignment horizontal="center" vertical="center" wrapText="1"/>
    </xf>
    <xf numFmtId="0" fontId="0" fillId="0" borderId="13" xfId="0" applyBorder="1"/>
    <xf numFmtId="0" fontId="9" fillId="4" borderId="13" xfId="0" applyFont="1" applyFill="1" applyBorder="1" applyAlignment="1">
      <alignment horizontal="center" vertical="center" wrapText="1"/>
    </xf>
    <xf numFmtId="0" fontId="18" fillId="4" borderId="55" xfId="0" applyFont="1" applyFill="1" applyBorder="1" applyAlignment="1">
      <alignment horizontal="center" vertical="center" wrapText="1"/>
    </xf>
    <xf numFmtId="0" fontId="3" fillId="5" borderId="54" xfId="0" applyFont="1" applyFill="1" applyBorder="1" applyAlignment="1">
      <alignment horizontal="center" vertical="center" wrapText="1"/>
    </xf>
    <xf numFmtId="0" fontId="0" fillId="0" borderId="53" xfId="0" applyBorder="1"/>
    <xf numFmtId="0" fontId="19" fillId="4" borderId="25" xfId="0" applyFont="1" applyFill="1" applyBorder="1" applyAlignment="1">
      <alignment horizontal="center" vertical="center" wrapText="1"/>
    </xf>
    <xf numFmtId="0" fontId="0" fillId="0" borderId="23" xfId="0" applyBorder="1"/>
    <xf numFmtId="0" fontId="0" fillId="0" borderId="30" xfId="0" applyBorder="1"/>
    <xf numFmtId="0" fontId="18" fillId="4" borderId="25" xfId="0" applyFont="1" applyFill="1" applyBorder="1" applyAlignment="1">
      <alignment horizontal="center" vertical="center" wrapText="1"/>
    </xf>
    <xf numFmtId="0" fontId="19" fillId="14" borderId="25" xfId="0" applyFont="1" applyFill="1" applyBorder="1" applyAlignment="1">
      <alignment horizontal="center" vertical="center" wrapText="1"/>
    </xf>
    <xf numFmtId="0" fontId="0" fillId="0" borderId="79" xfId="0" applyBorder="1"/>
    <xf numFmtId="0" fontId="18" fillId="4" borderId="25" xfId="0" quotePrefix="1" applyFont="1" applyFill="1" applyBorder="1" applyAlignment="1">
      <alignment horizontal="center" vertical="center" wrapText="1"/>
    </xf>
    <xf numFmtId="0" fontId="3" fillId="4" borderId="58" xfId="0" applyFont="1" applyFill="1" applyBorder="1" applyAlignment="1">
      <alignment horizontal="center" vertical="center" wrapText="1"/>
    </xf>
    <xf numFmtId="0" fontId="0" fillId="0" borderId="70" xfId="0" applyBorder="1"/>
    <xf numFmtId="0" fontId="0" fillId="0" borderId="76" xfId="0" applyBorder="1"/>
    <xf numFmtId="0" fontId="3" fillId="13" borderId="57" xfId="0" applyFont="1" applyFill="1" applyBorder="1" applyAlignment="1">
      <alignment horizontal="center" vertical="center" wrapText="1"/>
    </xf>
    <xf numFmtId="0" fontId="3" fillId="13" borderId="56" xfId="0" applyFont="1" applyFill="1" applyBorder="1" applyAlignment="1">
      <alignment horizontal="center" vertical="center" wrapText="1"/>
    </xf>
    <xf numFmtId="0" fontId="0" fillId="0" borderId="80" xfId="0" applyBorder="1"/>
    <xf numFmtId="0" fontId="3" fillId="13" borderId="54" xfId="0" applyFont="1" applyFill="1" applyBorder="1" applyAlignment="1">
      <alignment horizontal="center" vertical="center" wrapText="1"/>
    </xf>
    <xf numFmtId="0" fontId="3" fillId="0" borderId="23" xfId="0" applyFont="1" applyBorder="1" applyAlignment="1">
      <alignment horizontal="center" vertical="center"/>
    </xf>
    <xf numFmtId="0" fontId="0" fillId="0" borderId="1" xfId="0" applyBorder="1" applyAlignment="1">
      <alignment horizontal="center" vertical="center" wrapText="1"/>
    </xf>
    <xf numFmtId="0" fontId="0" fillId="0" borderId="39" xfId="0" applyBorder="1"/>
    <xf numFmtId="0" fontId="0" fillId="0" borderId="2" xfId="0" applyBorder="1"/>
    <xf numFmtId="0" fontId="3" fillId="0" borderId="18" xfId="0" applyFont="1" applyBorder="1" applyAlignment="1">
      <alignment horizontal="center" vertical="center" wrapText="1"/>
    </xf>
    <xf numFmtId="0" fontId="0" fillId="0" borderId="14" xfId="0" applyBorder="1"/>
    <xf numFmtId="0" fontId="0" fillId="0" borderId="18" xfId="0" applyBorder="1"/>
    <xf numFmtId="0" fontId="3" fillId="0" borderId="34" xfId="0" applyFont="1" applyBorder="1" applyAlignment="1">
      <alignment horizontal="center" vertical="center"/>
    </xf>
    <xf numFmtId="0" fontId="0" fillId="0" borderId="27" xfId="0" applyBorder="1"/>
    <xf numFmtId="0" fontId="0" fillId="0" borderId="42" xfId="0" applyBorder="1" applyAlignment="1">
      <alignment horizontal="center" vertical="center"/>
    </xf>
    <xf numFmtId="0" fontId="0" fillId="0" borderId="11" xfId="0" applyBorder="1"/>
    <xf numFmtId="0" fontId="0" fillId="0" borderId="28" xfId="0" applyBorder="1" applyAlignment="1">
      <alignment horizontal="center" vertical="center"/>
    </xf>
    <xf numFmtId="0" fontId="3" fillId="2" borderId="18" xfId="0" applyFont="1" applyFill="1"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center"/>
    </xf>
    <xf numFmtId="0" fontId="0" fillId="0" borderId="20" xfId="0" applyBorder="1" applyAlignment="1">
      <alignment horizontal="center" vertical="center"/>
    </xf>
    <xf numFmtId="0" fontId="0" fillId="0" borderId="81" xfId="0" applyBorder="1"/>
    <xf numFmtId="0" fontId="0" fillId="0" borderId="46" xfId="0" applyBorder="1"/>
    <xf numFmtId="0" fontId="0" fillId="0" borderId="40" xfId="0" applyBorder="1"/>
    <xf numFmtId="0" fontId="0" fillId="0" borderId="0" xfId="0"/>
    <xf numFmtId="0" fontId="0" fillId="0" borderId="32" xfId="0" applyBorder="1"/>
    <xf numFmtId="0" fontId="0" fillId="0" borderId="41" xfId="0" applyBorder="1"/>
    <xf numFmtId="0" fontId="0" fillId="0" borderId="47" xfId="0" applyBorder="1"/>
    <xf numFmtId="0" fontId="0" fillId="0" borderId="38" xfId="0" applyBorder="1"/>
    <xf numFmtId="0" fontId="3" fillId="0" borderId="41" xfId="0" applyFont="1" applyBorder="1" applyAlignment="1">
      <alignment horizontal="center" vertical="center"/>
    </xf>
    <xf numFmtId="0" fontId="5" fillId="0" borderId="1" xfId="0" applyFont="1" applyBorder="1" applyAlignment="1">
      <alignment horizontal="center"/>
    </xf>
    <xf numFmtId="0" fontId="3" fillId="0" borderId="13" xfId="0" applyFont="1" applyBorder="1" applyAlignment="1">
      <alignment horizontal="center" vertical="center"/>
    </xf>
    <xf numFmtId="0" fontId="5" fillId="0" borderId="12" xfId="0" applyFont="1" applyBorder="1" applyAlignment="1">
      <alignment horizontal="center" vertical="center"/>
    </xf>
    <xf numFmtId="0" fontId="0" fillId="0" borderId="48" xfId="0" applyBorder="1"/>
    <xf numFmtId="0" fontId="3" fillId="0" borderId="12" xfId="0" applyFont="1" applyBorder="1" applyAlignment="1">
      <alignment horizontal="center" vertical="center"/>
    </xf>
    <xf numFmtId="0" fontId="0" fillId="0" borderId="33" xfId="0" applyBorder="1"/>
    <xf numFmtId="0" fontId="5" fillId="0" borderId="28" xfId="0" applyFont="1" applyBorder="1" applyAlignment="1">
      <alignment horizontal="center" vertical="center"/>
    </xf>
    <xf numFmtId="0" fontId="3" fillId="0" borderId="6" xfId="0" applyFont="1" applyBorder="1" applyAlignment="1">
      <alignment horizontal="center"/>
    </xf>
    <xf numFmtId="0" fontId="0" fillId="0" borderId="51" xfId="0" applyBorder="1"/>
    <xf numFmtId="0" fontId="6" fillId="0" borderId="3" xfId="0" applyFont="1" applyBorder="1" applyAlignment="1">
      <alignment horizontal="center" vertical="center"/>
    </xf>
    <xf numFmtId="0" fontId="3" fillId="0" borderId="42" xfId="0" applyFont="1" applyBorder="1" applyAlignment="1">
      <alignment horizontal="center" vertical="center" wrapText="1"/>
    </xf>
    <xf numFmtId="0" fontId="5" fillId="0" borderId="42" xfId="0" applyFont="1" applyBorder="1" applyAlignment="1">
      <alignment horizontal="center" vertical="center" wrapText="1"/>
    </xf>
    <xf numFmtId="0" fontId="0" fillId="0" borderId="12" xfId="0" applyBorder="1" applyAlignment="1">
      <alignment horizontal="center" vertical="center"/>
    </xf>
    <xf numFmtId="0" fontId="0" fillId="0" borderId="43" xfId="0" applyBorder="1"/>
    <xf numFmtId="0" fontId="0" fillId="0" borderId="29" xfId="0" applyBorder="1"/>
    <xf numFmtId="0" fontId="0" fillId="0" borderId="44" xfId="0" applyBorder="1"/>
    <xf numFmtId="0" fontId="0" fillId="0" borderId="45" xfId="0" applyBorder="1"/>
    <xf numFmtId="0" fontId="5" fillId="0" borderId="18" xfId="0" applyFont="1" applyBorder="1" applyAlignment="1">
      <alignment horizontal="center" vertical="center" wrapText="1"/>
    </xf>
    <xf numFmtId="0" fontId="0" fillId="2" borderId="28" xfId="0" applyFill="1" applyBorder="1" applyAlignment="1">
      <alignment horizontal="center" vertical="center"/>
    </xf>
    <xf numFmtId="0" fontId="3" fillId="0" borderId="1" xfId="0" applyFont="1" applyBorder="1" applyAlignment="1">
      <alignment horizontal="center" vertical="center"/>
    </xf>
    <xf numFmtId="0" fontId="0" fillId="0" borderId="3" xfId="0" applyBorder="1"/>
    <xf numFmtId="0" fontId="5" fillId="0" borderId="24" xfId="0" applyFont="1" applyBorder="1" applyAlignment="1">
      <alignment horizontal="center" vertical="center"/>
    </xf>
    <xf numFmtId="0" fontId="3" fillId="0" borderId="55" xfId="0" applyFont="1" applyBorder="1" applyAlignment="1">
      <alignment horizontal="center" vertical="center"/>
    </xf>
    <xf numFmtId="0" fontId="0" fillId="0" borderId="82" xfId="0" applyBorder="1"/>
    <xf numFmtId="0" fontId="12" fillId="0" borderId="35" xfId="0" applyFont="1" applyBorder="1" applyAlignment="1">
      <alignment horizontal="center" wrapText="1"/>
    </xf>
    <xf numFmtId="0" fontId="0" fillId="0" borderId="36" xfId="0" applyBorder="1"/>
    <xf numFmtId="0" fontId="0" fillId="2" borderId="24" xfId="0" applyFill="1" applyBorder="1" applyAlignment="1">
      <alignment horizontal="center" vertical="center"/>
    </xf>
    <xf numFmtId="0" fontId="5" fillId="0" borderId="20" xfId="0" applyFont="1" applyBorder="1" applyAlignment="1">
      <alignment horizontal="center" vertical="center"/>
    </xf>
    <xf numFmtId="0" fontId="0" fillId="0" borderId="1" xfId="0" applyBorder="1" applyAlignment="1">
      <alignment horizontal="center" vertical="center"/>
    </xf>
    <xf numFmtId="0" fontId="7" fillId="0" borderId="3" xfId="0" applyFont="1" applyBorder="1" applyAlignment="1">
      <alignment horizontal="center" vertical="center"/>
    </xf>
    <xf numFmtId="0" fontId="0" fillId="0" borderId="8" xfId="0" applyBorder="1" applyAlignment="1">
      <alignment horizontal="center" vertical="center"/>
    </xf>
    <xf numFmtId="0" fontId="0" fillId="0" borderId="31" xfId="0" applyBorder="1"/>
    <xf numFmtId="0" fontId="0" fillId="0" borderId="37" xfId="0" applyBorder="1"/>
    <xf numFmtId="0" fontId="0" fillId="2" borderId="42" xfId="0" applyFill="1" applyBorder="1" applyAlignment="1">
      <alignment horizontal="center" vertical="center"/>
    </xf>
    <xf numFmtId="0" fontId="3" fillId="0" borderId="42" xfId="0" applyFont="1" applyBorder="1" applyAlignment="1">
      <alignment horizontal="center" vertical="center"/>
    </xf>
    <xf numFmtId="0" fontId="0" fillId="0" borderId="24" xfId="0" applyBorder="1" applyAlignment="1">
      <alignment horizontal="center" vertical="center"/>
    </xf>
    <xf numFmtId="0" fontId="0" fillId="3" borderId="42" xfId="0" applyFill="1" applyBorder="1" applyAlignment="1">
      <alignment horizontal="center" vertical="center"/>
    </xf>
    <xf numFmtId="0" fontId="3" fillId="2" borderId="42" xfId="0" applyFont="1" applyFill="1" applyBorder="1" applyAlignment="1">
      <alignment horizontal="center" vertic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f:/r/sites/IngegneriaETReMezziLeggeri-Trenitalia/"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C11"/>
  <sheetViews>
    <sheetView workbookViewId="0">
      <selection activeCell="C18" sqref="C18"/>
    </sheetView>
  </sheetViews>
  <sheetFormatPr defaultColWidth="8.7109375" defaultRowHeight="15" x14ac:dyDescent="0.25"/>
  <cols>
    <col min="1" max="2" width="10.85546875" style="8" customWidth="1"/>
    <col min="3" max="3" width="59" style="8" customWidth="1"/>
    <col min="4" max="18" width="8.7109375" style="8" customWidth="1"/>
    <col min="19" max="16384" width="8.7109375" style="8"/>
  </cols>
  <sheetData>
    <row r="1" spans="1:3" s="107" customFormat="1" x14ac:dyDescent="0.25">
      <c r="A1" s="305" t="s">
        <v>360</v>
      </c>
      <c r="B1" s="305" t="s">
        <v>361</v>
      </c>
      <c r="C1" s="305" t="s">
        <v>24</v>
      </c>
    </row>
    <row r="2" spans="1:3" x14ac:dyDescent="0.25">
      <c r="A2" s="233" t="s">
        <v>362</v>
      </c>
      <c r="B2" s="306">
        <v>46190</v>
      </c>
      <c r="C2" s="270" t="s">
        <v>363</v>
      </c>
    </row>
    <row r="3" spans="1:3" x14ac:dyDescent="0.25">
      <c r="A3" s="233" t="s">
        <v>364</v>
      </c>
      <c r="B3" s="270"/>
      <c r="C3" s="270" t="s">
        <v>365</v>
      </c>
    </row>
    <row r="4" spans="1:3" x14ac:dyDescent="0.25">
      <c r="A4" s="233" t="s">
        <v>366</v>
      </c>
      <c r="B4" s="307">
        <v>46244</v>
      </c>
      <c r="C4" s="270" t="s">
        <v>367</v>
      </c>
    </row>
    <row r="5" spans="1:3" x14ac:dyDescent="0.25">
      <c r="A5" s="233" t="s">
        <v>368</v>
      </c>
      <c r="B5" s="307">
        <v>46259</v>
      </c>
      <c r="C5" s="270" t="s">
        <v>369</v>
      </c>
    </row>
    <row r="6" spans="1:3" x14ac:dyDescent="0.25">
      <c r="A6" s="270"/>
      <c r="B6" s="270"/>
      <c r="C6" s="270"/>
    </row>
    <row r="7" spans="1:3" x14ac:dyDescent="0.25">
      <c r="A7" s="270"/>
      <c r="B7" s="270"/>
      <c r="C7" s="270"/>
    </row>
    <row r="8" spans="1:3" x14ac:dyDescent="0.25">
      <c r="A8" s="270"/>
      <c r="B8" s="270"/>
      <c r="C8" s="270"/>
    </row>
    <row r="9" spans="1:3" x14ac:dyDescent="0.25">
      <c r="A9" s="270"/>
      <c r="B9" s="270"/>
      <c r="C9" s="270"/>
    </row>
    <row r="10" spans="1:3" x14ac:dyDescent="0.25">
      <c r="A10" s="270"/>
      <c r="B10" s="270"/>
      <c r="C10" s="270"/>
    </row>
    <row r="11" spans="1:3" x14ac:dyDescent="0.25">
      <c r="A11" s="270"/>
      <c r="B11" s="270"/>
      <c r="C11" s="27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dimension ref="A1:E13"/>
  <sheetViews>
    <sheetView workbookViewId="0">
      <selection activeCell="A2" sqref="A2:XFD5"/>
    </sheetView>
  </sheetViews>
  <sheetFormatPr defaultColWidth="8.7109375" defaultRowHeight="15" x14ac:dyDescent="0.25"/>
  <cols>
    <col min="1" max="1" width="15.5703125" style="9" customWidth="1"/>
    <col min="2" max="2" width="13.85546875" style="9" customWidth="1"/>
    <col min="3" max="3" width="8.7109375" style="9" customWidth="1"/>
    <col min="4" max="4" width="120.7109375" style="59" customWidth="1"/>
    <col min="5" max="5" width="60.140625" style="59" customWidth="1"/>
    <col min="6" max="20" width="8.7109375" style="8" customWidth="1"/>
    <col min="21" max="16384" width="8.7109375" style="8"/>
  </cols>
  <sheetData>
    <row r="1" spans="1:5" s="109" customFormat="1" ht="23.45" customHeight="1" x14ac:dyDescent="0.25">
      <c r="A1" s="305" t="s">
        <v>361</v>
      </c>
      <c r="B1" s="305" t="s">
        <v>370</v>
      </c>
      <c r="C1" s="305" t="s">
        <v>371</v>
      </c>
      <c r="D1" s="308" t="s">
        <v>24</v>
      </c>
      <c r="E1" s="308" t="s">
        <v>372</v>
      </c>
    </row>
    <row r="2" spans="1:5" ht="30" customHeight="1" x14ac:dyDescent="0.25">
      <c r="A2" s="158">
        <v>46190</v>
      </c>
      <c r="B2" s="9" t="s">
        <v>373</v>
      </c>
      <c r="C2" s="9" t="s">
        <v>374</v>
      </c>
      <c r="D2" s="59" t="s">
        <v>375</v>
      </c>
      <c r="E2" s="59" t="s">
        <v>376</v>
      </c>
    </row>
    <row r="3" spans="1:5" x14ac:dyDescent="0.25">
      <c r="A3" s="158">
        <v>46190</v>
      </c>
      <c r="B3" s="9" t="s">
        <v>373</v>
      </c>
      <c r="C3" s="9" t="s">
        <v>374</v>
      </c>
      <c r="D3" s="59" t="s">
        <v>377</v>
      </c>
      <c r="E3" s="59" t="s">
        <v>378</v>
      </c>
    </row>
    <row r="4" spans="1:5" x14ac:dyDescent="0.25">
      <c r="A4" s="158">
        <v>46190</v>
      </c>
      <c r="B4" s="9" t="s">
        <v>379</v>
      </c>
      <c r="C4" s="9" t="s">
        <v>374</v>
      </c>
      <c r="D4" s="59" t="s">
        <v>380</v>
      </c>
      <c r="E4" s="59" t="s">
        <v>381</v>
      </c>
    </row>
    <row r="5" spans="1:5" ht="45" customHeight="1" x14ac:dyDescent="0.25">
      <c r="A5" s="158">
        <v>46190</v>
      </c>
      <c r="B5" s="9" t="s">
        <v>373</v>
      </c>
      <c r="C5" s="9" t="s">
        <v>374</v>
      </c>
      <c r="D5" s="59" t="s">
        <v>382</v>
      </c>
      <c r="E5" s="59" t="s">
        <v>383</v>
      </c>
    </row>
    <row r="6" spans="1:5" x14ac:dyDescent="0.25">
      <c r="A6" s="158">
        <v>46189</v>
      </c>
      <c r="B6" s="9" t="s">
        <v>379</v>
      </c>
      <c r="C6" s="9" t="s">
        <v>384</v>
      </c>
      <c r="D6" s="59" t="s">
        <v>385</v>
      </c>
      <c r="E6" s="59" t="s">
        <v>386</v>
      </c>
    </row>
    <row r="7" spans="1:5" ht="45" customHeight="1" x14ac:dyDescent="0.25">
      <c r="A7" s="158">
        <v>46189</v>
      </c>
      <c r="B7" s="9" t="s">
        <v>379</v>
      </c>
      <c r="C7" s="9" t="s">
        <v>387</v>
      </c>
      <c r="D7" s="59" t="s">
        <v>388</v>
      </c>
      <c r="E7" s="59" t="s">
        <v>389</v>
      </c>
    </row>
    <row r="8" spans="1:5" x14ac:dyDescent="0.25">
      <c r="A8" s="158">
        <v>46189</v>
      </c>
      <c r="B8" s="9" t="s">
        <v>379</v>
      </c>
      <c r="C8" s="9" t="s">
        <v>384</v>
      </c>
      <c r="D8" s="59" t="s">
        <v>390</v>
      </c>
      <c r="E8" s="59" t="s">
        <v>341</v>
      </c>
    </row>
    <row r="9" spans="1:5" x14ac:dyDescent="0.25">
      <c r="A9" s="158">
        <v>46189</v>
      </c>
      <c r="B9" s="9" t="s">
        <v>379</v>
      </c>
      <c r="C9" s="9" t="s">
        <v>384</v>
      </c>
      <c r="D9" s="62" t="s">
        <v>391</v>
      </c>
      <c r="E9" s="59" t="s">
        <v>341</v>
      </c>
    </row>
    <row r="10" spans="1:5" x14ac:dyDescent="0.25">
      <c r="A10" s="158">
        <v>46189</v>
      </c>
      <c r="B10" s="9" t="s">
        <v>379</v>
      </c>
      <c r="C10" s="9" t="s">
        <v>384</v>
      </c>
      <c r="D10" s="59" t="s">
        <v>392</v>
      </c>
      <c r="E10" s="59" t="s">
        <v>341</v>
      </c>
    </row>
    <row r="11" spans="1:5" ht="60" customHeight="1" x14ac:dyDescent="0.25">
      <c r="A11" s="158">
        <v>46196</v>
      </c>
      <c r="B11" s="9" t="s">
        <v>379</v>
      </c>
      <c r="C11" s="9" t="s">
        <v>374</v>
      </c>
      <c r="D11" s="208" t="s">
        <v>393</v>
      </c>
      <c r="E11" s="59" t="s">
        <v>394</v>
      </c>
    </row>
    <row r="12" spans="1:5" ht="105" customHeight="1" x14ac:dyDescent="0.25">
      <c r="A12" s="158">
        <v>46196</v>
      </c>
      <c r="B12" s="9" t="s">
        <v>379</v>
      </c>
      <c r="C12" s="9" t="s">
        <v>374</v>
      </c>
      <c r="D12" s="208" t="s">
        <v>395</v>
      </c>
      <c r="E12" s="59" t="s">
        <v>396</v>
      </c>
    </row>
    <row r="13" spans="1:5" ht="30" customHeight="1" x14ac:dyDescent="0.25">
      <c r="A13" s="158">
        <v>46197</v>
      </c>
      <c r="B13" s="9" t="s">
        <v>373</v>
      </c>
      <c r="C13" s="9" t="s">
        <v>387</v>
      </c>
      <c r="D13" s="59" t="s">
        <v>397</v>
      </c>
      <c r="E13" s="59" t="s">
        <v>398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7"/>
  <dimension ref="A1:E13"/>
  <sheetViews>
    <sheetView workbookViewId="0">
      <selection activeCell="D27" sqref="D27"/>
    </sheetView>
  </sheetViews>
  <sheetFormatPr defaultColWidth="8.7109375" defaultRowHeight="15" x14ac:dyDescent="0.25"/>
  <cols>
    <col min="1" max="1" width="30.85546875" style="8" bestFit="1" customWidth="1"/>
    <col min="2" max="2" width="23.85546875" style="8" bestFit="1" customWidth="1"/>
    <col min="3" max="3" width="6.5703125" style="8" bestFit="1" customWidth="1"/>
    <col min="4" max="4" width="139.42578125" style="60" bestFit="1" customWidth="1"/>
    <col min="5" max="5" width="8.7109375" style="9" customWidth="1"/>
    <col min="6" max="20" width="8.7109375" style="8" customWidth="1"/>
    <col min="21" max="16384" width="8.7109375" style="8"/>
  </cols>
  <sheetData>
    <row r="1" spans="1:5" ht="21.6" customHeight="1" x14ac:dyDescent="0.25">
      <c r="A1" s="100" t="s">
        <v>399</v>
      </c>
      <c r="B1" s="100" t="s">
        <v>400</v>
      </c>
      <c r="C1" s="100" t="s">
        <v>401</v>
      </c>
      <c r="D1" s="101" t="s">
        <v>402</v>
      </c>
      <c r="E1" s="101" t="s">
        <v>403</v>
      </c>
    </row>
    <row r="2" spans="1:5" ht="21.6" customHeight="1" x14ac:dyDescent="0.25">
      <c r="A2" s="9" t="s">
        <v>404</v>
      </c>
      <c r="B2" s="9" t="s">
        <v>405</v>
      </c>
      <c r="C2" s="9">
        <v>0</v>
      </c>
      <c r="D2" s="99" t="s">
        <v>406</v>
      </c>
      <c r="E2" s="108" t="str">
        <f>HYPERLINK(D2,"🔗")</f>
        <v>🔗</v>
      </c>
    </row>
    <row r="3" spans="1:5" ht="21.6" customHeight="1" x14ac:dyDescent="0.25">
      <c r="A3" s="9" t="s">
        <v>407</v>
      </c>
      <c r="B3" s="9" t="s">
        <v>408</v>
      </c>
      <c r="C3" s="9">
        <v>1</v>
      </c>
      <c r="D3" s="99" t="str">
        <f>CONCATENATE($D$2,B3)</f>
        <v>https://gruppofsitaliane.sharepoint.com/:f:/r/sites/IngegneriaETReMezziLeggeri-Trenitalia/Shared%20Documents/</v>
      </c>
      <c r="E3" s="108" t="str">
        <f>HYPERLINK(D3,"🔗")</f>
        <v>🔗</v>
      </c>
    </row>
    <row r="4" spans="1:5" ht="21.6" customHeight="1" x14ac:dyDescent="0.25">
      <c r="A4" s="9" t="s">
        <v>409</v>
      </c>
      <c r="B4" s="9" t="s">
        <v>410</v>
      </c>
      <c r="C4" s="9">
        <v>2</v>
      </c>
      <c r="D4" s="99" t="str">
        <f>CONCATENATE($D$3,B4)</f>
        <v>https://gruppofsitaliane.sharepoint.com/:f:/r/sites/IngegneriaETReMezziLeggeri-Trenitalia/Shared%20Documents/DB_ETR1000/</v>
      </c>
      <c r="E4" s="108" t="str">
        <f>HYPERLINK(D4,"🔗")</f>
        <v>🔗</v>
      </c>
    </row>
    <row r="5" spans="1:5" ht="21.6" customHeight="1" x14ac:dyDescent="0.25">
      <c r="A5" s="9" t="s">
        <v>411</v>
      </c>
      <c r="B5" s="9" t="s">
        <v>412</v>
      </c>
      <c r="C5" s="9">
        <v>3</v>
      </c>
      <c r="D5" s="99" t="str">
        <f>CONCATENATE($D$4,B5)</f>
        <v>https://gruppofsitaliane.sharepoint.com/:f:/r/sites/IngegneriaETReMezziLeggeri-Trenitalia/Shared%20Documents/DB_ETR1000/DOC_FLOTTE/</v>
      </c>
      <c r="E5" s="108" t="str">
        <f>HYPERLINK(D5,"🔗")</f>
        <v>🔗</v>
      </c>
    </row>
    <row r="6" spans="1:5" ht="21.6" customHeight="1" x14ac:dyDescent="0.25">
      <c r="A6" s="9" t="s">
        <v>413</v>
      </c>
      <c r="B6" s="9" t="s">
        <v>414</v>
      </c>
      <c r="C6" s="9">
        <v>3</v>
      </c>
      <c r="D6" s="99" t="str">
        <f>CONCATENATE($D$4,B6)</f>
        <v>https://gruppofsitaliane.sharepoint.com/:f:/r/sites/IngegneriaETReMezziLeggeri-Trenitalia/Shared%20Documents/DB_ETR1000/DOC_FUNC/</v>
      </c>
      <c r="E6" s="108" t="str">
        <f>HYPERLINK(D6,"🔗")</f>
        <v>🔗</v>
      </c>
    </row>
    <row r="7" spans="1:5" ht="21.95" customHeight="1" x14ac:dyDescent="0.25"/>
    <row r="8" spans="1:5" ht="21.95" customHeight="1" x14ac:dyDescent="0.25"/>
    <row r="9" spans="1:5" ht="21.95" customHeight="1" x14ac:dyDescent="0.25"/>
    <row r="10" spans="1:5" ht="21.95" customHeight="1" x14ac:dyDescent="0.25">
      <c r="A10" s="8" t="s">
        <v>415</v>
      </c>
    </row>
    <row r="11" spans="1:5" ht="21.95" customHeight="1" x14ac:dyDescent="0.25">
      <c r="A11" s="8" t="s">
        <v>416</v>
      </c>
      <c r="B11" s="8" t="s">
        <v>417</v>
      </c>
    </row>
    <row r="12" spans="1:5" ht="21.95" customHeight="1" x14ac:dyDescent="0.25">
      <c r="A12" s="8" t="s">
        <v>3</v>
      </c>
      <c r="B12" s="8" t="s">
        <v>418</v>
      </c>
    </row>
    <row r="13" spans="1:5" x14ac:dyDescent="0.25">
      <c r="A13" s="8" t="s">
        <v>419</v>
      </c>
      <c r="B13" s="8" t="s">
        <v>420</v>
      </c>
    </row>
  </sheetData>
  <hyperlinks>
    <hyperlink ref="D2" r:id="rId1" xr:uid="{00000000-0004-0000-0200-000000000000}"/>
  </hyperlinks>
  <pageMargins left="0.7" right="0.7" top="0.75" bottom="0.75" header="0.3" footer="0.3"/>
  <pageSetup paperSize="9"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3">
    <tabColor theme="4" tint="0.39997558519241921"/>
  </sheetPr>
  <dimension ref="A1:BW9"/>
  <sheetViews>
    <sheetView zoomScaleNormal="100" workbookViewId="0">
      <selection activeCell="B3" sqref="B3"/>
    </sheetView>
  </sheetViews>
  <sheetFormatPr defaultRowHeight="15" x14ac:dyDescent="0.25"/>
  <cols>
    <col min="1" max="1" width="19.42578125" bestFit="1" customWidth="1"/>
    <col min="2" max="3" width="17.5703125" customWidth="1"/>
    <col min="4" max="4" width="15.42578125" customWidth="1"/>
    <col min="5" max="5" width="15.140625" customWidth="1"/>
    <col min="6" max="6" width="11" style="7" customWidth="1"/>
    <col min="7" max="52" width="3.85546875" style="7" bestFit="1" customWidth="1"/>
    <col min="53" max="69" width="2.85546875" style="7" bestFit="1" customWidth="1"/>
    <col min="70" max="75" width="3.85546875" style="7" bestFit="1" customWidth="1"/>
  </cols>
  <sheetData>
    <row r="1" spans="1:75" s="8" customFormat="1" ht="30.95" customHeight="1" thickBot="1" x14ac:dyDescent="0.3">
      <c r="A1" s="120" t="s">
        <v>421</v>
      </c>
      <c r="B1" s="121" t="s">
        <v>422</v>
      </c>
      <c r="C1" s="128" t="s">
        <v>423</v>
      </c>
      <c r="D1" s="127" t="s">
        <v>424</v>
      </c>
      <c r="E1" s="122" t="s">
        <v>425</v>
      </c>
      <c r="F1" s="123" t="s">
        <v>426</v>
      </c>
      <c r="G1" s="124" t="s">
        <v>427</v>
      </c>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6"/>
    </row>
    <row r="2" spans="1:75" s="8" customFormat="1" ht="32.1" customHeight="1" x14ac:dyDescent="0.25">
      <c r="A2" s="129" t="s">
        <v>428</v>
      </c>
      <c r="B2" s="309" t="s">
        <v>5</v>
      </c>
      <c r="C2" s="130" t="s">
        <v>5</v>
      </c>
      <c r="D2" s="131" t="s">
        <v>429</v>
      </c>
      <c r="E2" s="132" t="s">
        <v>430</v>
      </c>
      <c r="F2" s="133">
        <f t="shared" ref="F2:F9" si="0">COUNTIF(G2:BW2,"&lt;&gt;")</f>
        <v>44</v>
      </c>
      <c r="G2" s="5">
        <v>1</v>
      </c>
      <c r="H2" s="254">
        <v>2</v>
      </c>
      <c r="I2" s="254">
        <v>3</v>
      </c>
      <c r="J2" s="254">
        <v>4</v>
      </c>
      <c r="K2" s="254">
        <v>5</v>
      </c>
      <c r="L2" s="254">
        <v>6</v>
      </c>
      <c r="M2" s="254">
        <v>7</v>
      </c>
      <c r="N2" s="254">
        <v>8</v>
      </c>
      <c r="O2" s="254">
        <v>9</v>
      </c>
      <c r="P2" s="254">
        <v>10</v>
      </c>
      <c r="Q2" s="254">
        <v>11</v>
      </c>
      <c r="R2" s="254">
        <v>12</v>
      </c>
      <c r="S2" s="254">
        <v>13</v>
      </c>
      <c r="T2" s="254">
        <v>14</v>
      </c>
      <c r="U2" s="254"/>
      <c r="V2" s="254">
        <v>16</v>
      </c>
      <c r="W2" s="254">
        <v>17</v>
      </c>
      <c r="X2" s="254">
        <v>18</v>
      </c>
      <c r="Y2" s="254">
        <v>19</v>
      </c>
      <c r="Z2" s="254"/>
      <c r="AA2" s="310">
        <v>21</v>
      </c>
      <c r="AB2" s="254">
        <v>22</v>
      </c>
      <c r="AC2" s="254"/>
      <c r="AD2" s="254">
        <v>24</v>
      </c>
      <c r="AE2" s="254"/>
      <c r="AF2" s="254">
        <v>26</v>
      </c>
      <c r="AG2" s="254">
        <v>27</v>
      </c>
      <c r="AH2" s="254"/>
      <c r="AI2" s="254">
        <v>29</v>
      </c>
      <c r="AJ2" s="254">
        <v>30</v>
      </c>
      <c r="AK2" s="254"/>
      <c r="AL2" s="254">
        <v>32</v>
      </c>
      <c r="AM2" s="254">
        <v>33</v>
      </c>
      <c r="AN2" s="254">
        <v>34</v>
      </c>
      <c r="AO2" s="254"/>
      <c r="AP2" s="254">
        <v>36</v>
      </c>
      <c r="AQ2" s="254">
        <v>37</v>
      </c>
      <c r="AR2" s="254">
        <v>38</v>
      </c>
      <c r="AS2" s="254">
        <v>39</v>
      </c>
      <c r="AT2" s="254">
        <v>40</v>
      </c>
      <c r="AU2" s="254">
        <v>41</v>
      </c>
      <c r="AV2" s="254">
        <v>42</v>
      </c>
      <c r="AW2" s="254">
        <v>43</v>
      </c>
      <c r="AX2" s="254"/>
      <c r="AY2" s="254">
        <v>45</v>
      </c>
      <c r="AZ2" s="254">
        <v>46</v>
      </c>
      <c r="BA2" s="254"/>
      <c r="BB2" s="254">
        <v>48</v>
      </c>
      <c r="BC2" s="254"/>
      <c r="BD2" s="254"/>
      <c r="BE2" s="254">
        <v>46</v>
      </c>
      <c r="BF2" s="254">
        <v>47</v>
      </c>
      <c r="BG2" s="254">
        <v>48</v>
      </c>
      <c r="BH2" s="254">
        <v>49</v>
      </c>
      <c r="BI2" s="254">
        <v>50</v>
      </c>
      <c r="BJ2" s="254"/>
      <c r="BK2" s="254"/>
      <c r="BL2" s="254"/>
      <c r="BM2" s="254"/>
      <c r="BN2" s="254"/>
      <c r="BO2" s="254"/>
      <c r="BP2" s="254"/>
      <c r="BQ2" s="254"/>
      <c r="BR2" s="254"/>
      <c r="BS2" s="254"/>
      <c r="BT2" s="254"/>
      <c r="BU2" s="254"/>
      <c r="BV2" s="254"/>
      <c r="BW2" s="134"/>
    </row>
    <row r="3" spans="1:75" s="8" customFormat="1" ht="32.1" customHeight="1" x14ac:dyDescent="0.25">
      <c r="A3" s="135" t="s">
        <v>431</v>
      </c>
      <c r="B3" s="311" t="s">
        <v>6</v>
      </c>
      <c r="C3" s="136" t="s">
        <v>5</v>
      </c>
      <c r="D3" s="312" t="s">
        <v>432</v>
      </c>
      <c r="E3" s="295" t="s">
        <v>432</v>
      </c>
      <c r="F3" s="138">
        <f t="shared" si="0"/>
        <v>8</v>
      </c>
      <c r="G3" s="236"/>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c r="BF3" s="233"/>
      <c r="BG3" s="233"/>
      <c r="BH3" s="233"/>
      <c r="BI3" s="233"/>
      <c r="BJ3" s="233">
        <v>51</v>
      </c>
      <c r="BK3" s="233">
        <v>52</v>
      </c>
      <c r="BL3" s="233">
        <v>53</v>
      </c>
      <c r="BM3" s="233">
        <v>54</v>
      </c>
      <c r="BN3" s="233">
        <v>55</v>
      </c>
      <c r="BO3" s="233">
        <v>56</v>
      </c>
      <c r="BP3" s="233">
        <v>57</v>
      </c>
      <c r="BQ3" s="233">
        <v>58</v>
      </c>
      <c r="BR3" s="233"/>
      <c r="BS3" s="233"/>
      <c r="BT3" s="233"/>
      <c r="BU3" s="233"/>
      <c r="BV3" s="233"/>
      <c r="BW3" s="139"/>
    </row>
    <row r="4" spans="1:75" s="8" customFormat="1" ht="32.1" customHeight="1" x14ac:dyDescent="0.25">
      <c r="A4" s="140" t="s">
        <v>433</v>
      </c>
      <c r="B4" s="311" t="s">
        <v>434</v>
      </c>
      <c r="C4" s="136" t="s">
        <v>5</v>
      </c>
      <c r="D4" s="313" t="s">
        <v>435</v>
      </c>
      <c r="E4" s="137" t="s">
        <v>436</v>
      </c>
      <c r="F4" s="138">
        <f t="shared" si="0"/>
        <v>8</v>
      </c>
      <c r="G4" s="236"/>
      <c r="H4" s="233"/>
      <c r="I4" s="233"/>
      <c r="J4" s="233"/>
      <c r="K4" s="233"/>
      <c r="L4" s="233"/>
      <c r="M4" s="233"/>
      <c r="N4" s="233"/>
      <c r="O4" s="233"/>
      <c r="P4" s="233"/>
      <c r="Q4" s="233"/>
      <c r="R4" s="233"/>
      <c r="S4" s="233"/>
      <c r="T4" s="233"/>
      <c r="U4" s="233">
        <v>15</v>
      </c>
      <c r="V4" s="233"/>
      <c r="W4" s="233"/>
      <c r="X4" s="233"/>
      <c r="Y4" s="233"/>
      <c r="Z4" s="233"/>
      <c r="AA4" s="233"/>
      <c r="AB4" s="233"/>
      <c r="AC4" s="233">
        <v>23</v>
      </c>
      <c r="AD4" s="233"/>
      <c r="AE4" s="233">
        <v>25</v>
      </c>
      <c r="AF4" s="233"/>
      <c r="AG4" s="233"/>
      <c r="AH4" s="233">
        <v>28</v>
      </c>
      <c r="AI4" s="233"/>
      <c r="AJ4" s="233"/>
      <c r="AK4" s="233">
        <v>31</v>
      </c>
      <c r="AL4" s="233"/>
      <c r="AM4" s="233"/>
      <c r="AN4" s="233"/>
      <c r="AO4" s="233"/>
      <c r="AP4" s="233"/>
      <c r="AQ4" s="233"/>
      <c r="AR4" s="233"/>
      <c r="AS4" s="233"/>
      <c r="AT4" s="233"/>
      <c r="AU4" s="233"/>
      <c r="AV4" s="233"/>
      <c r="AW4" s="233"/>
      <c r="AX4" s="233"/>
      <c r="AY4" s="233"/>
      <c r="AZ4" s="233"/>
      <c r="BA4" s="233">
        <v>47</v>
      </c>
      <c r="BB4" s="233"/>
      <c r="BC4" s="233">
        <v>49</v>
      </c>
      <c r="BD4" s="233">
        <v>50</v>
      </c>
      <c r="BE4" s="233"/>
      <c r="BF4" s="233"/>
      <c r="BG4" s="233"/>
      <c r="BH4" s="233"/>
      <c r="BI4" s="233"/>
      <c r="BJ4" s="233"/>
      <c r="BK4" s="233"/>
      <c r="BL4" s="233"/>
      <c r="BM4" s="233"/>
      <c r="BN4" s="233"/>
      <c r="BO4" s="233"/>
      <c r="BP4" s="233"/>
      <c r="BQ4" s="233"/>
      <c r="BR4" s="233"/>
      <c r="BS4" s="233"/>
      <c r="BT4" s="233"/>
      <c r="BU4" s="233"/>
      <c r="BV4" s="233"/>
      <c r="BW4" s="139"/>
    </row>
    <row r="5" spans="1:75" s="145" customFormat="1" ht="32.1" customHeight="1" x14ac:dyDescent="0.25">
      <c r="A5" s="141" t="s">
        <v>437</v>
      </c>
      <c r="B5" s="314" t="s">
        <v>8</v>
      </c>
      <c r="C5" s="311" t="s">
        <v>6</v>
      </c>
      <c r="D5" s="315" t="s">
        <v>438</v>
      </c>
      <c r="E5" s="294" t="s">
        <v>438</v>
      </c>
      <c r="F5" s="143">
        <f t="shared" si="0"/>
        <v>20</v>
      </c>
      <c r="G5" s="316">
        <v>1</v>
      </c>
      <c r="H5" s="279">
        <v>2</v>
      </c>
      <c r="I5" s="279">
        <v>3</v>
      </c>
      <c r="J5" s="279">
        <v>4</v>
      </c>
      <c r="K5" s="279">
        <v>5</v>
      </c>
      <c r="L5" s="279">
        <v>6</v>
      </c>
      <c r="M5" s="279">
        <v>7</v>
      </c>
      <c r="N5" s="279">
        <v>8</v>
      </c>
      <c r="O5" s="279">
        <v>9</v>
      </c>
      <c r="P5" s="279">
        <v>10</v>
      </c>
      <c r="Q5" s="279">
        <v>11</v>
      </c>
      <c r="R5" s="279">
        <v>12</v>
      </c>
      <c r="S5" s="279">
        <v>13</v>
      </c>
      <c r="T5" s="279">
        <v>14</v>
      </c>
      <c r="U5" s="279">
        <v>15</v>
      </c>
      <c r="V5" s="279">
        <v>16</v>
      </c>
      <c r="W5" s="279">
        <v>17</v>
      </c>
      <c r="X5" s="279">
        <v>18</v>
      </c>
      <c r="Y5" s="279">
        <v>19</v>
      </c>
      <c r="Z5" s="279">
        <v>20</v>
      </c>
      <c r="AA5" s="271"/>
      <c r="AB5" s="271"/>
      <c r="AC5" s="271"/>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144"/>
    </row>
    <row r="6" spans="1:75" s="8" customFormat="1" ht="32.1" customHeight="1" x14ac:dyDescent="0.25">
      <c r="A6" s="135" t="s">
        <v>439</v>
      </c>
      <c r="B6" s="311" t="s">
        <v>9</v>
      </c>
      <c r="C6" s="136" t="s">
        <v>9</v>
      </c>
      <c r="D6" s="313" t="s">
        <v>440</v>
      </c>
      <c r="E6" s="146" t="s">
        <v>441</v>
      </c>
      <c r="F6" s="138">
        <f t="shared" si="0"/>
        <v>6</v>
      </c>
      <c r="G6" s="236">
        <v>101</v>
      </c>
      <c r="H6" s="233">
        <v>102</v>
      </c>
      <c r="I6" s="233">
        <v>103</v>
      </c>
      <c r="J6" s="233">
        <v>104</v>
      </c>
      <c r="K6" s="233">
        <v>105</v>
      </c>
      <c r="L6" s="233">
        <v>106</v>
      </c>
      <c r="M6" s="233"/>
      <c r="N6" s="233"/>
      <c r="O6" s="233"/>
      <c r="P6" s="233"/>
      <c r="Q6" s="233"/>
      <c r="R6" s="233"/>
      <c r="S6" s="233"/>
      <c r="T6" s="233"/>
      <c r="U6" s="233"/>
      <c r="V6" s="233"/>
      <c r="W6" s="233"/>
      <c r="X6" s="233"/>
      <c r="Y6" s="233"/>
      <c r="Z6" s="233"/>
      <c r="AA6" s="233"/>
      <c r="AB6" s="233"/>
      <c r="AC6" s="233"/>
      <c r="AD6" s="233"/>
      <c r="AE6" s="233"/>
      <c r="AF6" s="233"/>
      <c r="AG6" s="233"/>
      <c r="AH6" s="233"/>
      <c r="AI6" s="233"/>
      <c r="AJ6" s="233"/>
      <c r="AK6" s="233"/>
      <c r="AL6" s="233"/>
      <c r="AM6" s="233"/>
      <c r="AN6" s="233"/>
      <c r="AO6" s="233"/>
      <c r="AP6" s="233"/>
      <c r="AQ6" s="233"/>
      <c r="AR6" s="233"/>
      <c r="AS6" s="233"/>
      <c r="AT6" s="233"/>
      <c r="AU6" s="233"/>
      <c r="AV6" s="233"/>
      <c r="AW6" s="233"/>
      <c r="AX6" s="233"/>
      <c r="AY6" s="233"/>
      <c r="AZ6" s="233"/>
      <c r="BA6" s="233"/>
      <c r="BB6" s="233"/>
      <c r="BC6" s="233"/>
      <c r="BD6" s="233"/>
      <c r="BE6" s="233"/>
      <c r="BF6" s="233"/>
      <c r="BG6" s="233"/>
      <c r="BH6" s="233"/>
      <c r="BI6" s="233"/>
      <c r="BJ6" s="233"/>
      <c r="BK6" s="233"/>
      <c r="BL6" s="233"/>
      <c r="BM6" s="233"/>
      <c r="BN6" s="233"/>
      <c r="BO6" s="233"/>
      <c r="BP6" s="233"/>
      <c r="BQ6" s="233"/>
      <c r="BR6" s="233"/>
      <c r="BS6" s="233"/>
      <c r="BT6" s="233"/>
      <c r="BU6" s="233"/>
      <c r="BV6" s="233"/>
      <c r="BW6" s="139"/>
    </row>
    <row r="7" spans="1:75" s="8" customFormat="1" ht="32.1" customHeight="1" x14ac:dyDescent="0.25">
      <c r="A7" s="140" t="s">
        <v>442</v>
      </c>
      <c r="B7" s="311" t="s">
        <v>10</v>
      </c>
      <c r="C7" s="136" t="s">
        <v>9</v>
      </c>
      <c r="D7" s="313" t="s">
        <v>443</v>
      </c>
      <c r="E7" s="147" t="s">
        <v>444</v>
      </c>
      <c r="F7" s="138">
        <f t="shared" si="0"/>
        <v>40</v>
      </c>
      <c r="G7" s="236"/>
      <c r="H7" s="233"/>
      <c r="I7" s="233"/>
      <c r="J7" s="233"/>
      <c r="K7" s="233"/>
      <c r="L7" s="233"/>
      <c r="M7" s="233">
        <v>107</v>
      </c>
      <c r="N7" s="233">
        <v>108</v>
      </c>
      <c r="O7" s="233">
        <v>109</v>
      </c>
      <c r="P7" s="233">
        <v>110</v>
      </c>
      <c r="Q7" s="233">
        <v>111</v>
      </c>
      <c r="R7" s="233">
        <v>112</v>
      </c>
      <c r="S7" s="233">
        <v>113</v>
      </c>
      <c r="T7" s="233">
        <v>114</v>
      </c>
      <c r="U7" s="233">
        <v>115</v>
      </c>
      <c r="V7" s="233">
        <v>116</v>
      </c>
      <c r="W7" s="233">
        <v>117</v>
      </c>
      <c r="X7" s="233">
        <v>118</v>
      </c>
      <c r="Y7" s="233">
        <v>119</v>
      </c>
      <c r="Z7" s="233">
        <v>120</v>
      </c>
      <c r="AA7" s="233">
        <v>121</v>
      </c>
      <c r="AB7" s="233">
        <v>122</v>
      </c>
      <c r="AC7" s="233">
        <v>123</v>
      </c>
      <c r="AD7" s="233">
        <v>124</v>
      </c>
      <c r="AE7" s="233">
        <v>125</v>
      </c>
      <c r="AF7" s="233">
        <v>126</v>
      </c>
      <c r="AG7" s="233">
        <v>127</v>
      </c>
      <c r="AH7" s="233">
        <v>128</v>
      </c>
      <c r="AI7" s="233">
        <v>129</v>
      </c>
      <c r="AJ7" s="233">
        <v>130</v>
      </c>
      <c r="AK7" s="233">
        <v>131</v>
      </c>
      <c r="AL7" s="233">
        <v>132</v>
      </c>
      <c r="AM7" s="233">
        <v>133</v>
      </c>
      <c r="AN7" s="233">
        <v>134</v>
      </c>
      <c r="AO7" s="233">
        <v>135</v>
      </c>
      <c r="AP7" s="233">
        <v>136</v>
      </c>
      <c r="AQ7" s="233">
        <v>137</v>
      </c>
      <c r="AR7" s="233">
        <v>138</v>
      </c>
      <c r="AS7" s="233">
        <v>139</v>
      </c>
      <c r="AT7" s="233">
        <v>140</v>
      </c>
      <c r="AU7" s="233">
        <v>141</v>
      </c>
      <c r="AV7" s="233">
        <v>142</v>
      </c>
      <c r="AW7" s="233">
        <v>143</v>
      </c>
      <c r="AX7" s="233">
        <v>144</v>
      </c>
      <c r="AY7" s="233">
        <v>145</v>
      </c>
      <c r="AZ7" s="233">
        <v>146</v>
      </c>
      <c r="BA7" s="233"/>
      <c r="BB7" s="233"/>
      <c r="BC7" s="233"/>
      <c r="BD7" s="233"/>
      <c r="BE7" s="233"/>
      <c r="BF7" s="233"/>
      <c r="BG7" s="233"/>
      <c r="BH7" s="233"/>
      <c r="BI7" s="233"/>
      <c r="BJ7" s="233"/>
      <c r="BK7" s="233"/>
      <c r="BL7" s="233"/>
      <c r="BM7" s="233"/>
      <c r="BN7" s="233"/>
      <c r="BO7" s="233"/>
      <c r="BP7" s="233"/>
      <c r="BQ7" s="233"/>
      <c r="BR7" s="233"/>
      <c r="BS7" s="233"/>
      <c r="BT7" s="233"/>
      <c r="BU7" s="233"/>
      <c r="BV7" s="233"/>
      <c r="BW7" s="139"/>
    </row>
    <row r="8" spans="1:75" s="145" customFormat="1" ht="32.1" customHeight="1" x14ac:dyDescent="0.25">
      <c r="A8" s="141" t="s">
        <v>445</v>
      </c>
      <c r="B8" s="317" t="s">
        <v>446</v>
      </c>
      <c r="C8" s="148" t="s">
        <v>9</v>
      </c>
      <c r="D8" s="318"/>
      <c r="E8" s="142"/>
      <c r="F8" s="143">
        <f t="shared" si="0"/>
        <v>3</v>
      </c>
      <c r="G8" s="316"/>
      <c r="H8" s="279"/>
      <c r="I8" s="279"/>
      <c r="J8" s="279"/>
      <c r="K8" s="279"/>
      <c r="L8" s="279"/>
      <c r="M8" s="279"/>
      <c r="N8" s="279"/>
      <c r="O8" s="279"/>
      <c r="P8" s="279"/>
      <c r="Q8" s="279"/>
      <c r="R8" s="279"/>
      <c r="S8" s="279"/>
      <c r="T8" s="279"/>
      <c r="U8" s="279"/>
      <c r="V8" s="279"/>
      <c r="W8" s="279"/>
      <c r="X8" s="279"/>
      <c r="Y8" s="279"/>
      <c r="Z8" s="279"/>
      <c r="AA8" s="271">
        <v>21</v>
      </c>
      <c r="AB8" s="271">
        <v>22</v>
      </c>
      <c r="AC8" s="271">
        <v>23</v>
      </c>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79"/>
      <c r="BK8" s="279"/>
      <c r="BL8" s="279"/>
      <c r="BM8" s="279"/>
      <c r="BN8" s="279"/>
      <c r="BO8" s="279"/>
      <c r="BP8" s="279"/>
      <c r="BQ8" s="279"/>
      <c r="BR8" s="279"/>
      <c r="BS8" s="279"/>
      <c r="BT8" s="279"/>
      <c r="BU8" s="279"/>
      <c r="BV8" s="279"/>
      <c r="BW8" s="144"/>
    </row>
    <row r="9" spans="1:75" s="8" customFormat="1" ht="32.1" customHeight="1" thickBot="1" x14ac:dyDescent="0.3">
      <c r="A9" s="149" t="s">
        <v>11</v>
      </c>
      <c r="B9" s="150" t="s">
        <v>11</v>
      </c>
      <c r="C9" s="151" t="s">
        <v>9</v>
      </c>
      <c r="D9" s="152"/>
      <c r="E9" s="153"/>
      <c r="F9" s="154">
        <f t="shared" si="0"/>
        <v>3</v>
      </c>
      <c r="G9" s="155"/>
      <c r="H9" s="156"/>
      <c r="I9" s="156"/>
      <c r="J9" s="156"/>
      <c r="K9" s="156"/>
      <c r="L9" s="156"/>
      <c r="M9" s="156"/>
      <c r="N9" s="156"/>
      <c r="O9" s="156"/>
      <c r="P9" s="156"/>
      <c r="Q9" s="156"/>
      <c r="R9" s="156"/>
      <c r="S9" s="156"/>
      <c r="T9" s="156"/>
      <c r="U9" s="156"/>
      <c r="V9" s="156"/>
      <c r="W9" s="156"/>
      <c r="X9" s="156"/>
      <c r="Y9" s="156"/>
      <c r="Z9" s="156">
        <v>20</v>
      </c>
      <c r="AA9" s="156"/>
      <c r="AB9" s="156"/>
      <c r="AC9" s="156"/>
      <c r="AD9" s="156"/>
      <c r="AE9" s="156"/>
      <c r="AF9" s="156"/>
      <c r="AG9" s="156"/>
      <c r="AH9" s="156"/>
      <c r="AI9" s="156"/>
      <c r="AJ9" s="156"/>
      <c r="AK9" s="156"/>
      <c r="AL9" s="156"/>
      <c r="AM9" s="156"/>
      <c r="AN9" s="156"/>
      <c r="AO9" s="156">
        <v>35</v>
      </c>
      <c r="AP9" s="156"/>
      <c r="AQ9" s="156"/>
      <c r="AR9" s="156"/>
      <c r="AS9" s="156"/>
      <c r="AT9" s="156"/>
      <c r="AU9" s="156"/>
      <c r="AV9" s="156"/>
      <c r="AW9" s="156"/>
      <c r="AX9" s="156">
        <v>44</v>
      </c>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4">
    <tabColor theme="5" tint="0.39997558519241921"/>
    <outlinePr summaryBelow="0"/>
  </sheetPr>
  <dimension ref="A1:W130"/>
  <sheetViews>
    <sheetView zoomScale="85" zoomScaleNormal="85" workbookViewId="0">
      <pane xSplit="6" ySplit="3" topLeftCell="P4" activePane="bottomRight" state="frozen"/>
      <selection pane="topRight" activeCell="F1" sqref="F1"/>
      <selection pane="bottomLeft" activeCell="B4" sqref="B4"/>
      <selection pane="bottomRight" activeCell="V1" sqref="V1:W1"/>
    </sheetView>
  </sheetViews>
  <sheetFormatPr defaultColWidth="8.7109375" defaultRowHeight="15" outlineLevelRow="1" x14ac:dyDescent="0.25"/>
  <cols>
    <col min="1" max="1" width="34.5703125" style="62" bestFit="1" customWidth="1"/>
    <col min="2" max="2" width="34.85546875" style="62" bestFit="1" customWidth="1"/>
    <col min="3" max="3" width="8.28515625" style="10" bestFit="1" customWidth="1"/>
    <col min="4" max="4" width="17.5703125" style="10" customWidth="1"/>
    <col min="5" max="5" width="4.42578125" style="10" bestFit="1" customWidth="1"/>
    <col min="6" max="6" width="18.42578125" style="10" customWidth="1"/>
    <col min="7" max="7" width="17.5703125" style="10" customWidth="1"/>
    <col min="8" max="8" width="4.7109375" style="10" bestFit="1" customWidth="1"/>
    <col min="9" max="9" width="17" style="10" bestFit="1" customWidth="1"/>
    <col min="10" max="10" width="17.5703125" style="10" customWidth="1"/>
    <col min="11" max="11" width="4.7109375" style="10" bestFit="1" customWidth="1"/>
    <col min="12" max="12" width="17" style="10" bestFit="1" customWidth="1"/>
    <col min="13" max="13" width="17.5703125" style="10" customWidth="1"/>
    <col min="14" max="14" width="4.42578125" style="10" bestFit="1" customWidth="1"/>
    <col min="15" max="15" width="17" style="10" customWidth="1"/>
    <col min="16" max="16" width="17.140625" style="10" customWidth="1"/>
    <col min="17" max="17" width="5.140625" style="10" customWidth="1"/>
    <col min="18" max="18" width="15.42578125" style="10" customWidth="1"/>
    <col min="19" max="19" width="4.42578125" style="10" customWidth="1"/>
    <col min="20" max="20" width="6.5703125" style="10" bestFit="1" customWidth="1"/>
    <col min="21" max="21" width="6.5703125" style="10" customWidth="1"/>
    <col min="22" max="22" width="6.5703125" style="10" bestFit="1" customWidth="1"/>
    <col min="23" max="23" width="6.5703125" style="10" customWidth="1"/>
    <col min="24" max="38" width="8.7109375" style="59" customWidth="1"/>
    <col min="39" max="16384" width="8.7109375" style="59"/>
  </cols>
  <sheetData>
    <row r="1" spans="1:23" s="61" customFormat="1" x14ac:dyDescent="0.25">
      <c r="A1" s="440" t="s">
        <v>447</v>
      </c>
      <c r="B1" s="440" t="s">
        <v>3</v>
      </c>
      <c r="C1" s="440" t="s">
        <v>419</v>
      </c>
      <c r="D1" s="437" t="s">
        <v>5</v>
      </c>
      <c r="E1" s="435"/>
      <c r="F1" s="436"/>
      <c r="G1" s="438" t="s">
        <v>6</v>
      </c>
      <c r="H1" s="439"/>
      <c r="I1" s="439"/>
      <c r="J1" s="437" t="s">
        <v>7</v>
      </c>
      <c r="K1" s="435"/>
      <c r="L1" s="436"/>
      <c r="M1" s="445" t="s">
        <v>8</v>
      </c>
      <c r="N1" s="446"/>
      <c r="O1" s="446"/>
      <c r="P1" s="437" t="s">
        <v>9</v>
      </c>
      <c r="Q1" s="436"/>
      <c r="R1" s="437" t="s">
        <v>10</v>
      </c>
      <c r="S1" s="436"/>
      <c r="T1" s="437" t="s">
        <v>11</v>
      </c>
      <c r="U1" s="436"/>
      <c r="V1" s="437" t="s">
        <v>448</v>
      </c>
      <c r="W1" s="436"/>
    </row>
    <row r="2" spans="1:23" s="61" customFormat="1" ht="41.1" customHeight="1" x14ac:dyDescent="0.25">
      <c r="A2" s="441"/>
      <c r="B2" s="441"/>
      <c r="C2" s="441"/>
      <c r="D2" s="434" t="s">
        <v>449</v>
      </c>
      <c r="E2" s="435"/>
      <c r="F2" s="436"/>
      <c r="G2" s="443" t="s">
        <v>450</v>
      </c>
      <c r="H2" s="439"/>
      <c r="I2" s="439"/>
      <c r="J2" s="434" t="s">
        <v>451</v>
      </c>
      <c r="K2" s="435"/>
      <c r="L2" s="436"/>
      <c r="M2" s="447" t="s">
        <v>452</v>
      </c>
      <c r="N2" s="446"/>
      <c r="O2" s="446"/>
      <c r="P2" s="434" t="s">
        <v>453</v>
      </c>
      <c r="Q2" s="436"/>
      <c r="R2" s="444" t="s">
        <v>454</v>
      </c>
      <c r="S2" s="436"/>
      <c r="T2" s="434" t="s">
        <v>455</v>
      </c>
      <c r="U2" s="436"/>
      <c r="V2" s="434" t="s">
        <v>456</v>
      </c>
      <c r="W2" s="436"/>
    </row>
    <row r="3" spans="1:23" s="61" customFormat="1" ht="30" customHeight="1" x14ac:dyDescent="0.25">
      <c r="A3" s="442"/>
      <c r="B3" s="442"/>
      <c r="C3" s="442"/>
      <c r="D3" s="183" t="s">
        <v>457</v>
      </c>
      <c r="E3" s="183" t="s">
        <v>360</v>
      </c>
      <c r="F3" s="186" t="s">
        <v>458</v>
      </c>
      <c r="G3" s="183" t="s">
        <v>457</v>
      </c>
      <c r="H3" s="183" t="s">
        <v>360</v>
      </c>
      <c r="I3" s="186" t="s">
        <v>458</v>
      </c>
      <c r="J3" s="183" t="s">
        <v>457</v>
      </c>
      <c r="K3" s="183" t="s">
        <v>360</v>
      </c>
      <c r="L3" s="186" t="s">
        <v>458</v>
      </c>
      <c r="M3" s="185" t="s">
        <v>457</v>
      </c>
      <c r="N3" s="183" t="s">
        <v>360</v>
      </c>
      <c r="O3" s="186" t="s">
        <v>458</v>
      </c>
      <c r="P3" s="189" t="s">
        <v>459</v>
      </c>
      <c r="Q3" s="91" t="s">
        <v>360</v>
      </c>
      <c r="R3" s="189" t="s">
        <v>459</v>
      </c>
      <c r="S3" s="91" t="s">
        <v>360</v>
      </c>
      <c r="T3" s="183" t="s">
        <v>459</v>
      </c>
      <c r="U3" s="186" t="s">
        <v>360</v>
      </c>
      <c r="V3" s="183" t="s">
        <v>459</v>
      </c>
      <c r="W3" s="186" t="s">
        <v>360</v>
      </c>
    </row>
    <row r="4" spans="1:23" s="61" customFormat="1" x14ac:dyDescent="0.25">
      <c r="A4" s="229" t="s">
        <v>460</v>
      </c>
      <c r="B4" s="229"/>
      <c r="C4" s="222"/>
      <c r="D4" s="319"/>
      <c r="E4" s="320"/>
      <c r="F4" s="321"/>
      <c r="G4" s="319"/>
      <c r="H4" s="320"/>
      <c r="I4" s="321"/>
      <c r="J4" s="319"/>
      <c r="K4" s="320"/>
      <c r="L4" s="321"/>
      <c r="M4" s="319"/>
      <c r="N4" s="320"/>
      <c r="O4" s="321"/>
      <c r="P4" s="320"/>
      <c r="Q4" s="320"/>
      <c r="R4" s="319"/>
      <c r="S4" s="321"/>
      <c r="T4" s="320"/>
      <c r="U4" s="321"/>
      <c r="V4" s="320"/>
      <c r="W4" s="321"/>
    </row>
    <row r="5" spans="1:23" outlineLevel="1" x14ac:dyDescent="0.25">
      <c r="A5" s="322" t="s">
        <v>461</v>
      </c>
      <c r="B5" s="322" t="s">
        <v>462</v>
      </c>
      <c r="C5" s="63" t="s">
        <v>463</v>
      </c>
      <c r="D5" s="77" t="s">
        <v>464</v>
      </c>
      <c r="E5" s="10" t="s">
        <v>465</v>
      </c>
      <c r="F5" s="64"/>
      <c r="G5" s="291" t="s">
        <v>466</v>
      </c>
      <c r="H5" s="10" t="s">
        <v>465</v>
      </c>
      <c r="I5" s="73"/>
      <c r="J5" s="77" t="s">
        <v>467</v>
      </c>
      <c r="K5" s="78" t="s">
        <v>465</v>
      </c>
      <c r="L5" s="73"/>
      <c r="M5" s="291" t="s">
        <v>468</v>
      </c>
      <c r="N5" s="78" t="s">
        <v>15</v>
      </c>
      <c r="O5" s="73"/>
      <c r="P5" s="78" t="s">
        <v>469</v>
      </c>
      <c r="Q5" s="78" t="s">
        <v>470</v>
      </c>
      <c r="R5" s="77" t="s">
        <v>469</v>
      </c>
      <c r="S5" s="73" t="s">
        <v>470</v>
      </c>
      <c r="T5" s="78"/>
      <c r="U5" s="73"/>
      <c r="V5" s="78"/>
      <c r="W5" s="73"/>
    </row>
    <row r="6" spans="1:23" x14ac:dyDescent="0.25">
      <c r="A6" s="323" t="s">
        <v>471</v>
      </c>
      <c r="B6" s="323"/>
      <c r="C6" s="113"/>
      <c r="D6" s="68"/>
      <c r="E6" s="223"/>
      <c r="F6" s="69"/>
      <c r="G6" s="68"/>
      <c r="H6" s="223"/>
      <c r="I6" s="69"/>
      <c r="J6" s="68"/>
      <c r="K6" s="223"/>
      <c r="L6" s="69"/>
      <c r="M6" s="68"/>
      <c r="N6" s="223"/>
      <c r="O6" s="69"/>
      <c r="P6" s="223"/>
      <c r="Q6" s="223"/>
      <c r="R6" s="68"/>
      <c r="S6" s="69"/>
      <c r="T6" s="223"/>
      <c r="U6" s="69"/>
      <c r="V6" s="223"/>
      <c r="W6" s="69"/>
    </row>
    <row r="7" spans="1:23" ht="30" customHeight="1" outlineLevel="1" x14ac:dyDescent="0.25">
      <c r="A7" s="322" t="s">
        <v>472</v>
      </c>
      <c r="B7" s="322" t="s">
        <v>473</v>
      </c>
      <c r="C7" s="63" t="s">
        <v>463</v>
      </c>
      <c r="D7" s="77" t="s">
        <v>474</v>
      </c>
      <c r="E7" s="10" t="s">
        <v>475</v>
      </c>
      <c r="F7" s="64"/>
      <c r="G7" s="77" t="s">
        <v>476</v>
      </c>
      <c r="H7" s="78" t="s">
        <v>465</v>
      </c>
      <c r="I7" s="73"/>
      <c r="J7" s="77" t="s">
        <v>474</v>
      </c>
      <c r="K7" s="10" t="s">
        <v>475</v>
      </c>
      <c r="L7" s="64"/>
      <c r="M7" s="77" t="s">
        <v>477</v>
      </c>
      <c r="N7" s="10" t="s">
        <v>465</v>
      </c>
      <c r="O7" s="64"/>
      <c r="P7" s="78" t="s">
        <v>478</v>
      </c>
      <c r="Q7" s="79" t="s">
        <v>479</v>
      </c>
      <c r="R7" s="63" t="s">
        <v>478</v>
      </c>
      <c r="S7" s="71" t="s">
        <v>479</v>
      </c>
      <c r="U7" s="64"/>
      <c r="W7" s="64"/>
    </row>
    <row r="8" spans="1:23" ht="30" customHeight="1" outlineLevel="1" x14ac:dyDescent="0.25">
      <c r="A8" s="322" t="s">
        <v>480</v>
      </c>
      <c r="B8" s="322" t="s">
        <v>481</v>
      </c>
      <c r="C8" s="63" t="s">
        <v>463</v>
      </c>
      <c r="D8" s="77" t="s">
        <v>482</v>
      </c>
      <c r="E8" s="10" t="s">
        <v>483</v>
      </c>
      <c r="F8" s="64"/>
      <c r="G8" s="77" t="s">
        <v>484</v>
      </c>
      <c r="H8" s="78" t="s">
        <v>485</v>
      </c>
      <c r="I8" s="73"/>
      <c r="J8" s="77" t="s">
        <v>486</v>
      </c>
      <c r="K8" s="10" t="s">
        <v>483</v>
      </c>
      <c r="L8" s="64"/>
      <c r="M8" s="77" t="s">
        <v>487</v>
      </c>
      <c r="N8" s="10" t="s">
        <v>485</v>
      </c>
      <c r="O8" s="64"/>
      <c r="P8" s="78" t="s">
        <v>488</v>
      </c>
      <c r="Q8" s="79" t="s">
        <v>489</v>
      </c>
      <c r="R8" s="63" t="s">
        <v>488</v>
      </c>
      <c r="S8" s="71" t="s">
        <v>489</v>
      </c>
      <c r="U8" s="64"/>
      <c r="W8" s="64"/>
    </row>
    <row r="9" spans="1:23" ht="30" customHeight="1" outlineLevel="1" x14ac:dyDescent="0.25">
      <c r="A9" s="322" t="s">
        <v>490</v>
      </c>
      <c r="B9" s="322" t="s">
        <v>491</v>
      </c>
      <c r="C9" s="63" t="s">
        <v>463</v>
      </c>
      <c r="D9" s="77" t="s">
        <v>492</v>
      </c>
      <c r="E9" s="10" t="s">
        <v>483</v>
      </c>
      <c r="F9" s="73"/>
      <c r="G9" s="77" t="s">
        <v>493</v>
      </c>
      <c r="H9" s="78" t="s">
        <v>485</v>
      </c>
      <c r="I9" s="73"/>
      <c r="J9" s="77" t="s">
        <v>492</v>
      </c>
      <c r="K9" s="10" t="s">
        <v>483</v>
      </c>
      <c r="L9" s="64"/>
      <c r="M9" s="77" t="s">
        <v>494</v>
      </c>
      <c r="N9" s="10" t="s">
        <v>495</v>
      </c>
      <c r="O9" s="64"/>
      <c r="P9" s="78" t="s">
        <v>496</v>
      </c>
      <c r="Q9" s="79" t="s">
        <v>489</v>
      </c>
      <c r="R9" s="63" t="s">
        <v>496</v>
      </c>
      <c r="S9" s="71" t="s">
        <v>489</v>
      </c>
      <c r="U9" s="64"/>
      <c r="W9" s="64"/>
    </row>
    <row r="10" spans="1:23" ht="30" customHeight="1" outlineLevel="1" x14ac:dyDescent="0.25">
      <c r="A10" s="322" t="s">
        <v>497</v>
      </c>
      <c r="B10" s="322" t="s">
        <v>498</v>
      </c>
      <c r="C10" s="63" t="s">
        <v>463</v>
      </c>
      <c r="D10" s="77" t="s">
        <v>15</v>
      </c>
      <c r="E10" s="10" t="s">
        <v>15</v>
      </c>
      <c r="F10" s="64"/>
      <c r="G10" s="77" t="s">
        <v>15</v>
      </c>
      <c r="H10" s="78" t="s">
        <v>15</v>
      </c>
      <c r="I10" s="73"/>
      <c r="J10" s="77" t="s">
        <v>499</v>
      </c>
      <c r="K10" s="10" t="s">
        <v>465</v>
      </c>
      <c r="L10" s="64"/>
      <c r="M10" s="77" t="s">
        <v>500</v>
      </c>
      <c r="N10" s="10" t="s">
        <v>495</v>
      </c>
      <c r="O10" s="64"/>
      <c r="P10" s="78" t="s">
        <v>501</v>
      </c>
      <c r="Q10" s="79" t="s">
        <v>479</v>
      </c>
      <c r="R10" s="63" t="s">
        <v>501</v>
      </c>
      <c r="S10" s="71" t="s">
        <v>479</v>
      </c>
      <c r="U10" s="64"/>
      <c r="W10" s="64"/>
    </row>
    <row r="11" spans="1:23" ht="30" customHeight="1" outlineLevel="1" x14ac:dyDescent="0.25">
      <c r="A11" s="322" t="s">
        <v>502</v>
      </c>
      <c r="B11" s="322" t="s">
        <v>503</v>
      </c>
      <c r="C11" s="63" t="s">
        <v>463</v>
      </c>
      <c r="D11" s="77" t="s">
        <v>15</v>
      </c>
      <c r="E11" s="10" t="s">
        <v>15</v>
      </c>
      <c r="F11" s="64"/>
      <c r="G11" s="77" t="s">
        <v>15</v>
      </c>
      <c r="H11" s="78" t="s">
        <v>15</v>
      </c>
      <c r="I11" s="73"/>
      <c r="J11" s="77"/>
      <c r="L11" s="64"/>
      <c r="M11" s="77" t="s">
        <v>15</v>
      </c>
      <c r="N11" s="10" t="s">
        <v>15</v>
      </c>
      <c r="O11" s="64"/>
      <c r="P11" s="78" t="s">
        <v>504</v>
      </c>
      <c r="Q11" s="79" t="s">
        <v>505</v>
      </c>
      <c r="R11" s="63" t="s">
        <v>504</v>
      </c>
      <c r="S11" s="71" t="s">
        <v>505</v>
      </c>
      <c r="U11" s="64"/>
      <c r="W11" s="64"/>
    </row>
    <row r="12" spans="1:23" ht="30" customHeight="1" outlineLevel="1" x14ac:dyDescent="0.25">
      <c r="A12" s="322" t="s">
        <v>506</v>
      </c>
      <c r="B12" s="322" t="s">
        <v>507</v>
      </c>
      <c r="C12" s="63" t="s">
        <v>463</v>
      </c>
      <c r="D12" s="77" t="s">
        <v>508</v>
      </c>
      <c r="E12" s="10" t="s">
        <v>475</v>
      </c>
      <c r="F12" s="64"/>
      <c r="G12" s="77" t="s">
        <v>509</v>
      </c>
      <c r="H12" s="78" t="s">
        <v>483</v>
      </c>
      <c r="I12" s="73"/>
      <c r="J12" s="77" t="s">
        <v>510</v>
      </c>
      <c r="K12" s="10" t="s">
        <v>485</v>
      </c>
      <c r="L12" s="64"/>
      <c r="M12" s="77" t="s">
        <v>511</v>
      </c>
      <c r="N12" s="10" t="s">
        <v>465</v>
      </c>
      <c r="O12" s="64"/>
      <c r="P12" s="78" t="s">
        <v>512</v>
      </c>
      <c r="Q12" s="79" t="s">
        <v>489</v>
      </c>
      <c r="R12" s="63" t="s">
        <v>512</v>
      </c>
      <c r="S12" s="71" t="s">
        <v>489</v>
      </c>
      <c r="U12" s="64"/>
      <c r="W12" s="64"/>
    </row>
    <row r="13" spans="1:23" ht="30" customHeight="1" outlineLevel="1" x14ac:dyDescent="0.25">
      <c r="A13" s="322" t="s">
        <v>513</v>
      </c>
      <c r="B13" s="322" t="s">
        <v>514</v>
      </c>
      <c r="C13" s="63" t="s">
        <v>463</v>
      </c>
      <c r="D13" s="77" t="s">
        <v>515</v>
      </c>
      <c r="E13" s="10" t="s">
        <v>475</v>
      </c>
      <c r="F13" s="64"/>
      <c r="G13" s="77" t="s">
        <v>516</v>
      </c>
      <c r="H13" s="10" t="s">
        <v>483</v>
      </c>
      <c r="I13" s="73"/>
      <c r="J13" s="77" t="s">
        <v>515</v>
      </c>
      <c r="K13" s="10" t="s">
        <v>475</v>
      </c>
      <c r="L13" s="64"/>
      <c r="M13" s="77" t="s">
        <v>517</v>
      </c>
      <c r="N13" s="79" t="s">
        <v>485</v>
      </c>
      <c r="O13" s="64"/>
      <c r="P13" s="78" t="s">
        <v>518</v>
      </c>
      <c r="Q13" s="79" t="s">
        <v>505</v>
      </c>
      <c r="R13" s="63" t="s">
        <v>518</v>
      </c>
      <c r="S13" s="71" t="s">
        <v>505</v>
      </c>
      <c r="U13" s="64"/>
      <c r="W13" s="64"/>
    </row>
    <row r="14" spans="1:23" ht="30" customHeight="1" outlineLevel="1" x14ac:dyDescent="0.25">
      <c r="A14" s="322" t="s">
        <v>519</v>
      </c>
      <c r="B14" s="322" t="s">
        <v>520</v>
      </c>
      <c r="C14" s="63" t="s">
        <v>463</v>
      </c>
      <c r="D14" s="77" t="s">
        <v>521</v>
      </c>
      <c r="E14" s="10" t="s">
        <v>475</v>
      </c>
      <c r="F14" s="64"/>
      <c r="G14" s="77" t="s">
        <v>522</v>
      </c>
      <c r="H14" s="78" t="s">
        <v>465</v>
      </c>
      <c r="I14" s="73"/>
      <c r="J14" s="77" t="s">
        <v>521</v>
      </c>
      <c r="K14" s="10" t="s">
        <v>475</v>
      </c>
      <c r="L14" s="64"/>
      <c r="M14" s="77" t="s">
        <v>523</v>
      </c>
      <c r="N14" s="10" t="s">
        <v>465</v>
      </c>
      <c r="O14" s="64"/>
      <c r="P14" s="78" t="s">
        <v>524</v>
      </c>
      <c r="Q14" s="79" t="s">
        <v>505</v>
      </c>
      <c r="R14" s="63" t="s">
        <v>524</v>
      </c>
      <c r="S14" s="71" t="s">
        <v>505</v>
      </c>
      <c r="U14" s="64"/>
      <c r="W14" s="64"/>
    </row>
    <row r="15" spans="1:23" ht="30" customHeight="1" outlineLevel="1" x14ac:dyDescent="0.25">
      <c r="A15" s="322" t="s">
        <v>525</v>
      </c>
      <c r="B15" s="322" t="s">
        <v>526</v>
      </c>
      <c r="C15" s="63" t="s">
        <v>463</v>
      </c>
      <c r="D15" s="77" t="s">
        <v>527</v>
      </c>
      <c r="E15" s="10" t="s">
        <v>475</v>
      </c>
      <c r="F15" s="64"/>
      <c r="G15" s="77" t="s">
        <v>528</v>
      </c>
      <c r="H15" s="10" t="s">
        <v>485</v>
      </c>
      <c r="I15" s="73"/>
      <c r="J15" s="77" t="s">
        <v>527</v>
      </c>
      <c r="K15" s="10" t="s">
        <v>475</v>
      </c>
      <c r="L15" s="64"/>
      <c r="M15" s="77" t="s">
        <v>529</v>
      </c>
      <c r="N15" s="10" t="s">
        <v>485</v>
      </c>
      <c r="O15" s="64"/>
      <c r="P15" s="78" t="s">
        <v>530</v>
      </c>
      <c r="Q15" s="79" t="s">
        <v>505</v>
      </c>
      <c r="R15" s="63" t="s">
        <v>530</v>
      </c>
      <c r="S15" s="71" t="s">
        <v>505</v>
      </c>
      <c r="U15" s="64"/>
      <c r="W15" s="64"/>
    </row>
    <row r="16" spans="1:23" ht="30" customHeight="1" outlineLevel="1" x14ac:dyDescent="0.25">
      <c r="A16" s="322" t="s">
        <v>531</v>
      </c>
      <c r="B16" s="322" t="s">
        <v>532</v>
      </c>
      <c r="C16" s="63" t="s">
        <v>463</v>
      </c>
      <c r="D16" s="77" t="s">
        <v>533</v>
      </c>
      <c r="E16" s="10" t="s">
        <v>483</v>
      </c>
      <c r="F16" s="64"/>
      <c r="G16" s="77" t="s">
        <v>534</v>
      </c>
      <c r="H16" s="10" t="s">
        <v>475</v>
      </c>
      <c r="I16" s="73"/>
      <c r="J16" s="77" t="s">
        <v>535</v>
      </c>
      <c r="K16" s="79" t="s">
        <v>536</v>
      </c>
      <c r="L16" s="64"/>
      <c r="M16" s="77" t="s">
        <v>537</v>
      </c>
      <c r="N16" s="10" t="s">
        <v>485</v>
      </c>
      <c r="O16" s="64"/>
      <c r="P16" s="78" t="s">
        <v>538</v>
      </c>
      <c r="Q16" s="79" t="s">
        <v>539</v>
      </c>
      <c r="R16" s="63" t="s">
        <v>538</v>
      </c>
      <c r="S16" s="71" t="s">
        <v>539</v>
      </c>
      <c r="U16" s="64"/>
      <c r="W16" s="64"/>
    </row>
    <row r="17" spans="1:23" ht="30" customHeight="1" outlineLevel="1" x14ac:dyDescent="0.25">
      <c r="A17" s="322" t="s">
        <v>540</v>
      </c>
      <c r="B17" s="322" t="s">
        <v>541</v>
      </c>
      <c r="C17" s="63" t="s">
        <v>463</v>
      </c>
      <c r="D17" s="77" t="s">
        <v>542</v>
      </c>
      <c r="E17" s="79" t="s">
        <v>495</v>
      </c>
      <c r="F17" s="64"/>
      <c r="G17" s="77" t="s">
        <v>543</v>
      </c>
      <c r="H17" s="10" t="s">
        <v>475</v>
      </c>
      <c r="I17" s="73"/>
      <c r="J17" s="77" t="s">
        <v>544</v>
      </c>
      <c r="K17" s="79" t="s">
        <v>475</v>
      </c>
      <c r="L17" s="64"/>
      <c r="M17" s="77" t="s">
        <v>545</v>
      </c>
      <c r="N17" s="10" t="s">
        <v>465</v>
      </c>
      <c r="O17" s="64"/>
      <c r="P17" s="78" t="s">
        <v>546</v>
      </c>
      <c r="Q17" s="79" t="s">
        <v>505</v>
      </c>
      <c r="R17" s="63" t="s">
        <v>546</v>
      </c>
      <c r="S17" s="71" t="s">
        <v>505</v>
      </c>
      <c r="U17" s="64"/>
      <c r="W17" s="64"/>
    </row>
    <row r="18" spans="1:23" ht="30" customHeight="1" outlineLevel="1" x14ac:dyDescent="0.25">
      <c r="A18" s="322" t="s">
        <v>547</v>
      </c>
      <c r="B18" s="322" t="s">
        <v>548</v>
      </c>
      <c r="C18" s="63" t="s">
        <v>463</v>
      </c>
      <c r="D18" s="77" t="s">
        <v>549</v>
      </c>
      <c r="E18" s="10" t="s">
        <v>475</v>
      </c>
      <c r="F18" s="64"/>
      <c r="G18" s="77" t="s">
        <v>550</v>
      </c>
      <c r="H18" s="10" t="s">
        <v>465</v>
      </c>
      <c r="I18" s="73"/>
      <c r="J18" s="77" t="s">
        <v>551</v>
      </c>
      <c r="K18" s="10" t="s">
        <v>465</v>
      </c>
      <c r="L18" s="64"/>
      <c r="M18" s="77" t="s">
        <v>552</v>
      </c>
      <c r="N18" s="10" t="s">
        <v>465</v>
      </c>
      <c r="O18" s="64"/>
      <c r="P18" s="78" t="s">
        <v>553</v>
      </c>
      <c r="Q18" s="79" t="s">
        <v>479</v>
      </c>
      <c r="R18" s="63" t="s">
        <v>553</v>
      </c>
      <c r="S18" s="71" t="s">
        <v>479</v>
      </c>
      <c r="U18" s="64"/>
      <c r="W18" s="64"/>
    </row>
    <row r="19" spans="1:23" ht="30" customHeight="1" outlineLevel="1" x14ac:dyDescent="0.25">
      <c r="A19" s="322" t="s">
        <v>554</v>
      </c>
      <c r="B19" s="322" t="s">
        <v>555</v>
      </c>
      <c r="C19" s="63" t="s">
        <v>463</v>
      </c>
      <c r="D19" s="77" t="s">
        <v>556</v>
      </c>
      <c r="E19" s="10" t="s">
        <v>475</v>
      </c>
      <c r="F19" s="64"/>
      <c r="G19" s="77" t="s">
        <v>557</v>
      </c>
      <c r="H19" s="10" t="s">
        <v>465</v>
      </c>
      <c r="I19" s="73"/>
      <c r="J19" s="77" t="s">
        <v>556</v>
      </c>
      <c r="K19" s="10" t="s">
        <v>475</v>
      </c>
      <c r="L19" s="64"/>
      <c r="M19" s="77" t="s">
        <v>558</v>
      </c>
      <c r="N19" s="10" t="s">
        <v>465</v>
      </c>
      <c r="O19" s="64"/>
      <c r="P19" s="78" t="s">
        <v>559</v>
      </c>
      <c r="Q19" s="79" t="s">
        <v>479</v>
      </c>
      <c r="R19" s="63" t="s">
        <v>559</v>
      </c>
      <c r="S19" s="71" t="s">
        <v>479</v>
      </c>
      <c r="U19" s="64"/>
      <c r="W19" s="64"/>
    </row>
    <row r="20" spans="1:23" ht="30" customHeight="1" outlineLevel="1" x14ac:dyDescent="0.25">
      <c r="A20" s="322" t="s">
        <v>560</v>
      </c>
      <c r="B20" s="322" t="s">
        <v>561</v>
      </c>
      <c r="C20" s="63" t="s">
        <v>463</v>
      </c>
      <c r="D20" s="77" t="s">
        <v>562</v>
      </c>
      <c r="E20" s="10" t="s">
        <v>483</v>
      </c>
      <c r="F20" s="64"/>
      <c r="G20" s="77" t="s">
        <v>563</v>
      </c>
      <c r="H20" s="10" t="s">
        <v>485</v>
      </c>
      <c r="I20" s="73"/>
      <c r="J20" s="77" t="s">
        <v>564</v>
      </c>
      <c r="K20" s="79" t="s">
        <v>475</v>
      </c>
      <c r="L20" s="64"/>
      <c r="M20" s="77" t="s">
        <v>565</v>
      </c>
      <c r="N20" s="10" t="s">
        <v>485</v>
      </c>
      <c r="O20" s="64"/>
      <c r="P20" s="78" t="s">
        <v>566</v>
      </c>
      <c r="Q20" s="79" t="s">
        <v>539</v>
      </c>
      <c r="R20" s="63" t="s">
        <v>566</v>
      </c>
      <c r="S20" s="71" t="s">
        <v>539</v>
      </c>
      <c r="U20" s="64"/>
      <c r="W20" s="64"/>
    </row>
    <row r="21" spans="1:23" ht="30" customHeight="1" outlineLevel="1" x14ac:dyDescent="0.25">
      <c r="A21" s="322" t="s">
        <v>567</v>
      </c>
      <c r="B21" s="322" t="s">
        <v>568</v>
      </c>
      <c r="C21" s="63" t="s">
        <v>463</v>
      </c>
      <c r="D21" s="77" t="s">
        <v>569</v>
      </c>
      <c r="E21" s="10" t="s">
        <v>475</v>
      </c>
      <c r="F21" s="64"/>
      <c r="G21" s="77" t="s">
        <v>570</v>
      </c>
      <c r="H21" s="78" t="s">
        <v>465</v>
      </c>
      <c r="I21" s="73"/>
      <c r="J21" s="77" t="s">
        <v>569</v>
      </c>
      <c r="K21" s="10" t="s">
        <v>475</v>
      </c>
      <c r="L21" s="64"/>
      <c r="M21" s="77" t="s">
        <v>571</v>
      </c>
      <c r="N21" s="10" t="s">
        <v>465</v>
      </c>
      <c r="O21" s="64"/>
      <c r="P21" s="78" t="s">
        <v>572</v>
      </c>
      <c r="Q21" s="79" t="s">
        <v>479</v>
      </c>
      <c r="R21" s="63" t="s">
        <v>572</v>
      </c>
      <c r="S21" s="71" t="s">
        <v>479</v>
      </c>
      <c r="U21" s="64"/>
      <c r="W21" s="64"/>
    </row>
    <row r="22" spans="1:23" ht="30" customHeight="1" outlineLevel="1" x14ac:dyDescent="0.25">
      <c r="A22" s="322" t="s">
        <v>573</v>
      </c>
      <c r="B22" s="322" t="s">
        <v>574</v>
      </c>
      <c r="C22" s="63" t="s">
        <v>463</v>
      </c>
      <c r="D22" s="77" t="s">
        <v>575</v>
      </c>
      <c r="E22" s="10" t="s">
        <v>483</v>
      </c>
      <c r="F22" s="64"/>
      <c r="G22" s="77" t="s">
        <v>576</v>
      </c>
      <c r="H22" s="10" t="s">
        <v>485</v>
      </c>
      <c r="I22" s="73"/>
      <c r="J22" s="77" t="s">
        <v>577</v>
      </c>
      <c r="K22" s="79" t="s">
        <v>495</v>
      </c>
      <c r="L22" s="64"/>
      <c r="M22" s="77" t="s">
        <v>578</v>
      </c>
      <c r="N22" s="10" t="s">
        <v>485</v>
      </c>
      <c r="O22" s="64"/>
      <c r="P22" s="78" t="s">
        <v>579</v>
      </c>
      <c r="Q22" s="79" t="s">
        <v>539</v>
      </c>
      <c r="R22" s="63" t="s">
        <v>579</v>
      </c>
      <c r="S22" s="71" t="s">
        <v>539</v>
      </c>
      <c r="U22" s="64"/>
      <c r="W22" s="64"/>
    </row>
    <row r="23" spans="1:23" ht="30" customHeight="1" outlineLevel="1" x14ac:dyDescent="0.25">
      <c r="A23" s="322" t="s">
        <v>580</v>
      </c>
      <c r="B23" s="322" t="s">
        <v>581</v>
      </c>
      <c r="C23" s="63" t="s">
        <v>463</v>
      </c>
      <c r="D23" s="77" t="s">
        <v>582</v>
      </c>
      <c r="E23" s="10" t="s">
        <v>475</v>
      </c>
      <c r="F23" s="64"/>
      <c r="G23" s="77" t="s">
        <v>583</v>
      </c>
      <c r="H23" s="10" t="s">
        <v>485</v>
      </c>
      <c r="I23" s="73"/>
      <c r="J23" s="77" t="s">
        <v>584</v>
      </c>
      <c r="K23" s="10" t="s">
        <v>465</v>
      </c>
      <c r="L23" s="64"/>
      <c r="M23" s="77" t="s">
        <v>585</v>
      </c>
      <c r="N23" s="79" t="s">
        <v>485</v>
      </c>
      <c r="O23" s="64"/>
      <c r="P23" s="78" t="s">
        <v>586</v>
      </c>
      <c r="Q23" s="79" t="s">
        <v>479</v>
      </c>
      <c r="R23" s="63" t="s">
        <v>586</v>
      </c>
      <c r="S23" s="71" t="s">
        <v>479</v>
      </c>
      <c r="U23" s="64"/>
      <c r="W23" s="64"/>
    </row>
    <row r="24" spans="1:23" ht="30" customHeight="1" outlineLevel="1" x14ac:dyDescent="0.25">
      <c r="A24" s="322" t="s">
        <v>587</v>
      </c>
      <c r="B24" s="322" t="s">
        <v>588</v>
      </c>
      <c r="C24" s="63" t="s">
        <v>463</v>
      </c>
      <c r="D24" s="77" t="s">
        <v>589</v>
      </c>
      <c r="E24" s="10" t="s">
        <v>475</v>
      </c>
      <c r="F24" s="64"/>
      <c r="G24" s="77" t="s">
        <v>590</v>
      </c>
      <c r="H24" s="10" t="s">
        <v>485</v>
      </c>
      <c r="I24" s="73"/>
      <c r="J24" s="77" t="s">
        <v>591</v>
      </c>
      <c r="K24" s="10" t="s">
        <v>465</v>
      </c>
      <c r="L24" s="64"/>
      <c r="M24" s="77" t="s">
        <v>592</v>
      </c>
      <c r="N24" s="10" t="s">
        <v>465</v>
      </c>
      <c r="O24" s="64"/>
      <c r="P24" s="78" t="s">
        <v>593</v>
      </c>
      <c r="Q24" s="79" t="s">
        <v>479</v>
      </c>
      <c r="R24" s="63" t="s">
        <v>593</v>
      </c>
      <c r="S24" s="71" t="s">
        <v>479</v>
      </c>
      <c r="U24" s="64"/>
      <c r="W24" s="64"/>
    </row>
    <row r="25" spans="1:23" ht="30" customHeight="1" outlineLevel="1" x14ac:dyDescent="0.25">
      <c r="A25" s="322" t="s">
        <v>594</v>
      </c>
      <c r="B25" s="322" t="s">
        <v>595</v>
      </c>
      <c r="C25" s="63" t="s">
        <v>463</v>
      </c>
      <c r="D25" s="77" t="s">
        <v>596</v>
      </c>
      <c r="E25" s="10" t="s">
        <v>475</v>
      </c>
      <c r="F25" s="64"/>
      <c r="G25" s="77" t="s">
        <v>597</v>
      </c>
      <c r="H25" s="78" t="s">
        <v>465</v>
      </c>
      <c r="I25" s="73"/>
      <c r="J25" s="77" t="s">
        <v>598</v>
      </c>
      <c r="K25" s="10" t="s">
        <v>465</v>
      </c>
      <c r="L25" s="64"/>
      <c r="M25" s="77" t="s">
        <v>599</v>
      </c>
      <c r="N25" s="79" t="s">
        <v>485</v>
      </c>
      <c r="O25" s="64"/>
      <c r="P25" s="78" t="s">
        <v>600</v>
      </c>
      <c r="Q25" s="79" t="s">
        <v>539</v>
      </c>
      <c r="R25" s="63" t="s">
        <v>600</v>
      </c>
      <c r="S25" s="71" t="s">
        <v>539</v>
      </c>
      <c r="U25" s="64"/>
      <c r="W25" s="64"/>
    </row>
    <row r="26" spans="1:23" ht="30" customHeight="1" outlineLevel="1" x14ac:dyDescent="0.25">
      <c r="A26" s="322" t="s">
        <v>601</v>
      </c>
      <c r="B26" s="322" t="s">
        <v>602</v>
      </c>
      <c r="C26" s="63" t="s">
        <v>463</v>
      </c>
      <c r="D26" s="77" t="s">
        <v>603</v>
      </c>
      <c r="E26" s="10" t="s">
        <v>475</v>
      </c>
      <c r="F26" s="64"/>
      <c r="G26" s="77" t="s">
        <v>604</v>
      </c>
      <c r="H26" s="10" t="s">
        <v>475</v>
      </c>
      <c r="I26" s="73"/>
      <c r="J26" s="77" t="s">
        <v>603</v>
      </c>
      <c r="K26" s="10" t="s">
        <v>475</v>
      </c>
      <c r="L26" s="64"/>
      <c r="M26" s="77" t="s">
        <v>605</v>
      </c>
      <c r="N26" s="10" t="s">
        <v>465</v>
      </c>
      <c r="O26" s="64"/>
      <c r="P26" s="78" t="s">
        <v>606</v>
      </c>
      <c r="Q26" s="79" t="s">
        <v>505</v>
      </c>
      <c r="R26" s="63" t="s">
        <v>606</v>
      </c>
      <c r="S26" s="71" t="s">
        <v>505</v>
      </c>
      <c r="U26" s="64"/>
      <c r="W26" s="64"/>
    </row>
    <row r="27" spans="1:23" ht="30" customHeight="1" outlineLevel="1" x14ac:dyDescent="0.25">
      <c r="A27" s="322" t="s">
        <v>607</v>
      </c>
      <c r="B27" s="322" t="s">
        <v>608</v>
      </c>
      <c r="C27" s="63" t="s">
        <v>463</v>
      </c>
      <c r="D27" s="77" t="s">
        <v>609</v>
      </c>
      <c r="E27" s="10" t="s">
        <v>475</v>
      </c>
      <c r="F27" s="64"/>
      <c r="G27" s="77" t="s">
        <v>610</v>
      </c>
      <c r="H27" s="78" t="s">
        <v>465</v>
      </c>
      <c r="I27" s="73"/>
      <c r="J27" s="77" t="s">
        <v>609</v>
      </c>
      <c r="K27" s="10" t="s">
        <v>475</v>
      </c>
      <c r="L27" s="64"/>
      <c r="M27" s="77" t="s">
        <v>611</v>
      </c>
      <c r="N27" s="10" t="s">
        <v>475</v>
      </c>
      <c r="O27" s="64"/>
      <c r="P27" s="78" t="s">
        <v>612</v>
      </c>
      <c r="Q27" s="79" t="s">
        <v>505</v>
      </c>
      <c r="R27" s="63" t="s">
        <v>612</v>
      </c>
      <c r="S27" s="71" t="s">
        <v>505</v>
      </c>
      <c r="U27" s="64"/>
      <c r="W27" s="64"/>
    </row>
    <row r="28" spans="1:23" ht="30" customHeight="1" outlineLevel="1" x14ac:dyDescent="0.25">
      <c r="A28" s="322" t="s">
        <v>613</v>
      </c>
      <c r="B28" s="322" t="s">
        <v>614</v>
      </c>
      <c r="C28" s="63" t="s">
        <v>463</v>
      </c>
      <c r="D28" s="77" t="s">
        <v>615</v>
      </c>
      <c r="E28" s="10" t="s">
        <v>475</v>
      </c>
      <c r="F28" s="64"/>
      <c r="G28" s="77" t="s">
        <v>616</v>
      </c>
      <c r="H28" s="10" t="s">
        <v>485</v>
      </c>
      <c r="I28" s="73"/>
      <c r="J28" s="77" t="s">
        <v>615</v>
      </c>
      <c r="K28" s="10" t="s">
        <v>475</v>
      </c>
      <c r="L28" s="64"/>
      <c r="M28" s="77" t="s">
        <v>617</v>
      </c>
      <c r="N28" s="79" t="s">
        <v>475</v>
      </c>
      <c r="O28" s="64"/>
      <c r="P28" s="78" t="s">
        <v>618</v>
      </c>
      <c r="Q28" s="79" t="s">
        <v>539</v>
      </c>
      <c r="R28" s="63" t="s">
        <v>618</v>
      </c>
      <c r="S28" s="71" t="s">
        <v>539</v>
      </c>
      <c r="U28" s="64"/>
      <c r="W28" s="64"/>
    </row>
    <row r="29" spans="1:23" ht="30" customHeight="1" outlineLevel="1" x14ac:dyDescent="0.25">
      <c r="A29" s="322" t="s">
        <v>619</v>
      </c>
      <c r="B29" s="322" t="s">
        <v>620</v>
      </c>
      <c r="C29" s="63" t="s">
        <v>463</v>
      </c>
      <c r="D29" s="77" t="s">
        <v>621</v>
      </c>
      <c r="E29" s="10" t="s">
        <v>483</v>
      </c>
      <c r="F29" s="64"/>
      <c r="G29" s="77" t="s">
        <v>622</v>
      </c>
      <c r="H29" s="10" t="s">
        <v>475</v>
      </c>
      <c r="I29" s="73"/>
      <c r="J29" s="77" t="s">
        <v>623</v>
      </c>
      <c r="K29" s="10" t="s">
        <v>475</v>
      </c>
      <c r="L29" s="64"/>
      <c r="M29" s="77" t="s">
        <v>624</v>
      </c>
      <c r="N29" s="10" t="s">
        <v>465</v>
      </c>
      <c r="O29" s="64"/>
      <c r="P29" s="78" t="s">
        <v>625</v>
      </c>
      <c r="Q29" s="79" t="s">
        <v>479</v>
      </c>
      <c r="R29" s="63" t="s">
        <v>625</v>
      </c>
      <c r="S29" s="71" t="s">
        <v>479</v>
      </c>
      <c r="U29" s="64"/>
      <c r="W29" s="64"/>
    </row>
    <row r="30" spans="1:23" ht="30" customHeight="1" outlineLevel="1" x14ac:dyDescent="0.25">
      <c r="A30" s="322" t="s">
        <v>626</v>
      </c>
      <c r="B30" s="322" t="s">
        <v>627</v>
      </c>
      <c r="C30" s="63" t="s">
        <v>463</v>
      </c>
      <c r="D30" s="77" t="s">
        <v>628</v>
      </c>
      <c r="E30" s="10" t="s">
        <v>475</v>
      </c>
      <c r="F30" s="64"/>
      <c r="G30" s="77" t="s">
        <v>629</v>
      </c>
      <c r="H30" s="78" t="s">
        <v>465</v>
      </c>
      <c r="I30" s="73"/>
      <c r="J30" s="77" t="s">
        <v>628</v>
      </c>
      <c r="K30" s="10" t="s">
        <v>475</v>
      </c>
      <c r="L30" s="64"/>
      <c r="M30" s="77" t="s">
        <v>630</v>
      </c>
      <c r="N30" s="10" t="s">
        <v>485</v>
      </c>
      <c r="O30" s="64"/>
      <c r="P30" s="78" t="s">
        <v>631</v>
      </c>
      <c r="Q30" s="79" t="s">
        <v>505</v>
      </c>
      <c r="R30" s="63" t="s">
        <v>631</v>
      </c>
      <c r="S30" s="71" t="s">
        <v>505</v>
      </c>
      <c r="U30" s="64"/>
      <c r="W30" s="64"/>
    </row>
    <row r="31" spans="1:23" outlineLevel="1" x14ac:dyDescent="0.25">
      <c r="A31" s="322" t="s">
        <v>632</v>
      </c>
      <c r="B31" s="322" t="s">
        <v>633</v>
      </c>
      <c r="C31" s="63" t="s">
        <v>463</v>
      </c>
      <c r="D31" s="77" t="s">
        <v>15</v>
      </c>
      <c r="E31" s="10" t="s">
        <v>15</v>
      </c>
      <c r="F31" s="64"/>
      <c r="G31" s="77"/>
      <c r="H31" s="78"/>
      <c r="I31" s="73"/>
      <c r="J31" s="92" t="s">
        <v>499</v>
      </c>
      <c r="K31" s="10" t="s">
        <v>485</v>
      </c>
      <c r="L31" s="93" t="s">
        <v>634</v>
      </c>
      <c r="M31" s="77"/>
      <c r="O31" s="64"/>
      <c r="P31" s="78"/>
      <c r="Q31" s="79"/>
      <c r="R31" s="63"/>
      <c r="S31" s="71"/>
      <c r="U31" s="64"/>
      <c r="W31" s="64"/>
    </row>
    <row r="32" spans="1:23" ht="30" customHeight="1" outlineLevel="1" x14ac:dyDescent="0.25">
      <c r="A32" s="322" t="s">
        <v>635</v>
      </c>
      <c r="B32" s="322" t="s">
        <v>636</v>
      </c>
      <c r="C32" s="63" t="s">
        <v>463</v>
      </c>
      <c r="D32" s="77"/>
      <c r="F32" s="64"/>
      <c r="G32" s="77"/>
      <c r="H32" s="78"/>
      <c r="I32" s="73"/>
      <c r="J32" s="92" t="s">
        <v>637</v>
      </c>
      <c r="K32" s="10" t="s">
        <v>638</v>
      </c>
      <c r="L32" s="93" t="s">
        <v>634</v>
      </c>
      <c r="M32" s="77"/>
      <c r="O32" s="64"/>
      <c r="P32" s="78"/>
      <c r="Q32" s="79"/>
      <c r="R32" s="63"/>
      <c r="S32" s="71"/>
      <c r="U32" s="64"/>
      <c r="W32" s="64"/>
    </row>
    <row r="33" spans="1:23" outlineLevel="1" x14ac:dyDescent="0.25">
      <c r="A33" s="324" t="s">
        <v>639</v>
      </c>
      <c r="B33" s="324" t="s">
        <v>640</v>
      </c>
      <c r="C33" s="221" t="s">
        <v>463</v>
      </c>
      <c r="D33" s="77"/>
      <c r="F33" s="64"/>
      <c r="G33" s="77"/>
      <c r="H33" s="78"/>
      <c r="I33" s="73"/>
      <c r="J33" s="63" t="s">
        <v>641</v>
      </c>
      <c r="K33" s="10" t="s">
        <v>642</v>
      </c>
      <c r="L33" s="64"/>
      <c r="M33" s="77"/>
      <c r="O33" s="64"/>
      <c r="P33" s="78"/>
      <c r="Q33" s="79"/>
      <c r="R33" s="63"/>
      <c r="S33" s="71"/>
      <c r="U33" s="64"/>
      <c r="W33" s="64"/>
    </row>
    <row r="34" spans="1:23" ht="30" customHeight="1" x14ac:dyDescent="0.25">
      <c r="A34" s="323" t="s">
        <v>643</v>
      </c>
      <c r="B34" s="323"/>
      <c r="C34" s="113"/>
      <c r="D34" s="68"/>
      <c r="E34" s="223"/>
      <c r="F34" s="69"/>
      <c r="G34" s="68"/>
      <c r="H34" s="223"/>
      <c r="I34" s="69"/>
      <c r="J34" s="68"/>
      <c r="K34" s="223"/>
      <c r="L34" s="69"/>
      <c r="M34" s="68"/>
      <c r="N34" s="223"/>
      <c r="O34" s="69"/>
      <c r="P34" s="223"/>
      <c r="Q34" s="223"/>
      <c r="R34" s="68"/>
      <c r="S34" s="69"/>
      <c r="T34" s="223"/>
      <c r="U34" s="69"/>
      <c r="V34" s="223"/>
      <c r="W34" s="69"/>
    </row>
    <row r="35" spans="1:23" ht="30" customHeight="1" outlineLevel="1" x14ac:dyDescent="0.25">
      <c r="A35" s="322" t="s">
        <v>644</v>
      </c>
      <c r="B35" s="322" t="s">
        <v>645</v>
      </c>
      <c r="C35" s="63" t="s">
        <v>463</v>
      </c>
      <c r="D35" s="63" t="s">
        <v>646</v>
      </c>
      <c r="E35" s="10" t="s">
        <v>483</v>
      </c>
      <c r="F35" s="64" t="s">
        <v>646</v>
      </c>
      <c r="G35" s="63"/>
      <c r="I35" s="64"/>
      <c r="J35" s="63"/>
      <c r="L35" s="64"/>
      <c r="M35" s="77" t="s">
        <v>647</v>
      </c>
      <c r="N35" s="78" t="s">
        <v>475</v>
      </c>
      <c r="O35" s="73" t="s">
        <v>647</v>
      </c>
      <c r="P35" s="78" t="s">
        <v>15</v>
      </c>
      <c r="Q35" s="80" t="s">
        <v>15</v>
      </c>
      <c r="R35" s="63"/>
      <c r="S35" s="94" t="s">
        <v>15</v>
      </c>
      <c r="U35" s="64"/>
      <c r="W35" s="64"/>
    </row>
    <row r="36" spans="1:23" ht="60" customHeight="1" outlineLevel="1" x14ac:dyDescent="0.25">
      <c r="A36" s="322" t="s">
        <v>472</v>
      </c>
      <c r="B36" s="322" t="s">
        <v>648</v>
      </c>
      <c r="C36" s="63" t="s">
        <v>463</v>
      </c>
      <c r="D36" s="77" t="s">
        <v>649</v>
      </c>
      <c r="E36" s="10" t="s">
        <v>485</v>
      </c>
      <c r="F36" s="73" t="s">
        <v>649</v>
      </c>
      <c r="G36" s="77" t="s">
        <v>649</v>
      </c>
      <c r="H36" s="10" t="s">
        <v>485</v>
      </c>
      <c r="I36" s="73"/>
      <c r="J36" s="77" t="s">
        <v>650</v>
      </c>
      <c r="K36" s="10" t="s">
        <v>465</v>
      </c>
      <c r="L36" s="64"/>
      <c r="M36" s="77" t="s">
        <v>649</v>
      </c>
      <c r="N36" s="78" t="s">
        <v>485</v>
      </c>
      <c r="O36" s="73" t="s">
        <v>649</v>
      </c>
      <c r="P36" s="78" t="s">
        <v>651</v>
      </c>
      <c r="Q36" s="87" t="s">
        <v>652</v>
      </c>
      <c r="R36" s="77" t="s">
        <v>651</v>
      </c>
      <c r="S36" s="95" t="s">
        <v>652</v>
      </c>
      <c r="U36" s="64"/>
      <c r="W36" s="64"/>
    </row>
    <row r="37" spans="1:23" ht="30" customHeight="1" outlineLevel="1" x14ac:dyDescent="0.25">
      <c r="A37" s="322" t="s">
        <v>480</v>
      </c>
      <c r="B37" s="322" t="s">
        <v>653</v>
      </c>
      <c r="C37" s="63" t="s">
        <v>463</v>
      </c>
      <c r="D37" s="77" t="s">
        <v>654</v>
      </c>
      <c r="E37" s="10" t="s">
        <v>485</v>
      </c>
      <c r="F37" s="73" t="s">
        <v>654</v>
      </c>
      <c r="G37" s="92" t="s">
        <v>655</v>
      </c>
      <c r="H37" s="10" t="s">
        <v>465</v>
      </c>
      <c r="I37" s="93" t="s">
        <v>634</v>
      </c>
      <c r="J37" s="77" t="s">
        <v>656</v>
      </c>
      <c r="K37" s="78" t="s">
        <v>657</v>
      </c>
      <c r="L37" s="64" t="s">
        <v>655</v>
      </c>
      <c r="M37" s="77" t="s">
        <v>658</v>
      </c>
      <c r="N37" s="78" t="s">
        <v>465</v>
      </c>
      <c r="O37" s="78" t="s">
        <v>658</v>
      </c>
      <c r="P37" s="78" t="s">
        <v>659</v>
      </c>
      <c r="Q37" s="88" t="s">
        <v>660</v>
      </c>
      <c r="R37" s="63" t="s">
        <v>659</v>
      </c>
      <c r="S37" s="96" t="s">
        <v>660</v>
      </c>
      <c r="U37" s="64"/>
      <c r="W37" s="64"/>
    </row>
    <row r="38" spans="1:23" ht="30" customHeight="1" outlineLevel="1" x14ac:dyDescent="0.25">
      <c r="A38" s="322" t="s">
        <v>490</v>
      </c>
      <c r="B38" s="322" t="s">
        <v>661</v>
      </c>
      <c r="C38" s="63" t="s">
        <v>463</v>
      </c>
      <c r="D38" s="77" t="s">
        <v>662</v>
      </c>
      <c r="E38" s="80" t="s">
        <v>663</v>
      </c>
      <c r="F38" s="73" t="s">
        <v>664</v>
      </c>
      <c r="G38" s="77" t="s">
        <v>662</v>
      </c>
      <c r="H38" s="80" t="s">
        <v>663</v>
      </c>
      <c r="I38" s="71" t="s">
        <v>665</v>
      </c>
      <c r="J38" s="77" t="s">
        <v>662</v>
      </c>
      <c r="K38" s="80" t="s">
        <v>663</v>
      </c>
      <c r="L38" s="73" t="s">
        <v>664</v>
      </c>
      <c r="M38" s="63" t="s">
        <v>666</v>
      </c>
      <c r="N38" s="80" t="s">
        <v>667</v>
      </c>
      <c r="O38" s="73" t="s">
        <v>668</v>
      </c>
      <c r="P38" s="78" t="s">
        <v>669</v>
      </c>
      <c r="Q38" s="10" t="s">
        <v>670</v>
      </c>
      <c r="R38" s="63" t="s">
        <v>669</v>
      </c>
      <c r="S38" s="64" t="s">
        <v>670</v>
      </c>
      <c r="U38" s="64"/>
      <c r="W38" s="64"/>
    </row>
    <row r="39" spans="1:23" ht="30" customHeight="1" outlineLevel="1" x14ac:dyDescent="0.25">
      <c r="A39" s="322" t="s">
        <v>671</v>
      </c>
      <c r="B39" s="322" t="s">
        <v>672</v>
      </c>
      <c r="C39" s="63" t="s">
        <v>463</v>
      </c>
      <c r="D39" s="77" t="s">
        <v>673</v>
      </c>
      <c r="E39" s="10" t="s">
        <v>475</v>
      </c>
      <c r="F39" s="73" t="s">
        <v>673</v>
      </c>
      <c r="G39" s="77" t="s">
        <v>673</v>
      </c>
      <c r="H39" s="10" t="s">
        <v>475</v>
      </c>
      <c r="I39" s="73" t="s">
        <v>673</v>
      </c>
      <c r="J39" s="77" t="s">
        <v>673</v>
      </c>
      <c r="K39" s="10" t="s">
        <v>475</v>
      </c>
      <c r="L39" s="73" t="s">
        <v>673</v>
      </c>
      <c r="M39" s="77" t="s">
        <v>674</v>
      </c>
      <c r="N39" s="78" t="s">
        <v>465</v>
      </c>
      <c r="O39" s="73" t="s">
        <v>674</v>
      </c>
      <c r="P39" s="78" t="s">
        <v>675</v>
      </c>
      <c r="Q39" s="88" t="s">
        <v>505</v>
      </c>
      <c r="R39" s="63" t="s">
        <v>675</v>
      </c>
      <c r="S39" s="96" t="s">
        <v>505</v>
      </c>
      <c r="U39" s="64"/>
      <c r="W39" s="64"/>
    </row>
    <row r="40" spans="1:23" ht="30" customHeight="1" outlineLevel="1" x14ac:dyDescent="0.25">
      <c r="A40" s="322" t="s">
        <v>676</v>
      </c>
      <c r="B40" s="322" t="s">
        <v>677</v>
      </c>
      <c r="C40" s="63" t="s">
        <v>463</v>
      </c>
      <c r="D40" s="77" t="s">
        <v>678</v>
      </c>
      <c r="E40" s="10" t="s">
        <v>475</v>
      </c>
      <c r="F40" s="73" t="s">
        <v>678</v>
      </c>
      <c r="G40" s="77" t="s">
        <v>678</v>
      </c>
      <c r="H40" s="10" t="s">
        <v>475</v>
      </c>
      <c r="I40" s="73" t="s">
        <v>678</v>
      </c>
      <c r="J40" s="77" t="s">
        <v>678</v>
      </c>
      <c r="K40" s="10" t="s">
        <v>475</v>
      </c>
      <c r="L40" s="73" t="s">
        <v>678</v>
      </c>
      <c r="M40" s="77" t="s">
        <v>679</v>
      </c>
      <c r="N40" s="78" t="s">
        <v>465</v>
      </c>
      <c r="O40" s="73" t="s">
        <v>679</v>
      </c>
      <c r="P40" s="78" t="s">
        <v>680</v>
      </c>
      <c r="Q40" s="88" t="s">
        <v>489</v>
      </c>
      <c r="R40" s="63" t="s">
        <v>680</v>
      </c>
      <c r="S40" s="96" t="s">
        <v>489</v>
      </c>
      <c r="U40" s="64"/>
      <c r="W40" s="64"/>
    </row>
    <row r="41" spans="1:23" ht="30" customHeight="1" outlineLevel="1" x14ac:dyDescent="0.25">
      <c r="A41" s="322" t="s">
        <v>681</v>
      </c>
      <c r="B41" s="322" t="s">
        <v>682</v>
      </c>
      <c r="C41" s="63" t="s">
        <v>463</v>
      </c>
      <c r="D41" s="77" t="s">
        <v>683</v>
      </c>
      <c r="E41" s="10" t="s">
        <v>475</v>
      </c>
      <c r="F41" s="73" t="s">
        <v>683</v>
      </c>
      <c r="G41" s="77" t="s">
        <v>683</v>
      </c>
      <c r="H41" s="10" t="s">
        <v>475</v>
      </c>
      <c r="I41" s="73" t="s">
        <v>683</v>
      </c>
      <c r="J41" s="77" t="s">
        <v>683</v>
      </c>
      <c r="K41" s="10" t="s">
        <v>475</v>
      </c>
      <c r="L41" s="73" t="s">
        <v>683</v>
      </c>
      <c r="M41" s="77" t="s">
        <v>684</v>
      </c>
      <c r="N41" s="78" t="s">
        <v>465</v>
      </c>
      <c r="O41" s="73" t="s">
        <v>684</v>
      </c>
      <c r="P41" s="78" t="s">
        <v>685</v>
      </c>
      <c r="Q41" s="88" t="s">
        <v>539</v>
      </c>
      <c r="R41" s="63" t="s">
        <v>685</v>
      </c>
      <c r="S41" s="96" t="s">
        <v>539</v>
      </c>
      <c r="U41" s="64"/>
      <c r="W41" s="64"/>
    </row>
    <row r="42" spans="1:23" ht="30" customHeight="1" outlineLevel="1" x14ac:dyDescent="0.25">
      <c r="A42" s="322" t="s">
        <v>686</v>
      </c>
      <c r="B42" s="322" t="s">
        <v>687</v>
      </c>
      <c r="C42" s="63" t="s">
        <v>463</v>
      </c>
      <c r="D42" s="77" t="s">
        <v>688</v>
      </c>
      <c r="E42" s="10" t="s">
        <v>465</v>
      </c>
      <c r="F42" s="73" t="s">
        <v>688</v>
      </c>
      <c r="G42" s="77" t="s">
        <v>689</v>
      </c>
      <c r="H42" s="78" t="s">
        <v>465</v>
      </c>
      <c r="I42" s="73" t="s">
        <v>689</v>
      </c>
      <c r="J42" s="77" t="s">
        <v>688</v>
      </c>
      <c r="K42" s="10" t="s">
        <v>465</v>
      </c>
      <c r="L42" s="73" t="s">
        <v>688</v>
      </c>
      <c r="M42" s="77" t="s">
        <v>689</v>
      </c>
      <c r="N42" s="78" t="s">
        <v>465</v>
      </c>
      <c r="O42" s="73" t="s">
        <v>689</v>
      </c>
      <c r="P42" s="78" t="s">
        <v>15</v>
      </c>
      <c r="Q42" s="10" t="s">
        <v>15</v>
      </c>
      <c r="R42" s="63" t="s">
        <v>15</v>
      </c>
      <c r="S42" s="64" t="s">
        <v>15</v>
      </c>
      <c r="U42" s="64"/>
      <c r="W42" s="64"/>
    </row>
    <row r="43" spans="1:23" ht="30" customHeight="1" outlineLevel="1" x14ac:dyDescent="0.25">
      <c r="A43" s="322" t="s">
        <v>506</v>
      </c>
      <c r="B43" s="325" t="s">
        <v>33</v>
      </c>
      <c r="C43" s="63" t="s">
        <v>463</v>
      </c>
      <c r="D43" s="77" t="s">
        <v>690</v>
      </c>
      <c r="E43" s="10" t="s">
        <v>483</v>
      </c>
      <c r="F43" s="73" t="s">
        <v>690</v>
      </c>
      <c r="G43" s="159" t="s">
        <v>691</v>
      </c>
      <c r="H43" s="78" t="s">
        <v>465</v>
      </c>
      <c r="I43" s="93" t="s">
        <v>634</v>
      </c>
      <c r="J43" s="77" t="s">
        <v>692</v>
      </c>
      <c r="K43" s="78" t="s">
        <v>485</v>
      </c>
      <c r="L43" s="64"/>
      <c r="M43" s="77" t="s">
        <v>693</v>
      </c>
      <c r="N43" s="78" t="s">
        <v>475</v>
      </c>
      <c r="O43" s="73" t="s">
        <v>693</v>
      </c>
      <c r="P43" s="78" t="s">
        <v>694</v>
      </c>
      <c r="Q43" s="88" t="s">
        <v>695</v>
      </c>
      <c r="R43" s="63" t="s">
        <v>694</v>
      </c>
      <c r="S43" s="96" t="s">
        <v>695</v>
      </c>
      <c r="U43" s="64"/>
      <c r="W43" s="64"/>
    </row>
    <row r="44" spans="1:23" ht="30" customHeight="1" outlineLevel="1" x14ac:dyDescent="0.25">
      <c r="A44" s="322" t="s">
        <v>696</v>
      </c>
      <c r="B44" s="325" t="s">
        <v>153</v>
      </c>
      <c r="C44" s="63" t="s">
        <v>463</v>
      </c>
      <c r="D44" s="77" t="s">
        <v>697</v>
      </c>
      <c r="E44" s="10" t="s">
        <v>475</v>
      </c>
      <c r="F44" s="73" t="s">
        <v>697</v>
      </c>
      <c r="G44" s="77" t="s">
        <v>697</v>
      </c>
      <c r="H44" s="10" t="s">
        <v>475</v>
      </c>
      <c r="I44" s="73" t="s">
        <v>697</v>
      </c>
      <c r="J44" s="77" t="s">
        <v>698</v>
      </c>
      <c r="K44" s="10" t="s">
        <v>465</v>
      </c>
      <c r="L44" s="64"/>
      <c r="M44" s="77" t="s">
        <v>697</v>
      </c>
      <c r="N44" s="78" t="s">
        <v>475</v>
      </c>
      <c r="O44" s="73" t="s">
        <v>697</v>
      </c>
      <c r="P44" s="78" t="s">
        <v>699</v>
      </c>
      <c r="Q44" s="88" t="s">
        <v>489</v>
      </c>
      <c r="R44" s="63" t="s">
        <v>699</v>
      </c>
      <c r="S44" s="96" t="s">
        <v>489</v>
      </c>
      <c r="U44" s="64"/>
      <c r="W44" s="64"/>
    </row>
    <row r="45" spans="1:23" ht="30" customHeight="1" outlineLevel="1" x14ac:dyDescent="0.25">
      <c r="A45" s="322" t="s">
        <v>519</v>
      </c>
      <c r="B45" s="325" t="s">
        <v>194</v>
      </c>
      <c r="C45" s="63" t="s">
        <v>463</v>
      </c>
      <c r="D45" s="77" t="s">
        <v>700</v>
      </c>
      <c r="E45" s="10" t="s">
        <v>475</v>
      </c>
      <c r="F45" s="73" t="s">
        <v>700</v>
      </c>
      <c r="G45" s="77" t="s">
        <v>700</v>
      </c>
      <c r="H45" s="10" t="s">
        <v>475</v>
      </c>
      <c r="I45" s="73" t="s">
        <v>700</v>
      </c>
      <c r="J45" s="77" t="s">
        <v>700</v>
      </c>
      <c r="K45" s="10" t="s">
        <v>475</v>
      </c>
      <c r="L45" s="73" t="s">
        <v>700</v>
      </c>
      <c r="M45" s="77" t="s">
        <v>700</v>
      </c>
      <c r="N45" s="78" t="s">
        <v>475</v>
      </c>
      <c r="O45" s="73" t="s">
        <v>700</v>
      </c>
      <c r="P45" s="78" t="s">
        <v>701</v>
      </c>
      <c r="Q45" s="88" t="s">
        <v>489</v>
      </c>
      <c r="R45" s="63" t="s">
        <v>701</v>
      </c>
      <c r="S45" s="96" t="s">
        <v>489</v>
      </c>
      <c r="U45" s="64"/>
      <c r="W45" s="64"/>
    </row>
    <row r="46" spans="1:23" ht="30" customHeight="1" outlineLevel="1" x14ac:dyDescent="0.25">
      <c r="A46" s="322" t="s">
        <v>525</v>
      </c>
      <c r="B46" s="325" t="s">
        <v>213</v>
      </c>
      <c r="C46" s="63" t="s">
        <v>463</v>
      </c>
      <c r="D46" s="77" t="s">
        <v>702</v>
      </c>
      <c r="E46" s="10" t="s">
        <v>495</v>
      </c>
      <c r="F46" s="73" t="s">
        <v>702</v>
      </c>
      <c r="G46" s="77" t="s">
        <v>703</v>
      </c>
      <c r="H46" s="78" t="s">
        <v>465</v>
      </c>
      <c r="I46" s="73" t="s">
        <v>703</v>
      </c>
      <c r="J46" s="77" t="s">
        <v>702</v>
      </c>
      <c r="K46" s="10" t="s">
        <v>495</v>
      </c>
      <c r="L46" s="73" t="s">
        <v>702</v>
      </c>
      <c r="M46" s="77" t="s">
        <v>703</v>
      </c>
      <c r="N46" s="78" t="s">
        <v>465</v>
      </c>
      <c r="O46" s="73" t="s">
        <v>703</v>
      </c>
      <c r="P46" s="78" t="s">
        <v>704</v>
      </c>
      <c r="Q46" s="88" t="s">
        <v>670</v>
      </c>
      <c r="R46" s="63" t="s">
        <v>704</v>
      </c>
      <c r="S46" s="96" t="s">
        <v>670</v>
      </c>
      <c r="U46" s="64"/>
      <c r="W46" s="64"/>
    </row>
    <row r="47" spans="1:23" ht="30" customHeight="1" outlineLevel="1" x14ac:dyDescent="0.25">
      <c r="A47" s="322" t="s">
        <v>531</v>
      </c>
      <c r="B47" s="325" t="s">
        <v>246</v>
      </c>
      <c r="C47" s="63" t="s">
        <v>463</v>
      </c>
      <c r="D47" s="77" t="s">
        <v>705</v>
      </c>
      <c r="E47" s="79" t="s">
        <v>706</v>
      </c>
      <c r="F47" s="73" t="s">
        <v>705</v>
      </c>
      <c r="G47" s="92" t="s">
        <v>707</v>
      </c>
      <c r="H47" s="10" t="s">
        <v>485</v>
      </c>
      <c r="I47" s="93" t="s">
        <v>634</v>
      </c>
      <c r="J47" s="77" t="s">
        <v>708</v>
      </c>
      <c r="K47" s="79" t="s">
        <v>483</v>
      </c>
      <c r="L47" s="64"/>
      <c r="M47" s="63" t="s">
        <v>709</v>
      </c>
      <c r="N47" s="79" t="s">
        <v>475</v>
      </c>
      <c r="O47" s="64" t="s">
        <v>709</v>
      </c>
      <c r="P47" s="78" t="s">
        <v>710</v>
      </c>
      <c r="Q47" s="88" t="s">
        <v>711</v>
      </c>
      <c r="R47" s="63" t="s">
        <v>710</v>
      </c>
      <c r="S47" s="96" t="s">
        <v>711</v>
      </c>
      <c r="U47" s="64"/>
      <c r="W47" s="64"/>
    </row>
    <row r="48" spans="1:23" ht="30" customHeight="1" outlineLevel="1" x14ac:dyDescent="0.25">
      <c r="A48" s="322" t="s">
        <v>712</v>
      </c>
      <c r="B48" s="325" t="s">
        <v>330</v>
      </c>
      <c r="C48" s="63" t="s">
        <v>463</v>
      </c>
      <c r="D48" s="77" t="s">
        <v>713</v>
      </c>
      <c r="E48" s="79" t="s">
        <v>495</v>
      </c>
      <c r="F48" s="73" t="s">
        <v>713</v>
      </c>
      <c r="G48" s="77" t="s">
        <v>714</v>
      </c>
      <c r="H48" s="78" t="s">
        <v>465</v>
      </c>
      <c r="I48" s="73" t="s">
        <v>714</v>
      </c>
      <c r="J48" s="159" t="s">
        <v>715</v>
      </c>
      <c r="K48" s="102" t="s">
        <v>485</v>
      </c>
      <c r="L48" s="93" t="s">
        <v>634</v>
      </c>
      <c r="M48" s="77" t="s">
        <v>714</v>
      </c>
      <c r="N48" s="78" t="s">
        <v>465</v>
      </c>
      <c r="O48" s="73" t="s">
        <v>714</v>
      </c>
      <c r="P48" s="78" t="s">
        <v>716</v>
      </c>
      <c r="Q48" s="88" t="s">
        <v>717</v>
      </c>
      <c r="R48" s="63" t="s">
        <v>716</v>
      </c>
      <c r="S48" s="96" t="s">
        <v>717</v>
      </c>
      <c r="U48" s="64"/>
      <c r="W48" s="64"/>
    </row>
    <row r="49" spans="1:23" ht="30" customHeight="1" outlineLevel="1" x14ac:dyDescent="0.25">
      <c r="A49" s="322" t="s">
        <v>547</v>
      </c>
      <c r="B49" s="322" t="s">
        <v>718</v>
      </c>
      <c r="C49" s="63" t="s">
        <v>463</v>
      </c>
      <c r="D49" s="77" t="s">
        <v>719</v>
      </c>
      <c r="E49" s="10" t="s">
        <v>485</v>
      </c>
      <c r="F49" s="73" t="s">
        <v>719</v>
      </c>
      <c r="G49" s="77" t="s">
        <v>719</v>
      </c>
      <c r="H49" s="10" t="s">
        <v>485</v>
      </c>
      <c r="I49" s="73" t="s">
        <v>719</v>
      </c>
      <c r="J49" s="77" t="s">
        <v>719</v>
      </c>
      <c r="K49" s="10" t="s">
        <v>485</v>
      </c>
      <c r="L49" s="73" t="s">
        <v>719</v>
      </c>
      <c r="M49" s="77" t="s">
        <v>719</v>
      </c>
      <c r="N49" s="78" t="s">
        <v>485</v>
      </c>
      <c r="O49" s="73" t="s">
        <v>719</v>
      </c>
      <c r="P49" s="78" t="s">
        <v>720</v>
      </c>
      <c r="Q49" s="88" t="s">
        <v>721</v>
      </c>
      <c r="R49" s="63" t="s">
        <v>720</v>
      </c>
      <c r="S49" s="96" t="s">
        <v>721</v>
      </c>
      <c r="U49" s="64"/>
      <c r="W49" s="64"/>
    </row>
    <row r="50" spans="1:23" ht="30" customHeight="1" outlineLevel="1" x14ac:dyDescent="0.25">
      <c r="A50" s="322" t="s">
        <v>722</v>
      </c>
      <c r="B50" s="322" t="s">
        <v>723</v>
      </c>
      <c r="C50" s="63" t="s">
        <v>463</v>
      </c>
      <c r="D50" s="77" t="s">
        <v>724</v>
      </c>
      <c r="E50" s="10" t="s">
        <v>485</v>
      </c>
      <c r="F50" s="73" t="s">
        <v>724</v>
      </c>
      <c r="G50" s="77" t="s">
        <v>724</v>
      </c>
      <c r="H50" s="10" t="s">
        <v>485</v>
      </c>
      <c r="I50" s="73" t="s">
        <v>724</v>
      </c>
      <c r="J50" s="77" t="s">
        <v>724</v>
      </c>
      <c r="K50" s="10" t="s">
        <v>485</v>
      </c>
      <c r="L50" s="73" t="s">
        <v>724</v>
      </c>
      <c r="M50" s="77" t="s">
        <v>724</v>
      </c>
      <c r="N50" s="78" t="s">
        <v>485</v>
      </c>
      <c r="O50" s="73" t="s">
        <v>724</v>
      </c>
      <c r="P50" s="78" t="s">
        <v>725</v>
      </c>
      <c r="Q50" s="88" t="s">
        <v>721</v>
      </c>
      <c r="R50" s="63" t="s">
        <v>725</v>
      </c>
      <c r="S50" s="96" t="s">
        <v>721</v>
      </c>
      <c r="U50" s="64"/>
      <c r="W50" s="64"/>
    </row>
    <row r="51" spans="1:23" ht="30" customHeight="1" outlineLevel="1" x14ac:dyDescent="0.25">
      <c r="A51" s="322" t="s">
        <v>726</v>
      </c>
      <c r="B51" s="322" t="s">
        <v>727</v>
      </c>
      <c r="C51" s="63" t="s">
        <v>463</v>
      </c>
      <c r="D51" s="77" t="s">
        <v>728</v>
      </c>
      <c r="E51" s="79" t="s">
        <v>483</v>
      </c>
      <c r="F51" s="73" t="s">
        <v>728</v>
      </c>
      <c r="G51" s="92" t="s">
        <v>729</v>
      </c>
      <c r="H51" s="10" t="s">
        <v>485</v>
      </c>
      <c r="I51" s="93" t="s">
        <v>634</v>
      </c>
      <c r="J51" s="159" t="s">
        <v>730</v>
      </c>
      <c r="K51" s="102" t="s">
        <v>465</v>
      </c>
      <c r="L51" s="93" t="s">
        <v>634</v>
      </c>
      <c r="M51" s="77" t="s">
        <v>731</v>
      </c>
      <c r="N51" s="78" t="s">
        <v>465</v>
      </c>
      <c r="O51" s="73" t="s">
        <v>731</v>
      </c>
      <c r="P51" s="78" t="s">
        <v>732</v>
      </c>
      <c r="Q51" s="88" t="s">
        <v>539</v>
      </c>
      <c r="R51" s="63" t="s">
        <v>732</v>
      </c>
      <c r="S51" s="96" t="s">
        <v>539</v>
      </c>
      <c r="U51" s="64"/>
      <c r="W51" s="64"/>
    </row>
    <row r="52" spans="1:23" ht="30" customHeight="1" outlineLevel="1" x14ac:dyDescent="0.25">
      <c r="A52" s="322" t="s">
        <v>567</v>
      </c>
      <c r="B52" s="322" t="s">
        <v>733</v>
      </c>
      <c r="C52" s="63" t="s">
        <v>463</v>
      </c>
      <c r="D52" s="77" t="s">
        <v>734</v>
      </c>
      <c r="E52" s="10" t="s">
        <v>485</v>
      </c>
      <c r="F52" s="73" t="s">
        <v>734</v>
      </c>
      <c r="G52" s="77" t="s">
        <v>734</v>
      </c>
      <c r="H52" s="10" t="s">
        <v>485</v>
      </c>
      <c r="I52" s="73" t="s">
        <v>734</v>
      </c>
      <c r="J52" s="77" t="s">
        <v>734</v>
      </c>
      <c r="K52" s="10" t="s">
        <v>485</v>
      </c>
      <c r="L52" s="73" t="s">
        <v>734</v>
      </c>
      <c r="M52" s="77" t="s">
        <v>734</v>
      </c>
      <c r="N52" s="78" t="s">
        <v>485</v>
      </c>
      <c r="O52" s="73" t="s">
        <v>734</v>
      </c>
      <c r="P52" s="78" t="s">
        <v>735</v>
      </c>
      <c r="Q52" s="88" t="s">
        <v>721</v>
      </c>
      <c r="R52" s="63" t="s">
        <v>735</v>
      </c>
      <c r="S52" s="96" t="s">
        <v>721</v>
      </c>
      <c r="U52" s="64"/>
      <c r="W52" s="64"/>
    </row>
    <row r="53" spans="1:23" ht="30" customHeight="1" outlineLevel="1" x14ac:dyDescent="0.25">
      <c r="A53" s="322" t="s">
        <v>736</v>
      </c>
      <c r="B53" s="322" t="s">
        <v>737</v>
      </c>
      <c r="C53" s="63" t="s">
        <v>463</v>
      </c>
      <c r="D53" s="77" t="s">
        <v>738</v>
      </c>
      <c r="E53" s="10" t="s">
        <v>465</v>
      </c>
      <c r="F53" s="73" t="s">
        <v>738</v>
      </c>
      <c r="G53" s="77" t="s">
        <v>738</v>
      </c>
      <c r="H53" s="10" t="s">
        <v>465</v>
      </c>
      <c r="I53" s="73" t="s">
        <v>738</v>
      </c>
      <c r="J53" s="77" t="s">
        <v>738</v>
      </c>
      <c r="K53" s="10" t="s">
        <v>465</v>
      </c>
      <c r="L53" s="73" t="s">
        <v>738</v>
      </c>
      <c r="M53" s="77" t="s">
        <v>738</v>
      </c>
      <c r="N53" s="78" t="s">
        <v>465</v>
      </c>
      <c r="O53" s="73" t="s">
        <v>738</v>
      </c>
      <c r="P53" s="78" t="s">
        <v>739</v>
      </c>
      <c r="Q53" s="88" t="s">
        <v>539</v>
      </c>
      <c r="R53" s="63" t="s">
        <v>739</v>
      </c>
      <c r="S53" s="96" t="s">
        <v>539</v>
      </c>
      <c r="U53" s="64"/>
      <c r="W53" s="64"/>
    </row>
    <row r="54" spans="1:23" ht="30" customHeight="1" outlineLevel="1" x14ac:dyDescent="0.25">
      <c r="A54" s="322" t="s">
        <v>740</v>
      </c>
      <c r="B54" s="322" t="s">
        <v>741</v>
      </c>
      <c r="C54" s="63" t="s">
        <v>463</v>
      </c>
      <c r="D54" s="77" t="s">
        <v>742</v>
      </c>
      <c r="E54" s="80" t="s">
        <v>743</v>
      </c>
      <c r="F54" s="73" t="s">
        <v>744</v>
      </c>
      <c r="G54" s="77" t="s">
        <v>742</v>
      </c>
      <c r="H54" s="80" t="s">
        <v>743</v>
      </c>
      <c r="I54" s="64" t="s">
        <v>745</v>
      </c>
      <c r="J54" s="77" t="s">
        <v>746</v>
      </c>
      <c r="K54" s="80" t="s">
        <v>747</v>
      </c>
      <c r="L54" s="64" t="s">
        <v>748</v>
      </c>
      <c r="M54" s="77" t="s">
        <v>742</v>
      </c>
      <c r="N54" s="80" t="s">
        <v>743</v>
      </c>
      <c r="O54" s="64" t="s">
        <v>749</v>
      </c>
      <c r="P54" s="78" t="s">
        <v>750</v>
      </c>
      <c r="Q54" s="88" t="s">
        <v>751</v>
      </c>
      <c r="R54" s="63" t="s">
        <v>750</v>
      </c>
      <c r="S54" s="96" t="s">
        <v>751</v>
      </c>
      <c r="U54" s="64"/>
      <c r="W54" s="64"/>
    </row>
    <row r="55" spans="1:23" ht="30" customHeight="1" outlineLevel="1" x14ac:dyDescent="0.25">
      <c r="A55" s="322" t="s">
        <v>752</v>
      </c>
      <c r="B55" s="322" t="s">
        <v>753</v>
      </c>
      <c r="C55" s="63" t="s">
        <v>463</v>
      </c>
      <c r="D55" s="77" t="s">
        <v>754</v>
      </c>
      <c r="E55" s="80" t="s">
        <v>663</v>
      </c>
      <c r="F55" s="73" t="s">
        <v>755</v>
      </c>
      <c r="G55" s="77" t="s">
        <v>754</v>
      </c>
      <c r="H55" s="80" t="s">
        <v>663</v>
      </c>
      <c r="I55" s="73" t="s">
        <v>755</v>
      </c>
      <c r="J55" s="77" t="s">
        <v>754</v>
      </c>
      <c r="K55" s="80" t="s">
        <v>663</v>
      </c>
      <c r="L55" s="78" t="s">
        <v>755</v>
      </c>
      <c r="M55" s="77" t="s">
        <v>754</v>
      </c>
      <c r="N55" s="80" t="s">
        <v>663</v>
      </c>
      <c r="O55" s="73" t="s">
        <v>755</v>
      </c>
      <c r="P55" s="78" t="s">
        <v>756</v>
      </c>
      <c r="Q55" s="88" t="s">
        <v>751</v>
      </c>
      <c r="R55" s="63" t="s">
        <v>756</v>
      </c>
      <c r="S55" s="96" t="s">
        <v>751</v>
      </c>
      <c r="U55" s="64"/>
      <c r="W55" s="64"/>
    </row>
    <row r="56" spans="1:23" ht="30" customHeight="1" outlineLevel="1" x14ac:dyDescent="0.25">
      <c r="A56" s="322" t="s">
        <v>580</v>
      </c>
      <c r="B56" s="322" t="s">
        <v>757</v>
      </c>
      <c r="C56" s="63" t="s">
        <v>463</v>
      </c>
      <c r="D56" s="77" t="s">
        <v>758</v>
      </c>
      <c r="E56" s="10" t="s">
        <v>759</v>
      </c>
      <c r="F56" s="73" t="s">
        <v>760</v>
      </c>
      <c r="G56" s="77" t="s">
        <v>758</v>
      </c>
      <c r="H56" s="10" t="s">
        <v>759</v>
      </c>
      <c r="I56" s="73" t="s">
        <v>760</v>
      </c>
      <c r="J56" s="77" t="s">
        <v>758</v>
      </c>
      <c r="K56" s="10" t="s">
        <v>759</v>
      </c>
      <c r="L56" s="78" t="s">
        <v>760</v>
      </c>
      <c r="M56" s="77" t="s">
        <v>758</v>
      </c>
      <c r="N56" s="10" t="s">
        <v>759</v>
      </c>
      <c r="O56" s="73" t="s">
        <v>760</v>
      </c>
      <c r="P56" s="78" t="s">
        <v>761</v>
      </c>
      <c r="Q56" s="88" t="s">
        <v>479</v>
      </c>
      <c r="R56" s="63" t="s">
        <v>761</v>
      </c>
      <c r="S56" s="96" t="s">
        <v>479</v>
      </c>
      <c r="U56" s="64"/>
      <c r="W56" s="64"/>
    </row>
    <row r="57" spans="1:23" ht="30" customHeight="1" outlineLevel="1" x14ac:dyDescent="0.25">
      <c r="A57" s="322" t="s">
        <v>587</v>
      </c>
      <c r="B57" s="322" t="s">
        <v>762</v>
      </c>
      <c r="C57" s="63" t="s">
        <v>463</v>
      </c>
      <c r="D57" s="77" t="s">
        <v>763</v>
      </c>
      <c r="E57" s="10" t="s">
        <v>764</v>
      </c>
      <c r="F57" s="73" t="s">
        <v>765</v>
      </c>
      <c r="G57" s="77" t="s">
        <v>765</v>
      </c>
      <c r="H57" s="10" t="s">
        <v>485</v>
      </c>
      <c r="I57" s="73" t="s">
        <v>765</v>
      </c>
      <c r="J57" s="77" t="s">
        <v>763</v>
      </c>
      <c r="K57" s="10" t="s">
        <v>764</v>
      </c>
      <c r="L57" s="78" t="s">
        <v>765</v>
      </c>
      <c r="M57" s="63" t="s">
        <v>765</v>
      </c>
      <c r="N57" s="10" t="s">
        <v>764</v>
      </c>
      <c r="O57" s="73" t="s">
        <v>763</v>
      </c>
      <c r="P57" s="78" t="s">
        <v>766</v>
      </c>
      <c r="Q57" s="88" t="s">
        <v>539</v>
      </c>
      <c r="R57" s="63" t="s">
        <v>766</v>
      </c>
      <c r="S57" s="96" t="s">
        <v>539</v>
      </c>
      <c r="U57" s="64"/>
      <c r="W57" s="64"/>
    </row>
    <row r="58" spans="1:23" ht="30" customHeight="1" outlineLevel="1" x14ac:dyDescent="0.25">
      <c r="A58" s="322" t="s">
        <v>767</v>
      </c>
      <c r="B58" s="322" t="s">
        <v>768</v>
      </c>
      <c r="C58" s="63" t="s">
        <v>463</v>
      </c>
      <c r="D58" s="77" t="s">
        <v>769</v>
      </c>
      <c r="E58" s="80" t="s">
        <v>667</v>
      </c>
      <c r="F58" s="73" t="s">
        <v>770</v>
      </c>
      <c r="G58" s="77" t="s">
        <v>770</v>
      </c>
      <c r="H58" s="10" t="s">
        <v>485</v>
      </c>
      <c r="I58" s="73" t="s">
        <v>770</v>
      </c>
      <c r="J58" s="77" t="s">
        <v>769</v>
      </c>
      <c r="K58" s="80" t="s">
        <v>667</v>
      </c>
      <c r="L58" s="78" t="s">
        <v>770</v>
      </c>
      <c r="M58" s="63" t="s">
        <v>771</v>
      </c>
      <c r="N58" s="80" t="s">
        <v>667</v>
      </c>
      <c r="O58" s="64" t="s">
        <v>769</v>
      </c>
      <c r="P58" s="78" t="s">
        <v>772</v>
      </c>
      <c r="Q58" s="88" t="s">
        <v>489</v>
      </c>
      <c r="R58" s="63" t="s">
        <v>772</v>
      </c>
      <c r="S58" s="96" t="s">
        <v>489</v>
      </c>
      <c r="U58" s="64"/>
      <c r="W58" s="64"/>
    </row>
    <row r="59" spans="1:23" ht="30" customHeight="1" outlineLevel="1" x14ac:dyDescent="0.25">
      <c r="A59" s="322" t="s">
        <v>601</v>
      </c>
      <c r="B59" s="322" t="s">
        <v>773</v>
      </c>
      <c r="C59" s="63" t="s">
        <v>463</v>
      </c>
      <c r="D59" s="77" t="s">
        <v>774</v>
      </c>
      <c r="E59" s="87" t="s">
        <v>775</v>
      </c>
      <c r="F59" s="73" t="s">
        <v>776</v>
      </c>
      <c r="G59" s="77" t="s">
        <v>774</v>
      </c>
      <c r="H59" s="87" t="s">
        <v>775</v>
      </c>
      <c r="I59" s="64" t="s">
        <v>777</v>
      </c>
      <c r="J59" s="77" t="s">
        <v>774</v>
      </c>
      <c r="K59" s="87" t="s">
        <v>775</v>
      </c>
      <c r="L59" s="78" t="s">
        <v>776</v>
      </c>
      <c r="M59" s="77" t="s">
        <v>774</v>
      </c>
      <c r="N59" s="87" t="s">
        <v>775</v>
      </c>
      <c r="O59" s="64" t="s">
        <v>777</v>
      </c>
      <c r="P59" s="78" t="s">
        <v>778</v>
      </c>
      <c r="Q59" s="88" t="s">
        <v>505</v>
      </c>
      <c r="R59" s="63" t="s">
        <v>778</v>
      </c>
      <c r="S59" s="96" t="s">
        <v>505</v>
      </c>
      <c r="U59" s="64"/>
      <c r="W59" s="64"/>
    </row>
    <row r="60" spans="1:23" outlineLevel="1" x14ac:dyDescent="0.25">
      <c r="A60" s="322" t="s">
        <v>779</v>
      </c>
      <c r="B60" s="322" t="s">
        <v>780</v>
      </c>
      <c r="C60" s="63" t="s">
        <v>463</v>
      </c>
      <c r="D60" s="77" t="s">
        <v>781</v>
      </c>
      <c r="E60" s="80" t="s">
        <v>782</v>
      </c>
      <c r="F60" s="73" t="s">
        <v>783</v>
      </c>
      <c r="G60" s="77" t="s">
        <v>781</v>
      </c>
      <c r="H60" s="80" t="s">
        <v>782</v>
      </c>
      <c r="I60" s="73" t="s">
        <v>783</v>
      </c>
      <c r="J60" s="77" t="s">
        <v>781</v>
      </c>
      <c r="K60" s="80" t="s">
        <v>782</v>
      </c>
      <c r="L60" s="78" t="s">
        <v>783</v>
      </c>
      <c r="M60" s="77" t="s">
        <v>781</v>
      </c>
      <c r="N60" s="80" t="s">
        <v>782</v>
      </c>
      <c r="O60" s="73" t="s">
        <v>783</v>
      </c>
      <c r="P60" s="78" t="s">
        <v>15</v>
      </c>
      <c r="Q60" s="10" t="s">
        <v>15</v>
      </c>
      <c r="R60" s="63" t="s">
        <v>15</v>
      </c>
      <c r="S60" s="64" t="s">
        <v>15</v>
      </c>
      <c r="U60" s="64"/>
      <c r="W60" s="64"/>
    </row>
    <row r="61" spans="1:23" ht="30" customHeight="1" outlineLevel="1" x14ac:dyDescent="0.25">
      <c r="A61" s="322" t="s">
        <v>784</v>
      </c>
      <c r="B61" s="322" t="s">
        <v>785</v>
      </c>
      <c r="C61" s="63" t="s">
        <v>463</v>
      </c>
      <c r="D61" s="77" t="s">
        <v>786</v>
      </c>
      <c r="E61" s="80" t="s">
        <v>775</v>
      </c>
      <c r="F61" s="73" t="s">
        <v>787</v>
      </c>
      <c r="G61" s="77" t="s">
        <v>788</v>
      </c>
      <c r="H61" s="80" t="s">
        <v>747</v>
      </c>
      <c r="I61" s="73" t="s">
        <v>789</v>
      </c>
      <c r="J61" s="77" t="s">
        <v>786</v>
      </c>
      <c r="K61" s="80" t="s">
        <v>775</v>
      </c>
      <c r="L61" s="78" t="s">
        <v>787</v>
      </c>
      <c r="M61" s="63" t="s">
        <v>790</v>
      </c>
      <c r="N61" s="80" t="s">
        <v>747</v>
      </c>
      <c r="O61" s="64" t="s">
        <v>791</v>
      </c>
      <c r="P61" s="78" t="s">
        <v>792</v>
      </c>
      <c r="Q61" s="88" t="s">
        <v>721</v>
      </c>
      <c r="R61" s="63" t="s">
        <v>792</v>
      </c>
      <c r="S61" s="96" t="s">
        <v>721</v>
      </c>
      <c r="U61" s="64"/>
      <c r="W61" s="64"/>
    </row>
    <row r="62" spans="1:23" ht="30" customHeight="1" outlineLevel="1" x14ac:dyDescent="0.25">
      <c r="A62" s="322" t="s">
        <v>793</v>
      </c>
      <c r="B62" s="322" t="s">
        <v>794</v>
      </c>
      <c r="C62" s="63" t="s">
        <v>463</v>
      </c>
      <c r="D62" s="77" t="s">
        <v>15</v>
      </c>
      <c r="E62" s="10" t="s">
        <v>15</v>
      </c>
      <c r="F62" s="64" t="s">
        <v>15</v>
      </c>
      <c r="G62" s="63" t="s">
        <v>15</v>
      </c>
      <c r="H62" s="10" t="s">
        <v>15</v>
      </c>
      <c r="I62" s="64" t="s">
        <v>15</v>
      </c>
      <c r="J62" s="77"/>
      <c r="L62" s="64"/>
      <c r="M62" s="63" t="s">
        <v>15</v>
      </c>
      <c r="N62" s="10" t="s">
        <v>15</v>
      </c>
      <c r="O62" s="64" t="s">
        <v>15</v>
      </c>
      <c r="P62" s="79" t="s">
        <v>795</v>
      </c>
      <c r="Q62" s="10" t="s">
        <v>642</v>
      </c>
      <c r="R62" s="63" t="s">
        <v>795</v>
      </c>
      <c r="S62" s="64" t="s">
        <v>642</v>
      </c>
      <c r="U62" s="64"/>
      <c r="W62" s="64"/>
    </row>
    <row r="63" spans="1:23" ht="30" customHeight="1" outlineLevel="1" x14ac:dyDescent="0.25">
      <c r="A63" s="322" t="s">
        <v>796</v>
      </c>
      <c r="B63" s="322" t="s">
        <v>797</v>
      </c>
      <c r="C63" s="63" t="s">
        <v>463</v>
      </c>
      <c r="D63" s="77" t="s">
        <v>798</v>
      </c>
      <c r="E63" s="80" t="s">
        <v>663</v>
      </c>
      <c r="F63" s="73" t="s">
        <v>799</v>
      </c>
      <c r="G63" s="77" t="s">
        <v>798</v>
      </c>
      <c r="H63" s="80" t="s">
        <v>663</v>
      </c>
      <c r="I63" s="73" t="s">
        <v>799</v>
      </c>
      <c r="J63" s="77" t="s">
        <v>799</v>
      </c>
      <c r="K63" s="10" t="s">
        <v>485</v>
      </c>
      <c r="L63" s="64"/>
      <c r="M63" s="77" t="s">
        <v>798</v>
      </c>
      <c r="N63" s="80" t="s">
        <v>663</v>
      </c>
      <c r="O63" s="73" t="s">
        <v>799</v>
      </c>
      <c r="P63" s="78" t="s">
        <v>800</v>
      </c>
      <c r="Q63" s="88" t="s">
        <v>505</v>
      </c>
      <c r="R63" s="63" t="s">
        <v>800</v>
      </c>
      <c r="S63" s="96" t="s">
        <v>505</v>
      </c>
      <c r="U63" s="64"/>
      <c r="W63" s="64"/>
    </row>
    <row r="64" spans="1:23" ht="30" customHeight="1" outlineLevel="1" x14ac:dyDescent="0.25">
      <c r="A64" s="322" t="s">
        <v>619</v>
      </c>
      <c r="B64" s="322" t="s">
        <v>801</v>
      </c>
      <c r="C64" s="63" t="s">
        <v>463</v>
      </c>
      <c r="D64" s="77" t="s">
        <v>802</v>
      </c>
      <c r="E64" s="10" t="s">
        <v>475</v>
      </c>
      <c r="F64" s="73" t="s">
        <v>802</v>
      </c>
      <c r="G64" s="77" t="s">
        <v>802</v>
      </c>
      <c r="H64" s="10" t="s">
        <v>475</v>
      </c>
      <c r="I64" s="73" t="s">
        <v>802</v>
      </c>
      <c r="J64" s="77" t="s">
        <v>803</v>
      </c>
      <c r="K64" s="10" t="s">
        <v>465</v>
      </c>
      <c r="L64" s="64"/>
      <c r="M64" s="63" t="s">
        <v>802</v>
      </c>
      <c r="N64" s="10" t="s">
        <v>475</v>
      </c>
      <c r="O64" s="64" t="s">
        <v>802</v>
      </c>
      <c r="P64" s="78" t="s">
        <v>802</v>
      </c>
      <c r="Q64" s="10" t="s">
        <v>804</v>
      </c>
      <c r="R64" s="63" t="s">
        <v>802</v>
      </c>
      <c r="S64" s="64" t="s">
        <v>804</v>
      </c>
      <c r="U64" s="64"/>
      <c r="W64" s="64"/>
    </row>
    <row r="65" spans="1:23" ht="30" customHeight="1" outlineLevel="1" x14ac:dyDescent="0.25">
      <c r="A65" s="322" t="s">
        <v>626</v>
      </c>
      <c r="B65" s="322" t="s">
        <v>805</v>
      </c>
      <c r="C65" s="63" t="s">
        <v>463</v>
      </c>
      <c r="D65" s="77" t="s">
        <v>806</v>
      </c>
      <c r="E65" s="10" t="s">
        <v>670</v>
      </c>
      <c r="F65" s="73" t="s">
        <v>807</v>
      </c>
      <c r="G65" s="77" t="s">
        <v>806</v>
      </c>
      <c r="H65" s="10" t="s">
        <v>670</v>
      </c>
      <c r="I65" s="73" t="s">
        <v>807</v>
      </c>
      <c r="J65" s="63" t="s">
        <v>807</v>
      </c>
      <c r="K65" s="10" t="s">
        <v>475</v>
      </c>
      <c r="L65" s="64"/>
      <c r="M65" s="63" t="s">
        <v>808</v>
      </c>
      <c r="N65" s="80" t="s">
        <v>747</v>
      </c>
      <c r="O65" s="64" t="s">
        <v>809</v>
      </c>
      <c r="P65" s="78" t="s">
        <v>808</v>
      </c>
      <c r="Q65" s="88" t="s">
        <v>479</v>
      </c>
      <c r="R65" s="63" t="s">
        <v>808</v>
      </c>
      <c r="S65" s="96" t="s">
        <v>479</v>
      </c>
      <c r="U65" s="64"/>
      <c r="W65" s="64"/>
    </row>
    <row r="66" spans="1:23" outlineLevel="1" x14ac:dyDescent="0.25">
      <c r="A66" s="322" t="s">
        <v>810</v>
      </c>
      <c r="B66" s="322" t="s">
        <v>811</v>
      </c>
      <c r="C66" s="63" t="s">
        <v>463</v>
      </c>
      <c r="D66" s="77"/>
      <c r="E66" s="80"/>
      <c r="F66" s="73"/>
      <c r="G66" s="77"/>
      <c r="I66" s="71"/>
      <c r="J66" s="63" t="s">
        <v>812</v>
      </c>
      <c r="K66" s="10" t="s">
        <v>475</v>
      </c>
      <c r="L66" s="64"/>
      <c r="M66" s="63"/>
      <c r="N66" s="80"/>
      <c r="O66" s="71"/>
      <c r="P66" s="78"/>
      <c r="R66" s="63"/>
      <c r="S66" s="64"/>
      <c r="U66" s="64"/>
      <c r="W66" s="64"/>
    </row>
    <row r="67" spans="1:23" outlineLevel="1" x14ac:dyDescent="0.25">
      <c r="A67" s="324" t="s">
        <v>639</v>
      </c>
      <c r="B67" s="324" t="s">
        <v>813</v>
      </c>
      <c r="C67" s="221" t="s">
        <v>463</v>
      </c>
      <c r="D67" s="77"/>
      <c r="E67" s="80"/>
      <c r="F67" s="73"/>
      <c r="G67" s="77"/>
      <c r="I67" s="71"/>
      <c r="J67" s="63" t="s">
        <v>814</v>
      </c>
      <c r="K67" s="10" t="s">
        <v>642</v>
      </c>
      <c r="L67" s="64"/>
      <c r="M67" s="63"/>
      <c r="N67" s="80"/>
      <c r="O67" s="71"/>
      <c r="P67" s="78" t="s">
        <v>815</v>
      </c>
      <c r="Q67" s="10" t="s">
        <v>663</v>
      </c>
      <c r="R67" s="63"/>
      <c r="S67" s="64"/>
      <c r="U67" s="64"/>
      <c r="W67" s="64"/>
    </row>
    <row r="68" spans="1:23" x14ac:dyDescent="0.25">
      <c r="A68" s="323" t="s">
        <v>816</v>
      </c>
      <c r="B68" s="323"/>
      <c r="C68" s="113"/>
      <c r="D68" s="68"/>
      <c r="E68" s="223"/>
      <c r="F68" s="69"/>
      <c r="G68" s="68"/>
      <c r="H68" s="223"/>
      <c r="I68" s="69"/>
      <c r="J68" s="68"/>
      <c r="K68" s="223"/>
      <c r="L68" s="69"/>
      <c r="M68" s="68"/>
      <c r="N68" s="223"/>
      <c r="O68" s="69"/>
      <c r="P68" s="223"/>
      <c r="Q68" s="223"/>
      <c r="R68" s="68" t="s">
        <v>817</v>
      </c>
      <c r="S68" s="69"/>
      <c r="T68" s="223"/>
      <c r="U68" s="69"/>
      <c r="V68" s="223"/>
      <c r="W68" s="69"/>
    </row>
    <row r="69" spans="1:23" ht="30" customHeight="1" outlineLevel="1" x14ac:dyDescent="0.25">
      <c r="A69" s="322" t="s">
        <v>818</v>
      </c>
      <c r="B69" s="322" t="s">
        <v>17</v>
      </c>
      <c r="C69" s="63" t="s">
        <v>463</v>
      </c>
      <c r="D69" s="63" t="s">
        <v>819</v>
      </c>
      <c r="E69" s="10" t="s">
        <v>820</v>
      </c>
      <c r="F69" s="64"/>
      <c r="G69" s="63" t="s">
        <v>821</v>
      </c>
      <c r="H69" s="79" t="s">
        <v>483</v>
      </c>
      <c r="I69" s="64"/>
      <c r="J69" s="63" t="s">
        <v>822</v>
      </c>
      <c r="K69" s="10" t="s">
        <v>536</v>
      </c>
      <c r="L69" s="64"/>
      <c r="M69" s="63" t="s">
        <v>823</v>
      </c>
      <c r="N69" s="79" t="s">
        <v>824</v>
      </c>
      <c r="O69" s="64"/>
      <c r="P69" s="10" t="s">
        <v>825</v>
      </c>
      <c r="Q69" s="79" t="s">
        <v>826</v>
      </c>
      <c r="R69" s="97" t="s">
        <v>827</v>
      </c>
      <c r="S69" s="73" t="s">
        <v>505</v>
      </c>
      <c r="U69" s="64"/>
      <c r="W69" s="64"/>
    </row>
    <row r="70" spans="1:23" ht="30" customHeight="1" outlineLevel="1" x14ac:dyDescent="0.25">
      <c r="A70" s="322" t="s">
        <v>828</v>
      </c>
      <c r="B70" s="322" t="s">
        <v>284</v>
      </c>
      <c r="C70" s="63" t="s">
        <v>463</v>
      </c>
      <c r="D70" s="63" t="s">
        <v>829</v>
      </c>
      <c r="E70" s="79" t="s">
        <v>830</v>
      </c>
      <c r="F70" s="64"/>
      <c r="G70" s="63" t="s">
        <v>831</v>
      </c>
      <c r="H70" s="10" t="s">
        <v>495</v>
      </c>
      <c r="I70" s="64"/>
      <c r="J70" s="63" t="s">
        <v>832</v>
      </c>
      <c r="K70" s="10" t="s">
        <v>495</v>
      </c>
      <c r="L70" s="64"/>
      <c r="M70" s="63" t="s">
        <v>833</v>
      </c>
      <c r="N70" s="79" t="s">
        <v>824</v>
      </c>
      <c r="O70" s="64"/>
      <c r="P70" s="10" t="s">
        <v>834</v>
      </c>
      <c r="Q70" s="79" t="s">
        <v>826</v>
      </c>
      <c r="R70" s="97" t="s">
        <v>835</v>
      </c>
      <c r="S70" s="73" t="s">
        <v>505</v>
      </c>
      <c r="U70" s="64"/>
      <c r="W70" s="64"/>
    </row>
    <row r="71" spans="1:23" ht="30" customHeight="1" outlineLevel="1" x14ac:dyDescent="0.25">
      <c r="A71" s="322" t="s">
        <v>836</v>
      </c>
      <c r="B71" s="322" t="s">
        <v>837</v>
      </c>
      <c r="C71" s="63" t="s">
        <v>463</v>
      </c>
      <c r="D71" s="63" t="s">
        <v>838</v>
      </c>
      <c r="E71" s="79" t="s">
        <v>830</v>
      </c>
      <c r="F71" s="64"/>
      <c r="G71" s="63" t="s">
        <v>839</v>
      </c>
      <c r="H71" s="10" t="s">
        <v>495</v>
      </c>
      <c r="I71" s="64"/>
      <c r="J71" s="63" t="s">
        <v>840</v>
      </c>
      <c r="K71" s="10" t="s">
        <v>483</v>
      </c>
      <c r="L71" s="64"/>
      <c r="M71" s="63" t="s">
        <v>841</v>
      </c>
      <c r="N71" s="79" t="s">
        <v>824</v>
      </c>
      <c r="O71" s="64"/>
      <c r="P71" s="10" t="s">
        <v>842</v>
      </c>
      <c r="Q71" s="79" t="s">
        <v>826</v>
      </c>
      <c r="R71" s="97" t="s">
        <v>843</v>
      </c>
      <c r="S71" s="73" t="s">
        <v>505</v>
      </c>
      <c r="U71" s="64"/>
      <c r="W71" s="64"/>
    </row>
    <row r="72" spans="1:23" ht="30" customHeight="1" outlineLevel="1" x14ac:dyDescent="0.25">
      <c r="A72" s="322" t="s">
        <v>844</v>
      </c>
      <c r="B72" s="322" t="s">
        <v>845</v>
      </c>
      <c r="C72" s="63" t="s">
        <v>463</v>
      </c>
      <c r="D72" s="63" t="s">
        <v>846</v>
      </c>
      <c r="E72" s="79" t="s">
        <v>830</v>
      </c>
      <c r="F72" s="64"/>
      <c r="G72" s="63" t="s">
        <v>847</v>
      </c>
      <c r="H72" s="10" t="s">
        <v>495</v>
      </c>
      <c r="I72" s="64"/>
      <c r="J72" s="63" t="s">
        <v>848</v>
      </c>
      <c r="K72" s="10" t="s">
        <v>483</v>
      </c>
      <c r="L72" s="64"/>
      <c r="M72" s="63" t="s">
        <v>849</v>
      </c>
      <c r="N72" s="79" t="s">
        <v>824</v>
      </c>
      <c r="O72" s="64"/>
      <c r="P72" s="10" t="s">
        <v>850</v>
      </c>
      <c r="Q72" s="79" t="s">
        <v>826</v>
      </c>
      <c r="R72" s="97" t="s">
        <v>851</v>
      </c>
      <c r="S72" s="73" t="s">
        <v>505</v>
      </c>
      <c r="U72" s="64"/>
      <c r="W72" s="64"/>
    </row>
    <row r="73" spans="1:23" ht="30" customHeight="1" outlineLevel="1" x14ac:dyDescent="0.25">
      <c r="A73" s="322" t="s">
        <v>852</v>
      </c>
      <c r="B73" s="322" t="s">
        <v>853</v>
      </c>
      <c r="C73" s="63" t="s">
        <v>463</v>
      </c>
      <c r="D73" s="63" t="s">
        <v>854</v>
      </c>
      <c r="E73" s="79" t="s">
        <v>830</v>
      </c>
      <c r="F73" s="64"/>
      <c r="G73" s="63" t="s">
        <v>855</v>
      </c>
      <c r="H73" s="10" t="s">
        <v>495</v>
      </c>
      <c r="I73" s="64"/>
      <c r="J73" s="63" t="s">
        <v>856</v>
      </c>
      <c r="K73" s="10" t="s">
        <v>483</v>
      </c>
      <c r="L73" s="64"/>
      <c r="M73" s="63" t="s">
        <v>857</v>
      </c>
      <c r="N73" s="79" t="s">
        <v>824</v>
      </c>
      <c r="O73" s="64"/>
      <c r="P73" s="10" t="s">
        <v>858</v>
      </c>
      <c r="Q73" s="79" t="s">
        <v>826</v>
      </c>
      <c r="R73" s="97" t="s">
        <v>859</v>
      </c>
      <c r="S73" s="73" t="s">
        <v>505</v>
      </c>
      <c r="U73" s="64"/>
      <c r="W73" s="64"/>
    </row>
    <row r="74" spans="1:23" ht="30" customHeight="1" outlineLevel="1" x14ac:dyDescent="0.25">
      <c r="A74" s="322" t="s">
        <v>860</v>
      </c>
      <c r="B74" s="322" t="s">
        <v>861</v>
      </c>
      <c r="C74" s="63" t="s">
        <v>463</v>
      </c>
      <c r="D74" s="63" t="s">
        <v>862</v>
      </c>
      <c r="E74" s="79" t="s">
        <v>830</v>
      </c>
      <c r="F74" s="64"/>
      <c r="G74" s="63" t="s">
        <v>863</v>
      </c>
      <c r="H74" s="10" t="s">
        <v>495</v>
      </c>
      <c r="I74" s="64"/>
      <c r="J74" s="63" t="s">
        <v>864</v>
      </c>
      <c r="K74" s="10" t="s">
        <v>483</v>
      </c>
      <c r="L74" s="64"/>
      <c r="M74" s="63" t="s">
        <v>865</v>
      </c>
      <c r="N74" s="79" t="s">
        <v>824</v>
      </c>
      <c r="O74" s="64"/>
      <c r="P74" s="10" t="s">
        <v>866</v>
      </c>
      <c r="Q74" s="79" t="s">
        <v>826</v>
      </c>
      <c r="R74" s="97" t="s">
        <v>867</v>
      </c>
      <c r="S74" s="73" t="s">
        <v>505</v>
      </c>
      <c r="U74" s="64"/>
      <c r="W74" s="64"/>
    </row>
    <row r="75" spans="1:23" ht="30" customHeight="1" outlineLevel="1" x14ac:dyDescent="0.25">
      <c r="A75" s="322" t="s">
        <v>868</v>
      </c>
      <c r="B75" s="322" t="s">
        <v>869</v>
      </c>
      <c r="C75" s="63" t="s">
        <v>463</v>
      </c>
      <c r="D75" s="63" t="s">
        <v>870</v>
      </c>
      <c r="E75" s="79" t="s">
        <v>830</v>
      </c>
      <c r="F75" s="64"/>
      <c r="G75" s="63" t="s">
        <v>871</v>
      </c>
      <c r="H75" s="10" t="s">
        <v>483</v>
      </c>
      <c r="I75" s="64"/>
      <c r="J75" s="63" t="s">
        <v>872</v>
      </c>
      <c r="K75" s="10" t="s">
        <v>495</v>
      </c>
      <c r="L75" s="64"/>
      <c r="M75" s="63" t="s">
        <v>873</v>
      </c>
      <c r="N75" s="79" t="s">
        <v>824</v>
      </c>
      <c r="O75" s="64"/>
      <c r="P75" s="10" t="s">
        <v>874</v>
      </c>
      <c r="Q75" s="79" t="s">
        <v>826</v>
      </c>
      <c r="R75" s="97" t="s">
        <v>875</v>
      </c>
      <c r="S75" s="73" t="s">
        <v>505</v>
      </c>
      <c r="U75" s="64"/>
      <c r="W75" s="64"/>
    </row>
    <row r="76" spans="1:23" ht="30" customHeight="1" outlineLevel="1" x14ac:dyDescent="0.25">
      <c r="A76" s="322" t="s">
        <v>876</v>
      </c>
      <c r="B76" s="322" t="s">
        <v>877</v>
      </c>
      <c r="C76" s="63" t="s">
        <v>463</v>
      </c>
      <c r="D76" s="63" t="s">
        <v>878</v>
      </c>
      <c r="E76" s="10" t="s">
        <v>879</v>
      </c>
      <c r="F76" s="64"/>
      <c r="G76" s="63" t="s">
        <v>880</v>
      </c>
      <c r="H76" s="79" t="s">
        <v>483</v>
      </c>
      <c r="I76" s="64"/>
      <c r="J76" s="63" t="s">
        <v>881</v>
      </c>
      <c r="K76" s="10" t="s">
        <v>824</v>
      </c>
      <c r="L76" s="64"/>
      <c r="M76" s="63" t="s">
        <v>882</v>
      </c>
      <c r="N76" s="79" t="s">
        <v>824</v>
      </c>
      <c r="O76" s="64"/>
      <c r="P76" s="10" t="s">
        <v>883</v>
      </c>
      <c r="Q76" s="79" t="s">
        <v>826</v>
      </c>
      <c r="R76" s="97" t="s">
        <v>884</v>
      </c>
      <c r="S76" s="73" t="s">
        <v>505</v>
      </c>
      <c r="U76" s="64"/>
      <c r="W76" s="64"/>
    </row>
    <row r="77" spans="1:23" ht="30" customHeight="1" x14ac:dyDescent="0.25">
      <c r="A77" s="323" t="s">
        <v>885</v>
      </c>
      <c r="B77" s="323"/>
      <c r="C77" s="113"/>
      <c r="D77" s="224"/>
      <c r="E77" s="223"/>
      <c r="F77" s="69"/>
      <c r="G77" s="68"/>
      <c r="H77" s="223"/>
      <c r="I77" s="69"/>
      <c r="J77" s="68"/>
      <c r="K77" s="223"/>
      <c r="L77" s="69"/>
      <c r="M77" s="68"/>
      <c r="N77" s="223"/>
      <c r="O77" s="69"/>
      <c r="P77" s="223" t="s">
        <v>886</v>
      </c>
      <c r="Q77" s="225" t="s">
        <v>826</v>
      </c>
      <c r="R77" s="224" t="s">
        <v>887</v>
      </c>
      <c r="S77" s="226" t="s">
        <v>505</v>
      </c>
      <c r="T77" s="223"/>
      <c r="U77" s="69"/>
      <c r="V77" s="223"/>
      <c r="W77" s="69"/>
    </row>
    <row r="78" spans="1:23" outlineLevel="1" x14ac:dyDescent="0.25">
      <c r="A78" s="322" t="s">
        <v>888</v>
      </c>
      <c r="B78" s="322" t="s">
        <v>889</v>
      </c>
      <c r="C78" s="92" t="s">
        <v>341</v>
      </c>
      <c r="D78" s="63" t="s">
        <v>890</v>
      </c>
      <c r="E78" s="10" t="s">
        <v>820</v>
      </c>
      <c r="F78" s="71"/>
      <c r="G78" s="63" t="s">
        <v>891</v>
      </c>
      <c r="H78" s="79" t="s">
        <v>475</v>
      </c>
      <c r="I78" s="64"/>
      <c r="J78" s="63" t="s">
        <v>892</v>
      </c>
      <c r="K78" s="10" t="s">
        <v>536</v>
      </c>
      <c r="L78" s="64"/>
      <c r="M78" s="63" t="s">
        <v>893</v>
      </c>
      <c r="N78" s="79" t="s">
        <v>824</v>
      </c>
      <c r="O78" s="64"/>
      <c r="R78" s="63"/>
      <c r="S78" s="64"/>
      <c r="U78" s="64"/>
      <c r="W78" s="64"/>
    </row>
    <row r="79" spans="1:23" outlineLevel="1" x14ac:dyDescent="0.25">
      <c r="A79" s="322" t="s">
        <v>894</v>
      </c>
      <c r="B79" s="322" t="s">
        <v>895</v>
      </c>
      <c r="C79" s="92" t="s">
        <v>341</v>
      </c>
      <c r="D79" s="63" t="s">
        <v>896</v>
      </c>
      <c r="E79" s="79" t="s">
        <v>830</v>
      </c>
      <c r="F79" s="71"/>
      <c r="G79" s="63" t="s">
        <v>897</v>
      </c>
      <c r="H79" s="79" t="s">
        <v>495</v>
      </c>
      <c r="I79" s="64"/>
      <c r="J79" s="63" t="s">
        <v>898</v>
      </c>
      <c r="K79" s="10" t="s">
        <v>495</v>
      </c>
      <c r="L79" s="64"/>
      <c r="M79" s="63" t="s">
        <v>899</v>
      </c>
      <c r="N79" s="79" t="s">
        <v>824</v>
      </c>
      <c r="O79" s="64"/>
      <c r="R79" s="63"/>
      <c r="S79" s="64"/>
      <c r="U79" s="64"/>
      <c r="W79" s="64"/>
    </row>
    <row r="80" spans="1:23" outlineLevel="1" x14ac:dyDescent="0.25">
      <c r="A80" s="322" t="s">
        <v>900</v>
      </c>
      <c r="B80" s="322" t="s">
        <v>901</v>
      </c>
      <c r="C80" s="92" t="s">
        <v>341</v>
      </c>
      <c r="D80" s="63" t="s">
        <v>902</v>
      </c>
      <c r="E80" s="79" t="s">
        <v>830</v>
      </c>
      <c r="F80" s="71"/>
      <c r="G80" s="63" t="s">
        <v>903</v>
      </c>
      <c r="H80" s="79" t="s">
        <v>495</v>
      </c>
      <c r="I80" s="64"/>
      <c r="J80" s="63" t="s">
        <v>904</v>
      </c>
      <c r="K80" s="10" t="s">
        <v>483</v>
      </c>
      <c r="L80" s="64"/>
      <c r="M80" s="63" t="s">
        <v>905</v>
      </c>
      <c r="N80" s="79" t="s">
        <v>824</v>
      </c>
      <c r="O80" s="64"/>
      <c r="R80" s="63"/>
      <c r="S80" s="64"/>
      <c r="U80" s="64"/>
      <c r="W80" s="64"/>
    </row>
    <row r="81" spans="1:23" outlineLevel="1" x14ac:dyDescent="0.25">
      <c r="A81" s="322" t="s">
        <v>906</v>
      </c>
      <c r="B81" s="322" t="s">
        <v>907</v>
      </c>
      <c r="C81" s="92" t="s">
        <v>341</v>
      </c>
      <c r="D81" s="63" t="s">
        <v>908</v>
      </c>
      <c r="E81" s="79" t="s">
        <v>830</v>
      </c>
      <c r="F81" s="71"/>
      <c r="G81" s="63" t="s">
        <v>909</v>
      </c>
      <c r="H81" s="79" t="s">
        <v>495</v>
      </c>
      <c r="I81" s="64"/>
      <c r="J81" s="63" t="s">
        <v>910</v>
      </c>
      <c r="K81" s="10" t="s">
        <v>483</v>
      </c>
      <c r="L81" s="64"/>
      <c r="M81" s="63" t="s">
        <v>911</v>
      </c>
      <c r="N81" s="79" t="s">
        <v>824</v>
      </c>
      <c r="O81" s="64"/>
      <c r="R81" s="63"/>
      <c r="S81" s="64"/>
      <c r="U81" s="64"/>
      <c r="W81" s="64"/>
    </row>
    <row r="82" spans="1:23" outlineLevel="1" x14ac:dyDescent="0.25">
      <c r="A82" s="322" t="s">
        <v>912</v>
      </c>
      <c r="B82" s="322" t="s">
        <v>913</v>
      </c>
      <c r="C82" s="92" t="s">
        <v>341</v>
      </c>
      <c r="D82" s="63" t="s">
        <v>914</v>
      </c>
      <c r="E82" s="79" t="s">
        <v>830</v>
      </c>
      <c r="F82" s="71"/>
      <c r="G82" s="63" t="s">
        <v>915</v>
      </c>
      <c r="H82" s="79" t="s">
        <v>495</v>
      </c>
      <c r="I82" s="64"/>
      <c r="J82" s="63" t="s">
        <v>916</v>
      </c>
      <c r="K82" s="10" t="s">
        <v>483</v>
      </c>
      <c r="L82" s="64"/>
      <c r="M82" s="63" t="s">
        <v>917</v>
      </c>
      <c r="N82" s="79" t="s">
        <v>824</v>
      </c>
      <c r="O82" s="64"/>
      <c r="R82" s="63"/>
      <c r="S82" s="64"/>
      <c r="U82" s="64"/>
      <c r="W82" s="64"/>
    </row>
    <row r="83" spans="1:23" outlineLevel="1" x14ac:dyDescent="0.25">
      <c r="A83" s="322" t="s">
        <v>918</v>
      </c>
      <c r="B83" s="322" t="s">
        <v>919</v>
      </c>
      <c r="C83" s="92" t="s">
        <v>341</v>
      </c>
      <c r="D83" s="63" t="s">
        <v>920</v>
      </c>
      <c r="E83" s="79" t="s">
        <v>830</v>
      </c>
      <c r="F83" s="71"/>
      <c r="G83" s="63" t="s">
        <v>921</v>
      </c>
      <c r="H83" s="79" t="s">
        <v>495</v>
      </c>
      <c r="I83" s="64"/>
      <c r="J83" s="63" t="s">
        <v>922</v>
      </c>
      <c r="K83" s="10" t="s">
        <v>483</v>
      </c>
      <c r="L83" s="64"/>
      <c r="M83" s="63" t="s">
        <v>923</v>
      </c>
      <c r="N83" s="79" t="s">
        <v>824</v>
      </c>
      <c r="O83" s="64"/>
      <c r="R83" s="63"/>
      <c r="S83" s="64"/>
      <c r="U83" s="64"/>
      <c r="W83" s="64"/>
    </row>
    <row r="84" spans="1:23" outlineLevel="1" x14ac:dyDescent="0.25">
      <c r="A84" s="322" t="s">
        <v>924</v>
      </c>
      <c r="B84" s="322" t="s">
        <v>925</v>
      </c>
      <c r="C84" s="92" t="s">
        <v>341</v>
      </c>
      <c r="D84" s="63" t="s">
        <v>926</v>
      </c>
      <c r="E84" s="79" t="s">
        <v>830</v>
      </c>
      <c r="F84" s="71"/>
      <c r="G84" s="63" t="s">
        <v>927</v>
      </c>
      <c r="H84" s="79" t="s">
        <v>495</v>
      </c>
      <c r="I84" s="64"/>
      <c r="J84" s="63" t="s">
        <v>928</v>
      </c>
      <c r="K84" s="10" t="s">
        <v>495</v>
      </c>
      <c r="L84" s="64"/>
      <c r="M84" s="63" t="s">
        <v>929</v>
      </c>
      <c r="N84" s="79" t="s">
        <v>824</v>
      </c>
      <c r="O84" s="64"/>
      <c r="R84" s="63"/>
      <c r="S84" s="64"/>
      <c r="U84" s="64"/>
      <c r="W84" s="64"/>
    </row>
    <row r="85" spans="1:23" outlineLevel="1" x14ac:dyDescent="0.25">
      <c r="A85" s="322" t="s">
        <v>930</v>
      </c>
      <c r="B85" s="322" t="s">
        <v>931</v>
      </c>
      <c r="C85" s="92" t="s">
        <v>341</v>
      </c>
      <c r="D85" s="63" t="s">
        <v>932</v>
      </c>
      <c r="E85" s="10" t="s">
        <v>879</v>
      </c>
      <c r="F85" s="71"/>
      <c r="G85" s="63" t="s">
        <v>933</v>
      </c>
      <c r="H85" s="79" t="s">
        <v>483</v>
      </c>
      <c r="I85" s="64"/>
      <c r="J85" s="63" t="s">
        <v>934</v>
      </c>
      <c r="K85" s="10" t="s">
        <v>824</v>
      </c>
      <c r="L85" s="64"/>
      <c r="M85" s="63" t="s">
        <v>935</v>
      </c>
      <c r="N85" s="79" t="s">
        <v>824</v>
      </c>
      <c r="O85" s="64"/>
      <c r="R85" s="63"/>
      <c r="S85" s="64"/>
      <c r="U85" s="64"/>
      <c r="W85" s="64"/>
    </row>
    <row r="86" spans="1:23" x14ac:dyDescent="0.25">
      <c r="A86" s="323" t="s">
        <v>936</v>
      </c>
      <c r="B86" s="323"/>
      <c r="C86" s="113"/>
      <c r="D86" s="224"/>
      <c r="E86" s="223"/>
      <c r="F86" s="69"/>
      <c r="G86" s="68"/>
      <c r="H86" s="223"/>
      <c r="I86" s="69"/>
      <c r="J86" s="68"/>
      <c r="K86" s="223"/>
      <c r="L86" s="69"/>
      <c r="M86" s="68"/>
      <c r="N86" s="223"/>
      <c r="O86" s="69"/>
      <c r="P86" s="223"/>
      <c r="Q86" s="223"/>
      <c r="R86" s="68"/>
      <c r="S86" s="69"/>
      <c r="T86" s="223"/>
      <c r="U86" s="69"/>
      <c r="V86" s="223"/>
      <c r="W86" s="69"/>
    </row>
    <row r="87" spans="1:23" outlineLevel="1" x14ac:dyDescent="0.25">
      <c r="A87" s="322" t="s">
        <v>937</v>
      </c>
      <c r="B87" s="322" t="s">
        <v>938</v>
      </c>
      <c r="C87" s="92" t="s">
        <v>341</v>
      </c>
      <c r="D87" s="63" t="s">
        <v>939</v>
      </c>
      <c r="E87" s="10" t="s">
        <v>820</v>
      </c>
      <c r="F87" s="71"/>
      <c r="G87" s="63" t="s">
        <v>940</v>
      </c>
      <c r="H87" s="79" t="s">
        <v>483</v>
      </c>
      <c r="I87" s="64"/>
      <c r="J87" s="63" t="s">
        <v>941</v>
      </c>
      <c r="K87" s="10" t="s">
        <v>536</v>
      </c>
      <c r="L87" s="64"/>
      <c r="M87" s="63" t="s">
        <v>942</v>
      </c>
      <c r="N87" s="79" t="s">
        <v>824</v>
      </c>
      <c r="O87" s="64"/>
      <c r="R87" s="63"/>
      <c r="S87" s="64"/>
      <c r="U87" s="64"/>
      <c r="W87" s="64"/>
    </row>
    <row r="88" spans="1:23" outlineLevel="1" x14ac:dyDescent="0.25">
      <c r="A88" s="322" t="s">
        <v>943</v>
      </c>
      <c r="B88" s="322" t="s">
        <v>944</v>
      </c>
      <c r="C88" s="92" t="s">
        <v>341</v>
      </c>
      <c r="D88" s="63" t="s">
        <v>945</v>
      </c>
      <c r="E88" s="79" t="s">
        <v>830</v>
      </c>
      <c r="F88" s="71"/>
      <c r="G88" s="63" t="s">
        <v>946</v>
      </c>
      <c r="H88" s="79" t="s">
        <v>495</v>
      </c>
      <c r="I88" s="64"/>
      <c r="J88" s="63" t="s">
        <v>947</v>
      </c>
      <c r="K88" s="10" t="s">
        <v>495</v>
      </c>
      <c r="L88" s="64"/>
      <c r="M88" s="63" t="s">
        <v>948</v>
      </c>
      <c r="N88" s="79" t="s">
        <v>824</v>
      </c>
      <c r="O88" s="64"/>
      <c r="R88" s="63"/>
      <c r="S88" s="64"/>
      <c r="U88" s="64"/>
      <c r="W88" s="64"/>
    </row>
    <row r="89" spans="1:23" outlineLevel="1" x14ac:dyDescent="0.25">
      <c r="A89" s="322" t="s">
        <v>949</v>
      </c>
      <c r="B89" s="322" t="s">
        <v>950</v>
      </c>
      <c r="C89" s="92" t="s">
        <v>341</v>
      </c>
      <c r="D89" s="63" t="s">
        <v>951</v>
      </c>
      <c r="E89" s="79" t="s">
        <v>830</v>
      </c>
      <c r="F89" s="71"/>
      <c r="G89" s="63" t="s">
        <v>952</v>
      </c>
      <c r="H89" s="79" t="s">
        <v>495</v>
      </c>
      <c r="I89" s="64"/>
      <c r="J89" s="63" t="s">
        <v>953</v>
      </c>
      <c r="K89" s="10" t="s">
        <v>483</v>
      </c>
      <c r="L89" s="64"/>
      <c r="M89" s="63" t="s">
        <v>954</v>
      </c>
      <c r="N89" s="79" t="s">
        <v>824</v>
      </c>
      <c r="O89" s="64"/>
      <c r="R89" s="63"/>
      <c r="S89" s="64"/>
      <c r="U89" s="64"/>
      <c r="W89" s="64"/>
    </row>
    <row r="90" spans="1:23" outlineLevel="1" x14ac:dyDescent="0.25">
      <c r="A90" s="322" t="s">
        <v>955</v>
      </c>
      <c r="B90" s="322" t="s">
        <v>956</v>
      </c>
      <c r="C90" s="92" t="s">
        <v>341</v>
      </c>
      <c r="D90" s="63" t="s">
        <v>957</v>
      </c>
      <c r="E90" s="79" t="s">
        <v>830</v>
      </c>
      <c r="F90" s="71"/>
      <c r="G90" s="63" t="s">
        <v>958</v>
      </c>
      <c r="H90" s="79" t="s">
        <v>495</v>
      </c>
      <c r="I90" s="64"/>
      <c r="J90" s="63" t="s">
        <v>959</v>
      </c>
      <c r="K90" s="10" t="s">
        <v>483</v>
      </c>
      <c r="L90" s="64"/>
      <c r="M90" s="63" t="s">
        <v>960</v>
      </c>
      <c r="N90" s="79" t="s">
        <v>824</v>
      </c>
      <c r="O90" s="64"/>
      <c r="R90" s="63"/>
      <c r="S90" s="64"/>
      <c r="U90" s="64"/>
      <c r="W90" s="64"/>
    </row>
    <row r="91" spans="1:23" outlineLevel="1" x14ac:dyDescent="0.25">
      <c r="A91" s="322" t="s">
        <v>961</v>
      </c>
      <c r="B91" s="322" t="s">
        <v>962</v>
      </c>
      <c r="C91" s="92" t="s">
        <v>341</v>
      </c>
      <c r="D91" s="63" t="s">
        <v>963</v>
      </c>
      <c r="E91" s="79" t="s">
        <v>830</v>
      </c>
      <c r="F91" s="71"/>
      <c r="G91" s="63" t="s">
        <v>964</v>
      </c>
      <c r="H91" s="79" t="s">
        <v>495</v>
      </c>
      <c r="I91" s="64"/>
      <c r="J91" s="63" t="s">
        <v>965</v>
      </c>
      <c r="K91" s="10" t="s">
        <v>483</v>
      </c>
      <c r="L91" s="64"/>
      <c r="M91" s="63" t="s">
        <v>966</v>
      </c>
      <c r="N91" s="79" t="s">
        <v>824</v>
      </c>
      <c r="O91" s="64"/>
      <c r="R91" s="63"/>
      <c r="S91" s="64"/>
      <c r="U91" s="64"/>
      <c r="W91" s="64"/>
    </row>
    <row r="92" spans="1:23" outlineLevel="1" x14ac:dyDescent="0.25">
      <c r="A92" s="322" t="s">
        <v>967</v>
      </c>
      <c r="B92" s="322" t="s">
        <v>968</v>
      </c>
      <c r="C92" s="92" t="s">
        <v>341</v>
      </c>
      <c r="D92" s="63" t="s">
        <v>969</v>
      </c>
      <c r="E92" s="79" t="s">
        <v>830</v>
      </c>
      <c r="F92" s="71"/>
      <c r="G92" s="63" t="s">
        <v>970</v>
      </c>
      <c r="H92" s="79" t="s">
        <v>495</v>
      </c>
      <c r="I92" s="64"/>
      <c r="J92" s="63" t="s">
        <v>971</v>
      </c>
      <c r="K92" s="10" t="s">
        <v>483</v>
      </c>
      <c r="L92" s="64"/>
      <c r="M92" s="63" t="s">
        <v>972</v>
      </c>
      <c r="N92" s="79" t="s">
        <v>824</v>
      </c>
      <c r="O92" s="64"/>
      <c r="R92" s="63"/>
      <c r="S92" s="64"/>
      <c r="U92" s="64"/>
      <c r="W92" s="64"/>
    </row>
    <row r="93" spans="1:23" outlineLevel="1" x14ac:dyDescent="0.25">
      <c r="A93" s="322" t="s">
        <v>973</v>
      </c>
      <c r="B93" s="322" t="s">
        <v>974</v>
      </c>
      <c r="C93" s="92" t="s">
        <v>341</v>
      </c>
      <c r="D93" s="63" t="s">
        <v>975</v>
      </c>
      <c r="E93" s="79" t="s">
        <v>830</v>
      </c>
      <c r="F93" s="71"/>
      <c r="G93" s="63" t="s">
        <v>976</v>
      </c>
      <c r="H93" s="79" t="s">
        <v>495</v>
      </c>
      <c r="I93" s="64"/>
      <c r="J93" s="63" t="s">
        <v>971</v>
      </c>
      <c r="K93" s="10" t="s">
        <v>495</v>
      </c>
      <c r="L93" s="64"/>
      <c r="M93" s="63" t="s">
        <v>977</v>
      </c>
      <c r="N93" s="79" t="s">
        <v>824</v>
      </c>
      <c r="O93" s="64"/>
      <c r="R93" s="63"/>
      <c r="S93" s="64"/>
      <c r="U93" s="64"/>
      <c r="W93" s="64"/>
    </row>
    <row r="94" spans="1:23" outlineLevel="1" x14ac:dyDescent="0.25">
      <c r="A94" s="322" t="s">
        <v>978</v>
      </c>
      <c r="B94" s="322" t="s">
        <v>979</v>
      </c>
      <c r="C94" s="92" t="s">
        <v>341</v>
      </c>
      <c r="D94" s="63" t="s">
        <v>980</v>
      </c>
      <c r="E94" s="10" t="s">
        <v>879</v>
      </c>
      <c r="F94" s="71"/>
      <c r="G94" s="63" t="s">
        <v>981</v>
      </c>
      <c r="H94" s="79" t="s">
        <v>483</v>
      </c>
      <c r="I94" s="64"/>
      <c r="J94" s="63" t="s">
        <v>982</v>
      </c>
      <c r="K94" s="10" t="s">
        <v>824</v>
      </c>
      <c r="L94" s="64"/>
      <c r="M94" s="63" t="s">
        <v>983</v>
      </c>
      <c r="N94" s="79" t="s">
        <v>824</v>
      </c>
      <c r="O94" s="64"/>
      <c r="R94" s="63"/>
      <c r="S94" s="64"/>
      <c r="U94" s="64"/>
      <c r="W94" s="64"/>
    </row>
    <row r="95" spans="1:23" x14ac:dyDescent="0.25">
      <c r="A95" s="323" t="s">
        <v>984</v>
      </c>
      <c r="B95" s="326" t="s">
        <v>985</v>
      </c>
      <c r="C95" s="227"/>
      <c r="D95" s="228"/>
      <c r="E95" s="223"/>
      <c r="F95" s="69"/>
      <c r="G95" s="68"/>
      <c r="H95" s="223"/>
      <c r="I95" s="69"/>
      <c r="J95" s="68"/>
      <c r="K95" s="223"/>
      <c r="L95" s="69"/>
      <c r="M95" s="68"/>
      <c r="N95" s="223"/>
      <c r="O95" s="69"/>
      <c r="P95" s="223"/>
      <c r="Q95" s="223"/>
      <c r="R95" s="68"/>
      <c r="S95" s="69"/>
      <c r="T95" s="223"/>
      <c r="U95" s="69"/>
      <c r="V95" s="223"/>
      <c r="W95" s="69"/>
    </row>
    <row r="96" spans="1:23" ht="30" customHeight="1" outlineLevel="1" x14ac:dyDescent="0.25">
      <c r="A96" s="322" t="s">
        <v>986</v>
      </c>
      <c r="B96" s="322" t="s">
        <v>987</v>
      </c>
      <c r="C96" s="63" t="s">
        <v>463</v>
      </c>
      <c r="D96" s="10" t="s">
        <v>988</v>
      </c>
      <c r="E96" s="10" t="s">
        <v>495</v>
      </c>
      <c r="F96" s="10" t="s">
        <v>988</v>
      </c>
      <c r="G96" s="63"/>
      <c r="I96" s="64"/>
      <c r="J96" s="63"/>
      <c r="L96" s="64"/>
      <c r="M96" s="63"/>
      <c r="O96" s="64"/>
      <c r="P96" s="78" t="s">
        <v>989</v>
      </c>
      <c r="Q96" s="10" t="s">
        <v>505</v>
      </c>
      <c r="R96" s="210" t="s">
        <v>989</v>
      </c>
      <c r="S96" s="211" t="s">
        <v>505</v>
      </c>
      <c r="U96" s="64"/>
      <c r="W96" s="64"/>
    </row>
    <row r="97" spans="1:23" ht="30" customHeight="1" outlineLevel="1" x14ac:dyDescent="0.25">
      <c r="A97" s="322" t="s">
        <v>990</v>
      </c>
      <c r="B97" s="322"/>
      <c r="C97" s="63" t="s">
        <v>991</v>
      </c>
      <c r="D97" s="63" t="s">
        <v>15</v>
      </c>
      <c r="F97" s="64" t="s">
        <v>15</v>
      </c>
      <c r="G97" s="63"/>
      <c r="I97" s="64"/>
      <c r="J97" s="63"/>
      <c r="L97" s="64"/>
      <c r="M97" s="63"/>
      <c r="O97" s="64"/>
      <c r="P97" s="78" t="s">
        <v>992</v>
      </c>
      <c r="Q97" s="10" t="s">
        <v>489</v>
      </c>
      <c r="R97" s="210" t="s">
        <v>992</v>
      </c>
      <c r="S97" s="211" t="s">
        <v>489</v>
      </c>
      <c r="U97" s="64"/>
      <c r="W97" s="64"/>
    </row>
    <row r="98" spans="1:23" ht="30" customHeight="1" outlineLevel="1" x14ac:dyDescent="0.25">
      <c r="A98" s="322" t="s">
        <v>993</v>
      </c>
      <c r="B98" s="322" t="s">
        <v>994</v>
      </c>
      <c r="C98" s="63" t="s">
        <v>463</v>
      </c>
      <c r="D98" s="63" t="s">
        <v>15</v>
      </c>
      <c r="F98" s="64" t="s">
        <v>15</v>
      </c>
      <c r="G98" s="63"/>
      <c r="I98" s="64"/>
      <c r="J98" s="63"/>
      <c r="L98" s="64"/>
      <c r="M98" s="63"/>
      <c r="O98" s="64"/>
      <c r="P98" s="78" t="s">
        <v>995</v>
      </c>
      <c r="Q98" s="10" t="s">
        <v>489</v>
      </c>
      <c r="R98" s="210" t="s">
        <v>995</v>
      </c>
      <c r="S98" s="211" t="s">
        <v>489</v>
      </c>
      <c r="U98" s="64"/>
      <c r="W98" s="64"/>
    </row>
    <row r="99" spans="1:23" ht="30" customHeight="1" outlineLevel="1" x14ac:dyDescent="0.25">
      <c r="A99" s="322" t="s">
        <v>996</v>
      </c>
      <c r="B99" s="322"/>
      <c r="C99" s="63" t="s">
        <v>991</v>
      </c>
      <c r="D99" s="63" t="s">
        <v>15</v>
      </c>
      <c r="F99" s="64" t="s">
        <v>15</v>
      </c>
      <c r="G99" s="63"/>
      <c r="I99" s="64"/>
      <c r="J99" s="63"/>
      <c r="L99" s="64"/>
      <c r="M99" s="63"/>
      <c r="O99" s="64"/>
      <c r="P99" s="78" t="s">
        <v>997</v>
      </c>
      <c r="Q99" s="10" t="s">
        <v>505</v>
      </c>
      <c r="R99" s="210" t="s">
        <v>997</v>
      </c>
      <c r="S99" s="211" t="s">
        <v>505</v>
      </c>
      <c r="U99" s="64"/>
      <c r="W99" s="64"/>
    </row>
    <row r="100" spans="1:23" ht="30" customHeight="1" outlineLevel="1" x14ac:dyDescent="0.25">
      <c r="A100" s="322" t="s">
        <v>998</v>
      </c>
      <c r="B100" s="322" t="s">
        <v>999</v>
      </c>
      <c r="C100" s="63" t="s">
        <v>463</v>
      </c>
      <c r="D100" s="63" t="s">
        <v>1000</v>
      </c>
      <c r="E100" s="10" t="s">
        <v>536</v>
      </c>
      <c r="F100" s="64" t="s">
        <v>15</v>
      </c>
      <c r="G100" s="63"/>
      <c r="I100" s="64"/>
      <c r="J100" s="63"/>
      <c r="L100" s="64"/>
      <c r="M100" s="63"/>
      <c r="O100" s="64"/>
      <c r="P100" s="78" t="s">
        <v>1001</v>
      </c>
      <c r="Q100" s="10" t="s">
        <v>539</v>
      </c>
      <c r="R100" s="210" t="s">
        <v>1001</v>
      </c>
      <c r="S100" s="211" t="s">
        <v>539</v>
      </c>
      <c r="U100" s="64"/>
      <c r="W100" s="64"/>
    </row>
    <row r="101" spans="1:23" ht="30" customHeight="1" outlineLevel="1" x14ac:dyDescent="0.25">
      <c r="A101" s="322" t="s">
        <v>1002</v>
      </c>
      <c r="B101" s="322"/>
      <c r="C101" s="63" t="s">
        <v>991</v>
      </c>
      <c r="D101" s="63" t="s">
        <v>15</v>
      </c>
      <c r="F101" s="64" t="s">
        <v>15</v>
      </c>
      <c r="G101" s="63"/>
      <c r="I101" s="64"/>
      <c r="J101" s="63"/>
      <c r="L101" s="64"/>
      <c r="M101" s="63"/>
      <c r="O101" s="64"/>
      <c r="P101" s="78" t="s">
        <v>1003</v>
      </c>
      <c r="Q101" s="10" t="s">
        <v>826</v>
      </c>
      <c r="R101" s="210" t="s">
        <v>1003</v>
      </c>
      <c r="S101" s="211" t="s">
        <v>826</v>
      </c>
      <c r="U101" s="64"/>
      <c r="W101" s="64"/>
    </row>
    <row r="102" spans="1:23" ht="30" customHeight="1" outlineLevel="1" x14ac:dyDescent="0.25">
      <c r="A102" s="322" t="s">
        <v>1004</v>
      </c>
      <c r="B102" s="322" t="s">
        <v>1005</v>
      </c>
      <c r="C102" s="63" t="s">
        <v>463</v>
      </c>
      <c r="D102" s="63" t="s">
        <v>1006</v>
      </c>
      <c r="E102" s="10" t="s">
        <v>483</v>
      </c>
      <c r="F102" s="64" t="s">
        <v>15</v>
      </c>
      <c r="G102" s="63"/>
      <c r="I102" s="64"/>
      <c r="J102" s="63"/>
      <c r="L102" s="64"/>
      <c r="M102" s="63"/>
      <c r="O102" s="64"/>
      <c r="P102" s="78" t="s">
        <v>1007</v>
      </c>
      <c r="Q102" s="10" t="s">
        <v>721</v>
      </c>
      <c r="R102" s="210" t="s">
        <v>1007</v>
      </c>
      <c r="S102" s="211" t="s">
        <v>721</v>
      </c>
      <c r="U102" s="64"/>
      <c r="W102" s="64"/>
    </row>
    <row r="103" spans="1:23" ht="30" customHeight="1" outlineLevel="1" x14ac:dyDescent="0.25">
      <c r="A103" s="322" t="s">
        <v>1008</v>
      </c>
      <c r="B103" s="322"/>
      <c r="C103" s="63" t="s">
        <v>991</v>
      </c>
      <c r="D103" s="63" t="s">
        <v>15</v>
      </c>
      <c r="F103" s="64" t="s">
        <v>15</v>
      </c>
      <c r="G103" s="63"/>
      <c r="I103" s="64"/>
      <c r="J103" s="63"/>
      <c r="L103" s="64"/>
      <c r="M103" s="63"/>
      <c r="O103" s="64"/>
      <c r="P103" s="78" t="s">
        <v>1009</v>
      </c>
      <c r="Q103" s="10" t="s">
        <v>489</v>
      </c>
      <c r="R103" s="210" t="s">
        <v>1009</v>
      </c>
      <c r="S103" s="211" t="s">
        <v>489</v>
      </c>
      <c r="U103" s="64"/>
      <c r="W103" s="64"/>
    </row>
    <row r="104" spans="1:23" ht="30" customHeight="1" outlineLevel="1" x14ac:dyDescent="0.25">
      <c r="A104" s="322" t="s">
        <v>1010</v>
      </c>
      <c r="B104" s="322" t="s">
        <v>1011</v>
      </c>
      <c r="C104" s="63" t="s">
        <v>463</v>
      </c>
      <c r="D104" s="63" t="s">
        <v>1012</v>
      </c>
      <c r="E104" s="10" t="s">
        <v>495</v>
      </c>
      <c r="F104" s="64" t="s">
        <v>15</v>
      </c>
      <c r="G104" s="63"/>
      <c r="I104" s="64"/>
      <c r="J104" s="63"/>
      <c r="L104" s="64"/>
      <c r="M104" s="63"/>
      <c r="O104" s="64"/>
      <c r="P104" s="78" t="s">
        <v>1013</v>
      </c>
      <c r="Q104" s="10" t="s">
        <v>539</v>
      </c>
      <c r="R104" s="210" t="s">
        <v>1013</v>
      </c>
      <c r="S104" s="211" t="s">
        <v>539</v>
      </c>
      <c r="U104" s="64"/>
      <c r="W104" s="64"/>
    </row>
    <row r="105" spans="1:23" ht="30" customHeight="1" outlineLevel="1" x14ac:dyDescent="0.25">
      <c r="A105" s="322" t="s">
        <v>1014</v>
      </c>
      <c r="B105" s="322" t="s">
        <v>1015</v>
      </c>
      <c r="C105" s="63" t="s">
        <v>991</v>
      </c>
      <c r="D105" s="209" t="s">
        <v>1016</v>
      </c>
      <c r="F105" s="64" t="s">
        <v>15</v>
      </c>
      <c r="G105" s="63"/>
      <c r="I105" s="64"/>
      <c r="J105" s="63"/>
      <c r="L105" s="64"/>
      <c r="M105" s="63"/>
      <c r="O105" s="64"/>
      <c r="P105" s="78" t="s">
        <v>1017</v>
      </c>
      <c r="Q105" s="10" t="s">
        <v>1018</v>
      </c>
      <c r="R105" s="210" t="s">
        <v>1017</v>
      </c>
      <c r="S105" s="211" t="s">
        <v>1018</v>
      </c>
      <c r="U105" s="64"/>
      <c r="W105" s="64"/>
    </row>
    <row r="106" spans="1:23" ht="30" customHeight="1" outlineLevel="1" x14ac:dyDescent="0.25">
      <c r="A106" s="322" t="s">
        <v>1019</v>
      </c>
      <c r="B106" s="322" t="s">
        <v>1020</v>
      </c>
      <c r="C106" s="63" t="s">
        <v>463</v>
      </c>
      <c r="D106" s="63" t="s">
        <v>15</v>
      </c>
      <c r="F106" s="64" t="s">
        <v>15</v>
      </c>
      <c r="G106" s="63"/>
      <c r="I106" s="64"/>
      <c r="J106" s="63"/>
      <c r="L106" s="64"/>
      <c r="M106" s="63"/>
      <c r="O106" s="64"/>
      <c r="P106" s="78" t="s">
        <v>1021</v>
      </c>
      <c r="Q106" s="10" t="s">
        <v>670</v>
      </c>
      <c r="R106" s="210" t="s">
        <v>1021</v>
      </c>
      <c r="S106" s="211" t="s">
        <v>670</v>
      </c>
      <c r="U106" s="64"/>
      <c r="W106" s="64"/>
    </row>
    <row r="107" spans="1:23" ht="30" customHeight="1" outlineLevel="1" x14ac:dyDescent="0.25">
      <c r="A107" s="322" t="s">
        <v>1022</v>
      </c>
      <c r="B107" s="322"/>
      <c r="C107" s="63" t="s">
        <v>991</v>
      </c>
      <c r="D107" s="63" t="s">
        <v>15</v>
      </c>
      <c r="F107" s="64" t="s">
        <v>15</v>
      </c>
      <c r="G107" s="63"/>
      <c r="I107" s="64"/>
      <c r="J107" s="63"/>
      <c r="L107" s="64"/>
      <c r="M107" s="63"/>
      <c r="O107" s="64"/>
      <c r="P107" s="78" t="s">
        <v>1023</v>
      </c>
      <c r="Q107" s="10" t="s">
        <v>489</v>
      </c>
      <c r="R107" s="210" t="s">
        <v>1023</v>
      </c>
      <c r="S107" s="211" t="s">
        <v>489</v>
      </c>
      <c r="U107" s="64"/>
      <c r="W107" s="64"/>
    </row>
    <row r="108" spans="1:23" ht="30" customHeight="1" outlineLevel="1" x14ac:dyDescent="0.25">
      <c r="A108" s="322" t="s">
        <v>1024</v>
      </c>
      <c r="B108" s="322" t="s">
        <v>1025</v>
      </c>
      <c r="C108" s="63" t="s">
        <v>463</v>
      </c>
      <c r="D108" s="63" t="s">
        <v>1026</v>
      </c>
      <c r="E108" s="10" t="s">
        <v>475</v>
      </c>
      <c r="F108" s="64" t="s">
        <v>15</v>
      </c>
      <c r="G108" s="63"/>
      <c r="I108" s="64"/>
      <c r="J108" s="63"/>
      <c r="L108" s="64"/>
      <c r="M108" s="63"/>
      <c r="O108" s="64"/>
      <c r="P108" s="78" t="s">
        <v>1027</v>
      </c>
      <c r="Q108" s="10" t="s">
        <v>721</v>
      </c>
      <c r="R108" s="210" t="s">
        <v>1027</v>
      </c>
      <c r="S108" s="211" t="s">
        <v>721</v>
      </c>
      <c r="U108" s="64"/>
      <c r="W108" s="64"/>
    </row>
    <row r="109" spans="1:23" ht="30" customHeight="1" outlineLevel="1" x14ac:dyDescent="0.25">
      <c r="A109" s="322" t="s">
        <v>1028</v>
      </c>
      <c r="B109" s="322"/>
      <c r="C109" s="63" t="s">
        <v>991</v>
      </c>
      <c r="D109" s="63" t="s">
        <v>15</v>
      </c>
      <c r="F109" s="64" t="s">
        <v>15</v>
      </c>
      <c r="G109" s="63"/>
      <c r="I109" s="64"/>
      <c r="J109" s="63"/>
      <c r="L109" s="64"/>
      <c r="M109" s="63"/>
      <c r="O109" s="64"/>
      <c r="P109" s="78" t="s">
        <v>1029</v>
      </c>
      <c r="Q109" s="10" t="s">
        <v>670</v>
      </c>
      <c r="R109" s="210" t="s">
        <v>1029</v>
      </c>
      <c r="S109" s="211" t="s">
        <v>670</v>
      </c>
      <c r="U109" s="64"/>
      <c r="W109" s="64"/>
    </row>
    <row r="110" spans="1:23" ht="30" customHeight="1" outlineLevel="1" x14ac:dyDescent="0.25">
      <c r="A110" s="322" t="s">
        <v>1030</v>
      </c>
      <c r="B110" s="322" t="s">
        <v>1031</v>
      </c>
      <c r="C110" s="63" t="s">
        <v>463</v>
      </c>
      <c r="D110" s="63" t="s">
        <v>1032</v>
      </c>
      <c r="E110" s="10" t="s">
        <v>536</v>
      </c>
      <c r="F110" s="64" t="s">
        <v>15</v>
      </c>
      <c r="G110" s="63"/>
      <c r="I110" s="64"/>
      <c r="J110" s="63"/>
      <c r="L110" s="64"/>
      <c r="M110" s="63"/>
      <c r="O110" s="64"/>
      <c r="P110" s="78" t="s">
        <v>1033</v>
      </c>
      <c r="Q110" s="10" t="s">
        <v>721</v>
      </c>
      <c r="R110" s="210" t="s">
        <v>1033</v>
      </c>
      <c r="S110" s="211" t="s">
        <v>721</v>
      </c>
      <c r="U110" s="64"/>
      <c r="W110" s="64"/>
    </row>
    <row r="111" spans="1:23" ht="30" customHeight="1" outlineLevel="1" x14ac:dyDescent="0.25">
      <c r="A111" s="322" t="s">
        <v>1034</v>
      </c>
      <c r="B111" s="322"/>
      <c r="C111" s="63" t="s">
        <v>991</v>
      </c>
      <c r="D111" s="63" t="s">
        <v>15</v>
      </c>
      <c r="F111" s="64" t="s">
        <v>15</v>
      </c>
      <c r="G111" s="63"/>
      <c r="I111" s="64"/>
      <c r="J111" s="63"/>
      <c r="L111" s="64"/>
      <c r="M111" s="63"/>
      <c r="O111" s="64"/>
      <c r="P111" s="78" t="s">
        <v>1035</v>
      </c>
      <c r="Q111" s="10" t="s">
        <v>539</v>
      </c>
      <c r="R111" s="210" t="s">
        <v>1035</v>
      </c>
      <c r="S111" s="211" t="s">
        <v>539</v>
      </c>
      <c r="U111" s="64"/>
      <c r="W111" s="64"/>
    </row>
    <row r="112" spans="1:23" ht="30" customHeight="1" outlineLevel="1" x14ac:dyDescent="0.25">
      <c r="A112" s="322" t="s">
        <v>1036</v>
      </c>
      <c r="B112" s="322" t="s">
        <v>1037</v>
      </c>
      <c r="C112" s="63" t="s">
        <v>463</v>
      </c>
      <c r="D112" s="63" t="s">
        <v>1038</v>
      </c>
      <c r="E112" s="10" t="s">
        <v>536</v>
      </c>
      <c r="F112" s="64" t="s">
        <v>15</v>
      </c>
      <c r="G112" s="63"/>
      <c r="I112" s="64"/>
      <c r="J112" s="63"/>
      <c r="L112" s="64"/>
      <c r="M112" s="63"/>
      <c r="O112" s="64"/>
      <c r="P112" s="78" t="s">
        <v>1039</v>
      </c>
      <c r="Q112" s="10" t="s">
        <v>1040</v>
      </c>
      <c r="R112" s="210" t="s">
        <v>1039</v>
      </c>
      <c r="S112" s="211" t="s">
        <v>1040</v>
      </c>
      <c r="U112" s="64"/>
      <c r="W112" s="64"/>
    </row>
    <row r="113" spans="1:23" ht="30" customHeight="1" outlineLevel="1" x14ac:dyDescent="0.25">
      <c r="A113" s="322" t="s">
        <v>1041</v>
      </c>
      <c r="B113" s="322"/>
      <c r="C113" s="63" t="s">
        <v>991</v>
      </c>
      <c r="D113" s="63" t="s">
        <v>15</v>
      </c>
      <c r="F113" s="64" t="s">
        <v>15</v>
      </c>
      <c r="G113" s="63"/>
      <c r="I113" s="64"/>
      <c r="J113" s="63"/>
      <c r="L113" s="64"/>
      <c r="M113" s="63"/>
      <c r="O113" s="64"/>
      <c r="P113" s="78" t="s">
        <v>1042</v>
      </c>
      <c r="Q113" s="10" t="s">
        <v>751</v>
      </c>
      <c r="R113" s="210" t="s">
        <v>1042</v>
      </c>
      <c r="S113" s="211" t="s">
        <v>751</v>
      </c>
      <c r="U113" s="64"/>
      <c r="W113" s="64"/>
    </row>
    <row r="114" spans="1:23" ht="30" customHeight="1" outlineLevel="1" x14ac:dyDescent="0.25">
      <c r="A114" s="322" t="s">
        <v>1043</v>
      </c>
      <c r="B114" s="322" t="s">
        <v>1044</v>
      </c>
      <c r="C114" s="63" t="s">
        <v>463</v>
      </c>
      <c r="D114" s="63" t="s">
        <v>1045</v>
      </c>
      <c r="E114" s="10" t="s">
        <v>483</v>
      </c>
      <c r="F114" s="64" t="s">
        <v>15</v>
      </c>
      <c r="G114" s="63"/>
      <c r="I114" s="64"/>
      <c r="J114" s="63"/>
      <c r="L114" s="64"/>
      <c r="M114" s="63"/>
      <c r="O114" s="64"/>
      <c r="P114" s="78" t="s">
        <v>1046</v>
      </c>
      <c r="Q114" s="10" t="s">
        <v>721</v>
      </c>
      <c r="R114" s="210" t="s">
        <v>1046</v>
      </c>
      <c r="S114" s="211" t="s">
        <v>721</v>
      </c>
      <c r="U114" s="64"/>
      <c r="W114" s="64"/>
    </row>
    <row r="115" spans="1:23" ht="30" customHeight="1" outlineLevel="1" x14ac:dyDescent="0.25">
      <c r="A115" s="322" t="s">
        <v>1047</v>
      </c>
      <c r="B115" s="322"/>
      <c r="C115" s="63" t="s">
        <v>991</v>
      </c>
      <c r="D115" s="63" t="s">
        <v>15</v>
      </c>
      <c r="F115" s="64" t="s">
        <v>15</v>
      </c>
      <c r="G115" s="63"/>
      <c r="I115" s="64"/>
      <c r="J115" s="63"/>
      <c r="L115" s="64"/>
      <c r="M115" s="63"/>
      <c r="O115" s="64"/>
      <c r="P115" s="78" t="s">
        <v>1048</v>
      </c>
      <c r="Q115" s="10" t="s">
        <v>505</v>
      </c>
      <c r="R115" s="210" t="s">
        <v>1048</v>
      </c>
      <c r="S115" s="211" t="s">
        <v>505</v>
      </c>
      <c r="U115" s="64"/>
      <c r="W115" s="64"/>
    </row>
    <row r="116" spans="1:23" ht="30" customHeight="1" outlineLevel="1" x14ac:dyDescent="0.25">
      <c r="A116" s="322" t="s">
        <v>1049</v>
      </c>
      <c r="B116" s="322" t="s">
        <v>1050</v>
      </c>
      <c r="C116" s="63" t="s">
        <v>463</v>
      </c>
      <c r="D116" s="63" t="s">
        <v>15</v>
      </c>
      <c r="F116" s="64" t="s">
        <v>15</v>
      </c>
      <c r="G116" s="63"/>
      <c r="I116" s="64"/>
      <c r="J116" s="63"/>
      <c r="L116" s="64"/>
      <c r="M116" s="63"/>
      <c r="O116" s="64"/>
      <c r="P116" s="78" t="s">
        <v>1051</v>
      </c>
      <c r="Q116" s="10" t="s">
        <v>505</v>
      </c>
      <c r="R116" s="210" t="s">
        <v>1051</v>
      </c>
      <c r="S116" s="211" t="s">
        <v>505</v>
      </c>
      <c r="U116" s="64"/>
      <c r="W116" s="64"/>
    </row>
    <row r="117" spans="1:23" ht="30" customHeight="1" outlineLevel="1" x14ac:dyDescent="0.25">
      <c r="A117" s="322" t="s">
        <v>1052</v>
      </c>
      <c r="B117" s="322"/>
      <c r="C117" s="63" t="s">
        <v>991</v>
      </c>
      <c r="D117" s="63" t="s">
        <v>15</v>
      </c>
      <c r="F117" s="64" t="s">
        <v>15</v>
      </c>
      <c r="G117" s="63"/>
      <c r="I117" s="64"/>
      <c r="J117" s="63"/>
      <c r="L117" s="64"/>
      <c r="M117" s="63"/>
      <c r="O117" s="64"/>
      <c r="P117" s="78" t="s">
        <v>1053</v>
      </c>
      <c r="Q117" s="10" t="s">
        <v>751</v>
      </c>
      <c r="R117" s="210" t="s">
        <v>1053</v>
      </c>
      <c r="S117" s="211" t="s">
        <v>751</v>
      </c>
      <c r="U117" s="64"/>
      <c r="W117" s="64"/>
    </row>
    <row r="118" spans="1:23" ht="30" customHeight="1" outlineLevel="1" x14ac:dyDescent="0.25">
      <c r="A118" s="322" t="s">
        <v>1054</v>
      </c>
      <c r="B118" s="322" t="s">
        <v>1055</v>
      </c>
      <c r="C118" s="63" t="s">
        <v>463</v>
      </c>
      <c r="D118" s="63" t="s">
        <v>1056</v>
      </c>
      <c r="E118" s="10" t="s">
        <v>483</v>
      </c>
      <c r="F118" s="64" t="s">
        <v>15</v>
      </c>
      <c r="G118" s="63"/>
      <c r="I118" s="64"/>
      <c r="J118" s="63"/>
      <c r="L118" s="64"/>
      <c r="M118" s="63"/>
      <c r="O118" s="64"/>
      <c r="P118" s="78" t="s">
        <v>1057</v>
      </c>
      <c r="Q118" s="10" t="s">
        <v>759</v>
      </c>
      <c r="R118" s="210" t="s">
        <v>1057</v>
      </c>
      <c r="S118" s="211" t="s">
        <v>759</v>
      </c>
      <c r="U118" s="64"/>
      <c r="W118" s="64"/>
    </row>
    <row r="119" spans="1:23" ht="30" customHeight="1" outlineLevel="1" x14ac:dyDescent="0.25">
      <c r="A119" s="322" t="s">
        <v>1058</v>
      </c>
      <c r="B119" s="322"/>
      <c r="C119" s="63" t="s">
        <v>991</v>
      </c>
      <c r="D119" s="63" t="s">
        <v>15</v>
      </c>
      <c r="F119" s="64" t="s">
        <v>15</v>
      </c>
      <c r="G119" s="63"/>
      <c r="I119" s="64"/>
      <c r="J119" s="63"/>
      <c r="L119" s="64"/>
      <c r="M119" s="63"/>
      <c r="O119" s="64"/>
      <c r="P119" s="78" t="s">
        <v>1059</v>
      </c>
      <c r="Q119" s="10" t="s">
        <v>505</v>
      </c>
      <c r="R119" s="210" t="s">
        <v>1059</v>
      </c>
      <c r="S119" s="211" t="s">
        <v>505</v>
      </c>
      <c r="U119" s="64"/>
      <c r="W119" s="64"/>
    </row>
    <row r="120" spans="1:23" ht="30" customHeight="1" outlineLevel="1" x14ac:dyDescent="0.25">
      <c r="A120" s="322" t="s">
        <v>1060</v>
      </c>
      <c r="B120" s="322" t="s">
        <v>1061</v>
      </c>
      <c r="C120" s="63" t="s">
        <v>463</v>
      </c>
      <c r="D120" s="63" t="s">
        <v>1062</v>
      </c>
      <c r="E120" s="10" t="s">
        <v>483</v>
      </c>
      <c r="F120" s="64" t="s">
        <v>15</v>
      </c>
      <c r="G120" s="63"/>
      <c r="I120" s="64"/>
      <c r="J120" s="63"/>
      <c r="L120" s="64"/>
      <c r="M120" s="63"/>
      <c r="O120" s="64"/>
      <c r="P120" s="78" t="s">
        <v>1063</v>
      </c>
      <c r="Q120" s="10" t="s">
        <v>759</v>
      </c>
      <c r="R120" s="210" t="s">
        <v>1063</v>
      </c>
      <c r="S120" s="211" t="s">
        <v>759</v>
      </c>
      <c r="U120" s="64"/>
      <c r="W120" s="64"/>
    </row>
    <row r="121" spans="1:23" ht="30" customHeight="1" outlineLevel="1" x14ac:dyDescent="0.25">
      <c r="A121" s="322" t="s">
        <v>1064</v>
      </c>
      <c r="B121" s="322"/>
      <c r="C121" s="63" t="s">
        <v>991</v>
      </c>
      <c r="D121" s="63" t="s">
        <v>15</v>
      </c>
      <c r="F121" s="64" t="s">
        <v>15</v>
      </c>
      <c r="G121" s="63"/>
      <c r="I121" s="64"/>
      <c r="J121" s="63"/>
      <c r="L121" s="64"/>
      <c r="M121" s="63"/>
      <c r="O121" s="64"/>
      <c r="P121" s="78" t="s">
        <v>1065</v>
      </c>
      <c r="Q121" s="10" t="s">
        <v>539</v>
      </c>
      <c r="R121" s="210" t="s">
        <v>1065</v>
      </c>
      <c r="S121" s="211" t="s">
        <v>539</v>
      </c>
      <c r="U121" s="64"/>
      <c r="W121" s="64"/>
    </row>
    <row r="122" spans="1:23" ht="30" customHeight="1" outlineLevel="1" x14ac:dyDescent="0.25">
      <c r="A122" s="322" t="s">
        <v>1066</v>
      </c>
      <c r="B122" s="322" t="s">
        <v>1067</v>
      </c>
      <c r="C122" s="63" t="s">
        <v>463</v>
      </c>
      <c r="D122" s="63" t="s">
        <v>15</v>
      </c>
      <c r="F122" s="64" t="s">
        <v>15</v>
      </c>
      <c r="G122" s="63"/>
      <c r="I122" s="64"/>
      <c r="J122" s="63"/>
      <c r="L122" s="64"/>
      <c r="M122" s="63"/>
      <c r="O122" s="64"/>
      <c r="P122" s="78" t="s">
        <v>1068</v>
      </c>
      <c r="Q122" s="10" t="s">
        <v>505</v>
      </c>
      <c r="R122" s="210" t="s">
        <v>1068</v>
      </c>
      <c r="S122" s="211" t="s">
        <v>505</v>
      </c>
      <c r="U122" s="64"/>
      <c r="W122" s="64"/>
    </row>
    <row r="123" spans="1:23" ht="30" customHeight="1" outlineLevel="1" x14ac:dyDescent="0.25">
      <c r="A123" s="322" t="s">
        <v>1069</v>
      </c>
      <c r="B123" s="322"/>
      <c r="C123" s="63" t="s">
        <v>991</v>
      </c>
      <c r="D123" s="63" t="s">
        <v>15</v>
      </c>
      <c r="F123" s="64" t="s">
        <v>15</v>
      </c>
      <c r="G123" s="63"/>
      <c r="I123" s="64"/>
      <c r="J123" s="63"/>
      <c r="L123" s="64"/>
      <c r="M123" s="63"/>
      <c r="O123" s="64"/>
      <c r="P123" s="78" t="s">
        <v>1070</v>
      </c>
      <c r="Q123" s="10" t="s">
        <v>539</v>
      </c>
      <c r="R123" s="210" t="s">
        <v>1070</v>
      </c>
      <c r="S123" s="211" t="s">
        <v>539</v>
      </c>
      <c r="U123" s="64"/>
      <c r="W123" s="64"/>
    </row>
    <row r="124" spans="1:23" x14ac:dyDescent="0.25">
      <c r="A124" s="323" t="s">
        <v>1071</v>
      </c>
      <c r="B124" s="323"/>
      <c r="C124" s="113"/>
      <c r="D124" s="68"/>
      <c r="E124" s="223"/>
      <c r="F124" s="69"/>
      <c r="G124" s="68"/>
      <c r="H124" s="223"/>
      <c r="I124" s="69"/>
      <c r="J124" s="68"/>
      <c r="K124" s="223"/>
      <c r="L124" s="69"/>
      <c r="M124" s="68"/>
      <c r="N124" s="223"/>
      <c r="O124" s="69"/>
      <c r="P124" s="223"/>
      <c r="Q124" s="223"/>
      <c r="R124" s="68"/>
      <c r="S124" s="69"/>
      <c r="T124" s="223"/>
      <c r="U124" s="69"/>
      <c r="V124" s="223"/>
      <c r="W124" s="69"/>
    </row>
    <row r="125" spans="1:23" ht="30" customHeight="1" outlineLevel="1" x14ac:dyDescent="0.25">
      <c r="A125" s="322" t="s">
        <v>1072</v>
      </c>
      <c r="B125" s="322" t="str">
        <f t="shared" ref="B125:B130" si="0">CONCATENATE("GVN_",A125)</f>
        <v>GVN_Train Performances</v>
      </c>
      <c r="C125" s="63" t="s">
        <v>463</v>
      </c>
      <c r="D125" s="63"/>
      <c r="F125" s="64"/>
      <c r="G125" s="63"/>
      <c r="I125" s="64"/>
      <c r="J125" s="63"/>
      <c r="L125" s="64"/>
      <c r="M125" s="63"/>
      <c r="O125" s="64"/>
      <c r="P125" s="78" t="s">
        <v>1073</v>
      </c>
      <c r="Q125" s="79" t="s">
        <v>489</v>
      </c>
      <c r="R125" s="63" t="s">
        <v>1073</v>
      </c>
      <c r="S125" s="71" t="s">
        <v>489</v>
      </c>
      <c r="U125" s="64"/>
      <c r="W125" s="64"/>
    </row>
    <row r="126" spans="1:23" ht="30" customHeight="1" outlineLevel="1" x14ac:dyDescent="0.25">
      <c r="A126" s="322" t="s">
        <v>1074</v>
      </c>
      <c r="B126" s="322" t="str">
        <f t="shared" si="0"/>
        <v>GVN_Train System Architecture</v>
      </c>
      <c r="C126" s="63" t="s">
        <v>463</v>
      </c>
      <c r="D126" s="63"/>
      <c r="F126" s="64"/>
      <c r="G126" s="63"/>
      <c r="I126" s="64"/>
      <c r="J126" s="63"/>
      <c r="L126" s="64"/>
      <c r="M126" s="63"/>
      <c r="O126" s="64"/>
      <c r="P126" s="78" t="s">
        <v>1075</v>
      </c>
      <c r="Q126" s="79" t="s">
        <v>505</v>
      </c>
      <c r="R126" s="63" t="s">
        <v>1075</v>
      </c>
      <c r="S126" s="71" t="s">
        <v>505</v>
      </c>
      <c r="U126" s="64"/>
      <c r="W126" s="64"/>
    </row>
    <row r="127" spans="1:23" ht="30" customHeight="1" outlineLevel="1" x14ac:dyDescent="0.25">
      <c r="A127" s="322" t="s">
        <v>1076</v>
      </c>
      <c r="B127" s="322" t="str">
        <f t="shared" si="0"/>
        <v>GVN_Train Running Simulations</v>
      </c>
      <c r="C127" s="63" t="s">
        <v>463</v>
      </c>
      <c r="D127" s="63"/>
      <c r="F127" s="64"/>
      <c r="G127" s="63"/>
      <c r="I127" s="64"/>
      <c r="J127" s="63"/>
      <c r="L127" s="64"/>
      <c r="M127" s="63"/>
      <c r="O127" s="64"/>
      <c r="P127" s="78" t="s">
        <v>1077</v>
      </c>
      <c r="Q127" s="79" t="s">
        <v>505</v>
      </c>
      <c r="R127" s="63" t="s">
        <v>1077</v>
      </c>
      <c r="S127" s="71" t="s">
        <v>505</v>
      </c>
      <c r="U127" s="64"/>
      <c r="W127" s="64"/>
    </row>
    <row r="128" spans="1:23" ht="30" customHeight="1" outlineLevel="1" x14ac:dyDescent="0.25">
      <c r="A128" s="322" t="s">
        <v>1078</v>
      </c>
      <c r="B128" s="322" t="str">
        <f t="shared" si="0"/>
        <v>GVN_SyFD Propulsion System</v>
      </c>
      <c r="C128" s="63" t="s">
        <v>463</v>
      </c>
      <c r="D128" s="63"/>
      <c r="F128" s="64"/>
      <c r="G128" s="63"/>
      <c r="I128" s="64"/>
      <c r="J128" s="63"/>
      <c r="L128" s="64"/>
      <c r="M128" s="63"/>
      <c r="O128" s="64"/>
      <c r="P128" s="78" t="s">
        <v>1079</v>
      </c>
      <c r="Q128" s="79" t="s">
        <v>759</v>
      </c>
      <c r="R128" s="63" t="s">
        <v>1079</v>
      </c>
      <c r="S128" s="71" t="s">
        <v>759</v>
      </c>
      <c r="U128" s="64"/>
      <c r="W128" s="64"/>
    </row>
    <row r="129" spans="1:23" ht="30" customHeight="1" outlineLevel="1" x14ac:dyDescent="0.25">
      <c r="A129" s="322" t="s">
        <v>1080</v>
      </c>
      <c r="B129" s="322" t="str">
        <f t="shared" si="0"/>
        <v>GVN_SyFD Train Control and Management System</v>
      </c>
      <c r="C129" s="63" t="s">
        <v>463</v>
      </c>
      <c r="D129" s="63"/>
      <c r="F129" s="64"/>
      <c r="G129" s="63"/>
      <c r="I129" s="64"/>
      <c r="J129" s="63"/>
      <c r="L129" s="64"/>
      <c r="M129" s="63"/>
      <c r="O129" s="64"/>
      <c r="P129" s="78" t="s">
        <v>1081</v>
      </c>
      <c r="Q129" s="79" t="s">
        <v>1082</v>
      </c>
      <c r="R129" s="63" t="s">
        <v>1081</v>
      </c>
      <c r="S129" s="71" t="s">
        <v>1082</v>
      </c>
      <c r="U129" s="64"/>
      <c r="W129" s="64"/>
    </row>
    <row r="130" spans="1:23" ht="30" customHeight="1" outlineLevel="1" x14ac:dyDescent="0.25">
      <c r="A130" s="327" t="s">
        <v>1083</v>
      </c>
      <c r="B130" s="327" t="str">
        <f t="shared" si="0"/>
        <v>GVN_SyFD Ethernet Train Communication Network</v>
      </c>
      <c r="C130" s="182" t="s">
        <v>463</v>
      </c>
      <c r="D130" s="182"/>
      <c r="E130" s="66"/>
      <c r="F130" s="65"/>
      <c r="G130" s="182"/>
      <c r="H130" s="66"/>
      <c r="I130" s="65"/>
      <c r="J130" s="182"/>
      <c r="K130" s="66"/>
      <c r="L130" s="65"/>
      <c r="M130" s="182"/>
      <c r="N130" s="66"/>
      <c r="O130" s="65"/>
      <c r="P130" s="90" t="s">
        <v>1084</v>
      </c>
      <c r="Q130" s="89" t="s">
        <v>539</v>
      </c>
      <c r="R130" s="182" t="s">
        <v>1084</v>
      </c>
      <c r="S130" s="98" t="s">
        <v>539</v>
      </c>
      <c r="T130" s="66"/>
      <c r="U130" s="65"/>
      <c r="V130" s="66"/>
      <c r="W130" s="65"/>
    </row>
  </sheetData>
  <mergeCells count="19">
    <mergeCell ref="A1:A3"/>
    <mergeCell ref="J2:L2"/>
    <mergeCell ref="T2:U2"/>
    <mergeCell ref="T1:U1"/>
    <mergeCell ref="D1:F1"/>
    <mergeCell ref="G2:I2"/>
    <mergeCell ref="J1:L1"/>
    <mergeCell ref="B1:B3"/>
    <mergeCell ref="C1:C3"/>
    <mergeCell ref="R2:S2"/>
    <mergeCell ref="M1:O1"/>
    <mergeCell ref="M2:O2"/>
    <mergeCell ref="R1:S1"/>
    <mergeCell ref="D2:F2"/>
    <mergeCell ref="V2:W2"/>
    <mergeCell ref="P1:Q1"/>
    <mergeCell ref="V1:W1"/>
    <mergeCell ref="P2:Q2"/>
    <mergeCell ref="G1:I1"/>
  </mergeCells>
  <pageMargins left="0.7" right="0.7" top="0.75" bottom="0.75" header="0.3" footer="0.3"/>
  <pageSetup paperSize="9" orientation="portrait" verticalDpi="12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T36"/>
  <sheetViews>
    <sheetView zoomScale="85" zoomScaleNormal="85" workbookViewId="0">
      <pane xSplit="5" ySplit="2" topLeftCell="L3" activePane="bottomRight" state="frozen"/>
      <selection pane="topRight" activeCell="F1" sqref="F1"/>
      <selection pane="bottomLeft" activeCell="B4" sqref="B4"/>
      <selection pane="bottomRight" activeCell="L21" sqref="L21"/>
    </sheetView>
  </sheetViews>
  <sheetFormatPr defaultColWidth="8.7109375" defaultRowHeight="15" x14ac:dyDescent="0.25"/>
  <cols>
    <col min="1" max="1" width="36.5703125" style="62" customWidth="1"/>
    <col min="2" max="2" width="34.85546875" style="62" bestFit="1" customWidth="1"/>
    <col min="3" max="3" width="8.42578125" style="10" bestFit="1" customWidth="1"/>
    <col min="4" max="4" width="17.5703125" style="10" customWidth="1"/>
    <col min="5" max="5" width="4.42578125" style="10" bestFit="1" customWidth="1"/>
    <col min="6" max="6" width="17.5703125" style="10" customWidth="1"/>
    <col min="7" max="7" width="4.7109375" style="10" bestFit="1" customWidth="1"/>
    <col min="8" max="8" width="17.5703125" style="10" customWidth="1"/>
    <col min="9" max="9" width="4.7109375" style="10" bestFit="1" customWidth="1"/>
    <col min="10" max="10" width="17.5703125" style="10" customWidth="1"/>
    <col min="11" max="11" width="4.42578125" style="10" bestFit="1" customWidth="1"/>
    <col min="12" max="12" width="17.140625" style="10" customWidth="1"/>
    <col min="13" max="13" width="5.140625" style="10" customWidth="1"/>
    <col min="14" max="14" width="15.42578125" style="10" customWidth="1"/>
    <col min="15" max="15" width="4.42578125" style="10" customWidth="1"/>
    <col min="16" max="16" width="6.5703125" style="10" bestFit="1" customWidth="1"/>
    <col min="17" max="17" width="6.5703125" style="10" customWidth="1"/>
    <col min="18" max="18" width="6.5703125" style="10" bestFit="1" customWidth="1"/>
    <col min="19" max="19" width="6.5703125" style="10" customWidth="1"/>
    <col min="20" max="34" width="8.7109375" style="59" customWidth="1"/>
    <col min="35" max="16384" width="8.7109375" style="59"/>
  </cols>
  <sheetData>
    <row r="1" spans="1:19" s="61" customFormat="1" ht="26.45" customHeight="1" x14ac:dyDescent="0.25">
      <c r="A1" s="440" t="s">
        <v>447</v>
      </c>
      <c r="B1" s="449" t="s">
        <v>3</v>
      </c>
      <c r="C1" s="440" t="s">
        <v>419</v>
      </c>
      <c r="D1" s="448" t="s">
        <v>5</v>
      </c>
      <c r="E1" s="439"/>
      <c r="F1" s="437" t="s">
        <v>6</v>
      </c>
      <c r="G1" s="436"/>
      <c r="H1" s="448" t="s">
        <v>7</v>
      </c>
      <c r="I1" s="439"/>
      <c r="J1" s="437" t="s">
        <v>8</v>
      </c>
      <c r="K1" s="436"/>
      <c r="L1" s="448" t="s">
        <v>9</v>
      </c>
      <c r="M1" s="439"/>
      <c r="N1" s="437" t="s">
        <v>10</v>
      </c>
      <c r="O1" s="436"/>
      <c r="P1" s="448" t="s">
        <v>11</v>
      </c>
      <c r="Q1" s="439"/>
      <c r="R1" s="437" t="s">
        <v>448</v>
      </c>
      <c r="S1" s="436"/>
    </row>
    <row r="2" spans="1:19" s="61" customFormat="1" ht="26.45" customHeight="1" x14ac:dyDescent="0.25">
      <c r="A2" s="442"/>
      <c r="B2" s="450"/>
      <c r="C2" s="442"/>
      <c r="D2" s="183" t="s">
        <v>457</v>
      </c>
      <c r="E2" s="183" t="s">
        <v>360</v>
      </c>
      <c r="F2" s="185" t="s">
        <v>457</v>
      </c>
      <c r="G2" s="186" t="s">
        <v>360</v>
      </c>
      <c r="H2" s="183" t="s">
        <v>457</v>
      </c>
      <c r="I2" s="183" t="s">
        <v>360</v>
      </c>
      <c r="J2" s="185" t="s">
        <v>457</v>
      </c>
      <c r="K2" s="186" t="s">
        <v>360</v>
      </c>
      <c r="L2" s="170" t="s">
        <v>459</v>
      </c>
      <c r="M2" s="170" t="s">
        <v>360</v>
      </c>
      <c r="N2" s="189" t="s">
        <v>459</v>
      </c>
      <c r="O2" s="91" t="s">
        <v>360</v>
      </c>
      <c r="P2" s="183" t="s">
        <v>459</v>
      </c>
      <c r="Q2" s="183" t="s">
        <v>360</v>
      </c>
      <c r="R2" s="185" t="s">
        <v>459</v>
      </c>
      <c r="S2" s="186" t="s">
        <v>360</v>
      </c>
    </row>
    <row r="3" spans="1:19" x14ac:dyDescent="0.25">
      <c r="A3" s="244" t="s">
        <v>1085</v>
      </c>
      <c r="B3" s="177"/>
      <c r="C3" s="184"/>
      <c r="D3" s="178"/>
      <c r="E3" s="178"/>
      <c r="F3" s="187"/>
      <c r="G3" s="188"/>
      <c r="H3" s="178"/>
      <c r="I3" s="178"/>
      <c r="J3" s="187"/>
      <c r="K3" s="188"/>
      <c r="L3" s="178"/>
      <c r="M3" s="178"/>
      <c r="N3" s="187"/>
      <c r="O3" s="188"/>
      <c r="P3" s="178"/>
      <c r="Q3" s="178"/>
      <c r="R3" s="187"/>
      <c r="S3" s="188"/>
    </row>
    <row r="4" spans="1:19" ht="30" customHeight="1" x14ac:dyDescent="0.25">
      <c r="A4" s="62" t="s">
        <v>1086</v>
      </c>
      <c r="B4" s="62" t="s">
        <v>30</v>
      </c>
      <c r="C4" s="328" t="s">
        <v>463</v>
      </c>
      <c r="D4" s="10" t="s">
        <v>1087</v>
      </c>
      <c r="E4" s="10" t="s">
        <v>706</v>
      </c>
      <c r="F4" s="63" t="s">
        <v>1088</v>
      </c>
      <c r="G4" s="64" t="s">
        <v>485</v>
      </c>
      <c r="J4" s="63"/>
      <c r="K4" s="64"/>
      <c r="L4" s="10" t="s">
        <v>1089</v>
      </c>
      <c r="M4" s="10" t="s">
        <v>1090</v>
      </c>
      <c r="N4" s="63"/>
      <c r="O4" s="64"/>
      <c r="R4" s="63"/>
      <c r="S4" s="64"/>
    </row>
    <row r="5" spans="1:19" x14ac:dyDescent="0.25">
      <c r="A5" s="62" t="s">
        <v>1091</v>
      </c>
      <c r="B5" s="62" t="s">
        <v>1092</v>
      </c>
      <c r="C5" s="328" t="s">
        <v>463</v>
      </c>
      <c r="D5" s="10" t="s">
        <v>1093</v>
      </c>
      <c r="E5" s="10" t="s">
        <v>1094</v>
      </c>
      <c r="F5" s="63"/>
      <c r="G5" s="64"/>
      <c r="J5" s="63"/>
      <c r="K5" s="64"/>
      <c r="N5" s="63"/>
      <c r="O5" s="64"/>
      <c r="R5" s="63"/>
      <c r="S5" s="64"/>
    </row>
    <row r="6" spans="1:19" x14ac:dyDescent="0.25">
      <c r="A6" s="62" t="s">
        <v>525</v>
      </c>
      <c r="B6" s="62" t="s">
        <v>1095</v>
      </c>
      <c r="C6" s="328" t="s">
        <v>463</v>
      </c>
      <c r="D6" s="10" t="s">
        <v>1096</v>
      </c>
      <c r="E6" s="10" t="s">
        <v>485</v>
      </c>
      <c r="F6" s="63"/>
      <c r="G6" s="64"/>
      <c r="J6" s="63"/>
      <c r="K6" s="64"/>
      <c r="N6" s="63"/>
      <c r="O6" s="64"/>
      <c r="R6" s="63"/>
      <c r="S6" s="64"/>
    </row>
    <row r="7" spans="1:19" x14ac:dyDescent="0.25">
      <c r="A7" s="62" t="s">
        <v>1097</v>
      </c>
      <c r="B7" s="62" t="s">
        <v>1098</v>
      </c>
      <c r="C7" s="328" t="s">
        <v>463</v>
      </c>
      <c r="D7" s="10" t="s">
        <v>1099</v>
      </c>
      <c r="E7" s="10" t="s">
        <v>483</v>
      </c>
      <c r="F7" s="63"/>
      <c r="G7" s="64"/>
      <c r="J7" s="63"/>
      <c r="K7" s="64"/>
      <c r="N7" s="63"/>
      <c r="O7" s="64"/>
      <c r="R7" s="63"/>
      <c r="S7" s="64"/>
    </row>
    <row r="8" spans="1:19" x14ac:dyDescent="0.25">
      <c r="A8" s="62" t="s">
        <v>1100</v>
      </c>
      <c r="B8" s="62" t="s">
        <v>1101</v>
      </c>
      <c r="C8" s="328" t="s">
        <v>463</v>
      </c>
      <c r="D8" s="10" t="s">
        <v>1102</v>
      </c>
      <c r="E8" s="10" t="s">
        <v>483</v>
      </c>
      <c r="F8" s="63"/>
      <c r="G8" s="64"/>
      <c r="J8" s="63"/>
      <c r="K8" s="64"/>
      <c r="N8" s="63"/>
      <c r="O8" s="64"/>
      <c r="R8" s="63"/>
      <c r="S8" s="64"/>
    </row>
    <row r="9" spans="1:19" x14ac:dyDescent="0.25">
      <c r="A9" s="62" t="s">
        <v>1103</v>
      </c>
      <c r="B9" s="62" t="s">
        <v>1104</v>
      </c>
      <c r="C9" s="328" t="s">
        <v>463</v>
      </c>
      <c r="D9" s="10" t="s">
        <v>1105</v>
      </c>
      <c r="E9" s="10" t="s">
        <v>483</v>
      </c>
      <c r="F9" s="63"/>
      <c r="G9" s="64"/>
      <c r="J9" s="63"/>
      <c r="K9" s="64"/>
      <c r="N9" s="63"/>
      <c r="O9" s="64"/>
      <c r="R9" s="63"/>
      <c r="S9" s="64"/>
    </row>
    <row r="10" spans="1:19" x14ac:dyDescent="0.25">
      <c r="A10" s="62" t="s">
        <v>1106</v>
      </c>
      <c r="B10" s="62" t="s">
        <v>1107</v>
      </c>
      <c r="C10" s="328" t="s">
        <v>463</v>
      </c>
      <c r="D10" s="10" t="s">
        <v>1108</v>
      </c>
      <c r="E10" s="10" t="s">
        <v>475</v>
      </c>
      <c r="F10" s="63"/>
      <c r="G10" s="64"/>
      <c r="J10" s="63"/>
      <c r="K10" s="64"/>
      <c r="N10" s="63"/>
      <c r="O10" s="64"/>
      <c r="R10" s="63"/>
      <c r="S10" s="64"/>
    </row>
    <row r="11" spans="1:19" x14ac:dyDescent="0.25">
      <c r="A11" s="62" t="s">
        <v>1109</v>
      </c>
      <c r="B11" s="62" t="s">
        <v>1110</v>
      </c>
      <c r="C11" s="328" t="s">
        <v>463</v>
      </c>
      <c r="D11" s="10" t="s">
        <v>1111</v>
      </c>
      <c r="E11" s="10" t="s">
        <v>824</v>
      </c>
      <c r="F11" s="63"/>
      <c r="G11" s="64"/>
      <c r="J11" s="63"/>
      <c r="K11" s="64"/>
      <c r="N11" s="63"/>
      <c r="O11" s="64"/>
      <c r="R11" s="63"/>
      <c r="S11" s="64"/>
    </row>
    <row r="12" spans="1:19" x14ac:dyDescent="0.25">
      <c r="A12" s="62" t="s">
        <v>1112</v>
      </c>
      <c r="B12" s="62" t="s">
        <v>1113</v>
      </c>
      <c r="C12" s="328" t="s">
        <v>463</v>
      </c>
      <c r="D12" s="10" t="s">
        <v>1114</v>
      </c>
      <c r="E12" s="10" t="s">
        <v>536</v>
      </c>
      <c r="F12" s="63"/>
      <c r="G12" s="64"/>
      <c r="J12" s="63"/>
      <c r="K12" s="64"/>
      <c r="N12" s="63"/>
      <c r="O12" s="64"/>
      <c r="R12" s="63"/>
      <c r="S12" s="64"/>
    </row>
    <row r="13" spans="1:19" x14ac:dyDescent="0.25">
      <c r="A13" s="62" t="s">
        <v>1115</v>
      </c>
      <c r="B13" s="62" t="s">
        <v>1116</v>
      </c>
      <c r="C13" s="328" t="s">
        <v>463</v>
      </c>
      <c r="D13" s="10" t="s">
        <v>1117</v>
      </c>
      <c r="E13" s="10" t="s">
        <v>483</v>
      </c>
      <c r="F13" s="63"/>
      <c r="G13" s="64"/>
      <c r="J13" s="63"/>
      <c r="K13" s="64"/>
      <c r="N13" s="63"/>
      <c r="O13" s="64"/>
      <c r="R13" s="63"/>
      <c r="S13" s="64"/>
    </row>
    <row r="14" spans="1:19" x14ac:dyDescent="0.25">
      <c r="A14" s="62" t="s">
        <v>1118</v>
      </c>
      <c r="B14" s="62" t="s">
        <v>1119</v>
      </c>
      <c r="C14" s="328" t="s">
        <v>463</v>
      </c>
      <c r="D14" s="10" t="s">
        <v>1120</v>
      </c>
      <c r="E14" s="10" t="s">
        <v>465</v>
      </c>
      <c r="F14" s="63"/>
      <c r="G14" s="64"/>
      <c r="J14" s="63"/>
      <c r="K14" s="64"/>
      <c r="N14" s="63"/>
      <c r="O14" s="64"/>
      <c r="R14" s="63"/>
      <c r="S14" s="64"/>
    </row>
    <row r="15" spans="1:19" x14ac:dyDescent="0.25">
      <c r="C15" s="328"/>
      <c r="F15" s="63"/>
      <c r="G15" s="64"/>
      <c r="J15" s="63"/>
      <c r="K15" s="64"/>
      <c r="N15" s="63"/>
      <c r="O15" s="64"/>
      <c r="R15" s="63"/>
      <c r="S15" s="64"/>
    </row>
    <row r="16" spans="1:19" x14ac:dyDescent="0.25">
      <c r="A16" s="244" t="s">
        <v>1121</v>
      </c>
      <c r="B16" s="177"/>
      <c r="C16" s="184"/>
      <c r="D16" s="178"/>
      <c r="E16" s="178"/>
      <c r="F16" s="187"/>
      <c r="G16" s="188"/>
      <c r="H16" s="178"/>
      <c r="I16" s="178"/>
      <c r="J16" s="187"/>
      <c r="K16" s="188"/>
      <c r="L16" s="178"/>
      <c r="M16" s="178"/>
      <c r="N16" s="187"/>
      <c r="O16" s="188"/>
      <c r="P16" s="178"/>
      <c r="Q16" s="178"/>
      <c r="R16" s="187"/>
      <c r="S16" s="188"/>
    </row>
    <row r="17" spans="1:20" x14ac:dyDescent="0.25">
      <c r="A17" s="62" t="s">
        <v>1122</v>
      </c>
      <c r="B17" s="62" t="s">
        <v>1123</v>
      </c>
      <c r="C17" s="328" t="s">
        <v>463</v>
      </c>
      <c r="D17" s="10" t="s">
        <v>1124</v>
      </c>
      <c r="E17" s="10" t="s">
        <v>475</v>
      </c>
      <c r="F17" s="63"/>
      <c r="G17" s="64"/>
      <c r="J17" s="63"/>
      <c r="K17" s="64"/>
      <c r="N17" s="63"/>
      <c r="O17" s="64"/>
      <c r="R17" s="63"/>
      <c r="S17" s="64"/>
    </row>
    <row r="18" spans="1:20" ht="30" customHeight="1" x14ac:dyDescent="0.25">
      <c r="A18" s="62" t="s">
        <v>1125</v>
      </c>
      <c r="B18" s="62" t="s">
        <v>1126</v>
      </c>
      <c r="C18" s="328" t="s">
        <v>463</v>
      </c>
      <c r="D18" s="10" t="s">
        <v>1127</v>
      </c>
      <c r="E18" s="10" t="s">
        <v>485</v>
      </c>
      <c r="F18" s="63"/>
      <c r="G18" s="64"/>
      <c r="J18" s="63"/>
      <c r="K18" s="64"/>
      <c r="N18" s="63"/>
      <c r="O18" s="64"/>
      <c r="R18" s="63"/>
      <c r="S18" s="64"/>
    </row>
    <row r="19" spans="1:20" ht="30" customHeight="1" x14ac:dyDescent="0.25">
      <c r="A19" s="62" t="s">
        <v>1128</v>
      </c>
      <c r="B19" s="62" t="s">
        <v>1129</v>
      </c>
      <c r="C19" s="328" t="s">
        <v>463</v>
      </c>
      <c r="D19" s="10" t="s">
        <v>1130</v>
      </c>
      <c r="E19" s="10" t="s">
        <v>475</v>
      </c>
      <c r="F19" s="63"/>
      <c r="G19" s="64"/>
      <c r="J19" s="63"/>
      <c r="K19" s="64"/>
      <c r="N19" s="63"/>
      <c r="O19" s="64"/>
      <c r="R19" s="63"/>
      <c r="S19" s="64"/>
    </row>
    <row r="20" spans="1:20" ht="30" customHeight="1" x14ac:dyDescent="0.25">
      <c r="A20" s="62" t="s">
        <v>1131</v>
      </c>
      <c r="B20" s="62" t="s">
        <v>1132</v>
      </c>
      <c r="C20" s="328" t="s">
        <v>463</v>
      </c>
      <c r="D20" s="10" t="s">
        <v>1133</v>
      </c>
      <c r="E20" s="10" t="s">
        <v>475</v>
      </c>
      <c r="F20" s="63"/>
      <c r="G20" s="64"/>
      <c r="J20" s="63"/>
      <c r="K20" s="64"/>
      <c r="N20" s="63"/>
      <c r="O20" s="64"/>
      <c r="R20" s="63"/>
      <c r="S20" s="64"/>
    </row>
    <row r="21" spans="1:20" ht="30" customHeight="1" x14ac:dyDescent="0.25">
      <c r="A21" s="62" t="s">
        <v>1134</v>
      </c>
      <c r="B21" s="62" t="s">
        <v>1135</v>
      </c>
      <c r="C21" s="328" t="s">
        <v>463</v>
      </c>
      <c r="D21" s="10" t="s">
        <v>1136</v>
      </c>
      <c r="E21" s="10" t="s">
        <v>475</v>
      </c>
      <c r="F21" s="63"/>
      <c r="G21" s="64"/>
      <c r="J21" s="63"/>
      <c r="K21" s="64"/>
      <c r="N21" s="63"/>
      <c r="O21" s="64"/>
      <c r="R21" s="63"/>
      <c r="S21" s="64"/>
    </row>
    <row r="22" spans="1:20" x14ac:dyDescent="0.25">
      <c r="A22" s="62" t="s">
        <v>1137</v>
      </c>
      <c r="B22" s="62" t="s">
        <v>1138</v>
      </c>
      <c r="C22" s="328" t="s">
        <v>463</v>
      </c>
      <c r="D22" s="10" t="s">
        <v>1139</v>
      </c>
      <c r="E22" s="10" t="s">
        <v>536</v>
      </c>
      <c r="F22" s="63"/>
      <c r="G22" s="64"/>
      <c r="J22" s="63"/>
      <c r="K22" s="64"/>
      <c r="N22" s="63"/>
      <c r="O22" s="64"/>
      <c r="R22" s="63"/>
      <c r="S22" s="64"/>
    </row>
    <row r="23" spans="1:20" x14ac:dyDescent="0.25">
      <c r="A23" s="62" t="s">
        <v>1140</v>
      </c>
      <c r="B23" s="62" t="s">
        <v>1141</v>
      </c>
      <c r="C23" s="328" t="s">
        <v>463</v>
      </c>
      <c r="D23" s="10" t="s">
        <v>1142</v>
      </c>
      <c r="E23" s="10" t="s">
        <v>1143</v>
      </c>
      <c r="F23" s="63"/>
      <c r="G23" s="64"/>
      <c r="J23" s="63"/>
      <c r="K23" s="64"/>
      <c r="N23" s="63"/>
      <c r="O23" s="64"/>
      <c r="R23" s="63"/>
      <c r="S23" s="64"/>
    </row>
    <row r="24" spans="1:20" x14ac:dyDescent="0.25">
      <c r="C24" s="328"/>
      <c r="F24" s="63"/>
      <c r="G24" s="64"/>
      <c r="J24" s="63"/>
      <c r="K24" s="64"/>
      <c r="N24" s="63"/>
      <c r="O24" s="64"/>
      <c r="R24" s="63"/>
      <c r="S24" s="64"/>
    </row>
    <row r="25" spans="1:20" x14ac:dyDescent="0.25">
      <c r="A25" s="244" t="s">
        <v>1144</v>
      </c>
      <c r="B25" s="177"/>
      <c r="C25" s="184"/>
      <c r="D25" s="178"/>
      <c r="E25" s="178"/>
      <c r="F25" s="187"/>
      <c r="G25" s="188"/>
      <c r="H25" s="178"/>
      <c r="I25" s="178"/>
      <c r="J25" s="187"/>
      <c r="K25" s="188"/>
      <c r="L25" s="178"/>
      <c r="M25" s="178"/>
      <c r="N25" s="187"/>
      <c r="O25" s="188"/>
      <c r="P25" s="178"/>
      <c r="Q25" s="178"/>
      <c r="R25" s="187"/>
      <c r="S25" s="188"/>
    </row>
    <row r="26" spans="1:20" x14ac:dyDescent="0.25">
      <c r="A26" s="62" t="s">
        <v>1145</v>
      </c>
      <c r="B26" s="62" t="s">
        <v>1146</v>
      </c>
      <c r="C26" s="328" t="s">
        <v>463</v>
      </c>
      <c r="D26" s="10" t="s">
        <v>1147</v>
      </c>
      <c r="E26" s="10" t="s">
        <v>483</v>
      </c>
      <c r="F26" s="63"/>
      <c r="G26" s="64"/>
      <c r="J26" s="63"/>
      <c r="K26" s="64"/>
      <c r="N26" s="63"/>
      <c r="O26" s="64"/>
      <c r="R26" s="63"/>
      <c r="S26" s="64"/>
    </row>
    <row r="27" spans="1:20" ht="30" customHeight="1" x14ac:dyDescent="0.25">
      <c r="A27" s="62" t="s">
        <v>1148</v>
      </c>
      <c r="B27" s="62" t="s">
        <v>1149</v>
      </c>
      <c r="C27" s="328" t="s">
        <v>463</v>
      </c>
      <c r="F27" s="63"/>
      <c r="G27" s="64"/>
      <c r="J27" s="63"/>
      <c r="K27" s="64"/>
      <c r="L27" s="10" t="s">
        <v>1150</v>
      </c>
      <c r="M27" s="94" t="s">
        <v>663</v>
      </c>
      <c r="N27" s="63"/>
      <c r="O27" s="64"/>
      <c r="P27" s="63"/>
      <c r="Q27" s="64"/>
      <c r="R27" s="63"/>
      <c r="S27" s="64"/>
      <c r="T27" s="212"/>
    </row>
    <row r="28" spans="1:20" ht="30" customHeight="1" x14ac:dyDescent="0.25">
      <c r="A28" s="62" t="s">
        <v>1151</v>
      </c>
      <c r="B28" s="62" t="s">
        <v>1152</v>
      </c>
      <c r="C28" s="328" t="s">
        <v>463</v>
      </c>
      <c r="F28" s="63"/>
      <c r="G28" s="64"/>
      <c r="J28" s="63"/>
      <c r="K28" s="64"/>
      <c r="L28" s="10" t="s">
        <v>1153</v>
      </c>
      <c r="M28" s="94" t="s">
        <v>747</v>
      </c>
      <c r="N28" s="63"/>
      <c r="O28" s="64"/>
      <c r="P28" s="63"/>
      <c r="Q28" s="64"/>
      <c r="R28" s="63"/>
      <c r="S28" s="64"/>
      <c r="T28" s="212"/>
    </row>
    <row r="29" spans="1:20" x14ac:dyDescent="0.25">
      <c r="A29" s="62" t="s">
        <v>1154</v>
      </c>
      <c r="B29" s="62" t="s">
        <v>1155</v>
      </c>
      <c r="C29" s="328" t="s">
        <v>463</v>
      </c>
      <c r="F29" s="63"/>
      <c r="G29" s="64"/>
      <c r="J29" s="63"/>
      <c r="K29" s="64"/>
      <c r="L29" s="10" t="s">
        <v>1156</v>
      </c>
      <c r="M29" s="64" t="s">
        <v>1082</v>
      </c>
      <c r="N29" s="63"/>
      <c r="O29" s="64"/>
      <c r="P29" s="63"/>
      <c r="Q29" s="64"/>
      <c r="R29" s="63"/>
      <c r="S29" s="64"/>
      <c r="T29" s="212"/>
    </row>
    <row r="30" spans="1:20" x14ac:dyDescent="0.25">
      <c r="A30" s="62" t="s">
        <v>1157</v>
      </c>
      <c r="B30" s="62" t="s">
        <v>1158</v>
      </c>
      <c r="C30" s="328" t="s">
        <v>463</v>
      </c>
      <c r="F30" s="63"/>
      <c r="G30" s="64"/>
      <c r="J30" s="63"/>
      <c r="K30" s="64"/>
      <c r="L30" s="10" t="s">
        <v>1159</v>
      </c>
      <c r="M30" s="64" t="s">
        <v>362</v>
      </c>
      <c r="N30" s="63"/>
      <c r="O30" s="64"/>
      <c r="P30" s="63"/>
      <c r="Q30" s="64"/>
      <c r="R30" s="63"/>
      <c r="S30" s="64"/>
      <c r="T30" s="212"/>
    </row>
    <row r="31" spans="1:20" x14ac:dyDescent="0.25">
      <c r="A31" s="62" t="s">
        <v>1160</v>
      </c>
      <c r="B31" s="62" t="s">
        <v>1161</v>
      </c>
      <c r="C31" s="328" t="s">
        <v>463</v>
      </c>
      <c r="F31" s="63"/>
      <c r="G31" s="64"/>
      <c r="J31" s="63"/>
      <c r="K31" s="64"/>
      <c r="L31" s="10" t="s">
        <v>1162</v>
      </c>
      <c r="M31" s="64" t="s">
        <v>362</v>
      </c>
      <c r="N31" s="63"/>
      <c r="O31" s="64"/>
      <c r="P31" s="63"/>
      <c r="Q31" s="64"/>
      <c r="R31" s="63"/>
      <c r="S31" s="64"/>
      <c r="T31" s="212"/>
    </row>
    <row r="32" spans="1:20" ht="30" customHeight="1" x14ac:dyDescent="0.25">
      <c r="A32" s="62" t="s">
        <v>1163</v>
      </c>
      <c r="B32" s="62" t="s">
        <v>1164</v>
      </c>
      <c r="C32" s="328" t="s">
        <v>463</v>
      </c>
      <c r="F32" s="63"/>
      <c r="G32" s="64"/>
      <c r="J32" s="63"/>
      <c r="K32" s="64"/>
      <c r="L32" s="10" t="s">
        <v>1165</v>
      </c>
      <c r="M32" s="64" t="s">
        <v>657</v>
      </c>
      <c r="N32" s="63"/>
      <c r="O32" s="64"/>
      <c r="P32" s="63"/>
      <c r="Q32" s="64"/>
      <c r="R32" s="63"/>
      <c r="S32" s="64"/>
      <c r="T32" s="212"/>
    </row>
    <row r="33" spans="1:20" x14ac:dyDescent="0.25">
      <c r="A33" s="62" t="s">
        <v>1166</v>
      </c>
      <c r="B33" s="62" t="s">
        <v>1167</v>
      </c>
      <c r="C33" s="328" t="s">
        <v>463</v>
      </c>
      <c r="F33" s="63"/>
      <c r="G33" s="64"/>
      <c r="J33" s="63"/>
      <c r="K33" s="64"/>
      <c r="L33" s="10" t="s">
        <v>1168</v>
      </c>
      <c r="M33" s="64" t="s">
        <v>657</v>
      </c>
      <c r="N33" s="63"/>
      <c r="O33" s="64"/>
      <c r="P33" s="63"/>
      <c r="Q33" s="64"/>
      <c r="R33" s="63"/>
      <c r="S33" s="64"/>
      <c r="T33" s="212"/>
    </row>
    <row r="34" spans="1:20" x14ac:dyDescent="0.25">
      <c r="A34" s="62" t="s">
        <v>1169</v>
      </c>
      <c r="B34" s="62" t="s">
        <v>1170</v>
      </c>
      <c r="C34" s="328" t="s">
        <v>463</v>
      </c>
      <c r="F34" s="63"/>
      <c r="G34" s="64"/>
      <c r="J34" s="63"/>
      <c r="K34" s="64"/>
      <c r="L34" s="10" t="s">
        <v>1171</v>
      </c>
      <c r="M34" s="64" t="s">
        <v>479</v>
      </c>
      <c r="N34" s="63"/>
      <c r="O34" s="64"/>
      <c r="P34" s="63"/>
      <c r="Q34" s="64"/>
      <c r="R34" s="63"/>
      <c r="S34" s="64"/>
      <c r="T34" s="212"/>
    </row>
    <row r="35" spans="1:20" x14ac:dyDescent="0.25">
      <c r="A35" s="244" t="s">
        <v>1172</v>
      </c>
      <c r="B35" s="177"/>
      <c r="C35" s="184"/>
      <c r="D35" s="178"/>
      <c r="E35" s="178"/>
      <c r="F35" s="187"/>
      <c r="G35" s="188"/>
      <c r="H35" s="178"/>
      <c r="I35" s="178"/>
      <c r="J35" s="187"/>
      <c r="K35" s="188"/>
      <c r="L35" s="178"/>
      <c r="M35" s="178"/>
      <c r="N35" s="187"/>
      <c r="O35" s="188"/>
      <c r="P35" s="178"/>
      <c r="Q35" s="178"/>
      <c r="R35" s="187"/>
      <c r="S35" s="188"/>
    </row>
    <row r="36" spans="1:20" s="250" customFormat="1" ht="30" customHeight="1" x14ac:dyDescent="0.25">
      <c r="A36" s="245" t="s">
        <v>1173</v>
      </c>
      <c r="B36" s="245" t="s">
        <v>1174</v>
      </c>
      <c r="C36" s="246" t="s">
        <v>463</v>
      </c>
      <c r="D36" s="247"/>
      <c r="E36" s="247"/>
      <c r="F36" s="221"/>
      <c r="G36" s="248"/>
      <c r="H36" s="247"/>
      <c r="I36" s="247"/>
      <c r="J36" s="221" t="s">
        <v>1175</v>
      </c>
      <c r="K36" s="249" t="s">
        <v>782</v>
      </c>
      <c r="L36" s="247"/>
      <c r="M36" s="247"/>
      <c r="N36" s="221"/>
      <c r="O36" s="248"/>
      <c r="P36" s="247"/>
      <c r="Q36" s="247"/>
      <c r="R36" s="221"/>
      <c r="S36" s="248"/>
    </row>
  </sheetData>
  <mergeCells count="11">
    <mergeCell ref="A1:A2"/>
    <mergeCell ref="C1:C2"/>
    <mergeCell ref="B1:B2"/>
    <mergeCell ref="F1:G1"/>
    <mergeCell ref="N1:O1"/>
    <mergeCell ref="R1:S1"/>
    <mergeCell ref="D1:E1"/>
    <mergeCell ref="H1:I1"/>
    <mergeCell ref="L1:M1"/>
    <mergeCell ref="J1:K1"/>
    <mergeCell ref="P1:Q1"/>
  </mergeCells>
  <pageMargins left="0.7" right="0.7" top="0.75" bottom="0.75" header="0.3" footer="0.3"/>
  <pageSetup paperSize="9" orientation="portrait" verticalDpi="12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6">
    <tabColor theme="5" tint="0.39997558519241921"/>
  </sheetPr>
  <dimension ref="A1:AC79"/>
  <sheetViews>
    <sheetView zoomScale="70" zoomScaleNormal="70" workbookViewId="0">
      <selection activeCell="K17" sqref="K17"/>
    </sheetView>
  </sheetViews>
  <sheetFormatPr defaultColWidth="8.7109375" defaultRowHeight="15" x14ac:dyDescent="0.25"/>
  <cols>
    <col min="1" max="1" width="58.140625" style="8" bestFit="1" customWidth="1"/>
    <col min="2" max="2" width="20.7109375" style="9" bestFit="1" customWidth="1"/>
    <col min="3" max="3" width="8.140625" style="9" bestFit="1" customWidth="1"/>
    <col min="4" max="4" width="4.85546875" style="9" bestFit="1" customWidth="1"/>
    <col min="5" max="5" width="12.85546875" style="9" customWidth="1"/>
    <col min="6" max="6" width="32" style="9" bestFit="1" customWidth="1"/>
    <col min="7" max="7" width="27.85546875" style="9" bestFit="1" customWidth="1"/>
    <col min="8" max="8" width="4.140625" style="9" bestFit="1" customWidth="1"/>
    <col min="9" max="9" width="7.140625" style="9" bestFit="1" customWidth="1"/>
    <col min="10" max="10" width="32" style="9" bestFit="1" customWidth="1"/>
    <col min="11" max="11" width="27.85546875" style="9" bestFit="1" customWidth="1"/>
    <col min="12" max="12" width="4.140625" style="9" bestFit="1" customWidth="1"/>
    <col min="13" max="13" width="7.140625" style="9" bestFit="1" customWidth="1"/>
    <col min="14" max="14" width="26.85546875" style="9" customWidth="1"/>
    <col min="15" max="15" width="26.85546875" style="8" customWidth="1"/>
    <col min="16" max="16" width="4.42578125" style="9" bestFit="1" customWidth="1"/>
    <col min="17" max="17" width="7.42578125" style="290" bestFit="1" customWidth="1"/>
    <col min="18" max="18" width="23" style="9" bestFit="1" customWidth="1"/>
    <col min="19" max="19" width="25.7109375" style="9" bestFit="1" customWidth="1"/>
    <col min="20" max="20" width="4.42578125" style="9" bestFit="1" customWidth="1"/>
    <col min="21" max="21" width="6.85546875" style="290" bestFit="1" customWidth="1"/>
    <col min="22" max="22" width="25.7109375" style="9" bestFit="1" customWidth="1"/>
    <col min="23" max="23" width="28.42578125" style="9" bestFit="1" customWidth="1"/>
    <col min="24" max="25" width="16.140625" style="9" customWidth="1"/>
    <col min="26" max="26" width="23.5703125" style="9" bestFit="1" customWidth="1"/>
    <col min="27" max="27" width="26.42578125" style="9" bestFit="1" customWidth="1"/>
    <col min="28" max="28" width="4.42578125" style="9" bestFit="1" customWidth="1"/>
    <col min="29" max="29" width="8.85546875" style="290" bestFit="1" customWidth="1"/>
    <col min="30" max="38" width="8.7109375" style="8" customWidth="1"/>
    <col min="39" max="16384" width="8.7109375" style="8"/>
  </cols>
  <sheetData>
    <row r="1" spans="1:29" ht="29.45" customHeight="1" x14ac:dyDescent="0.25">
      <c r="A1" s="440" t="s">
        <v>447</v>
      </c>
      <c r="B1" s="449" t="s">
        <v>3</v>
      </c>
      <c r="C1" s="449" t="s">
        <v>419</v>
      </c>
      <c r="D1" s="455" t="s">
        <v>1176</v>
      </c>
      <c r="E1" s="455" t="s">
        <v>1177</v>
      </c>
      <c r="F1" s="451" t="s">
        <v>5</v>
      </c>
      <c r="G1" s="452"/>
      <c r="H1" s="452"/>
      <c r="I1" s="453"/>
      <c r="J1" s="451" t="s">
        <v>6</v>
      </c>
      <c r="K1" s="452"/>
      <c r="L1" s="452"/>
      <c r="M1" s="453"/>
      <c r="N1" s="454" t="s">
        <v>7</v>
      </c>
      <c r="O1" s="452"/>
      <c r="P1" s="452"/>
      <c r="Q1" s="453"/>
      <c r="R1" s="454" t="s">
        <v>1178</v>
      </c>
      <c r="S1" s="452"/>
      <c r="T1" s="452"/>
      <c r="U1" s="453"/>
      <c r="V1" s="457" t="s">
        <v>9</v>
      </c>
      <c r="W1" s="452"/>
      <c r="X1" s="452"/>
      <c r="Y1" s="453"/>
      <c r="Z1" s="457" t="s">
        <v>10</v>
      </c>
      <c r="AA1" s="452"/>
      <c r="AB1" s="452"/>
      <c r="AC1" s="453"/>
    </row>
    <row r="2" spans="1:29" ht="29.45" customHeight="1" thickBot="1" x14ac:dyDescent="0.3">
      <c r="A2" s="442"/>
      <c r="B2" s="450"/>
      <c r="C2" s="450"/>
      <c r="D2" s="456"/>
      <c r="E2" s="456"/>
      <c r="F2" s="172" t="s">
        <v>1179</v>
      </c>
      <c r="G2" s="251" t="s">
        <v>1180</v>
      </c>
      <c r="H2" s="173" t="s">
        <v>1181</v>
      </c>
      <c r="I2" s="174" t="s">
        <v>1182</v>
      </c>
      <c r="J2" s="172" t="s">
        <v>1179</v>
      </c>
      <c r="K2" s="251" t="s">
        <v>1180</v>
      </c>
      <c r="L2" s="173" t="s">
        <v>1181</v>
      </c>
      <c r="M2" s="174" t="s">
        <v>1182</v>
      </c>
      <c r="N2" s="172" t="s">
        <v>1179</v>
      </c>
      <c r="O2" s="251" t="s">
        <v>1180</v>
      </c>
      <c r="P2" s="84" t="s">
        <v>1181</v>
      </c>
      <c r="Q2" s="85" t="s">
        <v>1182</v>
      </c>
      <c r="R2" s="172" t="s">
        <v>1179</v>
      </c>
      <c r="S2" s="251" t="s">
        <v>1180</v>
      </c>
      <c r="T2" s="84" t="s">
        <v>1181</v>
      </c>
      <c r="U2" s="252" t="s">
        <v>1182</v>
      </c>
      <c r="V2" s="172" t="s">
        <v>1179</v>
      </c>
      <c r="W2" s="251" t="s">
        <v>1180</v>
      </c>
      <c r="X2" s="84" t="s">
        <v>1181</v>
      </c>
      <c r="Y2" s="85" t="s">
        <v>1182</v>
      </c>
      <c r="Z2" s="172" t="s">
        <v>1179</v>
      </c>
      <c r="AA2" s="251" t="s">
        <v>1180</v>
      </c>
      <c r="AB2" s="84" t="s">
        <v>1181</v>
      </c>
      <c r="AC2" s="252" t="s">
        <v>1182</v>
      </c>
    </row>
    <row r="3" spans="1:29" x14ac:dyDescent="0.25">
      <c r="A3" s="253" t="s">
        <v>1183</v>
      </c>
      <c r="B3" s="254" t="str">
        <f t="shared" ref="B3:B34" si="0">CONCATENATE(D3,"_",E3)</f>
        <v>PBC_01A</v>
      </c>
      <c r="C3" s="254" t="s">
        <v>463</v>
      </c>
      <c r="D3" s="254" t="s">
        <v>1184</v>
      </c>
      <c r="E3" s="254" t="s">
        <v>1185</v>
      </c>
      <c r="F3" s="190" t="str">
        <f t="shared" ref="F3:F26" si="1">CONCATENATE("ETR1000V300-",$D3,"-",$E3)</f>
        <v>ETR1000V300-PBC-01A</v>
      </c>
      <c r="G3" s="255" t="str">
        <f t="shared" ref="G3:G19" si="2">CONCATENATE(F3,"-",H3)</f>
        <v>ETR1000V300-PBC-01A-14</v>
      </c>
      <c r="H3" s="191">
        <v>14</v>
      </c>
      <c r="I3" s="192">
        <v>46113</v>
      </c>
      <c r="J3" s="190" t="str">
        <f t="shared" ref="J3:J34" si="3">$F3</f>
        <v>ETR1000V300-PBC-01A</v>
      </c>
      <c r="K3" s="255" t="str">
        <f t="shared" ref="K3:K34" si="4">$G3</f>
        <v>ETR1000V300-PBC-01A-14</v>
      </c>
      <c r="L3" s="191">
        <f t="shared" ref="L3:L34" si="5">$H3</f>
        <v>14</v>
      </c>
      <c r="M3" s="192">
        <f t="shared" ref="M3:M34" si="6">$I3</f>
        <v>46113</v>
      </c>
      <c r="N3" s="256" t="str">
        <f t="shared" ref="N3:N9" si="7">CONCATENATE("ETR1000V300_FR-",$D3,"-",$E3)</f>
        <v>ETR1000V300_FR-PBC-01A</v>
      </c>
      <c r="O3" s="257" t="str">
        <f t="shared" ref="O3:O9" si="8">CONCATENATE(N3,"-",P3)</f>
        <v>ETR1000V300_FR-PBC-01A-03</v>
      </c>
      <c r="P3" s="258" t="s">
        <v>782</v>
      </c>
      <c r="Q3" s="259">
        <v>43922</v>
      </c>
      <c r="R3" s="260" t="str">
        <f>CONCATENATE("ETR1000V300_ES-",$D3,"-",$E3)</f>
        <v>ETR1000V300_ES-PBC-01A</v>
      </c>
      <c r="S3" s="261" t="str">
        <f>CONCATENATE(R3,"-",T3)</f>
        <v>ETR1000V300_ES-PBC-01A-03</v>
      </c>
      <c r="T3" s="258" t="s">
        <v>782</v>
      </c>
      <c r="U3" s="262">
        <v>45566</v>
      </c>
      <c r="V3" s="260" t="str">
        <f t="shared" ref="V3:V10" si="9">CONCATENATE("ETR1000V300_R1-",$D3,"-",$E3)</f>
        <v>ETR1000V300_R1-PBC-01A</v>
      </c>
      <c r="W3" s="261" t="str">
        <f t="shared" ref="W3:W10" si="10">CONCATENATE(V3,"-",X3)</f>
        <v>ETR1000V300_R1-PBC-01A-06</v>
      </c>
      <c r="X3" s="258" t="s">
        <v>1186</v>
      </c>
      <c r="Y3" s="262">
        <v>45870</v>
      </c>
      <c r="Z3" s="263" t="str">
        <f t="shared" ref="Z3:Z18" si="11">V3</f>
        <v>ETR1000V300_R1-PBC-01A</v>
      </c>
      <c r="AA3" s="258" t="str">
        <f t="shared" ref="AA3:AA18" si="12">W3</f>
        <v>ETR1000V300_R1-PBC-01A-06</v>
      </c>
      <c r="AB3" s="258" t="str">
        <f t="shared" ref="AB3:AB18" si="13">X3</f>
        <v>06</v>
      </c>
      <c r="AC3" s="264">
        <f t="shared" ref="AC3:AC18" si="14">Y3</f>
        <v>45870</v>
      </c>
    </row>
    <row r="4" spans="1:29" x14ac:dyDescent="0.25">
      <c r="A4" s="265" t="s">
        <v>1187</v>
      </c>
      <c r="B4" s="233" t="str">
        <f t="shared" si="0"/>
        <v>PBC_01B</v>
      </c>
      <c r="C4" s="254" t="s">
        <v>463</v>
      </c>
      <c r="D4" s="233" t="s">
        <v>1184</v>
      </c>
      <c r="E4" s="233" t="s">
        <v>1188</v>
      </c>
      <c r="F4" s="193" t="str">
        <f t="shared" si="1"/>
        <v>ETR1000V300-PBC-01B</v>
      </c>
      <c r="G4" s="266" t="str">
        <f t="shared" si="2"/>
        <v>ETR1000V300-PBC-01B-14</v>
      </c>
      <c r="H4" s="194">
        <v>14</v>
      </c>
      <c r="I4" s="195">
        <v>45748</v>
      </c>
      <c r="J4" s="193" t="str">
        <f t="shared" si="3"/>
        <v>ETR1000V300-PBC-01B</v>
      </c>
      <c r="K4" s="266" t="str">
        <f t="shared" si="4"/>
        <v>ETR1000V300-PBC-01B-14</v>
      </c>
      <c r="L4" s="194">
        <f t="shared" si="5"/>
        <v>14</v>
      </c>
      <c r="M4" s="195">
        <f t="shared" si="6"/>
        <v>45748</v>
      </c>
      <c r="N4" s="260" t="str">
        <f t="shared" si="7"/>
        <v>ETR1000V300_FR-PBC-01B</v>
      </c>
      <c r="O4" s="261" t="str">
        <f t="shared" si="8"/>
        <v>ETR1000V300_FR-PBC-01B-03</v>
      </c>
      <c r="P4" s="235" t="s">
        <v>782</v>
      </c>
      <c r="Q4" s="262">
        <v>43922</v>
      </c>
      <c r="R4" s="260" t="str">
        <f>CONCATENATE("ETR1000V300_ES-",$D4,"-",$E4)</f>
        <v>ETR1000V300_ES-PBC-01B</v>
      </c>
      <c r="S4" s="235" t="str">
        <f>CONCATENATE(R4,"-",T4)</f>
        <v>ETR1000V300_ES-PBC-01B-03</v>
      </c>
      <c r="T4" s="235" t="s">
        <v>782</v>
      </c>
      <c r="U4" s="262">
        <v>45566</v>
      </c>
      <c r="V4" s="260" t="str">
        <f t="shared" si="9"/>
        <v>ETR1000V300_R1-PBC-01B</v>
      </c>
      <c r="W4" s="261" t="str">
        <f t="shared" si="10"/>
        <v>ETR1000V300_R1-PBC-01B-09</v>
      </c>
      <c r="X4" s="267" t="s">
        <v>743</v>
      </c>
      <c r="Y4" s="262">
        <v>45870</v>
      </c>
      <c r="Z4" s="268" t="str">
        <f t="shared" si="11"/>
        <v>ETR1000V300_R1-PBC-01B</v>
      </c>
      <c r="AA4" s="267" t="str">
        <f t="shared" si="12"/>
        <v>ETR1000V300_R1-PBC-01B-09</v>
      </c>
      <c r="AB4" s="267" t="str">
        <f t="shared" si="13"/>
        <v>09</v>
      </c>
      <c r="AC4" s="269">
        <f t="shared" si="14"/>
        <v>45870</v>
      </c>
    </row>
    <row r="5" spans="1:29" x14ac:dyDescent="0.25">
      <c r="A5" s="270" t="s">
        <v>1189</v>
      </c>
      <c r="B5" s="233" t="str">
        <f t="shared" si="0"/>
        <v>PBS_01A</v>
      </c>
      <c r="C5" s="254" t="s">
        <v>463</v>
      </c>
      <c r="D5" s="233" t="s">
        <v>1190</v>
      </c>
      <c r="E5" s="233" t="s">
        <v>1185</v>
      </c>
      <c r="F5" s="193" t="str">
        <f t="shared" si="1"/>
        <v>ETR1000V300-PBS-01A</v>
      </c>
      <c r="G5" s="266" t="str">
        <f t="shared" si="2"/>
        <v>ETR1000V300-PBS-01A-04</v>
      </c>
      <c r="H5" s="197" t="s">
        <v>667</v>
      </c>
      <c r="I5" s="195">
        <v>45748</v>
      </c>
      <c r="J5" s="193" t="str">
        <f t="shared" si="3"/>
        <v>ETR1000V300-PBS-01A</v>
      </c>
      <c r="K5" s="266" t="str">
        <f t="shared" si="4"/>
        <v>ETR1000V300-PBS-01A-04</v>
      </c>
      <c r="L5" s="197" t="str">
        <f t="shared" si="5"/>
        <v>04</v>
      </c>
      <c r="M5" s="195">
        <f t="shared" si="6"/>
        <v>45748</v>
      </c>
      <c r="N5" s="260" t="str">
        <f t="shared" si="7"/>
        <v>ETR1000V300_FR-PBS-01A</v>
      </c>
      <c r="O5" s="261" t="str">
        <f t="shared" si="8"/>
        <v>ETR1000V300_FR-PBS-01A-01</v>
      </c>
      <c r="P5" s="267" t="s">
        <v>663</v>
      </c>
      <c r="Q5" s="262">
        <v>43922</v>
      </c>
      <c r="R5" s="260" t="str">
        <f>CONCATENATE("ETR1000V300_ES-",$D5,"-",$E5)</f>
        <v>ETR1000V300_ES-PBS-01A</v>
      </c>
      <c r="S5" s="235" t="str">
        <f>CONCATENATE(R5,"-",T5)</f>
        <v>ETR1000V300_ES-PBS-01A-03</v>
      </c>
      <c r="T5" s="235" t="s">
        <v>782</v>
      </c>
      <c r="U5" s="262">
        <v>45566</v>
      </c>
      <c r="V5" s="260" t="str">
        <f t="shared" si="9"/>
        <v>ETR1000V300_R1-PBS-01A</v>
      </c>
      <c r="W5" s="261" t="str">
        <f t="shared" si="10"/>
        <v>ETR1000V300_R1-PBS-01A-03</v>
      </c>
      <c r="X5" s="267" t="s">
        <v>782</v>
      </c>
      <c r="Y5" s="262">
        <v>45901</v>
      </c>
      <c r="Z5" s="268" t="str">
        <f t="shared" si="11"/>
        <v>ETR1000V300_R1-PBS-01A</v>
      </c>
      <c r="AA5" s="267" t="str">
        <f t="shared" si="12"/>
        <v>ETR1000V300_R1-PBS-01A-03</v>
      </c>
      <c r="AB5" s="267" t="str">
        <f t="shared" si="13"/>
        <v>03</v>
      </c>
      <c r="AC5" s="269">
        <f t="shared" si="14"/>
        <v>45901</v>
      </c>
    </row>
    <row r="6" spans="1:29" x14ac:dyDescent="0.25">
      <c r="A6" s="270" t="s">
        <v>1191</v>
      </c>
      <c r="B6" s="233" t="str">
        <f t="shared" si="0"/>
        <v>MR1_01A</v>
      </c>
      <c r="C6" s="254" t="s">
        <v>463</v>
      </c>
      <c r="D6" s="233" t="s">
        <v>1192</v>
      </c>
      <c r="E6" s="271" t="s">
        <v>1185</v>
      </c>
      <c r="F6" s="193" t="str">
        <f t="shared" si="1"/>
        <v>ETR1000V300-MR1-01A</v>
      </c>
      <c r="G6" s="266" t="str">
        <f t="shared" si="2"/>
        <v>ETR1000V300-MR1-01A-08</v>
      </c>
      <c r="H6" s="203" t="s">
        <v>1193</v>
      </c>
      <c r="I6" s="204">
        <v>46113</v>
      </c>
      <c r="J6" s="193" t="str">
        <f t="shared" si="3"/>
        <v>ETR1000V300-MR1-01A</v>
      </c>
      <c r="K6" s="266" t="str">
        <f t="shared" si="4"/>
        <v>ETR1000V300-MR1-01A-08</v>
      </c>
      <c r="L6" s="203" t="str">
        <f t="shared" si="5"/>
        <v>08</v>
      </c>
      <c r="M6" s="204">
        <f t="shared" si="6"/>
        <v>46113</v>
      </c>
      <c r="N6" s="272" t="str">
        <f t="shared" si="7"/>
        <v>ETR1000V300_FR-MR1-01A</v>
      </c>
      <c r="O6" s="261" t="str">
        <f t="shared" si="8"/>
        <v>ETR1000V300_FR-MR1-01A-01</v>
      </c>
      <c r="P6" s="267" t="s">
        <v>663</v>
      </c>
      <c r="Q6" s="262">
        <v>44105</v>
      </c>
      <c r="R6" s="273" t="s">
        <v>341</v>
      </c>
      <c r="S6" s="274"/>
      <c r="T6" s="274"/>
      <c r="U6" s="275"/>
      <c r="V6" s="260" t="str">
        <f t="shared" si="9"/>
        <v>ETR1000V300_R1-MR1-01A</v>
      </c>
      <c r="W6" s="261" t="str">
        <f t="shared" si="10"/>
        <v>ETR1000V300_R1-MR1-01A-05</v>
      </c>
      <c r="X6" s="267" t="s">
        <v>1194</v>
      </c>
      <c r="Y6" s="276" t="s">
        <v>1195</v>
      </c>
      <c r="Z6" s="268" t="str">
        <f t="shared" si="11"/>
        <v>ETR1000V300_R1-MR1-01A</v>
      </c>
      <c r="AA6" s="267" t="str">
        <f t="shared" si="12"/>
        <v>ETR1000V300_R1-MR1-01A-05</v>
      </c>
      <c r="AB6" s="267" t="str">
        <f t="shared" si="13"/>
        <v>05</v>
      </c>
      <c r="AC6" s="269" t="str">
        <f t="shared" si="14"/>
        <v>gen-2026</v>
      </c>
    </row>
    <row r="7" spans="1:29" x14ac:dyDescent="0.25">
      <c r="A7" s="270" t="s">
        <v>1196</v>
      </c>
      <c r="B7" s="233" t="str">
        <f t="shared" si="0"/>
        <v>MR1_02A</v>
      </c>
      <c r="C7" s="254" t="s">
        <v>463</v>
      </c>
      <c r="D7" s="233" t="s">
        <v>1192</v>
      </c>
      <c r="E7" s="233" t="s">
        <v>1197</v>
      </c>
      <c r="F7" s="193" t="str">
        <f t="shared" si="1"/>
        <v>ETR1000V300-MR1-02A</v>
      </c>
      <c r="G7" s="266" t="str">
        <f t="shared" si="2"/>
        <v>ETR1000V300-MR1-02A-14</v>
      </c>
      <c r="H7" s="205">
        <v>14</v>
      </c>
      <c r="I7" s="204">
        <v>46113</v>
      </c>
      <c r="J7" s="193" t="str">
        <f t="shared" si="3"/>
        <v>ETR1000V300-MR1-02A</v>
      </c>
      <c r="K7" s="266" t="str">
        <f t="shared" si="4"/>
        <v>ETR1000V300-MR1-02A-14</v>
      </c>
      <c r="L7" s="205">
        <f t="shared" si="5"/>
        <v>14</v>
      </c>
      <c r="M7" s="204">
        <f t="shared" si="6"/>
        <v>46113</v>
      </c>
      <c r="N7" s="272" t="str">
        <f t="shared" si="7"/>
        <v>ETR1000V300_FR-MR1-02A</v>
      </c>
      <c r="O7" s="261" t="str">
        <f t="shared" si="8"/>
        <v>ETR1000V300_FR-MR1-02A-02</v>
      </c>
      <c r="P7" s="267" t="s">
        <v>775</v>
      </c>
      <c r="Q7" s="262">
        <v>44713</v>
      </c>
      <c r="R7" s="260"/>
      <c r="S7" s="235"/>
      <c r="T7" s="235"/>
      <c r="U7" s="262"/>
      <c r="V7" s="260" t="str">
        <f t="shared" si="9"/>
        <v>ETR1000V300_R1-MR1-02A</v>
      </c>
      <c r="W7" s="261" t="str">
        <f t="shared" si="10"/>
        <v>ETR1000V300_R1-MR1-02A-08</v>
      </c>
      <c r="X7" s="267" t="s">
        <v>1193</v>
      </c>
      <c r="Y7" s="276" t="s">
        <v>1195</v>
      </c>
      <c r="Z7" s="268" t="str">
        <f t="shared" si="11"/>
        <v>ETR1000V300_R1-MR1-02A</v>
      </c>
      <c r="AA7" s="267" t="str">
        <f t="shared" si="12"/>
        <v>ETR1000V300_R1-MR1-02A-08</v>
      </c>
      <c r="AB7" s="267" t="str">
        <f t="shared" si="13"/>
        <v>08</v>
      </c>
      <c r="AC7" s="269" t="str">
        <f t="shared" si="14"/>
        <v>gen-2026</v>
      </c>
    </row>
    <row r="8" spans="1:29" x14ac:dyDescent="0.25">
      <c r="A8" s="270" t="s">
        <v>1198</v>
      </c>
      <c r="B8" s="233" t="str">
        <f t="shared" si="0"/>
        <v>MR1_03A</v>
      </c>
      <c r="C8" s="254" t="s">
        <v>463</v>
      </c>
      <c r="D8" s="233" t="s">
        <v>1192</v>
      </c>
      <c r="E8" s="233" t="s">
        <v>1199</v>
      </c>
      <c r="F8" s="193" t="str">
        <f t="shared" si="1"/>
        <v>ETR1000V300-MR1-03A</v>
      </c>
      <c r="G8" s="266" t="str">
        <f t="shared" si="2"/>
        <v>ETR1000V300-MR1-03A-09</v>
      </c>
      <c r="H8" s="203" t="s">
        <v>743</v>
      </c>
      <c r="I8" s="204">
        <v>46113</v>
      </c>
      <c r="J8" s="193" t="str">
        <f t="shared" si="3"/>
        <v>ETR1000V300-MR1-03A</v>
      </c>
      <c r="K8" s="266" t="str">
        <f t="shared" si="4"/>
        <v>ETR1000V300-MR1-03A-09</v>
      </c>
      <c r="L8" s="203" t="str">
        <f t="shared" si="5"/>
        <v>09</v>
      </c>
      <c r="M8" s="204">
        <f t="shared" si="6"/>
        <v>46113</v>
      </c>
      <c r="N8" s="272" t="str">
        <f t="shared" si="7"/>
        <v>ETR1000V300_FR-MR1-03A</v>
      </c>
      <c r="O8" s="261" t="str">
        <f t="shared" si="8"/>
        <v>ETR1000V300_FR-MR1-03A-02</v>
      </c>
      <c r="P8" s="267" t="s">
        <v>775</v>
      </c>
      <c r="Q8" s="262">
        <v>44713</v>
      </c>
      <c r="R8" s="260"/>
      <c r="S8" s="235"/>
      <c r="T8" s="235"/>
      <c r="U8" s="262"/>
      <c r="V8" s="260" t="str">
        <f t="shared" si="9"/>
        <v>ETR1000V300_R1-MR1-03A</v>
      </c>
      <c r="W8" s="261" t="str">
        <f t="shared" si="10"/>
        <v>ETR1000V300_R1-MR1-03A-04</v>
      </c>
      <c r="X8" s="267" t="s">
        <v>667</v>
      </c>
      <c r="Y8" s="262">
        <v>45992</v>
      </c>
      <c r="Z8" s="268" t="str">
        <f t="shared" si="11"/>
        <v>ETR1000V300_R1-MR1-03A</v>
      </c>
      <c r="AA8" s="267" t="str">
        <f t="shared" si="12"/>
        <v>ETR1000V300_R1-MR1-03A-04</v>
      </c>
      <c r="AB8" s="267" t="str">
        <f t="shared" si="13"/>
        <v>04</v>
      </c>
      <c r="AC8" s="269">
        <f t="shared" si="14"/>
        <v>45992</v>
      </c>
    </row>
    <row r="9" spans="1:29" x14ac:dyDescent="0.25">
      <c r="A9" s="270" t="s">
        <v>1200</v>
      </c>
      <c r="B9" s="233" t="str">
        <f t="shared" si="0"/>
        <v>MR1_04A</v>
      </c>
      <c r="C9" s="254" t="s">
        <v>463</v>
      </c>
      <c r="D9" s="233" t="s">
        <v>1192</v>
      </c>
      <c r="E9" s="271" t="s">
        <v>1201</v>
      </c>
      <c r="F9" s="193" t="str">
        <f t="shared" si="1"/>
        <v>ETR1000V300-MR1-04A</v>
      </c>
      <c r="G9" s="266" t="str">
        <f t="shared" si="2"/>
        <v>ETR1000V300-MR1-04A-10</v>
      </c>
      <c r="H9" s="203">
        <v>10</v>
      </c>
      <c r="I9" s="204">
        <v>46113</v>
      </c>
      <c r="J9" s="193" t="str">
        <f t="shared" si="3"/>
        <v>ETR1000V300-MR1-04A</v>
      </c>
      <c r="K9" s="266" t="str">
        <f t="shared" si="4"/>
        <v>ETR1000V300-MR1-04A-10</v>
      </c>
      <c r="L9" s="203">
        <f t="shared" si="5"/>
        <v>10</v>
      </c>
      <c r="M9" s="204">
        <f t="shared" si="6"/>
        <v>46113</v>
      </c>
      <c r="N9" s="272" t="str">
        <f t="shared" si="7"/>
        <v>ETR1000V300_FR-MR1-04A</v>
      </c>
      <c r="O9" s="261" t="str">
        <f t="shared" si="8"/>
        <v>ETR1000V300_FR-MR1-04A-05</v>
      </c>
      <c r="P9" s="267" t="s">
        <v>1194</v>
      </c>
      <c r="Q9" s="262">
        <v>45931</v>
      </c>
      <c r="R9" s="260"/>
      <c r="S9" s="235"/>
      <c r="T9" s="235"/>
      <c r="U9" s="262"/>
      <c r="V9" s="260" t="str">
        <f t="shared" si="9"/>
        <v>ETR1000V300_R1-MR1-04A</v>
      </c>
      <c r="W9" s="261" t="str">
        <f t="shared" si="10"/>
        <v>ETR1000V300_R1-MR1-04A-05</v>
      </c>
      <c r="X9" s="267" t="s">
        <v>1194</v>
      </c>
      <c r="Y9" s="276" t="s">
        <v>1195</v>
      </c>
      <c r="Z9" s="268" t="str">
        <f t="shared" si="11"/>
        <v>ETR1000V300_R1-MR1-04A</v>
      </c>
      <c r="AA9" s="267" t="str">
        <f t="shared" si="12"/>
        <v>ETR1000V300_R1-MR1-04A-05</v>
      </c>
      <c r="AB9" s="267" t="str">
        <f t="shared" si="13"/>
        <v>05</v>
      </c>
      <c r="AC9" s="269" t="str">
        <f t="shared" si="14"/>
        <v>gen-2026</v>
      </c>
    </row>
    <row r="10" spans="1:29" x14ac:dyDescent="0.25">
      <c r="A10" s="270" t="s">
        <v>1202</v>
      </c>
      <c r="B10" s="233" t="str">
        <f t="shared" si="0"/>
        <v>MR1_05A</v>
      </c>
      <c r="C10" s="254" t="s">
        <v>463</v>
      </c>
      <c r="D10" s="233" t="s">
        <v>1192</v>
      </c>
      <c r="E10" s="233" t="s">
        <v>1203</v>
      </c>
      <c r="F10" s="193" t="str">
        <f t="shared" si="1"/>
        <v>ETR1000V300-MR1-05A</v>
      </c>
      <c r="G10" s="266" t="str">
        <f t="shared" si="2"/>
        <v>ETR1000V300-MR1-05A-04</v>
      </c>
      <c r="H10" s="203" t="s">
        <v>667</v>
      </c>
      <c r="I10" s="204">
        <v>46113</v>
      </c>
      <c r="J10" s="193" t="str">
        <f t="shared" si="3"/>
        <v>ETR1000V300-MR1-05A</v>
      </c>
      <c r="K10" s="266" t="str">
        <f t="shared" si="4"/>
        <v>ETR1000V300-MR1-05A-04</v>
      </c>
      <c r="L10" s="203" t="str">
        <f t="shared" si="5"/>
        <v>04</v>
      </c>
      <c r="M10" s="204">
        <f t="shared" si="6"/>
        <v>46113</v>
      </c>
      <c r="N10" s="260" t="str">
        <f t="shared" ref="N10:N19" si="15">$F10</f>
        <v>ETR1000V300-MR1-05A</v>
      </c>
      <c r="O10" s="261" t="str">
        <f t="shared" ref="O10:O24" si="16">$G10</f>
        <v>ETR1000V300-MR1-05A-04</v>
      </c>
      <c r="P10" s="235" t="str">
        <f t="shared" ref="P10:P24" si="17">$H10</f>
        <v>04</v>
      </c>
      <c r="Q10" s="277">
        <f t="shared" ref="Q10:Q24" si="18">$I10</f>
        <v>46113</v>
      </c>
      <c r="R10" s="260"/>
      <c r="S10" s="235"/>
      <c r="T10" s="235"/>
      <c r="U10" s="262"/>
      <c r="V10" s="260" t="str">
        <f t="shared" si="9"/>
        <v>ETR1000V300_R1-MR1-05A</v>
      </c>
      <c r="W10" s="261" t="str">
        <f t="shared" si="10"/>
        <v>ETR1000V300_R1-MR1-05A-03</v>
      </c>
      <c r="X10" s="267" t="s">
        <v>782</v>
      </c>
      <c r="Y10" s="262">
        <v>45931</v>
      </c>
      <c r="Z10" s="268" t="str">
        <f t="shared" si="11"/>
        <v>ETR1000V300_R1-MR1-05A</v>
      </c>
      <c r="AA10" s="267" t="str">
        <f t="shared" si="12"/>
        <v>ETR1000V300_R1-MR1-05A-03</v>
      </c>
      <c r="AB10" s="267" t="str">
        <f t="shared" si="13"/>
        <v>03</v>
      </c>
      <c r="AC10" s="269">
        <f t="shared" si="14"/>
        <v>45931</v>
      </c>
    </row>
    <row r="11" spans="1:29" x14ac:dyDescent="0.25">
      <c r="A11" s="270" t="s">
        <v>1204</v>
      </c>
      <c r="B11" s="233" t="str">
        <f t="shared" si="0"/>
        <v>MR1_05B</v>
      </c>
      <c r="C11" s="254" t="s">
        <v>463</v>
      </c>
      <c r="D11" s="233" t="s">
        <v>1192</v>
      </c>
      <c r="E11" s="233" t="s">
        <v>1205</v>
      </c>
      <c r="F11" s="193" t="str">
        <f t="shared" si="1"/>
        <v>ETR1000V300-MR1-05B</v>
      </c>
      <c r="G11" s="266" t="str">
        <f t="shared" si="2"/>
        <v>ETR1000V300-MR1-05B-02</v>
      </c>
      <c r="H11" s="197" t="s">
        <v>775</v>
      </c>
      <c r="I11" s="196" t="s">
        <v>1206</v>
      </c>
      <c r="J11" s="193" t="str">
        <f t="shared" si="3"/>
        <v>ETR1000V300-MR1-05B</v>
      </c>
      <c r="K11" s="266" t="str">
        <f t="shared" si="4"/>
        <v>ETR1000V300-MR1-05B-02</v>
      </c>
      <c r="L11" s="197" t="str">
        <f t="shared" si="5"/>
        <v>02</v>
      </c>
      <c r="M11" s="196" t="str">
        <f t="shared" si="6"/>
        <v>giu-17</v>
      </c>
      <c r="N11" s="260" t="str">
        <f t="shared" si="15"/>
        <v>ETR1000V300-MR1-05B</v>
      </c>
      <c r="O11" s="261" t="str">
        <f t="shared" si="16"/>
        <v>ETR1000V300-MR1-05B-02</v>
      </c>
      <c r="P11" s="235" t="str">
        <f t="shared" si="17"/>
        <v>02</v>
      </c>
      <c r="Q11" s="262" t="str">
        <f t="shared" si="18"/>
        <v>giu-17</v>
      </c>
      <c r="R11" s="260"/>
      <c r="S11" s="235"/>
      <c r="T11" s="235"/>
      <c r="U11" s="262"/>
      <c r="V11" s="260" t="s">
        <v>15</v>
      </c>
      <c r="W11" s="261" t="s">
        <v>15</v>
      </c>
      <c r="X11" s="267" t="s">
        <v>15</v>
      </c>
      <c r="Y11" s="262" t="s">
        <v>15</v>
      </c>
      <c r="Z11" s="268" t="str">
        <f t="shared" si="11"/>
        <v>\</v>
      </c>
      <c r="AA11" s="267" t="str">
        <f t="shared" si="12"/>
        <v>\</v>
      </c>
      <c r="AB11" s="267" t="str">
        <f t="shared" si="13"/>
        <v>\</v>
      </c>
      <c r="AC11" s="269" t="str">
        <f t="shared" si="14"/>
        <v>\</v>
      </c>
    </row>
    <row r="12" spans="1:29" x14ac:dyDescent="0.25">
      <c r="A12" s="270" t="s">
        <v>1207</v>
      </c>
      <c r="B12" s="233" t="str">
        <f t="shared" si="0"/>
        <v>MR1_06A</v>
      </c>
      <c r="C12" s="254" t="s">
        <v>463</v>
      </c>
      <c r="D12" s="233" t="s">
        <v>1192</v>
      </c>
      <c r="E12" s="233" t="s">
        <v>1208</v>
      </c>
      <c r="F12" s="193" t="str">
        <f t="shared" si="1"/>
        <v>ETR1000V300-MR1-06A</v>
      </c>
      <c r="G12" s="266" t="str">
        <f t="shared" si="2"/>
        <v>ETR1000V300-MR1-06A-05</v>
      </c>
      <c r="H12" s="203" t="s">
        <v>1194</v>
      </c>
      <c r="I12" s="204">
        <v>46113</v>
      </c>
      <c r="J12" s="193" t="str">
        <f t="shared" si="3"/>
        <v>ETR1000V300-MR1-06A</v>
      </c>
      <c r="K12" s="266" t="str">
        <f t="shared" si="4"/>
        <v>ETR1000V300-MR1-06A-05</v>
      </c>
      <c r="L12" s="203" t="str">
        <f t="shared" si="5"/>
        <v>05</v>
      </c>
      <c r="M12" s="204">
        <f t="shared" si="6"/>
        <v>46113</v>
      </c>
      <c r="N12" s="260" t="str">
        <f t="shared" si="15"/>
        <v>ETR1000V300-MR1-06A</v>
      </c>
      <c r="O12" s="235" t="str">
        <f t="shared" si="16"/>
        <v>ETR1000V300-MR1-06A-05</v>
      </c>
      <c r="P12" s="235" t="str">
        <f t="shared" si="17"/>
        <v>05</v>
      </c>
      <c r="Q12" s="262">
        <f t="shared" si="18"/>
        <v>46113</v>
      </c>
      <c r="R12" s="260"/>
      <c r="S12" s="235"/>
      <c r="T12" s="235"/>
      <c r="U12" s="262"/>
      <c r="V12" s="260" t="str">
        <f t="shared" ref="V12:V18" si="19">CONCATENATE("ETR1000V300_R1-",$D12,"-",$E12)</f>
        <v>ETR1000V300_R1-MR1-06A</v>
      </c>
      <c r="W12" s="261" t="str">
        <f t="shared" ref="W12:W18" si="20">CONCATENATE(V12,"-",X12)</f>
        <v>ETR1000V300_R1-MR1-06A-04</v>
      </c>
      <c r="X12" s="267" t="s">
        <v>667</v>
      </c>
      <c r="Y12" s="262">
        <v>45992</v>
      </c>
      <c r="Z12" s="268" t="str">
        <f t="shared" si="11"/>
        <v>ETR1000V300_R1-MR1-06A</v>
      </c>
      <c r="AA12" s="267" t="str">
        <f t="shared" si="12"/>
        <v>ETR1000V300_R1-MR1-06A-04</v>
      </c>
      <c r="AB12" s="267" t="str">
        <f t="shared" si="13"/>
        <v>04</v>
      </c>
      <c r="AC12" s="269">
        <f t="shared" si="14"/>
        <v>45992</v>
      </c>
    </row>
    <row r="13" spans="1:29" x14ac:dyDescent="0.25">
      <c r="A13" s="270" t="s">
        <v>1209</v>
      </c>
      <c r="B13" s="233" t="str">
        <f t="shared" si="0"/>
        <v>MR1_07A</v>
      </c>
      <c r="C13" s="254" t="s">
        <v>463</v>
      </c>
      <c r="D13" s="233" t="s">
        <v>1192</v>
      </c>
      <c r="E13" s="233" t="s">
        <v>1210</v>
      </c>
      <c r="F13" s="193" t="str">
        <f t="shared" si="1"/>
        <v>ETR1000V300-MR1-07A</v>
      </c>
      <c r="G13" s="266" t="str">
        <f t="shared" si="2"/>
        <v>ETR1000V300-MR1-07A-07</v>
      </c>
      <c r="H13" s="203" t="s">
        <v>1211</v>
      </c>
      <c r="I13" s="204">
        <v>46113</v>
      </c>
      <c r="J13" s="193" t="str">
        <f t="shared" si="3"/>
        <v>ETR1000V300-MR1-07A</v>
      </c>
      <c r="K13" s="266" t="str">
        <f t="shared" si="4"/>
        <v>ETR1000V300-MR1-07A-07</v>
      </c>
      <c r="L13" s="203" t="str">
        <f t="shared" si="5"/>
        <v>07</v>
      </c>
      <c r="M13" s="204">
        <f t="shared" si="6"/>
        <v>46113</v>
      </c>
      <c r="N13" s="260" t="str">
        <f t="shared" si="15"/>
        <v>ETR1000V300-MR1-07A</v>
      </c>
      <c r="O13" s="235" t="str">
        <f t="shared" si="16"/>
        <v>ETR1000V300-MR1-07A-07</v>
      </c>
      <c r="P13" s="235" t="str">
        <f t="shared" si="17"/>
        <v>07</v>
      </c>
      <c r="Q13" s="262">
        <f t="shared" si="18"/>
        <v>46113</v>
      </c>
      <c r="R13" s="260"/>
      <c r="S13" s="235"/>
      <c r="T13" s="235"/>
      <c r="U13" s="262"/>
      <c r="V13" s="260" t="str">
        <f t="shared" si="19"/>
        <v>ETR1000V300_R1-MR1-07A</v>
      </c>
      <c r="W13" s="261" t="str">
        <f t="shared" si="20"/>
        <v>ETR1000V300_R1-MR1-07A-04</v>
      </c>
      <c r="X13" s="267" t="s">
        <v>667</v>
      </c>
      <c r="Y13" s="262">
        <v>45931</v>
      </c>
      <c r="Z13" s="268" t="str">
        <f t="shared" si="11"/>
        <v>ETR1000V300_R1-MR1-07A</v>
      </c>
      <c r="AA13" s="267" t="str">
        <f t="shared" si="12"/>
        <v>ETR1000V300_R1-MR1-07A-04</v>
      </c>
      <c r="AB13" s="267" t="str">
        <f t="shared" si="13"/>
        <v>04</v>
      </c>
      <c r="AC13" s="269">
        <f t="shared" si="14"/>
        <v>45931</v>
      </c>
    </row>
    <row r="14" spans="1:29" x14ac:dyDescent="0.25">
      <c r="A14" s="270" t="s">
        <v>1212</v>
      </c>
      <c r="B14" s="233" t="str">
        <f t="shared" si="0"/>
        <v>MR1_08A</v>
      </c>
      <c r="C14" s="254" t="s">
        <v>463</v>
      </c>
      <c r="D14" s="233" t="s">
        <v>1192</v>
      </c>
      <c r="E14" s="271" t="s">
        <v>1213</v>
      </c>
      <c r="F14" s="193" t="str">
        <f t="shared" si="1"/>
        <v>ETR1000V300-MR1-08A</v>
      </c>
      <c r="G14" s="266" t="str">
        <f t="shared" si="2"/>
        <v>ETR1000V300-MR1-08A-05</v>
      </c>
      <c r="H14" s="203" t="s">
        <v>1194</v>
      </c>
      <c r="I14" s="204">
        <v>46113</v>
      </c>
      <c r="J14" s="193" t="str">
        <f t="shared" si="3"/>
        <v>ETR1000V300-MR1-08A</v>
      </c>
      <c r="K14" s="266" t="str">
        <f t="shared" si="4"/>
        <v>ETR1000V300-MR1-08A-05</v>
      </c>
      <c r="L14" s="203" t="str">
        <f t="shared" si="5"/>
        <v>05</v>
      </c>
      <c r="M14" s="204">
        <f t="shared" si="6"/>
        <v>46113</v>
      </c>
      <c r="N14" s="260" t="str">
        <f t="shared" si="15"/>
        <v>ETR1000V300-MR1-08A</v>
      </c>
      <c r="O14" s="235" t="str">
        <f t="shared" si="16"/>
        <v>ETR1000V300-MR1-08A-05</v>
      </c>
      <c r="P14" s="235" t="str">
        <f t="shared" si="17"/>
        <v>05</v>
      </c>
      <c r="Q14" s="262">
        <f t="shared" si="18"/>
        <v>46113</v>
      </c>
      <c r="R14" s="260"/>
      <c r="S14" s="235"/>
      <c r="T14" s="235"/>
      <c r="U14" s="262"/>
      <c r="V14" s="260" t="str">
        <f t="shared" si="19"/>
        <v>ETR1000V300_R1-MR1-08A</v>
      </c>
      <c r="W14" s="261" t="str">
        <f t="shared" si="20"/>
        <v>ETR1000V300_R1-MR1-08A-04</v>
      </c>
      <c r="X14" s="267" t="s">
        <v>667</v>
      </c>
      <c r="Y14" s="262">
        <v>45931</v>
      </c>
      <c r="Z14" s="268" t="str">
        <f t="shared" si="11"/>
        <v>ETR1000V300_R1-MR1-08A</v>
      </c>
      <c r="AA14" s="267" t="str">
        <f t="shared" si="12"/>
        <v>ETR1000V300_R1-MR1-08A-04</v>
      </c>
      <c r="AB14" s="267" t="str">
        <f t="shared" si="13"/>
        <v>04</v>
      </c>
      <c r="AC14" s="269">
        <f t="shared" si="14"/>
        <v>45931</v>
      </c>
    </row>
    <row r="15" spans="1:29" x14ac:dyDescent="0.25">
      <c r="A15" s="270" t="s">
        <v>1214</v>
      </c>
      <c r="B15" s="233" t="str">
        <f t="shared" si="0"/>
        <v>MR1_09A</v>
      </c>
      <c r="C15" s="254" t="s">
        <v>463</v>
      </c>
      <c r="D15" s="233" t="s">
        <v>1192</v>
      </c>
      <c r="E15" s="233" t="s">
        <v>1215</v>
      </c>
      <c r="F15" s="193" t="str">
        <f t="shared" si="1"/>
        <v>ETR1000V300-MR1-09A</v>
      </c>
      <c r="G15" s="266" t="str">
        <f t="shared" si="2"/>
        <v>ETR1000V300-MR1-09A-05</v>
      </c>
      <c r="H15" s="203" t="s">
        <v>1194</v>
      </c>
      <c r="I15" s="204">
        <v>46113</v>
      </c>
      <c r="J15" s="193" t="str">
        <f t="shared" si="3"/>
        <v>ETR1000V300-MR1-09A</v>
      </c>
      <c r="K15" s="266" t="str">
        <f t="shared" si="4"/>
        <v>ETR1000V300-MR1-09A-05</v>
      </c>
      <c r="L15" s="203" t="str">
        <f t="shared" si="5"/>
        <v>05</v>
      </c>
      <c r="M15" s="204">
        <f t="shared" si="6"/>
        <v>46113</v>
      </c>
      <c r="N15" s="260" t="str">
        <f t="shared" si="15"/>
        <v>ETR1000V300-MR1-09A</v>
      </c>
      <c r="O15" s="235" t="str">
        <f t="shared" si="16"/>
        <v>ETR1000V300-MR1-09A-05</v>
      </c>
      <c r="P15" s="235" t="str">
        <f t="shared" si="17"/>
        <v>05</v>
      </c>
      <c r="Q15" s="262">
        <f t="shared" si="18"/>
        <v>46113</v>
      </c>
      <c r="R15" s="260"/>
      <c r="S15" s="235"/>
      <c r="T15" s="235"/>
      <c r="U15" s="262"/>
      <c r="V15" s="260" t="str">
        <f t="shared" si="19"/>
        <v>ETR1000V300_R1-MR1-09A</v>
      </c>
      <c r="W15" s="261" t="str">
        <f t="shared" si="20"/>
        <v>ETR1000V300_R1-MR1-09A-04</v>
      </c>
      <c r="X15" s="267" t="s">
        <v>667</v>
      </c>
      <c r="Y15" s="262">
        <v>45931</v>
      </c>
      <c r="Z15" s="268" t="str">
        <f t="shared" si="11"/>
        <v>ETR1000V300_R1-MR1-09A</v>
      </c>
      <c r="AA15" s="267" t="str">
        <f t="shared" si="12"/>
        <v>ETR1000V300_R1-MR1-09A-04</v>
      </c>
      <c r="AB15" s="267" t="str">
        <f t="shared" si="13"/>
        <v>04</v>
      </c>
      <c r="AC15" s="269">
        <f t="shared" si="14"/>
        <v>45931</v>
      </c>
    </row>
    <row r="16" spans="1:29" x14ac:dyDescent="0.25">
      <c r="A16" s="270" t="s">
        <v>1216</v>
      </c>
      <c r="B16" s="233" t="str">
        <f t="shared" si="0"/>
        <v>MR1_10A</v>
      </c>
      <c r="C16" s="254" t="s">
        <v>463</v>
      </c>
      <c r="D16" s="233" t="s">
        <v>1192</v>
      </c>
      <c r="E16" s="233" t="s">
        <v>1217</v>
      </c>
      <c r="F16" s="193" t="str">
        <f t="shared" si="1"/>
        <v>ETR1000V300-MR1-10A</v>
      </c>
      <c r="G16" s="266" t="str">
        <f t="shared" si="2"/>
        <v>ETR1000V300-MR1-10A-05</v>
      </c>
      <c r="H16" s="203" t="s">
        <v>1194</v>
      </c>
      <c r="I16" s="204">
        <v>46113</v>
      </c>
      <c r="J16" s="193" t="str">
        <f t="shared" si="3"/>
        <v>ETR1000V300-MR1-10A</v>
      </c>
      <c r="K16" s="266" t="str">
        <f t="shared" si="4"/>
        <v>ETR1000V300-MR1-10A-05</v>
      </c>
      <c r="L16" s="203" t="str">
        <f t="shared" si="5"/>
        <v>05</v>
      </c>
      <c r="M16" s="204">
        <f t="shared" si="6"/>
        <v>46113</v>
      </c>
      <c r="N16" s="260" t="str">
        <f t="shared" si="15"/>
        <v>ETR1000V300-MR1-10A</v>
      </c>
      <c r="O16" s="235" t="str">
        <f t="shared" si="16"/>
        <v>ETR1000V300-MR1-10A-05</v>
      </c>
      <c r="P16" s="235" t="str">
        <f t="shared" si="17"/>
        <v>05</v>
      </c>
      <c r="Q16" s="262">
        <f t="shared" si="18"/>
        <v>46113</v>
      </c>
      <c r="R16" s="260"/>
      <c r="S16" s="235"/>
      <c r="T16" s="235"/>
      <c r="U16" s="262"/>
      <c r="V16" s="260" t="str">
        <f t="shared" si="19"/>
        <v>ETR1000V300_R1-MR1-10A</v>
      </c>
      <c r="W16" s="261" t="str">
        <f t="shared" si="20"/>
        <v>ETR1000V300_R1-MR1-10A-03</v>
      </c>
      <c r="X16" s="267" t="s">
        <v>782</v>
      </c>
      <c r="Y16" s="262">
        <v>45901</v>
      </c>
      <c r="Z16" s="268" t="str">
        <f t="shared" si="11"/>
        <v>ETR1000V300_R1-MR1-10A</v>
      </c>
      <c r="AA16" s="267" t="str">
        <f t="shared" si="12"/>
        <v>ETR1000V300_R1-MR1-10A-03</v>
      </c>
      <c r="AB16" s="267" t="str">
        <f t="shared" si="13"/>
        <v>03</v>
      </c>
      <c r="AC16" s="269">
        <f t="shared" si="14"/>
        <v>45901</v>
      </c>
    </row>
    <row r="17" spans="1:29" x14ac:dyDescent="0.25">
      <c r="A17" s="270" t="s">
        <v>1218</v>
      </c>
      <c r="B17" s="233" t="str">
        <f t="shared" si="0"/>
        <v>MR1_11A</v>
      </c>
      <c r="C17" s="254" t="s">
        <v>463</v>
      </c>
      <c r="D17" s="233" t="s">
        <v>1192</v>
      </c>
      <c r="E17" s="233" t="s">
        <v>1219</v>
      </c>
      <c r="F17" s="193" t="str">
        <f t="shared" si="1"/>
        <v>ETR1000V300-MR1-11A</v>
      </c>
      <c r="G17" s="266" t="str">
        <f t="shared" si="2"/>
        <v>ETR1000V300-MR1-11A-03</v>
      </c>
      <c r="H17" s="203" t="s">
        <v>782</v>
      </c>
      <c r="I17" s="204">
        <v>46113</v>
      </c>
      <c r="J17" s="193" t="str">
        <f t="shared" si="3"/>
        <v>ETR1000V300-MR1-11A</v>
      </c>
      <c r="K17" s="266" t="str">
        <f t="shared" si="4"/>
        <v>ETR1000V300-MR1-11A-03</v>
      </c>
      <c r="L17" s="203" t="str">
        <f t="shared" si="5"/>
        <v>03</v>
      </c>
      <c r="M17" s="204">
        <f t="shared" si="6"/>
        <v>46113</v>
      </c>
      <c r="N17" s="260" t="str">
        <f t="shared" si="15"/>
        <v>ETR1000V300-MR1-11A</v>
      </c>
      <c r="O17" s="235" t="str">
        <f t="shared" si="16"/>
        <v>ETR1000V300-MR1-11A-03</v>
      </c>
      <c r="P17" s="235" t="str">
        <f t="shared" si="17"/>
        <v>03</v>
      </c>
      <c r="Q17" s="262">
        <f t="shared" si="18"/>
        <v>46113</v>
      </c>
      <c r="R17" s="260"/>
      <c r="S17" s="235"/>
      <c r="T17" s="235"/>
      <c r="U17" s="262"/>
      <c r="V17" s="260" t="str">
        <f t="shared" si="19"/>
        <v>ETR1000V300_R1-MR1-11A</v>
      </c>
      <c r="W17" s="261" t="str">
        <f t="shared" si="20"/>
        <v>ETR1000V300_R1-MR1-11A-03</v>
      </c>
      <c r="X17" s="267" t="s">
        <v>782</v>
      </c>
      <c r="Y17" s="262">
        <v>45992</v>
      </c>
      <c r="Z17" s="268" t="str">
        <f t="shared" si="11"/>
        <v>ETR1000V300_R1-MR1-11A</v>
      </c>
      <c r="AA17" s="267" t="str">
        <f t="shared" si="12"/>
        <v>ETR1000V300_R1-MR1-11A-03</v>
      </c>
      <c r="AB17" s="267" t="str">
        <f t="shared" si="13"/>
        <v>03</v>
      </c>
      <c r="AC17" s="269">
        <f t="shared" si="14"/>
        <v>45992</v>
      </c>
    </row>
    <row r="18" spans="1:29" x14ac:dyDescent="0.25">
      <c r="A18" s="270" t="s">
        <v>1220</v>
      </c>
      <c r="B18" s="233" t="str">
        <f t="shared" si="0"/>
        <v>MR1_13A</v>
      </c>
      <c r="C18" s="254" t="s">
        <v>463</v>
      </c>
      <c r="D18" s="233" t="s">
        <v>1192</v>
      </c>
      <c r="E18" s="233" t="s">
        <v>1221</v>
      </c>
      <c r="F18" s="193" t="str">
        <f t="shared" si="1"/>
        <v>ETR1000V300-MR1-13A</v>
      </c>
      <c r="G18" s="266" t="str">
        <f t="shared" si="2"/>
        <v>ETR1000V300-MR1-13A-03</v>
      </c>
      <c r="H18" s="203" t="s">
        <v>782</v>
      </c>
      <c r="I18" s="204">
        <v>46113</v>
      </c>
      <c r="J18" s="193" t="str">
        <f t="shared" si="3"/>
        <v>ETR1000V300-MR1-13A</v>
      </c>
      <c r="K18" s="266" t="str">
        <f t="shared" si="4"/>
        <v>ETR1000V300-MR1-13A-03</v>
      </c>
      <c r="L18" s="203" t="str">
        <f t="shared" si="5"/>
        <v>03</v>
      </c>
      <c r="M18" s="204">
        <f t="shared" si="6"/>
        <v>46113</v>
      </c>
      <c r="N18" s="260" t="str">
        <f t="shared" si="15"/>
        <v>ETR1000V300-MR1-13A</v>
      </c>
      <c r="O18" s="235" t="str">
        <f t="shared" si="16"/>
        <v>ETR1000V300-MR1-13A-03</v>
      </c>
      <c r="P18" s="235" t="str">
        <f t="shared" si="17"/>
        <v>03</v>
      </c>
      <c r="Q18" s="262">
        <f t="shared" si="18"/>
        <v>46113</v>
      </c>
      <c r="R18" s="260"/>
      <c r="S18" s="235"/>
      <c r="T18" s="235"/>
      <c r="U18" s="262"/>
      <c r="V18" s="260" t="str">
        <f t="shared" si="19"/>
        <v>ETR1000V300_R1-MR1-13A</v>
      </c>
      <c r="W18" s="261" t="str">
        <f t="shared" si="20"/>
        <v>ETR1000V300_R1-MR1-13A-03</v>
      </c>
      <c r="X18" s="267" t="s">
        <v>782</v>
      </c>
      <c r="Y18" s="262">
        <v>45931</v>
      </c>
      <c r="Z18" s="268" t="str">
        <f t="shared" si="11"/>
        <v>ETR1000V300_R1-MR1-13A</v>
      </c>
      <c r="AA18" s="267" t="str">
        <f t="shared" si="12"/>
        <v>ETR1000V300_R1-MR1-13A-03</v>
      </c>
      <c r="AB18" s="267" t="str">
        <f t="shared" si="13"/>
        <v>03</v>
      </c>
      <c r="AC18" s="269">
        <f t="shared" si="14"/>
        <v>45931</v>
      </c>
    </row>
    <row r="19" spans="1:29" x14ac:dyDescent="0.25">
      <c r="A19" s="270" t="s">
        <v>1222</v>
      </c>
      <c r="B19" s="233" t="str">
        <f t="shared" si="0"/>
        <v>MR1_14A</v>
      </c>
      <c r="C19" s="254" t="s">
        <v>463</v>
      </c>
      <c r="D19" s="233" t="s">
        <v>1192</v>
      </c>
      <c r="E19" s="233" t="s">
        <v>1223</v>
      </c>
      <c r="F19" s="199" t="str">
        <f t="shared" si="1"/>
        <v>ETR1000V300-MR1-14A</v>
      </c>
      <c r="G19" s="266" t="str">
        <f t="shared" si="2"/>
        <v>ETR1000V300-MR1-14A-06</v>
      </c>
      <c r="H19" s="203" t="s">
        <v>1186</v>
      </c>
      <c r="I19" s="204">
        <v>46113</v>
      </c>
      <c r="J19" s="199" t="str">
        <f t="shared" si="3"/>
        <v>ETR1000V300-MR1-14A</v>
      </c>
      <c r="K19" s="266" t="str">
        <f t="shared" si="4"/>
        <v>ETR1000V300-MR1-14A-06</v>
      </c>
      <c r="L19" s="203" t="str">
        <f t="shared" si="5"/>
        <v>06</v>
      </c>
      <c r="M19" s="204">
        <f t="shared" si="6"/>
        <v>46113</v>
      </c>
      <c r="N19" s="260" t="str">
        <f t="shared" si="15"/>
        <v>ETR1000V300-MR1-14A</v>
      </c>
      <c r="O19" s="235" t="str">
        <f t="shared" si="16"/>
        <v>ETR1000V300-MR1-14A-06</v>
      </c>
      <c r="P19" s="235" t="str">
        <f t="shared" si="17"/>
        <v>06</v>
      </c>
      <c r="Q19" s="262">
        <f t="shared" si="18"/>
        <v>46113</v>
      </c>
      <c r="R19" s="260"/>
      <c r="S19" s="235"/>
      <c r="T19" s="235"/>
      <c r="U19" s="262"/>
      <c r="V19" s="260"/>
      <c r="W19" s="261"/>
      <c r="X19" s="267"/>
      <c r="Y19" s="262"/>
      <c r="Z19" s="260"/>
      <c r="AA19" s="235"/>
      <c r="AB19" s="235"/>
      <c r="AC19" s="262"/>
    </row>
    <row r="20" spans="1:29" x14ac:dyDescent="0.25">
      <c r="A20" s="270" t="s">
        <v>1224</v>
      </c>
      <c r="B20" s="233" t="str">
        <f t="shared" si="0"/>
        <v>MR1_14B</v>
      </c>
      <c r="C20" s="254" t="s">
        <v>463</v>
      </c>
      <c r="D20" s="233" t="s">
        <v>1192</v>
      </c>
      <c r="E20" s="233" t="s">
        <v>1225</v>
      </c>
      <c r="F20" s="193" t="str">
        <f t="shared" si="1"/>
        <v>ETR1000V300-MR1-14B</v>
      </c>
      <c r="G20" s="266" t="s">
        <v>15</v>
      </c>
      <c r="H20" s="200" t="s">
        <v>15</v>
      </c>
      <c r="I20" s="196" t="s">
        <v>15</v>
      </c>
      <c r="J20" s="193" t="str">
        <f t="shared" si="3"/>
        <v>ETR1000V300-MR1-14B</v>
      </c>
      <c r="K20" s="266" t="str">
        <f t="shared" si="4"/>
        <v>\</v>
      </c>
      <c r="L20" s="200" t="str">
        <f t="shared" si="5"/>
        <v>\</v>
      </c>
      <c r="M20" s="196" t="str">
        <f t="shared" si="6"/>
        <v>\</v>
      </c>
      <c r="N20" s="260" t="str">
        <f>$G20</f>
        <v>\</v>
      </c>
      <c r="O20" s="235" t="str">
        <f t="shared" si="16"/>
        <v>\</v>
      </c>
      <c r="P20" s="235" t="str">
        <f t="shared" si="17"/>
        <v>\</v>
      </c>
      <c r="Q20" s="262" t="str">
        <f t="shared" si="18"/>
        <v>\</v>
      </c>
      <c r="R20" s="260"/>
      <c r="S20" s="235"/>
      <c r="T20" s="235"/>
      <c r="U20" s="262"/>
      <c r="V20" s="260" t="str">
        <f>CONCATENATE("ETR1000V300_R1-",$D20,"-",$E20)</f>
        <v>ETR1000V300_R1-MR1-14B</v>
      </c>
      <c r="W20" s="261" t="str">
        <f>CONCATENATE(V20,"-",X20)</f>
        <v>ETR1000V300_R1-MR1-14B-03</v>
      </c>
      <c r="X20" s="267" t="s">
        <v>782</v>
      </c>
      <c r="Y20" s="262">
        <v>45992</v>
      </c>
      <c r="Z20" s="268" t="str">
        <f t="shared" ref="Z20:AC21" si="21">V20</f>
        <v>ETR1000V300_R1-MR1-14B</v>
      </c>
      <c r="AA20" s="267" t="str">
        <f t="shared" si="21"/>
        <v>ETR1000V300_R1-MR1-14B-03</v>
      </c>
      <c r="AB20" s="267" t="str">
        <f t="shared" si="21"/>
        <v>03</v>
      </c>
      <c r="AC20" s="269">
        <f t="shared" si="21"/>
        <v>45992</v>
      </c>
    </row>
    <row r="21" spans="1:29" x14ac:dyDescent="0.25">
      <c r="A21" s="270" t="s">
        <v>1226</v>
      </c>
      <c r="B21" s="233" t="str">
        <f t="shared" si="0"/>
        <v>MR1_15A</v>
      </c>
      <c r="C21" s="254" t="s">
        <v>463</v>
      </c>
      <c r="D21" s="233" t="s">
        <v>1192</v>
      </c>
      <c r="E21" s="233" t="s">
        <v>1227</v>
      </c>
      <c r="F21" s="193" t="str">
        <f t="shared" si="1"/>
        <v>ETR1000V300-MR1-15A</v>
      </c>
      <c r="G21" s="266" t="str">
        <f>CONCATENATE(F21,"-",H21)</f>
        <v>ETR1000V300-MR1-15A-06</v>
      </c>
      <c r="H21" s="203" t="s">
        <v>1186</v>
      </c>
      <c r="I21" s="204">
        <v>46113</v>
      </c>
      <c r="J21" s="193" t="str">
        <f t="shared" si="3"/>
        <v>ETR1000V300-MR1-15A</v>
      </c>
      <c r="K21" s="266" t="str">
        <f t="shared" si="4"/>
        <v>ETR1000V300-MR1-15A-06</v>
      </c>
      <c r="L21" s="203" t="str">
        <f t="shared" si="5"/>
        <v>06</v>
      </c>
      <c r="M21" s="204">
        <f t="shared" si="6"/>
        <v>46113</v>
      </c>
      <c r="N21" s="260" t="str">
        <f>$F21</f>
        <v>ETR1000V300-MR1-15A</v>
      </c>
      <c r="O21" s="235" t="str">
        <f t="shared" si="16"/>
        <v>ETR1000V300-MR1-15A-06</v>
      </c>
      <c r="P21" s="235" t="str">
        <f t="shared" si="17"/>
        <v>06</v>
      </c>
      <c r="Q21" s="262">
        <f t="shared" si="18"/>
        <v>46113</v>
      </c>
      <c r="R21" s="260"/>
      <c r="S21" s="235"/>
      <c r="T21" s="235"/>
      <c r="U21" s="262"/>
      <c r="V21" s="260" t="str">
        <f>CONCATENATE("ETR1000V300_R1-",$D21,"-",$E21)</f>
        <v>ETR1000V300_R1-MR1-15A</v>
      </c>
      <c r="W21" s="261" t="str">
        <f>CONCATENATE(V21,"-",X21)</f>
        <v>ETR1000V300_R1-MR1-15A-03</v>
      </c>
      <c r="X21" s="267" t="s">
        <v>782</v>
      </c>
      <c r="Y21" s="276" t="s">
        <v>1195</v>
      </c>
      <c r="Z21" s="268" t="str">
        <f t="shared" si="21"/>
        <v>ETR1000V300_R1-MR1-15A</v>
      </c>
      <c r="AA21" s="267" t="str">
        <f t="shared" si="21"/>
        <v>ETR1000V300_R1-MR1-15A-03</v>
      </c>
      <c r="AB21" s="267" t="str">
        <f t="shared" si="21"/>
        <v>03</v>
      </c>
      <c r="AC21" s="269" t="str">
        <f t="shared" si="21"/>
        <v>gen-2026</v>
      </c>
    </row>
    <row r="22" spans="1:29" x14ac:dyDescent="0.25">
      <c r="A22" s="270" t="s">
        <v>1228</v>
      </c>
      <c r="B22" s="233" t="str">
        <f t="shared" si="0"/>
        <v>MR1_15B</v>
      </c>
      <c r="C22" s="254" t="s">
        <v>463</v>
      </c>
      <c r="D22" s="233" t="s">
        <v>1192</v>
      </c>
      <c r="E22" s="233" t="s">
        <v>1229</v>
      </c>
      <c r="F22" s="193" t="str">
        <f t="shared" si="1"/>
        <v>ETR1000V300-MR1-15B</v>
      </c>
      <c r="G22" s="266" t="s">
        <v>15</v>
      </c>
      <c r="H22" s="194" t="s">
        <v>15</v>
      </c>
      <c r="I22" s="196" t="s">
        <v>15</v>
      </c>
      <c r="J22" s="193" t="str">
        <f t="shared" si="3"/>
        <v>ETR1000V300-MR1-15B</v>
      </c>
      <c r="K22" s="266" t="str">
        <f t="shared" si="4"/>
        <v>\</v>
      </c>
      <c r="L22" s="194" t="str">
        <f t="shared" si="5"/>
        <v>\</v>
      </c>
      <c r="M22" s="196" t="str">
        <f t="shared" si="6"/>
        <v>\</v>
      </c>
      <c r="N22" s="260" t="str">
        <f>$G22</f>
        <v>\</v>
      </c>
      <c r="O22" s="235" t="str">
        <f t="shared" si="16"/>
        <v>\</v>
      </c>
      <c r="P22" s="235" t="str">
        <f t="shared" si="17"/>
        <v>\</v>
      </c>
      <c r="Q22" s="262" t="str">
        <f t="shared" si="18"/>
        <v>\</v>
      </c>
      <c r="R22" s="260"/>
      <c r="S22" s="235"/>
      <c r="T22" s="235"/>
      <c r="U22" s="262"/>
      <c r="V22" s="260"/>
      <c r="W22" s="261"/>
      <c r="X22" s="267"/>
      <c r="Y22" s="262"/>
      <c r="Z22" s="268"/>
      <c r="AA22" s="267"/>
      <c r="AB22" s="267"/>
      <c r="AC22" s="269"/>
    </row>
    <row r="23" spans="1:29" x14ac:dyDescent="0.25">
      <c r="A23" s="270" t="s">
        <v>1230</v>
      </c>
      <c r="B23" s="233" t="str">
        <f t="shared" si="0"/>
        <v>MR1_16A</v>
      </c>
      <c r="C23" s="254" t="s">
        <v>463</v>
      </c>
      <c r="D23" s="233" t="s">
        <v>1192</v>
      </c>
      <c r="E23" s="233" t="s">
        <v>1231</v>
      </c>
      <c r="F23" s="193" t="str">
        <f t="shared" si="1"/>
        <v>ETR1000V300-MR1-16A</v>
      </c>
      <c r="G23" s="266" t="str">
        <f>CONCATENATE(F23,"-",H23)</f>
        <v>ETR1000V300-MR1-16A-07</v>
      </c>
      <c r="H23" s="198" t="s">
        <v>1211</v>
      </c>
      <c r="I23" s="195">
        <v>44228</v>
      </c>
      <c r="J23" s="193" t="str">
        <f t="shared" si="3"/>
        <v>ETR1000V300-MR1-16A</v>
      </c>
      <c r="K23" s="266" t="str">
        <f t="shared" si="4"/>
        <v>ETR1000V300-MR1-16A-07</v>
      </c>
      <c r="L23" s="198" t="str">
        <f t="shared" si="5"/>
        <v>07</v>
      </c>
      <c r="M23" s="195">
        <f t="shared" si="6"/>
        <v>44228</v>
      </c>
      <c r="N23" s="260" t="str">
        <f>$F23</f>
        <v>ETR1000V300-MR1-16A</v>
      </c>
      <c r="O23" s="235" t="str">
        <f t="shared" si="16"/>
        <v>ETR1000V300-MR1-16A-07</v>
      </c>
      <c r="P23" s="235" t="str">
        <f t="shared" si="17"/>
        <v>07</v>
      </c>
      <c r="Q23" s="262">
        <f t="shared" si="18"/>
        <v>44228</v>
      </c>
      <c r="R23" s="260"/>
      <c r="S23" s="235"/>
      <c r="T23" s="235"/>
      <c r="U23" s="262"/>
      <c r="V23" s="260"/>
      <c r="W23" s="261"/>
      <c r="X23" s="267"/>
      <c r="Y23" s="262"/>
      <c r="Z23" s="268"/>
      <c r="AA23" s="267"/>
      <c r="AB23" s="267"/>
      <c r="AC23" s="269"/>
    </row>
    <row r="24" spans="1:29" x14ac:dyDescent="0.25">
      <c r="A24" s="270" t="s">
        <v>1232</v>
      </c>
      <c r="B24" s="233" t="str">
        <f t="shared" si="0"/>
        <v>MR1_18A</v>
      </c>
      <c r="C24" s="254" t="s">
        <v>463</v>
      </c>
      <c r="D24" s="233" t="s">
        <v>1192</v>
      </c>
      <c r="E24" s="233" t="s">
        <v>1233</v>
      </c>
      <c r="F24" s="193" t="str">
        <f t="shared" si="1"/>
        <v>ETR1000V300-MR1-18A</v>
      </c>
      <c r="G24" s="266" t="str">
        <f>CONCATENATE(F24,"-",H24)</f>
        <v>ETR1000V300-MR1-18A-05</v>
      </c>
      <c r="H24" s="203" t="s">
        <v>1194</v>
      </c>
      <c r="I24" s="204">
        <v>46113</v>
      </c>
      <c r="J24" s="193" t="str">
        <f t="shared" si="3"/>
        <v>ETR1000V300-MR1-18A</v>
      </c>
      <c r="K24" s="266" t="str">
        <f t="shared" si="4"/>
        <v>ETR1000V300-MR1-18A-05</v>
      </c>
      <c r="L24" s="203" t="str">
        <f t="shared" si="5"/>
        <v>05</v>
      </c>
      <c r="M24" s="204">
        <f t="shared" si="6"/>
        <v>46113</v>
      </c>
      <c r="N24" s="260" t="str">
        <f>$F24</f>
        <v>ETR1000V300-MR1-18A</v>
      </c>
      <c r="O24" s="235" t="str">
        <f t="shared" si="16"/>
        <v>ETR1000V300-MR1-18A-05</v>
      </c>
      <c r="P24" s="235" t="str">
        <f t="shared" si="17"/>
        <v>05</v>
      </c>
      <c r="Q24" s="262">
        <f t="shared" si="18"/>
        <v>46113</v>
      </c>
      <c r="R24" s="260"/>
      <c r="S24" s="235"/>
      <c r="T24" s="235"/>
      <c r="U24" s="262"/>
      <c r="V24" s="260" t="str">
        <f>CONCATENATE("ETR1000V300_R1-",$D24,"-",$E24)</f>
        <v>ETR1000V300_R1-MR1-18A</v>
      </c>
      <c r="W24" s="261" t="str">
        <f>CONCATENATE(V24,"-",X24)</f>
        <v>ETR1000V300_R1-MR1-18A-03</v>
      </c>
      <c r="X24" s="267" t="s">
        <v>782</v>
      </c>
      <c r="Y24" s="262">
        <v>45931</v>
      </c>
      <c r="Z24" s="268" t="str">
        <f t="shared" ref="Z24:AC28" si="22">V24</f>
        <v>ETR1000V300_R1-MR1-18A</v>
      </c>
      <c r="AA24" s="267" t="str">
        <f t="shared" si="22"/>
        <v>ETR1000V300_R1-MR1-18A-03</v>
      </c>
      <c r="AB24" s="267" t="str">
        <f t="shared" si="22"/>
        <v>03</v>
      </c>
      <c r="AC24" s="269">
        <f t="shared" si="22"/>
        <v>45931</v>
      </c>
    </row>
    <row r="25" spans="1:29" x14ac:dyDescent="0.25">
      <c r="A25" s="270" t="s">
        <v>1234</v>
      </c>
      <c r="B25" s="233" t="str">
        <f t="shared" si="0"/>
        <v>MR1_20A</v>
      </c>
      <c r="C25" s="254" t="s">
        <v>463</v>
      </c>
      <c r="D25" s="233" t="s">
        <v>1192</v>
      </c>
      <c r="E25" s="233" t="s">
        <v>1235</v>
      </c>
      <c r="F25" s="171" t="str">
        <f t="shared" si="1"/>
        <v>ETR1000V300-MR1-20A</v>
      </c>
      <c r="G25" s="266" t="str">
        <f>CONCATENATE(F25,"-",H25)</f>
        <v>ETR1000V300-MR1-20A-03</v>
      </c>
      <c r="H25" s="197" t="s">
        <v>782</v>
      </c>
      <c r="I25" s="196" t="s">
        <v>1236</v>
      </c>
      <c r="J25" s="171" t="str">
        <f t="shared" si="3"/>
        <v>ETR1000V300-MR1-20A</v>
      </c>
      <c r="K25" s="266" t="str">
        <f t="shared" si="4"/>
        <v>ETR1000V300-MR1-20A-03</v>
      </c>
      <c r="L25" s="197" t="str">
        <f t="shared" si="5"/>
        <v>03</v>
      </c>
      <c r="M25" s="196" t="str">
        <f t="shared" si="6"/>
        <v>giu-20</v>
      </c>
      <c r="N25" s="272" t="s">
        <v>15</v>
      </c>
      <c r="O25" s="235" t="s">
        <v>15</v>
      </c>
      <c r="P25" s="235" t="s">
        <v>15</v>
      </c>
      <c r="Q25" s="262" t="s">
        <v>15</v>
      </c>
      <c r="R25" s="260"/>
      <c r="S25" s="235"/>
      <c r="T25" s="235"/>
      <c r="U25" s="262"/>
      <c r="V25" s="260" t="str">
        <f>CONCATENATE("ETR1000V300_R1-",$D25,"-",$E25)</f>
        <v>ETR1000V300_R1-MR1-20A</v>
      </c>
      <c r="W25" s="261" t="str">
        <f>CONCATENATE(V25,"-",X25)</f>
        <v>ETR1000V300_R1-MR1-20A-05</v>
      </c>
      <c r="X25" s="267" t="s">
        <v>1194</v>
      </c>
      <c r="Y25" s="276" t="s">
        <v>1195</v>
      </c>
      <c r="Z25" s="268" t="str">
        <f t="shared" si="22"/>
        <v>ETR1000V300_R1-MR1-20A</v>
      </c>
      <c r="AA25" s="267" t="str">
        <f t="shared" si="22"/>
        <v>ETR1000V300_R1-MR1-20A-05</v>
      </c>
      <c r="AB25" s="267" t="str">
        <f t="shared" si="22"/>
        <v>05</v>
      </c>
      <c r="AC25" s="269" t="str">
        <f t="shared" si="22"/>
        <v>gen-2026</v>
      </c>
    </row>
    <row r="26" spans="1:29" x14ac:dyDescent="0.25">
      <c r="A26" s="270" t="s">
        <v>1237</v>
      </c>
      <c r="B26" s="233" t="str">
        <f t="shared" si="0"/>
        <v>MR1_20B</v>
      </c>
      <c r="C26" s="254" t="s">
        <v>463</v>
      </c>
      <c r="D26" s="233" t="s">
        <v>1192</v>
      </c>
      <c r="E26" s="233" t="s">
        <v>1238</v>
      </c>
      <c r="F26" s="171" t="str">
        <f t="shared" si="1"/>
        <v>ETR1000V300-MR1-20B</v>
      </c>
      <c r="G26" s="266" t="str">
        <f>CONCATENATE(F26,"-",H26)</f>
        <v>ETR1000V300-MR1-20B-01</v>
      </c>
      <c r="H26" s="197" t="s">
        <v>663</v>
      </c>
      <c r="I26" s="196" t="s">
        <v>1239</v>
      </c>
      <c r="J26" s="171" t="str">
        <f t="shared" si="3"/>
        <v>ETR1000V300-MR1-20B</v>
      </c>
      <c r="K26" s="266" t="str">
        <f t="shared" si="4"/>
        <v>ETR1000V300-MR1-20B-01</v>
      </c>
      <c r="L26" s="197" t="str">
        <f t="shared" si="5"/>
        <v>01</v>
      </c>
      <c r="M26" s="196" t="str">
        <f t="shared" si="6"/>
        <v>lug-17</v>
      </c>
      <c r="N26" s="272" t="s">
        <v>15</v>
      </c>
      <c r="O26" s="235" t="s">
        <v>15</v>
      </c>
      <c r="P26" s="235" t="s">
        <v>15</v>
      </c>
      <c r="Q26" s="262" t="s">
        <v>15</v>
      </c>
      <c r="R26" s="260"/>
      <c r="S26" s="235"/>
      <c r="T26" s="235"/>
      <c r="U26" s="262"/>
      <c r="V26" s="260" t="str">
        <f>CONCATENATE("ETR1000V300_R1-",$D26,"-",$E26)</f>
        <v>ETR1000V300_R1-MR1-20B</v>
      </c>
      <c r="W26" s="261" t="str">
        <f>CONCATENATE(V26,"-",X26)</f>
        <v>ETR1000V300_R1-MR1-20B-02</v>
      </c>
      <c r="X26" s="267" t="s">
        <v>775</v>
      </c>
      <c r="Y26" s="262">
        <v>45931</v>
      </c>
      <c r="Z26" s="268" t="str">
        <f t="shared" si="22"/>
        <v>ETR1000V300_R1-MR1-20B</v>
      </c>
      <c r="AA26" s="267" t="str">
        <f t="shared" si="22"/>
        <v>ETR1000V300_R1-MR1-20B-02</v>
      </c>
      <c r="AB26" s="267" t="str">
        <f t="shared" si="22"/>
        <v>02</v>
      </c>
      <c r="AC26" s="269">
        <f t="shared" si="22"/>
        <v>45931</v>
      </c>
    </row>
    <row r="27" spans="1:29" x14ac:dyDescent="0.25">
      <c r="A27" s="270" t="s">
        <v>1240</v>
      </c>
      <c r="B27" s="233" t="str">
        <f t="shared" si="0"/>
        <v>MR1_20C</v>
      </c>
      <c r="C27" s="254" t="s">
        <v>463</v>
      </c>
      <c r="D27" s="233" t="s">
        <v>1192</v>
      </c>
      <c r="E27" s="233" t="s">
        <v>1241</v>
      </c>
      <c r="F27" s="193" t="s">
        <v>15</v>
      </c>
      <c r="G27" s="266" t="s">
        <v>15</v>
      </c>
      <c r="H27" s="197" t="s">
        <v>15</v>
      </c>
      <c r="I27" s="196" t="s">
        <v>15</v>
      </c>
      <c r="J27" s="193" t="str">
        <f t="shared" si="3"/>
        <v>\</v>
      </c>
      <c r="K27" s="266" t="str">
        <f t="shared" si="4"/>
        <v>\</v>
      </c>
      <c r="L27" s="197" t="str">
        <f t="shared" si="5"/>
        <v>\</v>
      </c>
      <c r="M27" s="196" t="str">
        <f t="shared" si="6"/>
        <v>\</v>
      </c>
      <c r="N27" s="272" t="str">
        <f>CONCATENATE("ETR1000V300_FR-",$D27,"-",$E27)</f>
        <v>ETR1000V300_FR-MR1-20C</v>
      </c>
      <c r="O27" s="261" t="str">
        <f>CONCATENATE(N27,"-",P27)</f>
        <v>ETR1000V300_FR-MR1-20C-02</v>
      </c>
      <c r="P27" s="267" t="s">
        <v>775</v>
      </c>
      <c r="Q27" s="262">
        <v>44409</v>
      </c>
      <c r="R27" s="260"/>
      <c r="S27" s="235"/>
      <c r="T27" s="235"/>
      <c r="U27" s="262"/>
      <c r="V27" s="260" t="s">
        <v>15</v>
      </c>
      <c r="W27" s="261" t="s">
        <v>15</v>
      </c>
      <c r="X27" s="267" t="s">
        <v>15</v>
      </c>
      <c r="Y27" s="262" t="s">
        <v>15</v>
      </c>
      <c r="Z27" s="268" t="str">
        <f t="shared" si="22"/>
        <v>\</v>
      </c>
      <c r="AA27" s="267" t="str">
        <f t="shared" si="22"/>
        <v>\</v>
      </c>
      <c r="AB27" s="267" t="str">
        <f t="shared" si="22"/>
        <v>\</v>
      </c>
      <c r="AC27" s="269" t="str">
        <f t="shared" si="22"/>
        <v>\</v>
      </c>
    </row>
    <row r="28" spans="1:29" x14ac:dyDescent="0.25">
      <c r="A28" s="270" t="s">
        <v>1242</v>
      </c>
      <c r="B28" s="233" t="str">
        <f t="shared" si="0"/>
        <v>MR1_20D</v>
      </c>
      <c r="C28" s="254" t="s">
        <v>463</v>
      </c>
      <c r="D28" s="233" t="s">
        <v>1192</v>
      </c>
      <c r="E28" s="233" t="s">
        <v>1243</v>
      </c>
      <c r="F28" s="193" t="s">
        <v>15</v>
      </c>
      <c r="G28" s="266" t="s">
        <v>15</v>
      </c>
      <c r="H28" s="197" t="s">
        <v>15</v>
      </c>
      <c r="I28" s="196" t="s">
        <v>15</v>
      </c>
      <c r="J28" s="193" t="str">
        <f t="shared" si="3"/>
        <v>\</v>
      </c>
      <c r="K28" s="266" t="str">
        <f t="shared" si="4"/>
        <v>\</v>
      </c>
      <c r="L28" s="197" t="str">
        <f t="shared" si="5"/>
        <v>\</v>
      </c>
      <c r="M28" s="196" t="str">
        <f t="shared" si="6"/>
        <v>\</v>
      </c>
      <c r="N28" s="272" t="str">
        <f>CONCATENATE("ETR1000V300_FR-",$D28,"-",$E28)</f>
        <v>ETR1000V300_FR-MR1-20D</v>
      </c>
      <c r="O28" s="261" t="str">
        <f>CONCATENATE(N28,"-",P28)</f>
        <v>ETR1000V300_FR-MR1-20D-01</v>
      </c>
      <c r="P28" s="267" t="s">
        <v>663</v>
      </c>
      <c r="Q28" s="262">
        <v>44136</v>
      </c>
      <c r="R28" s="260"/>
      <c r="S28" s="235"/>
      <c r="T28" s="235"/>
      <c r="U28" s="262"/>
      <c r="V28" s="260" t="s">
        <v>15</v>
      </c>
      <c r="W28" s="261" t="s">
        <v>15</v>
      </c>
      <c r="X28" s="267" t="s">
        <v>15</v>
      </c>
      <c r="Y28" s="262" t="s">
        <v>15</v>
      </c>
      <c r="Z28" s="268" t="str">
        <f t="shared" si="22"/>
        <v>\</v>
      </c>
      <c r="AA28" s="267" t="str">
        <f t="shared" si="22"/>
        <v>\</v>
      </c>
      <c r="AB28" s="267" t="str">
        <f t="shared" si="22"/>
        <v>\</v>
      </c>
      <c r="AC28" s="269" t="str">
        <f t="shared" si="22"/>
        <v>\</v>
      </c>
    </row>
    <row r="29" spans="1:29" s="83" customFormat="1" ht="30" customHeight="1" x14ac:dyDescent="0.25">
      <c r="A29" s="278" t="s">
        <v>1244</v>
      </c>
      <c r="B29" s="279" t="str">
        <f t="shared" si="0"/>
        <v>MR1_20A_ALA</v>
      </c>
      <c r="C29" s="254" t="s">
        <v>463</v>
      </c>
      <c r="D29" s="279" t="s">
        <v>1192</v>
      </c>
      <c r="E29" s="271" t="s">
        <v>1245</v>
      </c>
      <c r="F29" s="171" t="str">
        <f t="shared" ref="F29:F46" si="23">CONCATENATE("ETR1000V300-",$D29,"-",$E29)</f>
        <v>ETR1000V300-MR1-20A_ALA</v>
      </c>
      <c r="G29" s="266" t="str">
        <f t="shared" ref="G29:G46" si="24">CONCATENATE(F29,"-",H29)</f>
        <v>ETR1000V300-MR1-20A_ALA-08</v>
      </c>
      <c r="H29" s="198" t="s">
        <v>1193</v>
      </c>
      <c r="I29" s="280">
        <v>43966</v>
      </c>
      <c r="J29" s="171" t="str">
        <f t="shared" si="3"/>
        <v>ETR1000V300-MR1-20A_ALA</v>
      </c>
      <c r="K29" s="266" t="str">
        <f t="shared" si="4"/>
        <v>ETR1000V300-MR1-20A_ALA-08</v>
      </c>
      <c r="L29" s="198" t="str">
        <f t="shared" si="5"/>
        <v>08</v>
      </c>
      <c r="M29" s="280">
        <f t="shared" si="6"/>
        <v>43966</v>
      </c>
      <c r="N29" s="281" t="s">
        <v>15</v>
      </c>
      <c r="O29" s="282" t="s">
        <v>15</v>
      </c>
      <c r="P29" s="282" t="s">
        <v>15</v>
      </c>
      <c r="Q29" s="277" t="s">
        <v>15</v>
      </c>
      <c r="R29" s="283"/>
      <c r="S29" s="284"/>
      <c r="T29" s="284"/>
      <c r="U29" s="285"/>
      <c r="V29" s="260"/>
      <c r="W29" s="261"/>
      <c r="X29" s="267"/>
      <c r="Y29" s="262"/>
      <c r="Z29" s="283"/>
      <c r="AA29" s="284"/>
      <c r="AB29" s="284"/>
      <c r="AC29" s="285"/>
    </row>
    <row r="30" spans="1:29" s="83" customFormat="1" ht="30" customHeight="1" x14ac:dyDescent="0.25">
      <c r="A30" s="278" t="s">
        <v>1246</v>
      </c>
      <c r="B30" s="279" t="str">
        <f t="shared" si="0"/>
        <v>MR1_20A_ELO</v>
      </c>
      <c r="C30" s="254" t="s">
        <v>463</v>
      </c>
      <c r="D30" s="279" t="s">
        <v>1192</v>
      </c>
      <c r="E30" s="271" t="s">
        <v>1247</v>
      </c>
      <c r="F30" s="193" t="str">
        <f t="shared" si="23"/>
        <v>ETR1000V300-MR1-20A_ELO</v>
      </c>
      <c r="G30" s="266" t="str">
        <f t="shared" si="24"/>
        <v>ETR1000V300-MR1-20A_ELO-05</v>
      </c>
      <c r="H30" s="203" t="s">
        <v>1194</v>
      </c>
      <c r="I30" s="204">
        <v>46113</v>
      </c>
      <c r="J30" s="193" t="str">
        <f t="shared" si="3"/>
        <v>ETR1000V300-MR1-20A_ELO</v>
      </c>
      <c r="K30" s="266" t="str">
        <f t="shared" si="4"/>
        <v>ETR1000V300-MR1-20A_ELO-05</v>
      </c>
      <c r="L30" s="203" t="str">
        <f t="shared" si="5"/>
        <v>05</v>
      </c>
      <c r="M30" s="204">
        <f t="shared" si="6"/>
        <v>46113</v>
      </c>
      <c r="N30" s="281" t="s">
        <v>15</v>
      </c>
      <c r="O30" s="282" t="s">
        <v>15</v>
      </c>
      <c r="P30" s="282" t="s">
        <v>15</v>
      </c>
      <c r="Q30" s="277" t="s">
        <v>15</v>
      </c>
      <c r="R30" s="283"/>
      <c r="S30" s="284"/>
      <c r="T30" s="284"/>
      <c r="U30" s="285"/>
      <c r="V30" s="260"/>
      <c r="W30" s="261"/>
      <c r="X30" s="267"/>
      <c r="Y30" s="262"/>
      <c r="Z30" s="283"/>
      <c r="AA30" s="284"/>
      <c r="AB30" s="284"/>
      <c r="AC30" s="285"/>
    </row>
    <row r="31" spans="1:29" s="83" customFormat="1" ht="30" customHeight="1" x14ac:dyDescent="0.25">
      <c r="A31" s="278" t="s">
        <v>1248</v>
      </c>
      <c r="B31" s="279" t="str">
        <f t="shared" si="0"/>
        <v>MR1_20B_ELO</v>
      </c>
      <c r="C31" s="254" t="s">
        <v>463</v>
      </c>
      <c r="D31" s="279" t="s">
        <v>1192</v>
      </c>
      <c r="E31" s="271" t="s">
        <v>1249</v>
      </c>
      <c r="F31" s="193" t="str">
        <f t="shared" si="23"/>
        <v>ETR1000V300-MR1-20B_ELO</v>
      </c>
      <c r="G31" s="266" t="str">
        <f t="shared" si="24"/>
        <v>ETR1000V300-MR1-20B_ELO-02</v>
      </c>
      <c r="H31" s="203" t="s">
        <v>775</v>
      </c>
      <c r="I31" s="204">
        <v>45717</v>
      </c>
      <c r="J31" s="193" t="str">
        <f t="shared" si="3"/>
        <v>ETR1000V300-MR1-20B_ELO</v>
      </c>
      <c r="K31" s="266" t="str">
        <f t="shared" si="4"/>
        <v>ETR1000V300-MR1-20B_ELO-02</v>
      </c>
      <c r="L31" s="203" t="str">
        <f t="shared" si="5"/>
        <v>02</v>
      </c>
      <c r="M31" s="204">
        <f t="shared" si="6"/>
        <v>45717</v>
      </c>
      <c r="N31" s="281" t="s">
        <v>15</v>
      </c>
      <c r="O31" s="282" t="s">
        <v>15</v>
      </c>
      <c r="P31" s="282" t="s">
        <v>15</v>
      </c>
      <c r="Q31" s="277" t="s">
        <v>15</v>
      </c>
      <c r="R31" s="283"/>
      <c r="S31" s="284"/>
      <c r="T31" s="284"/>
      <c r="U31" s="285"/>
      <c r="V31" s="260"/>
      <c r="W31" s="261"/>
      <c r="X31" s="267"/>
      <c r="Y31" s="262"/>
      <c r="Z31" s="283"/>
      <c r="AA31" s="284"/>
      <c r="AB31" s="284"/>
      <c r="AC31" s="285"/>
    </row>
    <row r="32" spans="1:29" s="83" customFormat="1" ht="30" customHeight="1" x14ac:dyDescent="0.25">
      <c r="A32" s="286" t="s">
        <v>1250</v>
      </c>
      <c r="B32" s="279" t="str">
        <f t="shared" si="0"/>
        <v>MR1_31A_JRU</v>
      </c>
      <c r="C32" s="254" t="s">
        <v>463</v>
      </c>
      <c r="D32" s="279" t="s">
        <v>1192</v>
      </c>
      <c r="E32" s="271" t="s">
        <v>1251</v>
      </c>
      <c r="F32" s="171" t="str">
        <f t="shared" si="23"/>
        <v>ETR1000V300-MR1-31A_JRU</v>
      </c>
      <c r="G32" s="266" t="str">
        <f t="shared" si="24"/>
        <v>ETR1000V300-MR1-31A_JRU-\</v>
      </c>
      <c r="H32" s="200" t="s">
        <v>15</v>
      </c>
      <c r="I32" s="280">
        <v>44256</v>
      </c>
      <c r="J32" s="171" t="str">
        <f t="shared" si="3"/>
        <v>ETR1000V300-MR1-31A_JRU</v>
      </c>
      <c r="K32" s="266" t="str">
        <f t="shared" si="4"/>
        <v>ETR1000V300-MR1-31A_JRU-\</v>
      </c>
      <c r="L32" s="200" t="str">
        <f t="shared" si="5"/>
        <v>\</v>
      </c>
      <c r="M32" s="280">
        <f t="shared" si="6"/>
        <v>44256</v>
      </c>
      <c r="N32" s="281" t="s">
        <v>15</v>
      </c>
      <c r="O32" s="282" t="s">
        <v>15</v>
      </c>
      <c r="P32" s="282" t="s">
        <v>15</v>
      </c>
      <c r="Q32" s="277" t="s">
        <v>15</v>
      </c>
      <c r="R32" s="283"/>
      <c r="S32" s="284"/>
      <c r="T32" s="284"/>
      <c r="U32" s="285"/>
      <c r="V32" s="260"/>
      <c r="W32" s="261"/>
      <c r="X32" s="267"/>
      <c r="Y32" s="262"/>
      <c r="Z32" s="283"/>
      <c r="AA32" s="284"/>
      <c r="AB32" s="284"/>
      <c r="AC32" s="285"/>
    </row>
    <row r="33" spans="1:29" x14ac:dyDescent="0.25">
      <c r="A33" s="270" t="s">
        <v>1252</v>
      </c>
      <c r="B33" s="233" t="str">
        <f t="shared" si="0"/>
        <v>MR1_31A</v>
      </c>
      <c r="C33" s="254" t="s">
        <v>463</v>
      </c>
      <c r="D33" s="233" t="s">
        <v>1192</v>
      </c>
      <c r="E33" s="233" t="s">
        <v>1253</v>
      </c>
      <c r="F33" s="193" t="str">
        <f t="shared" si="23"/>
        <v>ETR1000V300-MR1-31A</v>
      </c>
      <c r="G33" s="266" t="str">
        <f t="shared" si="24"/>
        <v>ETR1000V300-MR1-31A-02</v>
      </c>
      <c r="H33" s="197" t="s">
        <v>775</v>
      </c>
      <c r="I33" s="196" t="s">
        <v>1254</v>
      </c>
      <c r="J33" s="193" t="str">
        <f t="shared" si="3"/>
        <v>ETR1000V300-MR1-31A</v>
      </c>
      <c r="K33" s="266" t="str">
        <f t="shared" si="4"/>
        <v>ETR1000V300-MR1-31A-02</v>
      </c>
      <c r="L33" s="197" t="str">
        <f t="shared" si="5"/>
        <v>02</v>
      </c>
      <c r="M33" s="196" t="str">
        <f t="shared" si="6"/>
        <v>gen-18</v>
      </c>
      <c r="N33" s="272" t="str">
        <f>CONCATENATE("ETR1000V300_FR-",$D33,"-",$E33)</f>
        <v>ETR1000V300_FR-MR1-31A</v>
      </c>
      <c r="O33" s="261" t="str">
        <f>CONCATENATE(N33,"-",P33)</f>
        <v>ETR1000V300_FR-MR1-31A-01</v>
      </c>
      <c r="P33" s="267" t="s">
        <v>663</v>
      </c>
      <c r="Q33" s="262">
        <v>44136</v>
      </c>
      <c r="R33" s="260"/>
      <c r="S33" s="235"/>
      <c r="T33" s="235"/>
      <c r="U33" s="262"/>
      <c r="V33" s="260" t="str">
        <f t="shared" ref="V33:V38" si="25">CONCATENATE("ETR1000V300_R1-",$D33,"-",$E33)</f>
        <v>ETR1000V300_R1-MR1-31A</v>
      </c>
      <c r="W33" s="261" t="str">
        <f t="shared" ref="W33:W38" si="26">CONCATENATE(V33,"-",X33)</f>
        <v>ETR1000V300_R1-MR1-31A-04</v>
      </c>
      <c r="X33" s="267" t="s">
        <v>667</v>
      </c>
      <c r="Y33" s="276" t="s">
        <v>1195</v>
      </c>
      <c r="Z33" s="268" t="str">
        <f t="shared" ref="Z33:AC38" si="27">V33</f>
        <v>ETR1000V300_R1-MR1-31A</v>
      </c>
      <c r="AA33" s="267" t="str">
        <f t="shared" si="27"/>
        <v>ETR1000V300_R1-MR1-31A-04</v>
      </c>
      <c r="AB33" s="267" t="str">
        <f t="shared" si="27"/>
        <v>04</v>
      </c>
      <c r="AC33" s="269" t="str">
        <f t="shared" si="27"/>
        <v>gen-2026</v>
      </c>
    </row>
    <row r="34" spans="1:29" x14ac:dyDescent="0.25">
      <c r="A34" s="270" t="s">
        <v>1191</v>
      </c>
      <c r="B34" s="233" t="str">
        <f t="shared" si="0"/>
        <v>MR2_01A</v>
      </c>
      <c r="C34" s="254" t="s">
        <v>463</v>
      </c>
      <c r="D34" s="233" t="s">
        <v>1255</v>
      </c>
      <c r="E34" s="233" t="s">
        <v>1185</v>
      </c>
      <c r="F34" s="193" t="str">
        <f t="shared" si="23"/>
        <v>ETR1000V300-MR2-01A</v>
      </c>
      <c r="G34" s="266" t="str">
        <f t="shared" si="24"/>
        <v>ETR1000V300-MR2-01A-07</v>
      </c>
      <c r="H34" s="207" t="s">
        <v>1211</v>
      </c>
      <c r="I34" s="204">
        <v>46113</v>
      </c>
      <c r="J34" s="193" t="str">
        <f t="shared" si="3"/>
        <v>ETR1000V300-MR2-01A</v>
      </c>
      <c r="K34" s="266" t="str">
        <f t="shared" si="4"/>
        <v>ETR1000V300-MR2-01A-07</v>
      </c>
      <c r="L34" s="207" t="str">
        <f t="shared" si="5"/>
        <v>07</v>
      </c>
      <c r="M34" s="204">
        <f t="shared" si="6"/>
        <v>46113</v>
      </c>
      <c r="N34" s="272" t="str">
        <f>CONCATENATE("ETR1000V300_FR-",$D34,"-",$E34)</f>
        <v>ETR1000V300_FR-MR2-01A</v>
      </c>
      <c r="O34" s="261" t="str">
        <f>CONCATENATE(N34,"-",P34)</f>
        <v>ETR1000V300_FR-MR2-01A-01</v>
      </c>
      <c r="P34" s="267" t="s">
        <v>663</v>
      </c>
      <c r="Q34" s="262">
        <v>44105</v>
      </c>
      <c r="R34" s="260"/>
      <c r="S34" s="235"/>
      <c r="T34" s="235"/>
      <c r="U34" s="262"/>
      <c r="V34" s="260" t="str">
        <f t="shared" si="25"/>
        <v>ETR1000V300_R1-MR2-01A</v>
      </c>
      <c r="W34" s="261" t="str">
        <f t="shared" si="26"/>
        <v>ETR1000V300_R1-MR2-01A-02</v>
      </c>
      <c r="X34" s="267" t="s">
        <v>775</v>
      </c>
      <c r="Y34" s="287">
        <v>45809</v>
      </c>
      <c r="Z34" s="260" t="str">
        <f t="shared" si="27"/>
        <v>ETR1000V300_R1-MR2-01A</v>
      </c>
      <c r="AA34" s="235" t="str">
        <f t="shared" si="27"/>
        <v>ETR1000V300_R1-MR2-01A-02</v>
      </c>
      <c r="AB34" s="235" t="str">
        <f t="shared" si="27"/>
        <v>02</v>
      </c>
      <c r="AC34" s="262">
        <f t="shared" si="27"/>
        <v>45809</v>
      </c>
    </row>
    <row r="35" spans="1:29" x14ac:dyDescent="0.25">
      <c r="A35" s="270" t="s">
        <v>1196</v>
      </c>
      <c r="B35" s="233" t="str">
        <f t="shared" ref="B35:B66" si="28">CONCATENATE(D35,"_",E35)</f>
        <v>MR2_02A</v>
      </c>
      <c r="C35" s="254" t="s">
        <v>463</v>
      </c>
      <c r="D35" s="233" t="s">
        <v>1255</v>
      </c>
      <c r="E35" s="233" t="s">
        <v>1197</v>
      </c>
      <c r="F35" s="193" t="str">
        <f t="shared" si="23"/>
        <v>ETR1000V300-MR2-02A</v>
      </c>
      <c r="G35" s="266" t="str">
        <f t="shared" si="24"/>
        <v>ETR1000V300-MR2-02A-13</v>
      </c>
      <c r="H35" s="207">
        <v>13</v>
      </c>
      <c r="I35" s="204">
        <v>46113</v>
      </c>
      <c r="J35" s="193" t="str">
        <f t="shared" ref="J35:J66" si="29">$F35</f>
        <v>ETR1000V300-MR2-02A</v>
      </c>
      <c r="K35" s="266" t="str">
        <f t="shared" ref="K35:K66" si="30">$G35</f>
        <v>ETR1000V300-MR2-02A-13</v>
      </c>
      <c r="L35" s="207">
        <f t="shared" ref="L35:L66" si="31">$H35</f>
        <v>13</v>
      </c>
      <c r="M35" s="204">
        <f t="shared" ref="M35:M66" si="32">$I35</f>
        <v>46113</v>
      </c>
      <c r="N35" s="272" t="str">
        <f>CONCATENATE("ETR1000V300_FR-",$D35,"-",$E35)</f>
        <v>ETR1000V300_FR-MR2-02A</v>
      </c>
      <c r="O35" s="261" t="str">
        <f>CONCATENATE(N35,"-",P35)</f>
        <v>ETR1000V300_FR-MR2-02A-03</v>
      </c>
      <c r="P35" s="267" t="s">
        <v>782</v>
      </c>
      <c r="Q35" s="262">
        <v>44713</v>
      </c>
      <c r="R35" s="260"/>
      <c r="S35" s="235"/>
      <c r="T35" s="235"/>
      <c r="U35" s="262"/>
      <c r="V35" s="260" t="str">
        <f t="shared" si="25"/>
        <v>ETR1000V300_R1-MR2-02A</v>
      </c>
      <c r="W35" s="261" t="str">
        <f t="shared" si="26"/>
        <v>ETR1000V300_R1-MR2-02A-04</v>
      </c>
      <c r="X35" s="267" t="s">
        <v>667</v>
      </c>
      <c r="Y35" s="287">
        <v>45901</v>
      </c>
      <c r="Z35" s="260" t="str">
        <f t="shared" si="27"/>
        <v>ETR1000V300_R1-MR2-02A</v>
      </c>
      <c r="AA35" s="235" t="str">
        <f t="shared" si="27"/>
        <v>ETR1000V300_R1-MR2-02A-04</v>
      </c>
      <c r="AB35" s="235" t="str">
        <f t="shared" si="27"/>
        <v>04</v>
      </c>
      <c r="AC35" s="262">
        <f t="shared" si="27"/>
        <v>45901</v>
      </c>
    </row>
    <row r="36" spans="1:29" x14ac:dyDescent="0.25">
      <c r="A36" s="270" t="s">
        <v>1198</v>
      </c>
      <c r="B36" s="233" t="str">
        <f t="shared" si="28"/>
        <v>MR2_03A</v>
      </c>
      <c r="C36" s="254" t="s">
        <v>463</v>
      </c>
      <c r="D36" s="233" t="s">
        <v>1255</v>
      </c>
      <c r="E36" s="233" t="s">
        <v>1199</v>
      </c>
      <c r="F36" s="193" t="str">
        <f t="shared" si="23"/>
        <v>ETR1000V300-MR2-03A</v>
      </c>
      <c r="G36" s="266" t="str">
        <f t="shared" si="24"/>
        <v>ETR1000V300-MR2-03A-06</v>
      </c>
      <c r="H36" s="207" t="s">
        <v>1186</v>
      </c>
      <c r="I36" s="204">
        <v>46113</v>
      </c>
      <c r="J36" s="193" t="str">
        <f t="shared" si="29"/>
        <v>ETR1000V300-MR2-03A</v>
      </c>
      <c r="K36" s="266" t="str">
        <f t="shared" si="30"/>
        <v>ETR1000V300-MR2-03A-06</v>
      </c>
      <c r="L36" s="207" t="str">
        <f t="shared" si="31"/>
        <v>06</v>
      </c>
      <c r="M36" s="204">
        <f t="shared" si="32"/>
        <v>46113</v>
      </c>
      <c r="N36" s="272" t="str">
        <f>CONCATENATE("ETR1000V300_FR-",$D36,"-",$E36)</f>
        <v>ETR1000V300_FR-MR2-03A</v>
      </c>
      <c r="O36" s="261" t="str">
        <f>CONCATENATE(N36,"-",P36)</f>
        <v>ETR1000V300_FR-MR2-03A-02</v>
      </c>
      <c r="P36" s="267" t="s">
        <v>775</v>
      </c>
      <c r="Q36" s="262">
        <v>44713</v>
      </c>
      <c r="R36" s="260"/>
      <c r="S36" s="235"/>
      <c r="T36" s="235"/>
      <c r="U36" s="262"/>
      <c r="V36" s="260" t="str">
        <f t="shared" si="25"/>
        <v>ETR1000V300_R1-MR2-03A</v>
      </c>
      <c r="W36" s="261" t="str">
        <f t="shared" si="26"/>
        <v>ETR1000V300_R1-MR2-03A-02</v>
      </c>
      <c r="X36" s="267" t="s">
        <v>775</v>
      </c>
      <c r="Y36" s="287">
        <v>45809</v>
      </c>
      <c r="Z36" s="260" t="str">
        <f t="shared" si="27"/>
        <v>ETR1000V300_R1-MR2-03A</v>
      </c>
      <c r="AA36" s="235" t="str">
        <f t="shared" si="27"/>
        <v>ETR1000V300_R1-MR2-03A-02</v>
      </c>
      <c r="AB36" s="235" t="str">
        <f t="shared" si="27"/>
        <v>02</v>
      </c>
      <c r="AC36" s="262">
        <f t="shared" si="27"/>
        <v>45809</v>
      </c>
    </row>
    <row r="37" spans="1:29" x14ac:dyDescent="0.25">
      <c r="A37" s="270" t="s">
        <v>1200</v>
      </c>
      <c r="B37" s="233" t="str">
        <f t="shared" si="28"/>
        <v>MR2_04A</v>
      </c>
      <c r="C37" s="254" t="s">
        <v>463</v>
      </c>
      <c r="D37" s="233" t="s">
        <v>1255</v>
      </c>
      <c r="E37" s="271" t="s">
        <v>1201</v>
      </c>
      <c r="F37" s="193" t="str">
        <f t="shared" si="23"/>
        <v>ETR1000V300-MR2-04A</v>
      </c>
      <c r="G37" s="266" t="str">
        <f t="shared" si="24"/>
        <v>ETR1000V300-MR2-04A-10</v>
      </c>
      <c r="H37" s="207">
        <v>10</v>
      </c>
      <c r="I37" s="204">
        <v>46113</v>
      </c>
      <c r="J37" s="193" t="str">
        <f t="shared" si="29"/>
        <v>ETR1000V300-MR2-04A</v>
      </c>
      <c r="K37" s="266" t="str">
        <f t="shared" si="30"/>
        <v>ETR1000V300-MR2-04A-10</v>
      </c>
      <c r="L37" s="207">
        <f t="shared" si="31"/>
        <v>10</v>
      </c>
      <c r="M37" s="204">
        <f t="shared" si="32"/>
        <v>46113</v>
      </c>
      <c r="N37" s="272" t="str">
        <f>CONCATENATE("ETR1000V300_FR-",$D37,"-",$E37)</f>
        <v>ETR1000V300_FR-MR2-04A</v>
      </c>
      <c r="O37" s="261" t="str">
        <f>CONCATENATE(N37,"-",P37)</f>
        <v>ETR1000V300_FR-MR2-04A-05</v>
      </c>
      <c r="P37" s="267" t="s">
        <v>1194</v>
      </c>
      <c r="Q37" s="262">
        <v>45931</v>
      </c>
      <c r="R37" s="260"/>
      <c r="S37" s="235"/>
      <c r="T37" s="235"/>
      <c r="U37" s="262"/>
      <c r="V37" s="260" t="str">
        <f t="shared" si="25"/>
        <v>ETR1000V300_R1-MR2-04A</v>
      </c>
      <c r="W37" s="261" t="str">
        <f t="shared" si="26"/>
        <v>ETR1000V300_R1-MR2-04A-02</v>
      </c>
      <c r="X37" s="267" t="s">
        <v>775</v>
      </c>
      <c r="Y37" s="287">
        <v>45809</v>
      </c>
      <c r="Z37" s="260" t="str">
        <f t="shared" si="27"/>
        <v>ETR1000V300_R1-MR2-04A</v>
      </c>
      <c r="AA37" s="235" t="str">
        <f t="shared" si="27"/>
        <v>ETR1000V300_R1-MR2-04A-02</v>
      </c>
      <c r="AB37" s="235" t="str">
        <f t="shared" si="27"/>
        <v>02</v>
      </c>
      <c r="AC37" s="262">
        <f t="shared" si="27"/>
        <v>45809</v>
      </c>
    </row>
    <row r="38" spans="1:29" x14ac:dyDescent="0.25">
      <c r="A38" s="270" t="s">
        <v>1202</v>
      </c>
      <c r="B38" s="233" t="str">
        <f t="shared" si="28"/>
        <v>MR2_05A</v>
      </c>
      <c r="C38" s="254" t="s">
        <v>463</v>
      </c>
      <c r="D38" s="233" t="s">
        <v>1255</v>
      </c>
      <c r="E38" s="233" t="s">
        <v>1203</v>
      </c>
      <c r="F38" s="193" t="str">
        <f t="shared" si="23"/>
        <v>ETR1000V300-MR2-05A</v>
      </c>
      <c r="G38" s="266" t="str">
        <f t="shared" si="24"/>
        <v>ETR1000V300-MR2-05A-03</v>
      </c>
      <c r="H38" s="207" t="s">
        <v>782</v>
      </c>
      <c r="I38" s="204">
        <v>46113</v>
      </c>
      <c r="J38" s="193" t="str">
        <f t="shared" si="29"/>
        <v>ETR1000V300-MR2-05A</v>
      </c>
      <c r="K38" s="266" t="str">
        <f t="shared" si="30"/>
        <v>ETR1000V300-MR2-05A-03</v>
      </c>
      <c r="L38" s="207" t="str">
        <f t="shared" si="31"/>
        <v>03</v>
      </c>
      <c r="M38" s="204">
        <f t="shared" si="32"/>
        <v>46113</v>
      </c>
      <c r="N38" s="260" t="str">
        <f t="shared" ref="N38:N51" si="33">$F38</f>
        <v>ETR1000V300-MR2-05A</v>
      </c>
      <c r="O38" s="235" t="str">
        <f t="shared" ref="O38:O51" si="34">$G38</f>
        <v>ETR1000V300-MR2-05A-03</v>
      </c>
      <c r="P38" s="235" t="str">
        <f t="shared" ref="P38:P51" si="35">$H38</f>
        <v>03</v>
      </c>
      <c r="Q38" s="262">
        <f t="shared" ref="Q38:Q51" si="36">$I38</f>
        <v>46113</v>
      </c>
      <c r="R38" s="260"/>
      <c r="S38" s="235"/>
      <c r="T38" s="235"/>
      <c r="U38" s="262"/>
      <c r="V38" s="260" t="str">
        <f t="shared" si="25"/>
        <v>ETR1000V300_R1-MR2-05A</v>
      </c>
      <c r="W38" s="261" t="str">
        <f t="shared" si="26"/>
        <v>ETR1000V300_R1-MR2-05A-03</v>
      </c>
      <c r="X38" s="267" t="s">
        <v>782</v>
      </c>
      <c r="Y38" s="287">
        <v>45931</v>
      </c>
      <c r="Z38" s="260" t="str">
        <f t="shared" si="27"/>
        <v>ETR1000V300_R1-MR2-05A</v>
      </c>
      <c r="AA38" s="235" t="str">
        <f t="shared" si="27"/>
        <v>ETR1000V300_R1-MR2-05A-03</v>
      </c>
      <c r="AB38" s="235" t="str">
        <f t="shared" si="27"/>
        <v>03</v>
      </c>
      <c r="AC38" s="262">
        <f t="shared" si="27"/>
        <v>45931</v>
      </c>
    </row>
    <row r="39" spans="1:29" x14ac:dyDescent="0.25">
      <c r="A39" s="270" t="s">
        <v>1204</v>
      </c>
      <c r="B39" s="233" t="str">
        <f t="shared" si="28"/>
        <v>MR2_05B</v>
      </c>
      <c r="C39" s="254" t="s">
        <v>463</v>
      </c>
      <c r="D39" s="233" t="s">
        <v>1255</v>
      </c>
      <c r="E39" s="233" t="s">
        <v>1205</v>
      </c>
      <c r="F39" s="193" t="str">
        <f t="shared" si="23"/>
        <v>ETR1000V300-MR2-05B</v>
      </c>
      <c r="G39" s="266" t="str">
        <f t="shared" si="24"/>
        <v>ETR1000V300-MR2-05B-02</v>
      </c>
      <c r="H39" s="197" t="s">
        <v>775</v>
      </c>
      <c r="I39" s="196" t="s">
        <v>1206</v>
      </c>
      <c r="J39" s="193" t="str">
        <f t="shared" si="29"/>
        <v>ETR1000V300-MR2-05B</v>
      </c>
      <c r="K39" s="266" t="str">
        <f t="shared" si="30"/>
        <v>ETR1000V300-MR2-05B-02</v>
      </c>
      <c r="L39" s="197" t="str">
        <f t="shared" si="31"/>
        <v>02</v>
      </c>
      <c r="M39" s="196" t="str">
        <f t="shared" si="32"/>
        <v>giu-17</v>
      </c>
      <c r="N39" s="260" t="str">
        <f t="shared" si="33"/>
        <v>ETR1000V300-MR2-05B</v>
      </c>
      <c r="O39" s="235" t="str">
        <f t="shared" si="34"/>
        <v>ETR1000V300-MR2-05B-02</v>
      </c>
      <c r="P39" s="235" t="str">
        <f t="shared" si="35"/>
        <v>02</v>
      </c>
      <c r="Q39" s="262" t="str">
        <f t="shared" si="36"/>
        <v>giu-17</v>
      </c>
      <c r="R39" s="260"/>
      <c r="S39" s="235"/>
      <c r="T39" s="235"/>
      <c r="U39" s="262"/>
      <c r="V39" s="260"/>
      <c r="W39" s="235"/>
      <c r="X39" s="235"/>
      <c r="Y39" s="236"/>
      <c r="Z39" s="260"/>
      <c r="AA39" s="235"/>
      <c r="AB39" s="235"/>
      <c r="AC39" s="262"/>
    </row>
    <row r="40" spans="1:29" x14ac:dyDescent="0.25">
      <c r="A40" s="270" t="s">
        <v>1207</v>
      </c>
      <c r="B40" s="233" t="str">
        <f t="shared" si="28"/>
        <v>MR2_06A</v>
      </c>
      <c r="C40" s="254" t="s">
        <v>463</v>
      </c>
      <c r="D40" s="233" t="s">
        <v>1255</v>
      </c>
      <c r="E40" s="233" t="s">
        <v>1208</v>
      </c>
      <c r="F40" s="193" t="str">
        <f t="shared" si="23"/>
        <v>ETR1000V300-MR2-06A</v>
      </c>
      <c r="G40" s="266" t="str">
        <f t="shared" si="24"/>
        <v>ETR1000V300-MR2-06A-04</v>
      </c>
      <c r="H40" s="207" t="s">
        <v>667</v>
      </c>
      <c r="I40" s="204">
        <v>46113</v>
      </c>
      <c r="J40" s="193" t="str">
        <f t="shared" si="29"/>
        <v>ETR1000V300-MR2-06A</v>
      </c>
      <c r="K40" s="266" t="str">
        <f t="shared" si="30"/>
        <v>ETR1000V300-MR2-06A-04</v>
      </c>
      <c r="L40" s="207" t="str">
        <f t="shared" si="31"/>
        <v>04</v>
      </c>
      <c r="M40" s="204">
        <f t="shared" si="32"/>
        <v>46113</v>
      </c>
      <c r="N40" s="260" t="str">
        <f t="shared" si="33"/>
        <v>ETR1000V300-MR2-06A</v>
      </c>
      <c r="O40" s="235" t="str">
        <f t="shared" si="34"/>
        <v>ETR1000V300-MR2-06A-04</v>
      </c>
      <c r="P40" s="235" t="str">
        <f t="shared" si="35"/>
        <v>04</v>
      </c>
      <c r="Q40" s="262">
        <f t="shared" si="36"/>
        <v>46113</v>
      </c>
      <c r="R40" s="260"/>
      <c r="S40" s="235"/>
      <c r="T40" s="235"/>
      <c r="U40" s="262"/>
      <c r="V40" s="260" t="str">
        <f t="shared" ref="V40:V49" si="37">CONCATENATE("ETR1000V300_R1-",$D40,"-",$E40)</f>
        <v>ETR1000V300_R1-MR2-06A</v>
      </c>
      <c r="W40" s="261" t="str">
        <f t="shared" ref="W40:W49" si="38">CONCATENATE(V40,"-",X40)</f>
        <v>ETR1000V300_R1-MR2-06A-02</v>
      </c>
      <c r="X40" s="267" t="s">
        <v>775</v>
      </c>
      <c r="Y40" s="287">
        <v>45809</v>
      </c>
      <c r="Z40" s="260" t="str">
        <f t="shared" ref="Z40:Z49" si="39">V40</f>
        <v>ETR1000V300_R1-MR2-06A</v>
      </c>
      <c r="AA40" s="235" t="str">
        <f t="shared" ref="AA40:AA49" si="40">W40</f>
        <v>ETR1000V300_R1-MR2-06A-02</v>
      </c>
      <c r="AB40" s="235" t="str">
        <f t="shared" ref="AB40:AB49" si="41">X40</f>
        <v>02</v>
      </c>
      <c r="AC40" s="262">
        <f t="shared" ref="AC40:AC49" si="42">Y40</f>
        <v>45809</v>
      </c>
    </row>
    <row r="41" spans="1:29" x14ac:dyDescent="0.25">
      <c r="A41" s="270" t="s">
        <v>1209</v>
      </c>
      <c r="B41" s="233" t="str">
        <f t="shared" si="28"/>
        <v>MR2_07A</v>
      </c>
      <c r="C41" s="254" t="s">
        <v>463</v>
      </c>
      <c r="D41" s="233" t="s">
        <v>1255</v>
      </c>
      <c r="E41" s="233" t="s">
        <v>1210</v>
      </c>
      <c r="F41" s="193" t="str">
        <f t="shared" si="23"/>
        <v>ETR1000V300-MR2-07A</v>
      </c>
      <c r="G41" s="266" t="str">
        <f t="shared" si="24"/>
        <v>ETR1000V300-MR2-07A-05</v>
      </c>
      <c r="H41" s="207" t="s">
        <v>1194</v>
      </c>
      <c r="I41" s="204">
        <v>46113</v>
      </c>
      <c r="J41" s="193" t="str">
        <f t="shared" si="29"/>
        <v>ETR1000V300-MR2-07A</v>
      </c>
      <c r="K41" s="266" t="str">
        <f t="shared" si="30"/>
        <v>ETR1000V300-MR2-07A-05</v>
      </c>
      <c r="L41" s="207" t="str">
        <f t="shared" si="31"/>
        <v>05</v>
      </c>
      <c r="M41" s="204">
        <f t="shared" si="32"/>
        <v>46113</v>
      </c>
      <c r="N41" s="260" t="str">
        <f t="shared" si="33"/>
        <v>ETR1000V300-MR2-07A</v>
      </c>
      <c r="O41" s="235" t="str">
        <f t="shared" si="34"/>
        <v>ETR1000V300-MR2-07A-05</v>
      </c>
      <c r="P41" s="235" t="str">
        <f t="shared" si="35"/>
        <v>05</v>
      </c>
      <c r="Q41" s="262">
        <f t="shared" si="36"/>
        <v>46113</v>
      </c>
      <c r="R41" s="260"/>
      <c r="S41" s="235"/>
      <c r="T41" s="235"/>
      <c r="U41" s="262"/>
      <c r="V41" s="260" t="str">
        <f t="shared" si="37"/>
        <v>ETR1000V300_R1-MR2-07A</v>
      </c>
      <c r="W41" s="261" t="str">
        <f t="shared" si="38"/>
        <v>ETR1000V300_R1-MR2-07A-03</v>
      </c>
      <c r="X41" s="267" t="s">
        <v>782</v>
      </c>
      <c r="Y41" s="287">
        <v>45931</v>
      </c>
      <c r="Z41" s="260" t="str">
        <f t="shared" si="39"/>
        <v>ETR1000V300_R1-MR2-07A</v>
      </c>
      <c r="AA41" s="235" t="str">
        <f t="shared" si="40"/>
        <v>ETR1000V300_R1-MR2-07A-03</v>
      </c>
      <c r="AB41" s="235" t="str">
        <f t="shared" si="41"/>
        <v>03</v>
      </c>
      <c r="AC41" s="262">
        <f t="shared" si="42"/>
        <v>45931</v>
      </c>
    </row>
    <row r="42" spans="1:29" x14ac:dyDescent="0.25">
      <c r="A42" s="270" t="s">
        <v>1212</v>
      </c>
      <c r="B42" s="233" t="str">
        <f t="shared" si="28"/>
        <v>MR2_08A</v>
      </c>
      <c r="C42" s="254" t="s">
        <v>463</v>
      </c>
      <c r="D42" s="233" t="s">
        <v>1255</v>
      </c>
      <c r="E42" s="233" t="s">
        <v>1213</v>
      </c>
      <c r="F42" s="193" t="str">
        <f t="shared" si="23"/>
        <v>ETR1000V300-MR2-08A</v>
      </c>
      <c r="G42" s="266" t="str">
        <f t="shared" si="24"/>
        <v>ETR1000V300-MR2-08A-04</v>
      </c>
      <c r="H42" s="207" t="s">
        <v>667</v>
      </c>
      <c r="I42" s="204">
        <v>46113</v>
      </c>
      <c r="J42" s="193" t="str">
        <f t="shared" si="29"/>
        <v>ETR1000V300-MR2-08A</v>
      </c>
      <c r="K42" s="266" t="str">
        <f t="shared" si="30"/>
        <v>ETR1000V300-MR2-08A-04</v>
      </c>
      <c r="L42" s="207" t="str">
        <f t="shared" si="31"/>
        <v>04</v>
      </c>
      <c r="M42" s="204">
        <f t="shared" si="32"/>
        <v>46113</v>
      </c>
      <c r="N42" s="260" t="str">
        <f t="shared" si="33"/>
        <v>ETR1000V300-MR2-08A</v>
      </c>
      <c r="O42" s="235" t="str">
        <f t="shared" si="34"/>
        <v>ETR1000V300-MR2-08A-04</v>
      </c>
      <c r="P42" s="235" t="str">
        <f t="shared" si="35"/>
        <v>04</v>
      </c>
      <c r="Q42" s="262">
        <f t="shared" si="36"/>
        <v>46113</v>
      </c>
      <c r="R42" s="260"/>
      <c r="S42" s="235"/>
      <c r="T42" s="235"/>
      <c r="U42" s="262"/>
      <c r="V42" s="260" t="str">
        <f t="shared" si="37"/>
        <v>ETR1000V300_R1-MR2-08A</v>
      </c>
      <c r="W42" s="261" t="str">
        <f t="shared" si="38"/>
        <v>ETR1000V300_R1-MR2-08A-03</v>
      </c>
      <c r="X42" s="267" t="s">
        <v>782</v>
      </c>
      <c r="Y42" s="287">
        <v>45931</v>
      </c>
      <c r="Z42" s="260" t="str">
        <f t="shared" si="39"/>
        <v>ETR1000V300_R1-MR2-08A</v>
      </c>
      <c r="AA42" s="235" t="str">
        <f t="shared" si="40"/>
        <v>ETR1000V300_R1-MR2-08A-03</v>
      </c>
      <c r="AB42" s="235" t="str">
        <f t="shared" si="41"/>
        <v>03</v>
      </c>
      <c r="AC42" s="262">
        <f t="shared" si="42"/>
        <v>45931</v>
      </c>
    </row>
    <row r="43" spans="1:29" x14ac:dyDescent="0.25">
      <c r="A43" s="270" t="s">
        <v>1214</v>
      </c>
      <c r="B43" s="233" t="str">
        <f t="shared" si="28"/>
        <v>MR2_09A</v>
      </c>
      <c r="C43" s="254" t="s">
        <v>463</v>
      </c>
      <c r="D43" s="233" t="s">
        <v>1255</v>
      </c>
      <c r="E43" s="233" t="s">
        <v>1215</v>
      </c>
      <c r="F43" s="193" t="str">
        <f t="shared" si="23"/>
        <v>ETR1000V300-MR2-09A</v>
      </c>
      <c r="G43" s="266" t="str">
        <f t="shared" si="24"/>
        <v>ETR1000V300-MR2-09A-04</v>
      </c>
      <c r="H43" s="207" t="s">
        <v>667</v>
      </c>
      <c r="I43" s="204">
        <v>46113</v>
      </c>
      <c r="J43" s="193" t="str">
        <f t="shared" si="29"/>
        <v>ETR1000V300-MR2-09A</v>
      </c>
      <c r="K43" s="266" t="str">
        <f t="shared" si="30"/>
        <v>ETR1000V300-MR2-09A-04</v>
      </c>
      <c r="L43" s="207" t="str">
        <f t="shared" si="31"/>
        <v>04</v>
      </c>
      <c r="M43" s="204">
        <f t="shared" si="32"/>
        <v>46113</v>
      </c>
      <c r="N43" s="260" t="str">
        <f t="shared" si="33"/>
        <v>ETR1000V300-MR2-09A</v>
      </c>
      <c r="O43" s="235" t="str">
        <f t="shared" si="34"/>
        <v>ETR1000V300-MR2-09A-04</v>
      </c>
      <c r="P43" s="235" t="str">
        <f t="shared" si="35"/>
        <v>04</v>
      </c>
      <c r="Q43" s="262">
        <f t="shared" si="36"/>
        <v>46113</v>
      </c>
      <c r="R43" s="260"/>
      <c r="S43" s="235"/>
      <c r="T43" s="235"/>
      <c r="U43" s="262"/>
      <c r="V43" s="260" t="str">
        <f t="shared" si="37"/>
        <v>ETR1000V300_R1-MR2-09A</v>
      </c>
      <c r="W43" s="261" t="str">
        <f t="shared" si="38"/>
        <v>ETR1000V300_R1-MR2-09A-03</v>
      </c>
      <c r="X43" s="267" t="s">
        <v>782</v>
      </c>
      <c r="Y43" s="287">
        <v>45931</v>
      </c>
      <c r="Z43" s="260" t="str">
        <f t="shared" si="39"/>
        <v>ETR1000V300_R1-MR2-09A</v>
      </c>
      <c r="AA43" s="235" t="str">
        <f t="shared" si="40"/>
        <v>ETR1000V300_R1-MR2-09A-03</v>
      </c>
      <c r="AB43" s="235" t="str">
        <f t="shared" si="41"/>
        <v>03</v>
      </c>
      <c r="AC43" s="262">
        <f t="shared" si="42"/>
        <v>45931</v>
      </c>
    </row>
    <row r="44" spans="1:29" x14ac:dyDescent="0.25">
      <c r="A44" s="270" t="s">
        <v>1218</v>
      </c>
      <c r="B44" s="233" t="str">
        <f t="shared" si="28"/>
        <v>MR2_11A</v>
      </c>
      <c r="C44" s="254" t="s">
        <v>463</v>
      </c>
      <c r="D44" s="233" t="s">
        <v>1255</v>
      </c>
      <c r="E44" s="233" t="s">
        <v>1219</v>
      </c>
      <c r="F44" s="193" t="str">
        <f t="shared" si="23"/>
        <v>ETR1000V300-MR2-11A</v>
      </c>
      <c r="G44" s="266" t="str">
        <f t="shared" si="24"/>
        <v>ETR1000V300-MR2-11A-03</v>
      </c>
      <c r="H44" s="207" t="s">
        <v>782</v>
      </c>
      <c r="I44" s="204">
        <v>46113</v>
      </c>
      <c r="J44" s="193" t="str">
        <f t="shared" si="29"/>
        <v>ETR1000V300-MR2-11A</v>
      </c>
      <c r="K44" s="266" t="str">
        <f t="shared" si="30"/>
        <v>ETR1000V300-MR2-11A-03</v>
      </c>
      <c r="L44" s="207" t="str">
        <f t="shared" si="31"/>
        <v>03</v>
      </c>
      <c r="M44" s="204">
        <f t="shared" si="32"/>
        <v>46113</v>
      </c>
      <c r="N44" s="260" t="str">
        <f t="shared" si="33"/>
        <v>ETR1000V300-MR2-11A</v>
      </c>
      <c r="O44" s="235" t="str">
        <f t="shared" si="34"/>
        <v>ETR1000V300-MR2-11A-03</v>
      </c>
      <c r="P44" s="235" t="str">
        <f t="shared" si="35"/>
        <v>03</v>
      </c>
      <c r="Q44" s="262">
        <f t="shared" si="36"/>
        <v>46113</v>
      </c>
      <c r="R44" s="260"/>
      <c r="S44" s="235"/>
      <c r="T44" s="235"/>
      <c r="U44" s="262"/>
      <c r="V44" s="260" t="str">
        <f t="shared" si="37"/>
        <v>ETR1000V300_R1-MR2-11A</v>
      </c>
      <c r="W44" s="261" t="str">
        <f t="shared" si="38"/>
        <v>ETR1000V300_R1-MR2-11A-02</v>
      </c>
      <c r="X44" s="267" t="s">
        <v>775</v>
      </c>
      <c r="Y44" s="287">
        <v>45809</v>
      </c>
      <c r="Z44" s="260" t="str">
        <f t="shared" si="39"/>
        <v>ETR1000V300_R1-MR2-11A</v>
      </c>
      <c r="AA44" s="235" t="str">
        <f t="shared" si="40"/>
        <v>ETR1000V300_R1-MR2-11A-02</v>
      </c>
      <c r="AB44" s="235" t="str">
        <f t="shared" si="41"/>
        <v>02</v>
      </c>
      <c r="AC44" s="262">
        <f t="shared" si="42"/>
        <v>45809</v>
      </c>
    </row>
    <row r="45" spans="1:29" x14ac:dyDescent="0.25">
      <c r="A45" s="270" t="s">
        <v>1220</v>
      </c>
      <c r="B45" s="233" t="str">
        <f t="shared" si="28"/>
        <v>MR2_13A</v>
      </c>
      <c r="C45" s="254" t="s">
        <v>463</v>
      </c>
      <c r="D45" s="233" t="s">
        <v>1255</v>
      </c>
      <c r="E45" s="233" t="s">
        <v>1221</v>
      </c>
      <c r="F45" s="193" t="str">
        <f t="shared" si="23"/>
        <v>ETR1000V300-MR2-13A</v>
      </c>
      <c r="G45" s="266" t="str">
        <f t="shared" si="24"/>
        <v>ETR1000V300-MR2-13A-03</v>
      </c>
      <c r="H45" s="207" t="s">
        <v>782</v>
      </c>
      <c r="I45" s="204">
        <v>46113</v>
      </c>
      <c r="J45" s="193" t="str">
        <f t="shared" si="29"/>
        <v>ETR1000V300-MR2-13A</v>
      </c>
      <c r="K45" s="266" t="str">
        <f t="shared" si="30"/>
        <v>ETR1000V300-MR2-13A-03</v>
      </c>
      <c r="L45" s="207" t="str">
        <f t="shared" si="31"/>
        <v>03</v>
      </c>
      <c r="M45" s="204">
        <f t="shared" si="32"/>
        <v>46113</v>
      </c>
      <c r="N45" s="260" t="str">
        <f t="shared" si="33"/>
        <v>ETR1000V300-MR2-13A</v>
      </c>
      <c r="O45" s="235" t="str">
        <f t="shared" si="34"/>
        <v>ETR1000V300-MR2-13A-03</v>
      </c>
      <c r="P45" s="235" t="str">
        <f t="shared" si="35"/>
        <v>03</v>
      </c>
      <c r="Q45" s="262">
        <f t="shared" si="36"/>
        <v>46113</v>
      </c>
      <c r="R45" s="260"/>
      <c r="S45" s="235"/>
      <c r="T45" s="235"/>
      <c r="U45" s="262"/>
      <c r="V45" s="260" t="str">
        <f t="shared" si="37"/>
        <v>ETR1000V300_R1-MR2-13A</v>
      </c>
      <c r="W45" s="261" t="str">
        <f t="shared" si="38"/>
        <v>ETR1000V300_R1-MR2-13A-03</v>
      </c>
      <c r="X45" s="267" t="s">
        <v>782</v>
      </c>
      <c r="Y45" s="287">
        <v>45931</v>
      </c>
      <c r="Z45" s="260" t="str">
        <f t="shared" si="39"/>
        <v>ETR1000V300_R1-MR2-13A</v>
      </c>
      <c r="AA45" s="235" t="str">
        <f t="shared" si="40"/>
        <v>ETR1000V300_R1-MR2-13A-03</v>
      </c>
      <c r="AB45" s="235" t="str">
        <f t="shared" si="41"/>
        <v>03</v>
      </c>
      <c r="AC45" s="262">
        <f t="shared" si="42"/>
        <v>45931</v>
      </c>
    </row>
    <row r="46" spans="1:29" x14ac:dyDescent="0.25">
      <c r="A46" s="270" t="s">
        <v>1222</v>
      </c>
      <c r="B46" s="233" t="str">
        <f t="shared" si="28"/>
        <v>MR2_14A</v>
      </c>
      <c r="C46" s="254" t="s">
        <v>463</v>
      </c>
      <c r="D46" s="233" t="s">
        <v>1255</v>
      </c>
      <c r="E46" s="233" t="s">
        <v>1223</v>
      </c>
      <c r="F46" s="193" t="str">
        <f t="shared" si="23"/>
        <v>ETR1000V300-MR2-14A</v>
      </c>
      <c r="G46" s="266" t="str">
        <f t="shared" si="24"/>
        <v>ETR1000V300-MR2-14A-05</v>
      </c>
      <c r="H46" s="207" t="s">
        <v>1194</v>
      </c>
      <c r="I46" s="204">
        <v>46113</v>
      </c>
      <c r="J46" s="193" t="str">
        <f t="shared" si="29"/>
        <v>ETR1000V300-MR2-14A</v>
      </c>
      <c r="K46" s="266" t="str">
        <f t="shared" si="30"/>
        <v>ETR1000V300-MR2-14A-05</v>
      </c>
      <c r="L46" s="207" t="str">
        <f t="shared" si="31"/>
        <v>05</v>
      </c>
      <c r="M46" s="204">
        <f t="shared" si="32"/>
        <v>46113</v>
      </c>
      <c r="N46" s="260" t="str">
        <f t="shared" si="33"/>
        <v>ETR1000V300-MR2-14A</v>
      </c>
      <c r="O46" s="235" t="str">
        <f t="shared" si="34"/>
        <v>ETR1000V300-MR2-14A-05</v>
      </c>
      <c r="P46" s="235" t="str">
        <f t="shared" si="35"/>
        <v>05</v>
      </c>
      <c r="Q46" s="262">
        <f t="shared" si="36"/>
        <v>46113</v>
      </c>
      <c r="R46" s="260"/>
      <c r="S46" s="235"/>
      <c r="T46" s="235"/>
      <c r="U46" s="262"/>
      <c r="V46" s="260" t="str">
        <f t="shared" si="37"/>
        <v>ETR1000V300_R1-MR2-14A</v>
      </c>
      <c r="W46" s="261" t="str">
        <f t="shared" si="38"/>
        <v>ETR1000V300_R1-MR2-14A-02</v>
      </c>
      <c r="X46" s="267" t="s">
        <v>775</v>
      </c>
      <c r="Y46" s="287">
        <v>45809</v>
      </c>
      <c r="Z46" s="260" t="str">
        <f t="shared" si="39"/>
        <v>ETR1000V300_R1-MR2-14A</v>
      </c>
      <c r="AA46" s="235" t="str">
        <f t="shared" si="40"/>
        <v>ETR1000V300_R1-MR2-14A-02</v>
      </c>
      <c r="AB46" s="235" t="str">
        <f t="shared" si="41"/>
        <v>02</v>
      </c>
      <c r="AC46" s="262">
        <f t="shared" si="42"/>
        <v>45809</v>
      </c>
    </row>
    <row r="47" spans="1:29" x14ac:dyDescent="0.25">
      <c r="A47" s="270" t="s">
        <v>1224</v>
      </c>
      <c r="B47" s="233" t="str">
        <f t="shared" si="28"/>
        <v>MR2_14B</v>
      </c>
      <c r="C47" s="254" t="s">
        <v>463</v>
      </c>
      <c r="D47" s="233" t="s">
        <v>1255</v>
      </c>
      <c r="E47" s="233" t="s">
        <v>1225</v>
      </c>
      <c r="F47" s="193" t="s">
        <v>15</v>
      </c>
      <c r="G47" s="266" t="s">
        <v>15</v>
      </c>
      <c r="H47" s="197" t="s">
        <v>15</v>
      </c>
      <c r="I47" s="280" t="s">
        <v>15</v>
      </c>
      <c r="J47" s="193" t="str">
        <f t="shared" si="29"/>
        <v>\</v>
      </c>
      <c r="K47" s="266" t="str">
        <f t="shared" si="30"/>
        <v>\</v>
      </c>
      <c r="L47" s="197" t="str">
        <f t="shared" si="31"/>
        <v>\</v>
      </c>
      <c r="M47" s="280" t="str">
        <f t="shared" si="32"/>
        <v>\</v>
      </c>
      <c r="N47" s="260" t="str">
        <f t="shared" si="33"/>
        <v>\</v>
      </c>
      <c r="O47" s="235" t="str">
        <f t="shared" si="34"/>
        <v>\</v>
      </c>
      <c r="P47" s="235" t="str">
        <f t="shared" si="35"/>
        <v>\</v>
      </c>
      <c r="Q47" s="262" t="str">
        <f t="shared" si="36"/>
        <v>\</v>
      </c>
      <c r="R47" s="260"/>
      <c r="S47" s="235"/>
      <c r="T47" s="235"/>
      <c r="U47" s="262"/>
      <c r="V47" s="260" t="str">
        <f t="shared" si="37"/>
        <v>ETR1000V300_R1-MR2-14B</v>
      </c>
      <c r="W47" s="261" t="str">
        <f t="shared" si="38"/>
        <v>ETR1000V300_R1-MR2-14B-02</v>
      </c>
      <c r="X47" s="267" t="s">
        <v>775</v>
      </c>
      <c r="Y47" s="287">
        <v>45809</v>
      </c>
      <c r="Z47" s="260" t="str">
        <f t="shared" si="39"/>
        <v>ETR1000V300_R1-MR2-14B</v>
      </c>
      <c r="AA47" s="235" t="str">
        <f t="shared" si="40"/>
        <v>ETR1000V300_R1-MR2-14B-02</v>
      </c>
      <c r="AB47" s="235" t="str">
        <f t="shared" si="41"/>
        <v>02</v>
      </c>
      <c r="AC47" s="262">
        <f t="shared" si="42"/>
        <v>45809</v>
      </c>
    </row>
    <row r="48" spans="1:29" x14ac:dyDescent="0.25">
      <c r="A48" s="270" t="s">
        <v>1226</v>
      </c>
      <c r="B48" s="233" t="str">
        <f t="shared" si="28"/>
        <v>MR2_15A</v>
      </c>
      <c r="C48" s="254" t="s">
        <v>463</v>
      </c>
      <c r="D48" s="233" t="s">
        <v>1255</v>
      </c>
      <c r="E48" s="233" t="s">
        <v>1227</v>
      </c>
      <c r="F48" s="193" t="str">
        <f>CONCATENATE("ETR1000V300-",$D48,"-",$E48)</f>
        <v>ETR1000V300-MR2-15A</v>
      </c>
      <c r="G48" s="266" t="str">
        <f>CONCATENATE(F48,"-",H48)</f>
        <v>ETR1000V300-MR2-15A-05</v>
      </c>
      <c r="H48" s="207" t="s">
        <v>1194</v>
      </c>
      <c r="I48" s="204">
        <v>46113</v>
      </c>
      <c r="J48" s="193" t="str">
        <f t="shared" si="29"/>
        <v>ETR1000V300-MR2-15A</v>
      </c>
      <c r="K48" s="266" t="str">
        <f t="shared" si="30"/>
        <v>ETR1000V300-MR2-15A-05</v>
      </c>
      <c r="L48" s="207" t="str">
        <f t="shared" si="31"/>
        <v>05</v>
      </c>
      <c r="M48" s="204">
        <f t="shared" si="32"/>
        <v>46113</v>
      </c>
      <c r="N48" s="260" t="str">
        <f t="shared" si="33"/>
        <v>ETR1000V300-MR2-15A</v>
      </c>
      <c r="O48" s="235" t="str">
        <f t="shared" si="34"/>
        <v>ETR1000V300-MR2-15A-05</v>
      </c>
      <c r="P48" s="235" t="str">
        <f t="shared" si="35"/>
        <v>05</v>
      </c>
      <c r="Q48" s="262">
        <f t="shared" si="36"/>
        <v>46113</v>
      </c>
      <c r="R48" s="260"/>
      <c r="S48" s="235"/>
      <c r="T48" s="235"/>
      <c r="U48" s="262"/>
      <c r="V48" s="260" t="str">
        <f t="shared" si="37"/>
        <v>ETR1000V300_R1-MR2-15A</v>
      </c>
      <c r="W48" s="261" t="str">
        <f t="shared" si="38"/>
        <v>ETR1000V300_R1-MR2-15A-01</v>
      </c>
      <c r="X48" s="267" t="s">
        <v>663</v>
      </c>
      <c r="Y48" s="287">
        <v>45809</v>
      </c>
      <c r="Z48" s="260" t="str">
        <f t="shared" si="39"/>
        <v>ETR1000V300_R1-MR2-15A</v>
      </c>
      <c r="AA48" s="235" t="str">
        <f t="shared" si="40"/>
        <v>ETR1000V300_R1-MR2-15A-01</v>
      </c>
      <c r="AB48" s="235" t="str">
        <f t="shared" si="41"/>
        <v>01</v>
      </c>
      <c r="AC48" s="262">
        <f t="shared" si="42"/>
        <v>45809</v>
      </c>
    </row>
    <row r="49" spans="1:29" x14ac:dyDescent="0.25">
      <c r="A49" s="270" t="s">
        <v>1228</v>
      </c>
      <c r="B49" s="233" t="str">
        <f t="shared" si="28"/>
        <v>MR2_15B</v>
      </c>
      <c r="C49" s="254" t="s">
        <v>463</v>
      </c>
      <c r="D49" s="233" t="s">
        <v>1255</v>
      </c>
      <c r="E49" s="233" t="s">
        <v>1229</v>
      </c>
      <c r="F49" s="193" t="s">
        <v>15</v>
      </c>
      <c r="G49" s="266" t="s">
        <v>15</v>
      </c>
      <c r="H49" s="197" t="s">
        <v>15</v>
      </c>
      <c r="I49" s="280" t="s">
        <v>15</v>
      </c>
      <c r="J49" s="193" t="str">
        <f t="shared" si="29"/>
        <v>\</v>
      </c>
      <c r="K49" s="266" t="str">
        <f t="shared" si="30"/>
        <v>\</v>
      </c>
      <c r="L49" s="207" t="str">
        <f t="shared" si="31"/>
        <v>\</v>
      </c>
      <c r="M49" s="204" t="str">
        <f t="shared" si="32"/>
        <v>\</v>
      </c>
      <c r="N49" s="260" t="str">
        <f t="shared" si="33"/>
        <v>\</v>
      </c>
      <c r="O49" s="235" t="str">
        <f t="shared" si="34"/>
        <v>\</v>
      </c>
      <c r="P49" s="235" t="str">
        <f t="shared" si="35"/>
        <v>\</v>
      </c>
      <c r="Q49" s="262" t="str">
        <f t="shared" si="36"/>
        <v>\</v>
      </c>
      <c r="R49" s="260"/>
      <c r="S49" s="235"/>
      <c r="T49" s="235"/>
      <c r="U49" s="262"/>
      <c r="V49" s="260" t="str">
        <f t="shared" si="37"/>
        <v>ETR1000V300_R1-MR2-15B</v>
      </c>
      <c r="W49" s="261" t="str">
        <f t="shared" si="38"/>
        <v>ETR1000V300_R1-MR2-15B-02</v>
      </c>
      <c r="X49" s="267" t="s">
        <v>775</v>
      </c>
      <c r="Y49" s="287">
        <v>45809</v>
      </c>
      <c r="Z49" s="260" t="str">
        <f t="shared" si="39"/>
        <v>ETR1000V300_R1-MR2-15B</v>
      </c>
      <c r="AA49" s="235" t="str">
        <f t="shared" si="40"/>
        <v>ETR1000V300_R1-MR2-15B-02</v>
      </c>
      <c r="AB49" s="235" t="str">
        <f t="shared" si="41"/>
        <v>02</v>
      </c>
      <c r="AC49" s="262">
        <f t="shared" si="42"/>
        <v>45809</v>
      </c>
    </row>
    <row r="50" spans="1:29" x14ac:dyDescent="0.25">
      <c r="A50" s="270" t="s">
        <v>1256</v>
      </c>
      <c r="B50" s="233" t="str">
        <f t="shared" si="28"/>
        <v>MR2_17A</v>
      </c>
      <c r="C50" s="254" t="s">
        <v>463</v>
      </c>
      <c r="D50" s="233" t="s">
        <v>1255</v>
      </c>
      <c r="E50" s="233" t="s">
        <v>1257</v>
      </c>
      <c r="F50" s="193" t="str">
        <f t="shared" ref="F50:F79" si="43">CONCATENATE("ETR1000V300-",$D50,"-",$E50)</f>
        <v>ETR1000V300-MR2-17A</v>
      </c>
      <c r="G50" s="266" t="str">
        <f>CONCATENATE(F50,"-",H50)</f>
        <v>ETR1000V300-MR2-17A-00</v>
      </c>
      <c r="H50" s="197" t="s">
        <v>747</v>
      </c>
      <c r="I50" s="195">
        <v>41913</v>
      </c>
      <c r="J50" s="193" t="str">
        <f t="shared" si="29"/>
        <v>ETR1000V300-MR2-17A</v>
      </c>
      <c r="K50" s="266" t="str">
        <f t="shared" si="30"/>
        <v>ETR1000V300-MR2-17A-00</v>
      </c>
      <c r="L50" s="197" t="str">
        <f t="shared" si="31"/>
        <v>00</v>
      </c>
      <c r="M50" s="195">
        <f t="shared" si="32"/>
        <v>41913</v>
      </c>
      <c r="N50" s="260" t="str">
        <f t="shared" si="33"/>
        <v>ETR1000V300-MR2-17A</v>
      </c>
      <c r="O50" s="235" t="str">
        <f t="shared" si="34"/>
        <v>ETR1000V300-MR2-17A-00</v>
      </c>
      <c r="P50" s="235" t="str">
        <f t="shared" si="35"/>
        <v>00</v>
      </c>
      <c r="Q50" s="262">
        <f t="shared" si="36"/>
        <v>41913</v>
      </c>
      <c r="R50" s="260"/>
      <c r="S50" s="235"/>
      <c r="T50" s="235"/>
      <c r="U50" s="262"/>
      <c r="V50" s="268"/>
      <c r="W50" s="267"/>
      <c r="X50" s="267"/>
      <c r="Y50" s="276"/>
      <c r="Z50" s="268"/>
      <c r="AA50" s="267"/>
      <c r="AB50" s="267"/>
      <c r="AC50" s="269">
        <f>Y50</f>
        <v>0</v>
      </c>
    </row>
    <row r="51" spans="1:29" x14ac:dyDescent="0.25">
      <c r="A51" s="270" t="s">
        <v>1258</v>
      </c>
      <c r="B51" s="233" t="str">
        <f t="shared" si="28"/>
        <v>MR2_30A</v>
      </c>
      <c r="C51" s="254" t="s">
        <v>463</v>
      </c>
      <c r="D51" s="233" t="s">
        <v>1255</v>
      </c>
      <c r="E51" s="233" t="s">
        <v>1259</v>
      </c>
      <c r="F51" s="193" t="str">
        <f t="shared" si="43"/>
        <v>ETR1000V300-MR2-30A</v>
      </c>
      <c r="G51" s="266" t="str">
        <f>CONCATENATE(F51,"-",H51)</f>
        <v>ETR1000V300-MR2-30A-01</v>
      </c>
      <c r="H51" s="197" t="s">
        <v>663</v>
      </c>
      <c r="I51" s="196" t="s">
        <v>1260</v>
      </c>
      <c r="J51" s="193" t="str">
        <f t="shared" si="29"/>
        <v>ETR1000V300-MR2-30A</v>
      </c>
      <c r="K51" s="266" t="str">
        <f t="shared" si="30"/>
        <v>ETR1000V300-MR2-30A-01</v>
      </c>
      <c r="L51" s="197" t="str">
        <f t="shared" si="31"/>
        <v>01</v>
      </c>
      <c r="M51" s="196" t="str">
        <f t="shared" si="32"/>
        <v>mag-16</v>
      </c>
      <c r="N51" s="260" t="str">
        <f t="shared" si="33"/>
        <v>ETR1000V300-MR2-30A</v>
      </c>
      <c r="O51" s="235" t="str">
        <f t="shared" si="34"/>
        <v>ETR1000V300-MR2-30A-01</v>
      </c>
      <c r="P51" s="235" t="str">
        <f t="shared" si="35"/>
        <v>01</v>
      </c>
      <c r="Q51" s="262" t="str">
        <f t="shared" si="36"/>
        <v>mag-16</v>
      </c>
      <c r="R51" s="260"/>
      <c r="S51" s="235"/>
      <c r="T51" s="235"/>
      <c r="U51" s="262"/>
      <c r="V51" s="260" t="str">
        <f>CONCATENATE("ETR1000V300_R1-",$D51,"-",$E51)</f>
        <v>ETR1000V300_R1-MR2-30A</v>
      </c>
      <c r="W51" s="261" t="str">
        <f>CONCATENATE(V51,"-",X51)</f>
        <v>ETR1000V300_R1-MR2-30A-02</v>
      </c>
      <c r="X51" s="267" t="s">
        <v>775</v>
      </c>
      <c r="Y51" s="287">
        <v>45627</v>
      </c>
      <c r="Z51" s="260" t="str">
        <f t="shared" ref="Z51:AB53" si="44">V51</f>
        <v>ETR1000V300_R1-MR2-30A</v>
      </c>
      <c r="AA51" s="235" t="str">
        <f t="shared" si="44"/>
        <v>ETR1000V300_R1-MR2-30A-02</v>
      </c>
      <c r="AB51" s="235" t="str">
        <f t="shared" si="44"/>
        <v>02</v>
      </c>
      <c r="AC51" s="262">
        <f>Y51</f>
        <v>45627</v>
      </c>
    </row>
    <row r="52" spans="1:29" x14ac:dyDescent="0.25">
      <c r="A52" s="270" t="s">
        <v>1261</v>
      </c>
      <c r="B52" s="233" t="str">
        <f t="shared" si="28"/>
        <v>CPR_01A</v>
      </c>
      <c r="C52" s="254" t="s">
        <v>463</v>
      </c>
      <c r="D52" s="233" t="s">
        <v>1262</v>
      </c>
      <c r="E52" s="233" t="s">
        <v>1185</v>
      </c>
      <c r="F52" s="193" t="str">
        <f t="shared" si="43"/>
        <v>ETR1000V300-CPR-01A</v>
      </c>
      <c r="G52" s="233" t="s">
        <v>1263</v>
      </c>
      <c r="H52" s="194" t="s">
        <v>15</v>
      </c>
      <c r="I52" s="196" t="s">
        <v>1264</v>
      </c>
      <c r="J52" s="193" t="str">
        <f t="shared" si="29"/>
        <v>ETR1000V300-CPR-01A</v>
      </c>
      <c r="K52" s="233" t="str">
        <f t="shared" si="30"/>
        <v>2.05.993</v>
      </c>
      <c r="L52" s="194" t="str">
        <f t="shared" si="31"/>
        <v>\</v>
      </c>
      <c r="M52" s="196" t="str">
        <f t="shared" si="32"/>
        <v>mag-22</v>
      </c>
      <c r="N52" s="272" t="str">
        <f>CONCATENATE("ETR1000V300_FR-",$D52,"-",$E52)</f>
        <v>ETR1000V300_FR-CPR-01A</v>
      </c>
      <c r="O52" s="261" t="s">
        <v>1265</v>
      </c>
      <c r="P52" s="235" t="s">
        <v>15</v>
      </c>
      <c r="Q52" s="262">
        <v>44136</v>
      </c>
      <c r="R52" s="260"/>
      <c r="S52" s="235"/>
      <c r="T52" s="235"/>
      <c r="U52" s="262"/>
      <c r="V52" s="272" t="str">
        <f>CONCATENATE("ETR1000V300_R1-",$D52,"-",$E52)</f>
        <v>ETR1000V300_R1-CPR-01A</v>
      </c>
      <c r="W52" s="267" t="s">
        <v>1266</v>
      </c>
      <c r="X52" s="267" t="s">
        <v>663</v>
      </c>
      <c r="Y52" s="262">
        <v>45901</v>
      </c>
      <c r="Z52" s="268" t="str">
        <f t="shared" si="44"/>
        <v>ETR1000V300_R1-CPR-01A</v>
      </c>
      <c r="AA52" s="267" t="str">
        <f t="shared" si="44"/>
        <v>2.05.1397</v>
      </c>
      <c r="AB52" s="267" t="str">
        <f t="shared" si="44"/>
        <v>01</v>
      </c>
      <c r="AC52" s="269">
        <f>Y52</f>
        <v>45901</v>
      </c>
    </row>
    <row r="53" spans="1:29" x14ac:dyDescent="0.25">
      <c r="A53" s="270" t="s">
        <v>1267</v>
      </c>
      <c r="B53" s="233" t="str">
        <f t="shared" si="28"/>
        <v>CPR_01B</v>
      </c>
      <c r="C53" s="254" t="s">
        <v>463</v>
      </c>
      <c r="D53" s="233" t="s">
        <v>1262</v>
      </c>
      <c r="E53" s="233" t="s">
        <v>1188</v>
      </c>
      <c r="F53" s="193" t="str">
        <f t="shared" si="43"/>
        <v>ETR1000V300-CPR-01B</v>
      </c>
      <c r="G53" s="233" t="s">
        <v>1268</v>
      </c>
      <c r="H53" s="194" t="s">
        <v>15</v>
      </c>
      <c r="I53" s="196" t="s">
        <v>1264</v>
      </c>
      <c r="J53" s="193" t="str">
        <f t="shared" si="29"/>
        <v>ETR1000V300-CPR-01B</v>
      </c>
      <c r="K53" s="233" t="str">
        <f t="shared" si="30"/>
        <v>2.05.994</v>
      </c>
      <c r="L53" s="194" t="str">
        <f t="shared" si="31"/>
        <v>\</v>
      </c>
      <c r="M53" s="196" t="str">
        <f t="shared" si="32"/>
        <v>mag-22</v>
      </c>
      <c r="N53" s="272" t="str">
        <f>CONCATENATE("ETR1000V300_FR-",$D53,"-",$E53)</f>
        <v>ETR1000V300_FR-CPR-01B</v>
      </c>
      <c r="O53" s="261" t="s">
        <v>1269</v>
      </c>
      <c r="P53" s="235" t="s">
        <v>15</v>
      </c>
      <c r="Q53" s="262">
        <v>44136</v>
      </c>
      <c r="R53" s="260"/>
      <c r="S53" s="235"/>
      <c r="T53" s="235"/>
      <c r="U53" s="262"/>
      <c r="V53" s="272" t="str">
        <f>CONCATENATE("ETR1000V300_R1-",$D53,"-",$E53)</f>
        <v>ETR1000V300_R1-CPR-01B</v>
      </c>
      <c r="W53" s="267" t="s">
        <v>1270</v>
      </c>
      <c r="X53" s="267" t="s">
        <v>663</v>
      </c>
      <c r="Y53" s="262">
        <v>45901</v>
      </c>
      <c r="Z53" s="268" t="str">
        <f t="shared" si="44"/>
        <v>ETR1000V300_R1-CPR-01B</v>
      </c>
      <c r="AA53" s="267" t="str">
        <f t="shared" si="44"/>
        <v>2.05.1398</v>
      </c>
      <c r="AB53" s="267" t="str">
        <f t="shared" si="44"/>
        <v>01</v>
      </c>
      <c r="AC53" s="269">
        <f>Y53</f>
        <v>45901</v>
      </c>
    </row>
    <row r="54" spans="1:29" x14ac:dyDescent="0.25">
      <c r="A54" s="270" t="s">
        <v>1271</v>
      </c>
      <c r="B54" s="233" t="str">
        <f t="shared" si="28"/>
        <v>CPR_01C</v>
      </c>
      <c r="C54" s="254" t="s">
        <v>463</v>
      </c>
      <c r="D54" s="233" t="s">
        <v>1262</v>
      </c>
      <c r="E54" s="233" t="s">
        <v>1272</v>
      </c>
      <c r="F54" s="193" t="str">
        <f t="shared" si="43"/>
        <v>ETR1000V300-CPR-01C</v>
      </c>
      <c r="G54" s="233" t="s">
        <v>1273</v>
      </c>
      <c r="H54" s="194" t="s">
        <v>15</v>
      </c>
      <c r="I54" s="196" t="s">
        <v>1264</v>
      </c>
      <c r="J54" s="193" t="str">
        <f t="shared" si="29"/>
        <v>ETR1000V300-CPR-01C</v>
      </c>
      <c r="K54" s="233" t="str">
        <f t="shared" si="30"/>
        <v>2.05.995</v>
      </c>
      <c r="L54" s="194" t="str">
        <f t="shared" si="31"/>
        <v>\</v>
      </c>
      <c r="M54" s="196" t="str">
        <f t="shared" si="32"/>
        <v>mag-22</v>
      </c>
      <c r="N54" s="260" t="str">
        <f>F54</f>
        <v>ETR1000V300-CPR-01C</v>
      </c>
      <c r="O54" s="235" t="str">
        <f>G54</f>
        <v>2.05.995</v>
      </c>
      <c r="P54" s="235" t="str">
        <f>H54</f>
        <v>\</v>
      </c>
      <c r="Q54" s="236" t="str">
        <f>I54</f>
        <v>mag-22</v>
      </c>
      <c r="R54" s="260"/>
      <c r="S54" s="235"/>
      <c r="T54" s="235"/>
      <c r="U54" s="262"/>
      <c r="V54" s="260"/>
      <c r="W54" s="235"/>
      <c r="X54" s="235"/>
      <c r="Y54" s="262"/>
      <c r="Z54" s="260"/>
      <c r="AA54" s="235"/>
      <c r="AB54" s="235"/>
      <c r="AC54" s="262"/>
    </row>
    <row r="55" spans="1:29" x14ac:dyDescent="0.25">
      <c r="A55" s="270" t="s">
        <v>1274</v>
      </c>
      <c r="B55" s="233" t="str">
        <f t="shared" si="28"/>
        <v>CPR_01D</v>
      </c>
      <c r="C55" s="254" t="s">
        <v>463</v>
      </c>
      <c r="D55" s="233" t="s">
        <v>1262</v>
      </c>
      <c r="E55" s="233" t="s">
        <v>1275</v>
      </c>
      <c r="F55" s="193" t="str">
        <f t="shared" si="43"/>
        <v>ETR1000V300-CPR-01D</v>
      </c>
      <c r="G55" s="233" t="s">
        <v>1276</v>
      </c>
      <c r="H55" s="194" t="s">
        <v>15</v>
      </c>
      <c r="I55" s="196" t="s">
        <v>1264</v>
      </c>
      <c r="J55" s="193" t="str">
        <f t="shared" si="29"/>
        <v>ETR1000V300-CPR-01D</v>
      </c>
      <c r="K55" s="233" t="str">
        <f t="shared" si="30"/>
        <v>2.05.996</v>
      </c>
      <c r="L55" s="194" t="str">
        <f t="shared" si="31"/>
        <v>\</v>
      </c>
      <c r="M55" s="196" t="str">
        <f t="shared" si="32"/>
        <v>mag-22</v>
      </c>
      <c r="N55" s="272" t="str">
        <f t="shared" ref="N55:N62" si="45">CONCATENATE("ETR1000V300_FR-",$D55,"-",$E55)</f>
        <v>ETR1000V300_FR-CPR-01D</v>
      </c>
      <c r="O55" s="261" t="s">
        <v>1277</v>
      </c>
      <c r="P55" s="235" t="s">
        <v>15</v>
      </c>
      <c r="Q55" s="262">
        <v>44136</v>
      </c>
      <c r="R55" s="260"/>
      <c r="S55" s="235"/>
      <c r="T55" s="235"/>
      <c r="U55" s="262"/>
      <c r="V55" s="272" t="str">
        <f t="shared" ref="V55:V61" si="46">CONCATENATE("ETR1000V300_R1-",$D55,"-",$E55)</f>
        <v>ETR1000V300_R1-CPR-01D</v>
      </c>
      <c r="W55" s="267" t="s">
        <v>1278</v>
      </c>
      <c r="X55" s="267" t="s">
        <v>663</v>
      </c>
      <c r="Y55" s="262">
        <v>45931</v>
      </c>
      <c r="Z55" s="268" t="str">
        <f t="shared" ref="Z55:AC61" si="47">V55</f>
        <v>ETR1000V300_R1-CPR-01D</v>
      </c>
      <c r="AA55" s="267" t="str">
        <f t="shared" si="47"/>
        <v>2.05.1400</v>
      </c>
      <c r="AB55" s="267" t="str">
        <f t="shared" si="47"/>
        <v>01</v>
      </c>
      <c r="AC55" s="269">
        <f t="shared" si="47"/>
        <v>45931</v>
      </c>
    </row>
    <row r="56" spans="1:29" x14ac:dyDescent="0.25">
      <c r="A56" s="270" t="s">
        <v>1196</v>
      </c>
      <c r="B56" s="233" t="str">
        <f t="shared" si="28"/>
        <v>CPR_02A</v>
      </c>
      <c r="C56" s="254" t="s">
        <v>463</v>
      </c>
      <c r="D56" s="233" t="s">
        <v>1262</v>
      </c>
      <c r="E56" s="233" t="s">
        <v>1197</v>
      </c>
      <c r="F56" s="193" t="str">
        <f t="shared" si="43"/>
        <v>ETR1000V300-CPR-02A</v>
      </c>
      <c r="G56" s="233" t="s">
        <v>1279</v>
      </c>
      <c r="H56" s="194" t="s">
        <v>15</v>
      </c>
      <c r="I56" s="196" t="s">
        <v>1280</v>
      </c>
      <c r="J56" s="193" t="str">
        <f t="shared" si="29"/>
        <v>ETR1000V300-CPR-02A</v>
      </c>
      <c r="K56" s="233" t="str">
        <f t="shared" si="30"/>
        <v>2.05.997</v>
      </c>
      <c r="L56" s="194" t="str">
        <f t="shared" si="31"/>
        <v>\</v>
      </c>
      <c r="M56" s="196" t="str">
        <f t="shared" si="32"/>
        <v>mar-21</v>
      </c>
      <c r="N56" s="272" t="str">
        <f t="shared" si="45"/>
        <v>ETR1000V300_FR-CPR-02A</v>
      </c>
      <c r="O56" s="261" t="s">
        <v>1281</v>
      </c>
      <c r="P56" s="235" t="s">
        <v>15</v>
      </c>
      <c r="Q56" s="262">
        <v>43617</v>
      </c>
      <c r="R56" s="260"/>
      <c r="S56" s="235"/>
      <c r="T56" s="235"/>
      <c r="U56" s="262"/>
      <c r="V56" s="272" t="str">
        <f t="shared" si="46"/>
        <v>ETR1000V300_R1-CPR-02A</v>
      </c>
      <c r="W56" s="267" t="s">
        <v>1282</v>
      </c>
      <c r="X56" s="267" t="s">
        <v>775</v>
      </c>
      <c r="Y56" s="262">
        <v>45931</v>
      </c>
      <c r="Z56" s="268" t="str">
        <f t="shared" si="47"/>
        <v>ETR1000V300_R1-CPR-02A</v>
      </c>
      <c r="AA56" s="267" t="str">
        <f t="shared" si="47"/>
        <v>2.05.1401</v>
      </c>
      <c r="AB56" s="267" t="str">
        <f t="shared" si="47"/>
        <v>02</v>
      </c>
      <c r="AC56" s="269">
        <f t="shared" si="47"/>
        <v>45931</v>
      </c>
    </row>
    <row r="57" spans="1:29" x14ac:dyDescent="0.25">
      <c r="A57" s="270" t="s">
        <v>1283</v>
      </c>
      <c r="B57" s="233" t="str">
        <f t="shared" si="28"/>
        <v>CPR_03A</v>
      </c>
      <c r="C57" s="254" t="s">
        <v>463</v>
      </c>
      <c r="D57" s="233" t="s">
        <v>1262</v>
      </c>
      <c r="E57" s="233" t="s">
        <v>1199</v>
      </c>
      <c r="F57" s="193" t="str">
        <f t="shared" si="43"/>
        <v>ETR1000V300-CPR-03A</v>
      </c>
      <c r="G57" s="233" t="s">
        <v>1284</v>
      </c>
      <c r="H57" s="194" t="s">
        <v>15</v>
      </c>
      <c r="I57" s="196" t="s">
        <v>1239</v>
      </c>
      <c r="J57" s="193" t="str">
        <f t="shared" si="29"/>
        <v>ETR1000V300-CPR-03A</v>
      </c>
      <c r="K57" s="233" t="str">
        <f t="shared" si="30"/>
        <v>2.05.998</v>
      </c>
      <c r="L57" s="194" t="str">
        <f t="shared" si="31"/>
        <v>\</v>
      </c>
      <c r="M57" s="196" t="str">
        <f t="shared" si="32"/>
        <v>lug-17</v>
      </c>
      <c r="N57" s="272" t="str">
        <f t="shared" si="45"/>
        <v>ETR1000V300_FR-CPR-03A</v>
      </c>
      <c r="O57" s="261" t="s">
        <v>1285</v>
      </c>
      <c r="P57" s="235" t="s">
        <v>15</v>
      </c>
      <c r="Q57" s="262">
        <v>43922</v>
      </c>
      <c r="R57" s="260"/>
      <c r="S57" s="235"/>
      <c r="T57" s="235"/>
      <c r="U57" s="262"/>
      <c r="V57" s="272" t="str">
        <f t="shared" si="46"/>
        <v>ETR1000V300_R1-CPR-03A</v>
      </c>
      <c r="W57" s="267" t="s">
        <v>1286</v>
      </c>
      <c r="X57" s="267" t="s">
        <v>775</v>
      </c>
      <c r="Y57" s="262">
        <v>45931</v>
      </c>
      <c r="Z57" s="268" t="str">
        <f t="shared" si="47"/>
        <v>ETR1000V300_R1-CPR-03A</v>
      </c>
      <c r="AA57" s="267" t="str">
        <f t="shared" si="47"/>
        <v>2.05.1402</v>
      </c>
      <c r="AB57" s="267" t="str">
        <f t="shared" si="47"/>
        <v>02</v>
      </c>
      <c r="AC57" s="269">
        <f t="shared" si="47"/>
        <v>45931</v>
      </c>
    </row>
    <row r="58" spans="1:29" x14ac:dyDescent="0.25">
      <c r="A58" s="270" t="s">
        <v>1287</v>
      </c>
      <c r="B58" s="233" t="str">
        <f t="shared" si="28"/>
        <v>CPR_03B</v>
      </c>
      <c r="C58" s="254" t="s">
        <v>463</v>
      </c>
      <c r="D58" s="233" t="s">
        <v>1262</v>
      </c>
      <c r="E58" s="233" t="s">
        <v>1288</v>
      </c>
      <c r="F58" s="193" t="str">
        <f t="shared" si="43"/>
        <v>ETR1000V300-CPR-03B</v>
      </c>
      <c r="G58" s="233" t="s">
        <v>1289</v>
      </c>
      <c r="H58" s="194" t="s">
        <v>15</v>
      </c>
      <c r="I58" s="206">
        <v>46113</v>
      </c>
      <c r="J58" s="193" t="str">
        <f t="shared" si="29"/>
        <v>ETR1000V300-CPR-03B</v>
      </c>
      <c r="K58" s="233" t="str">
        <f t="shared" si="30"/>
        <v>2.05.999</v>
      </c>
      <c r="L58" s="194" t="str">
        <f t="shared" si="31"/>
        <v>\</v>
      </c>
      <c r="M58" s="206">
        <f t="shared" si="32"/>
        <v>46113</v>
      </c>
      <c r="N58" s="272" t="str">
        <f t="shared" si="45"/>
        <v>ETR1000V300_FR-CPR-03B</v>
      </c>
      <c r="O58" s="261" t="s">
        <v>1290</v>
      </c>
      <c r="P58" s="235" t="s">
        <v>15</v>
      </c>
      <c r="Q58" s="262">
        <v>44317</v>
      </c>
      <c r="R58" s="260"/>
      <c r="S58" s="235"/>
      <c r="T58" s="235"/>
      <c r="U58" s="262"/>
      <c r="V58" s="272" t="str">
        <f t="shared" si="46"/>
        <v>ETR1000V300_R1-CPR-03B</v>
      </c>
      <c r="W58" s="267" t="s">
        <v>1291</v>
      </c>
      <c r="X58" s="267" t="s">
        <v>775</v>
      </c>
      <c r="Y58" s="262">
        <v>45931</v>
      </c>
      <c r="Z58" s="268" t="str">
        <f t="shared" si="47"/>
        <v>ETR1000V300_R1-CPR-03B</v>
      </c>
      <c r="AA58" s="267" t="str">
        <f t="shared" si="47"/>
        <v>2.05.1403</v>
      </c>
      <c r="AB58" s="267" t="str">
        <f t="shared" si="47"/>
        <v>02</v>
      </c>
      <c r="AC58" s="269">
        <f t="shared" si="47"/>
        <v>45931</v>
      </c>
    </row>
    <row r="59" spans="1:29" x14ac:dyDescent="0.25">
      <c r="A59" s="270" t="s">
        <v>1292</v>
      </c>
      <c r="B59" s="233" t="str">
        <f t="shared" si="28"/>
        <v>CPR_04A</v>
      </c>
      <c r="C59" s="254" t="s">
        <v>463</v>
      </c>
      <c r="D59" s="233" t="s">
        <v>1262</v>
      </c>
      <c r="E59" s="233" t="s">
        <v>1201</v>
      </c>
      <c r="F59" s="193" t="str">
        <f t="shared" si="43"/>
        <v>ETR1000V300-CPR-04A</v>
      </c>
      <c r="G59" s="233" t="s">
        <v>1293</v>
      </c>
      <c r="H59" s="194" t="s">
        <v>15</v>
      </c>
      <c r="I59" s="206">
        <v>45748</v>
      </c>
      <c r="J59" s="193" t="str">
        <f t="shared" si="29"/>
        <v>ETR1000V300-CPR-04A</v>
      </c>
      <c r="K59" s="233" t="str">
        <f t="shared" si="30"/>
        <v>2.05.1000</v>
      </c>
      <c r="L59" s="194" t="str">
        <f t="shared" si="31"/>
        <v>\</v>
      </c>
      <c r="M59" s="206">
        <f t="shared" si="32"/>
        <v>45748</v>
      </c>
      <c r="N59" s="272" t="str">
        <f t="shared" si="45"/>
        <v>ETR1000V300_FR-CPR-04A</v>
      </c>
      <c r="O59" s="261" t="s">
        <v>1294</v>
      </c>
      <c r="P59" s="235" t="s">
        <v>15</v>
      </c>
      <c r="Q59" s="262">
        <v>43922</v>
      </c>
      <c r="R59" s="260"/>
      <c r="S59" s="235"/>
      <c r="T59" s="235"/>
      <c r="U59" s="262"/>
      <c r="V59" s="272" t="str">
        <f t="shared" si="46"/>
        <v>ETR1000V300_R1-CPR-04A</v>
      </c>
      <c r="W59" s="267" t="s">
        <v>1295</v>
      </c>
      <c r="X59" s="267" t="s">
        <v>663</v>
      </c>
      <c r="Y59" s="262">
        <v>45901</v>
      </c>
      <c r="Z59" s="268" t="str">
        <f t="shared" si="47"/>
        <v>ETR1000V300_R1-CPR-04A</v>
      </c>
      <c r="AA59" s="267" t="str">
        <f t="shared" si="47"/>
        <v>2.05.1404</v>
      </c>
      <c r="AB59" s="267" t="str">
        <f t="shared" si="47"/>
        <v>01</v>
      </c>
      <c r="AC59" s="269">
        <f t="shared" si="47"/>
        <v>45901</v>
      </c>
    </row>
    <row r="60" spans="1:29" x14ac:dyDescent="0.25">
      <c r="A60" s="270" t="s">
        <v>1296</v>
      </c>
      <c r="B60" s="233" t="str">
        <f t="shared" si="28"/>
        <v>CPR_04B</v>
      </c>
      <c r="C60" s="254" t="s">
        <v>463</v>
      </c>
      <c r="D60" s="233" t="s">
        <v>1262</v>
      </c>
      <c r="E60" s="233" t="s">
        <v>1297</v>
      </c>
      <c r="F60" s="193" t="str">
        <f t="shared" si="43"/>
        <v>ETR1000V300-CPR-04B</v>
      </c>
      <c r="G60" s="233" t="s">
        <v>1298</v>
      </c>
      <c r="H60" s="194" t="s">
        <v>15</v>
      </c>
      <c r="I60" s="206">
        <v>46082</v>
      </c>
      <c r="J60" s="193" t="str">
        <f t="shared" si="29"/>
        <v>ETR1000V300-CPR-04B</v>
      </c>
      <c r="K60" s="233" t="str">
        <f t="shared" si="30"/>
        <v>2.05.1001</v>
      </c>
      <c r="L60" s="194" t="str">
        <f t="shared" si="31"/>
        <v>\</v>
      </c>
      <c r="M60" s="206">
        <f t="shared" si="32"/>
        <v>46082</v>
      </c>
      <c r="N60" s="272" t="str">
        <f t="shared" si="45"/>
        <v>ETR1000V300_FR-CPR-04B</v>
      </c>
      <c r="O60" s="261" t="s">
        <v>1299</v>
      </c>
      <c r="P60" s="235" t="s">
        <v>15</v>
      </c>
      <c r="Q60" s="262">
        <v>43952</v>
      </c>
      <c r="R60" s="260"/>
      <c r="S60" s="235"/>
      <c r="T60" s="235"/>
      <c r="U60" s="262"/>
      <c r="V60" s="272" t="str">
        <f t="shared" si="46"/>
        <v>ETR1000V300_R1-CPR-04B</v>
      </c>
      <c r="W60" s="267" t="s">
        <v>1300</v>
      </c>
      <c r="X60" s="267" t="s">
        <v>663</v>
      </c>
      <c r="Y60" s="262">
        <v>45931</v>
      </c>
      <c r="Z60" s="268" t="str">
        <f t="shared" si="47"/>
        <v>ETR1000V300_R1-CPR-04B</v>
      </c>
      <c r="AA60" s="267" t="str">
        <f t="shared" si="47"/>
        <v>2.05.1405</v>
      </c>
      <c r="AB60" s="267" t="str">
        <f t="shared" si="47"/>
        <v>01</v>
      </c>
      <c r="AC60" s="269">
        <f t="shared" si="47"/>
        <v>45931</v>
      </c>
    </row>
    <row r="61" spans="1:29" x14ac:dyDescent="0.25">
      <c r="A61" s="270" t="s">
        <v>1301</v>
      </c>
      <c r="B61" s="233" t="str">
        <f t="shared" si="28"/>
        <v>CPR_04C</v>
      </c>
      <c r="C61" s="254" t="s">
        <v>463</v>
      </c>
      <c r="D61" s="233" t="s">
        <v>1262</v>
      </c>
      <c r="E61" s="233" t="s">
        <v>1302</v>
      </c>
      <c r="F61" s="193" t="str">
        <f t="shared" si="43"/>
        <v>ETR1000V300-CPR-04C</v>
      </c>
      <c r="G61" s="233" t="s">
        <v>1303</v>
      </c>
      <c r="H61" s="194" t="s">
        <v>15</v>
      </c>
      <c r="I61" s="196" t="s">
        <v>1280</v>
      </c>
      <c r="J61" s="193" t="str">
        <f t="shared" si="29"/>
        <v>ETR1000V300-CPR-04C</v>
      </c>
      <c r="K61" s="233" t="str">
        <f t="shared" si="30"/>
        <v>2.05.1002</v>
      </c>
      <c r="L61" s="194" t="str">
        <f t="shared" si="31"/>
        <v>\</v>
      </c>
      <c r="M61" s="196" t="str">
        <f t="shared" si="32"/>
        <v>mar-21</v>
      </c>
      <c r="N61" s="272" t="str">
        <f t="shared" si="45"/>
        <v>ETR1000V300_FR-CPR-04C</v>
      </c>
      <c r="O61" s="261" t="s">
        <v>1304</v>
      </c>
      <c r="P61" s="235" t="s">
        <v>15</v>
      </c>
      <c r="Q61" s="262">
        <v>43922</v>
      </c>
      <c r="R61" s="260"/>
      <c r="S61" s="235"/>
      <c r="T61" s="235"/>
      <c r="U61" s="262"/>
      <c r="V61" s="272" t="str">
        <f t="shared" si="46"/>
        <v>ETR1000V300_R1-CPR-04C</v>
      </c>
      <c r="W61" s="267" t="s">
        <v>1305</v>
      </c>
      <c r="X61" s="267" t="s">
        <v>663</v>
      </c>
      <c r="Y61" s="262">
        <v>45931</v>
      </c>
      <c r="Z61" s="268" t="str">
        <f t="shared" si="47"/>
        <v>ETR1000V300_R1-CPR-04C</v>
      </c>
      <c r="AA61" s="267" t="str">
        <f t="shared" si="47"/>
        <v>2.05.1406</v>
      </c>
      <c r="AB61" s="267" t="str">
        <f t="shared" si="47"/>
        <v>01</v>
      </c>
      <c r="AC61" s="269">
        <f t="shared" si="47"/>
        <v>45931</v>
      </c>
    </row>
    <row r="62" spans="1:29" x14ac:dyDescent="0.25">
      <c r="A62" s="270" t="s">
        <v>1306</v>
      </c>
      <c r="B62" s="233" t="str">
        <f t="shared" si="28"/>
        <v>CPR_04D</v>
      </c>
      <c r="C62" s="254" t="s">
        <v>463</v>
      </c>
      <c r="D62" s="233" t="s">
        <v>1262</v>
      </c>
      <c r="E62" s="233" t="s">
        <v>1307</v>
      </c>
      <c r="F62" s="193" t="str">
        <f t="shared" si="43"/>
        <v>ETR1000V300-CPR-04D</v>
      </c>
      <c r="G62" s="233" t="s">
        <v>1308</v>
      </c>
      <c r="H62" s="194" t="s">
        <v>15</v>
      </c>
      <c r="I62" s="206">
        <v>45748</v>
      </c>
      <c r="J62" s="193" t="str">
        <f t="shared" si="29"/>
        <v>ETR1000V300-CPR-04D</v>
      </c>
      <c r="K62" s="233" t="str">
        <f t="shared" si="30"/>
        <v>2.05.1003</v>
      </c>
      <c r="L62" s="194" t="str">
        <f t="shared" si="31"/>
        <v>\</v>
      </c>
      <c r="M62" s="206">
        <f t="shared" si="32"/>
        <v>45748</v>
      </c>
      <c r="N62" s="272" t="str">
        <f t="shared" si="45"/>
        <v>ETR1000V300_FR-CPR-04D</v>
      </c>
      <c r="O62" s="261" t="s">
        <v>1309</v>
      </c>
      <c r="P62" s="235" t="s">
        <v>15</v>
      </c>
      <c r="Q62" s="262">
        <v>43952</v>
      </c>
      <c r="R62" s="260"/>
      <c r="S62" s="235"/>
      <c r="T62" s="235"/>
      <c r="U62" s="262"/>
      <c r="V62" s="260"/>
      <c r="W62" s="235"/>
      <c r="X62" s="235"/>
      <c r="Y62" s="262"/>
      <c r="Z62" s="260"/>
      <c r="AA62" s="235"/>
      <c r="AB62" s="235"/>
      <c r="AC62" s="262"/>
    </row>
    <row r="63" spans="1:29" x14ac:dyDescent="0.25">
      <c r="A63" s="270" t="s">
        <v>1202</v>
      </c>
      <c r="B63" s="233" t="str">
        <f t="shared" si="28"/>
        <v>CPR_05A</v>
      </c>
      <c r="C63" s="254" t="s">
        <v>463</v>
      </c>
      <c r="D63" s="233" t="s">
        <v>1262</v>
      </c>
      <c r="E63" s="233" t="s">
        <v>1203</v>
      </c>
      <c r="F63" s="193" t="str">
        <f t="shared" si="43"/>
        <v>ETR1000V300-CPR-05A</v>
      </c>
      <c r="G63" s="233" t="s">
        <v>1310</v>
      </c>
      <c r="H63" s="194" t="s">
        <v>15</v>
      </c>
      <c r="I63" s="195">
        <v>44287</v>
      </c>
      <c r="J63" s="193" t="str">
        <f t="shared" si="29"/>
        <v>ETR1000V300-CPR-05A</v>
      </c>
      <c r="K63" s="233" t="str">
        <f t="shared" si="30"/>
        <v>2.05.1004</v>
      </c>
      <c r="L63" s="194" t="str">
        <f t="shared" si="31"/>
        <v>\</v>
      </c>
      <c r="M63" s="195">
        <f t="shared" si="32"/>
        <v>44287</v>
      </c>
      <c r="N63" s="260" t="str">
        <f t="shared" ref="N63:N78" si="48">F63</f>
        <v>ETR1000V300-CPR-05A</v>
      </c>
      <c r="O63" s="235" t="str">
        <f t="shared" ref="O63:O78" si="49">G63</f>
        <v>2.05.1004</v>
      </c>
      <c r="P63" s="235" t="str">
        <f t="shared" ref="P63:P78" si="50">H63</f>
        <v>\</v>
      </c>
      <c r="Q63" s="287">
        <f t="shared" ref="Q63:Q78" si="51">I63</f>
        <v>44287</v>
      </c>
      <c r="R63" s="260"/>
      <c r="S63" s="235"/>
      <c r="T63" s="235"/>
      <c r="U63" s="262"/>
      <c r="V63" s="272" t="str">
        <f t="shared" ref="V63:V68" si="52">CONCATENATE("ETR1000V300_R1-",$D63,"-",$E63)</f>
        <v>ETR1000V300_R1-CPR-05A</v>
      </c>
      <c r="W63" s="267" t="s">
        <v>1311</v>
      </c>
      <c r="X63" s="267" t="s">
        <v>775</v>
      </c>
      <c r="Y63" s="262">
        <v>45931</v>
      </c>
      <c r="Z63" s="268" t="str">
        <f t="shared" ref="Z63:AC68" si="53">V63</f>
        <v>ETR1000V300_R1-CPR-05A</v>
      </c>
      <c r="AA63" s="267" t="str">
        <f t="shared" si="53"/>
        <v>2.05.1408</v>
      </c>
      <c r="AB63" s="267" t="str">
        <f t="shared" si="53"/>
        <v>02</v>
      </c>
      <c r="AC63" s="269">
        <f t="shared" si="53"/>
        <v>45931</v>
      </c>
    </row>
    <row r="64" spans="1:29" x14ac:dyDescent="0.25">
      <c r="A64" s="270" t="s">
        <v>1207</v>
      </c>
      <c r="B64" s="233" t="str">
        <f t="shared" si="28"/>
        <v>CPR_06A</v>
      </c>
      <c r="C64" s="254" t="s">
        <v>463</v>
      </c>
      <c r="D64" s="233" t="s">
        <v>1262</v>
      </c>
      <c r="E64" s="233" t="s">
        <v>1208</v>
      </c>
      <c r="F64" s="193" t="str">
        <f t="shared" si="43"/>
        <v>ETR1000V300-CPR-06A</v>
      </c>
      <c r="G64" s="233" t="s">
        <v>1312</v>
      </c>
      <c r="H64" s="194" t="s">
        <v>15</v>
      </c>
      <c r="I64" s="195">
        <v>44287</v>
      </c>
      <c r="J64" s="193" t="str">
        <f t="shared" si="29"/>
        <v>ETR1000V300-CPR-06A</v>
      </c>
      <c r="K64" s="233" t="str">
        <f t="shared" si="30"/>
        <v>2.05.1005</v>
      </c>
      <c r="L64" s="194" t="str">
        <f t="shared" si="31"/>
        <v>\</v>
      </c>
      <c r="M64" s="195">
        <f t="shared" si="32"/>
        <v>44287</v>
      </c>
      <c r="N64" s="260" t="str">
        <f t="shared" si="48"/>
        <v>ETR1000V300-CPR-06A</v>
      </c>
      <c r="O64" s="235" t="str">
        <f t="shared" si="49"/>
        <v>2.05.1005</v>
      </c>
      <c r="P64" s="235" t="str">
        <f t="shared" si="50"/>
        <v>\</v>
      </c>
      <c r="Q64" s="287">
        <f t="shared" si="51"/>
        <v>44287</v>
      </c>
      <c r="R64" s="260"/>
      <c r="S64" s="235"/>
      <c r="T64" s="235"/>
      <c r="U64" s="262"/>
      <c r="V64" s="272" t="str">
        <f t="shared" si="52"/>
        <v>ETR1000V300_R1-CPR-06A</v>
      </c>
      <c r="W64" s="267" t="s">
        <v>1313</v>
      </c>
      <c r="X64" s="267" t="s">
        <v>775</v>
      </c>
      <c r="Y64" s="262">
        <v>45931</v>
      </c>
      <c r="Z64" s="268" t="str">
        <f t="shared" si="53"/>
        <v>ETR1000V300_R1-CPR-06A</v>
      </c>
      <c r="AA64" s="267" t="str">
        <f t="shared" si="53"/>
        <v>2.05.1409</v>
      </c>
      <c r="AB64" s="267" t="str">
        <f t="shared" si="53"/>
        <v>02</v>
      </c>
      <c r="AC64" s="269">
        <f t="shared" si="53"/>
        <v>45931</v>
      </c>
    </row>
    <row r="65" spans="1:29" x14ac:dyDescent="0.25">
      <c r="A65" s="270" t="s">
        <v>1209</v>
      </c>
      <c r="B65" s="233" t="str">
        <f t="shared" si="28"/>
        <v>CPR_07A</v>
      </c>
      <c r="C65" s="254" t="s">
        <v>463</v>
      </c>
      <c r="D65" s="233" t="s">
        <v>1262</v>
      </c>
      <c r="E65" s="233" t="s">
        <v>1210</v>
      </c>
      <c r="F65" s="193" t="str">
        <f t="shared" si="43"/>
        <v>ETR1000V300-CPR-07A</v>
      </c>
      <c r="G65" s="233" t="s">
        <v>1314</v>
      </c>
      <c r="H65" s="194" t="s">
        <v>15</v>
      </c>
      <c r="I65" s="196" t="s">
        <v>1315</v>
      </c>
      <c r="J65" s="193" t="str">
        <f t="shared" si="29"/>
        <v>ETR1000V300-CPR-07A</v>
      </c>
      <c r="K65" s="233" t="str">
        <f t="shared" si="30"/>
        <v>2.05.1006</v>
      </c>
      <c r="L65" s="194" t="str">
        <f t="shared" si="31"/>
        <v>\</v>
      </c>
      <c r="M65" s="196" t="str">
        <f t="shared" si="32"/>
        <v>mag-17</v>
      </c>
      <c r="N65" s="260" t="str">
        <f t="shared" si="48"/>
        <v>ETR1000V300-CPR-07A</v>
      </c>
      <c r="O65" s="235" t="str">
        <f t="shared" si="49"/>
        <v>2.05.1006</v>
      </c>
      <c r="P65" s="235" t="str">
        <f t="shared" si="50"/>
        <v>\</v>
      </c>
      <c r="Q65" s="287" t="str">
        <f t="shared" si="51"/>
        <v>mag-17</v>
      </c>
      <c r="R65" s="260"/>
      <c r="S65" s="235"/>
      <c r="T65" s="235"/>
      <c r="U65" s="262"/>
      <c r="V65" s="272" t="str">
        <f t="shared" si="52"/>
        <v>ETR1000V300_R1-CPR-07A</v>
      </c>
      <c r="W65" s="267" t="s">
        <v>1316</v>
      </c>
      <c r="X65" s="267" t="s">
        <v>663</v>
      </c>
      <c r="Y65" s="262">
        <v>45931</v>
      </c>
      <c r="Z65" s="260" t="str">
        <f t="shared" si="53"/>
        <v>ETR1000V300_R1-CPR-07A</v>
      </c>
      <c r="AA65" s="235" t="str">
        <f t="shared" si="53"/>
        <v>2.05.1410</v>
      </c>
      <c r="AB65" s="235" t="str">
        <f t="shared" si="53"/>
        <v>01</v>
      </c>
      <c r="AC65" s="262">
        <f t="shared" si="53"/>
        <v>45931</v>
      </c>
    </row>
    <row r="66" spans="1:29" x14ac:dyDescent="0.25">
      <c r="A66" s="270" t="s">
        <v>1317</v>
      </c>
      <c r="B66" s="233" t="str">
        <f t="shared" si="28"/>
        <v>CPR_08A</v>
      </c>
      <c r="C66" s="254" t="s">
        <v>463</v>
      </c>
      <c r="D66" s="233" t="s">
        <v>1262</v>
      </c>
      <c r="E66" s="233" t="s">
        <v>1213</v>
      </c>
      <c r="F66" s="193" t="str">
        <f t="shared" si="43"/>
        <v>ETR1000V300-CPR-08A</v>
      </c>
      <c r="G66" s="233" t="s">
        <v>1318</v>
      </c>
      <c r="H66" s="194" t="s">
        <v>15</v>
      </c>
      <c r="I66" s="196" t="s">
        <v>1239</v>
      </c>
      <c r="J66" s="193" t="str">
        <f t="shared" si="29"/>
        <v>ETR1000V300-CPR-08A</v>
      </c>
      <c r="K66" s="233" t="str">
        <f t="shared" si="30"/>
        <v>2.05.1007</v>
      </c>
      <c r="L66" s="194" t="str">
        <f t="shared" si="31"/>
        <v>\</v>
      </c>
      <c r="M66" s="196" t="str">
        <f t="shared" si="32"/>
        <v>lug-17</v>
      </c>
      <c r="N66" s="260" t="str">
        <f t="shared" si="48"/>
        <v>ETR1000V300-CPR-08A</v>
      </c>
      <c r="O66" s="235" t="str">
        <f t="shared" si="49"/>
        <v>2.05.1007</v>
      </c>
      <c r="P66" s="235" t="str">
        <f t="shared" si="50"/>
        <v>\</v>
      </c>
      <c r="Q66" s="287" t="str">
        <f t="shared" si="51"/>
        <v>lug-17</v>
      </c>
      <c r="R66" s="260"/>
      <c r="S66" s="235"/>
      <c r="T66" s="235"/>
      <c r="U66" s="262"/>
      <c r="V66" s="272" t="str">
        <f t="shared" si="52"/>
        <v>ETR1000V300_R1-CPR-08A</v>
      </c>
      <c r="W66" s="267" t="s">
        <v>1319</v>
      </c>
      <c r="X66" s="267" t="s">
        <v>775</v>
      </c>
      <c r="Y66" s="262">
        <v>45932</v>
      </c>
      <c r="Z66" s="268" t="str">
        <f t="shared" si="53"/>
        <v>ETR1000V300_R1-CPR-08A</v>
      </c>
      <c r="AA66" s="267" t="str">
        <f t="shared" si="53"/>
        <v>2.05.1411</v>
      </c>
      <c r="AB66" s="267" t="str">
        <f t="shared" si="53"/>
        <v>02</v>
      </c>
      <c r="AC66" s="269">
        <f t="shared" si="53"/>
        <v>45932</v>
      </c>
    </row>
    <row r="67" spans="1:29" x14ac:dyDescent="0.25">
      <c r="A67" s="270" t="s">
        <v>1320</v>
      </c>
      <c r="B67" s="233" t="str">
        <f t="shared" ref="B67:B79" si="54">CONCATENATE(D67,"_",E67)</f>
        <v>CPR_08B</v>
      </c>
      <c r="C67" s="254" t="s">
        <v>463</v>
      </c>
      <c r="D67" s="233" t="s">
        <v>1262</v>
      </c>
      <c r="E67" s="233" t="s">
        <v>1321</v>
      </c>
      <c r="F67" s="193" t="str">
        <f t="shared" si="43"/>
        <v>ETR1000V300-CPR-08B</v>
      </c>
      <c r="G67" s="233" t="s">
        <v>1322</v>
      </c>
      <c r="H67" s="194" t="s">
        <v>15</v>
      </c>
      <c r="I67" s="196" t="s">
        <v>1323</v>
      </c>
      <c r="J67" s="193" t="str">
        <f t="shared" ref="J67:J79" si="55">$F67</f>
        <v>ETR1000V300-CPR-08B</v>
      </c>
      <c r="K67" s="233" t="str">
        <f t="shared" ref="K67:K79" si="56">$G67</f>
        <v>2.05.1008</v>
      </c>
      <c r="L67" s="194" t="str">
        <f t="shared" ref="L67:L79" si="57">$H67</f>
        <v>\</v>
      </c>
      <c r="M67" s="196" t="str">
        <f t="shared" ref="M67:M79" si="58">$I67</f>
        <v>lug-15</v>
      </c>
      <c r="N67" s="260" t="str">
        <f t="shared" si="48"/>
        <v>ETR1000V300-CPR-08B</v>
      </c>
      <c r="O67" s="235" t="str">
        <f t="shared" si="49"/>
        <v>2.05.1008</v>
      </c>
      <c r="P67" s="235" t="str">
        <f t="shared" si="50"/>
        <v>\</v>
      </c>
      <c r="Q67" s="287" t="str">
        <f t="shared" si="51"/>
        <v>lug-15</v>
      </c>
      <c r="R67" s="260"/>
      <c r="S67" s="235"/>
      <c r="T67" s="235"/>
      <c r="U67" s="262"/>
      <c r="V67" s="272" t="str">
        <f t="shared" si="52"/>
        <v>ETR1000V300_R1-CPR-08B</v>
      </c>
      <c r="W67" s="267" t="s">
        <v>1324</v>
      </c>
      <c r="X67" s="267" t="s">
        <v>775</v>
      </c>
      <c r="Y67" s="262">
        <v>45931</v>
      </c>
      <c r="Z67" s="268" t="str">
        <f t="shared" si="53"/>
        <v>ETR1000V300_R1-CPR-08B</v>
      </c>
      <c r="AA67" s="267" t="str">
        <f t="shared" si="53"/>
        <v>2.05.1412</v>
      </c>
      <c r="AB67" s="267" t="str">
        <f t="shared" si="53"/>
        <v>02</v>
      </c>
      <c r="AC67" s="269">
        <f t="shared" si="53"/>
        <v>45931</v>
      </c>
    </row>
    <row r="68" spans="1:29" x14ac:dyDescent="0.25">
      <c r="A68" s="270" t="s">
        <v>1325</v>
      </c>
      <c r="B68" s="233" t="str">
        <f t="shared" si="54"/>
        <v>CPR_08C</v>
      </c>
      <c r="C68" s="254" t="s">
        <v>463</v>
      </c>
      <c r="D68" s="233" t="s">
        <v>1262</v>
      </c>
      <c r="E68" s="233" t="s">
        <v>1326</v>
      </c>
      <c r="F68" s="193" t="str">
        <f t="shared" si="43"/>
        <v>ETR1000V300-CPR-08C</v>
      </c>
      <c r="G68" s="233" t="s">
        <v>1327</v>
      </c>
      <c r="H68" s="194" t="s">
        <v>15</v>
      </c>
      <c r="I68" s="196" t="s">
        <v>1328</v>
      </c>
      <c r="J68" s="193" t="str">
        <f t="shared" si="55"/>
        <v>ETR1000V300-CPR-08C</v>
      </c>
      <c r="K68" s="233" t="str">
        <f t="shared" si="56"/>
        <v>2.05.1009</v>
      </c>
      <c r="L68" s="194" t="str">
        <f t="shared" si="57"/>
        <v>\</v>
      </c>
      <c r="M68" s="196" t="str">
        <f t="shared" si="58"/>
        <v>dic-15</v>
      </c>
      <c r="N68" s="260" t="str">
        <f t="shared" si="48"/>
        <v>ETR1000V300-CPR-08C</v>
      </c>
      <c r="O68" s="235" t="str">
        <f t="shared" si="49"/>
        <v>2.05.1009</v>
      </c>
      <c r="P68" s="235" t="str">
        <f t="shared" si="50"/>
        <v>\</v>
      </c>
      <c r="Q68" s="287" t="str">
        <f t="shared" si="51"/>
        <v>dic-15</v>
      </c>
      <c r="R68" s="260"/>
      <c r="S68" s="235"/>
      <c r="T68" s="235"/>
      <c r="U68" s="262"/>
      <c r="V68" s="272" t="str">
        <f t="shared" si="52"/>
        <v>ETR1000V300_R1-CPR-08C</v>
      </c>
      <c r="W68" s="267" t="s">
        <v>1329</v>
      </c>
      <c r="X68" s="267" t="s">
        <v>775</v>
      </c>
      <c r="Y68" s="262">
        <v>45931</v>
      </c>
      <c r="Z68" s="268" t="str">
        <f t="shared" si="53"/>
        <v>ETR1000V300_R1-CPR-08C</v>
      </c>
      <c r="AA68" s="267" t="str">
        <f t="shared" si="53"/>
        <v>2.05.1413</v>
      </c>
      <c r="AB68" s="267" t="str">
        <f t="shared" si="53"/>
        <v>02</v>
      </c>
      <c r="AC68" s="269">
        <f t="shared" si="53"/>
        <v>45931</v>
      </c>
    </row>
    <row r="69" spans="1:29" x14ac:dyDescent="0.25">
      <c r="A69" s="270" t="s">
        <v>1214</v>
      </c>
      <c r="B69" s="233" t="str">
        <f t="shared" si="54"/>
        <v>CPR_09A</v>
      </c>
      <c r="C69" s="254" t="s">
        <v>463</v>
      </c>
      <c r="D69" s="233" t="s">
        <v>1262</v>
      </c>
      <c r="E69" s="233" t="s">
        <v>1215</v>
      </c>
      <c r="F69" s="193" t="str">
        <f t="shared" si="43"/>
        <v>ETR1000V300-CPR-09A</v>
      </c>
      <c r="G69" s="233" t="s">
        <v>1330</v>
      </c>
      <c r="H69" s="194" t="s">
        <v>15</v>
      </c>
      <c r="I69" s="196" t="s">
        <v>1331</v>
      </c>
      <c r="J69" s="193" t="str">
        <f t="shared" si="55"/>
        <v>ETR1000V300-CPR-09A</v>
      </c>
      <c r="K69" s="233" t="str">
        <f t="shared" si="56"/>
        <v>2.05.1010</v>
      </c>
      <c r="L69" s="194" t="str">
        <f t="shared" si="57"/>
        <v>\</v>
      </c>
      <c r="M69" s="196" t="str">
        <f t="shared" si="58"/>
        <v>feb-21</v>
      </c>
      <c r="N69" s="260" t="str">
        <f t="shared" si="48"/>
        <v>ETR1000V300-CPR-09A</v>
      </c>
      <c r="O69" s="235" t="str">
        <f t="shared" si="49"/>
        <v>2.05.1010</v>
      </c>
      <c r="P69" s="235" t="str">
        <f t="shared" si="50"/>
        <v>\</v>
      </c>
      <c r="Q69" s="287" t="str">
        <f t="shared" si="51"/>
        <v>feb-21</v>
      </c>
      <c r="R69" s="260"/>
      <c r="S69" s="235"/>
      <c r="T69" s="235"/>
      <c r="U69" s="262"/>
      <c r="V69" s="260"/>
      <c r="W69" s="235"/>
      <c r="X69" s="235"/>
      <c r="Y69" s="262"/>
      <c r="Z69" s="260"/>
      <c r="AA69" s="235"/>
      <c r="AB69" s="235"/>
      <c r="AC69" s="262"/>
    </row>
    <row r="70" spans="1:29" x14ac:dyDescent="0.25">
      <c r="A70" s="270" t="s">
        <v>1216</v>
      </c>
      <c r="B70" s="233" t="str">
        <f t="shared" si="54"/>
        <v>CPR_10A</v>
      </c>
      <c r="C70" s="254" t="s">
        <v>463</v>
      </c>
      <c r="D70" s="233" t="s">
        <v>1262</v>
      </c>
      <c r="E70" s="233" t="s">
        <v>1217</v>
      </c>
      <c r="F70" s="193" t="str">
        <f t="shared" si="43"/>
        <v>ETR1000V300-CPR-10A</v>
      </c>
      <c r="G70" s="233" t="s">
        <v>1332</v>
      </c>
      <c r="H70" s="194" t="s">
        <v>15</v>
      </c>
      <c r="I70" s="196" t="s">
        <v>1264</v>
      </c>
      <c r="J70" s="193" t="str">
        <f t="shared" si="55"/>
        <v>ETR1000V300-CPR-10A</v>
      </c>
      <c r="K70" s="233" t="str">
        <f t="shared" si="56"/>
        <v>2.05.1011</v>
      </c>
      <c r="L70" s="194" t="str">
        <f t="shared" si="57"/>
        <v>\</v>
      </c>
      <c r="M70" s="196" t="str">
        <f t="shared" si="58"/>
        <v>mag-22</v>
      </c>
      <c r="N70" s="260" t="str">
        <f t="shared" si="48"/>
        <v>ETR1000V300-CPR-10A</v>
      </c>
      <c r="O70" s="235" t="str">
        <f t="shared" si="49"/>
        <v>2.05.1011</v>
      </c>
      <c r="P70" s="235" t="str">
        <f t="shared" si="50"/>
        <v>\</v>
      </c>
      <c r="Q70" s="287" t="str">
        <f t="shared" si="51"/>
        <v>mag-22</v>
      </c>
      <c r="R70" s="260"/>
      <c r="S70" s="235"/>
      <c r="T70" s="235"/>
      <c r="U70" s="262"/>
      <c r="V70" s="272" t="str">
        <f>CONCATENATE("ETR1000V300_R1-",$D70,"-",$E70)</f>
        <v>ETR1000V300_R1-CPR-10A</v>
      </c>
      <c r="W70" s="267" t="s">
        <v>1333</v>
      </c>
      <c r="X70" s="267" t="s">
        <v>775</v>
      </c>
      <c r="Y70" s="262">
        <v>45931</v>
      </c>
      <c r="Z70" s="268" t="str">
        <f t="shared" ref="Z70:AC71" si="59">V70</f>
        <v>ETR1000V300_R1-CPR-10A</v>
      </c>
      <c r="AA70" s="267" t="str">
        <f t="shared" si="59"/>
        <v>2.05.1415</v>
      </c>
      <c r="AB70" s="267" t="str">
        <f t="shared" si="59"/>
        <v>02</v>
      </c>
      <c r="AC70" s="269">
        <f t="shared" si="59"/>
        <v>45931</v>
      </c>
    </row>
    <row r="71" spans="1:29" x14ac:dyDescent="0.25">
      <c r="A71" s="270" t="s">
        <v>1218</v>
      </c>
      <c r="B71" s="233" t="str">
        <f t="shared" si="54"/>
        <v>CPR_11A</v>
      </c>
      <c r="C71" s="254" t="s">
        <v>463</v>
      </c>
      <c r="D71" s="233" t="s">
        <v>1262</v>
      </c>
      <c r="E71" s="233" t="s">
        <v>1219</v>
      </c>
      <c r="F71" s="193" t="str">
        <f t="shared" si="43"/>
        <v>ETR1000V300-CPR-11A</v>
      </c>
      <c r="G71" s="233" t="s">
        <v>1334</v>
      </c>
      <c r="H71" s="194" t="s">
        <v>15</v>
      </c>
      <c r="I71" s="195">
        <v>44287</v>
      </c>
      <c r="J71" s="193" t="str">
        <f t="shared" si="55"/>
        <v>ETR1000V300-CPR-11A</v>
      </c>
      <c r="K71" s="233" t="str">
        <f t="shared" si="56"/>
        <v>2.05.1012</v>
      </c>
      <c r="L71" s="194" t="str">
        <f t="shared" si="57"/>
        <v>\</v>
      </c>
      <c r="M71" s="195">
        <f t="shared" si="58"/>
        <v>44287</v>
      </c>
      <c r="N71" s="260" t="str">
        <f t="shared" si="48"/>
        <v>ETR1000V300-CPR-11A</v>
      </c>
      <c r="O71" s="235" t="str">
        <f t="shared" si="49"/>
        <v>2.05.1012</v>
      </c>
      <c r="P71" s="235" t="str">
        <f t="shared" si="50"/>
        <v>\</v>
      </c>
      <c r="Q71" s="287">
        <f t="shared" si="51"/>
        <v>44287</v>
      </c>
      <c r="R71" s="260"/>
      <c r="S71" s="235"/>
      <c r="T71" s="235"/>
      <c r="U71" s="262"/>
      <c r="V71" s="272" t="str">
        <f>CONCATENATE("ETR1000V300_R1-",$D71,"-",$E71)</f>
        <v>ETR1000V300_R1-CPR-11A</v>
      </c>
      <c r="W71" s="267" t="s">
        <v>1335</v>
      </c>
      <c r="X71" s="267" t="s">
        <v>775</v>
      </c>
      <c r="Y71" s="262">
        <v>45931</v>
      </c>
      <c r="Z71" s="268" t="str">
        <f t="shared" si="59"/>
        <v>ETR1000V300_R1-CPR-11A</v>
      </c>
      <c r="AA71" s="267" t="str">
        <f t="shared" si="59"/>
        <v>2.05.1416</v>
      </c>
      <c r="AB71" s="267" t="str">
        <f t="shared" si="59"/>
        <v>02</v>
      </c>
      <c r="AC71" s="269">
        <f t="shared" si="59"/>
        <v>45931</v>
      </c>
    </row>
    <row r="72" spans="1:29" x14ac:dyDescent="0.25">
      <c r="A72" s="270" t="s">
        <v>1336</v>
      </c>
      <c r="B72" s="233" t="str">
        <f t="shared" si="54"/>
        <v>CPR_14A</v>
      </c>
      <c r="C72" s="254" t="s">
        <v>463</v>
      </c>
      <c r="D72" s="233" t="s">
        <v>1262</v>
      </c>
      <c r="E72" s="233" t="s">
        <v>1223</v>
      </c>
      <c r="F72" s="193" t="str">
        <f t="shared" si="43"/>
        <v>ETR1000V300-CPR-14A</v>
      </c>
      <c r="G72" s="233" t="s">
        <v>1337</v>
      </c>
      <c r="H72" s="194" t="s">
        <v>15</v>
      </c>
      <c r="I72" s="196" t="s">
        <v>1264</v>
      </c>
      <c r="J72" s="193" t="str">
        <f t="shared" si="55"/>
        <v>ETR1000V300-CPR-14A</v>
      </c>
      <c r="K72" s="233" t="str">
        <f t="shared" si="56"/>
        <v>2.05.1013</v>
      </c>
      <c r="L72" s="194" t="str">
        <f t="shared" si="57"/>
        <v>\</v>
      </c>
      <c r="M72" s="196" t="str">
        <f t="shared" si="58"/>
        <v>mag-22</v>
      </c>
      <c r="N72" s="260" t="str">
        <f t="shared" si="48"/>
        <v>ETR1000V300-CPR-14A</v>
      </c>
      <c r="O72" s="235" t="str">
        <f t="shared" si="49"/>
        <v>2.05.1013</v>
      </c>
      <c r="P72" s="235" t="str">
        <f t="shared" si="50"/>
        <v>\</v>
      </c>
      <c r="Q72" s="287" t="str">
        <f t="shared" si="51"/>
        <v>mag-22</v>
      </c>
      <c r="R72" s="260"/>
      <c r="S72" s="235"/>
      <c r="T72" s="235"/>
      <c r="U72" s="262"/>
      <c r="V72" s="260"/>
      <c r="W72" s="235"/>
      <c r="X72" s="235"/>
      <c r="Y72" s="262"/>
      <c r="Z72" s="260"/>
      <c r="AA72" s="235"/>
      <c r="AB72" s="235"/>
      <c r="AC72" s="262"/>
    </row>
    <row r="73" spans="1:29" x14ac:dyDescent="0.25">
      <c r="A73" s="270" t="s">
        <v>1338</v>
      </c>
      <c r="B73" s="233" t="str">
        <f t="shared" si="54"/>
        <v>CPR_14B</v>
      </c>
      <c r="C73" s="254" t="s">
        <v>463</v>
      </c>
      <c r="D73" s="233" t="s">
        <v>1262</v>
      </c>
      <c r="E73" s="233" t="s">
        <v>1225</v>
      </c>
      <c r="F73" s="193" t="str">
        <f t="shared" si="43"/>
        <v>ETR1000V300-CPR-14B</v>
      </c>
      <c r="G73" s="233" t="s">
        <v>1339</v>
      </c>
      <c r="H73" s="194" t="s">
        <v>15</v>
      </c>
      <c r="I73" s="206">
        <v>46174</v>
      </c>
      <c r="J73" s="193" t="str">
        <f t="shared" si="55"/>
        <v>ETR1000V300-CPR-14B</v>
      </c>
      <c r="K73" s="233" t="str">
        <f t="shared" si="56"/>
        <v>2.05.1014</v>
      </c>
      <c r="L73" s="194" t="str">
        <f t="shared" si="57"/>
        <v>\</v>
      </c>
      <c r="M73" s="206">
        <f t="shared" si="58"/>
        <v>46174</v>
      </c>
      <c r="N73" s="260" t="str">
        <f t="shared" si="48"/>
        <v>ETR1000V300-CPR-14B</v>
      </c>
      <c r="O73" s="235" t="str">
        <f t="shared" si="49"/>
        <v>2.05.1014</v>
      </c>
      <c r="P73" s="235" t="str">
        <f t="shared" si="50"/>
        <v>\</v>
      </c>
      <c r="Q73" s="287">
        <f t="shared" si="51"/>
        <v>46174</v>
      </c>
      <c r="R73" s="260"/>
      <c r="S73" s="235"/>
      <c r="T73" s="235"/>
      <c r="U73" s="262"/>
      <c r="V73" s="260"/>
      <c r="W73" s="235"/>
      <c r="X73" s="235"/>
      <c r="Y73" s="262"/>
      <c r="Z73" s="260"/>
      <c r="AA73" s="235"/>
      <c r="AB73" s="235"/>
      <c r="AC73" s="262"/>
    </row>
    <row r="74" spans="1:29" x14ac:dyDescent="0.25">
      <c r="A74" s="270" t="s">
        <v>1340</v>
      </c>
      <c r="B74" s="233" t="str">
        <f t="shared" si="54"/>
        <v>CPR_14C</v>
      </c>
      <c r="C74" s="254" t="s">
        <v>463</v>
      </c>
      <c r="D74" s="233" t="s">
        <v>1262</v>
      </c>
      <c r="E74" s="233" t="s">
        <v>1341</v>
      </c>
      <c r="F74" s="193" t="str">
        <f t="shared" si="43"/>
        <v>ETR1000V300-CPR-14C</v>
      </c>
      <c r="G74" s="233" t="s">
        <v>1342</v>
      </c>
      <c r="H74" s="194" t="s">
        <v>15</v>
      </c>
      <c r="I74" s="196" t="s">
        <v>1264</v>
      </c>
      <c r="J74" s="193" t="str">
        <f t="shared" si="55"/>
        <v>ETR1000V300-CPR-14C</v>
      </c>
      <c r="K74" s="233" t="str">
        <f t="shared" si="56"/>
        <v>2.05.1015</v>
      </c>
      <c r="L74" s="194" t="str">
        <f t="shared" si="57"/>
        <v>\</v>
      </c>
      <c r="M74" s="196" t="str">
        <f t="shared" si="58"/>
        <v>mag-22</v>
      </c>
      <c r="N74" s="260" t="str">
        <f t="shared" si="48"/>
        <v>ETR1000V300-CPR-14C</v>
      </c>
      <c r="O74" s="235" t="str">
        <f t="shared" si="49"/>
        <v>2.05.1015</v>
      </c>
      <c r="P74" s="235" t="str">
        <f t="shared" si="50"/>
        <v>\</v>
      </c>
      <c r="Q74" s="287" t="str">
        <f t="shared" si="51"/>
        <v>mag-22</v>
      </c>
      <c r="R74" s="260"/>
      <c r="S74" s="235"/>
      <c r="T74" s="235"/>
      <c r="U74" s="262"/>
      <c r="V74" s="260"/>
      <c r="W74" s="235"/>
      <c r="X74" s="235"/>
      <c r="Y74" s="262"/>
      <c r="Z74" s="260"/>
      <c r="AA74" s="235"/>
      <c r="AB74" s="235"/>
      <c r="AC74" s="262"/>
    </row>
    <row r="75" spans="1:29" x14ac:dyDescent="0.25">
      <c r="A75" s="270" t="s">
        <v>1343</v>
      </c>
      <c r="B75" s="233" t="str">
        <f t="shared" si="54"/>
        <v>CPR_14D</v>
      </c>
      <c r="C75" s="254" t="s">
        <v>463</v>
      </c>
      <c r="D75" s="233" t="s">
        <v>1262</v>
      </c>
      <c r="E75" s="233" t="s">
        <v>1344</v>
      </c>
      <c r="F75" s="193" t="str">
        <f t="shared" si="43"/>
        <v>ETR1000V300-CPR-14D</v>
      </c>
      <c r="G75" s="233" t="s">
        <v>1345</v>
      </c>
      <c r="H75" s="194" t="s">
        <v>15</v>
      </c>
      <c r="I75" s="196" t="s">
        <v>1264</v>
      </c>
      <c r="J75" s="193" t="str">
        <f t="shared" si="55"/>
        <v>ETR1000V300-CPR-14D</v>
      </c>
      <c r="K75" s="233" t="str">
        <f t="shared" si="56"/>
        <v>2.05.1016</v>
      </c>
      <c r="L75" s="194" t="str">
        <f t="shared" si="57"/>
        <v>\</v>
      </c>
      <c r="M75" s="196" t="str">
        <f t="shared" si="58"/>
        <v>mag-22</v>
      </c>
      <c r="N75" s="260" t="str">
        <f t="shared" si="48"/>
        <v>ETR1000V300-CPR-14D</v>
      </c>
      <c r="O75" s="235" t="str">
        <f t="shared" si="49"/>
        <v>2.05.1016</v>
      </c>
      <c r="P75" s="235" t="str">
        <f t="shared" si="50"/>
        <v>\</v>
      </c>
      <c r="Q75" s="287" t="str">
        <f t="shared" si="51"/>
        <v>mag-22</v>
      </c>
      <c r="R75" s="260"/>
      <c r="S75" s="235"/>
      <c r="T75" s="235"/>
      <c r="U75" s="262"/>
      <c r="V75" s="272" t="str">
        <f>CONCATENATE("ETR1000V300_R1-",$D75,"-",$E75)</f>
        <v>ETR1000V300_R1-CPR-14D</v>
      </c>
      <c r="W75" s="267" t="s">
        <v>1346</v>
      </c>
      <c r="X75" s="267" t="s">
        <v>663</v>
      </c>
      <c r="Y75" s="262">
        <v>45931</v>
      </c>
      <c r="Z75" s="260" t="str">
        <f>V75</f>
        <v>ETR1000V300_R1-CPR-14D</v>
      </c>
      <c r="AA75" s="235" t="str">
        <f>W75</f>
        <v>2.05.1420</v>
      </c>
      <c r="AB75" s="235" t="str">
        <f>X75</f>
        <v>01</v>
      </c>
      <c r="AC75" s="262">
        <f>Y75</f>
        <v>45931</v>
      </c>
    </row>
    <row r="76" spans="1:29" x14ac:dyDescent="0.25">
      <c r="A76" s="270" t="s">
        <v>1347</v>
      </c>
      <c r="B76" s="233" t="str">
        <f t="shared" si="54"/>
        <v>CPR_15A</v>
      </c>
      <c r="C76" s="254" t="s">
        <v>463</v>
      </c>
      <c r="D76" s="233" t="s">
        <v>1262</v>
      </c>
      <c r="E76" s="233" t="s">
        <v>1227</v>
      </c>
      <c r="F76" s="193" t="str">
        <f t="shared" si="43"/>
        <v>ETR1000V300-CPR-15A</v>
      </c>
      <c r="G76" s="233" t="s">
        <v>1348</v>
      </c>
      <c r="H76" s="194" t="s">
        <v>15</v>
      </c>
      <c r="I76" s="196" t="s">
        <v>1264</v>
      </c>
      <c r="J76" s="193" t="str">
        <f t="shared" si="55"/>
        <v>ETR1000V300-CPR-15A</v>
      </c>
      <c r="K76" s="233" t="str">
        <f t="shared" si="56"/>
        <v>2.05.1017</v>
      </c>
      <c r="L76" s="194" t="str">
        <f t="shared" si="57"/>
        <v>\</v>
      </c>
      <c r="M76" s="196" t="str">
        <f t="shared" si="58"/>
        <v>mag-22</v>
      </c>
      <c r="N76" s="260" t="str">
        <f t="shared" si="48"/>
        <v>ETR1000V300-CPR-15A</v>
      </c>
      <c r="O76" s="235" t="str">
        <f t="shared" si="49"/>
        <v>2.05.1017</v>
      </c>
      <c r="P76" s="235" t="str">
        <f t="shared" si="50"/>
        <v>\</v>
      </c>
      <c r="Q76" s="287" t="str">
        <f t="shared" si="51"/>
        <v>mag-22</v>
      </c>
      <c r="R76" s="260"/>
      <c r="S76" s="235"/>
      <c r="T76" s="235"/>
      <c r="U76" s="262"/>
      <c r="V76" s="260"/>
      <c r="W76" s="235"/>
      <c r="X76" s="235"/>
      <c r="Y76" s="262"/>
      <c r="Z76" s="260"/>
      <c r="AA76" s="235"/>
      <c r="AB76" s="235"/>
      <c r="AC76" s="262"/>
    </row>
    <row r="77" spans="1:29" x14ac:dyDescent="0.25">
      <c r="A77" s="270" t="s">
        <v>1349</v>
      </c>
      <c r="B77" s="233" t="str">
        <f t="shared" si="54"/>
        <v>CPR_15B</v>
      </c>
      <c r="C77" s="254" t="s">
        <v>463</v>
      </c>
      <c r="D77" s="233" t="s">
        <v>1262</v>
      </c>
      <c r="E77" s="233" t="s">
        <v>1229</v>
      </c>
      <c r="F77" s="193" t="str">
        <f t="shared" si="43"/>
        <v>ETR1000V300-CPR-15B</v>
      </c>
      <c r="G77" s="233" t="s">
        <v>1350</v>
      </c>
      <c r="H77" s="194" t="s">
        <v>15</v>
      </c>
      <c r="I77" s="196" t="s">
        <v>1264</v>
      </c>
      <c r="J77" s="193" t="str">
        <f t="shared" si="55"/>
        <v>ETR1000V300-CPR-15B</v>
      </c>
      <c r="K77" s="233" t="str">
        <f t="shared" si="56"/>
        <v>2.05.1018</v>
      </c>
      <c r="L77" s="194" t="str">
        <f t="shared" si="57"/>
        <v>\</v>
      </c>
      <c r="M77" s="196" t="str">
        <f t="shared" si="58"/>
        <v>mag-22</v>
      </c>
      <c r="N77" s="260" t="str">
        <f t="shared" si="48"/>
        <v>ETR1000V300-CPR-15B</v>
      </c>
      <c r="O77" s="235" t="str">
        <f t="shared" si="49"/>
        <v>2.05.1018</v>
      </c>
      <c r="P77" s="235" t="str">
        <f t="shared" si="50"/>
        <v>\</v>
      </c>
      <c r="Q77" s="287" t="str">
        <f t="shared" si="51"/>
        <v>mag-22</v>
      </c>
      <c r="R77" s="260"/>
      <c r="S77" s="235"/>
      <c r="T77" s="235"/>
      <c r="U77" s="262"/>
      <c r="V77" s="260"/>
      <c r="W77" s="235"/>
      <c r="X77" s="235"/>
      <c r="Y77" s="262"/>
      <c r="Z77" s="260"/>
      <c r="AA77" s="235"/>
      <c r="AB77" s="235"/>
      <c r="AC77" s="262"/>
    </row>
    <row r="78" spans="1:29" x14ac:dyDescent="0.25">
      <c r="A78" s="270" t="s">
        <v>1351</v>
      </c>
      <c r="B78" s="233" t="str">
        <f t="shared" si="54"/>
        <v>CPR_31A</v>
      </c>
      <c r="C78" s="254" t="s">
        <v>463</v>
      </c>
      <c r="D78" s="233" t="s">
        <v>1262</v>
      </c>
      <c r="E78" s="233" t="s">
        <v>1253</v>
      </c>
      <c r="F78" s="193" t="str">
        <f t="shared" si="43"/>
        <v>ETR1000V300-CPR-31A</v>
      </c>
      <c r="G78" s="233" t="s">
        <v>1352</v>
      </c>
      <c r="H78" s="194" t="s">
        <v>15</v>
      </c>
      <c r="I78" s="206">
        <v>45717</v>
      </c>
      <c r="J78" s="193" t="str">
        <f t="shared" si="55"/>
        <v>ETR1000V300-CPR-31A</v>
      </c>
      <c r="K78" s="233" t="str">
        <f t="shared" si="56"/>
        <v>2.05.1019</v>
      </c>
      <c r="L78" s="194" t="str">
        <f t="shared" si="57"/>
        <v>\</v>
      </c>
      <c r="M78" s="206">
        <f t="shared" si="58"/>
        <v>45717</v>
      </c>
      <c r="N78" s="260" t="str">
        <f t="shared" si="48"/>
        <v>ETR1000V300-CPR-31A</v>
      </c>
      <c r="O78" s="235" t="str">
        <f t="shared" si="49"/>
        <v>2.05.1019</v>
      </c>
      <c r="P78" s="235" t="str">
        <f t="shared" si="50"/>
        <v>\</v>
      </c>
      <c r="Q78" s="287">
        <f t="shared" si="51"/>
        <v>45717</v>
      </c>
      <c r="R78" s="260"/>
      <c r="S78" s="235"/>
      <c r="T78" s="235"/>
      <c r="U78" s="262"/>
      <c r="V78" s="272" t="str">
        <f>CONCATENATE("ETR1000V300_R1-",$D78,"-",$E78)</f>
        <v>ETR1000V300_R1-CPR-31A</v>
      </c>
      <c r="W78" s="267" t="s">
        <v>1353</v>
      </c>
      <c r="X78" s="267" t="s">
        <v>775</v>
      </c>
      <c r="Y78" s="262">
        <v>45931</v>
      </c>
      <c r="Z78" s="268" t="str">
        <f>V78</f>
        <v>ETR1000V300_R1-CPR-31A</v>
      </c>
      <c r="AA78" s="267" t="str">
        <f>W78</f>
        <v>2.05.1423</v>
      </c>
      <c r="AB78" s="267" t="str">
        <f>X78</f>
        <v>02</v>
      </c>
      <c r="AC78" s="269">
        <f>Y78</f>
        <v>45931</v>
      </c>
    </row>
    <row r="79" spans="1:29" s="83" customFormat="1" x14ac:dyDescent="0.25">
      <c r="A79" s="288" t="s">
        <v>1354</v>
      </c>
      <c r="B79" s="271" t="str">
        <f t="shared" si="54"/>
        <v>CPR_20A</v>
      </c>
      <c r="C79" s="254" t="s">
        <v>463</v>
      </c>
      <c r="D79" s="271" t="s">
        <v>1262</v>
      </c>
      <c r="E79" s="271" t="s">
        <v>1235</v>
      </c>
      <c r="F79" s="193" t="str">
        <f t="shared" si="43"/>
        <v>ETR1000V300-CPR-20A</v>
      </c>
      <c r="G79" s="271" t="s">
        <v>1355</v>
      </c>
      <c r="H79" s="202" t="s">
        <v>15</v>
      </c>
      <c r="I79" s="201">
        <v>45017</v>
      </c>
      <c r="J79" s="193" t="str">
        <f t="shared" si="55"/>
        <v>ETR1000V300-CPR-20A</v>
      </c>
      <c r="K79" s="271" t="str">
        <f t="shared" si="56"/>
        <v>B60A.0100914.G00.01IT</v>
      </c>
      <c r="L79" s="202" t="str">
        <f t="shared" si="57"/>
        <v>\</v>
      </c>
      <c r="M79" s="201">
        <f t="shared" si="58"/>
        <v>45017</v>
      </c>
      <c r="N79" s="283" t="s">
        <v>15</v>
      </c>
      <c r="O79" s="289" t="s">
        <v>15</v>
      </c>
      <c r="P79" s="235" t="s">
        <v>15</v>
      </c>
      <c r="Q79" s="285" t="s">
        <v>15</v>
      </c>
      <c r="R79" s="283"/>
      <c r="S79" s="284"/>
      <c r="T79" s="284"/>
      <c r="U79" s="285"/>
      <c r="V79" s="283"/>
      <c r="W79" s="284"/>
      <c r="X79" s="284"/>
      <c r="Y79" s="262"/>
      <c r="Z79" s="283"/>
      <c r="AA79" s="284"/>
      <c r="AB79" s="284"/>
      <c r="AC79" s="285"/>
    </row>
  </sheetData>
  <mergeCells count="11">
    <mergeCell ref="V1:Y1"/>
    <mergeCell ref="Z1:AC1"/>
    <mergeCell ref="J1:M1"/>
    <mergeCell ref="A1:A2"/>
    <mergeCell ref="F1:I1"/>
    <mergeCell ref="R1:U1"/>
    <mergeCell ref="N1:Q1"/>
    <mergeCell ref="D1:D2"/>
    <mergeCell ref="B1:B2"/>
    <mergeCell ref="C1:C2"/>
    <mergeCell ref="E1:E2"/>
  </mergeCells>
  <pageMargins left="0.7" right="0.7" top="0.75" bottom="0.75" header="0.3" footer="0.3"/>
  <pageSetup paperSize="9" orientation="portrait" horizontalDpi="1200" verticalDpi="12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S20"/>
  <sheetViews>
    <sheetView zoomScale="85" zoomScaleNormal="85" workbookViewId="0">
      <pane xSplit="5" ySplit="2" topLeftCell="F3" activePane="bottomRight" state="frozen"/>
      <selection pane="topRight" activeCell="F1" sqref="F1"/>
      <selection pane="bottomLeft" activeCell="B4" sqref="B4"/>
      <selection pane="bottomRight" activeCell="J25" sqref="J25"/>
    </sheetView>
  </sheetViews>
  <sheetFormatPr defaultColWidth="8.7109375" defaultRowHeight="15" x14ac:dyDescent="0.25"/>
  <cols>
    <col min="1" max="1" width="36.5703125" style="62" customWidth="1"/>
    <col min="2" max="2" width="34.85546875" style="62" bestFit="1" customWidth="1"/>
    <col min="3" max="3" width="8.42578125" style="10" bestFit="1" customWidth="1"/>
    <col min="4" max="4" width="24.85546875" style="10" bestFit="1" customWidth="1"/>
    <col min="5" max="5" width="6.42578125" style="10" bestFit="1" customWidth="1"/>
    <col min="6" max="6" width="33.5703125" style="10" bestFit="1" customWidth="1"/>
    <col min="7" max="7" width="4.7109375" style="10" bestFit="1" customWidth="1"/>
    <col min="8" max="8" width="33.5703125" style="10" bestFit="1" customWidth="1"/>
    <col min="9" max="9" width="4.7109375" style="10" bestFit="1" customWidth="1"/>
    <col min="10" max="10" width="33.5703125" style="10" bestFit="1" customWidth="1"/>
    <col min="11" max="11" width="4.42578125" style="10" bestFit="1" customWidth="1"/>
    <col min="12" max="12" width="27.42578125" style="10" bestFit="1" customWidth="1"/>
    <col min="13" max="13" width="5.42578125" style="10" bestFit="1" customWidth="1"/>
    <col min="14" max="14" width="15.42578125" style="10" customWidth="1"/>
    <col min="15" max="15" width="4.42578125" style="10" customWidth="1"/>
    <col min="16" max="16" width="6.5703125" style="10" bestFit="1" customWidth="1"/>
    <col min="17" max="17" width="6.5703125" style="10" customWidth="1"/>
    <col min="18" max="18" width="6.5703125" style="10" bestFit="1" customWidth="1"/>
    <col min="19" max="19" width="6.5703125" style="10" customWidth="1"/>
    <col min="20" max="34" width="8.7109375" style="59" customWidth="1"/>
    <col min="35" max="16384" width="8.7109375" style="59"/>
  </cols>
  <sheetData>
    <row r="1" spans="1:19" s="61" customFormat="1" ht="21.6" customHeight="1" x14ac:dyDescent="0.25">
      <c r="A1" s="440" t="s">
        <v>447</v>
      </c>
      <c r="B1" s="449" t="s">
        <v>3</v>
      </c>
      <c r="C1" s="449" t="s">
        <v>419</v>
      </c>
      <c r="D1" s="448" t="s">
        <v>5</v>
      </c>
      <c r="E1" s="439"/>
      <c r="F1" s="437" t="s">
        <v>6</v>
      </c>
      <c r="G1" s="436"/>
      <c r="H1" s="448" t="s">
        <v>7</v>
      </c>
      <c r="I1" s="439"/>
      <c r="J1" s="437" t="s">
        <v>8</v>
      </c>
      <c r="K1" s="436"/>
      <c r="L1" s="448" t="s">
        <v>9</v>
      </c>
      <c r="M1" s="439"/>
      <c r="N1" s="437" t="s">
        <v>10</v>
      </c>
      <c r="O1" s="436"/>
      <c r="P1" s="448" t="s">
        <v>11</v>
      </c>
      <c r="Q1" s="439"/>
      <c r="R1" s="437" t="s">
        <v>448</v>
      </c>
      <c r="S1" s="436"/>
    </row>
    <row r="2" spans="1:19" s="61" customFormat="1" ht="21.6" customHeight="1" x14ac:dyDescent="0.25">
      <c r="A2" s="442"/>
      <c r="B2" s="450"/>
      <c r="C2" s="450"/>
      <c r="D2" s="183" t="s">
        <v>457</v>
      </c>
      <c r="E2" s="183" t="s">
        <v>360</v>
      </c>
      <c r="F2" s="185" t="s">
        <v>457</v>
      </c>
      <c r="G2" s="186" t="s">
        <v>360</v>
      </c>
      <c r="H2" s="183" t="s">
        <v>457</v>
      </c>
      <c r="I2" s="183" t="s">
        <v>360</v>
      </c>
      <c r="J2" s="185" t="s">
        <v>457</v>
      </c>
      <c r="K2" s="186" t="s">
        <v>360</v>
      </c>
      <c r="L2" s="170" t="s">
        <v>459</v>
      </c>
      <c r="M2" s="170" t="s">
        <v>360</v>
      </c>
      <c r="N2" s="189" t="s">
        <v>459</v>
      </c>
      <c r="O2" s="91" t="s">
        <v>360</v>
      </c>
      <c r="P2" s="183" t="s">
        <v>459</v>
      </c>
      <c r="Q2" s="183" t="s">
        <v>360</v>
      </c>
      <c r="R2" s="185" t="s">
        <v>459</v>
      </c>
      <c r="S2" s="186" t="s">
        <v>360</v>
      </c>
    </row>
    <row r="3" spans="1:19" x14ac:dyDescent="0.25">
      <c r="A3" s="244" t="s">
        <v>1356</v>
      </c>
      <c r="B3" s="184"/>
      <c r="C3" s="184"/>
      <c r="D3" s="178"/>
      <c r="E3" s="178"/>
      <c r="F3" s="187"/>
      <c r="G3" s="188"/>
      <c r="H3" s="178"/>
      <c r="I3" s="178"/>
      <c r="J3" s="187"/>
      <c r="K3" s="188"/>
      <c r="L3" s="178"/>
      <c r="M3" s="178"/>
      <c r="N3" s="187"/>
      <c r="O3" s="188"/>
      <c r="P3" s="178"/>
      <c r="Q3" s="178"/>
      <c r="R3" s="187"/>
      <c r="S3" s="188"/>
    </row>
    <row r="4" spans="1:19" ht="30" customHeight="1" x14ac:dyDescent="0.25">
      <c r="A4" s="322" t="s">
        <v>1357</v>
      </c>
      <c r="B4" s="62" t="s">
        <v>26</v>
      </c>
      <c r="C4" s="328" t="s">
        <v>1358</v>
      </c>
      <c r="D4" s="10" t="s">
        <v>1359</v>
      </c>
      <c r="E4" s="10" t="s">
        <v>15</v>
      </c>
      <c r="F4" s="63" t="s">
        <v>1360</v>
      </c>
      <c r="G4" s="64" t="s">
        <v>15</v>
      </c>
      <c r="H4" s="10" t="s">
        <v>1360</v>
      </c>
      <c r="I4" s="64" t="s">
        <v>15</v>
      </c>
      <c r="J4" s="63" t="s">
        <v>1360</v>
      </c>
      <c r="K4" s="64" t="s">
        <v>15</v>
      </c>
      <c r="N4" s="63"/>
      <c r="O4" s="64"/>
      <c r="R4" s="63"/>
      <c r="S4" s="64"/>
    </row>
    <row r="5" spans="1:19" x14ac:dyDescent="0.25">
      <c r="A5" s="322" t="s">
        <v>1361</v>
      </c>
      <c r="B5" s="62" t="s">
        <v>1362</v>
      </c>
      <c r="C5" s="328" t="s">
        <v>1363</v>
      </c>
      <c r="D5" s="10" t="s">
        <v>1364</v>
      </c>
      <c r="E5" s="10" t="s">
        <v>15</v>
      </c>
      <c r="F5" s="63" t="s">
        <v>1365</v>
      </c>
      <c r="G5" s="64" t="s">
        <v>15</v>
      </c>
      <c r="H5" s="10" t="s">
        <v>1366</v>
      </c>
      <c r="I5" s="10" t="s">
        <v>15</v>
      </c>
      <c r="J5" s="63" t="s">
        <v>1367</v>
      </c>
      <c r="K5" s="64"/>
      <c r="L5" s="10" t="s">
        <v>1368</v>
      </c>
      <c r="M5" s="293" t="s">
        <v>1369</v>
      </c>
      <c r="N5" s="63"/>
      <c r="O5" s="64"/>
      <c r="R5" s="63"/>
      <c r="S5" s="64"/>
    </row>
    <row r="6" spans="1:19" x14ac:dyDescent="0.25">
      <c r="A6" s="322" t="s">
        <v>1370</v>
      </c>
      <c r="B6" s="62" t="s">
        <v>1371</v>
      </c>
      <c r="C6" s="328" t="s">
        <v>1363</v>
      </c>
      <c r="F6" s="63"/>
      <c r="G6" s="64"/>
      <c r="I6" s="80"/>
      <c r="J6" s="63"/>
      <c r="K6" s="64"/>
      <c r="L6" s="10" t="s">
        <v>1372</v>
      </c>
      <c r="M6" s="293" t="s">
        <v>1369</v>
      </c>
      <c r="N6" s="63"/>
      <c r="O6" s="64"/>
      <c r="R6" s="63"/>
      <c r="S6" s="64"/>
    </row>
    <row r="7" spans="1:19" ht="30" customHeight="1" x14ac:dyDescent="0.25">
      <c r="A7" s="322" t="s">
        <v>1373</v>
      </c>
      <c r="B7" s="62" t="s">
        <v>1374</v>
      </c>
      <c r="C7" s="328" t="s">
        <v>1363</v>
      </c>
      <c r="F7" s="63"/>
      <c r="G7" s="64"/>
      <c r="I7" s="80"/>
      <c r="J7" s="63"/>
      <c r="K7" s="64"/>
      <c r="L7" s="10" t="s">
        <v>1373</v>
      </c>
      <c r="M7" s="80" t="s">
        <v>1375</v>
      </c>
      <c r="N7" s="63"/>
      <c r="O7" s="64"/>
      <c r="R7" s="63"/>
      <c r="S7" s="64"/>
    </row>
    <row r="8" spans="1:19" x14ac:dyDescent="0.25">
      <c r="A8" s="322" t="s">
        <v>1376</v>
      </c>
      <c r="B8" s="62" t="s">
        <v>1377</v>
      </c>
      <c r="C8" s="328" t="s">
        <v>1363</v>
      </c>
      <c r="F8" s="63"/>
      <c r="G8" s="64"/>
      <c r="H8" s="10" t="s">
        <v>1378</v>
      </c>
      <c r="I8" s="80" t="s">
        <v>747</v>
      </c>
      <c r="J8" s="63"/>
      <c r="K8" s="64"/>
      <c r="N8" s="63"/>
      <c r="O8" s="64"/>
      <c r="R8" s="63"/>
      <c r="S8" s="64"/>
    </row>
    <row r="9" spans="1:19" x14ac:dyDescent="0.25">
      <c r="A9" s="322"/>
      <c r="C9" s="328"/>
      <c r="F9" s="63"/>
      <c r="G9" s="64"/>
      <c r="I9" s="80"/>
      <c r="J9" s="63"/>
      <c r="K9" s="64"/>
      <c r="N9" s="63"/>
      <c r="O9" s="64"/>
      <c r="R9" s="63"/>
      <c r="S9" s="64"/>
    </row>
    <row r="10" spans="1:19" x14ac:dyDescent="0.25">
      <c r="A10" s="322"/>
      <c r="C10" s="328"/>
      <c r="F10" s="63"/>
      <c r="G10" s="64"/>
      <c r="I10" s="80"/>
      <c r="J10" s="63"/>
      <c r="K10" s="64"/>
      <c r="N10" s="63"/>
      <c r="O10" s="64"/>
      <c r="R10" s="63"/>
      <c r="S10" s="64"/>
    </row>
    <row r="11" spans="1:19" x14ac:dyDescent="0.25">
      <c r="A11" s="322"/>
      <c r="C11" s="328"/>
      <c r="F11" s="63"/>
      <c r="G11" s="64"/>
      <c r="I11" s="80"/>
      <c r="J11" s="63"/>
      <c r="K11" s="64"/>
      <c r="N11" s="63"/>
      <c r="O11" s="64"/>
      <c r="R11" s="63"/>
      <c r="S11" s="64"/>
    </row>
    <row r="12" spans="1:19" x14ac:dyDescent="0.25">
      <c r="A12" s="322"/>
      <c r="C12" s="328"/>
      <c r="F12" s="63"/>
      <c r="G12" s="64"/>
      <c r="I12" s="80"/>
      <c r="J12" s="63"/>
      <c r="K12" s="64"/>
      <c r="N12" s="63"/>
      <c r="O12" s="64"/>
      <c r="R12" s="63"/>
      <c r="S12" s="64"/>
    </row>
    <row r="13" spans="1:19" x14ac:dyDescent="0.25">
      <c r="A13" s="322"/>
      <c r="C13" s="328"/>
      <c r="F13" s="63"/>
      <c r="G13" s="64"/>
      <c r="I13" s="80"/>
      <c r="J13" s="63"/>
      <c r="K13" s="64"/>
      <c r="N13" s="63"/>
      <c r="O13" s="64"/>
      <c r="R13" s="63"/>
      <c r="S13" s="64"/>
    </row>
    <row r="14" spans="1:19" x14ac:dyDescent="0.25">
      <c r="A14" s="322"/>
      <c r="C14" s="328"/>
      <c r="F14" s="63"/>
      <c r="G14" s="64"/>
      <c r="I14" s="80"/>
      <c r="J14" s="63"/>
      <c r="K14" s="64"/>
      <c r="N14" s="63"/>
      <c r="O14" s="64"/>
      <c r="R14" s="63"/>
      <c r="S14" s="64"/>
    </row>
    <row r="15" spans="1:19" x14ac:dyDescent="0.25">
      <c r="A15" s="322"/>
      <c r="C15" s="328"/>
      <c r="F15" s="63"/>
      <c r="G15" s="64"/>
      <c r="I15" s="80"/>
      <c r="J15" s="63"/>
      <c r="K15" s="64"/>
      <c r="N15" s="63"/>
      <c r="O15" s="64"/>
      <c r="R15" s="63"/>
      <c r="S15" s="64"/>
    </row>
    <row r="16" spans="1:19" x14ac:dyDescent="0.25">
      <c r="A16" s="322"/>
      <c r="C16" s="328"/>
      <c r="F16" s="63"/>
      <c r="G16" s="64"/>
      <c r="I16" s="80"/>
      <c r="J16" s="63"/>
      <c r="K16" s="64"/>
      <c r="N16" s="63"/>
      <c r="O16" s="64"/>
      <c r="R16" s="63"/>
      <c r="S16" s="64"/>
    </row>
    <row r="17" spans="1:19" x14ac:dyDescent="0.25">
      <c r="A17" s="322"/>
      <c r="C17" s="328"/>
      <c r="F17" s="63"/>
      <c r="G17" s="64"/>
      <c r="I17" s="80"/>
      <c r="J17" s="63"/>
      <c r="K17" s="64"/>
      <c r="N17" s="63"/>
      <c r="O17" s="64"/>
      <c r="R17" s="63"/>
      <c r="S17" s="64"/>
    </row>
    <row r="18" spans="1:19" x14ac:dyDescent="0.25">
      <c r="A18" s="322"/>
      <c r="C18" s="328"/>
      <c r="F18" s="63"/>
      <c r="G18" s="64"/>
      <c r="I18" s="80"/>
      <c r="J18" s="63"/>
      <c r="K18" s="64"/>
      <c r="N18" s="63"/>
      <c r="O18" s="64"/>
      <c r="R18" s="63"/>
      <c r="S18" s="64"/>
    </row>
    <row r="19" spans="1:19" x14ac:dyDescent="0.25">
      <c r="A19" s="322"/>
      <c r="C19" s="328"/>
      <c r="F19" s="63"/>
      <c r="G19" s="64"/>
      <c r="I19" s="80"/>
      <c r="J19" s="63"/>
      <c r="K19" s="64"/>
      <c r="N19" s="63"/>
      <c r="O19" s="64"/>
      <c r="R19" s="63"/>
      <c r="S19" s="64"/>
    </row>
    <row r="20" spans="1:19" x14ac:dyDescent="0.25">
      <c r="A20" s="322"/>
      <c r="C20" s="328"/>
      <c r="F20" s="63"/>
      <c r="G20" s="64"/>
      <c r="I20" s="80"/>
      <c r="J20" s="63"/>
      <c r="K20" s="64"/>
      <c r="N20" s="63"/>
      <c r="O20" s="64"/>
      <c r="R20" s="63"/>
      <c r="S20" s="64"/>
    </row>
  </sheetData>
  <mergeCells count="11">
    <mergeCell ref="A1:A2"/>
    <mergeCell ref="C1:C2"/>
    <mergeCell ref="B1:B2"/>
    <mergeCell ref="F1:G1"/>
    <mergeCell ref="N1:O1"/>
    <mergeCell ref="R1:S1"/>
    <mergeCell ref="D1:E1"/>
    <mergeCell ref="H1:I1"/>
    <mergeCell ref="L1:M1"/>
    <mergeCell ref="J1:K1"/>
    <mergeCell ref="P1:Q1"/>
  </mergeCells>
  <pageMargins left="0.7" right="0.7" top="0.75" bottom="0.75" header="0.3" footer="0.3"/>
  <pageSetup paperSize="9" orientation="portrait" verticalDpi="12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5">
    <tabColor theme="9" tint="0.39997558519241921"/>
    <outlinePr summaryBelow="0" summaryRight="0"/>
  </sheetPr>
  <dimension ref="A1:L285"/>
  <sheetViews>
    <sheetView tabSelected="1" zoomScale="55" zoomScaleNormal="55" workbookViewId="0">
      <pane xSplit="2" ySplit="1" topLeftCell="C19" activePane="bottomRight" state="frozen"/>
      <selection pane="topRight" activeCell="F1" sqref="F1"/>
      <selection pane="bottomLeft" activeCell="A3" sqref="A3"/>
      <selection pane="bottomRight" activeCell="F27" sqref="F27:J27"/>
    </sheetView>
  </sheetViews>
  <sheetFormatPr defaultColWidth="8.7109375" defaultRowHeight="15" outlineLevelRow="2" x14ac:dyDescent="0.25"/>
  <cols>
    <col min="1" max="1" width="22.140625" style="62" bestFit="1" customWidth="1"/>
    <col min="2" max="2" width="65.42578125" style="62" customWidth="1"/>
    <col min="3" max="3" width="14" style="62" bestFit="1" customWidth="1"/>
    <col min="4" max="4" width="28.42578125" style="10" bestFit="1" customWidth="1"/>
    <col min="5" max="5" width="21.42578125" style="62" customWidth="1"/>
    <col min="6" max="10" width="35.5703125" style="10" customWidth="1"/>
    <col min="11" max="12" width="14.85546875" style="10" customWidth="1"/>
    <col min="13" max="13" width="8.7109375" style="59" customWidth="1"/>
    <col min="14" max="14" width="33.140625" style="59" customWidth="1"/>
    <col min="15" max="29" width="8.7109375" style="59" customWidth="1"/>
    <col min="30" max="16384" width="8.7109375" style="59"/>
  </cols>
  <sheetData>
    <row r="1" spans="1:12" s="61" customFormat="1" ht="30" customHeight="1" x14ac:dyDescent="0.25">
      <c r="A1" s="329" t="s">
        <v>0</v>
      </c>
      <c r="B1" s="329" t="s">
        <v>1</v>
      </c>
      <c r="C1" s="296" t="s">
        <v>2</v>
      </c>
      <c r="D1" s="296" t="s">
        <v>3</v>
      </c>
      <c r="E1" s="296" t="s">
        <v>4</v>
      </c>
      <c r="F1" s="330" t="s">
        <v>5</v>
      </c>
      <c r="G1" s="330" t="s">
        <v>6</v>
      </c>
      <c r="H1" s="81" t="s">
        <v>7</v>
      </c>
      <c r="I1" s="81" t="s">
        <v>8</v>
      </c>
      <c r="J1" s="81" t="s">
        <v>9</v>
      </c>
      <c r="K1" s="81" t="s">
        <v>10</v>
      </c>
      <c r="L1" s="82" t="s">
        <v>11</v>
      </c>
    </row>
    <row r="2" spans="1:12" x14ac:dyDescent="0.25">
      <c r="A2" s="331" t="s">
        <v>12</v>
      </c>
      <c r="B2" s="331" t="s">
        <v>13</v>
      </c>
      <c r="C2" s="213" t="s">
        <v>14</v>
      </c>
      <c r="D2" s="332" t="s">
        <v>15</v>
      </c>
      <c r="E2" s="333"/>
      <c r="F2" s="334"/>
      <c r="G2" s="334"/>
      <c r="H2" s="334"/>
      <c r="I2" s="334"/>
      <c r="J2" s="334"/>
      <c r="K2" s="334"/>
      <c r="L2" s="335"/>
    </row>
    <row r="3" spans="1:12" outlineLevel="1" collapsed="1" x14ac:dyDescent="0.25">
      <c r="A3" s="336"/>
      <c r="B3" s="337"/>
      <c r="C3" s="338" t="s">
        <v>16</v>
      </c>
      <c r="D3" s="338" t="s">
        <v>17</v>
      </c>
      <c r="E3" s="339" t="s">
        <v>18</v>
      </c>
      <c r="F3" s="340" t="str">
        <f t="array" aca="1" ref="F3" ca="1">HYPERLINK(CONCATENATE(Cartelle!$D$5,F$1,"/",$C3,"/",MID($D3,1,FIND("_",$D3)-1),"/",INDIRECT(CONCATENATE("'" &amp; $C3 &amp; "'!",ADDRESS(MATCH($D3, INDIRECT("'" &amp; $C3 &amp; "'!$B:$B"), 0),MATCH(F$1, INDIRECT("'" &amp; $C3 &amp; "'!$1:$1"), 0)))),".",INDIRECT(CONCATENATE("'"&amp;$C3&amp;"'!",ADDRESS(MATCH($D3,INDIRECT("'"&amp;$C3&amp;"'!$B:$B"),0),3))),"#page=",F4),CONCATENATE("#Sharepoint//",$D3))</f>
        <v>#Sharepoint//FS_DM1</v>
      </c>
      <c r="G3" s="338"/>
      <c r="H3" s="338"/>
      <c r="I3" s="338"/>
      <c r="J3" s="340" t="str">
        <f t="array" aca="1" ref="J3" ca="1">HYPERLINK(CONCATENATE(Cartelle!$D$5,INDEX(INDIRECT("'" &amp; $C3 &amp; "'!$1:$1"), 1, MATCH(INDIRECT(CONCATENATE("'" &amp; $C3 &amp; "'!",ADDRESS(MATCH($D3, INDIRECT("'" &amp; $C3 &amp; "'!$B:$B"), 0),MATCH(J$1, INDIRECT("'" &amp; $C3 &amp; "'!$1:$1"), 0)))),INDIRECT(CONCATENATE("'" &amp; $C3 &amp; "'!",MATCH($D3, INDIRECT("'" &amp; $C3 &amp; "'!$B:$B"), 0),":",MATCH($D3, INDIRECT("'" &amp; $C3 &amp; "'!$B:$B"), 0))),0)),"/",$C3,"/",MID($D3,1,FIND("_",$D3)-1),"/",INDIRECT(CONCATENATE("'" &amp; $C3 &amp; "'!",ADDRESS(MATCH($D3, INDIRECT("'" &amp; $C3 &amp; "'!$B:$B"), 0),MATCH(J$1, INDIRECT("'" &amp; $C3 &amp; "'!$1:$1"), 0)))),".",INDIRECT(CONCATENATE("'"&amp;$C3&amp;"'!",ADDRESS(MATCH($D3,INDIRECT("'"&amp;$C3&amp;"'!$B:$B"),0),3))),"#page=",J4),CONCATENATE("#Sharepoint//",$D3))</f>
        <v>#Sharepoint//FS_DM1</v>
      </c>
      <c r="K3" s="341"/>
      <c r="L3" s="338"/>
    </row>
    <row r="4" spans="1:12" hidden="1" outlineLevel="2" x14ac:dyDescent="0.25">
      <c r="A4" s="105"/>
      <c r="B4" s="106" t="str">
        <f t="array" aca="1" ref="B4" ca="1">INDIRECT("'" &amp; $C9 &amp; "'!B5")</f>
        <v>PBS_01A</v>
      </c>
      <c r="C4" s="342"/>
      <c r="D4" s="217"/>
      <c r="E4" s="218" t="s">
        <v>19</v>
      </c>
      <c r="F4" s="217">
        <v>1</v>
      </c>
      <c r="G4" s="217"/>
      <c r="H4" s="217"/>
      <c r="I4" s="217"/>
      <c r="J4" s="217">
        <v>1</v>
      </c>
      <c r="K4" s="343"/>
      <c r="L4" s="217"/>
    </row>
    <row r="5" spans="1:12" outlineLevel="1" collapsed="1" x14ac:dyDescent="0.25">
      <c r="A5" s="105"/>
      <c r="B5" s="106"/>
      <c r="C5" s="338" t="s">
        <v>16</v>
      </c>
      <c r="D5" s="338" t="s">
        <v>20</v>
      </c>
      <c r="E5" s="339" t="s">
        <v>18</v>
      </c>
      <c r="F5" s="340" t="e">
        <f t="array" aca="1" ref="F5" ca="1">HYPERLINK(CONCATENATE(Cartelle!$D$5,F$1,"/CONFIG/",MID($D5,1,FIND("_",$D5)-1),"/",INDIRECT(CONCATENATE("'CONFIG'!",ADDRESS(MATCH($D5, CONFIG!$B:$B, 0),MATCH(F$1, CONFIG!$1:$1, 0)))),".pdf#page=",F6),CONCATENATE("#Sharepoint//",$D5))</f>
        <v>#N/A</v>
      </c>
      <c r="G5" s="338"/>
      <c r="H5" s="338"/>
      <c r="I5" s="338"/>
      <c r="J5" s="340" t="e">
        <f t="array" aca="1" ref="J5" ca="1">HYPERLINK(CONCATENATE(Cartelle!$D$5,J$1,"/CONFIG/",MID($D5,1,FIND("_",$D5)-1),"/",INDIRECT(CONCATENATE("'CONFIG'!",ADDRESS(MATCH($D5, CONFIG!$B:$B, 0),MATCH(J$1, CONFIG!$1:$1, 0)))),".pdf#page=",J6),CONCATENATE("#Sharepoint//",$D5))</f>
        <v>#N/A</v>
      </c>
      <c r="K5" s="338"/>
      <c r="L5" s="338"/>
    </row>
    <row r="6" spans="1:12" hidden="1" outlineLevel="2" x14ac:dyDescent="0.25">
      <c r="A6" s="105"/>
      <c r="B6" s="106"/>
      <c r="C6" s="342"/>
      <c r="D6" s="217"/>
      <c r="E6" s="218" t="s">
        <v>19</v>
      </c>
      <c r="F6" s="217">
        <v>1</v>
      </c>
      <c r="G6" s="217"/>
      <c r="H6" s="217"/>
      <c r="I6" s="217"/>
      <c r="J6" s="217">
        <v>1</v>
      </c>
      <c r="K6" s="217"/>
      <c r="L6" s="217"/>
    </row>
    <row r="7" spans="1:12" outlineLevel="1" collapsed="1" x14ac:dyDescent="0.25">
      <c r="A7" s="105"/>
      <c r="B7" s="106"/>
      <c r="C7" s="338" t="s">
        <v>16</v>
      </c>
      <c r="D7" s="338" t="s">
        <v>21</v>
      </c>
      <c r="E7" s="339" t="s">
        <v>18</v>
      </c>
      <c r="F7" s="340" t="e">
        <f t="array" aca="1" ref="F7" ca="1">HYPERLINK(CONCATENATE(Cartelle!$D$5,F$1,"/CONFIG/",MID($D7,1,FIND("_",$D7)-1),"/",INDIRECT(CONCATENATE("'CONFIG'!",ADDRESS(MATCH($D7, CONFIG!$B:$B, 0),MATCH(F$1, CONFIG!$1:$1, 0)))),".pdf#page=",F8),CONCATENATE("#Sharepoint//",$D7))</f>
        <v>#N/A</v>
      </c>
      <c r="G7" s="338"/>
      <c r="H7" s="338"/>
      <c r="I7" s="338"/>
      <c r="J7" s="340" t="e">
        <f t="array" aca="1" ref="J7" ca="1">HYPERLINK(CONCATENATE(Cartelle!$D$5,J$1,"/CONFIG/",MID($D7,1,FIND("_",$D7)-1),"/",INDIRECT(CONCATENATE("'CONFIG'!",ADDRESS(MATCH($D7, CONFIG!$B:$B, 0),MATCH(J$1, CONFIG!$1:$1, 0)))),".pdf#page=",J8),CONCATENATE("#Sharepoint//",$D7))</f>
        <v>#N/A</v>
      </c>
      <c r="K7" s="338"/>
      <c r="L7" s="338"/>
    </row>
    <row r="8" spans="1:12" hidden="1" outlineLevel="2" x14ac:dyDescent="0.25">
      <c r="A8" s="105"/>
      <c r="B8" s="106"/>
      <c r="C8" s="106"/>
      <c r="D8" s="217"/>
      <c r="E8" s="218" t="s">
        <v>19</v>
      </c>
      <c r="F8" s="217">
        <v>1</v>
      </c>
      <c r="G8" s="217"/>
      <c r="H8" s="217"/>
      <c r="I8" s="217"/>
      <c r="J8" s="217">
        <v>1</v>
      </c>
      <c r="K8" s="217"/>
      <c r="L8" s="217"/>
    </row>
    <row r="9" spans="1:12" outlineLevel="1" collapsed="1" x14ac:dyDescent="0.25">
      <c r="A9" s="67"/>
      <c r="B9" s="86"/>
      <c r="C9" s="338" t="s">
        <v>22</v>
      </c>
      <c r="D9" s="332" t="s">
        <v>23</v>
      </c>
      <c r="E9" s="344" t="s">
        <v>18</v>
      </c>
      <c r="F9" s="340" t="str">
        <f t="array" aca="1" ref="F9" ca="1">HYPERLINK(CONCATENATE(Cartelle!$D$5,F$1,"/",$C9,"/",MID($D9,1,FIND("_",$D9)-1),"/",INDIRECT(CONCATENATE("'" &amp; $C9 &amp; "'!",ADDRESS(MATCH($D9, INDIRECT("'" &amp; $C9 &amp; "'!$B:$B"), 0),MATCH(F$1, INDIRECT("'" &amp; $C9 &amp; "'!$1:$1"), 0)))),".",INDIRECT(CONCATENATE("'"&amp;$C9&amp;"'!",ADDRESS(MATCH($D9,INDIRECT("'"&amp;$C9&amp;"'!$B:$B"),0),3))),"#page=",F10),CONCATENATE("#Sharepoint//",$D9))</f>
        <v>#Sharepoint//PBC_01A</v>
      </c>
      <c r="G9" s="340" t="str">
        <f t="array" aca="1" ref="G9" ca="1">HYPERLINK(CONCATENATE(Cartelle!$D$5,INDEX(INDIRECT("'" &amp; $C9 &amp; "'!$1:$1"), 1, MATCH(INDIRECT(CONCATENATE("'" &amp; $C9 &amp; "'!",ADDRESS(MATCH($D9, INDIRECT("'" &amp; $C9 &amp; "'!$B:$B"), 0),MATCH(G$1, INDIRECT("'" &amp; $C9 &amp; "'!$1:$1"), 0)))),INDIRECT(CONCATENATE("'" &amp; $C9 &amp; "'!",MATCH($D9, INDIRECT("'" &amp; $C9 &amp; "'!$B:$B"), 0),":",MATCH($D9, INDIRECT("'" &amp; $C9 &amp; "'!$B:$B"), 0))),0)),"/",$C9,"/",MID($D9,1,FIND("_",$D9)-1),"/",INDIRECT(CONCATENATE("'" &amp; $C9 &amp; "'!",ADDRESS(MATCH($D9, INDIRECT("'" &amp; $C9 &amp; "'!$B:$B"), 0),MATCH(G$1, INDIRECT("'" &amp; $C9 &amp; "'!$1:$1"), 0)))),".",INDIRECT(CONCATENATE("'"&amp;$C9&amp;"'!",ADDRESS(MATCH($D9,INDIRECT("'"&amp;$C9&amp;"'!$B:$B"),0),3))),"#page=",G10),CONCATENATE("#Sharepoint//",$D9))</f>
        <v>#Sharepoint//PBC_01A</v>
      </c>
      <c r="H9" s="338"/>
      <c r="I9" s="338"/>
      <c r="J9" s="338"/>
      <c r="K9" s="338"/>
      <c r="L9" s="338"/>
    </row>
    <row r="10" spans="1:12" hidden="1" outlineLevel="2" x14ac:dyDescent="0.25">
      <c r="A10" s="67"/>
      <c r="B10" s="86"/>
      <c r="D10" s="345"/>
      <c r="E10" s="218" t="s">
        <v>19</v>
      </c>
      <c r="F10" s="217">
        <v>1</v>
      </c>
      <c r="G10" s="217">
        <v>1</v>
      </c>
      <c r="H10" s="217"/>
      <c r="I10" s="217"/>
      <c r="J10" s="217"/>
      <c r="K10" s="217"/>
      <c r="L10" s="217"/>
    </row>
    <row r="11" spans="1:12" hidden="1" outlineLevel="2" x14ac:dyDescent="0.25">
      <c r="A11" s="67"/>
      <c r="B11" s="86"/>
      <c r="D11" s="346"/>
      <c r="E11" s="343" t="s">
        <v>24</v>
      </c>
      <c r="F11" s="217"/>
      <c r="G11" s="217"/>
      <c r="H11" s="217"/>
      <c r="I11" s="217"/>
      <c r="J11" s="217"/>
      <c r="K11" s="217"/>
      <c r="L11" s="217"/>
    </row>
    <row r="12" spans="1:12" outlineLevel="1" collapsed="1" x14ac:dyDescent="0.25">
      <c r="A12" s="67"/>
      <c r="B12" s="86"/>
      <c r="C12" s="338" t="s">
        <v>25</v>
      </c>
      <c r="D12" s="332" t="s">
        <v>26</v>
      </c>
      <c r="E12" s="344" t="s">
        <v>18</v>
      </c>
      <c r="F12" s="340" t="str">
        <f t="array" aca="1" ref="F12" ca="1">HYPERLINK(CONCATENATE(Cartelle!$D$5,F$1,"/",$C12,"/",MID($D12,1,FIND("_",$D12)-1),"/",INDIRECT(CONCATENATE("'" &amp; $C12 &amp; "'!",ADDRESS(MATCH($D12, INDIRECT("'" &amp; $C12 &amp; "'!$B:$B"), 0),MATCH(F$1, INDIRECT("'" &amp; $C12 &amp; "'!$1:$1"), 0)))),".",INDIRECT(CONCATENATE("'"&amp;$C12&amp;"'!",ADDRESS(MATCH($D12,INDIRECT("'"&amp;$C12&amp;"'!$B:$B"),0),3))),"#page=",F13),CONCATENATE("#Sharepoint//",$D12))</f>
        <v>#Sharepoint//DIA_Regole</v>
      </c>
      <c r="G12" s="338"/>
      <c r="H12" s="338"/>
      <c r="I12" s="338"/>
      <c r="J12" s="338"/>
      <c r="K12" s="338"/>
      <c r="L12" s="338"/>
    </row>
    <row r="13" spans="1:12" hidden="1" outlineLevel="2" x14ac:dyDescent="0.25">
      <c r="A13" s="67"/>
      <c r="B13" s="86"/>
      <c r="D13" s="345"/>
      <c r="E13" s="343" t="s">
        <v>27</v>
      </c>
      <c r="F13" s="217">
        <v>1</v>
      </c>
      <c r="G13" s="217"/>
      <c r="H13" s="217"/>
      <c r="I13" s="217"/>
      <c r="J13" s="217"/>
      <c r="K13" s="217"/>
      <c r="L13" s="217"/>
    </row>
    <row r="14" spans="1:12" outlineLevel="1" collapsed="1" x14ac:dyDescent="0.25">
      <c r="A14" s="67"/>
      <c r="B14" s="176" t="s">
        <v>28</v>
      </c>
      <c r="C14" s="338" t="s">
        <v>29</v>
      </c>
      <c r="D14" s="332" t="s">
        <v>30</v>
      </c>
      <c r="E14" s="344" t="s">
        <v>18</v>
      </c>
      <c r="F14" s="292" t="str">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#Sharepoint//FD_TCMS</v>
      </c>
      <c r="G14" s="338"/>
      <c r="H14" s="338"/>
      <c r="I14" s="338"/>
      <c r="J14" s="338"/>
      <c r="K14" s="338"/>
      <c r="L14" s="338"/>
    </row>
    <row r="15" spans="1:12" hidden="1" outlineLevel="2" x14ac:dyDescent="0.25">
      <c r="A15" s="67"/>
      <c r="B15" s="86"/>
      <c r="D15" s="345"/>
      <c r="E15" s="343" t="s">
        <v>27</v>
      </c>
      <c r="F15" s="217">
        <v>1</v>
      </c>
      <c r="G15" s="217"/>
      <c r="H15" s="217"/>
      <c r="I15" s="217"/>
      <c r="J15" s="217"/>
      <c r="K15" s="217"/>
      <c r="L15" s="217"/>
    </row>
    <row r="16" spans="1:12" ht="30" customHeight="1" x14ac:dyDescent="0.25">
      <c r="A16" s="347" t="s">
        <v>31</v>
      </c>
      <c r="B16" s="347" t="s">
        <v>32</v>
      </c>
      <c r="C16" s="180"/>
      <c r="D16" s="348" t="s">
        <v>15</v>
      </c>
      <c r="E16" s="349"/>
      <c r="F16" s="350"/>
      <c r="G16" s="350"/>
      <c r="H16" s="350"/>
      <c r="I16" s="350"/>
      <c r="J16" s="350"/>
      <c r="K16" s="350"/>
      <c r="L16" s="351"/>
    </row>
    <row r="17" spans="1:12" outlineLevel="1" x14ac:dyDescent="0.25">
      <c r="A17" s="336"/>
      <c r="B17" s="337"/>
      <c r="C17" s="338" t="s">
        <v>16</v>
      </c>
      <c r="D17" s="338" t="s">
        <v>33</v>
      </c>
      <c r="E17" s="339" t="s">
        <v>18</v>
      </c>
      <c r="F17" s="340" t="str">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#Sharepoint//FRS_Line Voltage</v>
      </c>
      <c r="G17" s="352"/>
      <c r="H17" s="340" t="str">
        <f t="array" aca="1" ref="H17" ca="1">HYPERLINK(CONCATENATE(Cartelle!$D$5,INDEX(INDIRECT("'" &amp; $C17 &amp; "'!$1:$1"), 1, MATCH(INDIRECT(CONCATENATE("'" &amp; $C17 &amp; "'!",ADDRESS(MATCH($D17, INDIRECT("'" &amp; $C17 &amp; "'!$B:$B"), 0),MATCH(H$1, INDIRECT("'" &amp; $C17 &amp; "'!$1:$1"), 0)))),INDIRECT(CONCATENATE("'" &amp; $C17 &amp; "'!",MATCH($D17, INDIRECT("'" &amp; $C17 &amp; "'!$B:$B"), 0),":",MATCH($D17, INDIRECT("'" &amp; $C17 &amp; "'!$B:$B"), 0))),0)),"/",$C17,"/",MID($D17,1,FIND("_",$D17)-1),"/",INDIRECT(CONCATENATE("'" &amp; $C17 &amp; "'!",ADDRESS(MATCH($D17, INDIRECT("'" &amp; $C17 &amp; "'!$B:$B"), 0),MATCH(H$1, INDIRECT("'" &amp; $C17 &amp; "'!$1:$1"), 0)))),".",INDIRECT(CONCATENATE("'"&amp;$C17&amp;"'!",ADDRESS(MATCH($D17,INDIRECT("'"&amp;$C17&amp;"'!$B:$B"),0),3))),"#page=",H18),CONCATENATE("#Sharepoint//",$D17))</f>
        <v>#Sharepoint//FRS_Line Voltage</v>
      </c>
      <c r="I17" s="340" t="str">
        <f t="array" aca="1" ref="I17" ca="1">HYPERLINK(CONCATENATE(Cartelle!$D$5,INDEX(INDIRECT("'" &amp; $C17 &amp; "'!$1:$1"), 1, MATCH(INDIRECT(CONCATENATE("'" &amp; $C17 &amp; "'!",ADDRESS(MATCH($D17, INDIRECT("'" &amp; $C17 &amp; "'!$B:$B"), 0),MATCH(I$1, INDIRECT("'" &amp; $C17 &amp; "'!$1:$1"), 0)))),INDIRECT(CONCATENATE("'" &amp; $C17 &amp; "'!",MATCH($D17, INDIRECT("'" &amp; $C17 &amp; "'!$B:$B"), 0),":",MATCH($D17, INDIRECT("'" &amp; $C17 &amp; "'!$B:$B"), 0))),0)),"/",$C17,"/",MID($D17,1,FIND("_",$D17)-1),"/",INDIRECT(CONCATENATE("'" &amp; $C17 &amp; "'!",ADDRESS(MATCH($D17, INDIRECT("'" &amp; $C17 &amp; "'!$B:$B"), 0),MATCH(I$1, INDIRECT("'" &amp; $C17 &amp; "'!$1:$1"), 0)))),".",INDIRECT(CONCATENATE("'"&amp;$C17&amp;"'!",ADDRESS(MATCH($D17,INDIRECT("'"&amp;$C17&amp;"'!$B:$B"),0),3))),"#page=",I18),CONCATENATE("#Sharepoint//",$D17))</f>
        <v>#Sharepoint//FRS_Line Voltage</v>
      </c>
      <c r="J17" s="340" t="str">
        <f t="array" aca="1" ref="J17" ca="1">HYPERLINK(CONCATENATE(Cartelle!$D$5,INDEX(INDIRECT("'" &amp; $C17 &amp; "'!$1:$1"), 1, MATCH(INDIRECT(CONCATENATE("'" &amp; $C17 &amp; "'!",ADDRESS(MATCH($D17, INDIRECT("'" &amp; $C17 &amp; "'!$B:$B"), 0),MATCH(J$1, INDIRECT("'" &amp; $C17 &amp; "'!$1:$1"), 0)))),INDIRECT(CONCATENATE("'" &amp; $C17 &amp; "'!",MATCH($D17, INDIRECT("'" &amp; $C17 &amp; "'!$B:$B"), 0),":",MATCH($D17, INDIRECT("'" &amp; $C17 &amp; "'!$B:$B"), 0))),0)),"/",$C17,"/",MID($D17,1,FIND("_",$D17)-1),"/",INDIRECT(CONCATENATE("'" &amp; $C17 &amp; "'!",ADDRESS(MATCH($D17, INDIRECT("'" &amp; $C17 &amp; "'!$B:$B"), 0),MATCH(J$1, INDIRECT("'" &amp; $C17 &amp; "'!$1:$1"), 0)))),".",INDIRECT(CONCATENATE("'"&amp;$C17&amp;"'!",ADDRESS(MATCH($D17,INDIRECT("'"&amp;$C17&amp;"'!$B:$B"),0),3))),"#page=",J18),CONCATENATE("#Sharepoint//",$D17))</f>
        <v>#Sharepoint//FRS_Line Voltage</v>
      </c>
      <c r="K17" s="341"/>
      <c r="L17" s="338"/>
    </row>
    <row r="18" spans="1:12" outlineLevel="2" x14ac:dyDescent="0.25">
      <c r="A18" s="105"/>
      <c r="B18" s="106"/>
      <c r="C18" s="106"/>
      <c r="D18" s="217"/>
      <c r="E18" s="218" t="s">
        <v>19</v>
      </c>
      <c r="F18" s="217">
        <v>7</v>
      </c>
      <c r="G18" s="217"/>
      <c r="H18" s="217">
        <v>7</v>
      </c>
      <c r="I18" s="217">
        <v>7</v>
      </c>
      <c r="J18" s="217">
        <v>12</v>
      </c>
      <c r="K18" s="343"/>
      <c r="L18" s="217"/>
    </row>
    <row r="19" spans="1:12" ht="409.5" customHeight="1" outlineLevel="2" x14ac:dyDescent="0.25">
      <c r="A19" s="105"/>
      <c r="B19" s="106"/>
      <c r="C19" s="106"/>
      <c r="D19" s="217"/>
      <c r="E19" s="230" t="s">
        <v>34</v>
      </c>
      <c r="F19" s="427"/>
      <c r="G19" s="231"/>
      <c r="H19" s="427"/>
      <c r="I19" s="427"/>
      <c r="J19" s="427"/>
      <c r="K19" s="230"/>
      <c r="L19" s="232"/>
    </row>
    <row r="20" spans="1:12" ht="30" customHeight="1" x14ac:dyDescent="0.25">
      <c r="A20" s="347" t="s">
        <v>35</v>
      </c>
      <c r="B20" s="347" t="s">
        <v>36</v>
      </c>
      <c r="C20" s="180"/>
      <c r="D20" s="348" t="s">
        <v>15</v>
      </c>
      <c r="E20" s="349"/>
      <c r="F20" s="350"/>
      <c r="G20" s="350"/>
      <c r="H20" s="350"/>
      <c r="I20" s="350"/>
      <c r="J20" s="350"/>
      <c r="K20" s="350"/>
      <c r="L20" s="351"/>
    </row>
    <row r="21" spans="1:12" outlineLevel="1" x14ac:dyDescent="0.25">
      <c r="A21" s="336"/>
      <c r="B21" s="337"/>
      <c r="C21" s="338" t="s">
        <v>16</v>
      </c>
      <c r="D21" s="338" t="s">
        <v>33</v>
      </c>
      <c r="E21" s="339" t="s">
        <v>18</v>
      </c>
      <c r="F21" s="340" t="str">
        <f t="array" aca="1" ref="F21" ca="1">HYPERLINK(CONCATENATE(Cartelle!$D$5,F$1,"/",$C21,"/",MID($D21,1,FIND("_",$D21)-1),"/",INDIRECT(CONCATENATE("'" &amp; $C21 &amp; "'!",ADDRESS(MATCH($D21, INDIRECT("'" &amp; $C21 &amp; "'!$B:$B"), 0),MATCH(F$1, INDIRECT("'" &amp; $C21 &amp; "'!$1:$1"), 0)))),".",INDIRECT(CONCATENATE("'"&amp;$C21&amp;"'!",ADDRESS(MATCH($D21,INDIRECT("'"&amp;$C21&amp;"'!$B:$B"),0),3))),"#page=",F22),CONCATENATE("#Sharepoint//",$D21))</f>
        <v>#Sharepoint//FRS_Line Voltage</v>
      </c>
      <c r="G21" s="352"/>
      <c r="H21" s="340" t="str">
        <f t="array" aca="1" ref="H21" ca="1">HYPERLINK(CONCATENATE(Cartelle!$D$5,INDEX(INDIRECT("'" &amp; $C21 &amp; "'!$1:$1"), 1, MATCH(INDIRECT(CONCATENATE("'" &amp; $C21 &amp; "'!",ADDRESS(MATCH($D21, INDIRECT("'" &amp; $C21 &amp; "'!$B:$B"), 0),MATCH(H$1, INDIRECT("'" &amp; $C21 &amp; "'!$1:$1"), 0)))),INDIRECT(CONCATENATE("'" &amp; $C21 &amp; "'!",MATCH($D21, INDIRECT("'" &amp; $C21 &amp; "'!$B:$B"), 0),":",MATCH($D21, INDIRECT("'" &amp; $C21 &amp; "'!$B:$B"), 0))),0)),"/",$C21,"/",MID($D21,1,FIND("_",$D21)-1),"/",INDIRECT(CONCATENATE("'" &amp; $C21 &amp; "'!",ADDRESS(MATCH($D21, INDIRECT("'" &amp; $C21 &amp; "'!$B:$B"), 0),MATCH(H$1, INDIRECT("'" &amp; $C21 &amp; "'!$1:$1"), 0)))),".",INDIRECT(CONCATENATE("'"&amp;$C21&amp;"'!",ADDRESS(MATCH($D21,INDIRECT("'"&amp;$C21&amp;"'!$B:$B"),0),3))),"#page=",H22),CONCATENATE("#Sharepoint//",$D21))</f>
        <v>#Sharepoint//FRS_Line Voltage</v>
      </c>
      <c r="I21" s="340" t="str">
        <f t="array" aca="1" ref="I21" ca="1">HYPERLINK(CONCATENATE(Cartelle!$D$5,INDEX(INDIRECT("'" &amp; $C21 &amp; "'!$1:$1"), 1, MATCH(INDIRECT(CONCATENATE("'" &amp; $C21 &amp; "'!",ADDRESS(MATCH($D21, INDIRECT("'" &amp; $C21 &amp; "'!$B:$B"), 0),MATCH(I$1, INDIRECT("'" &amp; $C21 &amp; "'!$1:$1"), 0)))),INDIRECT(CONCATENATE("'" &amp; $C21 &amp; "'!",MATCH($D21, INDIRECT("'" &amp; $C21 &amp; "'!$B:$B"), 0),":",MATCH($D21, INDIRECT("'" &amp; $C21 &amp; "'!$B:$B"), 0))),0)),"/",$C21,"/",MID($D21,1,FIND("_",$D21)-1),"/",INDIRECT(CONCATENATE("'" &amp; $C21 &amp; "'!",ADDRESS(MATCH($D21, INDIRECT("'" &amp; $C21 &amp; "'!$B:$B"), 0),MATCH(I$1, INDIRECT("'" &amp; $C21 &amp; "'!$1:$1"), 0)))),".",INDIRECT(CONCATENATE("'"&amp;$C21&amp;"'!",ADDRESS(MATCH($D21,INDIRECT("'"&amp;$C21&amp;"'!$B:$B"),0),3))),"#page=",I22),CONCATENATE("#Sharepoint//",$D21))</f>
        <v>#Sharepoint//FRS_Line Voltage</v>
      </c>
      <c r="J21" s="340" t="str">
        <f t="array" aca="1" ref="J21" ca="1">HYPERLINK(CONCATENATE(Cartelle!$D$5,INDEX(INDIRECT("'" &amp; $C21 &amp; "'!$1:$1"), 1, MATCH(INDIRECT(CONCATENATE("'" &amp; $C21 &amp; "'!",ADDRESS(MATCH($D21, INDIRECT("'" &amp; $C21 &amp; "'!$B:$B"), 0),MATCH(J$1, INDIRECT("'" &amp; $C21 &amp; "'!$1:$1"), 0)))),INDIRECT(CONCATENATE("'" &amp; $C21 &amp; "'!",MATCH($D21, INDIRECT("'" &amp; $C21 &amp; "'!$B:$B"), 0),":",MATCH($D21, INDIRECT("'" &amp; $C21 &amp; "'!$B:$B"), 0))),0)),"/",$C21,"/",MID($D21,1,FIND("_",$D21)-1),"/",INDIRECT(CONCATENATE("'" &amp; $C21 &amp; "'!",ADDRESS(MATCH($D21, INDIRECT("'" &amp; $C21 &amp; "'!$B:$B"), 0),MATCH(J$1, INDIRECT("'" &amp; $C21 &amp; "'!$1:$1"), 0)))),".",INDIRECT(CONCATENATE("'"&amp;$C21&amp;"'!",ADDRESS(MATCH($D21,INDIRECT("'"&amp;$C21&amp;"'!$B:$B"),0),3))),"#page=",J22),CONCATENATE("#Sharepoint//",$D21))</f>
        <v>#Sharepoint//FRS_Line Voltage</v>
      </c>
      <c r="K21" s="341"/>
      <c r="L21" s="338"/>
    </row>
    <row r="22" spans="1:12" outlineLevel="2" x14ac:dyDescent="0.25">
      <c r="A22" s="105"/>
      <c r="B22" s="106"/>
      <c r="C22" s="106"/>
      <c r="D22" s="217"/>
      <c r="E22" s="218" t="s">
        <v>19</v>
      </c>
      <c r="F22" s="217">
        <v>8</v>
      </c>
      <c r="G22" s="217"/>
      <c r="H22" s="217">
        <v>8</v>
      </c>
      <c r="I22" s="217">
        <v>8</v>
      </c>
      <c r="J22" s="217">
        <v>13</v>
      </c>
      <c r="K22" s="343"/>
      <c r="L22" s="217"/>
    </row>
    <row r="23" spans="1:12" ht="360" customHeight="1" outlineLevel="2" x14ac:dyDescent="0.25">
      <c r="A23" s="105"/>
      <c r="B23" s="106"/>
      <c r="C23" s="106"/>
      <c r="D23" s="217"/>
      <c r="E23" s="230" t="s">
        <v>34</v>
      </c>
      <c r="F23" s="430"/>
      <c r="G23" s="231"/>
      <c r="H23" s="430"/>
      <c r="I23" s="430"/>
      <c r="J23" s="430"/>
      <c r="K23" s="230"/>
      <c r="L23" s="232"/>
    </row>
    <row r="24" spans="1:12" ht="30" customHeight="1" x14ac:dyDescent="0.25">
      <c r="A24" s="347" t="s">
        <v>37</v>
      </c>
      <c r="B24" s="347" t="s">
        <v>38</v>
      </c>
      <c r="C24" s="180"/>
      <c r="D24" s="348" t="s">
        <v>15</v>
      </c>
      <c r="E24" s="349"/>
      <c r="F24" s="350"/>
      <c r="G24" s="350"/>
      <c r="H24" s="350"/>
      <c r="I24" s="350"/>
      <c r="J24" s="350"/>
      <c r="K24" s="350"/>
      <c r="L24" s="351"/>
    </row>
    <row r="25" spans="1:12" outlineLevel="1" x14ac:dyDescent="0.25">
      <c r="A25" s="336"/>
      <c r="B25" s="337"/>
      <c r="C25" s="338" t="s">
        <v>16</v>
      </c>
      <c r="D25" s="338" t="s">
        <v>33</v>
      </c>
      <c r="E25" s="339" t="s">
        <v>18</v>
      </c>
      <c r="F25" s="340" t="str">
        <f t="array" aca="1" ref="F25" ca="1">HYPERLINK(CONCATENATE(Cartelle!$D$5,F$1,"/",$C25,"/",MID($D25,1,FIND("_",$D25)-1),"/",INDIRECT(CONCATENATE("'" &amp; $C25 &amp; "'!",ADDRESS(MATCH($D25, INDIRECT("'" &amp; $C25 &amp; "'!$B:$B"), 0),MATCH(F$1, INDIRECT("'" &amp; $C25 &amp; "'!$1:$1"), 0)))),".",INDIRECT(CONCATENATE("'"&amp;$C25&amp;"'!",ADDRESS(MATCH($D25,INDIRECT("'"&amp;$C25&amp;"'!$B:$B"),0),3))),"#page=",F26),CONCATENATE("#Sharepoint//",$D25))</f>
        <v>#Sharepoint//FRS_Line Voltage</v>
      </c>
      <c r="G25" s="352"/>
      <c r="H25" s="340" t="str">
        <f t="array" aca="1" ref="H25" ca="1">HYPERLINK(CONCATENATE(Cartelle!$D$5,INDEX(INDIRECT("'" &amp; $C25 &amp; "'!$1:$1"), 1, MATCH(INDIRECT(CONCATENATE("'" &amp; $C25 &amp; "'!",ADDRESS(MATCH($D25, INDIRECT("'" &amp; $C25 &amp; "'!$B:$B"), 0),MATCH(H$1, INDIRECT("'" &amp; $C25 &amp; "'!$1:$1"), 0)))),INDIRECT(CONCATENATE("'" &amp; $C25 &amp; "'!",MATCH($D25, INDIRECT("'" &amp; $C25 &amp; "'!$B:$B"), 0),":",MATCH($D25, INDIRECT("'" &amp; $C25 &amp; "'!$B:$B"), 0))),0)),"/",$C25,"/",MID($D25,1,FIND("_",$D25)-1),"/",INDIRECT(CONCATENATE("'" &amp; $C25 &amp; "'!",ADDRESS(MATCH($D25, INDIRECT("'" &amp; $C25 &amp; "'!$B:$B"), 0),MATCH(H$1, INDIRECT("'" &amp; $C25 &amp; "'!$1:$1"), 0)))),".",INDIRECT(CONCATENATE("'"&amp;$C25&amp;"'!",ADDRESS(MATCH($D25,INDIRECT("'"&amp;$C25&amp;"'!$B:$B"),0),3))),"#page=",H26),CONCATENATE("#Sharepoint//",$D25))</f>
        <v>#Sharepoint//FRS_Line Voltage</v>
      </c>
      <c r="I25" s="340" t="str">
        <f t="array" aca="1" ref="I25" ca="1">HYPERLINK(CONCATENATE(Cartelle!$D$5,INDEX(INDIRECT("'" &amp; $C25 &amp; "'!$1:$1"), 1, MATCH(INDIRECT(CONCATENATE("'" &amp; $C25 &amp; "'!",ADDRESS(MATCH($D25, INDIRECT("'" &amp; $C25 &amp; "'!$B:$B"), 0),MATCH(I$1, INDIRECT("'" &amp; $C25 &amp; "'!$1:$1"), 0)))),INDIRECT(CONCATENATE("'" &amp; $C25 &amp; "'!",MATCH($D25, INDIRECT("'" &amp; $C25 &amp; "'!$B:$B"), 0),":",MATCH($D25, INDIRECT("'" &amp; $C25 &amp; "'!$B:$B"), 0))),0)),"/",$C25,"/",MID($D25,1,FIND("_",$D25)-1),"/",INDIRECT(CONCATENATE("'" &amp; $C25 &amp; "'!",ADDRESS(MATCH($D25, INDIRECT("'" &amp; $C25 &amp; "'!$B:$B"), 0),MATCH(I$1, INDIRECT("'" &amp; $C25 &amp; "'!$1:$1"), 0)))),".",INDIRECT(CONCATENATE("'"&amp;$C25&amp;"'!",ADDRESS(MATCH($D25,INDIRECT("'"&amp;$C25&amp;"'!$B:$B"),0),3))),"#page=",I26),CONCATENATE("#Sharepoint//",$D25))</f>
        <v>#Sharepoint//FRS_Line Voltage</v>
      </c>
      <c r="J25" s="340" t="str">
        <f t="array" aca="1" ref="J25" ca="1">HYPERLINK(CONCATENATE(Cartelle!$D$5,INDEX(INDIRECT("'" &amp; $C25 &amp; "'!$1:$1"), 1, MATCH(INDIRECT(CONCATENATE("'" &amp; $C25 &amp; "'!",ADDRESS(MATCH($D25, INDIRECT("'" &amp; $C25 &amp; "'!$B:$B"), 0),MATCH(J$1, INDIRECT("'" &amp; $C25 &amp; "'!$1:$1"), 0)))),INDIRECT(CONCATENATE("'" &amp; $C25 &amp; "'!",MATCH($D25, INDIRECT("'" &amp; $C25 &amp; "'!$B:$B"), 0),":",MATCH($D25, INDIRECT("'" &amp; $C25 &amp; "'!$B:$B"), 0))),0)),"/",$C25,"/",MID($D25,1,FIND("_",$D25)-1),"/",INDIRECT(CONCATENATE("'" &amp; $C25 &amp; "'!",ADDRESS(MATCH($D25, INDIRECT("'" &amp; $C25 &amp; "'!$B:$B"), 0),MATCH(J$1, INDIRECT("'" &amp; $C25 &amp; "'!$1:$1"), 0)))),".",INDIRECT(CONCATENATE("'"&amp;$C25&amp;"'!",ADDRESS(MATCH($D25,INDIRECT("'"&amp;$C25&amp;"'!$B:$B"),0),3))),"#page=",J26),CONCATENATE("#Sharepoint//",$D25))</f>
        <v>#Sharepoint//FRS_Line Voltage</v>
      </c>
      <c r="K25" s="341"/>
      <c r="L25" s="338"/>
    </row>
    <row r="26" spans="1:12" outlineLevel="2" x14ac:dyDescent="0.25">
      <c r="A26" s="105"/>
      <c r="B26" s="106"/>
      <c r="C26" s="106"/>
      <c r="D26" s="217"/>
      <c r="E26" s="218" t="s">
        <v>19</v>
      </c>
      <c r="F26" s="217">
        <v>14</v>
      </c>
      <c r="G26" s="217"/>
      <c r="H26" s="217">
        <v>16</v>
      </c>
      <c r="I26" s="217">
        <v>14</v>
      </c>
      <c r="J26" s="217">
        <v>19</v>
      </c>
      <c r="K26" s="343"/>
      <c r="L26" s="217"/>
    </row>
    <row r="27" spans="1:12" ht="409.5" customHeight="1" outlineLevel="2" x14ac:dyDescent="0.25">
      <c r="A27" s="105"/>
      <c r="B27" s="106"/>
      <c r="C27" s="106"/>
      <c r="D27" s="217"/>
      <c r="E27" s="230" t="s">
        <v>34</v>
      </c>
      <c r="F27" s="430"/>
      <c r="G27" s="231"/>
      <c r="H27" s="430"/>
      <c r="I27" s="430"/>
      <c r="J27" s="430"/>
      <c r="K27" s="230"/>
      <c r="L27" s="232"/>
    </row>
    <row r="28" spans="1:12" s="8" customFormat="1" ht="30" customHeight="1" x14ac:dyDescent="0.25">
      <c r="A28" s="353" t="s">
        <v>39</v>
      </c>
      <c r="B28" s="354" t="s">
        <v>40</v>
      </c>
      <c r="C28" s="181"/>
      <c r="D28" s="355" t="s">
        <v>15</v>
      </c>
      <c r="E28" s="356"/>
      <c r="F28" s="357"/>
      <c r="G28" s="357"/>
      <c r="H28" s="357"/>
      <c r="I28" s="357"/>
      <c r="J28" s="357"/>
      <c r="K28" s="357"/>
      <c r="L28" s="358"/>
    </row>
    <row r="29" spans="1:12" s="8" customFormat="1" outlineLevel="1" collapsed="1" x14ac:dyDescent="0.25">
      <c r="B29" s="59"/>
      <c r="C29" s="338" t="s">
        <v>16</v>
      </c>
      <c r="D29" s="338" t="s">
        <v>33</v>
      </c>
      <c r="E29" s="339" t="s">
        <v>18</v>
      </c>
      <c r="F29" s="340" t="str">
        <f t="array" aca="1" ref="F29" ca="1">HYPERLINK(CONCATENATE(Cartelle!$D$5,F$1,"/",$C29,"/",MID($D29,1,FIND("_",$D29)-1),"/",INDIRECT(CONCATENATE("'" &amp; $C29 &amp; "'!",ADDRESS(MATCH($D29, INDIRECT("'" &amp; $C29 &amp; "'!$B:$B"), 0),MATCH(F$1, INDIRECT("'" &amp; $C29 &amp; "'!$1:$1"), 0)))),".",INDIRECT(CONCATENATE("'"&amp;$C29&amp;"'!",ADDRESS(MATCH($D29,INDIRECT("'"&amp;$C29&amp;"'!$B:$B"),0),3))),"#page=",F30),CONCATENATE("#Sharepoint//",$D29))</f>
        <v>#Sharepoint//FRS_Line Voltage</v>
      </c>
      <c r="G29" s="352"/>
      <c r="H29" s="340" t="str">
        <f t="array" aca="1" ref="H29" ca="1">HYPERLINK(CONCATENATE(Cartelle!$D$5,INDEX(INDIRECT("'" &amp; $C29 &amp; "'!$1:$1"), 1, MATCH(INDIRECT(CONCATENATE("'" &amp; $C29 &amp; "'!",ADDRESS(MATCH($D29, INDIRECT("'" &amp; $C29 &amp; "'!$B:$B"), 0),MATCH(H$1, INDIRECT("'" &amp; $C29 &amp; "'!$1:$1"), 0)))),INDIRECT(CONCATENATE("'" &amp; $C29 &amp; "'!",MATCH($D29, INDIRECT("'" &amp; $C29 &amp; "'!$B:$B"), 0),":",MATCH($D29, INDIRECT("'" &amp; $C29 &amp; "'!$B:$B"), 0))),0)),"/",$C29,"/",MID($D29,1,FIND("_",$D29)-1),"/",INDIRECT(CONCATENATE("'" &amp; $C29 &amp; "'!",ADDRESS(MATCH($D29, INDIRECT("'" &amp; $C29 &amp; "'!$B:$B"), 0),MATCH(H$1, INDIRECT("'" &amp; $C29 &amp; "'!$1:$1"), 0)))),".",INDIRECT(CONCATENATE("'"&amp;$C29&amp;"'!",ADDRESS(MATCH($D29,INDIRECT("'"&amp;$C29&amp;"'!$B:$B"),0),3))),"#page=",H30),CONCATENATE("#Sharepoint//",$D29))</f>
        <v>#Sharepoint//FRS_Line Voltage</v>
      </c>
      <c r="I29" s="340" t="str">
        <f t="array" aca="1" ref="I29" ca="1">HYPERLINK(CONCATENATE(Cartelle!$D$5,INDEX(INDIRECT("'" &amp; $C29 &amp; "'!$1:$1"), 1, MATCH(INDIRECT(CONCATENATE("'" &amp; $C29 &amp; "'!",ADDRESS(MATCH($D29, INDIRECT("'" &amp; $C29 &amp; "'!$B:$B"), 0),MATCH(I$1, INDIRECT("'" &amp; $C29 &amp; "'!$1:$1"), 0)))),INDIRECT(CONCATENATE("'" &amp; $C29 &amp; "'!",MATCH($D29, INDIRECT("'" &amp; $C29 &amp; "'!$B:$B"), 0),":",MATCH($D29, INDIRECT("'" &amp; $C29 &amp; "'!$B:$B"), 0))),0)),"/",$C29,"/",MID($D29,1,FIND("_",$D29)-1),"/",INDIRECT(CONCATENATE("'" &amp; $C29 &amp; "'!",ADDRESS(MATCH($D29, INDIRECT("'" &amp; $C29 &amp; "'!$B:$B"), 0),MATCH(I$1, INDIRECT("'" &amp; $C29 &amp; "'!$1:$1"), 0)))),".",INDIRECT(CONCATENATE("'"&amp;$C29&amp;"'!",ADDRESS(MATCH($D29,INDIRECT("'"&amp;$C29&amp;"'!$B:$B"),0),3))),"#page=",I30),CONCATENATE("#Sharepoint//",$D29))</f>
        <v>#Sharepoint//FRS_Line Voltage</v>
      </c>
      <c r="J29" s="340" t="str">
        <f t="array" aca="1" ref="J29" ca="1">HYPERLINK(CONCATENATE(Cartelle!$D$5,INDEX(INDIRECT("'" &amp; $C29 &amp; "'!$1:$1"), 1, MATCH(INDIRECT(CONCATENATE("'" &amp; $C29 &amp; "'!",ADDRESS(MATCH($D29, INDIRECT("'" &amp; $C29 &amp; "'!$B:$B"), 0),MATCH(J$1, INDIRECT("'" &amp; $C29 &amp; "'!$1:$1"), 0)))),INDIRECT(CONCATENATE("'" &amp; $C29 &amp; "'!",MATCH($D29, INDIRECT("'" &amp; $C29 &amp; "'!$B:$B"), 0),":",MATCH($D29, INDIRECT("'" &amp; $C29 &amp; "'!$B:$B"), 0))),0)),"/",$C29,"/",MID($D29,1,FIND("_",$D29)-1),"/",INDIRECT(CONCATENATE("'" &amp; $C29 &amp; "'!",ADDRESS(MATCH($D29, INDIRECT("'" &amp; $C29 &amp; "'!$B:$B"), 0),MATCH(J$1, INDIRECT("'" &amp; $C29 &amp; "'!$1:$1"), 0)))),".",INDIRECT(CONCATENATE("'"&amp;$C29&amp;"'!",ADDRESS(MATCH($D29,INDIRECT("'"&amp;$C29&amp;"'!$B:$B"),0),3))),"#page=",J30),CONCATENATE("#Sharepoint//",$D29))</f>
        <v>#Sharepoint//FRS_Line Voltage</v>
      </c>
      <c r="K29" s="359"/>
      <c r="L29" s="359"/>
    </row>
    <row r="30" spans="1:12" s="8" customFormat="1" hidden="1" outlineLevel="2" x14ac:dyDescent="0.25">
      <c r="B30" s="59"/>
      <c r="C30" s="161"/>
      <c r="D30" s="233"/>
      <c r="E30" s="270" t="s">
        <v>19</v>
      </c>
      <c r="F30" s="233">
        <v>16</v>
      </c>
      <c r="G30" s="233"/>
      <c r="H30" s="233">
        <v>18</v>
      </c>
      <c r="I30" s="233">
        <v>16</v>
      </c>
      <c r="J30" s="233">
        <v>22</v>
      </c>
      <c r="K30" s="233"/>
      <c r="L30" s="233"/>
    </row>
    <row r="31" spans="1:12" s="8" customFormat="1" ht="405" hidden="1" customHeight="1" outlineLevel="2" x14ac:dyDescent="0.25">
      <c r="B31" s="59"/>
      <c r="C31" s="161"/>
      <c r="D31" s="233"/>
      <c r="E31" s="234" t="s">
        <v>34</v>
      </c>
      <c r="F31" s="239" t="s">
        <v>41</v>
      </c>
      <c r="G31" s="235"/>
      <c r="H31" s="239" t="s">
        <v>42</v>
      </c>
      <c r="I31" s="239" t="s">
        <v>43</v>
      </c>
      <c r="J31" s="239" t="s">
        <v>44</v>
      </c>
      <c r="K31" s="235"/>
      <c r="L31" s="236"/>
    </row>
    <row r="32" spans="1:12" s="8" customFormat="1" ht="45" customHeight="1" x14ac:dyDescent="0.25">
      <c r="A32" s="353" t="s">
        <v>45</v>
      </c>
      <c r="B32" s="360" t="s">
        <v>46</v>
      </c>
      <c r="C32" s="181"/>
      <c r="D32" s="355" t="s">
        <v>15</v>
      </c>
      <c r="E32" s="356"/>
      <c r="F32" s="357"/>
      <c r="G32" s="357"/>
      <c r="H32" s="357"/>
      <c r="I32" s="357"/>
      <c r="J32" s="357"/>
      <c r="K32" s="357"/>
      <c r="L32" s="358"/>
    </row>
    <row r="33" spans="1:12" s="8" customFormat="1" outlineLevel="1" collapsed="1" x14ac:dyDescent="0.25">
      <c r="B33" s="59"/>
      <c r="C33" s="338" t="s">
        <v>16</v>
      </c>
      <c r="D33" s="338" t="s">
        <v>33</v>
      </c>
      <c r="E33" s="339" t="s">
        <v>18</v>
      </c>
      <c r="F33" s="340" t="str">
        <f t="array" aca="1" ref="F33" ca="1">HYPERLINK(CONCATENATE(Cartelle!$D$5,F$1,"/",$C33,"/",MID($D33,1,FIND("_",$D33)-1),"/",INDIRECT(CONCATENATE("'" &amp; $C33 &amp; "'!",ADDRESS(MATCH($D33, INDIRECT("'" &amp; $C33 &amp; "'!$B:$B"), 0),MATCH(F$1, INDIRECT("'" &amp; $C33 &amp; "'!$1:$1"), 0)))),".",INDIRECT(CONCATENATE("'"&amp;$C33&amp;"'!",ADDRESS(MATCH($D33,INDIRECT("'"&amp;$C33&amp;"'!$B:$B"),0),3))),"#page=",F34),CONCATENATE("#Sharepoint//",$D33))</f>
        <v>#Sharepoint//FRS_Line Voltage</v>
      </c>
      <c r="G33" s="352"/>
      <c r="H33" s="340" t="str">
        <f t="array" aca="1" ref="H33" ca="1">HYPERLINK(CONCATENATE(Cartelle!$D$5,INDEX(INDIRECT("'" &amp; $C33 &amp; "'!$1:$1"), 1, MATCH(INDIRECT(CONCATENATE("'" &amp; $C33 &amp; "'!",ADDRESS(MATCH($D33, INDIRECT("'" &amp; $C33 &amp; "'!$B:$B"), 0),MATCH(H$1, INDIRECT("'" &amp; $C33 &amp; "'!$1:$1"), 0)))),INDIRECT(CONCATENATE("'" &amp; $C33 &amp; "'!",MATCH($D33, INDIRECT("'" &amp; $C33 &amp; "'!$B:$B"), 0),":",MATCH($D33, INDIRECT("'" &amp; $C33 &amp; "'!$B:$B"), 0))),0)),"/",$C33,"/",MID($D33,1,FIND("_",$D33)-1),"/",INDIRECT(CONCATENATE("'" &amp; $C33 &amp; "'!",ADDRESS(MATCH($D33, INDIRECT("'" &amp; $C33 &amp; "'!$B:$B"), 0),MATCH(H$1, INDIRECT("'" &amp; $C33 &amp; "'!$1:$1"), 0)))),".",INDIRECT(CONCATENATE("'"&amp;$C33&amp;"'!",ADDRESS(MATCH($D33,INDIRECT("'"&amp;$C33&amp;"'!$B:$B"),0),3))),"#page=",H34),CONCATENATE("#Sharepoint//",$D33))</f>
        <v>#Sharepoint//FRS_Line Voltage</v>
      </c>
      <c r="I33" s="340" t="str">
        <f t="array" aca="1" ref="I33" ca="1">HYPERLINK(CONCATENATE(Cartelle!$D$5,INDEX(INDIRECT("'" &amp; $C33 &amp; "'!$1:$1"), 1, MATCH(INDIRECT(CONCATENATE("'" &amp; $C33 &amp; "'!",ADDRESS(MATCH($D33, INDIRECT("'" &amp; $C33 &amp; "'!$B:$B"), 0),MATCH(I$1, INDIRECT("'" &amp; $C33 &amp; "'!$1:$1"), 0)))),INDIRECT(CONCATENATE("'" &amp; $C33 &amp; "'!",MATCH($D33, INDIRECT("'" &amp; $C33 &amp; "'!$B:$B"), 0),":",MATCH($D33, INDIRECT("'" &amp; $C33 &amp; "'!$B:$B"), 0))),0)),"/",$C33,"/",MID($D33,1,FIND("_",$D33)-1),"/",INDIRECT(CONCATENATE("'" &amp; $C33 &amp; "'!",ADDRESS(MATCH($D33, INDIRECT("'" &amp; $C33 &amp; "'!$B:$B"), 0),MATCH(I$1, INDIRECT("'" &amp; $C33 &amp; "'!$1:$1"), 0)))),".",INDIRECT(CONCATENATE("'"&amp;$C33&amp;"'!",ADDRESS(MATCH($D33,INDIRECT("'"&amp;$C33&amp;"'!$B:$B"),0),3))),"#page=",I34),CONCATENATE("#Sharepoint//",$D33))</f>
        <v>#Sharepoint//FRS_Line Voltage</v>
      </c>
      <c r="J33" s="340" t="str">
        <f t="array" aca="1" ref="J33" ca="1">HYPERLINK(CONCATENATE(Cartelle!$D$5,INDEX(INDIRECT("'" &amp; $C33 &amp; "'!$1:$1"), 1, MATCH(INDIRECT(CONCATENATE("'" &amp; $C33 &amp; "'!",ADDRESS(MATCH($D33, INDIRECT("'" &amp; $C33 &amp; "'!$B:$B"), 0),MATCH(J$1, INDIRECT("'" &amp; $C33 &amp; "'!$1:$1"), 0)))),INDIRECT(CONCATENATE("'" &amp; $C33 &amp; "'!",MATCH($D33, INDIRECT("'" &amp; $C33 &amp; "'!$B:$B"), 0),":",MATCH($D33, INDIRECT("'" &amp; $C33 &amp; "'!$B:$B"), 0))),0)),"/",$C33,"/",MID($D33,1,FIND("_",$D33)-1),"/",INDIRECT(CONCATENATE("'" &amp; $C33 &amp; "'!",ADDRESS(MATCH($D33, INDIRECT("'" &amp; $C33 &amp; "'!$B:$B"), 0),MATCH(J$1, INDIRECT("'" &amp; $C33 &amp; "'!$1:$1"), 0)))),".",INDIRECT(CONCATENATE("'"&amp;$C33&amp;"'!",ADDRESS(MATCH($D33,INDIRECT("'"&amp;$C33&amp;"'!$B:$B"),0),3))),"#page=",J34),CONCATENATE("#Sharepoint//",$D33))</f>
        <v>#Sharepoint//FRS_Line Voltage</v>
      </c>
      <c r="K33" s="359"/>
      <c r="L33" s="359"/>
    </row>
    <row r="34" spans="1:12" s="8" customFormat="1" hidden="1" outlineLevel="2" x14ac:dyDescent="0.25">
      <c r="B34" s="59"/>
      <c r="C34" s="161"/>
      <c r="D34" s="233"/>
      <c r="E34" s="270" t="s">
        <v>19</v>
      </c>
      <c r="F34" s="233">
        <v>18</v>
      </c>
      <c r="G34" s="233"/>
      <c r="H34" s="233">
        <v>21</v>
      </c>
      <c r="I34" s="233">
        <v>21</v>
      </c>
      <c r="J34" s="233">
        <v>26</v>
      </c>
      <c r="K34" s="233"/>
      <c r="L34" s="233"/>
    </row>
    <row r="35" spans="1:12" s="8" customFormat="1" ht="375" hidden="1" customHeight="1" outlineLevel="2" x14ac:dyDescent="0.25">
      <c r="B35" s="59"/>
      <c r="C35" s="161"/>
      <c r="D35" s="233"/>
      <c r="E35" s="234" t="s">
        <v>34</v>
      </c>
      <c r="F35" s="239" t="s">
        <v>47</v>
      </c>
      <c r="G35" s="235"/>
      <c r="H35" s="239" t="s">
        <v>48</v>
      </c>
      <c r="I35" s="239" t="s">
        <v>49</v>
      </c>
      <c r="J35" s="239" t="s">
        <v>50</v>
      </c>
      <c r="K35" s="235"/>
      <c r="L35" s="236"/>
    </row>
    <row r="36" spans="1:12" s="8" customFormat="1" ht="30" customHeight="1" x14ac:dyDescent="0.25">
      <c r="A36" s="353" t="s">
        <v>51</v>
      </c>
      <c r="B36" s="360" t="s">
        <v>52</v>
      </c>
      <c r="C36" s="181"/>
      <c r="D36" s="355" t="s">
        <v>15</v>
      </c>
      <c r="E36" s="356"/>
      <c r="F36" s="357"/>
      <c r="G36" s="357"/>
      <c r="H36" s="357"/>
      <c r="I36" s="357"/>
      <c r="J36" s="357"/>
      <c r="K36" s="357"/>
      <c r="L36" s="358"/>
    </row>
    <row r="37" spans="1:12" s="8" customFormat="1" outlineLevel="1" collapsed="1" x14ac:dyDescent="0.25">
      <c r="B37" s="59"/>
      <c r="C37" s="338" t="s">
        <v>16</v>
      </c>
      <c r="D37" s="338" t="s">
        <v>33</v>
      </c>
      <c r="E37" s="339" t="s">
        <v>18</v>
      </c>
      <c r="F37" s="340" t="str">
        <f t="array" aca="1" ref="F37" ca="1">HYPERLINK(CONCATENATE(Cartelle!$D$5,F$1,"/",$C37,"/",MID($D37,1,FIND("_",$D37)-1),"/",INDIRECT(CONCATENATE("'" &amp; $C37 &amp; "'!",ADDRESS(MATCH($D37, INDIRECT("'" &amp; $C37 &amp; "'!$B:$B"), 0),MATCH(F$1, INDIRECT("'" &amp; $C37 &amp; "'!$1:$1"), 0)))),".",INDIRECT(CONCATENATE("'"&amp;$C37&amp;"'!",ADDRESS(MATCH($D37,INDIRECT("'"&amp;$C37&amp;"'!$B:$B"),0),3))),"#page=",F38),CONCATENATE("#Sharepoint//",$D37))</f>
        <v>#Sharepoint//FRS_Line Voltage</v>
      </c>
      <c r="G37" s="352"/>
      <c r="H37" s="340" t="str">
        <f t="array" aca="1" ref="H37" ca="1">HYPERLINK(CONCATENATE(Cartelle!$D$5,INDEX(INDIRECT("'" &amp; $C37 &amp; "'!$1:$1"), 1, MATCH(INDIRECT(CONCATENATE("'" &amp; $C37 &amp; "'!",ADDRESS(MATCH($D37, INDIRECT("'" &amp; $C37 &amp; "'!$B:$B"), 0),MATCH(H$1, INDIRECT("'" &amp; $C37 &amp; "'!$1:$1"), 0)))),INDIRECT(CONCATENATE("'" &amp; $C37 &amp; "'!",MATCH($D37, INDIRECT("'" &amp; $C37 &amp; "'!$B:$B"), 0),":",MATCH($D37, INDIRECT("'" &amp; $C37 &amp; "'!$B:$B"), 0))),0)),"/",$C37,"/",MID($D37,1,FIND("_",$D37)-1),"/",INDIRECT(CONCATENATE("'" &amp; $C37 &amp; "'!",ADDRESS(MATCH($D37, INDIRECT("'" &amp; $C37 &amp; "'!$B:$B"), 0),MATCH(H$1, INDIRECT("'" &amp; $C37 &amp; "'!$1:$1"), 0)))),".",INDIRECT(CONCATENATE("'"&amp;$C37&amp;"'!",ADDRESS(MATCH($D37,INDIRECT("'"&amp;$C37&amp;"'!$B:$B"),0),3))),"#page=",H38),CONCATENATE("#Sharepoint//",$D37))</f>
        <v>#Sharepoint//FRS_Line Voltage</v>
      </c>
      <c r="I37" s="340" t="str">
        <f t="array" aca="1" ref="I37" ca="1">HYPERLINK(CONCATENATE(Cartelle!$D$5,INDEX(INDIRECT("'" &amp; $C37 &amp; "'!$1:$1"), 1, MATCH(INDIRECT(CONCATENATE("'" &amp; $C37 &amp; "'!",ADDRESS(MATCH($D37, INDIRECT("'" &amp; $C37 &amp; "'!$B:$B"), 0),MATCH(I$1, INDIRECT("'" &amp; $C37 &amp; "'!$1:$1"), 0)))),INDIRECT(CONCATENATE("'" &amp; $C37 &amp; "'!",MATCH($D37, INDIRECT("'" &amp; $C37 &amp; "'!$B:$B"), 0),":",MATCH($D37, INDIRECT("'" &amp; $C37 &amp; "'!$B:$B"), 0))),0)),"/",$C37,"/",MID($D37,1,FIND("_",$D37)-1),"/",INDIRECT(CONCATENATE("'" &amp; $C37 &amp; "'!",ADDRESS(MATCH($D37, INDIRECT("'" &amp; $C37 &amp; "'!$B:$B"), 0),MATCH(I$1, INDIRECT("'" &amp; $C37 &amp; "'!$1:$1"), 0)))),".",INDIRECT(CONCATENATE("'"&amp;$C37&amp;"'!",ADDRESS(MATCH($D37,INDIRECT("'"&amp;$C37&amp;"'!$B:$B"),0),3))),"#page=",I38),CONCATENATE("#Sharepoint//",$D37))</f>
        <v>#Sharepoint//FRS_Line Voltage</v>
      </c>
      <c r="J37" s="340" t="str">
        <f t="array" aca="1" ref="J37" ca="1">HYPERLINK(CONCATENATE(Cartelle!$D$5,INDEX(INDIRECT("'" &amp; $C37 &amp; "'!$1:$1"), 1, MATCH(INDIRECT(CONCATENATE("'" &amp; $C37 &amp; "'!",ADDRESS(MATCH($D37, INDIRECT("'" &amp; $C37 &amp; "'!$B:$B"), 0),MATCH(J$1, INDIRECT("'" &amp; $C37 &amp; "'!$1:$1"), 0)))),INDIRECT(CONCATENATE("'" &amp; $C37 &amp; "'!",MATCH($D37, INDIRECT("'" &amp; $C37 &amp; "'!$B:$B"), 0),":",MATCH($D37, INDIRECT("'" &amp; $C37 &amp; "'!$B:$B"), 0))),0)),"/",$C37,"/",MID($D37,1,FIND("_",$D37)-1),"/",INDIRECT(CONCATENATE("'" &amp; $C37 &amp; "'!",ADDRESS(MATCH($D37, INDIRECT("'" &amp; $C37 &amp; "'!$B:$B"), 0),MATCH(J$1, INDIRECT("'" &amp; $C37 &amp; "'!$1:$1"), 0)))),".",INDIRECT(CONCATENATE("'"&amp;$C37&amp;"'!",ADDRESS(MATCH($D37,INDIRECT("'"&amp;$C37&amp;"'!$B:$B"),0),3))),"#page=",J38),CONCATENATE("#Sharepoint//",$D37))</f>
        <v>#Sharepoint//FRS_Line Voltage</v>
      </c>
      <c r="K37" s="359"/>
      <c r="L37" s="359"/>
    </row>
    <row r="38" spans="1:12" s="8" customFormat="1" hidden="1" outlineLevel="2" x14ac:dyDescent="0.25">
      <c r="B38" s="59"/>
      <c r="C38" s="161"/>
      <c r="D38" s="233"/>
      <c r="E38" s="270" t="s">
        <v>19</v>
      </c>
      <c r="F38" s="233">
        <v>20</v>
      </c>
      <c r="G38" s="233"/>
      <c r="H38" s="233">
        <v>22</v>
      </c>
      <c r="I38" s="233">
        <v>22</v>
      </c>
      <c r="J38" s="233">
        <v>28</v>
      </c>
      <c r="K38" s="233"/>
      <c r="L38" s="233"/>
    </row>
    <row r="39" spans="1:12" s="8" customFormat="1" ht="375" hidden="1" customHeight="1" outlineLevel="2" x14ac:dyDescent="0.25">
      <c r="B39" s="59"/>
      <c r="C39" s="161"/>
      <c r="D39" s="233"/>
      <c r="E39" s="234" t="s">
        <v>34</v>
      </c>
      <c r="F39" s="239" t="s">
        <v>53</v>
      </c>
      <c r="G39" s="235"/>
      <c r="H39" s="239" t="s">
        <v>54</v>
      </c>
      <c r="I39" s="239" t="s">
        <v>55</v>
      </c>
      <c r="J39" s="239" t="s">
        <v>56</v>
      </c>
      <c r="K39" s="235"/>
      <c r="L39" s="236"/>
    </row>
    <row r="40" spans="1:12" s="8" customFormat="1" ht="45" customHeight="1" x14ac:dyDescent="0.25">
      <c r="A40" s="353" t="s">
        <v>57</v>
      </c>
      <c r="B40" s="360" t="s">
        <v>58</v>
      </c>
      <c r="C40" s="181"/>
      <c r="D40" s="355" t="s">
        <v>15</v>
      </c>
      <c r="E40" s="356"/>
      <c r="F40" s="357"/>
      <c r="G40" s="357"/>
      <c r="H40" s="357"/>
      <c r="I40" s="357"/>
      <c r="J40" s="357"/>
      <c r="K40" s="357"/>
      <c r="L40" s="358"/>
    </row>
    <row r="41" spans="1:12" s="8" customFormat="1" outlineLevel="1" collapsed="1" x14ac:dyDescent="0.25">
      <c r="B41" s="59"/>
      <c r="C41" s="338" t="s">
        <v>16</v>
      </c>
      <c r="D41" s="338" t="s">
        <v>33</v>
      </c>
      <c r="E41" s="339" t="s">
        <v>18</v>
      </c>
      <c r="F41" s="340" t="str">
        <f t="array" aca="1" ref="F41" ca="1">HYPERLINK(CONCATENATE(Cartelle!$D$5,F$1,"/",$C41,"/",MID($D41,1,FIND("_",$D41)-1),"/",INDIRECT(CONCATENATE("'" &amp; $C41 &amp; "'!",ADDRESS(MATCH($D41, INDIRECT("'" &amp; $C41 &amp; "'!$B:$B"), 0),MATCH(F$1, INDIRECT("'" &amp; $C41 &amp; "'!$1:$1"), 0)))),".",INDIRECT(CONCATENATE("'"&amp;$C41&amp;"'!",ADDRESS(MATCH($D41,INDIRECT("'"&amp;$C41&amp;"'!$B:$B"),0),3))),"#page=",F42),CONCATENATE("#Sharepoint//",$D41))</f>
        <v>#Sharepoint//FRS_Line Voltage</v>
      </c>
      <c r="G41" s="352"/>
      <c r="H41" s="340" t="str">
        <f t="array" aca="1" ref="H41" ca="1">HYPERLINK(CONCATENATE(Cartelle!$D$5,INDEX(INDIRECT("'" &amp; $C41 &amp; "'!$1:$1"), 1, MATCH(INDIRECT(CONCATENATE("'" &amp; $C41 &amp; "'!",ADDRESS(MATCH($D41, INDIRECT("'" &amp; $C41 &amp; "'!$B:$B"), 0),MATCH(H$1, INDIRECT("'" &amp; $C41 &amp; "'!$1:$1"), 0)))),INDIRECT(CONCATENATE("'" &amp; $C41 &amp; "'!",MATCH($D41, INDIRECT("'" &amp; $C41 &amp; "'!$B:$B"), 0),":",MATCH($D41, INDIRECT("'" &amp; $C41 &amp; "'!$B:$B"), 0))),0)),"/",$C41,"/",MID($D41,1,FIND("_",$D41)-1),"/",INDIRECT(CONCATENATE("'" &amp; $C41 &amp; "'!",ADDRESS(MATCH($D41, INDIRECT("'" &amp; $C41 &amp; "'!$B:$B"), 0),MATCH(H$1, INDIRECT("'" &amp; $C41 &amp; "'!$1:$1"), 0)))),".",INDIRECT(CONCATENATE("'"&amp;$C41&amp;"'!",ADDRESS(MATCH($D41,INDIRECT("'"&amp;$C41&amp;"'!$B:$B"),0),3))),"#page=",H42),CONCATENATE("#Sharepoint//",$D41))</f>
        <v>#Sharepoint//FRS_Line Voltage</v>
      </c>
      <c r="I41" s="340" t="str">
        <f t="array" aca="1" ref="I41" ca="1">HYPERLINK(CONCATENATE(Cartelle!$D$5,INDEX(INDIRECT("'" &amp; $C41 &amp; "'!$1:$1"), 1, MATCH(INDIRECT(CONCATENATE("'" &amp; $C41 &amp; "'!",ADDRESS(MATCH($D41, INDIRECT("'" &amp; $C41 &amp; "'!$B:$B"), 0),MATCH(I$1, INDIRECT("'" &amp; $C41 &amp; "'!$1:$1"), 0)))),INDIRECT(CONCATENATE("'" &amp; $C41 &amp; "'!",MATCH($D41, INDIRECT("'" &amp; $C41 &amp; "'!$B:$B"), 0),":",MATCH($D41, INDIRECT("'" &amp; $C41 &amp; "'!$B:$B"), 0))),0)),"/",$C41,"/",MID($D41,1,FIND("_",$D41)-1),"/",INDIRECT(CONCATENATE("'" &amp; $C41 &amp; "'!",ADDRESS(MATCH($D41, INDIRECT("'" &amp; $C41 &amp; "'!$B:$B"), 0),MATCH(I$1, INDIRECT("'" &amp; $C41 &amp; "'!$1:$1"), 0)))),".",INDIRECT(CONCATENATE("'"&amp;$C41&amp;"'!",ADDRESS(MATCH($D41,INDIRECT("'"&amp;$C41&amp;"'!$B:$B"),0),3))),"#page=",I42),CONCATENATE("#Sharepoint//",$D41))</f>
        <v>#Sharepoint//FRS_Line Voltage</v>
      </c>
      <c r="J41" s="340" t="str">
        <f t="array" aca="1" ref="J41" ca="1">HYPERLINK(CONCATENATE(Cartelle!$D$5,INDEX(INDIRECT("'" &amp; $C41 &amp; "'!$1:$1"), 1, MATCH(INDIRECT(CONCATENATE("'" &amp; $C41 &amp; "'!",ADDRESS(MATCH($D41, INDIRECT("'" &amp; $C41 &amp; "'!$B:$B"), 0),MATCH(J$1, INDIRECT("'" &amp; $C41 &amp; "'!$1:$1"), 0)))),INDIRECT(CONCATENATE("'" &amp; $C41 &amp; "'!",MATCH($D41, INDIRECT("'" &amp; $C41 &amp; "'!$B:$B"), 0),":",MATCH($D41, INDIRECT("'" &amp; $C41 &amp; "'!$B:$B"), 0))),0)),"/",$C41,"/",MID($D41,1,FIND("_",$D41)-1),"/",INDIRECT(CONCATENATE("'" &amp; $C41 &amp; "'!",ADDRESS(MATCH($D41, INDIRECT("'" &amp; $C41 &amp; "'!$B:$B"), 0),MATCH(J$1, INDIRECT("'" &amp; $C41 &amp; "'!$1:$1"), 0)))),".",INDIRECT(CONCATENATE("'"&amp;$C41&amp;"'!",ADDRESS(MATCH($D41,INDIRECT("'"&amp;$C41&amp;"'!$B:$B"),0),3))),"#page=",J42),CONCATENATE("#Sharepoint//",$D41))</f>
        <v>#Sharepoint//FRS_Line Voltage</v>
      </c>
      <c r="K41" s="359"/>
      <c r="L41" s="359"/>
    </row>
    <row r="42" spans="1:12" s="8" customFormat="1" hidden="1" outlineLevel="2" x14ac:dyDescent="0.25">
      <c r="B42" s="59"/>
      <c r="C42" s="161"/>
      <c r="D42" s="233"/>
      <c r="E42" s="270" t="s">
        <v>19</v>
      </c>
      <c r="F42" s="233">
        <v>21</v>
      </c>
      <c r="G42" s="233"/>
      <c r="H42" s="233">
        <v>24</v>
      </c>
      <c r="I42" s="233">
        <v>23</v>
      </c>
      <c r="J42" s="233">
        <v>29</v>
      </c>
      <c r="K42" s="233"/>
      <c r="L42" s="233"/>
    </row>
    <row r="43" spans="1:12" s="8" customFormat="1" ht="360" hidden="1" customHeight="1" outlineLevel="2" x14ac:dyDescent="0.25">
      <c r="B43" s="59"/>
      <c r="C43" s="161"/>
      <c r="D43" s="233"/>
      <c r="E43" s="234" t="s">
        <v>34</v>
      </c>
      <c r="F43" s="239" t="s">
        <v>59</v>
      </c>
      <c r="G43" s="235"/>
      <c r="H43" s="239" t="s">
        <v>60</v>
      </c>
      <c r="I43" s="239" t="s">
        <v>61</v>
      </c>
      <c r="J43" s="239" t="s">
        <v>62</v>
      </c>
      <c r="K43" s="235"/>
      <c r="L43" s="236"/>
    </row>
    <row r="44" spans="1:12" s="8" customFormat="1" ht="30" customHeight="1" x14ac:dyDescent="0.25">
      <c r="A44" s="353" t="s">
        <v>63</v>
      </c>
      <c r="B44" s="360" t="s">
        <v>64</v>
      </c>
      <c r="C44" s="181"/>
      <c r="D44" s="355" t="s">
        <v>15</v>
      </c>
      <c r="E44" s="356"/>
      <c r="F44" s="357"/>
      <c r="G44" s="357"/>
      <c r="H44" s="357"/>
      <c r="I44" s="357"/>
      <c r="J44" s="357"/>
      <c r="K44" s="357"/>
      <c r="L44" s="358"/>
    </row>
    <row r="45" spans="1:12" s="8" customFormat="1" outlineLevel="1" collapsed="1" x14ac:dyDescent="0.25">
      <c r="B45" s="59"/>
      <c r="C45" s="338" t="s">
        <v>16</v>
      </c>
      <c r="D45" s="338" t="s">
        <v>33</v>
      </c>
      <c r="E45" s="339" t="s">
        <v>18</v>
      </c>
      <c r="F45" s="340" t="str">
        <f t="array" aca="1" ref="F45" ca="1">HYPERLINK(CONCATENATE(Cartelle!$D$5,F$1,"/",$C45,"/",MID($D45,1,FIND("_",$D45)-1),"/",INDIRECT(CONCATENATE("'" &amp; $C45 &amp; "'!",ADDRESS(MATCH($D45, INDIRECT("'" &amp; $C45 &amp; "'!$B:$B"), 0),MATCH(F$1, INDIRECT("'" &amp; $C45 &amp; "'!$1:$1"), 0)))),".",INDIRECT(CONCATENATE("'"&amp;$C45&amp;"'!",ADDRESS(MATCH($D45,INDIRECT("'"&amp;$C45&amp;"'!$B:$B"),0),3))),"#page=",F46),CONCATENATE("#Sharepoint//",$D45))</f>
        <v>#Sharepoint//FRS_Line Voltage</v>
      </c>
      <c r="G45" s="352"/>
      <c r="H45" s="340" t="str">
        <f t="array" aca="1" ref="H45" ca="1">HYPERLINK(CONCATENATE(Cartelle!$D$5,INDEX(INDIRECT("'" &amp; $C45 &amp; "'!$1:$1"), 1, MATCH(INDIRECT(CONCATENATE("'" &amp; $C45 &amp; "'!",ADDRESS(MATCH($D45, INDIRECT("'" &amp; $C45 &amp; "'!$B:$B"), 0),MATCH(H$1, INDIRECT("'" &amp; $C45 &amp; "'!$1:$1"), 0)))),INDIRECT(CONCATENATE("'" &amp; $C45 &amp; "'!",MATCH($D45, INDIRECT("'" &amp; $C45 &amp; "'!$B:$B"), 0),":",MATCH($D45, INDIRECT("'" &amp; $C45 &amp; "'!$B:$B"), 0))),0)),"/",$C45,"/",MID($D45,1,FIND("_",$D45)-1),"/",INDIRECT(CONCATENATE("'" &amp; $C45 &amp; "'!",ADDRESS(MATCH($D45, INDIRECT("'" &amp; $C45 &amp; "'!$B:$B"), 0),MATCH(H$1, INDIRECT("'" &amp; $C45 &amp; "'!$1:$1"), 0)))),".",INDIRECT(CONCATENATE("'"&amp;$C45&amp;"'!",ADDRESS(MATCH($D45,INDIRECT("'"&amp;$C45&amp;"'!$B:$B"),0),3))),"#page=",H46),CONCATENATE("#Sharepoint//",$D45))</f>
        <v>#Sharepoint//FRS_Line Voltage</v>
      </c>
      <c r="I45" s="340" t="str">
        <f t="array" aca="1" ref="I45" ca="1">HYPERLINK(CONCATENATE(Cartelle!$D$5,INDEX(INDIRECT("'" &amp; $C45 &amp; "'!$1:$1"), 1, MATCH(INDIRECT(CONCATENATE("'" &amp; $C45 &amp; "'!",ADDRESS(MATCH($D45, INDIRECT("'" &amp; $C45 &amp; "'!$B:$B"), 0),MATCH(I$1, INDIRECT("'" &amp; $C45 &amp; "'!$1:$1"), 0)))),INDIRECT(CONCATENATE("'" &amp; $C45 &amp; "'!",MATCH($D45, INDIRECT("'" &amp; $C45 &amp; "'!$B:$B"), 0),":",MATCH($D45, INDIRECT("'" &amp; $C45 &amp; "'!$B:$B"), 0))),0)),"/",$C45,"/",MID($D45,1,FIND("_",$D45)-1),"/",INDIRECT(CONCATENATE("'" &amp; $C45 &amp; "'!",ADDRESS(MATCH($D45, INDIRECT("'" &amp; $C45 &amp; "'!$B:$B"), 0),MATCH(I$1, INDIRECT("'" &amp; $C45 &amp; "'!$1:$1"), 0)))),".",INDIRECT(CONCATENATE("'"&amp;$C45&amp;"'!",ADDRESS(MATCH($D45,INDIRECT("'"&amp;$C45&amp;"'!$B:$B"),0),3))),"#page=",I46),CONCATENATE("#Sharepoint//",$D45))</f>
        <v>#Sharepoint//FRS_Line Voltage</v>
      </c>
      <c r="J45" s="340" t="str">
        <f t="array" aca="1" ref="J45" ca="1">HYPERLINK(CONCATENATE(Cartelle!$D$5,INDEX(INDIRECT("'" &amp; $C45 &amp; "'!$1:$1"), 1, MATCH(INDIRECT(CONCATENATE("'" &amp; $C45 &amp; "'!",ADDRESS(MATCH($D45, INDIRECT("'" &amp; $C45 &amp; "'!$B:$B"), 0),MATCH(J$1, INDIRECT("'" &amp; $C45 &amp; "'!$1:$1"), 0)))),INDIRECT(CONCATENATE("'" &amp; $C45 &amp; "'!",MATCH($D45, INDIRECT("'" &amp; $C45 &amp; "'!$B:$B"), 0),":",MATCH($D45, INDIRECT("'" &amp; $C45 &amp; "'!$B:$B"), 0))),0)),"/",$C45,"/",MID($D45,1,FIND("_",$D45)-1),"/",INDIRECT(CONCATENATE("'" &amp; $C45 &amp; "'!",ADDRESS(MATCH($D45, INDIRECT("'" &amp; $C45 &amp; "'!$B:$B"), 0),MATCH(J$1, INDIRECT("'" &amp; $C45 &amp; "'!$1:$1"), 0)))),".",INDIRECT(CONCATENATE("'"&amp;$C45&amp;"'!",ADDRESS(MATCH($D45,INDIRECT("'"&amp;$C45&amp;"'!$B:$B"),0),3))),"#page=",J46),CONCATENATE("#Sharepoint//",$D45))</f>
        <v>#Sharepoint//FRS_Line Voltage</v>
      </c>
      <c r="K45" s="359"/>
      <c r="L45" s="359"/>
    </row>
    <row r="46" spans="1:12" s="8" customFormat="1" hidden="1" outlineLevel="2" x14ac:dyDescent="0.25">
      <c r="B46" s="59"/>
      <c r="C46" s="161"/>
      <c r="D46" s="233"/>
      <c r="E46" s="270" t="s">
        <v>19</v>
      </c>
      <c r="F46" s="233">
        <v>23</v>
      </c>
      <c r="G46" s="233"/>
      <c r="H46" s="233">
        <v>25</v>
      </c>
      <c r="I46" s="233">
        <v>24</v>
      </c>
      <c r="J46" s="233">
        <v>30</v>
      </c>
      <c r="K46" s="233"/>
      <c r="L46" s="233"/>
    </row>
    <row r="47" spans="1:12" s="8" customFormat="1" ht="409.5" hidden="1" customHeight="1" outlineLevel="2" x14ac:dyDescent="0.25">
      <c r="B47" s="59"/>
      <c r="C47" s="161"/>
      <c r="D47" s="233"/>
      <c r="E47" s="234" t="s">
        <v>34</v>
      </c>
      <c r="F47" s="239" t="s">
        <v>65</v>
      </c>
      <c r="G47" s="235"/>
      <c r="H47" s="239" t="s">
        <v>66</v>
      </c>
      <c r="I47" s="240" t="s">
        <v>67</v>
      </c>
      <c r="J47" s="239" t="s">
        <v>68</v>
      </c>
      <c r="K47" s="235"/>
      <c r="L47" s="236"/>
    </row>
    <row r="48" spans="1:12" s="8" customFormat="1" x14ac:dyDescent="0.25">
      <c r="A48" s="353" t="s">
        <v>69</v>
      </c>
      <c r="B48" s="360" t="s">
        <v>70</v>
      </c>
      <c r="C48" s="181"/>
      <c r="D48" s="355" t="s">
        <v>15</v>
      </c>
      <c r="E48" s="356"/>
      <c r="F48" s="357"/>
      <c r="G48" s="357"/>
      <c r="H48" s="357"/>
      <c r="I48" s="357"/>
      <c r="J48" s="357"/>
      <c r="K48" s="357"/>
      <c r="L48" s="358"/>
    </row>
    <row r="49" spans="1:12" s="8" customFormat="1" outlineLevel="1" collapsed="1" x14ac:dyDescent="0.25">
      <c r="B49" s="59"/>
      <c r="C49" s="338" t="s">
        <v>16</v>
      </c>
      <c r="D49" s="338" t="s">
        <v>33</v>
      </c>
      <c r="E49" s="339" t="s">
        <v>18</v>
      </c>
      <c r="F49" s="340" t="str">
        <f t="array" aca="1" ref="F49" ca="1">HYPERLINK(CONCATENATE(Cartelle!$D$5,F$1,"/",$C49,"/",MID($D49,1,FIND("_",$D49)-1),"/",INDIRECT(CONCATENATE("'" &amp; $C49 &amp; "'!",ADDRESS(MATCH($D49, INDIRECT("'" &amp; $C49 &amp; "'!$B:$B"), 0),MATCH(F$1, INDIRECT("'" &amp; $C49 &amp; "'!$1:$1"), 0)))),".",INDIRECT(CONCATENATE("'"&amp;$C49&amp;"'!",ADDRESS(MATCH($D49,INDIRECT("'"&amp;$C49&amp;"'!$B:$B"),0),3))),"#page=",F50),CONCATENATE("#Sharepoint//",$D49))</f>
        <v>#Sharepoint//FRS_Line Voltage</v>
      </c>
      <c r="G49" s="352"/>
      <c r="H49" s="340" t="str">
        <f t="array" aca="1" ref="H49" ca="1">HYPERLINK(CONCATENATE(Cartelle!$D$5,INDEX(INDIRECT("'" &amp; $C49 &amp; "'!$1:$1"), 1, MATCH(INDIRECT(CONCATENATE("'" &amp; $C49 &amp; "'!",ADDRESS(MATCH($D49, INDIRECT("'" &amp; $C49 &amp; "'!$B:$B"), 0),MATCH(H$1, INDIRECT("'" &amp; $C49 &amp; "'!$1:$1"), 0)))),INDIRECT(CONCATENATE("'" &amp; $C49 &amp; "'!",MATCH($D49, INDIRECT("'" &amp; $C49 &amp; "'!$B:$B"), 0),":",MATCH($D49, INDIRECT("'" &amp; $C49 &amp; "'!$B:$B"), 0))),0)),"/",$C49,"/",MID($D49,1,FIND("_",$D49)-1),"/",INDIRECT(CONCATENATE("'" &amp; $C49 &amp; "'!",ADDRESS(MATCH($D49, INDIRECT("'" &amp; $C49 &amp; "'!$B:$B"), 0),MATCH(H$1, INDIRECT("'" &amp; $C49 &amp; "'!$1:$1"), 0)))),".",INDIRECT(CONCATENATE("'"&amp;$C49&amp;"'!",ADDRESS(MATCH($D49,INDIRECT("'"&amp;$C49&amp;"'!$B:$B"),0),3))),"#page=",H50),CONCATENATE("#Sharepoint//",$D49))</f>
        <v>#Sharepoint//FRS_Line Voltage</v>
      </c>
      <c r="I49" s="340" t="str">
        <f t="array" aca="1" ref="I49" ca="1">HYPERLINK(CONCATENATE(Cartelle!$D$5,INDEX(INDIRECT("'" &amp; $C49 &amp; "'!$1:$1"), 1, MATCH(INDIRECT(CONCATENATE("'" &amp; $C49 &amp; "'!",ADDRESS(MATCH($D49, INDIRECT("'" &amp; $C49 &amp; "'!$B:$B"), 0),MATCH(I$1, INDIRECT("'" &amp; $C49 &amp; "'!$1:$1"), 0)))),INDIRECT(CONCATENATE("'" &amp; $C49 &amp; "'!",MATCH($D49, INDIRECT("'" &amp; $C49 &amp; "'!$B:$B"), 0),":",MATCH($D49, INDIRECT("'" &amp; $C49 &amp; "'!$B:$B"), 0))),0)),"/",$C49,"/",MID($D49,1,FIND("_",$D49)-1),"/",INDIRECT(CONCATENATE("'" &amp; $C49 &amp; "'!",ADDRESS(MATCH($D49, INDIRECT("'" &amp; $C49 &amp; "'!$B:$B"), 0),MATCH(I$1, INDIRECT("'" &amp; $C49 &amp; "'!$1:$1"), 0)))),".",INDIRECT(CONCATENATE("'"&amp;$C49&amp;"'!",ADDRESS(MATCH($D49,INDIRECT("'"&amp;$C49&amp;"'!$B:$B"),0),3))),"#page=",I50),CONCATENATE("#Sharepoint//",$D49))</f>
        <v>#Sharepoint//FRS_Line Voltage</v>
      </c>
      <c r="J49" s="340" t="str">
        <f t="array" aca="1" ref="J49" ca="1">HYPERLINK(CONCATENATE(Cartelle!$D$5,INDEX(INDIRECT("'" &amp; $C49 &amp; "'!$1:$1"), 1, MATCH(INDIRECT(CONCATENATE("'" &amp; $C49 &amp; "'!",ADDRESS(MATCH($D49, INDIRECT("'" &amp; $C49 &amp; "'!$B:$B"), 0),MATCH(J$1, INDIRECT("'" &amp; $C49 &amp; "'!$1:$1"), 0)))),INDIRECT(CONCATENATE("'" &amp; $C49 &amp; "'!",MATCH($D49, INDIRECT("'" &amp; $C49 &amp; "'!$B:$B"), 0),":",MATCH($D49, INDIRECT("'" &amp; $C49 &amp; "'!$B:$B"), 0))),0)),"/",$C49,"/",MID($D49,1,FIND("_",$D49)-1),"/",INDIRECT(CONCATENATE("'" &amp; $C49 &amp; "'!",ADDRESS(MATCH($D49, INDIRECT("'" &amp; $C49 &amp; "'!$B:$B"), 0),MATCH(J$1, INDIRECT("'" &amp; $C49 &amp; "'!$1:$1"), 0)))),".",INDIRECT(CONCATENATE("'"&amp;$C49&amp;"'!",ADDRESS(MATCH($D49,INDIRECT("'"&amp;$C49&amp;"'!$B:$B"),0),3))),"#page=",J50),CONCATENATE("#Sharepoint//",$D49))</f>
        <v>#Sharepoint//FRS_Line Voltage</v>
      </c>
      <c r="K49" s="359"/>
      <c r="L49" s="359"/>
    </row>
    <row r="50" spans="1:12" s="8" customFormat="1" hidden="1" outlineLevel="2" x14ac:dyDescent="0.25">
      <c r="B50" s="59"/>
      <c r="C50" s="161"/>
      <c r="D50" s="233"/>
      <c r="E50" s="270" t="s">
        <v>19</v>
      </c>
      <c r="F50" s="233">
        <v>25</v>
      </c>
      <c r="G50" s="233"/>
      <c r="H50" s="233">
        <v>29</v>
      </c>
      <c r="I50" s="233">
        <v>27</v>
      </c>
      <c r="J50" s="233">
        <v>36</v>
      </c>
      <c r="K50" s="233"/>
      <c r="L50" s="233"/>
    </row>
    <row r="51" spans="1:12" s="8" customFormat="1" ht="409.5" hidden="1" customHeight="1" outlineLevel="2" x14ac:dyDescent="0.25">
      <c r="B51" s="59"/>
      <c r="C51" s="161"/>
      <c r="D51" s="233"/>
      <c r="E51" s="234" t="s">
        <v>34</v>
      </c>
      <c r="F51" s="240" t="s">
        <v>71</v>
      </c>
      <c r="G51" s="235"/>
      <c r="H51" s="240" t="s">
        <v>72</v>
      </c>
      <c r="I51" s="240" t="s">
        <v>73</v>
      </c>
      <c r="J51" s="240" t="s">
        <v>74</v>
      </c>
      <c r="K51" s="235"/>
      <c r="L51" s="236"/>
    </row>
    <row r="52" spans="1:12" s="8" customFormat="1" x14ac:dyDescent="0.25">
      <c r="A52" s="353" t="s">
        <v>75</v>
      </c>
      <c r="B52" s="360" t="s">
        <v>76</v>
      </c>
      <c r="C52" s="181"/>
      <c r="D52" s="355" t="s">
        <v>15</v>
      </c>
      <c r="E52" s="356"/>
      <c r="F52" s="357"/>
      <c r="G52" s="357"/>
      <c r="H52" s="357"/>
      <c r="I52" s="357"/>
      <c r="J52" s="357"/>
      <c r="K52" s="357"/>
      <c r="L52" s="358"/>
    </row>
    <row r="53" spans="1:12" s="8" customFormat="1" outlineLevel="1" collapsed="1" x14ac:dyDescent="0.25">
      <c r="B53" s="59"/>
      <c r="C53" s="338" t="s">
        <v>16</v>
      </c>
      <c r="D53" s="338" t="s">
        <v>33</v>
      </c>
      <c r="E53" s="339" t="s">
        <v>18</v>
      </c>
      <c r="F53" s="340" t="str">
        <f t="array" aca="1" ref="F53" ca="1">HYPERLINK(CONCATENATE(Cartelle!$D$5,F$1,"/",$C53,"/",MID($D53,1,FIND("_",$D53)-1),"/",INDIRECT(CONCATENATE("'" &amp; $C53 &amp; "'!",ADDRESS(MATCH($D53, INDIRECT("'" &amp; $C53 &amp; "'!$B:$B"), 0),MATCH(F$1, INDIRECT("'" &amp; $C53 &amp; "'!$1:$1"), 0)))),".",INDIRECT(CONCATENATE("'"&amp;$C53&amp;"'!",ADDRESS(MATCH($D53,INDIRECT("'"&amp;$C53&amp;"'!$B:$B"),0),3))),"#page=",F54),CONCATENATE("#Sharepoint//",$D53))</f>
        <v>#Sharepoint//FRS_Line Voltage</v>
      </c>
      <c r="G53" s="352"/>
      <c r="H53" s="340" t="str">
        <f t="array" aca="1" ref="H53" ca="1">HYPERLINK(CONCATENATE(Cartelle!$D$5,INDEX(INDIRECT("'" &amp; $C53 &amp; "'!$1:$1"), 1, MATCH(INDIRECT(CONCATENATE("'" &amp; $C53 &amp; "'!",ADDRESS(MATCH($D53, INDIRECT("'" &amp; $C53 &amp; "'!$B:$B"), 0),MATCH(H$1, INDIRECT("'" &amp; $C53 &amp; "'!$1:$1"), 0)))),INDIRECT(CONCATENATE("'" &amp; $C53 &amp; "'!",MATCH($D53, INDIRECT("'" &amp; $C53 &amp; "'!$B:$B"), 0),":",MATCH($D53, INDIRECT("'" &amp; $C53 &amp; "'!$B:$B"), 0))),0)),"/",$C53,"/",MID($D53,1,FIND("_",$D53)-1),"/",INDIRECT(CONCATENATE("'" &amp; $C53 &amp; "'!",ADDRESS(MATCH($D53, INDIRECT("'" &amp; $C53 &amp; "'!$B:$B"), 0),MATCH(H$1, INDIRECT("'" &amp; $C53 &amp; "'!$1:$1"), 0)))),".",INDIRECT(CONCATENATE("'"&amp;$C53&amp;"'!",ADDRESS(MATCH($D53,INDIRECT("'"&amp;$C53&amp;"'!$B:$B"),0),3))),"#page=",H54),CONCATENATE("#Sharepoint//",$D53))</f>
        <v>#Sharepoint//FRS_Line Voltage</v>
      </c>
      <c r="I53" s="340" t="str">
        <f t="array" aca="1" ref="I53" ca="1">HYPERLINK(CONCATENATE(Cartelle!$D$5,INDEX(INDIRECT("'" &amp; $C53 &amp; "'!$1:$1"), 1, MATCH(INDIRECT(CONCATENATE("'" &amp; $C53 &amp; "'!",ADDRESS(MATCH($D53, INDIRECT("'" &amp; $C53 &amp; "'!$B:$B"), 0),MATCH(I$1, INDIRECT("'" &amp; $C53 &amp; "'!$1:$1"), 0)))),INDIRECT(CONCATENATE("'" &amp; $C53 &amp; "'!",MATCH($D53, INDIRECT("'" &amp; $C53 &amp; "'!$B:$B"), 0),":",MATCH($D53, INDIRECT("'" &amp; $C53 &amp; "'!$B:$B"), 0))),0)),"/",$C53,"/",MID($D53,1,FIND("_",$D53)-1),"/",INDIRECT(CONCATENATE("'" &amp; $C53 &amp; "'!",ADDRESS(MATCH($D53, INDIRECT("'" &amp; $C53 &amp; "'!$B:$B"), 0),MATCH(I$1, INDIRECT("'" &amp; $C53 &amp; "'!$1:$1"), 0)))),".",INDIRECT(CONCATENATE("'"&amp;$C53&amp;"'!",ADDRESS(MATCH($D53,INDIRECT("'"&amp;$C53&amp;"'!$B:$B"),0),3))),"#page=",I54),CONCATENATE("#Sharepoint//",$D53))</f>
        <v>#Sharepoint//FRS_Line Voltage</v>
      </c>
      <c r="J53" s="340" t="str">
        <f t="array" aca="1" ref="J53" ca="1">HYPERLINK(CONCATENATE(Cartelle!$D$5,INDEX(INDIRECT("'" &amp; $C53 &amp; "'!$1:$1"), 1, MATCH(INDIRECT(CONCATENATE("'" &amp; $C53 &amp; "'!",ADDRESS(MATCH($D53, INDIRECT("'" &amp; $C53 &amp; "'!$B:$B"), 0),MATCH(J$1, INDIRECT("'" &amp; $C53 &amp; "'!$1:$1"), 0)))),INDIRECT(CONCATENATE("'" &amp; $C53 &amp; "'!",MATCH($D53, INDIRECT("'" &amp; $C53 &amp; "'!$B:$B"), 0),":",MATCH($D53, INDIRECT("'" &amp; $C53 &amp; "'!$B:$B"), 0))),0)),"/",$C53,"/",MID($D53,1,FIND("_",$D53)-1),"/",INDIRECT(CONCATENATE("'" &amp; $C53 &amp; "'!",ADDRESS(MATCH($D53, INDIRECT("'" &amp; $C53 &amp; "'!$B:$B"), 0),MATCH(J$1, INDIRECT("'" &amp; $C53 &amp; "'!$1:$1"), 0)))),".",INDIRECT(CONCATENATE("'"&amp;$C53&amp;"'!",ADDRESS(MATCH($D53,INDIRECT("'"&amp;$C53&amp;"'!$B:$B"),0),3))),"#page=",J54),CONCATENATE("#Sharepoint//",$D53))</f>
        <v>#Sharepoint//FRS_Line Voltage</v>
      </c>
      <c r="K53" s="359"/>
      <c r="L53" s="359"/>
    </row>
    <row r="54" spans="1:12" s="8" customFormat="1" hidden="1" outlineLevel="2" x14ac:dyDescent="0.25">
      <c r="B54" s="59"/>
      <c r="C54" s="161"/>
      <c r="D54" s="233"/>
      <c r="E54" s="270" t="s">
        <v>19</v>
      </c>
      <c r="F54" s="233">
        <v>27</v>
      </c>
      <c r="G54" s="233"/>
      <c r="H54" s="233">
        <v>31</v>
      </c>
      <c r="I54" s="233">
        <v>29</v>
      </c>
      <c r="J54" s="233">
        <v>39</v>
      </c>
      <c r="K54" s="233"/>
      <c r="L54" s="233"/>
    </row>
    <row r="55" spans="1:12" s="8" customFormat="1" ht="409.5" hidden="1" customHeight="1" outlineLevel="2" x14ac:dyDescent="0.25">
      <c r="B55" s="59"/>
      <c r="C55" s="161"/>
      <c r="D55" s="233"/>
      <c r="E55" s="234" t="s">
        <v>34</v>
      </c>
      <c r="F55" s="239" t="s">
        <v>77</v>
      </c>
      <c r="G55" s="235"/>
      <c r="H55" s="240" t="s">
        <v>78</v>
      </c>
      <c r="I55" s="239" t="s">
        <v>79</v>
      </c>
      <c r="J55" s="239" t="s">
        <v>80</v>
      </c>
      <c r="K55" s="235"/>
      <c r="L55" s="236"/>
    </row>
    <row r="56" spans="1:12" s="8" customFormat="1" x14ac:dyDescent="0.25">
      <c r="A56" s="353" t="s">
        <v>81</v>
      </c>
      <c r="B56" s="360" t="s">
        <v>82</v>
      </c>
      <c r="C56" s="181"/>
      <c r="D56" s="355" t="s">
        <v>15</v>
      </c>
      <c r="E56" s="356"/>
      <c r="F56" s="357"/>
      <c r="G56" s="357"/>
      <c r="H56" s="357"/>
      <c r="I56" s="357"/>
      <c r="J56" s="357"/>
      <c r="K56" s="357"/>
      <c r="L56" s="358"/>
    </row>
    <row r="57" spans="1:12" s="8" customFormat="1" outlineLevel="1" collapsed="1" x14ac:dyDescent="0.25">
      <c r="B57" s="59"/>
      <c r="C57" s="338" t="s">
        <v>16</v>
      </c>
      <c r="D57" s="338" t="s">
        <v>33</v>
      </c>
      <c r="E57" s="339" t="s">
        <v>18</v>
      </c>
      <c r="F57" s="340" t="str">
        <f t="array" aca="1" ref="F57" ca="1">HYPERLINK(CONCATENATE(Cartelle!$D$5,F$1,"/",$C57,"/",MID($D57,1,FIND("_",$D57)-1),"/",INDIRECT(CONCATENATE("'" &amp; $C57 &amp; "'!",ADDRESS(MATCH($D57, INDIRECT("'" &amp; $C57 &amp; "'!$B:$B"), 0),MATCH(F$1, INDIRECT("'" &amp; $C57 &amp; "'!$1:$1"), 0)))),".",INDIRECT(CONCATENATE("'"&amp;$C57&amp;"'!",ADDRESS(MATCH($D57,INDIRECT("'"&amp;$C57&amp;"'!$B:$B"),0),3))),"#page=",F58),CONCATENATE("#Sharepoint//",$D57))</f>
        <v>#Sharepoint//FRS_Line Voltage</v>
      </c>
      <c r="G57" s="352"/>
      <c r="H57" s="340" t="str">
        <f t="array" aca="1" ref="H57" ca="1">HYPERLINK(CONCATENATE(Cartelle!$D$5,INDEX(INDIRECT("'" &amp; $C57 &amp; "'!$1:$1"), 1, MATCH(INDIRECT(CONCATENATE("'" &amp; $C57 &amp; "'!",ADDRESS(MATCH($D57, INDIRECT("'" &amp; $C57 &amp; "'!$B:$B"), 0),MATCH(H$1, INDIRECT("'" &amp; $C57 &amp; "'!$1:$1"), 0)))),INDIRECT(CONCATENATE("'" &amp; $C57 &amp; "'!",MATCH($D57, INDIRECT("'" &amp; $C57 &amp; "'!$B:$B"), 0),":",MATCH($D57, INDIRECT("'" &amp; $C57 &amp; "'!$B:$B"), 0))),0)),"/",$C57,"/",MID($D57,1,FIND("_",$D57)-1),"/",INDIRECT(CONCATENATE("'" &amp; $C57 &amp; "'!",ADDRESS(MATCH($D57, INDIRECT("'" &amp; $C57 &amp; "'!$B:$B"), 0),MATCH(H$1, INDIRECT("'" &amp; $C57 &amp; "'!$1:$1"), 0)))),".",INDIRECT(CONCATENATE("'"&amp;$C57&amp;"'!",ADDRESS(MATCH($D57,INDIRECT("'"&amp;$C57&amp;"'!$B:$B"),0),3))),"#page=",H58),CONCATENATE("#Sharepoint//",$D57))</f>
        <v>#Sharepoint//FRS_Line Voltage</v>
      </c>
      <c r="I57" s="340" t="str">
        <f t="array" aca="1" ref="I57" ca="1">HYPERLINK(CONCATENATE(Cartelle!$D$5,INDEX(INDIRECT("'" &amp; $C57 &amp; "'!$1:$1"), 1, MATCH(INDIRECT(CONCATENATE("'" &amp; $C57 &amp; "'!",ADDRESS(MATCH($D57, INDIRECT("'" &amp; $C57 &amp; "'!$B:$B"), 0),MATCH(I$1, INDIRECT("'" &amp; $C57 &amp; "'!$1:$1"), 0)))),INDIRECT(CONCATENATE("'" &amp; $C57 &amp; "'!",MATCH($D57, INDIRECT("'" &amp; $C57 &amp; "'!$B:$B"), 0),":",MATCH($D57, INDIRECT("'" &amp; $C57 &amp; "'!$B:$B"), 0))),0)),"/",$C57,"/",MID($D57,1,FIND("_",$D57)-1),"/",INDIRECT(CONCATENATE("'" &amp; $C57 &amp; "'!",ADDRESS(MATCH($D57, INDIRECT("'" &amp; $C57 &amp; "'!$B:$B"), 0),MATCH(I$1, INDIRECT("'" &amp; $C57 &amp; "'!$1:$1"), 0)))),".",INDIRECT(CONCATENATE("'"&amp;$C57&amp;"'!",ADDRESS(MATCH($D57,INDIRECT("'"&amp;$C57&amp;"'!$B:$B"),0),3))),"#page=",I58),CONCATENATE("#Sharepoint//",$D57))</f>
        <v>#Sharepoint//FRS_Line Voltage</v>
      </c>
      <c r="J57" s="340" t="str">
        <f t="array" aca="1" ref="J57" ca="1">HYPERLINK(CONCATENATE(Cartelle!$D$5,INDEX(INDIRECT("'" &amp; $C57 &amp; "'!$1:$1"), 1, MATCH(INDIRECT(CONCATENATE("'" &amp; $C57 &amp; "'!",ADDRESS(MATCH($D57, INDIRECT("'" &amp; $C57 &amp; "'!$B:$B"), 0),MATCH(J$1, INDIRECT("'" &amp; $C57 &amp; "'!$1:$1"), 0)))),INDIRECT(CONCATENATE("'" &amp; $C57 &amp; "'!",MATCH($D57, INDIRECT("'" &amp; $C57 &amp; "'!$B:$B"), 0),":",MATCH($D57, INDIRECT("'" &amp; $C57 &amp; "'!$B:$B"), 0))),0)),"/",$C57,"/",MID($D57,1,FIND("_",$D57)-1),"/",INDIRECT(CONCATENATE("'" &amp; $C57 &amp; "'!",ADDRESS(MATCH($D57, INDIRECT("'" &amp; $C57 &amp; "'!$B:$B"), 0),MATCH(J$1, INDIRECT("'" &amp; $C57 &amp; "'!$1:$1"), 0)))),".",INDIRECT(CONCATENATE("'"&amp;$C57&amp;"'!",ADDRESS(MATCH($D57,INDIRECT("'"&amp;$C57&amp;"'!$B:$B"),0),3))),"#page=",J58),CONCATENATE("#Sharepoint//",$D57))</f>
        <v>#Sharepoint//FRS_Line Voltage</v>
      </c>
      <c r="K57" s="359"/>
      <c r="L57" s="359"/>
    </row>
    <row r="58" spans="1:12" s="8" customFormat="1" hidden="1" outlineLevel="2" x14ac:dyDescent="0.25">
      <c r="B58" s="59"/>
      <c r="C58" s="161"/>
      <c r="D58" s="233"/>
      <c r="E58" s="270" t="s">
        <v>19</v>
      </c>
      <c r="F58" s="233">
        <v>29</v>
      </c>
      <c r="G58" s="233"/>
      <c r="H58" s="233">
        <v>34</v>
      </c>
      <c r="I58" s="233">
        <v>31</v>
      </c>
      <c r="J58" s="233">
        <v>42</v>
      </c>
      <c r="K58" s="233"/>
      <c r="L58" s="233"/>
    </row>
    <row r="59" spans="1:12" s="8" customFormat="1" ht="360" hidden="1" customHeight="1" outlineLevel="2" x14ac:dyDescent="0.25">
      <c r="B59" s="59"/>
      <c r="C59" s="161"/>
      <c r="D59" s="233"/>
      <c r="E59" s="234" t="s">
        <v>34</v>
      </c>
      <c r="F59" s="239" t="s">
        <v>83</v>
      </c>
      <c r="G59" s="235"/>
      <c r="H59" s="239" t="s">
        <v>84</v>
      </c>
      <c r="I59" s="239" t="s">
        <v>85</v>
      </c>
      <c r="J59" s="239" t="s">
        <v>86</v>
      </c>
      <c r="K59" s="235"/>
      <c r="L59" s="236"/>
    </row>
    <row r="60" spans="1:12" s="8" customFormat="1" ht="60" customHeight="1" x14ac:dyDescent="0.25">
      <c r="A60" s="353" t="s">
        <v>87</v>
      </c>
      <c r="B60" s="360" t="s">
        <v>88</v>
      </c>
      <c r="C60" s="181"/>
      <c r="D60" s="355" t="s">
        <v>15</v>
      </c>
      <c r="E60" s="356"/>
      <c r="F60" s="357"/>
      <c r="G60" s="357"/>
      <c r="H60" s="357"/>
      <c r="I60" s="357"/>
      <c r="J60" s="357"/>
      <c r="K60" s="357"/>
      <c r="L60" s="358"/>
    </row>
    <row r="61" spans="1:12" s="8" customFormat="1" outlineLevel="1" collapsed="1" x14ac:dyDescent="0.25">
      <c r="B61" s="59"/>
      <c r="C61" s="338" t="s">
        <v>16</v>
      </c>
      <c r="D61" s="338" t="s">
        <v>33</v>
      </c>
      <c r="E61" s="339" t="s">
        <v>18</v>
      </c>
      <c r="F61" s="340" t="str">
        <f t="array" aca="1" ref="F61" ca="1">HYPERLINK(CONCATENATE(Cartelle!$D$5,F$1,"/",$C61,"/",MID($D61,1,FIND("_",$D61)-1),"/",INDIRECT(CONCATENATE("'" &amp; $C61 &amp; "'!",ADDRESS(MATCH($D61, INDIRECT("'" &amp; $C61 &amp; "'!$B:$B"), 0),MATCH(F$1, INDIRECT("'" &amp; $C61 &amp; "'!$1:$1"), 0)))),".",INDIRECT(CONCATENATE("'"&amp;$C61&amp;"'!",ADDRESS(MATCH($D61,INDIRECT("'"&amp;$C61&amp;"'!$B:$B"),0),3))),"#page=",F62),CONCATENATE("#Sharepoint//",$D61))</f>
        <v>#Sharepoint//FRS_Line Voltage</v>
      </c>
      <c r="G61" s="352"/>
      <c r="H61" s="340" t="str">
        <f t="array" aca="1" ref="H61" ca="1">HYPERLINK(CONCATENATE(Cartelle!$D$5,INDEX(INDIRECT("'" &amp; $C61 &amp; "'!$1:$1"), 1, MATCH(INDIRECT(CONCATENATE("'" &amp; $C61 &amp; "'!",ADDRESS(MATCH($D61, INDIRECT("'" &amp; $C61 &amp; "'!$B:$B"), 0),MATCH(H$1, INDIRECT("'" &amp; $C61 &amp; "'!$1:$1"), 0)))),INDIRECT(CONCATENATE("'" &amp; $C61 &amp; "'!",MATCH($D61, INDIRECT("'" &amp; $C61 &amp; "'!$B:$B"), 0),":",MATCH($D61, INDIRECT("'" &amp; $C61 &amp; "'!$B:$B"), 0))),0)),"/",$C61,"/",MID($D61,1,FIND("_",$D61)-1),"/",INDIRECT(CONCATENATE("'" &amp; $C61 &amp; "'!",ADDRESS(MATCH($D61, INDIRECT("'" &amp; $C61 &amp; "'!$B:$B"), 0),MATCH(H$1, INDIRECT("'" &amp; $C61 &amp; "'!$1:$1"), 0)))),".",INDIRECT(CONCATENATE("'"&amp;$C61&amp;"'!",ADDRESS(MATCH($D61,INDIRECT("'"&amp;$C61&amp;"'!$B:$B"),0),3))),"#page=",H62),CONCATENATE("#Sharepoint//",$D61))</f>
        <v>#Sharepoint//FRS_Line Voltage</v>
      </c>
      <c r="I61" s="340" t="str">
        <f t="array" aca="1" ref="I61" ca="1">HYPERLINK(CONCATENATE(Cartelle!$D$5,INDEX(INDIRECT("'" &amp; $C61 &amp; "'!$1:$1"), 1, MATCH(INDIRECT(CONCATENATE("'" &amp; $C61 &amp; "'!",ADDRESS(MATCH($D61, INDIRECT("'" &amp; $C61 &amp; "'!$B:$B"), 0),MATCH(I$1, INDIRECT("'" &amp; $C61 &amp; "'!$1:$1"), 0)))),INDIRECT(CONCATENATE("'" &amp; $C61 &amp; "'!",MATCH($D61, INDIRECT("'" &amp; $C61 &amp; "'!$B:$B"), 0),":",MATCH($D61, INDIRECT("'" &amp; $C61 &amp; "'!$B:$B"), 0))),0)),"/",$C61,"/",MID($D61,1,FIND("_",$D61)-1),"/",INDIRECT(CONCATENATE("'" &amp; $C61 &amp; "'!",ADDRESS(MATCH($D61, INDIRECT("'" &amp; $C61 &amp; "'!$B:$B"), 0),MATCH(I$1, INDIRECT("'" &amp; $C61 &amp; "'!$1:$1"), 0)))),".",INDIRECT(CONCATENATE("'"&amp;$C61&amp;"'!",ADDRESS(MATCH($D61,INDIRECT("'"&amp;$C61&amp;"'!$B:$B"),0),3))),"#page=",I62),CONCATENATE("#Sharepoint//",$D61))</f>
        <v>#Sharepoint//FRS_Line Voltage</v>
      </c>
      <c r="J61" s="340" t="str">
        <f t="array" aca="1" ref="J61" ca="1">HYPERLINK(CONCATENATE(Cartelle!$D$5,INDEX(INDIRECT("'" &amp; $C61 &amp; "'!$1:$1"), 1, MATCH(INDIRECT(CONCATENATE("'" &amp; $C61 &amp; "'!",ADDRESS(MATCH($D61, INDIRECT("'" &amp; $C61 &amp; "'!$B:$B"), 0),MATCH(J$1, INDIRECT("'" &amp; $C61 &amp; "'!$1:$1"), 0)))),INDIRECT(CONCATENATE("'" &amp; $C61 &amp; "'!",MATCH($D61, INDIRECT("'" &amp; $C61 &amp; "'!$B:$B"), 0),":",MATCH($D61, INDIRECT("'" &amp; $C61 &amp; "'!$B:$B"), 0))),0)),"/",$C61,"/",MID($D61,1,FIND("_",$D61)-1),"/",INDIRECT(CONCATENATE("'" &amp; $C61 &amp; "'!",ADDRESS(MATCH($D61, INDIRECT("'" &amp; $C61 &amp; "'!$B:$B"), 0),MATCH(J$1, INDIRECT("'" &amp; $C61 &amp; "'!$1:$1"), 0)))),".",INDIRECT(CONCATENATE("'"&amp;$C61&amp;"'!",ADDRESS(MATCH($D61,INDIRECT("'"&amp;$C61&amp;"'!$B:$B"),0),3))),"#page=",J62),CONCATENATE("#Sharepoint//",$D61))</f>
        <v>#Sharepoint//FRS_Line Voltage</v>
      </c>
      <c r="K61" s="359"/>
      <c r="L61" s="359"/>
    </row>
    <row r="62" spans="1:12" s="8" customFormat="1" hidden="1" outlineLevel="2" x14ac:dyDescent="0.25">
      <c r="B62" s="59"/>
      <c r="C62" s="161"/>
      <c r="D62" s="233"/>
      <c r="E62" s="270" t="s">
        <v>19</v>
      </c>
      <c r="F62" s="233">
        <v>30</v>
      </c>
      <c r="G62" s="233"/>
      <c r="H62" s="233">
        <v>35</v>
      </c>
      <c r="I62" s="233">
        <v>32</v>
      </c>
      <c r="J62" s="233">
        <v>43</v>
      </c>
      <c r="K62" s="233"/>
      <c r="L62" s="233"/>
    </row>
    <row r="63" spans="1:12" s="8" customFormat="1" ht="409.5" hidden="1" customHeight="1" outlineLevel="2" x14ac:dyDescent="0.25">
      <c r="B63" s="59"/>
      <c r="C63" s="161"/>
      <c r="D63" s="233"/>
      <c r="E63" s="234" t="s">
        <v>34</v>
      </c>
      <c r="F63" s="239" t="s">
        <v>89</v>
      </c>
      <c r="G63" s="235"/>
      <c r="H63" s="239" t="s">
        <v>90</v>
      </c>
      <c r="I63" s="239" t="s">
        <v>91</v>
      </c>
      <c r="J63" s="239" t="s">
        <v>92</v>
      </c>
      <c r="K63" s="235"/>
      <c r="L63" s="236"/>
    </row>
    <row r="64" spans="1:12" s="8" customFormat="1" ht="30" customHeight="1" x14ac:dyDescent="0.25">
      <c r="A64" s="353" t="s">
        <v>93</v>
      </c>
      <c r="B64" s="360" t="s">
        <v>94</v>
      </c>
      <c r="C64" s="181"/>
      <c r="D64" s="355" t="s">
        <v>15</v>
      </c>
      <c r="E64" s="356"/>
      <c r="F64" s="357"/>
      <c r="G64" s="357"/>
      <c r="H64" s="357"/>
      <c r="I64" s="357"/>
      <c r="J64" s="357"/>
      <c r="K64" s="357"/>
      <c r="L64" s="358"/>
    </row>
    <row r="65" spans="1:12" s="8" customFormat="1" outlineLevel="1" collapsed="1" x14ac:dyDescent="0.25">
      <c r="B65" s="59"/>
      <c r="C65" s="338" t="s">
        <v>16</v>
      </c>
      <c r="D65" s="338" t="s">
        <v>33</v>
      </c>
      <c r="E65" s="339" t="s">
        <v>18</v>
      </c>
      <c r="F65" s="340" t="str">
        <f t="array" aca="1" ref="F65" ca="1">HYPERLINK(CONCATENATE(Cartelle!$D$5,F$1,"/",$C65,"/",MID($D65,1,FIND("_",$D65)-1),"/",INDIRECT(CONCATENATE("'" &amp; $C65 &amp; "'!",ADDRESS(MATCH($D65, INDIRECT("'" &amp; $C65 &amp; "'!$B:$B"), 0),MATCH(F$1, INDIRECT("'" &amp; $C65 &amp; "'!$1:$1"), 0)))),".",INDIRECT(CONCATENATE("'"&amp;$C65&amp;"'!",ADDRESS(MATCH($D65,INDIRECT("'"&amp;$C65&amp;"'!$B:$B"),0),3))),"#page=",F66),CONCATENATE("#Sharepoint//",$D65))</f>
        <v>#Sharepoint//FRS_Line Voltage</v>
      </c>
      <c r="G65" s="352"/>
      <c r="H65" s="340" t="str">
        <f t="array" aca="1" ref="H65" ca="1">HYPERLINK(CONCATENATE(Cartelle!$D$5,INDEX(INDIRECT("'" &amp; $C65 &amp; "'!$1:$1"), 1, MATCH(INDIRECT(CONCATENATE("'" &amp; $C65 &amp; "'!",ADDRESS(MATCH($D65, INDIRECT("'" &amp; $C65 &amp; "'!$B:$B"), 0),MATCH(H$1, INDIRECT("'" &amp; $C65 &amp; "'!$1:$1"), 0)))),INDIRECT(CONCATENATE("'" &amp; $C65 &amp; "'!",MATCH($D65, INDIRECT("'" &amp; $C65 &amp; "'!$B:$B"), 0),":",MATCH($D65, INDIRECT("'" &amp; $C65 &amp; "'!$B:$B"), 0))),0)),"/",$C65,"/",MID($D65,1,FIND("_",$D65)-1),"/",INDIRECT(CONCATENATE("'" &amp; $C65 &amp; "'!",ADDRESS(MATCH($D65, INDIRECT("'" &amp; $C65 &amp; "'!$B:$B"), 0),MATCH(H$1, INDIRECT("'" &amp; $C65 &amp; "'!$1:$1"), 0)))),".",INDIRECT(CONCATENATE("'"&amp;$C65&amp;"'!",ADDRESS(MATCH($D65,INDIRECT("'"&amp;$C65&amp;"'!$B:$B"),0),3))),"#page=",H66),CONCATENATE("#Sharepoint//",$D65))</f>
        <v>#Sharepoint//FRS_Line Voltage</v>
      </c>
      <c r="I65" s="340" t="str">
        <f t="array" aca="1" ref="I65" ca="1">HYPERLINK(CONCATENATE(Cartelle!$D$5,INDEX(INDIRECT("'" &amp; $C65 &amp; "'!$1:$1"), 1, MATCH(INDIRECT(CONCATENATE("'" &amp; $C65 &amp; "'!",ADDRESS(MATCH($D65, INDIRECT("'" &amp; $C65 &amp; "'!$B:$B"), 0),MATCH(I$1, INDIRECT("'" &amp; $C65 &amp; "'!$1:$1"), 0)))),INDIRECT(CONCATENATE("'" &amp; $C65 &amp; "'!",MATCH($D65, INDIRECT("'" &amp; $C65 &amp; "'!$B:$B"), 0),":",MATCH($D65, INDIRECT("'" &amp; $C65 &amp; "'!$B:$B"), 0))),0)),"/",$C65,"/",MID($D65,1,FIND("_",$D65)-1),"/",INDIRECT(CONCATENATE("'" &amp; $C65 &amp; "'!",ADDRESS(MATCH($D65, INDIRECT("'" &amp; $C65 &amp; "'!$B:$B"), 0),MATCH(I$1, INDIRECT("'" &amp; $C65 &amp; "'!$1:$1"), 0)))),".",INDIRECT(CONCATENATE("'"&amp;$C65&amp;"'!",ADDRESS(MATCH($D65,INDIRECT("'"&amp;$C65&amp;"'!$B:$B"),0),3))),"#page=",I66),CONCATENATE("#Sharepoint//",$D65))</f>
        <v>#Sharepoint//FRS_Line Voltage</v>
      </c>
      <c r="J65" s="340" t="str">
        <f t="array" aca="1" ref="J65" ca="1">HYPERLINK(CONCATENATE(Cartelle!$D$5,INDEX(INDIRECT("'" &amp; $C65 &amp; "'!$1:$1"), 1, MATCH(INDIRECT(CONCATENATE("'" &amp; $C65 &amp; "'!",ADDRESS(MATCH($D65, INDIRECT("'" &amp; $C65 &amp; "'!$B:$B"), 0),MATCH(J$1, INDIRECT("'" &amp; $C65 &amp; "'!$1:$1"), 0)))),INDIRECT(CONCATENATE("'" &amp; $C65 &amp; "'!",MATCH($D65, INDIRECT("'" &amp; $C65 &amp; "'!$B:$B"), 0),":",MATCH($D65, INDIRECT("'" &amp; $C65 &amp; "'!$B:$B"), 0))),0)),"/",$C65,"/",MID($D65,1,FIND("_",$D65)-1),"/",INDIRECT(CONCATENATE("'" &amp; $C65 &amp; "'!",ADDRESS(MATCH($D65, INDIRECT("'" &amp; $C65 &amp; "'!$B:$B"), 0),MATCH(J$1, INDIRECT("'" &amp; $C65 &amp; "'!$1:$1"), 0)))),".",INDIRECT(CONCATENATE("'"&amp;$C65&amp;"'!",ADDRESS(MATCH($D65,INDIRECT("'"&amp;$C65&amp;"'!$B:$B"),0),3))),"#page=",J66),CONCATENATE("#Sharepoint//",$D65))</f>
        <v>#Sharepoint//FRS_Line Voltage</v>
      </c>
      <c r="K65" s="359"/>
      <c r="L65" s="359"/>
    </row>
    <row r="66" spans="1:12" s="8" customFormat="1" hidden="1" outlineLevel="2" x14ac:dyDescent="0.25">
      <c r="B66" s="59"/>
      <c r="C66" s="161"/>
      <c r="D66" s="233"/>
      <c r="E66" s="270" t="s">
        <v>19</v>
      </c>
      <c r="F66" s="233">
        <v>34</v>
      </c>
      <c r="G66" s="233"/>
      <c r="H66" s="233">
        <v>39</v>
      </c>
      <c r="I66" s="233">
        <v>35</v>
      </c>
      <c r="J66" s="233">
        <v>47</v>
      </c>
      <c r="K66" s="233"/>
      <c r="L66" s="233"/>
    </row>
    <row r="67" spans="1:12" s="8" customFormat="1" ht="315" hidden="1" customHeight="1" outlineLevel="2" x14ac:dyDescent="0.25">
      <c r="B67" s="59"/>
      <c r="C67" s="161"/>
      <c r="D67" s="233"/>
      <c r="E67" s="234" t="s">
        <v>34</v>
      </c>
      <c r="F67" s="239" t="s">
        <v>95</v>
      </c>
      <c r="G67" s="235"/>
      <c r="H67" s="239" t="s">
        <v>96</v>
      </c>
      <c r="I67" s="239" t="s">
        <v>97</v>
      </c>
      <c r="J67" s="239" t="s">
        <v>98</v>
      </c>
      <c r="K67" s="235"/>
      <c r="L67" s="236"/>
    </row>
    <row r="68" spans="1:12" s="8" customFormat="1" ht="30" customHeight="1" x14ac:dyDescent="0.25">
      <c r="A68" s="353" t="s">
        <v>99</v>
      </c>
      <c r="B68" s="360" t="s">
        <v>100</v>
      </c>
      <c r="C68" s="181"/>
      <c r="D68" s="355" t="s">
        <v>15</v>
      </c>
      <c r="E68" s="356"/>
      <c r="F68" s="357"/>
      <c r="G68" s="357"/>
      <c r="H68" s="357"/>
      <c r="I68" s="357"/>
      <c r="J68" s="357"/>
      <c r="K68" s="357"/>
      <c r="L68" s="358"/>
    </row>
    <row r="69" spans="1:12" s="8" customFormat="1" outlineLevel="1" collapsed="1" x14ac:dyDescent="0.25">
      <c r="B69" s="59"/>
      <c r="C69" s="338" t="s">
        <v>16</v>
      </c>
      <c r="D69" s="338" t="s">
        <v>33</v>
      </c>
      <c r="E69" s="339" t="s">
        <v>18</v>
      </c>
      <c r="F69" s="340" t="str">
        <f t="array" aca="1" ref="F69" ca="1">HYPERLINK(CONCATENATE(Cartelle!$D$5,F$1,"/",$C69,"/",MID($D69,1,FIND("_",$D69)-1),"/",INDIRECT(CONCATENATE("'" &amp; $C69 &amp; "'!",ADDRESS(MATCH($D69, INDIRECT("'" &amp; $C69 &amp; "'!$B:$B"), 0),MATCH(F$1, INDIRECT("'" &amp; $C69 &amp; "'!$1:$1"), 0)))),".",INDIRECT(CONCATENATE("'"&amp;$C69&amp;"'!",ADDRESS(MATCH($D69,INDIRECT("'"&amp;$C69&amp;"'!$B:$B"),0),3))),"#page=",F70),CONCATENATE("#Sharepoint//",$D69))</f>
        <v>#Sharepoint//FRS_Line Voltage</v>
      </c>
      <c r="G69" s="352"/>
      <c r="H69" s="340" t="str">
        <f t="array" aca="1" ref="H69" ca="1">HYPERLINK(CONCATENATE(Cartelle!$D$5,INDEX(INDIRECT("'" &amp; $C69 &amp; "'!$1:$1"), 1, MATCH(INDIRECT(CONCATENATE("'" &amp; $C69 &amp; "'!",ADDRESS(MATCH($D69, INDIRECT("'" &amp; $C69 &amp; "'!$B:$B"), 0),MATCH(H$1, INDIRECT("'" &amp; $C69 &amp; "'!$1:$1"), 0)))),INDIRECT(CONCATENATE("'" &amp; $C69 &amp; "'!",MATCH($D69, INDIRECT("'" &amp; $C69 &amp; "'!$B:$B"), 0),":",MATCH($D69, INDIRECT("'" &amp; $C69 &amp; "'!$B:$B"), 0))),0)),"/",$C69,"/",MID($D69,1,FIND("_",$D69)-1),"/",INDIRECT(CONCATENATE("'" &amp; $C69 &amp; "'!",ADDRESS(MATCH($D69, INDIRECT("'" &amp; $C69 &amp; "'!$B:$B"), 0),MATCH(H$1, INDIRECT("'" &amp; $C69 &amp; "'!$1:$1"), 0)))),".",INDIRECT(CONCATENATE("'"&amp;$C69&amp;"'!",ADDRESS(MATCH($D69,INDIRECT("'"&amp;$C69&amp;"'!$B:$B"),0),3))),"#page=",H70),CONCATENATE("#Sharepoint//",$D69))</f>
        <v>#Sharepoint//FRS_Line Voltage</v>
      </c>
      <c r="I69" s="340" t="str">
        <f t="array" aca="1" ref="I69" ca="1">HYPERLINK(CONCATENATE(Cartelle!$D$5,INDEX(INDIRECT("'" &amp; $C69 &amp; "'!$1:$1"), 1, MATCH(INDIRECT(CONCATENATE("'" &amp; $C69 &amp; "'!",ADDRESS(MATCH($D69, INDIRECT("'" &amp; $C69 &amp; "'!$B:$B"), 0),MATCH(I$1, INDIRECT("'" &amp; $C69 &amp; "'!$1:$1"), 0)))),INDIRECT(CONCATENATE("'" &amp; $C69 &amp; "'!",MATCH($D69, INDIRECT("'" &amp; $C69 &amp; "'!$B:$B"), 0),":",MATCH($D69, INDIRECT("'" &amp; $C69 &amp; "'!$B:$B"), 0))),0)),"/",$C69,"/",MID($D69,1,FIND("_",$D69)-1),"/",INDIRECT(CONCATENATE("'" &amp; $C69 &amp; "'!",ADDRESS(MATCH($D69, INDIRECT("'" &amp; $C69 &amp; "'!$B:$B"), 0),MATCH(I$1, INDIRECT("'" &amp; $C69 &amp; "'!$1:$1"), 0)))),".",INDIRECT(CONCATENATE("'"&amp;$C69&amp;"'!",ADDRESS(MATCH($D69,INDIRECT("'"&amp;$C69&amp;"'!$B:$B"),0),3))),"#page=",I70),CONCATENATE("#Sharepoint//",$D69))</f>
        <v>#Sharepoint//FRS_Line Voltage</v>
      </c>
      <c r="J69" s="340" t="str">
        <f t="array" aca="1" ref="J69" ca="1">HYPERLINK(CONCATENATE(Cartelle!$D$5,INDEX(INDIRECT("'" &amp; $C69 &amp; "'!$1:$1"), 1, MATCH(INDIRECT(CONCATENATE("'" &amp; $C69 &amp; "'!",ADDRESS(MATCH($D69, INDIRECT("'" &amp; $C69 &amp; "'!$B:$B"), 0),MATCH(J$1, INDIRECT("'" &amp; $C69 &amp; "'!$1:$1"), 0)))),INDIRECT(CONCATENATE("'" &amp; $C69 &amp; "'!",MATCH($D69, INDIRECT("'" &amp; $C69 &amp; "'!$B:$B"), 0),":",MATCH($D69, INDIRECT("'" &amp; $C69 &amp; "'!$B:$B"), 0))),0)),"/",$C69,"/",MID($D69,1,FIND("_",$D69)-1),"/",INDIRECT(CONCATENATE("'" &amp; $C69 &amp; "'!",ADDRESS(MATCH($D69, INDIRECT("'" &amp; $C69 &amp; "'!$B:$B"), 0),MATCH(J$1, INDIRECT("'" &amp; $C69 &amp; "'!$1:$1"), 0)))),".",INDIRECT(CONCATENATE("'"&amp;$C69&amp;"'!",ADDRESS(MATCH($D69,INDIRECT("'"&amp;$C69&amp;"'!$B:$B"),0),3))),"#page=",J70),CONCATENATE("#Sharepoint//",$D69))</f>
        <v>#Sharepoint//FRS_Line Voltage</v>
      </c>
      <c r="K69" s="359"/>
      <c r="L69" s="359"/>
    </row>
    <row r="70" spans="1:12" s="8" customFormat="1" hidden="1" outlineLevel="2" x14ac:dyDescent="0.25">
      <c r="B70" s="59"/>
      <c r="C70" s="161"/>
      <c r="D70" s="233"/>
      <c r="E70" s="270" t="s">
        <v>19</v>
      </c>
      <c r="F70" s="233">
        <v>37</v>
      </c>
      <c r="G70" s="233"/>
      <c r="H70" s="233">
        <v>42</v>
      </c>
      <c r="I70" s="233">
        <v>38</v>
      </c>
      <c r="J70" s="233">
        <v>50</v>
      </c>
      <c r="K70" s="233"/>
      <c r="L70" s="233"/>
    </row>
    <row r="71" spans="1:12" s="8" customFormat="1" ht="409.5" hidden="1" customHeight="1" outlineLevel="2" x14ac:dyDescent="0.25">
      <c r="B71" s="59"/>
      <c r="C71" s="161"/>
      <c r="D71" s="233"/>
      <c r="E71" s="234" t="s">
        <v>34</v>
      </c>
      <c r="F71" s="240" t="s">
        <v>101</v>
      </c>
      <c r="G71" s="235"/>
      <c r="H71" s="240" t="s">
        <v>102</v>
      </c>
      <c r="I71" s="239" t="s">
        <v>103</v>
      </c>
      <c r="J71" s="239" t="s">
        <v>104</v>
      </c>
      <c r="K71" s="235"/>
      <c r="L71" s="236"/>
    </row>
    <row r="72" spans="1:12" s="8" customFormat="1" x14ac:dyDescent="0.25">
      <c r="A72" s="353" t="s">
        <v>105</v>
      </c>
      <c r="B72" s="360" t="s">
        <v>106</v>
      </c>
      <c r="C72" s="181"/>
      <c r="D72" s="355" t="s">
        <v>15</v>
      </c>
      <c r="E72" s="356"/>
      <c r="F72" s="357"/>
      <c r="G72" s="357"/>
      <c r="H72" s="357"/>
      <c r="I72" s="357"/>
      <c r="J72" s="357"/>
      <c r="K72" s="357"/>
      <c r="L72" s="358"/>
    </row>
    <row r="73" spans="1:12" s="8" customFormat="1" outlineLevel="1" collapsed="1" x14ac:dyDescent="0.25">
      <c r="B73" s="59"/>
      <c r="C73" s="338" t="s">
        <v>16</v>
      </c>
      <c r="D73" s="338" t="s">
        <v>33</v>
      </c>
      <c r="E73" s="339" t="s">
        <v>18</v>
      </c>
      <c r="F73" s="340" t="str">
        <f t="array" aca="1" ref="F73" ca="1">HYPERLINK(CONCATENATE(Cartelle!$D$5,F$1,"/",$C73,"/",MID($D73,1,FIND("_",$D73)-1),"/",INDIRECT(CONCATENATE("'" &amp; $C73 &amp; "'!",ADDRESS(MATCH($D73, INDIRECT("'" &amp; $C73 &amp; "'!$B:$B"), 0),MATCH(F$1, INDIRECT("'" &amp; $C73 &amp; "'!$1:$1"), 0)))),".",INDIRECT(CONCATENATE("'"&amp;$C73&amp;"'!",ADDRESS(MATCH($D73,INDIRECT("'"&amp;$C73&amp;"'!$B:$B"),0),3))),"#page=",F74),CONCATENATE("#Sharepoint//",$D73))</f>
        <v>#Sharepoint//FRS_Line Voltage</v>
      </c>
      <c r="G73" s="352"/>
      <c r="H73" s="340" t="str">
        <f t="array" aca="1" ref="H73" ca="1">HYPERLINK(CONCATENATE(Cartelle!$D$5,INDEX(INDIRECT("'" &amp; $C73 &amp; "'!$1:$1"), 1, MATCH(INDIRECT(CONCATENATE("'" &amp; $C73 &amp; "'!",ADDRESS(MATCH($D73, INDIRECT("'" &amp; $C73 &amp; "'!$B:$B"), 0),MATCH(H$1, INDIRECT("'" &amp; $C73 &amp; "'!$1:$1"), 0)))),INDIRECT(CONCATENATE("'" &amp; $C73 &amp; "'!",MATCH($D73, INDIRECT("'" &amp; $C73 &amp; "'!$B:$B"), 0),":",MATCH($D73, INDIRECT("'" &amp; $C73 &amp; "'!$B:$B"), 0))),0)),"/",$C73,"/",MID($D73,1,FIND("_",$D73)-1),"/",INDIRECT(CONCATENATE("'" &amp; $C73 &amp; "'!",ADDRESS(MATCH($D73, INDIRECT("'" &amp; $C73 &amp; "'!$B:$B"), 0),MATCH(H$1, INDIRECT("'" &amp; $C73 &amp; "'!$1:$1"), 0)))),".",INDIRECT(CONCATENATE("'"&amp;$C73&amp;"'!",ADDRESS(MATCH($D73,INDIRECT("'"&amp;$C73&amp;"'!$B:$B"),0),3))),"#page=",H74),CONCATENATE("#Sharepoint//",$D73))</f>
        <v>#Sharepoint//FRS_Line Voltage</v>
      </c>
      <c r="I73" s="340" t="str">
        <f t="array" aca="1" ref="I73" ca="1">HYPERLINK(CONCATENATE(Cartelle!$D$5,INDEX(INDIRECT("'" &amp; $C73 &amp; "'!$1:$1"), 1, MATCH(INDIRECT(CONCATENATE("'" &amp; $C73 &amp; "'!",ADDRESS(MATCH($D73, INDIRECT("'" &amp; $C73 &amp; "'!$B:$B"), 0),MATCH(I$1, INDIRECT("'" &amp; $C73 &amp; "'!$1:$1"), 0)))),INDIRECT(CONCATENATE("'" &amp; $C73 &amp; "'!",MATCH($D73, INDIRECT("'" &amp; $C73 &amp; "'!$B:$B"), 0),":",MATCH($D73, INDIRECT("'" &amp; $C73 &amp; "'!$B:$B"), 0))),0)),"/",$C73,"/",MID($D73,1,FIND("_",$D73)-1),"/",INDIRECT(CONCATENATE("'" &amp; $C73 &amp; "'!",ADDRESS(MATCH($D73, INDIRECT("'" &amp; $C73 &amp; "'!$B:$B"), 0),MATCH(I$1, INDIRECT("'" &amp; $C73 &amp; "'!$1:$1"), 0)))),".",INDIRECT(CONCATENATE("'"&amp;$C73&amp;"'!",ADDRESS(MATCH($D73,INDIRECT("'"&amp;$C73&amp;"'!$B:$B"),0),3))),"#page=",I74),CONCATENATE("#Sharepoint//",$D73))</f>
        <v>#Sharepoint//FRS_Line Voltage</v>
      </c>
      <c r="J73" s="340" t="str">
        <f t="array" aca="1" ref="J73" ca="1">HYPERLINK(CONCATENATE(Cartelle!$D$5,INDEX(INDIRECT("'" &amp; $C73 &amp; "'!$1:$1"), 1, MATCH(INDIRECT(CONCATENATE("'" &amp; $C73 &amp; "'!",ADDRESS(MATCH($D73, INDIRECT("'" &amp; $C73 &amp; "'!$B:$B"), 0),MATCH(J$1, INDIRECT("'" &amp; $C73 &amp; "'!$1:$1"), 0)))),INDIRECT(CONCATENATE("'" &amp; $C73 &amp; "'!",MATCH($D73, INDIRECT("'" &amp; $C73 &amp; "'!$B:$B"), 0),":",MATCH($D73, INDIRECT("'" &amp; $C73 &amp; "'!$B:$B"), 0))),0)),"/",$C73,"/",MID($D73,1,FIND("_",$D73)-1),"/",INDIRECT(CONCATENATE("'" &amp; $C73 &amp; "'!",ADDRESS(MATCH($D73, INDIRECT("'" &amp; $C73 &amp; "'!$B:$B"), 0),MATCH(J$1, INDIRECT("'" &amp; $C73 &amp; "'!$1:$1"), 0)))),".",INDIRECT(CONCATENATE("'"&amp;$C73&amp;"'!",ADDRESS(MATCH($D73,INDIRECT("'"&amp;$C73&amp;"'!$B:$B"),0),3))),"#page=",J74),CONCATENATE("#Sharepoint//",$D73))</f>
        <v>#Sharepoint//FRS_Line Voltage</v>
      </c>
      <c r="K73" s="359"/>
      <c r="L73" s="359"/>
    </row>
    <row r="74" spans="1:12" s="8" customFormat="1" hidden="1" outlineLevel="2" x14ac:dyDescent="0.25">
      <c r="B74" s="59"/>
      <c r="C74" s="161"/>
      <c r="D74" s="233"/>
      <c r="E74" s="270" t="s">
        <v>19</v>
      </c>
      <c r="F74" s="233">
        <v>40</v>
      </c>
      <c r="G74" s="233"/>
      <c r="H74" s="233">
        <v>46</v>
      </c>
      <c r="I74" s="233">
        <v>42</v>
      </c>
      <c r="J74" s="233">
        <v>56</v>
      </c>
      <c r="K74" s="233"/>
      <c r="L74" s="233"/>
    </row>
    <row r="75" spans="1:12" s="8" customFormat="1" ht="409.5" hidden="1" customHeight="1" outlineLevel="2" x14ac:dyDescent="0.25">
      <c r="B75" s="59"/>
      <c r="C75" s="161"/>
      <c r="D75" s="233"/>
      <c r="E75" s="234" t="s">
        <v>34</v>
      </c>
      <c r="F75" s="240" t="s">
        <v>107</v>
      </c>
      <c r="G75" s="235"/>
      <c r="H75" s="240" t="s">
        <v>108</v>
      </c>
      <c r="I75" s="240" t="s">
        <v>109</v>
      </c>
      <c r="J75" s="240" t="s">
        <v>110</v>
      </c>
      <c r="K75" s="235"/>
      <c r="L75" s="236"/>
    </row>
    <row r="76" spans="1:12" s="8" customFormat="1" ht="30" customHeight="1" x14ac:dyDescent="0.25">
      <c r="A76" s="353" t="s">
        <v>111</v>
      </c>
      <c r="B76" s="360" t="s">
        <v>112</v>
      </c>
      <c r="C76" s="181"/>
      <c r="D76" s="355" t="s">
        <v>15</v>
      </c>
      <c r="E76" s="356"/>
      <c r="F76" s="357"/>
      <c r="G76" s="357"/>
      <c r="H76" s="357"/>
      <c r="I76" s="357"/>
      <c r="J76" s="357"/>
      <c r="K76" s="357"/>
      <c r="L76" s="358"/>
    </row>
    <row r="77" spans="1:12" s="8" customFormat="1" outlineLevel="1" collapsed="1" x14ac:dyDescent="0.25">
      <c r="B77" s="59"/>
      <c r="C77" s="338" t="s">
        <v>16</v>
      </c>
      <c r="D77" s="338" t="s">
        <v>33</v>
      </c>
      <c r="E77" s="339" t="s">
        <v>18</v>
      </c>
      <c r="F77" s="340" t="str">
        <f t="array" aca="1" ref="F77" ca="1">HYPERLINK(CONCATENATE(Cartelle!$D$5,F$1,"/",$C77,"/",MID($D77,1,FIND("_",$D77)-1),"/",INDIRECT(CONCATENATE("'" &amp; $C77 &amp; "'!",ADDRESS(MATCH($D77, INDIRECT("'" &amp; $C77 &amp; "'!$B:$B"), 0),MATCH(F$1, INDIRECT("'" &amp; $C77 &amp; "'!$1:$1"), 0)))),".",INDIRECT(CONCATENATE("'"&amp;$C77&amp;"'!",ADDRESS(MATCH($D77,INDIRECT("'"&amp;$C77&amp;"'!$B:$B"),0),3))),"#page=",F78),CONCATENATE("#Sharepoint//",$D77))</f>
        <v>#Sharepoint//FRS_Line Voltage</v>
      </c>
      <c r="G77" s="352"/>
      <c r="H77" s="340" t="str">
        <f t="array" aca="1" ref="H77" ca="1">HYPERLINK(CONCATENATE(Cartelle!$D$5,INDEX(INDIRECT("'" &amp; $C77 &amp; "'!$1:$1"), 1, MATCH(INDIRECT(CONCATENATE("'" &amp; $C77 &amp; "'!",ADDRESS(MATCH($D77, INDIRECT("'" &amp; $C77 &amp; "'!$B:$B"), 0),MATCH(H$1, INDIRECT("'" &amp; $C77 &amp; "'!$1:$1"), 0)))),INDIRECT(CONCATENATE("'" &amp; $C77 &amp; "'!",MATCH($D77, INDIRECT("'" &amp; $C77 &amp; "'!$B:$B"), 0),":",MATCH($D77, INDIRECT("'" &amp; $C77 &amp; "'!$B:$B"), 0))),0)),"/",$C77,"/",MID($D77,1,FIND("_",$D77)-1),"/",INDIRECT(CONCATENATE("'" &amp; $C77 &amp; "'!",ADDRESS(MATCH($D77, INDIRECT("'" &amp; $C77 &amp; "'!$B:$B"), 0),MATCH(H$1, INDIRECT("'" &amp; $C77 &amp; "'!$1:$1"), 0)))),".",INDIRECT(CONCATENATE("'"&amp;$C77&amp;"'!",ADDRESS(MATCH($D77,INDIRECT("'"&amp;$C77&amp;"'!$B:$B"),0),3))),"#page=",H78),CONCATENATE("#Sharepoint//",$D77))</f>
        <v>#Sharepoint//FRS_Line Voltage</v>
      </c>
      <c r="I77" s="340" t="str">
        <f t="array" aca="1" ref="I77" ca="1">HYPERLINK(CONCATENATE(Cartelle!$D$5,INDEX(INDIRECT("'" &amp; $C77 &amp; "'!$1:$1"), 1, MATCH(INDIRECT(CONCATENATE("'" &amp; $C77 &amp; "'!",ADDRESS(MATCH($D77, INDIRECT("'" &amp; $C77 &amp; "'!$B:$B"), 0),MATCH(I$1, INDIRECT("'" &amp; $C77 &amp; "'!$1:$1"), 0)))),INDIRECT(CONCATENATE("'" &amp; $C77 &amp; "'!",MATCH($D77, INDIRECT("'" &amp; $C77 &amp; "'!$B:$B"), 0),":",MATCH($D77, INDIRECT("'" &amp; $C77 &amp; "'!$B:$B"), 0))),0)),"/",$C77,"/",MID($D77,1,FIND("_",$D77)-1),"/",INDIRECT(CONCATENATE("'" &amp; $C77 &amp; "'!",ADDRESS(MATCH($D77, INDIRECT("'" &amp; $C77 &amp; "'!$B:$B"), 0),MATCH(I$1, INDIRECT("'" &amp; $C77 &amp; "'!$1:$1"), 0)))),".",INDIRECT(CONCATENATE("'"&amp;$C77&amp;"'!",ADDRESS(MATCH($D77,INDIRECT("'"&amp;$C77&amp;"'!$B:$B"),0),3))),"#page=",I78),CONCATENATE("#Sharepoint//",$D77))</f>
        <v>#Sharepoint//FRS_Line Voltage</v>
      </c>
      <c r="J77" s="340" t="str">
        <f t="array" aca="1" ref="J77" ca="1">HYPERLINK(CONCATENATE(Cartelle!$D$5,INDEX(INDIRECT("'" &amp; $C77 &amp; "'!$1:$1"), 1, MATCH(INDIRECT(CONCATENATE("'" &amp; $C77 &amp; "'!",ADDRESS(MATCH($D77, INDIRECT("'" &amp; $C77 &amp; "'!$B:$B"), 0),MATCH(J$1, INDIRECT("'" &amp; $C77 &amp; "'!$1:$1"), 0)))),INDIRECT(CONCATENATE("'" &amp; $C77 &amp; "'!",MATCH($D77, INDIRECT("'" &amp; $C77 &amp; "'!$B:$B"), 0),":",MATCH($D77, INDIRECT("'" &amp; $C77 &amp; "'!$B:$B"), 0))),0)),"/",$C77,"/",MID($D77,1,FIND("_",$D77)-1),"/",INDIRECT(CONCATENATE("'" &amp; $C77 &amp; "'!",ADDRESS(MATCH($D77, INDIRECT("'" &amp; $C77 &amp; "'!$B:$B"), 0),MATCH(J$1, INDIRECT("'" &amp; $C77 &amp; "'!$1:$1"), 0)))),".",INDIRECT(CONCATENATE("'"&amp;$C77&amp;"'!",ADDRESS(MATCH($D77,INDIRECT("'"&amp;$C77&amp;"'!$B:$B"),0),3))),"#page=",J78),CONCATENATE("#Sharepoint//",$D77))</f>
        <v>#Sharepoint//FRS_Line Voltage</v>
      </c>
      <c r="K77" s="359"/>
      <c r="L77" s="359"/>
    </row>
    <row r="78" spans="1:12" s="8" customFormat="1" hidden="1" outlineLevel="2" x14ac:dyDescent="0.25">
      <c r="B78" s="59"/>
      <c r="C78" s="161"/>
      <c r="D78" s="233"/>
      <c r="E78" s="270" t="s">
        <v>19</v>
      </c>
      <c r="F78" s="233">
        <v>45</v>
      </c>
      <c r="G78" s="233"/>
      <c r="H78" s="233">
        <v>52</v>
      </c>
      <c r="I78" s="233">
        <v>47</v>
      </c>
      <c r="J78" s="233">
        <v>61</v>
      </c>
      <c r="K78" s="233"/>
      <c r="L78" s="233"/>
    </row>
    <row r="79" spans="1:12" s="8" customFormat="1" ht="375" hidden="1" customHeight="1" outlineLevel="2" x14ac:dyDescent="0.25">
      <c r="B79" s="59"/>
      <c r="C79" s="161"/>
      <c r="D79" s="233"/>
      <c r="E79" s="234" t="s">
        <v>34</v>
      </c>
      <c r="F79" s="239" t="s">
        <v>113</v>
      </c>
      <c r="G79" s="235"/>
      <c r="H79" s="239" t="s">
        <v>114</v>
      </c>
      <c r="I79" s="239" t="s">
        <v>115</v>
      </c>
      <c r="J79" s="239" t="s">
        <v>116</v>
      </c>
      <c r="K79" s="235"/>
      <c r="L79" s="236"/>
    </row>
    <row r="80" spans="1:12" s="8" customFormat="1" ht="30" customHeight="1" x14ac:dyDescent="0.25">
      <c r="A80" s="353" t="s">
        <v>117</v>
      </c>
      <c r="B80" s="360" t="s">
        <v>118</v>
      </c>
      <c r="C80" s="181"/>
      <c r="D80" s="355" t="s">
        <v>15</v>
      </c>
      <c r="E80" s="356"/>
      <c r="F80" s="357"/>
      <c r="G80" s="357"/>
      <c r="H80" s="357"/>
      <c r="I80" s="357"/>
      <c r="J80" s="357"/>
      <c r="K80" s="357"/>
      <c r="L80" s="358"/>
    </row>
    <row r="81" spans="1:12" s="8" customFormat="1" outlineLevel="1" collapsed="1" x14ac:dyDescent="0.25">
      <c r="B81" s="59"/>
      <c r="C81" s="338" t="s">
        <v>16</v>
      </c>
      <c r="D81" s="361" t="s">
        <v>33</v>
      </c>
      <c r="E81" s="362" t="s">
        <v>18</v>
      </c>
      <c r="F81" s="363"/>
      <c r="G81" s="363"/>
      <c r="H81" s="363"/>
      <c r="I81" s="363"/>
      <c r="J81" s="340" t="str">
        <f t="array" aca="1" ref="J81" ca="1">HYPERLINK(CONCATENATE(Cartelle!$D$5,INDEX(INDIRECT("'" &amp; $C81 &amp; "'!$1:$1"), 1, MATCH(INDIRECT(CONCATENATE("'" &amp; $C81 &amp; "'!",ADDRESS(MATCH($D81, INDIRECT("'" &amp; $C81 &amp; "'!$B:$B"), 0),MATCH(J$1, INDIRECT("'" &amp; $C81 &amp; "'!$1:$1"), 0)))),INDIRECT(CONCATENATE("'" &amp; $C81 &amp; "'!",MATCH($D81, INDIRECT("'" &amp; $C81 &amp; "'!$B:$B"), 0),":",MATCH($D81, INDIRECT("'" &amp; $C81 &amp; "'!$B:$B"), 0))),0)),"/",$C81,"/",MID($D81,1,FIND("_",$D81)-1),"/",INDIRECT(CONCATENATE("'" &amp; $C81 &amp; "'!",ADDRESS(MATCH($D81, INDIRECT("'" &amp; $C81 &amp; "'!$B:$B"), 0),MATCH(J$1, INDIRECT("'" &amp; $C81 &amp; "'!$1:$1"), 0)))),".",INDIRECT(CONCATENATE("'"&amp;$C81&amp;"'!",ADDRESS(MATCH($D81,INDIRECT("'"&amp;$C81&amp;"'!$B:$B"),0),3))),"#page=",J82),CONCATENATE("#Sharepoint//",$D81))</f>
        <v>#Sharepoint//FRS_Line Voltage</v>
      </c>
      <c r="K81" s="359"/>
      <c r="L81" s="359"/>
    </row>
    <row r="82" spans="1:12" s="8" customFormat="1" hidden="1" outlineLevel="2" x14ac:dyDescent="0.25">
      <c r="B82" s="59"/>
      <c r="C82" s="161"/>
      <c r="D82" s="233"/>
      <c r="E82" s="270" t="s">
        <v>19</v>
      </c>
      <c r="F82" s="233"/>
      <c r="G82" s="233"/>
      <c r="H82" s="233"/>
      <c r="I82" s="233"/>
      <c r="J82" s="233">
        <v>65</v>
      </c>
      <c r="K82" s="233"/>
      <c r="L82" s="233"/>
    </row>
    <row r="83" spans="1:12" s="8" customFormat="1" ht="360" hidden="1" customHeight="1" outlineLevel="2" x14ac:dyDescent="0.25">
      <c r="B83" s="59"/>
      <c r="C83" s="161"/>
      <c r="D83" s="233"/>
      <c r="E83" s="234" t="s">
        <v>34</v>
      </c>
      <c r="F83" s="235"/>
      <c r="G83" s="235"/>
      <c r="H83" s="235"/>
      <c r="I83" s="235"/>
      <c r="J83" s="241" t="s">
        <v>119</v>
      </c>
      <c r="K83" s="235"/>
      <c r="L83" s="236"/>
    </row>
    <row r="84" spans="1:12" s="8" customFormat="1" ht="30" customHeight="1" x14ac:dyDescent="0.25">
      <c r="A84" s="353" t="s">
        <v>120</v>
      </c>
      <c r="B84" s="360" t="s">
        <v>121</v>
      </c>
      <c r="C84" s="181"/>
      <c r="D84" s="355" t="s">
        <v>15</v>
      </c>
      <c r="E84" s="356"/>
      <c r="F84" s="357"/>
      <c r="G84" s="357"/>
      <c r="H84" s="357"/>
      <c r="I84" s="357"/>
      <c r="J84" s="357"/>
      <c r="K84" s="357"/>
      <c r="L84" s="358"/>
    </row>
    <row r="85" spans="1:12" s="8" customFormat="1" outlineLevel="1" collapsed="1" x14ac:dyDescent="0.25">
      <c r="B85" s="59"/>
      <c r="C85" s="338" t="s">
        <v>16</v>
      </c>
      <c r="D85" s="361" t="s">
        <v>33</v>
      </c>
      <c r="E85" s="362" t="s">
        <v>18</v>
      </c>
      <c r="F85" s="363"/>
      <c r="G85" s="363"/>
      <c r="H85" s="363"/>
      <c r="I85" s="363"/>
      <c r="J85" s="340" t="str">
        <f t="array" aca="1" ref="J85" ca="1">HYPERLINK(CONCATENATE(Cartelle!$D$5,INDEX(INDIRECT("'" &amp; $C85 &amp; "'!$1:$1"), 1, MATCH(INDIRECT(CONCATENATE("'" &amp; $C85 &amp; "'!",ADDRESS(MATCH($D85, INDIRECT("'" &amp; $C85 &amp; "'!$B:$B"), 0),MATCH(J$1, INDIRECT("'" &amp; $C85 &amp; "'!$1:$1"), 0)))),INDIRECT(CONCATENATE("'" &amp; $C85 &amp; "'!",MATCH($D85, INDIRECT("'" &amp; $C85 &amp; "'!$B:$B"), 0),":",MATCH($D85, INDIRECT("'" &amp; $C85 &amp; "'!$B:$B"), 0))),0)),"/",$C85,"/",MID($D85,1,FIND("_",$D85)-1),"/",INDIRECT(CONCATENATE("'" &amp; $C85 &amp; "'!",ADDRESS(MATCH($D85, INDIRECT("'" &amp; $C85 &amp; "'!$B:$B"), 0),MATCH(J$1, INDIRECT("'" &amp; $C85 &amp; "'!$1:$1"), 0)))),".",INDIRECT(CONCATENATE("'"&amp;$C85&amp;"'!",ADDRESS(MATCH($D85,INDIRECT("'"&amp;$C85&amp;"'!$B:$B"),0),3))),"#page=",J86),CONCATENATE("#Sharepoint//",$D85))</f>
        <v>#Sharepoint//FRS_Line Voltage</v>
      </c>
      <c r="K85" s="359"/>
      <c r="L85" s="359"/>
    </row>
    <row r="86" spans="1:12" s="8" customFormat="1" hidden="1" outlineLevel="2" x14ac:dyDescent="0.25">
      <c r="B86" s="59"/>
      <c r="C86" s="161"/>
      <c r="D86" s="233"/>
      <c r="E86" s="270" t="s">
        <v>19</v>
      </c>
      <c r="F86" s="233"/>
      <c r="G86" s="233"/>
      <c r="H86" s="233"/>
      <c r="I86" s="233"/>
      <c r="J86" s="233">
        <v>68</v>
      </c>
      <c r="K86" s="233"/>
      <c r="L86" s="233"/>
    </row>
    <row r="87" spans="1:12" s="8" customFormat="1" ht="195" hidden="1" customHeight="1" outlineLevel="2" x14ac:dyDescent="0.25">
      <c r="B87" s="59"/>
      <c r="C87" s="161"/>
      <c r="D87" s="233"/>
      <c r="E87" s="234" t="s">
        <v>34</v>
      </c>
      <c r="F87" s="235"/>
      <c r="G87" s="235"/>
      <c r="H87" s="235"/>
      <c r="I87" s="235"/>
      <c r="J87" s="241" t="s">
        <v>122</v>
      </c>
      <c r="K87" s="235"/>
      <c r="L87" s="236"/>
    </row>
    <row r="88" spans="1:12" s="8" customFormat="1" ht="30" customHeight="1" x14ac:dyDescent="0.25">
      <c r="A88" s="353" t="s">
        <v>123</v>
      </c>
      <c r="B88" s="360" t="s">
        <v>124</v>
      </c>
      <c r="C88" s="181"/>
      <c r="D88" s="355" t="s">
        <v>15</v>
      </c>
      <c r="E88" s="356"/>
      <c r="F88" s="357"/>
      <c r="G88" s="357"/>
      <c r="H88" s="357"/>
      <c r="I88" s="357"/>
      <c r="J88" s="357"/>
      <c r="K88" s="357"/>
      <c r="L88" s="358"/>
    </row>
    <row r="89" spans="1:12" s="8" customFormat="1" outlineLevel="1" collapsed="1" x14ac:dyDescent="0.25">
      <c r="B89" s="59"/>
      <c r="C89" s="338" t="s">
        <v>16</v>
      </c>
      <c r="D89" s="361" t="s">
        <v>33</v>
      </c>
      <c r="E89" s="362" t="s">
        <v>18</v>
      </c>
      <c r="F89" s="363"/>
      <c r="G89" s="363"/>
      <c r="H89" s="340" t="str">
        <f t="array" aca="1" ref="H89" ca="1">HYPERLINK(CONCATENATE(Cartelle!$D$5,INDEX(INDIRECT("'" &amp; $C89 &amp; "'!$1:$1"), 1, MATCH(INDIRECT(CONCATENATE("'" &amp; $C89 &amp; "'!",ADDRESS(MATCH($D89, INDIRECT("'" &amp; $C89 &amp; "'!$B:$B"), 0),MATCH(H$1, INDIRECT("'" &amp; $C89 &amp; "'!$1:$1"), 0)))),INDIRECT(CONCATENATE("'" &amp; $C89 &amp; "'!",MATCH($D89, INDIRECT("'" &amp; $C89 &amp; "'!$B:$B"), 0),":",MATCH($D89, INDIRECT("'" &amp; $C89 &amp; "'!$B:$B"), 0))),0)),"/",$C89,"/",MID($D89,1,FIND("_",$D89)-1),"/",INDIRECT(CONCATENATE("'" &amp; $C89 &amp; "'!",ADDRESS(MATCH($D89, INDIRECT("'" &amp; $C89 &amp; "'!$B:$B"), 0),MATCH(H$1, INDIRECT("'" &amp; $C89 &amp; "'!$1:$1"), 0)))),".",INDIRECT(CONCATENATE("'"&amp;$C89&amp;"'!",ADDRESS(MATCH($D89,INDIRECT("'"&amp;$C89&amp;"'!$B:$B"),0),3))),"#page=",H90),CONCATENATE("#Sharepoint//",$D89))</f>
        <v>#Sharepoint//FRS_Line Voltage</v>
      </c>
      <c r="I89" s="340" t="str">
        <f t="array" aca="1" ref="I89" ca="1">HYPERLINK(CONCATENATE(Cartelle!$D$5,INDEX(INDIRECT("'" &amp; $C89 &amp; "'!$1:$1"), 1, MATCH(INDIRECT(CONCATENATE("'" &amp; $C89 &amp; "'!",ADDRESS(MATCH($D89, INDIRECT("'" &amp; $C89 &amp; "'!$B:$B"), 0),MATCH(I$1, INDIRECT("'" &amp; $C89 &amp; "'!$1:$1"), 0)))),INDIRECT(CONCATENATE("'" &amp; $C89 &amp; "'!",MATCH($D89, INDIRECT("'" &amp; $C89 &amp; "'!$B:$B"), 0),":",MATCH($D89, INDIRECT("'" &amp; $C89 &amp; "'!$B:$B"), 0))),0)),"/",$C89,"/",MID($D89,1,FIND("_",$D89)-1),"/",INDIRECT(CONCATENATE("'" &amp; $C89 &amp; "'!",ADDRESS(MATCH($D89, INDIRECT("'" &amp; $C89 &amp; "'!$B:$B"), 0),MATCH(I$1, INDIRECT("'" &amp; $C89 &amp; "'!$1:$1"), 0)))),".",INDIRECT(CONCATENATE("'"&amp;$C89&amp;"'!",ADDRESS(MATCH($D89,INDIRECT("'"&amp;$C89&amp;"'!$B:$B"),0),3))),"#page=",I90),CONCATENATE("#Sharepoint//",$D89))</f>
        <v>#Sharepoint//FRS_Line Voltage</v>
      </c>
      <c r="J89" s="340" t="str">
        <f t="array" aca="1" ref="J89" ca="1">HYPERLINK(CONCATENATE(Cartelle!$D$5,J$1,"/CONFIG/",MID($D89,1,FIND("_",$D89)-1),"/",INDIRECT(CONCATENATE("'CONFIG'!",ADDRESS(MATCH($D89, CONFIG!$B:$B, 0),MATCH(J$1, CONFIG!$1:$1, 0)))),".pdf#page=",J90),CONCATENATE("#Sharepoint//",$D89))</f>
        <v>#Sharepoint//FRS_Line Voltage</v>
      </c>
      <c r="K89" s="359"/>
      <c r="L89" s="359"/>
    </row>
    <row r="90" spans="1:12" s="8" customFormat="1" hidden="1" outlineLevel="2" x14ac:dyDescent="0.25">
      <c r="B90" s="59"/>
      <c r="C90" s="161"/>
      <c r="D90" s="233"/>
      <c r="E90" s="270" t="s">
        <v>19</v>
      </c>
      <c r="F90" s="233"/>
      <c r="G90" s="233"/>
      <c r="H90" s="233">
        <v>54</v>
      </c>
      <c r="I90" s="233">
        <v>49</v>
      </c>
      <c r="J90" s="233">
        <v>71</v>
      </c>
      <c r="K90" s="233"/>
      <c r="L90" s="233"/>
    </row>
    <row r="91" spans="1:12" s="8" customFormat="1" ht="390" hidden="1" customHeight="1" outlineLevel="2" x14ac:dyDescent="0.25">
      <c r="B91" s="59"/>
      <c r="C91" s="161"/>
      <c r="D91" s="233"/>
      <c r="E91" s="234" t="s">
        <v>34</v>
      </c>
      <c r="F91" s="235"/>
      <c r="G91" s="235"/>
      <c r="H91" s="239" t="s">
        <v>125</v>
      </c>
      <c r="I91" s="239" t="s">
        <v>126</v>
      </c>
      <c r="J91" s="239" t="s">
        <v>127</v>
      </c>
      <c r="K91" s="235"/>
      <c r="L91" s="236"/>
    </row>
    <row r="92" spans="1:12" s="8" customFormat="1" x14ac:dyDescent="0.25">
      <c r="A92" s="353" t="s">
        <v>128</v>
      </c>
      <c r="B92" s="364" t="s">
        <v>129</v>
      </c>
      <c r="C92" s="181"/>
      <c r="D92" s="355" t="s">
        <v>15</v>
      </c>
      <c r="E92" s="356"/>
      <c r="F92" s="357"/>
      <c r="G92" s="357"/>
      <c r="H92" s="357"/>
      <c r="I92" s="357"/>
      <c r="J92" s="357"/>
      <c r="K92" s="357"/>
      <c r="L92" s="358"/>
    </row>
    <row r="93" spans="1:12" s="8" customFormat="1" outlineLevel="1" collapsed="1" x14ac:dyDescent="0.25">
      <c r="B93" s="59"/>
      <c r="C93" s="338" t="s">
        <v>16</v>
      </c>
      <c r="D93" s="338" t="s">
        <v>33</v>
      </c>
      <c r="E93" s="339" t="s">
        <v>18</v>
      </c>
      <c r="F93" s="340" t="str">
        <f t="array" aca="1" ref="F93" ca="1">HYPERLINK(CONCATENATE(Cartelle!$D$5,F$1,"/",$C93,"/",MID($D93,1,FIND("_",$D93)-1),"/",INDIRECT(CONCATENATE("'" &amp; $C93 &amp; "'!",ADDRESS(MATCH($D93, INDIRECT("'" &amp; $C93 &amp; "'!$B:$B"), 0),MATCH(F$1, INDIRECT("'" &amp; $C93 &amp; "'!$1:$1"), 0)))),".",INDIRECT(CONCATENATE("'"&amp;$C93&amp;"'!",ADDRESS(MATCH($D93,INDIRECT("'"&amp;$C93&amp;"'!$B:$B"),0),3))),"#page=",F94),CONCATENATE("#Sharepoint//",$D93))</f>
        <v>#Sharepoint//FRS_Line Voltage</v>
      </c>
      <c r="G93" s="352"/>
      <c r="H93" s="340" t="str">
        <f t="array" aca="1" ref="H93" ca="1">HYPERLINK(CONCATENATE(Cartelle!$D$5,INDEX(INDIRECT("'" &amp; $C93 &amp; "'!$1:$1"), 1, MATCH(INDIRECT(CONCATENATE("'" &amp; $C93 &amp; "'!",ADDRESS(MATCH($D93, INDIRECT("'" &amp; $C93 &amp; "'!$B:$B"), 0),MATCH(H$1, INDIRECT("'" &amp; $C93 &amp; "'!$1:$1"), 0)))),INDIRECT(CONCATENATE("'" &amp; $C93 &amp; "'!",MATCH($D93, INDIRECT("'" &amp; $C93 &amp; "'!$B:$B"), 0),":",MATCH($D93, INDIRECT("'" &amp; $C93 &amp; "'!$B:$B"), 0))),0)),"/",$C93,"/",MID($D93,1,FIND("_",$D93)-1),"/",INDIRECT(CONCATENATE("'" &amp; $C93 &amp; "'!",ADDRESS(MATCH($D93, INDIRECT("'" &amp; $C93 &amp; "'!$B:$B"), 0),MATCH(H$1, INDIRECT("'" &amp; $C93 &amp; "'!$1:$1"), 0)))),".",INDIRECT(CONCATENATE("'"&amp;$C93&amp;"'!",ADDRESS(MATCH($D93,INDIRECT("'"&amp;$C93&amp;"'!$B:$B"),0),3))),"#page=",H94),CONCATENATE("#Sharepoint//",$D93))</f>
        <v>#Sharepoint//FRS_Line Voltage</v>
      </c>
      <c r="I93" s="340" t="str">
        <f t="array" aca="1" ref="I93" ca="1">HYPERLINK(CONCATENATE(Cartelle!$D$5,INDEX(INDIRECT("'" &amp; $C93 &amp; "'!$1:$1"), 1, MATCH(INDIRECT(CONCATENATE("'" &amp; $C93 &amp; "'!",ADDRESS(MATCH($D93, INDIRECT("'" &amp; $C93 &amp; "'!$B:$B"), 0),MATCH(I$1, INDIRECT("'" &amp; $C93 &amp; "'!$1:$1"), 0)))),INDIRECT(CONCATENATE("'" &amp; $C93 &amp; "'!",MATCH($D93, INDIRECT("'" &amp; $C93 &amp; "'!$B:$B"), 0),":",MATCH($D93, INDIRECT("'" &amp; $C93 &amp; "'!$B:$B"), 0))),0)),"/",$C93,"/",MID($D93,1,FIND("_",$D93)-1),"/",INDIRECT(CONCATENATE("'" &amp; $C93 &amp; "'!",ADDRESS(MATCH($D93, INDIRECT("'" &amp; $C93 &amp; "'!$B:$B"), 0),MATCH(I$1, INDIRECT("'" &amp; $C93 &amp; "'!$1:$1"), 0)))),".",INDIRECT(CONCATENATE("'"&amp;$C93&amp;"'!",ADDRESS(MATCH($D93,INDIRECT("'"&amp;$C93&amp;"'!$B:$B"),0),3))),"#page=",I94),CONCATENATE("#Sharepoint//",$D93))</f>
        <v>#Sharepoint//FRS_Line Voltage</v>
      </c>
      <c r="J93" s="340" t="str">
        <f t="array" aca="1" ref="J93" ca="1">HYPERLINK(CONCATENATE(Cartelle!$D$5,INDEX(INDIRECT("'" &amp; $C93 &amp; "'!$1:$1"), 1, MATCH(INDIRECT(CONCATENATE("'" &amp; $C93 &amp; "'!",ADDRESS(MATCH($D93, INDIRECT("'" &amp; $C93 &amp; "'!$B:$B"), 0),MATCH(J$1, INDIRECT("'" &amp; $C93 &amp; "'!$1:$1"), 0)))),INDIRECT(CONCATENATE("'" &amp; $C93 &amp; "'!",MATCH($D93, INDIRECT("'" &amp; $C93 &amp; "'!$B:$B"), 0),":",MATCH($D93, INDIRECT("'" &amp; $C93 &amp; "'!$B:$B"), 0))),0)),"/",$C93,"/",MID($D93,1,FIND("_",$D93)-1),"/",INDIRECT(CONCATENATE("'" &amp; $C93 &amp; "'!",ADDRESS(MATCH($D93, INDIRECT("'" &amp; $C93 &amp; "'!$B:$B"), 0),MATCH(J$1, INDIRECT("'" &amp; $C93 &amp; "'!$1:$1"), 0)))),".",INDIRECT(CONCATENATE("'"&amp;$C93&amp;"'!",ADDRESS(MATCH($D93,INDIRECT("'"&amp;$C93&amp;"'!$B:$B"),0),3))),"#page=",J94),CONCATENATE("#Sharepoint//",$D93))</f>
        <v>#Sharepoint//FRS_Line Voltage</v>
      </c>
      <c r="K93" s="359"/>
      <c r="L93" s="359"/>
    </row>
    <row r="94" spans="1:12" s="8" customFormat="1" hidden="1" outlineLevel="2" x14ac:dyDescent="0.25">
      <c r="B94" s="59"/>
      <c r="C94" s="161"/>
      <c r="D94" s="233"/>
      <c r="E94" s="270" t="s">
        <v>19</v>
      </c>
      <c r="F94" s="233">
        <v>48</v>
      </c>
      <c r="G94" s="233"/>
      <c r="H94" s="233">
        <v>55</v>
      </c>
      <c r="I94" s="233">
        <v>51</v>
      </c>
      <c r="J94" s="233">
        <v>73</v>
      </c>
      <c r="K94" s="233"/>
      <c r="L94" s="233"/>
    </row>
    <row r="95" spans="1:12" s="8" customFormat="1" ht="409.5" hidden="1" customHeight="1" outlineLevel="2" x14ac:dyDescent="0.25">
      <c r="B95" s="59"/>
      <c r="C95" s="161"/>
      <c r="D95" s="233"/>
      <c r="E95" s="234" t="s">
        <v>34</v>
      </c>
      <c r="F95" s="240" t="s">
        <v>130</v>
      </c>
      <c r="G95" s="235"/>
      <c r="H95" s="239" t="s">
        <v>131</v>
      </c>
      <c r="I95" s="239" t="s">
        <v>132</v>
      </c>
      <c r="J95" s="239" t="s">
        <v>133</v>
      </c>
      <c r="K95" s="235"/>
      <c r="L95" s="236"/>
    </row>
    <row r="96" spans="1:12" s="8" customFormat="1" ht="30" customHeight="1" x14ac:dyDescent="0.25">
      <c r="A96" s="353" t="s">
        <v>134</v>
      </c>
      <c r="B96" s="364" t="s">
        <v>135</v>
      </c>
      <c r="C96" s="181"/>
      <c r="D96" s="355" t="s">
        <v>15</v>
      </c>
      <c r="E96" s="356"/>
      <c r="F96" s="357"/>
      <c r="G96" s="357"/>
      <c r="H96" s="357"/>
      <c r="I96" s="357"/>
      <c r="J96" s="357"/>
      <c r="K96" s="357"/>
      <c r="L96" s="358"/>
    </row>
    <row r="97" spans="1:12" s="8" customFormat="1" outlineLevel="1" collapsed="1" x14ac:dyDescent="0.25">
      <c r="B97" s="59"/>
      <c r="C97" s="338" t="s">
        <v>16</v>
      </c>
      <c r="D97" s="338" t="s">
        <v>33</v>
      </c>
      <c r="E97" s="339" t="s">
        <v>18</v>
      </c>
      <c r="F97" s="340" t="str">
        <f t="array" aca="1" ref="F97" ca="1">HYPERLINK(CONCATENATE(Cartelle!$D$5,F$1,"/",$C97,"/",MID($D97,1,FIND("_",$D97)-1),"/",INDIRECT(CONCATENATE("'" &amp; $C97 &amp; "'!",ADDRESS(MATCH($D97, INDIRECT("'" &amp; $C97 &amp; "'!$B:$B"), 0),MATCH(F$1, INDIRECT("'" &amp; $C97 &amp; "'!$1:$1"), 0)))),".",INDIRECT(CONCATENATE("'"&amp;$C97&amp;"'!",ADDRESS(MATCH($D97,INDIRECT("'"&amp;$C97&amp;"'!$B:$B"),0),3))),"#page=",F98),CONCATENATE("#Sharepoint//",$D97))</f>
        <v>#Sharepoint//FRS_Line Voltage</v>
      </c>
      <c r="G97" s="352"/>
      <c r="H97" s="340" t="str">
        <f t="array" aca="1" ref="H97" ca="1">HYPERLINK(CONCATENATE(Cartelle!$D$5,INDEX(INDIRECT("'" &amp; $C97 &amp; "'!$1:$1"), 1, MATCH(INDIRECT(CONCATENATE("'" &amp; $C97 &amp; "'!",ADDRESS(MATCH($D97, INDIRECT("'" &amp; $C97 &amp; "'!$B:$B"), 0),MATCH(H$1, INDIRECT("'" &amp; $C97 &amp; "'!$1:$1"), 0)))),INDIRECT(CONCATENATE("'" &amp; $C97 &amp; "'!",MATCH($D97, INDIRECT("'" &amp; $C97 &amp; "'!$B:$B"), 0),":",MATCH($D97, INDIRECT("'" &amp; $C97 &amp; "'!$B:$B"), 0))),0)),"/",$C97,"/",MID($D97,1,FIND("_",$D97)-1),"/",INDIRECT(CONCATENATE("'" &amp; $C97 &amp; "'!",ADDRESS(MATCH($D97, INDIRECT("'" &amp; $C97 &amp; "'!$B:$B"), 0),MATCH(H$1, INDIRECT("'" &amp; $C97 &amp; "'!$1:$1"), 0)))),".",INDIRECT(CONCATENATE("'"&amp;$C97&amp;"'!",ADDRESS(MATCH($D97,INDIRECT("'"&amp;$C97&amp;"'!$B:$B"),0),3))),"#page=",H98),CONCATENATE("#Sharepoint//",$D97))</f>
        <v>#Sharepoint//FRS_Line Voltage</v>
      </c>
      <c r="I97" s="340" t="str">
        <f t="array" aca="1" ref="I97" ca="1">HYPERLINK(CONCATENATE(Cartelle!$D$5,INDEX(INDIRECT("'" &amp; $C97 &amp; "'!$1:$1"), 1, MATCH(INDIRECT(CONCATENATE("'" &amp; $C97 &amp; "'!",ADDRESS(MATCH($D97, INDIRECT("'" &amp; $C97 &amp; "'!$B:$B"), 0),MATCH(I$1, INDIRECT("'" &amp; $C97 &amp; "'!$1:$1"), 0)))),INDIRECT(CONCATENATE("'" &amp; $C97 &amp; "'!",MATCH($D97, INDIRECT("'" &amp; $C97 &amp; "'!$B:$B"), 0),":",MATCH($D97, INDIRECT("'" &amp; $C97 &amp; "'!$B:$B"), 0))),0)),"/",$C97,"/",MID($D97,1,FIND("_",$D97)-1),"/",INDIRECT(CONCATENATE("'" &amp; $C97 &amp; "'!",ADDRESS(MATCH($D97, INDIRECT("'" &amp; $C97 &amp; "'!$B:$B"), 0),MATCH(I$1, INDIRECT("'" &amp; $C97 &amp; "'!$1:$1"), 0)))),".",INDIRECT(CONCATENATE("'"&amp;$C97&amp;"'!",ADDRESS(MATCH($D97,INDIRECT("'"&amp;$C97&amp;"'!$B:$B"),0),3))),"#page=",I98),CONCATENATE("#Sharepoint//",$D97))</f>
        <v>#Sharepoint//FRS_Line Voltage</v>
      </c>
      <c r="J97" s="340" t="str">
        <f t="array" aca="1" ref="J97" ca="1">HYPERLINK(CONCATENATE(Cartelle!$D$5,INDEX(INDIRECT("'" &amp; $C97 &amp; "'!$1:$1"), 1, MATCH(INDIRECT(CONCATENATE("'" &amp; $C97 &amp; "'!",ADDRESS(MATCH($D97, INDIRECT("'" &amp; $C97 &amp; "'!$B:$B"), 0),MATCH(J$1, INDIRECT("'" &amp; $C97 &amp; "'!$1:$1"), 0)))),INDIRECT(CONCATENATE("'" &amp; $C97 &amp; "'!",MATCH($D97, INDIRECT("'" &amp; $C97 &amp; "'!$B:$B"), 0),":",MATCH($D97, INDIRECT("'" &amp; $C97 &amp; "'!$B:$B"), 0))),0)),"/",$C97,"/",MID($D97,1,FIND("_",$D97)-1),"/",INDIRECT(CONCATENATE("'" &amp; $C97 &amp; "'!",ADDRESS(MATCH($D97, INDIRECT("'" &amp; $C97 &amp; "'!$B:$B"), 0),MATCH(J$1, INDIRECT("'" &amp; $C97 &amp; "'!$1:$1"), 0)))),".",INDIRECT(CONCATENATE("'"&amp;$C97&amp;"'!",ADDRESS(MATCH($D97,INDIRECT("'"&amp;$C97&amp;"'!$B:$B"),0),3))),"#page=",J98),CONCATENATE("#Sharepoint//",$D97))</f>
        <v>#Sharepoint//FRS_Line Voltage</v>
      </c>
      <c r="K97" s="359"/>
      <c r="L97" s="359"/>
    </row>
    <row r="98" spans="1:12" s="8" customFormat="1" hidden="1" outlineLevel="2" x14ac:dyDescent="0.25">
      <c r="B98" s="59"/>
      <c r="C98" s="161"/>
      <c r="D98" s="233"/>
      <c r="E98" s="270" t="s">
        <v>19</v>
      </c>
      <c r="F98" s="233">
        <v>49</v>
      </c>
      <c r="G98" s="233"/>
      <c r="H98" s="233">
        <v>56</v>
      </c>
      <c r="I98" s="233">
        <v>52</v>
      </c>
      <c r="J98" s="233">
        <v>74</v>
      </c>
      <c r="K98" s="233"/>
      <c r="L98" s="233"/>
    </row>
    <row r="99" spans="1:12" s="8" customFormat="1" ht="409.5" hidden="1" customHeight="1" outlineLevel="2" x14ac:dyDescent="0.25">
      <c r="B99" s="59"/>
      <c r="C99" s="161"/>
      <c r="D99" s="233"/>
      <c r="E99" s="234" t="s">
        <v>34</v>
      </c>
      <c r="F99" s="239" t="s">
        <v>136</v>
      </c>
      <c r="G99" s="235"/>
      <c r="H99" s="239" t="s">
        <v>137</v>
      </c>
      <c r="I99" s="239" t="s">
        <v>138</v>
      </c>
      <c r="J99" s="239" t="s">
        <v>139</v>
      </c>
      <c r="K99" s="235"/>
      <c r="L99" s="236"/>
    </row>
    <row r="100" spans="1:12" s="8" customFormat="1" ht="30" customHeight="1" x14ac:dyDescent="0.25">
      <c r="A100" s="353" t="s">
        <v>140</v>
      </c>
      <c r="B100" s="364" t="s">
        <v>141</v>
      </c>
      <c r="C100" s="181"/>
      <c r="D100" s="355" t="s">
        <v>15</v>
      </c>
      <c r="E100" s="356"/>
      <c r="F100" s="357"/>
      <c r="G100" s="357"/>
      <c r="H100" s="357"/>
      <c r="I100" s="357"/>
      <c r="J100" s="357"/>
      <c r="K100" s="357"/>
      <c r="L100" s="358"/>
    </row>
    <row r="101" spans="1:12" s="8" customFormat="1" outlineLevel="1" collapsed="1" x14ac:dyDescent="0.25">
      <c r="B101" s="59"/>
      <c r="C101" s="338" t="s">
        <v>16</v>
      </c>
      <c r="D101" s="338" t="s">
        <v>33</v>
      </c>
      <c r="E101" s="339" t="s">
        <v>18</v>
      </c>
      <c r="F101" s="340" t="str">
        <f t="array" aca="1" ref="F101" ca="1">HYPERLINK(CONCATENATE(Cartelle!$D$5,F$1,"/",$C101,"/",MID($D101,1,FIND("_",$D101)-1),"/",INDIRECT(CONCATENATE("'" &amp; $C101 &amp; "'!",ADDRESS(MATCH($D101, INDIRECT("'" &amp; $C101 &amp; "'!$B:$B"), 0),MATCH(F$1, INDIRECT("'" &amp; $C101 &amp; "'!$1:$1"), 0)))),".",INDIRECT(CONCATENATE("'"&amp;$C101&amp;"'!",ADDRESS(MATCH($D101,INDIRECT("'"&amp;$C101&amp;"'!$B:$B"),0),3))),"#page=",F102),CONCATENATE("#Sharepoint//",$D101))</f>
        <v>#Sharepoint//FRS_Line Voltage</v>
      </c>
      <c r="G101" s="352"/>
      <c r="H101" s="340" t="str">
        <f t="array" aca="1" ref="H101" ca="1">HYPERLINK(CONCATENATE(Cartelle!$D$5,INDEX(INDIRECT("'" &amp; $C101 &amp; "'!$1:$1"), 1, MATCH(INDIRECT(CONCATENATE("'" &amp; $C101 &amp; "'!",ADDRESS(MATCH($D101, INDIRECT("'" &amp; $C101 &amp; "'!$B:$B"), 0),MATCH(H$1, INDIRECT("'" &amp; $C101 &amp; "'!$1:$1"), 0)))),INDIRECT(CONCATENATE("'" &amp; $C101 &amp; "'!",MATCH($D101, INDIRECT("'" &amp; $C101 &amp; "'!$B:$B"), 0),":",MATCH($D101, INDIRECT("'" &amp; $C101 &amp; "'!$B:$B"), 0))),0)),"/",$C101,"/",MID($D101,1,FIND("_",$D101)-1),"/",INDIRECT(CONCATENATE("'" &amp; $C101 &amp; "'!",ADDRESS(MATCH($D101, INDIRECT("'" &amp; $C101 &amp; "'!$B:$B"), 0),MATCH(H$1, INDIRECT("'" &amp; $C101 &amp; "'!$1:$1"), 0)))),".",INDIRECT(CONCATENATE("'"&amp;$C101&amp;"'!",ADDRESS(MATCH($D101,INDIRECT("'"&amp;$C101&amp;"'!$B:$B"),0),3))),"#page=",H102),CONCATENATE("#Sharepoint//",$D101))</f>
        <v>#Sharepoint//FRS_Line Voltage</v>
      </c>
      <c r="I101" s="340" t="str">
        <f t="array" aca="1" ref="I101" ca="1">HYPERLINK(CONCATENATE(Cartelle!$D$5,INDEX(INDIRECT("'" &amp; $C101 &amp; "'!$1:$1"), 1, MATCH(INDIRECT(CONCATENATE("'" &amp; $C101 &amp; "'!",ADDRESS(MATCH($D101, INDIRECT("'" &amp; $C101 &amp; "'!$B:$B"), 0),MATCH(I$1, INDIRECT("'" &amp; $C101 &amp; "'!$1:$1"), 0)))),INDIRECT(CONCATENATE("'" &amp; $C101 &amp; "'!",MATCH($D101, INDIRECT("'" &amp; $C101 &amp; "'!$B:$B"), 0),":",MATCH($D101, INDIRECT("'" &amp; $C101 &amp; "'!$B:$B"), 0))),0)),"/",$C101,"/",MID($D101,1,FIND("_",$D101)-1),"/",INDIRECT(CONCATENATE("'" &amp; $C101 &amp; "'!",ADDRESS(MATCH($D101, INDIRECT("'" &amp; $C101 &amp; "'!$B:$B"), 0),MATCH(I$1, INDIRECT("'" &amp; $C101 &amp; "'!$1:$1"), 0)))),".",INDIRECT(CONCATENATE("'"&amp;$C101&amp;"'!",ADDRESS(MATCH($D101,INDIRECT("'"&amp;$C101&amp;"'!$B:$B"),0),3))),"#page=",I102),CONCATENATE("#Sharepoint//",$D101))</f>
        <v>#Sharepoint//FRS_Line Voltage</v>
      </c>
      <c r="J101" s="340" t="str">
        <f t="array" aca="1" ref="J101" ca="1">HYPERLINK(CONCATENATE(Cartelle!$D$5,INDEX(INDIRECT("'" &amp; $C101 &amp; "'!$1:$1"), 1, MATCH(INDIRECT(CONCATENATE("'" &amp; $C101 &amp; "'!",ADDRESS(MATCH($D101, INDIRECT("'" &amp; $C101 &amp; "'!$B:$B"), 0),MATCH(J$1, INDIRECT("'" &amp; $C101 &amp; "'!$1:$1"), 0)))),INDIRECT(CONCATENATE("'" &amp; $C101 &amp; "'!",MATCH($D101, INDIRECT("'" &amp; $C101 &amp; "'!$B:$B"), 0),":",MATCH($D101, INDIRECT("'" &amp; $C101 &amp; "'!$B:$B"), 0))),0)),"/",$C101,"/",MID($D101,1,FIND("_",$D101)-1),"/",INDIRECT(CONCATENATE("'" &amp; $C101 &amp; "'!",ADDRESS(MATCH($D101, INDIRECT("'" &amp; $C101 &amp; "'!$B:$B"), 0),MATCH(J$1, INDIRECT("'" &amp; $C101 &amp; "'!$1:$1"), 0)))),".",INDIRECT(CONCATENATE("'"&amp;$C101&amp;"'!",ADDRESS(MATCH($D101,INDIRECT("'"&amp;$C101&amp;"'!$B:$B"),0),3))),"#page=",J102),CONCATENATE("#Sharepoint//",$D101))</f>
        <v>#Sharepoint//FRS_Line Voltage</v>
      </c>
      <c r="K101" s="359"/>
      <c r="L101" s="359"/>
    </row>
    <row r="102" spans="1:12" s="8" customFormat="1" hidden="1" outlineLevel="2" x14ac:dyDescent="0.25">
      <c r="B102" s="59"/>
      <c r="C102" s="161"/>
      <c r="D102" s="233"/>
      <c r="E102" s="270" t="s">
        <v>19</v>
      </c>
      <c r="F102" s="233">
        <v>52</v>
      </c>
      <c r="G102" s="233"/>
      <c r="H102" s="233">
        <v>59</v>
      </c>
      <c r="I102" s="233">
        <v>55</v>
      </c>
      <c r="J102" s="233">
        <v>77</v>
      </c>
      <c r="K102" s="233"/>
      <c r="L102" s="233"/>
    </row>
    <row r="103" spans="1:12" s="8" customFormat="1" ht="409.5" hidden="1" customHeight="1" outlineLevel="2" x14ac:dyDescent="0.25">
      <c r="B103" s="59"/>
      <c r="C103" s="161"/>
      <c r="D103" s="233"/>
      <c r="E103" s="234" t="s">
        <v>34</v>
      </c>
      <c r="F103" s="240" t="s">
        <v>142</v>
      </c>
      <c r="G103" s="235"/>
      <c r="H103" s="240" t="s">
        <v>143</v>
      </c>
      <c r="I103" s="240" t="s">
        <v>144</v>
      </c>
      <c r="J103" s="240" t="s">
        <v>145</v>
      </c>
      <c r="K103" s="235"/>
      <c r="L103" s="236"/>
    </row>
    <row r="104" spans="1:12" s="8" customFormat="1" x14ac:dyDescent="0.25">
      <c r="A104" s="353" t="s">
        <v>146</v>
      </c>
      <c r="B104" s="364" t="s">
        <v>147</v>
      </c>
      <c r="C104" s="181"/>
      <c r="D104" s="355" t="s">
        <v>15</v>
      </c>
      <c r="E104" s="356"/>
      <c r="F104" s="357"/>
      <c r="G104" s="357"/>
      <c r="H104" s="357"/>
      <c r="I104" s="357"/>
      <c r="J104" s="357"/>
      <c r="K104" s="357"/>
      <c r="L104" s="358"/>
    </row>
    <row r="105" spans="1:12" s="8" customFormat="1" outlineLevel="1" collapsed="1" x14ac:dyDescent="0.25">
      <c r="B105" s="59"/>
      <c r="C105" s="338" t="s">
        <v>16</v>
      </c>
      <c r="D105" s="338" t="s">
        <v>33</v>
      </c>
      <c r="E105" s="339" t="s">
        <v>18</v>
      </c>
      <c r="F105" s="340" t="str">
        <f t="array" aca="1" ref="F105" ca="1">HYPERLINK(CONCATENATE(Cartelle!$D$5,F$1,"/",$C105,"/",MID($D105,1,FIND("_",$D105)-1),"/",INDIRECT(CONCATENATE("'" &amp; $C105 &amp; "'!",ADDRESS(MATCH($D105, INDIRECT("'" &amp; $C105 &amp; "'!$B:$B"), 0),MATCH(F$1, INDIRECT("'" &amp; $C105 &amp; "'!$1:$1"), 0)))),".",INDIRECT(CONCATENATE("'"&amp;$C105&amp;"'!",ADDRESS(MATCH($D105,INDIRECT("'"&amp;$C105&amp;"'!$B:$B"),0),3))),"#page=",F106),CONCATENATE("#Sharepoint//",$D105))</f>
        <v>#Sharepoint//FRS_Line Voltage</v>
      </c>
      <c r="G105" s="352"/>
      <c r="H105" s="340" t="str">
        <f t="array" aca="1" ref="H105" ca="1">HYPERLINK(CONCATENATE(Cartelle!$D$5,INDEX(INDIRECT("'" &amp; $C105 &amp; "'!$1:$1"), 1, MATCH(INDIRECT(CONCATENATE("'" &amp; $C105 &amp; "'!",ADDRESS(MATCH($D105, INDIRECT("'" &amp; $C105 &amp; "'!$B:$B"), 0),MATCH(H$1, INDIRECT("'" &amp; $C105 &amp; "'!$1:$1"), 0)))),INDIRECT(CONCATENATE("'" &amp; $C105 &amp; "'!",MATCH($D105, INDIRECT("'" &amp; $C105 &amp; "'!$B:$B"), 0),":",MATCH($D105, INDIRECT("'" &amp; $C105 &amp; "'!$B:$B"), 0))),0)),"/",$C105,"/",MID($D105,1,FIND("_",$D105)-1),"/",INDIRECT(CONCATENATE("'" &amp; $C105 &amp; "'!",ADDRESS(MATCH($D105, INDIRECT("'" &amp; $C105 &amp; "'!$B:$B"), 0),MATCH(H$1, INDIRECT("'" &amp; $C105 &amp; "'!$1:$1"), 0)))),".",INDIRECT(CONCATENATE("'"&amp;$C105&amp;"'!",ADDRESS(MATCH($D105,INDIRECT("'"&amp;$C105&amp;"'!$B:$B"),0),3))),"#page=",H106),CONCATENATE("#Sharepoint//",$D105))</f>
        <v>#Sharepoint//FRS_Line Voltage</v>
      </c>
      <c r="I105" s="340" t="str">
        <f t="array" aca="1" ref="I105" ca="1">HYPERLINK(CONCATENATE(Cartelle!$D$5,INDEX(INDIRECT("'" &amp; $C105 &amp; "'!$1:$1"), 1, MATCH(INDIRECT(CONCATENATE("'" &amp; $C105 &amp; "'!",ADDRESS(MATCH($D105, INDIRECT("'" &amp; $C105 &amp; "'!$B:$B"), 0),MATCH(I$1, INDIRECT("'" &amp; $C105 &amp; "'!$1:$1"), 0)))),INDIRECT(CONCATENATE("'" &amp; $C105 &amp; "'!",MATCH($D105, INDIRECT("'" &amp; $C105 &amp; "'!$B:$B"), 0),":",MATCH($D105, INDIRECT("'" &amp; $C105 &amp; "'!$B:$B"), 0))),0)),"/",$C105,"/",MID($D105,1,FIND("_",$D105)-1),"/",INDIRECT(CONCATENATE("'" &amp; $C105 &amp; "'!",ADDRESS(MATCH($D105, INDIRECT("'" &amp; $C105 &amp; "'!$B:$B"), 0),MATCH(I$1, INDIRECT("'" &amp; $C105 &amp; "'!$1:$1"), 0)))),".",INDIRECT(CONCATENATE("'"&amp;$C105&amp;"'!",ADDRESS(MATCH($D105,INDIRECT("'"&amp;$C105&amp;"'!$B:$B"),0),3))),"#page=",I106),CONCATENATE("#Sharepoint//",$D105))</f>
        <v>#Sharepoint//FRS_Line Voltage</v>
      </c>
      <c r="J105" s="340" t="str">
        <f t="array" aca="1" ref="J105" ca="1">HYPERLINK(CONCATENATE(Cartelle!$D$5,INDEX(INDIRECT("'" &amp; $C105 &amp; "'!$1:$1"), 1, MATCH(INDIRECT(CONCATENATE("'" &amp; $C105 &amp; "'!",ADDRESS(MATCH($D105, INDIRECT("'" &amp; $C105 &amp; "'!$B:$B"), 0),MATCH(J$1, INDIRECT("'" &amp; $C105 &amp; "'!$1:$1"), 0)))),INDIRECT(CONCATENATE("'" &amp; $C105 &amp; "'!",MATCH($D105, INDIRECT("'" &amp; $C105 &amp; "'!$B:$B"), 0),":",MATCH($D105, INDIRECT("'" &amp; $C105 &amp; "'!$B:$B"), 0))),0)),"/",$C105,"/",MID($D105,1,FIND("_",$D105)-1),"/",INDIRECT(CONCATENATE("'" &amp; $C105 &amp; "'!",ADDRESS(MATCH($D105, INDIRECT("'" &amp; $C105 &amp; "'!$B:$B"), 0),MATCH(J$1, INDIRECT("'" &amp; $C105 &amp; "'!$1:$1"), 0)))),".",INDIRECT(CONCATENATE("'"&amp;$C105&amp;"'!",ADDRESS(MATCH($D105,INDIRECT("'"&amp;$C105&amp;"'!$B:$B"),0),3))),"#page=",J106),CONCATENATE("#Sharepoint//",$D105))</f>
        <v>#Sharepoint//FRS_Line Voltage</v>
      </c>
      <c r="K105" s="359"/>
      <c r="L105" s="359"/>
    </row>
    <row r="106" spans="1:12" s="8" customFormat="1" hidden="1" outlineLevel="2" x14ac:dyDescent="0.25">
      <c r="B106" s="59"/>
      <c r="C106" s="161"/>
      <c r="D106" s="233"/>
      <c r="E106" s="270" t="s">
        <v>19</v>
      </c>
      <c r="F106" s="233">
        <v>55</v>
      </c>
      <c r="G106" s="233"/>
      <c r="H106" s="233">
        <v>62</v>
      </c>
      <c r="I106" s="233">
        <v>58</v>
      </c>
      <c r="J106" s="233">
        <v>80</v>
      </c>
      <c r="K106" s="233"/>
      <c r="L106" s="233"/>
    </row>
    <row r="107" spans="1:12" s="8" customFormat="1" ht="409.5" hidden="1" customHeight="1" outlineLevel="2" x14ac:dyDescent="0.25">
      <c r="B107" s="59"/>
      <c r="C107" s="161"/>
      <c r="D107" s="233"/>
      <c r="E107" s="234" t="s">
        <v>34</v>
      </c>
      <c r="F107" s="240" t="s">
        <v>148</v>
      </c>
      <c r="G107" s="235"/>
      <c r="H107" s="240" t="s">
        <v>149</v>
      </c>
      <c r="I107" s="240" t="s">
        <v>150</v>
      </c>
      <c r="J107" s="240" t="s">
        <v>151</v>
      </c>
      <c r="K107" s="235"/>
      <c r="L107" s="236"/>
    </row>
    <row r="108" spans="1:12" s="8" customFormat="1" x14ac:dyDescent="0.25">
      <c r="A108" s="353" t="s">
        <v>152</v>
      </c>
      <c r="B108" s="360"/>
      <c r="C108" s="181"/>
      <c r="D108" s="355" t="s">
        <v>15</v>
      </c>
      <c r="E108" s="356"/>
      <c r="F108" s="357"/>
      <c r="G108" s="357"/>
      <c r="H108" s="357"/>
      <c r="I108" s="357"/>
      <c r="J108" s="357"/>
      <c r="K108" s="357"/>
      <c r="L108" s="358"/>
    </row>
    <row r="109" spans="1:12" s="8" customFormat="1" outlineLevel="1" collapsed="1" x14ac:dyDescent="0.25">
      <c r="B109" s="59"/>
      <c r="C109" s="338" t="s">
        <v>16</v>
      </c>
      <c r="D109" s="361" t="s">
        <v>153</v>
      </c>
      <c r="E109" s="362" t="s">
        <v>18</v>
      </c>
      <c r="F109" s="340" t="str">
        <f t="array" aca="1" ref="F109" ca="1">HYPERLINK(CONCATENATE(Cartelle!$D$5,F$1,"/",$C109,"/",MID($D109,1,FIND("_",$D109)-1),"/",INDIRECT(CONCATENATE("'" &amp; $C109 &amp; "'!",ADDRESS(MATCH($D109, INDIRECT("'" &amp; $C109 &amp; "'!$B:$B"), 0),MATCH(F$1, INDIRECT("'" &amp; $C109 &amp; "'!$1:$1"), 0)))),".",INDIRECT(CONCATENATE("'"&amp;$C109&amp;"'!",ADDRESS(MATCH($D109,INDIRECT("'"&amp;$C109&amp;"'!$B:$B"),0),3))),"#page=",F110),CONCATENATE("#Sharepoint//",$D109))</f>
        <v>#Sharepoint//FRS_Aux Electrical Supply</v>
      </c>
      <c r="G109" s="340"/>
      <c r="H109" s="340" t="str">
        <f t="array" aca="1" ref="H109" ca="1">HYPERLINK(CONCATENATE(Cartelle!$D$5,INDEX(INDIRECT("'" &amp; $C109 &amp; "'!$1:$1"), 1, MATCH(INDIRECT(CONCATENATE("'" &amp; $C109 &amp; "'!",ADDRESS(MATCH($D109, INDIRECT("'" &amp; $C109 &amp; "'!$B:$B"), 0),MATCH(H$1, INDIRECT("'" &amp; $C109 &amp; "'!$1:$1"), 0)))),INDIRECT(CONCATENATE("'" &amp; $C109 &amp; "'!",MATCH($D109, INDIRECT("'" &amp; $C109 &amp; "'!$B:$B"), 0),":",MATCH($D109, INDIRECT("'" &amp; $C109 &amp; "'!$B:$B"), 0))),0)),"/",$C109,"/",MID($D109,1,FIND("_",$D109)-1),"/",INDIRECT(CONCATENATE("'" &amp; $C109 &amp; "'!",ADDRESS(MATCH($D109, INDIRECT("'" &amp; $C109 &amp; "'!$B:$B"), 0),MATCH(H$1, INDIRECT("'" &amp; $C109 &amp; "'!$1:$1"), 0)))),".",INDIRECT(CONCATENATE("'"&amp;$C109&amp;"'!",ADDRESS(MATCH($D109,INDIRECT("'"&amp;$C109&amp;"'!$B:$B"),0),3))),"#page=",H110),CONCATENATE("#Sharepoint//",$D109))</f>
        <v>#Sharepoint//FRS_Aux Electrical Supply</v>
      </c>
      <c r="I109" s="340" t="str">
        <f t="array" aca="1" ref="I109" ca="1">HYPERLINK(CONCATENATE(Cartelle!$D$5,INDEX(INDIRECT("'" &amp; $C109 &amp; "'!$1:$1"), 1, MATCH(INDIRECT(CONCATENATE("'" &amp; $C109 &amp; "'!",ADDRESS(MATCH($D109, INDIRECT("'" &amp; $C109 &amp; "'!$B:$B"), 0),MATCH(I$1, INDIRECT("'" &amp; $C109 &amp; "'!$1:$1"), 0)))),INDIRECT(CONCATENATE("'" &amp; $C109 &amp; "'!",MATCH($D109, INDIRECT("'" &amp; $C109 &amp; "'!$B:$B"), 0),":",MATCH($D109, INDIRECT("'" &amp; $C109 &amp; "'!$B:$B"), 0))),0)),"/",$C109,"/",MID($D109,1,FIND("_",$D109)-1),"/",INDIRECT(CONCATENATE("'" &amp; $C109 &amp; "'!",ADDRESS(MATCH($D109, INDIRECT("'" &amp; $C109 &amp; "'!$B:$B"), 0),MATCH(I$1, INDIRECT("'" &amp; $C109 &amp; "'!$1:$1"), 0)))),".",INDIRECT(CONCATENATE("'"&amp;$C109&amp;"'!",ADDRESS(MATCH($D109,INDIRECT("'"&amp;$C109&amp;"'!$B:$B"),0),3))),"#page=",I110),CONCATENATE("#Sharepoint//",$D109))</f>
        <v>#Sharepoint//FRS_Aux Electrical Supply</v>
      </c>
      <c r="J109" s="340" t="str">
        <f t="array" aca="1" ref="J109" ca="1">HYPERLINK(CONCATENATE(Cartelle!$D$5,INDEX(INDIRECT("'" &amp; $C109 &amp; "'!$1:$1"), 1, MATCH(INDIRECT(CONCATENATE("'" &amp; $C109 &amp; "'!",ADDRESS(MATCH($D109, INDIRECT("'" &amp; $C109 &amp; "'!$B:$B"), 0),MATCH(J$1, INDIRECT("'" &amp; $C109 &amp; "'!$1:$1"), 0)))),INDIRECT(CONCATENATE("'" &amp; $C109 &amp; "'!",MATCH($D109, INDIRECT("'" &amp; $C109 &amp; "'!$B:$B"), 0),":",MATCH($D109, INDIRECT("'" &amp; $C109 &amp; "'!$B:$B"), 0))),0)),"/",$C109,"/",MID($D109,1,FIND("_",$D109)-1),"/",INDIRECT(CONCATENATE("'" &amp; $C109 &amp; "'!",ADDRESS(MATCH($D109, INDIRECT("'" &amp; $C109 &amp; "'!$B:$B"), 0),MATCH(J$1, INDIRECT("'" &amp; $C109 &amp; "'!$1:$1"), 0)))),".",INDIRECT(CONCATENATE("'"&amp;$C109&amp;"'!",ADDRESS(MATCH($D109,INDIRECT("'"&amp;$C109&amp;"'!$B:$B"),0),3))),"#page=",J110),CONCATENATE("#Sharepoint//",$D109))</f>
        <v>#Sharepoint//FRS_Aux Electrical Supply</v>
      </c>
      <c r="K109" s="359"/>
      <c r="L109" s="359"/>
    </row>
    <row r="110" spans="1:12" s="8" customFormat="1" hidden="1" outlineLevel="2" x14ac:dyDescent="0.25">
      <c r="B110" s="59"/>
      <c r="C110" s="160"/>
      <c r="D110" s="365"/>
      <c r="E110" s="366" t="s">
        <v>19</v>
      </c>
      <c r="F110" s="365">
        <v>5</v>
      </c>
      <c r="G110" s="365"/>
      <c r="H110" s="365">
        <v>5</v>
      </c>
      <c r="I110" s="365">
        <v>5</v>
      </c>
      <c r="J110" s="365">
        <v>6</v>
      </c>
      <c r="K110" s="365"/>
      <c r="L110" s="365"/>
    </row>
    <row r="111" spans="1:12" s="8" customFormat="1" ht="360" hidden="1" customHeight="1" outlineLevel="2" x14ac:dyDescent="0.25">
      <c r="B111" s="59"/>
      <c r="C111" s="161"/>
      <c r="D111" s="233"/>
      <c r="E111" s="234" t="s">
        <v>34</v>
      </c>
      <c r="F111" s="239" t="s">
        <v>154</v>
      </c>
      <c r="G111" s="235"/>
      <c r="H111" s="239" t="s">
        <v>155</v>
      </c>
      <c r="I111" s="239" t="s">
        <v>156</v>
      </c>
      <c r="J111" s="239" t="s">
        <v>157</v>
      </c>
      <c r="K111" s="235"/>
      <c r="L111" s="236"/>
    </row>
    <row r="112" spans="1:12" s="8" customFormat="1" x14ac:dyDescent="0.25">
      <c r="A112" s="353" t="s">
        <v>158</v>
      </c>
      <c r="B112" s="360"/>
      <c r="C112" s="181"/>
      <c r="D112" s="355" t="s">
        <v>15</v>
      </c>
      <c r="E112" s="356"/>
      <c r="F112" s="357"/>
      <c r="G112" s="357"/>
      <c r="H112" s="357"/>
      <c r="I112" s="357"/>
      <c r="J112" s="357"/>
      <c r="K112" s="357"/>
      <c r="L112" s="358"/>
    </row>
    <row r="113" spans="1:12" s="8" customFormat="1" outlineLevel="1" collapsed="1" x14ac:dyDescent="0.25">
      <c r="B113" s="59"/>
      <c r="C113" s="338" t="s">
        <v>16</v>
      </c>
      <c r="D113" s="361" t="s">
        <v>153</v>
      </c>
      <c r="E113" s="362" t="s">
        <v>18</v>
      </c>
      <c r="F113" s="340" t="str">
        <f t="array" aca="1" ref="F113" ca="1">HYPERLINK(CONCATENATE(Cartelle!$D$5,F$1,"/",$C113,"/",MID($D113,1,FIND("_",$D113)-1),"/",INDIRECT(CONCATENATE("'" &amp; $C113 &amp; "'!",ADDRESS(MATCH($D113, INDIRECT("'" &amp; $C113 &amp; "'!$B:$B"), 0),MATCH(F$1, INDIRECT("'" &amp; $C113 &amp; "'!$1:$1"), 0)))),".",INDIRECT(CONCATENATE("'"&amp;$C113&amp;"'!",ADDRESS(MATCH($D113,INDIRECT("'"&amp;$C113&amp;"'!$B:$B"),0),3))),"#page=",F114),CONCATENATE("#Sharepoint//",$D113))</f>
        <v>#Sharepoint//FRS_Aux Electrical Supply</v>
      </c>
      <c r="G113" s="340"/>
      <c r="H113" s="340" t="str">
        <f t="array" aca="1" ref="H113" ca="1">HYPERLINK(CONCATENATE(Cartelle!$D$5,INDEX(INDIRECT("'" &amp; $C113 &amp; "'!$1:$1"), 1, MATCH(INDIRECT(CONCATENATE("'" &amp; $C113 &amp; "'!",ADDRESS(MATCH($D113, INDIRECT("'" &amp; $C113 &amp; "'!$B:$B"), 0),MATCH(H$1, INDIRECT("'" &amp; $C113 &amp; "'!$1:$1"), 0)))),INDIRECT(CONCATENATE("'" &amp; $C113 &amp; "'!",MATCH($D113, INDIRECT("'" &amp; $C113 &amp; "'!$B:$B"), 0),":",MATCH($D113, INDIRECT("'" &amp; $C113 &amp; "'!$B:$B"), 0))),0)),"/",$C113,"/",MID($D113,1,FIND("_",$D113)-1),"/",INDIRECT(CONCATENATE("'" &amp; $C113 &amp; "'!",ADDRESS(MATCH($D113, INDIRECT("'" &amp; $C113 &amp; "'!$B:$B"), 0),MATCH(H$1, INDIRECT("'" &amp; $C113 &amp; "'!$1:$1"), 0)))),".",INDIRECT(CONCATENATE("'"&amp;$C113&amp;"'!",ADDRESS(MATCH($D113,INDIRECT("'"&amp;$C113&amp;"'!$B:$B"),0),3))),"#page=",H114),CONCATENATE("#Sharepoint//",$D113))</f>
        <v>#Sharepoint//FRS_Aux Electrical Supply</v>
      </c>
      <c r="I113" s="340" t="str">
        <f t="array" aca="1" ref="I113" ca="1">HYPERLINK(CONCATENATE(Cartelle!$D$5,INDEX(INDIRECT("'" &amp; $C113 &amp; "'!$1:$1"), 1, MATCH(INDIRECT(CONCATENATE("'" &amp; $C113 &amp; "'!",ADDRESS(MATCH($D113, INDIRECT("'" &amp; $C113 &amp; "'!$B:$B"), 0),MATCH(I$1, INDIRECT("'" &amp; $C113 &amp; "'!$1:$1"), 0)))),INDIRECT(CONCATENATE("'" &amp; $C113 &amp; "'!",MATCH($D113, INDIRECT("'" &amp; $C113 &amp; "'!$B:$B"), 0),":",MATCH($D113, INDIRECT("'" &amp; $C113 &amp; "'!$B:$B"), 0))),0)),"/",$C113,"/",MID($D113,1,FIND("_",$D113)-1),"/",INDIRECT(CONCATENATE("'" &amp; $C113 &amp; "'!",ADDRESS(MATCH($D113, INDIRECT("'" &amp; $C113 &amp; "'!$B:$B"), 0),MATCH(I$1, INDIRECT("'" &amp; $C113 &amp; "'!$1:$1"), 0)))),".",INDIRECT(CONCATENATE("'"&amp;$C113&amp;"'!",ADDRESS(MATCH($D113,INDIRECT("'"&amp;$C113&amp;"'!$B:$B"),0),3))),"#page=",I114),CONCATENATE("#Sharepoint//",$D113))</f>
        <v>#Sharepoint//FRS_Aux Electrical Supply</v>
      </c>
      <c r="J113" s="340" t="str">
        <f t="array" aca="1" ref="J113" ca="1">HYPERLINK(CONCATENATE(Cartelle!$D$5,INDEX(INDIRECT("'" &amp; $C113 &amp; "'!$1:$1"), 1, MATCH(INDIRECT(CONCATENATE("'" &amp; $C113 &amp; "'!",ADDRESS(MATCH($D113, INDIRECT("'" &amp; $C113 &amp; "'!$B:$B"), 0),MATCH(J$1, INDIRECT("'" &amp; $C113 &amp; "'!$1:$1"), 0)))),INDIRECT(CONCATENATE("'" &amp; $C113 &amp; "'!",MATCH($D113, INDIRECT("'" &amp; $C113 &amp; "'!$B:$B"), 0),":",MATCH($D113, INDIRECT("'" &amp; $C113 &amp; "'!$B:$B"), 0))),0)),"/",$C113,"/",MID($D113,1,FIND("_",$D113)-1),"/",INDIRECT(CONCATENATE("'" &amp; $C113 &amp; "'!",ADDRESS(MATCH($D113, INDIRECT("'" &amp; $C113 &amp; "'!$B:$B"), 0),MATCH(J$1, INDIRECT("'" &amp; $C113 &amp; "'!$1:$1"), 0)))),".",INDIRECT(CONCATENATE("'"&amp;$C113&amp;"'!",ADDRESS(MATCH($D113,INDIRECT("'"&amp;$C113&amp;"'!$B:$B"),0),3))),"#page=",J114),CONCATENATE("#Sharepoint//",$D113))</f>
        <v>#Sharepoint//FRS_Aux Electrical Supply</v>
      </c>
      <c r="K113" s="359"/>
      <c r="L113" s="359"/>
    </row>
    <row r="114" spans="1:12" s="8" customFormat="1" hidden="1" outlineLevel="2" x14ac:dyDescent="0.25">
      <c r="B114" s="59"/>
      <c r="C114" s="160"/>
      <c r="D114" s="365"/>
      <c r="E114" s="366" t="s">
        <v>19</v>
      </c>
      <c r="F114" s="365">
        <v>7</v>
      </c>
      <c r="G114" s="365"/>
      <c r="H114" s="365">
        <v>7</v>
      </c>
      <c r="I114" s="365">
        <v>7</v>
      </c>
      <c r="J114" s="365">
        <v>8</v>
      </c>
      <c r="K114" s="365"/>
      <c r="L114" s="365"/>
    </row>
    <row r="115" spans="1:12" s="8" customFormat="1" ht="409.5" hidden="1" customHeight="1" outlineLevel="2" x14ac:dyDescent="0.25">
      <c r="B115" s="59"/>
      <c r="C115" s="161"/>
      <c r="D115" s="233"/>
      <c r="E115" s="234" t="s">
        <v>34</v>
      </c>
      <c r="F115" s="239" t="s">
        <v>159</v>
      </c>
      <c r="G115" s="235"/>
      <c r="H115" s="239" t="s">
        <v>160</v>
      </c>
      <c r="I115" s="239" t="s">
        <v>161</v>
      </c>
      <c r="J115" s="239" t="s">
        <v>162</v>
      </c>
      <c r="K115" s="235"/>
      <c r="L115" s="236"/>
    </row>
    <row r="116" spans="1:12" s="8" customFormat="1" x14ac:dyDescent="0.25">
      <c r="A116" s="353" t="s">
        <v>163</v>
      </c>
      <c r="B116" s="360"/>
      <c r="C116" s="181"/>
      <c r="D116" s="355" t="s">
        <v>15</v>
      </c>
      <c r="E116" s="356"/>
      <c r="F116" s="357"/>
      <c r="G116" s="357"/>
      <c r="H116" s="357"/>
      <c r="I116" s="357"/>
      <c r="J116" s="357"/>
      <c r="K116" s="357"/>
      <c r="L116" s="358"/>
    </row>
    <row r="117" spans="1:12" s="8" customFormat="1" outlineLevel="1" collapsed="1" x14ac:dyDescent="0.25">
      <c r="B117" s="59"/>
      <c r="C117" s="338" t="s">
        <v>16</v>
      </c>
      <c r="D117" s="361" t="s">
        <v>153</v>
      </c>
      <c r="E117" s="362" t="s">
        <v>18</v>
      </c>
      <c r="F117" s="340" t="str">
        <f t="array" aca="1" ref="F117" ca="1">HYPERLINK(CONCATENATE(Cartelle!$D$5,F$1,"/",$C117,"/",MID($D117,1,FIND("_",$D117)-1),"/",INDIRECT(CONCATENATE("'" &amp; $C117 &amp; "'!",ADDRESS(MATCH($D117, INDIRECT("'" &amp; $C117 &amp; "'!$B:$B"), 0),MATCH(F$1, INDIRECT("'" &amp; $C117 &amp; "'!$1:$1"), 0)))),".",INDIRECT(CONCATENATE("'"&amp;$C117&amp;"'!",ADDRESS(MATCH($D117,INDIRECT("'"&amp;$C117&amp;"'!$B:$B"),0),3))),"#page=",F118),CONCATENATE("#Sharepoint//",$D117))</f>
        <v>#Sharepoint//FRS_Aux Electrical Supply</v>
      </c>
      <c r="G117" s="340"/>
      <c r="H117" s="340" t="str">
        <f t="array" aca="1" ref="H117" ca="1">HYPERLINK(CONCATENATE(Cartelle!$D$5,INDEX(INDIRECT("'" &amp; $C117 &amp; "'!$1:$1"), 1, MATCH(INDIRECT(CONCATENATE("'" &amp; $C117 &amp; "'!",ADDRESS(MATCH($D117, INDIRECT("'" &amp; $C117 &amp; "'!$B:$B"), 0),MATCH(H$1, INDIRECT("'" &amp; $C117 &amp; "'!$1:$1"), 0)))),INDIRECT(CONCATENATE("'" &amp; $C117 &amp; "'!",MATCH($D117, INDIRECT("'" &amp; $C117 &amp; "'!$B:$B"), 0),":",MATCH($D117, INDIRECT("'" &amp; $C117 &amp; "'!$B:$B"), 0))),0)),"/",$C117,"/",MID($D117,1,FIND("_",$D117)-1),"/",INDIRECT(CONCATENATE("'" &amp; $C117 &amp; "'!",ADDRESS(MATCH($D117, INDIRECT("'" &amp; $C117 &amp; "'!$B:$B"), 0),MATCH(H$1, INDIRECT("'" &amp; $C117 &amp; "'!$1:$1"), 0)))),".",INDIRECT(CONCATENATE("'"&amp;$C117&amp;"'!",ADDRESS(MATCH($D117,INDIRECT("'"&amp;$C117&amp;"'!$B:$B"),0),3))),"#page=",H118),CONCATENATE("#Sharepoint//",$D117))</f>
        <v>#Sharepoint//FRS_Aux Electrical Supply</v>
      </c>
      <c r="I117" s="340" t="str">
        <f t="array" aca="1" ref="I117" ca="1">HYPERLINK(CONCATENATE(Cartelle!$D$5,INDEX(INDIRECT("'" &amp; $C117 &amp; "'!$1:$1"), 1, MATCH(INDIRECT(CONCATENATE("'" &amp; $C117 &amp; "'!",ADDRESS(MATCH($D117, INDIRECT("'" &amp; $C117 &amp; "'!$B:$B"), 0),MATCH(I$1, INDIRECT("'" &amp; $C117 &amp; "'!$1:$1"), 0)))),INDIRECT(CONCATENATE("'" &amp; $C117 &amp; "'!",MATCH($D117, INDIRECT("'" &amp; $C117 &amp; "'!$B:$B"), 0),":",MATCH($D117, INDIRECT("'" &amp; $C117 &amp; "'!$B:$B"), 0))),0)),"/",$C117,"/",MID($D117,1,FIND("_",$D117)-1),"/",INDIRECT(CONCATENATE("'" &amp; $C117 &amp; "'!",ADDRESS(MATCH($D117, INDIRECT("'" &amp; $C117 &amp; "'!$B:$B"), 0),MATCH(I$1, INDIRECT("'" &amp; $C117 &amp; "'!$1:$1"), 0)))),".",INDIRECT(CONCATENATE("'"&amp;$C117&amp;"'!",ADDRESS(MATCH($D117,INDIRECT("'"&amp;$C117&amp;"'!$B:$B"),0),3))),"#page=",I118),CONCATENATE("#Sharepoint//",$D117))</f>
        <v>#Sharepoint//FRS_Aux Electrical Supply</v>
      </c>
      <c r="J117" s="340" t="str">
        <f t="array" aca="1" ref="J117" ca="1">HYPERLINK(CONCATENATE(Cartelle!$D$5,INDEX(INDIRECT("'" &amp; $C117 &amp; "'!$1:$1"), 1, MATCH(INDIRECT(CONCATENATE("'" &amp; $C117 &amp; "'!",ADDRESS(MATCH($D117, INDIRECT("'" &amp; $C117 &amp; "'!$B:$B"), 0),MATCH(J$1, INDIRECT("'" &amp; $C117 &amp; "'!$1:$1"), 0)))),INDIRECT(CONCATENATE("'" &amp; $C117 &amp; "'!",MATCH($D117, INDIRECT("'" &amp; $C117 &amp; "'!$B:$B"), 0),":",MATCH($D117, INDIRECT("'" &amp; $C117 &amp; "'!$B:$B"), 0))),0)),"/",$C117,"/",MID($D117,1,FIND("_",$D117)-1),"/",INDIRECT(CONCATENATE("'" &amp; $C117 &amp; "'!",ADDRESS(MATCH($D117, INDIRECT("'" &amp; $C117 &amp; "'!$B:$B"), 0),MATCH(J$1, INDIRECT("'" &amp; $C117 &amp; "'!$1:$1"), 0)))),".",INDIRECT(CONCATENATE("'"&amp;$C117&amp;"'!",ADDRESS(MATCH($D117,INDIRECT("'"&amp;$C117&amp;"'!$B:$B"),0),3))),"#page=",J118),CONCATENATE("#Sharepoint//",$D117))</f>
        <v>#Sharepoint//FRS_Aux Electrical Supply</v>
      </c>
      <c r="K117" s="359"/>
      <c r="L117" s="359"/>
    </row>
    <row r="118" spans="1:12" s="8" customFormat="1" hidden="1" outlineLevel="2" x14ac:dyDescent="0.25">
      <c r="B118" s="59"/>
      <c r="C118" s="160"/>
      <c r="D118" s="365"/>
      <c r="E118" s="366" t="s">
        <v>19</v>
      </c>
      <c r="F118" s="365">
        <v>9</v>
      </c>
      <c r="G118" s="365"/>
      <c r="H118" s="365">
        <v>9</v>
      </c>
      <c r="I118" s="365">
        <v>9</v>
      </c>
      <c r="J118" s="365">
        <v>9</v>
      </c>
      <c r="K118" s="365"/>
      <c r="L118" s="365"/>
    </row>
    <row r="119" spans="1:12" s="8" customFormat="1" ht="345" hidden="1" customHeight="1" outlineLevel="2" x14ac:dyDescent="0.25">
      <c r="B119" s="59"/>
      <c r="C119" s="161"/>
      <c r="D119" s="233"/>
      <c r="E119" s="234" t="s">
        <v>34</v>
      </c>
      <c r="F119" s="239" t="s">
        <v>164</v>
      </c>
      <c r="G119" s="235"/>
      <c r="H119" s="239" t="s">
        <v>165</v>
      </c>
      <c r="I119" s="239" t="s">
        <v>166</v>
      </c>
      <c r="J119" s="239" t="s">
        <v>167</v>
      </c>
      <c r="K119" s="235"/>
      <c r="L119" s="236"/>
    </row>
    <row r="120" spans="1:12" s="8" customFormat="1" x14ac:dyDescent="0.25">
      <c r="A120" s="353" t="s">
        <v>168</v>
      </c>
      <c r="B120" s="360"/>
      <c r="C120" s="181"/>
      <c r="D120" s="355" t="s">
        <v>15</v>
      </c>
      <c r="E120" s="356"/>
      <c r="F120" s="357"/>
      <c r="G120" s="357"/>
      <c r="H120" s="357"/>
      <c r="I120" s="357"/>
      <c r="J120" s="357"/>
      <c r="K120" s="357"/>
      <c r="L120" s="358"/>
    </row>
    <row r="121" spans="1:12" s="8" customFormat="1" outlineLevel="1" collapsed="1" x14ac:dyDescent="0.25">
      <c r="B121" s="59"/>
      <c r="C121" s="338" t="s">
        <v>16</v>
      </c>
      <c r="D121" s="361" t="s">
        <v>153</v>
      </c>
      <c r="E121" s="362" t="s">
        <v>18</v>
      </c>
      <c r="F121" s="340" t="str">
        <f t="array" aca="1" ref="F121" ca="1">HYPERLINK(CONCATENATE(Cartelle!$D$5,F$1,"/",$C121,"/",MID($D121,1,FIND("_",$D121)-1),"/",INDIRECT(CONCATENATE("'" &amp; $C121 &amp; "'!",ADDRESS(MATCH($D121, INDIRECT("'" &amp; $C121 &amp; "'!$B:$B"), 0),MATCH(F$1, INDIRECT("'" &amp; $C121 &amp; "'!$1:$1"), 0)))),".",INDIRECT(CONCATENATE("'"&amp;$C121&amp;"'!",ADDRESS(MATCH($D121,INDIRECT("'"&amp;$C121&amp;"'!$B:$B"),0),3))),"#page=",F122),CONCATENATE("#Sharepoint//",$D121))</f>
        <v>#Sharepoint//FRS_Aux Electrical Supply</v>
      </c>
      <c r="G121" s="340"/>
      <c r="H121" s="340" t="str">
        <f t="array" aca="1" ref="H121" ca="1">HYPERLINK(CONCATENATE(Cartelle!$D$5,INDEX(INDIRECT("'" &amp; $C121 &amp; "'!$1:$1"), 1, MATCH(INDIRECT(CONCATENATE("'" &amp; $C121 &amp; "'!",ADDRESS(MATCH($D121, INDIRECT("'" &amp; $C121 &amp; "'!$B:$B"), 0),MATCH(H$1, INDIRECT("'" &amp; $C121 &amp; "'!$1:$1"), 0)))),INDIRECT(CONCATENATE("'" &amp; $C121 &amp; "'!",MATCH($D121, INDIRECT("'" &amp; $C121 &amp; "'!$B:$B"), 0),":",MATCH($D121, INDIRECT("'" &amp; $C121 &amp; "'!$B:$B"), 0))),0)),"/",$C121,"/",MID($D121,1,FIND("_",$D121)-1),"/",INDIRECT(CONCATENATE("'" &amp; $C121 &amp; "'!",ADDRESS(MATCH($D121, INDIRECT("'" &amp; $C121 &amp; "'!$B:$B"), 0),MATCH(H$1, INDIRECT("'" &amp; $C121 &amp; "'!$1:$1"), 0)))),".",INDIRECT(CONCATENATE("'"&amp;$C121&amp;"'!",ADDRESS(MATCH($D121,INDIRECT("'"&amp;$C121&amp;"'!$B:$B"),0),3))),"#page=",H122),CONCATENATE("#Sharepoint//",$D121))</f>
        <v>#Sharepoint//FRS_Aux Electrical Supply</v>
      </c>
      <c r="I121" s="340" t="str">
        <f t="array" aca="1" ref="I121" ca="1">HYPERLINK(CONCATENATE(Cartelle!$D$5,INDEX(INDIRECT("'" &amp; $C121 &amp; "'!$1:$1"), 1, MATCH(INDIRECT(CONCATENATE("'" &amp; $C121 &amp; "'!",ADDRESS(MATCH($D121, INDIRECT("'" &amp; $C121 &amp; "'!$B:$B"), 0),MATCH(I$1, INDIRECT("'" &amp; $C121 &amp; "'!$1:$1"), 0)))),INDIRECT(CONCATENATE("'" &amp; $C121 &amp; "'!",MATCH($D121, INDIRECT("'" &amp; $C121 &amp; "'!$B:$B"), 0),":",MATCH($D121, INDIRECT("'" &amp; $C121 &amp; "'!$B:$B"), 0))),0)),"/",$C121,"/",MID($D121,1,FIND("_",$D121)-1),"/",INDIRECT(CONCATENATE("'" &amp; $C121 &amp; "'!",ADDRESS(MATCH($D121, INDIRECT("'" &amp; $C121 &amp; "'!$B:$B"), 0),MATCH(I$1, INDIRECT("'" &amp; $C121 &amp; "'!$1:$1"), 0)))),".",INDIRECT(CONCATENATE("'"&amp;$C121&amp;"'!",ADDRESS(MATCH($D121,INDIRECT("'"&amp;$C121&amp;"'!$B:$B"),0),3))),"#page=",I122),CONCATENATE("#Sharepoint//",$D121))</f>
        <v>#Sharepoint//FRS_Aux Electrical Supply</v>
      </c>
      <c r="J121" s="340" t="str">
        <f t="array" aca="1" ref="J121" ca="1">HYPERLINK(CONCATENATE(Cartelle!$D$5,INDEX(INDIRECT("'" &amp; $C121 &amp; "'!$1:$1"), 1, MATCH(INDIRECT(CONCATENATE("'" &amp; $C121 &amp; "'!",ADDRESS(MATCH($D121, INDIRECT("'" &amp; $C121 &amp; "'!$B:$B"), 0),MATCH(J$1, INDIRECT("'" &amp; $C121 &amp; "'!$1:$1"), 0)))),INDIRECT(CONCATENATE("'" &amp; $C121 &amp; "'!",MATCH($D121, INDIRECT("'" &amp; $C121 &amp; "'!$B:$B"), 0),":",MATCH($D121, INDIRECT("'" &amp; $C121 &amp; "'!$B:$B"), 0))),0)),"/",$C121,"/",MID($D121,1,FIND("_",$D121)-1),"/",INDIRECT(CONCATENATE("'" &amp; $C121 &amp; "'!",ADDRESS(MATCH($D121, INDIRECT("'" &amp; $C121 &amp; "'!$B:$B"), 0),MATCH(J$1, INDIRECT("'" &amp; $C121 &amp; "'!$1:$1"), 0)))),".",INDIRECT(CONCATENATE("'"&amp;$C121&amp;"'!",ADDRESS(MATCH($D121,INDIRECT("'"&amp;$C121&amp;"'!$B:$B"),0),3))),"#page=",J122),CONCATENATE("#Sharepoint//",$D121))</f>
        <v>#Sharepoint//FRS_Aux Electrical Supply</v>
      </c>
      <c r="K121" s="359"/>
      <c r="L121" s="359"/>
    </row>
    <row r="122" spans="1:12" s="8" customFormat="1" hidden="1" outlineLevel="2" x14ac:dyDescent="0.25">
      <c r="B122" s="59"/>
      <c r="C122" s="160"/>
      <c r="D122" s="365"/>
      <c r="E122" s="366" t="s">
        <v>19</v>
      </c>
      <c r="F122" s="365">
        <v>10</v>
      </c>
      <c r="G122" s="365"/>
      <c r="H122" s="365">
        <v>10</v>
      </c>
      <c r="I122" s="365">
        <v>10</v>
      </c>
      <c r="J122" s="365">
        <v>10</v>
      </c>
      <c r="K122" s="365"/>
      <c r="L122" s="365"/>
    </row>
    <row r="123" spans="1:12" s="8" customFormat="1" ht="375" hidden="1" customHeight="1" outlineLevel="2" x14ac:dyDescent="0.25">
      <c r="B123" s="59"/>
      <c r="C123" s="161"/>
      <c r="D123" s="233"/>
      <c r="E123" s="234" t="s">
        <v>34</v>
      </c>
      <c r="F123" s="239" t="s">
        <v>169</v>
      </c>
      <c r="G123" s="235"/>
      <c r="H123" s="239" t="s">
        <v>170</v>
      </c>
      <c r="I123" s="239" t="s">
        <v>171</v>
      </c>
      <c r="J123" s="239" t="s">
        <v>172</v>
      </c>
      <c r="K123" s="235"/>
      <c r="L123" s="236"/>
    </row>
    <row r="124" spans="1:12" s="8" customFormat="1" x14ac:dyDescent="0.25">
      <c r="A124" s="353" t="s">
        <v>173</v>
      </c>
      <c r="B124" s="360"/>
      <c r="C124" s="181"/>
      <c r="D124" s="355" t="s">
        <v>15</v>
      </c>
      <c r="E124" s="356"/>
      <c r="F124" s="357"/>
      <c r="G124" s="357"/>
      <c r="H124" s="357"/>
      <c r="I124" s="357"/>
      <c r="J124" s="357"/>
      <c r="K124" s="357"/>
      <c r="L124" s="358"/>
    </row>
    <row r="125" spans="1:12" s="8" customFormat="1" outlineLevel="1" collapsed="1" x14ac:dyDescent="0.25">
      <c r="B125" s="59"/>
      <c r="C125" s="338" t="s">
        <v>16</v>
      </c>
      <c r="D125" s="361" t="s">
        <v>153</v>
      </c>
      <c r="E125" s="362" t="s">
        <v>18</v>
      </c>
      <c r="F125" s="340" t="str">
        <f t="array" aca="1" ref="F125" ca="1">HYPERLINK(CONCATENATE(Cartelle!$D$5,F$1,"/",$C125,"/",MID($D125,1,FIND("_",$D125)-1),"/",INDIRECT(CONCATENATE("'" &amp; $C125 &amp; "'!",ADDRESS(MATCH($D125, INDIRECT("'" &amp; $C125 &amp; "'!$B:$B"), 0),MATCH(F$1, INDIRECT("'" &amp; $C125 &amp; "'!$1:$1"), 0)))),".",INDIRECT(CONCATENATE("'"&amp;$C125&amp;"'!",ADDRESS(MATCH($D125,INDIRECT("'"&amp;$C125&amp;"'!$B:$B"),0),3))),"#page=",F126),CONCATENATE("#Sharepoint//",$D125))</f>
        <v>#Sharepoint//FRS_Aux Electrical Supply</v>
      </c>
      <c r="G125" s="340"/>
      <c r="H125" s="340" t="str">
        <f t="array" aca="1" ref="H125" ca="1">HYPERLINK(CONCATENATE(Cartelle!$D$5,INDEX(INDIRECT("'" &amp; $C125 &amp; "'!$1:$1"), 1, MATCH(INDIRECT(CONCATENATE("'" &amp; $C125 &amp; "'!",ADDRESS(MATCH($D125, INDIRECT("'" &amp; $C125 &amp; "'!$B:$B"), 0),MATCH(H$1, INDIRECT("'" &amp; $C125 &amp; "'!$1:$1"), 0)))),INDIRECT(CONCATENATE("'" &amp; $C125 &amp; "'!",MATCH($D125, INDIRECT("'" &amp; $C125 &amp; "'!$B:$B"), 0),":",MATCH($D125, INDIRECT("'" &amp; $C125 &amp; "'!$B:$B"), 0))),0)),"/",$C125,"/",MID($D125,1,FIND("_",$D125)-1),"/",INDIRECT(CONCATENATE("'" &amp; $C125 &amp; "'!",ADDRESS(MATCH($D125, INDIRECT("'" &amp; $C125 &amp; "'!$B:$B"), 0),MATCH(H$1, INDIRECT("'" &amp; $C125 &amp; "'!$1:$1"), 0)))),".",INDIRECT(CONCATENATE("'"&amp;$C125&amp;"'!",ADDRESS(MATCH($D125,INDIRECT("'"&amp;$C125&amp;"'!$B:$B"),0),3))),"#page=",H126),CONCATENATE("#Sharepoint//",$D125))</f>
        <v>#Sharepoint//FRS_Aux Electrical Supply</v>
      </c>
      <c r="I125" s="340" t="str">
        <f t="array" aca="1" ref="I125" ca="1">HYPERLINK(CONCATENATE(Cartelle!$D$5,INDEX(INDIRECT("'" &amp; $C125 &amp; "'!$1:$1"), 1, MATCH(INDIRECT(CONCATENATE("'" &amp; $C125 &amp; "'!",ADDRESS(MATCH($D125, INDIRECT("'" &amp; $C125 &amp; "'!$B:$B"), 0),MATCH(I$1, INDIRECT("'" &amp; $C125 &amp; "'!$1:$1"), 0)))),INDIRECT(CONCATENATE("'" &amp; $C125 &amp; "'!",MATCH($D125, INDIRECT("'" &amp; $C125 &amp; "'!$B:$B"), 0),":",MATCH($D125, INDIRECT("'" &amp; $C125 &amp; "'!$B:$B"), 0))),0)),"/",$C125,"/",MID($D125,1,FIND("_",$D125)-1),"/",INDIRECT(CONCATENATE("'" &amp; $C125 &amp; "'!",ADDRESS(MATCH($D125, INDIRECT("'" &amp; $C125 &amp; "'!$B:$B"), 0),MATCH(I$1, INDIRECT("'" &amp; $C125 &amp; "'!$1:$1"), 0)))),".",INDIRECT(CONCATENATE("'"&amp;$C125&amp;"'!",ADDRESS(MATCH($D125,INDIRECT("'"&amp;$C125&amp;"'!$B:$B"),0),3))),"#page=",I126),CONCATENATE("#Sharepoint//",$D125))</f>
        <v>#Sharepoint//FRS_Aux Electrical Supply</v>
      </c>
      <c r="J125" s="340" t="str">
        <f t="array" aca="1" ref="J125" ca="1">HYPERLINK(CONCATENATE(Cartelle!$D$5,INDEX(INDIRECT("'" &amp; $C125 &amp; "'!$1:$1"), 1, MATCH(INDIRECT(CONCATENATE("'" &amp; $C125 &amp; "'!",ADDRESS(MATCH($D125, INDIRECT("'" &amp; $C125 &amp; "'!$B:$B"), 0),MATCH(J$1, INDIRECT("'" &amp; $C125 &amp; "'!$1:$1"), 0)))),INDIRECT(CONCATENATE("'" &amp; $C125 &amp; "'!",MATCH($D125, INDIRECT("'" &amp; $C125 &amp; "'!$B:$B"), 0),":",MATCH($D125, INDIRECT("'" &amp; $C125 &amp; "'!$B:$B"), 0))),0)),"/",$C125,"/",MID($D125,1,FIND("_",$D125)-1),"/",INDIRECT(CONCATENATE("'" &amp; $C125 &amp; "'!",ADDRESS(MATCH($D125, INDIRECT("'" &amp; $C125 &amp; "'!$B:$B"), 0),MATCH(J$1, INDIRECT("'" &amp; $C125 &amp; "'!$1:$1"), 0)))),".",INDIRECT(CONCATENATE("'"&amp;$C125&amp;"'!",ADDRESS(MATCH($D125,INDIRECT("'"&amp;$C125&amp;"'!$B:$B"),0),3))),"#page=",J126),CONCATENATE("#Sharepoint//",$D125))</f>
        <v>#Sharepoint//FRS_Aux Electrical Supply</v>
      </c>
      <c r="K125" s="359"/>
      <c r="L125" s="359"/>
    </row>
    <row r="126" spans="1:12" s="8" customFormat="1" hidden="1" outlineLevel="2" x14ac:dyDescent="0.25">
      <c r="B126" s="59"/>
      <c r="C126" s="160"/>
      <c r="D126" s="365"/>
      <c r="E126" s="366" t="s">
        <v>19</v>
      </c>
      <c r="F126" s="365">
        <v>18</v>
      </c>
      <c r="G126" s="365"/>
      <c r="H126" s="365">
        <v>19</v>
      </c>
      <c r="I126" s="365">
        <v>18</v>
      </c>
      <c r="J126" s="365">
        <v>18</v>
      </c>
      <c r="K126" s="365"/>
      <c r="L126" s="365"/>
    </row>
    <row r="127" spans="1:12" s="8" customFormat="1" ht="315" hidden="1" customHeight="1" outlineLevel="2" x14ac:dyDescent="0.25">
      <c r="B127" s="59"/>
      <c r="C127" s="161"/>
      <c r="D127" s="233"/>
      <c r="E127" s="234" t="s">
        <v>34</v>
      </c>
      <c r="F127" s="239" t="s">
        <v>174</v>
      </c>
      <c r="G127" s="235"/>
      <c r="H127" s="239" t="s">
        <v>175</v>
      </c>
      <c r="I127" s="239" t="s">
        <v>176</v>
      </c>
      <c r="J127" s="239" t="s">
        <v>177</v>
      </c>
      <c r="K127" s="235"/>
      <c r="L127" s="236"/>
    </row>
    <row r="128" spans="1:12" s="8" customFormat="1" x14ac:dyDescent="0.25">
      <c r="A128" s="353" t="s">
        <v>178</v>
      </c>
      <c r="B128" s="360"/>
      <c r="C128" s="181"/>
      <c r="D128" s="355" t="s">
        <v>15</v>
      </c>
      <c r="E128" s="356"/>
      <c r="F128" s="357"/>
      <c r="G128" s="357"/>
      <c r="H128" s="357"/>
      <c r="I128" s="357"/>
      <c r="J128" s="357"/>
      <c r="K128" s="357"/>
      <c r="L128" s="358"/>
    </row>
    <row r="129" spans="1:12" s="8" customFormat="1" outlineLevel="1" collapsed="1" x14ac:dyDescent="0.25">
      <c r="B129" s="59"/>
      <c r="C129" s="338" t="s">
        <v>16</v>
      </c>
      <c r="D129" s="361" t="s">
        <v>153</v>
      </c>
      <c r="E129" s="362" t="s">
        <v>18</v>
      </c>
      <c r="F129" s="340" t="str">
        <f t="array" aca="1" ref="F129" ca="1">HYPERLINK(CONCATENATE(Cartelle!$D$5,F$1,"/",$C129,"/",MID($D129,1,FIND("_",$D129)-1),"/",INDIRECT(CONCATENATE("'" &amp; $C129 &amp; "'!",ADDRESS(MATCH($D129, INDIRECT("'" &amp; $C129 &amp; "'!$B:$B"), 0),MATCH(F$1, INDIRECT("'" &amp; $C129 &amp; "'!$1:$1"), 0)))),".",INDIRECT(CONCATENATE("'"&amp;$C129&amp;"'!",ADDRESS(MATCH($D129,INDIRECT("'"&amp;$C129&amp;"'!$B:$B"),0),3))),"#page=",F130),CONCATENATE("#Sharepoint//",$D129))</f>
        <v>#Sharepoint//FRS_Aux Electrical Supply</v>
      </c>
      <c r="G129" s="340"/>
      <c r="H129" s="340" t="str">
        <f t="array" aca="1" ref="H129" ca="1">HYPERLINK(CONCATENATE(Cartelle!$D$5,INDEX(INDIRECT("'" &amp; $C129 &amp; "'!$1:$1"), 1, MATCH(INDIRECT(CONCATENATE("'" &amp; $C129 &amp; "'!",ADDRESS(MATCH($D129, INDIRECT("'" &amp; $C129 &amp; "'!$B:$B"), 0),MATCH(H$1, INDIRECT("'" &amp; $C129 &amp; "'!$1:$1"), 0)))),INDIRECT(CONCATENATE("'" &amp; $C129 &amp; "'!",MATCH($D129, INDIRECT("'" &amp; $C129 &amp; "'!$B:$B"), 0),":",MATCH($D129, INDIRECT("'" &amp; $C129 &amp; "'!$B:$B"), 0))),0)),"/",$C129,"/",MID($D129,1,FIND("_",$D129)-1),"/",INDIRECT(CONCATENATE("'" &amp; $C129 &amp; "'!",ADDRESS(MATCH($D129, INDIRECT("'" &amp; $C129 &amp; "'!$B:$B"), 0),MATCH(H$1, INDIRECT("'" &amp; $C129 &amp; "'!$1:$1"), 0)))),".",INDIRECT(CONCATENATE("'"&amp;$C129&amp;"'!",ADDRESS(MATCH($D129,INDIRECT("'"&amp;$C129&amp;"'!$B:$B"),0),3))),"#page=",H130),CONCATENATE("#Sharepoint//",$D129))</f>
        <v>#Sharepoint//FRS_Aux Electrical Supply</v>
      </c>
      <c r="I129" s="340" t="str">
        <f t="array" aca="1" ref="I129" ca="1">HYPERLINK(CONCATENATE(Cartelle!$D$5,INDEX(INDIRECT("'" &amp; $C129 &amp; "'!$1:$1"), 1, MATCH(INDIRECT(CONCATENATE("'" &amp; $C129 &amp; "'!",ADDRESS(MATCH($D129, INDIRECT("'" &amp; $C129 &amp; "'!$B:$B"), 0),MATCH(I$1, INDIRECT("'" &amp; $C129 &amp; "'!$1:$1"), 0)))),INDIRECT(CONCATENATE("'" &amp; $C129 &amp; "'!",MATCH($D129, INDIRECT("'" &amp; $C129 &amp; "'!$B:$B"), 0),":",MATCH($D129, INDIRECT("'" &amp; $C129 &amp; "'!$B:$B"), 0))),0)),"/",$C129,"/",MID($D129,1,FIND("_",$D129)-1),"/",INDIRECT(CONCATENATE("'" &amp; $C129 &amp; "'!",ADDRESS(MATCH($D129, INDIRECT("'" &amp; $C129 &amp; "'!$B:$B"), 0),MATCH(I$1, INDIRECT("'" &amp; $C129 &amp; "'!$1:$1"), 0)))),".",INDIRECT(CONCATENATE("'"&amp;$C129&amp;"'!",ADDRESS(MATCH($D129,INDIRECT("'"&amp;$C129&amp;"'!$B:$B"),0),3))),"#page=",I130),CONCATENATE("#Sharepoint//",$D129))</f>
        <v>#Sharepoint//FRS_Aux Electrical Supply</v>
      </c>
      <c r="J129" s="340" t="str">
        <f t="array" aca="1" ref="J129" ca="1">HYPERLINK(CONCATENATE(Cartelle!$D$5,INDEX(INDIRECT("'" &amp; $C129 &amp; "'!$1:$1"), 1, MATCH(INDIRECT(CONCATENATE("'" &amp; $C129 &amp; "'!",ADDRESS(MATCH($D129, INDIRECT("'" &amp; $C129 &amp; "'!$B:$B"), 0),MATCH(J$1, INDIRECT("'" &amp; $C129 &amp; "'!$1:$1"), 0)))),INDIRECT(CONCATENATE("'" &amp; $C129 &amp; "'!",MATCH($D129, INDIRECT("'" &amp; $C129 &amp; "'!$B:$B"), 0),":",MATCH($D129, INDIRECT("'" &amp; $C129 &amp; "'!$B:$B"), 0))),0)),"/",$C129,"/",MID($D129,1,FIND("_",$D129)-1),"/",INDIRECT(CONCATENATE("'" &amp; $C129 &amp; "'!",ADDRESS(MATCH($D129, INDIRECT("'" &amp; $C129 &amp; "'!$B:$B"), 0),MATCH(J$1, INDIRECT("'" &amp; $C129 &amp; "'!$1:$1"), 0)))),".",INDIRECT(CONCATENATE("'"&amp;$C129&amp;"'!",ADDRESS(MATCH($D129,INDIRECT("'"&amp;$C129&amp;"'!$B:$B"),0),3))),"#page=",J130),CONCATENATE("#Sharepoint//",$D129))</f>
        <v>#Sharepoint//FRS_Aux Electrical Supply</v>
      </c>
      <c r="K129" s="359"/>
      <c r="L129" s="359"/>
    </row>
    <row r="130" spans="1:12" s="8" customFormat="1" hidden="1" outlineLevel="2" x14ac:dyDescent="0.25">
      <c r="B130" s="59"/>
      <c r="C130" s="160"/>
      <c r="D130" s="365"/>
      <c r="E130" s="366" t="s">
        <v>19</v>
      </c>
      <c r="F130" s="365">
        <v>22</v>
      </c>
      <c r="G130" s="365"/>
      <c r="H130" s="365">
        <v>23</v>
      </c>
      <c r="I130" s="365">
        <v>22</v>
      </c>
      <c r="J130" s="365">
        <v>22</v>
      </c>
      <c r="K130" s="365"/>
      <c r="L130" s="365"/>
    </row>
    <row r="131" spans="1:12" s="8" customFormat="1" ht="409.5" hidden="1" customHeight="1" outlineLevel="2" x14ac:dyDescent="0.25">
      <c r="B131" s="59"/>
      <c r="C131" s="161"/>
      <c r="D131" s="233"/>
      <c r="E131" s="234" t="s">
        <v>34</v>
      </c>
      <c r="F131" s="240" t="s">
        <v>179</v>
      </c>
      <c r="G131" s="235"/>
      <c r="H131" s="240" t="s">
        <v>180</v>
      </c>
      <c r="I131" s="240" t="s">
        <v>181</v>
      </c>
      <c r="J131" s="240" t="s">
        <v>182</v>
      </c>
      <c r="K131" s="235"/>
      <c r="L131" s="236"/>
    </row>
    <row r="132" spans="1:12" s="8" customFormat="1" x14ac:dyDescent="0.25">
      <c r="A132" s="353" t="s">
        <v>183</v>
      </c>
      <c r="B132" s="360"/>
      <c r="C132" s="181"/>
      <c r="D132" s="355" t="s">
        <v>15</v>
      </c>
      <c r="E132" s="356"/>
      <c r="F132" s="357"/>
      <c r="G132" s="357"/>
      <c r="H132" s="357"/>
      <c r="I132" s="357"/>
      <c r="J132" s="357"/>
      <c r="K132" s="357"/>
      <c r="L132" s="358"/>
    </row>
    <row r="133" spans="1:12" s="8" customFormat="1" outlineLevel="1" collapsed="1" x14ac:dyDescent="0.25">
      <c r="B133" s="59"/>
      <c r="C133" s="338" t="s">
        <v>16</v>
      </c>
      <c r="D133" s="361" t="s">
        <v>153</v>
      </c>
      <c r="E133" s="362" t="s">
        <v>18</v>
      </c>
      <c r="F133" s="340" t="str">
        <f t="array" aca="1" ref="F133" ca="1">HYPERLINK(CONCATENATE(Cartelle!$D$5,F$1,"/",$C133,"/",MID($D133,1,FIND("_",$D133)-1),"/",INDIRECT(CONCATENATE("'" &amp; $C133 &amp; "'!",ADDRESS(MATCH($D133, INDIRECT("'" &amp; $C133 &amp; "'!$B:$B"), 0),MATCH(F$1, INDIRECT("'" &amp; $C133 &amp; "'!$1:$1"), 0)))),".",INDIRECT(CONCATENATE("'"&amp;$C133&amp;"'!",ADDRESS(MATCH($D133,INDIRECT("'"&amp;$C133&amp;"'!$B:$B"),0),3))),"#page=",F134),CONCATENATE("#Sharepoint//",$D133))</f>
        <v>#Sharepoint//FRS_Aux Electrical Supply</v>
      </c>
      <c r="G133" s="340"/>
      <c r="H133" s="340" t="str">
        <f t="array" aca="1" ref="H133" ca="1">HYPERLINK(CONCATENATE(Cartelle!$D$5,INDEX(INDIRECT("'" &amp; $C133 &amp; "'!$1:$1"), 1, MATCH(INDIRECT(CONCATENATE("'" &amp; $C133 &amp; "'!",ADDRESS(MATCH($D133, INDIRECT("'" &amp; $C133 &amp; "'!$B:$B"), 0),MATCH(H$1, INDIRECT("'" &amp; $C133 &amp; "'!$1:$1"), 0)))),INDIRECT(CONCATENATE("'" &amp; $C133 &amp; "'!",MATCH($D133, INDIRECT("'" &amp; $C133 &amp; "'!$B:$B"), 0),":",MATCH($D133, INDIRECT("'" &amp; $C133 &amp; "'!$B:$B"), 0))),0)),"/",$C133,"/",MID($D133,1,FIND("_",$D133)-1),"/",INDIRECT(CONCATENATE("'" &amp; $C133 &amp; "'!",ADDRESS(MATCH($D133, INDIRECT("'" &amp; $C133 &amp; "'!$B:$B"), 0),MATCH(H$1, INDIRECT("'" &amp; $C133 &amp; "'!$1:$1"), 0)))),".",INDIRECT(CONCATENATE("'"&amp;$C133&amp;"'!",ADDRESS(MATCH($D133,INDIRECT("'"&amp;$C133&amp;"'!$B:$B"),0),3))),"#page=",H134),CONCATENATE("#Sharepoint//",$D133))</f>
        <v>#Sharepoint//FRS_Aux Electrical Supply</v>
      </c>
      <c r="I133" s="340" t="str">
        <f t="array" aca="1" ref="I133" ca="1">HYPERLINK(CONCATENATE(Cartelle!$D$5,INDEX(INDIRECT("'" &amp; $C133 &amp; "'!$1:$1"), 1, MATCH(INDIRECT(CONCATENATE("'" &amp; $C133 &amp; "'!",ADDRESS(MATCH($D133, INDIRECT("'" &amp; $C133 &amp; "'!$B:$B"), 0),MATCH(I$1, INDIRECT("'" &amp; $C133 &amp; "'!$1:$1"), 0)))),INDIRECT(CONCATENATE("'" &amp; $C133 &amp; "'!",MATCH($D133, INDIRECT("'" &amp; $C133 &amp; "'!$B:$B"), 0),":",MATCH($D133, INDIRECT("'" &amp; $C133 &amp; "'!$B:$B"), 0))),0)),"/",$C133,"/",MID($D133,1,FIND("_",$D133)-1),"/",INDIRECT(CONCATENATE("'" &amp; $C133 &amp; "'!",ADDRESS(MATCH($D133, INDIRECT("'" &amp; $C133 &amp; "'!$B:$B"), 0),MATCH(I$1, INDIRECT("'" &amp; $C133 &amp; "'!$1:$1"), 0)))),".",INDIRECT(CONCATENATE("'"&amp;$C133&amp;"'!",ADDRESS(MATCH($D133,INDIRECT("'"&amp;$C133&amp;"'!$B:$B"),0),3))),"#page=",I134),CONCATENATE("#Sharepoint//",$D133))</f>
        <v>#Sharepoint//FRS_Aux Electrical Supply</v>
      </c>
      <c r="J133" s="340" t="str">
        <f t="array" aca="1" ref="J133" ca="1">HYPERLINK(CONCATENATE(Cartelle!$D$5,INDEX(INDIRECT("'" &amp; $C133 &amp; "'!$1:$1"), 1, MATCH(INDIRECT(CONCATENATE("'" &amp; $C133 &amp; "'!",ADDRESS(MATCH($D133, INDIRECT("'" &amp; $C133 &amp; "'!$B:$B"), 0),MATCH(J$1, INDIRECT("'" &amp; $C133 &amp; "'!$1:$1"), 0)))),INDIRECT(CONCATENATE("'" &amp; $C133 &amp; "'!",MATCH($D133, INDIRECT("'" &amp; $C133 &amp; "'!$B:$B"), 0),":",MATCH($D133, INDIRECT("'" &amp; $C133 &amp; "'!$B:$B"), 0))),0)),"/",$C133,"/",MID($D133,1,FIND("_",$D133)-1),"/",INDIRECT(CONCATENATE("'" &amp; $C133 &amp; "'!",ADDRESS(MATCH($D133, INDIRECT("'" &amp; $C133 &amp; "'!$B:$B"), 0),MATCH(J$1, INDIRECT("'" &amp; $C133 &amp; "'!$1:$1"), 0)))),".",INDIRECT(CONCATENATE("'"&amp;$C133&amp;"'!",ADDRESS(MATCH($D133,INDIRECT("'"&amp;$C133&amp;"'!$B:$B"),0),3))),"#page=",J134),CONCATENATE("#Sharepoint//",$D133))</f>
        <v>#Sharepoint//FRS_Aux Electrical Supply</v>
      </c>
      <c r="K133" s="359"/>
      <c r="L133" s="359"/>
    </row>
    <row r="134" spans="1:12" s="8" customFormat="1" hidden="1" outlineLevel="2" x14ac:dyDescent="0.25">
      <c r="B134" s="59"/>
      <c r="C134" s="160"/>
      <c r="D134" s="365"/>
      <c r="E134" s="366" t="s">
        <v>19</v>
      </c>
      <c r="F134" s="365">
        <v>23</v>
      </c>
      <c r="G134" s="365"/>
      <c r="H134" s="365">
        <v>24</v>
      </c>
      <c r="I134" s="365">
        <v>23</v>
      </c>
      <c r="J134" s="365">
        <v>23</v>
      </c>
      <c r="K134" s="365"/>
      <c r="L134" s="365"/>
    </row>
    <row r="135" spans="1:12" s="8" customFormat="1" ht="360" hidden="1" customHeight="1" outlineLevel="2" x14ac:dyDescent="0.25">
      <c r="B135" s="59"/>
      <c r="C135" s="161"/>
      <c r="D135" s="233"/>
      <c r="E135" s="234" t="s">
        <v>34</v>
      </c>
      <c r="F135" s="239" t="s">
        <v>184</v>
      </c>
      <c r="G135" s="235"/>
      <c r="H135" s="239" t="s">
        <v>185</v>
      </c>
      <c r="I135" s="239" t="s">
        <v>186</v>
      </c>
      <c r="J135" s="239" t="s">
        <v>187</v>
      </c>
      <c r="K135" s="235"/>
      <c r="L135" s="236"/>
    </row>
    <row r="136" spans="1:12" s="8" customFormat="1" x14ac:dyDescent="0.25">
      <c r="A136" s="353" t="s">
        <v>188</v>
      </c>
      <c r="B136" s="360"/>
      <c r="C136" s="181"/>
      <c r="D136" s="355" t="s">
        <v>15</v>
      </c>
      <c r="E136" s="356"/>
      <c r="F136" s="357"/>
      <c r="G136" s="357"/>
      <c r="H136" s="357"/>
      <c r="I136" s="357"/>
      <c r="J136" s="357"/>
      <c r="K136" s="357"/>
      <c r="L136" s="358"/>
    </row>
    <row r="137" spans="1:12" s="8" customFormat="1" outlineLevel="1" collapsed="1" x14ac:dyDescent="0.25">
      <c r="B137" s="59"/>
      <c r="C137" s="338" t="s">
        <v>16</v>
      </c>
      <c r="D137" s="361" t="s">
        <v>153</v>
      </c>
      <c r="E137" s="362" t="s">
        <v>18</v>
      </c>
      <c r="F137" s="340" t="str">
        <f t="array" aca="1" ref="F137" ca="1">HYPERLINK(CONCATENATE(Cartelle!$D$5,F$1,"/",$C137,"/",MID($D137,1,FIND("_",$D137)-1),"/",INDIRECT(CONCATENATE("'" &amp; $C137 &amp; "'!",ADDRESS(MATCH($D137, INDIRECT("'" &amp; $C137 &amp; "'!$B:$B"), 0),MATCH(F$1, INDIRECT("'" &amp; $C137 &amp; "'!$1:$1"), 0)))),".",INDIRECT(CONCATENATE("'"&amp;$C137&amp;"'!",ADDRESS(MATCH($D137,INDIRECT("'"&amp;$C137&amp;"'!$B:$B"),0),3))),"#page=",F138),CONCATENATE("#Sharepoint//",$D137))</f>
        <v>#Sharepoint//FRS_Aux Electrical Supply</v>
      </c>
      <c r="G137" s="340"/>
      <c r="H137" s="340" t="str">
        <f t="array" aca="1" ref="H137" ca="1">HYPERLINK(CONCATENATE(Cartelle!$D$5,INDEX(INDIRECT("'" &amp; $C137 &amp; "'!$1:$1"), 1, MATCH(INDIRECT(CONCATENATE("'" &amp; $C137 &amp; "'!",ADDRESS(MATCH($D137, INDIRECT("'" &amp; $C137 &amp; "'!$B:$B"), 0),MATCH(H$1, INDIRECT("'" &amp; $C137 &amp; "'!$1:$1"), 0)))),INDIRECT(CONCATENATE("'" &amp; $C137 &amp; "'!",MATCH($D137, INDIRECT("'" &amp; $C137 &amp; "'!$B:$B"), 0),":",MATCH($D137, INDIRECT("'" &amp; $C137 &amp; "'!$B:$B"), 0))),0)),"/",$C137,"/",MID($D137,1,FIND("_",$D137)-1),"/",INDIRECT(CONCATENATE("'" &amp; $C137 &amp; "'!",ADDRESS(MATCH($D137, INDIRECT("'" &amp; $C137 &amp; "'!$B:$B"), 0),MATCH(H$1, INDIRECT("'" &amp; $C137 &amp; "'!$1:$1"), 0)))),".",INDIRECT(CONCATENATE("'"&amp;$C137&amp;"'!",ADDRESS(MATCH($D137,INDIRECT("'"&amp;$C137&amp;"'!$B:$B"),0),3))),"#page=",H138),CONCATENATE("#Sharepoint//",$D137))</f>
        <v>#Sharepoint//FRS_Aux Electrical Supply</v>
      </c>
      <c r="I137" s="340" t="str">
        <f t="array" aca="1" ref="I137" ca="1">HYPERLINK(CONCATENATE(Cartelle!$D$5,INDEX(INDIRECT("'" &amp; $C137 &amp; "'!$1:$1"), 1, MATCH(INDIRECT(CONCATENATE("'" &amp; $C137 &amp; "'!",ADDRESS(MATCH($D137, INDIRECT("'" &amp; $C137 &amp; "'!$B:$B"), 0),MATCH(I$1, INDIRECT("'" &amp; $C137 &amp; "'!$1:$1"), 0)))),INDIRECT(CONCATENATE("'" &amp; $C137 &amp; "'!",MATCH($D137, INDIRECT("'" &amp; $C137 &amp; "'!$B:$B"), 0),":",MATCH($D137, INDIRECT("'" &amp; $C137 &amp; "'!$B:$B"), 0))),0)),"/",$C137,"/",MID($D137,1,FIND("_",$D137)-1),"/",INDIRECT(CONCATENATE("'" &amp; $C137 &amp; "'!",ADDRESS(MATCH($D137, INDIRECT("'" &amp; $C137 &amp; "'!$B:$B"), 0),MATCH(I$1, INDIRECT("'" &amp; $C137 &amp; "'!$1:$1"), 0)))),".",INDIRECT(CONCATENATE("'"&amp;$C137&amp;"'!",ADDRESS(MATCH($D137,INDIRECT("'"&amp;$C137&amp;"'!$B:$B"),0),3))),"#page=",I138),CONCATENATE("#Sharepoint//",$D137))</f>
        <v>#Sharepoint//FRS_Aux Electrical Supply</v>
      </c>
      <c r="J137" s="340" t="str">
        <f t="array" aca="1" ref="J137" ca="1">HYPERLINK(CONCATENATE(Cartelle!$D$5,INDEX(INDIRECT("'" &amp; $C137 &amp; "'!$1:$1"), 1, MATCH(INDIRECT(CONCATENATE("'" &amp; $C137 &amp; "'!",ADDRESS(MATCH($D137, INDIRECT("'" &amp; $C137 &amp; "'!$B:$B"), 0),MATCH(J$1, INDIRECT("'" &amp; $C137 &amp; "'!$1:$1"), 0)))),INDIRECT(CONCATENATE("'" &amp; $C137 &amp; "'!",MATCH($D137, INDIRECT("'" &amp; $C137 &amp; "'!$B:$B"), 0),":",MATCH($D137, INDIRECT("'" &amp; $C137 &amp; "'!$B:$B"), 0))),0)),"/",$C137,"/",MID($D137,1,FIND("_",$D137)-1),"/",INDIRECT(CONCATENATE("'" &amp; $C137 &amp; "'!",ADDRESS(MATCH($D137, INDIRECT("'" &amp; $C137 &amp; "'!$B:$B"), 0),MATCH(J$1, INDIRECT("'" &amp; $C137 &amp; "'!$1:$1"), 0)))),".",INDIRECT(CONCATENATE("'"&amp;$C137&amp;"'!",ADDRESS(MATCH($D137,INDIRECT("'"&amp;$C137&amp;"'!$B:$B"),0),3))),"#page=",J138),CONCATENATE("#Sharepoint//",$D137))</f>
        <v>#Sharepoint//FRS_Aux Electrical Supply</v>
      </c>
      <c r="K137" s="359"/>
      <c r="L137" s="359"/>
    </row>
    <row r="138" spans="1:12" s="8" customFormat="1" hidden="1" outlineLevel="2" x14ac:dyDescent="0.25">
      <c r="B138" s="59"/>
      <c r="C138" s="161"/>
      <c r="D138" s="233"/>
      <c r="E138" s="270" t="s">
        <v>19</v>
      </c>
      <c r="F138" s="233">
        <v>24</v>
      </c>
      <c r="G138" s="233">
        <v>24</v>
      </c>
      <c r="H138" s="233">
        <v>25</v>
      </c>
      <c r="I138" s="233">
        <v>24</v>
      </c>
      <c r="J138" s="233">
        <v>24</v>
      </c>
      <c r="K138" s="233"/>
      <c r="L138" s="233"/>
    </row>
    <row r="139" spans="1:12" s="8" customFormat="1" ht="409.5" hidden="1" customHeight="1" outlineLevel="2" x14ac:dyDescent="0.25">
      <c r="B139" s="59"/>
      <c r="C139" s="161"/>
      <c r="D139" s="233"/>
      <c r="E139" s="234" t="s">
        <v>34</v>
      </c>
      <c r="F139" s="240" t="s">
        <v>189</v>
      </c>
      <c r="G139" s="235"/>
      <c r="H139" s="240" t="s">
        <v>190</v>
      </c>
      <c r="I139" s="240" t="s">
        <v>191</v>
      </c>
      <c r="J139" s="240" t="s">
        <v>192</v>
      </c>
      <c r="K139" s="235"/>
      <c r="L139" s="236"/>
    </row>
    <row r="140" spans="1:12" x14ac:dyDescent="0.25">
      <c r="A140" s="181" t="s">
        <v>193</v>
      </c>
      <c r="B140" s="367"/>
      <c r="C140" s="181"/>
      <c r="D140" s="368" t="s">
        <v>15</v>
      </c>
      <c r="E140" s="162"/>
      <c r="F140" s="163"/>
      <c r="G140" s="163"/>
      <c r="H140" s="163"/>
      <c r="I140" s="163"/>
      <c r="J140" s="163"/>
      <c r="K140" s="163"/>
      <c r="L140" s="164"/>
    </row>
    <row r="141" spans="1:12" outlineLevel="1" collapsed="1" x14ac:dyDescent="0.25">
      <c r="B141" s="169"/>
      <c r="C141" s="338" t="s">
        <v>16</v>
      </c>
      <c r="D141" s="369" t="s">
        <v>194</v>
      </c>
      <c r="E141" s="370" t="s">
        <v>18</v>
      </c>
      <c r="F141" s="340" t="str">
        <f t="array" aca="1" ref="F141" ca="1">HYPERLINK(CONCATENATE(Cartelle!$D$5,F$1,"/",$C141,"/",MID($D141,1,FIND("_",$D141)-1),"/",INDIRECT(CONCATENATE("'" &amp; $C141 &amp; "'!",ADDRESS(MATCH($D141, INDIRECT("'" &amp; $C141 &amp; "'!$B:$B"), 0),MATCH(F$1, INDIRECT("'" &amp; $C141 &amp; "'!$1:$1"), 0)))),".",INDIRECT(CONCATENATE("'"&amp;$C141&amp;"'!",ADDRESS(MATCH($D141,INDIRECT("'"&amp;$C141&amp;"'!$B:$B"),0),3))),"#page=",F142),CONCATENATE("#Sharepoint//",$D141))</f>
        <v>#Sharepoint//FRS_Battery</v>
      </c>
      <c r="G141" s="340"/>
      <c r="H141" s="340"/>
      <c r="I141" s="340"/>
      <c r="J141" s="340" t="str">
        <f t="array" aca="1" ref="J141" ca="1">HYPERLINK(CONCATENATE(Cartelle!$D$5,INDEX(INDIRECT("'" &amp; $C141 &amp; "'!$1:$1"), 1, MATCH(INDIRECT(CONCATENATE("'" &amp; $C141 &amp; "'!",ADDRESS(MATCH($D141, INDIRECT("'" &amp; $C141 &amp; "'!$B:$B"), 0),MATCH(J$1, INDIRECT("'" &amp; $C141 &amp; "'!$1:$1"), 0)))),INDIRECT(CONCATENATE("'" &amp; $C141 &amp; "'!",MATCH($D141, INDIRECT("'" &amp; $C141 &amp; "'!$B:$B"), 0),":",MATCH($D141, INDIRECT("'" &amp; $C141 &amp; "'!$B:$B"), 0))),0)),"/",$C141,"/",MID($D141,1,FIND("_",$D141)-1),"/",INDIRECT(CONCATENATE("'" &amp; $C141 &amp; "'!",ADDRESS(MATCH($D141, INDIRECT("'" &amp; $C141 &amp; "'!$B:$B"), 0),MATCH(J$1, INDIRECT("'" &amp; $C141 &amp; "'!$1:$1"), 0)))),".",INDIRECT(CONCATENATE("'"&amp;$C141&amp;"'!",ADDRESS(MATCH($D141,INDIRECT("'"&amp;$C141&amp;"'!$B:$B"),0),3))),"#page=",J142),CONCATENATE("#Sharepoint//",$D141))</f>
        <v>#Sharepoint//FRS_Battery</v>
      </c>
      <c r="K141" s="359"/>
      <c r="L141" s="359"/>
    </row>
    <row r="142" spans="1:12" hidden="1" outlineLevel="2" x14ac:dyDescent="0.25">
      <c r="B142" s="169"/>
      <c r="D142" s="166"/>
      <c r="E142" s="165" t="s">
        <v>19</v>
      </c>
      <c r="F142" s="166">
        <v>8</v>
      </c>
      <c r="G142" s="166">
        <v>8</v>
      </c>
      <c r="H142" s="166">
        <v>8</v>
      </c>
      <c r="I142" s="166">
        <v>8</v>
      </c>
      <c r="J142" s="166">
        <v>8</v>
      </c>
      <c r="K142" s="166"/>
      <c r="L142" s="166"/>
    </row>
    <row r="143" spans="1:12" s="8" customFormat="1" ht="390" hidden="1" customHeight="1" outlineLevel="2" x14ac:dyDescent="0.25">
      <c r="B143" s="59"/>
      <c r="C143" s="161"/>
      <c r="D143" s="233"/>
      <c r="E143" s="234" t="s">
        <v>34</v>
      </c>
      <c r="F143" s="239" t="s">
        <v>195</v>
      </c>
      <c r="G143" s="235"/>
      <c r="H143" s="235"/>
      <c r="I143" s="235"/>
      <c r="J143" s="239" t="s">
        <v>196</v>
      </c>
      <c r="K143" s="235"/>
      <c r="L143" s="236"/>
    </row>
    <row r="144" spans="1:12" x14ac:dyDescent="0.25">
      <c r="A144" s="181" t="s">
        <v>197</v>
      </c>
      <c r="B144" s="367"/>
      <c r="C144" s="181"/>
      <c r="D144" s="368" t="s">
        <v>15</v>
      </c>
      <c r="E144" s="162"/>
      <c r="F144" s="163"/>
      <c r="G144" s="163"/>
      <c r="H144" s="163"/>
      <c r="I144" s="163"/>
      <c r="J144" s="163"/>
      <c r="K144" s="163"/>
      <c r="L144" s="164"/>
    </row>
    <row r="145" spans="1:12" outlineLevel="1" collapsed="1" x14ac:dyDescent="0.25">
      <c r="B145" s="169"/>
      <c r="C145" s="338" t="s">
        <v>16</v>
      </c>
      <c r="D145" s="369" t="s">
        <v>194</v>
      </c>
      <c r="E145" s="370" t="s">
        <v>18</v>
      </c>
      <c r="F145" s="340" t="str">
        <f t="array" aca="1" ref="F145" ca="1">HYPERLINK(CONCATENATE(Cartelle!$D$5,F$1,"/",$C145,"/",MID($D145,1,FIND("_",$D145)-1),"/",INDIRECT(CONCATENATE("'" &amp; $C145 &amp; "'!",ADDRESS(MATCH($D145, INDIRECT("'" &amp; $C145 &amp; "'!$B:$B"), 0),MATCH(F$1, INDIRECT("'" &amp; $C145 &amp; "'!$1:$1"), 0)))),".",INDIRECT(CONCATENATE("'"&amp;$C145&amp;"'!",ADDRESS(MATCH($D145,INDIRECT("'"&amp;$C145&amp;"'!$B:$B"),0),3))),"#page=",F146),CONCATENATE("#Sharepoint//",$D145))</f>
        <v>#Sharepoint//FRS_Battery</v>
      </c>
      <c r="G145" s="340"/>
      <c r="H145" s="340"/>
      <c r="I145" s="340"/>
      <c r="J145" s="340" t="str">
        <f t="array" aca="1" ref="J145" ca="1">HYPERLINK(CONCATENATE(Cartelle!$D$5,INDEX(INDIRECT("'" &amp; $C145 &amp; "'!$1:$1"), 1, MATCH(INDIRECT(CONCATENATE("'" &amp; $C145 &amp; "'!",ADDRESS(MATCH($D145, INDIRECT("'" &amp; $C145 &amp; "'!$B:$B"), 0),MATCH(J$1, INDIRECT("'" &amp; $C145 &amp; "'!$1:$1"), 0)))),INDIRECT(CONCATENATE("'" &amp; $C145 &amp; "'!",MATCH($D145, INDIRECT("'" &amp; $C145 &amp; "'!$B:$B"), 0),":",MATCH($D145, INDIRECT("'" &amp; $C145 &amp; "'!$B:$B"), 0))),0)),"/",$C145,"/",MID($D145,1,FIND("_",$D145)-1),"/",INDIRECT(CONCATENATE("'" &amp; $C145 &amp; "'!",ADDRESS(MATCH($D145, INDIRECT("'" &amp; $C145 &amp; "'!$B:$B"), 0),MATCH(J$1, INDIRECT("'" &amp; $C145 &amp; "'!$1:$1"), 0)))),".",INDIRECT(CONCATENATE("'"&amp;$C145&amp;"'!",ADDRESS(MATCH($D145,INDIRECT("'"&amp;$C145&amp;"'!$B:$B"),0),3))),"#page=",J146),CONCATENATE("#Sharepoint//",$D145))</f>
        <v>#Sharepoint//FRS_Battery</v>
      </c>
      <c r="K145" s="359"/>
      <c r="L145" s="359"/>
    </row>
    <row r="146" spans="1:12" hidden="1" outlineLevel="2" x14ac:dyDescent="0.25">
      <c r="B146" s="169"/>
      <c r="D146" s="166"/>
      <c r="E146" s="165" t="s">
        <v>19</v>
      </c>
      <c r="F146" s="166">
        <v>9</v>
      </c>
      <c r="G146" s="166"/>
      <c r="H146" s="166"/>
      <c r="I146" s="166"/>
      <c r="J146" s="166">
        <v>9</v>
      </c>
      <c r="K146" s="166"/>
      <c r="L146" s="166"/>
    </row>
    <row r="147" spans="1:12" s="8" customFormat="1" ht="345" hidden="1" customHeight="1" outlineLevel="2" x14ac:dyDescent="0.25">
      <c r="B147" s="59"/>
      <c r="C147" s="161"/>
      <c r="D147" s="233"/>
      <c r="E147" s="234" t="s">
        <v>34</v>
      </c>
      <c r="F147" s="239" t="s">
        <v>198</v>
      </c>
      <c r="G147" s="235"/>
      <c r="H147" s="235"/>
      <c r="I147" s="235"/>
      <c r="J147" s="239" t="s">
        <v>199</v>
      </c>
      <c r="K147" s="235"/>
      <c r="L147" s="236"/>
    </row>
    <row r="148" spans="1:12" x14ac:dyDescent="0.25">
      <c r="A148" s="181" t="s">
        <v>200</v>
      </c>
      <c r="B148" s="367"/>
      <c r="C148" s="181"/>
      <c r="D148" s="368" t="s">
        <v>15</v>
      </c>
      <c r="E148" s="162"/>
      <c r="F148" s="163"/>
      <c r="G148" s="163"/>
      <c r="H148" s="163"/>
      <c r="I148" s="163"/>
      <c r="J148" s="163"/>
      <c r="K148" s="163"/>
      <c r="L148" s="164"/>
    </row>
    <row r="149" spans="1:12" outlineLevel="1" collapsed="1" x14ac:dyDescent="0.25">
      <c r="B149" s="169"/>
      <c r="C149" s="338" t="s">
        <v>16</v>
      </c>
      <c r="D149" s="369" t="s">
        <v>194</v>
      </c>
      <c r="E149" s="370" t="s">
        <v>18</v>
      </c>
      <c r="F149" s="340" t="str">
        <f t="array" aca="1" ref="F149" ca="1">HYPERLINK(CONCATENATE(Cartelle!$D$5,F$1,"/",$C149,"/",MID($D149,1,FIND("_",$D149)-1),"/",INDIRECT(CONCATENATE("'" &amp; $C149 &amp; "'!",ADDRESS(MATCH($D149, INDIRECT("'" &amp; $C149 &amp; "'!$B:$B"), 0),MATCH(F$1, INDIRECT("'" &amp; $C149 &amp; "'!$1:$1"), 0)))),".",INDIRECT(CONCATENATE("'"&amp;$C149&amp;"'!",ADDRESS(MATCH($D149,INDIRECT("'"&amp;$C149&amp;"'!$B:$B"),0),3))),"#page=",F150),CONCATENATE("#Sharepoint//",$D149))</f>
        <v>#Sharepoint//FRS_Battery</v>
      </c>
      <c r="G149" s="340"/>
      <c r="H149" s="340"/>
      <c r="I149" s="340"/>
      <c r="J149" s="340" t="str">
        <f t="array" aca="1" ref="J149" ca="1">HYPERLINK(CONCATENATE(Cartelle!$D$5,INDEX(INDIRECT("'" &amp; $C149 &amp; "'!$1:$1"), 1, MATCH(INDIRECT(CONCATENATE("'" &amp; $C149 &amp; "'!",ADDRESS(MATCH($D149, INDIRECT("'" &amp; $C149 &amp; "'!$B:$B"), 0),MATCH(J$1, INDIRECT("'" &amp; $C149 &amp; "'!$1:$1"), 0)))),INDIRECT(CONCATENATE("'" &amp; $C149 &amp; "'!",MATCH($D149, INDIRECT("'" &amp; $C149 &amp; "'!$B:$B"), 0),":",MATCH($D149, INDIRECT("'" &amp; $C149 &amp; "'!$B:$B"), 0))),0)),"/",$C149,"/",MID($D149,1,FIND("_",$D149)-1),"/",INDIRECT(CONCATENATE("'" &amp; $C149 &amp; "'!",ADDRESS(MATCH($D149, INDIRECT("'" &amp; $C149 &amp; "'!$B:$B"), 0),MATCH(J$1, INDIRECT("'" &amp; $C149 &amp; "'!$1:$1"), 0)))),".",INDIRECT(CONCATENATE("'"&amp;$C149&amp;"'!",ADDRESS(MATCH($D149,INDIRECT("'"&amp;$C149&amp;"'!$B:$B"),0),3))),"#page=",J150),CONCATENATE("#Sharepoint//",$D149))</f>
        <v>#Sharepoint//FRS_Battery</v>
      </c>
      <c r="K149" s="359"/>
      <c r="L149" s="359"/>
    </row>
    <row r="150" spans="1:12" hidden="1" outlineLevel="2" x14ac:dyDescent="0.25">
      <c r="B150" s="169"/>
      <c r="D150" s="166"/>
      <c r="E150" s="165" t="s">
        <v>19</v>
      </c>
      <c r="F150" s="166">
        <v>11</v>
      </c>
      <c r="G150" s="166"/>
      <c r="H150" s="166"/>
      <c r="I150" s="166"/>
      <c r="J150" s="166">
        <v>11</v>
      </c>
      <c r="K150" s="166"/>
      <c r="L150" s="166"/>
    </row>
    <row r="151" spans="1:12" s="8" customFormat="1" ht="390" hidden="1" customHeight="1" outlineLevel="2" x14ac:dyDescent="0.25">
      <c r="B151" s="59"/>
      <c r="C151" s="161"/>
      <c r="D151" s="233"/>
      <c r="E151" s="234" t="s">
        <v>34</v>
      </c>
      <c r="F151" s="239" t="s">
        <v>201</v>
      </c>
      <c r="G151" s="235"/>
      <c r="H151" s="235"/>
      <c r="I151" s="235"/>
      <c r="J151" s="239" t="s">
        <v>202</v>
      </c>
      <c r="K151" s="235"/>
      <c r="L151" s="236"/>
    </row>
    <row r="152" spans="1:12" x14ac:dyDescent="0.25">
      <c r="A152" s="181" t="s">
        <v>203</v>
      </c>
      <c r="B152" s="367"/>
      <c r="C152" s="181"/>
      <c r="D152" s="368" t="s">
        <v>15</v>
      </c>
      <c r="E152" s="162"/>
      <c r="F152" s="163"/>
      <c r="G152" s="163"/>
      <c r="H152" s="163"/>
      <c r="I152" s="163"/>
      <c r="J152" s="163"/>
      <c r="K152" s="163"/>
      <c r="L152" s="164"/>
    </row>
    <row r="153" spans="1:12" outlineLevel="1" collapsed="1" x14ac:dyDescent="0.25">
      <c r="B153" s="169"/>
      <c r="C153" s="338" t="s">
        <v>16</v>
      </c>
      <c r="D153" s="369" t="s">
        <v>194</v>
      </c>
      <c r="E153" s="370" t="s">
        <v>18</v>
      </c>
      <c r="F153" s="340" t="str">
        <f t="array" aca="1" ref="F153" ca="1">HYPERLINK(CONCATENATE(Cartelle!$D$5,F$1,"/",$C153,"/",MID($D153,1,FIND("_",$D153)-1),"/",INDIRECT(CONCATENATE("'" &amp; $C153 &amp; "'!",ADDRESS(MATCH($D153, INDIRECT("'" &amp; $C153 &amp; "'!$B:$B"), 0),MATCH(F$1, INDIRECT("'" &amp; $C153 &amp; "'!$1:$1"), 0)))),".",INDIRECT(CONCATENATE("'"&amp;$C153&amp;"'!",ADDRESS(MATCH($D153,INDIRECT("'"&amp;$C153&amp;"'!$B:$B"),0),3))),"#page=",F154),CONCATENATE("#Sharepoint//",$D153))</f>
        <v>#Sharepoint//FRS_Battery</v>
      </c>
      <c r="G153" s="340"/>
      <c r="H153" s="340"/>
      <c r="I153" s="340"/>
      <c r="J153" s="340" t="str">
        <f t="array" aca="1" ref="J153" ca="1">HYPERLINK(CONCATENATE(Cartelle!$D$5,INDEX(INDIRECT("'" &amp; $C153 &amp; "'!$1:$1"), 1, MATCH(INDIRECT(CONCATENATE("'" &amp; $C153 &amp; "'!",ADDRESS(MATCH($D153, INDIRECT("'" &amp; $C153 &amp; "'!$B:$B"), 0),MATCH(J$1, INDIRECT("'" &amp; $C153 &amp; "'!$1:$1"), 0)))),INDIRECT(CONCATENATE("'" &amp; $C153 &amp; "'!",MATCH($D153, INDIRECT("'" &amp; $C153 &amp; "'!$B:$B"), 0),":",MATCH($D153, INDIRECT("'" &amp; $C153 &amp; "'!$B:$B"), 0))),0)),"/",$C153,"/",MID($D153,1,FIND("_",$D153)-1),"/",INDIRECT(CONCATENATE("'" &amp; $C153 &amp; "'!",ADDRESS(MATCH($D153, INDIRECT("'" &amp; $C153 &amp; "'!$B:$B"), 0),MATCH(J$1, INDIRECT("'" &amp; $C153 &amp; "'!$1:$1"), 0)))),".",INDIRECT(CONCATENATE("'"&amp;$C153&amp;"'!",ADDRESS(MATCH($D153,INDIRECT("'"&amp;$C153&amp;"'!$B:$B"),0),3))),"#page=",J154),CONCATENATE("#Sharepoint//",$D153))</f>
        <v>#Sharepoint//FRS_Battery</v>
      </c>
      <c r="K153" s="359"/>
      <c r="L153" s="359"/>
    </row>
    <row r="154" spans="1:12" hidden="1" outlineLevel="2" x14ac:dyDescent="0.25">
      <c r="B154" s="169"/>
      <c r="D154" s="166"/>
      <c r="E154" s="165" t="s">
        <v>19</v>
      </c>
      <c r="F154" s="166">
        <v>16</v>
      </c>
      <c r="G154" s="166"/>
      <c r="H154" s="166"/>
      <c r="I154" s="166"/>
      <c r="J154" s="166">
        <v>16</v>
      </c>
      <c r="K154" s="166"/>
      <c r="L154" s="166"/>
    </row>
    <row r="155" spans="1:12" s="8" customFormat="1" ht="345" hidden="1" customHeight="1" outlineLevel="2" x14ac:dyDescent="0.25">
      <c r="B155" s="59"/>
      <c r="C155" s="161"/>
      <c r="D155" s="233"/>
      <c r="E155" s="234" t="s">
        <v>34</v>
      </c>
      <c r="F155" s="239" t="s">
        <v>204</v>
      </c>
      <c r="G155" s="235"/>
      <c r="H155" s="235"/>
      <c r="I155" s="235"/>
      <c r="J155" s="239" t="s">
        <v>205</v>
      </c>
      <c r="K155" s="235"/>
      <c r="L155" s="236"/>
    </row>
    <row r="156" spans="1:12" x14ac:dyDescent="0.25">
      <c r="A156" s="181" t="s">
        <v>206</v>
      </c>
      <c r="B156" s="367"/>
      <c r="C156" s="181"/>
      <c r="D156" s="368" t="s">
        <v>15</v>
      </c>
      <c r="E156" s="162"/>
      <c r="F156" s="163"/>
      <c r="G156" s="163"/>
      <c r="H156" s="163"/>
      <c r="I156" s="163"/>
      <c r="J156" s="163"/>
      <c r="K156" s="163"/>
      <c r="L156" s="164"/>
    </row>
    <row r="157" spans="1:12" outlineLevel="1" collapsed="1" x14ac:dyDescent="0.25">
      <c r="B157" s="169"/>
      <c r="C157" s="338" t="s">
        <v>16</v>
      </c>
      <c r="D157" s="369" t="s">
        <v>194</v>
      </c>
      <c r="E157" s="370" t="s">
        <v>18</v>
      </c>
      <c r="F157" s="340" t="str">
        <f t="array" aca="1" ref="F157" ca="1">HYPERLINK(CONCATENATE(Cartelle!$D$5,F$1,"/",$C157,"/",MID($D157,1,FIND("_",$D157)-1),"/",INDIRECT(CONCATENATE("'" &amp; $C157 &amp; "'!",ADDRESS(MATCH($D157, INDIRECT("'" &amp; $C157 &amp; "'!$B:$B"), 0),MATCH(F$1, INDIRECT("'" &amp; $C157 &amp; "'!$1:$1"), 0)))),".",INDIRECT(CONCATENATE("'"&amp;$C157&amp;"'!",ADDRESS(MATCH($D157,INDIRECT("'"&amp;$C157&amp;"'!$B:$B"),0),3))),"#page=",F158),CONCATENATE("#Sharepoint//",$D157))</f>
        <v>#Sharepoint//FRS_Battery</v>
      </c>
      <c r="G157" s="340"/>
      <c r="H157" s="340"/>
      <c r="I157" s="340"/>
      <c r="J157" s="340" t="str">
        <f t="array" aca="1" ref="J157" ca="1">HYPERLINK(CONCATENATE(Cartelle!$D$5,INDEX(INDIRECT("'" &amp; $C157 &amp; "'!$1:$1"), 1, MATCH(INDIRECT(CONCATENATE("'" &amp; $C157 &amp; "'!",ADDRESS(MATCH($D157, INDIRECT("'" &amp; $C157 &amp; "'!$B:$B"), 0),MATCH(J$1, INDIRECT("'" &amp; $C157 &amp; "'!$1:$1"), 0)))),INDIRECT(CONCATENATE("'" &amp; $C157 &amp; "'!",MATCH($D157, INDIRECT("'" &amp; $C157 &amp; "'!$B:$B"), 0),":",MATCH($D157, INDIRECT("'" &amp; $C157 &amp; "'!$B:$B"), 0))),0)),"/",$C157,"/",MID($D157,1,FIND("_",$D157)-1),"/",INDIRECT(CONCATENATE("'" &amp; $C157 &amp; "'!",ADDRESS(MATCH($D157, INDIRECT("'" &amp; $C157 &amp; "'!$B:$B"), 0),MATCH(J$1, INDIRECT("'" &amp; $C157 &amp; "'!$1:$1"), 0)))),".",INDIRECT(CONCATENATE("'"&amp;$C157&amp;"'!",ADDRESS(MATCH($D157,INDIRECT("'"&amp;$C157&amp;"'!$B:$B"),0),3))),"#page=",J158),CONCATENATE("#Sharepoint//",$D157))</f>
        <v>#Sharepoint//FRS_Battery</v>
      </c>
      <c r="K157" s="359"/>
      <c r="L157" s="359"/>
    </row>
    <row r="158" spans="1:12" hidden="1" outlineLevel="2" x14ac:dyDescent="0.25">
      <c r="B158" s="169"/>
      <c r="D158" s="166"/>
      <c r="E158" s="165" t="s">
        <v>19</v>
      </c>
      <c r="F158" s="166">
        <v>19</v>
      </c>
      <c r="G158" s="166"/>
      <c r="H158" s="166"/>
      <c r="I158" s="166"/>
      <c r="J158" s="166">
        <v>19</v>
      </c>
      <c r="K158" s="166"/>
      <c r="L158" s="166"/>
    </row>
    <row r="159" spans="1:12" s="8" customFormat="1" ht="375" hidden="1" customHeight="1" outlineLevel="2" x14ac:dyDescent="0.25">
      <c r="B159" s="59"/>
      <c r="C159" s="161"/>
      <c r="D159" s="233"/>
      <c r="E159" s="234" t="s">
        <v>34</v>
      </c>
      <c r="F159" s="239" t="s">
        <v>207</v>
      </c>
      <c r="G159" s="235"/>
      <c r="H159" s="235"/>
      <c r="I159" s="235"/>
      <c r="J159" s="239" t="s">
        <v>208</v>
      </c>
      <c r="K159" s="235"/>
      <c r="L159" s="236"/>
    </row>
    <row r="160" spans="1:12" x14ac:dyDescent="0.25">
      <c r="A160" s="181" t="s">
        <v>209</v>
      </c>
      <c r="B160" s="367"/>
      <c r="C160" s="181"/>
      <c r="D160" s="368" t="s">
        <v>15</v>
      </c>
      <c r="E160" s="162"/>
      <c r="F160" s="163"/>
      <c r="G160" s="163"/>
      <c r="H160" s="163"/>
      <c r="I160" s="163"/>
      <c r="J160" s="163"/>
      <c r="K160" s="163"/>
      <c r="L160" s="164"/>
    </row>
    <row r="161" spans="1:12" outlineLevel="1" collapsed="1" x14ac:dyDescent="0.25">
      <c r="B161" s="169"/>
      <c r="C161" s="338" t="s">
        <v>16</v>
      </c>
      <c r="D161" s="369" t="s">
        <v>194</v>
      </c>
      <c r="E161" s="370" t="s">
        <v>18</v>
      </c>
      <c r="F161" s="340" t="str">
        <f t="array" aca="1" ref="F161" ca="1">HYPERLINK(CONCATENATE(Cartelle!$D$5,F$1,"/",$C161,"/",MID($D161,1,FIND("_",$D161)-1),"/",INDIRECT(CONCATENATE("'" &amp; $C161 &amp; "'!",ADDRESS(MATCH($D161, INDIRECT("'" &amp; $C161 &amp; "'!$B:$B"), 0),MATCH(F$1, INDIRECT("'" &amp; $C161 &amp; "'!$1:$1"), 0)))),".",INDIRECT(CONCATENATE("'"&amp;$C161&amp;"'!",ADDRESS(MATCH($D161,INDIRECT("'"&amp;$C161&amp;"'!$B:$B"),0),3))),"#page=",F162),CONCATENATE("#Sharepoint//",$D161))</f>
        <v>#Sharepoint//FRS_Battery</v>
      </c>
      <c r="G161" s="340"/>
      <c r="H161" s="340"/>
      <c r="I161" s="340"/>
      <c r="J161" s="340" t="str">
        <f t="array" aca="1" ref="J161" ca="1">HYPERLINK(CONCATENATE(Cartelle!$D$5,INDEX(INDIRECT("'" &amp; $C161 &amp; "'!$1:$1"), 1, MATCH(INDIRECT(CONCATENATE("'" &amp; $C161 &amp; "'!",ADDRESS(MATCH($D161, INDIRECT("'" &amp; $C161 &amp; "'!$B:$B"), 0),MATCH(J$1, INDIRECT("'" &amp; $C161 &amp; "'!$1:$1"), 0)))),INDIRECT(CONCATENATE("'" &amp; $C161 &amp; "'!",MATCH($D161, INDIRECT("'" &amp; $C161 &amp; "'!$B:$B"), 0),":",MATCH($D161, INDIRECT("'" &amp; $C161 &amp; "'!$B:$B"), 0))),0)),"/",$C161,"/",MID($D161,1,FIND("_",$D161)-1),"/",INDIRECT(CONCATENATE("'" &amp; $C161 &amp; "'!",ADDRESS(MATCH($D161, INDIRECT("'" &amp; $C161 &amp; "'!$B:$B"), 0),MATCH(J$1, INDIRECT("'" &amp; $C161 &amp; "'!$1:$1"), 0)))),".",INDIRECT(CONCATENATE("'"&amp;$C161&amp;"'!",ADDRESS(MATCH($D161,INDIRECT("'"&amp;$C161&amp;"'!$B:$B"),0),3))),"#page=",J162),CONCATENATE("#Sharepoint//",$D161))</f>
        <v>#Sharepoint//FRS_Battery</v>
      </c>
      <c r="K161" s="359"/>
      <c r="L161" s="359"/>
    </row>
    <row r="162" spans="1:12" hidden="1" outlineLevel="2" x14ac:dyDescent="0.25">
      <c r="B162" s="169"/>
      <c r="D162" s="166"/>
      <c r="E162" s="165" t="s">
        <v>19</v>
      </c>
      <c r="F162" s="166">
        <v>21</v>
      </c>
      <c r="G162" s="166">
        <v>21</v>
      </c>
      <c r="H162" s="166">
        <v>21</v>
      </c>
      <c r="I162" s="166">
        <v>21</v>
      </c>
      <c r="J162" s="166">
        <v>21</v>
      </c>
      <c r="K162" s="166"/>
      <c r="L162" s="166"/>
    </row>
    <row r="163" spans="1:12" s="8" customFormat="1" ht="390" hidden="1" customHeight="1" outlineLevel="2" x14ac:dyDescent="0.25">
      <c r="B163" s="59"/>
      <c r="C163" s="161"/>
      <c r="D163" s="233"/>
      <c r="E163" s="234" t="s">
        <v>34</v>
      </c>
      <c r="F163" s="239" t="s">
        <v>210</v>
      </c>
      <c r="G163" s="235"/>
      <c r="H163" s="235"/>
      <c r="I163" s="235"/>
      <c r="J163" s="239" t="s">
        <v>211</v>
      </c>
      <c r="K163" s="235"/>
      <c r="L163" s="236"/>
    </row>
    <row r="164" spans="1:12" x14ac:dyDescent="0.25">
      <c r="A164" s="181" t="s">
        <v>212</v>
      </c>
      <c r="B164" s="367"/>
      <c r="C164" s="181"/>
      <c r="D164" s="368" t="s">
        <v>15</v>
      </c>
      <c r="E164" s="162"/>
      <c r="F164" s="163"/>
      <c r="G164" s="163"/>
      <c r="H164" s="163"/>
      <c r="I164" s="163"/>
      <c r="J164" s="163"/>
      <c r="K164" s="163"/>
      <c r="L164" s="164"/>
    </row>
    <row r="165" spans="1:12" outlineLevel="1" collapsed="1" x14ac:dyDescent="0.25">
      <c r="B165" s="169"/>
      <c r="C165" s="338" t="s">
        <v>16</v>
      </c>
      <c r="D165" s="369" t="s">
        <v>213</v>
      </c>
      <c r="E165" s="370" t="s">
        <v>18</v>
      </c>
      <c r="F165" s="340" t="str">
        <f t="array" aca="1" ref="F165" ca="1">HYPERLINK(CONCATENATE(Cartelle!$D$5,F$1,"/",$C165,"/",MID($D165,1,FIND("_",$D165)-1),"/",INDIRECT(CONCATENATE("'" &amp; $C165 &amp; "'!",ADDRESS(MATCH($D165, INDIRECT("'" &amp; $C165 &amp; "'!$B:$B"), 0),MATCH(F$1, INDIRECT("'" &amp; $C165 &amp; "'!$1:$1"), 0)))),".",INDIRECT(CONCATENATE("'"&amp;$C165&amp;"'!",ADDRESS(MATCH($D165,INDIRECT("'"&amp;$C165&amp;"'!$B:$B"),0),3))),"#page=",F166),CONCATENATE("#Sharepoint//",$D165))</f>
        <v>#Sharepoint//FRS_Air Supply</v>
      </c>
      <c r="G165" s="340" t="str">
        <f t="array" aca="1" ref="G165" ca="1">HYPERLINK(CONCATENATE(Cartelle!$D$5,INDEX(INDIRECT("'" &amp; $C165 &amp; "'!$1:$1"), 1, MATCH(INDIRECT(CONCATENATE("'" &amp; $C165 &amp; "'!",ADDRESS(MATCH($D165, INDIRECT("'" &amp; $C165 &amp; "'!$B:$B"), 0),MATCH(G$1, INDIRECT("'" &amp; $C165 &amp; "'!$1:$1"), 0)))),INDIRECT(CONCATENATE("'" &amp; $C165 &amp; "'!",MATCH($D165, INDIRECT("'" &amp; $C165 &amp; "'!$B:$B"), 0),":",MATCH($D165, INDIRECT("'" &amp; $C165 &amp; "'!$B:$B"), 0))),0)),"/",$C165,"/",MID($D165,1,FIND("_",$D165)-1),"/",INDIRECT(CONCATENATE("'" &amp; $C165 &amp; "'!",ADDRESS(MATCH($D165, INDIRECT("'" &amp; $C165 &amp; "'!$B:$B"), 0),MATCH(G$1, INDIRECT("'" &amp; $C165 &amp; "'!$1:$1"), 0)))),".",INDIRECT(CONCATENATE("'"&amp;$C165&amp;"'!",ADDRESS(MATCH($D165,INDIRECT("'"&amp;$C165&amp;"'!$B:$B"),0),3))),"#page=",G166),CONCATENATE("#Sharepoint//",$D165))</f>
        <v>#Sharepoint//FRS_Air Supply</v>
      </c>
      <c r="H165" s="363"/>
      <c r="I165" s="363"/>
      <c r="J165" s="340" t="str">
        <f t="array" aca="1" ref="J165" ca="1">HYPERLINK(CONCATENATE(Cartelle!$D$5,INDEX(INDIRECT("'" &amp; $C165 &amp; "'!$1:$1"), 1, MATCH(INDIRECT(CONCATENATE("'" &amp; $C165 &amp; "'!",ADDRESS(MATCH($D165, INDIRECT("'" &amp; $C165 &amp; "'!$B:$B"), 0),MATCH(J$1, INDIRECT("'" &amp; $C165 &amp; "'!$1:$1"), 0)))),INDIRECT(CONCATENATE("'" &amp; $C165 &amp; "'!",MATCH($D165, INDIRECT("'" &amp; $C165 &amp; "'!$B:$B"), 0),":",MATCH($D165, INDIRECT("'" &amp; $C165 &amp; "'!$B:$B"), 0))),0)),"/",$C165,"/",MID($D165,1,FIND("_",$D165)-1),"/",INDIRECT(CONCATENATE("'" &amp; $C165 &amp; "'!",ADDRESS(MATCH($D165, INDIRECT("'" &amp; $C165 &amp; "'!$B:$B"), 0),MATCH(J$1, INDIRECT("'" &amp; $C165 &amp; "'!$1:$1"), 0)))),".",INDIRECT(CONCATENATE("'"&amp;$C165&amp;"'!",ADDRESS(MATCH($D165,INDIRECT("'"&amp;$C165&amp;"'!$B:$B"),0),3))),"#page=",J166),CONCATENATE("#Sharepoint//",$D165))</f>
        <v>#Sharepoint//FRS_Air Supply</v>
      </c>
      <c r="K165" s="359"/>
      <c r="L165" s="359"/>
    </row>
    <row r="166" spans="1:12" hidden="1" outlineLevel="2" x14ac:dyDescent="0.25">
      <c r="B166" s="169"/>
      <c r="D166" s="168"/>
      <c r="E166" s="167" t="s">
        <v>19</v>
      </c>
      <c r="F166" s="168">
        <v>6</v>
      </c>
      <c r="G166" s="168">
        <v>6</v>
      </c>
      <c r="H166" s="168">
        <v>6</v>
      </c>
      <c r="I166" s="168">
        <v>6</v>
      </c>
      <c r="J166" s="168">
        <v>6</v>
      </c>
      <c r="K166" s="168"/>
      <c r="L166" s="168"/>
    </row>
    <row r="167" spans="1:12" s="8" customFormat="1" ht="409.5" hidden="1" customHeight="1" outlineLevel="2" x14ac:dyDescent="0.25">
      <c r="B167" s="59"/>
      <c r="C167" s="161"/>
      <c r="D167" s="233"/>
      <c r="E167" s="234" t="s">
        <v>34</v>
      </c>
      <c r="F167" s="239" t="s">
        <v>214</v>
      </c>
      <c r="G167" s="239" t="s">
        <v>215</v>
      </c>
      <c r="H167" s="235"/>
      <c r="I167" s="235"/>
      <c r="J167" s="239" t="s">
        <v>216</v>
      </c>
      <c r="K167" s="235"/>
      <c r="L167" s="236"/>
    </row>
    <row r="168" spans="1:12" x14ac:dyDescent="0.25">
      <c r="A168" s="181" t="s">
        <v>217</v>
      </c>
      <c r="B168" s="367"/>
      <c r="C168" s="181"/>
      <c r="D168" s="368" t="s">
        <v>15</v>
      </c>
      <c r="E168" s="162"/>
      <c r="F168" s="163"/>
      <c r="G168" s="163"/>
      <c r="H168" s="163"/>
      <c r="I168" s="163"/>
      <c r="J168" s="163"/>
      <c r="K168" s="163"/>
      <c r="L168" s="164"/>
    </row>
    <row r="169" spans="1:12" outlineLevel="1" collapsed="1" x14ac:dyDescent="0.25">
      <c r="B169" s="169"/>
      <c r="C169" s="338" t="s">
        <v>16</v>
      </c>
      <c r="D169" s="369" t="s">
        <v>213</v>
      </c>
      <c r="E169" s="370" t="s">
        <v>18</v>
      </c>
      <c r="F169" s="340" t="str">
        <f t="array" aca="1" ref="F169" ca="1">HYPERLINK(CONCATENATE(Cartelle!$D$5,F$1,"/",$C169,"/",MID($D169,1,FIND("_",$D169)-1),"/",INDIRECT(CONCATENATE("'" &amp; $C169 &amp; "'!",ADDRESS(MATCH($D169, INDIRECT("'" &amp; $C169 &amp; "'!$B:$B"), 0),MATCH(F$1, INDIRECT("'" &amp; $C169 &amp; "'!$1:$1"), 0)))),".",INDIRECT(CONCATENATE("'"&amp;$C169&amp;"'!",ADDRESS(MATCH($D169,INDIRECT("'"&amp;$C169&amp;"'!$B:$B"),0),3))),"#page=",F170),CONCATENATE("#Sharepoint//",$D169))</f>
        <v>#Sharepoint//FRS_Air Supply</v>
      </c>
      <c r="G169" s="340" t="str">
        <f t="array" aca="1" ref="G169" ca="1">HYPERLINK(CONCATENATE(Cartelle!$D$5,INDEX(INDIRECT("'" &amp; $C169 &amp; "'!$1:$1"), 1, MATCH(INDIRECT(CONCATENATE("'" &amp; $C169 &amp; "'!",ADDRESS(MATCH($D169, INDIRECT("'" &amp; $C169 &amp; "'!$B:$B"), 0),MATCH(G$1, INDIRECT("'" &amp; $C169 &amp; "'!$1:$1"), 0)))),INDIRECT(CONCATENATE("'" &amp; $C169 &amp; "'!",MATCH($D169, INDIRECT("'" &amp; $C169 &amp; "'!$B:$B"), 0),":",MATCH($D169, INDIRECT("'" &amp; $C169 &amp; "'!$B:$B"), 0))),0)),"/",$C169,"/",MID($D169,1,FIND("_",$D169)-1),"/",INDIRECT(CONCATENATE("'" &amp; $C169 &amp; "'!",ADDRESS(MATCH($D169, INDIRECT("'" &amp; $C169 &amp; "'!$B:$B"), 0),MATCH(G$1, INDIRECT("'" &amp; $C169 &amp; "'!$1:$1"), 0)))),".",INDIRECT(CONCATENATE("'"&amp;$C169&amp;"'!",ADDRESS(MATCH($D169,INDIRECT("'"&amp;$C169&amp;"'!$B:$B"),0),3))),"#page=",G170),CONCATENATE("#Sharepoint//",$D169))</f>
        <v>#Sharepoint//FRS_Air Supply</v>
      </c>
      <c r="H169" s="363"/>
      <c r="I169" s="363"/>
      <c r="J169" s="340" t="str">
        <f t="array" aca="1" ref="J169" ca="1">HYPERLINK(CONCATENATE(Cartelle!$D$5,INDEX(INDIRECT("'" &amp; $C169 &amp; "'!$1:$1"), 1, MATCH(INDIRECT(CONCATENATE("'" &amp; $C169 &amp; "'!",ADDRESS(MATCH($D169, INDIRECT("'" &amp; $C169 &amp; "'!$B:$B"), 0),MATCH(J$1, INDIRECT("'" &amp; $C169 &amp; "'!$1:$1"), 0)))),INDIRECT(CONCATENATE("'" &amp; $C169 &amp; "'!",MATCH($D169, INDIRECT("'" &amp; $C169 &amp; "'!$B:$B"), 0),":",MATCH($D169, INDIRECT("'" &amp; $C169 &amp; "'!$B:$B"), 0))),0)),"/",$C169,"/",MID($D169,1,FIND("_",$D169)-1),"/",INDIRECT(CONCATENATE("'" &amp; $C169 &amp; "'!",ADDRESS(MATCH($D169, INDIRECT("'" &amp; $C169 &amp; "'!$B:$B"), 0),MATCH(J$1, INDIRECT("'" &amp; $C169 &amp; "'!$1:$1"), 0)))),".",INDIRECT(CONCATENATE("'"&amp;$C169&amp;"'!",ADDRESS(MATCH($D169,INDIRECT("'"&amp;$C169&amp;"'!$B:$B"),0),3))),"#page=",J170),CONCATENATE("#Sharepoint//",$D169))</f>
        <v>#Sharepoint//FRS_Air Supply</v>
      </c>
      <c r="K169" s="359"/>
      <c r="L169" s="359"/>
    </row>
    <row r="170" spans="1:12" hidden="1" outlineLevel="2" x14ac:dyDescent="0.25">
      <c r="B170" s="169"/>
      <c r="D170" s="168"/>
      <c r="E170" s="167" t="s">
        <v>19</v>
      </c>
      <c r="F170" s="168">
        <v>11</v>
      </c>
      <c r="G170" s="168">
        <v>12</v>
      </c>
      <c r="H170" s="168">
        <v>11</v>
      </c>
      <c r="I170" s="168">
        <v>12</v>
      </c>
      <c r="J170" s="168">
        <v>11</v>
      </c>
      <c r="K170" s="168"/>
      <c r="L170" s="168"/>
    </row>
    <row r="171" spans="1:12" s="8" customFormat="1" ht="375" hidden="1" customHeight="1" outlineLevel="2" x14ac:dyDescent="0.25">
      <c r="B171" s="59"/>
      <c r="C171" s="161"/>
      <c r="D171" s="233"/>
      <c r="E171" s="234" t="s">
        <v>34</v>
      </c>
      <c r="F171" s="239" t="s">
        <v>218</v>
      </c>
      <c r="G171" s="239" t="s">
        <v>219</v>
      </c>
      <c r="H171" s="235"/>
      <c r="I171" s="235"/>
      <c r="J171" s="239" t="s">
        <v>220</v>
      </c>
      <c r="K171" s="235"/>
      <c r="L171" s="236"/>
    </row>
    <row r="172" spans="1:12" x14ac:dyDescent="0.25">
      <c r="A172" s="181" t="s">
        <v>221</v>
      </c>
      <c r="B172" s="367"/>
      <c r="C172" s="181"/>
      <c r="D172" s="368" t="s">
        <v>15</v>
      </c>
      <c r="E172" s="162"/>
      <c r="F172" s="163"/>
      <c r="G172" s="163"/>
      <c r="H172" s="163"/>
      <c r="I172" s="163"/>
      <c r="J172" s="163"/>
      <c r="K172" s="163"/>
      <c r="L172" s="164"/>
    </row>
    <row r="173" spans="1:12" outlineLevel="1" collapsed="1" x14ac:dyDescent="0.25">
      <c r="B173" s="169"/>
      <c r="C173" s="338" t="s">
        <v>16</v>
      </c>
      <c r="D173" s="369" t="s">
        <v>213</v>
      </c>
      <c r="E173" s="370" t="s">
        <v>18</v>
      </c>
      <c r="F173" s="340" t="str">
        <f t="array" aca="1" ref="F173" ca="1">HYPERLINK(CONCATENATE(Cartelle!$D$5,F$1,"/",$C173,"/",MID($D173,1,FIND("_",$D173)-1),"/",INDIRECT(CONCATENATE("'" &amp; $C173 &amp; "'!",ADDRESS(MATCH($D173, INDIRECT("'" &amp; $C173 &amp; "'!$B:$B"), 0),MATCH(F$1, INDIRECT("'" &amp; $C173 &amp; "'!$1:$1"), 0)))),".",INDIRECT(CONCATENATE("'"&amp;$C173&amp;"'!",ADDRESS(MATCH($D173,INDIRECT("'"&amp;$C173&amp;"'!$B:$B"),0),3))),"#page=",F174),CONCATENATE("#Sharepoint//",$D173))</f>
        <v>#Sharepoint//FRS_Air Supply</v>
      </c>
      <c r="G173" s="340" t="str">
        <f t="array" aca="1" ref="G173" ca="1">HYPERLINK(CONCATENATE(Cartelle!$D$5,INDEX(INDIRECT("'" &amp; $C173 &amp; "'!$1:$1"), 1, MATCH(INDIRECT(CONCATENATE("'" &amp; $C173 &amp; "'!",ADDRESS(MATCH($D173, INDIRECT("'" &amp; $C173 &amp; "'!$B:$B"), 0),MATCH(G$1, INDIRECT("'" &amp; $C173 &amp; "'!$1:$1"), 0)))),INDIRECT(CONCATENATE("'" &amp; $C173 &amp; "'!",MATCH($D173, INDIRECT("'" &amp; $C173 &amp; "'!$B:$B"), 0),":",MATCH($D173, INDIRECT("'" &amp; $C173 &amp; "'!$B:$B"), 0))),0)),"/",$C173,"/",MID($D173,1,FIND("_",$D173)-1),"/",INDIRECT(CONCATENATE("'" &amp; $C173 &amp; "'!",ADDRESS(MATCH($D173, INDIRECT("'" &amp; $C173 &amp; "'!$B:$B"), 0),MATCH(G$1, INDIRECT("'" &amp; $C173 &amp; "'!$1:$1"), 0)))),".",INDIRECT(CONCATENATE("'"&amp;$C173&amp;"'!",ADDRESS(MATCH($D173,INDIRECT("'"&amp;$C173&amp;"'!$B:$B"),0),3))),"#page=",G174),CONCATENATE("#Sharepoint//",$D173))</f>
        <v>#Sharepoint//FRS_Air Supply</v>
      </c>
      <c r="H173" s="363"/>
      <c r="I173" s="363"/>
      <c r="J173" s="340" t="str">
        <f t="array" aca="1" ref="J173" ca="1">HYPERLINK(CONCATENATE(Cartelle!$D$5,INDEX(INDIRECT("'" &amp; $C173 &amp; "'!$1:$1"), 1, MATCH(INDIRECT(CONCATENATE("'" &amp; $C173 &amp; "'!",ADDRESS(MATCH($D173, INDIRECT("'" &amp; $C173 &amp; "'!$B:$B"), 0),MATCH(J$1, INDIRECT("'" &amp; $C173 &amp; "'!$1:$1"), 0)))),INDIRECT(CONCATENATE("'" &amp; $C173 &amp; "'!",MATCH($D173, INDIRECT("'" &amp; $C173 &amp; "'!$B:$B"), 0),":",MATCH($D173, INDIRECT("'" &amp; $C173 &amp; "'!$B:$B"), 0))),0)),"/",$C173,"/",MID($D173,1,FIND("_",$D173)-1),"/",INDIRECT(CONCATENATE("'" &amp; $C173 &amp; "'!",ADDRESS(MATCH($D173, INDIRECT("'" &amp; $C173 &amp; "'!$B:$B"), 0),MATCH(J$1, INDIRECT("'" &amp; $C173 &amp; "'!$1:$1"), 0)))),".",INDIRECT(CONCATENATE("'"&amp;$C173&amp;"'!",ADDRESS(MATCH($D173,INDIRECT("'"&amp;$C173&amp;"'!$B:$B"),0),3))),"#page=",J174),CONCATENATE("#Sharepoint//",$D173))</f>
        <v>#Sharepoint//FRS_Air Supply</v>
      </c>
      <c r="K173" s="359"/>
      <c r="L173" s="359"/>
    </row>
    <row r="174" spans="1:12" hidden="1" outlineLevel="2" x14ac:dyDescent="0.25">
      <c r="B174" s="169"/>
      <c r="D174" s="168"/>
      <c r="E174" s="167" t="s">
        <v>19</v>
      </c>
      <c r="F174" s="168">
        <v>14</v>
      </c>
      <c r="G174" s="168">
        <v>14</v>
      </c>
      <c r="H174" s="168">
        <v>14</v>
      </c>
      <c r="I174" s="168">
        <v>14</v>
      </c>
      <c r="J174" s="168">
        <v>14</v>
      </c>
      <c r="K174" s="168"/>
      <c r="L174" s="168"/>
    </row>
    <row r="175" spans="1:12" s="8" customFormat="1" ht="409.5" hidden="1" customHeight="1" outlineLevel="2" x14ac:dyDescent="0.25">
      <c r="B175" s="59"/>
      <c r="C175" s="161"/>
      <c r="D175" s="233"/>
      <c r="E175" s="234" t="s">
        <v>34</v>
      </c>
      <c r="F175" s="240" t="s">
        <v>222</v>
      </c>
      <c r="G175" s="240" t="s">
        <v>223</v>
      </c>
      <c r="H175" s="235"/>
      <c r="I175" s="235"/>
      <c r="J175" s="240" t="s">
        <v>224</v>
      </c>
      <c r="K175" s="235"/>
      <c r="L175" s="236"/>
    </row>
    <row r="176" spans="1:12" x14ac:dyDescent="0.25">
      <c r="A176" s="181" t="s">
        <v>225</v>
      </c>
      <c r="B176" s="367"/>
      <c r="C176" s="181"/>
      <c r="D176" s="368" t="s">
        <v>15</v>
      </c>
      <c r="E176" s="162"/>
      <c r="F176" s="163"/>
      <c r="G176" s="163"/>
      <c r="H176" s="163"/>
      <c r="I176" s="163"/>
      <c r="J176" s="163"/>
      <c r="K176" s="163"/>
      <c r="L176" s="164"/>
    </row>
    <row r="177" spans="1:12" outlineLevel="1" collapsed="1" x14ac:dyDescent="0.25">
      <c r="B177" s="169"/>
      <c r="C177" s="338" t="s">
        <v>16</v>
      </c>
      <c r="D177" s="369" t="s">
        <v>213</v>
      </c>
      <c r="E177" s="370" t="s">
        <v>18</v>
      </c>
      <c r="F177" s="340" t="str">
        <f t="array" aca="1" ref="F177" ca="1">HYPERLINK(CONCATENATE(Cartelle!$D$5,F$1,"/",$C177,"/",MID($D177,1,FIND("_",$D177)-1),"/",INDIRECT(CONCATENATE("'" &amp; $C177 &amp; "'!",ADDRESS(MATCH($D177, INDIRECT("'" &amp; $C177 &amp; "'!$B:$B"), 0),MATCH(F$1, INDIRECT("'" &amp; $C177 &amp; "'!$1:$1"), 0)))),".",INDIRECT(CONCATENATE("'"&amp;$C177&amp;"'!",ADDRESS(MATCH($D177,INDIRECT("'"&amp;$C177&amp;"'!$B:$B"),0),3))),"#page=",F178),CONCATENATE("#Sharepoint//",$D177))</f>
        <v>#Sharepoint//FRS_Air Supply</v>
      </c>
      <c r="G177" s="340" t="str">
        <f t="array" aca="1" ref="G177" ca="1">HYPERLINK(CONCATENATE(Cartelle!$D$5,INDEX(INDIRECT("'" &amp; $C177 &amp; "'!$1:$1"), 1, MATCH(INDIRECT(CONCATENATE("'" &amp; $C177 &amp; "'!",ADDRESS(MATCH($D177, INDIRECT("'" &amp; $C177 &amp; "'!$B:$B"), 0),MATCH(G$1, INDIRECT("'" &amp; $C177 &amp; "'!$1:$1"), 0)))),INDIRECT(CONCATENATE("'" &amp; $C177 &amp; "'!",MATCH($D177, INDIRECT("'" &amp; $C177 &amp; "'!$B:$B"), 0),":",MATCH($D177, INDIRECT("'" &amp; $C177 &amp; "'!$B:$B"), 0))),0)),"/",$C177,"/",MID($D177,1,FIND("_",$D177)-1),"/",INDIRECT(CONCATENATE("'" &amp; $C177 &amp; "'!",ADDRESS(MATCH($D177, INDIRECT("'" &amp; $C177 &amp; "'!$B:$B"), 0),MATCH(G$1, INDIRECT("'" &amp; $C177 &amp; "'!$1:$1"), 0)))),".",INDIRECT(CONCATENATE("'"&amp;$C177&amp;"'!",ADDRESS(MATCH($D177,INDIRECT("'"&amp;$C177&amp;"'!$B:$B"),0),3))),"#page=",G178),CONCATENATE("#Sharepoint//",$D177))</f>
        <v>#Sharepoint//FRS_Air Supply</v>
      </c>
      <c r="H177" s="363"/>
      <c r="I177" s="363"/>
      <c r="J177" s="340" t="str">
        <f t="array" aca="1" ref="J177" ca="1">HYPERLINK(CONCATENATE(Cartelle!$D$5,INDEX(INDIRECT("'" &amp; $C177 &amp; "'!$1:$1"), 1, MATCH(INDIRECT(CONCATENATE("'" &amp; $C177 &amp; "'!",ADDRESS(MATCH($D177, INDIRECT("'" &amp; $C177 &amp; "'!$B:$B"), 0),MATCH(J$1, INDIRECT("'" &amp; $C177 &amp; "'!$1:$1"), 0)))),INDIRECT(CONCATENATE("'" &amp; $C177 &amp; "'!",MATCH($D177, INDIRECT("'" &amp; $C177 &amp; "'!$B:$B"), 0),":",MATCH($D177, INDIRECT("'" &amp; $C177 &amp; "'!$B:$B"), 0))),0)),"/",$C177,"/",MID($D177,1,FIND("_",$D177)-1),"/",INDIRECT(CONCATENATE("'" &amp; $C177 &amp; "'!",ADDRESS(MATCH($D177, INDIRECT("'" &amp; $C177 &amp; "'!$B:$B"), 0),MATCH(J$1, INDIRECT("'" &amp; $C177 &amp; "'!$1:$1"), 0)))),".",INDIRECT(CONCATENATE("'"&amp;$C177&amp;"'!",ADDRESS(MATCH($D177,INDIRECT("'"&amp;$C177&amp;"'!$B:$B"),0),3))),"#page=",J178),CONCATENATE("#Sharepoint//",$D177))</f>
        <v>#Sharepoint//FRS_Air Supply</v>
      </c>
      <c r="K177" s="359"/>
      <c r="L177" s="359"/>
    </row>
    <row r="178" spans="1:12" hidden="1" outlineLevel="2" x14ac:dyDescent="0.25">
      <c r="B178" s="169"/>
      <c r="D178" s="168"/>
      <c r="E178" s="167" t="s">
        <v>19</v>
      </c>
      <c r="F178" s="168">
        <v>18</v>
      </c>
      <c r="G178" s="168">
        <v>16</v>
      </c>
      <c r="H178" s="168">
        <v>18</v>
      </c>
      <c r="I178" s="168">
        <v>16</v>
      </c>
      <c r="J178" s="168">
        <v>16</v>
      </c>
      <c r="K178" s="168"/>
      <c r="L178" s="168"/>
    </row>
    <row r="179" spans="1:12" s="8" customFormat="1" ht="409.5" hidden="1" customHeight="1" outlineLevel="2" x14ac:dyDescent="0.25">
      <c r="B179" s="59"/>
      <c r="C179" s="161"/>
      <c r="D179" s="233"/>
      <c r="E179" s="234" t="s">
        <v>34</v>
      </c>
      <c r="F179" s="239" t="s">
        <v>226</v>
      </c>
      <c r="G179" s="240" t="s">
        <v>227</v>
      </c>
      <c r="H179" s="235"/>
      <c r="I179" s="235"/>
      <c r="J179" s="240" t="s">
        <v>228</v>
      </c>
      <c r="K179" s="235"/>
      <c r="L179" s="236"/>
    </row>
    <row r="180" spans="1:12" x14ac:dyDescent="0.25">
      <c r="A180" s="181" t="s">
        <v>229</v>
      </c>
      <c r="B180" s="367"/>
      <c r="C180" s="181"/>
      <c r="D180" s="368" t="s">
        <v>15</v>
      </c>
      <c r="E180" s="162"/>
      <c r="F180" s="163"/>
      <c r="G180" s="163"/>
      <c r="H180" s="163"/>
      <c r="I180" s="163"/>
      <c r="J180" s="163"/>
      <c r="K180" s="163"/>
      <c r="L180" s="164"/>
    </row>
    <row r="181" spans="1:12" outlineLevel="1" collapsed="1" x14ac:dyDescent="0.25">
      <c r="B181" s="169"/>
      <c r="C181" s="338" t="s">
        <v>16</v>
      </c>
      <c r="D181" s="369" t="s">
        <v>213</v>
      </c>
      <c r="E181" s="370" t="s">
        <v>18</v>
      </c>
      <c r="F181" s="340" t="str">
        <f t="array" aca="1" ref="F181" ca="1">HYPERLINK(CONCATENATE(Cartelle!$D$5,F$1,"/",$C181,"/",MID($D181,1,FIND("_",$D181)-1),"/",INDIRECT(CONCATENATE("'" &amp; $C181 &amp; "'!",ADDRESS(MATCH($D181, INDIRECT("'" &amp; $C181 &amp; "'!$B:$B"), 0),MATCH(F$1, INDIRECT("'" &amp; $C181 &amp; "'!$1:$1"), 0)))),".",INDIRECT(CONCATENATE("'"&amp;$C181&amp;"'!",ADDRESS(MATCH($D181,INDIRECT("'"&amp;$C181&amp;"'!$B:$B"),0),3))),"#page=",F182),CONCATENATE("#Sharepoint//",$D181))</f>
        <v>#Sharepoint//FRS_Air Supply</v>
      </c>
      <c r="G181" s="340" t="str">
        <f t="array" aca="1" ref="G181" ca="1">HYPERLINK(CONCATENATE(Cartelle!$D$5,INDEX(INDIRECT("'" &amp; $C181 &amp; "'!$1:$1"), 1, MATCH(INDIRECT(CONCATENATE("'" &amp; $C181 &amp; "'!",ADDRESS(MATCH($D181, INDIRECT("'" &amp; $C181 &amp; "'!$B:$B"), 0),MATCH(G$1, INDIRECT("'" &amp; $C181 &amp; "'!$1:$1"), 0)))),INDIRECT(CONCATENATE("'" &amp; $C181 &amp; "'!",MATCH($D181, INDIRECT("'" &amp; $C181 &amp; "'!$B:$B"), 0),":",MATCH($D181, INDIRECT("'" &amp; $C181 &amp; "'!$B:$B"), 0))),0)),"/",$C181,"/",MID($D181,1,FIND("_",$D181)-1),"/",INDIRECT(CONCATENATE("'" &amp; $C181 &amp; "'!",ADDRESS(MATCH($D181, INDIRECT("'" &amp; $C181 &amp; "'!$B:$B"), 0),MATCH(G$1, INDIRECT("'" &amp; $C181 &amp; "'!$1:$1"), 0)))),".",INDIRECT(CONCATENATE("'"&amp;$C181&amp;"'!",ADDRESS(MATCH($D181,INDIRECT("'"&amp;$C181&amp;"'!$B:$B"),0),3))),"#page=",G182),CONCATENATE("#Sharepoint//",$D181))</f>
        <v>#Sharepoint//FRS_Air Supply</v>
      </c>
      <c r="H181" s="363"/>
      <c r="I181" s="363"/>
      <c r="J181" s="340" t="str">
        <f t="array" aca="1" ref="J181" ca="1">HYPERLINK(CONCATENATE(Cartelle!$D$5,INDEX(INDIRECT("'" &amp; $C181 &amp; "'!$1:$1"), 1, MATCH(INDIRECT(CONCATENATE("'" &amp; $C181 &amp; "'!",ADDRESS(MATCH($D181, INDIRECT("'" &amp; $C181 &amp; "'!$B:$B"), 0),MATCH(J$1, INDIRECT("'" &amp; $C181 &amp; "'!$1:$1"), 0)))),INDIRECT(CONCATENATE("'" &amp; $C181 &amp; "'!",MATCH($D181, INDIRECT("'" &amp; $C181 &amp; "'!$B:$B"), 0),":",MATCH($D181, INDIRECT("'" &amp; $C181 &amp; "'!$B:$B"), 0))),0)),"/",$C181,"/",MID($D181,1,FIND("_",$D181)-1),"/",INDIRECT(CONCATENATE("'" &amp; $C181 &amp; "'!",ADDRESS(MATCH($D181, INDIRECT("'" &amp; $C181 &amp; "'!$B:$B"), 0),MATCH(J$1, INDIRECT("'" &amp; $C181 &amp; "'!$1:$1"), 0)))),".",INDIRECT(CONCATENATE("'"&amp;$C181&amp;"'!",ADDRESS(MATCH($D181,INDIRECT("'"&amp;$C181&amp;"'!$B:$B"),0),3))),"#page=",J182),CONCATENATE("#Sharepoint//",$D181))</f>
        <v>#Sharepoint//FRS_Air Supply</v>
      </c>
      <c r="K181" s="359"/>
      <c r="L181" s="359"/>
    </row>
    <row r="182" spans="1:12" hidden="1" outlineLevel="2" x14ac:dyDescent="0.25">
      <c r="B182" s="169"/>
      <c r="D182" s="168"/>
      <c r="E182" s="167" t="s">
        <v>19</v>
      </c>
      <c r="F182" s="168">
        <v>20</v>
      </c>
      <c r="G182" s="168">
        <v>18</v>
      </c>
      <c r="H182" s="168">
        <v>20</v>
      </c>
      <c r="I182" s="168">
        <v>18</v>
      </c>
      <c r="J182" s="168">
        <v>17</v>
      </c>
      <c r="K182" s="168"/>
      <c r="L182" s="168"/>
    </row>
    <row r="183" spans="1:12" s="8" customFormat="1" ht="315" hidden="1" customHeight="1" outlineLevel="2" x14ac:dyDescent="0.25">
      <c r="B183" s="59"/>
      <c r="C183" s="161"/>
      <c r="D183" s="233"/>
      <c r="E183" s="234" t="s">
        <v>34</v>
      </c>
      <c r="F183" s="239" t="s">
        <v>230</v>
      </c>
      <c r="G183" s="239" t="s">
        <v>231</v>
      </c>
      <c r="H183" s="235"/>
      <c r="I183" s="235"/>
      <c r="J183" s="239" t="s">
        <v>232</v>
      </c>
      <c r="K183" s="235"/>
      <c r="L183" s="236"/>
    </row>
    <row r="184" spans="1:12" x14ac:dyDescent="0.25">
      <c r="A184" s="181" t="s">
        <v>233</v>
      </c>
      <c r="B184" s="367"/>
      <c r="C184" s="181"/>
      <c r="D184" s="368" t="s">
        <v>15</v>
      </c>
      <c r="E184" s="162"/>
      <c r="F184" s="163"/>
      <c r="G184" s="163"/>
      <c r="H184" s="163"/>
      <c r="I184" s="163"/>
      <c r="J184" s="163"/>
      <c r="K184" s="163"/>
      <c r="L184" s="164"/>
    </row>
    <row r="185" spans="1:12" outlineLevel="1" collapsed="1" x14ac:dyDescent="0.25">
      <c r="B185" s="169"/>
      <c r="C185" s="338" t="s">
        <v>16</v>
      </c>
      <c r="D185" s="369" t="s">
        <v>213</v>
      </c>
      <c r="E185" s="370" t="s">
        <v>18</v>
      </c>
      <c r="F185" s="340" t="str">
        <f t="array" aca="1" ref="F185" ca="1">HYPERLINK(CONCATENATE(Cartelle!$D$5,F$1,"/",$C185,"/",MID($D185,1,FIND("_",$D185)-1),"/",INDIRECT(CONCATENATE("'" &amp; $C185 &amp; "'!",ADDRESS(MATCH($D185, INDIRECT("'" &amp; $C185 &amp; "'!$B:$B"), 0),MATCH(F$1, INDIRECT("'" &amp; $C185 &amp; "'!$1:$1"), 0)))),".",INDIRECT(CONCATENATE("'"&amp;$C185&amp;"'!",ADDRESS(MATCH($D185,INDIRECT("'"&amp;$C185&amp;"'!$B:$B"),0),3))),"#page=",F186),CONCATENATE("#Sharepoint//",$D185))</f>
        <v>#Sharepoint//FRS_Air Supply</v>
      </c>
      <c r="G185" s="340" t="str">
        <f t="array" aca="1" ref="G185" ca="1">HYPERLINK(CONCATENATE(Cartelle!$D$5,INDEX(INDIRECT("'" &amp; $C185 &amp; "'!$1:$1"), 1, MATCH(INDIRECT(CONCATENATE("'" &amp; $C185 &amp; "'!",ADDRESS(MATCH($D185, INDIRECT("'" &amp; $C185 &amp; "'!$B:$B"), 0),MATCH(G$1, INDIRECT("'" &amp; $C185 &amp; "'!$1:$1"), 0)))),INDIRECT(CONCATENATE("'" &amp; $C185 &amp; "'!",MATCH($D185, INDIRECT("'" &amp; $C185 &amp; "'!$B:$B"), 0),":",MATCH($D185, INDIRECT("'" &amp; $C185 &amp; "'!$B:$B"), 0))),0)),"/",$C185,"/",MID($D185,1,FIND("_",$D185)-1),"/",INDIRECT(CONCATENATE("'" &amp; $C185 &amp; "'!",ADDRESS(MATCH($D185, INDIRECT("'" &amp; $C185 &amp; "'!$B:$B"), 0),MATCH(G$1, INDIRECT("'" &amp; $C185 &amp; "'!$1:$1"), 0)))),".",INDIRECT(CONCATENATE("'"&amp;$C185&amp;"'!",ADDRESS(MATCH($D185,INDIRECT("'"&amp;$C185&amp;"'!$B:$B"),0),3))),"#page=",G186),CONCATENATE("#Sharepoint//",$D185))</f>
        <v>#Sharepoint//FRS_Air Supply</v>
      </c>
      <c r="H185" s="363"/>
      <c r="I185" s="363"/>
      <c r="J185" s="340" t="str">
        <f t="array" aca="1" ref="J185" ca="1">HYPERLINK(CONCATENATE(Cartelle!$D$5,INDEX(INDIRECT("'" &amp; $C185 &amp; "'!$1:$1"), 1, MATCH(INDIRECT(CONCATENATE("'" &amp; $C185 &amp; "'!",ADDRESS(MATCH($D185, INDIRECT("'" &amp; $C185 &amp; "'!$B:$B"), 0),MATCH(J$1, INDIRECT("'" &amp; $C185 &amp; "'!$1:$1"), 0)))),INDIRECT(CONCATENATE("'" &amp; $C185 &amp; "'!",MATCH($D185, INDIRECT("'" &amp; $C185 &amp; "'!$B:$B"), 0),":",MATCH($D185, INDIRECT("'" &amp; $C185 &amp; "'!$B:$B"), 0))),0)),"/",$C185,"/",MID($D185,1,FIND("_",$D185)-1),"/",INDIRECT(CONCATENATE("'" &amp; $C185 &amp; "'!",ADDRESS(MATCH($D185, INDIRECT("'" &amp; $C185 &amp; "'!$B:$B"), 0),MATCH(J$1, INDIRECT("'" &amp; $C185 &amp; "'!$1:$1"), 0)))),".",INDIRECT(CONCATENATE("'"&amp;$C185&amp;"'!",ADDRESS(MATCH($D185,INDIRECT("'"&amp;$C185&amp;"'!$B:$B"),0),3))),"#page=",J186),CONCATENATE("#Sharepoint//",$D185))</f>
        <v>#Sharepoint//FRS_Air Supply</v>
      </c>
      <c r="K185" s="359"/>
      <c r="L185" s="359"/>
    </row>
    <row r="186" spans="1:12" hidden="1" outlineLevel="2" x14ac:dyDescent="0.25">
      <c r="B186" s="169"/>
      <c r="D186" s="168"/>
      <c r="E186" s="167" t="s">
        <v>19</v>
      </c>
      <c r="F186" s="168">
        <v>22</v>
      </c>
      <c r="G186" s="168">
        <v>19</v>
      </c>
      <c r="H186" s="168">
        <v>22</v>
      </c>
      <c r="I186" s="168">
        <v>19</v>
      </c>
      <c r="J186" s="168">
        <v>18</v>
      </c>
      <c r="K186" s="168"/>
      <c r="L186" s="168"/>
    </row>
    <row r="187" spans="1:12" s="8" customFormat="1" ht="405" hidden="1" customHeight="1" outlineLevel="2" x14ac:dyDescent="0.25">
      <c r="B187" s="59"/>
      <c r="C187" s="161"/>
      <c r="D187" s="233"/>
      <c r="E187" s="234" t="s">
        <v>34</v>
      </c>
      <c r="F187" s="239" t="s">
        <v>234</v>
      </c>
      <c r="G187" s="239" t="s">
        <v>235</v>
      </c>
      <c r="H187" s="235"/>
      <c r="I187" s="235"/>
      <c r="J187" s="239" t="s">
        <v>236</v>
      </c>
      <c r="K187" s="235"/>
      <c r="L187" s="236"/>
    </row>
    <row r="188" spans="1:12" x14ac:dyDescent="0.25">
      <c r="A188" s="181" t="s">
        <v>237</v>
      </c>
      <c r="B188" s="367"/>
      <c r="C188" s="181"/>
      <c r="D188" s="368" t="s">
        <v>15</v>
      </c>
      <c r="E188" s="162"/>
      <c r="F188" s="163"/>
      <c r="G188" s="163"/>
      <c r="H188" s="163"/>
      <c r="I188" s="163"/>
      <c r="J188" s="163"/>
      <c r="K188" s="163"/>
      <c r="L188" s="164"/>
    </row>
    <row r="189" spans="1:12" outlineLevel="1" collapsed="1" x14ac:dyDescent="0.25">
      <c r="B189" s="169"/>
      <c r="C189" s="338" t="s">
        <v>16</v>
      </c>
      <c r="D189" s="369" t="s">
        <v>213</v>
      </c>
      <c r="E189" s="370" t="s">
        <v>18</v>
      </c>
      <c r="F189" s="340" t="str">
        <f t="array" aca="1" ref="F189" ca="1">HYPERLINK(CONCATENATE(Cartelle!$D$5,F$1,"/",$C189,"/",MID($D189,1,FIND("_",$D189)-1),"/",INDIRECT(CONCATENATE("'" &amp; $C189 &amp; "'!",ADDRESS(MATCH($D189, INDIRECT("'" &amp; $C189 &amp; "'!$B:$B"), 0),MATCH(F$1, INDIRECT("'" &amp; $C189 &amp; "'!$1:$1"), 0)))),".",INDIRECT(CONCATENATE("'"&amp;$C189&amp;"'!",ADDRESS(MATCH($D189,INDIRECT("'"&amp;$C189&amp;"'!$B:$B"),0),3))),"#page=",F190),CONCATENATE("#Sharepoint//",$D189))</f>
        <v>#Sharepoint//FRS_Air Supply</v>
      </c>
      <c r="G189" s="340" t="str">
        <f t="array" aca="1" ref="G189" ca="1">HYPERLINK(CONCATENATE(Cartelle!$D$5,INDEX(INDIRECT("'" &amp; $C189 &amp; "'!$1:$1"), 1, MATCH(INDIRECT(CONCATENATE("'" &amp; $C189 &amp; "'!",ADDRESS(MATCH($D189, INDIRECT("'" &amp; $C189 &amp; "'!$B:$B"), 0),MATCH(G$1, INDIRECT("'" &amp; $C189 &amp; "'!$1:$1"), 0)))),INDIRECT(CONCATENATE("'" &amp; $C189 &amp; "'!",MATCH($D189, INDIRECT("'" &amp; $C189 &amp; "'!$B:$B"), 0),":",MATCH($D189, INDIRECT("'" &amp; $C189 &amp; "'!$B:$B"), 0))),0)),"/",$C189,"/",MID($D189,1,FIND("_",$D189)-1),"/",INDIRECT(CONCATENATE("'" &amp; $C189 &amp; "'!",ADDRESS(MATCH($D189, INDIRECT("'" &amp; $C189 &amp; "'!$B:$B"), 0),MATCH(G$1, INDIRECT("'" &amp; $C189 &amp; "'!$1:$1"), 0)))),".",INDIRECT(CONCATENATE("'"&amp;$C189&amp;"'!",ADDRESS(MATCH($D189,INDIRECT("'"&amp;$C189&amp;"'!$B:$B"),0),3))),"#page=",G190),CONCATENATE("#Sharepoint//",$D189))</f>
        <v>#Sharepoint//FRS_Air Supply</v>
      </c>
      <c r="H189" s="363"/>
      <c r="I189" s="363"/>
      <c r="J189" s="340" t="str">
        <f t="array" aca="1" ref="J189" ca="1">HYPERLINK(CONCATENATE(Cartelle!$D$5,INDEX(INDIRECT("'" &amp; $C189 &amp; "'!$1:$1"), 1, MATCH(INDIRECT(CONCATENATE("'" &amp; $C189 &amp; "'!",ADDRESS(MATCH($D189, INDIRECT("'" &amp; $C189 &amp; "'!$B:$B"), 0),MATCH(J$1, INDIRECT("'" &amp; $C189 &amp; "'!$1:$1"), 0)))),INDIRECT(CONCATENATE("'" &amp; $C189 &amp; "'!",MATCH($D189, INDIRECT("'" &amp; $C189 &amp; "'!$B:$B"), 0),":",MATCH($D189, INDIRECT("'" &amp; $C189 &amp; "'!$B:$B"), 0))),0)),"/",$C189,"/",MID($D189,1,FIND("_",$D189)-1),"/",INDIRECT(CONCATENATE("'" &amp; $C189 &amp; "'!",ADDRESS(MATCH($D189, INDIRECT("'" &amp; $C189 &amp; "'!$B:$B"), 0),MATCH(J$1, INDIRECT("'" &amp; $C189 &amp; "'!$1:$1"), 0)))),".",INDIRECT(CONCATENATE("'"&amp;$C189&amp;"'!",ADDRESS(MATCH($D189,INDIRECT("'"&amp;$C189&amp;"'!$B:$B"),0),3))),"#page=",J190),CONCATENATE("#Sharepoint//",$D189))</f>
        <v>#Sharepoint//FRS_Air Supply</v>
      </c>
      <c r="K189" s="359"/>
      <c r="L189" s="359"/>
    </row>
    <row r="190" spans="1:12" hidden="1" outlineLevel="2" x14ac:dyDescent="0.25">
      <c r="B190" s="169"/>
      <c r="D190" s="168"/>
      <c r="E190" s="167" t="s">
        <v>19</v>
      </c>
      <c r="F190" s="168">
        <v>26</v>
      </c>
      <c r="G190" s="168">
        <v>22</v>
      </c>
      <c r="H190" s="168">
        <v>26</v>
      </c>
      <c r="I190" s="168">
        <v>22</v>
      </c>
      <c r="J190" s="168">
        <v>21</v>
      </c>
      <c r="K190" s="168"/>
      <c r="L190" s="168"/>
    </row>
    <row r="191" spans="1:12" s="8" customFormat="1" ht="330" hidden="1" customHeight="1" outlineLevel="2" x14ac:dyDescent="0.25">
      <c r="B191" s="59"/>
      <c r="C191" s="161"/>
      <c r="D191" s="233"/>
      <c r="E191" s="234" t="s">
        <v>34</v>
      </c>
      <c r="F191" s="239" t="s">
        <v>238</v>
      </c>
      <c r="G191" s="239" t="s">
        <v>239</v>
      </c>
      <c r="H191" s="235"/>
      <c r="I191" s="235"/>
      <c r="J191" s="239" t="s">
        <v>240</v>
      </c>
      <c r="K191" s="235"/>
      <c r="L191" s="236"/>
    </row>
    <row r="192" spans="1:12" x14ac:dyDescent="0.25">
      <c r="A192" s="181" t="s">
        <v>241</v>
      </c>
      <c r="B192" s="367"/>
      <c r="C192" s="181"/>
      <c r="D192" s="368" t="s">
        <v>15</v>
      </c>
      <c r="E192" s="162"/>
      <c r="F192" s="163"/>
      <c r="G192" s="163"/>
      <c r="H192" s="163"/>
      <c r="I192" s="163"/>
      <c r="J192" s="163"/>
      <c r="K192" s="163"/>
      <c r="L192" s="164"/>
    </row>
    <row r="193" spans="1:12" outlineLevel="1" collapsed="1" x14ac:dyDescent="0.25">
      <c r="B193" s="169"/>
      <c r="C193" s="338" t="s">
        <v>16</v>
      </c>
      <c r="D193" s="369" t="s">
        <v>213</v>
      </c>
      <c r="E193" s="370" t="s">
        <v>18</v>
      </c>
      <c r="F193" s="340" t="str">
        <f t="array" aca="1" ref="F193" ca="1">HYPERLINK(CONCATENATE(Cartelle!$D$5,F$1,"/",$C193,"/",MID($D193,1,FIND("_",$D193)-1),"/",INDIRECT(CONCATENATE("'" &amp; $C193 &amp; "'!",ADDRESS(MATCH($D193, INDIRECT("'" &amp; $C193 &amp; "'!$B:$B"), 0),MATCH(F$1, INDIRECT("'" &amp; $C193 &amp; "'!$1:$1"), 0)))),".",INDIRECT(CONCATENATE("'"&amp;$C193&amp;"'!",ADDRESS(MATCH($D193,INDIRECT("'"&amp;$C193&amp;"'!$B:$B"),0),3))),"#page=",F194),CONCATENATE("#Sharepoint//",$D193))</f>
        <v>#Sharepoint//FRS_Air Supply</v>
      </c>
      <c r="G193" s="340" t="str">
        <f t="array" aca="1" ref="G193" ca="1">HYPERLINK(CONCATENATE(Cartelle!$D$5,INDEX(INDIRECT("'" &amp; $C193 &amp; "'!$1:$1"), 1, MATCH(INDIRECT(CONCATENATE("'" &amp; $C193 &amp; "'!",ADDRESS(MATCH($D193, INDIRECT("'" &amp; $C193 &amp; "'!$B:$B"), 0),MATCH(G$1, INDIRECT("'" &amp; $C193 &amp; "'!$1:$1"), 0)))),INDIRECT(CONCATENATE("'" &amp; $C193 &amp; "'!",MATCH($D193, INDIRECT("'" &amp; $C193 &amp; "'!$B:$B"), 0),":",MATCH($D193, INDIRECT("'" &amp; $C193 &amp; "'!$B:$B"), 0))),0)),"/",$C193,"/",MID($D193,1,FIND("_",$D193)-1),"/",INDIRECT(CONCATENATE("'" &amp; $C193 &amp; "'!",ADDRESS(MATCH($D193, INDIRECT("'" &amp; $C193 &amp; "'!$B:$B"), 0),MATCH(G$1, INDIRECT("'" &amp; $C193 &amp; "'!$1:$1"), 0)))),".",INDIRECT(CONCATENATE("'"&amp;$C193&amp;"'!",ADDRESS(MATCH($D193,INDIRECT("'"&amp;$C193&amp;"'!$B:$B"),0),3))),"#page=",G194),CONCATENATE("#Sharepoint//",$D193))</f>
        <v>#Sharepoint//FRS_Air Supply</v>
      </c>
      <c r="H193" s="363"/>
      <c r="I193" s="363"/>
      <c r="J193" s="340" t="str">
        <f t="array" aca="1" ref="J193" ca="1">HYPERLINK(CONCATENATE(Cartelle!$D$5,INDEX(INDIRECT("'" &amp; $C193 &amp; "'!$1:$1"), 1, MATCH(INDIRECT(CONCATENATE("'" &amp; $C193 &amp; "'!",ADDRESS(MATCH($D193, INDIRECT("'" &amp; $C193 &amp; "'!$B:$B"), 0),MATCH(J$1, INDIRECT("'" &amp; $C193 &amp; "'!$1:$1"), 0)))),INDIRECT(CONCATENATE("'" &amp; $C193 &amp; "'!",MATCH($D193, INDIRECT("'" &amp; $C193 &amp; "'!$B:$B"), 0),":",MATCH($D193, INDIRECT("'" &amp; $C193 &amp; "'!$B:$B"), 0))),0)),"/",$C193,"/",MID($D193,1,FIND("_",$D193)-1),"/",INDIRECT(CONCATENATE("'" &amp; $C193 &amp; "'!",ADDRESS(MATCH($D193, INDIRECT("'" &amp; $C193 &amp; "'!$B:$B"), 0),MATCH(J$1, INDIRECT("'" &amp; $C193 &amp; "'!$1:$1"), 0)))),".",INDIRECT(CONCATENATE("'"&amp;$C193&amp;"'!",ADDRESS(MATCH($D193,INDIRECT("'"&amp;$C193&amp;"'!$B:$B"),0),3))),"#page=",J194),CONCATENATE("#Sharepoint//",$D193))</f>
        <v>#Sharepoint//FRS_Air Supply</v>
      </c>
      <c r="K193" s="359"/>
      <c r="L193" s="359"/>
    </row>
    <row r="194" spans="1:12" hidden="1" outlineLevel="2" x14ac:dyDescent="0.25">
      <c r="B194" s="169"/>
      <c r="D194" s="166"/>
      <c r="E194" s="165" t="s">
        <v>19</v>
      </c>
      <c r="F194" s="166">
        <v>28</v>
      </c>
      <c r="G194" s="166">
        <v>23</v>
      </c>
      <c r="H194" s="166">
        <v>28</v>
      </c>
      <c r="I194" s="166">
        <v>23</v>
      </c>
      <c r="J194" s="166">
        <v>22</v>
      </c>
      <c r="K194" s="166"/>
      <c r="L194" s="166"/>
    </row>
    <row r="195" spans="1:12" s="8" customFormat="1" ht="409.5" hidden="1" customHeight="1" outlineLevel="2" x14ac:dyDescent="0.25">
      <c r="B195" s="59"/>
      <c r="C195" s="161"/>
      <c r="D195" s="233"/>
      <c r="E195" s="234" t="s">
        <v>34</v>
      </c>
      <c r="F195" s="239" t="s">
        <v>242</v>
      </c>
      <c r="G195" s="239" t="s">
        <v>243</v>
      </c>
      <c r="H195" s="235"/>
      <c r="I195" s="235"/>
      <c r="J195" s="239" t="s">
        <v>244</v>
      </c>
      <c r="K195" s="235"/>
      <c r="L195" s="236"/>
    </row>
    <row r="196" spans="1:12" x14ac:dyDescent="0.25">
      <c r="A196" s="181" t="s">
        <v>245</v>
      </c>
      <c r="B196" s="367"/>
      <c r="C196" s="181"/>
      <c r="D196" s="368" t="s">
        <v>15</v>
      </c>
      <c r="E196" s="162"/>
      <c r="F196" s="163"/>
      <c r="G196" s="163"/>
      <c r="H196" s="163"/>
      <c r="I196" s="163"/>
      <c r="J196" s="163"/>
      <c r="K196" s="163"/>
      <c r="L196" s="164"/>
    </row>
    <row r="197" spans="1:12" outlineLevel="1" x14ac:dyDescent="0.25">
      <c r="B197" s="169"/>
      <c r="C197" s="338" t="s">
        <v>16</v>
      </c>
      <c r="D197" s="369" t="s">
        <v>246</v>
      </c>
      <c r="E197" s="370" t="s">
        <v>18</v>
      </c>
      <c r="F197" s="340" t="str">
        <f t="array" aca="1" ref="F197" ca="1">HYPERLINK(CONCATENATE(Cartelle!$D$5,F$1,"/",$C197,"/",MID($D197,1,FIND("_",$D197)-1),"/",INDIRECT(CONCATENATE("'" &amp; $C197 &amp; "'!",ADDRESS(MATCH($D197, INDIRECT("'" &amp; $C197 &amp; "'!$B:$B"), 0),MATCH(F$1, INDIRECT("'" &amp; $C197 &amp; "'!$1:$1"), 0)))),".",INDIRECT(CONCATENATE("'"&amp;$C197&amp;"'!",ADDRESS(MATCH($D197,INDIRECT("'"&amp;$C197&amp;"'!$B:$B"),0),3))),"#page=",F198),CONCATENATE("#Sharepoint//",$D197))</f>
        <v>#Sharepoint//FRS_Brake Control</v>
      </c>
      <c r="G197" s="352"/>
      <c r="H197" s="340" t="str">
        <f t="array" aca="1" ref="H197" ca="1">HYPERLINK(CONCATENATE(Cartelle!$D$5,INDEX(INDIRECT("'" &amp; $C197 &amp; "'!$1:$1"), 1, MATCH(INDIRECT(CONCATENATE("'" &amp; $C197 &amp; "'!",ADDRESS(MATCH($D197, INDIRECT("'" &amp; $C197 &amp; "'!$B:$B"), 0),MATCH(H$1, INDIRECT("'" &amp; $C197 &amp; "'!$1:$1"), 0)))),INDIRECT(CONCATENATE("'" &amp; $C197 &amp; "'!",MATCH($D197, INDIRECT("'" &amp; $C197 &amp; "'!$B:$B"), 0),":",MATCH($D197, INDIRECT("'" &amp; $C197 &amp; "'!$B:$B"), 0))),0)),"/",$C197,"/",MID($D197,1,FIND("_",$D197)-1),"/",INDIRECT(CONCATENATE("'" &amp; $C197 &amp; "'!",ADDRESS(MATCH($D197, INDIRECT("'" &amp; $C197 &amp; "'!$B:$B"), 0),MATCH(H$1, INDIRECT("'" &amp; $C197 &amp; "'!$1:$1"), 0)))),".",INDIRECT(CONCATENATE("'"&amp;$C197&amp;"'!",ADDRESS(MATCH($D197,INDIRECT("'"&amp;$C197&amp;"'!$B:$B"),0),3))),"#page=",H198),CONCATENATE("#Sharepoint//",$D197))</f>
        <v>#Sharepoint//FRS_Brake Control</v>
      </c>
      <c r="I197" s="340" t="str">
        <f t="array" aca="1" ref="I197" ca="1">HYPERLINK(CONCATENATE(Cartelle!$D$5,INDEX(INDIRECT("'" &amp; $C197 &amp; "'!$1:$1"), 1, MATCH(INDIRECT(CONCATENATE("'" &amp; $C197 &amp; "'!",ADDRESS(MATCH($D197, INDIRECT("'" &amp; $C197 &amp; "'!$B:$B"), 0),MATCH(I$1, INDIRECT("'" &amp; $C197 &amp; "'!$1:$1"), 0)))),INDIRECT(CONCATENATE("'" &amp; $C197 &amp; "'!",MATCH($D197, INDIRECT("'" &amp; $C197 &amp; "'!$B:$B"), 0),":",MATCH($D197, INDIRECT("'" &amp; $C197 &amp; "'!$B:$B"), 0))),0)),"/",$C197,"/",MID($D197,1,FIND("_",$D197)-1),"/",INDIRECT(CONCATENATE("'" &amp; $C197 &amp; "'!",ADDRESS(MATCH($D197, INDIRECT("'" &amp; $C197 &amp; "'!$B:$B"), 0),MATCH(I$1, INDIRECT("'" &amp; $C197 &amp; "'!$1:$1"), 0)))),".",INDIRECT(CONCATENATE("'"&amp;$C197&amp;"'!",ADDRESS(MATCH($D197,INDIRECT("'"&amp;$C197&amp;"'!$B:$B"),0),3))),"#page=",I198),CONCATENATE("#Sharepoint//",$D197))</f>
        <v>#Sharepoint//FRS_Brake Control</v>
      </c>
      <c r="J197" s="340" t="str">
        <f t="array" aca="1" ref="J197" ca="1">HYPERLINK(CONCATENATE(Cartelle!$D$5,INDEX(INDIRECT("'" &amp; $C197 &amp; "'!$1:$1"), 1, MATCH(INDIRECT(CONCATENATE("'" &amp; $C197 &amp; "'!",ADDRESS(MATCH($D197, INDIRECT("'" &amp; $C197 &amp; "'!$B:$B"), 0),MATCH(J$1, INDIRECT("'" &amp; $C197 &amp; "'!$1:$1"), 0)))),INDIRECT(CONCATENATE("'" &amp; $C197 &amp; "'!",MATCH($D197, INDIRECT("'" &amp; $C197 &amp; "'!$B:$B"), 0),":",MATCH($D197, INDIRECT("'" &amp; $C197 &amp; "'!$B:$B"), 0))),0)),"/",$C197,"/",MID($D197,1,FIND("_",$D197)-1),"/",INDIRECT(CONCATENATE("'" &amp; $C197 &amp; "'!",ADDRESS(MATCH($D197, INDIRECT("'" &amp; $C197 &amp; "'!$B:$B"), 0),MATCH(J$1, INDIRECT("'" &amp; $C197 &amp; "'!$1:$1"), 0)))),".",INDIRECT(CONCATENATE("'"&amp;$C197&amp;"'!",ADDRESS(MATCH($D197,INDIRECT("'"&amp;$C197&amp;"'!$B:$B"),0),3))),"#page=",J198),CONCATENATE("#Sharepoint//",$D197))</f>
        <v>#Sharepoint//FRS_Brake Control</v>
      </c>
      <c r="K197" s="359"/>
      <c r="L197" s="359"/>
    </row>
    <row r="198" spans="1:12" outlineLevel="2" x14ac:dyDescent="0.25">
      <c r="B198" s="169"/>
      <c r="D198" s="168"/>
      <c r="E198" s="167" t="s">
        <v>19</v>
      </c>
      <c r="F198" s="168">
        <v>14</v>
      </c>
      <c r="G198" s="168"/>
      <c r="H198" s="168">
        <v>14</v>
      </c>
      <c r="I198" s="168">
        <v>14</v>
      </c>
      <c r="J198" s="168">
        <v>19</v>
      </c>
      <c r="K198" s="168"/>
      <c r="L198" s="168"/>
    </row>
    <row r="199" spans="1:12" s="8" customFormat="1" ht="409.5" customHeight="1" outlineLevel="2" x14ac:dyDescent="0.25">
      <c r="B199" s="59"/>
      <c r="C199" s="161"/>
      <c r="D199" s="233"/>
      <c r="E199" s="234" t="s">
        <v>34</v>
      </c>
      <c r="F199" s="239" t="s">
        <v>247</v>
      </c>
      <c r="G199" s="235"/>
      <c r="H199" s="239" t="s">
        <v>248</v>
      </c>
      <c r="I199" s="239" t="s">
        <v>249</v>
      </c>
      <c r="J199" s="239" t="s">
        <v>250</v>
      </c>
      <c r="K199" s="235"/>
      <c r="L199" s="236"/>
    </row>
    <row r="200" spans="1:12" x14ac:dyDescent="0.25">
      <c r="A200" s="181" t="s">
        <v>251</v>
      </c>
      <c r="B200" s="367"/>
      <c r="C200" s="181"/>
      <c r="D200" s="368" t="s">
        <v>15</v>
      </c>
      <c r="E200" s="162"/>
      <c r="F200" s="163"/>
      <c r="G200" s="163"/>
      <c r="H200" s="163"/>
      <c r="I200" s="163"/>
      <c r="J200" s="163"/>
      <c r="K200" s="163"/>
      <c r="L200" s="164"/>
    </row>
    <row r="201" spans="1:12" outlineLevel="1" collapsed="1" x14ac:dyDescent="0.25">
      <c r="B201" s="169"/>
      <c r="C201" s="338" t="s">
        <v>16</v>
      </c>
      <c r="D201" s="369" t="s">
        <v>246</v>
      </c>
      <c r="E201" s="370" t="s">
        <v>18</v>
      </c>
      <c r="F201" s="340" t="str">
        <f t="array" aca="1" ref="F201" ca="1">HYPERLINK(CONCATENATE(Cartelle!$D$5,F$1,"/",$C201,"/",MID($D201,1,FIND("_",$D201)-1),"/",INDIRECT(CONCATENATE("'" &amp; $C201 &amp; "'!",ADDRESS(MATCH($D201, INDIRECT("'" &amp; $C201 &amp; "'!$B:$B"), 0),MATCH(F$1, INDIRECT("'" &amp; $C201 &amp; "'!$1:$1"), 0)))),".",INDIRECT(CONCATENATE("'"&amp;$C201&amp;"'!",ADDRESS(MATCH($D201,INDIRECT("'"&amp;$C201&amp;"'!$B:$B"),0),3))),"#page=",F202),CONCATENATE("#Sharepoint//",$D201))</f>
        <v>#Sharepoint//FRS_Brake Control</v>
      </c>
      <c r="G201" s="352"/>
      <c r="H201" s="340" t="str">
        <f t="array" aca="1" ref="H201" ca="1">HYPERLINK(CONCATENATE(Cartelle!$D$5,INDEX(INDIRECT("'" &amp; $C201 &amp; "'!$1:$1"), 1, MATCH(INDIRECT(CONCATENATE("'" &amp; $C201 &amp; "'!",ADDRESS(MATCH($D201, INDIRECT("'" &amp; $C201 &amp; "'!$B:$B"), 0),MATCH(H$1, INDIRECT("'" &amp; $C201 &amp; "'!$1:$1"), 0)))),INDIRECT(CONCATENATE("'" &amp; $C201 &amp; "'!",MATCH($D201, INDIRECT("'" &amp; $C201 &amp; "'!$B:$B"), 0),":",MATCH($D201, INDIRECT("'" &amp; $C201 &amp; "'!$B:$B"), 0))),0)),"/",$C201,"/",MID($D201,1,FIND("_",$D201)-1),"/",INDIRECT(CONCATENATE("'" &amp; $C201 &amp; "'!",ADDRESS(MATCH($D201, INDIRECT("'" &amp; $C201 &amp; "'!$B:$B"), 0),MATCH(H$1, INDIRECT("'" &amp; $C201 &amp; "'!$1:$1"), 0)))),".",INDIRECT(CONCATENATE("'"&amp;$C201&amp;"'!",ADDRESS(MATCH($D201,INDIRECT("'"&amp;$C201&amp;"'!$B:$B"),0),3))),"#page=",H202),CONCATENATE("#Sharepoint//",$D201))</f>
        <v>#Sharepoint//FRS_Brake Control</v>
      </c>
      <c r="I201" s="340" t="str">
        <f t="array" aca="1" ref="I201" ca="1">HYPERLINK(CONCATENATE(Cartelle!$D$5,INDEX(INDIRECT("'" &amp; $C201 &amp; "'!$1:$1"), 1, MATCH(INDIRECT(CONCATENATE("'" &amp; $C201 &amp; "'!",ADDRESS(MATCH($D201, INDIRECT("'" &amp; $C201 &amp; "'!$B:$B"), 0),MATCH(I$1, INDIRECT("'" &amp; $C201 &amp; "'!$1:$1"), 0)))),INDIRECT(CONCATENATE("'" &amp; $C201 &amp; "'!",MATCH($D201, INDIRECT("'" &amp; $C201 &amp; "'!$B:$B"), 0),":",MATCH($D201, INDIRECT("'" &amp; $C201 &amp; "'!$B:$B"), 0))),0)),"/",$C201,"/",MID($D201,1,FIND("_",$D201)-1),"/",INDIRECT(CONCATENATE("'" &amp; $C201 &amp; "'!",ADDRESS(MATCH($D201, INDIRECT("'" &amp; $C201 &amp; "'!$B:$B"), 0),MATCH(I$1, INDIRECT("'" &amp; $C201 &amp; "'!$1:$1"), 0)))),".",INDIRECT(CONCATENATE("'"&amp;$C201&amp;"'!",ADDRESS(MATCH($D201,INDIRECT("'"&amp;$C201&amp;"'!$B:$B"),0),3))),"#page=",I202),CONCATENATE("#Sharepoint//",$D201))</f>
        <v>#Sharepoint//FRS_Brake Control</v>
      </c>
      <c r="J201" s="340" t="str">
        <f t="array" aca="1" ref="J201" ca="1">HYPERLINK(CONCATENATE(Cartelle!$D$5,INDEX(INDIRECT("'" &amp; $C201 &amp; "'!$1:$1"), 1, MATCH(INDIRECT(CONCATENATE("'" &amp; $C201 &amp; "'!",ADDRESS(MATCH($D201, INDIRECT("'" &amp; $C201 &amp; "'!$B:$B"), 0),MATCH(J$1, INDIRECT("'" &amp; $C201 &amp; "'!$1:$1"), 0)))),INDIRECT(CONCATENATE("'" &amp; $C201 &amp; "'!",MATCH($D201, INDIRECT("'" &amp; $C201 &amp; "'!$B:$B"), 0),":",MATCH($D201, INDIRECT("'" &amp; $C201 &amp; "'!$B:$B"), 0))),0)),"/",$C201,"/",MID($D201,1,FIND("_",$D201)-1),"/",INDIRECT(CONCATENATE("'" &amp; $C201 &amp; "'!",ADDRESS(MATCH($D201, INDIRECT("'" &amp; $C201 &amp; "'!$B:$B"), 0),MATCH(J$1, INDIRECT("'" &amp; $C201 &amp; "'!$1:$1"), 0)))),".",INDIRECT(CONCATENATE("'"&amp;$C201&amp;"'!",ADDRESS(MATCH($D201,INDIRECT("'"&amp;$C201&amp;"'!$B:$B"),0),3))),"#page=",J202),CONCATENATE("#Sharepoint//",$D201))</f>
        <v>#Sharepoint//FRS_Brake Control</v>
      </c>
      <c r="K201" s="359"/>
      <c r="L201" s="359"/>
    </row>
    <row r="202" spans="1:12" hidden="1" outlineLevel="2" x14ac:dyDescent="0.25">
      <c r="B202" s="169"/>
      <c r="D202" s="168"/>
      <c r="E202" s="167" t="s">
        <v>19</v>
      </c>
      <c r="F202" s="168">
        <v>50</v>
      </c>
      <c r="G202" s="168"/>
      <c r="H202" s="168">
        <v>54</v>
      </c>
      <c r="I202" s="168">
        <v>50</v>
      </c>
      <c r="J202" s="168">
        <v>95</v>
      </c>
      <c r="K202" s="168"/>
      <c r="L202" s="168"/>
    </row>
    <row r="203" spans="1:12" s="8" customFormat="1" ht="390" hidden="1" customHeight="1" outlineLevel="2" x14ac:dyDescent="0.25">
      <c r="B203" s="59"/>
      <c r="C203" s="161"/>
      <c r="D203" s="233"/>
      <c r="E203" s="234" t="s">
        <v>34</v>
      </c>
      <c r="F203" s="239" t="s">
        <v>252</v>
      </c>
      <c r="G203" s="235"/>
      <c r="H203" s="239" t="s">
        <v>253</v>
      </c>
      <c r="I203" s="239" t="s">
        <v>254</v>
      </c>
      <c r="J203" s="239" t="s">
        <v>255</v>
      </c>
      <c r="K203" s="235"/>
      <c r="L203" s="236"/>
    </row>
    <row r="204" spans="1:12" x14ac:dyDescent="0.25">
      <c r="A204" s="181" t="s">
        <v>256</v>
      </c>
      <c r="B204" s="367"/>
      <c r="C204" s="181"/>
      <c r="D204" s="368" t="s">
        <v>15</v>
      </c>
      <c r="E204" s="162"/>
      <c r="F204" s="163"/>
      <c r="G204" s="163"/>
      <c r="H204" s="163"/>
      <c r="I204" s="163"/>
      <c r="J204" s="163"/>
      <c r="K204" s="163"/>
      <c r="L204" s="164"/>
    </row>
    <row r="205" spans="1:12" outlineLevel="1" collapsed="1" x14ac:dyDescent="0.25">
      <c r="B205" s="169"/>
      <c r="C205" s="338" t="s">
        <v>16</v>
      </c>
      <c r="D205" s="369" t="s">
        <v>246</v>
      </c>
      <c r="E205" s="370" t="s">
        <v>18</v>
      </c>
      <c r="F205" s="340" t="str">
        <f t="array" aca="1" ref="F205" ca="1">HYPERLINK(CONCATENATE(Cartelle!$D$5,F$1,"/",$C205,"/",MID($D205,1,FIND("_",$D205)-1),"/",INDIRECT(CONCATENATE("'" &amp; $C205 &amp; "'!",ADDRESS(MATCH($D205, INDIRECT("'" &amp; $C205 &amp; "'!$B:$B"), 0),MATCH(F$1, INDIRECT("'" &amp; $C205 &amp; "'!$1:$1"), 0)))),".",INDIRECT(CONCATENATE("'"&amp;$C205&amp;"'!",ADDRESS(MATCH($D205,INDIRECT("'"&amp;$C205&amp;"'!$B:$B"),0),3))),"#page=",F206),CONCATENATE("#Sharepoint//",$D205))</f>
        <v>#Sharepoint//FRS_Brake Control</v>
      </c>
      <c r="G205" s="352"/>
      <c r="H205" s="340" t="str">
        <f t="array" aca="1" ref="H205" ca="1">HYPERLINK(CONCATENATE(Cartelle!$D$5,INDEX(INDIRECT("'" &amp; $C205 &amp; "'!$1:$1"), 1, MATCH(INDIRECT(CONCATENATE("'" &amp; $C205 &amp; "'!",ADDRESS(MATCH($D205, INDIRECT("'" &amp; $C205 &amp; "'!$B:$B"), 0),MATCH(H$1, INDIRECT("'" &amp; $C205 &amp; "'!$1:$1"), 0)))),INDIRECT(CONCATENATE("'" &amp; $C205 &amp; "'!",MATCH($D205, INDIRECT("'" &amp; $C205 &amp; "'!$B:$B"), 0),":",MATCH($D205, INDIRECT("'" &amp; $C205 &amp; "'!$B:$B"), 0))),0)),"/",$C205,"/",MID($D205,1,FIND("_",$D205)-1),"/",INDIRECT(CONCATENATE("'" &amp; $C205 &amp; "'!",ADDRESS(MATCH($D205, INDIRECT("'" &amp; $C205 &amp; "'!$B:$B"), 0),MATCH(H$1, INDIRECT("'" &amp; $C205 &amp; "'!$1:$1"), 0)))),".",INDIRECT(CONCATENATE("'"&amp;$C205&amp;"'!",ADDRESS(MATCH($D205,INDIRECT("'"&amp;$C205&amp;"'!$B:$B"),0),3))),"#page=",H206),CONCATENATE("#Sharepoint//",$D205))</f>
        <v>#Sharepoint//FRS_Brake Control</v>
      </c>
      <c r="I205" s="340" t="str">
        <f t="array" aca="1" ref="I205" ca="1">HYPERLINK(CONCATENATE(Cartelle!$D$5,INDEX(INDIRECT("'" &amp; $C205 &amp; "'!$1:$1"), 1, MATCH(INDIRECT(CONCATENATE("'" &amp; $C205 &amp; "'!",ADDRESS(MATCH($D205, INDIRECT("'" &amp; $C205 &amp; "'!$B:$B"), 0),MATCH(I$1, INDIRECT("'" &amp; $C205 &amp; "'!$1:$1"), 0)))),INDIRECT(CONCATENATE("'" &amp; $C205 &amp; "'!",MATCH($D205, INDIRECT("'" &amp; $C205 &amp; "'!$B:$B"), 0),":",MATCH($D205, INDIRECT("'" &amp; $C205 &amp; "'!$B:$B"), 0))),0)),"/",$C205,"/",MID($D205,1,FIND("_",$D205)-1),"/",INDIRECT(CONCATENATE("'" &amp; $C205 &amp; "'!",ADDRESS(MATCH($D205, INDIRECT("'" &amp; $C205 &amp; "'!$B:$B"), 0),MATCH(I$1, INDIRECT("'" &amp; $C205 &amp; "'!$1:$1"), 0)))),".",INDIRECT(CONCATENATE("'"&amp;$C205&amp;"'!",ADDRESS(MATCH($D205,INDIRECT("'"&amp;$C205&amp;"'!$B:$B"),0),3))),"#page=",I206),CONCATENATE("#Sharepoint//",$D205))</f>
        <v>#Sharepoint//FRS_Brake Control</v>
      </c>
      <c r="J205" s="340" t="str">
        <f t="array" aca="1" ref="J205" ca="1">HYPERLINK(CONCATENATE(Cartelle!$D$5,INDEX(INDIRECT("'" &amp; $C205 &amp; "'!$1:$1"), 1, MATCH(INDIRECT(CONCATENATE("'" &amp; $C205 &amp; "'!",ADDRESS(MATCH($D205, INDIRECT("'" &amp; $C205 &amp; "'!$B:$B"), 0),MATCH(J$1, INDIRECT("'" &amp; $C205 &amp; "'!$1:$1"), 0)))),INDIRECT(CONCATENATE("'" &amp; $C205 &amp; "'!",MATCH($D205, INDIRECT("'" &amp; $C205 &amp; "'!$B:$B"), 0),":",MATCH($D205, INDIRECT("'" &amp; $C205 &amp; "'!$B:$B"), 0))),0)),"/",$C205,"/",MID($D205,1,FIND("_",$D205)-1),"/",INDIRECT(CONCATENATE("'" &amp; $C205 &amp; "'!",ADDRESS(MATCH($D205, INDIRECT("'" &amp; $C205 &amp; "'!$B:$B"), 0),MATCH(J$1, INDIRECT("'" &amp; $C205 &amp; "'!$1:$1"), 0)))),".",INDIRECT(CONCATENATE("'"&amp;$C205&amp;"'!",ADDRESS(MATCH($D205,INDIRECT("'"&amp;$C205&amp;"'!$B:$B"),0),3))),"#page=",J206),CONCATENATE("#Sharepoint//",$D205))</f>
        <v>#Sharepoint//FRS_Brake Control</v>
      </c>
      <c r="K205" s="359"/>
      <c r="L205" s="359"/>
    </row>
    <row r="206" spans="1:12" hidden="1" outlineLevel="2" x14ac:dyDescent="0.25">
      <c r="B206" s="169"/>
      <c r="D206" s="168"/>
      <c r="E206" s="167" t="s">
        <v>19</v>
      </c>
      <c r="F206" s="168">
        <v>87</v>
      </c>
      <c r="G206" s="168"/>
      <c r="H206" s="168">
        <v>94</v>
      </c>
      <c r="I206" s="168">
        <v>86</v>
      </c>
      <c r="J206" s="168">
        <v>129</v>
      </c>
      <c r="K206" s="168"/>
      <c r="L206" s="168"/>
    </row>
    <row r="207" spans="1:12" s="8" customFormat="1" ht="405" hidden="1" customHeight="1" outlineLevel="2" x14ac:dyDescent="0.25">
      <c r="B207" s="59"/>
      <c r="C207" s="161"/>
      <c r="D207" s="233"/>
      <c r="E207" s="234" t="s">
        <v>34</v>
      </c>
      <c r="F207" s="239" t="s">
        <v>257</v>
      </c>
      <c r="G207" s="235"/>
      <c r="H207" s="239" t="s">
        <v>258</v>
      </c>
      <c r="I207" s="239" t="s">
        <v>259</v>
      </c>
      <c r="J207" s="239" t="s">
        <v>260</v>
      </c>
      <c r="K207" s="235"/>
      <c r="L207" s="236"/>
    </row>
    <row r="208" spans="1:12" x14ac:dyDescent="0.25">
      <c r="A208" s="181" t="s">
        <v>261</v>
      </c>
      <c r="B208" s="367"/>
      <c r="C208" s="181"/>
      <c r="D208" s="368" t="s">
        <v>15</v>
      </c>
      <c r="E208" s="162"/>
      <c r="F208" s="163"/>
      <c r="G208" s="163"/>
      <c r="H208" s="163"/>
      <c r="I208" s="163"/>
      <c r="J208" s="163"/>
      <c r="K208" s="163"/>
      <c r="L208" s="164"/>
    </row>
    <row r="209" spans="1:12" outlineLevel="1" collapsed="1" x14ac:dyDescent="0.25">
      <c r="B209" s="169"/>
      <c r="C209" s="338" t="s">
        <v>16</v>
      </c>
      <c r="D209" s="369" t="s">
        <v>246</v>
      </c>
      <c r="E209" s="370" t="s">
        <v>18</v>
      </c>
      <c r="F209" s="340" t="str">
        <f t="array" aca="1" ref="F209" ca="1">HYPERLINK(CONCATENATE(Cartelle!$D$5,F$1,"/",$C209,"/",MID($D209,1,FIND("_",$D209)-1),"/",INDIRECT(CONCATENATE("'" &amp; $C209 &amp; "'!",ADDRESS(MATCH($D209, INDIRECT("'" &amp; $C209 &amp; "'!$B:$B"), 0),MATCH(F$1, INDIRECT("'" &amp; $C209 &amp; "'!$1:$1"), 0)))),".",INDIRECT(CONCATENATE("'"&amp;$C209&amp;"'!",ADDRESS(MATCH($D209,INDIRECT("'"&amp;$C209&amp;"'!$B:$B"),0),3))),"#page=",F210),CONCATENATE("#Sharepoint//",$D209))</f>
        <v>#Sharepoint//FRS_Brake Control</v>
      </c>
      <c r="G209" s="352"/>
      <c r="H209" s="340" t="str">
        <f t="array" aca="1" ref="H209" ca="1">HYPERLINK(CONCATENATE(Cartelle!$D$5,INDEX(INDIRECT("'" &amp; $C209 &amp; "'!$1:$1"), 1, MATCH(INDIRECT(CONCATENATE("'" &amp; $C209 &amp; "'!",ADDRESS(MATCH($D209, INDIRECT("'" &amp; $C209 &amp; "'!$B:$B"), 0),MATCH(H$1, INDIRECT("'" &amp; $C209 &amp; "'!$1:$1"), 0)))),INDIRECT(CONCATENATE("'" &amp; $C209 &amp; "'!",MATCH($D209, INDIRECT("'" &amp; $C209 &amp; "'!$B:$B"), 0),":",MATCH($D209, INDIRECT("'" &amp; $C209 &amp; "'!$B:$B"), 0))),0)),"/",$C209,"/",MID($D209,1,FIND("_",$D209)-1),"/",INDIRECT(CONCATENATE("'" &amp; $C209 &amp; "'!",ADDRESS(MATCH($D209, INDIRECT("'" &amp; $C209 &amp; "'!$B:$B"), 0),MATCH(H$1, INDIRECT("'" &amp; $C209 &amp; "'!$1:$1"), 0)))),".",INDIRECT(CONCATENATE("'"&amp;$C209&amp;"'!",ADDRESS(MATCH($D209,INDIRECT("'"&amp;$C209&amp;"'!$B:$B"),0),3))),"#page=",H210),CONCATENATE("#Sharepoint//",$D209))</f>
        <v>#Sharepoint//FRS_Brake Control</v>
      </c>
      <c r="I209" s="340" t="str">
        <f t="array" aca="1" ref="I209" ca="1">HYPERLINK(CONCATENATE(Cartelle!$D$5,INDEX(INDIRECT("'" &amp; $C209 &amp; "'!$1:$1"), 1, MATCH(INDIRECT(CONCATENATE("'" &amp; $C209 &amp; "'!",ADDRESS(MATCH($D209, INDIRECT("'" &amp; $C209 &amp; "'!$B:$B"), 0),MATCH(I$1, INDIRECT("'" &amp; $C209 &amp; "'!$1:$1"), 0)))),INDIRECT(CONCATENATE("'" &amp; $C209 &amp; "'!",MATCH($D209, INDIRECT("'" &amp; $C209 &amp; "'!$B:$B"), 0),":",MATCH($D209, INDIRECT("'" &amp; $C209 &amp; "'!$B:$B"), 0))),0)),"/",$C209,"/",MID($D209,1,FIND("_",$D209)-1),"/",INDIRECT(CONCATENATE("'" &amp; $C209 &amp; "'!",ADDRESS(MATCH($D209, INDIRECT("'" &amp; $C209 &amp; "'!$B:$B"), 0),MATCH(I$1, INDIRECT("'" &amp; $C209 &amp; "'!$1:$1"), 0)))),".",INDIRECT(CONCATENATE("'"&amp;$C209&amp;"'!",ADDRESS(MATCH($D209,INDIRECT("'"&amp;$C209&amp;"'!$B:$B"),0),3))),"#page=",I210),CONCATENATE("#Sharepoint//",$D209))</f>
        <v>#Sharepoint//FRS_Brake Control</v>
      </c>
      <c r="J209" s="340" t="str">
        <f t="array" aca="1" ref="J209" ca="1">HYPERLINK(CONCATENATE(Cartelle!$D$5,INDEX(INDIRECT("'" &amp; $C209 &amp; "'!$1:$1"), 1, MATCH(INDIRECT(CONCATENATE("'" &amp; $C209 &amp; "'!",ADDRESS(MATCH($D209, INDIRECT("'" &amp; $C209 &amp; "'!$B:$B"), 0),MATCH(J$1, INDIRECT("'" &amp; $C209 &amp; "'!$1:$1"), 0)))),INDIRECT(CONCATENATE("'" &amp; $C209 &amp; "'!",MATCH($D209, INDIRECT("'" &amp; $C209 &amp; "'!$B:$B"), 0),":",MATCH($D209, INDIRECT("'" &amp; $C209 &amp; "'!$B:$B"), 0))),0)),"/",$C209,"/",MID($D209,1,FIND("_",$D209)-1),"/",INDIRECT(CONCATENATE("'" &amp; $C209 &amp; "'!",ADDRESS(MATCH($D209, INDIRECT("'" &amp; $C209 &amp; "'!$B:$B"), 0),MATCH(J$1, INDIRECT("'" &amp; $C209 &amp; "'!$1:$1"), 0)))),".",INDIRECT(CONCATENATE("'"&amp;$C209&amp;"'!",ADDRESS(MATCH($D209,INDIRECT("'"&amp;$C209&amp;"'!$B:$B"),0),3))),"#page=",J210),CONCATENATE("#Sharepoint//",$D209))</f>
        <v>#Sharepoint//FRS_Brake Control</v>
      </c>
      <c r="K209" s="359"/>
      <c r="L209" s="359"/>
    </row>
    <row r="210" spans="1:12" hidden="1" outlineLevel="2" x14ac:dyDescent="0.25">
      <c r="B210" s="169"/>
      <c r="D210" s="168"/>
      <c r="E210" s="167" t="s">
        <v>19</v>
      </c>
      <c r="F210" s="168">
        <v>91</v>
      </c>
      <c r="G210" s="168"/>
      <c r="H210" s="168">
        <v>99</v>
      </c>
      <c r="I210" s="168">
        <v>90</v>
      </c>
      <c r="J210" s="168">
        <v>133</v>
      </c>
      <c r="K210" s="168"/>
      <c r="L210" s="168"/>
    </row>
    <row r="211" spans="1:12" s="8" customFormat="1" ht="375" hidden="1" customHeight="1" outlineLevel="2" x14ac:dyDescent="0.25">
      <c r="B211" s="59"/>
      <c r="C211" s="161"/>
      <c r="D211" s="233"/>
      <c r="E211" s="234" t="s">
        <v>34</v>
      </c>
      <c r="F211" s="239" t="s">
        <v>262</v>
      </c>
      <c r="G211" s="235"/>
      <c r="H211" s="239" t="s">
        <v>263</v>
      </c>
      <c r="I211" s="239" t="s">
        <v>264</v>
      </c>
      <c r="J211" s="239" t="s">
        <v>265</v>
      </c>
      <c r="K211" s="235"/>
      <c r="L211" s="236"/>
    </row>
    <row r="212" spans="1:12" x14ac:dyDescent="0.25">
      <c r="A212" s="181" t="s">
        <v>266</v>
      </c>
      <c r="B212" s="367"/>
      <c r="C212" s="181"/>
      <c r="D212" s="368" t="s">
        <v>15</v>
      </c>
      <c r="E212" s="162"/>
      <c r="F212" s="163"/>
      <c r="G212" s="163"/>
      <c r="H212" s="163"/>
      <c r="I212" s="163"/>
      <c r="J212" s="163"/>
      <c r="K212" s="163"/>
      <c r="L212" s="164"/>
    </row>
    <row r="213" spans="1:12" outlineLevel="1" collapsed="1" x14ac:dyDescent="0.25">
      <c r="B213" s="169"/>
      <c r="C213" s="338" t="s">
        <v>16</v>
      </c>
      <c r="D213" s="369" t="s">
        <v>246</v>
      </c>
      <c r="E213" s="370" t="s">
        <v>18</v>
      </c>
      <c r="F213" s="340" t="str">
        <f t="array" aca="1" ref="F213" ca="1">HYPERLINK(CONCATENATE(Cartelle!$D$5,F$1,"/",$C213,"/",MID($D213,1,FIND("_",$D213)-1),"/",INDIRECT(CONCATENATE("'" &amp; $C213 &amp; "'!",ADDRESS(MATCH($D213, INDIRECT("'" &amp; $C213 &amp; "'!$B:$B"), 0),MATCH(F$1, INDIRECT("'" &amp; $C213 &amp; "'!$1:$1"), 0)))),".",INDIRECT(CONCATENATE("'"&amp;$C213&amp;"'!",ADDRESS(MATCH($D213,INDIRECT("'"&amp;$C213&amp;"'!$B:$B"),0),3))),"#page=",F214),CONCATENATE("#Sharepoint//",$D213))</f>
        <v>#Sharepoint//FRS_Brake Control</v>
      </c>
      <c r="G213" s="352"/>
      <c r="H213" s="340" t="str">
        <f t="array" aca="1" ref="H213" ca="1">HYPERLINK(CONCATENATE(Cartelle!$D$5,INDEX(INDIRECT("'" &amp; $C213 &amp; "'!$1:$1"), 1, MATCH(INDIRECT(CONCATENATE("'" &amp; $C213 &amp; "'!",ADDRESS(MATCH($D213, INDIRECT("'" &amp; $C213 &amp; "'!$B:$B"), 0),MATCH(H$1, INDIRECT("'" &amp; $C213 &amp; "'!$1:$1"), 0)))),INDIRECT(CONCATENATE("'" &amp; $C213 &amp; "'!",MATCH($D213, INDIRECT("'" &amp; $C213 &amp; "'!$B:$B"), 0),":",MATCH($D213, INDIRECT("'" &amp; $C213 &amp; "'!$B:$B"), 0))),0)),"/",$C213,"/",MID($D213,1,FIND("_",$D213)-1),"/",INDIRECT(CONCATENATE("'" &amp; $C213 &amp; "'!",ADDRESS(MATCH($D213, INDIRECT("'" &amp; $C213 &amp; "'!$B:$B"), 0),MATCH(H$1, INDIRECT("'" &amp; $C213 &amp; "'!$1:$1"), 0)))),".",INDIRECT(CONCATENATE("'"&amp;$C213&amp;"'!",ADDRESS(MATCH($D213,INDIRECT("'"&amp;$C213&amp;"'!$B:$B"),0),3))),"#page=",H214),CONCATENATE("#Sharepoint//",$D213))</f>
        <v>#Sharepoint//FRS_Brake Control</v>
      </c>
      <c r="I213" s="340" t="str">
        <f t="array" aca="1" ref="I213" ca="1">HYPERLINK(CONCATENATE(Cartelle!$D$5,INDEX(INDIRECT("'" &amp; $C213 &amp; "'!$1:$1"), 1, MATCH(INDIRECT(CONCATENATE("'" &amp; $C213 &amp; "'!",ADDRESS(MATCH($D213, INDIRECT("'" &amp; $C213 &amp; "'!$B:$B"), 0),MATCH(I$1, INDIRECT("'" &amp; $C213 &amp; "'!$1:$1"), 0)))),INDIRECT(CONCATENATE("'" &amp; $C213 &amp; "'!",MATCH($D213, INDIRECT("'" &amp; $C213 &amp; "'!$B:$B"), 0),":",MATCH($D213, INDIRECT("'" &amp; $C213 &amp; "'!$B:$B"), 0))),0)),"/",$C213,"/",MID($D213,1,FIND("_",$D213)-1),"/",INDIRECT(CONCATENATE("'" &amp; $C213 &amp; "'!",ADDRESS(MATCH($D213, INDIRECT("'" &amp; $C213 &amp; "'!$B:$B"), 0),MATCH(I$1, INDIRECT("'" &amp; $C213 &amp; "'!$1:$1"), 0)))),".",INDIRECT(CONCATENATE("'"&amp;$C213&amp;"'!",ADDRESS(MATCH($D213,INDIRECT("'"&amp;$C213&amp;"'!$B:$B"),0),3))),"#page=",I214),CONCATENATE("#Sharepoint//",$D213))</f>
        <v>#Sharepoint//FRS_Brake Control</v>
      </c>
      <c r="J213" s="340" t="str">
        <f t="array" aca="1" ref="J213" ca="1">HYPERLINK(CONCATENATE(Cartelle!$D$5,INDEX(INDIRECT("'" &amp; $C213 &amp; "'!$1:$1"), 1, MATCH(INDIRECT(CONCATENATE("'" &amp; $C213 &amp; "'!",ADDRESS(MATCH($D213, INDIRECT("'" &amp; $C213 &amp; "'!$B:$B"), 0),MATCH(J$1, INDIRECT("'" &amp; $C213 &amp; "'!$1:$1"), 0)))),INDIRECT(CONCATENATE("'" &amp; $C213 &amp; "'!",MATCH($D213, INDIRECT("'" &amp; $C213 &amp; "'!$B:$B"), 0),":",MATCH($D213, INDIRECT("'" &amp; $C213 &amp; "'!$B:$B"), 0))),0)),"/",$C213,"/",MID($D213,1,FIND("_",$D213)-1),"/",INDIRECT(CONCATENATE("'" &amp; $C213 &amp; "'!",ADDRESS(MATCH($D213, INDIRECT("'" &amp; $C213 &amp; "'!$B:$B"), 0),MATCH(J$1, INDIRECT("'" &amp; $C213 &amp; "'!$1:$1"), 0)))),".",INDIRECT(CONCATENATE("'"&amp;$C213&amp;"'!",ADDRESS(MATCH($D213,INDIRECT("'"&amp;$C213&amp;"'!$B:$B"),0),3))),"#page=",J214),CONCATENATE("#Sharepoint//",$D213))</f>
        <v>#Sharepoint//FRS_Brake Control</v>
      </c>
      <c r="K213" s="359"/>
      <c r="L213" s="359"/>
    </row>
    <row r="214" spans="1:12" hidden="1" outlineLevel="2" x14ac:dyDescent="0.25">
      <c r="B214" s="169"/>
      <c r="D214" s="168"/>
      <c r="E214" s="167" t="s">
        <v>19</v>
      </c>
      <c r="F214" s="168">
        <v>97</v>
      </c>
      <c r="G214" s="168"/>
      <c r="H214" s="168">
        <v>102</v>
      </c>
      <c r="I214" s="168">
        <v>93</v>
      </c>
      <c r="J214" s="168">
        <v>136</v>
      </c>
      <c r="K214" s="168"/>
      <c r="L214" s="168"/>
    </row>
    <row r="215" spans="1:12" ht="409.5" hidden="1" customHeight="1" outlineLevel="2" x14ac:dyDescent="0.25">
      <c r="B215" s="169"/>
      <c r="D215" s="168"/>
      <c r="E215" s="234" t="s">
        <v>34</v>
      </c>
      <c r="F215" s="242" t="s">
        <v>267</v>
      </c>
      <c r="G215" s="237"/>
      <c r="H215" s="242" t="s">
        <v>268</v>
      </c>
      <c r="I215" s="242" t="s">
        <v>269</v>
      </c>
      <c r="J215" s="242" t="s">
        <v>270</v>
      </c>
      <c r="K215" s="237"/>
      <c r="L215" s="238"/>
    </row>
    <row r="216" spans="1:12" x14ac:dyDescent="0.25">
      <c r="A216" s="181" t="s">
        <v>271</v>
      </c>
      <c r="B216" s="367"/>
      <c r="C216" s="181"/>
      <c r="D216" s="368" t="s">
        <v>15</v>
      </c>
      <c r="E216" s="162"/>
      <c r="F216" s="163"/>
      <c r="G216" s="163"/>
      <c r="H216" s="163"/>
      <c r="I216" s="163"/>
      <c r="J216" s="163"/>
      <c r="K216" s="163"/>
      <c r="L216" s="164"/>
    </row>
    <row r="217" spans="1:12" outlineLevel="1" collapsed="1" x14ac:dyDescent="0.25">
      <c r="B217" s="169"/>
      <c r="C217" s="338" t="s">
        <v>16</v>
      </c>
      <c r="D217" s="369" t="s">
        <v>246</v>
      </c>
      <c r="E217" s="370" t="s">
        <v>18</v>
      </c>
      <c r="F217" s="340" t="str">
        <f t="array" aca="1" ref="F217" ca="1">HYPERLINK(CONCATENATE(Cartelle!$D$5,F$1,"/",$C217,"/",MID($D217,1,FIND("_",$D217)-1),"/",INDIRECT(CONCATENATE("'" &amp; $C217 &amp; "'!",ADDRESS(MATCH($D217, INDIRECT("'" &amp; $C217 &amp; "'!$B:$B"), 0),MATCH(F$1, INDIRECT("'" &amp; $C217 &amp; "'!$1:$1"), 0)))),".",INDIRECT(CONCATENATE("'"&amp;$C217&amp;"'!",ADDRESS(MATCH($D217,INDIRECT("'"&amp;$C217&amp;"'!$B:$B"),0),3))),"#page=",F218),CONCATENATE("#Sharepoint//",$D217))</f>
        <v>#Sharepoint//FRS_Brake Control</v>
      </c>
      <c r="G217" s="352"/>
      <c r="H217" s="340" t="str">
        <f t="array" aca="1" ref="H217" ca="1">HYPERLINK(CONCATENATE(Cartelle!$D$5,INDEX(INDIRECT("'" &amp; $C217 &amp; "'!$1:$1"), 1, MATCH(INDIRECT(CONCATENATE("'" &amp; $C217 &amp; "'!",ADDRESS(MATCH($D217, INDIRECT("'" &amp; $C217 &amp; "'!$B:$B"), 0),MATCH(H$1, INDIRECT("'" &amp; $C217 &amp; "'!$1:$1"), 0)))),INDIRECT(CONCATENATE("'" &amp; $C217 &amp; "'!",MATCH($D217, INDIRECT("'" &amp; $C217 &amp; "'!$B:$B"), 0),":",MATCH($D217, INDIRECT("'" &amp; $C217 &amp; "'!$B:$B"), 0))),0)),"/",$C217,"/",MID($D217,1,FIND("_",$D217)-1),"/",INDIRECT(CONCATENATE("'" &amp; $C217 &amp; "'!",ADDRESS(MATCH($D217, INDIRECT("'" &amp; $C217 &amp; "'!$B:$B"), 0),MATCH(H$1, INDIRECT("'" &amp; $C217 &amp; "'!$1:$1"), 0)))),".",INDIRECT(CONCATENATE("'"&amp;$C217&amp;"'!",ADDRESS(MATCH($D217,INDIRECT("'"&amp;$C217&amp;"'!$B:$B"),0),3))),"#page=",H218),CONCATENATE("#Sharepoint//",$D217))</f>
        <v>#Sharepoint//FRS_Brake Control</v>
      </c>
      <c r="I217" s="340" t="str">
        <f t="array" aca="1" ref="I217" ca="1">HYPERLINK(CONCATENATE(Cartelle!$D$5,INDEX(INDIRECT("'" &amp; $C217 &amp; "'!$1:$1"), 1, MATCH(INDIRECT(CONCATENATE("'" &amp; $C217 &amp; "'!",ADDRESS(MATCH($D217, INDIRECT("'" &amp; $C217 &amp; "'!$B:$B"), 0),MATCH(I$1, INDIRECT("'" &amp; $C217 &amp; "'!$1:$1"), 0)))),INDIRECT(CONCATENATE("'" &amp; $C217 &amp; "'!",MATCH($D217, INDIRECT("'" &amp; $C217 &amp; "'!$B:$B"), 0),":",MATCH($D217, INDIRECT("'" &amp; $C217 &amp; "'!$B:$B"), 0))),0)),"/",$C217,"/",MID($D217,1,FIND("_",$D217)-1),"/",INDIRECT(CONCATENATE("'" &amp; $C217 &amp; "'!",ADDRESS(MATCH($D217, INDIRECT("'" &amp; $C217 &amp; "'!$B:$B"), 0),MATCH(I$1, INDIRECT("'" &amp; $C217 &amp; "'!$1:$1"), 0)))),".",INDIRECT(CONCATENATE("'"&amp;$C217&amp;"'!",ADDRESS(MATCH($D217,INDIRECT("'"&amp;$C217&amp;"'!$B:$B"),0),3))),"#page=",I218),CONCATENATE("#Sharepoint//",$D217))</f>
        <v>#Sharepoint//FRS_Brake Control</v>
      </c>
      <c r="J217" s="340" t="str">
        <f t="array" aca="1" ref="J217" ca="1">HYPERLINK(CONCATENATE(Cartelle!$D$5,INDEX(INDIRECT("'" &amp; $C217 &amp; "'!$1:$1"), 1, MATCH(INDIRECT(CONCATENATE("'" &amp; $C217 &amp; "'!",ADDRESS(MATCH($D217, INDIRECT("'" &amp; $C217 &amp; "'!$B:$B"), 0),MATCH(J$1, INDIRECT("'" &amp; $C217 &amp; "'!$1:$1"), 0)))),INDIRECT(CONCATENATE("'" &amp; $C217 &amp; "'!",MATCH($D217, INDIRECT("'" &amp; $C217 &amp; "'!$B:$B"), 0),":",MATCH($D217, INDIRECT("'" &amp; $C217 &amp; "'!$B:$B"), 0))),0)),"/",$C217,"/",MID($D217,1,FIND("_",$D217)-1),"/",INDIRECT(CONCATENATE("'" &amp; $C217 &amp; "'!",ADDRESS(MATCH($D217, INDIRECT("'" &amp; $C217 &amp; "'!$B:$B"), 0),MATCH(J$1, INDIRECT("'" &amp; $C217 &amp; "'!$1:$1"), 0)))),".",INDIRECT(CONCATENATE("'"&amp;$C217&amp;"'!",ADDRESS(MATCH($D217,INDIRECT("'"&amp;$C217&amp;"'!$B:$B"),0),3))),"#page=",J218),CONCATENATE("#Sharepoint//",$D217))</f>
        <v>#Sharepoint//FRS_Brake Control</v>
      </c>
      <c r="K217" s="359"/>
      <c r="L217" s="359"/>
    </row>
    <row r="218" spans="1:12" hidden="1" outlineLevel="2" x14ac:dyDescent="0.25">
      <c r="B218" s="169"/>
      <c r="D218" s="168"/>
      <c r="E218" s="167" t="s">
        <v>19</v>
      </c>
      <c r="F218" s="168">
        <v>117</v>
      </c>
      <c r="G218" s="168"/>
      <c r="H218" s="168">
        <v>127</v>
      </c>
      <c r="I218" s="168">
        <v>113</v>
      </c>
      <c r="J218" s="168">
        <v>154</v>
      </c>
      <c r="K218" s="168"/>
      <c r="L218" s="168"/>
    </row>
    <row r="219" spans="1:12" ht="360" hidden="1" customHeight="1" outlineLevel="2" x14ac:dyDescent="0.25">
      <c r="B219" s="169"/>
      <c r="D219" s="168"/>
      <c r="E219" s="270" t="s">
        <v>34</v>
      </c>
      <c r="F219" s="371" t="s">
        <v>272</v>
      </c>
      <c r="G219" s="166"/>
      <c r="H219" s="371" t="s">
        <v>273</v>
      </c>
      <c r="I219" s="371" t="s">
        <v>274</v>
      </c>
      <c r="J219" s="371" t="s">
        <v>275</v>
      </c>
      <c r="K219" s="166"/>
      <c r="L219" s="166"/>
    </row>
    <row r="220" spans="1:12" ht="240" hidden="1" customHeight="1" outlineLevel="2" x14ac:dyDescent="0.25">
      <c r="B220" s="86"/>
      <c r="D220" s="346"/>
      <c r="E220" s="218" t="s">
        <v>276</v>
      </c>
      <c r="F220" s="217" t="s">
        <v>15</v>
      </c>
      <c r="G220" s="217"/>
      <c r="H220" s="217"/>
      <c r="I220" s="217"/>
      <c r="J220" s="343" t="s">
        <v>277</v>
      </c>
      <c r="K220" s="217"/>
      <c r="L220" s="217"/>
    </row>
    <row r="221" spans="1:12" outlineLevel="1" collapsed="1" x14ac:dyDescent="0.25">
      <c r="B221" s="86"/>
      <c r="C221" s="338" t="s">
        <v>16</v>
      </c>
      <c r="D221" s="338" t="s">
        <v>17</v>
      </c>
      <c r="E221" s="339" t="s">
        <v>18</v>
      </c>
      <c r="F221" s="340" t="str">
        <f t="array" aca="1" ref="F221" ca="1">HYPERLINK(CONCATENATE(Cartelle!$D$5,F$1,"/",$C221,"/",MID($D221,1,FIND("_",$D221)-1),"/",INDIRECT(CONCATENATE("'" &amp; $C221 &amp; "'!",ADDRESS(MATCH($D221, INDIRECT("'" &amp; $C221 &amp; "'!$B:$B"), 0),MATCH(F$1, INDIRECT("'" &amp; $C221 &amp; "'!$1:$1"), 0)))),".",INDIRECT(CONCATENATE("'"&amp;$C221&amp;"'!",ADDRESS(MATCH($D221,INDIRECT("'"&amp;$C221&amp;"'!$B:$B"),0),3))),"#page=",F222),CONCATENATE("#Sharepoint//",$D221))</f>
        <v>#Sharepoint//FS_DM1</v>
      </c>
      <c r="G221" s="340"/>
      <c r="H221" s="338"/>
      <c r="I221" s="338"/>
      <c r="J221" s="340" t="str">
        <f t="array" aca="1" ref="J221" ca="1">HYPERLINK(CONCATENATE(Cartelle!$D$5,INDEX(INDIRECT("'" &amp; $C221 &amp; "'!$1:$1"), 1, MATCH(INDIRECT(CONCATENATE("'" &amp; $C221 &amp; "'!",ADDRESS(MATCH($D221, INDIRECT("'" &amp; $C221 &amp; "'!$B:$B"), 0),MATCH(J$1, INDIRECT("'" &amp; $C221 &amp; "'!$1:$1"), 0)))),INDIRECT(CONCATENATE("'" &amp; $C221 &amp; "'!",MATCH($D221, INDIRECT("'" &amp; $C221 &amp; "'!$B:$B"), 0),":",MATCH($D221, INDIRECT("'" &amp; $C221 &amp; "'!$B:$B"), 0))),0)),"/",$C221,"/",MID($D221,1,FIND("_",$D221)-1),"/",INDIRECT(CONCATENATE("'" &amp; $C221 &amp; "'!",ADDRESS(MATCH($D221, INDIRECT("'" &amp; $C221 &amp; "'!$B:$B"), 0),MATCH(J$1, INDIRECT("'" &amp; $C221 &amp; "'!$1:$1"), 0)))),".",INDIRECT(CONCATENATE("'"&amp;$C221&amp;"'!",ADDRESS(MATCH($D221,INDIRECT("'"&amp;$C221&amp;"'!$B:$B"),0),3))),"#page=",J222),CONCATENATE("#Sharepoint//",$D221))</f>
        <v>#Sharepoint//FS_DM1</v>
      </c>
      <c r="K221" s="341"/>
      <c r="L221" s="338"/>
    </row>
    <row r="222" spans="1:12" hidden="1" outlineLevel="2" x14ac:dyDescent="0.25">
      <c r="B222" s="86"/>
      <c r="D222" s="345"/>
      <c r="E222" s="218" t="s">
        <v>19</v>
      </c>
      <c r="F222" s="217">
        <v>276</v>
      </c>
      <c r="G222" s="332">
        <v>243</v>
      </c>
      <c r="H222" s="217"/>
      <c r="I222" s="217"/>
      <c r="J222" s="217">
        <v>144</v>
      </c>
      <c r="K222" s="343"/>
      <c r="L222" s="217"/>
    </row>
    <row r="223" spans="1:12" ht="75" hidden="1" customHeight="1" outlineLevel="2" x14ac:dyDescent="0.25">
      <c r="B223" s="86"/>
      <c r="D223" s="328"/>
      <c r="E223" s="218" t="s">
        <v>278</v>
      </c>
      <c r="F223" s="343" t="s">
        <v>279</v>
      </c>
      <c r="G223" s="217"/>
      <c r="H223" s="217"/>
      <c r="I223" s="217"/>
      <c r="J223" s="343" t="s">
        <v>280</v>
      </c>
      <c r="K223" s="372"/>
      <c r="L223" s="217"/>
    </row>
    <row r="224" spans="1:12" ht="330" hidden="1" customHeight="1" outlineLevel="2" x14ac:dyDescent="0.25">
      <c r="B224" s="86"/>
      <c r="D224" s="346"/>
      <c r="E224" s="218" t="s">
        <v>281</v>
      </c>
      <c r="F224" s="343" t="s">
        <v>282</v>
      </c>
      <c r="G224" s="217"/>
      <c r="H224" s="217"/>
      <c r="I224" s="217"/>
      <c r="J224" s="343" t="s">
        <v>283</v>
      </c>
      <c r="K224" s="217"/>
      <c r="L224" s="217"/>
    </row>
    <row r="225" spans="1:12" outlineLevel="1" collapsed="1" x14ac:dyDescent="0.25">
      <c r="B225" s="86"/>
      <c r="C225" s="338" t="s">
        <v>16</v>
      </c>
      <c r="D225" s="338" t="s">
        <v>284</v>
      </c>
      <c r="E225" s="339" t="s">
        <v>18</v>
      </c>
      <c r="F225" s="340" t="str">
        <f t="array" aca="1" ref="F225" ca="1">HYPERLINK(CONCATENATE(Cartelle!$D$5,F$1,"/",$C225,"/",MID($D225,1,FIND("_",$D225)-1),"/",INDIRECT(CONCATENATE("'" &amp; $C225 &amp; "'!",ADDRESS(MATCH($D225, INDIRECT("'" &amp; $C225 &amp; "'!$B:$B"), 0),MATCH(F$1, INDIRECT("'" &amp; $C225 &amp; "'!$1:$1"), 0)))),".",INDIRECT(CONCATENATE("'"&amp;$C225&amp;"'!",ADDRESS(MATCH($D225,INDIRECT("'"&amp;$C225&amp;"'!$B:$B"),0),3))),"#page=",F226),CONCATENATE("#Sharepoint//",$D225))</f>
        <v>#Sharepoint//FS_TT2</v>
      </c>
      <c r="G225" s="338"/>
      <c r="H225" s="338"/>
      <c r="I225" s="338"/>
      <c r="J225" s="340" t="str">
        <f t="array" aca="1" ref="J225" ca="1">HYPERLINK(CONCATENATE(Cartelle!$D$5,INDEX(INDIRECT("'" &amp; $C225 &amp; "'!$1:$1"), 1, MATCH(INDIRECT(CONCATENATE("'" &amp; $C225 &amp; "'!",ADDRESS(MATCH($D225, INDIRECT("'" &amp; $C225 &amp; "'!$B:$B"), 0),MATCH(J$1, INDIRECT("'" &amp; $C225 &amp; "'!$1:$1"), 0)))),INDIRECT(CONCATENATE("'" &amp; $C225 &amp; "'!",MATCH($D225, INDIRECT("'" &amp; $C225 &amp; "'!$B:$B"), 0),":",MATCH($D225, INDIRECT("'" &amp; $C225 &amp; "'!$B:$B"), 0))),0)),"/",$C225,"/",MID($D225,1,FIND("_",$D225)-1),"/",INDIRECT(CONCATENATE("'" &amp; $C225 &amp; "'!",ADDRESS(MATCH($D225, INDIRECT("'" &amp; $C225 &amp; "'!$B:$B"), 0),MATCH(J$1, INDIRECT("'" &amp; $C225 &amp; "'!$1:$1"), 0)))),".",INDIRECT(CONCATENATE("'"&amp;$C225&amp;"'!",ADDRESS(MATCH($D225,INDIRECT("'"&amp;$C225&amp;"'!$B:$B"),0),3))),"#page=",J226),CONCATENATE("#Sharepoint//",$D225))</f>
        <v>#Sharepoint//FS_TT2</v>
      </c>
      <c r="K225" s="341"/>
      <c r="L225" s="338"/>
    </row>
    <row r="226" spans="1:12" hidden="1" outlineLevel="2" x14ac:dyDescent="0.25">
      <c r="B226" s="86"/>
      <c r="D226" s="345"/>
      <c r="E226" s="218" t="s">
        <v>19</v>
      </c>
      <c r="F226" s="217">
        <v>171</v>
      </c>
      <c r="G226" s="217"/>
      <c r="H226" s="217"/>
      <c r="I226" s="217"/>
      <c r="J226" s="217">
        <v>131</v>
      </c>
      <c r="K226" s="343"/>
      <c r="L226" s="217"/>
    </row>
    <row r="227" spans="1:12" ht="120" hidden="1" customHeight="1" outlineLevel="2" x14ac:dyDescent="0.25">
      <c r="B227" s="86"/>
      <c r="D227" s="328"/>
      <c r="E227" s="218" t="s">
        <v>278</v>
      </c>
      <c r="F227" s="343" t="s">
        <v>285</v>
      </c>
      <c r="G227" s="217"/>
      <c r="H227" s="217"/>
      <c r="I227" s="217"/>
      <c r="J227" s="343" t="s">
        <v>286</v>
      </c>
      <c r="K227" s="372"/>
      <c r="L227" s="217"/>
    </row>
    <row r="228" spans="1:12" ht="270" hidden="1" customHeight="1" outlineLevel="2" x14ac:dyDescent="0.25">
      <c r="B228" s="86"/>
      <c r="D228" s="346"/>
      <c r="E228" s="218" t="s">
        <v>281</v>
      </c>
      <c r="F228" s="343" t="s">
        <v>287</v>
      </c>
      <c r="G228" s="217"/>
      <c r="H228" s="217"/>
      <c r="I228" s="217"/>
      <c r="J228" s="343" t="s">
        <v>288</v>
      </c>
      <c r="K228" s="217"/>
      <c r="L228" s="217"/>
    </row>
    <row r="229" spans="1:12" x14ac:dyDescent="0.25">
      <c r="A229" s="181" t="s">
        <v>289</v>
      </c>
      <c r="B229" s="367"/>
      <c r="C229" s="181"/>
      <c r="D229" s="368" t="s">
        <v>15</v>
      </c>
      <c r="E229" s="162"/>
      <c r="F229" s="163"/>
      <c r="G229" s="163"/>
      <c r="H229" s="163"/>
      <c r="I229" s="163"/>
      <c r="J229" s="163"/>
      <c r="K229" s="163"/>
      <c r="L229" s="164"/>
    </row>
    <row r="230" spans="1:12" outlineLevel="1" collapsed="1" x14ac:dyDescent="0.25">
      <c r="B230" s="169"/>
      <c r="C230" s="338" t="s">
        <v>16</v>
      </c>
      <c r="D230" s="369" t="s">
        <v>246</v>
      </c>
      <c r="E230" s="370" t="s">
        <v>18</v>
      </c>
      <c r="F230" s="340" t="str">
        <f t="array" aca="1" ref="F230" ca="1">HYPERLINK(CONCATENATE(Cartelle!$D$5,F$1,"/",$C230,"/",MID($D230,1,FIND("_",$D230)-1),"/",INDIRECT(CONCATENATE("'" &amp; $C230 &amp; "'!",ADDRESS(MATCH($D230, INDIRECT("'" &amp; $C230 &amp; "'!$B:$B"), 0),MATCH(F$1, INDIRECT("'" &amp; $C230 &amp; "'!$1:$1"), 0)))),".",INDIRECT(CONCATENATE("'"&amp;$C230&amp;"'!",ADDRESS(MATCH($D230,INDIRECT("'"&amp;$C230&amp;"'!$B:$B"),0),3))),"#page=",F231),CONCATENATE("#Sharepoint//",$D230))</f>
        <v>#Sharepoint//FRS_Brake Control</v>
      </c>
      <c r="G230" s="352"/>
      <c r="H230" s="340" t="str">
        <f t="array" aca="1" ref="H230" ca="1">HYPERLINK(CONCATENATE(Cartelle!$D$5,INDEX(INDIRECT("'" &amp; $C230 &amp; "'!$1:$1"), 1, MATCH(INDIRECT(CONCATENATE("'" &amp; $C230 &amp; "'!",ADDRESS(MATCH($D230, INDIRECT("'" &amp; $C230 &amp; "'!$B:$B"), 0),MATCH(H$1, INDIRECT("'" &amp; $C230 &amp; "'!$1:$1"), 0)))),INDIRECT(CONCATENATE("'" &amp; $C230 &amp; "'!",MATCH($D230, INDIRECT("'" &amp; $C230 &amp; "'!$B:$B"), 0),":",MATCH($D230, INDIRECT("'" &amp; $C230 &amp; "'!$B:$B"), 0))),0)),"/",$C230,"/",MID($D230,1,FIND("_",$D230)-1),"/",INDIRECT(CONCATENATE("'" &amp; $C230 &amp; "'!",ADDRESS(MATCH($D230, INDIRECT("'" &amp; $C230 &amp; "'!$B:$B"), 0),MATCH(H$1, INDIRECT("'" &amp; $C230 &amp; "'!$1:$1"), 0)))),".",INDIRECT(CONCATENATE("'"&amp;$C230&amp;"'!",ADDRESS(MATCH($D230,INDIRECT("'"&amp;$C230&amp;"'!$B:$B"),0),3))),"#page=",H231),CONCATENATE("#Sharepoint//",$D230))</f>
        <v>#Sharepoint//FRS_Brake Control</v>
      </c>
      <c r="I230" s="340" t="str">
        <f t="array" aca="1" ref="I230" ca="1">HYPERLINK(CONCATENATE(Cartelle!$D$5,INDEX(INDIRECT("'" &amp; $C230 &amp; "'!$1:$1"), 1, MATCH(INDIRECT(CONCATENATE("'" &amp; $C230 &amp; "'!",ADDRESS(MATCH($D230, INDIRECT("'" &amp; $C230 &amp; "'!$B:$B"), 0),MATCH(I$1, INDIRECT("'" &amp; $C230 &amp; "'!$1:$1"), 0)))),INDIRECT(CONCATENATE("'" &amp; $C230 &amp; "'!",MATCH($D230, INDIRECT("'" &amp; $C230 &amp; "'!$B:$B"), 0),":",MATCH($D230, INDIRECT("'" &amp; $C230 &amp; "'!$B:$B"), 0))),0)),"/",$C230,"/",MID($D230,1,FIND("_",$D230)-1),"/",INDIRECT(CONCATENATE("'" &amp; $C230 &amp; "'!",ADDRESS(MATCH($D230, INDIRECT("'" &amp; $C230 &amp; "'!$B:$B"), 0),MATCH(I$1, INDIRECT("'" &amp; $C230 &amp; "'!$1:$1"), 0)))),".",INDIRECT(CONCATENATE("'"&amp;$C230&amp;"'!",ADDRESS(MATCH($D230,INDIRECT("'"&amp;$C230&amp;"'!$B:$B"),0),3))),"#page=",I231),CONCATENATE("#Sharepoint//",$D230))</f>
        <v>#Sharepoint//FRS_Brake Control</v>
      </c>
      <c r="J230" s="340" t="str">
        <f t="array" aca="1" ref="J230" ca="1">HYPERLINK(CONCATENATE(Cartelle!$D$5,INDEX(INDIRECT("'" &amp; $C230 &amp; "'!$1:$1"), 1, MATCH(INDIRECT(CONCATENATE("'" &amp; $C230 &amp; "'!",ADDRESS(MATCH($D230, INDIRECT("'" &amp; $C230 &amp; "'!$B:$B"), 0),MATCH(J$1, INDIRECT("'" &amp; $C230 &amp; "'!$1:$1"), 0)))),INDIRECT(CONCATENATE("'" &amp; $C230 &amp; "'!",MATCH($D230, INDIRECT("'" &amp; $C230 &amp; "'!$B:$B"), 0),":",MATCH($D230, INDIRECT("'" &amp; $C230 &amp; "'!$B:$B"), 0))),0)),"/",$C230,"/",MID($D230,1,FIND("_",$D230)-1),"/",INDIRECT(CONCATENATE("'" &amp; $C230 &amp; "'!",ADDRESS(MATCH($D230, INDIRECT("'" &amp; $C230 &amp; "'!$B:$B"), 0),MATCH(J$1, INDIRECT("'" &amp; $C230 &amp; "'!$1:$1"), 0)))),".",INDIRECT(CONCATENATE("'"&amp;$C230&amp;"'!",ADDRESS(MATCH($D230,INDIRECT("'"&amp;$C230&amp;"'!$B:$B"),0),3))),"#page=",J231),CONCATENATE("#Sharepoint//",$D230))</f>
        <v>#Sharepoint//FRS_Brake Control</v>
      </c>
      <c r="K230" s="359"/>
      <c r="L230" s="359"/>
    </row>
    <row r="231" spans="1:12" hidden="1" outlineLevel="2" x14ac:dyDescent="0.25">
      <c r="B231" s="169"/>
      <c r="D231" s="168"/>
      <c r="E231" s="167" t="s">
        <v>19</v>
      </c>
      <c r="F231" s="168">
        <v>131</v>
      </c>
      <c r="G231" s="168"/>
      <c r="H231" s="168">
        <v>142</v>
      </c>
      <c r="I231" s="168">
        <v>131</v>
      </c>
      <c r="J231" s="168">
        <v>171</v>
      </c>
      <c r="K231" s="168"/>
      <c r="L231" s="168"/>
    </row>
    <row r="232" spans="1:12" ht="390" hidden="1" customHeight="1" outlineLevel="2" x14ac:dyDescent="0.25">
      <c r="B232" s="169"/>
      <c r="D232" s="168"/>
      <c r="E232" s="234" t="s">
        <v>34</v>
      </c>
      <c r="F232" s="242" t="s">
        <v>290</v>
      </c>
      <c r="G232" s="237"/>
      <c r="H232" s="242" t="s">
        <v>291</v>
      </c>
      <c r="I232" s="242" t="s">
        <v>292</v>
      </c>
      <c r="J232" s="242" t="s">
        <v>293</v>
      </c>
      <c r="K232" s="237"/>
      <c r="L232" s="238"/>
    </row>
    <row r="233" spans="1:12" x14ac:dyDescent="0.25">
      <c r="A233" s="181" t="s">
        <v>294</v>
      </c>
      <c r="B233" s="367"/>
      <c r="C233" s="181"/>
      <c r="D233" s="368" t="s">
        <v>15</v>
      </c>
      <c r="E233" s="162"/>
      <c r="F233" s="163"/>
      <c r="G233" s="163"/>
      <c r="H233" s="163"/>
      <c r="I233" s="163"/>
      <c r="J233" s="163"/>
      <c r="K233" s="163"/>
      <c r="L233" s="164"/>
    </row>
    <row r="234" spans="1:12" outlineLevel="1" collapsed="1" x14ac:dyDescent="0.25">
      <c r="B234" s="169"/>
      <c r="C234" s="338" t="s">
        <v>16</v>
      </c>
      <c r="D234" s="369" t="s">
        <v>246</v>
      </c>
      <c r="E234" s="370" t="s">
        <v>18</v>
      </c>
      <c r="F234" s="340" t="str">
        <f t="array" aca="1" ref="F234" ca="1">HYPERLINK(CONCATENATE(Cartelle!$D$5,F$1,"/",$C234,"/",MID($D234,1,FIND("_",$D234)-1),"/",INDIRECT(CONCATENATE("'" &amp; $C234 &amp; "'!",ADDRESS(MATCH($D234, INDIRECT("'" &amp; $C234 &amp; "'!$B:$B"), 0),MATCH(F$1, INDIRECT("'" &amp; $C234 &amp; "'!$1:$1"), 0)))),".",INDIRECT(CONCATENATE("'"&amp;$C234&amp;"'!",ADDRESS(MATCH($D234,INDIRECT("'"&amp;$C234&amp;"'!$B:$B"),0),3))),"#page=",F235),CONCATENATE("#Sharepoint//",$D234))</f>
        <v>#Sharepoint//FRS_Brake Control</v>
      </c>
      <c r="G234" s="352"/>
      <c r="H234" s="340" t="str">
        <f t="array" aca="1" ref="H234" ca="1">HYPERLINK(CONCATENATE(Cartelle!$D$5,INDEX(INDIRECT("'" &amp; $C234 &amp; "'!$1:$1"), 1, MATCH(INDIRECT(CONCATENATE("'" &amp; $C234 &amp; "'!",ADDRESS(MATCH($D234, INDIRECT("'" &amp; $C234 &amp; "'!$B:$B"), 0),MATCH(H$1, INDIRECT("'" &amp; $C234 &amp; "'!$1:$1"), 0)))),INDIRECT(CONCATENATE("'" &amp; $C234 &amp; "'!",MATCH($D234, INDIRECT("'" &amp; $C234 &amp; "'!$B:$B"), 0),":",MATCH($D234, INDIRECT("'" &amp; $C234 &amp; "'!$B:$B"), 0))),0)),"/",$C234,"/",MID($D234,1,FIND("_",$D234)-1),"/",INDIRECT(CONCATENATE("'" &amp; $C234 &amp; "'!",ADDRESS(MATCH($D234, INDIRECT("'" &amp; $C234 &amp; "'!$B:$B"), 0),MATCH(H$1, INDIRECT("'" &amp; $C234 &amp; "'!$1:$1"), 0)))),".",INDIRECT(CONCATENATE("'"&amp;$C234&amp;"'!",ADDRESS(MATCH($D234,INDIRECT("'"&amp;$C234&amp;"'!$B:$B"),0),3))),"#page=",H235),CONCATENATE("#Sharepoint//",$D234))</f>
        <v>#Sharepoint//FRS_Brake Control</v>
      </c>
      <c r="I234" s="340" t="str">
        <f t="array" aca="1" ref="I234" ca="1">HYPERLINK(CONCATENATE(Cartelle!$D$5,INDEX(INDIRECT("'" &amp; $C234 &amp; "'!$1:$1"), 1, MATCH(INDIRECT(CONCATENATE("'" &amp; $C234 &amp; "'!",ADDRESS(MATCH($D234, INDIRECT("'" &amp; $C234 &amp; "'!$B:$B"), 0),MATCH(I$1, INDIRECT("'" &amp; $C234 &amp; "'!$1:$1"), 0)))),INDIRECT(CONCATENATE("'" &amp; $C234 &amp; "'!",MATCH($D234, INDIRECT("'" &amp; $C234 &amp; "'!$B:$B"), 0),":",MATCH($D234, INDIRECT("'" &amp; $C234 &amp; "'!$B:$B"), 0))),0)),"/",$C234,"/",MID($D234,1,FIND("_",$D234)-1),"/",INDIRECT(CONCATENATE("'" &amp; $C234 &amp; "'!",ADDRESS(MATCH($D234, INDIRECT("'" &amp; $C234 &amp; "'!$B:$B"), 0),MATCH(I$1, INDIRECT("'" &amp; $C234 &amp; "'!$1:$1"), 0)))),".",INDIRECT(CONCATENATE("'"&amp;$C234&amp;"'!",ADDRESS(MATCH($D234,INDIRECT("'"&amp;$C234&amp;"'!$B:$B"),0),3))),"#page=",I235),CONCATENATE("#Sharepoint//",$D234))</f>
        <v>#Sharepoint//FRS_Brake Control</v>
      </c>
      <c r="J234" s="340" t="str">
        <f t="array" aca="1" ref="J234" ca="1">HYPERLINK(CONCATENATE(Cartelle!$D$5,INDEX(INDIRECT("'" &amp; $C234 &amp; "'!$1:$1"), 1, MATCH(INDIRECT(CONCATENATE("'" &amp; $C234 &amp; "'!",ADDRESS(MATCH($D234, INDIRECT("'" &amp; $C234 &amp; "'!$B:$B"), 0),MATCH(J$1, INDIRECT("'" &amp; $C234 &amp; "'!$1:$1"), 0)))),INDIRECT(CONCATENATE("'" &amp; $C234 &amp; "'!",MATCH($D234, INDIRECT("'" &amp; $C234 &amp; "'!$B:$B"), 0),":",MATCH($D234, INDIRECT("'" &amp; $C234 &amp; "'!$B:$B"), 0))),0)),"/",$C234,"/",MID($D234,1,FIND("_",$D234)-1),"/",INDIRECT(CONCATENATE("'" &amp; $C234 &amp; "'!",ADDRESS(MATCH($D234, INDIRECT("'" &amp; $C234 &amp; "'!$B:$B"), 0),MATCH(J$1, INDIRECT("'" &amp; $C234 &amp; "'!$1:$1"), 0)))),".",INDIRECT(CONCATENATE("'"&amp;$C234&amp;"'!",ADDRESS(MATCH($D234,INDIRECT("'"&amp;$C234&amp;"'!$B:$B"),0),3))),"#page=",J235),CONCATENATE("#Sharepoint//",$D234))</f>
        <v>#Sharepoint//FRS_Brake Control</v>
      </c>
      <c r="K234" s="359"/>
      <c r="L234" s="359"/>
    </row>
    <row r="235" spans="1:12" hidden="1" outlineLevel="2" x14ac:dyDescent="0.25">
      <c r="B235" s="169"/>
      <c r="D235" s="168"/>
      <c r="E235" s="167" t="s">
        <v>19</v>
      </c>
      <c r="F235" s="168">
        <v>145</v>
      </c>
      <c r="G235" s="168"/>
      <c r="H235" s="168">
        <v>157</v>
      </c>
      <c r="I235" s="168">
        <v>144</v>
      </c>
      <c r="J235" s="168">
        <v>189</v>
      </c>
      <c r="K235" s="168"/>
      <c r="L235" s="168"/>
    </row>
    <row r="236" spans="1:12" ht="390" hidden="1" customHeight="1" outlineLevel="2" x14ac:dyDescent="0.25">
      <c r="B236" s="169"/>
      <c r="D236" s="168"/>
      <c r="E236" s="234" t="s">
        <v>34</v>
      </c>
      <c r="F236" s="242" t="s">
        <v>295</v>
      </c>
      <c r="G236" s="237"/>
      <c r="H236" s="242" t="s">
        <v>296</v>
      </c>
      <c r="I236" s="242" t="s">
        <v>297</v>
      </c>
      <c r="J236" s="242" t="s">
        <v>298</v>
      </c>
      <c r="K236" s="237"/>
      <c r="L236" s="238"/>
    </row>
    <row r="237" spans="1:12" x14ac:dyDescent="0.25">
      <c r="A237" s="181" t="s">
        <v>299</v>
      </c>
      <c r="B237" s="367"/>
      <c r="C237" s="181"/>
      <c r="D237" s="368" t="s">
        <v>15</v>
      </c>
      <c r="E237" s="162"/>
      <c r="F237" s="163"/>
      <c r="G237" s="163"/>
      <c r="H237" s="163"/>
      <c r="I237" s="163"/>
      <c r="J237" s="163"/>
      <c r="K237" s="163"/>
      <c r="L237" s="164"/>
    </row>
    <row r="238" spans="1:12" outlineLevel="1" collapsed="1" x14ac:dyDescent="0.25">
      <c r="B238" s="169"/>
      <c r="C238" s="338" t="s">
        <v>16</v>
      </c>
      <c r="D238" s="369" t="s">
        <v>246</v>
      </c>
      <c r="E238" s="370" t="s">
        <v>18</v>
      </c>
      <c r="F238" s="340" t="str">
        <f t="array" aca="1" ref="F238" ca="1">HYPERLINK(CONCATENATE(Cartelle!$D$5,F$1,"/",$C238,"/",MID($D238,1,FIND("_",$D238)-1),"/",INDIRECT(CONCATENATE("'" &amp; $C238 &amp; "'!",ADDRESS(MATCH($D238, INDIRECT("'" &amp; $C238 &amp; "'!$B:$B"), 0),MATCH(F$1, INDIRECT("'" &amp; $C238 &amp; "'!$1:$1"), 0)))),".",INDIRECT(CONCATENATE("'"&amp;$C238&amp;"'!",ADDRESS(MATCH($D238,INDIRECT("'"&amp;$C238&amp;"'!$B:$B"),0),3))),"#page=",F239),CONCATENATE("#Sharepoint//",$D238))</f>
        <v>#Sharepoint//FRS_Brake Control</v>
      </c>
      <c r="G238" s="352"/>
      <c r="H238" s="340" t="str">
        <f t="array" aca="1" ref="H238" ca="1">HYPERLINK(CONCATENATE(Cartelle!$D$5,INDEX(INDIRECT("'" &amp; $C238 &amp; "'!$1:$1"), 1, MATCH(INDIRECT(CONCATENATE("'" &amp; $C238 &amp; "'!",ADDRESS(MATCH($D238, INDIRECT("'" &amp; $C238 &amp; "'!$B:$B"), 0),MATCH(H$1, INDIRECT("'" &amp; $C238 &amp; "'!$1:$1"), 0)))),INDIRECT(CONCATENATE("'" &amp; $C238 &amp; "'!",MATCH($D238, INDIRECT("'" &amp; $C238 &amp; "'!$B:$B"), 0),":",MATCH($D238, INDIRECT("'" &amp; $C238 &amp; "'!$B:$B"), 0))),0)),"/",$C238,"/",MID($D238,1,FIND("_",$D238)-1),"/",INDIRECT(CONCATENATE("'" &amp; $C238 &amp; "'!",ADDRESS(MATCH($D238, INDIRECT("'" &amp; $C238 &amp; "'!$B:$B"), 0),MATCH(H$1, INDIRECT("'" &amp; $C238 &amp; "'!$1:$1"), 0)))),".",INDIRECT(CONCATENATE("'"&amp;$C238&amp;"'!",ADDRESS(MATCH($D238,INDIRECT("'"&amp;$C238&amp;"'!$B:$B"),0),3))),"#page=",H239),CONCATENATE("#Sharepoint//",$D238))</f>
        <v>#Sharepoint//FRS_Brake Control</v>
      </c>
      <c r="I238" s="340" t="str">
        <f t="array" aca="1" ref="I238" ca="1">HYPERLINK(CONCATENATE(Cartelle!$D$5,INDEX(INDIRECT("'" &amp; $C238 &amp; "'!$1:$1"), 1, MATCH(INDIRECT(CONCATENATE("'" &amp; $C238 &amp; "'!",ADDRESS(MATCH($D238, INDIRECT("'" &amp; $C238 &amp; "'!$B:$B"), 0),MATCH(I$1, INDIRECT("'" &amp; $C238 &amp; "'!$1:$1"), 0)))),INDIRECT(CONCATENATE("'" &amp; $C238 &amp; "'!",MATCH($D238, INDIRECT("'" &amp; $C238 &amp; "'!$B:$B"), 0),":",MATCH($D238, INDIRECT("'" &amp; $C238 &amp; "'!$B:$B"), 0))),0)),"/",$C238,"/",MID($D238,1,FIND("_",$D238)-1),"/",INDIRECT(CONCATENATE("'" &amp; $C238 &amp; "'!",ADDRESS(MATCH($D238, INDIRECT("'" &amp; $C238 &amp; "'!$B:$B"), 0),MATCH(I$1, INDIRECT("'" &amp; $C238 &amp; "'!$1:$1"), 0)))),".",INDIRECT(CONCATENATE("'"&amp;$C238&amp;"'!",ADDRESS(MATCH($D238,INDIRECT("'"&amp;$C238&amp;"'!$B:$B"),0),3))),"#page=",I239),CONCATENATE("#Sharepoint//",$D238))</f>
        <v>#Sharepoint//FRS_Brake Control</v>
      </c>
      <c r="J238" s="340" t="str">
        <f t="array" aca="1" ref="J238" ca="1">HYPERLINK(CONCATENATE(Cartelle!$D$5,INDEX(INDIRECT("'" &amp; $C238 &amp; "'!$1:$1"), 1, MATCH(INDIRECT(CONCATENATE("'" &amp; $C238 &amp; "'!",ADDRESS(MATCH($D238, INDIRECT("'" &amp; $C238 &amp; "'!$B:$B"), 0),MATCH(J$1, INDIRECT("'" &amp; $C238 &amp; "'!$1:$1"), 0)))),INDIRECT(CONCATENATE("'" &amp; $C238 &amp; "'!",MATCH($D238, INDIRECT("'" &amp; $C238 &amp; "'!$B:$B"), 0),":",MATCH($D238, INDIRECT("'" &amp; $C238 &amp; "'!$B:$B"), 0))),0)),"/",$C238,"/",MID($D238,1,FIND("_",$D238)-1),"/",INDIRECT(CONCATENATE("'" &amp; $C238 &amp; "'!",ADDRESS(MATCH($D238, INDIRECT("'" &amp; $C238 &amp; "'!$B:$B"), 0),MATCH(J$1, INDIRECT("'" &amp; $C238 &amp; "'!$1:$1"), 0)))),".",INDIRECT(CONCATENATE("'"&amp;$C238&amp;"'!",ADDRESS(MATCH($D238,INDIRECT("'"&amp;$C238&amp;"'!$B:$B"),0),3))),"#page=",J239),CONCATENATE("#Sharepoint//",$D238))</f>
        <v>#Sharepoint//FRS_Brake Control</v>
      </c>
      <c r="K238" s="359"/>
      <c r="L238" s="359"/>
    </row>
    <row r="239" spans="1:12" hidden="1" outlineLevel="2" x14ac:dyDescent="0.25">
      <c r="B239" s="169"/>
      <c r="D239" s="168"/>
      <c r="E239" s="167" t="s">
        <v>19</v>
      </c>
      <c r="F239" s="168">
        <v>153</v>
      </c>
      <c r="G239" s="168"/>
      <c r="H239" s="168">
        <v>165</v>
      </c>
      <c r="I239" s="168">
        <v>166</v>
      </c>
      <c r="J239" s="168">
        <v>192</v>
      </c>
      <c r="K239" s="168"/>
      <c r="L239" s="168"/>
    </row>
    <row r="240" spans="1:12" ht="375" hidden="1" customHeight="1" outlineLevel="2" x14ac:dyDescent="0.25">
      <c r="B240" s="169"/>
      <c r="D240" s="168"/>
      <c r="E240" s="234" t="s">
        <v>34</v>
      </c>
      <c r="F240" s="242" t="s">
        <v>300</v>
      </c>
      <c r="G240" s="237"/>
      <c r="H240" s="242" t="s">
        <v>301</v>
      </c>
      <c r="I240" s="242" t="s">
        <v>302</v>
      </c>
      <c r="J240" s="242" t="s">
        <v>303</v>
      </c>
      <c r="K240" s="237"/>
      <c r="L240" s="238"/>
    </row>
    <row r="241" spans="1:12" x14ac:dyDescent="0.25">
      <c r="A241" s="181" t="s">
        <v>304</v>
      </c>
      <c r="B241" s="367"/>
      <c r="C241" s="181"/>
      <c r="D241" s="368" t="s">
        <v>15</v>
      </c>
      <c r="E241" s="162"/>
      <c r="F241" s="163"/>
      <c r="G241" s="163"/>
      <c r="H241" s="163"/>
      <c r="I241" s="163"/>
      <c r="J241" s="163"/>
      <c r="K241" s="163"/>
      <c r="L241" s="164"/>
    </row>
    <row r="242" spans="1:12" outlineLevel="1" collapsed="1" x14ac:dyDescent="0.25">
      <c r="B242" s="169"/>
      <c r="C242" s="338" t="s">
        <v>16</v>
      </c>
      <c r="D242" s="369" t="s">
        <v>246</v>
      </c>
      <c r="E242" s="370" t="s">
        <v>18</v>
      </c>
      <c r="F242" s="340" t="str">
        <f t="array" aca="1" ref="F242" ca="1">HYPERLINK(CONCATENATE(Cartelle!$D$5,F$1,"/",$C242,"/",MID($D242,1,FIND("_",$D242)-1),"/",INDIRECT(CONCATENATE("'" &amp; $C242 &amp; "'!",ADDRESS(MATCH($D242, INDIRECT("'" &amp; $C242 &amp; "'!$B:$B"), 0),MATCH(F$1, INDIRECT("'" &amp; $C242 &amp; "'!$1:$1"), 0)))),".",INDIRECT(CONCATENATE("'"&amp;$C242&amp;"'!",ADDRESS(MATCH($D242,INDIRECT("'"&amp;$C242&amp;"'!$B:$B"),0),3))),"#page=",F243),CONCATENATE("#Sharepoint//",$D242))</f>
        <v>#Sharepoint//FRS_Brake Control</v>
      </c>
      <c r="G242" s="352"/>
      <c r="H242" s="340" t="str">
        <f t="array" aca="1" ref="H242" ca="1">HYPERLINK(CONCATENATE(Cartelle!$D$5,INDEX(INDIRECT("'" &amp; $C242 &amp; "'!$1:$1"), 1, MATCH(INDIRECT(CONCATENATE("'" &amp; $C242 &amp; "'!",ADDRESS(MATCH($D242, INDIRECT("'" &amp; $C242 &amp; "'!$B:$B"), 0),MATCH(H$1, INDIRECT("'" &amp; $C242 &amp; "'!$1:$1"), 0)))),INDIRECT(CONCATENATE("'" &amp; $C242 &amp; "'!",MATCH($D242, INDIRECT("'" &amp; $C242 &amp; "'!$B:$B"), 0),":",MATCH($D242, INDIRECT("'" &amp; $C242 &amp; "'!$B:$B"), 0))),0)),"/",$C242,"/",MID($D242,1,FIND("_",$D242)-1),"/",INDIRECT(CONCATENATE("'" &amp; $C242 &amp; "'!",ADDRESS(MATCH($D242, INDIRECT("'" &amp; $C242 &amp; "'!$B:$B"), 0),MATCH(H$1, INDIRECT("'" &amp; $C242 &amp; "'!$1:$1"), 0)))),".",INDIRECT(CONCATENATE("'"&amp;$C242&amp;"'!",ADDRESS(MATCH($D242,INDIRECT("'"&amp;$C242&amp;"'!$B:$B"),0),3))),"#page=",H243),CONCATENATE("#Sharepoint//",$D242))</f>
        <v>#Sharepoint//FRS_Brake Control</v>
      </c>
      <c r="I242" s="340" t="str">
        <f t="array" aca="1" ref="I242" ca="1">HYPERLINK(CONCATENATE(Cartelle!$D$5,INDEX(INDIRECT("'" &amp; $C242 &amp; "'!$1:$1"), 1, MATCH(INDIRECT(CONCATENATE("'" &amp; $C242 &amp; "'!",ADDRESS(MATCH($D242, INDIRECT("'" &amp; $C242 &amp; "'!$B:$B"), 0),MATCH(I$1, INDIRECT("'" &amp; $C242 &amp; "'!$1:$1"), 0)))),INDIRECT(CONCATENATE("'" &amp; $C242 &amp; "'!",MATCH($D242, INDIRECT("'" &amp; $C242 &amp; "'!$B:$B"), 0),":",MATCH($D242, INDIRECT("'" &amp; $C242 &amp; "'!$B:$B"), 0))),0)),"/",$C242,"/",MID($D242,1,FIND("_",$D242)-1),"/",INDIRECT(CONCATENATE("'" &amp; $C242 &amp; "'!",ADDRESS(MATCH($D242, INDIRECT("'" &amp; $C242 &amp; "'!$B:$B"), 0),MATCH(I$1, INDIRECT("'" &amp; $C242 &amp; "'!$1:$1"), 0)))),".",INDIRECT(CONCATENATE("'"&amp;$C242&amp;"'!",ADDRESS(MATCH($D242,INDIRECT("'"&amp;$C242&amp;"'!$B:$B"),0),3))),"#page=",I243),CONCATENATE("#Sharepoint//",$D242))</f>
        <v>#Sharepoint//FRS_Brake Control</v>
      </c>
      <c r="J242" s="340" t="str">
        <f t="array" aca="1" ref="J242" ca="1">HYPERLINK(CONCATENATE(Cartelle!$D$5,INDEX(INDIRECT("'" &amp; $C242 &amp; "'!$1:$1"), 1, MATCH(INDIRECT(CONCATENATE("'" &amp; $C242 &amp; "'!",ADDRESS(MATCH($D242, INDIRECT("'" &amp; $C242 &amp; "'!$B:$B"), 0),MATCH(J$1, INDIRECT("'" &amp; $C242 &amp; "'!$1:$1"), 0)))),INDIRECT(CONCATENATE("'" &amp; $C242 &amp; "'!",MATCH($D242, INDIRECT("'" &amp; $C242 &amp; "'!$B:$B"), 0),":",MATCH($D242, INDIRECT("'" &amp; $C242 &amp; "'!$B:$B"), 0))),0)),"/",$C242,"/",MID($D242,1,FIND("_",$D242)-1),"/",INDIRECT(CONCATENATE("'" &amp; $C242 &amp; "'!",ADDRESS(MATCH($D242, INDIRECT("'" &amp; $C242 &amp; "'!$B:$B"), 0),MATCH(J$1, INDIRECT("'" &amp; $C242 &amp; "'!$1:$1"), 0)))),".",INDIRECT(CONCATENATE("'"&amp;$C242&amp;"'!",ADDRESS(MATCH($D242,INDIRECT("'"&amp;$C242&amp;"'!$B:$B"),0),3))),"#page=",J243),CONCATENATE("#Sharepoint//",$D242))</f>
        <v>#Sharepoint//FRS_Brake Control</v>
      </c>
      <c r="K242" s="359"/>
      <c r="L242" s="359"/>
    </row>
    <row r="243" spans="1:12" hidden="1" outlineLevel="2" x14ac:dyDescent="0.25">
      <c r="B243" s="169"/>
      <c r="D243" s="168"/>
      <c r="E243" s="167" t="s">
        <v>19</v>
      </c>
      <c r="F243" s="168">
        <v>163</v>
      </c>
      <c r="G243" s="168"/>
      <c r="H243" s="168">
        <v>173</v>
      </c>
      <c r="I243" s="168">
        <v>177</v>
      </c>
      <c r="J243" s="168">
        <v>204</v>
      </c>
      <c r="K243" s="168"/>
      <c r="L243" s="168"/>
    </row>
    <row r="244" spans="1:12" ht="405" hidden="1" customHeight="1" outlineLevel="2" x14ac:dyDescent="0.25">
      <c r="B244" s="169"/>
      <c r="D244" s="168"/>
      <c r="E244" s="234" t="s">
        <v>34</v>
      </c>
      <c r="F244" s="242" t="s">
        <v>305</v>
      </c>
      <c r="G244" s="237"/>
      <c r="H244" s="242" t="s">
        <v>306</v>
      </c>
      <c r="I244" s="242" t="s">
        <v>307</v>
      </c>
      <c r="J244" s="242" t="s">
        <v>308</v>
      </c>
      <c r="K244" s="237"/>
      <c r="L244" s="238"/>
    </row>
    <row r="245" spans="1:12" x14ac:dyDescent="0.25">
      <c r="A245" s="181" t="s">
        <v>309</v>
      </c>
      <c r="B245" s="367"/>
      <c r="C245" s="181"/>
      <c r="D245" s="368" t="s">
        <v>15</v>
      </c>
      <c r="E245" s="162"/>
      <c r="F245" s="163"/>
      <c r="G245" s="163"/>
      <c r="H245" s="163"/>
      <c r="I245" s="163"/>
      <c r="J245" s="163"/>
      <c r="K245" s="163"/>
      <c r="L245" s="164"/>
    </row>
    <row r="246" spans="1:12" outlineLevel="1" collapsed="1" x14ac:dyDescent="0.25">
      <c r="B246" s="169"/>
      <c r="C246" s="338" t="s">
        <v>16</v>
      </c>
      <c r="D246" s="369" t="s">
        <v>246</v>
      </c>
      <c r="E246" s="370" t="s">
        <v>18</v>
      </c>
      <c r="F246" s="340" t="str">
        <f t="array" aca="1" ref="F246" ca="1">HYPERLINK(CONCATENATE(Cartelle!$D$5,F$1,"/",$C246,"/",MID($D246,1,FIND("_",$D246)-1),"/",INDIRECT(CONCATENATE("'" &amp; $C246 &amp; "'!",ADDRESS(MATCH($D246, INDIRECT("'" &amp; $C246 &amp; "'!$B:$B"), 0),MATCH(F$1, INDIRECT("'" &amp; $C246 &amp; "'!$1:$1"), 0)))),".",INDIRECT(CONCATENATE("'"&amp;$C246&amp;"'!",ADDRESS(MATCH($D246,INDIRECT("'"&amp;$C246&amp;"'!$B:$B"),0),3))),"#page=",F247),CONCATENATE("#Sharepoint//",$D246))</f>
        <v>#Sharepoint//FRS_Brake Control</v>
      </c>
      <c r="G246" s="352"/>
      <c r="H246" s="340" t="str">
        <f t="array" aca="1" ref="H246" ca="1">HYPERLINK(CONCATENATE(Cartelle!$D$5,INDEX(INDIRECT("'" &amp; $C246 &amp; "'!$1:$1"), 1, MATCH(INDIRECT(CONCATENATE("'" &amp; $C246 &amp; "'!",ADDRESS(MATCH($D246, INDIRECT("'" &amp; $C246 &amp; "'!$B:$B"), 0),MATCH(H$1, INDIRECT("'" &amp; $C246 &amp; "'!$1:$1"), 0)))),INDIRECT(CONCATENATE("'" &amp; $C246 &amp; "'!",MATCH($D246, INDIRECT("'" &amp; $C246 &amp; "'!$B:$B"), 0),":",MATCH($D246, INDIRECT("'" &amp; $C246 &amp; "'!$B:$B"), 0))),0)),"/",$C246,"/",MID($D246,1,FIND("_",$D246)-1),"/",INDIRECT(CONCATENATE("'" &amp; $C246 &amp; "'!",ADDRESS(MATCH($D246, INDIRECT("'" &amp; $C246 &amp; "'!$B:$B"), 0),MATCH(H$1, INDIRECT("'" &amp; $C246 &amp; "'!$1:$1"), 0)))),".",INDIRECT(CONCATENATE("'"&amp;$C246&amp;"'!",ADDRESS(MATCH($D246,INDIRECT("'"&amp;$C246&amp;"'!$B:$B"),0),3))),"#page=",H247),CONCATENATE("#Sharepoint//",$D246))</f>
        <v>#Sharepoint//FRS_Brake Control</v>
      </c>
      <c r="I246" s="340" t="str">
        <f t="array" aca="1" ref="I246" ca="1">HYPERLINK(CONCATENATE(Cartelle!$D$5,INDEX(INDIRECT("'" &amp; $C246 &amp; "'!$1:$1"), 1, MATCH(INDIRECT(CONCATENATE("'" &amp; $C246 &amp; "'!",ADDRESS(MATCH($D246, INDIRECT("'" &amp; $C246 &amp; "'!$B:$B"), 0),MATCH(I$1, INDIRECT("'" &amp; $C246 &amp; "'!$1:$1"), 0)))),INDIRECT(CONCATENATE("'" &amp; $C246 &amp; "'!",MATCH($D246, INDIRECT("'" &amp; $C246 &amp; "'!$B:$B"), 0),":",MATCH($D246, INDIRECT("'" &amp; $C246 &amp; "'!$B:$B"), 0))),0)),"/",$C246,"/",MID($D246,1,FIND("_",$D246)-1),"/",INDIRECT(CONCATENATE("'" &amp; $C246 &amp; "'!",ADDRESS(MATCH($D246, INDIRECT("'" &amp; $C246 &amp; "'!$B:$B"), 0),MATCH(I$1, INDIRECT("'" &amp; $C246 &amp; "'!$1:$1"), 0)))),".",INDIRECT(CONCATENATE("'"&amp;$C246&amp;"'!",ADDRESS(MATCH($D246,INDIRECT("'"&amp;$C246&amp;"'!$B:$B"),0),3))),"#page=",I247),CONCATENATE("#Sharepoint//",$D246))</f>
        <v>#Sharepoint//FRS_Brake Control</v>
      </c>
      <c r="J246" s="340" t="str">
        <f t="array" aca="1" ref="J246" ca="1">HYPERLINK(CONCATENATE(Cartelle!$D$5,INDEX(INDIRECT("'" &amp; $C246 &amp; "'!$1:$1"), 1, MATCH(INDIRECT(CONCATENATE("'" &amp; $C246 &amp; "'!",ADDRESS(MATCH($D246, INDIRECT("'" &amp; $C246 &amp; "'!$B:$B"), 0),MATCH(J$1, INDIRECT("'" &amp; $C246 &amp; "'!$1:$1"), 0)))),INDIRECT(CONCATENATE("'" &amp; $C246 &amp; "'!",MATCH($D246, INDIRECT("'" &amp; $C246 &amp; "'!$B:$B"), 0),":",MATCH($D246, INDIRECT("'" &amp; $C246 &amp; "'!$B:$B"), 0))),0)),"/",$C246,"/",MID($D246,1,FIND("_",$D246)-1),"/",INDIRECT(CONCATENATE("'" &amp; $C246 &amp; "'!",ADDRESS(MATCH($D246, INDIRECT("'" &amp; $C246 &amp; "'!$B:$B"), 0),MATCH(J$1, INDIRECT("'" &amp; $C246 &amp; "'!$1:$1"), 0)))),".",INDIRECT(CONCATENATE("'"&amp;$C246&amp;"'!",ADDRESS(MATCH($D246,INDIRECT("'"&amp;$C246&amp;"'!$B:$B"),0),3))),"#page=",J247),CONCATENATE("#Sharepoint//",$D246))</f>
        <v>#Sharepoint//FRS_Brake Control</v>
      </c>
      <c r="K246" s="359"/>
      <c r="L246" s="359"/>
    </row>
    <row r="247" spans="1:12" hidden="1" outlineLevel="2" x14ac:dyDescent="0.25">
      <c r="B247" s="169"/>
      <c r="D247" s="168"/>
      <c r="E247" s="167" t="s">
        <v>19</v>
      </c>
      <c r="F247" s="168">
        <v>172</v>
      </c>
      <c r="G247" s="168"/>
      <c r="H247" s="168">
        <v>184</v>
      </c>
      <c r="I247" s="168">
        <v>186</v>
      </c>
      <c r="J247" s="168">
        <v>213</v>
      </c>
      <c r="K247" s="168"/>
      <c r="L247" s="168"/>
    </row>
    <row r="248" spans="1:12" ht="409.5" hidden="1" customHeight="1" outlineLevel="2" x14ac:dyDescent="0.25">
      <c r="B248" s="169"/>
      <c r="D248" s="168"/>
      <c r="E248" s="234" t="s">
        <v>34</v>
      </c>
      <c r="F248" s="243" t="s">
        <v>310</v>
      </c>
      <c r="G248" s="237"/>
      <c r="H248" s="243" t="s">
        <v>311</v>
      </c>
      <c r="I248" s="243" t="s">
        <v>312</v>
      </c>
      <c r="J248" s="243" t="s">
        <v>313</v>
      </c>
      <c r="K248" s="237"/>
      <c r="L248" s="238"/>
    </row>
    <row r="249" spans="1:12" x14ac:dyDescent="0.25">
      <c r="A249" s="181" t="s">
        <v>314</v>
      </c>
      <c r="B249" s="367"/>
      <c r="C249" s="181"/>
      <c r="D249" s="368" t="s">
        <v>15</v>
      </c>
      <c r="E249" s="162"/>
      <c r="F249" s="163"/>
      <c r="G249" s="163"/>
      <c r="H249" s="163"/>
      <c r="I249" s="163"/>
      <c r="J249" s="163"/>
      <c r="K249" s="163"/>
      <c r="L249" s="164"/>
    </row>
    <row r="250" spans="1:12" outlineLevel="1" collapsed="1" x14ac:dyDescent="0.25">
      <c r="B250" s="169"/>
      <c r="C250" s="338" t="s">
        <v>16</v>
      </c>
      <c r="D250" s="369" t="s">
        <v>246</v>
      </c>
      <c r="E250" s="370" t="s">
        <v>18</v>
      </c>
      <c r="F250" s="340" t="str">
        <f t="array" aca="1" ref="F250" ca="1">HYPERLINK(CONCATENATE(Cartelle!$D$5,F$1,"/",$C250,"/",MID($D250,1,FIND("_",$D250)-1),"/",INDIRECT(CONCATENATE("'" &amp; $C250 &amp; "'!",ADDRESS(MATCH($D250, INDIRECT("'" &amp; $C250 &amp; "'!$B:$B"), 0),MATCH(F$1, INDIRECT("'" &amp; $C250 &amp; "'!$1:$1"), 0)))),".",INDIRECT(CONCATENATE("'"&amp;$C250&amp;"'!",ADDRESS(MATCH($D250,INDIRECT("'"&amp;$C250&amp;"'!$B:$B"),0),3))),"#page=",F251),CONCATENATE("#Sharepoint//",$D250))</f>
        <v>#Sharepoint//FRS_Brake Control</v>
      </c>
      <c r="G250" s="352"/>
      <c r="H250" s="340" t="str">
        <f t="array" aca="1" ref="H250" ca="1">HYPERLINK(CONCATENATE(Cartelle!$D$5,INDEX(INDIRECT("'" &amp; $C250 &amp; "'!$1:$1"), 1, MATCH(INDIRECT(CONCATENATE("'" &amp; $C250 &amp; "'!",ADDRESS(MATCH($D250, INDIRECT("'" &amp; $C250 &amp; "'!$B:$B"), 0),MATCH(H$1, INDIRECT("'" &amp; $C250 &amp; "'!$1:$1"), 0)))),INDIRECT(CONCATENATE("'" &amp; $C250 &amp; "'!",MATCH($D250, INDIRECT("'" &amp; $C250 &amp; "'!$B:$B"), 0),":",MATCH($D250, INDIRECT("'" &amp; $C250 &amp; "'!$B:$B"), 0))),0)),"/",$C250,"/",MID($D250,1,FIND("_",$D250)-1),"/",INDIRECT(CONCATENATE("'" &amp; $C250 &amp; "'!",ADDRESS(MATCH($D250, INDIRECT("'" &amp; $C250 &amp; "'!$B:$B"), 0),MATCH(H$1, INDIRECT("'" &amp; $C250 &amp; "'!$1:$1"), 0)))),".",INDIRECT(CONCATENATE("'"&amp;$C250&amp;"'!",ADDRESS(MATCH($D250,INDIRECT("'"&amp;$C250&amp;"'!$B:$B"),0),3))),"#page=",H251),CONCATENATE("#Sharepoint//",$D250))</f>
        <v>#Sharepoint//FRS_Brake Control</v>
      </c>
      <c r="I250" s="340" t="str">
        <f t="array" aca="1" ref="I250" ca="1">HYPERLINK(CONCATENATE(Cartelle!$D$5,INDEX(INDIRECT("'" &amp; $C250 &amp; "'!$1:$1"), 1, MATCH(INDIRECT(CONCATENATE("'" &amp; $C250 &amp; "'!",ADDRESS(MATCH($D250, INDIRECT("'" &amp; $C250 &amp; "'!$B:$B"), 0),MATCH(I$1, INDIRECT("'" &amp; $C250 &amp; "'!$1:$1"), 0)))),INDIRECT(CONCATENATE("'" &amp; $C250 &amp; "'!",MATCH($D250, INDIRECT("'" &amp; $C250 &amp; "'!$B:$B"), 0),":",MATCH($D250, INDIRECT("'" &amp; $C250 &amp; "'!$B:$B"), 0))),0)),"/",$C250,"/",MID($D250,1,FIND("_",$D250)-1),"/",INDIRECT(CONCATENATE("'" &amp; $C250 &amp; "'!",ADDRESS(MATCH($D250, INDIRECT("'" &amp; $C250 &amp; "'!$B:$B"), 0),MATCH(I$1, INDIRECT("'" &amp; $C250 &amp; "'!$1:$1"), 0)))),".",INDIRECT(CONCATENATE("'"&amp;$C250&amp;"'!",ADDRESS(MATCH($D250,INDIRECT("'"&amp;$C250&amp;"'!$B:$B"),0),3))),"#page=",I251),CONCATENATE("#Sharepoint//",$D250))</f>
        <v>#Sharepoint//FRS_Brake Control</v>
      </c>
      <c r="J250" s="340" t="str">
        <f t="array" aca="1" ref="J250" ca="1">HYPERLINK(CONCATENATE(Cartelle!$D$5,INDEX(INDIRECT("'" &amp; $C250 &amp; "'!$1:$1"), 1, MATCH(INDIRECT(CONCATENATE("'" &amp; $C250 &amp; "'!",ADDRESS(MATCH($D250, INDIRECT("'" &amp; $C250 &amp; "'!$B:$B"), 0),MATCH(J$1, INDIRECT("'" &amp; $C250 &amp; "'!$1:$1"), 0)))),INDIRECT(CONCATENATE("'" &amp; $C250 &amp; "'!",MATCH($D250, INDIRECT("'" &amp; $C250 &amp; "'!$B:$B"), 0),":",MATCH($D250, INDIRECT("'" &amp; $C250 &amp; "'!$B:$B"), 0))),0)),"/",$C250,"/",MID($D250,1,FIND("_",$D250)-1),"/",INDIRECT(CONCATENATE("'" &amp; $C250 &amp; "'!",ADDRESS(MATCH($D250, INDIRECT("'" &amp; $C250 &amp; "'!$B:$B"), 0),MATCH(J$1, INDIRECT("'" &amp; $C250 &amp; "'!$1:$1"), 0)))),".",INDIRECT(CONCATENATE("'"&amp;$C250&amp;"'!",ADDRESS(MATCH($D250,INDIRECT("'"&amp;$C250&amp;"'!$B:$B"),0),3))),"#page=",J251),CONCATENATE("#Sharepoint//",$D250))</f>
        <v>#Sharepoint//FRS_Brake Control</v>
      </c>
      <c r="K250" s="359"/>
      <c r="L250" s="359"/>
    </row>
    <row r="251" spans="1:12" hidden="1" outlineLevel="2" x14ac:dyDescent="0.25">
      <c r="B251" s="169"/>
      <c r="D251" s="168"/>
      <c r="E251" s="167" t="s">
        <v>19</v>
      </c>
      <c r="F251" s="168">
        <v>224</v>
      </c>
      <c r="G251" s="168"/>
      <c r="H251" s="168">
        <v>238</v>
      </c>
      <c r="I251" s="168">
        <v>234</v>
      </c>
      <c r="J251" s="168">
        <v>262</v>
      </c>
      <c r="K251" s="168"/>
      <c r="L251" s="168"/>
    </row>
    <row r="252" spans="1:12" ht="360" hidden="1" customHeight="1" outlineLevel="2" x14ac:dyDescent="0.25">
      <c r="B252" s="169"/>
      <c r="D252" s="168"/>
      <c r="E252" s="234" t="s">
        <v>34</v>
      </c>
      <c r="F252" s="242" t="s">
        <v>315</v>
      </c>
      <c r="G252" s="237"/>
      <c r="H252" s="242" t="s">
        <v>316</v>
      </c>
      <c r="I252" s="242" t="s">
        <v>317</v>
      </c>
      <c r="J252" s="242" t="s">
        <v>318</v>
      </c>
      <c r="K252" s="237"/>
      <c r="L252" s="238"/>
    </row>
    <row r="253" spans="1:12" x14ac:dyDescent="0.25">
      <c r="A253" s="181" t="s">
        <v>319</v>
      </c>
      <c r="B253" s="367"/>
      <c r="C253" s="181"/>
      <c r="D253" s="368" t="s">
        <v>15</v>
      </c>
      <c r="E253" s="162"/>
      <c r="F253" s="163"/>
      <c r="G253" s="163"/>
      <c r="H253" s="163"/>
      <c r="I253" s="163"/>
      <c r="J253" s="163"/>
      <c r="K253" s="163"/>
      <c r="L253" s="164"/>
    </row>
    <row r="254" spans="1:12" outlineLevel="1" collapsed="1" x14ac:dyDescent="0.25">
      <c r="B254" s="169"/>
      <c r="C254" s="338" t="s">
        <v>16</v>
      </c>
      <c r="D254" s="369" t="s">
        <v>246</v>
      </c>
      <c r="E254" s="370" t="s">
        <v>18</v>
      </c>
      <c r="F254" s="340" t="str">
        <f t="array" aca="1" ref="F254" ca="1">HYPERLINK(CONCATENATE(Cartelle!$D$5,F$1,"/",$C254,"/",MID($D254,1,FIND("_",$D254)-1),"/",INDIRECT(CONCATENATE("'" &amp; $C254 &amp; "'!",ADDRESS(MATCH($D254, INDIRECT("'" &amp; $C254 &amp; "'!$B:$B"), 0),MATCH(F$1, INDIRECT("'" &amp; $C254 &amp; "'!$1:$1"), 0)))),".",INDIRECT(CONCATENATE("'"&amp;$C254&amp;"'!",ADDRESS(MATCH($D254,INDIRECT("'"&amp;$C254&amp;"'!$B:$B"),0),3))),"#page=",F255),CONCATENATE("#Sharepoint//",$D254))</f>
        <v>#Sharepoint//FRS_Brake Control</v>
      </c>
      <c r="G254" s="352"/>
      <c r="H254" s="340" t="str">
        <f t="array" aca="1" ref="H254" ca="1">HYPERLINK(CONCATENATE(Cartelle!$D$5,INDEX(INDIRECT("'" &amp; $C254 &amp; "'!$1:$1"), 1, MATCH(INDIRECT(CONCATENATE("'" &amp; $C254 &amp; "'!",ADDRESS(MATCH($D254, INDIRECT("'" &amp; $C254 &amp; "'!$B:$B"), 0),MATCH(H$1, INDIRECT("'" &amp; $C254 &amp; "'!$1:$1"), 0)))),INDIRECT(CONCATENATE("'" &amp; $C254 &amp; "'!",MATCH($D254, INDIRECT("'" &amp; $C254 &amp; "'!$B:$B"), 0),":",MATCH($D254, INDIRECT("'" &amp; $C254 &amp; "'!$B:$B"), 0))),0)),"/",$C254,"/",MID($D254,1,FIND("_",$D254)-1),"/",INDIRECT(CONCATENATE("'" &amp; $C254 &amp; "'!",ADDRESS(MATCH($D254, INDIRECT("'" &amp; $C254 &amp; "'!$B:$B"), 0),MATCH(H$1, INDIRECT("'" &amp; $C254 &amp; "'!$1:$1"), 0)))),".",INDIRECT(CONCATENATE("'"&amp;$C254&amp;"'!",ADDRESS(MATCH($D254,INDIRECT("'"&amp;$C254&amp;"'!$B:$B"),0),3))),"#page=",H255),CONCATENATE("#Sharepoint//",$D254))</f>
        <v>#Sharepoint//FRS_Brake Control</v>
      </c>
      <c r="I254" s="340" t="str">
        <f t="array" aca="1" ref="I254" ca="1">HYPERLINK(CONCATENATE(Cartelle!$D$5,INDEX(INDIRECT("'" &amp; $C254 &amp; "'!$1:$1"), 1, MATCH(INDIRECT(CONCATENATE("'" &amp; $C254 &amp; "'!",ADDRESS(MATCH($D254, INDIRECT("'" &amp; $C254 &amp; "'!$B:$B"), 0),MATCH(I$1, INDIRECT("'" &amp; $C254 &amp; "'!$1:$1"), 0)))),INDIRECT(CONCATENATE("'" &amp; $C254 &amp; "'!",MATCH($D254, INDIRECT("'" &amp; $C254 &amp; "'!$B:$B"), 0),":",MATCH($D254, INDIRECT("'" &amp; $C254 &amp; "'!$B:$B"), 0))),0)),"/",$C254,"/",MID($D254,1,FIND("_",$D254)-1),"/",INDIRECT(CONCATENATE("'" &amp; $C254 &amp; "'!",ADDRESS(MATCH($D254, INDIRECT("'" &amp; $C254 &amp; "'!$B:$B"), 0),MATCH(I$1, INDIRECT("'" &amp; $C254 &amp; "'!$1:$1"), 0)))),".",INDIRECT(CONCATENATE("'"&amp;$C254&amp;"'!",ADDRESS(MATCH($D254,INDIRECT("'"&amp;$C254&amp;"'!$B:$B"),0),3))),"#page=",I255),CONCATENATE("#Sharepoint//",$D254))</f>
        <v>#Sharepoint//FRS_Brake Control</v>
      </c>
      <c r="J254" s="340" t="str">
        <f t="array" aca="1" ref="J254" ca="1">HYPERLINK(CONCATENATE(Cartelle!$D$5,INDEX(INDIRECT("'" &amp; $C254 &amp; "'!$1:$1"), 1, MATCH(INDIRECT(CONCATENATE("'" &amp; $C254 &amp; "'!",ADDRESS(MATCH($D254, INDIRECT("'" &amp; $C254 &amp; "'!$B:$B"), 0),MATCH(J$1, INDIRECT("'" &amp; $C254 &amp; "'!$1:$1"), 0)))),INDIRECT(CONCATENATE("'" &amp; $C254 &amp; "'!",MATCH($D254, INDIRECT("'" &amp; $C254 &amp; "'!$B:$B"), 0),":",MATCH($D254, INDIRECT("'" &amp; $C254 &amp; "'!$B:$B"), 0))),0)),"/",$C254,"/",MID($D254,1,FIND("_",$D254)-1),"/",INDIRECT(CONCATENATE("'" &amp; $C254 &amp; "'!",ADDRESS(MATCH($D254, INDIRECT("'" &amp; $C254 &amp; "'!$B:$B"), 0),MATCH(J$1, INDIRECT("'" &amp; $C254 &amp; "'!$1:$1"), 0)))),".",INDIRECT(CONCATENATE("'"&amp;$C254&amp;"'!",ADDRESS(MATCH($D254,INDIRECT("'"&amp;$C254&amp;"'!$B:$B"),0),3))),"#page=",J255),CONCATENATE("#Sharepoint//",$D254))</f>
        <v>#Sharepoint//FRS_Brake Control</v>
      </c>
      <c r="K254" s="359"/>
      <c r="L254" s="359"/>
    </row>
    <row r="255" spans="1:12" hidden="1" outlineLevel="2" x14ac:dyDescent="0.25">
      <c r="B255" s="169"/>
      <c r="D255" s="168"/>
      <c r="E255" s="167" t="s">
        <v>19</v>
      </c>
      <c r="F255" s="168">
        <v>233</v>
      </c>
      <c r="G255" s="168"/>
      <c r="H255" s="168">
        <v>246</v>
      </c>
      <c r="I255" s="168">
        <v>242</v>
      </c>
      <c r="J255" s="168">
        <v>270</v>
      </c>
      <c r="K255" s="168"/>
      <c r="L255" s="168"/>
    </row>
    <row r="256" spans="1:12" ht="375" hidden="1" customHeight="1" outlineLevel="2" x14ac:dyDescent="0.25">
      <c r="B256" s="169"/>
      <c r="D256" s="168"/>
      <c r="E256" s="234" t="s">
        <v>34</v>
      </c>
      <c r="F256" s="242" t="s">
        <v>320</v>
      </c>
      <c r="G256" s="237"/>
      <c r="H256" s="242" t="s">
        <v>321</v>
      </c>
      <c r="I256" s="242" t="s">
        <v>322</v>
      </c>
      <c r="J256" s="242" t="s">
        <v>323</v>
      </c>
      <c r="K256" s="237"/>
      <c r="L256" s="238"/>
    </row>
    <row r="257" spans="1:12" x14ac:dyDescent="0.25">
      <c r="A257" s="181" t="s">
        <v>324</v>
      </c>
      <c r="B257" s="367"/>
      <c r="C257" s="181"/>
      <c r="D257" s="368" t="s">
        <v>15</v>
      </c>
      <c r="E257" s="162"/>
      <c r="F257" s="163"/>
      <c r="G257" s="163"/>
      <c r="H257" s="163"/>
      <c r="I257" s="163"/>
      <c r="J257" s="163"/>
      <c r="K257" s="163"/>
      <c r="L257" s="164"/>
    </row>
    <row r="258" spans="1:12" outlineLevel="1" collapsed="1" x14ac:dyDescent="0.25">
      <c r="B258" s="169"/>
      <c r="C258" s="338" t="s">
        <v>16</v>
      </c>
      <c r="D258" s="369" t="s">
        <v>246</v>
      </c>
      <c r="E258" s="370" t="s">
        <v>18</v>
      </c>
      <c r="F258" s="340" t="str">
        <f t="array" aca="1" ref="F258" ca="1">HYPERLINK(CONCATENATE(Cartelle!$D$5,F$1,"/",$C258,"/",MID($D258,1,FIND("_",$D258)-1),"/",INDIRECT(CONCATENATE("'" &amp; $C258 &amp; "'!",ADDRESS(MATCH($D258, INDIRECT("'" &amp; $C258 &amp; "'!$B:$B"), 0),MATCH(F$1, INDIRECT("'" &amp; $C258 &amp; "'!$1:$1"), 0)))),".",INDIRECT(CONCATENATE("'"&amp;$C258&amp;"'!",ADDRESS(MATCH($D258,INDIRECT("'"&amp;$C258&amp;"'!$B:$B"),0),3))),"#page=",F259),CONCATENATE("#Sharepoint//",$D258))</f>
        <v>#Sharepoint//FRS_Brake Control</v>
      </c>
      <c r="G258" s="352"/>
      <c r="H258" s="340" t="str">
        <f t="array" aca="1" ref="H258" ca="1">HYPERLINK(CONCATENATE(Cartelle!$D$5,INDEX(INDIRECT("'" &amp; $C258 &amp; "'!$1:$1"), 1, MATCH(INDIRECT(CONCATENATE("'" &amp; $C258 &amp; "'!",ADDRESS(MATCH($D258, INDIRECT("'" &amp; $C258 &amp; "'!$B:$B"), 0),MATCH(H$1, INDIRECT("'" &amp; $C258 &amp; "'!$1:$1"), 0)))),INDIRECT(CONCATENATE("'" &amp; $C258 &amp; "'!",MATCH($D258, INDIRECT("'" &amp; $C258 &amp; "'!$B:$B"), 0),":",MATCH($D258, INDIRECT("'" &amp; $C258 &amp; "'!$B:$B"), 0))),0)),"/",$C258,"/",MID($D258,1,FIND("_",$D258)-1),"/",INDIRECT(CONCATENATE("'" &amp; $C258 &amp; "'!",ADDRESS(MATCH($D258, INDIRECT("'" &amp; $C258 &amp; "'!$B:$B"), 0),MATCH(H$1, INDIRECT("'" &amp; $C258 &amp; "'!$1:$1"), 0)))),".",INDIRECT(CONCATENATE("'"&amp;$C258&amp;"'!",ADDRESS(MATCH($D258,INDIRECT("'"&amp;$C258&amp;"'!$B:$B"),0),3))),"#page=",H259),CONCATENATE("#Sharepoint//",$D258))</f>
        <v>#Sharepoint//FRS_Brake Control</v>
      </c>
      <c r="I258" s="340" t="str">
        <f t="array" aca="1" ref="I258" ca="1">HYPERLINK(CONCATENATE(Cartelle!$D$5,INDEX(INDIRECT("'" &amp; $C258 &amp; "'!$1:$1"), 1, MATCH(INDIRECT(CONCATENATE("'" &amp; $C258 &amp; "'!",ADDRESS(MATCH($D258, INDIRECT("'" &amp; $C258 &amp; "'!$B:$B"), 0),MATCH(I$1, INDIRECT("'" &amp; $C258 &amp; "'!$1:$1"), 0)))),INDIRECT(CONCATENATE("'" &amp; $C258 &amp; "'!",MATCH($D258, INDIRECT("'" &amp; $C258 &amp; "'!$B:$B"), 0),":",MATCH($D258, INDIRECT("'" &amp; $C258 &amp; "'!$B:$B"), 0))),0)),"/",$C258,"/",MID($D258,1,FIND("_",$D258)-1),"/",INDIRECT(CONCATENATE("'" &amp; $C258 &amp; "'!",ADDRESS(MATCH($D258, INDIRECT("'" &amp; $C258 &amp; "'!$B:$B"), 0),MATCH(I$1, INDIRECT("'" &amp; $C258 &amp; "'!$1:$1"), 0)))),".",INDIRECT(CONCATENATE("'"&amp;$C258&amp;"'!",ADDRESS(MATCH($D258,INDIRECT("'"&amp;$C258&amp;"'!$B:$B"),0),3))),"#page=",I259),CONCATENATE("#Sharepoint//",$D258))</f>
        <v>#Sharepoint//FRS_Brake Control</v>
      </c>
      <c r="J258" s="340" t="str">
        <f t="array" aca="1" ref="J258" ca="1">HYPERLINK(CONCATENATE(Cartelle!$D$5,INDEX(INDIRECT("'" &amp; $C258 &amp; "'!$1:$1"), 1, MATCH(INDIRECT(CONCATENATE("'" &amp; $C258 &amp; "'!",ADDRESS(MATCH($D258, INDIRECT("'" &amp; $C258 &amp; "'!$B:$B"), 0),MATCH(J$1, INDIRECT("'" &amp; $C258 &amp; "'!$1:$1"), 0)))),INDIRECT(CONCATENATE("'" &amp; $C258 &amp; "'!",MATCH($D258, INDIRECT("'" &amp; $C258 &amp; "'!$B:$B"), 0),":",MATCH($D258, INDIRECT("'" &amp; $C258 &amp; "'!$B:$B"), 0))),0)),"/",$C258,"/",MID($D258,1,FIND("_",$D258)-1),"/",INDIRECT(CONCATENATE("'" &amp; $C258 &amp; "'!",ADDRESS(MATCH($D258, INDIRECT("'" &amp; $C258 &amp; "'!$B:$B"), 0),MATCH(J$1, INDIRECT("'" &amp; $C258 &amp; "'!$1:$1"), 0)))),".",INDIRECT(CONCATENATE("'"&amp;$C258&amp;"'!",ADDRESS(MATCH($D258,INDIRECT("'"&amp;$C258&amp;"'!$B:$B"),0),3))),"#page=",J259),CONCATENATE("#Sharepoint//",$D258))</f>
        <v>#Sharepoint//FRS_Brake Control</v>
      </c>
      <c r="K258" s="359"/>
      <c r="L258" s="359"/>
    </row>
    <row r="259" spans="1:12" hidden="1" outlineLevel="2" x14ac:dyDescent="0.25">
      <c r="B259" s="169"/>
      <c r="D259" s="166"/>
      <c r="E259" s="165" t="s">
        <v>19</v>
      </c>
      <c r="F259" s="166">
        <v>234</v>
      </c>
      <c r="G259" s="166"/>
      <c r="H259" s="166">
        <v>247</v>
      </c>
      <c r="I259" s="166"/>
      <c r="J259" s="166"/>
      <c r="K259" s="166"/>
      <c r="L259" s="166"/>
    </row>
    <row r="260" spans="1:12" ht="390" hidden="1" customHeight="1" outlineLevel="2" x14ac:dyDescent="0.25">
      <c r="B260" s="169"/>
      <c r="D260" s="168"/>
      <c r="E260" s="234" t="s">
        <v>34</v>
      </c>
      <c r="F260" s="242" t="s">
        <v>325</v>
      </c>
      <c r="G260" s="237"/>
      <c r="H260" s="242" t="s">
        <v>326</v>
      </c>
      <c r="I260" s="242" t="s">
        <v>327</v>
      </c>
      <c r="J260" s="242" t="s">
        <v>328</v>
      </c>
      <c r="K260" s="237"/>
      <c r="L260" s="238"/>
    </row>
    <row r="261" spans="1:12" x14ac:dyDescent="0.25">
      <c r="A261" s="181" t="s">
        <v>329</v>
      </c>
      <c r="B261" s="367"/>
      <c r="C261" s="181"/>
      <c r="D261" s="368" t="s">
        <v>15</v>
      </c>
      <c r="E261" s="162"/>
      <c r="F261" s="163"/>
      <c r="G261" s="163"/>
      <c r="H261" s="163"/>
      <c r="I261" s="163"/>
      <c r="J261" s="163"/>
      <c r="K261" s="163"/>
      <c r="L261" s="164"/>
    </row>
    <row r="262" spans="1:12" outlineLevel="1" collapsed="1" x14ac:dyDescent="0.25">
      <c r="B262" s="169"/>
      <c r="C262" s="338" t="s">
        <v>16</v>
      </c>
      <c r="D262" s="369" t="s">
        <v>330</v>
      </c>
      <c r="E262" s="370" t="s">
        <v>18</v>
      </c>
      <c r="F262" s="340" t="str">
        <f t="array" aca="1" ref="F262" ca="1">HYPERLINK(CONCATENATE(Cartelle!$D$5,F$1,"/",$C262,"/",MID($D262,1,FIND("_",$D262)-1),"/",INDIRECT(CONCATENATE("'" &amp; $C262 &amp; "'!",ADDRESS(MATCH($D262, INDIRECT("'" &amp; $C262 &amp; "'!$B:$B"), 0),MATCH(F$1, INDIRECT("'" &amp; $C262 &amp; "'!$1:$1"), 0)))),".",INDIRECT(CONCATENATE("'"&amp;$C262&amp;"'!",ADDRESS(MATCH($D262,INDIRECT("'"&amp;$C262&amp;"'!$B:$B"),0),3))),"#page=",F263),CONCATENATE("#Sharepoint//",$D262))</f>
        <v>#Sharepoint//FRS_Bogies</v>
      </c>
      <c r="G262" s="340" t="str">
        <f t="array" aca="1" ref="G262" ca="1">HYPERLINK(CONCATENATE(Cartelle!$D$5,INDEX(INDIRECT("'" &amp; $C262 &amp; "'!$1:$1"), 1, MATCH(INDIRECT(CONCATENATE("'" &amp; $C262 &amp; "'!",ADDRESS(MATCH($D262, INDIRECT("'" &amp; $C262 &amp; "'!$B:$B"), 0),MATCH(G$1, INDIRECT("'" &amp; $C262 &amp; "'!$1:$1"), 0)))),INDIRECT(CONCATENATE("'" &amp; $C262 &amp; "'!",MATCH($D262, INDIRECT("'" &amp; $C262 &amp; "'!$B:$B"), 0),":",MATCH($D262, INDIRECT("'" &amp; $C262 &amp; "'!$B:$B"), 0))),0)),"/",$C262,"/",MID($D262,1,FIND("_",$D262)-1),"/",INDIRECT(CONCATENATE("'" &amp; $C262 &amp; "'!",ADDRESS(MATCH($D262, INDIRECT("'" &amp; $C262 &amp; "'!$B:$B"), 0),MATCH(G$1, INDIRECT("'" &amp; $C262 &amp; "'!$1:$1"), 0)))),".",INDIRECT(CONCATENATE("'"&amp;$C262&amp;"'!",ADDRESS(MATCH($D262,INDIRECT("'"&amp;$C262&amp;"'!$B:$B"),0),3))),"#page=",G263),CONCATENATE("#Sharepoint//",$D262))</f>
        <v>#Sharepoint//FRS_Bogies</v>
      </c>
      <c r="H262" s="352"/>
      <c r="I262" s="363"/>
      <c r="J262" s="340" t="str">
        <f t="array" aca="1" ref="J262" ca="1">HYPERLINK(CONCATENATE(Cartelle!$D$5,INDEX(INDIRECT("'" &amp; $C262 &amp; "'!$1:$1"), 1, MATCH(INDIRECT(CONCATENATE("'" &amp; $C262 &amp; "'!",ADDRESS(MATCH($D262, INDIRECT("'" &amp; $C262 &amp; "'!$B:$B"), 0),MATCH(J$1, INDIRECT("'" &amp; $C262 &amp; "'!$1:$1"), 0)))),INDIRECT(CONCATENATE("'" &amp; $C262 &amp; "'!",MATCH($D262, INDIRECT("'" &amp; $C262 &amp; "'!$B:$B"), 0),":",MATCH($D262, INDIRECT("'" &amp; $C262 &amp; "'!$B:$B"), 0))),0)),"/",$C262,"/",MID($D262,1,FIND("_",$D262)-1),"/",INDIRECT(CONCATENATE("'" &amp; $C262 &amp; "'!",ADDRESS(MATCH($D262, INDIRECT("'" &amp; $C262 &amp; "'!$B:$B"), 0),MATCH(J$1, INDIRECT("'" &amp; $C262 &amp; "'!$1:$1"), 0)))),".",INDIRECT(CONCATENATE("'"&amp;$C262&amp;"'!",ADDRESS(MATCH($D262,INDIRECT("'"&amp;$C262&amp;"'!$B:$B"),0),3))),"#page=",J263),CONCATENATE("#Sharepoint//",$D262))</f>
        <v>#Sharepoint//FRS_Bogies</v>
      </c>
      <c r="K262" s="359"/>
      <c r="L262" s="359"/>
    </row>
    <row r="263" spans="1:12" hidden="1" outlineLevel="2" x14ac:dyDescent="0.25">
      <c r="B263" s="169"/>
      <c r="D263" s="168"/>
      <c r="E263" s="167" t="s">
        <v>19</v>
      </c>
      <c r="F263" s="168">
        <v>11</v>
      </c>
      <c r="G263" s="168">
        <v>10</v>
      </c>
      <c r="H263" s="168"/>
      <c r="I263" s="168"/>
      <c r="J263" s="168">
        <v>11</v>
      </c>
      <c r="K263" s="168"/>
      <c r="L263" s="168"/>
    </row>
    <row r="264" spans="1:12" ht="409.5" hidden="1" customHeight="1" outlineLevel="2" x14ac:dyDescent="0.25">
      <c r="B264" s="169"/>
      <c r="D264" s="168"/>
      <c r="E264" s="234" t="s">
        <v>34</v>
      </c>
      <c r="F264" s="242" t="s">
        <v>331</v>
      </c>
      <c r="G264" s="242" t="s">
        <v>332</v>
      </c>
      <c r="H264" s="237"/>
      <c r="I264" s="237"/>
      <c r="J264" s="242" t="s">
        <v>333</v>
      </c>
      <c r="K264" s="237"/>
      <c r="L264" s="238"/>
    </row>
    <row r="265" spans="1:12" x14ac:dyDescent="0.25">
      <c r="A265" s="181" t="s">
        <v>334</v>
      </c>
      <c r="B265" s="367"/>
      <c r="C265" s="181"/>
      <c r="D265" s="368" t="s">
        <v>15</v>
      </c>
      <c r="E265" s="162"/>
      <c r="F265" s="163"/>
      <c r="G265" s="163"/>
      <c r="H265" s="163"/>
      <c r="I265" s="163"/>
      <c r="J265" s="163"/>
      <c r="K265" s="163"/>
      <c r="L265" s="164"/>
    </row>
    <row r="266" spans="1:12" outlineLevel="1" collapsed="1" x14ac:dyDescent="0.25">
      <c r="B266" s="169"/>
      <c r="C266" s="338" t="s">
        <v>16</v>
      </c>
      <c r="D266" s="369" t="s">
        <v>330</v>
      </c>
      <c r="E266" s="370" t="s">
        <v>18</v>
      </c>
      <c r="F266" s="340" t="str">
        <f t="array" aca="1" ref="F266" ca="1">HYPERLINK(CONCATENATE(Cartelle!$D$5,F$1,"/",$C266,"/",MID($D266,1,FIND("_",$D266)-1),"/",INDIRECT(CONCATENATE("'" &amp; $C266 &amp; "'!",ADDRESS(MATCH($D266, INDIRECT("'" &amp; $C266 &amp; "'!$B:$B"), 0),MATCH(F$1, INDIRECT("'" &amp; $C266 &amp; "'!$1:$1"), 0)))),".",INDIRECT(CONCATENATE("'"&amp;$C266&amp;"'!",ADDRESS(MATCH($D266,INDIRECT("'"&amp;$C266&amp;"'!$B:$B"),0),3))),"#page=",F267),CONCATENATE("#Sharepoint//",$D266))</f>
        <v>#Sharepoint//FRS_Bogies</v>
      </c>
      <c r="G266" s="340" t="str">
        <f t="array" aca="1" ref="G266" ca="1">HYPERLINK(CONCATENATE(Cartelle!$D$5,INDEX(INDIRECT("'" &amp; $C266 &amp; "'!$1:$1"), 1, MATCH(INDIRECT(CONCATENATE("'" &amp; $C266 &amp; "'!",ADDRESS(MATCH($D266, INDIRECT("'" &amp; $C266 &amp; "'!$B:$B"), 0),MATCH(G$1, INDIRECT("'" &amp; $C266 &amp; "'!$1:$1"), 0)))),INDIRECT(CONCATENATE("'" &amp; $C266 &amp; "'!",MATCH($D266, INDIRECT("'" &amp; $C266 &amp; "'!$B:$B"), 0),":",MATCH($D266, INDIRECT("'" &amp; $C266 &amp; "'!$B:$B"), 0))),0)),"/",$C266,"/",MID($D266,1,FIND("_",$D266)-1),"/",INDIRECT(CONCATENATE("'" &amp; $C266 &amp; "'!",ADDRESS(MATCH($D266, INDIRECT("'" &amp; $C266 &amp; "'!$B:$B"), 0),MATCH(G$1, INDIRECT("'" &amp; $C266 &amp; "'!$1:$1"), 0)))),".",INDIRECT(CONCATENATE("'"&amp;$C266&amp;"'!",ADDRESS(MATCH($D266,INDIRECT("'"&amp;$C266&amp;"'!$B:$B"),0),3))),"#page=",G267),CONCATENATE("#Sharepoint//",$D266))</f>
        <v>#Sharepoint//FRS_Bogies</v>
      </c>
      <c r="H266" s="352"/>
      <c r="I266" s="363"/>
      <c r="J266" s="340" t="str">
        <f t="array" aca="1" ref="J266" ca="1">HYPERLINK(CONCATENATE(Cartelle!$D$5,INDEX(INDIRECT("'" &amp; $C266 &amp; "'!$1:$1"), 1, MATCH(INDIRECT(CONCATENATE("'" &amp; $C266 &amp; "'!",ADDRESS(MATCH($D266, INDIRECT("'" &amp; $C266 &amp; "'!$B:$B"), 0),MATCH(J$1, INDIRECT("'" &amp; $C266 &amp; "'!$1:$1"), 0)))),INDIRECT(CONCATENATE("'" &amp; $C266 &amp; "'!",MATCH($D266, INDIRECT("'" &amp; $C266 &amp; "'!$B:$B"), 0),":",MATCH($D266, INDIRECT("'" &amp; $C266 &amp; "'!$B:$B"), 0))),0)),"/",$C266,"/",MID($D266,1,FIND("_",$D266)-1),"/",INDIRECT(CONCATENATE("'" &amp; $C266 &amp; "'!",ADDRESS(MATCH($D266, INDIRECT("'" &amp; $C266 &amp; "'!$B:$B"), 0),MATCH(J$1, INDIRECT("'" &amp; $C266 &amp; "'!$1:$1"), 0)))),".",INDIRECT(CONCATENATE("'"&amp;$C266&amp;"'!",ADDRESS(MATCH($D266,INDIRECT("'"&amp;$C266&amp;"'!$B:$B"),0),3))),"#page=",J267),CONCATENATE("#Sharepoint//",$D266))</f>
        <v>#Sharepoint//FRS_Bogies</v>
      </c>
      <c r="K266" s="359"/>
      <c r="L266" s="359"/>
    </row>
    <row r="267" spans="1:12" hidden="1" outlineLevel="2" x14ac:dyDescent="0.25">
      <c r="B267" s="169"/>
      <c r="D267" s="168"/>
      <c r="E267" s="167" t="s">
        <v>19</v>
      </c>
      <c r="F267" s="168">
        <v>14</v>
      </c>
      <c r="G267" s="168">
        <v>12</v>
      </c>
      <c r="H267" s="168"/>
      <c r="I267" s="168"/>
      <c r="J267" s="168">
        <v>14</v>
      </c>
      <c r="K267" s="168"/>
      <c r="L267" s="168"/>
    </row>
    <row r="268" spans="1:12" ht="409.5" hidden="1" customHeight="1" outlineLevel="2" x14ac:dyDescent="0.25">
      <c r="B268" s="169"/>
      <c r="D268" s="168"/>
      <c r="E268" s="234" t="s">
        <v>34</v>
      </c>
      <c r="F268" s="242" t="s">
        <v>335</v>
      </c>
      <c r="G268" s="243" t="s">
        <v>336</v>
      </c>
      <c r="H268" s="237"/>
      <c r="I268" s="237"/>
      <c r="J268" s="243" t="s">
        <v>337</v>
      </c>
      <c r="K268" s="237"/>
      <c r="L268" s="238"/>
    </row>
    <row r="269" spans="1:12" ht="409.5" hidden="1" customHeight="1" outlineLevel="2" x14ac:dyDescent="0.25">
      <c r="A269" s="103"/>
      <c r="B269" s="175"/>
      <c r="C269" s="104"/>
      <c r="D269" s="346"/>
      <c r="E269" s="218" t="s">
        <v>338</v>
      </c>
      <c r="F269" s="343" t="s">
        <v>339</v>
      </c>
      <c r="G269" s="343" t="s">
        <v>340</v>
      </c>
      <c r="H269" s="217"/>
      <c r="I269" s="217"/>
      <c r="J269" s="217" t="s">
        <v>341</v>
      </c>
      <c r="K269" s="217"/>
      <c r="L269" s="217"/>
    </row>
    <row r="270" spans="1:12" outlineLevel="1" collapsed="1" x14ac:dyDescent="0.25">
      <c r="A270" s="373"/>
      <c r="B270" s="374"/>
      <c r="C270" s="338" t="s">
        <v>16</v>
      </c>
      <c r="D270" s="338" t="s">
        <v>17</v>
      </c>
      <c r="E270" s="339" t="s">
        <v>18</v>
      </c>
      <c r="F270" s="340" t="str">
        <f t="array" aca="1" ref="F270" ca="1">HYPERLINK(CONCATENATE(Cartelle!$D$5,F$1,"/",$C270,"/",MID($D270,1,FIND("_",$D270)-1),"/",INDIRECT(CONCATENATE("'" &amp; $C270 &amp; "'!",ADDRESS(MATCH($D270, INDIRECT("'" &amp; $C270 &amp; "'!$B:$B"), 0),MATCH(F$1, INDIRECT("'" &amp; $C270 &amp; "'!$1:$1"), 0)))),".",INDIRECT(CONCATENATE("'"&amp;$C270&amp;"'!",ADDRESS(MATCH($D270,INDIRECT("'"&amp;$C270&amp;"'!$B:$B"),0),3))),"#page=",F271),CONCATENATE("#Sharepoint//",$D270))</f>
        <v>#Sharepoint//FS_DM1</v>
      </c>
      <c r="G270" s="338"/>
      <c r="H270" s="338"/>
      <c r="I270" s="338"/>
      <c r="J270" s="340" t="str">
        <f t="array" aca="1" ref="J270" ca="1">HYPERLINK(CONCATENATE(Cartelle!$D$5,INDEX(INDIRECT("'" &amp; $C270 &amp; "'!$1:$1"), 1, MATCH(INDIRECT(CONCATENATE("'" &amp; $C270 &amp; "'!",ADDRESS(MATCH($D270, INDIRECT("'" &amp; $C270 &amp; "'!$B:$B"), 0),MATCH(J$1, INDIRECT("'" &amp; $C270 &amp; "'!$1:$1"), 0)))),INDIRECT(CONCATENATE("'" &amp; $C270 &amp; "'!",MATCH($D270, INDIRECT("'" &amp; $C270 &amp; "'!$B:$B"), 0),":",MATCH($D270, INDIRECT("'" &amp; $C270 &amp; "'!$B:$B"), 0))),0)),"/",$C270,"/",MID($D270,1,FIND("_",$D270)-1),"/",INDIRECT(CONCATENATE("'" &amp; $C270 &amp; "'!",ADDRESS(MATCH($D270, INDIRECT("'" &amp; $C270 &amp; "'!$B:$B"), 0),MATCH(J$1, INDIRECT("'" &amp; $C270 &amp; "'!$1:$1"), 0)))),".",INDIRECT(CONCATENATE("'"&amp;$C270&amp;"'!",ADDRESS(MATCH($D270,INDIRECT("'"&amp;$C270&amp;"'!$B:$B"),0),3))),"#page=",J271),CONCATENATE("#Sharepoint//",$D270))</f>
        <v>#Sharepoint//FS_DM1</v>
      </c>
      <c r="K270" s="341"/>
      <c r="L270" s="338"/>
    </row>
    <row r="271" spans="1:12" hidden="1" outlineLevel="2" x14ac:dyDescent="0.25">
      <c r="A271" s="103"/>
      <c r="B271" s="175"/>
      <c r="C271" s="104"/>
      <c r="D271" s="217"/>
      <c r="E271" s="218" t="s">
        <v>19</v>
      </c>
      <c r="F271" s="217">
        <v>388</v>
      </c>
      <c r="G271" s="217"/>
      <c r="H271" s="217"/>
      <c r="I271" s="217"/>
      <c r="J271" s="217">
        <v>264</v>
      </c>
      <c r="K271" s="343"/>
      <c r="L271" s="217"/>
    </row>
    <row r="272" spans="1:12" ht="150" hidden="1" customHeight="1" outlineLevel="2" x14ac:dyDescent="0.25">
      <c r="A272" s="103"/>
      <c r="B272" s="175"/>
      <c r="C272" s="104"/>
      <c r="D272" s="217"/>
      <c r="E272" s="218" t="s">
        <v>342</v>
      </c>
      <c r="F272" s="343" t="s">
        <v>343</v>
      </c>
      <c r="G272" s="217"/>
      <c r="H272" s="217"/>
      <c r="I272" s="217"/>
      <c r="J272" s="343" t="s">
        <v>344</v>
      </c>
      <c r="K272" s="343"/>
      <c r="L272" s="217"/>
    </row>
    <row r="273" spans="1:12" ht="345" hidden="1" customHeight="1" outlineLevel="2" x14ac:dyDescent="0.25">
      <c r="A273" s="103"/>
      <c r="B273" s="175"/>
      <c r="C273" s="104"/>
      <c r="D273" s="217"/>
      <c r="E273" s="218" t="s">
        <v>345</v>
      </c>
      <c r="F273" s="343" t="s">
        <v>346</v>
      </c>
      <c r="G273" s="217"/>
      <c r="H273" s="217"/>
      <c r="I273" s="217"/>
      <c r="J273" s="343" t="s">
        <v>347</v>
      </c>
      <c r="K273" s="343"/>
      <c r="L273" s="217"/>
    </row>
    <row r="274" spans="1:12" x14ac:dyDescent="0.25">
      <c r="A274" s="181" t="s">
        <v>348</v>
      </c>
      <c r="B274" s="367"/>
      <c r="C274" s="181"/>
      <c r="D274" s="368" t="s">
        <v>15</v>
      </c>
      <c r="E274" s="162"/>
      <c r="F274" s="163"/>
      <c r="G274" s="163"/>
      <c r="H274" s="163"/>
      <c r="I274" s="163"/>
      <c r="J274" s="163"/>
      <c r="K274" s="163"/>
      <c r="L274" s="164"/>
    </row>
    <row r="275" spans="1:12" outlineLevel="1" collapsed="1" x14ac:dyDescent="0.25">
      <c r="B275" s="169"/>
      <c r="C275" s="338" t="s">
        <v>16</v>
      </c>
      <c r="D275" s="369" t="s">
        <v>330</v>
      </c>
      <c r="E275" s="370" t="s">
        <v>18</v>
      </c>
      <c r="F275" s="340" t="str">
        <f t="array" aca="1" ref="F275" ca="1">HYPERLINK(CONCATENATE(Cartelle!$D$5,F$1,"/",$C275,"/",MID($D275,1,FIND("_",$D275)-1),"/",INDIRECT(CONCATENATE("'" &amp; $C275 &amp; "'!",ADDRESS(MATCH($D275, INDIRECT("'" &amp; $C275 &amp; "'!$B:$B"), 0),MATCH(F$1, INDIRECT("'" &amp; $C275 &amp; "'!$1:$1"), 0)))),".",INDIRECT(CONCATENATE("'"&amp;$C275&amp;"'!",ADDRESS(MATCH($D275,INDIRECT("'"&amp;$C275&amp;"'!$B:$B"),0),3))),"#page=",F276),CONCATENATE("#Sharepoint//",$D275))</f>
        <v>#Sharepoint//FRS_Bogies</v>
      </c>
      <c r="G275" s="340" t="str">
        <f t="array" aca="1" ref="G275" ca="1">HYPERLINK(CONCATENATE(Cartelle!$D$5,INDEX(INDIRECT("'" &amp; $C275 &amp; "'!$1:$1"), 1, MATCH(INDIRECT(CONCATENATE("'" &amp; $C275 &amp; "'!",ADDRESS(MATCH($D275, INDIRECT("'" &amp; $C275 &amp; "'!$B:$B"), 0),MATCH(G$1, INDIRECT("'" &amp; $C275 &amp; "'!$1:$1"), 0)))),INDIRECT(CONCATENATE("'" &amp; $C275 &amp; "'!",MATCH($D275, INDIRECT("'" &amp; $C275 &amp; "'!$B:$B"), 0),":",MATCH($D275, INDIRECT("'" &amp; $C275 &amp; "'!$B:$B"), 0))),0)),"/",$C275,"/",MID($D275,1,FIND("_",$D275)-1),"/",INDIRECT(CONCATENATE("'" &amp; $C275 &amp; "'!",ADDRESS(MATCH($D275, INDIRECT("'" &amp; $C275 &amp; "'!$B:$B"), 0),MATCH(G$1, INDIRECT("'" &amp; $C275 &amp; "'!$1:$1"), 0)))),".",INDIRECT(CONCATENATE("'"&amp;$C275&amp;"'!",ADDRESS(MATCH($D275,INDIRECT("'"&amp;$C275&amp;"'!$B:$B"),0),3))),"#page=",G276),CONCATENATE("#Sharepoint//",$D275))</f>
        <v>#Sharepoint//FRS_Bogies</v>
      </c>
      <c r="H275" s="352"/>
      <c r="I275" s="363"/>
      <c r="J275" s="340" t="str">
        <f t="array" aca="1" ref="J275" ca="1">HYPERLINK(CONCATENATE(Cartelle!$D$5,INDEX(INDIRECT("'" &amp; $C275 &amp; "'!$1:$1"), 1, MATCH(INDIRECT(CONCATENATE("'" &amp; $C275 &amp; "'!",ADDRESS(MATCH($D275, INDIRECT("'" &amp; $C275 &amp; "'!$B:$B"), 0),MATCH(J$1, INDIRECT("'" &amp; $C275 &amp; "'!$1:$1"), 0)))),INDIRECT(CONCATENATE("'" &amp; $C275 &amp; "'!",MATCH($D275, INDIRECT("'" &amp; $C275 &amp; "'!$B:$B"), 0),":",MATCH($D275, INDIRECT("'" &amp; $C275 &amp; "'!$B:$B"), 0))),0)),"/",$C275,"/",MID($D275,1,FIND("_",$D275)-1),"/",INDIRECT(CONCATENATE("'" &amp; $C275 &amp; "'!",ADDRESS(MATCH($D275, INDIRECT("'" &amp; $C275 &amp; "'!$B:$B"), 0),MATCH(J$1, INDIRECT("'" &amp; $C275 &amp; "'!$1:$1"), 0)))),".",INDIRECT(CONCATENATE("'"&amp;$C275&amp;"'!",ADDRESS(MATCH($D275,INDIRECT("'"&amp;$C275&amp;"'!$B:$B"),0),3))),"#page=",J276),CONCATENATE("#Sharepoint//",$D275))</f>
        <v>#Sharepoint//FRS_Bogies</v>
      </c>
      <c r="K275" s="359"/>
      <c r="L275" s="359"/>
    </row>
    <row r="276" spans="1:12" hidden="1" outlineLevel="2" x14ac:dyDescent="0.25">
      <c r="B276" s="169"/>
      <c r="D276" s="168"/>
      <c r="E276" s="167" t="s">
        <v>19</v>
      </c>
      <c r="F276" s="168">
        <v>20</v>
      </c>
      <c r="G276" s="168">
        <v>20</v>
      </c>
      <c r="H276" s="168"/>
      <c r="I276" s="168"/>
      <c r="J276" s="168">
        <v>36</v>
      </c>
      <c r="K276" s="168"/>
      <c r="L276" s="168"/>
    </row>
    <row r="277" spans="1:12" ht="405" hidden="1" customHeight="1" outlineLevel="2" x14ac:dyDescent="0.25">
      <c r="B277" s="169"/>
      <c r="D277" s="168"/>
      <c r="E277" s="234" t="s">
        <v>34</v>
      </c>
      <c r="F277" s="242" t="s">
        <v>349</v>
      </c>
      <c r="G277" s="242" t="s">
        <v>350</v>
      </c>
      <c r="H277" s="237"/>
      <c r="I277" s="237"/>
      <c r="J277" s="242" t="s">
        <v>351</v>
      </c>
      <c r="K277" s="237"/>
      <c r="L277" s="238"/>
    </row>
    <row r="278" spans="1:12" x14ac:dyDescent="0.25">
      <c r="A278" s="181" t="s">
        <v>352</v>
      </c>
      <c r="B278" s="367"/>
      <c r="C278" s="181"/>
      <c r="D278" s="368" t="s">
        <v>15</v>
      </c>
      <c r="E278" s="162"/>
      <c r="F278" s="163"/>
      <c r="G278" s="163"/>
      <c r="H278" s="163"/>
      <c r="I278" s="163"/>
      <c r="J278" s="163"/>
      <c r="K278" s="163"/>
      <c r="L278" s="164"/>
    </row>
    <row r="279" spans="1:12" outlineLevel="1" collapsed="1" x14ac:dyDescent="0.25">
      <c r="B279" s="169"/>
      <c r="C279" s="338" t="s">
        <v>16</v>
      </c>
      <c r="D279" s="369" t="s">
        <v>330</v>
      </c>
      <c r="E279" s="370" t="s">
        <v>18</v>
      </c>
      <c r="F279" s="340" t="str">
        <f t="array" aca="1" ref="F279" ca="1">HYPERLINK(CONCATENATE(Cartelle!$D$5,F$1,"/",$C279,"/",MID($D279,1,FIND("_",$D279)-1),"/",INDIRECT(CONCATENATE("'" &amp; $C279 &amp; "'!",ADDRESS(MATCH($D279, INDIRECT("'" &amp; $C279 &amp; "'!$B:$B"), 0),MATCH(F$1, INDIRECT("'" &amp; $C279 &amp; "'!$1:$1"), 0)))),".",INDIRECT(CONCATENATE("'"&amp;$C279&amp;"'!",ADDRESS(MATCH($D279,INDIRECT("'"&amp;$C279&amp;"'!$B:$B"),0),3))),"#page=",F280),CONCATENATE("#Sharepoint//",$D279))</f>
        <v>#Sharepoint//FRS_Bogies</v>
      </c>
      <c r="G279" s="340" t="str">
        <f t="array" aca="1" ref="G279" ca="1">HYPERLINK(CONCATENATE(Cartelle!$D$5,INDEX(INDIRECT("'" &amp; $C279 &amp; "'!$1:$1"), 1, MATCH(INDIRECT(CONCATENATE("'" &amp; $C279 &amp; "'!",ADDRESS(MATCH($D279, INDIRECT("'" &amp; $C279 &amp; "'!$B:$B"), 0),MATCH(G$1, INDIRECT("'" &amp; $C279 &amp; "'!$1:$1"), 0)))),INDIRECT(CONCATENATE("'" &amp; $C279 &amp; "'!",MATCH($D279, INDIRECT("'" &amp; $C279 &amp; "'!$B:$B"), 0),":",MATCH($D279, INDIRECT("'" &amp; $C279 &amp; "'!$B:$B"), 0))),0)),"/",$C279,"/",MID($D279,1,FIND("_",$D279)-1),"/",INDIRECT(CONCATENATE("'" &amp; $C279 &amp; "'!",ADDRESS(MATCH($D279, INDIRECT("'" &amp; $C279 &amp; "'!$B:$B"), 0),MATCH(G$1, INDIRECT("'" &amp; $C279 &amp; "'!$1:$1"), 0)))),".",INDIRECT(CONCATENATE("'"&amp;$C279&amp;"'!",ADDRESS(MATCH($D279,INDIRECT("'"&amp;$C279&amp;"'!$B:$B"),0),3))),"#page=",G280),CONCATENATE("#Sharepoint//",$D279))</f>
        <v>#Sharepoint//FRS_Bogies</v>
      </c>
      <c r="H279" s="352"/>
      <c r="I279" s="363"/>
      <c r="J279" s="340" t="str">
        <f t="array" aca="1" ref="J279" ca="1">HYPERLINK(CONCATENATE(Cartelle!$D$5,INDEX(INDIRECT("'" &amp; $C279 &amp; "'!$1:$1"), 1, MATCH(INDIRECT(CONCATENATE("'" &amp; $C279 &amp; "'!",ADDRESS(MATCH($D279, INDIRECT("'" &amp; $C279 &amp; "'!$B:$B"), 0),MATCH(J$1, INDIRECT("'" &amp; $C279 &amp; "'!$1:$1"), 0)))),INDIRECT(CONCATENATE("'" &amp; $C279 &amp; "'!",MATCH($D279, INDIRECT("'" &amp; $C279 &amp; "'!$B:$B"), 0),":",MATCH($D279, INDIRECT("'" &amp; $C279 &amp; "'!$B:$B"), 0))),0)),"/",$C279,"/",MID($D279,1,FIND("_",$D279)-1),"/",INDIRECT(CONCATENATE("'" &amp; $C279 &amp; "'!",ADDRESS(MATCH($D279, INDIRECT("'" &amp; $C279 &amp; "'!$B:$B"), 0),MATCH(J$1, INDIRECT("'" &amp; $C279 &amp; "'!$1:$1"), 0)))),".",INDIRECT(CONCATENATE("'"&amp;$C279&amp;"'!",ADDRESS(MATCH($D279,INDIRECT("'"&amp;$C279&amp;"'!$B:$B"),0),3))),"#page=",J280),CONCATENATE("#Sharepoint//",$D279))</f>
        <v>#Sharepoint//FRS_Bogies</v>
      </c>
      <c r="K279" s="359"/>
      <c r="L279" s="359"/>
    </row>
    <row r="280" spans="1:12" hidden="1" outlineLevel="2" x14ac:dyDescent="0.25">
      <c r="B280" s="169"/>
      <c r="D280" s="168"/>
      <c r="E280" s="167" t="s">
        <v>19</v>
      </c>
      <c r="F280" s="168">
        <v>29</v>
      </c>
      <c r="G280" s="168">
        <v>28</v>
      </c>
      <c r="H280" s="168"/>
      <c r="I280" s="168"/>
      <c r="J280" s="168">
        <v>43</v>
      </c>
      <c r="K280" s="168"/>
      <c r="L280" s="168"/>
    </row>
    <row r="281" spans="1:12" ht="390" hidden="1" customHeight="1" outlineLevel="2" x14ac:dyDescent="0.25">
      <c r="B281" s="169"/>
      <c r="D281" s="168"/>
      <c r="E281" s="234" t="s">
        <v>34</v>
      </c>
      <c r="F281" s="242" t="s">
        <v>353</v>
      </c>
      <c r="G281" s="242" t="s">
        <v>354</v>
      </c>
      <c r="H281" s="237"/>
      <c r="I281" s="237"/>
      <c r="J281" s="242" t="s">
        <v>355</v>
      </c>
      <c r="K281" s="237"/>
      <c r="L281" s="238"/>
    </row>
    <row r="282" spans="1:12" x14ac:dyDescent="0.25">
      <c r="A282" s="181" t="s">
        <v>356</v>
      </c>
      <c r="B282" s="367"/>
      <c r="C282" s="181"/>
      <c r="D282" s="368" t="s">
        <v>15</v>
      </c>
      <c r="E282" s="162"/>
      <c r="F282" s="163"/>
      <c r="G282" s="163"/>
      <c r="H282" s="163"/>
      <c r="I282" s="163"/>
      <c r="J282" s="163"/>
      <c r="K282" s="163"/>
      <c r="L282" s="164"/>
    </row>
    <row r="283" spans="1:12" outlineLevel="1" collapsed="1" x14ac:dyDescent="0.25">
      <c r="B283" s="169"/>
      <c r="C283" s="338" t="s">
        <v>16</v>
      </c>
      <c r="D283" s="369" t="s">
        <v>330</v>
      </c>
      <c r="E283" s="370" t="s">
        <v>18</v>
      </c>
      <c r="F283" s="340" t="str">
        <f t="array" aca="1" ref="F283" ca="1">HYPERLINK(CONCATENATE(Cartelle!$D$5,F$1,"/",$C283,"/",MID($D283,1,FIND("_",$D283)-1),"/",INDIRECT(CONCATENATE("'" &amp; $C283 &amp; "'!",ADDRESS(MATCH($D283, INDIRECT("'" &amp; $C283 &amp; "'!$B:$B"), 0),MATCH(F$1, INDIRECT("'" &amp; $C283 &amp; "'!$1:$1"), 0)))),".",INDIRECT(CONCATENATE("'"&amp;$C283&amp;"'!",ADDRESS(MATCH($D283,INDIRECT("'"&amp;$C283&amp;"'!$B:$B"),0),3))),"#page=",F284),CONCATENATE("#Sharepoint//",$D283))</f>
        <v>#Sharepoint//FRS_Bogies</v>
      </c>
      <c r="G283" s="340" t="str">
        <f t="array" aca="1" ref="G283" ca="1">HYPERLINK(CONCATENATE(Cartelle!$D$5,INDEX(INDIRECT("'" &amp; $C283 &amp; "'!$1:$1"), 1, MATCH(INDIRECT(CONCATENATE("'" &amp; $C283 &amp; "'!",ADDRESS(MATCH($D283, INDIRECT("'" &amp; $C283 &amp; "'!$B:$B"), 0),MATCH(G$1, INDIRECT("'" &amp; $C283 &amp; "'!$1:$1"), 0)))),INDIRECT(CONCATENATE("'" &amp; $C283 &amp; "'!",MATCH($D283, INDIRECT("'" &amp; $C283 &amp; "'!$B:$B"), 0),":",MATCH($D283, INDIRECT("'" &amp; $C283 &amp; "'!$B:$B"), 0))),0)),"/",$C283,"/",MID($D283,1,FIND("_",$D283)-1),"/",INDIRECT(CONCATENATE("'" &amp; $C283 &amp; "'!",ADDRESS(MATCH($D283, INDIRECT("'" &amp; $C283 &amp; "'!$B:$B"), 0),MATCH(G$1, INDIRECT("'" &amp; $C283 &amp; "'!$1:$1"), 0)))),".",INDIRECT(CONCATENATE("'"&amp;$C283&amp;"'!",ADDRESS(MATCH($D283,INDIRECT("'"&amp;$C283&amp;"'!$B:$B"),0),3))),"#page=",G284),CONCATENATE("#Sharepoint//",$D283))</f>
        <v>#Sharepoint//FRS_Bogies</v>
      </c>
      <c r="H283" s="352"/>
      <c r="I283" s="363"/>
      <c r="J283" s="340" t="str">
        <f t="array" aca="1" ref="J283" ca="1">HYPERLINK(CONCATENATE(Cartelle!$D$5,INDEX(INDIRECT("'" &amp; $C283 &amp; "'!$1:$1"), 1, MATCH(INDIRECT(CONCATENATE("'" &amp; $C283 &amp; "'!",ADDRESS(MATCH($D283, INDIRECT("'" &amp; $C283 &amp; "'!$B:$B"), 0),MATCH(J$1, INDIRECT("'" &amp; $C283 &amp; "'!$1:$1"), 0)))),INDIRECT(CONCATENATE("'" &amp; $C283 &amp; "'!",MATCH($D283, INDIRECT("'" &amp; $C283 &amp; "'!$B:$B"), 0),":",MATCH($D283, INDIRECT("'" &amp; $C283 &amp; "'!$B:$B"), 0))),0)),"/",$C283,"/",MID($D283,1,FIND("_",$D283)-1),"/",INDIRECT(CONCATENATE("'" &amp; $C283 &amp; "'!",ADDRESS(MATCH($D283, INDIRECT("'" &amp; $C283 &amp; "'!$B:$B"), 0),MATCH(J$1, INDIRECT("'" &amp; $C283 &amp; "'!$1:$1"), 0)))),".",INDIRECT(CONCATENATE("'"&amp;$C283&amp;"'!",ADDRESS(MATCH($D283,INDIRECT("'"&amp;$C283&amp;"'!$B:$B"),0),3))),"#page=",J284),CONCATENATE("#Sharepoint//",$D283))</f>
        <v>#Sharepoint//FRS_Bogies</v>
      </c>
      <c r="K283" s="359"/>
      <c r="L283" s="359"/>
    </row>
    <row r="284" spans="1:12" hidden="1" outlineLevel="2" x14ac:dyDescent="0.25">
      <c r="B284" s="169"/>
      <c r="D284" s="166"/>
      <c r="E284" s="165" t="s">
        <v>19</v>
      </c>
      <c r="F284" s="166">
        <v>31</v>
      </c>
      <c r="G284" s="166">
        <v>29</v>
      </c>
      <c r="H284" s="166"/>
      <c r="I284" s="166">
        <v>29</v>
      </c>
      <c r="J284" s="166">
        <v>44</v>
      </c>
      <c r="K284" s="166"/>
      <c r="L284" s="166"/>
    </row>
    <row r="285" spans="1:12" ht="375" hidden="1" customHeight="1" outlineLevel="2" x14ac:dyDescent="0.25">
      <c r="B285" s="169"/>
      <c r="D285" s="168"/>
      <c r="E285" s="234" t="s">
        <v>34</v>
      </c>
      <c r="F285" s="242" t="s">
        <v>357</v>
      </c>
      <c r="G285" s="242" t="s">
        <v>358</v>
      </c>
      <c r="H285" s="237"/>
      <c r="I285" s="237"/>
      <c r="J285" s="242" t="s">
        <v>359</v>
      </c>
      <c r="K285" s="237"/>
      <c r="L285" s="238"/>
    </row>
  </sheetData>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11"/>
  <sheetViews>
    <sheetView zoomScale="85" zoomScaleNormal="85" workbookViewId="0">
      <selection activeCell="C23" sqref="C23"/>
    </sheetView>
  </sheetViews>
  <sheetFormatPr defaultColWidth="8.7109375" defaultRowHeight="15" x14ac:dyDescent="0.25"/>
  <cols>
    <col min="1" max="1" width="22.140625" style="62" bestFit="1" customWidth="1"/>
    <col min="2" max="2" width="65.42578125" style="62" customWidth="1"/>
    <col min="3" max="3" width="34.7109375" style="62" bestFit="1" customWidth="1"/>
    <col min="4" max="4" width="34.85546875" style="62" customWidth="1"/>
    <col min="5" max="9" width="35.5703125" style="10" customWidth="1"/>
    <col min="10" max="11" width="14.85546875" style="10" customWidth="1"/>
    <col min="12" max="12" width="8.7109375" style="59" customWidth="1"/>
    <col min="13" max="13" width="33.140625" style="59" customWidth="1"/>
    <col min="14" max="22" width="8.7109375" style="59" customWidth="1"/>
    <col min="23" max="16384" width="8.7109375" style="59"/>
  </cols>
  <sheetData>
    <row r="1" spans="1:11" s="61" customFormat="1" x14ac:dyDescent="0.25">
      <c r="A1" s="329" t="s">
        <v>0</v>
      </c>
      <c r="B1" s="329" t="s">
        <v>399</v>
      </c>
      <c r="C1" s="299" t="s">
        <v>1379</v>
      </c>
      <c r="D1" s="299" t="s">
        <v>1380</v>
      </c>
      <c r="E1" s="330" t="s">
        <v>5</v>
      </c>
      <c r="F1" s="330" t="s">
        <v>6</v>
      </c>
      <c r="G1" s="81" t="s">
        <v>7</v>
      </c>
      <c r="H1" s="81" t="s">
        <v>8</v>
      </c>
      <c r="I1" s="81" t="s">
        <v>9</v>
      </c>
      <c r="J1" s="81" t="s">
        <v>10</v>
      </c>
      <c r="K1" s="82" t="s">
        <v>11</v>
      </c>
    </row>
    <row r="2" spans="1:11" x14ac:dyDescent="0.25">
      <c r="A2" s="331" t="s">
        <v>12</v>
      </c>
      <c r="B2" s="331" t="s">
        <v>13</v>
      </c>
      <c r="C2" s="300"/>
      <c r="D2" s="300"/>
      <c r="E2" s="334"/>
      <c r="F2" s="334"/>
      <c r="G2" s="334"/>
      <c r="H2" s="334"/>
      <c r="I2" s="334"/>
      <c r="J2" s="334"/>
      <c r="K2" s="335"/>
    </row>
    <row r="3" spans="1:11" ht="30" customHeight="1" x14ac:dyDescent="0.25">
      <c r="A3" s="347" t="s">
        <v>31</v>
      </c>
      <c r="B3" s="347" t="s">
        <v>32</v>
      </c>
      <c r="C3" s="301"/>
      <c r="D3" s="301"/>
      <c r="E3" s="350"/>
      <c r="F3" s="350"/>
      <c r="G3" s="350"/>
      <c r="H3" s="350"/>
      <c r="I3" s="350"/>
      <c r="J3" s="350"/>
      <c r="K3" s="351"/>
    </row>
    <row r="4" spans="1:11" ht="30" customHeight="1" x14ac:dyDescent="0.25">
      <c r="C4" s="428" t="s">
        <v>1381</v>
      </c>
      <c r="D4" s="421" t="s">
        <v>1382</v>
      </c>
    </row>
    <row r="5" spans="1:11" ht="30" customHeight="1" x14ac:dyDescent="0.25">
      <c r="C5" s="428" t="s">
        <v>1383</v>
      </c>
      <c r="D5" s="421" t="s">
        <v>1382</v>
      </c>
    </row>
    <row r="6" spans="1:11" ht="30" customHeight="1" x14ac:dyDescent="0.25">
      <c r="C6" s="428" t="s">
        <v>1384</v>
      </c>
      <c r="D6" s="421" t="s">
        <v>1382</v>
      </c>
    </row>
    <row r="7" spans="1:11" ht="30" customHeight="1" x14ac:dyDescent="0.25">
      <c r="C7" s="428" t="s">
        <v>1385</v>
      </c>
      <c r="D7" s="421" t="s">
        <v>1382</v>
      </c>
    </row>
    <row r="8" spans="1:11" ht="30" customHeight="1" x14ac:dyDescent="0.25">
      <c r="C8" s="428" t="s">
        <v>1386</v>
      </c>
      <c r="D8" s="429" t="s">
        <v>9</v>
      </c>
    </row>
    <row r="9" spans="1:11" ht="30" customHeight="1" x14ac:dyDescent="0.25">
      <c r="C9" s="428" t="s">
        <v>1387</v>
      </c>
      <c r="D9" s="429" t="s">
        <v>9</v>
      </c>
    </row>
    <row r="10" spans="1:11" ht="30" customHeight="1" x14ac:dyDescent="0.25">
      <c r="C10" s="428" t="s">
        <v>1388</v>
      </c>
      <c r="D10" s="421" t="s">
        <v>1382</v>
      </c>
    </row>
    <row r="11" spans="1:11" ht="30" customHeight="1" x14ac:dyDescent="0.25">
      <c r="C11" s="428" t="s">
        <v>1389</v>
      </c>
      <c r="D11" s="429" t="s">
        <v>9</v>
      </c>
    </row>
    <row r="12" spans="1:11" ht="30" customHeight="1" x14ac:dyDescent="0.25">
      <c r="C12" s="428" t="s">
        <v>1390</v>
      </c>
      <c r="D12" s="429" t="s">
        <v>9</v>
      </c>
    </row>
    <row r="13" spans="1:11" ht="30" customHeight="1" x14ac:dyDescent="0.25">
      <c r="A13" s="347" t="s">
        <v>35</v>
      </c>
      <c r="B13" s="347" t="s">
        <v>36</v>
      </c>
      <c r="C13" s="303"/>
      <c r="D13" s="303"/>
      <c r="E13" s="350"/>
      <c r="F13" s="350"/>
      <c r="G13" s="350"/>
      <c r="H13" s="350"/>
      <c r="I13" s="350"/>
      <c r="J13" s="350"/>
      <c r="K13" s="351"/>
    </row>
    <row r="14" spans="1:11" ht="60" customHeight="1" x14ac:dyDescent="0.25">
      <c r="C14" s="431" t="s">
        <v>1391</v>
      </c>
      <c r="D14" s="421" t="s">
        <v>1392</v>
      </c>
    </row>
    <row r="15" spans="1:11" ht="30" customHeight="1" x14ac:dyDescent="0.25">
      <c r="C15" s="431" t="s">
        <v>1393</v>
      </c>
      <c r="D15" s="421" t="s">
        <v>1394</v>
      </c>
    </row>
    <row r="16" spans="1:11" ht="30" customHeight="1" x14ac:dyDescent="0.25">
      <c r="C16" s="431" t="s">
        <v>1395</v>
      </c>
      <c r="D16" s="432" t="s">
        <v>9</v>
      </c>
    </row>
    <row r="17" spans="1:11" ht="30" customHeight="1" x14ac:dyDescent="0.25">
      <c r="C17" s="431" t="s">
        <v>1396</v>
      </c>
      <c r="D17" s="432" t="s">
        <v>9</v>
      </c>
    </row>
    <row r="18" spans="1:11" ht="30" customHeight="1" x14ac:dyDescent="0.25">
      <c r="C18" s="431" t="s">
        <v>1397</v>
      </c>
      <c r="D18" s="432" t="s">
        <v>9</v>
      </c>
    </row>
    <row r="19" spans="1:11" ht="30" customHeight="1" x14ac:dyDescent="0.25">
      <c r="C19" s="431" t="s">
        <v>1398</v>
      </c>
      <c r="D19" s="432" t="s">
        <v>9</v>
      </c>
    </row>
    <row r="20" spans="1:11" ht="30" customHeight="1" x14ac:dyDescent="0.25">
      <c r="C20" s="431" t="s">
        <v>1399</v>
      </c>
      <c r="D20" s="432" t="s">
        <v>9</v>
      </c>
    </row>
    <row r="21" spans="1:11" ht="30" customHeight="1" x14ac:dyDescent="0.25">
      <c r="C21" s="431" t="s">
        <v>1400</v>
      </c>
      <c r="D21" s="432" t="s">
        <v>9</v>
      </c>
    </row>
    <row r="22" spans="1:11" ht="30" x14ac:dyDescent="0.25">
      <c r="A22" s="347" t="s">
        <v>37</v>
      </c>
      <c r="B22" s="347" t="s">
        <v>38</v>
      </c>
      <c r="C22" s="303"/>
      <c r="D22" s="303"/>
      <c r="E22" s="350"/>
      <c r="F22" s="350"/>
      <c r="G22" s="350"/>
      <c r="H22" s="350"/>
      <c r="I22" s="350"/>
      <c r="J22" s="350"/>
      <c r="K22" s="351"/>
    </row>
    <row r="23" spans="1:11" ht="30" customHeight="1" x14ac:dyDescent="0.25">
      <c r="C23" s="428" t="s">
        <v>1401</v>
      </c>
      <c r="D23" s="421" t="s">
        <v>1392</v>
      </c>
    </row>
    <row r="24" spans="1:11" ht="30" customHeight="1" x14ac:dyDescent="0.25">
      <c r="C24" s="431" t="s">
        <v>1402</v>
      </c>
      <c r="D24" s="421" t="s">
        <v>1392</v>
      </c>
    </row>
    <row r="25" spans="1:11" ht="30" customHeight="1" x14ac:dyDescent="0.25">
      <c r="C25" s="431" t="s">
        <v>1403</v>
      </c>
      <c r="D25" s="421" t="s">
        <v>1392</v>
      </c>
    </row>
    <row r="26" spans="1:11" x14ac:dyDescent="0.25">
      <c r="C26" s="431" t="s">
        <v>1404</v>
      </c>
      <c r="D26" s="421" t="s">
        <v>1405</v>
      </c>
    </row>
    <row r="27" spans="1:11" ht="30" customHeight="1" x14ac:dyDescent="0.25">
      <c r="C27" s="431" t="s">
        <v>1406</v>
      </c>
      <c r="D27" s="421" t="s">
        <v>1407</v>
      </c>
    </row>
    <row r="28" spans="1:11" ht="30" customHeight="1" x14ac:dyDescent="0.25">
      <c r="C28" s="431" t="s">
        <v>1408</v>
      </c>
      <c r="D28" s="421" t="s">
        <v>1407</v>
      </c>
    </row>
    <row r="29" spans="1:11" ht="30" customHeight="1" x14ac:dyDescent="0.25">
      <c r="C29" s="431" t="s">
        <v>1409</v>
      </c>
      <c r="D29" s="421" t="s">
        <v>1407</v>
      </c>
    </row>
    <row r="30" spans="1:11" ht="30" customHeight="1" x14ac:dyDescent="0.25">
      <c r="C30" s="431" t="s">
        <v>1410</v>
      </c>
      <c r="D30" s="421" t="s">
        <v>1407</v>
      </c>
    </row>
    <row r="31" spans="1:11" ht="30" x14ac:dyDescent="0.25">
      <c r="C31" s="431" t="s">
        <v>1411</v>
      </c>
      <c r="D31" s="421" t="s">
        <v>1407</v>
      </c>
    </row>
    <row r="32" spans="1:11" ht="30" customHeight="1" x14ac:dyDescent="0.25">
      <c r="C32" s="431" t="s">
        <v>1412</v>
      </c>
      <c r="D32" s="421" t="s">
        <v>1407</v>
      </c>
    </row>
    <row r="33" spans="1:11" ht="30" customHeight="1" x14ac:dyDescent="0.25">
      <c r="C33" s="431" t="s">
        <v>1413</v>
      </c>
      <c r="D33" s="421" t="s">
        <v>1407</v>
      </c>
    </row>
    <row r="34" spans="1:11" x14ac:dyDescent="0.25">
      <c r="C34" s="431" t="s">
        <v>1414</v>
      </c>
      <c r="D34" s="433" t="s">
        <v>7</v>
      </c>
    </row>
    <row r="35" spans="1:11" x14ac:dyDescent="0.25">
      <c r="C35" s="431" t="s">
        <v>1415</v>
      </c>
      <c r="D35" s="433" t="s">
        <v>7</v>
      </c>
    </row>
    <row r="36" spans="1:11" ht="30" x14ac:dyDescent="0.25">
      <c r="C36" s="431" t="s">
        <v>1416</v>
      </c>
      <c r="D36" s="433" t="s">
        <v>7</v>
      </c>
    </row>
    <row r="37" spans="1:11" x14ac:dyDescent="0.25">
      <c r="C37" s="431" t="s">
        <v>1417</v>
      </c>
      <c r="D37" s="433" t="s">
        <v>7</v>
      </c>
    </row>
    <row r="38" spans="1:11" x14ac:dyDescent="0.25">
      <c r="C38" s="431" t="s">
        <v>1418</v>
      </c>
      <c r="D38" s="433" t="s">
        <v>7</v>
      </c>
    </row>
    <row r="39" spans="1:11" x14ac:dyDescent="0.25">
      <c r="C39" s="431" t="s">
        <v>1419</v>
      </c>
      <c r="D39" s="433" t="s">
        <v>7</v>
      </c>
    </row>
    <row r="40" spans="1:11" ht="30" x14ac:dyDescent="0.25">
      <c r="C40" s="431" t="s">
        <v>1420</v>
      </c>
      <c r="D40" s="433" t="s">
        <v>7</v>
      </c>
    </row>
    <row r="41" spans="1:11" x14ac:dyDescent="0.25">
      <c r="C41" s="431" t="s">
        <v>1421</v>
      </c>
      <c r="D41" s="433" t="s">
        <v>7</v>
      </c>
    </row>
    <row r="42" spans="1:11" ht="30" x14ac:dyDescent="0.25">
      <c r="C42" s="431" t="s">
        <v>1422</v>
      </c>
      <c r="D42" s="433" t="s">
        <v>7</v>
      </c>
    </row>
    <row r="43" spans="1:11" ht="30" x14ac:dyDescent="0.25">
      <c r="C43" s="431" t="s">
        <v>1423</v>
      </c>
      <c r="D43" s="433" t="s">
        <v>7</v>
      </c>
    </row>
    <row r="44" spans="1:11" ht="30" x14ac:dyDescent="0.25">
      <c r="C44" s="431" t="s">
        <v>1424</v>
      </c>
      <c r="D44" s="433" t="s">
        <v>7</v>
      </c>
    </row>
    <row r="45" spans="1:11" ht="30" x14ac:dyDescent="0.25">
      <c r="C45" s="431" t="s">
        <v>1425</v>
      </c>
      <c r="D45" s="433" t="s">
        <v>7</v>
      </c>
    </row>
    <row r="46" spans="1:11" ht="30" x14ac:dyDescent="0.25">
      <c r="A46" s="353" t="s">
        <v>39</v>
      </c>
      <c r="B46" s="354" t="s">
        <v>40</v>
      </c>
      <c r="C46" s="302"/>
      <c r="D46" s="302"/>
      <c r="E46" s="357"/>
      <c r="F46" s="357"/>
      <c r="G46" s="357"/>
      <c r="H46" s="357"/>
      <c r="I46" s="357"/>
      <c r="J46" s="357"/>
      <c r="K46" s="358"/>
    </row>
    <row r="47" spans="1:11" ht="45" x14ac:dyDescent="0.25">
      <c r="A47" s="353" t="s">
        <v>45</v>
      </c>
      <c r="B47" s="360" t="s">
        <v>46</v>
      </c>
      <c r="C47" s="302"/>
      <c r="D47" s="302"/>
      <c r="E47" s="357"/>
      <c r="F47" s="357"/>
      <c r="G47" s="357"/>
      <c r="H47" s="357"/>
      <c r="I47" s="357"/>
      <c r="J47" s="357"/>
      <c r="K47" s="358"/>
    </row>
    <row r="48" spans="1:11" ht="30" x14ac:dyDescent="0.25">
      <c r="A48" s="353" t="s">
        <v>51</v>
      </c>
      <c r="B48" s="360" t="s">
        <v>52</v>
      </c>
      <c r="C48" s="302"/>
      <c r="D48" s="302"/>
      <c r="E48" s="357"/>
      <c r="F48" s="357"/>
      <c r="G48" s="357"/>
      <c r="H48" s="357"/>
      <c r="I48" s="357"/>
      <c r="J48" s="357"/>
      <c r="K48" s="358"/>
    </row>
    <row r="49" spans="1:11" ht="45" x14ac:dyDescent="0.25">
      <c r="A49" s="353" t="s">
        <v>57</v>
      </c>
      <c r="B49" s="360" t="s">
        <v>58</v>
      </c>
      <c r="C49" s="302"/>
      <c r="D49" s="302"/>
      <c r="E49" s="357"/>
      <c r="F49" s="357"/>
      <c r="G49" s="357"/>
      <c r="H49" s="357"/>
      <c r="I49" s="357"/>
      <c r="J49" s="357"/>
      <c r="K49" s="358"/>
    </row>
    <row r="50" spans="1:11" ht="30" x14ac:dyDescent="0.25">
      <c r="A50" s="353" t="s">
        <v>63</v>
      </c>
      <c r="B50" s="360" t="s">
        <v>64</v>
      </c>
      <c r="C50" s="302"/>
      <c r="D50" s="302"/>
      <c r="E50" s="357"/>
      <c r="F50" s="357"/>
      <c r="G50" s="357"/>
      <c r="H50" s="357"/>
      <c r="I50" s="357"/>
      <c r="J50" s="357"/>
      <c r="K50" s="358"/>
    </row>
    <row r="51" spans="1:11" x14ac:dyDescent="0.25">
      <c r="A51" s="353" t="s">
        <v>69</v>
      </c>
      <c r="B51" s="360" t="s">
        <v>70</v>
      </c>
      <c r="C51" s="302"/>
      <c r="D51" s="302"/>
      <c r="E51" s="357"/>
      <c r="F51" s="357"/>
      <c r="G51" s="357"/>
      <c r="H51" s="357"/>
      <c r="I51" s="357"/>
      <c r="J51" s="357"/>
      <c r="K51" s="358"/>
    </row>
    <row r="52" spans="1:11" x14ac:dyDescent="0.25">
      <c r="A52" s="353" t="s">
        <v>75</v>
      </c>
      <c r="B52" s="360" t="s">
        <v>76</v>
      </c>
      <c r="C52" s="302"/>
      <c r="D52" s="302"/>
      <c r="E52" s="357"/>
      <c r="F52" s="357"/>
      <c r="G52" s="357"/>
      <c r="H52" s="357"/>
      <c r="I52" s="357"/>
      <c r="J52" s="357"/>
      <c r="K52" s="358"/>
    </row>
    <row r="53" spans="1:11" x14ac:dyDescent="0.25">
      <c r="A53" s="353" t="s">
        <v>81</v>
      </c>
      <c r="B53" s="360" t="s">
        <v>82</v>
      </c>
      <c r="C53" s="302"/>
      <c r="D53" s="302"/>
      <c r="E53" s="357"/>
      <c r="F53" s="357"/>
      <c r="G53" s="357"/>
      <c r="H53" s="357"/>
      <c r="I53" s="357"/>
      <c r="J53" s="357"/>
      <c r="K53" s="358"/>
    </row>
    <row r="54" spans="1:11" ht="60" x14ac:dyDescent="0.25">
      <c r="A54" s="353" t="s">
        <v>87</v>
      </c>
      <c r="B54" s="360" t="s">
        <v>88</v>
      </c>
      <c r="C54" s="304"/>
      <c r="D54" s="304"/>
      <c r="E54" s="357"/>
      <c r="F54" s="357"/>
      <c r="G54" s="357"/>
      <c r="H54" s="357"/>
      <c r="I54" s="357"/>
      <c r="J54" s="357"/>
      <c r="K54" s="358"/>
    </row>
    <row r="55" spans="1:11" ht="30" x14ac:dyDescent="0.25">
      <c r="A55" s="353" t="s">
        <v>93</v>
      </c>
      <c r="B55" s="360" t="s">
        <v>94</v>
      </c>
      <c r="C55" s="304"/>
      <c r="D55" s="304"/>
      <c r="E55" s="357"/>
      <c r="F55" s="357"/>
      <c r="G55" s="357"/>
      <c r="H55" s="357"/>
      <c r="I55" s="357"/>
      <c r="J55" s="357"/>
      <c r="K55" s="358"/>
    </row>
    <row r="56" spans="1:11" ht="30" x14ac:dyDescent="0.25">
      <c r="A56" s="353" t="s">
        <v>99</v>
      </c>
      <c r="B56" s="360" t="s">
        <v>100</v>
      </c>
      <c r="C56" s="304"/>
      <c r="D56" s="304"/>
      <c r="E56" s="357"/>
      <c r="F56" s="357"/>
      <c r="G56" s="357"/>
      <c r="H56" s="357"/>
      <c r="I56" s="357"/>
      <c r="J56" s="357"/>
      <c r="K56" s="358"/>
    </row>
    <row r="57" spans="1:11" x14ac:dyDescent="0.25">
      <c r="A57" s="353" t="s">
        <v>105</v>
      </c>
      <c r="B57" s="360" t="s">
        <v>106</v>
      </c>
      <c r="C57" s="304"/>
      <c r="D57" s="304"/>
      <c r="E57" s="357"/>
      <c r="F57" s="357"/>
      <c r="G57" s="357"/>
      <c r="H57" s="357"/>
      <c r="I57" s="357"/>
      <c r="J57" s="357"/>
      <c r="K57" s="358"/>
    </row>
    <row r="58" spans="1:11" ht="30" x14ac:dyDescent="0.25">
      <c r="A58" s="353" t="s">
        <v>111</v>
      </c>
      <c r="B58" s="360" t="s">
        <v>112</v>
      </c>
      <c r="C58" s="304"/>
      <c r="D58" s="304"/>
      <c r="E58" s="357"/>
      <c r="F58" s="357"/>
      <c r="G58" s="357"/>
      <c r="H58" s="357"/>
      <c r="I58" s="357"/>
      <c r="J58" s="357"/>
      <c r="K58" s="358"/>
    </row>
    <row r="59" spans="1:11" ht="30" x14ac:dyDescent="0.25">
      <c r="A59" s="353" t="s">
        <v>117</v>
      </c>
      <c r="B59" s="360" t="s">
        <v>118</v>
      </c>
      <c r="C59" s="304"/>
      <c r="D59" s="304"/>
      <c r="E59" s="357"/>
      <c r="F59" s="357"/>
      <c r="G59" s="357"/>
      <c r="H59" s="357"/>
      <c r="I59" s="357"/>
      <c r="J59" s="357"/>
      <c r="K59" s="358"/>
    </row>
    <row r="60" spans="1:11" ht="30" x14ac:dyDescent="0.25">
      <c r="A60" s="353" t="s">
        <v>120</v>
      </c>
      <c r="B60" s="360" t="s">
        <v>121</v>
      </c>
      <c r="C60" s="304"/>
      <c r="D60" s="304"/>
      <c r="E60" s="357"/>
      <c r="F60" s="357"/>
      <c r="G60" s="357"/>
      <c r="H60" s="357"/>
      <c r="I60" s="357"/>
      <c r="J60" s="357"/>
      <c r="K60" s="358"/>
    </row>
    <row r="61" spans="1:11" ht="30" x14ac:dyDescent="0.25">
      <c r="A61" s="353" t="s">
        <v>123</v>
      </c>
      <c r="B61" s="360" t="s">
        <v>124</v>
      </c>
      <c r="C61" s="304"/>
      <c r="D61" s="304"/>
      <c r="E61" s="357"/>
      <c r="F61" s="357"/>
      <c r="G61" s="357"/>
      <c r="H61" s="357"/>
      <c r="I61" s="357"/>
      <c r="J61" s="357"/>
      <c r="K61" s="358"/>
    </row>
    <row r="62" spans="1:11" x14ac:dyDescent="0.25">
      <c r="A62" s="353" t="s">
        <v>128</v>
      </c>
      <c r="B62" s="364" t="s">
        <v>129</v>
      </c>
      <c r="C62" s="304"/>
      <c r="D62" s="304"/>
      <c r="E62" s="357"/>
      <c r="F62" s="357"/>
      <c r="G62" s="357"/>
      <c r="H62" s="357"/>
      <c r="I62" s="357"/>
      <c r="J62" s="357"/>
      <c r="K62" s="358"/>
    </row>
    <row r="63" spans="1:11" ht="30" x14ac:dyDescent="0.25">
      <c r="A63" s="353" t="s">
        <v>134</v>
      </c>
      <c r="B63" s="364" t="s">
        <v>135</v>
      </c>
      <c r="C63" s="304"/>
      <c r="D63" s="304"/>
      <c r="E63" s="357"/>
      <c r="F63" s="357"/>
      <c r="G63" s="357"/>
      <c r="H63" s="357"/>
      <c r="I63" s="357"/>
      <c r="J63" s="357"/>
      <c r="K63" s="358"/>
    </row>
    <row r="64" spans="1:11" ht="30" x14ac:dyDescent="0.25">
      <c r="A64" s="353" t="s">
        <v>140</v>
      </c>
      <c r="B64" s="364" t="s">
        <v>141</v>
      </c>
      <c r="C64" s="304"/>
      <c r="D64" s="304"/>
      <c r="E64" s="357"/>
      <c r="F64" s="357"/>
      <c r="G64" s="357"/>
      <c r="H64" s="357"/>
      <c r="I64" s="357"/>
      <c r="J64" s="357"/>
      <c r="K64" s="358"/>
    </row>
    <row r="65" spans="1:11" x14ac:dyDescent="0.25">
      <c r="A65" s="353" t="s">
        <v>146</v>
      </c>
      <c r="B65" s="364" t="s">
        <v>147</v>
      </c>
      <c r="C65" s="304"/>
      <c r="D65" s="304"/>
      <c r="E65" s="357"/>
      <c r="F65" s="357"/>
      <c r="G65" s="357"/>
      <c r="H65" s="357"/>
      <c r="I65" s="357"/>
      <c r="J65" s="357"/>
      <c r="K65" s="358"/>
    </row>
    <row r="66" spans="1:11" x14ac:dyDescent="0.25">
      <c r="A66" s="353" t="s">
        <v>152</v>
      </c>
      <c r="B66" s="360"/>
      <c r="C66" s="304"/>
      <c r="D66" s="304"/>
      <c r="E66" s="357"/>
      <c r="F66" s="357"/>
      <c r="G66" s="357"/>
      <c r="H66" s="357"/>
      <c r="I66" s="357"/>
      <c r="J66" s="357"/>
      <c r="K66" s="358"/>
    </row>
    <row r="67" spans="1:11" x14ac:dyDescent="0.25">
      <c r="A67" s="353" t="s">
        <v>158</v>
      </c>
      <c r="B67" s="360"/>
      <c r="C67" s="304"/>
      <c r="D67" s="304"/>
      <c r="E67" s="357"/>
      <c r="F67" s="357"/>
      <c r="G67" s="357"/>
      <c r="H67" s="357"/>
      <c r="I67" s="357"/>
      <c r="J67" s="357"/>
      <c r="K67" s="358"/>
    </row>
    <row r="68" spans="1:11" x14ac:dyDescent="0.25">
      <c r="A68" s="353" t="s">
        <v>163</v>
      </c>
      <c r="B68" s="360"/>
      <c r="C68" s="304"/>
      <c r="D68" s="304"/>
      <c r="E68" s="357"/>
      <c r="F68" s="357"/>
      <c r="G68" s="357"/>
      <c r="H68" s="357"/>
      <c r="I68" s="357"/>
      <c r="J68" s="357"/>
      <c r="K68" s="358"/>
    </row>
    <row r="69" spans="1:11" x14ac:dyDescent="0.25">
      <c r="A69" s="353" t="s">
        <v>168</v>
      </c>
      <c r="B69" s="360"/>
      <c r="C69" s="304"/>
      <c r="D69" s="304"/>
      <c r="E69" s="357"/>
      <c r="F69" s="357"/>
      <c r="G69" s="357"/>
      <c r="H69" s="357"/>
      <c r="I69" s="357"/>
      <c r="J69" s="357"/>
      <c r="K69" s="358"/>
    </row>
    <row r="70" spans="1:11" x14ac:dyDescent="0.25">
      <c r="A70" s="353" t="s">
        <v>173</v>
      </c>
      <c r="B70" s="360"/>
      <c r="C70" s="304"/>
      <c r="D70" s="304"/>
      <c r="E70" s="357"/>
      <c r="F70" s="357"/>
      <c r="G70" s="357"/>
      <c r="H70" s="357"/>
      <c r="I70" s="357"/>
      <c r="J70" s="357"/>
      <c r="K70" s="358"/>
    </row>
    <row r="71" spans="1:11" x14ac:dyDescent="0.25">
      <c r="A71" s="353" t="s">
        <v>178</v>
      </c>
      <c r="B71" s="360"/>
      <c r="C71" s="304"/>
      <c r="D71" s="304"/>
      <c r="E71" s="357"/>
      <c r="F71" s="357"/>
      <c r="G71" s="357"/>
      <c r="H71" s="357"/>
      <c r="I71" s="357"/>
      <c r="J71" s="357"/>
      <c r="K71" s="358"/>
    </row>
    <row r="72" spans="1:11" x14ac:dyDescent="0.25">
      <c r="A72" s="353" t="s">
        <v>183</v>
      </c>
      <c r="B72" s="360"/>
      <c r="C72" s="304"/>
      <c r="D72" s="304"/>
      <c r="E72" s="357"/>
      <c r="F72" s="357"/>
      <c r="G72" s="357"/>
      <c r="H72" s="357"/>
      <c r="I72" s="357"/>
      <c r="J72" s="357"/>
      <c r="K72" s="358"/>
    </row>
    <row r="73" spans="1:11" x14ac:dyDescent="0.25">
      <c r="A73" s="353" t="s">
        <v>188</v>
      </c>
      <c r="B73" s="360"/>
      <c r="C73" s="304"/>
      <c r="D73" s="304"/>
      <c r="E73" s="357"/>
      <c r="F73" s="357"/>
      <c r="G73" s="357"/>
      <c r="H73" s="357"/>
      <c r="I73" s="357"/>
      <c r="J73" s="357"/>
      <c r="K73" s="358"/>
    </row>
    <row r="74" spans="1:11" x14ac:dyDescent="0.25">
      <c r="A74" s="181" t="s">
        <v>193</v>
      </c>
      <c r="B74" s="367"/>
      <c r="C74" s="304"/>
      <c r="D74" s="304"/>
      <c r="E74" s="163"/>
      <c r="F74" s="163"/>
      <c r="G74" s="163"/>
      <c r="H74" s="163"/>
      <c r="I74" s="163"/>
      <c r="J74" s="163"/>
      <c r="K74" s="164"/>
    </row>
    <row r="75" spans="1:11" x14ac:dyDescent="0.25">
      <c r="A75" s="181" t="s">
        <v>197</v>
      </c>
      <c r="B75" s="367"/>
      <c r="C75" s="304"/>
      <c r="D75" s="304"/>
      <c r="E75" s="163"/>
      <c r="F75" s="163"/>
      <c r="G75" s="163"/>
      <c r="H75" s="163"/>
      <c r="I75" s="163"/>
      <c r="J75" s="163"/>
      <c r="K75" s="164"/>
    </row>
    <row r="76" spans="1:11" x14ac:dyDescent="0.25">
      <c r="A76" s="181" t="s">
        <v>200</v>
      </c>
      <c r="B76" s="367"/>
      <c r="C76" s="304"/>
      <c r="D76" s="304"/>
      <c r="E76" s="163"/>
      <c r="F76" s="163"/>
      <c r="G76" s="163"/>
      <c r="H76" s="163"/>
      <c r="I76" s="163"/>
      <c r="J76" s="163"/>
      <c r="K76" s="164"/>
    </row>
    <row r="77" spans="1:11" x14ac:dyDescent="0.25">
      <c r="A77" s="181" t="s">
        <v>203</v>
      </c>
      <c r="B77" s="367"/>
      <c r="C77" s="304"/>
      <c r="D77" s="304"/>
      <c r="E77" s="163"/>
      <c r="F77" s="163"/>
      <c r="G77" s="163"/>
      <c r="H77" s="163"/>
      <c r="I77" s="163"/>
      <c r="J77" s="163"/>
      <c r="K77" s="164"/>
    </row>
    <row r="78" spans="1:11" x14ac:dyDescent="0.25">
      <c r="A78" s="181" t="s">
        <v>206</v>
      </c>
      <c r="B78" s="367"/>
      <c r="C78" s="304"/>
      <c r="D78" s="304"/>
      <c r="E78" s="163"/>
      <c r="F78" s="163"/>
      <c r="G78" s="163"/>
      <c r="H78" s="163"/>
      <c r="I78" s="163"/>
      <c r="J78" s="163"/>
      <c r="K78" s="164"/>
    </row>
    <row r="79" spans="1:11" x14ac:dyDescent="0.25">
      <c r="A79" s="181" t="s">
        <v>209</v>
      </c>
      <c r="B79" s="367"/>
      <c r="C79" s="304"/>
      <c r="D79" s="304"/>
      <c r="E79" s="163"/>
      <c r="F79" s="163"/>
      <c r="G79" s="163"/>
      <c r="H79" s="163"/>
      <c r="I79" s="163"/>
      <c r="J79" s="163"/>
      <c r="K79" s="164"/>
    </row>
    <row r="80" spans="1:11" x14ac:dyDescent="0.25">
      <c r="A80" s="181" t="s">
        <v>212</v>
      </c>
      <c r="B80" s="367"/>
      <c r="C80" s="304"/>
      <c r="D80" s="304"/>
      <c r="E80" s="163"/>
      <c r="F80" s="163"/>
      <c r="G80" s="163"/>
      <c r="H80" s="163"/>
      <c r="I80" s="163"/>
      <c r="J80" s="163"/>
      <c r="K80" s="164"/>
    </row>
    <row r="81" spans="1:11" x14ac:dyDescent="0.25">
      <c r="A81" s="181" t="s">
        <v>217</v>
      </c>
      <c r="B81" s="367"/>
      <c r="C81" s="304"/>
      <c r="D81" s="304"/>
      <c r="E81" s="163"/>
      <c r="F81" s="163"/>
      <c r="G81" s="163"/>
      <c r="H81" s="163"/>
      <c r="I81" s="163"/>
      <c r="J81" s="163"/>
      <c r="K81" s="164"/>
    </row>
    <row r="82" spans="1:11" x14ac:dyDescent="0.25">
      <c r="A82" s="181" t="s">
        <v>221</v>
      </c>
      <c r="B82" s="367"/>
      <c r="C82" s="304"/>
      <c r="D82" s="304"/>
      <c r="E82" s="163"/>
      <c r="F82" s="163"/>
      <c r="G82" s="163"/>
      <c r="H82" s="163"/>
      <c r="I82" s="163"/>
      <c r="J82" s="163"/>
      <c r="K82" s="164"/>
    </row>
    <row r="83" spans="1:11" x14ac:dyDescent="0.25">
      <c r="A83" s="181" t="s">
        <v>225</v>
      </c>
      <c r="B83" s="367"/>
      <c r="C83" s="304"/>
      <c r="D83" s="304"/>
      <c r="E83" s="163"/>
      <c r="F83" s="163"/>
      <c r="G83" s="163"/>
      <c r="H83" s="163"/>
      <c r="I83" s="163"/>
      <c r="J83" s="163"/>
      <c r="K83" s="164"/>
    </row>
    <row r="84" spans="1:11" x14ac:dyDescent="0.25">
      <c r="A84" s="181" t="s">
        <v>229</v>
      </c>
      <c r="B84" s="367"/>
      <c r="C84" s="304"/>
      <c r="D84" s="304"/>
      <c r="E84" s="163"/>
      <c r="F84" s="163"/>
      <c r="G84" s="163"/>
      <c r="H84" s="163"/>
      <c r="I84" s="163"/>
      <c r="J84" s="163"/>
      <c r="K84" s="164"/>
    </row>
    <row r="85" spans="1:11" x14ac:dyDescent="0.25">
      <c r="A85" s="181" t="s">
        <v>233</v>
      </c>
      <c r="B85" s="367"/>
      <c r="C85" s="304"/>
      <c r="D85" s="304"/>
      <c r="E85" s="163"/>
      <c r="F85" s="163"/>
      <c r="G85" s="163"/>
      <c r="H85" s="163"/>
      <c r="I85" s="163"/>
      <c r="J85" s="163"/>
      <c r="K85" s="164"/>
    </row>
    <row r="86" spans="1:11" x14ac:dyDescent="0.25">
      <c r="A86" s="181" t="s">
        <v>237</v>
      </c>
      <c r="B86" s="367"/>
      <c r="C86" s="304"/>
      <c r="D86" s="304"/>
      <c r="E86" s="163"/>
      <c r="F86" s="163"/>
      <c r="G86" s="163"/>
      <c r="H86" s="163"/>
      <c r="I86" s="163"/>
      <c r="J86" s="163"/>
      <c r="K86" s="164"/>
    </row>
    <row r="87" spans="1:11" x14ac:dyDescent="0.25">
      <c r="A87" s="181" t="s">
        <v>241</v>
      </c>
      <c r="B87" s="367"/>
      <c r="C87" s="304"/>
      <c r="D87" s="304"/>
      <c r="E87" s="163"/>
      <c r="F87" s="163"/>
      <c r="G87" s="163"/>
      <c r="H87" s="163"/>
      <c r="I87" s="163"/>
      <c r="J87" s="163"/>
      <c r="K87" s="164"/>
    </row>
    <row r="88" spans="1:11" x14ac:dyDescent="0.25">
      <c r="A88" s="181" t="s">
        <v>245</v>
      </c>
      <c r="B88" s="367"/>
      <c r="C88" s="304"/>
      <c r="D88" s="304"/>
      <c r="E88" s="163"/>
      <c r="F88" s="163"/>
      <c r="G88" s="163"/>
      <c r="H88" s="163"/>
      <c r="I88" s="163"/>
      <c r="J88" s="163"/>
      <c r="K88" s="164"/>
    </row>
    <row r="89" spans="1:11" x14ac:dyDescent="0.25">
      <c r="A89" s="181" t="s">
        <v>251</v>
      </c>
      <c r="B89" s="367"/>
      <c r="C89" s="304"/>
      <c r="D89" s="304"/>
      <c r="E89" s="163"/>
      <c r="F89" s="163"/>
      <c r="G89" s="163"/>
      <c r="H89" s="163"/>
      <c r="I89" s="163"/>
      <c r="J89" s="163"/>
      <c r="K89" s="164"/>
    </row>
    <row r="90" spans="1:11" x14ac:dyDescent="0.25">
      <c r="A90" s="181" t="s">
        <v>256</v>
      </c>
      <c r="B90" s="367"/>
      <c r="C90" s="304"/>
      <c r="D90" s="304"/>
      <c r="E90" s="163"/>
      <c r="F90" s="163"/>
      <c r="G90" s="163"/>
      <c r="H90" s="163"/>
      <c r="I90" s="163"/>
      <c r="J90" s="163"/>
      <c r="K90" s="164"/>
    </row>
    <row r="91" spans="1:11" x14ac:dyDescent="0.25">
      <c r="A91" s="181" t="s">
        <v>261</v>
      </c>
      <c r="B91" s="367"/>
      <c r="C91" s="304"/>
      <c r="D91" s="304"/>
      <c r="E91" s="163"/>
      <c r="F91" s="163"/>
      <c r="G91" s="163"/>
      <c r="H91" s="163"/>
      <c r="I91" s="163"/>
      <c r="J91" s="163"/>
      <c r="K91" s="164"/>
    </row>
    <row r="92" spans="1:11" x14ac:dyDescent="0.25">
      <c r="A92" s="181" t="s">
        <v>266</v>
      </c>
      <c r="B92" s="367"/>
      <c r="C92" s="304"/>
      <c r="D92" s="304"/>
      <c r="E92" s="163"/>
      <c r="F92" s="163"/>
      <c r="G92" s="163"/>
      <c r="H92" s="163"/>
      <c r="I92" s="163"/>
      <c r="J92" s="163"/>
      <c r="K92" s="164"/>
    </row>
    <row r="93" spans="1:11" x14ac:dyDescent="0.25">
      <c r="A93" s="181" t="s">
        <v>271</v>
      </c>
      <c r="B93" s="367"/>
      <c r="C93" s="304"/>
      <c r="D93" s="304"/>
      <c r="E93" s="163"/>
      <c r="F93" s="163"/>
      <c r="G93" s="163"/>
      <c r="H93" s="163"/>
      <c r="I93" s="163"/>
      <c r="J93" s="163"/>
      <c r="K93" s="164"/>
    </row>
    <row r="94" spans="1:11" x14ac:dyDescent="0.25">
      <c r="A94" s="181" t="s">
        <v>289</v>
      </c>
      <c r="B94" s="367"/>
      <c r="C94" s="304"/>
      <c r="D94" s="304"/>
      <c r="E94" s="163"/>
      <c r="F94" s="163"/>
      <c r="G94" s="163"/>
      <c r="H94" s="163"/>
      <c r="I94" s="163"/>
      <c r="J94" s="163"/>
      <c r="K94" s="164"/>
    </row>
    <row r="95" spans="1:11" x14ac:dyDescent="0.25">
      <c r="A95" s="181" t="s">
        <v>294</v>
      </c>
      <c r="B95" s="367"/>
      <c r="C95" s="304"/>
      <c r="D95" s="304"/>
      <c r="E95" s="163"/>
      <c r="F95" s="163"/>
      <c r="G95" s="163"/>
      <c r="H95" s="163"/>
      <c r="I95" s="163"/>
      <c r="J95" s="163"/>
      <c r="K95" s="164"/>
    </row>
    <row r="96" spans="1:11" x14ac:dyDescent="0.25">
      <c r="A96" s="181" t="s">
        <v>299</v>
      </c>
      <c r="B96" s="367"/>
      <c r="C96" s="304"/>
      <c r="D96" s="304"/>
      <c r="E96" s="163"/>
      <c r="F96" s="163"/>
      <c r="G96" s="163"/>
      <c r="H96" s="163"/>
      <c r="I96" s="163"/>
      <c r="J96" s="163"/>
      <c r="K96" s="164"/>
    </row>
    <row r="97" spans="1:11" x14ac:dyDescent="0.25">
      <c r="A97" s="181" t="s">
        <v>304</v>
      </c>
      <c r="B97" s="367"/>
      <c r="C97" s="304"/>
      <c r="D97" s="304"/>
      <c r="E97" s="163"/>
      <c r="F97" s="163"/>
      <c r="G97" s="163"/>
      <c r="H97" s="163"/>
      <c r="I97" s="163"/>
      <c r="J97" s="163"/>
      <c r="K97" s="164"/>
    </row>
    <row r="98" spans="1:11" x14ac:dyDescent="0.25">
      <c r="A98" s="181" t="s">
        <v>309</v>
      </c>
      <c r="B98" s="367"/>
      <c r="C98" s="304"/>
      <c r="D98" s="304"/>
      <c r="E98" s="163"/>
      <c r="F98" s="163"/>
      <c r="G98" s="163"/>
      <c r="H98" s="163"/>
      <c r="I98" s="163"/>
      <c r="J98" s="163"/>
      <c r="K98" s="164"/>
    </row>
    <row r="99" spans="1:11" x14ac:dyDescent="0.25">
      <c r="A99" s="181" t="s">
        <v>314</v>
      </c>
      <c r="B99" s="367"/>
      <c r="C99" s="304"/>
      <c r="D99" s="304"/>
      <c r="E99" s="163"/>
      <c r="F99" s="163"/>
      <c r="G99" s="163"/>
      <c r="H99" s="163"/>
      <c r="I99" s="163"/>
      <c r="J99" s="163"/>
      <c r="K99" s="164"/>
    </row>
    <row r="100" spans="1:11" x14ac:dyDescent="0.25">
      <c r="A100" s="181" t="s">
        <v>319</v>
      </c>
      <c r="B100" s="367"/>
      <c r="C100" s="304"/>
      <c r="D100" s="304"/>
      <c r="E100" s="163"/>
      <c r="F100" s="163"/>
      <c r="G100" s="163"/>
      <c r="H100" s="163"/>
      <c r="I100" s="163"/>
      <c r="J100" s="163"/>
      <c r="K100" s="164"/>
    </row>
    <row r="101" spans="1:11" x14ac:dyDescent="0.25">
      <c r="A101" s="181" t="s">
        <v>324</v>
      </c>
      <c r="B101" s="367"/>
      <c r="C101" s="304"/>
      <c r="D101" s="304"/>
      <c r="E101" s="163"/>
      <c r="F101" s="163"/>
      <c r="G101" s="163"/>
      <c r="H101" s="163"/>
      <c r="I101" s="163"/>
      <c r="J101" s="163"/>
      <c r="K101" s="164"/>
    </row>
    <row r="102" spans="1:11" x14ac:dyDescent="0.25">
      <c r="A102" s="181" t="s">
        <v>329</v>
      </c>
      <c r="B102" s="367"/>
      <c r="C102" s="304"/>
      <c r="D102" s="304"/>
      <c r="E102" s="163"/>
      <c r="F102" s="163"/>
      <c r="G102" s="163"/>
      <c r="H102" s="163"/>
      <c r="I102" s="163"/>
      <c r="J102" s="163"/>
      <c r="K102" s="164"/>
    </row>
    <row r="103" spans="1:11" x14ac:dyDescent="0.25">
      <c r="A103" s="181" t="s">
        <v>334</v>
      </c>
      <c r="B103" s="367"/>
      <c r="C103" s="304"/>
      <c r="D103" s="304"/>
      <c r="E103" s="163"/>
      <c r="F103" s="163"/>
      <c r="G103" s="163"/>
      <c r="H103" s="163"/>
      <c r="I103" s="163"/>
      <c r="J103" s="163"/>
      <c r="K103" s="164"/>
    </row>
    <row r="104" spans="1:11" x14ac:dyDescent="0.25">
      <c r="A104" s="181" t="s">
        <v>348</v>
      </c>
      <c r="B104" s="367"/>
      <c r="C104" s="304"/>
      <c r="D104" s="304"/>
      <c r="E104" s="163"/>
      <c r="F104" s="163"/>
      <c r="G104" s="163"/>
      <c r="H104" s="163"/>
      <c r="I104" s="163"/>
      <c r="J104" s="163"/>
      <c r="K104" s="164"/>
    </row>
    <row r="105" spans="1:11" x14ac:dyDescent="0.25">
      <c r="A105" s="181" t="s">
        <v>352</v>
      </c>
      <c r="B105" s="367"/>
      <c r="C105" s="304"/>
      <c r="D105" s="304"/>
      <c r="E105" s="163"/>
      <c r="F105" s="163"/>
      <c r="G105" s="163"/>
      <c r="H105" s="163"/>
      <c r="I105" s="163"/>
      <c r="J105" s="163"/>
      <c r="K105" s="164"/>
    </row>
    <row r="106" spans="1:11" x14ac:dyDescent="0.25">
      <c r="A106" s="181" t="s">
        <v>356</v>
      </c>
      <c r="B106" s="367"/>
      <c r="C106" s="304"/>
      <c r="D106" s="304"/>
      <c r="E106" s="163"/>
      <c r="F106" s="163"/>
      <c r="G106" s="163"/>
      <c r="H106" s="163"/>
      <c r="I106" s="163"/>
      <c r="J106" s="163"/>
      <c r="K106" s="164"/>
    </row>
    <row r="107" spans="1:11" x14ac:dyDescent="0.25">
      <c r="B107" s="169"/>
      <c r="E107" s="242"/>
      <c r="F107" s="242"/>
      <c r="G107" s="237"/>
      <c r="H107" s="237"/>
      <c r="I107" s="242"/>
      <c r="J107" s="237"/>
      <c r="K107" s="238"/>
    </row>
    <row r="108" spans="1:11" x14ac:dyDescent="0.25">
      <c r="C108" s="420"/>
      <c r="D108" s="421"/>
      <c r="E108" s="422"/>
      <c r="G108" s="423"/>
      <c r="H108" s="424"/>
      <c r="I108" s="425"/>
    </row>
    <row r="109" spans="1:11" x14ac:dyDescent="0.25">
      <c r="C109" s="420"/>
      <c r="D109" s="421"/>
      <c r="E109" s="422"/>
      <c r="G109" s="423"/>
      <c r="H109" s="424"/>
      <c r="I109" s="425"/>
    </row>
    <row r="110" spans="1:11" x14ac:dyDescent="0.25">
      <c r="C110" s="420"/>
      <c r="D110" s="421"/>
      <c r="E110" s="422"/>
      <c r="G110" s="423"/>
      <c r="H110" s="424"/>
      <c r="I110" s="425"/>
    </row>
    <row r="111" spans="1:11" x14ac:dyDescent="0.25">
      <c r="C111" s="426"/>
      <c r="D111" s="421"/>
      <c r="I111" s="425"/>
    </row>
  </sheetData>
  <autoFilter ref="A1:K3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8">
    <tabColor rgb="FFFFCCFF"/>
    <outlinePr summaryBelow="0"/>
  </sheetPr>
  <dimension ref="A1:J100"/>
  <sheetViews>
    <sheetView zoomScaleNormal="100" workbookViewId="0">
      <pane xSplit="2" ySplit="2" topLeftCell="C3" activePane="bottomRight" state="frozen"/>
      <selection pane="topRight" activeCell="F1" sqref="F1"/>
      <selection pane="bottomLeft" activeCell="A3" sqref="A3"/>
      <selection pane="bottomRight" activeCell="E21" sqref="E21"/>
    </sheetView>
  </sheetViews>
  <sheetFormatPr defaultColWidth="8.7109375" defaultRowHeight="15" outlineLevelRow="3" x14ac:dyDescent="0.25"/>
  <cols>
    <col min="1" max="1" width="13.85546875" style="10" bestFit="1" customWidth="1"/>
    <col min="2" max="2" width="39.5703125" style="10" bestFit="1" customWidth="1"/>
    <col min="3" max="3" width="24.28515625" style="10" customWidth="1"/>
    <col min="4" max="4" width="18.7109375" style="10" bestFit="1" customWidth="1"/>
    <col min="5" max="10" width="16.5703125" style="10" customWidth="1"/>
    <col min="11" max="25" width="8.7109375" style="59" customWidth="1"/>
    <col min="26" max="16384" width="8.7109375" style="59"/>
  </cols>
  <sheetData>
    <row r="1" spans="1:10" s="61" customFormat="1" ht="31.5" customHeight="1" x14ac:dyDescent="0.25">
      <c r="A1" s="464" t="s">
        <v>1426</v>
      </c>
      <c r="B1" s="462" t="s">
        <v>1427</v>
      </c>
      <c r="C1" s="461" t="s">
        <v>1428</v>
      </c>
      <c r="D1" s="458" t="s">
        <v>1429</v>
      </c>
      <c r="E1" s="459"/>
      <c r="F1" s="459"/>
      <c r="G1" s="459"/>
      <c r="H1" s="459"/>
      <c r="I1" s="459"/>
      <c r="J1" s="460"/>
    </row>
    <row r="2" spans="1:10" s="61" customFormat="1" ht="31.5" customHeight="1" x14ac:dyDescent="0.25">
      <c r="A2" s="450"/>
      <c r="B2" s="463"/>
      <c r="C2" s="442"/>
      <c r="D2" s="330" t="s">
        <v>5</v>
      </c>
      <c r="E2" s="81" t="s">
        <v>6</v>
      </c>
      <c r="F2" s="81" t="s">
        <v>7</v>
      </c>
      <c r="G2" s="81" t="s">
        <v>8</v>
      </c>
      <c r="H2" s="81" t="s">
        <v>9</v>
      </c>
      <c r="I2" s="81" t="s">
        <v>10</v>
      </c>
      <c r="J2" s="82" t="s">
        <v>11</v>
      </c>
    </row>
    <row r="3" spans="1:10" x14ac:dyDescent="0.25">
      <c r="A3" s="110" t="s">
        <v>1430</v>
      </c>
      <c r="B3" s="111"/>
      <c r="C3" s="376"/>
      <c r="D3" s="110" t="s">
        <v>1431</v>
      </c>
      <c r="E3" s="112" t="s">
        <v>1431</v>
      </c>
      <c r="F3" s="112" t="s">
        <v>1431</v>
      </c>
      <c r="G3" s="112" t="s">
        <v>1431</v>
      </c>
      <c r="H3" s="112" t="s">
        <v>1431</v>
      </c>
      <c r="I3" s="112" t="s">
        <v>1431</v>
      </c>
      <c r="J3" s="111" t="s">
        <v>1431</v>
      </c>
    </row>
    <row r="4" spans="1:10" outlineLevel="1" x14ac:dyDescent="0.25">
      <c r="A4" s="113"/>
      <c r="B4" s="69" t="s">
        <v>1432</v>
      </c>
      <c r="C4" s="377"/>
      <c r="D4" s="113" t="s">
        <v>1433</v>
      </c>
      <c r="E4" s="101" t="s">
        <v>1433</v>
      </c>
      <c r="F4" s="101" t="s">
        <v>1433</v>
      </c>
      <c r="G4" s="101" t="s">
        <v>1433</v>
      </c>
      <c r="H4" s="101" t="s">
        <v>1433</v>
      </c>
      <c r="I4" s="101" t="s">
        <v>1433</v>
      </c>
      <c r="J4" s="114" t="s">
        <v>1433</v>
      </c>
    </row>
    <row r="5" spans="1:10" outlineLevel="2" x14ac:dyDescent="0.25">
      <c r="A5" s="63"/>
      <c r="B5" s="64" t="s">
        <v>1434</v>
      </c>
      <c r="C5" s="328">
        <v>10574479</v>
      </c>
      <c r="D5" s="63" t="s">
        <v>1435</v>
      </c>
      <c r="E5" s="10" t="s">
        <v>1435</v>
      </c>
      <c r="F5" s="10" t="s">
        <v>1436</v>
      </c>
      <c r="H5" s="10" t="s">
        <v>1435</v>
      </c>
      <c r="J5" s="64"/>
    </row>
    <row r="6" spans="1:10" outlineLevel="2" x14ac:dyDescent="0.25">
      <c r="A6" s="63"/>
      <c r="B6" s="64" t="s">
        <v>1437</v>
      </c>
      <c r="C6" s="328">
        <v>10542152</v>
      </c>
      <c r="D6" s="63" t="s">
        <v>1438</v>
      </c>
      <c r="E6" s="10" t="s">
        <v>1438</v>
      </c>
      <c r="F6" s="10" t="s">
        <v>1436</v>
      </c>
      <c r="H6" s="10" t="s">
        <v>1438</v>
      </c>
      <c r="J6" s="64"/>
    </row>
    <row r="7" spans="1:10" outlineLevel="2" x14ac:dyDescent="0.25">
      <c r="A7" s="63"/>
      <c r="B7" s="64" t="s">
        <v>1439</v>
      </c>
      <c r="C7" s="328"/>
      <c r="D7" s="63"/>
      <c r="J7" s="64"/>
    </row>
    <row r="8" spans="1:10" outlineLevel="1" x14ac:dyDescent="0.25">
      <c r="A8" s="113"/>
      <c r="B8" s="69" t="s">
        <v>1440</v>
      </c>
      <c r="C8" s="377"/>
      <c r="D8" s="113" t="s">
        <v>1433</v>
      </c>
      <c r="E8" s="101" t="s">
        <v>1433</v>
      </c>
      <c r="F8" s="101" t="s">
        <v>1433</v>
      </c>
      <c r="G8" s="101" t="s">
        <v>1433</v>
      </c>
      <c r="H8" s="101" t="s">
        <v>1433</v>
      </c>
      <c r="I8" s="101" t="s">
        <v>1433</v>
      </c>
      <c r="J8" s="114" t="s">
        <v>1433</v>
      </c>
    </row>
    <row r="9" spans="1:10" outlineLevel="2" x14ac:dyDescent="0.25">
      <c r="A9" s="63"/>
      <c r="B9" s="73" t="s">
        <v>1441</v>
      </c>
      <c r="C9" s="378" t="s">
        <v>1442</v>
      </c>
      <c r="D9" s="63" t="s">
        <v>1443</v>
      </c>
      <c r="J9" s="64"/>
    </row>
    <row r="10" spans="1:10" s="118" customFormat="1" outlineLevel="2" x14ac:dyDescent="0.25">
      <c r="A10" s="77"/>
      <c r="B10" s="74" t="s">
        <v>1441</v>
      </c>
      <c r="C10" s="379" t="s">
        <v>1444</v>
      </c>
      <c r="D10" s="75"/>
      <c r="E10" s="76" t="s">
        <v>1443</v>
      </c>
      <c r="F10" s="78"/>
      <c r="G10" s="78"/>
      <c r="H10" s="78"/>
      <c r="I10" s="78"/>
      <c r="J10" s="73"/>
    </row>
    <row r="11" spans="1:10" outlineLevel="2" x14ac:dyDescent="0.25">
      <c r="A11" s="63"/>
      <c r="B11" s="115" t="s">
        <v>1441</v>
      </c>
      <c r="C11" s="380" t="s">
        <v>1445</v>
      </c>
      <c r="D11" s="119"/>
      <c r="E11" s="116"/>
      <c r="F11" s="116"/>
      <c r="G11" s="116"/>
      <c r="H11" s="116" t="s">
        <v>1443</v>
      </c>
      <c r="J11" s="64"/>
    </row>
    <row r="12" spans="1:10" x14ac:dyDescent="0.25">
      <c r="A12" s="110" t="s">
        <v>1446</v>
      </c>
      <c r="B12" s="117"/>
      <c r="C12" s="376"/>
      <c r="D12" s="110" t="s">
        <v>1431</v>
      </c>
      <c r="E12" s="112" t="s">
        <v>1431</v>
      </c>
      <c r="F12" s="112" t="s">
        <v>1431</v>
      </c>
      <c r="G12" s="112" t="s">
        <v>1431</v>
      </c>
      <c r="H12" s="112" t="s">
        <v>1431</v>
      </c>
      <c r="I12" s="112" t="s">
        <v>1431</v>
      </c>
      <c r="J12" s="111" t="s">
        <v>1431</v>
      </c>
    </row>
    <row r="13" spans="1:10" outlineLevel="1" x14ac:dyDescent="0.25">
      <c r="A13" s="113"/>
      <c r="B13" s="69" t="s">
        <v>1440</v>
      </c>
      <c r="C13" s="377"/>
      <c r="D13" s="113" t="s">
        <v>1433</v>
      </c>
      <c r="E13" s="101" t="s">
        <v>1433</v>
      </c>
      <c r="F13" s="101" t="s">
        <v>1433</v>
      </c>
      <c r="G13" s="101" t="s">
        <v>1433</v>
      </c>
      <c r="H13" s="101" t="s">
        <v>1433</v>
      </c>
      <c r="I13" s="101" t="s">
        <v>1433</v>
      </c>
      <c r="J13" s="114" t="s">
        <v>1433</v>
      </c>
    </row>
    <row r="14" spans="1:10" outlineLevel="2" x14ac:dyDescent="0.25">
      <c r="A14" s="63"/>
      <c r="B14" s="73" t="s">
        <v>1447</v>
      </c>
      <c r="C14" s="381" t="s">
        <v>1448</v>
      </c>
      <c r="D14" s="63" t="s">
        <v>1449</v>
      </c>
      <c r="E14" s="10" t="s">
        <v>1449</v>
      </c>
      <c r="J14" s="64"/>
    </row>
    <row r="15" spans="1:10" outlineLevel="2" x14ac:dyDescent="0.25">
      <c r="A15" s="63"/>
      <c r="B15" s="73" t="s">
        <v>1450</v>
      </c>
      <c r="C15" s="381" t="s">
        <v>1451</v>
      </c>
      <c r="D15" s="63" t="s">
        <v>1452</v>
      </c>
      <c r="E15" s="10" t="s">
        <v>1452</v>
      </c>
      <c r="J15" s="64"/>
    </row>
    <row r="16" spans="1:10" outlineLevel="2" x14ac:dyDescent="0.25">
      <c r="A16" s="63"/>
      <c r="B16" s="73" t="s">
        <v>1453</v>
      </c>
      <c r="C16" s="381" t="s">
        <v>1454</v>
      </c>
      <c r="D16" s="63" t="s">
        <v>1449</v>
      </c>
      <c r="E16" s="10" t="s">
        <v>1449</v>
      </c>
      <c r="J16" s="64"/>
    </row>
    <row r="17" spans="1:10" outlineLevel="2" x14ac:dyDescent="0.25">
      <c r="A17" s="63"/>
      <c r="B17" s="73" t="s">
        <v>1455</v>
      </c>
      <c r="C17" s="381" t="s">
        <v>1456</v>
      </c>
      <c r="D17" s="63" t="s">
        <v>1449</v>
      </c>
      <c r="J17" s="64"/>
    </row>
    <row r="18" spans="1:10" outlineLevel="2" x14ac:dyDescent="0.25">
      <c r="A18" s="63"/>
      <c r="B18" s="74" t="s">
        <v>1457</v>
      </c>
      <c r="C18" s="379" t="s">
        <v>1458</v>
      </c>
      <c r="D18" s="63"/>
      <c r="E18" s="76" t="s">
        <v>1449</v>
      </c>
      <c r="J18" s="64"/>
    </row>
    <row r="19" spans="1:10" outlineLevel="2" x14ac:dyDescent="0.25">
      <c r="A19" s="63"/>
      <c r="B19" s="73" t="s">
        <v>1459</v>
      </c>
      <c r="C19" s="381" t="s">
        <v>1460</v>
      </c>
      <c r="D19" s="63" t="s">
        <v>1449</v>
      </c>
      <c r="J19" s="64"/>
    </row>
    <row r="20" spans="1:10" outlineLevel="2" x14ac:dyDescent="0.25">
      <c r="A20" s="63"/>
      <c r="B20" s="74" t="s">
        <v>1461</v>
      </c>
      <c r="C20" s="379" t="s">
        <v>1462</v>
      </c>
      <c r="D20" s="63"/>
      <c r="E20" s="76" t="s">
        <v>1449</v>
      </c>
      <c r="J20" s="64"/>
    </row>
    <row r="21" spans="1:10" outlineLevel="2" x14ac:dyDescent="0.25">
      <c r="A21" s="63"/>
      <c r="B21" s="73" t="s">
        <v>1463</v>
      </c>
      <c r="C21" s="381" t="s">
        <v>1464</v>
      </c>
      <c r="D21" s="63" t="s">
        <v>1465</v>
      </c>
      <c r="E21" s="10" t="s">
        <v>1465</v>
      </c>
      <c r="J21" s="64"/>
    </row>
    <row r="22" spans="1:10" outlineLevel="2" x14ac:dyDescent="0.25">
      <c r="A22" s="63"/>
      <c r="B22" s="64" t="s">
        <v>1466</v>
      </c>
      <c r="C22" s="328" t="s">
        <v>1467</v>
      </c>
      <c r="D22" s="63" t="s">
        <v>1465</v>
      </c>
      <c r="E22" s="10" t="s">
        <v>1465</v>
      </c>
      <c r="J22" s="64"/>
    </row>
    <row r="23" spans="1:10" outlineLevel="2" x14ac:dyDescent="0.25">
      <c r="A23" s="63"/>
      <c r="B23" s="64" t="s">
        <v>1468</v>
      </c>
      <c r="C23" s="328" t="s">
        <v>1469</v>
      </c>
      <c r="D23" s="63" t="s">
        <v>1470</v>
      </c>
      <c r="E23" s="78" t="s">
        <v>1470</v>
      </c>
      <c r="J23" s="64"/>
    </row>
    <row r="24" spans="1:10" outlineLevel="2" x14ac:dyDescent="0.25">
      <c r="A24" s="63"/>
      <c r="B24" s="64" t="s">
        <v>1471</v>
      </c>
      <c r="C24" s="328" t="s">
        <v>1472</v>
      </c>
      <c r="D24" s="63" t="s">
        <v>1465</v>
      </c>
      <c r="E24" s="10" t="s">
        <v>1465</v>
      </c>
      <c r="J24" s="64"/>
    </row>
    <row r="25" spans="1:10" outlineLevel="2" x14ac:dyDescent="0.25">
      <c r="A25" s="63"/>
      <c r="B25" s="115" t="s">
        <v>1473</v>
      </c>
      <c r="C25" s="380" t="s">
        <v>1474</v>
      </c>
      <c r="D25" s="63"/>
      <c r="H25" s="116" t="s">
        <v>1449</v>
      </c>
      <c r="I25" s="116" t="s">
        <v>1449</v>
      </c>
      <c r="J25" s="64"/>
    </row>
    <row r="26" spans="1:10" outlineLevel="2" x14ac:dyDescent="0.25">
      <c r="A26" s="63"/>
      <c r="B26" s="115" t="s">
        <v>1475</v>
      </c>
      <c r="C26" s="380" t="s">
        <v>1476</v>
      </c>
      <c r="D26" s="63"/>
      <c r="H26" s="116" t="s">
        <v>1449</v>
      </c>
      <c r="I26" s="116" t="s">
        <v>1449</v>
      </c>
      <c r="J26" s="64"/>
    </row>
    <row r="27" spans="1:10" outlineLevel="2" x14ac:dyDescent="0.25">
      <c r="A27" s="63"/>
      <c r="B27" s="115" t="s">
        <v>1477</v>
      </c>
      <c r="C27" s="380" t="s">
        <v>1478</v>
      </c>
      <c r="D27" s="63"/>
      <c r="H27" s="116" t="s">
        <v>1470</v>
      </c>
      <c r="I27" s="116" t="s">
        <v>1470</v>
      </c>
      <c r="J27" s="64"/>
    </row>
    <row r="28" spans="1:10" outlineLevel="2" x14ac:dyDescent="0.25">
      <c r="A28" s="63"/>
      <c r="B28" s="115" t="s">
        <v>1479</v>
      </c>
      <c r="C28" s="380" t="s">
        <v>1480</v>
      </c>
      <c r="D28" s="63"/>
      <c r="H28" s="116" t="s">
        <v>1470</v>
      </c>
      <c r="I28" s="116" t="s">
        <v>1470</v>
      </c>
      <c r="J28" s="64"/>
    </row>
    <row r="29" spans="1:10" outlineLevel="2" x14ac:dyDescent="0.25">
      <c r="A29" s="63"/>
      <c r="B29" s="115" t="s">
        <v>1481</v>
      </c>
      <c r="C29" s="380" t="s">
        <v>1482</v>
      </c>
      <c r="D29" s="63"/>
      <c r="H29" s="116" t="s">
        <v>1449</v>
      </c>
      <c r="I29" s="116" t="s">
        <v>1449</v>
      </c>
      <c r="J29" s="64"/>
    </row>
    <row r="30" spans="1:10" outlineLevel="2" x14ac:dyDescent="0.25">
      <c r="A30" s="63"/>
      <c r="B30" s="115" t="s">
        <v>1483</v>
      </c>
      <c r="C30" s="380" t="s">
        <v>1484</v>
      </c>
      <c r="D30" s="63"/>
      <c r="H30" s="116" t="s">
        <v>1449</v>
      </c>
      <c r="I30" s="116" t="s">
        <v>1449</v>
      </c>
      <c r="J30" s="64"/>
    </row>
    <row r="31" spans="1:10" outlineLevel="2" x14ac:dyDescent="0.25">
      <c r="A31" s="63"/>
      <c r="B31" s="115" t="s">
        <v>1485</v>
      </c>
      <c r="C31" s="380" t="s">
        <v>1486</v>
      </c>
      <c r="D31" s="63"/>
      <c r="H31" s="116" t="s">
        <v>1449</v>
      </c>
      <c r="I31" s="116" t="s">
        <v>1449</v>
      </c>
      <c r="J31" s="64"/>
    </row>
    <row r="32" spans="1:10" outlineLevel="2" x14ac:dyDescent="0.25">
      <c r="A32" s="63"/>
      <c r="B32" s="115" t="s">
        <v>1487</v>
      </c>
      <c r="C32" s="380" t="s">
        <v>1488</v>
      </c>
      <c r="D32" s="63"/>
      <c r="H32" s="116" t="s">
        <v>1438</v>
      </c>
      <c r="I32" s="116" t="s">
        <v>1438</v>
      </c>
      <c r="J32" s="64"/>
    </row>
    <row r="33" spans="1:10" outlineLevel="2" x14ac:dyDescent="0.25">
      <c r="A33" s="63"/>
      <c r="B33" s="115" t="s">
        <v>1489</v>
      </c>
      <c r="C33" s="380" t="s">
        <v>1490</v>
      </c>
      <c r="D33" s="63"/>
      <c r="H33" s="116" t="s">
        <v>1491</v>
      </c>
      <c r="I33" s="116" t="s">
        <v>1491</v>
      </c>
      <c r="J33" s="64"/>
    </row>
    <row r="34" spans="1:10" outlineLevel="2" x14ac:dyDescent="0.25">
      <c r="A34" s="63"/>
      <c r="B34" s="115" t="s">
        <v>1492</v>
      </c>
      <c r="C34" s="380" t="s">
        <v>1493</v>
      </c>
      <c r="D34" s="63"/>
      <c r="H34" s="116" t="s">
        <v>1435</v>
      </c>
      <c r="I34" s="116" t="s">
        <v>1435</v>
      </c>
      <c r="J34" s="64"/>
    </row>
    <row r="35" spans="1:10" ht="30" customHeight="1" outlineLevel="2" x14ac:dyDescent="0.25">
      <c r="A35" s="63"/>
      <c r="B35" s="115" t="s">
        <v>1494</v>
      </c>
      <c r="C35" s="380" t="s">
        <v>1495</v>
      </c>
      <c r="D35" s="63"/>
      <c r="H35" s="116" t="s">
        <v>1496</v>
      </c>
      <c r="I35" s="116" t="s">
        <v>1496</v>
      </c>
      <c r="J35" s="64"/>
    </row>
    <row r="36" spans="1:10" outlineLevel="2" x14ac:dyDescent="0.25">
      <c r="A36" s="63"/>
      <c r="B36" s="115" t="s">
        <v>1497</v>
      </c>
      <c r="C36" s="380" t="s">
        <v>1498</v>
      </c>
      <c r="D36" s="63"/>
      <c r="H36" s="116" t="s">
        <v>1435</v>
      </c>
      <c r="I36" s="116" t="s">
        <v>1435</v>
      </c>
      <c r="J36" s="64"/>
    </row>
    <row r="37" spans="1:10" outlineLevel="1" x14ac:dyDescent="0.25">
      <c r="A37" s="113"/>
      <c r="B37" s="69" t="s">
        <v>1499</v>
      </c>
      <c r="C37" s="377"/>
      <c r="D37" s="113" t="s">
        <v>1433</v>
      </c>
      <c r="E37" s="101" t="s">
        <v>1433</v>
      </c>
      <c r="F37" s="101" t="s">
        <v>1433</v>
      </c>
      <c r="G37" s="101" t="s">
        <v>1433</v>
      </c>
      <c r="H37" s="101" t="s">
        <v>1433</v>
      </c>
      <c r="I37" s="101" t="s">
        <v>1433</v>
      </c>
      <c r="J37" s="114" t="s">
        <v>1433</v>
      </c>
    </row>
    <row r="38" spans="1:10" outlineLevel="2" x14ac:dyDescent="0.25">
      <c r="A38" s="63"/>
      <c r="B38" s="73" t="s">
        <v>1500</v>
      </c>
      <c r="C38" s="381" t="s">
        <v>1501</v>
      </c>
      <c r="D38" s="63" t="s">
        <v>1436</v>
      </c>
      <c r="J38" s="64"/>
    </row>
    <row r="39" spans="1:10" outlineLevel="2" x14ac:dyDescent="0.25">
      <c r="A39" s="63"/>
      <c r="B39" s="74" t="s">
        <v>1502</v>
      </c>
      <c r="C39" s="379" t="s">
        <v>1503</v>
      </c>
      <c r="D39" s="75"/>
      <c r="E39" s="76" t="s">
        <v>1436</v>
      </c>
      <c r="J39" s="64"/>
    </row>
    <row r="40" spans="1:10" outlineLevel="2" x14ac:dyDescent="0.25">
      <c r="A40" s="63"/>
      <c r="B40" s="73" t="s">
        <v>1504</v>
      </c>
      <c r="C40" s="381" t="s">
        <v>1505</v>
      </c>
      <c r="D40" s="77" t="s">
        <v>1452</v>
      </c>
      <c r="E40" s="78" t="s">
        <v>1452</v>
      </c>
      <c r="J40" s="64"/>
    </row>
    <row r="41" spans="1:10" outlineLevel="2" x14ac:dyDescent="0.25">
      <c r="A41" s="63"/>
      <c r="B41" s="115" t="s">
        <v>1504</v>
      </c>
      <c r="C41" s="380" t="s">
        <v>1506</v>
      </c>
      <c r="D41" s="63"/>
      <c r="H41" s="116" t="s">
        <v>1452</v>
      </c>
      <c r="I41" s="116" t="s">
        <v>1452</v>
      </c>
      <c r="J41" s="64"/>
    </row>
    <row r="42" spans="1:10" outlineLevel="1" x14ac:dyDescent="0.25">
      <c r="A42" s="113"/>
      <c r="B42" s="69" t="s">
        <v>1507</v>
      </c>
      <c r="C42" s="377"/>
      <c r="D42" s="113" t="s">
        <v>1433</v>
      </c>
      <c r="E42" s="101" t="s">
        <v>1433</v>
      </c>
      <c r="F42" s="101" t="s">
        <v>1433</v>
      </c>
      <c r="G42" s="101" t="s">
        <v>1433</v>
      </c>
      <c r="H42" s="101" t="s">
        <v>1433</v>
      </c>
      <c r="I42" s="101" t="s">
        <v>1433</v>
      </c>
      <c r="J42" s="114" t="s">
        <v>1433</v>
      </c>
    </row>
    <row r="43" spans="1:10" outlineLevel="2" x14ac:dyDescent="0.25">
      <c r="A43" s="63"/>
      <c r="B43" s="64" t="s">
        <v>1508</v>
      </c>
      <c r="C43" s="328" t="s">
        <v>1509</v>
      </c>
      <c r="D43" s="63" t="s">
        <v>1470</v>
      </c>
      <c r="J43" s="64"/>
    </row>
    <row r="44" spans="1:10" outlineLevel="2" x14ac:dyDescent="0.25">
      <c r="A44" s="63"/>
      <c r="B44" s="74" t="s">
        <v>1510</v>
      </c>
      <c r="C44" s="379" t="s">
        <v>1511</v>
      </c>
      <c r="D44" s="75"/>
      <c r="E44" s="76" t="s">
        <v>1470</v>
      </c>
      <c r="J44" s="64"/>
    </row>
    <row r="45" spans="1:10" outlineLevel="2" x14ac:dyDescent="0.25">
      <c r="A45" s="63"/>
      <c r="B45" s="64" t="s">
        <v>1512</v>
      </c>
      <c r="C45" s="328" t="s">
        <v>1513</v>
      </c>
      <c r="D45" s="63" t="s">
        <v>1449</v>
      </c>
      <c r="E45" s="10" t="s">
        <v>1449</v>
      </c>
      <c r="J45" s="64"/>
    </row>
    <row r="46" spans="1:10" outlineLevel="2" x14ac:dyDescent="0.25">
      <c r="A46" s="63"/>
      <c r="B46" s="73" t="s">
        <v>1514</v>
      </c>
      <c r="C46" s="381" t="s">
        <v>1515</v>
      </c>
      <c r="D46" s="63" t="s">
        <v>1449</v>
      </c>
      <c r="J46" s="64"/>
    </row>
    <row r="47" spans="1:10" outlineLevel="2" x14ac:dyDescent="0.25">
      <c r="A47" s="63"/>
      <c r="B47" s="74" t="s">
        <v>1514</v>
      </c>
      <c r="C47" s="379" t="s">
        <v>1516</v>
      </c>
      <c r="D47" s="75"/>
      <c r="E47" s="76" t="s">
        <v>1449</v>
      </c>
      <c r="J47" s="64"/>
    </row>
    <row r="48" spans="1:10" outlineLevel="2" x14ac:dyDescent="0.25">
      <c r="A48" s="63"/>
      <c r="B48" s="73" t="s">
        <v>1517</v>
      </c>
      <c r="C48" s="381" t="s">
        <v>1518</v>
      </c>
      <c r="D48" s="63" t="s">
        <v>1519</v>
      </c>
      <c r="J48" s="64"/>
    </row>
    <row r="49" spans="1:10" outlineLevel="2" x14ac:dyDescent="0.25">
      <c r="A49" s="63"/>
      <c r="B49" s="72" t="s">
        <v>1517</v>
      </c>
      <c r="C49" s="382" t="s">
        <v>1520</v>
      </c>
      <c r="D49" s="63"/>
      <c r="E49" s="10" t="s">
        <v>1519</v>
      </c>
      <c r="J49" s="64"/>
    </row>
    <row r="50" spans="1:10" outlineLevel="2" x14ac:dyDescent="0.25">
      <c r="A50" s="63"/>
      <c r="B50" s="73" t="s">
        <v>1521</v>
      </c>
      <c r="C50" s="381" t="s">
        <v>1522</v>
      </c>
      <c r="D50" s="63" t="s">
        <v>1465</v>
      </c>
      <c r="J50" s="64"/>
    </row>
    <row r="51" spans="1:10" outlineLevel="2" x14ac:dyDescent="0.25">
      <c r="A51" s="63"/>
      <c r="B51" s="74" t="s">
        <v>1521</v>
      </c>
      <c r="C51" s="379" t="s">
        <v>1523</v>
      </c>
      <c r="D51" s="75"/>
      <c r="E51" s="76" t="s">
        <v>1524</v>
      </c>
      <c r="J51" s="64"/>
    </row>
    <row r="52" spans="1:10" outlineLevel="2" x14ac:dyDescent="0.25">
      <c r="A52" s="63"/>
      <c r="B52" s="74" t="s">
        <v>1521</v>
      </c>
      <c r="C52" s="379" t="s">
        <v>1525</v>
      </c>
      <c r="D52" s="75"/>
      <c r="E52" s="76" t="s">
        <v>1526</v>
      </c>
      <c r="J52" s="64"/>
    </row>
    <row r="53" spans="1:10" outlineLevel="2" x14ac:dyDescent="0.25">
      <c r="A53" s="63"/>
      <c r="B53" s="64" t="s">
        <v>1527</v>
      </c>
      <c r="C53" s="328" t="s">
        <v>1528</v>
      </c>
      <c r="D53" s="63" t="s">
        <v>1529</v>
      </c>
      <c r="E53" s="10" t="s">
        <v>1529</v>
      </c>
      <c r="J53" s="64"/>
    </row>
    <row r="54" spans="1:10" ht="30" customHeight="1" outlineLevel="2" x14ac:dyDescent="0.25">
      <c r="A54" s="63"/>
      <c r="B54" s="115" t="s">
        <v>1530</v>
      </c>
      <c r="C54" s="380" t="s">
        <v>1531</v>
      </c>
      <c r="D54" s="63"/>
      <c r="H54" s="116" t="s">
        <v>1465</v>
      </c>
      <c r="I54" s="116" t="s">
        <v>1465</v>
      </c>
      <c r="J54" s="64"/>
    </row>
    <row r="55" spans="1:10" ht="30" customHeight="1" outlineLevel="2" x14ac:dyDescent="0.25">
      <c r="A55" s="63"/>
      <c r="B55" s="115" t="s">
        <v>1532</v>
      </c>
      <c r="C55" s="380" t="s">
        <v>1533</v>
      </c>
      <c r="D55" s="63"/>
      <c r="H55" s="116" t="s">
        <v>1449</v>
      </c>
      <c r="I55" s="116" t="s">
        <v>1449</v>
      </c>
      <c r="J55" s="64"/>
    </row>
    <row r="56" spans="1:10" x14ac:dyDescent="0.25">
      <c r="A56" s="110" t="s">
        <v>1534</v>
      </c>
      <c r="B56" s="111"/>
      <c r="C56" s="376"/>
      <c r="D56" s="110" t="s">
        <v>1431</v>
      </c>
      <c r="E56" s="112" t="s">
        <v>1431</v>
      </c>
      <c r="F56" s="112" t="s">
        <v>1431</v>
      </c>
      <c r="G56" s="112" t="s">
        <v>1431</v>
      </c>
      <c r="H56" s="112" t="s">
        <v>1431</v>
      </c>
      <c r="I56" s="112" t="s">
        <v>1431</v>
      </c>
      <c r="J56" s="111" t="s">
        <v>1431</v>
      </c>
    </row>
    <row r="57" spans="1:10" outlineLevel="1" x14ac:dyDescent="0.25">
      <c r="A57" s="68"/>
      <c r="B57" s="69" t="s">
        <v>1535</v>
      </c>
      <c r="C57" s="383"/>
      <c r="D57" s="113" t="s">
        <v>1433</v>
      </c>
      <c r="E57" s="101" t="s">
        <v>1433</v>
      </c>
      <c r="F57" s="101" t="s">
        <v>1433</v>
      </c>
      <c r="G57" s="101" t="s">
        <v>1433</v>
      </c>
      <c r="H57" s="101" t="s">
        <v>1433</v>
      </c>
      <c r="I57" s="101" t="s">
        <v>1433</v>
      </c>
      <c r="J57" s="114" t="s">
        <v>1433</v>
      </c>
    </row>
    <row r="58" spans="1:10" ht="30" customHeight="1" outlineLevel="2" x14ac:dyDescent="0.25">
      <c r="A58" s="63"/>
      <c r="B58" s="64" t="s">
        <v>1536</v>
      </c>
      <c r="C58" s="328" t="s">
        <v>1537</v>
      </c>
      <c r="D58" s="63" t="s">
        <v>1538</v>
      </c>
      <c r="E58" s="10" t="s">
        <v>1538</v>
      </c>
      <c r="J58" s="64"/>
    </row>
    <row r="59" spans="1:10" ht="30" customHeight="1" outlineLevel="3" x14ac:dyDescent="0.25">
      <c r="A59" s="63"/>
      <c r="B59" s="64" t="s">
        <v>1539</v>
      </c>
      <c r="C59" s="328" t="s">
        <v>1540</v>
      </c>
      <c r="D59" s="63" t="s">
        <v>1538</v>
      </c>
      <c r="E59" s="10" t="s">
        <v>1538</v>
      </c>
      <c r="J59" s="64"/>
    </row>
    <row r="60" spans="1:10" ht="30" customHeight="1" outlineLevel="3" x14ac:dyDescent="0.25">
      <c r="A60" s="63"/>
      <c r="B60" s="64" t="s">
        <v>1541</v>
      </c>
      <c r="C60" s="328" t="s">
        <v>1542</v>
      </c>
      <c r="D60" s="63" t="s">
        <v>1538</v>
      </c>
      <c r="E60" s="10" t="s">
        <v>1538</v>
      </c>
      <c r="J60" s="64"/>
    </row>
    <row r="61" spans="1:10" outlineLevel="2" x14ac:dyDescent="0.25">
      <c r="A61" s="63"/>
      <c r="B61" s="115" t="s">
        <v>1543</v>
      </c>
      <c r="C61" s="380" t="s">
        <v>1544</v>
      </c>
      <c r="D61" s="75"/>
      <c r="E61" s="76"/>
      <c r="F61" s="76"/>
      <c r="G61" s="76"/>
      <c r="H61" s="116" t="s">
        <v>1436</v>
      </c>
      <c r="I61" s="116" t="s">
        <v>1436</v>
      </c>
      <c r="J61" s="64"/>
    </row>
    <row r="62" spans="1:10" outlineLevel="3" x14ac:dyDescent="0.25">
      <c r="A62" s="63"/>
      <c r="B62" s="115" t="s">
        <v>1545</v>
      </c>
      <c r="C62" s="380" t="s">
        <v>1546</v>
      </c>
      <c r="D62" s="75"/>
      <c r="E62" s="76"/>
      <c r="F62" s="76"/>
      <c r="G62" s="76"/>
      <c r="H62" s="116" t="s">
        <v>1436</v>
      </c>
      <c r="I62" s="116" t="s">
        <v>1436</v>
      </c>
      <c r="J62" s="64"/>
    </row>
    <row r="63" spans="1:10" outlineLevel="3" collapsed="1" x14ac:dyDescent="0.25">
      <c r="A63" s="63"/>
      <c r="B63" s="115" t="s">
        <v>1541</v>
      </c>
      <c r="C63" s="380" t="s">
        <v>1547</v>
      </c>
      <c r="D63" s="75"/>
      <c r="E63" s="76"/>
      <c r="F63" s="76"/>
      <c r="G63" s="76"/>
      <c r="H63" s="116" t="s">
        <v>1436</v>
      </c>
      <c r="I63" s="116" t="s">
        <v>1436</v>
      </c>
      <c r="J63" s="64"/>
    </row>
    <row r="64" spans="1:10" outlineLevel="1" x14ac:dyDescent="0.25">
      <c r="A64" s="68"/>
      <c r="B64" s="69" t="s">
        <v>1548</v>
      </c>
      <c r="C64" s="383"/>
      <c r="D64" s="113" t="s">
        <v>1433</v>
      </c>
      <c r="E64" s="101" t="s">
        <v>1433</v>
      </c>
      <c r="F64" s="101" t="s">
        <v>1433</v>
      </c>
      <c r="G64" s="101" t="s">
        <v>1433</v>
      </c>
      <c r="H64" s="101" t="s">
        <v>1433</v>
      </c>
      <c r="I64" s="101" t="s">
        <v>1433</v>
      </c>
      <c r="J64" s="114" t="s">
        <v>1433</v>
      </c>
    </row>
    <row r="65" spans="1:10" ht="30" customHeight="1" outlineLevel="2" x14ac:dyDescent="0.25">
      <c r="A65" s="63"/>
      <c r="B65" s="64" t="s">
        <v>1549</v>
      </c>
      <c r="C65" s="328" t="s">
        <v>1550</v>
      </c>
      <c r="D65" s="63" t="s">
        <v>1538</v>
      </c>
      <c r="E65" s="10" t="s">
        <v>1538</v>
      </c>
      <c r="J65" s="64"/>
    </row>
    <row r="66" spans="1:10" ht="30" customHeight="1" outlineLevel="3" x14ac:dyDescent="0.25">
      <c r="A66" s="63"/>
      <c r="B66" s="64" t="s">
        <v>1551</v>
      </c>
      <c r="C66" s="328" t="s">
        <v>1540</v>
      </c>
      <c r="D66" s="63" t="s">
        <v>1538</v>
      </c>
      <c r="E66" s="10" t="s">
        <v>1538</v>
      </c>
      <c r="J66" s="64"/>
    </row>
    <row r="67" spans="1:10" ht="30" customHeight="1" outlineLevel="3" x14ac:dyDescent="0.25">
      <c r="A67" s="63"/>
      <c r="B67" s="64" t="s">
        <v>1541</v>
      </c>
      <c r="C67" s="328" t="s">
        <v>1552</v>
      </c>
      <c r="D67" s="63" t="s">
        <v>1538</v>
      </c>
      <c r="E67" s="10" t="s">
        <v>1538</v>
      </c>
      <c r="J67" s="64"/>
    </row>
    <row r="68" spans="1:10" outlineLevel="2" x14ac:dyDescent="0.25">
      <c r="A68" s="63"/>
      <c r="B68" s="115" t="s">
        <v>1553</v>
      </c>
      <c r="C68" s="380" t="s">
        <v>1554</v>
      </c>
      <c r="D68" s="75"/>
      <c r="E68" s="76"/>
      <c r="F68" s="76"/>
      <c r="G68" s="76"/>
      <c r="H68" s="116" t="s">
        <v>1436</v>
      </c>
      <c r="I68" s="116" t="s">
        <v>1436</v>
      </c>
      <c r="J68" s="64"/>
    </row>
    <row r="69" spans="1:10" outlineLevel="3" x14ac:dyDescent="0.25">
      <c r="A69" s="63"/>
      <c r="B69" s="71" t="s">
        <v>1555</v>
      </c>
      <c r="C69" s="384" t="s">
        <v>1556</v>
      </c>
      <c r="D69" s="70"/>
      <c r="E69" s="79"/>
      <c r="F69" s="79"/>
      <c r="G69" s="79"/>
      <c r="H69" s="79" t="s">
        <v>1436</v>
      </c>
      <c r="I69" s="79" t="s">
        <v>1436</v>
      </c>
      <c r="J69" s="64"/>
    </row>
    <row r="70" spans="1:10" outlineLevel="3" collapsed="1" x14ac:dyDescent="0.25">
      <c r="A70" s="63"/>
      <c r="B70" s="115" t="s">
        <v>1541</v>
      </c>
      <c r="C70" s="380" t="s">
        <v>1557</v>
      </c>
      <c r="D70" s="75"/>
      <c r="E70" s="76"/>
      <c r="F70" s="76"/>
      <c r="G70" s="76"/>
      <c r="H70" s="116" t="s">
        <v>1436</v>
      </c>
      <c r="I70" s="116" t="s">
        <v>1436</v>
      </c>
      <c r="J70" s="64"/>
    </row>
    <row r="71" spans="1:10" outlineLevel="1" x14ac:dyDescent="0.25">
      <c r="A71" s="68"/>
      <c r="B71" s="69" t="s">
        <v>1558</v>
      </c>
      <c r="C71" s="383"/>
      <c r="D71" s="113" t="s">
        <v>1433</v>
      </c>
      <c r="E71" s="101" t="s">
        <v>1433</v>
      </c>
      <c r="F71" s="101" t="s">
        <v>1433</v>
      </c>
      <c r="G71" s="101" t="s">
        <v>1433</v>
      </c>
      <c r="H71" s="101" t="s">
        <v>1433</v>
      </c>
      <c r="I71" s="101" t="s">
        <v>1433</v>
      </c>
      <c r="J71" s="114" t="s">
        <v>1433</v>
      </c>
    </row>
    <row r="72" spans="1:10" ht="30" customHeight="1" outlineLevel="2" x14ac:dyDescent="0.25">
      <c r="A72" s="63"/>
      <c r="B72" s="64" t="s">
        <v>1559</v>
      </c>
      <c r="C72" s="328" t="s">
        <v>1560</v>
      </c>
      <c r="D72" s="63" t="s">
        <v>1538</v>
      </c>
      <c r="E72" s="10" t="s">
        <v>1538</v>
      </c>
      <c r="J72" s="64"/>
    </row>
    <row r="73" spans="1:10" ht="30" customHeight="1" outlineLevel="3" x14ac:dyDescent="0.25">
      <c r="A73" s="63"/>
      <c r="B73" s="64" t="s">
        <v>1561</v>
      </c>
      <c r="C73" s="328" t="s">
        <v>1540</v>
      </c>
      <c r="D73" s="63" t="s">
        <v>1538</v>
      </c>
      <c r="E73" s="10" t="s">
        <v>1538</v>
      </c>
      <c r="J73" s="64"/>
    </row>
    <row r="74" spans="1:10" ht="30" customHeight="1" outlineLevel="3" x14ac:dyDescent="0.25">
      <c r="A74" s="63"/>
      <c r="B74" s="64" t="s">
        <v>1541</v>
      </c>
      <c r="C74" s="328" t="s">
        <v>1542</v>
      </c>
      <c r="D74" s="63" t="s">
        <v>1538</v>
      </c>
      <c r="E74" s="10" t="s">
        <v>1538</v>
      </c>
      <c r="J74" s="64"/>
    </row>
    <row r="75" spans="1:10" outlineLevel="2" x14ac:dyDescent="0.25">
      <c r="A75" s="63"/>
      <c r="B75" s="115" t="s">
        <v>1562</v>
      </c>
      <c r="C75" s="380" t="s">
        <v>1563</v>
      </c>
      <c r="D75" s="75"/>
      <c r="E75" s="76"/>
      <c r="F75" s="76"/>
      <c r="G75" s="76"/>
      <c r="H75" s="116" t="s">
        <v>1436</v>
      </c>
      <c r="I75" s="116" t="s">
        <v>1436</v>
      </c>
      <c r="J75" s="64"/>
    </row>
    <row r="76" spans="1:10" outlineLevel="3" x14ac:dyDescent="0.25">
      <c r="A76" s="63"/>
      <c r="B76" s="115" t="s">
        <v>1545</v>
      </c>
      <c r="C76" s="380" t="s">
        <v>1564</v>
      </c>
      <c r="D76" s="75"/>
      <c r="E76" s="76"/>
      <c r="F76" s="76"/>
      <c r="G76" s="76"/>
      <c r="H76" s="116" t="s">
        <v>1436</v>
      </c>
      <c r="I76" s="116" t="s">
        <v>1436</v>
      </c>
      <c r="J76" s="64"/>
    </row>
    <row r="77" spans="1:10" outlineLevel="3" collapsed="1" x14ac:dyDescent="0.25">
      <c r="A77" s="63"/>
      <c r="B77" s="115" t="s">
        <v>1541</v>
      </c>
      <c r="C77" s="380" t="s">
        <v>1547</v>
      </c>
      <c r="D77" s="75"/>
      <c r="E77" s="76"/>
      <c r="F77" s="76"/>
      <c r="G77" s="76"/>
      <c r="H77" s="116" t="s">
        <v>1436</v>
      </c>
      <c r="I77" s="116" t="s">
        <v>1436</v>
      </c>
      <c r="J77" s="64"/>
    </row>
    <row r="78" spans="1:10" outlineLevel="1" x14ac:dyDescent="0.25">
      <c r="A78" s="68"/>
      <c r="B78" s="69" t="s">
        <v>1565</v>
      </c>
      <c r="C78" s="383"/>
      <c r="D78" s="113" t="s">
        <v>1433</v>
      </c>
      <c r="E78" s="101" t="s">
        <v>1433</v>
      </c>
      <c r="F78" s="101" t="s">
        <v>1433</v>
      </c>
      <c r="G78" s="101" t="s">
        <v>1433</v>
      </c>
      <c r="H78" s="101" t="s">
        <v>1433</v>
      </c>
      <c r="I78" s="101" t="s">
        <v>1433</v>
      </c>
      <c r="J78" s="114" t="s">
        <v>1433</v>
      </c>
    </row>
    <row r="79" spans="1:10" ht="30" customHeight="1" outlineLevel="2" x14ac:dyDescent="0.25">
      <c r="A79" s="63"/>
      <c r="B79" s="64" t="s">
        <v>1566</v>
      </c>
      <c r="C79" s="328" t="s">
        <v>1567</v>
      </c>
      <c r="D79" s="63" t="s">
        <v>1538</v>
      </c>
      <c r="E79" s="10" t="s">
        <v>1538</v>
      </c>
      <c r="H79" s="10" t="s">
        <v>1436</v>
      </c>
      <c r="I79" s="10" t="s">
        <v>1436</v>
      </c>
      <c r="J79" s="64"/>
    </row>
    <row r="80" spans="1:10" outlineLevel="1" x14ac:dyDescent="0.25">
      <c r="A80" s="68"/>
      <c r="B80" s="69" t="s">
        <v>1568</v>
      </c>
      <c r="C80" s="383"/>
      <c r="D80" s="113" t="s">
        <v>1433</v>
      </c>
      <c r="E80" s="101" t="s">
        <v>1433</v>
      </c>
      <c r="F80" s="101" t="s">
        <v>1433</v>
      </c>
      <c r="G80" s="101" t="s">
        <v>1433</v>
      </c>
      <c r="H80" s="101" t="s">
        <v>1433</v>
      </c>
      <c r="I80" s="101" t="s">
        <v>1433</v>
      </c>
      <c r="J80" s="114" t="s">
        <v>1433</v>
      </c>
    </row>
    <row r="81" spans="1:10" ht="30" customHeight="1" outlineLevel="2" x14ac:dyDescent="0.25">
      <c r="A81" s="63"/>
      <c r="B81" s="64" t="s">
        <v>1569</v>
      </c>
      <c r="C81" s="328" t="s">
        <v>1570</v>
      </c>
      <c r="D81" s="63" t="s">
        <v>1538</v>
      </c>
      <c r="E81" s="10" t="s">
        <v>1538</v>
      </c>
      <c r="J81" s="64"/>
    </row>
    <row r="82" spans="1:10" ht="30" customHeight="1" outlineLevel="3" x14ac:dyDescent="0.25">
      <c r="A82" s="63"/>
      <c r="B82" s="64" t="s">
        <v>1551</v>
      </c>
      <c r="C82" s="328" t="s">
        <v>1540</v>
      </c>
      <c r="D82" s="63" t="s">
        <v>1538</v>
      </c>
      <c r="E82" s="10" t="s">
        <v>1538</v>
      </c>
      <c r="J82" s="64"/>
    </row>
    <row r="83" spans="1:10" ht="30" customHeight="1" outlineLevel="3" x14ac:dyDescent="0.25">
      <c r="A83" s="63"/>
      <c r="B83" s="64" t="s">
        <v>1541</v>
      </c>
      <c r="C83" s="384" t="s">
        <v>1542</v>
      </c>
      <c r="D83" s="63" t="s">
        <v>1538</v>
      </c>
      <c r="E83" s="10" t="s">
        <v>1538</v>
      </c>
      <c r="J83" s="64"/>
    </row>
    <row r="84" spans="1:10" outlineLevel="2" x14ac:dyDescent="0.25">
      <c r="A84" s="63"/>
      <c r="B84" s="115" t="s">
        <v>1569</v>
      </c>
      <c r="C84" s="380" t="s">
        <v>1571</v>
      </c>
      <c r="D84" s="75"/>
      <c r="E84" s="76"/>
      <c r="F84" s="76"/>
      <c r="G84" s="76"/>
      <c r="H84" s="116" t="s">
        <v>1436</v>
      </c>
      <c r="I84" s="116" t="s">
        <v>1436</v>
      </c>
      <c r="J84" s="64"/>
    </row>
    <row r="85" spans="1:10" outlineLevel="3" x14ac:dyDescent="0.25">
      <c r="A85" s="63"/>
      <c r="B85" s="71" t="s">
        <v>1551</v>
      </c>
      <c r="C85" s="384" t="s">
        <v>1572</v>
      </c>
      <c r="D85" s="70"/>
      <c r="E85" s="79"/>
      <c r="F85" s="79"/>
      <c r="G85" s="79"/>
      <c r="H85" s="79" t="s">
        <v>1436</v>
      </c>
      <c r="I85" s="79" t="s">
        <v>1436</v>
      </c>
      <c r="J85" s="64"/>
    </row>
    <row r="86" spans="1:10" outlineLevel="3" collapsed="1" x14ac:dyDescent="0.25">
      <c r="A86" s="63"/>
      <c r="B86" s="71" t="s">
        <v>1541</v>
      </c>
      <c r="C86" s="384" t="s">
        <v>1572</v>
      </c>
      <c r="D86" s="70"/>
      <c r="E86" s="79"/>
      <c r="F86" s="79"/>
      <c r="G86" s="79"/>
      <c r="H86" s="79" t="s">
        <v>1436</v>
      </c>
      <c r="I86" s="79" t="s">
        <v>1436</v>
      </c>
      <c r="J86" s="64"/>
    </row>
    <row r="87" spans="1:10" x14ac:dyDescent="0.25">
      <c r="A87" s="63"/>
      <c r="B87" s="64"/>
      <c r="C87" s="328"/>
      <c r="D87" s="63"/>
      <c r="J87" s="64"/>
    </row>
    <row r="88" spans="1:10" x14ac:dyDescent="0.25">
      <c r="A88" s="63"/>
      <c r="B88" s="64"/>
      <c r="C88" s="328"/>
      <c r="D88" s="63"/>
      <c r="J88" s="64"/>
    </row>
    <row r="89" spans="1:10" x14ac:dyDescent="0.25">
      <c r="A89" s="63"/>
      <c r="B89" s="64"/>
      <c r="C89" s="328"/>
      <c r="D89" s="63"/>
      <c r="J89" s="64"/>
    </row>
    <row r="90" spans="1:10" x14ac:dyDescent="0.25">
      <c r="A90" s="63"/>
      <c r="B90" s="64"/>
      <c r="C90" s="328"/>
      <c r="D90" s="63"/>
      <c r="J90" s="64"/>
    </row>
    <row r="91" spans="1:10" x14ac:dyDescent="0.25">
      <c r="A91" s="63"/>
      <c r="B91" s="64" t="s">
        <v>1573</v>
      </c>
      <c r="C91" s="328" t="s">
        <v>1574</v>
      </c>
      <c r="D91" s="63"/>
      <c r="J91" s="64"/>
    </row>
    <row r="92" spans="1:10" x14ac:dyDescent="0.25">
      <c r="A92" s="63"/>
      <c r="B92" s="64" t="s">
        <v>1575</v>
      </c>
      <c r="C92" s="328" t="s">
        <v>1576</v>
      </c>
      <c r="D92" s="63"/>
      <c r="J92" s="64"/>
    </row>
    <row r="93" spans="1:10" ht="30" customHeight="1" x14ac:dyDescent="0.25">
      <c r="A93" s="63"/>
      <c r="B93" s="64" t="s">
        <v>1577</v>
      </c>
      <c r="C93" s="328" t="s">
        <v>1578</v>
      </c>
      <c r="D93" s="63"/>
      <c r="J93" s="64"/>
    </row>
    <row r="94" spans="1:10" x14ac:dyDescent="0.25">
      <c r="A94" s="63"/>
      <c r="B94" s="64" t="s">
        <v>1579</v>
      </c>
      <c r="C94" s="328" t="s">
        <v>1580</v>
      </c>
      <c r="D94" s="63"/>
      <c r="J94" s="64"/>
    </row>
    <row r="95" spans="1:10" x14ac:dyDescent="0.25">
      <c r="A95" s="63"/>
      <c r="B95" s="64" t="s">
        <v>1581</v>
      </c>
      <c r="C95" s="328" t="s">
        <v>1582</v>
      </c>
      <c r="D95" s="63"/>
      <c r="J95" s="64"/>
    </row>
    <row r="96" spans="1:10" x14ac:dyDescent="0.25">
      <c r="A96" s="63"/>
      <c r="B96" s="64" t="s">
        <v>1575</v>
      </c>
      <c r="C96" s="328" t="s">
        <v>1576</v>
      </c>
      <c r="D96" s="63"/>
      <c r="J96" s="64"/>
    </row>
    <row r="97" spans="1:10" ht="30" customHeight="1" x14ac:dyDescent="0.25">
      <c r="A97" s="63"/>
      <c r="B97" s="64" t="s">
        <v>1577</v>
      </c>
      <c r="C97" s="328" t="s">
        <v>1583</v>
      </c>
      <c r="D97" s="63"/>
      <c r="J97" s="64"/>
    </row>
    <row r="98" spans="1:10" x14ac:dyDescent="0.25">
      <c r="A98" s="63"/>
      <c r="B98" s="64" t="s">
        <v>1579</v>
      </c>
      <c r="C98" s="328" t="s">
        <v>1580</v>
      </c>
      <c r="D98" s="63"/>
      <c r="J98" s="64"/>
    </row>
    <row r="99" spans="1:10" x14ac:dyDescent="0.25">
      <c r="A99" s="63"/>
      <c r="B99" s="64"/>
      <c r="C99" s="328"/>
      <c r="D99" s="63"/>
      <c r="J99" s="64"/>
    </row>
    <row r="100" spans="1:10" x14ac:dyDescent="0.25">
      <c r="A100" s="182"/>
      <c r="B100" s="65"/>
      <c r="C100" s="346"/>
      <c r="D100" s="182"/>
      <c r="E100" s="66"/>
      <c r="F100" s="66"/>
      <c r="G100" s="66"/>
      <c r="H100" s="66"/>
      <c r="I100" s="66"/>
      <c r="J100" s="65"/>
    </row>
  </sheetData>
  <autoFilter ref="A2:J86" xr:uid="{00000000-0009-0000-0000-00000A000000}"/>
  <mergeCells count="4">
    <mergeCell ref="D1:J1"/>
    <mergeCell ref="C1:C2"/>
    <mergeCell ref="B1:B2"/>
    <mergeCell ref="A1:A2"/>
  </mergeCells>
  <pageMargins left="0.7" right="0.7" top="0.75" bottom="0.75" header="0.3" footer="0.3"/>
  <pageSetup paperSize="9" orientation="portrait"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oglio9"/>
  <dimension ref="A1:Z50"/>
  <sheetViews>
    <sheetView zoomScale="85" zoomScaleNormal="85" workbookViewId="0">
      <pane xSplit="2" ySplit="1" topLeftCell="C3" activePane="bottomRight" state="frozen"/>
      <selection pane="topRight" activeCell="C1" sqref="C1"/>
      <selection pane="bottomLeft" activeCell="A2" sqref="A2"/>
      <selection pane="bottomRight" activeCell="I6" sqref="I6"/>
    </sheetView>
  </sheetViews>
  <sheetFormatPr defaultRowHeight="15" x14ac:dyDescent="0.25"/>
  <cols>
    <col min="1" max="1" width="17.85546875" customWidth="1"/>
    <col min="2" max="2" width="14.42578125" customWidth="1"/>
    <col min="3" max="3" width="18.42578125" customWidth="1"/>
    <col min="4" max="4" width="15.85546875" customWidth="1"/>
    <col min="5" max="6" width="19.42578125" customWidth="1"/>
    <col min="7" max="7" width="14.42578125" customWidth="1"/>
    <col min="8" max="8" width="16.42578125" customWidth="1"/>
    <col min="9" max="9" width="23.85546875" customWidth="1"/>
    <col min="10" max="10" width="21.85546875" customWidth="1"/>
    <col min="11" max="11" width="11.42578125" customWidth="1"/>
    <col min="12" max="12" width="15.5703125" customWidth="1"/>
    <col min="13" max="13" width="19.85546875" customWidth="1"/>
    <col min="14" max="14" width="21.5703125" customWidth="1"/>
    <col min="15" max="15" width="12.140625" customWidth="1"/>
    <col min="16" max="16" width="15.5703125" customWidth="1"/>
    <col min="17" max="17" width="24.5703125" customWidth="1"/>
    <col min="18" max="18" width="26.85546875" customWidth="1"/>
    <col min="20" max="20" width="15.140625" customWidth="1"/>
    <col min="21" max="21" width="25.140625" customWidth="1"/>
    <col min="22" max="22" width="20.140625" customWidth="1"/>
    <col min="23" max="23" width="10" bestFit="1" customWidth="1"/>
    <col min="24" max="24" width="15.42578125" customWidth="1"/>
    <col min="25" max="25" width="20.42578125" customWidth="1"/>
    <col min="26" max="26" width="25.85546875" customWidth="1"/>
  </cols>
  <sheetData>
    <row r="1" spans="1:26" ht="15.75" customHeight="1" thickBot="1" x14ac:dyDescent="0.3">
      <c r="C1" s="497" t="s">
        <v>1584</v>
      </c>
      <c r="D1" s="467"/>
      <c r="E1" s="467"/>
      <c r="F1" s="498"/>
      <c r="G1" s="497" t="s">
        <v>1585</v>
      </c>
      <c r="H1" s="467"/>
      <c r="I1" s="467"/>
      <c r="J1" s="498"/>
      <c r="K1" s="497" t="s">
        <v>1586</v>
      </c>
      <c r="L1" s="467"/>
      <c r="M1" s="467"/>
      <c r="N1" s="498"/>
      <c r="O1" s="497" t="s">
        <v>1587</v>
      </c>
      <c r="P1" s="467"/>
      <c r="Q1" s="467"/>
      <c r="R1" s="498"/>
      <c r="S1" s="497" t="s">
        <v>1588</v>
      </c>
      <c r="T1" s="467"/>
      <c r="U1" s="467"/>
      <c r="V1" s="498"/>
      <c r="W1" s="497" t="s">
        <v>1589</v>
      </c>
      <c r="X1" s="467"/>
      <c r="Y1" s="467"/>
      <c r="Z1" s="498"/>
    </row>
    <row r="2" spans="1:26" ht="15.75" customHeight="1" thickBot="1" x14ac:dyDescent="0.3">
      <c r="A2" s="509" t="s">
        <v>1590</v>
      </c>
      <c r="B2" s="468"/>
      <c r="C2" s="12" t="s">
        <v>1428</v>
      </c>
      <c r="D2" s="13" t="s">
        <v>1591</v>
      </c>
      <c r="E2" s="13" t="s">
        <v>1428</v>
      </c>
      <c r="F2" s="14" t="s">
        <v>24</v>
      </c>
      <c r="G2" s="15" t="s">
        <v>1428</v>
      </c>
      <c r="H2" s="13" t="s">
        <v>1591</v>
      </c>
      <c r="I2" s="13" t="s">
        <v>1428</v>
      </c>
      <c r="J2" s="14" t="s">
        <v>24</v>
      </c>
      <c r="K2" s="15" t="s">
        <v>1428</v>
      </c>
      <c r="L2" s="13" t="s">
        <v>1591</v>
      </c>
      <c r="M2" s="13" t="s">
        <v>1428</v>
      </c>
      <c r="N2" s="14" t="s">
        <v>24</v>
      </c>
      <c r="O2" s="15" t="s">
        <v>1428</v>
      </c>
      <c r="P2" s="13" t="s">
        <v>1591</v>
      </c>
      <c r="Q2" s="13" t="s">
        <v>1428</v>
      </c>
      <c r="R2" s="14" t="s">
        <v>24</v>
      </c>
      <c r="S2" s="15" t="s">
        <v>1428</v>
      </c>
      <c r="T2" s="13" t="s">
        <v>1591</v>
      </c>
      <c r="U2" s="13" t="s">
        <v>1428</v>
      </c>
      <c r="V2" s="14" t="s">
        <v>24</v>
      </c>
      <c r="W2" s="15" t="s">
        <v>1428</v>
      </c>
      <c r="X2" s="13" t="s">
        <v>1591</v>
      </c>
      <c r="Y2" s="13" t="s">
        <v>1428</v>
      </c>
      <c r="Z2" s="14" t="s">
        <v>24</v>
      </c>
    </row>
    <row r="3" spans="1:26" ht="286.5" customHeight="1" x14ac:dyDescent="0.25">
      <c r="A3" s="494" t="s">
        <v>1592</v>
      </c>
      <c r="B3" s="491" t="s">
        <v>1593</v>
      </c>
      <c r="C3" s="469" t="s">
        <v>1594</v>
      </c>
      <c r="D3" s="385" t="s">
        <v>1595</v>
      </c>
      <c r="E3" s="10" t="s">
        <v>1596</v>
      </c>
      <c r="F3" s="17" t="s">
        <v>1597</v>
      </c>
      <c r="G3" s="469" t="s">
        <v>1594</v>
      </c>
      <c r="H3" s="385" t="s">
        <v>1595</v>
      </c>
      <c r="I3" s="10" t="s">
        <v>1596</v>
      </c>
      <c r="J3" s="17" t="s">
        <v>1597</v>
      </c>
      <c r="K3" s="507" t="s">
        <v>1598</v>
      </c>
      <c r="L3" s="386" t="s">
        <v>1595</v>
      </c>
      <c r="M3" s="18" t="s">
        <v>1596</v>
      </c>
      <c r="N3" s="19" t="s">
        <v>1599</v>
      </c>
      <c r="O3" s="469" t="s">
        <v>1600</v>
      </c>
      <c r="P3" s="385" t="s">
        <v>1595</v>
      </c>
      <c r="Q3" s="297"/>
      <c r="R3" s="20" t="s">
        <v>1601</v>
      </c>
      <c r="S3" s="477"/>
      <c r="T3" s="387" t="s">
        <v>1595</v>
      </c>
      <c r="U3" s="388"/>
      <c r="V3" s="21" t="s">
        <v>1602</v>
      </c>
      <c r="W3" s="469" t="s">
        <v>1603</v>
      </c>
      <c r="X3" s="385" t="s">
        <v>1595</v>
      </c>
      <c r="Y3" s="297"/>
      <c r="Z3" s="17" t="s">
        <v>1604</v>
      </c>
    </row>
    <row r="4" spans="1:26" x14ac:dyDescent="0.25">
      <c r="A4" s="473"/>
      <c r="B4" s="484"/>
      <c r="C4" s="470"/>
      <c r="D4" s="389" t="s">
        <v>1605</v>
      </c>
      <c r="E4" s="390">
        <v>13900244911</v>
      </c>
      <c r="F4" s="22"/>
      <c r="G4" s="470"/>
      <c r="H4" s="389" t="s">
        <v>1605</v>
      </c>
      <c r="I4" s="390">
        <v>13900244911</v>
      </c>
      <c r="J4" s="22"/>
      <c r="K4" s="470"/>
      <c r="L4" s="391" t="s">
        <v>1605</v>
      </c>
      <c r="M4" s="392">
        <v>13900244911</v>
      </c>
      <c r="N4" s="23"/>
      <c r="O4" s="470"/>
      <c r="P4" s="389" t="s">
        <v>1605</v>
      </c>
      <c r="Q4" s="393">
        <v>13900244911</v>
      </c>
      <c r="R4" s="22"/>
      <c r="S4" s="470"/>
      <c r="T4" s="394" t="s">
        <v>1605</v>
      </c>
      <c r="U4" s="395">
        <v>13900244911</v>
      </c>
      <c r="V4" s="24"/>
      <c r="W4" s="470"/>
      <c r="X4" s="389" t="s">
        <v>1605</v>
      </c>
      <c r="Y4" s="165"/>
      <c r="Z4" s="22"/>
    </row>
    <row r="5" spans="1:26" x14ac:dyDescent="0.25">
      <c r="A5" s="473"/>
      <c r="B5" s="484"/>
      <c r="C5" s="470"/>
      <c r="D5" s="389" t="s">
        <v>1606</v>
      </c>
      <c r="E5" s="165" t="s">
        <v>1607</v>
      </c>
      <c r="F5" s="22"/>
      <c r="G5" s="470"/>
      <c r="H5" s="389" t="s">
        <v>1606</v>
      </c>
      <c r="I5" s="165" t="s">
        <v>1607</v>
      </c>
      <c r="J5" s="22"/>
      <c r="K5" s="470"/>
      <c r="L5" s="391" t="s">
        <v>1606</v>
      </c>
      <c r="M5" s="396" t="s">
        <v>1607</v>
      </c>
      <c r="N5" s="23"/>
      <c r="O5" s="470"/>
      <c r="P5" s="389" t="s">
        <v>1606</v>
      </c>
      <c r="Q5" s="166" t="s">
        <v>1607</v>
      </c>
      <c r="R5" s="22"/>
      <c r="S5" s="470"/>
      <c r="T5" s="394" t="s">
        <v>1606</v>
      </c>
      <c r="U5" s="397" t="s">
        <v>1607</v>
      </c>
      <c r="V5" s="24"/>
      <c r="W5" s="470"/>
      <c r="X5" s="389" t="s">
        <v>1606</v>
      </c>
      <c r="Y5" s="165"/>
      <c r="Z5" s="22"/>
    </row>
    <row r="6" spans="1:26" ht="87" customHeight="1" x14ac:dyDescent="0.25">
      <c r="A6" s="473"/>
      <c r="B6" s="484"/>
      <c r="C6" s="470"/>
      <c r="D6" s="389" t="s">
        <v>1608</v>
      </c>
      <c r="E6" s="398" t="s">
        <v>1609</v>
      </c>
      <c r="F6" s="22"/>
      <c r="G6" s="470"/>
      <c r="H6" s="389" t="s">
        <v>1608</v>
      </c>
      <c r="I6" s="398" t="s">
        <v>1609</v>
      </c>
      <c r="J6" s="22"/>
      <c r="K6" s="470"/>
      <c r="L6" s="391" t="s">
        <v>1608</v>
      </c>
      <c r="M6" s="399" t="s">
        <v>1609</v>
      </c>
      <c r="N6" s="23"/>
      <c r="O6" s="470"/>
      <c r="P6" s="389" t="s">
        <v>1608</v>
      </c>
      <c r="Q6" s="400" t="s">
        <v>1609</v>
      </c>
      <c r="R6" s="22"/>
      <c r="S6" s="470"/>
      <c r="T6" s="394" t="s">
        <v>1608</v>
      </c>
      <c r="U6" s="401" t="s">
        <v>1609</v>
      </c>
      <c r="V6" s="24"/>
      <c r="W6" s="470"/>
      <c r="X6" s="389" t="s">
        <v>1608</v>
      </c>
      <c r="Y6" s="398" t="s">
        <v>1609</v>
      </c>
      <c r="Z6" s="22"/>
    </row>
    <row r="7" spans="1:26" x14ac:dyDescent="0.25">
      <c r="A7" s="473"/>
      <c r="B7" s="484"/>
      <c r="C7" s="470"/>
      <c r="D7" s="389" t="s">
        <v>1610</v>
      </c>
      <c r="E7" s="165" t="s">
        <v>1611</v>
      </c>
      <c r="F7" s="22"/>
      <c r="G7" s="470"/>
      <c r="H7" s="389" t="s">
        <v>1610</v>
      </c>
      <c r="I7" s="165" t="s">
        <v>1611</v>
      </c>
      <c r="J7" s="22"/>
      <c r="K7" s="470"/>
      <c r="L7" s="391" t="s">
        <v>1610</v>
      </c>
      <c r="M7" s="396" t="s">
        <v>1611</v>
      </c>
      <c r="N7" s="23"/>
      <c r="O7" s="470"/>
      <c r="P7" s="389" t="s">
        <v>1610</v>
      </c>
      <c r="Q7" s="166" t="s">
        <v>1611</v>
      </c>
      <c r="R7" s="22"/>
      <c r="S7" s="470"/>
      <c r="T7" s="394" t="s">
        <v>1610</v>
      </c>
      <c r="U7" s="397" t="s">
        <v>1611</v>
      </c>
      <c r="V7" s="24"/>
      <c r="W7" s="470"/>
      <c r="X7" s="389" t="s">
        <v>1610</v>
      </c>
      <c r="Y7" s="165"/>
      <c r="Z7" s="22"/>
    </row>
    <row r="8" spans="1:26" x14ac:dyDescent="0.25">
      <c r="A8" s="473"/>
      <c r="B8" s="446"/>
      <c r="C8" s="471"/>
      <c r="D8" s="389" t="s">
        <v>1612</v>
      </c>
      <c r="E8" s="165"/>
      <c r="F8" s="22" t="s">
        <v>1613</v>
      </c>
      <c r="G8" s="471"/>
      <c r="H8" s="389" t="s">
        <v>1612</v>
      </c>
      <c r="I8" s="165"/>
      <c r="J8" s="22" t="s">
        <v>1613</v>
      </c>
      <c r="K8" s="471"/>
      <c r="L8" s="391" t="s">
        <v>1612</v>
      </c>
      <c r="M8" s="396"/>
      <c r="N8" s="23"/>
      <c r="O8" s="471"/>
      <c r="P8" s="389" t="s">
        <v>1612</v>
      </c>
      <c r="Q8" s="166"/>
      <c r="R8" s="22"/>
      <c r="S8" s="471"/>
      <c r="T8" s="394" t="s">
        <v>1612</v>
      </c>
      <c r="U8" s="397"/>
      <c r="V8" s="24"/>
      <c r="W8" s="471"/>
      <c r="X8" s="389" t="s">
        <v>1612</v>
      </c>
      <c r="Y8" s="165"/>
      <c r="Z8" s="22"/>
    </row>
    <row r="9" spans="1:26" ht="30" customHeight="1" x14ac:dyDescent="0.25">
      <c r="A9" s="473"/>
      <c r="B9" s="512" t="s">
        <v>1614</v>
      </c>
      <c r="C9" s="500" t="s">
        <v>1615</v>
      </c>
      <c r="D9" s="389" t="s">
        <v>1616</v>
      </c>
      <c r="E9" s="217" t="s">
        <v>1617</v>
      </c>
      <c r="F9" s="22"/>
      <c r="G9" s="500" t="s">
        <v>1615</v>
      </c>
      <c r="H9" s="389" t="s">
        <v>1616</v>
      </c>
      <c r="I9" s="217" t="s">
        <v>1617</v>
      </c>
      <c r="J9" s="22"/>
      <c r="K9" s="501" t="s">
        <v>1618</v>
      </c>
      <c r="L9" s="391" t="s">
        <v>1616</v>
      </c>
      <c r="M9" s="403" t="s">
        <v>1617</v>
      </c>
      <c r="N9" s="23"/>
      <c r="O9" s="500" t="s">
        <v>1619</v>
      </c>
      <c r="P9" s="389" t="s">
        <v>1616</v>
      </c>
      <c r="Q9" s="217" t="s">
        <v>1617</v>
      </c>
      <c r="R9" s="22"/>
      <c r="S9" s="527"/>
      <c r="T9" s="394" t="s">
        <v>1616</v>
      </c>
      <c r="U9" s="397"/>
      <c r="V9" s="24"/>
      <c r="W9" s="524"/>
      <c r="X9" s="389" t="s">
        <v>1616</v>
      </c>
      <c r="Y9" s="165"/>
      <c r="Z9" s="22"/>
    </row>
    <row r="10" spans="1:26" x14ac:dyDescent="0.25">
      <c r="A10" s="473"/>
      <c r="B10" s="484"/>
      <c r="C10" s="470"/>
      <c r="D10" s="389" t="s">
        <v>1620</v>
      </c>
      <c r="E10" s="165"/>
      <c r="F10" s="22"/>
      <c r="G10" s="470"/>
      <c r="H10" s="389" t="s">
        <v>1620</v>
      </c>
      <c r="I10" s="165"/>
      <c r="J10" s="22"/>
      <c r="K10" s="470"/>
      <c r="L10" s="391" t="s">
        <v>1620</v>
      </c>
      <c r="M10" s="396"/>
      <c r="N10" s="23"/>
      <c r="O10" s="470"/>
      <c r="P10" s="389" t="s">
        <v>1620</v>
      </c>
      <c r="Q10" s="165"/>
      <c r="R10" s="22"/>
      <c r="S10" s="470"/>
      <c r="T10" s="394" t="s">
        <v>1620</v>
      </c>
      <c r="U10" s="397"/>
      <c r="V10" s="24"/>
      <c r="W10" s="470"/>
      <c r="X10" s="389" t="s">
        <v>1620</v>
      </c>
      <c r="Y10" s="165"/>
      <c r="Z10" s="22"/>
    </row>
    <row r="11" spans="1:26" x14ac:dyDescent="0.25">
      <c r="A11" s="473"/>
      <c r="B11" s="484"/>
      <c r="C11" s="470"/>
      <c r="D11" s="389" t="s">
        <v>1610</v>
      </c>
      <c r="E11" s="165"/>
      <c r="F11" s="22"/>
      <c r="G11" s="470"/>
      <c r="H11" s="389" t="s">
        <v>1610</v>
      </c>
      <c r="I11" s="165"/>
      <c r="J11" s="22"/>
      <c r="K11" s="470"/>
      <c r="L11" s="391" t="s">
        <v>1610</v>
      </c>
      <c r="M11" s="396"/>
      <c r="N11" s="23"/>
      <c r="O11" s="470"/>
      <c r="P11" s="389" t="s">
        <v>1610</v>
      </c>
      <c r="Q11" s="165"/>
      <c r="R11" s="22"/>
      <c r="S11" s="470"/>
      <c r="T11" s="394" t="s">
        <v>1610</v>
      </c>
      <c r="U11" s="397"/>
      <c r="V11" s="24"/>
      <c r="W11" s="470"/>
      <c r="X11" s="389" t="s">
        <v>1610</v>
      </c>
      <c r="Y11" s="165"/>
      <c r="Z11" s="22"/>
    </row>
    <row r="12" spans="1:26" ht="15.75" customHeight="1" thickBot="1" x14ac:dyDescent="0.3">
      <c r="A12" s="495"/>
      <c r="B12" s="513"/>
      <c r="C12" s="475"/>
      <c r="D12" s="25" t="s">
        <v>1612</v>
      </c>
      <c r="E12" s="26"/>
      <c r="F12" s="27"/>
      <c r="G12" s="475"/>
      <c r="H12" s="25" t="s">
        <v>1612</v>
      </c>
      <c r="I12" s="26"/>
      <c r="J12" s="27"/>
      <c r="K12" s="475"/>
      <c r="L12" s="28" t="s">
        <v>1612</v>
      </c>
      <c r="M12" s="29"/>
      <c r="N12" s="30"/>
      <c r="O12" s="475"/>
      <c r="P12" s="25" t="s">
        <v>1612</v>
      </c>
      <c r="Q12" s="26"/>
      <c r="R12" s="27"/>
      <c r="S12" s="475"/>
      <c r="T12" s="31" t="s">
        <v>1612</v>
      </c>
      <c r="U12" s="32"/>
      <c r="V12" s="33"/>
      <c r="W12" s="475"/>
      <c r="X12" s="25" t="s">
        <v>1612</v>
      </c>
      <c r="Y12" s="26"/>
      <c r="Z12" s="27"/>
    </row>
    <row r="13" spans="1:26" x14ac:dyDescent="0.25">
      <c r="A13" s="509" t="s">
        <v>1301</v>
      </c>
      <c r="B13" s="465" t="s">
        <v>1621</v>
      </c>
      <c r="C13" s="525">
        <v>100170460</v>
      </c>
      <c r="D13" s="34" t="s">
        <v>1622</v>
      </c>
      <c r="E13" s="35">
        <v>10573076</v>
      </c>
      <c r="F13" s="36"/>
      <c r="G13" s="511">
        <v>10949272</v>
      </c>
      <c r="H13" s="34" t="s">
        <v>1622</v>
      </c>
      <c r="I13" s="35">
        <v>10573076</v>
      </c>
      <c r="J13" s="36"/>
      <c r="K13" s="511">
        <v>10949272</v>
      </c>
      <c r="L13" s="34" t="s">
        <v>1622</v>
      </c>
      <c r="M13" s="35">
        <v>10573076</v>
      </c>
      <c r="N13" s="36"/>
      <c r="O13" s="525">
        <v>100170460</v>
      </c>
      <c r="P13" s="34" t="s">
        <v>1622</v>
      </c>
      <c r="Q13" s="35">
        <v>10573076</v>
      </c>
      <c r="R13" s="36"/>
      <c r="S13" s="516"/>
      <c r="T13" s="37" t="s">
        <v>1622</v>
      </c>
      <c r="U13" s="37"/>
      <c r="V13" s="38"/>
      <c r="W13" s="525"/>
      <c r="X13" s="34" t="s">
        <v>1622</v>
      </c>
      <c r="Y13" s="34"/>
      <c r="Z13" s="36"/>
    </row>
    <row r="14" spans="1:26" x14ac:dyDescent="0.25">
      <c r="A14" s="473"/>
      <c r="B14" s="484"/>
      <c r="C14" s="470"/>
      <c r="D14" s="165" t="s">
        <v>1623</v>
      </c>
      <c r="E14" s="7">
        <v>10561136</v>
      </c>
      <c r="F14" s="22"/>
      <c r="G14" s="470"/>
      <c r="H14" s="165" t="s">
        <v>1623</v>
      </c>
      <c r="I14" s="7">
        <v>10561136</v>
      </c>
      <c r="J14" s="22"/>
      <c r="K14" s="470"/>
      <c r="L14" s="165" t="s">
        <v>1623</v>
      </c>
      <c r="M14" s="7">
        <v>10561136</v>
      </c>
      <c r="N14" s="22"/>
      <c r="O14" s="470"/>
      <c r="P14" s="165" t="s">
        <v>1623</v>
      </c>
      <c r="Q14" s="166">
        <v>10561136</v>
      </c>
      <c r="R14" s="22"/>
      <c r="S14" s="470"/>
      <c r="T14" s="397" t="s">
        <v>1623</v>
      </c>
      <c r="U14" s="397"/>
      <c r="V14" s="24"/>
      <c r="W14" s="470"/>
      <c r="X14" s="165" t="s">
        <v>1623</v>
      </c>
      <c r="Y14" s="165"/>
      <c r="Z14" s="22" t="s">
        <v>1624</v>
      </c>
    </row>
    <row r="15" spans="1:26" x14ac:dyDescent="0.25">
      <c r="A15" s="473"/>
      <c r="B15" s="484"/>
      <c r="C15" s="470"/>
      <c r="D15" s="165" t="s">
        <v>1625</v>
      </c>
      <c r="E15" s="166" t="s">
        <v>1626</v>
      </c>
      <c r="F15" s="22"/>
      <c r="G15" s="470"/>
      <c r="H15" s="165" t="s">
        <v>1625</v>
      </c>
      <c r="I15" s="166" t="s">
        <v>1626</v>
      </c>
      <c r="J15" s="22"/>
      <c r="K15" s="470"/>
      <c r="L15" s="165" t="s">
        <v>1625</v>
      </c>
      <c r="M15" s="166" t="s">
        <v>1626</v>
      </c>
      <c r="N15" s="22"/>
      <c r="O15" s="470"/>
      <c r="P15" s="165" t="s">
        <v>1625</v>
      </c>
      <c r="Q15" s="7" t="s">
        <v>1626</v>
      </c>
      <c r="R15" s="22"/>
      <c r="S15" s="470"/>
      <c r="T15" s="397" t="s">
        <v>1625</v>
      </c>
      <c r="U15" s="397"/>
      <c r="V15" s="24"/>
      <c r="W15" s="470"/>
      <c r="X15" s="165" t="s">
        <v>1625</v>
      </c>
      <c r="Y15" s="165"/>
      <c r="Z15" s="22"/>
    </row>
    <row r="16" spans="1:26" x14ac:dyDescent="0.25">
      <c r="A16" s="473"/>
      <c r="B16" s="446"/>
      <c r="C16" s="471"/>
      <c r="D16" s="165" t="s">
        <v>1441</v>
      </c>
      <c r="E16" s="166">
        <v>102895</v>
      </c>
      <c r="F16" s="22"/>
      <c r="G16" s="471"/>
      <c r="H16" s="165" t="s">
        <v>1441</v>
      </c>
      <c r="I16" s="404" t="s">
        <v>1444</v>
      </c>
      <c r="J16" s="40" t="s">
        <v>1627</v>
      </c>
      <c r="K16" s="471"/>
      <c r="L16" s="165" t="s">
        <v>1441</v>
      </c>
      <c r="M16" s="404" t="s">
        <v>1445</v>
      </c>
      <c r="N16" s="40" t="s">
        <v>1627</v>
      </c>
      <c r="O16" s="471"/>
      <c r="P16" s="165" t="s">
        <v>1441</v>
      </c>
      <c r="Q16" s="404" t="s">
        <v>1628</v>
      </c>
      <c r="R16" s="41" t="s">
        <v>1629</v>
      </c>
      <c r="S16" s="471"/>
      <c r="T16" s="397" t="s">
        <v>1630</v>
      </c>
      <c r="U16" s="397"/>
      <c r="V16" s="24"/>
      <c r="W16" s="471"/>
      <c r="X16" s="165" t="s">
        <v>1441</v>
      </c>
      <c r="Y16" s="165"/>
      <c r="Z16" s="40" t="s">
        <v>1627</v>
      </c>
    </row>
    <row r="17" spans="1:26" x14ac:dyDescent="0.25">
      <c r="A17" s="473"/>
      <c r="B17" s="512" t="s">
        <v>1631</v>
      </c>
      <c r="C17" s="476">
        <v>100170464</v>
      </c>
      <c r="D17" s="389" t="s">
        <v>1622</v>
      </c>
      <c r="E17" s="405">
        <v>10573076</v>
      </c>
      <c r="F17" s="22"/>
      <c r="G17" s="496">
        <v>10949356</v>
      </c>
      <c r="H17" s="165" t="s">
        <v>1622</v>
      </c>
      <c r="I17" s="405">
        <v>10573076</v>
      </c>
      <c r="J17" s="22"/>
      <c r="K17" s="496">
        <v>10949356</v>
      </c>
      <c r="L17" s="165" t="s">
        <v>1622</v>
      </c>
      <c r="M17" s="405">
        <v>10573076</v>
      </c>
      <c r="N17" s="22"/>
      <c r="O17" s="476">
        <v>100170464</v>
      </c>
      <c r="P17" s="165" t="s">
        <v>1622</v>
      </c>
      <c r="Q17" s="9">
        <v>10573076</v>
      </c>
      <c r="R17" s="22"/>
      <c r="S17" s="508"/>
      <c r="T17" s="397" t="s">
        <v>1622</v>
      </c>
      <c r="U17" s="397"/>
      <c r="V17" s="24"/>
      <c r="W17" s="476"/>
      <c r="X17" s="165" t="s">
        <v>1622</v>
      </c>
      <c r="Y17" s="165"/>
      <c r="Z17" s="22"/>
    </row>
    <row r="18" spans="1:26" x14ac:dyDescent="0.25">
      <c r="A18" s="473"/>
      <c r="B18" s="484"/>
      <c r="C18" s="470"/>
      <c r="D18" s="389" t="s">
        <v>1623</v>
      </c>
      <c r="E18" s="42">
        <v>10572700</v>
      </c>
      <c r="F18" s="22"/>
      <c r="G18" s="470"/>
      <c r="H18" s="165" t="s">
        <v>1623</v>
      </c>
      <c r="I18" s="42">
        <v>10572700</v>
      </c>
      <c r="J18" s="22"/>
      <c r="K18" s="470"/>
      <c r="L18" s="165" t="s">
        <v>1623</v>
      </c>
      <c r="M18" s="42">
        <v>10572700</v>
      </c>
      <c r="N18" s="22"/>
      <c r="O18" s="470"/>
      <c r="P18" s="165" t="s">
        <v>1623</v>
      </c>
      <c r="Q18" s="406">
        <v>10572700</v>
      </c>
      <c r="R18" s="22" t="s">
        <v>1632</v>
      </c>
      <c r="S18" s="470"/>
      <c r="T18" s="397" t="s">
        <v>1623</v>
      </c>
      <c r="U18" s="397"/>
      <c r="V18" s="24"/>
      <c r="W18" s="470"/>
      <c r="X18" s="165" t="s">
        <v>1623</v>
      </c>
      <c r="Y18" s="165"/>
      <c r="Z18" s="22"/>
    </row>
    <row r="19" spans="1:26" x14ac:dyDescent="0.25">
      <c r="A19" s="473"/>
      <c r="B19" s="484"/>
      <c r="C19" s="470"/>
      <c r="D19" s="389" t="s">
        <v>1625</v>
      </c>
      <c r="E19" s="166" t="s">
        <v>1633</v>
      </c>
      <c r="F19" s="22"/>
      <c r="G19" s="470"/>
      <c r="H19" s="165" t="s">
        <v>1625</v>
      </c>
      <c r="I19" s="166" t="s">
        <v>1633</v>
      </c>
      <c r="J19" s="22"/>
      <c r="K19" s="470"/>
      <c r="L19" s="165" t="s">
        <v>1625</v>
      </c>
      <c r="M19" s="166" t="s">
        <v>1633</v>
      </c>
      <c r="N19" s="22"/>
      <c r="O19" s="470"/>
      <c r="P19" s="165" t="s">
        <v>1625</v>
      </c>
      <c r="Q19" s="404" t="s">
        <v>1634</v>
      </c>
      <c r="R19" s="22" t="s">
        <v>1635</v>
      </c>
      <c r="S19" s="470"/>
      <c r="T19" s="397" t="s">
        <v>1625</v>
      </c>
      <c r="U19" s="407" t="s">
        <v>1633</v>
      </c>
      <c r="V19" s="24"/>
      <c r="W19" s="470"/>
      <c r="X19" s="165" t="s">
        <v>1625</v>
      </c>
      <c r="Y19" s="166" t="s">
        <v>1633</v>
      </c>
      <c r="Z19" s="22"/>
    </row>
    <row r="20" spans="1:26" x14ac:dyDescent="0.25">
      <c r="A20" s="473"/>
      <c r="B20" s="513"/>
      <c r="C20" s="471"/>
      <c r="D20" s="165" t="s">
        <v>1441</v>
      </c>
      <c r="E20" s="7">
        <v>102895</v>
      </c>
      <c r="F20" s="22"/>
      <c r="G20" s="471"/>
      <c r="H20" s="165" t="s">
        <v>1441</v>
      </c>
      <c r="I20" s="404" t="s">
        <v>1444</v>
      </c>
      <c r="J20" s="40" t="s">
        <v>1627</v>
      </c>
      <c r="K20" s="471"/>
      <c r="L20" s="165" t="s">
        <v>1441</v>
      </c>
      <c r="M20" s="404" t="s">
        <v>1445</v>
      </c>
      <c r="N20" s="40" t="s">
        <v>1627</v>
      </c>
      <c r="O20" s="471"/>
      <c r="P20" s="165" t="s">
        <v>1441</v>
      </c>
      <c r="Q20" s="408">
        <v>102895</v>
      </c>
      <c r="R20" s="22"/>
      <c r="S20" s="471"/>
      <c r="T20" s="397" t="s">
        <v>1441</v>
      </c>
      <c r="U20" s="397"/>
      <c r="V20" s="24"/>
      <c r="W20" s="471"/>
      <c r="X20" s="165" t="s">
        <v>1441</v>
      </c>
      <c r="Y20" s="165"/>
      <c r="Z20" s="40" t="s">
        <v>1627</v>
      </c>
    </row>
    <row r="21" spans="1:26" x14ac:dyDescent="0.25">
      <c r="A21" s="473"/>
      <c r="B21" s="512" t="s">
        <v>1636</v>
      </c>
      <c r="C21" s="476" t="s">
        <v>1637</v>
      </c>
      <c r="D21" s="389" t="s">
        <v>1622</v>
      </c>
      <c r="E21" s="396"/>
      <c r="F21" s="23"/>
      <c r="G21" s="476" t="s">
        <v>1637</v>
      </c>
      <c r="H21" s="165" t="s">
        <v>1622</v>
      </c>
      <c r="I21" s="396"/>
      <c r="J21" s="23"/>
      <c r="K21" s="476" t="s">
        <v>1637</v>
      </c>
      <c r="L21" s="165" t="s">
        <v>1622</v>
      </c>
      <c r="M21" s="396"/>
      <c r="N21" s="23"/>
      <c r="O21" s="496">
        <v>10851208</v>
      </c>
      <c r="P21" s="165" t="s">
        <v>1622</v>
      </c>
      <c r="Q21" s="166">
        <v>10573076</v>
      </c>
      <c r="R21" s="22"/>
      <c r="S21" s="508"/>
      <c r="T21" s="397" t="s">
        <v>1622</v>
      </c>
      <c r="U21" s="397"/>
      <c r="V21" s="24"/>
      <c r="W21" s="476"/>
      <c r="X21" s="165" t="s">
        <v>1622</v>
      </c>
      <c r="Y21" s="396"/>
      <c r="Z21" s="23"/>
    </row>
    <row r="22" spans="1:26" x14ac:dyDescent="0.25">
      <c r="A22" s="473"/>
      <c r="B22" s="484"/>
      <c r="C22" s="470"/>
      <c r="D22" s="389" t="s">
        <v>1623</v>
      </c>
      <c r="E22" s="396"/>
      <c r="F22" s="23"/>
      <c r="G22" s="470"/>
      <c r="H22" s="165" t="s">
        <v>1623</v>
      </c>
      <c r="I22" s="396"/>
      <c r="J22" s="23"/>
      <c r="K22" s="470"/>
      <c r="L22" s="165" t="s">
        <v>1623</v>
      </c>
      <c r="M22" s="396"/>
      <c r="N22" s="23"/>
      <c r="O22" s="470"/>
      <c r="P22" s="165" t="s">
        <v>1623</v>
      </c>
      <c r="Q22" s="166">
        <v>10882275</v>
      </c>
      <c r="R22" s="22" t="s">
        <v>1638</v>
      </c>
      <c r="S22" s="470"/>
      <c r="T22" s="397" t="s">
        <v>1623</v>
      </c>
      <c r="U22" s="397"/>
      <c r="V22" s="24"/>
      <c r="W22" s="470"/>
      <c r="X22" s="165" t="s">
        <v>1623</v>
      </c>
      <c r="Y22" s="396"/>
      <c r="Z22" s="23"/>
    </row>
    <row r="23" spans="1:26" x14ac:dyDescent="0.25">
      <c r="A23" s="473"/>
      <c r="B23" s="484"/>
      <c r="C23" s="470"/>
      <c r="D23" s="389" t="s">
        <v>1625</v>
      </c>
      <c r="E23" s="396"/>
      <c r="F23" s="23"/>
      <c r="G23" s="470"/>
      <c r="H23" s="165" t="s">
        <v>1625</v>
      </c>
      <c r="I23" s="396"/>
      <c r="J23" s="23"/>
      <c r="K23" s="470"/>
      <c r="L23" s="165" t="s">
        <v>1625</v>
      </c>
      <c r="M23" s="396"/>
      <c r="N23" s="23"/>
      <c r="O23" s="470"/>
      <c r="P23" s="165" t="s">
        <v>1625</v>
      </c>
      <c r="Q23" s="166" t="s">
        <v>1639</v>
      </c>
      <c r="R23" s="22"/>
      <c r="S23" s="470"/>
      <c r="T23" s="397" t="s">
        <v>1625</v>
      </c>
      <c r="U23" s="397"/>
      <c r="V23" s="24"/>
      <c r="W23" s="470"/>
      <c r="X23" s="165" t="s">
        <v>1625</v>
      </c>
      <c r="Y23" s="396"/>
      <c r="Z23" s="23"/>
    </row>
    <row r="24" spans="1:26" x14ac:dyDescent="0.25">
      <c r="A24" s="473"/>
      <c r="B24" s="513"/>
      <c r="C24" s="471"/>
      <c r="D24" s="389" t="s">
        <v>1630</v>
      </c>
      <c r="E24" s="396"/>
      <c r="F24" s="23"/>
      <c r="G24" s="471"/>
      <c r="H24" s="165" t="s">
        <v>1630</v>
      </c>
      <c r="I24" s="396"/>
      <c r="J24" s="23"/>
      <c r="K24" s="471"/>
      <c r="L24" s="165" t="s">
        <v>1630</v>
      </c>
      <c r="M24" s="396"/>
      <c r="N24" s="23"/>
      <c r="O24" s="471"/>
      <c r="P24" s="165" t="s">
        <v>1441</v>
      </c>
      <c r="Q24" s="404" t="s">
        <v>1628</v>
      </c>
      <c r="R24" s="41" t="s">
        <v>1640</v>
      </c>
      <c r="S24" s="471"/>
      <c r="T24" s="397" t="s">
        <v>1630</v>
      </c>
      <c r="U24" s="397"/>
      <c r="V24" s="24"/>
      <c r="W24" s="471"/>
      <c r="X24" s="165" t="s">
        <v>1630</v>
      </c>
      <c r="Y24" s="396"/>
      <c r="Z24" s="23"/>
    </row>
    <row r="25" spans="1:26" x14ac:dyDescent="0.25">
      <c r="A25" s="473"/>
      <c r="B25" s="512" t="s">
        <v>1641</v>
      </c>
      <c r="C25" s="476" t="s">
        <v>1637</v>
      </c>
      <c r="D25" s="389" t="s">
        <v>1622</v>
      </c>
      <c r="E25" s="396"/>
      <c r="F25" s="23"/>
      <c r="G25" s="476" t="s">
        <v>1637</v>
      </c>
      <c r="H25" s="165" t="s">
        <v>1622</v>
      </c>
      <c r="I25" s="396"/>
      <c r="J25" s="23"/>
      <c r="K25" s="476" t="s">
        <v>1637</v>
      </c>
      <c r="L25" s="165" t="s">
        <v>1622</v>
      </c>
      <c r="M25" s="396"/>
      <c r="N25" s="23"/>
      <c r="O25" s="526"/>
      <c r="P25" s="396" t="s">
        <v>1622</v>
      </c>
      <c r="Q25" s="396"/>
      <c r="R25" s="23"/>
      <c r="S25" s="523"/>
      <c r="T25" s="397" t="s">
        <v>1622</v>
      </c>
      <c r="U25" s="397"/>
      <c r="V25" s="24"/>
      <c r="W25" s="474"/>
      <c r="X25" s="165" t="s">
        <v>1622</v>
      </c>
      <c r="Y25" s="396"/>
      <c r="Z25" s="23"/>
    </row>
    <row r="26" spans="1:26" x14ac:dyDescent="0.25">
      <c r="A26" s="473"/>
      <c r="B26" s="484"/>
      <c r="C26" s="470"/>
      <c r="D26" s="389" t="s">
        <v>1623</v>
      </c>
      <c r="E26" s="396"/>
      <c r="F26" s="23"/>
      <c r="G26" s="470"/>
      <c r="H26" s="165" t="s">
        <v>1623</v>
      </c>
      <c r="I26" s="396"/>
      <c r="J26" s="23"/>
      <c r="K26" s="470"/>
      <c r="L26" s="165" t="s">
        <v>1623</v>
      </c>
      <c r="M26" s="396"/>
      <c r="N26" s="23"/>
      <c r="O26" s="470"/>
      <c r="P26" s="396" t="s">
        <v>1623</v>
      </c>
      <c r="Q26" s="396"/>
      <c r="R26" s="23"/>
      <c r="S26" s="470"/>
      <c r="T26" s="397" t="s">
        <v>1623</v>
      </c>
      <c r="U26" s="397"/>
      <c r="V26" s="24"/>
      <c r="W26" s="470"/>
      <c r="X26" s="165" t="s">
        <v>1623</v>
      </c>
      <c r="Y26" s="396"/>
      <c r="Z26" s="23"/>
    </row>
    <row r="27" spans="1:26" x14ac:dyDescent="0.25">
      <c r="A27" s="473"/>
      <c r="B27" s="484"/>
      <c r="C27" s="470"/>
      <c r="D27" s="389" t="s">
        <v>1625</v>
      </c>
      <c r="E27" s="396"/>
      <c r="F27" s="23"/>
      <c r="G27" s="470"/>
      <c r="H27" s="165" t="s">
        <v>1625</v>
      </c>
      <c r="I27" s="396"/>
      <c r="J27" s="23"/>
      <c r="K27" s="470"/>
      <c r="L27" s="165" t="s">
        <v>1625</v>
      </c>
      <c r="M27" s="396"/>
      <c r="N27" s="23"/>
      <c r="O27" s="470"/>
      <c r="P27" s="396" t="s">
        <v>1625</v>
      </c>
      <c r="Q27" s="396"/>
      <c r="R27" s="23"/>
      <c r="S27" s="470"/>
      <c r="T27" s="397" t="s">
        <v>1625</v>
      </c>
      <c r="U27" s="397"/>
      <c r="V27" s="24"/>
      <c r="W27" s="470"/>
      <c r="X27" s="165" t="s">
        <v>1625</v>
      </c>
      <c r="Y27" s="396"/>
      <c r="Z27" s="23"/>
    </row>
    <row r="28" spans="1:26" ht="15.75" customHeight="1" thickBot="1" x14ac:dyDescent="0.3">
      <c r="A28" s="510"/>
      <c r="B28" s="513"/>
      <c r="C28" s="471"/>
      <c r="D28" s="25" t="s">
        <v>1630</v>
      </c>
      <c r="E28" s="29"/>
      <c r="F28" s="30"/>
      <c r="G28" s="471"/>
      <c r="H28" s="26" t="s">
        <v>1630</v>
      </c>
      <c r="I28" s="29"/>
      <c r="J28" s="30"/>
      <c r="K28" s="471"/>
      <c r="L28" s="26" t="s">
        <v>1630</v>
      </c>
      <c r="M28" s="29"/>
      <c r="N28" s="30"/>
      <c r="O28" s="475"/>
      <c r="P28" s="29" t="s">
        <v>1441</v>
      </c>
      <c r="Q28" s="29"/>
      <c r="R28" s="30"/>
      <c r="S28" s="475"/>
      <c r="T28" s="32" t="s">
        <v>1630</v>
      </c>
      <c r="U28" s="32"/>
      <c r="V28" s="33"/>
      <c r="W28" s="475"/>
      <c r="X28" s="26" t="s">
        <v>1630</v>
      </c>
      <c r="Y28" s="29"/>
      <c r="Z28" s="30"/>
    </row>
    <row r="29" spans="1:26" ht="101.45" customHeight="1" x14ac:dyDescent="0.25">
      <c r="A29" s="494" t="s">
        <v>1642</v>
      </c>
      <c r="B29" s="494" t="s">
        <v>1643</v>
      </c>
      <c r="C29" s="44"/>
      <c r="D29" s="45" t="s">
        <v>1644</v>
      </c>
      <c r="E29" s="34" t="s">
        <v>1448</v>
      </c>
      <c r="F29" s="36"/>
      <c r="G29" s="44"/>
      <c r="H29" s="45" t="s">
        <v>1644</v>
      </c>
      <c r="I29" s="34" t="s">
        <v>1448</v>
      </c>
      <c r="J29" s="36"/>
      <c r="K29" s="44"/>
      <c r="L29" s="45" t="s">
        <v>1644</v>
      </c>
      <c r="M29" s="520" t="s">
        <v>1645</v>
      </c>
      <c r="N29" s="504"/>
      <c r="O29" s="44"/>
      <c r="P29" s="45" t="s">
        <v>1644</v>
      </c>
      <c r="Q29" s="34" t="s">
        <v>1448</v>
      </c>
      <c r="R29" s="36"/>
      <c r="S29" s="44"/>
      <c r="T29" s="45" t="s">
        <v>1644</v>
      </c>
      <c r="U29" s="34" t="s">
        <v>1448</v>
      </c>
      <c r="V29" s="36"/>
      <c r="W29" s="46"/>
      <c r="X29" s="45" t="s">
        <v>1644</v>
      </c>
      <c r="Y29" s="34" t="s">
        <v>1646</v>
      </c>
      <c r="Z29" s="47" t="s">
        <v>1647</v>
      </c>
    </row>
    <row r="30" spans="1:26" x14ac:dyDescent="0.25">
      <c r="A30" s="473"/>
      <c r="B30" s="473"/>
      <c r="C30" s="48"/>
      <c r="D30" s="409" t="s">
        <v>1648</v>
      </c>
      <c r="E30" s="165" t="s">
        <v>1454</v>
      </c>
      <c r="F30" s="22"/>
      <c r="G30" s="48"/>
      <c r="H30" s="409" t="s">
        <v>1648</v>
      </c>
      <c r="I30" s="165" t="s">
        <v>1454</v>
      </c>
      <c r="J30" s="22"/>
      <c r="K30" s="48"/>
      <c r="L30" s="409" t="s">
        <v>1648</v>
      </c>
      <c r="M30" s="521"/>
      <c r="N30" s="485"/>
      <c r="O30" s="48"/>
      <c r="P30" s="409" t="s">
        <v>1648</v>
      </c>
      <c r="Q30" s="165" t="s">
        <v>1454</v>
      </c>
      <c r="R30" s="22"/>
      <c r="S30" s="48"/>
      <c r="T30" s="409" t="s">
        <v>1648</v>
      </c>
      <c r="U30" s="165" t="s">
        <v>1454</v>
      </c>
      <c r="V30" s="22"/>
      <c r="W30" s="298"/>
      <c r="X30" s="409" t="s">
        <v>1648</v>
      </c>
      <c r="Y30" s="165" t="s">
        <v>1649</v>
      </c>
      <c r="Z30" s="22"/>
    </row>
    <row r="31" spans="1:26" ht="144.6" customHeight="1" x14ac:dyDescent="0.25">
      <c r="A31" s="473"/>
      <c r="B31" s="495"/>
      <c r="C31" s="48"/>
      <c r="D31" s="410" t="s">
        <v>1650</v>
      </c>
      <c r="E31" s="398" t="s">
        <v>1651</v>
      </c>
      <c r="F31" s="22"/>
      <c r="G31" s="48"/>
      <c r="H31" s="410" t="s">
        <v>1650</v>
      </c>
      <c r="I31" s="411" t="s">
        <v>1652</v>
      </c>
      <c r="J31" s="49" t="s">
        <v>1653</v>
      </c>
      <c r="K31" s="48"/>
      <c r="L31" s="410" t="s">
        <v>1650</v>
      </c>
      <c r="M31" s="521"/>
      <c r="N31" s="485"/>
      <c r="O31" s="48"/>
      <c r="P31" s="410" t="s">
        <v>1650</v>
      </c>
      <c r="Q31" s="343" t="s">
        <v>1651</v>
      </c>
      <c r="R31" s="22"/>
      <c r="S31" s="48"/>
      <c r="T31" s="410" t="s">
        <v>1650</v>
      </c>
      <c r="U31" s="343" t="s">
        <v>1651</v>
      </c>
      <c r="V31" s="22"/>
      <c r="W31" s="298"/>
      <c r="X31" s="410" t="s">
        <v>1650</v>
      </c>
      <c r="Y31" s="412" t="s">
        <v>1652</v>
      </c>
      <c r="Z31" s="50" t="s">
        <v>1653</v>
      </c>
    </row>
    <row r="32" spans="1:26" ht="29.1" customHeight="1" x14ac:dyDescent="0.25">
      <c r="A32" s="473"/>
      <c r="B32" s="16" t="s">
        <v>1654</v>
      </c>
      <c r="C32" s="48"/>
      <c r="D32" s="410" t="s">
        <v>1502</v>
      </c>
      <c r="E32" s="398" t="s">
        <v>1501</v>
      </c>
      <c r="F32" s="22"/>
      <c r="G32" s="48"/>
      <c r="H32" s="410" t="s">
        <v>1502</v>
      </c>
      <c r="I32" s="413" t="s">
        <v>1503</v>
      </c>
      <c r="J32" s="41" t="s">
        <v>1655</v>
      </c>
      <c r="K32" s="48"/>
      <c r="L32" s="410" t="s">
        <v>1502</v>
      </c>
      <c r="M32" s="521"/>
      <c r="N32" s="485"/>
      <c r="O32" s="48"/>
      <c r="P32" s="410" t="s">
        <v>1502</v>
      </c>
      <c r="Q32" s="398" t="s">
        <v>1501</v>
      </c>
      <c r="R32" s="22"/>
      <c r="S32" s="48"/>
      <c r="T32" s="410" t="s">
        <v>1502</v>
      </c>
      <c r="U32" s="398" t="s">
        <v>1501</v>
      </c>
      <c r="V32" s="22"/>
      <c r="W32" s="298"/>
      <c r="X32" s="410" t="s">
        <v>1502</v>
      </c>
      <c r="Y32" s="165" t="s">
        <v>1503</v>
      </c>
      <c r="Z32" s="41" t="s">
        <v>1655</v>
      </c>
    </row>
    <row r="33" spans="1:26" x14ac:dyDescent="0.25">
      <c r="A33" s="473"/>
      <c r="B33" s="402" t="s">
        <v>1656</v>
      </c>
      <c r="C33" s="48"/>
      <c r="D33" s="409" t="s">
        <v>1504</v>
      </c>
      <c r="E33" s="165" t="s">
        <v>1505</v>
      </c>
      <c r="F33" s="22"/>
      <c r="G33" s="48"/>
      <c r="H33" s="409" t="s">
        <v>1504</v>
      </c>
      <c r="I33" s="165" t="s">
        <v>1505</v>
      </c>
      <c r="J33" s="22"/>
      <c r="K33" s="48"/>
      <c r="L33" s="409" t="s">
        <v>1657</v>
      </c>
      <c r="M33" s="521"/>
      <c r="N33" s="485"/>
      <c r="O33" s="48"/>
      <c r="P33" s="409" t="s">
        <v>1504</v>
      </c>
      <c r="Q33" s="165" t="s">
        <v>1505</v>
      </c>
      <c r="R33" s="22"/>
      <c r="S33" s="48"/>
      <c r="T33" s="409" t="s">
        <v>1504</v>
      </c>
      <c r="U33" s="165" t="s">
        <v>1505</v>
      </c>
      <c r="V33" s="22"/>
      <c r="W33" s="298"/>
      <c r="X33" s="409" t="s">
        <v>1504</v>
      </c>
      <c r="Y33" s="165" t="s">
        <v>1505</v>
      </c>
      <c r="Z33" s="22"/>
    </row>
    <row r="34" spans="1:26" ht="14.45" customHeight="1" x14ac:dyDescent="0.25">
      <c r="A34" s="473"/>
      <c r="B34" s="472" t="s">
        <v>1658</v>
      </c>
      <c r="C34" s="48"/>
      <c r="D34" s="409" t="s">
        <v>1659</v>
      </c>
      <c r="E34" s="165" t="s">
        <v>1518</v>
      </c>
      <c r="F34" s="22"/>
      <c r="G34" s="48"/>
      <c r="H34" s="409" t="s">
        <v>1659</v>
      </c>
      <c r="I34" s="413" t="s">
        <v>1520</v>
      </c>
      <c r="J34" s="514" t="s">
        <v>1653</v>
      </c>
      <c r="K34" s="48"/>
      <c r="L34" s="409" t="s">
        <v>1659</v>
      </c>
      <c r="M34" s="521"/>
      <c r="N34" s="485"/>
      <c r="O34" s="48"/>
      <c r="P34" s="409" t="s">
        <v>1659</v>
      </c>
      <c r="Q34" s="165" t="s">
        <v>1518</v>
      </c>
      <c r="R34" s="22"/>
      <c r="S34" s="48"/>
      <c r="T34" s="409" t="s">
        <v>1659</v>
      </c>
      <c r="U34" s="165" t="s">
        <v>1518</v>
      </c>
      <c r="V34" s="22"/>
      <c r="W34" s="298"/>
      <c r="X34" s="409" t="s">
        <v>1659</v>
      </c>
      <c r="Y34" s="165" t="s">
        <v>1520</v>
      </c>
      <c r="Z34" s="514" t="s">
        <v>1653</v>
      </c>
    </row>
    <row r="35" spans="1:26" x14ac:dyDescent="0.25">
      <c r="A35" s="473"/>
      <c r="B35" s="473"/>
      <c r="C35" s="48"/>
      <c r="D35" s="409" t="s">
        <v>1660</v>
      </c>
      <c r="E35" s="165" t="s">
        <v>1515</v>
      </c>
      <c r="F35" s="22"/>
      <c r="G35" s="48"/>
      <c r="H35" s="409" t="s">
        <v>1660</v>
      </c>
      <c r="I35" s="413" t="s">
        <v>1516</v>
      </c>
      <c r="J35" s="515"/>
      <c r="K35" s="48"/>
      <c r="L35" s="409" t="s">
        <v>1660</v>
      </c>
      <c r="M35" s="521"/>
      <c r="N35" s="485"/>
      <c r="O35" s="48"/>
      <c r="P35" s="409" t="s">
        <v>1660</v>
      </c>
      <c r="Q35" s="165" t="s">
        <v>1515</v>
      </c>
      <c r="R35" s="22"/>
      <c r="S35" s="48"/>
      <c r="T35" s="409" t="s">
        <v>1660</v>
      </c>
      <c r="U35" s="165" t="s">
        <v>1515</v>
      </c>
      <c r="V35" s="22"/>
      <c r="W35" s="298"/>
      <c r="X35" s="409" t="s">
        <v>1660</v>
      </c>
      <c r="Y35" s="165" t="s">
        <v>1516</v>
      </c>
      <c r="Z35" s="515"/>
    </row>
    <row r="36" spans="1:26" ht="15.75" customHeight="1" thickBot="1" x14ac:dyDescent="0.3">
      <c r="A36" s="495"/>
      <c r="B36" s="473"/>
      <c r="C36" s="51"/>
      <c r="D36" s="414" t="s">
        <v>1661</v>
      </c>
      <c r="E36" s="167" t="s">
        <v>1522</v>
      </c>
      <c r="F36" s="52"/>
      <c r="G36" s="51"/>
      <c r="H36" s="414" t="s">
        <v>1661</v>
      </c>
      <c r="I36" s="415" t="s">
        <v>1525</v>
      </c>
      <c r="J36" s="515"/>
      <c r="K36" s="51"/>
      <c r="L36" s="414" t="s">
        <v>1661</v>
      </c>
      <c r="M36" s="522"/>
      <c r="N36" s="488"/>
      <c r="O36" s="51"/>
      <c r="P36" s="414" t="s">
        <v>1661</v>
      </c>
      <c r="Q36" s="167" t="s">
        <v>1522</v>
      </c>
      <c r="R36" s="52"/>
      <c r="S36" s="51"/>
      <c r="T36" s="414" t="s">
        <v>1661</v>
      </c>
      <c r="U36" s="167" t="s">
        <v>1522</v>
      </c>
      <c r="V36" s="52"/>
      <c r="W36" s="375"/>
      <c r="X36" s="414" t="s">
        <v>1661</v>
      </c>
      <c r="Y36" s="167" t="s">
        <v>1525</v>
      </c>
      <c r="Z36" s="515"/>
    </row>
    <row r="37" spans="1:26" ht="15.75" customHeight="1" thickBot="1" x14ac:dyDescent="0.3">
      <c r="A37" s="39" t="s">
        <v>1662</v>
      </c>
      <c r="B37" s="11" t="s">
        <v>1663</v>
      </c>
      <c r="C37" s="479" t="s">
        <v>1637</v>
      </c>
      <c r="D37" s="467"/>
      <c r="E37" s="467"/>
      <c r="F37" s="468"/>
      <c r="G37" s="479" t="s">
        <v>1637</v>
      </c>
      <c r="H37" s="467"/>
      <c r="I37" s="467"/>
      <c r="J37" s="468"/>
      <c r="K37" s="490" t="s">
        <v>1664</v>
      </c>
      <c r="L37" s="467"/>
      <c r="M37" s="467"/>
      <c r="N37" s="468"/>
      <c r="O37" s="490" t="s">
        <v>1665</v>
      </c>
      <c r="P37" s="467"/>
      <c r="Q37" s="467"/>
      <c r="R37" s="468"/>
      <c r="S37" s="490" t="s">
        <v>1666</v>
      </c>
      <c r="T37" s="467"/>
      <c r="U37" s="467"/>
      <c r="V37" s="468"/>
      <c r="W37" s="490" t="s">
        <v>1666</v>
      </c>
      <c r="X37" s="467"/>
      <c r="Y37" s="467"/>
      <c r="Z37" s="468"/>
    </row>
    <row r="38" spans="1:26" ht="87" customHeight="1" x14ac:dyDescent="0.25">
      <c r="A38" s="494" t="s">
        <v>1620</v>
      </c>
      <c r="B38" s="465" t="s">
        <v>1667</v>
      </c>
      <c r="C38" s="44"/>
      <c r="D38" s="53" t="s">
        <v>1668</v>
      </c>
      <c r="E38" s="54" t="s">
        <v>1669</v>
      </c>
      <c r="F38" s="36"/>
      <c r="G38" s="44"/>
      <c r="H38" s="53" t="s">
        <v>1668</v>
      </c>
      <c r="I38" s="54" t="s">
        <v>1669</v>
      </c>
      <c r="J38" s="36"/>
      <c r="K38" s="44"/>
      <c r="L38" s="53" t="s">
        <v>1668</v>
      </c>
      <c r="M38" s="34"/>
      <c r="N38" s="36"/>
      <c r="O38" s="44"/>
      <c r="P38" s="53" t="s">
        <v>1668</v>
      </c>
      <c r="Q38" s="54" t="s">
        <v>1669</v>
      </c>
      <c r="R38" s="36"/>
      <c r="S38" s="44"/>
      <c r="T38" s="53" t="s">
        <v>1668</v>
      </c>
      <c r="U38" s="54" t="s">
        <v>1669</v>
      </c>
      <c r="V38" s="36"/>
      <c r="W38" s="44"/>
      <c r="X38" s="53" t="s">
        <v>1668</v>
      </c>
      <c r="Y38" s="34"/>
      <c r="Z38" s="36"/>
    </row>
    <row r="39" spans="1:26" ht="101.45" customHeight="1" x14ac:dyDescent="0.25">
      <c r="A39" s="473"/>
      <c r="B39" s="446"/>
      <c r="C39" s="48"/>
      <c r="D39" s="389" t="s">
        <v>1670</v>
      </c>
      <c r="E39" s="398" t="s">
        <v>1671</v>
      </c>
      <c r="F39" s="22"/>
      <c r="G39" s="48"/>
      <c r="H39" s="389" t="s">
        <v>1670</v>
      </c>
      <c r="I39" s="398" t="s">
        <v>1671</v>
      </c>
      <c r="J39" s="22"/>
      <c r="K39" s="48"/>
      <c r="L39" s="389" t="s">
        <v>1670</v>
      </c>
      <c r="M39" s="165"/>
      <c r="N39" s="22"/>
      <c r="O39" s="48"/>
      <c r="P39" s="389" t="s">
        <v>1670</v>
      </c>
      <c r="Q39" s="398" t="s">
        <v>1671</v>
      </c>
      <c r="R39" s="22"/>
      <c r="S39" s="48"/>
      <c r="T39" s="389" t="s">
        <v>1670</v>
      </c>
      <c r="U39" s="398" t="s">
        <v>1671</v>
      </c>
      <c r="V39" s="22"/>
      <c r="W39" s="48"/>
      <c r="X39" s="389" t="s">
        <v>1670</v>
      </c>
      <c r="Y39" s="165"/>
      <c r="Z39" s="22"/>
    </row>
    <row r="40" spans="1:26" x14ac:dyDescent="0.25">
      <c r="A40" s="473"/>
      <c r="B40" s="489" t="s">
        <v>1672</v>
      </c>
      <c r="C40" s="48"/>
      <c r="D40" s="389" t="s">
        <v>1673</v>
      </c>
      <c r="E40" s="416" t="s">
        <v>1674</v>
      </c>
      <c r="F40" s="22"/>
      <c r="G40" s="48"/>
      <c r="H40" s="389" t="s">
        <v>1673</v>
      </c>
      <c r="I40" s="416" t="s">
        <v>1674</v>
      </c>
      <c r="J40" s="22"/>
      <c r="K40" s="48"/>
      <c r="L40" s="389" t="s">
        <v>1673</v>
      </c>
      <c r="M40" s="165"/>
      <c r="N40" s="22"/>
      <c r="O40" s="48"/>
      <c r="P40" s="389" t="s">
        <v>1673</v>
      </c>
      <c r="Q40" s="416" t="s">
        <v>1674</v>
      </c>
      <c r="R40" s="22"/>
      <c r="S40" s="48"/>
      <c r="T40" s="389" t="s">
        <v>1673</v>
      </c>
      <c r="U40" s="416" t="s">
        <v>1674</v>
      </c>
      <c r="V40" s="22"/>
      <c r="W40" s="48"/>
      <c r="X40" s="389" t="s">
        <v>1673</v>
      </c>
      <c r="Y40" s="165"/>
      <c r="Z40" s="22"/>
    </row>
    <row r="41" spans="1:26" x14ac:dyDescent="0.25">
      <c r="A41" s="473"/>
      <c r="B41" s="483"/>
      <c r="C41" s="48"/>
      <c r="D41" s="389" t="s">
        <v>1675</v>
      </c>
      <c r="E41" s="165" t="s">
        <v>1676</v>
      </c>
      <c r="F41" s="22"/>
      <c r="G41" s="48"/>
      <c r="H41" s="389" t="s">
        <v>1675</v>
      </c>
      <c r="I41" s="165" t="s">
        <v>1676</v>
      </c>
      <c r="J41" s="22"/>
      <c r="K41" s="48"/>
      <c r="L41" s="389" t="s">
        <v>1675</v>
      </c>
      <c r="M41" s="165"/>
      <c r="N41" s="22"/>
      <c r="O41" s="48"/>
      <c r="P41" s="389" t="s">
        <v>1675</v>
      </c>
      <c r="Q41" s="165" t="s">
        <v>1676</v>
      </c>
      <c r="R41" s="22"/>
      <c r="S41" s="48"/>
      <c r="T41" s="389" t="s">
        <v>1675</v>
      </c>
      <c r="U41" s="165" t="s">
        <v>1676</v>
      </c>
      <c r="V41" s="22"/>
      <c r="W41" s="48"/>
      <c r="X41" s="389" t="s">
        <v>1675</v>
      </c>
      <c r="Y41" s="165"/>
      <c r="Z41" s="22"/>
    </row>
    <row r="42" spans="1:26" ht="15.75" customHeight="1" thickBot="1" x14ac:dyDescent="0.3">
      <c r="A42" s="495"/>
      <c r="B42" s="486"/>
      <c r="C42" s="51"/>
      <c r="D42" s="417" t="s">
        <v>1677</v>
      </c>
      <c r="E42" s="167" t="s">
        <v>1678</v>
      </c>
      <c r="F42" s="27" t="s">
        <v>1679</v>
      </c>
      <c r="G42" s="55"/>
      <c r="H42" s="25" t="s">
        <v>1677</v>
      </c>
      <c r="I42" s="167" t="s">
        <v>1678</v>
      </c>
      <c r="J42" s="27" t="s">
        <v>1679</v>
      </c>
      <c r="K42" s="55"/>
      <c r="L42" s="25" t="s">
        <v>1677</v>
      </c>
      <c r="M42" s="26" t="s">
        <v>1680</v>
      </c>
      <c r="N42" s="27" t="s">
        <v>1681</v>
      </c>
      <c r="O42" s="55"/>
      <c r="P42" s="25" t="s">
        <v>1677</v>
      </c>
      <c r="Q42" s="167" t="s">
        <v>1678</v>
      </c>
      <c r="R42" s="27" t="s">
        <v>1679</v>
      </c>
      <c r="S42" s="55"/>
      <c r="T42" s="25" t="s">
        <v>1677</v>
      </c>
      <c r="U42" s="26" t="s">
        <v>1680</v>
      </c>
      <c r="V42" s="27" t="s">
        <v>1681</v>
      </c>
      <c r="W42" s="55"/>
      <c r="X42" s="25" t="s">
        <v>1677</v>
      </c>
      <c r="Y42" s="26" t="s">
        <v>1680</v>
      </c>
      <c r="Z42" s="27" t="s">
        <v>1681</v>
      </c>
    </row>
    <row r="43" spans="1:26" x14ac:dyDescent="0.25">
      <c r="A43" s="494" t="s">
        <v>1682</v>
      </c>
      <c r="B43" s="465" t="s">
        <v>601</v>
      </c>
      <c r="C43" s="502" t="s">
        <v>1683</v>
      </c>
      <c r="D43" s="503"/>
      <c r="E43" s="503"/>
      <c r="F43" s="504"/>
      <c r="G43" s="502" t="s">
        <v>1683</v>
      </c>
      <c r="H43" s="503"/>
      <c r="I43" s="503"/>
      <c r="J43" s="504"/>
      <c r="K43" s="502" t="s">
        <v>1684</v>
      </c>
      <c r="L43" s="503"/>
      <c r="M43" s="503"/>
      <c r="N43" s="504"/>
      <c r="O43" s="502" t="s">
        <v>1683</v>
      </c>
      <c r="P43" s="503"/>
      <c r="Q43" s="503"/>
      <c r="R43" s="504"/>
      <c r="S43" s="502" t="s">
        <v>1683</v>
      </c>
      <c r="T43" s="503"/>
      <c r="U43" s="503"/>
      <c r="V43" s="504"/>
      <c r="W43" s="502" t="s">
        <v>1684</v>
      </c>
      <c r="X43" s="503"/>
      <c r="Y43" s="503"/>
      <c r="Z43" s="504"/>
    </row>
    <row r="44" spans="1:26" x14ac:dyDescent="0.25">
      <c r="A44" s="473"/>
      <c r="B44" s="446"/>
      <c r="C44" s="505"/>
      <c r="D44" s="446"/>
      <c r="E44" s="446"/>
      <c r="F44" s="506"/>
      <c r="G44" s="505"/>
      <c r="H44" s="446"/>
      <c r="I44" s="446"/>
      <c r="J44" s="506"/>
      <c r="K44" s="505"/>
      <c r="L44" s="446"/>
      <c r="M44" s="446"/>
      <c r="N44" s="506"/>
      <c r="O44" s="505"/>
      <c r="P44" s="446"/>
      <c r="Q44" s="446"/>
      <c r="R44" s="506"/>
      <c r="S44" s="505"/>
      <c r="T44" s="446"/>
      <c r="U44" s="446"/>
      <c r="V44" s="506"/>
      <c r="W44" s="505"/>
      <c r="X44" s="446"/>
      <c r="Y44" s="446"/>
      <c r="Z44" s="506"/>
    </row>
    <row r="45" spans="1:26" x14ac:dyDescent="0.25">
      <c r="A45" s="473"/>
      <c r="B45" s="489" t="s">
        <v>1685</v>
      </c>
      <c r="C45" s="480" t="s">
        <v>1686</v>
      </c>
      <c r="D45" s="481"/>
      <c r="E45" s="481"/>
      <c r="F45" s="482"/>
      <c r="G45" s="480" t="s">
        <v>1686</v>
      </c>
      <c r="H45" s="481"/>
      <c r="I45" s="481"/>
      <c r="J45" s="482"/>
      <c r="K45" s="517" t="s">
        <v>1687</v>
      </c>
      <c r="L45" s="481"/>
      <c r="M45" s="481"/>
      <c r="N45" s="482"/>
      <c r="O45" s="480" t="s">
        <v>1686</v>
      </c>
      <c r="P45" s="481"/>
      <c r="Q45" s="481"/>
      <c r="R45" s="482"/>
      <c r="S45" s="480" t="s">
        <v>1686</v>
      </c>
      <c r="T45" s="481"/>
      <c r="U45" s="481"/>
      <c r="V45" s="482"/>
      <c r="W45" s="517" t="s">
        <v>1688</v>
      </c>
      <c r="X45" s="481"/>
      <c r="Y45" s="481"/>
      <c r="Z45" s="482"/>
    </row>
    <row r="46" spans="1:26" x14ac:dyDescent="0.25">
      <c r="A46" s="473"/>
      <c r="B46" s="483"/>
      <c r="C46" s="483"/>
      <c r="D46" s="484"/>
      <c r="E46" s="484"/>
      <c r="F46" s="485"/>
      <c r="G46" s="483"/>
      <c r="H46" s="484"/>
      <c r="I46" s="484"/>
      <c r="J46" s="485"/>
      <c r="K46" s="483"/>
      <c r="L46" s="484"/>
      <c r="M46" s="484"/>
      <c r="N46" s="485"/>
      <c r="O46" s="483"/>
      <c r="P46" s="484"/>
      <c r="Q46" s="484"/>
      <c r="R46" s="485"/>
      <c r="S46" s="483"/>
      <c r="T46" s="484"/>
      <c r="U46" s="484"/>
      <c r="V46" s="485"/>
      <c r="W46" s="483"/>
      <c r="X46" s="484"/>
      <c r="Y46" s="484"/>
      <c r="Z46" s="485"/>
    </row>
    <row r="47" spans="1:26" ht="15.75" customHeight="1" thickBot="1" x14ac:dyDescent="0.3">
      <c r="A47" s="495"/>
      <c r="B47" s="486"/>
      <c r="C47" s="486"/>
      <c r="D47" s="487"/>
      <c r="E47" s="487"/>
      <c r="F47" s="488"/>
      <c r="G47" s="486"/>
      <c r="H47" s="487"/>
      <c r="I47" s="487"/>
      <c r="J47" s="488"/>
      <c r="K47" s="486"/>
      <c r="L47" s="487"/>
      <c r="M47" s="487"/>
      <c r="N47" s="488"/>
      <c r="O47" s="486"/>
      <c r="P47" s="487"/>
      <c r="Q47" s="487"/>
      <c r="R47" s="488"/>
      <c r="S47" s="486"/>
      <c r="T47" s="487"/>
      <c r="U47" s="487"/>
      <c r="V47" s="488"/>
      <c r="W47" s="486"/>
      <c r="X47" s="487"/>
      <c r="Y47" s="487"/>
      <c r="Z47" s="488"/>
    </row>
    <row r="48" spans="1:26" ht="29.45" customHeight="1" thickBot="1" x14ac:dyDescent="0.3">
      <c r="A48" s="56" t="s">
        <v>1689</v>
      </c>
      <c r="B48" s="57" t="s">
        <v>1663</v>
      </c>
      <c r="C48" s="518" t="s">
        <v>1690</v>
      </c>
      <c r="D48" s="467"/>
      <c r="E48" s="467"/>
      <c r="F48" s="468"/>
      <c r="G48" s="518" t="s">
        <v>1690</v>
      </c>
      <c r="H48" s="467"/>
      <c r="I48" s="467"/>
      <c r="J48" s="468"/>
      <c r="K48" s="466" t="s">
        <v>1691</v>
      </c>
      <c r="L48" s="467"/>
      <c r="M48" s="467"/>
      <c r="N48" s="468"/>
      <c r="O48" s="518" t="s">
        <v>1690</v>
      </c>
      <c r="P48" s="467"/>
      <c r="Q48" s="467"/>
      <c r="R48" s="468"/>
      <c r="S48" s="518" t="s">
        <v>1690</v>
      </c>
      <c r="T48" s="467"/>
      <c r="U48" s="467"/>
      <c r="V48" s="468"/>
      <c r="W48" s="478" t="s">
        <v>1692</v>
      </c>
      <c r="X48" s="467"/>
      <c r="Y48" s="467"/>
      <c r="Z48" s="468"/>
    </row>
    <row r="49" spans="1:26" ht="24" customHeight="1" x14ac:dyDescent="0.25">
      <c r="A49" s="509" t="s">
        <v>1693</v>
      </c>
      <c r="B49" s="58" t="s">
        <v>1694</v>
      </c>
      <c r="C49" s="502" t="s">
        <v>1695</v>
      </c>
      <c r="D49" s="452"/>
      <c r="E49" s="452"/>
      <c r="F49" s="493"/>
      <c r="G49" s="492" t="s">
        <v>1696</v>
      </c>
      <c r="H49" s="452"/>
      <c r="I49" s="452"/>
      <c r="J49" s="493"/>
      <c r="K49" s="492" t="s">
        <v>1697</v>
      </c>
      <c r="L49" s="452"/>
      <c r="M49" s="452"/>
      <c r="N49" s="493"/>
      <c r="O49" s="502" t="s">
        <v>1695</v>
      </c>
      <c r="P49" s="452"/>
      <c r="Q49" s="452"/>
      <c r="R49" s="493"/>
      <c r="S49" s="502" t="s">
        <v>1695</v>
      </c>
      <c r="T49" s="452"/>
      <c r="U49" s="452"/>
      <c r="V49" s="493"/>
      <c r="W49" s="492" t="s">
        <v>1696</v>
      </c>
      <c r="X49" s="452"/>
      <c r="Y49" s="452"/>
      <c r="Z49" s="493"/>
    </row>
    <row r="50" spans="1:26" ht="15.75" customHeight="1" thickBot="1" x14ac:dyDescent="0.3">
      <c r="A50" s="510"/>
      <c r="B50" s="43" t="s">
        <v>1698</v>
      </c>
      <c r="C50" s="499" t="s">
        <v>1699</v>
      </c>
      <c r="D50" s="487"/>
      <c r="E50" s="487"/>
      <c r="F50" s="488"/>
      <c r="G50" s="519" t="s">
        <v>1699</v>
      </c>
      <c r="H50" s="487"/>
      <c r="I50" s="487"/>
      <c r="J50" s="488"/>
      <c r="K50" s="519" t="s">
        <v>1700</v>
      </c>
      <c r="L50" s="487"/>
      <c r="M50" s="487"/>
      <c r="N50" s="488"/>
      <c r="O50" s="499" t="s">
        <v>1699</v>
      </c>
      <c r="P50" s="487"/>
      <c r="Q50" s="487"/>
      <c r="R50" s="488"/>
      <c r="S50" s="499" t="s">
        <v>1699</v>
      </c>
      <c r="T50" s="487"/>
      <c r="U50" s="487"/>
      <c r="V50" s="488"/>
      <c r="W50" s="499" t="s">
        <v>1637</v>
      </c>
      <c r="X50" s="487"/>
      <c r="Y50" s="487"/>
      <c r="Z50" s="488"/>
    </row>
  </sheetData>
  <mergeCells count="100">
    <mergeCell ref="W49:Z49"/>
    <mergeCell ref="O25:O28"/>
    <mergeCell ref="K43:N44"/>
    <mergeCell ref="A2:B2"/>
    <mergeCell ref="S9:S12"/>
    <mergeCell ref="G3:G8"/>
    <mergeCell ref="C17:C20"/>
    <mergeCell ref="W43:Z44"/>
    <mergeCell ref="O49:R49"/>
    <mergeCell ref="K13:K16"/>
    <mergeCell ref="W13:W16"/>
    <mergeCell ref="G21:G24"/>
    <mergeCell ref="S1:V1"/>
    <mergeCell ref="S17:S20"/>
    <mergeCell ref="C49:F49"/>
    <mergeCell ref="C25:C28"/>
    <mergeCell ref="A43:A47"/>
    <mergeCell ref="W45:Z47"/>
    <mergeCell ref="C13:C16"/>
    <mergeCell ref="S37:V37"/>
    <mergeCell ref="O13:O16"/>
    <mergeCell ref="C48:F48"/>
    <mergeCell ref="G45:J47"/>
    <mergeCell ref="O48:R48"/>
    <mergeCell ref="W9:W12"/>
    <mergeCell ref="W21:W24"/>
    <mergeCell ref="O21:O24"/>
    <mergeCell ref="W3:W8"/>
    <mergeCell ref="A3:A12"/>
    <mergeCell ref="B21:B24"/>
    <mergeCell ref="S49:V49"/>
    <mergeCell ref="A49:A50"/>
    <mergeCell ref="S25:S28"/>
    <mergeCell ref="B40:B42"/>
    <mergeCell ref="G17:G20"/>
    <mergeCell ref="S50:V50"/>
    <mergeCell ref="C43:F44"/>
    <mergeCell ref="O43:R44"/>
    <mergeCell ref="G37:J37"/>
    <mergeCell ref="B38:B39"/>
    <mergeCell ref="G50:J50"/>
    <mergeCell ref="O50:R50"/>
    <mergeCell ref="K50:N50"/>
    <mergeCell ref="B25:B28"/>
    <mergeCell ref="M29:N36"/>
    <mergeCell ref="G49:J49"/>
    <mergeCell ref="A29:A36"/>
    <mergeCell ref="B29:B31"/>
    <mergeCell ref="S13:S16"/>
    <mergeCell ref="C21:C24"/>
    <mergeCell ref="K45:N47"/>
    <mergeCell ref="B9:B12"/>
    <mergeCell ref="G48:J48"/>
    <mergeCell ref="C45:F47"/>
    <mergeCell ref="S48:V48"/>
    <mergeCell ref="J34:J36"/>
    <mergeCell ref="O45:R47"/>
    <mergeCell ref="C9:C12"/>
    <mergeCell ref="W1:Z1"/>
    <mergeCell ref="G25:G28"/>
    <mergeCell ref="O1:R1"/>
    <mergeCell ref="C50:F50"/>
    <mergeCell ref="W50:Z50"/>
    <mergeCell ref="O17:O20"/>
    <mergeCell ref="G9:G12"/>
    <mergeCell ref="K25:K28"/>
    <mergeCell ref="K9:K12"/>
    <mergeCell ref="G43:J44"/>
    <mergeCell ref="K3:K8"/>
    <mergeCell ref="O9:O12"/>
    <mergeCell ref="C3:C8"/>
    <mergeCell ref="S43:V44"/>
    <mergeCell ref="S21:S24"/>
    <mergeCell ref="K37:N37"/>
    <mergeCell ref="K49:N49"/>
    <mergeCell ref="A38:A42"/>
    <mergeCell ref="B13:B16"/>
    <mergeCell ref="K17:K20"/>
    <mergeCell ref="C1:F1"/>
    <mergeCell ref="A13:A28"/>
    <mergeCell ref="G13:G16"/>
    <mergeCell ref="B17:B20"/>
    <mergeCell ref="K1:N1"/>
    <mergeCell ref="G1:J1"/>
    <mergeCell ref="B43:B44"/>
    <mergeCell ref="K48:N48"/>
    <mergeCell ref="O3:O8"/>
    <mergeCell ref="B34:B36"/>
    <mergeCell ref="W25:W28"/>
    <mergeCell ref="K21:K24"/>
    <mergeCell ref="S3:S8"/>
    <mergeCell ref="W48:Z48"/>
    <mergeCell ref="C37:F37"/>
    <mergeCell ref="S45:V47"/>
    <mergeCell ref="B45:B47"/>
    <mergeCell ref="O37:R37"/>
    <mergeCell ref="B3:B8"/>
    <mergeCell ref="W17:W20"/>
    <mergeCell ref="W37:Z37"/>
    <mergeCell ref="Z34:Z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1"/>
  <sheetViews>
    <sheetView workbookViewId="0">
      <selection activeCell="A10" sqref="A10"/>
    </sheetView>
  </sheetViews>
  <sheetFormatPr defaultColWidth="8.7109375" defaultRowHeight="15" x14ac:dyDescent="0.25"/>
  <cols>
    <col min="1" max="1" width="35.42578125" style="59" customWidth="1"/>
    <col min="2" max="2" width="65.42578125" style="8" customWidth="1"/>
    <col min="3" max="3" width="11.42578125" style="8" bestFit="1" customWidth="1"/>
    <col min="4" max="4" width="28.42578125" style="8" bestFit="1" customWidth="1"/>
    <col min="5" max="5" width="21.42578125" style="8" customWidth="1"/>
    <col min="6" max="7" width="35.5703125" style="8" customWidth="1"/>
    <col min="8" max="22" width="8.7109375" style="8" customWidth="1"/>
    <col min="23" max="16384" width="8.7109375" style="8"/>
  </cols>
  <sheetData>
    <row r="1" spans="1:7" ht="30" customHeight="1" x14ac:dyDescent="0.25">
      <c r="A1" s="329" t="s">
        <v>0</v>
      </c>
      <c r="B1" s="329" t="s">
        <v>1</v>
      </c>
      <c r="C1" s="296" t="s">
        <v>2</v>
      </c>
      <c r="D1" s="296" t="s">
        <v>3</v>
      </c>
      <c r="E1" s="296" t="s">
        <v>4</v>
      </c>
      <c r="F1" s="330" t="s">
        <v>5</v>
      </c>
      <c r="G1" s="330" t="s">
        <v>6</v>
      </c>
    </row>
    <row r="2" spans="1:7" x14ac:dyDescent="0.25">
      <c r="A2" s="418" t="s">
        <v>1701</v>
      </c>
      <c r="B2" s="418" t="s">
        <v>1701</v>
      </c>
      <c r="C2" s="179"/>
      <c r="D2" s="419"/>
      <c r="E2" s="349"/>
      <c r="F2" s="350"/>
      <c r="G2" s="350"/>
    </row>
    <row r="3" spans="1:7" x14ac:dyDescent="0.25">
      <c r="A3" s="62"/>
      <c r="B3" s="86"/>
      <c r="C3" s="338" t="s">
        <v>16</v>
      </c>
      <c r="D3" s="338" t="s">
        <v>17</v>
      </c>
      <c r="E3" s="339" t="s">
        <v>18</v>
      </c>
      <c r="F3" s="340" t="str">
        <f t="array" aca="1" ref="F3" ca="1">HYPERLINK(CONCATENATE(Cartelle!$D$5,F$1,"/",$C3,"/",MID($D3,1,FIND("_",$D3)-1),"/",INDIRECT(CONCATENATE("'" &amp; $C3 &amp; "'!",ADDRESS(MATCH($D3, INDIRECT("'" &amp; $C3 &amp; "'!$B:$B"), 0),MATCH(F$1, INDIRECT("'" &amp; $C3 &amp; "'!$1:$1"), 0)))),".pdf#page=",F4),CONCATENATE("#Sharepoint//",$D3))</f>
        <v>#Sharepoint//FS_DM1</v>
      </c>
      <c r="G3" s="340"/>
    </row>
    <row r="4" spans="1:7" ht="45" customHeight="1" x14ac:dyDescent="0.25">
      <c r="A4" s="59" t="s">
        <v>1702</v>
      </c>
      <c r="B4" s="9">
        <f ca="1">MATCH($D3, INDIRECT("'" &amp; $C3 &amp; "'!$B:$B"), 0)</f>
        <v>69</v>
      </c>
      <c r="C4" s="338" t="s">
        <v>16</v>
      </c>
      <c r="D4" s="338" t="s">
        <v>17</v>
      </c>
      <c r="E4" s="339" t="s">
        <v>18</v>
      </c>
      <c r="F4" s="8">
        <v>1</v>
      </c>
    </row>
    <row r="5" spans="1:7" ht="45" customHeight="1" x14ac:dyDescent="0.25">
      <c r="A5" s="59" t="s">
        <v>1703</v>
      </c>
      <c r="B5" s="9">
        <f ca="1">MATCH(F$1,INDIRECT("'"&amp;$C3&amp;"'!$1:$1"),0)</f>
        <v>4</v>
      </c>
      <c r="C5" s="338" t="s">
        <v>16</v>
      </c>
      <c r="D5" s="338" t="s">
        <v>17</v>
      </c>
      <c r="E5" s="339" t="s">
        <v>18</v>
      </c>
    </row>
    <row r="6" spans="1:7" ht="45" customHeight="1" x14ac:dyDescent="0.25">
      <c r="A6" s="59" t="s">
        <v>1704</v>
      </c>
      <c r="B6" s="9" t="str">
        <f ca="1">ADDRESS(MATCH($D3,INDIRECT("'"&amp;$C3&amp;"'!$B:$B"),0),MATCH(F$1,INDIRECT("'"&amp;$C3&amp;"'!$1:$1"),0))</f>
        <v>$D$69</v>
      </c>
      <c r="C6" s="338" t="s">
        <v>16</v>
      </c>
      <c r="D6" s="338" t="s">
        <v>17</v>
      </c>
      <c r="E6" s="339" t="s">
        <v>18</v>
      </c>
    </row>
    <row r="7" spans="1:7" ht="30" customHeight="1" x14ac:dyDescent="0.25">
      <c r="A7" s="59" t="s">
        <v>1705</v>
      </c>
      <c r="B7" s="9" t="str">
        <f ca="1">CONCATENATE("'" &amp; $C3 &amp; "'!",ADDRESS(MATCH($D3, INDIRECT("'" &amp; $C3 &amp; "'!$B:$B"), 0),MATCH(F$1, INDIRECT("'" &amp; $C3 &amp; "'!$1:$1"), 0)))</f>
        <v>'CONFIG'!$D$69</v>
      </c>
      <c r="C7" s="338" t="s">
        <v>16</v>
      </c>
      <c r="D7" s="338" t="s">
        <v>17</v>
      </c>
      <c r="E7" s="339" t="s">
        <v>18</v>
      </c>
    </row>
    <row r="8" spans="1:7" ht="60" customHeight="1" x14ac:dyDescent="0.25">
      <c r="A8" s="59" t="s">
        <v>1706</v>
      </c>
      <c r="B8" s="214" t="str">
        <f t="array" aca="1" ref="B8" ca="1">INDIRECT(CONCATENATE("'"&amp;$C3&amp;"'!",ADDRESS(MATCH($D3,INDIRECT("'"&amp;$C3&amp;"'!$B:$B"),0),MATCH(F$1,INDIRECT("'"&amp;$C3&amp;"'!$1:$1"),0))))</f>
        <v>3ECP502128-0001</v>
      </c>
      <c r="C8" s="338" t="s">
        <v>16</v>
      </c>
      <c r="D8" s="338" t="s">
        <v>17</v>
      </c>
      <c r="E8" s="339" t="s">
        <v>18</v>
      </c>
    </row>
    <row r="9" spans="1:7" ht="60" customHeight="1" x14ac:dyDescent="0.25">
      <c r="A9" s="59" t="s">
        <v>1707</v>
      </c>
      <c r="B9" s="214" t="str">
        <f>MID($D3,1,FIND("_",$D3)-1)</f>
        <v>FS</v>
      </c>
      <c r="C9" s="338" t="s">
        <v>16</v>
      </c>
      <c r="D9" s="338" t="s">
        <v>17</v>
      </c>
      <c r="E9" s="339" t="s">
        <v>18</v>
      </c>
    </row>
    <row r="10" spans="1:7" ht="165" customHeight="1" x14ac:dyDescent="0.25">
      <c r="A10" s="59" t="s">
        <v>1708</v>
      </c>
      <c r="B10" s="215" t="str">
        <f t="array" aca="1" ref="B10" ca="1">CONCATENATE(Cartelle!$D$5,F$1,"/",$C3,"/",MID($D3,1,FIND("_",$D3)-1),"/",INDIRECT(CONCATENATE("'" &amp; $C3 &amp; "'!",ADDRESS(MATCH($D3, INDIRECT("'" &amp; $C3 &amp; "'!$B:$B"), 0),MATCH(F$1, INDIRECT("'" &amp; $C3 &amp; "'!$1:$1"), 0)))),".pdf#page=",F4)</f>
        <v>https://gruppofsitaliane.sharepoint.com/:f:/r/sites/IngegneriaETReMezziLeggeri-Trenitalia/Shared%20Documents/DB_ETR1000/DOC_FLOTTE/VZI_Base/CONFIG/FS/3ECP502128-0001.pdf#page=1</v>
      </c>
      <c r="C10" s="338" t="s">
        <v>16</v>
      </c>
      <c r="D10" s="338" t="s">
        <v>17</v>
      </c>
      <c r="E10" s="339" t="s">
        <v>18</v>
      </c>
    </row>
    <row r="11" spans="1:7" x14ac:dyDescent="0.25">
      <c r="B11" s="59"/>
      <c r="C11" s="217"/>
      <c r="D11" s="217"/>
      <c r="E11" s="218"/>
    </row>
    <row r="12" spans="1:7" ht="45" customHeight="1" x14ac:dyDescent="0.25">
      <c r="A12" s="59" t="s">
        <v>1709</v>
      </c>
      <c r="B12" s="216" t="str">
        <f t="array" aca="1" ref="B12" ca="1">INDIRECT(CONCATENATE("'"&amp;$C7&amp;"'!",ADDRESS(MATCH($D3,INDIRECT("'"&amp;$C3&amp;"'!$B:$B"),0),3)))</f>
        <v>pdf</v>
      </c>
      <c r="C12" s="338" t="s">
        <v>16</v>
      </c>
      <c r="D12" s="338" t="s">
        <v>17</v>
      </c>
      <c r="E12" s="339" t="s">
        <v>18</v>
      </c>
      <c r="F12" s="340" t="str">
        <f t="array" aca="1" ref="F12" ca="1">HYPERLINK(CONCATENATE(Cartelle!$D$5,F$1,"/",$C12,"/",MID($D12,1,FIND("_",$D12)-1),"/",INDIRECT(CONCATENATE("'" &amp; $C12 &amp; "'!",ADDRESS(MATCH($D12, INDIRECT("'" &amp; $C12 &amp; "'!$B:$B"), 0),MATCH(F$1, INDIRECT("'" &amp; $C12 &amp; "'!$1:$1"), 0)))),".",INDIRECT(CONCATENATE("'"&amp;$C12&amp;"'!",ADDRESS(MATCH($D12,INDIRECT("'"&amp;$C12&amp;"'!$B:$B"),0),3))),"#page=",F13),CONCATENATE("#Sharepoint//",$D12))</f>
        <v>#Sharepoint//FS_DM1</v>
      </c>
    </row>
    <row r="13" spans="1:7" ht="60" customHeight="1" x14ac:dyDescent="0.25">
      <c r="A13" s="59" t="s">
        <v>1710</v>
      </c>
      <c r="B13" s="215" t="str">
        <f t="array" aca="1" ref="B13" ca="1">CONCATENATE(Cartelle!$D$5,F$1,"/",$C12,"/",MID($D12,1,FIND("_",$D12)-1),"/",INDIRECT(CONCATENATE("'" &amp; $C12 &amp; "'!",ADDRESS(MATCH($D12, INDIRECT("'" &amp; $C12 &amp; "'!$B:$B"), 0),MATCH(F$1, INDIRECT("'" &amp; $C12 &amp; "'!$1:$1"), 0)))),".",INDIRECT(CONCATENATE("'"&amp;$C12&amp;"'!",ADDRESS(MATCH($D12,INDIRECT("'"&amp;$C12&amp;"'!$B:$B"),0),3))),"#page=",F13)</f>
        <v>https://gruppofsitaliane.sharepoint.com/:f:/r/sites/IngegneriaETReMezziLeggeri-Trenitalia/Shared%20Documents/DB_ETR1000/DOC_FLOTTE/VZI_Base/CONFIG/FS/3ECP502128-0001.pdf#page=10</v>
      </c>
      <c r="F13" s="8">
        <v>10</v>
      </c>
    </row>
    <row r="14" spans="1:7" ht="30" customHeight="1" x14ac:dyDescent="0.25">
      <c r="A14" s="219" t="s">
        <v>1711</v>
      </c>
      <c r="B14" s="220"/>
      <c r="C14" s="338" t="s">
        <v>25</v>
      </c>
      <c r="D14" s="338" t="s">
        <v>1712</v>
      </c>
      <c r="E14" s="339" t="s">
        <v>18</v>
      </c>
      <c r="F14" s="340" t="e">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#N/A</v>
      </c>
    </row>
    <row r="15" spans="1:7" x14ac:dyDescent="0.25">
      <c r="F15" s="8">
        <v>1</v>
      </c>
    </row>
    <row r="17" spans="1:7" ht="30" customHeight="1" x14ac:dyDescent="0.25">
      <c r="A17" s="219" t="s">
        <v>1711</v>
      </c>
      <c r="B17" s="220"/>
      <c r="C17" s="338" t="s">
        <v>25</v>
      </c>
      <c r="D17" s="338" t="s">
        <v>1712</v>
      </c>
      <c r="E17" s="339" t="s">
        <v>18</v>
      </c>
      <c r="F17" s="340" t="e">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#N/A</v>
      </c>
    </row>
    <row r="18" spans="1:7" x14ac:dyDescent="0.25">
      <c r="F18" s="8">
        <v>1</v>
      </c>
    </row>
    <row r="19" spans="1:7" x14ac:dyDescent="0.25">
      <c r="A19" s="418" t="s">
        <v>1701</v>
      </c>
      <c r="B19" s="418" t="s">
        <v>1701</v>
      </c>
      <c r="C19" s="179"/>
      <c r="D19" s="419"/>
      <c r="E19" s="349"/>
      <c r="F19" s="350"/>
      <c r="G19" s="350"/>
    </row>
    <row r="20" spans="1:7" ht="30" customHeight="1" x14ac:dyDescent="0.25">
      <c r="A20" s="62" t="s">
        <v>1713</v>
      </c>
      <c r="B20" s="86" t="str">
        <f ca="1">ADDRESS(MATCH($D20, INDIRECT("'" &amp; $C20 &amp; "'!$B:$B"), 0),MATCH(G$1, INDIRECT("'" &amp; $C20 &amp; "'!$1:$1"), 0))</f>
        <v>$G$69</v>
      </c>
      <c r="C20" s="338" t="s">
        <v>16</v>
      </c>
      <c r="D20" s="338" t="s">
        <v>17</v>
      </c>
      <c r="E20" s="339" t="s">
        <v>18</v>
      </c>
      <c r="F20" s="340"/>
      <c r="G20" s="340" t="str">
        <f t="array" aca="1" ref="G20" ca="1">HYPERLINK(CONCATENATE(Cartelle!$D$5,INDEX(INDIRECT("'" &amp; $C20 &amp; "'!$1:$1"), 1, MATCH(INDIRECT(CONCATENATE("'" &amp; $C20 &amp; "'!",ADDRESS(MATCH($D20, INDIRECT("'" &amp; $C20 &amp; "'!$B:$B"), 0),MATCH(G$1, INDIRECT("'" &amp; $C20 &amp; "'!$1:$1"), 0)))),INDIRECT(CONCATENATE("'" &amp; $C20 &amp; "'!",MATCH($D20, INDIRECT("'" &amp; $C20 &amp; "'!$B:$B"), 0),":",MATCH($D20, INDIRECT("'" &amp; $C20 &amp; "'!$B:$B"), 0))),0)),"/",$C20,"/",MID($D20,1,FIND("_",$D20)-1),"/",INDIRECT(CONCATENATE("'" &amp; $C20 &amp; "'!",ADDRESS(MATCH($D20, INDIRECT("'" &amp; $C20 &amp; "'!$B:$B"), 0),MATCH(G$1, INDIRECT("'" &amp; $C20 &amp; "'!$1:$1"), 0)))),".",INDIRECT(CONCATENATE("'"&amp;$C20&amp;"'!",ADDRESS(MATCH($D20,INDIRECT("'"&amp;$C20&amp;"'!$B:$B"),0),3))),"#page=",G21),CONCATENATE("#Sharepoint//",$D20))</f>
        <v>#Sharepoint//FS_DM1</v>
      </c>
    </row>
    <row r="21" spans="1:7" x14ac:dyDescent="0.25">
      <c r="A21" s="59" t="s">
        <v>1714</v>
      </c>
      <c r="B21" s="9" t="str">
        <f t="array" aca="1" ref="B21" ca="1">INDIRECT(CONCATENATE("'" &amp; $C20 &amp; "'!",ADDRESS(MATCH($D20, INDIRECT("'" &amp; $C20 &amp; "'!$B:$B"), 0),MATCH(G$1, INDIRECT("'" &amp; $C20 &amp; "'!$1:$1"), 0))))</f>
        <v>3ECP307211-1401</v>
      </c>
      <c r="C21" s="338" t="s">
        <v>16</v>
      </c>
      <c r="D21" s="338" t="s">
        <v>672</v>
      </c>
      <c r="E21" s="339" t="s">
        <v>18</v>
      </c>
      <c r="F21" s="8">
        <v>1</v>
      </c>
    </row>
    <row r="22" spans="1:7" x14ac:dyDescent="0.25">
      <c r="B22" s="9" t="str">
        <f t="array" aca="1" ref="B22" ca="1">INDIRECT(CONCATENATE("'"&amp;$C20&amp;"'!",MATCH($D20,INDIRECT("'"&amp;$C20&amp;"'!$B:$B"),0),":",MATCH($D20,INDIRECT("'"&amp;$C20&amp;"'!$B:$B"),0)))</f>
        <v>Functional schematics DM1</v>
      </c>
      <c r="C22" s="338" t="s">
        <v>16</v>
      </c>
      <c r="D22" s="338" t="s">
        <v>672</v>
      </c>
      <c r="E22" s="339" t="s">
        <v>18</v>
      </c>
    </row>
    <row r="23" spans="1:7" x14ac:dyDescent="0.25">
      <c r="B23" s="9" t="e">
        <f t="array" aca="1" ref="B23" ca="1">MATCH(INDIRECT(CONCATENATE("'"&amp;$C20&amp;"'!",ADDRESS(MATCH($D20,INDIRECT("'"&amp;$C20&amp;"'!$B:$B"),0),MATCH(G$1,INDIRECT("'"&amp;$C20&amp;"'!$1:$1"),0)))),INDIRECT(CONCATENATE("'"&amp;$C20&amp;"'!",MATCH($D20,INDIRECT("'"&amp;$C20&amp;"'!$B:$B"),0),":",MATCH($D20,INDIRECT("'"&amp;$C20&amp;"'!$B:$B"),0))))</f>
        <v>#N/A</v>
      </c>
      <c r="C23" s="338" t="s">
        <v>16</v>
      </c>
      <c r="D23" s="338" t="s">
        <v>672</v>
      </c>
      <c r="E23" s="339" t="s">
        <v>18</v>
      </c>
    </row>
    <row r="24" spans="1:7" x14ac:dyDescent="0.25">
      <c r="B24" s="8" t="str">
        <f t="array" aca="1" ref="B24" ca="1">INDEX(INDIRECT("'" &amp; $C20 &amp; "'!$1:$1"), 1, MATCH(INDIRECT(CONCATENATE("'" &amp; $C20 &amp; "'!",ADDRESS(MATCH($D20, INDIRECT("'" &amp; $C20 &amp; "'!$B:$B"), 0),MATCH(G$1, INDIRECT("'" &amp; $C20 &amp; "'!$1:$1"), 0)))),INDIRECT(CONCATENATE("'" &amp; $C20 &amp; "'!",MATCH($D20, INDIRECT("'" &amp; $C20 &amp; "'!$B:$B"), 0),":",MATCH($D20, INDIRECT("'" &amp; $C20 &amp; "'!$B:$B"), 0))),0))</f>
        <v>VZI_New14</v>
      </c>
    </row>
    <row r="28" spans="1:7" s="59" customFormat="1" collapsed="1" x14ac:dyDescent="0.25">
      <c r="A28" s="86"/>
      <c r="B28" s="338" t="s">
        <v>22</v>
      </c>
      <c r="C28" s="332" t="s">
        <v>23</v>
      </c>
      <c r="D28" s="344" t="s">
        <v>18</v>
      </c>
      <c r="E28" s="340" t="e">
        <f t="array" aca="1" ref="E28" ca="1">HYPERLINK(CONCATENATE(Cartelle!$D$5,E$1,"/",$B28,"/",MID($C28,1,FIND("_",$C28)-1),"/",INDIRECT(CONCATENATE("'" &amp; $B28 &amp; "'!",ADDRESS(MATCH($C28, INDIRECT("'" &amp; $B28 &amp; "'!$B:$B"), 0),MATCH(E$1, INDIRECT("'" &amp; $B28 &amp; "'!$1:$1"), 0)))),".pdf#page=",E29),CONCATENATE("#Sharepoint//",$C28))</f>
        <v>#N/A</v>
      </c>
      <c r="F28" s="340" t="str">
        <f t="array" aca="1" ref="F28" ca="1">HYPERLINK(CONCATENATE(Cartelle!$D$5,INDEX(INDIRECT("'" &amp; $B28 &amp; "'!$1:$1"), 1, MATCH(INDIRECT(CONCATENATE("'" &amp; $B28 &amp; "'!",ADDRESS(MATCH($C28, INDIRECT("'" &amp; $B28 &amp; "'!$B:$B"), 0),MATCH(F$1, INDIRECT("'" &amp; $B28 &amp; "'!$1:$1"), 0)))),INDIRECT(CONCATENATE("'" &amp; $B28 &amp; "'!",MATCH($C28, INDIRECT("'" &amp; $B28 &amp; "'!$B:$B"), 0),":",MATCH($C28, INDIRECT("'" &amp; $B28 &amp; "'!$B:$B"), 0))),0)),"/",$B28,"/",MID($C28,1,FIND("_",$C28)-1),"/",INDIRECT(CONCATENATE("'" &amp; $B28 &amp; "'!",ADDRESS(MATCH($C28, INDIRECT("'" &amp; $B28 &amp; "'!$B:$B"), 0),MATCH(F$1, INDIRECT("'" &amp; $B28 &amp; "'!$1:$1"), 0)))),".pdf#page=",F29),CONCATENATE("#Sharepoint//",$C28))</f>
        <v>#Sharepoint//PBC_01A</v>
      </c>
      <c r="G28" s="338"/>
    </row>
    <row r="29" spans="1:7" s="59" customFormat="1" hidden="1" x14ac:dyDescent="0.25">
      <c r="A29" s="86"/>
      <c r="B29" s="62"/>
      <c r="C29" s="345"/>
      <c r="D29" s="218" t="s">
        <v>19</v>
      </c>
      <c r="E29" s="217">
        <v>1</v>
      </c>
      <c r="F29" s="217">
        <v>1</v>
      </c>
      <c r="G29" s="217"/>
    </row>
    <row r="30" spans="1:7" s="59" customFormat="1" hidden="1" x14ac:dyDescent="0.25">
      <c r="A30" s="86"/>
      <c r="B30" s="62"/>
      <c r="C30" s="346"/>
      <c r="D30" s="343" t="s">
        <v>24</v>
      </c>
      <c r="E30" s="217"/>
      <c r="F30" s="217"/>
      <c r="G30" s="217"/>
    </row>
    <row r="31" spans="1:7" s="59" customFormat="1" collapsed="1" x14ac:dyDescent="0.25">
      <c r="A31" s="86"/>
      <c r="B31" s="338" t="s">
        <v>29</v>
      </c>
      <c r="C31" s="332" t="s">
        <v>1715</v>
      </c>
      <c r="D31" s="344" t="s">
        <v>341</v>
      </c>
      <c r="E31" s="338"/>
      <c r="F31" s="338"/>
      <c r="G31" s="33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0"/>
  <dimension ref="B1:I17"/>
  <sheetViews>
    <sheetView workbookViewId="0">
      <selection activeCell="F28" sqref="F28"/>
    </sheetView>
  </sheetViews>
  <sheetFormatPr defaultRowHeight="15" x14ac:dyDescent="0.25"/>
  <cols>
    <col min="2" max="2" width="41.85546875" customWidth="1"/>
    <col min="7" max="7" width="6.140625" bestFit="1" customWidth="1"/>
  </cols>
  <sheetData>
    <row r="1" spans="2:9" ht="15.75" customHeight="1" thickBot="1" x14ac:dyDescent="0.3"/>
    <row r="2" spans="2:9" ht="15.75" customHeight="1" thickBot="1" x14ac:dyDescent="0.3">
      <c r="C2" s="1" t="s">
        <v>1716</v>
      </c>
      <c r="D2" s="1" t="s">
        <v>1717</v>
      </c>
      <c r="E2" s="1" t="s">
        <v>1718</v>
      </c>
      <c r="F2" s="1" t="s">
        <v>1719</v>
      </c>
      <c r="G2" s="1" t="s">
        <v>1720</v>
      </c>
      <c r="H2" s="1" t="s">
        <v>1178</v>
      </c>
      <c r="I2" s="2" t="s">
        <v>1721</v>
      </c>
    </row>
    <row r="3" spans="2:9" ht="15.75" customHeight="1" thickBot="1" x14ac:dyDescent="0.3">
      <c r="B3" s="1" t="s">
        <v>1722</v>
      </c>
      <c r="C3" s="5"/>
      <c r="D3" s="254" t="s">
        <v>1723</v>
      </c>
      <c r="E3" s="254" t="s">
        <v>1723</v>
      </c>
      <c r="F3" s="254" t="s">
        <v>1723</v>
      </c>
      <c r="G3" s="254"/>
      <c r="H3" s="254" t="s">
        <v>1723</v>
      </c>
      <c r="I3" s="254" t="s">
        <v>1723</v>
      </c>
    </row>
    <row r="4" spans="2:9" ht="30.75" customHeight="1" thickBot="1" x14ac:dyDescent="0.3">
      <c r="B4" s="3" t="s">
        <v>1724</v>
      </c>
      <c r="C4" s="236"/>
      <c r="D4" s="233" t="s">
        <v>1723</v>
      </c>
      <c r="E4" s="233" t="s">
        <v>1723</v>
      </c>
      <c r="F4" s="233" t="s">
        <v>1723</v>
      </c>
      <c r="G4" s="233"/>
      <c r="H4" s="233" t="s">
        <v>1723</v>
      </c>
      <c r="I4" s="233" t="s">
        <v>1723</v>
      </c>
    </row>
    <row r="5" spans="2:9" ht="15.75" customHeight="1" thickBot="1" x14ac:dyDescent="0.3">
      <c r="B5" s="1" t="s">
        <v>1725</v>
      </c>
      <c r="C5" s="236"/>
      <c r="D5" s="233" t="s">
        <v>1723</v>
      </c>
      <c r="E5" s="233" t="s">
        <v>1723</v>
      </c>
      <c r="F5" s="233" t="s">
        <v>1723</v>
      </c>
      <c r="G5" s="233"/>
      <c r="H5" s="233" t="s">
        <v>1723</v>
      </c>
      <c r="I5" s="233" t="s">
        <v>1723</v>
      </c>
    </row>
    <row r="6" spans="2:9" ht="15.75" customHeight="1" thickBot="1" x14ac:dyDescent="0.3">
      <c r="B6" s="1" t="s">
        <v>1726</v>
      </c>
      <c r="C6" s="236"/>
      <c r="D6" s="233" t="s">
        <v>1723</v>
      </c>
      <c r="E6" s="233" t="s">
        <v>1723</v>
      </c>
      <c r="F6" s="233" t="s">
        <v>1723</v>
      </c>
      <c r="G6" s="233"/>
      <c r="H6" s="233" t="s">
        <v>1723</v>
      </c>
      <c r="I6" s="233" t="s">
        <v>1723</v>
      </c>
    </row>
    <row r="7" spans="2:9" ht="15.75" customHeight="1" thickBot="1" x14ac:dyDescent="0.3">
      <c r="B7" s="1" t="s">
        <v>1727</v>
      </c>
      <c r="C7" s="236"/>
      <c r="D7" s="233"/>
      <c r="E7" s="233"/>
      <c r="F7" s="233"/>
      <c r="G7" s="233"/>
      <c r="H7" s="233"/>
      <c r="I7" s="233"/>
    </row>
    <row r="8" spans="2:9" ht="15.75" customHeight="1" thickBot="1" x14ac:dyDescent="0.3">
      <c r="B8" s="1" t="s">
        <v>1728</v>
      </c>
      <c r="C8" s="236"/>
      <c r="D8" s="233" t="s">
        <v>1723</v>
      </c>
      <c r="E8" s="233" t="s">
        <v>1723</v>
      </c>
      <c r="F8" s="233" t="s">
        <v>1723</v>
      </c>
      <c r="G8" s="233"/>
      <c r="H8" s="233" t="s">
        <v>1723</v>
      </c>
      <c r="I8" s="233" t="s">
        <v>1723</v>
      </c>
    </row>
    <row r="9" spans="2:9" ht="15.75" customHeight="1" thickBot="1" x14ac:dyDescent="0.3">
      <c r="B9" s="1" t="s">
        <v>1729</v>
      </c>
      <c r="C9" s="236"/>
      <c r="D9" s="233"/>
      <c r="E9" s="233"/>
      <c r="F9" s="233"/>
      <c r="G9" s="233"/>
      <c r="H9" s="233"/>
      <c r="I9" s="233"/>
    </row>
    <row r="10" spans="2:9" ht="45.75" customHeight="1" thickBot="1" x14ac:dyDescent="0.3">
      <c r="B10" s="3" t="s">
        <v>1730</v>
      </c>
      <c r="C10" s="236"/>
      <c r="D10" s="233" t="s">
        <v>1723</v>
      </c>
      <c r="E10" s="233" t="s">
        <v>1723</v>
      </c>
      <c r="F10" s="233" t="s">
        <v>1723</v>
      </c>
      <c r="G10" s="233"/>
      <c r="H10" s="233" t="s">
        <v>1723</v>
      </c>
      <c r="I10" s="233" t="s">
        <v>1723</v>
      </c>
    </row>
    <row r="11" spans="2:9" ht="15.75" customHeight="1" thickBot="1" x14ac:dyDescent="0.3">
      <c r="B11" s="1" t="s">
        <v>1731</v>
      </c>
      <c r="C11" s="236"/>
      <c r="D11" s="233"/>
      <c r="E11" s="233"/>
      <c r="F11" s="233"/>
      <c r="G11" s="233"/>
      <c r="H11" s="233"/>
      <c r="I11" s="233"/>
    </row>
    <row r="12" spans="2:9" ht="15.75" customHeight="1" thickBot="1" x14ac:dyDescent="0.3">
      <c r="B12" s="1" t="s">
        <v>1732</v>
      </c>
      <c r="C12" s="298"/>
      <c r="D12" s="165"/>
      <c r="E12" s="165"/>
      <c r="F12" s="165"/>
      <c r="G12" s="165"/>
      <c r="H12" s="165"/>
      <c r="I12" s="165"/>
    </row>
    <row r="13" spans="2:9" ht="15.75" customHeight="1" thickBot="1" x14ac:dyDescent="0.3">
      <c r="B13" s="1" t="s">
        <v>1733</v>
      </c>
      <c r="C13" s="298"/>
      <c r="D13" s="165"/>
      <c r="E13" s="165"/>
      <c r="F13" s="165"/>
      <c r="G13" s="165"/>
      <c r="H13" s="165"/>
      <c r="I13" s="165"/>
    </row>
    <row r="14" spans="2:9" ht="15.75" customHeight="1" thickBot="1" x14ac:dyDescent="0.3">
      <c r="B14" s="4" t="s">
        <v>1734</v>
      </c>
      <c r="C14" s="298"/>
      <c r="D14" s="165"/>
      <c r="E14" s="165"/>
      <c r="F14" s="165"/>
      <c r="G14" s="165"/>
      <c r="H14" s="165"/>
      <c r="I14" s="165"/>
    </row>
    <row r="15" spans="2:9" ht="15.75" customHeight="1" thickBot="1" x14ac:dyDescent="0.3">
      <c r="B15" s="1" t="s">
        <v>1735</v>
      </c>
      <c r="C15" s="298"/>
      <c r="D15" s="165"/>
      <c r="E15" s="165"/>
      <c r="F15" s="165"/>
      <c r="G15" s="165"/>
      <c r="H15" s="165"/>
      <c r="I15" s="165"/>
    </row>
    <row r="16" spans="2:9" ht="15.75" customHeight="1" thickBot="1" x14ac:dyDescent="0.3">
      <c r="B16" s="1" t="s">
        <v>1736</v>
      </c>
      <c r="C16" s="298"/>
      <c r="D16" s="165"/>
      <c r="E16" s="165"/>
      <c r="F16" s="165"/>
      <c r="G16" s="165"/>
      <c r="H16" s="165"/>
      <c r="I16" s="165"/>
    </row>
    <row r="17" spans="2:9" ht="15.75" customHeight="1" thickBot="1" x14ac:dyDescent="0.3">
      <c r="B17" s="6" t="s">
        <v>1737</v>
      </c>
      <c r="C17" s="165"/>
      <c r="D17" s="165"/>
      <c r="E17" s="165"/>
      <c r="F17" s="165"/>
      <c r="G17" s="165"/>
      <c r="H17" s="165"/>
      <c r="I17" s="165"/>
    </row>
  </sheetData>
  <pageMargins left="0.7" right="0.7" top="0.75" bottom="0.75" header="0.3" footer="0.3"/>
  <headerFooter>
    <oddFooter>&amp;C&amp;"Aptos"&amp;10 &amp;K000000_x000D_# Informazione ad uso interno - Internal use information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14</vt:i4>
      </vt:variant>
    </vt:vector>
  </HeadingPairs>
  <TitlesOfParts>
    <vt:vector size="14" baseType="lpstr">
      <vt:lpstr>Issue</vt:lpstr>
      <vt:lpstr>ToDo</vt:lpstr>
      <vt:lpstr>Cartelle</vt:lpstr>
      <vt:lpstr>Flotte</vt:lpstr>
      <vt:lpstr>CONFIG</vt:lpstr>
      <vt:lpstr>GENERAL</vt:lpstr>
      <vt:lpstr>MAN_CPR</vt:lpstr>
      <vt:lpstr>DIAGNOSTIC</vt:lpstr>
      <vt:lpstr>Funzioni</vt:lpstr>
      <vt:lpstr>Requisiti</vt:lpstr>
      <vt:lpstr>PBS (TBD)</vt:lpstr>
      <vt:lpstr>Struttura</vt:lpstr>
      <vt:lpstr>LINK F</vt:lpstr>
      <vt:lpstr>Modifiche progettuali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SIMONA</dc:creator>
  <cp:lastModifiedBy>CASINI GABRIELE</cp:lastModifiedBy>
  <dcterms:created xsi:type="dcterms:W3CDTF">2015-06-05T18:19:34Z</dcterms:created>
  <dcterms:modified xsi:type="dcterms:W3CDTF">2026-10-12T06:30:52Z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0x010100713C8E1CBF8C9C478FBCA521FF5AE747</vt:lpwstr>
  </property>
  <property fmtid="{D5CDD505-2E9C-101B-9397-08002B2CF9AE}" pid="3" name="MSIP_Label_886719c9-282b-4f1b-a005-55ab1b897fee_Enabled">
    <vt:lpwstr>true</vt:lpwstr>
  </property>
  <property fmtid="{D5CDD505-2E9C-101B-9397-08002B2CF9AE}" pid="4" name="MSIP_Label_886719c9-282b-4f1b-a005-55ab1b897fee_SetDate">
    <vt:lpwstr>2025-11-06T16:11:52Z</vt:lpwstr>
  </property>
  <property fmtid="{D5CDD505-2E9C-101B-9397-08002B2CF9AE}" pid="5" name="MSIP_Label_886719c9-282b-4f1b-a005-55ab1b897fee_Method">
    <vt:lpwstr>Standard</vt:lpwstr>
  </property>
  <property fmtid="{D5CDD505-2E9C-101B-9397-08002B2CF9AE}" pid="6" name="MSIP_Label_886719c9-282b-4f1b-a005-55ab1b897fee_Name">
    <vt:lpwstr>Internal use without protection</vt:lpwstr>
  </property>
  <property fmtid="{D5CDD505-2E9C-101B-9397-08002B2CF9AE}" pid="7" name="MSIP_Label_886719c9-282b-4f1b-a005-55ab1b897fee_SiteId">
    <vt:lpwstr>4c8a6547-459a-4b75-a3dc-f66efe3e9c4e</vt:lpwstr>
  </property>
  <property fmtid="{D5CDD505-2E9C-101B-9397-08002B2CF9AE}" pid="8" name="MSIP_Label_886719c9-282b-4f1b-a005-55ab1b897fee_ActionId">
    <vt:lpwstr>b7d0f9bc-0f68-4257-8c97-866d80925a8c</vt:lpwstr>
  </property>
  <property fmtid="{D5CDD505-2E9C-101B-9397-08002B2CF9AE}" pid="9" name="MSIP_Label_886719c9-282b-4f1b-a005-55ab1b897fee_ContentBits">
    <vt:lpwstr>2</vt:lpwstr>
  </property>
  <property fmtid="{D5CDD505-2E9C-101B-9397-08002B2CF9AE}" pid="10" name="MSIP_Label_886719c9-282b-4f1b-a005-55ab1b897fee_Tag">
    <vt:lpwstr>10, 3, 0, 1</vt:lpwstr>
  </property>
  <property fmtid="{D5CDD505-2E9C-101B-9397-08002B2CF9AE}" pid="11" name="MediaServiceImageTags">
    <vt:lpwstr/>
  </property>
</Properties>
</file>