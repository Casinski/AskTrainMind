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3"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9" hidden="1">'Requisiti'!$A$1:$K$5</definedName>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36">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color rgb="FF00AA00"/>
      <sz val="11"/>
    </font>
    <font>
      <name val="Calibri"/>
      <color rgb="FF00AA00"/>
      <sz val="11"/>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24">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3" fillId="0" borderId="55" applyAlignment="1" pivotButton="0" quotePrefix="0" xfId="0">
      <alignment wrapText="1"/>
    </xf>
    <xf numFmtId="0" fontId="34" fillId="0" borderId="55" applyAlignment="1" pivotButton="0" quotePrefix="0" xfId="0">
      <alignment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35" fillId="0" borderId="55" applyAlignment="1" pivotButton="0" quotePrefix="0" xfId="0">
      <alignment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18"/>
    <col width="8.7109375" customWidth="1" style="8" min="19"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20"/>
    <col width="8.7109375" customWidth="1" style="8" min="21"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79">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79">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79">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79">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79">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79">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20"/>
    <col width="8.7109375" customWidth="1" style="8" min="21" max="16384"/>
  </cols>
  <sheetData>
    <row r="1" ht="21.6" customHeight="1" s="479">
      <c r="A1" s="100" t="inlineStr">
        <is>
          <t>DESCRIZIONE</t>
        </is>
      </c>
      <c r="B1" s="100" t="inlineStr">
        <is>
          <t>NOME</t>
        </is>
      </c>
      <c r="C1" s="100" t="inlineStr">
        <is>
          <t>Livello</t>
        </is>
      </c>
      <c r="D1" s="101" t="inlineStr">
        <is>
          <t>INDIRIZZO</t>
        </is>
      </c>
      <c r="E1" s="101" t="inlineStr">
        <is>
          <t>LINK</t>
        </is>
      </c>
    </row>
    <row r="2" ht="21.6" customHeight="1" s="479">
      <c r="A2" s="9" t="inlineStr">
        <is>
          <t>Root Sharepoint</t>
        </is>
      </c>
      <c r="B2" s="9" t="inlineStr">
        <is>
          <t>Sharepoint</t>
        </is>
      </c>
      <c r="C2" s="9" t="n">
        <v>0</v>
      </c>
      <c r="D2" s="99" t="inlineStr">
        <is>
          <t>https://gruppofsitaliane.sharepoint.com/:f:/r/sites/IngegneriaETReMezziLeggeri-Trenitalia/</t>
        </is>
      </c>
      <c r="E2" s="108">
        <f>HYPERLINK(D2,"🔗")</f>
        <v/>
      </c>
    </row>
    <row r="3" ht="21.6" customHeight="1" s="479">
      <c r="A3" s="9" t="inlineStr">
        <is>
          <t>Cartella Documenti Ingegneria</t>
        </is>
      </c>
      <c r="B3" s="9" t="inlineStr">
        <is>
          <t>Shared%20Documents/</t>
        </is>
      </c>
      <c r="C3" s="9" t="n">
        <v>1</v>
      </c>
      <c r="D3" s="99">
        <f>CONCATENATE($D$2,B3)</f>
        <v/>
      </c>
      <c r="E3" s="108">
        <f>HYPERLINK(D3,"🔗")</f>
        <v/>
      </c>
    </row>
    <row r="4" ht="21.6" customHeight="1" s="479">
      <c r="A4" s="9" t="inlineStr">
        <is>
          <t>Cartella Archiviazione doc ETR1000</t>
        </is>
      </c>
      <c r="B4" s="9" t="inlineStr">
        <is>
          <t>DB_ETR1000/</t>
        </is>
      </c>
      <c r="C4" s="9" t="n">
        <v>2</v>
      </c>
      <c r="D4" s="99">
        <f>CONCATENATE($D$3,B4)</f>
        <v/>
      </c>
      <c r="E4" s="108">
        <f>HYPERLINK(D4,"🔗")</f>
        <v/>
      </c>
    </row>
    <row r="5" ht="21.6" customHeight="1" s="479">
      <c r="A5" s="9" t="inlineStr">
        <is>
          <t>Documenti di configurazione</t>
        </is>
      </c>
      <c r="B5" s="9" t="inlineStr">
        <is>
          <t>DOC_FLOTTE/</t>
        </is>
      </c>
      <c r="C5" s="9" t="n">
        <v>3</v>
      </c>
      <c r="D5" s="99">
        <f>CONCATENATE($D$4,B5)</f>
        <v/>
      </c>
      <c r="E5" s="108">
        <f>HYPERLINK(D5,"🔗")</f>
        <v/>
      </c>
    </row>
    <row r="6" ht="21.6" customHeight="1" s="479">
      <c r="A6" s="9" t="inlineStr">
        <is>
          <t>Raccolta documentazione Funzioni</t>
        </is>
      </c>
      <c r="B6" s="9" t="inlineStr">
        <is>
          <t>DOC_FUNC/</t>
        </is>
      </c>
      <c r="C6" s="9" t="n">
        <v>3</v>
      </c>
      <c r="D6" s="99">
        <f>CONCATENATE($D$4,B6)</f>
        <v/>
      </c>
      <c r="E6" s="108">
        <f>HYPERLINK(D6,"🔗")</f>
        <v/>
      </c>
    </row>
    <row r="7" ht="21.95" customHeight="1" s="479"/>
    <row r="8" ht="21.95" customHeight="1" s="479"/>
    <row r="9" ht="21.95" customHeight="1" s="479"/>
    <row r="10" ht="21.95" customHeight="1" s="479">
      <c r="A10" s="8" t="inlineStr">
        <is>
          <t>VINCOLI</t>
        </is>
      </c>
    </row>
    <row r="11" ht="21.95" customHeight="1" s="479">
      <c r="A11" s="8" t="inlineStr">
        <is>
          <t>Id Flotta</t>
        </is>
      </c>
      <c r="B11" s="8" t="inlineStr">
        <is>
          <t>Riga 1</t>
        </is>
      </c>
    </row>
    <row r="12" ht="21.95" customHeight="1" s="479">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79" min="1" max="1"/>
    <col width="17.5703125" customWidth="1" style="479" min="2" max="3"/>
    <col width="15.42578125" customWidth="1" style="479" min="4" max="4"/>
    <col width="15.140625" customWidth="1" style="479"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5">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35" activePane="bottomRight" state="frozen"/>
      <selection pane="topRight" activeCell="F1" sqref="F1"/>
      <selection pane="bottomLeft" activeCell="B4" sqref="B4"/>
      <selection pane="bottomRight" activeCell="P44" sqref="P44"/>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38"/>
    <col width="8.7109375" customWidth="1" style="59" min="39" max="16384"/>
  </cols>
  <sheetData>
    <row r="1" customFormat="1" s="61">
      <c r="A1" s="435" t="inlineStr">
        <is>
          <t>DOC DESCRIPTION</t>
        </is>
      </c>
      <c r="B1" s="435" t="inlineStr">
        <is>
          <t>DOC ID</t>
        </is>
      </c>
      <c r="C1" s="435" t="inlineStr">
        <is>
          <t>DOC EXT</t>
        </is>
      </c>
      <c r="D1" s="432" t="inlineStr">
        <is>
          <t>VZI_Base</t>
        </is>
      </c>
      <c r="E1" s="430" t="n"/>
      <c r="F1" s="431" t="n"/>
      <c r="G1" s="433" t="inlineStr">
        <is>
          <t>VZI_New14</t>
        </is>
      </c>
      <c r="H1" s="434" t="n"/>
      <c r="I1" s="434" t="n"/>
      <c r="J1" s="432" t="inlineStr">
        <is>
          <t>VZ_FR</t>
        </is>
      </c>
      <c r="K1" s="430" t="n"/>
      <c r="L1" s="431" t="n"/>
      <c r="M1" s="440" t="inlineStr">
        <is>
          <t>VZ_ES</t>
        </is>
      </c>
      <c r="N1" s="441" t="n"/>
      <c r="O1" s="441" t="n"/>
      <c r="P1" s="432" t="inlineStr">
        <is>
          <t>VZI-6_R1</t>
        </is>
      </c>
      <c r="Q1" s="431" t="n"/>
      <c r="R1" s="432" t="inlineStr">
        <is>
          <t>VZI-4_R1</t>
        </is>
      </c>
      <c r="S1" s="431" t="n"/>
      <c r="T1" s="432" t="inlineStr">
        <is>
          <t>VZ_DAI</t>
        </is>
      </c>
      <c r="U1" s="431" t="n"/>
      <c r="V1" s="432" t="inlineStr">
        <is>
          <t>VZ_Esxx</t>
        </is>
      </c>
      <c r="W1" s="431" t="n"/>
    </row>
    <row r="2" ht="41.1" customFormat="1" customHeight="1" s="61">
      <c r="A2" s="436" t="n"/>
      <c r="B2" s="436" t="n"/>
      <c r="C2" s="436" t="n"/>
      <c r="D2" s="429" t="inlineStr">
        <is>
          <t>Conf Sheet  BD130033980 - BL 6.0</t>
        </is>
      </c>
      <c r="E2" s="430" t="n"/>
      <c r="F2" s="431" t="n"/>
      <c r="G2" s="438" t="inlineStr">
        <is>
          <t>Conf Sheet BD140050695 - BL 4.4</t>
        </is>
      </c>
      <c r="H2" s="434" t="n"/>
      <c r="I2" s="434" t="n"/>
      <c r="J2" s="429" t="inlineStr">
        <is>
          <t>Conf Sheet 3ECP414415-0001 - BL 4.0</t>
        </is>
      </c>
      <c r="K2" s="430" t="n"/>
      <c r="L2" s="431" t="n"/>
      <c r="M2" s="442" t="inlineStr">
        <is>
          <t>Conf Sheet BD140047828 - BL 2.9</t>
        </is>
      </c>
      <c r="N2" s="441" t="n"/>
      <c r="O2" s="441" t="n"/>
      <c r="P2" s="429" t="inlineStr">
        <is>
          <t>VZI-6_IT [R1]
BL 4.0</t>
        </is>
      </c>
      <c r="Q2" s="431" t="n"/>
      <c r="R2" s="439" t="inlineStr">
        <is>
          <t>VZI-4_IT [R1]
BL 1.0</t>
        </is>
      </c>
      <c r="S2" s="431" t="n"/>
      <c r="T2" s="429" t="inlineStr">
        <is>
          <t>VZ-DAI
BL xxx</t>
        </is>
      </c>
      <c r="U2" s="431" t="n"/>
      <c r="V2" s="429" t="inlineStr">
        <is>
          <t>VZ_ES Full HRI
BL xxx</t>
        </is>
      </c>
      <c r="W2" s="431" t="n"/>
    </row>
    <row r="3" ht="30" customFormat="1" customHeight="1" s="61">
      <c r="A3" s="437" t="n"/>
      <c r="B3" s="437" t="n"/>
      <c r="C3" s="437"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8"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79">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79">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79">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79">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79">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79">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79">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79">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79">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79">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79">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79">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79">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79">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79">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79">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79">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79">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79">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79">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79">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79">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79">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79">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79">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79">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79">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79">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79">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79">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79">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79">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79">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79">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79">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79">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79">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79">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79">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79">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79">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79">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79">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79">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79">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79">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79">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79">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79">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79">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79">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79">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79">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79">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79">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79">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79">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79">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79">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79">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79">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79">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79">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79">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79">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79">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79">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79">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79">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79">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79">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79">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79">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79">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79">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79">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79">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79">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79">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79">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79">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79">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79">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79">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79">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79">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79">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79">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79">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79">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79">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79">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79">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79">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79">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79">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79">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79">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79">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79">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79">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79">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79">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79">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79">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79">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79">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79">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79">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79">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79">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79">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79">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79">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79">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79">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79">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79">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79">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79">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79">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4"/>
    <col width="8.7109375" customWidth="1" style="59" min="35" max="16384"/>
  </cols>
  <sheetData>
    <row r="1" ht="26.45" customFormat="1" customHeight="1" s="61">
      <c r="A1" s="435" t="inlineStr">
        <is>
          <t>DOC DESCRIPTION</t>
        </is>
      </c>
      <c r="B1" s="444" t="inlineStr">
        <is>
          <t>DOC ID</t>
        </is>
      </c>
      <c r="C1" s="435" t="inlineStr">
        <is>
          <t>DOC EXT</t>
        </is>
      </c>
      <c r="D1" s="443" t="inlineStr">
        <is>
          <t>VZI_Base</t>
        </is>
      </c>
      <c r="E1" s="434" t="n"/>
      <c r="F1" s="432" t="inlineStr">
        <is>
          <t>VZI_New14</t>
        </is>
      </c>
      <c r="G1" s="431" t="n"/>
      <c r="H1" s="443" t="inlineStr">
        <is>
          <t>VZ_FR</t>
        </is>
      </c>
      <c r="I1" s="434" t="n"/>
      <c r="J1" s="432" t="inlineStr">
        <is>
          <t>VZ_ES</t>
        </is>
      </c>
      <c r="K1" s="431" t="n"/>
      <c r="L1" s="443" t="inlineStr">
        <is>
          <t>VZI-6_R1</t>
        </is>
      </c>
      <c r="M1" s="434" t="n"/>
      <c r="N1" s="432" t="inlineStr">
        <is>
          <t>VZI-4_R1</t>
        </is>
      </c>
      <c r="O1" s="431" t="n"/>
      <c r="P1" s="443" t="inlineStr">
        <is>
          <t>VZ_DAI</t>
        </is>
      </c>
      <c r="Q1" s="434" t="n"/>
      <c r="R1" s="432" t="inlineStr">
        <is>
          <t>VZ_Esxx</t>
        </is>
      </c>
      <c r="S1" s="431" t="n"/>
    </row>
    <row r="2" ht="26.45" customFormat="1" customHeight="1" s="61">
      <c r="A2" s="437" t="n"/>
      <c r="B2" s="445" t="n"/>
      <c r="C2" s="437" t="n"/>
      <c r="D2" s="183" t="inlineStr">
        <is>
          <t>File/Codice</t>
        </is>
      </c>
      <c r="E2" s="183" t="inlineStr">
        <is>
          <t>Rev</t>
        </is>
      </c>
      <c r="F2" s="438" t="inlineStr">
        <is>
          <t>File/Codice</t>
        </is>
      </c>
      <c r="G2" s="186" t="inlineStr">
        <is>
          <t>Rev</t>
        </is>
      </c>
      <c r="H2" s="183" t="inlineStr">
        <is>
          <t>File/Codice</t>
        </is>
      </c>
      <c r="I2" s="183" t="inlineStr">
        <is>
          <t>Rev</t>
        </is>
      </c>
      <c r="J2" s="438" t="inlineStr">
        <is>
          <t>File/Codice</t>
        </is>
      </c>
      <c r="K2" s="186" t="inlineStr">
        <is>
          <t>Rev</t>
        </is>
      </c>
      <c r="L2" s="442" t="inlineStr">
        <is>
          <t>Codice</t>
        </is>
      </c>
      <c r="M2" s="442" t="inlineStr">
        <is>
          <t>Rev</t>
        </is>
      </c>
      <c r="N2" s="189" t="inlineStr">
        <is>
          <t>Codice</t>
        </is>
      </c>
      <c r="O2" s="91" t="inlineStr">
        <is>
          <t>Rev</t>
        </is>
      </c>
      <c r="P2" s="183" t="inlineStr">
        <is>
          <t>Codice</t>
        </is>
      </c>
      <c r="Q2" s="183" t="inlineStr">
        <is>
          <t>Rev</t>
        </is>
      </c>
      <c r="R2" s="438"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79">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79">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79">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79">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79">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79">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79">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79">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38"/>
    <col width="8.7109375" customWidth="1" style="8" min="39" max="16384"/>
  </cols>
  <sheetData>
    <row r="1" ht="29.45" customHeight="1" s="479">
      <c r="A1" s="435" t="inlineStr">
        <is>
          <t>DOC DESCRIPTION</t>
        </is>
      </c>
      <c r="B1" s="444" t="inlineStr">
        <is>
          <t>DOC ID</t>
        </is>
      </c>
      <c r="C1" s="444" t="inlineStr">
        <is>
          <t>DOC EXT</t>
        </is>
      </c>
      <c r="D1" s="450" t="inlineStr">
        <is>
          <t>TIPO</t>
        </is>
      </c>
      <c r="E1" s="450" t="inlineStr">
        <is>
          <t>VOLUME
SUBVOLUME
_TOMO</t>
        </is>
      </c>
      <c r="F1" s="446" t="inlineStr">
        <is>
          <t>VZI_Base</t>
        </is>
      </c>
      <c r="G1" s="447" t="n"/>
      <c r="H1" s="447" t="n"/>
      <c r="I1" s="448" t="n"/>
      <c r="J1" s="446" t="inlineStr">
        <is>
          <t>VZI_New14</t>
        </is>
      </c>
      <c r="K1" s="447" t="n"/>
      <c r="L1" s="447" t="n"/>
      <c r="M1" s="448" t="n"/>
      <c r="N1" s="449" t="inlineStr">
        <is>
          <t>VZ_FR</t>
        </is>
      </c>
      <c r="O1" s="447" t="n"/>
      <c r="P1" s="447" t="n"/>
      <c r="Q1" s="448" t="n"/>
      <c r="R1" s="449" t="inlineStr">
        <is>
          <t>VZ-ES</t>
        </is>
      </c>
      <c r="S1" s="447" t="n"/>
      <c r="T1" s="447" t="n"/>
      <c r="U1" s="448" t="n"/>
      <c r="V1" s="452" t="inlineStr">
        <is>
          <t>VZI-6_R1</t>
        </is>
      </c>
      <c r="W1" s="447" t="n"/>
      <c r="X1" s="447" t="n"/>
      <c r="Y1" s="448" t="n"/>
      <c r="Z1" s="452" t="inlineStr">
        <is>
          <t>VZI-4_R1</t>
        </is>
      </c>
      <c r="AA1" s="447" t="n"/>
      <c r="AB1" s="447" t="n"/>
      <c r="AC1" s="448" t="n"/>
    </row>
    <row r="2" ht="29.45" customHeight="1" s="479" thickBot="1">
      <c r="A2" s="437" t="n"/>
      <c r="B2" s="445" t="n"/>
      <c r="C2" s="445" t="n"/>
      <c r="D2" s="451" t="n"/>
      <c r="E2" s="451"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4"/>
    <col width="8.7109375" customWidth="1" style="59" min="35" max="16384"/>
  </cols>
  <sheetData>
    <row r="1" ht="21.6" customFormat="1" customHeight="1" s="61">
      <c r="A1" s="435" t="inlineStr">
        <is>
          <t>DOC DESCRIPTION</t>
        </is>
      </c>
      <c r="B1" s="444" t="inlineStr">
        <is>
          <t>DOC ID</t>
        </is>
      </c>
      <c r="C1" s="444" t="inlineStr">
        <is>
          <t>DOC EXT</t>
        </is>
      </c>
      <c r="D1" s="443" t="inlineStr">
        <is>
          <t>VZI_Base</t>
        </is>
      </c>
      <c r="E1" s="434" t="n"/>
      <c r="F1" s="432" t="inlineStr">
        <is>
          <t>VZI_New14</t>
        </is>
      </c>
      <c r="G1" s="431" t="n"/>
      <c r="H1" s="443" t="inlineStr">
        <is>
          <t>VZ_FR</t>
        </is>
      </c>
      <c r="I1" s="434" t="n"/>
      <c r="J1" s="432" t="inlineStr">
        <is>
          <t>VZ_ES</t>
        </is>
      </c>
      <c r="K1" s="431" t="n"/>
      <c r="L1" s="443" t="inlineStr">
        <is>
          <t>VZI-6_R1</t>
        </is>
      </c>
      <c r="M1" s="434" t="n"/>
      <c r="N1" s="432" t="inlineStr">
        <is>
          <t>VZI-4_R1</t>
        </is>
      </c>
      <c r="O1" s="431" t="n"/>
      <c r="P1" s="443" t="inlineStr">
        <is>
          <t>VZ_DAI</t>
        </is>
      </c>
      <c r="Q1" s="434" t="n"/>
      <c r="R1" s="432" t="inlineStr">
        <is>
          <t>VZ_Esxx</t>
        </is>
      </c>
      <c r="S1" s="431" t="n"/>
    </row>
    <row r="2" ht="21.6" customFormat="1" customHeight="1" s="61">
      <c r="A2" s="437" t="n"/>
      <c r="B2" s="445" t="n"/>
      <c r="C2" s="445" t="n"/>
      <c r="D2" s="183" t="inlineStr">
        <is>
          <t>File/Codice</t>
        </is>
      </c>
      <c r="E2" s="183" t="inlineStr">
        <is>
          <t>Rev</t>
        </is>
      </c>
      <c r="F2" s="438" t="inlineStr">
        <is>
          <t>File/Codice</t>
        </is>
      </c>
      <c r="G2" s="186" t="inlineStr">
        <is>
          <t>Rev</t>
        </is>
      </c>
      <c r="H2" s="183" t="inlineStr">
        <is>
          <t>File/Codice</t>
        </is>
      </c>
      <c r="I2" s="183" t="inlineStr">
        <is>
          <t>Rev</t>
        </is>
      </c>
      <c r="J2" s="438" t="inlineStr">
        <is>
          <t>File/Codice</t>
        </is>
      </c>
      <c r="K2" s="186" t="inlineStr">
        <is>
          <t>Rev</t>
        </is>
      </c>
      <c r="L2" s="442" t="inlineStr">
        <is>
          <t>Codice</t>
        </is>
      </c>
      <c r="M2" s="442" t="inlineStr">
        <is>
          <t>Rev</t>
        </is>
      </c>
      <c r="N2" s="189" t="inlineStr">
        <is>
          <t>Codice</t>
        </is>
      </c>
      <c r="O2" s="91" t="inlineStr">
        <is>
          <t>Rev</t>
        </is>
      </c>
      <c r="P2" s="183" t="inlineStr">
        <is>
          <t>Codice</t>
        </is>
      </c>
      <c r="Q2" s="183" t="inlineStr">
        <is>
          <t>Rev</t>
        </is>
      </c>
      <c r="R2" s="438"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79">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79">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55" zoomScaleNormal="55" workbookViewId="0">
      <pane xSplit="2" ySplit="1" topLeftCell="C5" activePane="bottomRight" state="frozen"/>
      <selection pane="topRight" activeCell="F1" sqref="F1"/>
      <selection pane="bottomLeft" activeCell="A3" sqref="A3"/>
      <selection pane="bottomRight" activeCell="J21" sqref="J21"/>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29"/>
    <col width="8.7109375" customWidth="1" style="59" min="30" max="16384"/>
  </cols>
  <sheetData>
    <row r="1" ht="30" customFormat="1" customHeight="1" s="61">
      <c r="A1" s="329" t="inlineStr">
        <is>
          <t>FUNC ID</t>
        </is>
      </c>
      <c r="B1" s="329" t="inlineStr">
        <is>
          <t>DESCRIZIONE FUNZIONE</t>
        </is>
      </c>
      <c r="C1" s="435" t="inlineStr">
        <is>
          <t>DOC
CARTELLA</t>
        </is>
      </c>
      <c r="D1" s="435" t="inlineStr">
        <is>
          <t>DOC ID</t>
        </is>
      </c>
      <c r="E1" s="435" t="inlineStr">
        <is>
          <t>Info DOC</t>
        </is>
      </c>
      <c r="F1" s="330" t="inlineStr">
        <is>
          <t>VZI_Base</t>
        </is>
      </c>
      <c r="G1" s="330" t="inlineStr">
        <is>
          <t>VZI_New14</t>
        </is>
      </c>
      <c r="H1" s="440" t="inlineStr">
        <is>
          <t>VZ_FR</t>
        </is>
      </c>
      <c r="I1" s="440" t="inlineStr">
        <is>
          <t>VZ_ES</t>
        </is>
      </c>
      <c r="J1" s="440" t="inlineStr">
        <is>
          <t>VZI-6_R1</t>
        </is>
      </c>
      <c r="K1" s="440"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79">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79">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79">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79">
      <c r="A6" s="105" t="n"/>
      <c r="B6" s="106" t="n"/>
      <c r="C6" s="342" t="n"/>
      <c r="D6" s="217" t="n"/>
      <c r="E6" s="218" t="inlineStr">
        <is>
          <t>Rif. Pagina</t>
        </is>
      </c>
      <c r="F6" s="217" t="n">
        <v>1</v>
      </c>
      <c r="G6" s="217" t="n"/>
      <c r="H6" s="217" t="n"/>
      <c r="I6" s="217" t="n"/>
      <c r="J6" s="217" t="n">
        <v>1</v>
      </c>
      <c r="K6" s="217" t="n"/>
      <c r="L6" s="217" t="n"/>
    </row>
    <row r="7" outlineLevel="1" collapsed="1" s="479">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79">
      <c r="A8" s="105" t="n"/>
      <c r="B8" s="106" t="n"/>
      <c r="C8" s="106" t="n"/>
      <c r="D8" s="217" t="n"/>
      <c r="E8" s="218" t="inlineStr">
        <is>
          <t>Rif. Pagina</t>
        </is>
      </c>
      <c r="F8" s="217" t="n">
        <v>1</v>
      </c>
      <c r="G8" s="217" t="n"/>
      <c r="H8" s="217" t="n"/>
      <c r="I8" s="217" t="n"/>
      <c r="J8" s="217" t="n">
        <v>1</v>
      </c>
      <c r="K8" s="217" t="n"/>
      <c r="L8" s="217" t="n"/>
    </row>
    <row r="9" outlineLevel="1" collapsed="1" s="479">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79">
      <c r="A10" s="67" t="n"/>
      <c r="B10" s="86" t="n"/>
      <c r="D10" s="345" t="n"/>
      <c r="E10" s="218" t="inlineStr">
        <is>
          <t>Rif. Pagina</t>
        </is>
      </c>
      <c r="F10" s="217" t="n">
        <v>1</v>
      </c>
      <c r="G10" s="217" t="n">
        <v>1</v>
      </c>
      <c r="H10" s="217" t="n"/>
      <c r="I10" s="217" t="n"/>
      <c r="J10" s="217" t="n"/>
      <c r="K10" s="217" t="n"/>
      <c r="L10" s="217" t="n"/>
    </row>
    <row r="11" hidden="1" outlineLevel="2" s="479">
      <c r="A11" s="67" t="n"/>
      <c r="B11" s="86" t="n"/>
      <c r="D11" s="346" t="n"/>
      <c r="E11" s="343" t="inlineStr">
        <is>
          <t>Descrizione</t>
        </is>
      </c>
      <c r="F11" s="217" t="n"/>
      <c r="G11" s="217" t="n"/>
      <c r="H11" s="217" t="n"/>
      <c r="I11" s="217" t="n"/>
      <c r="J11" s="217" t="n"/>
      <c r="K11" s="217" t="n"/>
      <c r="L11" s="217" t="n"/>
    </row>
    <row r="12" outlineLevel="1" collapsed="1" s="479">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79">
      <c r="A13" s="67" t="n"/>
      <c r="B13" s="86" t="n"/>
      <c r="D13" s="345" t="n"/>
      <c r="E13" s="343" t="inlineStr">
        <is>
          <t>Pagina</t>
        </is>
      </c>
      <c r="F13" s="217" t="n">
        <v>1</v>
      </c>
      <c r="G13" s="217" t="n"/>
      <c r="H13" s="217" t="n"/>
      <c r="I13" s="217" t="n"/>
      <c r="J13" s="217" t="n"/>
      <c r="K13" s="217" t="n"/>
      <c r="L13" s="217" t="n"/>
    </row>
    <row r="14" outlineLevel="1" collapsed="1" s="479">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79">
      <c r="A15" s="67" t="n"/>
      <c r="B15" s="86" t="n"/>
      <c r="D15" s="345" t="n"/>
      <c r="E15" s="343" t="inlineStr">
        <is>
          <t>Pagina</t>
        </is>
      </c>
      <c r="F15" s="217" t="n">
        <v>1</v>
      </c>
      <c r="G15" s="217" t="n"/>
      <c r="H15" s="217" t="n"/>
      <c r="I15" s="217" t="n"/>
      <c r="J15" s="217" t="n"/>
      <c r="K15" s="217" t="n"/>
      <c r="L15" s="217" t="n"/>
    </row>
    <row r="16" ht="30" customHeight="1" s="479">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79">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79">
      <c r="A18" s="105" t="n"/>
      <c r="B18" s="106" t="n"/>
      <c r="C18" s="106" t="n"/>
      <c r="D18" s="217" t="n"/>
      <c r="E18" s="218" t="inlineStr">
        <is>
          <t>Rif. Pagina</t>
        </is>
      </c>
      <c r="F18" s="217" t="n">
        <v>7</v>
      </c>
      <c r="G18" s="217" t="n"/>
      <c r="H18" s="217" t="n">
        <v>7</v>
      </c>
      <c r="I18" s="217" t="n">
        <v>7</v>
      </c>
      <c r="J18" s="217" t="n">
        <v>12</v>
      </c>
      <c r="K18" s="343" t="n"/>
      <c r="L18" s="217" t="n"/>
    </row>
    <row r="19" outlineLevel="2" ht="409.5" customHeight="1" s="479">
      <c r="A19" s="105" t="n"/>
      <c r="B19" s="106" t="n"/>
      <c r="C19" s="106" t="n"/>
      <c r="D19" s="217" t="n"/>
      <c r="E19" s="230" t="inlineStr">
        <is>
          <t>Funzioni AI</t>
        </is>
      </c>
      <c r="F19" s="523"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(VZI_Base): Nota specifica: la funzione è identica alle altre config, ma non implementa il timeout di 35s
Score equivalenza: 85/100
Pag. iniziale: parte di pag.7 — Pag. finale: parte di pag.8.</t>
        </is>
      </c>
      <c r="G19" s="231" t="n"/>
      <c r="H19" s="523"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(VZ_FR): Nota specifica: la funzione è identica alle altre config
Score equivalenza: 85/100
Pag. iniziale: parte di pag.7 — Pag. finale: parte di pag.8.</t>
        </is>
      </c>
      <c r="I19" s="523"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(VZ_ES): Nota specifica: la funzione non invia il codice selezionato alle PCU
Score equivalenza: 85/100
Pag. iniziale: parte di pag.7 — Pag. finale: parte di pag.8.</t>
        </is>
      </c>
      <c r="J19" s="523"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(VZI-6_R1): Nota specifica: la funzione ha solo 6 paesi disponibili per la selezione
Score equivalenza: 85/100
Pag. iniziale: parte di pag.12 — Pag. finale: parte di pag.13.</t>
        </is>
      </c>
      <c r="K19" s="230" t="n"/>
      <c r="L19" s="232" t="n"/>
    </row>
    <row r="20" ht="30" customHeight="1" s="479">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s="479">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outlineLevel="2" s="479">
      <c r="A22" s="105" t="n"/>
      <c r="B22" s="106" t="n"/>
      <c r="C22" s="106" t="n"/>
      <c r="D22" s="217" t="n"/>
      <c r="E22" s="218" t="inlineStr">
        <is>
          <t>Rif. Pagina</t>
        </is>
      </c>
      <c r="F22" s="217" t="n">
        <v>8</v>
      </c>
      <c r="G22" s="217" t="n"/>
      <c r="H22" s="217" t="n">
        <v>8</v>
      </c>
      <c r="I22" s="217" t="n">
        <v>8</v>
      </c>
      <c r="J22" s="217" t="n">
        <v>13</v>
      </c>
      <c r="K22" s="343" t="n"/>
      <c r="L22" s="217" t="n"/>
    </row>
    <row r="23" outlineLevel="2" ht="360" customHeight="1" s="479">
      <c r="A23" s="105" t="n"/>
      <c r="B23" s="106" t="n"/>
      <c r="C23" s="106" t="n"/>
      <c r="D23" s="217" t="n"/>
      <c r="E23" s="230" t="inlineStr">
        <is>
          <t>Funzioni AI</t>
        </is>
      </c>
      <c r="F23" s="523"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(VZI_Base): Nota: la funzione è progettata per garantire la sicurezza e la stabilità durante l'alzamento del pantografo.
Score equivalenza: 85/100
Pag. di riferimento: parte di pag.8.</t>
        </is>
      </c>
      <c r="G23" s="231" t="n"/>
      <c r="H23" s="523"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(VZ_FR): Nota: la funzione è progettata per garantire la sicurezza e la stabilità durante l'alzamento del pantografo.
Score equivalenza: 85/100
Pag. di riferimento: parte di pag.8.</t>
        </is>
      </c>
      <c r="I23" s="523"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(VZ_ES): Nota: la mancanza del timeout di 35s può causare problemi di sicurezza e stabilità durante l'alzamento del pantografo.
Score equivalenza: 85/100
Pag. di riferimento: parte di pag.8.</t>
        </is>
      </c>
      <c r="J23" s="523"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(VZI-6_R1): Nota: la funzione utilizza un protocollo specifico per comunicare con il PCU, il che può richiedere attenzione particolare durante la configurazione e la manutenzione.
Score equivalenza: 85/100
Pag. iniziale: parte di pag.13 — Pag. finale: pag.14.</t>
        </is>
      </c>
      <c r="K23" s="230" t="n"/>
      <c r="L23" s="232" t="n"/>
    </row>
    <row r="24" ht="30" customHeight="1" s="479">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79">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79">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79">
      <c r="A27" s="105" t="n"/>
      <c r="B27" s="106" t="n"/>
      <c r="C27" s="106" t="n"/>
      <c r="D27" s="217" t="n"/>
      <c r="E27" s="230" t="inlineStr">
        <is>
          <t>Funzioni AI</t>
        </is>
      </c>
      <c r="F27" s="523"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(VZI_Base): La funzione è identica alle altre config, ma con una soglia di 750 kPa
Score equivalenza: 85/100
Pag. di riferimento: parte di pag.14.</t>
        </is>
      </c>
      <c r="G27" s="231" t="n"/>
      <c r="H27" s="523"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(VZ_FR): La funzione è identica alle altre config, ma con una soglia di 800 kPa e un timeout di 35s
Score equivalenza: 85/100
Pag. iniziale: parte di pag.16 — Pag. finale: parte di pag.18.</t>
        </is>
      </c>
      <c r="I27" s="523"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(VZ_ES): La funzione è diversa dalle altre config, poiché non implementa il timeout di 35s e ha un comportamento di blocco del pantografo diverso
Score equivalenza: 85/100
Pag. di riferimento: parte di pag.14.</t>
        </is>
      </c>
      <c r="J27" s="523"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(VZI-6_R1): La funzione è identica alle altre config, ma con una soglia di 800 kPa
Score equivalenza: 85/100
Pag. iniziale: parte di pag.19 — Pag. finale: pag.20.</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5"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5" t="n"/>
      <c r="D31" s="233" t="n"/>
      <c r="E31" s="234" t="inlineStr">
        <is>
          <t>Funzioni AI</t>
        </is>
      </c>
      <c r="F31" s="523"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(VZI_Base): La VZI_Base ha un timeout di 35s e non ha un counter per misurare la distanza di guasto
Score equivalenza: 85/100
Pag. di riferimento: parte di pag.16.</t>
        </is>
      </c>
      <c r="G31" s="235" t="n"/>
      <c r="H31" s="523"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(VZ_FR): La VZ_FR ha un timeout di 30s e un counter per misurare la distanza di guasto
Score equivalenza: 85/100
Pag. iniziale: parte di pag.18 — Pag. finale: pag.19.</t>
        </is>
      </c>
      <c r="I31" s="523"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(VZ_ES): La VZ_ES non implementa il timeout di 35s e non ha un counter per misurare la distanza di guasto
Score equivalenza: 85/100
Pag. di riferimento: parte di pag.16.</t>
        </is>
      </c>
      <c r="J31" s="523"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(VZI-6_R1): La VZI-6_R1 ha un counter per misurare la distanza di guasto
Score equivalenza: 85/100
Pag. iniziale: parte di pag.22 — Pag. finale: pag.23.</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5"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5"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5"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5"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5"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5"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5"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5"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5"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5"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5"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5"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5"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5"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5"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5"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5"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5"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5"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5"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5"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5"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5"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5"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5" t="n"/>
      <c r="D82" s="233" t="n"/>
      <c r="E82" s="270" t="inlineStr">
        <is>
          <t>Rif. Pagina</t>
        </is>
      </c>
      <c r="F82" s="233" t="n"/>
      <c r="G82" s="233" t="n"/>
      <c r="H82" s="233" t="n"/>
      <c r="I82" s="233" t="n"/>
      <c r="J82" s="233" t="n">
        <v>65</v>
      </c>
      <c r="K82" s="233" t="n"/>
      <c r="L82" s="233" t="n"/>
    </row>
    <row r="83" hidden="1" outlineLevel="2" ht="360" customFormat="1" customHeight="1" s="8">
      <c r="B83" s="59" t="n"/>
      <c r="C83" s="445"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5" t="n"/>
      <c r="D86" s="233" t="n"/>
      <c r="E86" s="270" t="inlineStr">
        <is>
          <t>Rif. Pagina</t>
        </is>
      </c>
      <c r="F86" s="233" t="n"/>
      <c r="G86" s="233" t="n"/>
      <c r="H86" s="233" t="n"/>
      <c r="I86" s="233" t="n"/>
      <c r="J86" s="233" t="n">
        <v>68</v>
      </c>
      <c r="K86" s="233" t="n"/>
      <c r="L86" s="233" t="n"/>
    </row>
    <row r="87" hidden="1" outlineLevel="2" ht="195" customFormat="1" customHeight="1" s="8">
      <c r="B87" s="59" t="n"/>
      <c r="C87" s="445"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5"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5"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5"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5"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5"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5"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5"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5"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5"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5"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6"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5"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6"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5"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6"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5"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6"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5"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6"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5"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6"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5"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6"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5"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5"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5"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79">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79">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5"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79">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79">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5"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79">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79">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5"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79">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79">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5"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79">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79">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5"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79">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79">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5"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79">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79">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5"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79">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79">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5"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79">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79">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5"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79">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79">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5"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79">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79">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5"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79">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79">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5"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79">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79">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5"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79">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79">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5"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79">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79">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5"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79">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79">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5"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79">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79">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5"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79">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79">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5"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79">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79">
      <c r="B214" s="169" t="n"/>
      <c r="D214" s="168" t="n"/>
      <c r="E214" s="167" t="inlineStr">
        <is>
          <t>Rif. Pagina</t>
        </is>
      </c>
      <c r="F214" s="168" t="n">
        <v>97</v>
      </c>
      <c r="G214" s="168" t="n"/>
      <c r="H214" s="168" t="n">
        <v>102</v>
      </c>
      <c r="I214" s="168" t="n">
        <v>93</v>
      </c>
      <c r="J214" s="168" t="n">
        <v>136</v>
      </c>
      <c r="K214" s="168" t="n"/>
      <c r="L214" s="168" t="n"/>
    </row>
    <row r="215" hidden="1" outlineLevel="2" ht="409.5" customHeight="1" s="479">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79">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79">
      <c r="B218" s="169" t="n"/>
      <c r="D218" s="168" t="n"/>
      <c r="E218" s="167" t="inlineStr">
        <is>
          <t>Rif. Pagina</t>
        </is>
      </c>
      <c r="F218" s="168" t="n">
        <v>117</v>
      </c>
      <c r="G218" s="168" t="n"/>
      <c r="H218" s="168" t="n">
        <v>127</v>
      </c>
      <c r="I218" s="168" t="n">
        <v>113</v>
      </c>
      <c r="J218" s="168" t="n">
        <v>154</v>
      </c>
      <c r="K218" s="168" t="n"/>
      <c r="L218" s="168" t="n"/>
    </row>
    <row r="219" hidden="1" outlineLevel="2" ht="360" customHeight="1" s="479">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79">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79">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79">
      <c r="B222" s="86" t="n"/>
      <c r="D222" s="345" t="n"/>
      <c r="E222" s="218" t="inlineStr">
        <is>
          <t>Rif. Pagina</t>
        </is>
      </c>
      <c r="F222" s="217" t="n">
        <v>276</v>
      </c>
      <c r="G222" s="332" t="n">
        <v>243</v>
      </c>
      <c r="H222" s="217" t="n"/>
      <c r="I222" s="217" t="n"/>
      <c r="J222" s="217" t="n">
        <v>144</v>
      </c>
      <c r="K222" s="343" t="n"/>
      <c r="L222" s="217" t="n"/>
    </row>
    <row r="223" hidden="1" outlineLevel="2" ht="75" customHeight="1" s="479">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79">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79">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79">
      <c r="B226" s="86" t="n"/>
      <c r="D226" s="345" t="n"/>
      <c r="E226" s="218" t="inlineStr">
        <is>
          <t>Rif. Pagina</t>
        </is>
      </c>
      <c r="F226" s="217" t="n">
        <v>171</v>
      </c>
      <c r="G226" s="217" t="n"/>
      <c r="H226" s="217" t="n"/>
      <c r="I226" s="217" t="n"/>
      <c r="J226" s="217" t="n">
        <v>131</v>
      </c>
      <c r="K226" s="343" t="n"/>
      <c r="L226" s="217" t="n"/>
    </row>
    <row r="227" hidden="1" outlineLevel="2" ht="120" customHeight="1" s="479">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79">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79">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79">
      <c r="B231" s="169" t="n"/>
      <c r="D231" s="168" t="n"/>
      <c r="E231" s="167" t="inlineStr">
        <is>
          <t>Rif. Pagina</t>
        </is>
      </c>
      <c r="F231" s="168" t="n">
        <v>131</v>
      </c>
      <c r="G231" s="168" t="n"/>
      <c r="H231" s="168" t="n">
        <v>142</v>
      </c>
      <c r="I231" s="168" t="n">
        <v>131</v>
      </c>
      <c r="J231" s="168" t="n">
        <v>171</v>
      </c>
      <c r="K231" s="168" t="n"/>
      <c r="L231" s="168" t="n"/>
    </row>
    <row r="232" hidden="1" outlineLevel="2" ht="390" customHeight="1" s="479">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79">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79">
      <c r="B235" s="169" t="n"/>
      <c r="D235" s="168" t="n"/>
      <c r="E235" s="167" t="inlineStr">
        <is>
          <t>Rif. Pagina</t>
        </is>
      </c>
      <c r="F235" s="168" t="n">
        <v>145</v>
      </c>
      <c r="G235" s="168" t="n"/>
      <c r="H235" s="168" t="n">
        <v>157</v>
      </c>
      <c r="I235" s="168" t="n">
        <v>144</v>
      </c>
      <c r="J235" s="168" t="n">
        <v>189</v>
      </c>
      <c r="K235" s="168" t="n"/>
      <c r="L235" s="168" t="n"/>
    </row>
    <row r="236" hidden="1" outlineLevel="2" ht="390" customHeight="1" s="479">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79">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79">
      <c r="B239" s="169" t="n"/>
      <c r="D239" s="168" t="n"/>
      <c r="E239" s="167" t="inlineStr">
        <is>
          <t>Rif. Pagina</t>
        </is>
      </c>
      <c r="F239" s="168" t="n">
        <v>153</v>
      </c>
      <c r="G239" s="168" t="n"/>
      <c r="H239" s="168" t="n">
        <v>165</v>
      </c>
      <c r="I239" s="168" t="n">
        <v>166</v>
      </c>
      <c r="J239" s="168" t="n">
        <v>192</v>
      </c>
      <c r="K239" s="168" t="n"/>
      <c r="L239" s="168" t="n"/>
    </row>
    <row r="240" hidden="1" outlineLevel="2" ht="375" customHeight="1" s="479">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79">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79">
      <c r="B243" s="169" t="n"/>
      <c r="D243" s="168" t="n"/>
      <c r="E243" s="167" t="inlineStr">
        <is>
          <t>Rif. Pagina</t>
        </is>
      </c>
      <c r="F243" s="168" t="n">
        <v>163</v>
      </c>
      <c r="G243" s="168" t="n"/>
      <c r="H243" s="168" t="n">
        <v>173</v>
      </c>
      <c r="I243" s="168" t="n">
        <v>177</v>
      </c>
      <c r="J243" s="168" t="n">
        <v>204</v>
      </c>
      <c r="K243" s="168" t="n"/>
      <c r="L243" s="168" t="n"/>
    </row>
    <row r="244" hidden="1" outlineLevel="2" ht="405" customHeight="1" s="479">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79">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79">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79">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79">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79">
      <c r="B251" s="169" t="n"/>
      <c r="D251" s="168" t="n"/>
      <c r="E251" s="167" t="inlineStr">
        <is>
          <t>Rif. Pagina</t>
        </is>
      </c>
      <c r="F251" s="168" t="n">
        <v>224</v>
      </c>
      <c r="G251" s="168" t="n"/>
      <c r="H251" s="168" t="n">
        <v>238</v>
      </c>
      <c r="I251" s="168" t="n">
        <v>234</v>
      </c>
      <c r="J251" s="168" t="n">
        <v>262</v>
      </c>
      <c r="K251" s="168" t="n"/>
      <c r="L251" s="168" t="n"/>
    </row>
    <row r="252" hidden="1" outlineLevel="2" ht="360" customHeight="1" s="479">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79">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79">
      <c r="B255" s="169" t="n"/>
      <c r="D255" s="168" t="n"/>
      <c r="E255" s="167" t="inlineStr">
        <is>
          <t>Rif. Pagina</t>
        </is>
      </c>
      <c r="F255" s="168" t="n">
        <v>233</v>
      </c>
      <c r="G255" s="168" t="n"/>
      <c r="H255" s="168" t="n">
        <v>246</v>
      </c>
      <c r="I255" s="168" t="n">
        <v>242</v>
      </c>
      <c r="J255" s="168" t="n">
        <v>270</v>
      </c>
      <c r="K255" s="168" t="n"/>
      <c r="L255" s="168" t="n"/>
    </row>
    <row r="256" hidden="1" outlineLevel="2" ht="375" customHeight="1" s="479">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79">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79">
      <c r="B259" s="169" t="n"/>
      <c r="D259" s="166" t="n"/>
      <c r="E259" s="165" t="inlineStr">
        <is>
          <t>Rif. Pagina</t>
        </is>
      </c>
      <c r="F259" s="166" t="n">
        <v>234</v>
      </c>
      <c r="G259" s="166" t="n"/>
      <c r="H259" s="166" t="n">
        <v>247</v>
      </c>
      <c r="I259" s="166" t="n"/>
      <c r="J259" s="166" t="n"/>
      <c r="K259" s="166" t="n"/>
      <c r="L259" s="166" t="n"/>
    </row>
    <row r="260" hidden="1" outlineLevel="2" ht="390" customHeight="1" s="479">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79">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79">
      <c r="B263" s="169" t="n"/>
      <c r="D263" s="168" t="n"/>
      <c r="E263" s="167" t="inlineStr">
        <is>
          <t>Rif. Pagina</t>
        </is>
      </c>
      <c r="F263" s="168" t="n">
        <v>11</v>
      </c>
      <c r="G263" s="168" t="n">
        <v>10</v>
      </c>
      <c r="H263" s="168" t="n"/>
      <c r="I263" s="168" t="n"/>
      <c r="J263" s="168" t="n">
        <v>11</v>
      </c>
      <c r="K263" s="168" t="n"/>
      <c r="L263" s="168" t="n"/>
    </row>
    <row r="264" hidden="1" outlineLevel="2" ht="409.5" customHeight="1" s="479">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79">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79">
      <c r="B267" s="169" t="n"/>
      <c r="D267" s="168" t="n"/>
      <c r="E267" s="167" t="inlineStr">
        <is>
          <t>Rif. Pagina</t>
        </is>
      </c>
      <c r="F267" s="168" t="n">
        <v>14</v>
      </c>
      <c r="G267" s="168" t="n">
        <v>12</v>
      </c>
      <c r="H267" s="168" t="n"/>
      <c r="I267" s="168" t="n"/>
      <c r="J267" s="168" t="n">
        <v>14</v>
      </c>
      <c r="K267" s="168" t="n"/>
      <c r="L267" s="168" t="n"/>
    </row>
    <row r="268" hidden="1" outlineLevel="2" ht="409.5" customHeight="1" s="479">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79">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79">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79">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79">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79">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79">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79">
      <c r="B276" s="169" t="n"/>
      <c r="D276" s="168" t="n"/>
      <c r="E276" s="167" t="inlineStr">
        <is>
          <t>Rif. Pagina</t>
        </is>
      </c>
      <c r="F276" s="168" t="n">
        <v>20</v>
      </c>
      <c r="G276" s="168" t="n">
        <v>20</v>
      </c>
      <c r="H276" s="168" t="n"/>
      <c r="I276" s="168" t="n"/>
      <c r="J276" s="168" t="n">
        <v>36</v>
      </c>
      <c r="K276" s="168" t="n"/>
      <c r="L276" s="168" t="n"/>
    </row>
    <row r="277" hidden="1" outlineLevel="2" ht="405" customHeight="1" s="479">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79">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79">
      <c r="B280" s="169" t="n"/>
      <c r="D280" s="168" t="n"/>
      <c r="E280" s="167" t="inlineStr">
        <is>
          <t>Rif. Pagina</t>
        </is>
      </c>
      <c r="F280" s="168" t="n">
        <v>29</v>
      </c>
      <c r="G280" s="168" t="n">
        <v>28</v>
      </c>
      <c r="H280" s="168" t="n"/>
      <c r="I280" s="168" t="n"/>
      <c r="J280" s="168" t="n">
        <v>43</v>
      </c>
      <c r="K280" s="168" t="n"/>
      <c r="L280" s="168" t="n"/>
    </row>
    <row r="281" hidden="1" outlineLevel="2" ht="390" customHeight="1" s="479">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79">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79">
      <c r="B284" s="169" t="n"/>
      <c r="D284" s="166" t="n"/>
      <c r="E284" s="165" t="inlineStr">
        <is>
          <t>Rif. Pagina</t>
        </is>
      </c>
      <c r="F284" s="166" t="n">
        <v>31</v>
      </c>
      <c r="G284" s="166" t="n">
        <v>29</v>
      </c>
      <c r="H284" s="166" t="n"/>
      <c r="I284" s="166" t="n">
        <v>29</v>
      </c>
      <c r="J284" s="166" t="n">
        <v>44</v>
      </c>
      <c r="K284" s="166" t="n"/>
      <c r="L284" s="166" t="n"/>
    </row>
    <row r="285" hidden="1" outlineLevel="2" ht="375" customHeight="1" s="479">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71"/>
  <sheetViews>
    <sheetView zoomScale="85" zoomScaleNormal="85" workbookViewId="0">
      <selection activeCell="E12" sqref="E12"/>
    </sheetView>
  </sheetViews>
  <sheetFormatPr baseColWidth="8" defaultColWidth="8.7109375" defaultRowHeight="15"/>
  <cols>
    <col width="22.140625" bestFit="1" customWidth="1" style="62" min="1" max="1"/>
    <col width="65.42578125" customWidth="1" style="62" min="2" max="2"/>
    <col width="34.71093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22"/>
    <col width="8.7109375" customWidth="1" style="59" min="23"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40" t="inlineStr">
        <is>
          <t>VZ_FR</t>
        </is>
      </c>
      <c r="H1" s="440" t="inlineStr">
        <is>
          <t>VZ_ES</t>
        </is>
      </c>
      <c r="I1" s="440" t="inlineStr">
        <is>
          <t>VZI-6_R1</t>
        </is>
      </c>
      <c r="J1" s="440" t="inlineStr">
        <is>
          <t>VZI-4_R1</t>
        </is>
      </c>
      <c r="K1" s="82" t="inlineStr">
        <is>
          <t>VZ_DAI</t>
        </is>
      </c>
    </row>
    <row r="2">
      <c r="A2" s="331" t="inlineStr">
        <is>
          <t>Func_XXX</t>
        </is>
      </c>
      <c r="B2" s="331" t="inlineStr">
        <is>
          <t>xxxxx</t>
        </is>
      </c>
      <c r="C2" s="300" t="n"/>
      <c r="D2" s="300" t="n"/>
      <c r="E2" s="334" t="n"/>
      <c r="F2" s="334" t="n"/>
      <c r="G2" s="334" t="n"/>
      <c r="H2" s="334" t="n"/>
      <c r="I2" s="334" t="n"/>
      <c r="J2" s="334" t="n"/>
      <c r="K2" s="335" t="n"/>
    </row>
    <row r="3" ht="30" customHeight="1" s="479">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Height="1" s="479">
      <c r="A4" s="347" t="inlineStr">
        <is>
          <t>LV_Pantograph_Lifting</t>
        </is>
      </c>
      <c r="B4" s="347" t="inlineStr">
        <is>
          <t>Comando di alzamento pantografo 1 o 2 sulla base di tensione di linea (switch) e paese (IDU) selezionati</t>
        </is>
      </c>
      <c r="C4" s="303" t="n"/>
      <c r="D4" s="303" t="n"/>
      <c r="E4" s="350" t="n"/>
      <c r="F4" s="350" t="n"/>
      <c r="G4" s="350" t="n"/>
      <c r="H4" s="350" t="n"/>
      <c r="I4" s="350" t="n"/>
      <c r="J4" s="350" t="n"/>
      <c r="K4" s="351" t="n"/>
    </row>
    <row r="5" ht="30" customHeight="1" s="479">
      <c r="A5" s="347" t="inlineStr">
        <is>
          <t>LV_Pantograph_Lowering</t>
        </is>
      </c>
      <c r="B5" s="347" t="inlineStr">
        <is>
          <t>Comando di abbassamento pantografo manuale/automatico</t>
        </is>
      </c>
      <c r="C5" s="303" t="n"/>
      <c r="D5" s="303" t="n"/>
      <c r="E5" s="350" t="n"/>
      <c r="F5" s="350" t="n"/>
      <c r="G5" s="350" t="n"/>
      <c r="H5" s="350" t="n"/>
      <c r="I5" s="350" t="n"/>
      <c r="J5" s="350" t="n"/>
      <c r="K5" s="351" t="n"/>
    </row>
    <row r="6" ht="30" customHeight="1" s="479">
      <c r="A6" s="353" t="inlineStr">
        <is>
          <t>LV_Automatic_Dropping_Device_(ADD)</t>
        </is>
      </c>
      <c r="B6" s="354" t="inlineStr">
        <is>
          <t>Dispositivo di abbassamento automatico del pantografo in caso di guasto</t>
        </is>
      </c>
      <c r="C6" s="302" t="n"/>
      <c r="D6" s="302" t="n"/>
      <c r="E6" s="357" t="n"/>
      <c r="F6" s="357" t="n"/>
      <c r="G6" s="357" t="n"/>
      <c r="H6" s="357" t="n"/>
      <c r="I6" s="357" t="n"/>
      <c r="J6" s="357" t="n"/>
      <c r="K6" s="358" t="n"/>
    </row>
    <row r="7" ht="45" customHeight="1" s="479">
      <c r="A7" s="353" t="inlineStr">
        <is>
          <t>LV_Pantograph_Interlock</t>
        </is>
      </c>
      <c r="B7" s="360" t="inlineStr">
        <is>
          <t>Interblocco automatico dei pantografi in caso di guasto rilevato. Il Pdc può bloccare anche manualmente un pantografo per impedirne la selezione</t>
        </is>
      </c>
      <c r="C7" s="302" t="n"/>
      <c r="D7" s="302" t="n"/>
      <c r="E7" s="357" t="n"/>
      <c r="F7" s="357" t="n"/>
      <c r="G7" s="357" t="n"/>
      <c r="H7" s="357" t="n"/>
      <c r="I7" s="357" t="n"/>
      <c r="J7" s="357" t="n"/>
      <c r="K7" s="358" t="n"/>
    </row>
    <row r="8" ht="30" customHeight="1" s="479">
      <c r="A8" s="353" t="inlineStr">
        <is>
          <t>LV_Pantograph_Selection</t>
        </is>
      </c>
      <c r="B8" s="360" t="inlineStr">
        <is>
          <t>Selezione del pantografo in base al paese (tipologia/dimensioni pantografo) e al sistema di alimentazione (AC/DC) selezionato</t>
        </is>
      </c>
      <c r="C8" s="302" t="n"/>
      <c r="D8" s="302" t="n"/>
      <c r="E8" s="357" t="n"/>
      <c r="F8" s="357" t="n"/>
      <c r="G8" s="357" t="n"/>
      <c r="H8" s="357" t="n"/>
      <c r="I8" s="357" t="n"/>
      <c r="J8" s="357" t="n"/>
      <c r="K8" s="358" t="n"/>
    </row>
    <row r="9" ht="45" customHeight="1" s="479">
      <c r="A9" s="353" t="inlineStr">
        <is>
          <t>LV_Pantograph_Control_of_Static_Contact_Force</t>
        </is>
      </c>
      <c r="B9" s="360" t="inlineStr">
        <is>
          <t>Controllo della forza statica/pressione del pantografo alzato in funzione del sistema di tensione, della velocità, della direzione di marcia e della posizione del pantografo stesso</t>
        </is>
      </c>
      <c r="C9" s="302" t="n"/>
      <c r="D9" s="302" t="n"/>
      <c r="E9" s="357" t="n"/>
      <c r="F9" s="357" t="n"/>
      <c r="G9" s="357" t="n"/>
      <c r="H9" s="357" t="n"/>
      <c r="I9" s="357" t="n"/>
      <c r="J9" s="357" t="n"/>
      <c r="K9" s="358" t="n"/>
    </row>
    <row r="10" ht="30" customHeight="1" s="479">
      <c r="A10" s="353" t="inlineStr">
        <is>
          <t>LV_Line_Voltage_Supervision</t>
        </is>
      </c>
      <c r="B10" s="360" t="inlineStr">
        <is>
          <t>Controllo della tensione di linea tramite sensori di tensione letti dal sistema di propulsione</t>
        </is>
      </c>
      <c r="C10" s="302" t="n"/>
      <c r="D10" s="302" t="n"/>
      <c r="E10" s="357" t="n"/>
      <c r="F10" s="357" t="n"/>
      <c r="G10" s="357" t="n"/>
      <c r="H10" s="357" t="n"/>
      <c r="I10" s="357" t="n"/>
      <c r="J10" s="357" t="n"/>
      <c r="K10" s="358" t="n"/>
    </row>
    <row r="11">
      <c r="A11" s="353" t="inlineStr">
        <is>
          <t>LV_Line_Current_Supervision</t>
        </is>
      </c>
      <c r="B11" s="360" t="inlineStr">
        <is>
          <t>Controllo della corrente di linea</t>
        </is>
      </c>
      <c r="C11" s="302" t="n"/>
      <c r="D11" s="302" t="n"/>
      <c r="E11" s="357" t="n"/>
      <c r="F11" s="357" t="n"/>
      <c r="G11" s="357" t="n"/>
      <c r="H11" s="357" t="n"/>
      <c r="I11" s="357" t="n"/>
      <c r="J11" s="357" t="n"/>
      <c r="K11" s="358" t="n"/>
    </row>
    <row r="12">
      <c r="A12" s="353" t="inlineStr">
        <is>
          <t>LV_Line_Interference_Monitor</t>
        </is>
      </c>
      <c r="B12" s="360" t="inlineStr">
        <is>
          <t>Controllo correnti/interferenze indesiderate di linea</t>
        </is>
      </c>
      <c r="C12" s="302" t="n"/>
      <c r="D12" s="302" t="n"/>
      <c r="E12" s="357" t="n"/>
      <c r="F12" s="357" t="n"/>
      <c r="G12" s="357" t="n"/>
      <c r="H12" s="357" t="n"/>
      <c r="I12" s="357" t="n"/>
      <c r="J12" s="357" t="n"/>
      <c r="K12" s="358" t="n"/>
    </row>
    <row r="13">
      <c r="A13" s="353" t="inlineStr">
        <is>
          <t>LV_LIM_50Hz_protection_bypass</t>
        </is>
      </c>
      <c r="B13" s="360" t="inlineStr">
        <is>
          <t>Bypass della protezione LIM 50 Hz</t>
        </is>
      </c>
      <c r="C13" s="302" t="n"/>
      <c r="D13" s="302" t="n"/>
      <c r="E13" s="357" t="n"/>
      <c r="F13" s="357" t="n"/>
      <c r="G13" s="357" t="n"/>
      <c r="H13" s="357" t="n"/>
      <c r="I13" s="357" t="n"/>
      <c r="J13" s="357" t="n"/>
      <c r="K13" s="358" t="n"/>
    </row>
    <row r="14" ht="60" customHeight="1" s="479">
      <c r="A14" s="353" t="inlineStr">
        <is>
          <t>LV_Neutral_Section_Passing</t>
        </is>
      </c>
      <c r="B14" s="360" t="inlineStr">
        <is>
          <t>Gestione del passaggio in sezione neutra:
- automatica da ATP in caso di tratto neutro al cambio fase
- inizializzata da ATP con selezione manuale deò PdC della tensione di linea, in caso di tratto neutro al cambio tensione</t>
        </is>
      </c>
      <c r="C14" s="304" t="n"/>
      <c r="D14" s="304" t="n"/>
      <c r="E14" s="357" t="n"/>
      <c r="F14" s="357" t="n"/>
      <c r="G14" s="357" t="n"/>
      <c r="H14" s="357" t="n"/>
      <c r="I14" s="357" t="n"/>
      <c r="J14" s="357" t="n"/>
      <c r="K14" s="358" t="n"/>
    </row>
    <row r="15" ht="30" customHeight="1" s="479">
      <c r="A15" s="353" t="inlineStr">
        <is>
          <t>LV_System_Selection</t>
        </is>
      </c>
      <c r="B15" s="360" t="inlineStr">
        <is>
          <t>Selezione tramite commutatore a 4 posizioni della tensione di linea (25 kV AC, 15 kV AC, 3 kV DC o 1,5 kV DC)</t>
        </is>
      </c>
      <c r="C15" s="304" t="n"/>
      <c r="D15" s="304" t="n"/>
      <c r="E15" s="357" t="n"/>
      <c r="F15" s="357" t="n"/>
      <c r="G15" s="357" t="n"/>
      <c r="H15" s="357" t="n"/>
      <c r="I15" s="357" t="n"/>
      <c r="J15" s="357" t="n"/>
      <c r="K15" s="358" t="n"/>
    </row>
    <row r="16" ht="30" customHeight="1" s="479">
      <c r="A16" s="353" t="inlineStr">
        <is>
          <t>LV_Line_Circuit_Breaker_Closing</t>
        </is>
      </c>
      <c r="B16" s="360" t="inlineStr">
        <is>
          <t>Chiusura dell’interruttore di linea (LCB) per collegare la tensione di linea al treno</t>
        </is>
      </c>
      <c r="C16" s="304" t="n"/>
      <c r="D16" s="304" t="n"/>
      <c r="E16" s="357" t="n"/>
      <c r="F16" s="357" t="n"/>
      <c r="G16" s="357" t="n"/>
      <c r="H16" s="357" t="n"/>
      <c r="I16" s="357" t="n"/>
      <c r="J16" s="357" t="n"/>
      <c r="K16" s="358" t="n"/>
    </row>
    <row r="17">
      <c r="A17" s="353" t="inlineStr">
        <is>
          <t>LV_Line_Circuit_Breaker_Opening</t>
        </is>
      </c>
      <c r="B17" s="360" t="inlineStr">
        <is>
          <t>Apertura LCB su comando o per intervento protezione</t>
        </is>
      </c>
      <c r="C17" s="304" t="n"/>
      <c r="D17" s="304" t="n"/>
      <c r="E17" s="357" t="n"/>
      <c r="F17" s="357" t="n"/>
      <c r="G17" s="357" t="n"/>
      <c r="H17" s="357" t="n"/>
      <c r="I17" s="357" t="n"/>
      <c r="J17" s="357" t="n"/>
      <c r="K17" s="358" t="n"/>
    </row>
    <row r="18" ht="30" customHeight="1" s="479">
      <c r="A18" s="353" t="inlineStr">
        <is>
          <t>LV_Isolate_High_Voltage</t>
        </is>
      </c>
      <c r="B18" s="360" t="inlineStr">
        <is>
          <t>Isolamento di sezioni HV guaste per mantenere disponibile parte della trazione</t>
        </is>
      </c>
      <c r="C18" s="304" t="n"/>
      <c r="D18" s="304" t="n"/>
      <c r="E18" s="357" t="n"/>
      <c r="F18" s="357" t="n"/>
      <c r="G18" s="357" t="n"/>
      <c r="H18" s="357" t="n"/>
      <c r="I18" s="357" t="n"/>
      <c r="J18" s="357" t="n"/>
      <c r="K18" s="358" t="n"/>
    </row>
    <row r="19" ht="30" customHeight="1" s="479">
      <c r="A19" s="353" t="inlineStr">
        <is>
          <t>LV_Main_Transformer_cooling_control</t>
        </is>
      </c>
      <c r="B19" s="360" t="inlineStr">
        <is>
          <t>Controllo da parte della PCU della velocità delle ventole del circuito di raffreddamento ad olio</t>
        </is>
      </c>
      <c r="C19" s="304" t="n"/>
      <c r="D19" s="304" t="n"/>
      <c r="E19" s="357" t="n"/>
      <c r="F19" s="357" t="n"/>
      <c r="G19" s="357" t="n"/>
      <c r="H19" s="357" t="n"/>
      <c r="I19" s="357" t="n"/>
      <c r="J19" s="357" t="n"/>
      <c r="K19" s="358" t="n"/>
    </row>
    <row r="20" ht="30" customHeight="1" s="479">
      <c r="A20" s="353" t="inlineStr">
        <is>
          <t>LV_Main_Transformer_Supervision</t>
        </is>
      </c>
      <c r="B20" s="360" t="inlineStr">
        <is>
          <t>Controllo da parte della PCU della temperatura del trasformatore e degli induttori linea</t>
        </is>
      </c>
      <c r="C20" s="304" t="n"/>
      <c r="D20" s="304" t="n"/>
      <c r="E20" s="357" t="n"/>
      <c r="F20" s="357" t="n"/>
      <c r="G20" s="357" t="n"/>
      <c r="H20" s="357" t="n"/>
      <c r="I20" s="357" t="n"/>
      <c r="J20" s="357" t="n"/>
      <c r="K20" s="358" t="n"/>
    </row>
    <row r="21" ht="30" customHeight="1" s="479">
      <c r="A21" s="353" t="inlineStr">
        <is>
          <t>LV_Energy_Meter</t>
        </is>
      </c>
      <c r="B21" s="360" t="inlineStr">
        <is>
          <t>Sistema di lettura dell'evergia assorbita dal treno e invio a terra dei dati</t>
        </is>
      </c>
      <c r="C21" s="304" t="n"/>
      <c r="D21" s="304" t="n"/>
      <c r="E21" s="357" t="n"/>
      <c r="F21" s="357" t="n"/>
      <c r="G21" s="357" t="n"/>
      <c r="H21" s="357" t="n"/>
      <c r="I21" s="357" t="n"/>
      <c r="J21" s="357" t="n"/>
      <c r="K21" s="358" t="n"/>
    </row>
    <row r="22">
      <c r="A22" s="353" t="inlineStr">
        <is>
          <t>LV_Key_interlocking</t>
        </is>
      </c>
      <c r="B22" s="364" t="inlineStr">
        <is>
          <t>Interblocco tramite giro chiavi del sistema alta tensione</t>
        </is>
      </c>
      <c r="C22" s="304" t="n"/>
      <c r="D22" s="304" t="n"/>
      <c r="E22" s="357" t="n"/>
      <c r="F22" s="357" t="n"/>
      <c r="G22" s="357" t="n"/>
      <c r="H22" s="357" t="n"/>
      <c r="I22" s="357" t="n"/>
      <c r="J22" s="357" t="n"/>
      <c r="K22" s="358" t="n"/>
    </row>
    <row r="23" ht="30" customHeight="1" s="479">
      <c r="A23" s="353" t="inlineStr">
        <is>
          <t>LV_Function_Earthing_of_High_Voltage_Supply</t>
        </is>
      </c>
      <c r="B23" s="364" t="inlineStr">
        <is>
          <t>Messa a terra dell'alta tensione per consentire la manutenzione in sicurezza</t>
        </is>
      </c>
      <c r="C23" s="304" t="n"/>
      <c r="D23" s="304" t="n"/>
      <c r="E23" s="357" t="n"/>
      <c r="F23" s="357" t="n"/>
      <c r="G23" s="357" t="n"/>
      <c r="H23" s="357" t="n"/>
      <c r="I23" s="357" t="n"/>
      <c r="J23" s="357" t="n"/>
      <c r="K23" s="358" t="n"/>
    </row>
    <row r="24" ht="30" customHeight="1" s="479">
      <c r="A24" s="353" t="inlineStr">
        <is>
          <t>LV_Function_Earthing_of_Converter_boxes</t>
        </is>
      </c>
      <c r="B24" s="364" t="inlineStr">
        <is>
          <t>Messa a terra dei box convertitori per consentire l’accesso e la manutenzione in sicurezza</t>
        </is>
      </c>
      <c r="C24" s="304" t="n"/>
      <c r="D24" s="304" t="n"/>
      <c r="E24" s="357" t="n"/>
      <c r="F24" s="357" t="n"/>
      <c r="G24" s="357" t="n"/>
      <c r="H24" s="357" t="n"/>
      <c r="I24" s="357" t="n"/>
      <c r="J24" s="357" t="n"/>
      <c r="K24" s="358" t="n"/>
    </row>
    <row r="25">
      <c r="A25" s="353" t="inlineStr">
        <is>
          <t>LV_HVAC_pre-conditioning_on_DC_line</t>
        </is>
      </c>
      <c r="B25" s="364" t="inlineStr">
        <is>
          <t>Funzione per alimentare gli HVAC senza superare i limiti di corrente</t>
        </is>
      </c>
      <c r="C25" s="304" t="n"/>
      <c r="D25" s="304" t="n"/>
      <c r="E25" s="357" t="n"/>
      <c r="F25" s="357" t="n"/>
      <c r="G25" s="357" t="n"/>
      <c r="H25" s="357" t="n"/>
      <c r="I25" s="357" t="n"/>
      <c r="J25" s="357" t="n"/>
      <c r="K25" s="358" t="n"/>
    </row>
    <row r="26">
      <c r="A26" s="353" t="inlineStr">
        <is>
          <t>AUX_Function_General</t>
        </is>
      </c>
      <c r="B26" s="360" t="n"/>
      <c r="C26" s="304" t="n"/>
      <c r="D26" s="304" t="n"/>
      <c r="E26" s="357" t="n"/>
      <c r="F26" s="357" t="n"/>
      <c r="G26" s="357" t="n"/>
      <c r="H26" s="357" t="n"/>
      <c r="I26" s="357" t="n"/>
      <c r="J26" s="357" t="n"/>
      <c r="K26" s="358" t="n"/>
    </row>
    <row r="27">
      <c r="A27" s="353" t="inlineStr">
        <is>
          <t>AUX_Activation_and_Synchronisation_of_ACM</t>
        </is>
      </c>
      <c r="B27" s="360" t="n"/>
      <c r="C27" s="304" t="n"/>
      <c r="D27" s="304" t="n"/>
      <c r="E27" s="357" t="n"/>
      <c r="F27" s="357" t="n"/>
      <c r="G27" s="357" t="n"/>
      <c r="H27" s="357" t="n"/>
      <c r="I27" s="357" t="n"/>
      <c r="J27" s="357" t="n"/>
      <c r="K27" s="358" t="n"/>
    </row>
    <row r="28">
      <c r="A28" s="353" t="inlineStr">
        <is>
          <t>AUX_ACM_reset</t>
        </is>
      </c>
      <c r="B28" s="360" t="n"/>
      <c r="C28" s="304" t="n"/>
      <c r="D28" s="304" t="n"/>
      <c r="E28" s="357" t="n"/>
      <c r="F28" s="357" t="n"/>
      <c r="G28" s="357" t="n"/>
      <c r="H28" s="357" t="n"/>
      <c r="I28" s="357" t="n"/>
      <c r="J28" s="357" t="n"/>
      <c r="K28" s="358" t="n"/>
    </row>
    <row r="29">
      <c r="A29" s="353" t="inlineStr">
        <is>
          <t>AUX_AC_on_Board_Supply_System</t>
        </is>
      </c>
      <c r="B29" s="360" t="n"/>
      <c r="C29" s="304" t="n"/>
      <c r="D29" s="304" t="n"/>
      <c r="E29" s="357" t="n"/>
      <c r="F29" s="357" t="n"/>
      <c r="G29" s="357" t="n"/>
      <c r="H29" s="357" t="n"/>
      <c r="I29" s="357" t="n"/>
      <c r="J29" s="357" t="n"/>
      <c r="K29" s="358" t="n"/>
    </row>
    <row r="30">
      <c r="A30" s="353" t="inlineStr">
        <is>
          <t>AUX_External_Power_Supply</t>
        </is>
      </c>
      <c r="B30" s="360" t="n"/>
      <c r="C30" s="304" t="n"/>
      <c r="D30" s="304" t="n"/>
      <c r="E30" s="357" t="n"/>
      <c r="F30" s="357" t="n"/>
      <c r="G30" s="357" t="n"/>
      <c r="H30" s="357" t="n"/>
      <c r="I30" s="357" t="n"/>
      <c r="J30" s="357" t="n"/>
      <c r="K30" s="358" t="n"/>
    </row>
    <row r="31">
      <c r="A31" s="353" t="inlineStr">
        <is>
          <t>AUX_Earthing_switch</t>
        </is>
      </c>
      <c r="B31" s="360" t="n"/>
      <c r="C31" s="304" t="n"/>
      <c r="D31" s="304" t="n"/>
      <c r="E31" s="357" t="n"/>
      <c r="F31" s="357" t="n"/>
      <c r="G31" s="357" t="n"/>
      <c r="H31" s="357" t="n"/>
      <c r="I31" s="357" t="n"/>
      <c r="J31" s="357" t="n"/>
      <c r="K31" s="358" t="n"/>
    </row>
    <row r="32">
      <c r="A32" s="353" t="inlineStr">
        <is>
          <t>AUX_230V,_50Hz_Sockets</t>
        </is>
      </c>
      <c r="B32" s="360" t="n"/>
      <c r="C32" s="304" t="n"/>
      <c r="D32" s="304" t="n"/>
      <c r="E32" s="357" t="n"/>
      <c r="F32" s="357" t="n"/>
      <c r="G32" s="357" t="n"/>
      <c r="H32" s="357" t="n"/>
      <c r="I32" s="357" t="n"/>
      <c r="J32" s="357" t="n"/>
      <c r="K32" s="358" t="n"/>
    </row>
    <row r="33">
      <c r="A33" s="353" t="inlineStr">
        <is>
          <t>AUX_Mini_Circuit_Breaker_Supervision</t>
        </is>
      </c>
      <c r="B33" s="360" t="n"/>
      <c r="C33" s="304" t="n"/>
      <c r="D33" s="304" t="n"/>
      <c r="E33" s="357" t="n"/>
      <c r="F33" s="357" t="n"/>
      <c r="G33" s="357" t="n"/>
      <c r="H33" s="357" t="n"/>
      <c r="I33" s="357" t="n"/>
      <c r="J33" s="357" t="n"/>
      <c r="K33" s="358" t="n"/>
    </row>
    <row r="34">
      <c r="A34" s="181" t="inlineStr">
        <is>
          <t>BAT_Failure_cases_battery_system</t>
        </is>
      </c>
      <c r="B34" s="367" t="n"/>
      <c r="C34" s="304" t="n"/>
      <c r="D34" s="304" t="n"/>
      <c r="E34" s="163" t="n"/>
      <c r="F34" s="163" t="n"/>
      <c r="G34" s="163" t="n"/>
      <c r="H34" s="163" t="n"/>
      <c r="I34" s="163" t="n"/>
      <c r="J34" s="163" t="n"/>
      <c r="K34" s="164" t="n"/>
    </row>
    <row r="35">
      <c r="A35" s="181" t="inlineStr">
        <is>
          <t>BAT_Function_Battery_Isolation</t>
        </is>
      </c>
      <c r="B35" s="367" t="n"/>
      <c r="C35" s="304" t="n"/>
      <c r="D35" s="304" t="n"/>
      <c r="E35" s="163" t="n"/>
      <c r="F35" s="163" t="n"/>
      <c r="G35" s="163" t="n"/>
      <c r="H35" s="163" t="n"/>
      <c r="I35" s="163" t="n"/>
      <c r="J35" s="163" t="n"/>
      <c r="K35" s="164" t="n"/>
    </row>
    <row r="36">
      <c r="A36" s="181" t="inlineStr">
        <is>
          <t>BAT_Battery_Contactors</t>
        </is>
      </c>
      <c r="B36" s="367" t="n"/>
      <c r="C36" s="304" t="n"/>
      <c r="D36" s="304" t="n"/>
      <c r="E36" s="163" t="n"/>
      <c r="F36" s="163" t="n"/>
      <c r="G36" s="163" t="n"/>
      <c r="H36" s="163" t="n"/>
      <c r="I36" s="163" t="n"/>
      <c r="J36" s="163" t="n"/>
      <c r="K36" s="164" t="n"/>
    </row>
    <row r="37">
      <c r="A37" s="181" t="inlineStr">
        <is>
          <t>BAT_Load_Shed_Contactors</t>
        </is>
      </c>
      <c r="B37" s="367" t="n"/>
      <c r="C37" s="304" t="n"/>
      <c r="D37" s="304" t="n"/>
      <c r="E37" s="163" t="n"/>
      <c r="F37" s="163" t="n"/>
      <c r="G37" s="163" t="n"/>
      <c r="H37" s="163" t="n"/>
      <c r="I37" s="163" t="n"/>
      <c r="J37" s="163" t="n"/>
      <c r="K37" s="164" t="n"/>
    </row>
    <row r="38">
      <c r="A38" s="181" t="inlineStr">
        <is>
          <t>BAT_DC_Busline_Distribution</t>
        </is>
      </c>
      <c r="B38" s="367" t="n"/>
      <c r="C38" s="304" t="n"/>
      <c r="D38" s="304" t="n"/>
      <c r="E38" s="163" t="n"/>
      <c r="F38" s="163" t="n"/>
      <c r="G38" s="163" t="n"/>
      <c r="H38" s="163" t="n"/>
      <c r="I38" s="163" t="n"/>
      <c r="J38" s="163" t="n"/>
      <c r="K38" s="164" t="n"/>
    </row>
    <row r="39">
      <c r="A39" s="181" t="inlineStr">
        <is>
          <t>BAT_Battery_Charging</t>
        </is>
      </c>
      <c r="B39" s="367" t="n"/>
      <c r="C39" s="304" t="n"/>
      <c r="D39" s="304" t="n"/>
      <c r="E39" s="163" t="n"/>
      <c r="F39" s="163" t="n"/>
      <c r="G39" s="163" t="n"/>
      <c r="H39" s="163" t="n"/>
      <c r="I39" s="163" t="n"/>
      <c r="J39" s="163" t="n"/>
      <c r="K39" s="164" t="n"/>
    </row>
    <row r="40">
      <c r="A40" s="181" t="inlineStr">
        <is>
          <t>AIR_Control_of_Main_Compressor</t>
        </is>
      </c>
      <c r="B40" s="367" t="n"/>
      <c r="C40" s="304" t="n"/>
      <c r="D40" s="304" t="n"/>
      <c r="E40" s="163" t="n"/>
      <c r="F40" s="163" t="n"/>
      <c r="G40" s="163" t="n"/>
      <c r="H40" s="163" t="n"/>
      <c r="I40" s="163" t="n"/>
      <c r="J40" s="163" t="n"/>
      <c r="K40" s="164" t="n"/>
    </row>
    <row r="41">
      <c r="A41" s="181" t="inlineStr">
        <is>
          <t>AIR_Monitoring_of_Main_Compressor</t>
        </is>
      </c>
      <c r="B41" s="367" t="n"/>
      <c r="C41" s="304" t="n"/>
      <c r="D41" s="304" t="n"/>
      <c r="E41" s="163" t="n"/>
      <c r="F41" s="163" t="n"/>
      <c r="G41" s="163" t="n"/>
      <c r="H41" s="163" t="n"/>
      <c r="I41" s="163" t="n"/>
      <c r="J41" s="163" t="n"/>
      <c r="K41" s="164" t="n"/>
    </row>
    <row r="42">
      <c r="A42" s="181" t="inlineStr">
        <is>
          <t>AIR_Forcing_of_Main_compressor</t>
        </is>
      </c>
      <c r="B42" s="367" t="n"/>
      <c r="C42" s="304" t="n"/>
      <c r="D42" s="304" t="n"/>
      <c r="E42" s="163" t="n"/>
      <c r="F42" s="163" t="n"/>
      <c r="G42" s="163" t="n"/>
      <c r="H42" s="163" t="n"/>
      <c r="I42" s="163" t="n"/>
      <c r="J42" s="163" t="n"/>
      <c r="K42" s="164" t="n"/>
    </row>
    <row r="43">
      <c r="A43" s="181" t="inlineStr">
        <is>
          <t>AIR_Air_Dryer</t>
        </is>
      </c>
      <c r="B43" s="367" t="n"/>
      <c r="C43" s="304" t="n"/>
      <c r="D43" s="304" t="n"/>
      <c r="E43" s="163" t="n"/>
      <c r="F43" s="163" t="n"/>
      <c r="G43" s="163" t="n"/>
      <c r="H43" s="163" t="n"/>
      <c r="I43" s="163" t="n"/>
      <c r="J43" s="163" t="n"/>
      <c r="K43" s="164" t="n"/>
    </row>
    <row r="44">
      <c r="A44" s="181" t="inlineStr">
        <is>
          <t>AIR_External_Air_Supply</t>
        </is>
      </c>
      <c r="B44" s="367" t="n"/>
      <c r="C44" s="304" t="n"/>
      <c r="D44" s="304" t="n"/>
      <c r="E44" s="163" t="n"/>
      <c r="F44" s="163" t="n"/>
      <c r="G44" s="163" t="n"/>
      <c r="H44" s="163" t="n"/>
      <c r="I44" s="163" t="n"/>
      <c r="J44" s="163" t="n"/>
      <c r="K44" s="164" t="n"/>
    </row>
    <row r="45">
      <c r="A45" s="181" t="inlineStr">
        <is>
          <t>AIR_Control_of_Auxiliary_Compressor</t>
        </is>
      </c>
      <c r="B45" s="367" t="n"/>
      <c r="C45" s="304" t="n"/>
      <c r="D45" s="304" t="n"/>
      <c r="E45" s="163" t="n"/>
      <c r="F45" s="163" t="n"/>
      <c r="G45" s="163" t="n"/>
      <c r="H45" s="163" t="n"/>
      <c r="I45" s="163" t="n"/>
      <c r="J45" s="163" t="n"/>
      <c r="K45" s="164" t="n"/>
    </row>
    <row r="46">
      <c r="A46" s="181" t="inlineStr">
        <is>
          <t>AIR_Suspension_Supervision</t>
        </is>
      </c>
      <c r="B46" s="367" t="n"/>
      <c r="C46" s="304" t="n"/>
      <c r="D46" s="304" t="n"/>
      <c r="E46" s="163" t="n"/>
      <c r="F46" s="163" t="n"/>
      <c r="G46" s="163" t="n"/>
      <c r="H46" s="163" t="n"/>
      <c r="I46" s="163" t="n"/>
      <c r="J46" s="163" t="n"/>
      <c r="K46" s="164" t="n"/>
    </row>
    <row r="47">
      <c r="A47" s="181" t="inlineStr">
        <is>
          <t>AIR_Provision_for_Tilt_system</t>
        </is>
      </c>
      <c r="B47" s="367" t="n"/>
      <c r="C47" s="304" t="n"/>
      <c r="D47" s="304" t="n"/>
      <c r="E47" s="163" t="n"/>
      <c r="F47" s="163" t="n"/>
      <c r="G47" s="163" t="n"/>
      <c r="H47" s="163" t="n"/>
      <c r="I47" s="163" t="n"/>
      <c r="J47" s="163" t="n"/>
      <c r="K47" s="164" t="n"/>
    </row>
    <row r="48">
      <c r="A48" s="181" t="inlineStr">
        <is>
          <t>BRK_Service_Brake_Direct_Electro-Pneumatic_Brake</t>
        </is>
      </c>
      <c r="B48" s="367" t="n"/>
      <c r="C48" s="304" t="n"/>
      <c r="D48" s="304" t="n"/>
      <c r="E48" s="163" t="n"/>
      <c r="F48" s="163" t="n"/>
      <c r="G48" s="163" t="n"/>
      <c r="H48" s="163" t="n"/>
      <c r="I48" s="163" t="n"/>
      <c r="J48" s="163" t="n"/>
      <c r="K48" s="164" t="n"/>
    </row>
    <row r="49">
      <c r="A49" s="181" t="inlineStr">
        <is>
          <t>BRK_Service_Brake_Indirect_Brake</t>
        </is>
      </c>
      <c r="B49" s="367" t="n"/>
      <c r="C49" s="304" t="n"/>
      <c r="D49" s="304" t="n"/>
      <c r="E49" s="163" t="n"/>
      <c r="F49" s="163" t="n"/>
      <c r="G49" s="163" t="n"/>
      <c r="H49" s="163" t="n"/>
      <c r="I49" s="163" t="n"/>
      <c r="J49" s="163" t="n"/>
      <c r="K49" s="164" t="n"/>
    </row>
    <row r="50">
      <c r="A50" s="181" t="inlineStr">
        <is>
          <t>BRK_Holding_Brake</t>
        </is>
      </c>
      <c r="B50" s="367" t="n"/>
      <c r="C50" s="304" t="n"/>
      <c r="D50" s="304" t="n"/>
      <c r="E50" s="163" t="n"/>
      <c r="F50" s="163" t="n"/>
      <c r="G50" s="163" t="n"/>
      <c r="H50" s="163" t="n"/>
      <c r="I50" s="163" t="n"/>
      <c r="J50" s="163" t="n"/>
      <c r="K50" s="164" t="n"/>
    </row>
    <row r="51">
      <c r="A51" s="181" t="inlineStr">
        <is>
          <t>BRK_Urgency_Brake_(Optional)</t>
        </is>
      </c>
      <c r="B51" s="367" t="n"/>
      <c r="C51" s="304" t="n"/>
      <c r="D51" s="304" t="n"/>
      <c r="E51" s="163" t="n"/>
      <c r="F51" s="163" t="n"/>
      <c r="G51" s="163" t="n"/>
      <c r="H51" s="163" t="n"/>
      <c r="I51" s="163" t="n"/>
      <c r="J51" s="163" t="n"/>
      <c r="K51" s="164" t="n"/>
    </row>
    <row r="52">
      <c r="A52" s="181" t="inlineStr">
        <is>
          <t>BRK_Emergency_Brake</t>
        </is>
      </c>
      <c r="B52" s="367" t="n"/>
      <c r="C52" s="304" t="n"/>
      <c r="D52" s="304" t="n"/>
      <c r="E52" s="163" t="n"/>
      <c r="F52" s="163" t="n"/>
      <c r="G52" s="163" t="n"/>
      <c r="H52" s="163" t="n"/>
      <c r="I52" s="163" t="n"/>
      <c r="J52" s="163" t="n"/>
      <c r="K52" s="164" t="n"/>
    </row>
    <row r="53">
      <c r="A53" s="181" t="inlineStr">
        <is>
          <t>BRK_Parking_Brake</t>
        </is>
      </c>
      <c r="B53" s="367" t="n"/>
      <c r="C53" s="304" t="n"/>
      <c r="D53" s="304" t="n"/>
      <c r="E53" s="163" t="n"/>
      <c r="F53" s="163" t="n"/>
      <c r="G53" s="163" t="n"/>
      <c r="H53" s="163" t="n"/>
      <c r="I53" s="163" t="n"/>
      <c r="J53" s="163" t="n"/>
      <c r="K53" s="164" t="n"/>
    </row>
    <row r="54">
      <c r="A54" s="181" t="inlineStr">
        <is>
          <t>BRK_Wheel_Slide_Protection</t>
        </is>
      </c>
      <c r="B54" s="367" t="n"/>
      <c r="C54" s="304" t="n"/>
      <c r="D54" s="304" t="n"/>
      <c r="E54" s="163" t="n"/>
      <c r="F54" s="163" t="n"/>
      <c r="G54" s="163" t="n"/>
      <c r="H54" s="163" t="n"/>
      <c r="I54" s="163" t="n"/>
      <c r="J54" s="163" t="n"/>
      <c r="K54" s="164" t="n"/>
    </row>
    <row r="55">
      <c r="A55" s="181" t="inlineStr">
        <is>
          <t>BRK_Detection_of_Non-Rotating_Axle_(DNRA)</t>
        </is>
      </c>
      <c r="B55" s="367" t="n"/>
      <c r="C55" s="304" t="n"/>
      <c r="D55" s="304" t="n"/>
      <c r="E55" s="163" t="n"/>
      <c r="F55" s="163" t="n"/>
      <c r="G55" s="163" t="n"/>
      <c r="H55" s="163" t="n"/>
      <c r="I55" s="163" t="n"/>
      <c r="J55" s="163" t="n"/>
      <c r="K55" s="164" t="n"/>
    </row>
    <row r="56">
      <c r="A56" s="181" t="inlineStr">
        <is>
          <t>BRK_Passenger_Emergency_Brake</t>
        </is>
      </c>
      <c r="B56" s="367" t="n"/>
      <c r="C56" s="304" t="n"/>
      <c r="D56" s="304" t="n"/>
      <c r="E56" s="163" t="n"/>
      <c r="F56" s="163" t="n"/>
      <c r="G56" s="163" t="n"/>
      <c r="H56" s="163" t="n"/>
      <c r="I56" s="163" t="n"/>
      <c r="J56" s="163" t="n"/>
      <c r="K56" s="164" t="n"/>
    </row>
    <row r="57">
      <c r="A57" s="181" t="inlineStr">
        <is>
          <t>BRK_Sanding</t>
        </is>
      </c>
      <c r="B57" s="367" t="n"/>
      <c r="C57" s="304" t="n"/>
      <c r="D57" s="304" t="n"/>
      <c r="E57" s="163" t="n"/>
      <c r="F57" s="163" t="n"/>
      <c r="G57" s="163" t="n"/>
      <c r="H57" s="163" t="n"/>
      <c r="I57" s="163" t="n"/>
      <c r="J57" s="163" t="n"/>
      <c r="K57" s="164" t="n"/>
    </row>
    <row r="58">
      <c r="A58" s="181" t="inlineStr">
        <is>
          <t>BRK_Brake_Test</t>
        </is>
      </c>
      <c r="B58" s="367" t="n"/>
      <c r="C58" s="304" t="n"/>
      <c r="D58" s="304" t="n"/>
      <c r="E58" s="163" t="n"/>
      <c r="F58" s="163" t="n"/>
      <c r="G58" s="163" t="n"/>
      <c r="H58" s="163" t="n"/>
      <c r="I58" s="163" t="n"/>
      <c r="J58" s="163" t="n"/>
      <c r="K58" s="164" t="n"/>
    </row>
    <row r="59">
      <c r="A59" s="181" t="inlineStr">
        <is>
          <t>BRK_Towing</t>
        </is>
      </c>
      <c r="B59" s="367" t="n"/>
      <c r="C59" s="304" t="n"/>
      <c r="D59" s="304" t="n"/>
      <c r="E59" s="163" t="n"/>
      <c r="F59" s="163" t="n"/>
      <c r="G59" s="163" t="n"/>
      <c r="H59" s="163" t="n"/>
      <c r="I59" s="163" t="n"/>
      <c r="J59" s="163" t="n"/>
      <c r="K59" s="164" t="n"/>
    </row>
    <row r="60">
      <c r="A60" s="181" t="inlineStr">
        <is>
          <t>BRK_Fire_Safety_&amp;_Running_Capability</t>
        </is>
      </c>
      <c r="B60" s="367" t="n"/>
      <c r="C60" s="304" t="n"/>
      <c r="D60" s="304" t="n"/>
      <c r="E60" s="163" t="n"/>
      <c r="F60" s="163" t="n"/>
      <c r="G60" s="163" t="n"/>
      <c r="H60" s="163" t="n"/>
      <c r="I60" s="163" t="n"/>
      <c r="J60" s="163" t="n"/>
      <c r="K60" s="164" t="n"/>
    </row>
    <row r="61">
      <c r="A61" s="181" t="inlineStr">
        <is>
          <t>BRK_Magnetic_Track_Brake_Optional</t>
        </is>
      </c>
      <c r="B61" s="367" t="n"/>
      <c r="C61" s="304" t="n"/>
      <c r="D61" s="304" t="n"/>
      <c r="E61" s="163" t="n"/>
      <c r="F61" s="163" t="n"/>
      <c r="G61" s="163" t="n"/>
      <c r="H61" s="163" t="n"/>
      <c r="I61" s="163" t="n"/>
      <c r="J61" s="163" t="n"/>
      <c r="K61" s="164" t="n"/>
    </row>
    <row r="62">
      <c r="A62" s="181" t="inlineStr">
        <is>
          <t>BOG_Flange_Lubrication</t>
        </is>
      </c>
      <c r="B62" s="367" t="n"/>
      <c r="C62" s="304" t="n"/>
      <c r="D62" s="304" t="n"/>
      <c r="E62" s="163" t="n"/>
      <c r="F62" s="163" t="n"/>
      <c r="G62" s="163" t="n"/>
      <c r="H62" s="163" t="n"/>
      <c r="I62" s="163" t="n"/>
      <c r="J62" s="163" t="n"/>
      <c r="K62" s="164" t="n"/>
    </row>
    <row r="63">
      <c r="A63" s="181" t="inlineStr">
        <is>
          <t>BOG_Hotbox_Detection</t>
        </is>
      </c>
      <c r="B63" s="367" t="n"/>
      <c r="C63" s="304" t="n"/>
      <c r="D63" s="304" t="n"/>
      <c r="E63" s="163" t="n"/>
      <c r="F63" s="163" t="n"/>
      <c r="G63" s="163" t="n"/>
      <c r="H63" s="163" t="n"/>
      <c r="I63" s="163" t="n"/>
      <c r="J63" s="163" t="n"/>
      <c r="K63" s="164" t="n"/>
    </row>
    <row r="64">
      <c r="A64" s="181" t="inlineStr">
        <is>
          <t>BOG_Instability_Monitoring</t>
        </is>
      </c>
      <c r="B64" s="367" t="n"/>
      <c r="C64" s="304" t="n"/>
      <c r="D64" s="304" t="n"/>
      <c r="E64" s="163" t="n"/>
      <c r="F64" s="163" t="n"/>
      <c r="G64" s="163" t="n"/>
      <c r="H64" s="163" t="n"/>
      <c r="I64" s="163" t="n"/>
      <c r="J64" s="163" t="n"/>
      <c r="K64" s="164" t="n"/>
    </row>
    <row r="65">
      <c r="A65" s="181" t="inlineStr">
        <is>
          <t>BOG_Active_Lateral_Suspension_(ALS)</t>
        </is>
      </c>
      <c r="B65" s="367" t="n"/>
      <c r="C65" s="304" t="n"/>
      <c r="D65" s="304" t="n"/>
      <c r="E65" s="163" t="n"/>
      <c r="F65" s="163" t="n"/>
      <c r="G65" s="163" t="n"/>
      <c r="H65" s="163" t="n"/>
      <c r="I65" s="163" t="n"/>
      <c r="J65" s="163" t="n"/>
      <c r="K65" s="164" t="n"/>
    </row>
    <row r="66">
      <c r="A66" s="181" t="inlineStr">
        <is>
          <t>BOG_Diagnostics_&amp;_CBM</t>
        </is>
      </c>
      <c r="B66" s="367" t="n"/>
      <c r="C66" s="304" t="n"/>
      <c r="D66" s="304" t="n"/>
      <c r="E66" s="163" t="n"/>
      <c r="F66" s="163" t="n"/>
      <c r="G66" s="163" t="n"/>
      <c r="H66" s="163" t="n"/>
      <c r="I66" s="163" t="n"/>
      <c r="J66" s="163" t="n"/>
      <c r="K66" s="164" t="n"/>
    </row>
    <row r="67">
      <c r="B67" s="169" t="n"/>
      <c r="E67" s="242" t="n"/>
      <c r="F67" s="242" t="n"/>
      <c r="G67" s="237" t="n"/>
      <c r="H67" s="237" t="n"/>
      <c r="I67" s="242" t="n"/>
      <c r="J67" s="237" t="n"/>
      <c r="K67" s="238" t="n"/>
    </row>
    <row r="68">
      <c r="C68" s="420" t="n"/>
      <c r="D68" s="421" t="n"/>
      <c r="E68" s="422" t="n"/>
      <c r="G68" s="423" t="n"/>
      <c r="H68" s="424" t="n"/>
      <c r="I68" s="425" t="n"/>
    </row>
    <row r="69">
      <c r="C69" s="420" t="n"/>
      <c r="D69" s="421" t="n"/>
      <c r="E69" s="422" t="n"/>
      <c r="G69" s="423" t="n"/>
      <c r="H69" s="424" t="n"/>
      <c r="I69" s="425" t="n"/>
    </row>
    <row r="70">
      <c r="C70" s="420" t="n"/>
      <c r="D70" s="421" t="n"/>
      <c r="E70" s="422" t="n"/>
      <c r="G70" s="423" t="n"/>
      <c r="H70" s="424" t="n"/>
      <c r="I70" s="425" t="n"/>
    </row>
    <row r="71">
      <c r="C71" s="426" t="n"/>
      <c r="D71" s="421" t="n"/>
      <c r="I71" s="425" t="n"/>
    </row>
  </sheetData>
  <autoFilter ref="A1:K5"/>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25"/>
    <col width="8.7109375" customWidth="1" style="59" min="26" max="16384"/>
  </cols>
  <sheetData>
    <row r="1" ht="31.5" customFormat="1" customHeight="1" s="61">
      <c r="A1" s="459" t="inlineStr">
        <is>
          <t>Impianto</t>
        </is>
      </c>
      <c r="B1" s="457" t="inlineStr">
        <is>
          <t>Gruppo/Componente</t>
        </is>
      </c>
      <c r="C1" s="456" t="inlineStr">
        <is>
          <t>P/N</t>
        </is>
      </c>
      <c r="D1" s="453" t="inlineStr">
        <is>
          <t>Applicabilità flotte</t>
        </is>
      </c>
      <c r="E1" s="454" t="n"/>
      <c r="F1" s="454" t="n"/>
      <c r="G1" s="454" t="n"/>
      <c r="H1" s="454" t="n"/>
      <c r="I1" s="454" t="n"/>
      <c r="J1" s="455" t="n"/>
    </row>
    <row r="2" ht="31.5" customFormat="1" customHeight="1" s="61">
      <c r="A2" s="445" t="n"/>
      <c r="B2" s="458" t="n"/>
      <c r="C2" s="437" t="n"/>
      <c r="D2" s="330" t="inlineStr">
        <is>
          <t>VZI_Base</t>
        </is>
      </c>
      <c r="E2" s="440" t="inlineStr">
        <is>
          <t>VZI_New14</t>
        </is>
      </c>
      <c r="F2" s="440" t="inlineStr">
        <is>
          <t>VZ_FR</t>
        </is>
      </c>
      <c r="G2" s="440" t="inlineStr">
        <is>
          <t>VZ_ES</t>
        </is>
      </c>
      <c r="H2" s="440" t="inlineStr">
        <is>
          <t>VZI-6_R1</t>
        </is>
      </c>
      <c r="I2" s="440"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79">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79">
      <c r="A5" s="63" t="n"/>
      <c r="B5" s="64" t="inlineStr">
        <is>
          <t>Pantografo 25 kV</t>
        </is>
      </c>
      <c r="C5" s="328" t="n">
        <v>10574479</v>
      </c>
      <c r="D5" s="63" t="inlineStr">
        <is>
          <t>T4-T5</t>
        </is>
      </c>
      <c r="E5" s="10" t="inlineStr">
        <is>
          <t>T4-T5</t>
        </is>
      </c>
      <c r="F5" s="10" t="inlineStr">
        <is>
          <t>X</t>
        </is>
      </c>
      <c r="H5" s="10" t="inlineStr">
        <is>
          <t>T4-T5</t>
        </is>
      </c>
      <c r="J5" s="64" t="n"/>
    </row>
    <row r="6" outlineLevel="2" s="479">
      <c r="A6" s="63" t="n"/>
      <c r="B6" s="64" t="inlineStr">
        <is>
          <t>Pantografo 3 kV</t>
        </is>
      </c>
      <c r="C6" s="328" t="n">
        <v>10542152</v>
      </c>
      <c r="D6" s="63" t="inlineStr">
        <is>
          <t>TT2-TT7</t>
        </is>
      </c>
      <c r="E6" s="10" t="inlineStr">
        <is>
          <t>TT2-TT7</t>
        </is>
      </c>
      <c r="F6" s="10" t="inlineStr">
        <is>
          <t>X</t>
        </is>
      </c>
      <c r="H6" s="10" t="inlineStr">
        <is>
          <t>TT2-TT7</t>
        </is>
      </c>
      <c r="J6" s="64" t="n"/>
    </row>
    <row r="7" outlineLevel="2" s="479">
      <c r="A7" s="63" t="n"/>
      <c r="B7" s="64" t="inlineStr">
        <is>
          <t>Pantografo 1,5 kV</t>
        </is>
      </c>
      <c r="C7" s="328" t="n"/>
      <c r="D7" s="63" t="n"/>
      <c r="J7" s="64" t="n"/>
    </row>
    <row r="8" outlineLevel="1" s="479">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79">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79">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79">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79">
      <c r="A14" s="63" t="n"/>
      <c r="B14" s="73" t="inlineStr">
        <is>
          <t>CCU-O Dual MVB (DCY1110B)</t>
        </is>
      </c>
      <c r="C14" s="381" t="inlineStr">
        <is>
          <t>3EST000225-5707</t>
        </is>
      </c>
      <c r="D14" s="63" t="inlineStr">
        <is>
          <t>DM1-DM8</t>
        </is>
      </c>
      <c r="E14" s="10" t="inlineStr">
        <is>
          <t>DM1-DM8</t>
        </is>
      </c>
      <c r="J14" s="64" t="n"/>
    </row>
    <row r="15" outlineLevel="2" s="479">
      <c r="A15" s="63" t="n"/>
      <c r="B15" s="73" t="inlineStr">
        <is>
          <t>CCU-C 2ETH (DCY1550A)</t>
        </is>
      </c>
      <c r="C15" s="381" t="inlineStr">
        <is>
          <t>3EST000225-5711</t>
        </is>
      </c>
      <c r="D15" s="63" t="inlineStr">
        <is>
          <t>DM1-M3-DM8</t>
        </is>
      </c>
      <c r="E15" s="10" t="inlineStr">
        <is>
          <t>DM1-M3-DM8</t>
        </is>
      </c>
      <c r="J15" s="64" t="n"/>
    </row>
    <row r="16" outlineLevel="2" s="479">
      <c r="A16" s="63" t="n"/>
      <c r="B16" s="73" t="inlineStr">
        <is>
          <t>CCU-S (DCY 1660A)</t>
        </is>
      </c>
      <c r="C16" s="381" t="inlineStr">
        <is>
          <t>3EST000221-6430</t>
        </is>
      </c>
      <c r="D16" s="63" t="inlineStr">
        <is>
          <t>DM1-DM8</t>
        </is>
      </c>
      <c r="E16" s="10" t="inlineStr">
        <is>
          <t>DM1-DM8</t>
        </is>
      </c>
      <c r="J16" s="64" t="n"/>
    </row>
    <row r="17" outlineLevel="2" s="479">
      <c r="A17" s="63" t="n"/>
      <c r="B17" s="73" t="inlineStr">
        <is>
          <t>MIO-DXH4-S (DCS 2222B)</t>
        </is>
      </c>
      <c r="C17" s="381" t="inlineStr">
        <is>
          <t>3EST000228-0629</t>
        </is>
      </c>
      <c r="D17" s="63" t="inlineStr">
        <is>
          <t>DM1-DM8</t>
        </is>
      </c>
      <c r="J17" s="64" t="n"/>
    </row>
    <row r="18" outlineLevel="2" s="479">
      <c r="A18" s="63" t="n"/>
      <c r="B18" s="74" t="inlineStr">
        <is>
          <t>MIO-S (DCS 2222C)</t>
        </is>
      </c>
      <c r="C18" s="379" t="inlineStr">
        <is>
          <t>3EST000230-5830</t>
        </is>
      </c>
      <c r="D18" s="63" t="n"/>
      <c r="E18" s="76" t="inlineStr">
        <is>
          <t>DM1-DM8</t>
        </is>
      </c>
      <c r="J18" s="64" t="n"/>
    </row>
    <row r="19" outlineLevel="2" s="479">
      <c r="A19" s="63" t="n"/>
      <c r="B19" s="73" t="inlineStr">
        <is>
          <t>MIO-S-AI1+DXH3 (DCS 7222B)</t>
        </is>
      </c>
      <c r="C19" s="381" t="inlineStr">
        <is>
          <t>3EST000228-3395</t>
        </is>
      </c>
      <c r="D19" s="63" t="inlineStr">
        <is>
          <t>DM1-DM8</t>
        </is>
      </c>
      <c r="J19" s="64" t="n"/>
    </row>
    <row r="20" outlineLevel="2" s="479">
      <c r="A20" s="63" t="n"/>
      <c r="B20" s="74" t="inlineStr">
        <is>
          <t>MIO-S (DCS 7222B)</t>
        </is>
      </c>
      <c r="C20" s="379" t="inlineStr">
        <is>
          <t>3EST000230-5833</t>
        </is>
      </c>
      <c r="D20" s="63" t="n"/>
      <c r="E20" s="76" t="inlineStr">
        <is>
          <t>DM1-DM8</t>
        </is>
      </c>
      <c r="J20" s="64" t="n"/>
    </row>
    <row r="21" outlineLevel="2" s="479">
      <c r="A21" s="63" t="n"/>
      <c r="B21" s="73" t="inlineStr">
        <is>
          <t>MIO-S-AI1+DXH2 (DCS 7220B)</t>
        </is>
      </c>
      <c r="C21" s="381" t="inlineStr">
        <is>
          <t>3EST000228-3394</t>
        </is>
      </c>
      <c r="D21" s="63" t="inlineStr">
        <is>
          <t>Tutte</t>
        </is>
      </c>
      <c r="E21" s="10" t="inlineStr">
        <is>
          <t>Tutte</t>
        </is>
      </c>
      <c r="J21" s="64" t="n"/>
    </row>
    <row r="22" outlineLevel="2" s="479">
      <c r="A22" s="63" t="n"/>
      <c r="B22" s="64" t="inlineStr">
        <is>
          <t>MIO-DXH4 (DCX 2222A)</t>
        </is>
      </c>
      <c r="C22" s="328" t="inlineStr">
        <is>
          <t>3EST000209-5696</t>
        </is>
      </c>
      <c r="D22" s="63" t="inlineStr">
        <is>
          <t>Tutte</t>
        </is>
      </c>
      <c r="E22" s="10" t="inlineStr">
        <is>
          <t>Tutte</t>
        </is>
      </c>
      <c r="J22" s="64" t="n"/>
    </row>
    <row r="23" outlineLevel="2" s="479">
      <c r="A23" s="63" t="n"/>
      <c r="B23" s="64" t="inlineStr">
        <is>
          <t>MIO-DX1H (DCX 2000A)</t>
        </is>
      </c>
      <c r="C23" s="328" t="inlineStr">
        <is>
          <t>3EST000209-5690</t>
        </is>
      </c>
      <c r="D23" s="63" t="inlineStr">
        <is>
          <t>M3</t>
        </is>
      </c>
      <c r="E23" s="78" t="inlineStr">
        <is>
          <t>M3</t>
        </is>
      </c>
      <c r="J23" s="64" t="n"/>
    </row>
    <row r="24" outlineLevel="2" s="479">
      <c r="A24" s="63" t="n"/>
      <c r="B24" s="64" t="inlineStr">
        <is>
          <t>MIO-DX3H (DCX 2220A)</t>
        </is>
      </c>
      <c r="C24" s="328" t="inlineStr">
        <is>
          <t>3EST000209-5694</t>
        </is>
      </c>
      <c r="D24" s="63" t="inlineStr">
        <is>
          <t>Tutte</t>
        </is>
      </c>
      <c r="E24" s="10" t="inlineStr">
        <is>
          <t>Tutte</t>
        </is>
      </c>
      <c r="J24" s="64" t="n"/>
    </row>
    <row r="25" outlineLevel="2" s="479">
      <c r="A25" s="63" t="n"/>
      <c r="B25" s="115" t="inlineStr">
        <is>
          <t>CDU-H03</t>
        </is>
      </c>
      <c r="C25" s="380" t="inlineStr">
        <is>
          <t>HW01107958-00</t>
        </is>
      </c>
      <c r="D25" s="63" t="n"/>
      <c r="H25" s="116" t="inlineStr">
        <is>
          <t>DM1-DM8</t>
        </is>
      </c>
      <c r="I25" s="116" t="inlineStr">
        <is>
          <t>DM1-DM8</t>
        </is>
      </c>
      <c r="J25" s="64" t="n"/>
    </row>
    <row r="26" outlineLevel="2" s="479">
      <c r="A26" s="63" t="n"/>
      <c r="B26" s="115" t="inlineStr">
        <is>
          <t>DU-H03</t>
        </is>
      </c>
      <c r="C26" s="380" t="inlineStr">
        <is>
          <t>HW02298449-00</t>
        </is>
      </c>
      <c r="D26" s="63" t="n"/>
      <c r="H26" s="116" t="inlineStr">
        <is>
          <t>DM1-DM8</t>
        </is>
      </c>
      <c r="I26" s="116" t="inlineStr">
        <is>
          <t>DM1-DM8</t>
        </is>
      </c>
      <c r="J26" s="64" t="n"/>
    </row>
    <row r="27" outlineLevel="2" s="479">
      <c r="A27" s="63" t="n"/>
      <c r="B27" s="115" t="inlineStr">
        <is>
          <t>DU-H04 (OBS)</t>
        </is>
      </c>
      <c r="C27" s="380" t="inlineStr">
        <is>
          <t>HW02298458-00</t>
        </is>
      </c>
      <c r="D27" s="63" t="n"/>
      <c r="H27" s="116" t="inlineStr">
        <is>
          <t>M3</t>
        </is>
      </c>
      <c r="I27" s="116" t="inlineStr">
        <is>
          <t>M3</t>
        </is>
      </c>
      <c r="J27" s="64" t="n"/>
    </row>
    <row r="28" outlineLevel="2" s="479">
      <c r="A28" s="63" t="n"/>
      <c r="B28" s="115" t="inlineStr">
        <is>
          <t>DU-H05 (PIS-ALG)</t>
        </is>
      </c>
      <c r="C28" s="380" t="inlineStr">
        <is>
          <t>HW02298473-00</t>
        </is>
      </c>
      <c r="D28" s="63" t="n"/>
      <c r="H28" s="116" t="inlineStr">
        <is>
          <t>M3</t>
        </is>
      </c>
      <c r="I28" s="116" t="inlineStr">
        <is>
          <t>M3</t>
        </is>
      </c>
      <c r="J28" s="64" t="n"/>
    </row>
    <row r="29" outlineLevel="2" s="479">
      <c r="A29" s="63" t="n"/>
      <c r="B29" s="115" t="inlineStr">
        <is>
          <t>RIO-LP (CUSFE684-H05)</t>
        </is>
      </c>
      <c r="C29" s="380" t="inlineStr">
        <is>
          <t>HW01107911-00</t>
        </is>
      </c>
      <c r="D29" s="63" t="n"/>
      <c r="H29" s="116" t="inlineStr">
        <is>
          <t>DM1-DM8</t>
        </is>
      </c>
      <c r="I29" s="116" t="inlineStr">
        <is>
          <t>DM1-DM8</t>
        </is>
      </c>
      <c r="J29" s="64" t="n"/>
    </row>
    <row r="30" outlineLevel="2" s="479">
      <c r="A30" s="63" t="n"/>
      <c r="B30" s="115" t="inlineStr">
        <is>
          <t>RIO-C5/C6 (CUSFE684-H06)</t>
        </is>
      </c>
      <c r="C30" s="380" t="inlineStr">
        <is>
          <t>HW01107914-00</t>
        </is>
      </c>
      <c r="D30" s="63" t="n"/>
      <c r="H30" s="116" t="inlineStr">
        <is>
          <t>DM1-DM8</t>
        </is>
      </c>
      <c r="I30" s="116" t="inlineStr">
        <is>
          <t>DM1-DM8</t>
        </is>
      </c>
      <c r="J30" s="64" t="n"/>
    </row>
    <row r="31" outlineLevel="2" s="479">
      <c r="A31" s="63" t="n"/>
      <c r="B31" s="115" t="inlineStr">
        <is>
          <t>RIO-EB-01 (CUSFE684-H01)</t>
        </is>
      </c>
      <c r="C31" s="380" t="inlineStr">
        <is>
          <t>HW01107901-00</t>
        </is>
      </c>
      <c r="D31" s="63" t="n"/>
      <c r="H31" s="116" t="inlineStr">
        <is>
          <t>DM1-DM8</t>
        </is>
      </c>
      <c r="I31" s="116" t="inlineStr">
        <is>
          <t>DM1-DM8</t>
        </is>
      </c>
      <c r="J31" s="64" t="n"/>
    </row>
    <row r="32" outlineLevel="2" s="479">
      <c r="A32" s="63" t="n"/>
      <c r="B32" s="115" t="inlineStr">
        <is>
          <t>RIO-EB-02 (CUSFE684-H02)</t>
        </is>
      </c>
      <c r="C32" s="380" t="inlineStr">
        <is>
          <t>HW01107904-00</t>
        </is>
      </c>
      <c r="D32" s="63" t="n"/>
      <c r="H32" s="116" t="inlineStr">
        <is>
          <t>TT2-TT7</t>
        </is>
      </c>
      <c r="I32" s="116" t="inlineStr">
        <is>
          <t>TT2-TT7</t>
        </is>
      </c>
      <c r="J32" s="64" t="n"/>
    </row>
    <row r="33" outlineLevel="2" s="479">
      <c r="A33" s="63" t="n"/>
      <c r="B33" s="115" t="inlineStr">
        <is>
          <t>RIO-EB-03 (CUSFE684-H03)</t>
        </is>
      </c>
      <c r="C33" s="380" t="inlineStr">
        <is>
          <t>HW01107905-00</t>
        </is>
      </c>
      <c r="D33" s="63" t="n"/>
      <c r="H33" s="116" t="inlineStr">
        <is>
          <t>M3-M6</t>
        </is>
      </c>
      <c r="I33" s="116" t="inlineStr">
        <is>
          <t>M3-M6</t>
        </is>
      </c>
      <c r="J33" s="64" t="n"/>
    </row>
    <row r="34" outlineLevel="2" s="479">
      <c r="A34" s="63" t="n"/>
      <c r="B34" s="115" t="inlineStr">
        <is>
          <t>RIO-EB-04 (CUSFE684-H04)</t>
        </is>
      </c>
      <c r="C34" s="380" t="inlineStr">
        <is>
          <t>HW01107908-00</t>
        </is>
      </c>
      <c r="D34" s="63" t="n"/>
      <c r="H34" s="116" t="inlineStr">
        <is>
          <t>T4-T5</t>
        </is>
      </c>
      <c r="I34" s="116" t="inlineStr">
        <is>
          <t>T4-T5</t>
        </is>
      </c>
      <c r="J34" s="64" t="n"/>
    </row>
    <row r="35" outlineLevel="2" ht="30" customHeight="1" s="479">
      <c r="A35" s="63" t="n"/>
      <c r="B35" s="115" t="inlineStr">
        <is>
          <t>RIO-C2-01 (CURSE32-H01)</t>
        </is>
      </c>
      <c r="C35" s="380" t="inlineStr">
        <is>
          <t>HW01107953-00</t>
        </is>
      </c>
      <c r="D35" s="63" t="n"/>
      <c r="H35" s="116" t="inlineStr">
        <is>
          <t>DM1-TT2-M3-M6-TT7-DM8</t>
        </is>
      </c>
      <c r="I35" s="116" t="inlineStr">
        <is>
          <t>DM1-TT2-M3-M6-TT7-DM8</t>
        </is>
      </c>
      <c r="J35" s="64" t="n"/>
    </row>
    <row r="36" outlineLevel="2" s="479">
      <c r="A36" s="63" t="n"/>
      <c r="B36" s="115" t="inlineStr">
        <is>
          <t>RIO-C2-02 (CURSE32-H02)</t>
        </is>
      </c>
      <c r="C36" s="380" t="inlineStr">
        <is>
          <t>HW01107954-00</t>
        </is>
      </c>
      <c r="D36" s="63" t="n"/>
      <c r="H36" s="116" t="inlineStr">
        <is>
          <t>T4-T5</t>
        </is>
      </c>
      <c r="I36" s="116" t="inlineStr">
        <is>
          <t>T4-T5</t>
        </is>
      </c>
      <c r="J36" s="64" t="n"/>
    </row>
    <row r="37" outlineLevel="1" s="479">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79">
      <c r="A38" s="63" t="n"/>
      <c r="B38" s="73" t="inlineStr">
        <is>
          <t>MCG (DCZ 2424B)</t>
        </is>
      </c>
      <c r="C38" s="381" t="inlineStr">
        <is>
          <t>3EST000225-7169</t>
        </is>
      </c>
      <c r="D38" s="63" t="inlineStr">
        <is>
          <t>X</t>
        </is>
      </c>
      <c r="J38" s="64" t="n"/>
    </row>
    <row r="39" outlineLevel="2" s="479">
      <c r="A39" s="63" t="n"/>
      <c r="B39" s="74" t="inlineStr">
        <is>
          <t>MCG</t>
        </is>
      </c>
      <c r="C39" s="379" t="inlineStr">
        <is>
          <t>3EST000234-1560</t>
        </is>
      </c>
      <c r="D39" s="75" t="n"/>
      <c r="E39" s="76" t="inlineStr">
        <is>
          <t>X</t>
        </is>
      </c>
      <c r="J39" s="64" t="n"/>
    </row>
    <row r="40" outlineLevel="2" s="479">
      <c r="A40" s="63" t="n"/>
      <c r="B40" s="73" t="inlineStr">
        <is>
          <t>IDU</t>
        </is>
      </c>
      <c r="C40" s="381" t="inlineStr">
        <is>
          <t>3EST000223-8802</t>
        </is>
      </c>
      <c r="D40" s="77" t="inlineStr">
        <is>
          <t>DM1-M3-DM8</t>
        </is>
      </c>
      <c r="E40" s="78" t="inlineStr">
        <is>
          <t>DM1-M3-DM8</t>
        </is>
      </c>
      <c r="J40" s="64" t="n"/>
    </row>
    <row r="41" outlineLevel="2" s="479">
      <c r="A41" s="63" t="n"/>
      <c r="B41" s="115" t="inlineStr">
        <is>
          <t>IDU</t>
        </is>
      </c>
      <c r="C41" s="380" t="inlineStr">
        <is>
          <t>EC030021237P01</t>
        </is>
      </c>
      <c r="D41" s="63" t="n"/>
      <c r="H41" s="116" t="inlineStr">
        <is>
          <t>DM1-M3-DM8</t>
        </is>
      </c>
      <c r="I41" s="116" t="inlineStr">
        <is>
          <t>DM1-M3-DM8</t>
        </is>
      </c>
      <c r="J41" s="64" t="n"/>
    </row>
    <row r="42" outlineLevel="1" s="479">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79">
      <c r="A43" s="63" t="n"/>
      <c r="B43" s="64" t="inlineStr">
        <is>
          <t>MCG Antenna WLAN/GSM GPS</t>
        </is>
      </c>
      <c r="C43" s="328" t="inlineStr">
        <is>
          <t>3EST000212-2155</t>
        </is>
      </c>
      <c r="D43" s="63" t="inlineStr">
        <is>
          <t>M3</t>
        </is>
      </c>
      <c r="J43" s="64" t="n"/>
    </row>
    <row r="44" outlineLevel="2" s="479">
      <c r="A44" s="63" t="n"/>
      <c r="B44" s="74" t="inlineStr">
        <is>
          <t xml:space="preserve"> MCG Antenna WLAN/GSM GPS</t>
        </is>
      </c>
      <c r="C44" s="379" t="inlineStr">
        <is>
          <t>3EH-232550R0005</t>
        </is>
      </c>
      <c r="D44" s="75" t="n"/>
      <c r="E44" s="76" t="inlineStr">
        <is>
          <t>M3</t>
        </is>
      </c>
      <c r="J44" s="64" t="n"/>
    </row>
    <row r="45" outlineLevel="2" s="479">
      <c r="A45" s="63" t="n"/>
      <c r="B45" s="64" t="inlineStr">
        <is>
          <t>TCN GW-S DCY 1703A</t>
        </is>
      </c>
      <c r="C45" s="328" t="inlineStr">
        <is>
          <t>EST000221-6460</t>
        </is>
      </c>
      <c r="D45" s="63" t="inlineStr">
        <is>
          <t>DM1-DM8</t>
        </is>
      </c>
      <c r="E45" s="10" t="inlineStr">
        <is>
          <t>DM1-DM8</t>
        </is>
      </c>
      <c r="J45" s="64" t="n"/>
    </row>
    <row r="46" outlineLevel="2" s="479">
      <c r="A46" s="63" t="n"/>
      <c r="B46" s="73" t="inlineStr">
        <is>
          <t>IP Train Switch</t>
        </is>
      </c>
      <c r="C46" s="381" t="inlineStr">
        <is>
          <t>3EST000212-3000</t>
        </is>
      </c>
      <c r="D46" s="63" t="inlineStr">
        <is>
          <t>DM1-DM8</t>
        </is>
      </c>
      <c r="J46" s="64" t="n"/>
    </row>
    <row r="47" outlineLevel="2" s="479">
      <c r="A47" s="63" t="n"/>
      <c r="B47" s="74" t="inlineStr">
        <is>
          <t>IP Train Switch</t>
        </is>
      </c>
      <c r="C47" s="379" t="inlineStr">
        <is>
          <t>3EST000236-6769</t>
        </is>
      </c>
      <c r="D47" s="75" t="n"/>
      <c r="E47" s="76" t="inlineStr">
        <is>
          <t>DM1-DM8</t>
        </is>
      </c>
      <c r="J47" s="64" t="n"/>
    </row>
    <row r="48" outlineLevel="2" s="479">
      <c r="A48" s="63" t="n"/>
      <c r="B48" s="73" t="inlineStr">
        <is>
          <t>IP Train Repeater</t>
        </is>
      </c>
      <c r="C48" s="381" t="inlineStr">
        <is>
          <t>3EST000212-3010</t>
        </is>
      </c>
      <c r="D48" s="63" t="inlineStr">
        <is>
          <t>M3-T4-T5</t>
        </is>
      </c>
      <c r="J48" s="64" t="n"/>
    </row>
    <row r="49" outlineLevel="2" s="479">
      <c r="A49" s="63" t="n"/>
      <c r="B49" s="72" t="inlineStr">
        <is>
          <t>IP Train Repeater</t>
        </is>
      </c>
      <c r="C49" s="382" t="inlineStr">
        <is>
          <t>3EST000236-6770</t>
        </is>
      </c>
      <c r="D49" s="63" t="n"/>
      <c r="E49" s="10" t="inlineStr">
        <is>
          <t>M3-T4-T5</t>
        </is>
      </c>
      <c r="J49" s="64" t="n"/>
    </row>
    <row r="50" outlineLevel="2" s="479">
      <c r="A50" s="63" t="n"/>
      <c r="B50" s="73" t="inlineStr">
        <is>
          <t>IP Ring Switch</t>
        </is>
      </c>
      <c r="C50" s="381" t="inlineStr">
        <is>
          <t>3EST000225-7297</t>
        </is>
      </c>
      <c r="D50" s="63" t="inlineStr">
        <is>
          <t>Tutte</t>
        </is>
      </c>
      <c r="J50" s="64" t="n"/>
    </row>
    <row r="51" outlineLevel="2" s="479">
      <c r="A51" s="63" t="n"/>
      <c r="B51" s="74" t="inlineStr">
        <is>
          <t>IP Ring Switch</t>
        </is>
      </c>
      <c r="C51" s="379" t="inlineStr">
        <is>
          <t>3EST000235-7837</t>
        </is>
      </c>
      <c r="D51" s="75" t="n"/>
      <c r="E51" s="76" t="inlineStr">
        <is>
          <t>DM1</t>
        </is>
      </c>
      <c r="J51" s="64" t="n"/>
    </row>
    <row r="52" outlineLevel="2" s="479">
      <c r="A52" s="63" t="n"/>
      <c r="B52" s="74" t="inlineStr">
        <is>
          <t>IP Ring Switch</t>
        </is>
      </c>
      <c r="C52" s="379" t="inlineStr">
        <is>
          <t>3EST000234-7837</t>
        </is>
      </c>
      <c r="D52" s="75" t="n"/>
      <c r="E52" s="76" t="inlineStr">
        <is>
          <t>DM8</t>
        </is>
      </c>
      <c r="J52" s="64" t="n"/>
    </row>
    <row r="53" outlineLevel="2" s="479">
      <c r="A53" s="63" t="n"/>
      <c r="B53" s="64" t="inlineStr">
        <is>
          <t>BUS Coupler BCT 12KF04</t>
        </is>
      </c>
      <c r="C53" s="328" t="inlineStr">
        <is>
          <t>EGM032400R0001</t>
        </is>
      </c>
      <c r="D53" s="63" t="inlineStr">
        <is>
          <t>TT2-T5-TT7</t>
        </is>
      </c>
      <c r="E53" s="10" t="inlineStr">
        <is>
          <t>TT2-T5-TT7</t>
        </is>
      </c>
      <c r="J53" s="64" t="n"/>
    </row>
    <row r="54" outlineLevel="2" ht="30" customHeight="1" s="479">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79">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79">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79">
      <c r="A58" s="63" t="n"/>
      <c r="B58" s="64" t="inlineStr">
        <is>
          <t>Modulo convertitore MCM (15/10 WM V02)</t>
        </is>
      </c>
      <c r="C58" s="328" t="inlineStr">
        <is>
          <t>3EST000222-0850</t>
        </is>
      </c>
      <c r="D58" s="63" t="inlineStr">
        <is>
          <t>DM1-M3-M6-DM8</t>
        </is>
      </c>
      <c r="E58" s="10" t="inlineStr">
        <is>
          <t>DM1-M3-M6-DM8</t>
        </is>
      </c>
      <c r="J58" s="64" t="n"/>
    </row>
    <row r="59" outlineLevel="3" ht="30" customHeight="1" s="479">
      <c r="A59" s="63" t="n"/>
      <c r="B59" s="64" t="inlineStr">
        <is>
          <t>Centralina DCU/M</t>
        </is>
      </c>
      <c r="C59" s="328" t="inlineStr">
        <is>
          <t>3EST000222-1018</t>
        </is>
      </c>
      <c r="D59" s="63" t="inlineStr">
        <is>
          <t>DM1-M3-M6-DM8</t>
        </is>
      </c>
      <c r="E59" s="10" t="inlineStr">
        <is>
          <t>DM1-M3-M6-DM8</t>
        </is>
      </c>
      <c r="J59" s="64" t="n"/>
    </row>
    <row r="60" outlineLevel="3" ht="30" customHeight="1" s="479">
      <c r="A60" s="63" t="n"/>
      <c r="B60" s="64" t="inlineStr">
        <is>
          <t>Modulo IGBT</t>
        </is>
      </c>
      <c r="C60" s="328" t="inlineStr">
        <is>
          <t>3EST000214-9948</t>
        </is>
      </c>
      <c r="D60" s="63" t="inlineStr">
        <is>
          <t>DM1-M3-M6-DM8</t>
        </is>
      </c>
      <c r="E60" s="10" t="inlineStr">
        <is>
          <t>DM1-M3-M6-DM8</t>
        </is>
      </c>
      <c r="J60" s="64" t="n"/>
    </row>
    <row r="61" outlineLevel="2" s="479">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79">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79">
      <c r="A63" s="63" t="n"/>
      <c r="B63" s="115" t="inlineStr">
        <is>
          <t>Modulo IGBT</t>
        </is>
      </c>
      <c r="C63" s="380" t="inlineStr">
        <is>
          <t>EC030020031</t>
        </is>
      </c>
      <c r="D63" s="75" t="n"/>
      <c r="E63" s="76" t="n"/>
      <c r="F63" s="76" t="n"/>
      <c r="G63" s="76" t="n"/>
      <c r="H63" s="116" t="inlineStr">
        <is>
          <t>X</t>
        </is>
      </c>
      <c r="I63" s="116" t="inlineStr">
        <is>
          <t>X</t>
        </is>
      </c>
      <c r="J63" s="64" t="n"/>
    </row>
    <row r="64" outlineLevel="1" s="479">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79">
      <c r="A65" s="63" t="n"/>
      <c r="B65" s="64" t="inlineStr">
        <is>
          <t>Modulo convertitore LCM (15/15 WL V06)</t>
        </is>
      </c>
      <c r="C65" s="328" t="inlineStr">
        <is>
          <t>3EST000222-0610</t>
        </is>
      </c>
      <c r="D65" s="63" t="inlineStr">
        <is>
          <t>DM1-M3-M6-DM8</t>
        </is>
      </c>
      <c r="E65" s="10" t="inlineStr">
        <is>
          <t>DM1-M3-M6-DM8</t>
        </is>
      </c>
      <c r="J65" s="64" t="n"/>
    </row>
    <row r="66" outlineLevel="3" ht="30" customHeight="1" s="479">
      <c r="A66" s="63" t="n"/>
      <c r="B66" s="64" t="inlineStr">
        <is>
          <t>Centralina DCU</t>
        </is>
      </c>
      <c r="C66" s="328" t="inlineStr">
        <is>
          <t>3EST000222-1018</t>
        </is>
      </c>
      <c r="D66" s="63" t="inlineStr">
        <is>
          <t>DM1-M3-M6-DM8</t>
        </is>
      </c>
      <c r="E66" s="10" t="inlineStr">
        <is>
          <t>DM1-M3-M6-DM8</t>
        </is>
      </c>
      <c r="J66" s="64" t="n"/>
    </row>
    <row r="67" outlineLevel="3" ht="30" customHeight="1" s="479">
      <c r="A67" s="63" t="n"/>
      <c r="B67" s="64" t="inlineStr">
        <is>
          <t>Modulo IGBT</t>
        </is>
      </c>
      <c r="C67" s="328" t="inlineStr">
        <is>
          <t>3EST000214-9825</t>
        </is>
      </c>
      <c r="D67" s="63" t="inlineStr">
        <is>
          <t>DM1-M3-M6-DM8</t>
        </is>
      </c>
      <c r="E67" s="10" t="inlineStr">
        <is>
          <t>DM1-M3-M6-DM8</t>
        </is>
      </c>
      <c r="J67" s="64" t="n"/>
    </row>
    <row r="68" outlineLevel="2" s="479">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79">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79">
      <c r="A70" s="63" t="n"/>
      <c r="B70" s="115" t="inlineStr">
        <is>
          <t>Modulo IGBT</t>
        </is>
      </c>
      <c r="C70" s="380" t="inlineStr">
        <is>
          <t>3EST000223-1474-HR</t>
        </is>
      </c>
      <c r="D70" s="75" t="n"/>
      <c r="E70" s="76" t="n"/>
      <c r="F70" s="76" t="n"/>
      <c r="G70" s="76" t="n"/>
      <c r="H70" s="116" t="inlineStr">
        <is>
          <t>X</t>
        </is>
      </c>
      <c r="I70" s="116" t="inlineStr">
        <is>
          <t>X</t>
        </is>
      </c>
      <c r="J70" s="64" t="n"/>
    </row>
    <row r="71" outlineLevel="1" s="479">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79">
      <c r="A72" s="63" t="n"/>
      <c r="B72" s="64" t="inlineStr">
        <is>
          <t>Modulo Convertitore CCM (30/07 WC V01)</t>
        </is>
      </c>
      <c r="C72" s="328" t="inlineStr">
        <is>
          <t>3EST000222-1010</t>
        </is>
      </c>
      <c r="D72" s="63" t="inlineStr">
        <is>
          <t>DM1-M3-M6-DM8</t>
        </is>
      </c>
      <c r="E72" s="10" t="inlineStr">
        <is>
          <t>DM1-M3-M6-DM8</t>
        </is>
      </c>
      <c r="J72" s="64" t="n"/>
    </row>
    <row r="73" outlineLevel="3" ht="30" customHeight="1" s="479">
      <c r="A73" s="63" t="n"/>
      <c r="B73" s="64" t="inlineStr">
        <is>
          <t>Centralina DCU/C</t>
        </is>
      </c>
      <c r="C73" s="328" t="inlineStr">
        <is>
          <t>3EST000222-1018</t>
        </is>
      </c>
      <c r="D73" s="63" t="inlineStr">
        <is>
          <t>DM1-M3-M6-DM8</t>
        </is>
      </c>
      <c r="E73" s="10" t="inlineStr">
        <is>
          <t>DM1-M3-M6-DM8</t>
        </is>
      </c>
      <c r="J73" s="64" t="n"/>
    </row>
    <row r="74" outlineLevel="3" ht="30" customHeight="1" s="479">
      <c r="A74" s="63" t="n"/>
      <c r="B74" s="64" t="inlineStr">
        <is>
          <t>Modulo IGBT</t>
        </is>
      </c>
      <c r="C74" s="328" t="inlineStr">
        <is>
          <t>3EST000214-9948</t>
        </is>
      </c>
      <c r="D74" s="63" t="inlineStr">
        <is>
          <t>DM1-M3-M6-DM8</t>
        </is>
      </c>
      <c r="E74" s="10" t="inlineStr">
        <is>
          <t>DM1-M3-M6-DM8</t>
        </is>
      </c>
      <c r="J74" s="64" t="n"/>
    </row>
    <row r="75" outlineLevel="2" s="479">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79">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79">
      <c r="A77" s="63" t="n"/>
      <c r="B77" s="115" t="inlineStr">
        <is>
          <t>Modulo IGBT</t>
        </is>
      </c>
      <c r="C77" s="380" t="inlineStr">
        <is>
          <t>EC030020031</t>
        </is>
      </c>
      <c r="D77" s="75" t="n"/>
      <c r="E77" s="76" t="n"/>
      <c r="F77" s="76" t="n"/>
      <c r="G77" s="76" t="n"/>
      <c r="H77" s="116" t="inlineStr">
        <is>
          <t>X</t>
        </is>
      </c>
      <c r="I77" s="116" t="inlineStr">
        <is>
          <t>X</t>
        </is>
      </c>
      <c r="J77" s="64" t="n"/>
    </row>
    <row r="78" outlineLevel="1" s="479">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79">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79">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79">
      <c r="A81" s="63" t="n"/>
      <c r="B81" s="64" t="inlineStr">
        <is>
          <t>Modulo convertitore ACM</t>
        </is>
      </c>
      <c r="C81" s="328" t="inlineStr">
        <is>
          <t>3EST000222-0910</t>
        </is>
      </c>
      <c r="D81" s="63" t="inlineStr">
        <is>
          <t>DM1-M3-M6-DM8</t>
        </is>
      </c>
      <c r="E81" s="10" t="inlineStr">
        <is>
          <t>DM1-M3-M6-DM8</t>
        </is>
      </c>
      <c r="J81" s="64" t="n"/>
    </row>
    <row r="82" outlineLevel="3" ht="30" customHeight="1" s="479">
      <c r="A82" s="63" t="n"/>
      <c r="B82" s="64" t="inlineStr">
        <is>
          <t>Centralina DCU</t>
        </is>
      </c>
      <c r="C82" s="328" t="inlineStr">
        <is>
          <t>3EST000222-1018</t>
        </is>
      </c>
      <c r="D82" s="63" t="inlineStr">
        <is>
          <t>DM1-M3-M6-DM8</t>
        </is>
      </c>
      <c r="E82" s="10" t="inlineStr">
        <is>
          <t>DM1-M3-M6-DM8</t>
        </is>
      </c>
      <c r="J82" s="64" t="n"/>
    </row>
    <row r="83" outlineLevel="3" ht="30" customHeight="1" s="479">
      <c r="A83" s="63" t="n"/>
      <c r="B83" s="64" t="inlineStr">
        <is>
          <t>Modulo IGBT</t>
        </is>
      </c>
      <c r="C83" s="384" t="inlineStr">
        <is>
          <t>3EST000214-9948</t>
        </is>
      </c>
      <c r="D83" s="63" t="inlineStr">
        <is>
          <t>DM1-M3-M6-DM8</t>
        </is>
      </c>
      <c r="E83" s="10" t="inlineStr">
        <is>
          <t>DM1-M3-M6-DM8</t>
        </is>
      </c>
      <c r="J83" s="64" t="n"/>
    </row>
    <row r="84" outlineLevel="2" s="479">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79">
      <c r="A85" s="63" t="n"/>
      <c r="B85" s="71" t="inlineStr">
        <is>
          <t>Centralina DCU</t>
        </is>
      </c>
      <c r="C85" s="384" t="inlineStr">
        <is>
          <t>???</t>
        </is>
      </c>
      <c r="D85" s="70" t="n"/>
      <c r="E85" s="79" t="n"/>
      <c r="F85" s="79" t="n"/>
      <c r="G85" s="79" t="n"/>
      <c r="H85" s="79" t="inlineStr">
        <is>
          <t>X</t>
        </is>
      </c>
      <c r="I85" s="79" t="inlineStr">
        <is>
          <t>X</t>
        </is>
      </c>
      <c r="J85" s="64" t="n"/>
    </row>
    <row r="86" outlineLevel="3" collapsed="1" s="479">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79">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79">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79" min="1" max="1"/>
    <col width="14.42578125" customWidth="1" style="479" min="2" max="2"/>
    <col width="18.42578125" customWidth="1" style="479" min="3" max="3"/>
    <col width="15.85546875" customWidth="1" style="479" min="4" max="4"/>
    <col width="19.42578125" customWidth="1" style="479" min="5" max="6"/>
    <col width="14.42578125" customWidth="1" style="479" min="7" max="7"/>
    <col width="16.42578125" customWidth="1" style="479" min="8" max="8"/>
    <col width="23.85546875" customWidth="1" style="479" min="9" max="9"/>
    <col width="21.85546875" customWidth="1" style="479" min="10" max="10"/>
    <col width="11.42578125" customWidth="1" style="479" min="11" max="11"/>
    <col width="15.5703125" customWidth="1" style="479" min="12" max="12"/>
    <col width="19.85546875" customWidth="1" style="479" min="13" max="13"/>
    <col width="21.5703125" customWidth="1" style="479" min="14" max="14"/>
    <col width="12.140625" customWidth="1" style="479" min="15" max="15"/>
    <col width="15.5703125" customWidth="1" style="479" min="16" max="16"/>
    <col width="24.5703125" customWidth="1" style="479" min="17" max="17"/>
    <col width="26.85546875" customWidth="1" style="479" min="18" max="18"/>
    <col width="15.140625" customWidth="1" style="479" min="20" max="20"/>
    <col width="25.140625" customWidth="1" style="479" min="21" max="21"/>
    <col width="20.140625" customWidth="1" style="479" min="22" max="22"/>
    <col width="10" bestFit="1" customWidth="1" style="479" min="23" max="23"/>
    <col width="15.42578125" customWidth="1" style="479" min="24" max="24"/>
    <col width="20.42578125" customWidth="1" style="479" min="25" max="25"/>
    <col width="25.85546875" customWidth="1" style="479" min="26" max="26"/>
  </cols>
  <sheetData>
    <row r="1" ht="15.75" customHeight="1" s="479" thickBot="1">
      <c r="C1" s="492" t="inlineStr">
        <is>
          <t>IT 50 treni (flotta base)</t>
        </is>
      </c>
      <c r="D1" s="462" t="n"/>
      <c r="E1" s="462" t="n"/>
      <c r="F1" s="493" t="n"/>
      <c r="G1" s="492" t="inlineStr">
        <is>
          <t>IT 8 treni (51-58)</t>
        </is>
      </c>
      <c r="H1" s="462" t="n"/>
      <c r="I1" s="462" t="n"/>
      <c r="J1" s="493" t="n"/>
      <c r="K1" s="492" t="inlineStr">
        <is>
          <t>IT 6+30 treni (101-136)</t>
        </is>
      </c>
      <c r="L1" s="462" t="n"/>
      <c r="M1" s="462" t="n"/>
      <c r="N1" s="493" t="n"/>
      <c r="O1" s="492" t="inlineStr">
        <is>
          <t>I-FR 9 treni</t>
        </is>
      </c>
      <c r="P1" s="462" t="n"/>
      <c r="Q1" s="462" t="n"/>
      <c r="R1" s="493" t="n"/>
      <c r="S1" s="492" t="inlineStr">
        <is>
          <t>DAI 9 treni</t>
        </is>
      </c>
      <c r="T1" s="462" t="n"/>
      <c r="U1" s="462" t="n"/>
      <c r="V1" s="493" t="n"/>
      <c r="W1" s="492" t="inlineStr">
        <is>
          <t>ES 20 treni</t>
        </is>
      </c>
      <c r="X1" s="462" t="n"/>
      <c r="Y1" s="462" t="n"/>
      <c r="Z1" s="493" t="n"/>
    </row>
    <row r="2" ht="15.75" customHeight="1" s="479" thickBot="1">
      <c r="A2" s="504" t="inlineStr">
        <is>
          <t>Sottosistema</t>
        </is>
      </c>
      <c r="B2" s="463"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79">
      <c r="A3" s="489" t="inlineStr">
        <is>
          <t>Carrelli</t>
        </is>
      </c>
      <c r="B3" s="486" t="inlineStr">
        <is>
          <t>Motori</t>
        </is>
      </c>
      <c r="C3" s="464" t="inlineStr">
        <is>
          <t>100360301
100360302
100360303
100360304</t>
        </is>
      </c>
      <c r="D3" s="385" t="inlineStr">
        <is>
          <t>Sala Montata</t>
        </is>
      </c>
      <c r="E3" s="10" t="inlineStr">
        <is>
          <t>100360402
100360403</t>
        </is>
      </c>
      <c r="F3" s="17" t="inlineStr">
        <is>
          <t>Sensoristica ERTMS-SCMT carrelli DM
Sala senza boccole: 100360064</t>
        </is>
      </c>
      <c r="G3" s="464" t="inlineStr">
        <is>
          <t>100360301
100360302
100360303
100360304</t>
        </is>
      </c>
      <c r="H3" s="385" t="inlineStr">
        <is>
          <t>Sala Montata</t>
        </is>
      </c>
      <c r="I3" s="10" t="inlineStr">
        <is>
          <t>100360402
100360403</t>
        </is>
      </c>
      <c r="J3" s="17" t="inlineStr">
        <is>
          <t>Sensoristica ERTMS-SCMT carrelli DM
Sala senza boccole: 100360064</t>
        </is>
      </c>
      <c r="K3" s="502" t="inlineStr">
        <is>
          <t>100360301
100360302
100360303
100360304
(EN45545)</t>
        </is>
      </c>
      <c r="L3" s="386" t="inlineStr">
        <is>
          <t>Sala Montata</t>
        </is>
      </c>
      <c r="M3" s="18" t="inlineStr">
        <is>
          <t>100360402
100360403</t>
        </is>
      </c>
      <c r="N3" s="19" t="inlineStr">
        <is>
          <t>Sensoristica ERTMS-SCMT carrelli DM</t>
        </is>
      </c>
      <c r="O3" s="464" t="inlineStr">
        <is>
          <t>100329688
100329689
100360303
100360304</t>
        </is>
      </c>
      <c r="P3" s="385" t="inlineStr">
        <is>
          <t>Sala Montata</t>
        </is>
      </c>
      <c r="Q3" s="437" t="n"/>
      <c r="R3" s="20" t="inlineStr">
        <is>
          <t>Sensoristica ERTMS-SCMT, Memor brush, ETCS antenna su carrelli ant. DM1/8
Sensori Wiegand su post. DM1/8
Sensori Wiegand su ant. TT2/7
Sala senza boccole: 100360064</t>
        </is>
      </c>
      <c r="S3" s="472" t="n"/>
      <c r="T3" s="387" t="inlineStr">
        <is>
          <t>Sala Montata</t>
        </is>
      </c>
      <c r="U3" s="388" t="n"/>
      <c r="V3" s="21" t="inlineStr">
        <is>
          <t>tbd sensori boccola DM</t>
        </is>
      </c>
      <c r="W3" s="464" t="inlineStr">
        <is>
          <t>DM: 100437987
100470644</t>
        </is>
      </c>
      <c r="X3" s="385" t="inlineStr">
        <is>
          <t>Sala Montata</t>
        </is>
      </c>
      <c r="Y3" s="437" t="n"/>
      <c r="Z3" s="17" t="inlineStr">
        <is>
          <t>Sensoristica ETCS-ASFA-LZB carrelli DM</t>
        </is>
      </c>
    </row>
    <row r="4">
      <c r="A4" s="468" t="n"/>
      <c r="C4" s="465" t="n"/>
      <c r="D4" s="389" t="inlineStr">
        <is>
          <t>Riduttore</t>
        </is>
      </c>
      <c r="E4" s="390" t="n">
        <v>13900244911</v>
      </c>
      <c r="F4" s="22" t="n"/>
      <c r="G4" s="465" t="n"/>
      <c r="H4" s="389" t="inlineStr">
        <is>
          <t>Riduttore</t>
        </is>
      </c>
      <c r="I4" s="390" t="n">
        <v>13900244911</v>
      </c>
      <c r="J4" s="22" t="n"/>
      <c r="K4" s="465" t="n"/>
      <c r="L4" s="391" t="inlineStr">
        <is>
          <t>Riduttore</t>
        </is>
      </c>
      <c r="M4" s="392" t="n">
        <v>13900244911</v>
      </c>
      <c r="N4" s="23" t="n"/>
      <c r="O4" s="465" t="n"/>
      <c r="P4" s="389" t="inlineStr">
        <is>
          <t>Riduttore</t>
        </is>
      </c>
      <c r="Q4" s="393" t="n">
        <v>13900244911</v>
      </c>
      <c r="R4" s="22" t="n"/>
      <c r="S4" s="465" t="n"/>
      <c r="T4" s="394" t="inlineStr">
        <is>
          <t>Riduttore</t>
        </is>
      </c>
      <c r="U4" s="395" t="n">
        <v>13900244911</v>
      </c>
      <c r="V4" s="24" t="n"/>
      <c r="W4" s="465" t="n"/>
      <c r="X4" s="389" t="inlineStr">
        <is>
          <t>Riduttore</t>
        </is>
      </c>
      <c r="Y4" s="165" t="n"/>
      <c r="Z4" s="22" t="n"/>
    </row>
    <row r="5">
      <c r="A5" s="468" t="n"/>
      <c r="C5" s="465" t="n"/>
      <c r="D5" s="389" t="inlineStr">
        <is>
          <t>Motore</t>
        </is>
      </c>
      <c r="E5" s="165" t="inlineStr">
        <is>
          <t>3EST000224-9555</t>
        </is>
      </c>
      <c r="F5" s="22" t="n"/>
      <c r="G5" s="465" t="n"/>
      <c r="H5" s="389" t="inlineStr">
        <is>
          <t>Motore</t>
        </is>
      </c>
      <c r="I5" s="165" t="inlineStr">
        <is>
          <t>3EST000224-9555</t>
        </is>
      </c>
      <c r="J5" s="22" t="n"/>
      <c r="K5" s="465" t="n"/>
      <c r="L5" s="391" t="inlineStr">
        <is>
          <t>Motore</t>
        </is>
      </c>
      <c r="M5" s="396" t="inlineStr">
        <is>
          <t>3EST000224-9555</t>
        </is>
      </c>
      <c r="N5" s="23" t="n"/>
      <c r="O5" s="465" t="n"/>
      <c r="P5" s="389" t="inlineStr">
        <is>
          <t>Motore</t>
        </is>
      </c>
      <c r="Q5" s="166" t="inlineStr">
        <is>
          <t>3EST000224-9555</t>
        </is>
      </c>
      <c r="R5" s="22" t="n"/>
      <c r="S5" s="465" t="n"/>
      <c r="T5" s="394" t="inlineStr">
        <is>
          <t>Motore</t>
        </is>
      </c>
      <c r="U5" s="397" t="inlineStr">
        <is>
          <t>3EST000224-9555</t>
        </is>
      </c>
      <c r="V5" s="24" t="n"/>
      <c r="W5" s="465" t="n"/>
      <c r="X5" s="389" t="inlineStr">
        <is>
          <t>Motore</t>
        </is>
      </c>
      <c r="Y5" s="165" t="n"/>
      <c r="Z5" s="22" t="n"/>
    </row>
    <row r="6" ht="87" customHeight="1" s="479">
      <c r="A6" s="468" t="n"/>
      <c r="C6" s="465" t="n"/>
      <c r="D6" s="389" t="inlineStr">
        <is>
          <t>Cil.Freno</t>
        </is>
      </c>
      <c r="E6" s="398" t="inlineStr">
        <is>
          <t>FT0011601-100
FT0011602-100
FT0011602-101</t>
        </is>
      </c>
      <c r="F6" s="22" t="n"/>
      <c r="G6" s="465" t="n"/>
      <c r="H6" s="389" t="inlineStr">
        <is>
          <t>Cil.Freno</t>
        </is>
      </c>
      <c r="I6" s="398" t="inlineStr">
        <is>
          <t>FT0011601-100
FT0011602-100
FT0011602-101</t>
        </is>
      </c>
      <c r="J6" s="22" t="n"/>
      <c r="K6" s="465" t="n"/>
      <c r="L6" s="391" t="inlineStr">
        <is>
          <t>Cil.Freno</t>
        </is>
      </c>
      <c r="M6" s="399" t="inlineStr">
        <is>
          <t>FT0011601-100
FT0011602-100
FT0011602-101</t>
        </is>
      </c>
      <c r="N6" s="23" t="n"/>
      <c r="O6" s="465" t="n"/>
      <c r="P6" s="389" t="inlineStr">
        <is>
          <t>Cil.Freno</t>
        </is>
      </c>
      <c r="Q6" s="400" t="inlineStr">
        <is>
          <t>FT0011601-100
FT0011602-100
FT0011602-101</t>
        </is>
      </c>
      <c r="R6" s="22" t="n"/>
      <c r="S6" s="465" t="n"/>
      <c r="T6" s="394" t="inlineStr">
        <is>
          <t>Cil.Freno</t>
        </is>
      </c>
      <c r="U6" s="401" t="inlineStr">
        <is>
          <t>FT0011601-100
FT0011602-100
FT0011602-101</t>
        </is>
      </c>
      <c r="V6" s="24" t="n"/>
      <c r="W6" s="465" t="n"/>
      <c r="X6" s="389" t="inlineStr">
        <is>
          <t>Cil.Freno</t>
        </is>
      </c>
      <c r="Y6" s="398" t="inlineStr">
        <is>
          <t>FT0011601-100
FT0011602-100
FT0011602-101</t>
        </is>
      </c>
      <c r="Z6" s="22" t="n"/>
    </row>
    <row r="7">
      <c r="A7" s="468" t="n"/>
      <c r="C7" s="465" t="n"/>
      <c r="D7" s="389" t="inlineStr">
        <is>
          <t>Als</t>
        </is>
      </c>
      <c r="E7" s="165" t="inlineStr">
        <is>
          <t>6398B000-01</t>
        </is>
      </c>
      <c r="F7" s="22" t="n"/>
      <c r="G7" s="465" t="n"/>
      <c r="H7" s="389" t="inlineStr">
        <is>
          <t>Als</t>
        </is>
      </c>
      <c r="I7" s="165" t="inlineStr">
        <is>
          <t>6398B000-01</t>
        </is>
      </c>
      <c r="J7" s="22" t="n"/>
      <c r="K7" s="465" t="n"/>
      <c r="L7" s="391" t="inlineStr">
        <is>
          <t>Als</t>
        </is>
      </c>
      <c r="M7" s="396" t="inlineStr">
        <is>
          <t>6398B000-01</t>
        </is>
      </c>
      <c r="N7" s="23" t="n"/>
      <c r="O7" s="465" t="n"/>
      <c r="P7" s="389" t="inlineStr">
        <is>
          <t>Als</t>
        </is>
      </c>
      <c r="Q7" s="166" t="inlineStr">
        <is>
          <t>6398B000-01</t>
        </is>
      </c>
      <c r="R7" s="22" t="n"/>
      <c r="S7" s="465" t="n"/>
      <c r="T7" s="394" t="inlineStr">
        <is>
          <t>Als</t>
        </is>
      </c>
      <c r="U7" s="397" t="inlineStr">
        <is>
          <t>6398B000-01</t>
        </is>
      </c>
      <c r="V7" s="24" t="n"/>
      <c r="W7" s="465" t="n"/>
      <c r="X7" s="389" t="inlineStr">
        <is>
          <t>Als</t>
        </is>
      </c>
      <c r="Y7" s="165" t="n"/>
      <c r="Z7" s="22" t="n"/>
    </row>
    <row r="8">
      <c r="A8" s="468" t="n"/>
      <c r="B8" s="441" t="n"/>
      <c r="C8" s="466" t="n"/>
      <c r="D8" s="389" t="inlineStr">
        <is>
          <t>BMS</t>
        </is>
      </c>
      <c r="E8" s="165" t="n"/>
      <c r="F8" s="22" t="inlineStr">
        <is>
          <t>Ephimess fase 2</t>
        </is>
      </c>
      <c r="G8" s="466" t="n"/>
      <c r="H8" s="389" t="inlineStr">
        <is>
          <t>BMS</t>
        </is>
      </c>
      <c r="I8" s="165" t="n"/>
      <c r="J8" s="22" t="inlineStr">
        <is>
          <t>Ephimess fase 2</t>
        </is>
      </c>
      <c r="K8" s="466" t="n"/>
      <c r="L8" s="391" t="inlineStr">
        <is>
          <t>BMS</t>
        </is>
      </c>
      <c r="M8" s="396" t="n"/>
      <c r="N8" s="23" t="n"/>
      <c r="O8" s="466" t="n"/>
      <c r="P8" s="389" t="inlineStr">
        <is>
          <t>BMS</t>
        </is>
      </c>
      <c r="Q8" s="166" t="n"/>
      <c r="R8" s="22" t="n"/>
      <c r="S8" s="466" t="n"/>
      <c r="T8" s="394" t="inlineStr">
        <is>
          <t>BMS</t>
        </is>
      </c>
      <c r="U8" s="397" t="n"/>
      <c r="V8" s="24" t="n"/>
      <c r="W8" s="466" t="n"/>
      <c r="X8" s="389" t="inlineStr">
        <is>
          <t>BMS</t>
        </is>
      </c>
      <c r="Y8" s="165" t="n"/>
      <c r="Z8" s="22" t="n"/>
    </row>
    <row r="9" ht="30" customHeight="1" s="479">
      <c r="A9" s="468" t="n"/>
      <c r="B9" s="507" t="inlineStr">
        <is>
          <t>Portanti</t>
        </is>
      </c>
      <c r="C9" s="495" t="inlineStr">
        <is>
          <t>100360311
100360312
100360313</t>
        </is>
      </c>
      <c r="D9" s="389" t="inlineStr">
        <is>
          <t>Sala</t>
        </is>
      </c>
      <c r="E9" s="217" t="inlineStr">
        <is>
          <t>100360411
100360412</t>
        </is>
      </c>
      <c r="F9" s="22" t="n"/>
      <c r="G9" s="495" t="inlineStr">
        <is>
          <t>100360311
100360312
100360313</t>
        </is>
      </c>
      <c r="H9" s="389" t="inlineStr">
        <is>
          <t>Sala</t>
        </is>
      </c>
      <c r="I9" s="217" t="inlineStr">
        <is>
          <t>100360411
100360412</t>
        </is>
      </c>
      <c r="J9" s="22" t="n"/>
      <c r="K9" s="496" t="inlineStr">
        <is>
          <t>100360311
100360312
100360313
(EN45545)</t>
        </is>
      </c>
      <c r="L9" s="391" t="inlineStr">
        <is>
          <t>Sala</t>
        </is>
      </c>
      <c r="M9" s="403" t="inlineStr">
        <is>
          <t>100360411
100360412</t>
        </is>
      </c>
      <c r="N9" s="23" t="n"/>
      <c r="O9" s="495" t="inlineStr">
        <is>
          <t>100360311
100329690
100360313</t>
        </is>
      </c>
      <c r="P9" s="389" t="inlineStr">
        <is>
          <t>Sala</t>
        </is>
      </c>
      <c r="Q9" s="217" t="inlineStr">
        <is>
          <t>100360411
100360412</t>
        </is>
      </c>
      <c r="R9" s="22" t="n"/>
      <c r="S9" s="522" t="n"/>
      <c r="T9" s="394" t="inlineStr">
        <is>
          <t>Sala</t>
        </is>
      </c>
      <c r="U9" s="397" t="n"/>
      <c r="V9" s="24" t="n"/>
      <c r="W9" s="519" t="n"/>
      <c r="X9" s="389" t="inlineStr">
        <is>
          <t>Sala</t>
        </is>
      </c>
      <c r="Y9" s="165" t="n"/>
      <c r="Z9" s="22" t="n"/>
    </row>
    <row r="10">
      <c r="A10" s="468" t="n"/>
      <c r="C10" s="465" t="n"/>
      <c r="D10" s="389" t="inlineStr">
        <is>
          <t>Freno</t>
        </is>
      </c>
      <c r="E10" s="165" t="n"/>
      <c r="F10" s="22" t="n"/>
      <c r="G10" s="465" t="n"/>
      <c r="H10" s="389" t="inlineStr">
        <is>
          <t>Freno</t>
        </is>
      </c>
      <c r="I10" s="165" t="n"/>
      <c r="J10" s="22" t="n"/>
      <c r="K10" s="465" t="n"/>
      <c r="L10" s="391" t="inlineStr">
        <is>
          <t>Freno</t>
        </is>
      </c>
      <c r="M10" s="396" t="n"/>
      <c r="N10" s="23" t="n"/>
      <c r="O10" s="465" t="n"/>
      <c r="P10" s="389" t="inlineStr">
        <is>
          <t>Freno</t>
        </is>
      </c>
      <c r="Q10" s="165" t="n"/>
      <c r="R10" s="22" t="n"/>
      <c r="S10" s="465" t="n"/>
      <c r="T10" s="394" t="inlineStr">
        <is>
          <t>Freno</t>
        </is>
      </c>
      <c r="U10" s="397" t="n"/>
      <c r="V10" s="24" t="n"/>
      <c r="W10" s="465" t="n"/>
      <c r="X10" s="389" t="inlineStr">
        <is>
          <t>Freno</t>
        </is>
      </c>
      <c r="Y10" s="165" t="n"/>
      <c r="Z10" s="22" t="n"/>
    </row>
    <row r="11">
      <c r="A11" s="468" t="n"/>
      <c r="C11" s="465" t="n"/>
      <c r="D11" s="389" t="inlineStr">
        <is>
          <t>Als</t>
        </is>
      </c>
      <c r="E11" s="165" t="n"/>
      <c r="F11" s="22" t="n"/>
      <c r="G11" s="465" t="n"/>
      <c r="H11" s="389" t="inlineStr">
        <is>
          <t>Als</t>
        </is>
      </c>
      <c r="I11" s="165" t="n"/>
      <c r="J11" s="22" t="n"/>
      <c r="K11" s="465" t="n"/>
      <c r="L11" s="391" t="inlineStr">
        <is>
          <t>Als</t>
        </is>
      </c>
      <c r="M11" s="396" t="n"/>
      <c r="N11" s="23" t="n"/>
      <c r="O11" s="465" t="n"/>
      <c r="P11" s="389" t="inlineStr">
        <is>
          <t>Als</t>
        </is>
      </c>
      <c r="Q11" s="165" t="n"/>
      <c r="R11" s="22" t="n"/>
      <c r="S11" s="465" t="n"/>
      <c r="T11" s="394" t="inlineStr">
        <is>
          <t>Als</t>
        </is>
      </c>
      <c r="U11" s="397" t="n"/>
      <c r="V11" s="24" t="n"/>
      <c r="W11" s="465" t="n"/>
      <c r="X11" s="389" t="inlineStr">
        <is>
          <t>Als</t>
        </is>
      </c>
      <c r="Y11" s="165" t="n"/>
      <c r="Z11" s="22" t="n"/>
    </row>
    <row r="12" ht="15.75" customHeight="1" s="479" thickBot="1">
      <c r="A12" s="490" t="n"/>
      <c r="B12" s="508" t="n"/>
      <c r="C12" s="470" t="n"/>
      <c r="D12" s="25" t="inlineStr">
        <is>
          <t>BMS</t>
        </is>
      </c>
      <c r="E12" s="26" t="n"/>
      <c r="F12" s="27" t="n"/>
      <c r="G12" s="470" t="n"/>
      <c r="H12" s="25" t="inlineStr">
        <is>
          <t>BMS</t>
        </is>
      </c>
      <c r="I12" s="26" t="n"/>
      <c r="J12" s="27" t="n"/>
      <c r="K12" s="470" t="n"/>
      <c r="L12" s="28" t="inlineStr">
        <is>
          <t>BMS</t>
        </is>
      </c>
      <c r="M12" s="29" t="n"/>
      <c r="N12" s="30" t="n"/>
      <c r="O12" s="470" t="n"/>
      <c r="P12" s="25" t="inlineStr">
        <is>
          <t>BMS</t>
        </is>
      </c>
      <c r="Q12" s="26" t="n"/>
      <c r="R12" s="27" t="n"/>
      <c r="S12" s="470" t="n"/>
      <c r="T12" s="31" t="inlineStr">
        <is>
          <t>BMS</t>
        </is>
      </c>
      <c r="U12" s="32" t="n"/>
      <c r="V12" s="33" t="n"/>
      <c r="W12" s="470" t="n"/>
      <c r="X12" s="25" t="inlineStr">
        <is>
          <t>BMS</t>
        </is>
      </c>
      <c r="Y12" s="26" t="n"/>
      <c r="Z12" s="27" t="n"/>
    </row>
    <row r="13">
      <c r="A13" s="504" t="inlineStr">
        <is>
          <t>Pantografi</t>
        </is>
      </c>
      <c r="B13" s="460" t="inlineStr">
        <is>
          <t>3 kV</t>
        </is>
      </c>
      <c r="C13" s="520" t="n">
        <v>100170460</v>
      </c>
      <c r="D13" s="34" t="inlineStr">
        <is>
          <t>Struttura</t>
        </is>
      </c>
      <c r="E13" s="35" t="n">
        <v>10573076</v>
      </c>
      <c r="F13" s="36" t="n"/>
      <c r="G13" s="506" t="n">
        <v>10949272</v>
      </c>
      <c r="H13" s="34" t="inlineStr">
        <is>
          <t>Struttura</t>
        </is>
      </c>
      <c r="I13" s="35" t="n">
        <v>10573076</v>
      </c>
      <c r="J13" s="36" t="n"/>
      <c r="K13" s="506" t="n">
        <v>10949272</v>
      </c>
      <c r="L13" s="34" t="inlineStr">
        <is>
          <t>Struttura</t>
        </is>
      </c>
      <c r="M13" s="35" t="n">
        <v>10573076</v>
      </c>
      <c r="N13" s="36" t="n"/>
      <c r="O13" s="520" t="n">
        <v>100170460</v>
      </c>
      <c r="P13" s="34" t="inlineStr">
        <is>
          <t>Struttura</t>
        </is>
      </c>
      <c r="Q13" s="35" t="n">
        <v>10573076</v>
      </c>
      <c r="R13" s="36" t="n"/>
      <c r="S13" s="511" t="n"/>
      <c r="T13" s="37" t="inlineStr">
        <is>
          <t>Struttura</t>
        </is>
      </c>
      <c r="U13" s="37" t="n"/>
      <c r="V13" s="38" t="n"/>
      <c r="W13" s="520" t="n"/>
      <c r="X13" s="34" t="inlineStr">
        <is>
          <t>Struttura</t>
        </is>
      </c>
      <c r="Y13" s="34" t="n"/>
      <c r="Z13" s="36" t="n"/>
    </row>
    <row r="14">
      <c r="A14" s="468" t="n"/>
      <c r="C14" s="465" t="n"/>
      <c r="D14" s="165" t="inlineStr">
        <is>
          <t>Archetto</t>
        </is>
      </c>
      <c r="E14" s="7" t="n">
        <v>10561136</v>
      </c>
      <c r="F14" s="22" t="n"/>
      <c r="G14" s="465" t="n"/>
      <c r="H14" s="165" t="inlineStr">
        <is>
          <t>Archetto</t>
        </is>
      </c>
      <c r="I14" s="7" t="n">
        <v>10561136</v>
      </c>
      <c r="J14" s="22" t="n"/>
      <c r="K14" s="465" t="n"/>
      <c r="L14" s="165" t="inlineStr">
        <is>
          <t>Archetto</t>
        </is>
      </c>
      <c r="M14" s="7" t="n">
        <v>10561136</v>
      </c>
      <c r="N14" s="22" t="n"/>
      <c r="O14" s="465" t="n"/>
      <c r="P14" s="165" t="inlineStr">
        <is>
          <t>Archetto</t>
        </is>
      </c>
      <c r="Q14" s="166" t="n">
        <v>10561136</v>
      </c>
      <c r="R14" s="22" t="n"/>
      <c r="S14" s="465" t="n"/>
      <c r="T14" s="397" t="inlineStr">
        <is>
          <t>Archetto</t>
        </is>
      </c>
      <c r="U14" s="397" t="n"/>
      <c r="V14" s="24" t="n"/>
      <c r="W14" s="465" t="n"/>
      <c r="X14" s="165" t="inlineStr">
        <is>
          <t>Archetto</t>
        </is>
      </c>
      <c r="Y14" s="165" t="n"/>
      <c r="Z14" s="22" t="inlineStr">
        <is>
          <t>Archetto 1.950 mm</t>
        </is>
      </c>
    </row>
    <row r="15">
      <c r="A15" s="468" t="n"/>
      <c r="C15" s="465" t="n"/>
      <c r="D15" s="165" t="inlineStr">
        <is>
          <t>Strisciante</t>
        </is>
      </c>
      <c r="E15" s="166" t="inlineStr">
        <is>
          <t>SK1451</t>
        </is>
      </c>
      <c r="F15" s="22" t="n"/>
      <c r="G15" s="465" t="n"/>
      <c r="H15" s="165" t="inlineStr">
        <is>
          <t>Strisciante</t>
        </is>
      </c>
      <c r="I15" s="166" t="inlineStr">
        <is>
          <t>SK1451</t>
        </is>
      </c>
      <c r="J15" s="22" t="n"/>
      <c r="K15" s="465" t="n"/>
      <c r="L15" s="165" t="inlineStr">
        <is>
          <t>Strisciante</t>
        </is>
      </c>
      <c r="M15" s="166" t="inlineStr">
        <is>
          <t>SK1451</t>
        </is>
      </c>
      <c r="N15" s="22" t="n"/>
      <c r="O15" s="465" t="n"/>
      <c r="P15" s="165" t="inlineStr">
        <is>
          <t>Strisciante</t>
        </is>
      </c>
      <c r="Q15" s="7" t="inlineStr">
        <is>
          <t>SK1451</t>
        </is>
      </c>
      <c r="R15" s="22" t="n"/>
      <c r="S15" s="465" t="n"/>
      <c r="T15" s="397" t="inlineStr">
        <is>
          <t>Strisciante</t>
        </is>
      </c>
      <c r="U15" s="397" t="n"/>
      <c r="V15" s="24" t="n"/>
      <c r="W15" s="465" t="n"/>
      <c r="X15" s="165" t="inlineStr">
        <is>
          <t>Strisciante</t>
        </is>
      </c>
      <c r="Y15" s="165" t="n"/>
      <c r="Z15" s="22" t="n"/>
    </row>
    <row r="16">
      <c r="A16" s="468" t="n"/>
      <c r="B16" s="441" t="n"/>
      <c r="C16" s="466" t="n"/>
      <c r="D16" s="165" t="inlineStr">
        <is>
          <t>PPU</t>
        </is>
      </c>
      <c r="E16" s="166" t="n">
        <v>102895</v>
      </c>
      <c r="F16" s="22" t="n"/>
      <c r="G16" s="466" t="n"/>
      <c r="H16" s="165" t="inlineStr">
        <is>
          <t>PPU</t>
        </is>
      </c>
      <c r="I16" s="404" t="inlineStr">
        <is>
          <t>232C10395F</t>
        </is>
      </c>
      <c r="J16" s="40" t="inlineStr">
        <is>
          <t>Con isolamento ADD</t>
        </is>
      </c>
      <c r="K16" s="466" t="n"/>
      <c r="L16" s="165" t="inlineStr">
        <is>
          <t>PPU</t>
        </is>
      </c>
      <c r="M16" s="404" t="inlineStr">
        <is>
          <t>231C100036B</t>
        </is>
      </c>
      <c r="N16" s="40" t="inlineStr">
        <is>
          <t>Con isolamento ADD</t>
        </is>
      </c>
      <c r="O16" s="466" t="n"/>
      <c r="P16" s="165" t="inlineStr">
        <is>
          <t>PPU</t>
        </is>
      </c>
      <c r="Q16" s="404" t="inlineStr">
        <is>
          <t>232C10353E</t>
        </is>
      </c>
      <c r="R16" s="41" t="inlineStr">
        <is>
          <t>PPU DC Modificata per agg.panto 1.5</t>
        </is>
      </c>
      <c r="S16" s="466" t="n"/>
      <c r="T16" s="397" t="inlineStr">
        <is>
          <t>PCU</t>
        </is>
      </c>
      <c r="U16" s="397" t="n"/>
      <c r="V16" s="24" t="n"/>
      <c r="W16" s="466" t="n"/>
      <c r="X16" s="165" t="inlineStr">
        <is>
          <t>PPU</t>
        </is>
      </c>
      <c r="Y16" s="165" t="n"/>
      <c r="Z16" s="40" t="inlineStr">
        <is>
          <t>Con isolamento ADD</t>
        </is>
      </c>
    </row>
    <row r="17">
      <c r="A17" s="468" t="n"/>
      <c r="B17" s="507" t="inlineStr">
        <is>
          <t>25 kV</t>
        </is>
      </c>
      <c r="C17" s="471" t="n">
        <v>100170464</v>
      </c>
      <c r="D17" s="389" t="inlineStr">
        <is>
          <t>Struttura</t>
        </is>
      </c>
      <c r="E17" s="405" t="n">
        <v>10573076</v>
      </c>
      <c r="F17" s="22" t="n"/>
      <c r="G17" s="491" t="n">
        <v>10949356</v>
      </c>
      <c r="H17" s="165" t="inlineStr">
        <is>
          <t>Struttura</t>
        </is>
      </c>
      <c r="I17" s="405" t="n">
        <v>10573076</v>
      </c>
      <c r="J17" s="22" t="n"/>
      <c r="K17" s="491" t="n">
        <v>10949356</v>
      </c>
      <c r="L17" s="165" t="inlineStr">
        <is>
          <t>Struttura</t>
        </is>
      </c>
      <c r="M17" s="405" t="n">
        <v>10573076</v>
      </c>
      <c r="N17" s="22" t="n"/>
      <c r="O17" s="471" t="n">
        <v>100170464</v>
      </c>
      <c r="P17" s="165" t="inlineStr">
        <is>
          <t>Struttura</t>
        </is>
      </c>
      <c r="Q17" s="9" t="n">
        <v>10573076</v>
      </c>
      <c r="R17" s="22" t="n"/>
      <c r="S17" s="503" t="n"/>
      <c r="T17" s="397" t="inlineStr">
        <is>
          <t>Struttura</t>
        </is>
      </c>
      <c r="U17" s="397" t="n"/>
      <c r="V17" s="24" t="n"/>
      <c r="W17" s="471" t="n"/>
      <c r="X17" s="165" t="inlineStr">
        <is>
          <t>Struttura</t>
        </is>
      </c>
      <c r="Y17" s="165" t="n"/>
      <c r="Z17" s="22" t="n"/>
    </row>
    <row r="18">
      <c r="A18" s="468" t="n"/>
      <c r="C18" s="465" t="n"/>
      <c r="D18" s="389" t="inlineStr">
        <is>
          <t>Archetto</t>
        </is>
      </c>
      <c r="E18" s="42" t="n">
        <v>10572700</v>
      </c>
      <c r="F18" s="22" t="n"/>
      <c r="G18" s="465" t="n"/>
      <c r="H18" s="165" t="inlineStr">
        <is>
          <t>Archetto</t>
        </is>
      </c>
      <c r="I18" s="42" t="n">
        <v>10572700</v>
      </c>
      <c r="J18" s="22" t="n"/>
      <c r="K18" s="465" t="n"/>
      <c r="L18" s="165" t="inlineStr">
        <is>
          <t>Archetto</t>
        </is>
      </c>
      <c r="M18" s="42" t="n">
        <v>10572700</v>
      </c>
      <c r="N18" s="22" t="n"/>
      <c r="O18" s="465" t="n"/>
      <c r="P18" s="165" t="inlineStr">
        <is>
          <t>Archetto</t>
        </is>
      </c>
      <c r="Q18" s="406" t="n">
        <v>10572700</v>
      </c>
      <c r="R18" s="22" t="inlineStr">
        <is>
          <t>Vedi strisciante</t>
        </is>
      </c>
      <c r="S18" s="465" t="n"/>
      <c r="T18" s="397" t="inlineStr">
        <is>
          <t>Archetto</t>
        </is>
      </c>
      <c r="U18" s="397" t="n"/>
      <c r="V18" s="24" t="n"/>
      <c r="W18" s="465" t="n"/>
      <c r="X18" s="165" t="inlineStr">
        <is>
          <t>Archetto</t>
        </is>
      </c>
      <c r="Y18" s="165" t="n"/>
      <c r="Z18" s="22" t="n"/>
    </row>
    <row r="19">
      <c r="A19" s="468" t="n"/>
      <c r="C19" s="465" t="n"/>
      <c r="D19" s="389" t="inlineStr">
        <is>
          <t>Strisciante</t>
        </is>
      </c>
      <c r="E19" s="166" t="inlineStr">
        <is>
          <t>SK1630</t>
        </is>
      </c>
      <c r="F19" s="22" t="n"/>
      <c r="G19" s="465" t="n"/>
      <c r="H19" s="165" t="inlineStr">
        <is>
          <t>Strisciante</t>
        </is>
      </c>
      <c r="I19" s="166" t="inlineStr">
        <is>
          <t>SK1630</t>
        </is>
      </c>
      <c r="J19" s="22" t="n"/>
      <c r="K19" s="465" t="n"/>
      <c r="L19" s="165" t="inlineStr">
        <is>
          <t>Strisciante</t>
        </is>
      </c>
      <c r="M19" s="166" t="inlineStr">
        <is>
          <t>SK1630</t>
        </is>
      </c>
      <c r="N19" s="22" t="n"/>
      <c r="O19" s="465" t="n"/>
      <c r="P19" s="165" t="inlineStr">
        <is>
          <t>Strisciante</t>
        </is>
      </c>
      <c r="Q19" s="404" t="inlineStr">
        <is>
          <t>SK 2381</t>
        </is>
      </c>
      <c r="R19" s="22" t="inlineStr">
        <is>
          <t>Conforme a norma FR SAM E903</t>
        </is>
      </c>
      <c r="S19" s="465" t="n"/>
      <c r="T19" s="397" t="inlineStr">
        <is>
          <t>Strisciante</t>
        </is>
      </c>
      <c r="U19" s="407" t="inlineStr">
        <is>
          <t>SK1630</t>
        </is>
      </c>
      <c r="V19" s="24" t="n"/>
      <c r="W19" s="465" t="n"/>
      <c r="X19" s="165" t="inlineStr">
        <is>
          <t>Strisciante</t>
        </is>
      </c>
      <c r="Y19" s="166" t="inlineStr">
        <is>
          <t>SK1630</t>
        </is>
      </c>
      <c r="Z19" s="22" t="n"/>
    </row>
    <row r="20">
      <c r="A20" s="468" t="n"/>
      <c r="B20" s="508" t="n"/>
      <c r="C20" s="466" t="n"/>
      <c r="D20" s="165" t="inlineStr">
        <is>
          <t>PPU</t>
        </is>
      </c>
      <c r="E20" s="7" t="n">
        <v>102895</v>
      </c>
      <c r="F20" s="22" t="n"/>
      <c r="G20" s="466" t="n"/>
      <c r="H20" s="165" t="inlineStr">
        <is>
          <t>PPU</t>
        </is>
      </c>
      <c r="I20" s="404" t="inlineStr">
        <is>
          <t>232C10395F</t>
        </is>
      </c>
      <c r="J20" s="40" t="inlineStr">
        <is>
          <t>Con isolamento ADD</t>
        </is>
      </c>
      <c r="K20" s="466" t="n"/>
      <c r="L20" s="165" t="inlineStr">
        <is>
          <t>PPU</t>
        </is>
      </c>
      <c r="M20" s="404" t="inlineStr">
        <is>
          <t>231C100036B</t>
        </is>
      </c>
      <c r="N20" s="40" t="inlineStr">
        <is>
          <t>Con isolamento ADD</t>
        </is>
      </c>
      <c r="O20" s="466" t="n"/>
      <c r="P20" s="165" t="inlineStr">
        <is>
          <t>PPU</t>
        </is>
      </c>
      <c r="Q20" s="408" t="n">
        <v>102895</v>
      </c>
      <c r="R20" s="22" t="n"/>
      <c r="S20" s="466" t="n"/>
      <c r="T20" s="397" t="inlineStr">
        <is>
          <t>PPU</t>
        </is>
      </c>
      <c r="U20" s="397" t="n"/>
      <c r="V20" s="24" t="n"/>
      <c r="W20" s="466" t="n"/>
      <c r="X20" s="165" t="inlineStr">
        <is>
          <t>PPU</t>
        </is>
      </c>
      <c r="Y20" s="165" t="n"/>
      <c r="Z20" s="40" t="inlineStr">
        <is>
          <t>Con isolamento ADD</t>
        </is>
      </c>
    </row>
    <row r="21">
      <c r="A21" s="468" t="n"/>
      <c r="B21" s="507" t="inlineStr">
        <is>
          <t>1,5 kV</t>
        </is>
      </c>
      <c r="C21" s="471" t="inlineStr">
        <is>
          <t>n/a</t>
        </is>
      </c>
      <c r="D21" s="389" t="inlineStr">
        <is>
          <t>Struttura</t>
        </is>
      </c>
      <c r="E21" s="396" t="n"/>
      <c r="F21" s="23" t="n"/>
      <c r="G21" s="471" t="inlineStr">
        <is>
          <t>n/a</t>
        </is>
      </c>
      <c r="H21" s="165" t="inlineStr">
        <is>
          <t>Struttura</t>
        </is>
      </c>
      <c r="I21" s="396" t="n"/>
      <c r="J21" s="23" t="n"/>
      <c r="K21" s="471" t="inlineStr">
        <is>
          <t>n/a</t>
        </is>
      </c>
      <c r="L21" s="165" t="inlineStr">
        <is>
          <t>Struttura</t>
        </is>
      </c>
      <c r="M21" s="396" t="n"/>
      <c r="N21" s="23" t="n"/>
      <c r="O21" s="491" t="n">
        <v>10851208</v>
      </c>
      <c r="P21" s="165" t="inlineStr">
        <is>
          <t>Struttura</t>
        </is>
      </c>
      <c r="Q21" s="166" t="n">
        <v>10573076</v>
      </c>
      <c r="R21" s="22" t="n"/>
      <c r="S21" s="503" t="n"/>
      <c r="T21" s="397" t="inlineStr">
        <is>
          <t>Struttura</t>
        </is>
      </c>
      <c r="U21" s="397" t="n"/>
      <c r="V21" s="24" t="n"/>
      <c r="W21" s="471" t="n"/>
      <c r="X21" s="165" t="inlineStr">
        <is>
          <t>Struttura</t>
        </is>
      </c>
      <c r="Y21" s="396" t="n"/>
      <c r="Z21" s="23" t="n"/>
    </row>
    <row r="22">
      <c r="A22" s="468" t="n"/>
      <c r="C22" s="465" t="n"/>
      <c r="D22" s="389" t="inlineStr">
        <is>
          <t>Archetto</t>
        </is>
      </c>
      <c r="E22" s="396" t="n"/>
      <c r="F22" s="23" t="n"/>
      <c r="G22" s="465" t="n"/>
      <c r="H22" s="165" t="inlineStr">
        <is>
          <t>Archetto</t>
        </is>
      </c>
      <c r="I22" s="396" t="n"/>
      <c r="J22" s="23" t="n"/>
      <c r="K22" s="465" t="n"/>
      <c r="L22" s="165" t="inlineStr">
        <is>
          <t>Archetto</t>
        </is>
      </c>
      <c r="M22" s="396" t="n"/>
      <c r="N22" s="23" t="n"/>
      <c r="O22" s="465" t="n"/>
      <c r="P22" s="165" t="inlineStr">
        <is>
          <t>Archetto</t>
        </is>
      </c>
      <c r="Q22" s="166" t="n">
        <v>10882275</v>
      </c>
      <c r="R22" s="22" t="inlineStr">
        <is>
          <t>Larghezza 1.950 mm</t>
        </is>
      </c>
      <c r="S22" s="465" t="n"/>
      <c r="T22" s="397" t="inlineStr">
        <is>
          <t>Archetto</t>
        </is>
      </c>
      <c r="U22" s="397" t="n"/>
      <c r="V22" s="24" t="n"/>
      <c r="W22" s="465" t="n"/>
      <c r="X22" s="165" t="inlineStr">
        <is>
          <t>Archetto</t>
        </is>
      </c>
      <c r="Y22" s="396" t="n"/>
      <c r="Z22" s="23" t="n"/>
    </row>
    <row r="23">
      <c r="A23" s="468" t="n"/>
      <c r="C23" s="465" t="n"/>
      <c r="D23" s="389" t="inlineStr">
        <is>
          <t>Strisciante</t>
        </is>
      </c>
      <c r="E23" s="396" t="n"/>
      <c r="F23" s="23" t="n"/>
      <c r="G23" s="465" t="n"/>
      <c r="H23" s="165" t="inlineStr">
        <is>
          <t>Strisciante</t>
        </is>
      </c>
      <c r="I23" s="396" t="n"/>
      <c r="J23" s="23" t="n"/>
      <c r="K23" s="465" t="n"/>
      <c r="L23" s="165" t="inlineStr">
        <is>
          <t>Strisciante</t>
        </is>
      </c>
      <c r="M23" s="396" t="n"/>
      <c r="N23" s="23" t="n"/>
      <c r="O23" s="465" t="n"/>
      <c r="P23" s="165" t="inlineStr">
        <is>
          <t>Strisciante</t>
        </is>
      </c>
      <c r="Q23" s="166" t="inlineStr">
        <is>
          <t>SK 2348</t>
        </is>
      </c>
      <c r="R23" s="22" t="n"/>
      <c r="S23" s="465" t="n"/>
      <c r="T23" s="397" t="inlineStr">
        <is>
          <t>Strisciante</t>
        </is>
      </c>
      <c r="U23" s="397" t="n"/>
      <c r="V23" s="24" t="n"/>
      <c r="W23" s="465" t="n"/>
      <c r="X23" s="165" t="inlineStr">
        <is>
          <t>Strisciante</t>
        </is>
      </c>
      <c r="Y23" s="396" t="n"/>
      <c r="Z23" s="23" t="n"/>
    </row>
    <row r="24">
      <c r="A24" s="468" t="n"/>
      <c r="B24" s="508" t="n"/>
      <c r="C24" s="466" t="n"/>
      <c r="D24" s="389" t="inlineStr">
        <is>
          <t>PCU</t>
        </is>
      </c>
      <c r="E24" s="396" t="n"/>
      <c r="F24" s="23" t="n"/>
      <c r="G24" s="466" t="n"/>
      <c r="H24" s="165" t="inlineStr">
        <is>
          <t>PCU</t>
        </is>
      </c>
      <c r="I24" s="396" t="n"/>
      <c r="J24" s="23" t="n"/>
      <c r="K24" s="466" t="n"/>
      <c r="L24" s="165" t="inlineStr">
        <is>
          <t>PCU</t>
        </is>
      </c>
      <c r="M24" s="396" t="n"/>
      <c r="N24" s="23" t="n"/>
      <c r="O24" s="466" t="n"/>
      <c r="P24" s="165" t="inlineStr">
        <is>
          <t>PPU</t>
        </is>
      </c>
      <c r="Q24" s="404" t="inlineStr">
        <is>
          <t>232C10353E</t>
        </is>
      </c>
      <c r="R24" s="41" t="inlineStr">
        <is>
          <t>PPU Modificata per agg.panto 1.5</t>
        </is>
      </c>
      <c r="S24" s="466" t="n"/>
      <c r="T24" s="397" t="inlineStr">
        <is>
          <t>PCU</t>
        </is>
      </c>
      <c r="U24" s="397" t="n"/>
      <c r="V24" s="24" t="n"/>
      <c r="W24" s="466" t="n"/>
      <c r="X24" s="165" t="inlineStr">
        <is>
          <t>PCU</t>
        </is>
      </c>
      <c r="Y24" s="396" t="n"/>
      <c r="Z24" s="23" t="n"/>
    </row>
    <row r="25">
      <c r="A25" s="468" t="n"/>
      <c r="B25" s="507" t="inlineStr">
        <is>
          <t>15 kV</t>
        </is>
      </c>
      <c r="C25" s="471" t="inlineStr">
        <is>
          <t>n/a</t>
        </is>
      </c>
      <c r="D25" s="389" t="inlineStr">
        <is>
          <t>Struttura</t>
        </is>
      </c>
      <c r="E25" s="396" t="n"/>
      <c r="F25" s="23" t="n"/>
      <c r="G25" s="471" t="inlineStr">
        <is>
          <t>n/a</t>
        </is>
      </c>
      <c r="H25" s="165" t="inlineStr">
        <is>
          <t>Struttura</t>
        </is>
      </c>
      <c r="I25" s="396" t="n"/>
      <c r="J25" s="23" t="n"/>
      <c r="K25" s="471" t="inlineStr">
        <is>
          <t>n/a</t>
        </is>
      </c>
      <c r="L25" s="165" t="inlineStr">
        <is>
          <t>Struttura</t>
        </is>
      </c>
      <c r="M25" s="396" t="n"/>
      <c r="N25" s="23" t="n"/>
      <c r="O25" s="521" t="n"/>
      <c r="P25" s="396" t="inlineStr">
        <is>
          <t>Struttura</t>
        </is>
      </c>
      <c r="Q25" s="396" t="n"/>
      <c r="R25" s="23" t="n"/>
      <c r="S25" s="518" t="n"/>
      <c r="T25" s="397" t="inlineStr">
        <is>
          <t>Struttura</t>
        </is>
      </c>
      <c r="U25" s="397" t="n"/>
      <c r="V25" s="24" t="n"/>
      <c r="W25" s="469" t="n"/>
      <c r="X25" s="165" t="inlineStr">
        <is>
          <t>Struttura</t>
        </is>
      </c>
      <c r="Y25" s="396" t="n"/>
      <c r="Z25" s="23" t="n"/>
    </row>
    <row r="26">
      <c r="A26" s="468" t="n"/>
      <c r="C26" s="465" t="n"/>
      <c r="D26" s="389" t="inlineStr">
        <is>
          <t>Archetto</t>
        </is>
      </c>
      <c r="E26" s="396" t="n"/>
      <c r="F26" s="23" t="n"/>
      <c r="G26" s="465" t="n"/>
      <c r="H26" s="165" t="inlineStr">
        <is>
          <t>Archetto</t>
        </is>
      </c>
      <c r="I26" s="396" t="n"/>
      <c r="J26" s="23" t="n"/>
      <c r="K26" s="465" t="n"/>
      <c r="L26" s="165" t="inlineStr">
        <is>
          <t>Archetto</t>
        </is>
      </c>
      <c r="M26" s="396" t="n"/>
      <c r="N26" s="23" t="n"/>
      <c r="O26" s="465" t="n"/>
      <c r="P26" s="396" t="inlineStr">
        <is>
          <t>Archetto</t>
        </is>
      </c>
      <c r="Q26" s="396" t="n"/>
      <c r="R26" s="23" t="n"/>
      <c r="S26" s="465" t="n"/>
      <c r="T26" s="397" t="inlineStr">
        <is>
          <t>Archetto</t>
        </is>
      </c>
      <c r="U26" s="397" t="n"/>
      <c r="V26" s="24" t="n"/>
      <c r="W26" s="465" t="n"/>
      <c r="X26" s="165" t="inlineStr">
        <is>
          <t>Archetto</t>
        </is>
      </c>
      <c r="Y26" s="396" t="n"/>
      <c r="Z26" s="23" t="n"/>
    </row>
    <row r="27">
      <c r="A27" s="468" t="n"/>
      <c r="C27" s="465" t="n"/>
      <c r="D27" s="389" t="inlineStr">
        <is>
          <t>Strisciante</t>
        </is>
      </c>
      <c r="E27" s="396" t="n"/>
      <c r="F27" s="23" t="n"/>
      <c r="G27" s="465" t="n"/>
      <c r="H27" s="165" t="inlineStr">
        <is>
          <t>Strisciante</t>
        </is>
      </c>
      <c r="I27" s="396" t="n"/>
      <c r="J27" s="23" t="n"/>
      <c r="K27" s="465" t="n"/>
      <c r="L27" s="165" t="inlineStr">
        <is>
          <t>Strisciante</t>
        </is>
      </c>
      <c r="M27" s="396" t="n"/>
      <c r="N27" s="23" t="n"/>
      <c r="O27" s="465" t="n"/>
      <c r="P27" s="396" t="inlineStr">
        <is>
          <t>Strisciante</t>
        </is>
      </c>
      <c r="Q27" s="396" t="n"/>
      <c r="R27" s="23" t="n"/>
      <c r="S27" s="465" t="n"/>
      <c r="T27" s="397" t="inlineStr">
        <is>
          <t>Strisciante</t>
        </is>
      </c>
      <c r="U27" s="397" t="n"/>
      <c r="V27" s="24" t="n"/>
      <c r="W27" s="465" t="n"/>
      <c r="X27" s="165" t="inlineStr">
        <is>
          <t>Strisciante</t>
        </is>
      </c>
      <c r="Y27" s="396" t="n"/>
      <c r="Z27" s="23" t="n"/>
    </row>
    <row r="28" ht="15.75" customHeight="1" s="479" thickBot="1">
      <c r="A28" s="505" t="n"/>
      <c r="B28" s="508" t="n"/>
      <c r="C28" s="466" t="n"/>
      <c r="D28" s="25" t="inlineStr">
        <is>
          <t>PCU</t>
        </is>
      </c>
      <c r="E28" s="29" t="n"/>
      <c r="F28" s="30" t="n"/>
      <c r="G28" s="466" t="n"/>
      <c r="H28" s="26" t="inlineStr">
        <is>
          <t>PCU</t>
        </is>
      </c>
      <c r="I28" s="29" t="n"/>
      <c r="J28" s="30" t="n"/>
      <c r="K28" s="466" t="n"/>
      <c r="L28" s="26" t="inlineStr">
        <is>
          <t>PCU</t>
        </is>
      </c>
      <c r="M28" s="29" t="n"/>
      <c r="N28" s="30" t="n"/>
      <c r="O28" s="470" t="n"/>
      <c r="P28" s="29" t="inlineStr">
        <is>
          <t>PPU</t>
        </is>
      </c>
      <c r="Q28" s="29" t="n"/>
      <c r="R28" s="30" t="n"/>
      <c r="S28" s="470" t="n"/>
      <c r="T28" s="32" t="inlineStr">
        <is>
          <t>PCU</t>
        </is>
      </c>
      <c r="U28" s="32" t="n"/>
      <c r="V28" s="33" t="n"/>
      <c r="W28" s="470" t="n"/>
      <c r="X28" s="26" t="inlineStr">
        <is>
          <t>PCU</t>
        </is>
      </c>
      <c r="Y28" s="29" t="n"/>
      <c r="Z28" s="30" t="n"/>
    </row>
    <row r="29" ht="101.45" customHeight="1" s="479">
      <c r="A29" s="489" t="inlineStr">
        <is>
          <t>TCMS Hardware</t>
        </is>
      </c>
      <c r="B29" s="489"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5" t="inlineStr">
        <is>
          <t>Nuova architettura Full Ethernet</t>
        </is>
      </c>
      <c r="N29" s="499" t="n"/>
      <c r="O29" s="44" t="n"/>
      <c r="P29" s="45" t="inlineStr">
        <is>
          <t>CCU-O</t>
        </is>
      </c>
      <c r="Q29" s="34" t="inlineStr">
        <is>
          <t>3EST000225-5707</t>
        </is>
      </c>
      <c r="R29" s="36" t="n"/>
      <c r="S29" s="44" t="n"/>
      <c r="T29" s="45" t="inlineStr">
        <is>
          <t>CCU-O</t>
        </is>
      </c>
      <c r="U29" s="34" t="inlineStr">
        <is>
          <t>3EST000225-5707</t>
        </is>
      </c>
      <c r="V29" s="36" t="n"/>
      <c r="W29" s="448" t="n"/>
      <c r="X29" s="45" t="inlineStr">
        <is>
          <t>CCU-O</t>
        </is>
      </c>
      <c r="Y29" s="34" t="inlineStr">
        <is>
          <t>3EST000236-6235</t>
        </is>
      </c>
      <c r="Z29" s="47" t="inlineStr">
        <is>
          <t>Higher performances and longer spare parts support</t>
        </is>
      </c>
    </row>
    <row r="30">
      <c r="A30" s="468" t="n"/>
      <c r="B30" s="468"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6" t="n"/>
      <c r="N30" s="480"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79">
      <c r="A31" s="468" t="n"/>
      <c r="B31" s="490"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6" t="n"/>
      <c r="N31" s="480"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79">
      <c r="A32" s="468" t="n"/>
      <c r="B32" s="486"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6" t="n"/>
      <c r="N32" s="480"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8" t="n"/>
      <c r="B33" s="507"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6" t="n"/>
      <c r="N33" s="480"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79">
      <c r="A34" s="468" t="n"/>
      <c r="B34" s="467" t="inlineStr">
        <is>
          <t>Bus</t>
        </is>
      </c>
      <c r="C34" s="48" t="n"/>
      <c r="D34" s="409" t="inlineStr">
        <is>
          <t>T Repeater</t>
        </is>
      </c>
      <c r="E34" s="165" t="inlineStr">
        <is>
          <t>3EST000212-3010</t>
        </is>
      </c>
      <c r="F34" s="22" t="n"/>
      <c r="G34" s="48" t="n"/>
      <c r="H34" s="409" t="inlineStr">
        <is>
          <t>T Repeater</t>
        </is>
      </c>
      <c r="I34" s="413" t="inlineStr">
        <is>
          <t>3EST000236-6770</t>
        </is>
      </c>
      <c r="J34" s="509" t="inlineStr">
        <is>
          <t>Sell no more supported for new projects due to internal component out of production (legacy only)</t>
        </is>
      </c>
      <c r="K34" s="48" t="n"/>
      <c r="L34" s="409" t="inlineStr">
        <is>
          <t>T Repeater</t>
        </is>
      </c>
      <c r="M34" s="516" t="n"/>
      <c r="N34" s="480"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09" t="inlineStr">
        <is>
          <t>Sell no more supported for new projects due to internal component out of production (legacy only)</t>
        </is>
      </c>
    </row>
    <row r="35">
      <c r="A35" s="468" t="n"/>
      <c r="B35" s="468" t="n"/>
      <c r="C35" s="48" t="n"/>
      <c r="D35" s="409" t="inlineStr">
        <is>
          <t>T Switch</t>
        </is>
      </c>
      <c r="E35" s="165" t="inlineStr">
        <is>
          <t>3EST000212-3000</t>
        </is>
      </c>
      <c r="F35" s="22" t="n"/>
      <c r="G35" s="48" t="n"/>
      <c r="H35" s="409" t="inlineStr">
        <is>
          <t>T Switch</t>
        </is>
      </c>
      <c r="I35" s="413" t="inlineStr">
        <is>
          <t>3EST000236-6769</t>
        </is>
      </c>
      <c r="J35" s="510" t="n"/>
      <c r="K35" s="48" t="n"/>
      <c r="L35" s="409" t="inlineStr">
        <is>
          <t>T Switch</t>
        </is>
      </c>
      <c r="M35" s="516" t="n"/>
      <c r="N35" s="480"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10" t="n"/>
    </row>
    <row r="36" ht="15.75" customHeight="1" s="479" thickBot="1">
      <c r="A36" s="490" t="n"/>
      <c r="B36" s="468" t="n"/>
      <c r="C36" s="51" t="n"/>
      <c r="D36" s="414" t="inlineStr">
        <is>
          <t>R Switch</t>
        </is>
      </c>
      <c r="E36" s="167" t="inlineStr">
        <is>
          <t>3EST000225-7297</t>
        </is>
      </c>
      <c r="F36" s="52" t="n"/>
      <c r="G36" s="51" t="n"/>
      <c r="H36" s="414" t="inlineStr">
        <is>
          <t>R Switch</t>
        </is>
      </c>
      <c r="I36" s="415" t="inlineStr">
        <is>
          <t>3EST000234-7837</t>
        </is>
      </c>
      <c r="J36" s="510" t="n"/>
      <c r="K36" s="51" t="n"/>
      <c r="L36" s="414" t="inlineStr">
        <is>
          <t>R Switch</t>
        </is>
      </c>
      <c r="M36" s="517" t="n"/>
      <c r="N36" s="483"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10" t="n"/>
    </row>
    <row r="37" ht="15.75" customHeight="1" s="479" thickBot="1">
      <c r="A37" s="39" t="inlineStr">
        <is>
          <t>Energy Meter</t>
        </is>
      </c>
      <c r="B37" s="11" t="inlineStr">
        <is>
          <t>Tipo</t>
        </is>
      </c>
      <c r="C37" s="474" t="inlineStr">
        <is>
          <t>n/a</t>
        </is>
      </c>
      <c r="D37" s="462" t="n"/>
      <c r="E37" s="462" t="n"/>
      <c r="F37" s="463" t="n"/>
      <c r="G37" s="474" t="inlineStr">
        <is>
          <t>n/a</t>
        </is>
      </c>
      <c r="H37" s="462" t="n"/>
      <c r="I37" s="462" t="n"/>
      <c r="J37" s="463" t="n"/>
      <c r="K37" s="485" t="inlineStr">
        <is>
          <t>EMS Microelettrica  integrato con TCMS</t>
        </is>
      </c>
      <c r="L37" s="462" t="n"/>
      <c r="M37" s="462" t="n"/>
      <c r="N37" s="463" t="n"/>
      <c r="O37" s="485" t="inlineStr">
        <is>
          <t>EMS Microelettrica non integrato con TCMS</t>
        </is>
      </c>
      <c r="P37" s="462" t="n"/>
      <c r="Q37" s="462" t="n"/>
      <c r="R37" s="463" t="n"/>
      <c r="S37" s="485" t="inlineStr">
        <is>
          <t>EMS Alstom  integrato con TCMS</t>
        </is>
      </c>
      <c r="T37" s="462" t="n"/>
      <c r="U37" s="462" t="n"/>
      <c r="V37" s="463" t="n"/>
      <c r="W37" s="485" t="inlineStr">
        <is>
          <t>EMS Alstom  integrato con TCMS</t>
        </is>
      </c>
      <c r="X37" s="462" t="n"/>
      <c r="Y37" s="462" t="n"/>
      <c r="Z37" s="463" t="n"/>
    </row>
    <row r="38" ht="87" customHeight="1" s="479">
      <c r="A38" s="489" t="inlineStr">
        <is>
          <t>Freno</t>
        </is>
      </c>
      <c r="B38" s="460"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79">
      <c r="A39" s="468" t="n"/>
      <c r="B39" s="441"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8" t="n"/>
      <c r="B40" s="484"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8" t="n"/>
      <c r="B41" s="478"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79" thickBot="1">
      <c r="A42" s="490" t="n"/>
      <c r="B42" s="481"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89" t="inlineStr">
        <is>
          <t>PRM</t>
        </is>
      </c>
      <c r="B43" s="460" t="inlineStr">
        <is>
          <t>Toilet</t>
        </is>
      </c>
      <c r="C43" s="497" t="inlineStr">
        <is>
          <t>Toilet Production HK standard flotta base</t>
        </is>
      </c>
      <c r="D43" s="498" t="n"/>
      <c r="E43" s="498" t="n"/>
      <c r="F43" s="499" t="n"/>
      <c r="G43" s="497" t="inlineStr">
        <is>
          <t>Toilet Production HK standard flotta base</t>
        </is>
      </c>
      <c r="H43" s="498" t="n"/>
      <c r="I43" s="498" t="n"/>
      <c r="J43" s="499" t="n"/>
      <c r="K43" s="497" t="inlineStr">
        <is>
          <t>Toilet Production HK - conf. NRD Spagna + STI PRM 2019</t>
        </is>
      </c>
      <c r="L43" s="498" t="n"/>
      <c r="M43" s="498" t="n"/>
      <c r="N43" s="499" t="n"/>
      <c r="O43" s="497" t="inlineStr">
        <is>
          <t>Toilet Production HK standard flotta base</t>
        </is>
      </c>
      <c r="P43" s="498" t="n"/>
      <c r="Q43" s="498" t="n"/>
      <c r="R43" s="499" t="n"/>
      <c r="S43" s="497" t="inlineStr">
        <is>
          <t>Toilet Production HK standard flotta base</t>
        </is>
      </c>
      <c r="T43" s="498" t="n"/>
      <c r="U43" s="498" t="n"/>
      <c r="V43" s="499" t="n"/>
      <c r="W43" s="497" t="inlineStr">
        <is>
          <t>Toilet Production HK - conf. NRD Spagna + STI PRM 2019</t>
        </is>
      </c>
      <c r="X43" s="498" t="n"/>
      <c r="Y43" s="498" t="n"/>
      <c r="Z43" s="499" t="n"/>
    </row>
    <row r="44">
      <c r="A44" s="468" t="n"/>
      <c r="B44" s="441" t="n"/>
      <c r="C44" s="500" t="n"/>
      <c r="D44" s="441" t="n"/>
      <c r="E44" s="441" t="n"/>
      <c r="F44" s="501" t="n"/>
      <c r="G44" s="500" t="n"/>
      <c r="H44" s="441" t="n"/>
      <c r="I44" s="441" t="n"/>
      <c r="J44" s="501" t="n"/>
      <c r="K44" s="500" t="n"/>
      <c r="L44" s="441" t="n"/>
      <c r="M44" s="441" t="n"/>
      <c r="N44" s="501" t="n"/>
      <c r="O44" s="500" t="n"/>
      <c r="P44" s="441" t="n"/>
      <c r="Q44" s="441" t="n"/>
      <c r="R44" s="501" t="n"/>
      <c r="S44" s="500" t="n"/>
      <c r="T44" s="441" t="n"/>
      <c r="U44" s="441" t="n"/>
      <c r="V44" s="501" t="n"/>
      <c r="W44" s="500" t="n"/>
      <c r="X44" s="441" t="n"/>
      <c r="Y44" s="441" t="n"/>
      <c r="Z44" s="501" t="n"/>
    </row>
    <row r="45">
      <c r="A45" s="468" t="n"/>
      <c r="B45" s="484" t="inlineStr">
        <is>
          <t>Lift</t>
        </is>
      </c>
      <c r="C45" s="475" t="inlineStr">
        <is>
          <t>Lift HK standard flotta base azionamento idraulico</t>
        </is>
      </c>
      <c r="D45" s="476" t="n"/>
      <c r="E45" s="476" t="n"/>
      <c r="F45" s="477" t="n"/>
      <c r="G45" s="475" t="inlineStr">
        <is>
          <t>Lift HK standard flotta base azionamento idraulico</t>
        </is>
      </c>
      <c r="H45" s="476" t="n"/>
      <c r="I45" s="476" t="n"/>
      <c r="J45" s="477" t="n"/>
      <c r="K45" s="512" t="inlineStr">
        <is>
          <t>Lift HK STI PRM 2019 (pedana più grande, azionamento elettrico)</t>
        </is>
      </c>
      <c r="L45" s="476" t="n"/>
      <c r="M45" s="476" t="n"/>
      <c r="N45" s="477" t="n"/>
      <c r="O45" s="475" t="inlineStr">
        <is>
          <t>Lift HK standard flotta base azionamento idraulico</t>
        </is>
      </c>
      <c r="P45" s="476" t="n"/>
      <c r="Q45" s="476" t="n"/>
      <c r="R45" s="477" t="n"/>
      <c r="S45" s="475" t="inlineStr">
        <is>
          <t>Lift HK standard flotta base azionamento idraulico</t>
        </is>
      </c>
      <c r="T45" s="476" t="n"/>
      <c r="U45" s="476" t="n"/>
      <c r="V45" s="477" t="n"/>
      <c r="W45" s="512" t="inlineStr">
        <is>
          <t>Lift HK STI PRM 2019 (pedana più grande) azionamento idraulico</t>
        </is>
      </c>
      <c r="X45" s="476" t="n"/>
      <c r="Y45" s="476" t="n"/>
      <c r="Z45" s="477" t="n"/>
    </row>
    <row r="46">
      <c r="A46" s="468" t="n"/>
      <c r="B46" s="478" t="n"/>
      <c r="C46" s="478" t="n"/>
      <c r="F46" s="480" t="n"/>
      <c r="G46" s="478" t="n"/>
      <c r="J46" s="480" t="n"/>
      <c r="K46" s="478" t="n"/>
      <c r="N46" s="480" t="n"/>
      <c r="O46" s="478" t="n"/>
      <c r="R46" s="480" t="n"/>
      <c r="S46" s="478" t="n"/>
      <c r="V46" s="480" t="n"/>
      <c r="W46" s="478" t="n"/>
      <c r="Z46" s="480" t="n"/>
    </row>
    <row r="47" ht="15.75" customHeight="1" s="479" thickBot="1">
      <c r="A47" s="490" t="n"/>
      <c r="B47" s="481" t="n"/>
      <c r="C47" s="481" t="n"/>
      <c r="D47" s="482" t="n"/>
      <c r="E47" s="482" t="n"/>
      <c r="F47" s="483" t="n"/>
      <c r="G47" s="481" t="n"/>
      <c r="H47" s="482" t="n"/>
      <c r="I47" s="482" t="n"/>
      <c r="J47" s="483" t="n"/>
      <c r="K47" s="481" t="n"/>
      <c r="L47" s="482" t="n"/>
      <c r="M47" s="482" t="n"/>
      <c r="N47" s="483" t="n"/>
      <c r="O47" s="481" t="n"/>
      <c r="P47" s="482" t="n"/>
      <c r="Q47" s="482" t="n"/>
      <c r="R47" s="483" t="n"/>
      <c r="S47" s="481" t="n"/>
      <c r="T47" s="482" t="n"/>
      <c r="U47" s="482" t="n"/>
      <c r="V47" s="483" t="n"/>
      <c r="W47" s="481" t="n"/>
      <c r="X47" s="482" t="n"/>
      <c r="Y47" s="482" t="n"/>
      <c r="Z47" s="483" t="n"/>
    </row>
    <row r="48" ht="29.45" customHeight="1" s="479" thickBot="1">
      <c r="A48" s="56" t="inlineStr">
        <is>
          <t>Porte Esterne</t>
        </is>
      </c>
      <c r="B48" s="57" t="inlineStr">
        <is>
          <t>Tipo</t>
        </is>
      </c>
      <c r="C48" s="513" t="inlineStr">
        <is>
          <t>Porte esterne IFE standard flotta base</t>
        </is>
      </c>
      <c r="D48" s="462" t="n"/>
      <c r="E48" s="462" t="n"/>
      <c r="F48" s="463" t="n"/>
      <c r="G48" s="513" t="inlineStr">
        <is>
          <t>Porte esterne IFE standard flotta base</t>
        </is>
      </c>
      <c r="H48" s="462" t="n"/>
      <c r="I48" s="462" t="n"/>
      <c r="J48" s="463" t="n"/>
      <c r="K48" s="461" t="inlineStr">
        <is>
          <t>Porte esterne IFE TSI 2019
Centralina Ethernet</t>
        </is>
      </c>
      <c r="L48" s="462" t="n"/>
      <c r="M48" s="462" t="n"/>
      <c r="N48" s="463" t="n"/>
      <c r="O48" s="513" t="inlineStr">
        <is>
          <t>Porte esterne IFE standard flotta base</t>
        </is>
      </c>
      <c r="P48" s="462" t="n"/>
      <c r="Q48" s="462" t="n"/>
      <c r="R48" s="463" t="n"/>
      <c r="S48" s="513" t="inlineStr">
        <is>
          <t>Porte esterne IFE standard flotta base</t>
        </is>
      </c>
      <c r="T48" s="462" t="n"/>
      <c r="U48" s="462" t="n"/>
      <c r="V48" s="463" t="n"/>
      <c r="W48" s="473" t="inlineStr">
        <is>
          <t>Porte esterne IFE (TSI 2019)</t>
        </is>
      </c>
      <c r="X48" s="462" t="n"/>
      <c r="Y48" s="462" t="n"/>
      <c r="Z48" s="463" t="n"/>
    </row>
    <row r="49" ht="24" customHeight="1" s="479">
      <c r="A49" s="504" t="inlineStr">
        <is>
          <t>Antincendio</t>
        </is>
      </c>
      <c r="B49" s="58" t="inlineStr">
        <is>
          <t>Sensori
Elettronica</t>
        </is>
      </c>
      <c r="C49" s="497" t="inlineStr">
        <is>
          <t>SCU Saira</t>
        </is>
      </c>
      <c r="D49" s="447" t="n"/>
      <c r="E49" s="447" t="n"/>
      <c r="F49" s="488" t="n"/>
      <c r="G49" s="487" t="inlineStr">
        <is>
          <t>FDU-1000 (fornitura ISE)</t>
        </is>
      </c>
      <c r="H49" s="447" t="n"/>
      <c r="I49" s="447" t="n"/>
      <c r="J49" s="488" t="n"/>
      <c r="K49" s="487" t="inlineStr">
        <is>
          <t>FDU ISE</t>
        </is>
      </c>
      <c r="L49" s="447" t="n"/>
      <c r="M49" s="447" t="n"/>
      <c r="N49" s="488" t="n"/>
      <c r="O49" s="497" t="inlineStr">
        <is>
          <t>SCU Saira</t>
        </is>
      </c>
      <c r="P49" s="447" t="n"/>
      <c r="Q49" s="447" t="n"/>
      <c r="R49" s="488" t="n"/>
      <c r="S49" s="497" t="inlineStr">
        <is>
          <t>SCU Saira</t>
        </is>
      </c>
      <c r="T49" s="447" t="n"/>
      <c r="U49" s="447" t="n"/>
      <c r="V49" s="488" t="n"/>
      <c r="W49" s="487" t="inlineStr">
        <is>
          <t>FDU-1000 (fornitura ISE)</t>
        </is>
      </c>
      <c r="X49" s="447" t="n"/>
      <c r="Y49" s="447" t="n"/>
      <c r="Z49" s="488" t="n"/>
    </row>
    <row r="50" ht="15.75" customHeight="1" s="479" thickBot="1">
      <c r="A50" s="505" t="n"/>
      <c r="B50" s="43" t="inlineStr">
        <is>
          <t>Estinzione</t>
        </is>
      </c>
      <c r="C50" s="494" t="inlineStr">
        <is>
          <t>WaterMist Marioff - 2 gruppi MAU (DM1/8)</t>
        </is>
      </c>
      <c r="D50" s="482" t="n"/>
      <c r="E50" s="482" t="n"/>
      <c r="F50" s="483" t="n"/>
      <c r="G50" s="514" t="inlineStr">
        <is>
          <t>WaterMist Marioff - 2 gruppi MAU (DM1/8)</t>
        </is>
      </c>
      <c r="H50" s="482" t="n"/>
      <c r="I50" s="482" t="n"/>
      <c r="J50" s="483" t="n"/>
      <c r="K50" s="514" t="inlineStr">
        <is>
          <t>WaterMist Acquasys - 1 gruppo MAU (DM1)</t>
        </is>
      </c>
      <c r="L50" s="482" t="n"/>
      <c r="M50" s="482" t="n"/>
      <c r="N50" s="483" t="n"/>
      <c r="O50" s="494" t="inlineStr">
        <is>
          <t>WaterMist Marioff - 2 gruppi MAU (DM1/8)</t>
        </is>
      </c>
      <c r="P50" s="482" t="n"/>
      <c r="Q50" s="482" t="n"/>
      <c r="R50" s="483" t="n"/>
      <c r="S50" s="494" t="inlineStr">
        <is>
          <t>WaterMist Marioff - 2 gruppi MAU (DM1/8)</t>
        </is>
      </c>
      <c r="T50" s="482" t="n"/>
      <c r="U50" s="482" t="n"/>
      <c r="V50" s="483" t="n"/>
      <c r="W50" s="494" t="inlineStr">
        <is>
          <t>n/a</t>
        </is>
      </c>
      <c r="X50" s="482" t="n"/>
      <c r="Y50" s="482" t="n"/>
      <c r="Z50" s="483"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22"/>
    <col width="8.7109375" customWidth="1" style="8" min="23" max="16384"/>
  </cols>
  <sheetData>
    <row r="1" ht="30" customHeight="1" s="479">
      <c r="A1" s="329" t="inlineStr">
        <is>
          <t>FUNC ID</t>
        </is>
      </c>
      <c r="B1" s="329" t="inlineStr">
        <is>
          <t>DESCRIZIONE FUNZIONE</t>
        </is>
      </c>
      <c r="C1" s="435" t="inlineStr">
        <is>
          <t>DOC
CARTELLA</t>
        </is>
      </c>
      <c r="D1" s="435" t="inlineStr">
        <is>
          <t>DOC ID</t>
        </is>
      </c>
      <c r="E1" s="435"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79">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79">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79">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79">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79">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79">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79">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79">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79">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79">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79">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79">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79" min="2" max="2"/>
    <col width="6.140625" bestFit="1" customWidth="1" style="479" min="7" max="7"/>
  </cols>
  <sheetData>
    <row r="1" ht="15.75" customHeight="1" s="479" thickBot="1"/>
    <row r="2" ht="15.75" customHeight="1" s="479" thickBot="1">
      <c r="C2" s="1" t="inlineStr">
        <is>
          <t>VZI-50</t>
        </is>
      </c>
      <c r="D2" s="1" t="inlineStr">
        <is>
          <t>VZI-51-58</t>
        </is>
      </c>
      <c r="E2" s="1" t="inlineStr">
        <is>
          <t>VZI-6</t>
        </is>
      </c>
      <c r="F2" s="1" t="inlineStr">
        <is>
          <t>VZI-4</t>
        </is>
      </c>
      <c r="G2" s="1" t="inlineStr">
        <is>
          <t>VZ-FR</t>
        </is>
      </c>
      <c r="H2" s="1" t="inlineStr">
        <is>
          <t>VZ-ES</t>
        </is>
      </c>
      <c r="I2" s="463" t="inlineStr">
        <is>
          <t>VZ-DAI</t>
        </is>
      </c>
    </row>
    <row r="3" ht="15.75" customHeight="1" s="479"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79"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79"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79"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79" thickBot="1">
      <c r="B7" s="1" t="inlineStr">
        <is>
          <t>COMPRESSORE ARIA (?)</t>
        </is>
      </c>
      <c r="C7" s="236" t="n"/>
      <c r="D7" s="233" t="n"/>
      <c r="E7" s="233" t="n"/>
      <c r="F7" s="233" t="n"/>
      <c r="G7" s="233" t="n"/>
      <c r="H7" s="233" t="n"/>
      <c r="I7" s="233" t="n"/>
    </row>
    <row r="8" ht="15.75" customHeight="1" s="479"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79" thickBot="1">
      <c r="B9" s="1" t="inlineStr">
        <is>
          <t>ARREDI TOILET BAR BISTROT</t>
        </is>
      </c>
      <c r="C9" s="236" t="n"/>
      <c r="D9" s="233" t="n"/>
      <c r="E9" s="233" t="n"/>
      <c r="F9" s="233" t="n"/>
      <c r="G9" s="233" t="n"/>
      <c r="H9" s="233" t="n"/>
      <c r="I9" s="233" t="n"/>
    </row>
    <row r="10" ht="45.75" customHeight="1" s="479"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79" thickBot="1">
      <c r="B11" s="1" t="inlineStr">
        <is>
          <t>PANTOGRAFI</t>
        </is>
      </c>
      <c r="C11" s="236" t="n"/>
      <c r="D11" s="233" t="n"/>
      <c r="E11" s="233" t="n"/>
      <c r="F11" s="233" t="n"/>
      <c r="G11" s="233" t="n"/>
      <c r="H11" s="233" t="n"/>
      <c r="I11" s="233" t="n"/>
    </row>
    <row r="12" ht="15.75" customHeight="1" s="479" thickBot="1">
      <c r="B12" s="1" t="inlineStr">
        <is>
          <t>PIANO DI MANUTENZIONE</t>
        </is>
      </c>
      <c r="C12" s="298" t="n"/>
      <c r="D12" s="165" t="n"/>
      <c r="E12" s="165" t="n"/>
      <c r="F12" s="165" t="n"/>
      <c r="G12" s="165" t="n"/>
      <c r="H12" s="165" t="n"/>
      <c r="I12" s="165" t="n"/>
    </row>
    <row r="13" ht="15.75" customHeight="1" s="479" thickBot="1">
      <c r="B13" s="1" t="inlineStr">
        <is>
          <t>BL SSB</t>
        </is>
      </c>
      <c r="C13" s="298" t="n"/>
      <c r="D13" s="165" t="n"/>
      <c r="E13" s="165" t="n"/>
      <c r="F13" s="165" t="n"/>
      <c r="G13" s="165" t="n"/>
      <c r="H13" s="165" t="n"/>
      <c r="I13" s="165" t="n"/>
    </row>
    <row r="14" ht="15.75" customHeight="1" s="479" thickBot="1">
      <c r="B14" s="505" t="inlineStr">
        <is>
          <t>BL DIS</t>
        </is>
      </c>
      <c r="C14" s="298" t="n"/>
      <c r="D14" s="165" t="n"/>
      <c r="E14" s="165" t="n"/>
      <c r="F14" s="165" t="n"/>
      <c r="G14" s="165" t="n"/>
      <c r="H14" s="165" t="n"/>
      <c r="I14" s="165" t="n"/>
    </row>
    <row r="15" ht="15.75" customHeight="1" s="479" thickBot="1">
      <c r="B15" s="1" t="inlineStr">
        <is>
          <t>ETCS HD (HW)</t>
        </is>
      </c>
      <c r="C15" s="298" t="n"/>
      <c r="D15" s="165" t="n"/>
      <c r="E15" s="165" t="n"/>
      <c r="F15" s="165" t="n"/>
      <c r="G15" s="165" t="n"/>
      <c r="H15" s="165" t="n"/>
      <c r="I15" s="165" t="n"/>
    </row>
    <row r="16" ht="15.75" customHeight="1" s="479" thickBot="1">
      <c r="B16" s="1" t="inlineStr">
        <is>
          <t xml:space="preserve">ANTINCENDIO </t>
        </is>
      </c>
      <c r="C16" s="298" t="n"/>
      <c r="D16" s="165" t="n"/>
      <c r="E16" s="165" t="n"/>
      <c r="F16" s="165" t="n"/>
      <c r="G16" s="165" t="n"/>
      <c r="H16" s="165" t="n"/>
      <c r="I16" s="165" t="n"/>
    </row>
    <row r="17" ht="15.75" customHeight="1" s="479"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2026-10-12T09:08:13Z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