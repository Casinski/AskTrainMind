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Questa_cartella_di_lavoro"/>
  <bookViews>
    <workbookView visibility="visible" minimized="0" showHorizontalScroll="1" showVerticalScroll="1" showSheetTabs="1" xWindow="-120" yWindow="-120" windowWidth="29040" windowHeight="15840" tabRatio="600" firstSheet="3" activeTab="8" autoFilterDateGrouping="1"/>
  </bookViews>
  <sheets>
    <sheet xmlns:r="http://schemas.openxmlformats.org/officeDocument/2006/relationships" name="Issue" sheetId="1" state="visible" r:id="rId1"/>
    <sheet xmlns:r="http://schemas.openxmlformats.org/officeDocument/2006/relationships" name="ToDo" sheetId="2" state="visible" r:id="rId2"/>
    <sheet xmlns:r="http://schemas.openxmlformats.org/officeDocument/2006/relationships" name="Cartelle" sheetId="3" state="visible" r:id="rId3"/>
    <sheet xmlns:r="http://schemas.openxmlformats.org/officeDocument/2006/relationships" name="Flotte" sheetId="4" state="visible" r:id="rId4"/>
    <sheet xmlns:r="http://schemas.openxmlformats.org/officeDocument/2006/relationships" name="CONFIG" sheetId="5" state="visible" r:id="rId5"/>
    <sheet xmlns:r="http://schemas.openxmlformats.org/officeDocument/2006/relationships" name="GENERAL" sheetId="6" state="visible" r:id="rId6"/>
    <sheet xmlns:r="http://schemas.openxmlformats.org/officeDocument/2006/relationships" name="MAN_CPR" sheetId="7" state="visible" r:id="rId7"/>
    <sheet xmlns:r="http://schemas.openxmlformats.org/officeDocument/2006/relationships" name="DIAGNOSTIC" sheetId="8" state="visible" r:id="rId8"/>
    <sheet xmlns:r="http://schemas.openxmlformats.org/officeDocument/2006/relationships" name="Funzioni" sheetId="9" state="visible" r:id="rId9"/>
    <sheet xmlns:r="http://schemas.openxmlformats.org/officeDocument/2006/relationships" name="Requisiti" sheetId="10" state="visible" r:id="rId10"/>
    <sheet xmlns:r="http://schemas.openxmlformats.org/officeDocument/2006/relationships" name="PBS (TBD)" sheetId="11" state="visible" r:id="rId11"/>
    <sheet xmlns:r="http://schemas.openxmlformats.org/officeDocument/2006/relationships" name="Struttura" sheetId="12" state="visible" r:id="rId12"/>
    <sheet xmlns:r="http://schemas.openxmlformats.org/officeDocument/2006/relationships" name="LINK F" sheetId="13" state="visible" r:id="rId13"/>
    <sheet xmlns:r="http://schemas.openxmlformats.org/officeDocument/2006/relationships" name="Modifiche progettuali" sheetId="14" state="visible" r:id="rId14"/>
  </sheets>
  <definedNames>
    <definedName name="_xlnm._FilterDatabase" localSheetId="10" hidden="1">'PBS (TBD)'!$A$2:$J$86</definedName>
  </definedNames>
  <calcPr calcId="191029" fullCalcOnLoad="1"/>
</workbook>
</file>

<file path=xl/styles.xml><?xml version="1.0" encoding="utf-8"?>
<styleSheet xmlns="http://schemas.openxmlformats.org/spreadsheetml/2006/main">
  <numFmts count="1">
    <numFmt numFmtId="164" formatCode="[$-410]mmm\-yy;@"/>
  </numFmts>
  <fonts count="41">
    <font>
      <name val="Calibri"/>
      <family val="2"/>
      <color theme="1"/>
      <sz val="11"/>
      <scheme val="minor"/>
    </font>
    <font>
      <name val="Calibri"/>
      <family val="2"/>
      <strike val="1"/>
      <color rgb="FFFF0000"/>
      <sz val="11"/>
      <scheme val="minor"/>
    </font>
    <font>
      <name val="Calibri"/>
      <family val="2"/>
      <color theme="4"/>
      <sz val="11"/>
      <scheme val="minor"/>
    </font>
    <font>
      <name val="Calibri"/>
      <family val="2"/>
      <b val="1"/>
      <color theme="1"/>
      <sz val="11"/>
      <scheme val="minor"/>
    </font>
    <font>
      <name val="Calibri"/>
      <family val="2"/>
      <i val="1"/>
      <color theme="1"/>
      <sz val="11"/>
      <scheme val="minor"/>
    </font>
    <font>
      <name val="Calibri"/>
      <family val="2"/>
      <b val="1"/>
      <color rgb="FF0070C0"/>
      <sz val="11"/>
      <scheme val="minor"/>
    </font>
    <font>
      <name val="Calibri"/>
      <family val="2"/>
      <color theme="1"/>
      <sz val="10"/>
      <scheme val="minor"/>
    </font>
    <font>
      <name val="Calibri"/>
      <family val="2"/>
      <b val="1"/>
      <color rgb="FF0070C0"/>
      <sz val="10"/>
      <scheme val="minor"/>
    </font>
    <font>
      <name val="Calibri"/>
      <family val="2"/>
      <color theme="1"/>
      <sz val="9"/>
      <scheme val="minor"/>
    </font>
    <font>
      <name val="Calibri"/>
      <family val="2"/>
      <sz val="11"/>
      <scheme val="minor"/>
    </font>
    <font>
      <name val="Calibri"/>
      <family val="2"/>
      <b val="1"/>
      <color rgb="FFFF0000"/>
      <sz val="11"/>
      <scheme val="minor"/>
    </font>
    <font>
      <name val="Calibri"/>
      <family val="2"/>
      <color rgb="FF002060"/>
      <sz val="11"/>
      <scheme val="minor"/>
    </font>
    <font>
      <name val="Calibri"/>
      <family val="2"/>
      <color theme="1"/>
      <sz val="8"/>
      <scheme val="minor"/>
    </font>
    <font>
      <name val="Calibri"/>
      <family val="2"/>
      <b val="1"/>
      <color theme="1"/>
      <sz val="10"/>
      <scheme val="minor"/>
    </font>
    <font>
      <name val="Calibri"/>
      <family val="2"/>
      <b val="1"/>
      <color theme="1"/>
      <sz val="9"/>
      <scheme val="minor"/>
    </font>
    <font>
      <name val="Calibri"/>
      <family val="2"/>
      <color theme="10"/>
      <sz val="11"/>
      <u val="single"/>
      <scheme val="minor"/>
    </font>
    <font>
      <name val="Calibri"/>
      <family val="2"/>
      <color rgb="FFFF0000"/>
      <sz val="11"/>
      <scheme val="minor"/>
    </font>
    <font>
      <name val="Calibri"/>
      <family val="2"/>
      <color theme="4" tint="-0.249977111117893"/>
      <sz val="11"/>
      <scheme val="minor"/>
    </font>
    <font>
      <name val="Calibri"/>
      <family val="2"/>
      <b val="1"/>
      <sz val="11"/>
      <scheme val="minor"/>
    </font>
    <font>
      <name val="Calibri"/>
      <family val="2"/>
      <b val="1"/>
      <color theme="1"/>
      <sz val="11"/>
    </font>
    <font>
      <name val="Calibri"/>
      <family val="2"/>
      <b val="1"/>
      <color theme="0"/>
      <sz val="11"/>
      <scheme val="minor"/>
    </font>
    <font>
      <name val="Calibri"/>
      <family val="2"/>
      <color theme="7" tint="-0.249977111117893"/>
      <sz val="11"/>
      <scheme val="minor"/>
    </font>
    <font>
      <name val="Calibri"/>
      <family val="2"/>
      <i val="1"/>
      <color rgb="FFFF0000"/>
      <sz val="11"/>
      <scheme val="minor"/>
    </font>
    <font>
      <name val="Calibri"/>
      <family val="2"/>
      <color theme="9"/>
      <sz val="11"/>
      <scheme val="minor"/>
    </font>
    <font>
      <name val="Calibri"/>
      <family val="2"/>
      <color rgb="FF00AA00"/>
      <sz val="11"/>
    </font>
    <font>
      <name val="Calibri"/>
      <family val="2"/>
      <color rgb="FFCC0000"/>
      <sz val="11"/>
    </font>
    <font>
      <name val="Calibri"/>
      <family val="2"/>
      <color rgb="FF000000"/>
      <sz val="11"/>
    </font>
    <font>
      <name val="Calibri"/>
      <family val="2"/>
      <color rgb="FF1F4E79"/>
      <sz val="11"/>
    </font>
    <font>
      <name val="Calibri"/>
      <family val="2"/>
      <b val="1"/>
      <color rgb="FF1F4E79"/>
      <sz val="11"/>
    </font>
    <font>
      <name val="Calibri"/>
      <family val="2"/>
      <b val="1"/>
      <color rgb="FF00703C"/>
      <sz val="11"/>
    </font>
    <font>
      <name val="Calibri"/>
      <family val="2"/>
      <b val="1"/>
      <color rgb="FF7030A0"/>
      <sz val="11"/>
    </font>
    <font>
      <name val="Calibri"/>
      <family val="2"/>
      <b val="1"/>
      <color rgb="FFBF8F00"/>
      <sz val="11"/>
    </font>
    <font>
      <name val="Calibri"/>
      <family val="2"/>
      <color rgb="FFBF8F00"/>
      <sz val="11"/>
    </font>
    <font>
      <name val="Calibri"/>
      <family val="2"/>
      <color rgb="FF00AA00"/>
      <sz val="11"/>
    </font>
    <font>
      <name val="Calibri"/>
      <family val="2"/>
      <color rgb="FF00AA00"/>
      <sz val="11"/>
    </font>
    <font>
      <name val="Calibri"/>
      <family val="2"/>
      <color rgb="FF00AA00"/>
      <sz val="11"/>
    </font>
    <font>
      <color rgb="FF000000"/>
    </font>
    <font>
      <b val="1"/>
      <color rgb="FF008000"/>
    </font>
    <font>
      <color rgb="FFC00000"/>
    </font>
    <font>
      <b val="1"/>
      <color rgb="00BF8F00"/>
    </font>
    <font>
      <color rgb="0000AA00"/>
    </font>
  </fonts>
  <fills count="21">
    <fill>
      <patternFill/>
    </fill>
    <fill>
      <patternFill patternType="gray125"/>
    </fill>
    <fill>
      <patternFill patternType="solid">
        <fgColor theme="0" tint="-0.1499984740745262"/>
        <bgColor indexed="64"/>
      </patternFill>
    </fill>
    <fill>
      <patternFill patternType="solid">
        <fgColor theme="3" tint="0.7999816888943144"/>
        <bgColor indexed="64"/>
      </patternFill>
    </fill>
    <fill>
      <patternFill patternType="solid">
        <fgColor theme="4" tint="0.5999938962981048"/>
        <bgColor indexed="64"/>
      </patternFill>
    </fill>
    <fill>
      <patternFill patternType="solid">
        <fgColor theme="5" tint="0.5999938962981048"/>
        <bgColor indexed="64"/>
      </patternFill>
    </fill>
    <fill>
      <patternFill patternType="solid">
        <fgColor theme="9" tint="0.3999755851924192"/>
        <bgColor indexed="64"/>
      </patternFill>
    </fill>
    <fill>
      <patternFill patternType="solid">
        <fgColor theme="9" tint="0.7999816888943144"/>
        <bgColor indexed="64"/>
      </patternFill>
    </fill>
    <fill>
      <patternFill patternType="solid">
        <fgColor theme="7" tint="0.7999816888943144"/>
        <bgColor indexed="64"/>
      </patternFill>
    </fill>
    <fill>
      <patternFill patternType="solid">
        <fgColor theme="4" tint="0.3999755851924192"/>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
        <bgColor indexed="64"/>
      </patternFill>
    </fill>
    <fill>
      <patternFill patternType="solid">
        <fgColor theme="5" tint="0.7999816888943144"/>
        <bgColor indexed="64"/>
      </patternFill>
    </fill>
    <fill>
      <patternFill patternType="solid">
        <fgColor rgb="FFFFFFCC"/>
        <bgColor indexed="64"/>
      </patternFill>
    </fill>
  </fills>
  <borders count="86">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8"/>
      </right>
      <top style="medium">
        <color indexed="64"/>
      </top>
      <bottom style="thin">
        <color indexed="64"/>
      </bottom>
      <diagonal/>
    </border>
    <border>
      <left style="thin">
        <color theme="0" tint="-0.3499862666707358"/>
      </left>
      <right style="thin">
        <color theme="0" tint="-0.3499862666707358"/>
      </right>
      <top style="medium">
        <color indexed="64"/>
      </top>
      <bottom style="thin">
        <color indexed="64"/>
      </bottom>
      <diagonal/>
    </border>
    <border>
      <left style="thin">
        <color theme="0" tint="-0.3499862666707358"/>
      </left>
      <right style="thin">
        <color indexed="64"/>
      </right>
      <top style="medium">
        <color indexed="64"/>
      </top>
      <bottom style="thin">
        <color indexed="64"/>
      </bottom>
      <diagonal/>
    </border>
    <border>
      <left style="thin">
        <color indexed="64"/>
      </left>
      <right style="thin">
        <color theme="0" tint="-0.3499862666707358"/>
      </right>
      <top/>
      <bottom style="thin">
        <color auto="1"/>
      </bottom>
      <diagonal/>
    </border>
    <border>
      <left style="thin">
        <color theme="0" tint="-0.3499862666707358"/>
      </left>
      <right style="thin">
        <color theme="0" tint="-0.3499862666707358"/>
      </right>
      <top style="thin">
        <color auto="1"/>
      </top>
      <bottom style="thin">
        <color auto="1"/>
      </bottom>
      <diagonal/>
    </border>
    <border>
      <left style="thin">
        <color theme="0" tint="-0.3499862666707358"/>
      </left>
      <right style="thin">
        <color indexed="64"/>
      </right>
      <top style="thin">
        <color auto="1"/>
      </top>
      <bottom style="thin">
        <color auto="1"/>
      </bottom>
      <diagonal/>
    </border>
    <border>
      <left style="thin">
        <color indexed="64"/>
      </left>
      <right style="thin">
        <color theme="0" tint="-0.3499862666707358"/>
      </right>
      <top style="thin">
        <color indexed="64"/>
      </top>
      <bottom style="medium">
        <color indexed="64"/>
      </bottom>
      <diagonal/>
    </border>
    <border>
      <left style="thin">
        <color theme="0" tint="-0.3499862666707358"/>
      </left>
      <right style="thin">
        <color theme="0" tint="-0.3499862666707358"/>
      </right>
      <top style="thin">
        <color indexed="64"/>
      </top>
      <bottom style="medium">
        <color indexed="64"/>
      </bottom>
      <diagonal/>
    </border>
    <border>
      <left style="thin">
        <color theme="0" tint="-0.3499862666707358"/>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8"/>
      </right>
      <top style="thin">
        <color indexed="64"/>
      </top>
      <bottom style="medium">
        <color indexed="64"/>
      </bottom>
      <diagonal/>
    </border>
    <border>
      <left/>
      <right style="thin">
        <color theme="0" tint="-0.3499862666707358"/>
      </right>
      <top style="medium">
        <color indexed="64"/>
      </top>
      <bottom style="thin">
        <color indexed="64"/>
      </bottom>
      <diagonal/>
    </border>
    <border>
      <left/>
      <right style="thin">
        <color theme="0" tint="-0.3499862666707358"/>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
      <left style="thin">
        <color auto="1"/>
      </left>
      <right/>
      <top/>
      <bottom/>
      <diagonal/>
    </border>
    <border>
      <left/>
      <right style="thin">
        <color indexed="64"/>
      </right>
      <top style="medium">
        <color indexed="64"/>
      </top>
      <bottom/>
      <diagonal/>
    </border>
    <border>
      <left style="thin">
        <color indexed="64"/>
      </left>
      <right style="thin">
        <color indexed="64"/>
      </right>
      <top/>
      <bottom/>
      <diagonal/>
    </border>
  </borders>
  <cellStyleXfs count="2">
    <xf numFmtId="0" fontId="0" fillId="0" borderId="0"/>
    <xf numFmtId="0" fontId="15" fillId="0" borderId="0"/>
  </cellStyleXfs>
  <cellXfs count="529">
    <xf numFmtId="0" fontId="0" fillId="0" borderId="0" pivotButton="0" quotePrefix="0" xfId="0"/>
    <xf numFmtId="0" fontId="0" fillId="0" borderId="1" pivotButton="0" quotePrefix="0" xfId="0"/>
    <xf numFmtId="0" fontId="0" fillId="0" borderId="2" pivotButton="0" quotePrefix="0" xfId="0"/>
    <xf numFmtId="0" fontId="0" fillId="0" borderId="1" applyAlignment="1" pivotButton="0" quotePrefix="0" xfId="0">
      <alignment wrapText="1"/>
    </xf>
    <xf numFmtId="0" fontId="0" fillId="0" borderId="3" pivotButton="0" quotePrefix="0" xfId="0"/>
    <xf numFmtId="0" fontId="0" fillId="0" borderId="4" applyAlignment="1" pivotButton="0" quotePrefix="0" xfId="0">
      <alignment horizontal="center" vertical="center"/>
    </xf>
    <xf numFmtId="0" fontId="0" fillId="0" borderId="5" pivotButton="0" quotePrefix="0" xfId="0"/>
    <xf numFmtId="0" fontId="0" fillId="0" borderId="0" applyAlignment="1" pivotButton="0" quotePrefix="0" xfId="0">
      <alignment horizontal="center"/>
    </xf>
    <xf numFmtId="0" fontId="0" fillId="0" borderId="0" applyAlignment="1" pivotButton="0" quotePrefix="0" xfId="0">
      <alignment vertical="center"/>
    </xf>
    <xf numFmtId="0" fontId="0" fillId="0" borderId="0" applyAlignment="1" pivotButton="0" quotePrefix="0" xfId="0">
      <alignment horizontal="center" vertical="center"/>
    </xf>
    <xf numFmtId="0" fontId="0" fillId="0" borderId="0" applyAlignment="1" pivotButton="0" quotePrefix="0" xfId="0">
      <alignment horizontal="center" vertical="center" wrapText="1"/>
    </xf>
    <xf numFmtId="0" fontId="3" fillId="0" borderId="5" applyAlignment="1" pivotButton="0" quotePrefix="0" xfId="0">
      <alignment horizontal="center" vertical="center"/>
    </xf>
    <xf numFmtId="0" fontId="3" fillId="0" borderId="6" applyAlignment="1" pivotButton="0" quotePrefix="0" xfId="0">
      <alignment horizontal="center" vertical="center"/>
    </xf>
    <xf numFmtId="0" fontId="3" fillId="0" borderId="9" applyAlignment="1" pivotButton="0" quotePrefix="0" xfId="0">
      <alignment horizontal="center" vertical="center"/>
    </xf>
    <xf numFmtId="0" fontId="3" fillId="0" borderId="10" applyAlignment="1" pivotButton="0" quotePrefix="0" xfId="0">
      <alignment horizontal="center" vertical="center"/>
    </xf>
    <xf numFmtId="0" fontId="3" fillId="0" borderId="11" applyAlignment="1" pivotButton="0" quotePrefix="0" xfId="0">
      <alignment horizontal="center" vertical="center"/>
    </xf>
    <xf numFmtId="0" fontId="3" fillId="0" borderId="13" applyAlignment="1" pivotButton="0" quotePrefix="0" xfId="0">
      <alignment horizontal="center" vertical="center"/>
    </xf>
    <xf numFmtId="0" fontId="0" fillId="0" borderId="15" applyAlignment="1" pivotButton="0" quotePrefix="0" xfId="0">
      <alignment wrapText="1"/>
    </xf>
    <xf numFmtId="0" fontId="0" fillId="3" borderId="0" applyAlignment="1" pivotButton="0" quotePrefix="0" xfId="0">
      <alignment horizontal="center" vertical="center" wrapText="1"/>
    </xf>
    <xf numFmtId="0" fontId="0" fillId="3" borderId="15" applyAlignment="1" pivotButton="0" quotePrefix="0" xfId="0">
      <alignment wrapText="1"/>
    </xf>
    <xf numFmtId="0" fontId="6" fillId="0" borderId="15" applyAlignment="1" pivotButton="0" quotePrefix="0" xfId="0">
      <alignment wrapText="1"/>
    </xf>
    <xf numFmtId="0" fontId="0" fillId="2" borderId="15" applyAlignment="1" pivotButton="0" quotePrefix="0" xfId="0">
      <alignment wrapText="1"/>
    </xf>
    <xf numFmtId="0" fontId="0" fillId="0" borderId="17" pivotButton="0" quotePrefix="0" xfId="0"/>
    <xf numFmtId="0" fontId="0" fillId="3" borderId="17" pivotButton="0" quotePrefix="0" xfId="0"/>
    <xf numFmtId="0" fontId="0" fillId="2" borderId="17" pivotButton="0" quotePrefix="0" xfId="0"/>
    <xf numFmtId="0" fontId="4" fillId="0" borderId="21" pivotButton="0" quotePrefix="0" xfId="0"/>
    <xf numFmtId="0" fontId="0" fillId="0" borderId="21" pivotButton="0" quotePrefix="0" xfId="0"/>
    <xf numFmtId="0" fontId="0" fillId="0" borderId="22" pivotButton="0" quotePrefix="0" xfId="0"/>
    <xf numFmtId="0" fontId="4" fillId="3" borderId="21" pivotButton="0" quotePrefix="0" xfId="0"/>
    <xf numFmtId="0" fontId="0" fillId="3" borderId="21" pivotButton="0" quotePrefix="0" xfId="0"/>
    <xf numFmtId="0" fontId="0" fillId="3" borderId="22" pivotButton="0" quotePrefix="0" xfId="0"/>
    <xf numFmtId="0" fontId="4" fillId="2" borderId="21" pivotButton="0" quotePrefix="0" xfId="0"/>
    <xf numFmtId="0" fontId="0" fillId="2" borderId="21" pivotButton="0" quotePrefix="0" xfId="0"/>
    <xf numFmtId="0" fontId="0" fillId="2" borderId="22" pivotButton="0" quotePrefix="0" xfId="0"/>
    <xf numFmtId="0" fontId="0" fillId="0" borderId="25" pivotButton="0" quotePrefix="0" xfId="0"/>
    <xf numFmtId="0" fontId="0" fillId="0" borderId="25" applyAlignment="1" pivotButton="0" quotePrefix="0" xfId="0">
      <alignment horizontal="center"/>
    </xf>
    <xf numFmtId="0" fontId="0" fillId="0" borderId="26" pivotButton="0" quotePrefix="0" xfId="0"/>
    <xf numFmtId="0" fontId="0" fillId="2" borderId="25" pivotButton="0" quotePrefix="0" xfId="0"/>
    <xf numFmtId="0" fontId="0" fillId="2" borderId="26" pivotButton="0" quotePrefix="0" xfId="0"/>
    <xf numFmtId="0" fontId="3" fillId="0" borderId="27" applyAlignment="1" pivotButton="0" quotePrefix="0" xfId="0">
      <alignment horizontal="center" vertical="center"/>
    </xf>
    <xf numFmtId="0" fontId="7" fillId="0" borderId="17" pivotButton="0" quotePrefix="0" xfId="0"/>
    <xf numFmtId="0" fontId="8" fillId="0" borderId="17" pivotButton="0" quotePrefix="0" xfId="0"/>
    <xf numFmtId="0" fontId="9" fillId="0" borderId="0" applyAlignment="1" pivotButton="0" quotePrefix="0" xfId="0">
      <alignment horizontal="center"/>
    </xf>
    <xf numFmtId="0" fontId="3" fillId="0" borderId="3" applyAlignment="1" pivotButton="0" quotePrefix="0" xfId="0">
      <alignment horizontal="center" vertical="center"/>
    </xf>
    <xf numFmtId="0" fontId="0" fillId="0" borderId="24" pivotButton="0" quotePrefix="0" xfId="0"/>
    <xf numFmtId="0" fontId="4" fillId="0" borderId="23" pivotButton="0" quotePrefix="0" xfId="0"/>
    <xf numFmtId="0" fontId="0" fillId="0" borderId="30" pivotButton="0" quotePrefix="0" xfId="0"/>
    <xf numFmtId="0" fontId="0" fillId="0" borderId="26" applyAlignment="1" pivotButton="0" quotePrefix="0" xfId="0">
      <alignment wrapText="1"/>
    </xf>
    <xf numFmtId="0" fontId="0" fillId="0" borderId="28" pivotButton="0" quotePrefix="0" xfId="0"/>
    <xf numFmtId="0" fontId="8" fillId="0" borderId="17" applyAlignment="1" pivotButton="0" quotePrefix="0" xfId="0">
      <alignment wrapText="1"/>
    </xf>
    <xf numFmtId="0" fontId="8" fillId="0" borderId="17" applyAlignment="1" pivotButton="0" quotePrefix="0" xfId="0">
      <alignment vertical="center" wrapText="1"/>
    </xf>
    <xf numFmtId="0" fontId="0" fillId="0" borderId="19" pivotButton="0" quotePrefix="0" xfId="0"/>
    <xf numFmtId="0" fontId="0" fillId="0" borderId="35" pivotButton="0" quotePrefix="0" xfId="0"/>
    <xf numFmtId="0" fontId="4" fillId="0" borderId="25" pivotButton="0" quotePrefix="0" xfId="0"/>
    <xf numFmtId="0" fontId="0" fillId="0" borderId="25" applyAlignment="1" pivotButton="0" quotePrefix="0" xfId="0">
      <alignment wrapText="1"/>
    </xf>
    <xf numFmtId="0" fontId="0" fillId="0" borderId="42" pivotButton="0" quotePrefix="0" xfId="0"/>
    <xf numFmtId="0" fontId="3" fillId="0" borderId="1" applyAlignment="1" pivotButton="0" quotePrefix="0" xfId="0">
      <alignment horizontal="center" vertical="center" wrapText="1"/>
    </xf>
    <xf numFmtId="0" fontId="13" fillId="0" borderId="1" applyAlignment="1" pivotButton="0" quotePrefix="0" xfId="0">
      <alignment horizontal="center" vertical="center"/>
    </xf>
    <xf numFmtId="0" fontId="14" fillId="0" borderId="12"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xf>
    <xf numFmtId="0" fontId="3" fillId="0" borderId="0" applyAlignment="1" pivotButton="0" quotePrefix="0" xfId="0">
      <alignment vertical="center" wrapText="1"/>
    </xf>
    <xf numFmtId="0" fontId="0" fillId="0" borderId="0" applyAlignment="1" pivotButton="0" quotePrefix="0" xfId="0">
      <alignment horizontal="left" vertical="center" wrapText="1"/>
    </xf>
    <xf numFmtId="0" fontId="0" fillId="0" borderId="31" applyAlignment="1" pivotButton="0" quotePrefix="0" xfId="0">
      <alignment horizontal="center" vertical="center" wrapText="1"/>
    </xf>
    <xf numFmtId="0" fontId="0" fillId="0" borderId="49" applyAlignment="1" pivotButton="0" quotePrefix="0" xfId="0">
      <alignment horizontal="center" vertical="center" wrapText="1"/>
    </xf>
    <xf numFmtId="0" fontId="0" fillId="0" borderId="4" applyAlignment="1" pivotButton="0" quotePrefix="0" xfId="0">
      <alignment horizontal="center" vertical="center" wrapText="1"/>
    </xf>
    <xf numFmtId="0" fontId="0" fillId="0" borderId="13" applyAlignment="1" pivotButton="0" quotePrefix="0" xfId="0">
      <alignment horizontal="center" vertical="center" wrapText="1"/>
    </xf>
    <xf numFmtId="0" fontId="0" fillId="0" borderId="31" applyAlignment="1" pivotButton="0" quotePrefix="0" xfId="0">
      <alignment horizontal="left" vertical="center" wrapText="1"/>
    </xf>
    <xf numFmtId="0" fontId="0" fillId="2" borderId="31" applyAlignment="1" pivotButton="0" quotePrefix="0" xfId="0">
      <alignment horizontal="center" vertical="center" wrapText="1"/>
    </xf>
    <xf numFmtId="0" fontId="0" fillId="2" borderId="49" applyAlignment="1" pivotButton="0" quotePrefix="0" xfId="0">
      <alignment horizontal="center" vertical="center" wrapText="1"/>
    </xf>
    <xf numFmtId="0" fontId="16" fillId="0" borderId="31" applyAlignment="1" pivotButton="0" quotePrefix="0" xfId="0">
      <alignment horizontal="center" vertical="center" wrapText="1"/>
    </xf>
    <xf numFmtId="0" fontId="16" fillId="0" borderId="49" applyAlignment="1" pivotButton="0" quotePrefix="0" xfId="0">
      <alignment horizontal="center" vertical="center" wrapText="1"/>
    </xf>
    <xf numFmtId="0" fontId="17" fillId="0" borderId="49" applyAlignment="1" pivotButton="0" quotePrefix="0" xfId="0">
      <alignment horizontal="center" vertical="center" wrapText="1"/>
    </xf>
    <xf numFmtId="0" fontId="9" fillId="0" borderId="49" applyAlignment="1" pivotButton="0" quotePrefix="0" xfId="0">
      <alignment horizontal="center" vertical="center" wrapText="1"/>
    </xf>
    <xf numFmtId="0" fontId="2" fillId="0" borderId="49" applyAlignment="1" pivotButton="0" quotePrefix="0" xfId="0">
      <alignment horizontal="center" vertical="center" wrapText="1"/>
    </xf>
    <xf numFmtId="0" fontId="2" fillId="0" borderId="31" applyAlignment="1" pivotButton="0" quotePrefix="0" xfId="0">
      <alignment horizontal="center" vertical="center" wrapText="1"/>
    </xf>
    <xf numFmtId="0" fontId="2" fillId="0" borderId="0" applyAlignment="1" pivotButton="0" quotePrefix="0" xfId="0">
      <alignment horizontal="center" vertical="center" wrapText="1"/>
    </xf>
    <xf numFmtId="0" fontId="9" fillId="0" borderId="31" applyAlignment="1" pivotButton="0" quotePrefix="0" xfId="0">
      <alignment horizontal="center" vertical="center" wrapText="1"/>
    </xf>
    <xf numFmtId="0" fontId="9"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0" fillId="0" borderId="0" applyAlignment="1" pivotButton="0" quotePrefix="1" xfId="0">
      <alignment horizontal="center" vertical="center" wrapText="1"/>
    </xf>
    <xf numFmtId="0" fontId="18" fillId="4" borderId="13" applyAlignment="1" pivotButton="0" quotePrefix="0" xfId="0">
      <alignment horizontal="center" vertical="center" wrapText="1"/>
    </xf>
    <xf numFmtId="0" fontId="18" fillId="4" borderId="4" applyAlignment="1" pivotButton="0" quotePrefix="0" xfId="0">
      <alignment horizontal="center" vertical="center" wrapText="1"/>
    </xf>
    <xf numFmtId="0" fontId="16" fillId="0" borderId="0" applyAlignment="1" pivotButton="0" quotePrefix="0" xfId="0">
      <alignment vertical="center"/>
    </xf>
    <xf numFmtId="0" fontId="19" fillId="4" borderId="21" applyAlignment="1" pivotButton="0" quotePrefix="0" xfId="0">
      <alignment horizontal="center" vertical="center" wrapText="1"/>
    </xf>
    <xf numFmtId="49" fontId="19" fillId="4" borderId="21" applyAlignment="1" pivotButton="0" quotePrefix="0" xfId="0">
      <alignment horizontal="center" vertical="center" wrapText="1"/>
    </xf>
    <xf numFmtId="0" fontId="0" fillId="0" borderId="49" applyAlignment="1" pivotButton="0" quotePrefix="0" xfId="0">
      <alignment horizontal="left" vertical="center" wrapText="1"/>
    </xf>
    <xf numFmtId="0" fontId="9" fillId="0" borderId="0" applyAlignment="1" pivotButton="0" quotePrefix="1" xfId="0">
      <alignment horizontal="center" vertical="center" wrapText="1"/>
    </xf>
    <xf numFmtId="0" fontId="16" fillId="0" borderId="0" applyAlignment="1" pivotButton="0" quotePrefix="1" xfId="0">
      <alignment horizontal="center" vertical="center" wrapText="1"/>
    </xf>
    <xf numFmtId="0" fontId="16" fillId="0" borderId="13" applyAlignment="1" pivotButton="0" quotePrefix="0" xfId="0">
      <alignment horizontal="center" vertical="center" wrapText="1"/>
    </xf>
    <xf numFmtId="0" fontId="9" fillId="0" borderId="13" applyAlignment="1" pivotButton="0" quotePrefix="0" xfId="0">
      <alignment horizontal="center" vertical="center" wrapText="1"/>
    </xf>
    <xf numFmtId="0" fontId="9" fillId="4" borderId="4" applyAlignment="1" pivotButton="0" quotePrefix="0" xfId="0">
      <alignment horizontal="center" vertical="center" wrapText="1"/>
    </xf>
    <xf numFmtId="0" fontId="0" fillId="8" borderId="31" applyAlignment="1" pivotButton="0" quotePrefix="0" xfId="0">
      <alignment horizontal="center" vertical="center" wrapText="1"/>
    </xf>
    <xf numFmtId="0" fontId="0" fillId="8" borderId="49" applyAlignment="1" pivotButton="0" quotePrefix="0" xfId="0">
      <alignment horizontal="center" vertical="center" wrapText="1"/>
    </xf>
    <xf numFmtId="0" fontId="0" fillId="0" borderId="49" applyAlignment="1" pivotButton="0" quotePrefix="1" xfId="0">
      <alignment horizontal="center" vertical="center" wrapText="1"/>
    </xf>
    <xf numFmtId="0" fontId="9" fillId="0" borderId="49" applyAlignment="1" pivotButton="0" quotePrefix="1" xfId="0">
      <alignment horizontal="center" vertical="center" wrapText="1"/>
    </xf>
    <xf numFmtId="0" fontId="16" fillId="0" borderId="49" applyAlignment="1" pivotButton="0" quotePrefix="1" xfId="0">
      <alignment horizontal="center" vertical="center" wrapText="1"/>
    </xf>
    <xf numFmtId="0" fontId="16" fillId="8" borderId="31" applyAlignment="1" pivotButton="0" quotePrefix="0" xfId="0">
      <alignment horizontal="center" vertical="center" wrapText="1"/>
    </xf>
    <xf numFmtId="0" fontId="16" fillId="0" borderId="4" applyAlignment="1" pivotButton="0" quotePrefix="0" xfId="0">
      <alignment horizontal="center" vertical="center" wrapText="1"/>
    </xf>
    <xf numFmtId="0" fontId="15" fillId="0" borderId="0" applyAlignment="1" pivotButton="0" quotePrefix="0" xfId="1">
      <alignment horizontal="left" vertic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8" borderId="0" applyAlignment="1" pivotButton="0" quotePrefix="0" xfId="0">
      <alignment horizontal="center" vertical="center" wrapText="1"/>
    </xf>
    <xf numFmtId="0" fontId="9" fillId="0" borderId="31" applyAlignment="1" pivotButton="0" quotePrefix="0" xfId="0">
      <alignment horizontal="left" vertical="center" wrapText="1"/>
    </xf>
    <xf numFmtId="0" fontId="9" fillId="0" borderId="49" applyAlignment="1" pivotButton="0" quotePrefix="0" xfId="0">
      <alignment horizontal="left" vertical="center" wrapText="1"/>
    </xf>
    <xf numFmtId="0" fontId="16" fillId="0" borderId="31" applyAlignment="1" pivotButton="0" quotePrefix="0" xfId="0">
      <alignment horizontal="left" vertical="center" wrapText="1"/>
    </xf>
    <xf numFmtId="0" fontId="16" fillId="0" borderId="49" applyAlignment="1" pivotButton="0" quotePrefix="0" xfId="0">
      <alignment horizontal="left" vertical="center" wrapText="1"/>
    </xf>
    <xf numFmtId="0" fontId="3" fillId="0" borderId="0" applyAlignment="1" pivotButton="0" quotePrefix="0" xfId="0">
      <alignment horizontal="center" vertical="center"/>
    </xf>
    <xf numFmtId="0" fontId="15" fillId="0" borderId="0" applyAlignment="1" pivotButton="0" quotePrefix="0" xfId="1">
      <alignment horizontal="center" vertical="center"/>
    </xf>
    <xf numFmtId="0" fontId="3" fillId="0" borderId="0" applyAlignment="1" pivotButton="0" quotePrefix="0" xfId="0">
      <alignment vertical="center"/>
    </xf>
    <xf numFmtId="0" fontId="3" fillId="10" borderId="31" applyAlignment="1" pivotButton="0" quotePrefix="0" xfId="0">
      <alignment horizontal="center" vertical="center" wrapText="1"/>
    </xf>
    <xf numFmtId="0" fontId="3" fillId="10" borderId="49" applyAlignment="1" pivotButton="0" quotePrefix="0" xfId="0">
      <alignment horizontal="center" vertical="center" wrapText="1"/>
    </xf>
    <xf numFmtId="0" fontId="3" fillId="10" borderId="0" applyAlignment="1" pivotButton="0" quotePrefix="0" xfId="0">
      <alignment horizontal="center" vertical="center" wrapText="1"/>
    </xf>
    <xf numFmtId="0" fontId="3" fillId="2" borderId="31" applyAlignment="1" pivotButton="0" quotePrefix="0" xfId="0">
      <alignment horizontal="center" vertical="center" wrapText="1"/>
    </xf>
    <xf numFmtId="0" fontId="3" fillId="2" borderId="49" applyAlignment="1" pivotButton="0" quotePrefix="0" xfId="0">
      <alignment horizontal="center" vertical="center" wrapText="1"/>
    </xf>
    <xf numFmtId="0" fontId="21" fillId="0" borderId="49" applyAlignment="1" pivotButton="0" quotePrefix="0" xfId="0">
      <alignment horizontal="center" vertical="center" wrapText="1"/>
    </xf>
    <xf numFmtId="0" fontId="21" fillId="0" borderId="0" applyAlignment="1" pivotButton="0" quotePrefix="0" xfId="0">
      <alignment horizontal="center" vertical="center" wrapText="1"/>
    </xf>
    <xf numFmtId="0" fontId="0" fillId="10" borderId="49" applyAlignment="1" pivotButton="0" quotePrefix="0" xfId="0">
      <alignment horizontal="center" vertical="center" wrapText="1"/>
    </xf>
    <xf numFmtId="0" fontId="9" fillId="0" borderId="0" applyAlignment="1" pivotButton="0" quotePrefix="0" xfId="0">
      <alignment vertical="center" wrapText="1"/>
    </xf>
    <xf numFmtId="0" fontId="21" fillId="0" borderId="31" applyAlignment="1" pivotButton="0" quotePrefix="0" xfId="0">
      <alignment horizontal="center" vertical="center" wrapText="1"/>
    </xf>
    <xf numFmtId="0" fontId="3" fillId="9" borderId="6" applyAlignment="1" pivotButton="0" quotePrefix="0" xfId="0">
      <alignment horizontal="center" vertical="center"/>
    </xf>
    <xf numFmtId="0" fontId="3" fillId="9" borderId="7" applyAlignment="1" pivotButton="0" quotePrefix="0" xfId="0">
      <alignment horizontal="center" vertical="center"/>
    </xf>
    <xf numFmtId="0" fontId="3" fillId="4" borderId="8" applyAlignment="1" pivotButton="0" quotePrefix="0" xfId="0">
      <alignment horizontal="center" vertical="center" wrapText="1"/>
    </xf>
    <xf numFmtId="0" fontId="3" fillId="10" borderId="1" applyAlignment="1" pivotButton="0" quotePrefix="0" xfId="0">
      <alignment horizontal="center" vertical="center"/>
    </xf>
    <xf numFmtId="0" fontId="3" fillId="10" borderId="39" applyAlignment="1" pivotButton="0" quotePrefix="0" xfId="0">
      <alignment horizontal="left" vertical="center"/>
    </xf>
    <xf numFmtId="0" fontId="0" fillId="10" borderId="39" applyAlignment="1" pivotButton="0" quotePrefix="0" xfId="0">
      <alignment horizontal="center" vertical="center"/>
    </xf>
    <xf numFmtId="0" fontId="0" fillId="10" borderId="2" applyAlignment="1" pivotButton="0" quotePrefix="0" xfId="0">
      <alignment horizontal="center" vertical="center"/>
    </xf>
    <xf numFmtId="0" fontId="3" fillId="4" borderId="51" applyAlignment="1" pivotButton="0" quotePrefix="0" xfId="0">
      <alignment horizontal="center" vertical="center" wrapText="1"/>
    </xf>
    <xf numFmtId="0" fontId="3" fillId="4" borderId="8" applyAlignment="1" pivotButton="0" quotePrefix="0" xfId="0">
      <alignment horizontal="center" vertical="center"/>
    </xf>
    <xf numFmtId="0" fontId="3" fillId="0" borderId="18" applyAlignment="1" pivotButton="0" quotePrefix="0" xfId="0">
      <alignment vertical="center"/>
    </xf>
    <xf numFmtId="0" fontId="3" fillId="0" borderId="15" applyAlignment="1" pivotButton="0" quotePrefix="1" xfId="0">
      <alignment horizontal="center" vertical="center"/>
    </xf>
    <xf numFmtId="0" fontId="10" fillId="0" borderId="4" applyAlignment="1" pivotButton="0" quotePrefix="0" xfId="0">
      <alignment horizontal="center" vertical="center"/>
    </xf>
    <xf numFmtId="0" fontId="3" fillId="0" borderId="15" applyAlignment="1" pivotButton="0" quotePrefix="0" xfId="0">
      <alignment horizontal="center" vertical="center" wrapText="1"/>
    </xf>
    <xf numFmtId="0" fontId="0" fillId="0" borderId="33" applyAlignment="1" pivotButton="0" quotePrefix="0" xfId="0">
      <alignment horizontal="center" vertical="center"/>
    </xf>
    <xf numFmtId="0" fontId="0" fillId="0" borderId="15" applyAlignment="1" pivotButton="0" quotePrefix="0" xfId="0">
      <alignment horizontal="center" vertical="center"/>
    </xf>
    <xf numFmtId="0" fontId="3" fillId="0" borderId="28" applyAlignment="1" pivotButton="0" quotePrefix="0" xfId="0">
      <alignment vertical="center" wrapText="1"/>
    </xf>
    <xf numFmtId="0" fontId="3" fillId="0" borderId="17" applyAlignment="1" pivotButton="0" quotePrefix="1" xfId="0">
      <alignment horizontal="center" vertical="center"/>
    </xf>
    <xf numFmtId="0" fontId="3" fillId="0" borderId="17" applyAlignment="1" pivotButton="0" quotePrefix="0" xfId="0">
      <alignment horizontal="center" vertical="center" wrapText="1"/>
    </xf>
    <xf numFmtId="0" fontId="0" fillId="0" borderId="16" applyAlignment="1" pivotButton="0" quotePrefix="0" xfId="0">
      <alignment horizontal="center" vertical="center"/>
    </xf>
    <xf numFmtId="0" fontId="0" fillId="0" borderId="17" applyAlignment="1" pivotButton="0" quotePrefix="0" xfId="0">
      <alignment horizontal="center" vertical="center"/>
    </xf>
    <xf numFmtId="0" fontId="3" fillId="0" borderId="28" applyAlignment="1" pivotButton="0" quotePrefix="0" xfId="0">
      <alignment vertical="center"/>
    </xf>
    <xf numFmtId="0" fontId="18" fillId="0" borderId="28" applyAlignment="1" pivotButton="0" quotePrefix="0" xfId="0">
      <alignment vertical="center"/>
    </xf>
    <xf numFmtId="0" fontId="18" fillId="0" borderId="17" applyAlignment="1" pivotButton="0" quotePrefix="0" xfId="0">
      <alignment horizontal="center" vertical="center" wrapText="1"/>
    </xf>
    <xf numFmtId="0" fontId="9" fillId="0" borderId="16" applyAlignment="1" pivotButton="0" quotePrefix="0" xfId="0">
      <alignment horizontal="center" vertical="center"/>
    </xf>
    <xf numFmtId="0" fontId="9" fillId="0" borderId="17" applyAlignment="1" pivotButton="0" quotePrefix="0" xfId="0">
      <alignment horizontal="center" vertical="center"/>
    </xf>
    <xf numFmtId="0" fontId="9" fillId="0" borderId="0" applyAlignment="1" pivotButton="0" quotePrefix="0" xfId="0">
      <alignment vertical="center"/>
    </xf>
    <xf numFmtId="0" fontId="10" fillId="0" borderId="17" applyAlignment="1" pivotButton="0" quotePrefix="0" xfId="0">
      <alignment horizontal="center" vertical="center" wrapText="1"/>
    </xf>
    <xf numFmtId="0" fontId="3" fillId="0" borderId="17" applyAlignment="1" pivotButton="0" quotePrefix="0" xfId="0">
      <alignment horizontal="center" vertical="center"/>
    </xf>
    <xf numFmtId="0" fontId="10" fillId="0" borderId="17" applyAlignment="1" pivotButton="0" quotePrefix="1" xfId="0">
      <alignment horizontal="center" vertical="center"/>
    </xf>
    <xf numFmtId="0" fontId="3" fillId="0" borderId="42" applyAlignment="1" pivotButton="0" quotePrefix="0" xfId="0">
      <alignment vertical="center"/>
    </xf>
    <xf numFmtId="0" fontId="3" fillId="0" borderId="21" applyAlignment="1" pivotButton="0" quotePrefix="1" xfId="0">
      <alignment horizontal="center" vertical="center"/>
    </xf>
    <xf numFmtId="0" fontId="10" fillId="0" borderId="22" applyAlignment="1" pivotButton="0" quotePrefix="1" xfId="0">
      <alignment horizontal="center" vertical="center"/>
    </xf>
    <xf numFmtId="0" fontId="3" fillId="0" borderId="50" applyAlignment="1" pivotButton="0" quotePrefix="0" xfId="0">
      <alignment horizontal="center" vertical="center"/>
    </xf>
    <xf numFmtId="0" fontId="3" fillId="0" borderId="22" applyAlignment="1" pivotButton="0" quotePrefix="0" xfId="0">
      <alignment horizontal="center" vertical="center"/>
    </xf>
    <xf numFmtId="0" fontId="0" fillId="0" borderId="20" applyAlignment="1" pivotButton="0" quotePrefix="0" xfId="0">
      <alignment horizontal="center" vertical="center"/>
    </xf>
    <xf numFmtId="0" fontId="0" fillId="0" borderId="50" applyAlignment="1" pivotButton="0" quotePrefix="0" xfId="0">
      <alignment horizontal="center" vertical="center"/>
    </xf>
    <xf numFmtId="0" fontId="0" fillId="0" borderId="21" applyAlignment="1" pivotButton="0" quotePrefix="0" xfId="0">
      <alignment horizontal="center" vertical="center"/>
    </xf>
    <xf numFmtId="0" fontId="0" fillId="0" borderId="22" applyAlignment="1" pivotButton="0" quotePrefix="0" xfId="0">
      <alignment horizontal="center" vertical="center"/>
    </xf>
    <xf numFmtId="14" fontId="0" fillId="0" borderId="0" applyAlignment="1" pivotButton="0" quotePrefix="0" xfId="0">
      <alignment horizontal="center" vertical="center"/>
    </xf>
    <xf numFmtId="0" fontId="9" fillId="8" borderId="31" applyAlignment="1" pivotButton="0" quotePrefix="0" xfId="0">
      <alignment horizontal="center" vertical="center" wrapText="1"/>
    </xf>
    <xf numFmtId="0" fontId="0" fillId="0" borderId="31" pivotButton="0" quotePrefix="0" xfId="0"/>
    <xf numFmtId="0" fontId="0" fillId="0" borderId="53" pivotButton="0" quotePrefix="0" xfId="0"/>
    <xf numFmtId="0" fontId="0" fillId="15" borderId="54" pivotButton="0" quotePrefix="0" xfId="0"/>
    <xf numFmtId="0" fontId="0" fillId="15" borderId="55" pivotButton="0" quotePrefix="0" xfId="0"/>
    <xf numFmtId="0" fontId="0" fillId="15" borderId="56" pivotButton="0" quotePrefix="0" xfId="0"/>
    <xf numFmtId="0" fontId="0" fillId="0" borderId="57" pivotButton="0" quotePrefix="0" xfId="0"/>
    <xf numFmtId="0" fontId="0" fillId="0" borderId="57" applyAlignment="1" pivotButton="0" quotePrefix="0" xfId="0">
      <alignment horizontal="center"/>
    </xf>
    <xf numFmtId="0" fontId="0" fillId="0" borderId="58" pivotButton="0" quotePrefix="0" xfId="0"/>
    <xf numFmtId="0" fontId="0" fillId="0" borderId="58" applyAlignment="1" pivotButton="0" quotePrefix="0" xfId="0">
      <alignment horizontal="center"/>
    </xf>
    <xf numFmtId="0" fontId="0" fillId="0" borderId="0" applyAlignment="1" pivotButton="0" quotePrefix="0" xfId="0">
      <alignment wrapText="1"/>
    </xf>
    <xf numFmtId="0" fontId="9" fillId="4" borderId="13" applyAlignment="1" pivotButton="0" quotePrefix="0" xfId="0">
      <alignment horizontal="center" vertical="center" wrapText="1"/>
    </xf>
    <xf numFmtId="0" fontId="0" fillId="5" borderId="62" applyAlignment="1" pivotButton="0" quotePrefix="0" xfId="0">
      <alignment horizontal="center" vertical="center"/>
    </xf>
    <xf numFmtId="0" fontId="19" fillId="4" borderId="65" applyAlignment="1" pivotButton="0" quotePrefix="0" xfId="0">
      <alignment horizontal="center" vertical="center" wrapText="1"/>
    </xf>
    <xf numFmtId="0" fontId="19" fillId="4" borderId="66" applyAlignment="1" pivotButton="0" quotePrefix="0" xfId="0">
      <alignment horizontal="center" vertical="center" wrapText="1"/>
    </xf>
    <xf numFmtId="49" fontId="19" fillId="4" borderId="67" applyAlignment="1" pivotButton="0" quotePrefix="0" xfId="0">
      <alignment horizontal="center" vertical="center" wrapText="1"/>
    </xf>
    <xf numFmtId="0" fontId="9" fillId="0" borderId="0" applyAlignment="1" pivotButton="0" quotePrefix="0" xfId="0">
      <alignment horizontal="left" vertical="center" wrapText="1"/>
    </xf>
    <xf numFmtId="0" fontId="0" fillId="12" borderId="49" applyAlignment="1" pivotButton="0" quotePrefix="0" xfId="0">
      <alignment horizontal="left" vertical="center" wrapText="1"/>
    </xf>
    <xf numFmtId="0" fontId="0" fillId="2" borderId="55" applyAlignment="1" pivotButton="0" quotePrefix="0" xfId="0">
      <alignment horizontal="left" vertical="center" wrapText="1"/>
    </xf>
    <xf numFmtId="0" fontId="0" fillId="2" borderId="55" applyAlignment="1" pivotButton="0" quotePrefix="0" xfId="0">
      <alignment horizontal="center" vertical="center" wrapText="1"/>
    </xf>
    <xf numFmtId="0" fontId="0" fillId="6" borderId="58" applyAlignment="1" pivotButton="0" quotePrefix="0" xfId="0">
      <alignment horizontal="center" vertical="center" wrapText="1"/>
    </xf>
    <xf numFmtId="0" fontId="16" fillId="6" borderId="57" applyAlignment="1" pivotButton="0" quotePrefix="0" xfId="0">
      <alignment horizontal="center" vertical="center" wrapText="1"/>
    </xf>
    <xf numFmtId="0" fontId="0" fillId="15" borderId="57" pivotButton="0" quotePrefix="0" xfId="0"/>
    <xf numFmtId="0" fontId="0" fillId="0" borderId="53" applyAlignment="1" pivotButton="0" quotePrefix="0" xfId="0">
      <alignment horizontal="center" vertical="center" wrapText="1"/>
    </xf>
    <xf numFmtId="0" fontId="9" fillId="4" borderId="55" applyAlignment="1" pivotButton="0" quotePrefix="0" xfId="0">
      <alignment horizontal="center" vertical="center" wrapText="1"/>
    </xf>
    <xf numFmtId="0" fontId="0" fillId="2" borderId="57" applyAlignment="1" pivotButton="0" quotePrefix="0" xfId="0">
      <alignment horizontal="center" vertical="center" wrapText="1"/>
    </xf>
    <xf numFmtId="0" fontId="9" fillId="4" borderId="54" applyAlignment="1" pivotButton="0" quotePrefix="0" xfId="0">
      <alignment horizontal="center" vertical="center" wrapText="1"/>
    </xf>
    <xf numFmtId="0" fontId="9" fillId="4" borderId="56" applyAlignment="1" pivotButton="0" quotePrefix="0" xfId="0">
      <alignment horizontal="center" vertical="center" wrapText="1"/>
    </xf>
    <xf numFmtId="0" fontId="0" fillId="2" borderId="54" applyAlignment="1" pivotButton="0" quotePrefix="0" xfId="0">
      <alignment horizontal="center" vertical="center" wrapText="1"/>
    </xf>
    <xf numFmtId="0" fontId="0" fillId="2" borderId="56" applyAlignment="1" pivotButton="0" quotePrefix="0" xfId="0">
      <alignment horizontal="center" vertical="center" wrapText="1"/>
    </xf>
    <xf numFmtId="0" fontId="9" fillId="4" borderId="53" applyAlignment="1" pivotButton="0" quotePrefix="0" xfId="0">
      <alignment horizontal="center" vertical="center" wrapText="1"/>
    </xf>
    <xf numFmtId="0" fontId="0" fillId="0" borderId="59" applyAlignment="1" pivotButton="0" quotePrefix="0" xfId="0">
      <alignment horizontal="center" vertical="center"/>
    </xf>
    <xf numFmtId="0" fontId="0" fillId="0" borderId="60" applyAlignment="1" pivotButton="0" quotePrefix="0" xfId="0">
      <alignment horizontal="center" vertical="center"/>
    </xf>
    <xf numFmtId="17" fontId="0" fillId="0" borderId="61" applyAlignment="1" pivotButton="0" quotePrefix="0" xfId="0">
      <alignment horizontal="center" vertical="center"/>
    </xf>
    <xf numFmtId="0" fontId="0" fillId="0" borderId="62" applyAlignment="1" pivotButton="0" quotePrefix="0" xfId="0">
      <alignment horizontal="center" vertical="center"/>
    </xf>
    <xf numFmtId="0" fontId="0" fillId="0" borderId="63" applyAlignment="1" pivotButton="0" quotePrefix="0" xfId="0">
      <alignment horizontal="center" vertical="center"/>
    </xf>
    <xf numFmtId="17" fontId="0" fillId="0" borderId="64" applyAlignment="1" pivotButton="0" quotePrefix="0" xfId="0">
      <alignment horizontal="center" vertical="center"/>
    </xf>
    <xf numFmtId="0" fontId="0" fillId="0" borderId="64" applyAlignment="1" pivotButton="0" quotePrefix="0" xfId="0">
      <alignment horizontal="center" vertical="center"/>
    </xf>
    <xf numFmtId="0" fontId="0" fillId="0" borderId="63" applyAlignment="1" pivotButton="0" quotePrefix="1" xfId="0">
      <alignment horizontal="center" vertical="center"/>
    </xf>
    <xf numFmtId="0" fontId="9" fillId="0" borderId="63" applyAlignment="1" pivotButton="0" quotePrefix="1" xfId="0">
      <alignment horizontal="center" vertical="center"/>
    </xf>
    <xf numFmtId="0" fontId="9" fillId="0" borderId="62" applyAlignment="1" pivotButton="0" quotePrefix="0" xfId="0">
      <alignment horizontal="center" vertical="center"/>
    </xf>
    <xf numFmtId="0" fontId="9" fillId="0" borderId="63" applyAlignment="1" pivotButton="0" quotePrefix="0" xfId="0">
      <alignment horizontal="center" vertical="center"/>
    </xf>
    <xf numFmtId="17" fontId="16" fillId="0" borderId="64" applyAlignment="1" pivotButton="0" quotePrefix="0" xfId="0">
      <alignment horizontal="center" vertical="center"/>
    </xf>
    <xf numFmtId="0" fontId="16" fillId="0" borderId="63" applyAlignment="1" pivotButton="0" quotePrefix="0" xfId="0">
      <alignment horizontal="center" vertical="center"/>
    </xf>
    <xf numFmtId="0" fontId="9" fillId="17" borderId="63" applyAlignment="1" pivotButton="0" quotePrefix="1" xfId="0">
      <alignment horizontal="center" vertical="center"/>
    </xf>
    <xf numFmtId="17" fontId="9" fillId="17" borderId="64" applyAlignment="1" pivotButton="0" quotePrefix="0" xfId="0">
      <alignment horizontal="center" vertical="center"/>
    </xf>
    <xf numFmtId="0" fontId="0" fillId="17" borderId="63" applyAlignment="1" pivotButton="0" quotePrefix="0" xfId="0">
      <alignment horizontal="center" vertical="center"/>
    </xf>
    <xf numFmtId="17" fontId="0" fillId="17" borderId="64" applyAlignment="1" pivotButton="0" quotePrefix="0" xfId="0">
      <alignment horizontal="center" vertical="center"/>
    </xf>
    <xf numFmtId="0" fontId="0" fillId="17" borderId="63" applyAlignment="1" pivotButton="0" quotePrefix="1" xfId="0">
      <alignment horizontal="center" vertical="center"/>
    </xf>
    <xf numFmtId="0" fontId="0" fillId="18" borderId="0" applyAlignment="1" pivotButton="0" quotePrefix="0" xfId="0">
      <alignment vertical="center" wrapText="1"/>
    </xf>
    <xf numFmtId="0" fontId="0" fillId="19" borderId="31" applyAlignment="1" pivotButton="0" quotePrefix="0" xfId="0">
      <alignment horizontal="center" vertical="center" wrapText="1"/>
    </xf>
    <xf numFmtId="0" fontId="23" fillId="0" borderId="31" applyAlignment="1" pivotButton="0" quotePrefix="0" xfId="0">
      <alignment horizontal="center" vertical="center" wrapText="1"/>
    </xf>
    <xf numFmtId="0" fontId="23" fillId="0" borderId="49" applyAlignment="1" pivotButton="0" quotePrefix="0" xfId="0">
      <alignment horizontal="center" vertical="center" wrapText="1"/>
    </xf>
    <xf numFmtId="0" fontId="0" fillId="0" borderId="31" applyAlignment="1" pivotButton="0" quotePrefix="0" xfId="0">
      <alignment vertical="center" wrapText="1"/>
    </xf>
    <xf numFmtId="0" fontId="16" fillId="12" borderId="57" applyAlignment="1" pivotButton="0" quotePrefix="0" xfId="0">
      <alignment horizontal="center" vertical="center" wrapText="1"/>
    </xf>
    <xf numFmtId="0" fontId="0" fillId="8" borderId="0" applyAlignment="1" pivotButton="0" quotePrefix="0" xfId="0">
      <alignment horizontal="center" vertical="center"/>
    </xf>
    <xf numFmtId="0" fontId="0" fillId="5" borderId="0" applyAlignment="1" pivotButton="0" quotePrefix="0" xfId="0">
      <alignment vertical="center" wrapText="1"/>
    </xf>
    <xf numFmtId="0" fontId="0" fillId="20" borderId="0" applyAlignment="1" pivotButton="0" quotePrefix="0" xfId="0">
      <alignment vertical="center"/>
    </xf>
    <xf numFmtId="0" fontId="0" fillId="0" borderId="57" applyAlignment="1" pivotButton="0" quotePrefix="0" xfId="0">
      <alignment horizontal="center" vertical="center" wrapText="1"/>
    </xf>
    <xf numFmtId="0" fontId="0" fillId="0" borderId="56" applyAlignment="1" pivotButton="0" quotePrefix="0" xfId="0">
      <alignment horizontal="left" vertical="center" wrapText="1"/>
    </xf>
    <xf numFmtId="0" fontId="0" fillId="7" borderId="0" applyAlignment="1" pivotButton="0" quotePrefix="0" xfId="0">
      <alignment vertical="center" wrapText="1"/>
    </xf>
    <xf numFmtId="0" fontId="0" fillId="7" borderId="0" applyAlignment="1" pivotButton="0" quotePrefix="0" xfId="0">
      <alignment vertical="center"/>
    </xf>
    <xf numFmtId="0" fontId="0" fillId="20" borderId="31" applyAlignment="1" pivotButton="0" quotePrefix="0" xfId="0">
      <alignment horizontal="center" vertical="center" wrapText="1"/>
    </xf>
    <xf numFmtId="0" fontId="3" fillId="2" borderId="52" applyAlignment="1" pivotButton="0" quotePrefix="0" xfId="0">
      <alignment horizontal="center" vertical="center" wrapText="1"/>
    </xf>
    <xf numFmtId="0" fontId="0" fillId="2" borderId="0" applyAlignment="1" pivotButton="0" quotePrefix="0" xfId="0">
      <alignment horizontal="center" vertical="center" wrapText="1"/>
    </xf>
    <xf numFmtId="0" fontId="16" fillId="2" borderId="31" applyAlignment="1" pivotButton="0" quotePrefix="0" xfId="0">
      <alignment horizontal="center" vertical="center" wrapText="1"/>
    </xf>
    <xf numFmtId="0" fontId="16" fillId="2" borderId="0" applyAlignment="1" pivotButton="0" quotePrefix="0" xfId="0">
      <alignment horizontal="center" vertical="center" wrapText="1"/>
    </xf>
    <xf numFmtId="0" fontId="9" fillId="2" borderId="49" applyAlignment="1" pivotButton="0" quotePrefix="0" xfId="0">
      <alignment horizontal="center" vertical="center" wrapText="1"/>
    </xf>
    <xf numFmtId="0" fontId="22" fillId="2" borderId="31" applyAlignment="1" pivotButton="0" quotePrefix="0" xfId="0">
      <alignment horizontal="center" vertical="center" wrapText="1"/>
    </xf>
    <xf numFmtId="0" fontId="0" fillId="2" borderId="31" applyAlignment="1" pivotButton="0" quotePrefix="0" xfId="0">
      <alignment horizontal="left" vertical="center" wrapText="1"/>
    </xf>
    <xf numFmtId="0" fontId="3" fillId="2" borderId="58"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55" applyAlignment="1" pivotButton="0" quotePrefix="0" xfId="0">
      <alignment horizontal="center" vertical="center" wrapText="1"/>
    </xf>
    <xf numFmtId="0" fontId="0" fillId="0" borderId="56" applyAlignment="1" pivotButton="0" quotePrefix="0" xfId="0">
      <alignment horizontal="center" vertical="center" wrapText="1"/>
    </xf>
    <xf numFmtId="0" fontId="0" fillId="0" borderId="57" applyAlignment="1" pivotButton="0" quotePrefix="0" xfId="0">
      <alignment horizontal="center" vertical="center"/>
    </xf>
    <xf numFmtId="0" fontId="0" fillId="0" borderId="54" applyAlignment="1" pivotButton="0" quotePrefix="0" xfId="0">
      <alignment vertical="center"/>
    </xf>
    <xf numFmtId="0" fontId="0" fillId="0" borderId="55" applyAlignment="1" pivotButton="0" quotePrefix="0" xfId="0">
      <alignment horizontal="center" vertical="center"/>
    </xf>
    <xf numFmtId="0" fontId="0" fillId="0" borderId="56" applyAlignment="1" pivotButton="0" quotePrefix="0" xfId="0">
      <alignment horizontal="center" vertical="center"/>
    </xf>
    <xf numFmtId="0" fontId="0" fillId="0" borderId="70" applyAlignment="1" pivotButton="0" quotePrefix="0" xfId="0">
      <alignment horizontal="center"/>
    </xf>
    <xf numFmtId="0" fontId="0" fillId="0" borderId="71" applyAlignment="1" pivotButton="0" quotePrefix="0" xfId="0">
      <alignment horizontal="center"/>
    </xf>
    <xf numFmtId="0" fontId="24" fillId="0" borderId="55" applyAlignment="1" pivotButton="0" quotePrefix="0" xfId="0">
      <alignment wrapText="1"/>
    </xf>
    <xf numFmtId="0" fontId="25" fillId="0" borderId="55" applyAlignment="1" pivotButton="0" quotePrefix="0" xfId="0">
      <alignment wrapText="1"/>
    </xf>
    <xf numFmtId="0" fontId="26" fillId="0" borderId="55" applyAlignment="1" pivotButton="0" quotePrefix="0" xfId="0">
      <alignment wrapText="1"/>
    </xf>
    <xf numFmtId="0" fontId="24" fillId="0" borderId="70" applyAlignment="1" pivotButton="0" quotePrefix="0" xfId="0">
      <alignment wrapText="1"/>
    </xf>
    <xf numFmtId="0" fontId="25" fillId="0" borderId="70" applyAlignment="1" pivotButton="0" quotePrefix="0" xfId="0">
      <alignment wrapText="1"/>
    </xf>
    <xf numFmtId="0" fontId="3" fillId="2" borderId="57" applyAlignment="1" pivotButton="0" quotePrefix="0" xfId="0">
      <alignment horizontal="left" vertical="center" wrapText="1"/>
    </xf>
    <xf numFmtId="0" fontId="0" fillId="20" borderId="0" applyAlignment="1" pivotButton="0" quotePrefix="0" xfId="0">
      <alignment horizontal="left" vertical="center" wrapText="1"/>
    </xf>
    <xf numFmtId="0" fontId="0" fillId="20" borderId="68" applyAlignment="1" pivotButton="0" quotePrefix="0" xfId="0">
      <alignment horizontal="center" vertical="center" wrapText="1"/>
    </xf>
    <xf numFmtId="0" fontId="0" fillId="20" borderId="0" applyAlignment="1" pivotButton="0" quotePrefix="0" xfId="0">
      <alignment horizontal="center" vertical="center" wrapText="1"/>
    </xf>
    <xf numFmtId="0" fontId="0" fillId="20" borderId="49" applyAlignment="1" pivotButton="0" quotePrefix="0" xfId="0">
      <alignment horizontal="center" vertical="center" wrapText="1"/>
    </xf>
    <xf numFmtId="0" fontId="0" fillId="20" borderId="49" applyAlignment="1" pivotButton="0" quotePrefix="1" xfId="0">
      <alignment horizontal="center" vertical="center" wrapText="1"/>
    </xf>
    <xf numFmtId="0" fontId="0" fillId="20" borderId="0" applyAlignment="1" pivotButton="0" quotePrefix="0" xfId="0">
      <alignment vertical="center" wrapText="1"/>
    </xf>
    <xf numFmtId="0" fontId="19" fillId="4" borderId="73" applyAlignment="1" pivotButton="0" quotePrefix="0" xfId="0">
      <alignment horizontal="center" vertical="center" wrapText="1"/>
    </xf>
    <xf numFmtId="164" fontId="19" fillId="4" borderId="21" applyAlignment="1" pivotButton="0" quotePrefix="0" xfId="0">
      <alignment horizontal="center" vertical="center" wrapText="1"/>
    </xf>
    <xf numFmtId="0" fontId="0" fillId="0" borderId="69" applyAlignment="1" pivotButton="0" quotePrefix="0" xfId="0">
      <alignment vertical="center"/>
    </xf>
    <xf numFmtId="0" fontId="0" fillId="0" borderId="69" applyAlignment="1" pivotButton="0" quotePrefix="0" xfId="0">
      <alignment horizontal="center" vertical="center"/>
    </xf>
    <xf numFmtId="0" fontId="0" fillId="0" borderId="74" applyAlignment="1" pivotButton="0" quotePrefix="0" xfId="0">
      <alignment horizontal="center" vertical="center"/>
    </xf>
    <xf numFmtId="0" fontId="0" fillId="0" borderId="72" applyAlignment="1" pivotButton="0" quotePrefix="0" xfId="0">
      <alignment horizontal="center" vertical="center"/>
    </xf>
    <xf numFmtId="0" fontId="0" fillId="0" borderId="23" applyAlignment="1" pivotButton="0" quotePrefix="0" xfId="0">
      <alignment horizontal="center" vertical="center"/>
    </xf>
    <xf numFmtId="0" fontId="0" fillId="0" borderId="23" applyAlignment="1" pivotButton="0" quotePrefix="1" xfId="0">
      <alignment horizontal="center" vertical="center"/>
    </xf>
    <xf numFmtId="164" fontId="0" fillId="0" borderId="30" applyAlignment="1" pivotButton="0" quotePrefix="0" xfId="0">
      <alignment horizontal="center" vertical="center"/>
    </xf>
    <xf numFmtId="0" fontId="0" fillId="0" borderId="54" applyAlignment="1" pivotButton="0" quotePrefix="0" xfId="0">
      <alignment horizontal="center" vertical="center"/>
    </xf>
    <xf numFmtId="0" fontId="0" fillId="0" borderId="13" applyAlignment="1" pivotButton="0" quotePrefix="0" xfId="0">
      <alignment horizontal="center" vertical="center"/>
    </xf>
    <xf numFmtId="164" fontId="0" fillId="0" borderId="56" applyAlignment="1" pivotButton="0" quotePrefix="0" xfId="0">
      <alignment horizontal="center" vertical="center"/>
    </xf>
    <xf numFmtId="0" fontId="0" fillId="0" borderId="72" applyAlignment="1" pivotButton="0" quotePrefix="1" xfId="0">
      <alignment horizontal="center" vertical="center"/>
    </xf>
    <xf numFmtId="164" fontId="0" fillId="0" borderId="30" applyAlignment="1" pivotButton="0" quotePrefix="1" xfId="0">
      <alignment horizontal="center" vertical="center"/>
    </xf>
    <xf numFmtId="0" fontId="0" fillId="0" borderId="57" applyAlignment="1" pivotButton="0" quotePrefix="1" xfId="0">
      <alignment vertical="center"/>
    </xf>
    <xf numFmtId="0" fontId="0" fillId="0" borderId="75" applyAlignment="1" pivotButton="0" quotePrefix="0" xfId="0">
      <alignment horizontal="center" vertical="center"/>
    </xf>
    <xf numFmtId="0" fontId="0" fillId="0" borderId="55" applyAlignment="1" pivotButton="0" quotePrefix="1" xfId="0">
      <alignment horizontal="center" vertical="center"/>
    </xf>
    <xf numFmtId="0" fontId="0" fillId="0" borderId="54" applyAlignment="1" pivotButton="0" quotePrefix="1" xfId="0">
      <alignment horizontal="center" vertical="center"/>
    </xf>
    <xf numFmtId="164" fontId="0" fillId="0" borderId="56" applyAlignment="1" pivotButton="0" quotePrefix="1" xfId="0">
      <alignment horizontal="center" vertical="center"/>
    </xf>
    <xf numFmtId="0" fontId="0" fillId="0" borderId="57" applyAlignment="1" pivotButton="0" quotePrefix="0" xfId="0">
      <alignment vertical="center"/>
    </xf>
    <xf numFmtId="0" fontId="16" fillId="0" borderId="57" applyAlignment="1" pivotButton="0" quotePrefix="0" xfId="0">
      <alignment horizontal="center" vertical="center"/>
    </xf>
    <xf numFmtId="0" fontId="0" fillId="0" borderId="53" applyAlignment="1" pivotButton="0" quotePrefix="0" xfId="0">
      <alignment horizontal="center" vertical="center"/>
    </xf>
    <xf numFmtId="0" fontId="0" fillId="12" borderId="54" applyAlignment="1" pivotButton="0" quotePrefix="0" xfId="0">
      <alignment horizontal="center" vertical="center"/>
    </xf>
    <xf numFmtId="0" fontId="0" fillId="12" borderId="55" applyAlignment="1" pivotButton="0" quotePrefix="0" xfId="0">
      <alignment horizontal="center" vertical="center"/>
    </xf>
    <xf numFmtId="164" fontId="0" fillId="12" borderId="56" applyAlignment="1" pivotButton="0" quotePrefix="0" xfId="0">
      <alignment horizontal="center" vertical="center"/>
    </xf>
    <xf numFmtId="0" fontId="0" fillId="0" borderId="56" applyAlignment="1" pivotButton="0" quotePrefix="1" xfId="0">
      <alignment horizontal="center" vertical="center"/>
    </xf>
    <xf numFmtId="164" fontId="9" fillId="0" borderId="56" applyAlignment="1" pivotButton="0" quotePrefix="0" xfId="0">
      <alignment horizontal="center" vertical="center"/>
    </xf>
    <xf numFmtId="0" fontId="9" fillId="0" borderId="57" applyAlignment="1" pivotButton="0" quotePrefix="0" xfId="0">
      <alignment vertical="center" wrapText="1"/>
    </xf>
    <xf numFmtId="0" fontId="9" fillId="0" borderId="57" applyAlignment="1" pivotButton="0" quotePrefix="0" xfId="0">
      <alignment horizontal="center" vertical="center"/>
    </xf>
    <xf numFmtId="17" fontId="9" fillId="0" borderId="64" applyAlignment="1" pivotButton="0" quotePrefix="0" xfId="0">
      <alignment horizontal="center" vertical="center"/>
    </xf>
    <xf numFmtId="0" fontId="9" fillId="0" borderId="54" applyAlignment="1" pivotButton="0" quotePrefix="0" xfId="0">
      <alignment horizontal="center" vertical="center"/>
    </xf>
    <xf numFmtId="0" fontId="9" fillId="0" borderId="55" applyAlignment="1" pivotButton="0" quotePrefix="0" xfId="0">
      <alignment horizontal="center" vertical="center"/>
    </xf>
    <xf numFmtId="0" fontId="16" fillId="0" borderId="54" applyAlignment="1" pivotButton="0" quotePrefix="0" xfId="0">
      <alignment horizontal="center" vertical="center"/>
    </xf>
    <xf numFmtId="0" fontId="16" fillId="0" borderId="55" applyAlignment="1" pivotButton="0" quotePrefix="0" xfId="0">
      <alignment horizontal="center" vertical="center"/>
    </xf>
    <xf numFmtId="164" fontId="16" fillId="0" borderId="56" applyAlignment="1" pivotButton="0" quotePrefix="0" xfId="0">
      <alignment horizontal="center" vertical="center"/>
    </xf>
    <xf numFmtId="0" fontId="9" fillId="0" borderId="57" applyAlignment="1" pivotButton="0" quotePrefix="0" xfId="0">
      <alignment horizontal="left" vertical="center" wrapText="1"/>
    </xf>
    <xf numFmtId="17" fontId="0" fillId="0" borderId="56" applyAlignment="1" pivotButton="0" quotePrefix="0" xfId="0">
      <alignment horizontal="center" vertical="center"/>
    </xf>
    <xf numFmtId="0" fontId="16" fillId="0" borderId="57" applyAlignment="1" pivotButton="0" quotePrefix="0" xfId="0">
      <alignment vertical="center" wrapText="1"/>
    </xf>
    <xf numFmtId="0" fontId="16" fillId="0" borderId="55" applyAlignment="1" pivotButton="0" quotePrefix="0" xfId="0">
      <alignment vertical="center"/>
    </xf>
    <xf numFmtId="164" fontId="0" fillId="0" borderId="0" applyAlignment="1" pivotButton="0" quotePrefix="0" xfId="0">
      <alignment horizontal="center" vertical="center"/>
    </xf>
    <xf numFmtId="0" fontId="9" fillId="12" borderId="31" applyAlignment="1" pivotButton="0" quotePrefix="0" xfId="0">
      <alignment horizontal="center" vertical="center" wrapText="1"/>
    </xf>
    <xf numFmtId="0" fontId="15" fillId="7" borderId="0" applyAlignment="1" pivotButton="0" quotePrefix="0" xfId="1">
      <alignment horizontal="center"/>
    </xf>
    <xf numFmtId="0" fontId="0" fillId="12" borderId="0" applyAlignment="1" pivotButton="0" quotePrefix="0" xfId="0">
      <alignment horizontal="center" vertical="center" wrapText="1"/>
    </xf>
    <xf numFmtId="0" fontId="18" fillId="12" borderId="17" applyAlignment="1" pivotButton="0" quotePrefix="0" xfId="0">
      <alignment horizontal="center" vertical="center" wrapText="1"/>
    </xf>
    <xf numFmtId="0" fontId="3" fillId="12" borderId="17" applyAlignment="1" pivotButton="0" quotePrefix="0" xfId="0">
      <alignment horizontal="center" vertical="center" wrapText="1"/>
    </xf>
    <xf numFmtId="0" fontId="3" fillId="5" borderId="57" applyAlignment="1" pivotButton="0" quotePrefix="0" xfId="0">
      <alignment horizontal="center" vertical="center" wrapText="1"/>
    </xf>
    <xf numFmtId="0" fontId="0" fillId="0" borderId="69" pivotButton="0" quotePrefix="0" xfId="0"/>
    <xf numFmtId="0" fontId="0" fillId="0" borderId="56" pivotButton="0" quotePrefix="0" xfId="0"/>
    <xf numFmtId="0" fontId="20" fillId="11" borderId="53" applyAlignment="1" pivotButton="0" quotePrefix="0" xfId="0">
      <alignment horizontal="center" vertical="center" wrapText="1"/>
    </xf>
    <xf numFmtId="0" fontId="16" fillId="12" borderId="55" applyAlignment="1" pivotButton="0" quotePrefix="0" xfId="0">
      <alignment horizontal="left" vertical="center" wrapText="1"/>
    </xf>
    <xf numFmtId="0" fontId="9" fillId="6" borderId="55" applyAlignment="1" pivotButton="0" quotePrefix="0" xfId="0">
      <alignment horizontal="left" vertical="center" wrapText="1"/>
    </xf>
    <xf numFmtId="0" fontId="0" fillId="15" borderId="55" applyAlignment="1" pivotButton="0" quotePrefix="0" xfId="0">
      <alignment vertical="center" wrapText="1"/>
    </xf>
    <xf numFmtId="0" fontId="0" fillId="15" borderId="55" applyAlignment="1" pivotButton="0" quotePrefix="0" xfId="0">
      <alignment vertical="top" wrapText="1"/>
    </xf>
    <xf numFmtId="0" fontId="0" fillId="15" borderId="55" applyAlignment="1" pivotButton="0" quotePrefix="0" xfId="0">
      <alignment wrapText="1"/>
    </xf>
    <xf numFmtId="0" fontId="3" fillId="10" borderId="57" applyAlignment="1" pivotButton="0" quotePrefix="0" xfId="0">
      <alignment horizontal="center" vertical="center"/>
    </xf>
    <xf numFmtId="14" fontId="0" fillId="0" borderId="57" applyAlignment="1" pivotButton="0" quotePrefix="0" xfId="0">
      <alignment horizontal="center" vertical="center"/>
    </xf>
    <xf numFmtId="14" fontId="0" fillId="0" borderId="57" applyAlignment="1" pivotButton="0" quotePrefix="0" xfId="0">
      <alignment vertical="center"/>
    </xf>
    <xf numFmtId="0" fontId="3" fillId="10" borderId="57" applyAlignment="1" pivotButton="0" quotePrefix="0" xfId="0">
      <alignment horizontal="center" vertical="center" wrapText="1"/>
    </xf>
    <xf numFmtId="0" fontId="3" fillId="0" borderId="69" applyAlignment="1" pivotButton="0" quotePrefix="1" xfId="0">
      <alignment horizontal="center" vertical="center"/>
    </xf>
    <xf numFmtId="0" fontId="1" fillId="0" borderId="69" applyAlignment="1" pivotButton="0" quotePrefix="0" xfId="0">
      <alignment horizontal="center" vertical="center"/>
    </xf>
    <xf numFmtId="0" fontId="3" fillId="0" borderId="57" applyAlignment="1" pivotButton="0" quotePrefix="1" xfId="0">
      <alignment horizontal="center" vertical="center"/>
    </xf>
    <xf numFmtId="0" fontId="3" fillId="12" borderId="56" applyAlignment="1" pivotButton="0" quotePrefix="0" xfId="0">
      <alignment horizontal="center" vertical="center" wrapText="1"/>
    </xf>
    <xf numFmtId="0" fontId="3" fillId="0" borderId="56" applyAlignment="1" pivotButton="0" quotePrefix="0" xfId="0">
      <alignment horizontal="center" vertical="center" wrapText="1"/>
    </xf>
    <xf numFmtId="0" fontId="18" fillId="0" borderId="57" applyAlignment="1" pivotButton="0" quotePrefix="1" xfId="0">
      <alignment horizontal="center" vertical="center"/>
    </xf>
    <xf numFmtId="0" fontId="18" fillId="12" borderId="56" applyAlignment="1" pivotButton="0" quotePrefix="0" xfId="0">
      <alignment horizontal="center" vertical="center" wrapText="1"/>
    </xf>
    <xf numFmtId="0" fontId="9" fillId="0" borderId="56" applyAlignment="1" pivotButton="0" quotePrefix="0" xfId="0">
      <alignment horizontal="center" vertical="center"/>
    </xf>
    <xf numFmtId="0" fontId="10" fillId="0" borderId="57" applyAlignment="1" pivotButton="0" quotePrefix="1" xfId="0">
      <alignment horizontal="center" vertical="center"/>
    </xf>
    <xf numFmtId="0" fontId="18" fillId="0" borderId="56" applyAlignment="1" pivotButton="0" quotePrefix="0" xfId="0">
      <alignment horizontal="center" vertical="center" wrapText="1"/>
    </xf>
    <xf numFmtId="0" fontId="18" fillId="2" borderId="52" applyAlignment="1" pivotButton="0" quotePrefix="0" xfId="0">
      <alignment horizontal="center" vertical="center" wrapText="1"/>
    </xf>
    <xf numFmtId="0" fontId="18" fillId="2" borderId="70" applyAlignment="1" pivotButton="0" quotePrefix="0" xfId="0">
      <alignment horizontal="center" vertical="center" wrapText="1"/>
    </xf>
    <xf numFmtId="0" fontId="18" fillId="2" borderId="71" applyAlignment="1" pivotButton="0" quotePrefix="0" xfId="0">
      <alignment horizontal="center" vertical="center" wrapText="1"/>
    </xf>
    <xf numFmtId="0" fontId="0" fillId="0" borderId="68" applyAlignment="1" pivotButton="0" quotePrefix="0" xfId="0">
      <alignment horizontal="left" vertical="center" wrapText="1"/>
    </xf>
    <xf numFmtId="0" fontId="3" fillId="2" borderId="68" applyAlignment="1" pivotButton="0" quotePrefix="0" xfId="0">
      <alignment horizontal="left" vertical="center" wrapText="1"/>
    </xf>
    <xf numFmtId="0" fontId="0" fillId="20" borderId="68" applyAlignment="1" pivotButton="0" quotePrefix="0" xfId="0">
      <alignment horizontal="left" vertical="center" wrapText="1"/>
    </xf>
    <xf numFmtId="0" fontId="0" fillId="7" borderId="68" applyAlignment="1" pivotButton="0" quotePrefix="0" xfId="0">
      <alignment horizontal="left" vertical="center" wrapText="1"/>
    </xf>
    <xf numFmtId="0" fontId="22" fillId="2" borderId="6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68" applyAlignment="1" pivotButton="0" quotePrefix="0" xfId="0">
      <alignment horizontal="center" vertical="center" wrapText="1"/>
    </xf>
    <xf numFmtId="0" fontId="20" fillId="11" borderId="57" applyAlignment="1" pivotButton="0" quotePrefix="0" xfId="0">
      <alignment horizontal="center" vertical="center" wrapText="1"/>
    </xf>
    <xf numFmtId="0" fontId="18" fillId="4" borderId="53" applyAlignment="1" pivotButton="0" quotePrefix="0" xfId="0">
      <alignment horizontal="center" vertical="center" wrapText="1"/>
    </xf>
    <xf numFmtId="0" fontId="16" fillId="12" borderId="57" applyAlignment="1" pivotButton="0" quotePrefix="0" xfId="0">
      <alignment horizontal="left" vertical="center" wrapText="1"/>
    </xf>
    <xf numFmtId="0" fontId="0" fillId="12" borderId="57" applyAlignment="1" pivotButton="0" quotePrefix="0" xfId="0">
      <alignment horizontal="center" vertical="center" wrapText="1"/>
    </xf>
    <xf numFmtId="0" fontId="0" fillId="12" borderId="55" applyAlignment="1" pivotButton="0" quotePrefix="0" xfId="0">
      <alignment horizontal="left" vertical="center" wrapText="1"/>
    </xf>
    <xf numFmtId="0" fontId="0" fillId="12" borderId="55" applyAlignment="1" pivotButton="0" quotePrefix="0" xfId="0">
      <alignment horizontal="center" vertical="center" wrapText="1"/>
    </xf>
    <xf numFmtId="0" fontId="0" fillId="12" borderId="56" applyAlignment="1" pivotButton="0" quotePrefix="0" xfId="0">
      <alignment horizontal="center" vertical="center" wrapText="1"/>
    </xf>
    <xf numFmtId="0" fontId="16" fillId="0" borderId="52" applyAlignment="1" pivotButton="0" quotePrefix="0" xfId="0">
      <alignment horizontal="left" vertical="center" wrapText="1"/>
    </xf>
    <xf numFmtId="0" fontId="16" fillId="0" borderId="71" applyAlignment="1" pivotButton="0" quotePrefix="0" xfId="0">
      <alignment horizontal="left" vertical="center" wrapText="1"/>
    </xf>
    <xf numFmtId="0" fontId="0" fillId="7" borderId="57" applyAlignment="1" pivotButton="0" quotePrefix="0" xfId="0">
      <alignment horizontal="center" vertical="center" wrapText="1"/>
    </xf>
    <xf numFmtId="0" fontId="0" fillId="7" borderId="56" applyAlignment="1" pivotButton="0" quotePrefix="0" xfId="0">
      <alignment horizontal="left" vertical="center" wrapText="1"/>
    </xf>
    <xf numFmtId="0" fontId="15" fillId="7" borderId="57" applyAlignment="1" pivotButton="0" quotePrefix="0" xfId="1">
      <alignment horizontal="center" vertical="center"/>
    </xf>
    <xf numFmtId="0" fontId="0" fillId="7" borderId="57" applyAlignment="1" pivotButton="0" quotePrefix="0" xfId="0">
      <alignment horizontal="left" vertical="center" wrapText="1"/>
    </xf>
    <xf numFmtId="0" fontId="9" fillId="0" borderId="71" applyAlignment="1" pivotButton="0" quotePrefix="0" xfId="0">
      <alignment horizontal="left" vertical="center" wrapText="1"/>
    </xf>
    <xf numFmtId="0" fontId="0" fillId="0" borderId="57" applyAlignment="1" pivotButton="0" quotePrefix="0" xfId="0">
      <alignment horizontal="left" vertical="center" wrapText="1"/>
    </xf>
    <xf numFmtId="0" fontId="0" fillId="12" borderId="57" applyAlignment="1" pivotButton="0" quotePrefix="0" xfId="0">
      <alignment horizontal="left" vertical="center" wrapText="1"/>
    </xf>
    <xf numFmtId="0" fontId="0" fillId="0" borderId="58" applyAlignment="1" pivotButton="0" quotePrefix="0" xfId="0">
      <alignment horizontal="center" vertical="center" wrapText="1"/>
    </xf>
    <xf numFmtId="0" fontId="0" fillId="0" borderId="69" applyAlignment="1" pivotButton="0" quotePrefix="0" xfId="0">
      <alignment horizontal="center" vertical="center" wrapText="1"/>
    </xf>
    <xf numFmtId="0" fontId="9" fillId="6" borderId="57" applyAlignment="1" pivotButton="0" quotePrefix="0" xfId="0">
      <alignment horizontal="left" vertical="center" wrapText="1"/>
    </xf>
    <xf numFmtId="0" fontId="0" fillId="6" borderId="57" applyAlignment="1" pivotButton="0" quotePrefix="0" xfId="0">
      <alignment horizontal="center" vertical="center" wrapText="1"/>
    </xf>
    <xf numFmtId="0" fontId="0" fillId="6" borderId="55" applyAlignment="1" pivotButton="0" quotePrefix="0" xfId="0">
      <alignment horizontal="left" vertical="center" wrapText="1"/>
    </xf>
    <xf numFmtId="0" fontId="0" fillId="6" borderId="55" applyAlignment="1" pivotButton="0" quotePrefix="0" xfId="0">
      <alignment horizontal="center" vertical="center" wrapText="1"/>
    </xf>
    <xf numFmtId="0" fontId="0" fillId="6" borderId="56" applyAlignment="1" pivotButton="0" quotePrefix="0" xfId="0">
      <alignment horizontal="center" vertical="center" wrapText="1"/>
    </xf>
    <xf numFmtId="0" fontId="15" fillId="8" borderId="57" applyAlignment="1" pivotButton="0" quotePrefix="0" xfId="1">
      <alignment horizontal="center" vertical="center"/>
    </xf>
    <xf numFmtId="0" fontId="0" fillId="15" borderId="57" applyAlignment="1" pivotButton="0" quotePrefix="0" xfId="0">
      <alignment vertical="center"/>
    </xf>
    <xf numFmtId="0" fontId="0" fillId="6" borderId="57" applyAlignment="1" pivotButton="0" quotePrefix="0" xfId="0">
      <alignment vertical="center" wrapText="1"/>
    </xf>
    <xf numFmtId="0" fontId="0" fillId="15" borderId="57" applyAlignment="1" pivotButton="0" quotePrefix="0" xfId="0">
      <alignment horizontal="center" vertical="center"/>
    </xf>
    <xf numFmtId="0" fontId="0" fillId="15" borderId="54" applyAlignment="1" pivotButton="0" quotePrefix="0" xfId="0">
      <alignment vertical="center"/>
    </xf>
    <xf numFmtId="0" fontId="0" fillId="15" borderId="55" applyAlignment="1" pivotButton="0" quotePrefix="0" xfId="0">
      <alignment vertical="center"/>
    </xf>
    <xf numFmtId="0" fontId="0" fillId="15" borderId="56" applyAlignment="1" pivotButton="0" quotePrefix="0" xfId="0">
      <alignment vertical="center"/>
    </xf>
    <xf numFmtId="0" fontId="0" fillId="16" borderId="57" applyAlignment="1" pivotButton="0" quotePrefix="0" xfId="0">
      <alignment horizontal="center" vertical="center" wrapText="1"/>
    </xf>
    <xf numFmtId="0" fontId="0" fillId="15" borderId="57" applyAlignment="1" pivotButton="0" quotePrefix="0" xfId="0">
      <alignment vertical="center" wrapText="1"/>
    </xf>
    <xf numFmtId="0" fontId="0" fillId="16" borderId="57" applyAlignment="1" pivotButton="0" quotePrefix="0" xfId="0">
      <alignment horizontal="center" vertical="center"/>
    </xf>
    <xf numFmtId="0" fontId="0" fillId="16" borderId="57" applyAlignment="1" pivotButton="0" quotePrefix="0" xfId="0">
      <alignment vertical="center"/>
    </xf>
    <xf numFmtId="0" fontId="15" fillId="16" borderId="57" applyAlignment="1" pivotButton="0" quotePrefix="0" xfId="1">
      <alignment horizontal="center" vertical="center"/>
    </xf>
    <xf numFmtId="0" fontId="0" fillId="15" borderId="57" applyAlignment="1" pivotButton="0" quotePrefix="0" xfId="0">
      <alignment vertical="top" wrapText="1"/>
    </xf>
    <xf numFmtId="0" fontId="0" fillId="0" borderId="58" applyAlignment="1" pivotButton="0" quotePrefix="0" xfId="0">
      <alignment horizontal="center" vertical="center"/>
    </xf>
    <xf numFmtId="0" fontId="0" fillId="0" borderId="58" applyAlignment="1" pivotButton="0" quotePrefix="0" xfId="0">
      <alignment vertical="center"/>
    </xf>
    <xf numFmtId="0" fontId="0" fillId="15" borderId="57" applyAlignment="1" pivotButton="0" quotePrefix="0" xfId="0">
      <alignment wrapText="1"/>
    </xf>
    <xf numFmtId="0" fontId="0" fillId="15" borderId="57" applyAlignment="1" pivotButton="0" quotePrefix="0" xfId="0">
      <alignment horizontal="center"/>
    </xf>
    <xf numFmtId="0" fontId="0" fillId="16" borderId="57" applyAlignment="1" pivotButton="0" quotePrefix="0" xfId="0">
      <alignment horizontal="center"/>
    </xf>
    <xf numFmtId="0" fontId="0" fillId="16" borderId="57" pivotButton="0" quotePrefix="0" xfId="0"/>
    <xf numFmtId="0" fontId="24" fillId="0" borderId="57" applyAlignment="1" pivotButton="0" quotePrefix="0" xfId="0">
      <alignment wrapText="1"/>
    </xf>
    <xf numFmtId="0" fontId="16" fillId="0" borderId="57" applyAlignment="1" pivotButton="0" quotePrefix="0" xfId="0">
      <alignment horizontal="center" vertical="center" wrapText="1"/>
    </xf>
    <xf numFmtId="0" fontId="9" fillId="0" borderId="52" applyAlignment="1" pivotButton="0" quotePrefix="0" xfId="0">
      <alignment horizontal="left" vertical="center" wrapText="1"/>
    </xf>
    <xf numFmtId="0" fontId="9" fillId="0" borderId="70" applyAlignment="1" pivotButton="0" quotePrefix="0" xfId="0">
      <alignment horizontal="left" vertical="center" wrapText="1"/>
    </xf>
    <xf numFmtId="0" fontId="0" fillId="0" borderId="71" pivotButton="0" quotePrefix="0" xfId="0"/>
    <xf numFmtId="0" fontId="3" fillId="10" borderId="68" applyAlignment="1" pivotButton="0" quotePrefix="0" xfId="0">
      <alignment horizontal="center" vertical="center" wrapText="1"/>
    </xf>
    <xf numFmtId="0" fontId="3" fillId="2" borderId="68" applyAlignment="1" pivotButton="0" quotePrefix="0" xfId="0">
      <alignment horizontal="center" vertical="center" wrapText="1"/>
    </xf>
    <xf numFmtId="0" fontId="9" fillId="0" borderId="68" applyAlignment="1" pivotButton="0" quotePrefix="1" xfId="0">
      <alignment horizontal="center" vertical="center" wrapText="1"/>
    </xf>
    <xf numFmtId="0" fontId="2" fillId="0" borderId="68" applyAlignment="1" pivotButton="0" quotePrefix="0" xfId="0">
      <alignment horizontal="center" vertical="center" wrapText="1"/>
    </xf>
    <xf numFmtId="0" fontId="21" fillId="0" borderId="68" applyAlignment="1" pivotButton="0" quotePrefix="0" xfId="0">
      <alignment horizontal="center" vertical="center" wrapText="1"/>
    </xf>
    <xf numFmtId="0" fontId="9" fillId="0" borderId="68" applyAlignment="1" pivotButton="0" quotePrefix="0" xfId="0">
      <alignment horizontal="center" vertical="center" wrapText="1"/>
    </xf>
    <xf numFmtId="0" fontId="17" fillId="0" borderId="68" applyAlignment="1" pivotButton="0" quotePrefix="0" xfId="0">
      <alignment horizontal="center" vertical="center" wrapText="1"/>
    </xf>
    <xf numFmtId="0" fontId="0" fillId="2" borderId="68" applyAlignment="1" pivotButton="0" quotePrefix="0" xfId="0">
      <alignment horizontal="center" vertical="center" wrapText="1"/>
    </xf>
    <xf numFmtId="0" fontId="16" fillId="0" borderId="68" applyAlignment="1" pivotButton="0" quotePrefix="0" xfId="0">
      <alignment horizontal="center" vertical="center" wrapText="1"/>
    </xf>
    <xf numFmtId="0" fontId="4" fillId="0" borderId="69" pivotButton="0" quotePrefix="0" xfId="0"/>
    <xf numFmtId="0" fontId="4" fillId="3" borderId="69" pivotButton="0" quotePrefix="0" xfId="0"/>
    <xf numFmtId="0" fontId="4" fillId="2" borderId="69" pivotButton="0" quotePrefix="0" xfId="0"/>
    <xf numFmtId="0" fontId="0" fillId="2" borderId="69" pivotButton="0" quotePrefix="0" xfId="0"/>
    <xf numFmtId="0" fontId="4" fillId="0" borderId="57" pivotButton="0" quotePrefix="0" xfId="0"/>
    <xf numFmtId="3" fontId="0" fillId="0" borderId="57" applyAlignment="1" pivotButton="0" quotePrefix="0" xfId="0">
      <alignment horizontal="left"/>
    </xf>
    <xf numFmtId="0" fontId="4" fillId="3" borderId="57" pivotButton="0" quotePrefix="0" xfId="0"/>
    <xf numFmtId="3" fontId="0" fillId="3" borderId="57" applyAlignment="1" pivotButton="0" quotePrefix="0" xfId="0">
      <alignment horizontal="left"/>
    </xf>
    <xf numFmtId="3" fontId="0" fillId="0" borderId="57" applyAlignment="1" pivotButton="0" quotePrefix="0" xfId="0">
      <alignment horizontal="center"/>
    </xf>
    <xf numFmtId="0" fontId="4" fillId="2" borderId="57" pivotButton="0" quotePrefix="0" xfId="0"/>
    <xf numFmtId="3" fontId="0" fillId="2" borderId="57" applyAlignment="1" pivotButton="0" quotePrefix="0" xfId="0">
      <alignment horizontal="left"/>
    </xf>
    <xf numFmtId="0" fontId="0" fillId="3" borderId="57" pivotButton="0" quotePrefix="0" xfId="0"/>
    <xf numFmtId="0" fontId="0" fillId="2" borderId="57" pivotButton="0" quotePrefix="0" xfId="0"/>
    <xf numFmtId="0" fontId="0" fillId="0" borderId="57" applyAlignment="1" pivotButton="0" quotePrefix="0" xfId="0">
      <alignment wrapText="1"/>
    </xf>
    <xf numFmtId="0" fontId="0" fillId="3" borderId="57" applyAlignment="1" pivotButton="0" quotePrefix="0" xfId="0">
      <alignment wrapText="1"/>
    </xf>
    <xf numFmtId="0" fontId="0" fillId="0" borderId="57" applyAlignment="1" pivotButton="0" quotePrefix="0" xfId="0">
      <alignment horizontal="center" wrapText="1"/>
    </xf>
    <xf numFmtId="0" fontId="0" fillId="2" borderId="57" applyAlignment="1" pivotButton="0" quotePrefix="0" xfId="0">
      <alignment wrapText="1"/>
    </xf>
    <xf numFmtId="0" fontId="3" fillId="0" borderId="55" applyAlignment="1" pivotButton="0" quotePrefix="0" xfId="0">
      <alignment horizontal="center" vertical="center"/>
    </xf>
    <xf numFmtId="0" fontId="0" fillId="3" borderId="57" applyAlignment="1" pivotButton="0" quotePrefix="0" xfId="0">
      <alignment horizontal="center" vertical="center" wrapText="1"/>
    </xf>
    <xf numFmtId="0" fontId="5" fillId="0" borderId="57" applyAlignment="1" pivotButton="0" quotePrefix="0" xfId="0">
      <alignment horizontal="center"/>
    </xf>
    <xf numFmtId="0" fontId="0" fillId="0" borderId="69" applyAlignment="1" pivotButton="0" quotePrefix="0" xfId="0">
      <alignment horizontal="center"/>
    </xf>
    <xf numFmtId="0" fontId="10" fillId="0" borderId="57" applyAlignment="1" pivotButton="0" quotePrefix="0" xfId="0">
      <alignment horizontal="center" vertical="center"/>
    </xf>
    <xf numFmtId="0" fontId="0" fillId="2" borderId="57" applyAlignment="1" pivotButton="0" quotePrefix="0" xfId="0">
      <alignment horizontal="center"/>
    </xf>
    <xf numFmtId="0" fontId="11" fillId="0" borderId="57" applyAlignment="1" pivotButton="0" quotePrefix="0" xfId="0">
      <alignment horizontal="center"/>
    </xf>
    <xf numFmtId="0" fontId="4" fillId="0" borderId="55" pivotButton="0" quotePrefix="0" xfId="0"/>
    <xf numFmtId="0" fontId="4" fillId="0" borderId="55" applyAlignment="1" pivotButton="0" quotePrefix="0" xfId="0">
      <alignment vertical="center"/>
    </xf>
    <xf numFmtId="0" fontId="5" fillId="0" borderId="57" applyAlignment="1" pivotButton="0" quotePrefix="0" xfId="0">
      <alignment vertical="center" wrapText="1"/>
    </xf>
    <xf numFmtId="0" fontId="0" fillId="0" borderId="57" applyAlignment="1" pivotButton="0" quotePrefix="0" xfId="0">
      <alignment vertical="center" wrapText="1"/>
    </xf>
    <xf numFmtId="0" fontId="5" fillId="0" borderId="57" pivotButton="0" quotePrefix="0" xfId="0"/>
    <xf numFmtId="0" fontId="4" fillId="0" borderId="70" pivotButton="0" quotePrefix="0" xfId="0"/>
    <xf numFmtId="0" fontId="5" fillId="0" borderId="58" pivotButton="0" quotePrefix="0" xfId="0"/>
    <xf numFmtId="0" fontId="6" fillId="0" borderId="57" pivotButton="0" quotePrefix="0" xfId="0"/>
    <xf numFmtId="0" fontId="4" fillId="0" borderId="58" pivotButton="0" quotePrefix="0" xfId="0"/>
    <xf numFmtId="0" fontId="0" fillId="6" borderId="58" applyAlignment="1" pivotButton="0" quotePrefix="0" xfId="0">
      <alignment horizontal="left" vertical="center" wrapText="1"/>
    </xf>
    <xf numFmtId="0" fontId="15" fillId="6" borderId="57" applyAlignment="1" pivotButton="0" quotePrefix="0" xfId="1">
      <alignment horizontal="center" vertical="center"/>
    </xf>
    <xf numFmtId="0" fontId="27" fillId="0" borderId="0" applyAlignment="1" pivotButton="0" quotePrefix="0" xfId="0">
      <alignment vertical="top" wrapText="1"/>
    </xf>
    <xf numFmtId="0" fontId="0" fillId="0" borderId="0" applyAlignment="1" pivotButton="0" quotePrefix="0" xfId="0">
      <alignment vertical="top" wrapText="1"/>
    </xf>
    <xf numFmtId="0" fontId="28" fillId="0" borderId="0" applyAlignment="1" pivotButton="0" quotePrefix="0" xfId="0">
      <alignment horizontal="center"/>
    </xf>
    <xf numFmtId="0" fontId="29" fillId="0" borderId="0" applyAlignment="1" pivotButton="0" quotePrefix="0" xfId="0">
      <alignment horizontal="center"/>
    </xf>
    <xf numFmtId="0" fontId="30" fillId="0" borderId="0" applyAlignment="1" pivotButton="0" quotePrefix="0" xfId="0">
      <alignment horizontal="center"/>
    </xf>
    <xf numFmtId="0" fontId="31" fillId="0" borderId="0" applyAlignment="1" pivotButton="0" quotePrefix="0" xfId="0">
      <alignment horizontal="center"/>
    </xf>
    <xf numFmtId="0" fontId="32" fillId="0" borderId="0" applyAlignment="1" pivotButton="0" quotePrefix="0" xfId="0">
      <alignment vertical="top" wrapText="1"/>
    </xf>
    <xf numFmtId="0" fontId="33" fillId="0" borderId="55" applyAlignment="1" pivotButton="0" quotePrefix="0" xfId="0">
      <alignment wrapText="1"/>
    </xf>
    <xf numFmtId="0" fontId="34" fillId="0" borderId="55" applyAlignment="1" pivotButton="0" quotePrefix="0" xfId="0">
      <alignment wrapText="1"/>
    </xf>
    <xf numFmtId="0" fontId="35" fillId="0" borderId="55" applyAlignment="1" pivotButton="0" quotePrefix="0" xfId="0">
      <alignment wrapText="1"/>
    </xf>
    <xf numFmtId="0" fontId="9" fillId="4" borderId="57" applyAlignment="1" pivotButton="0" quotePrefix="0" xfId="0">
      <alignment horizontal="center" vertical="center" wrapText="1"/>
    </xf>
    <xf numFmtId="0" fontId="0" fillId="0" borderId="77" pivotButton="0" quotePrefix="0" xfId="0"/>
    <xf numFmtId="0" fontId="0" fillId="0" borderId="78" pivotButton="0" quotePrefix="0" xfId="0"/>
    <xf numFmtId="0" fontId="18" fillId="4" borderId="57" applyAlignment="1" pivotButton="0" quotePrefix="0" xfId="0">
      <alignment horizontal="center" vertical="center" wrapText="1"/>
    </xf>
    <xf numFmtId="0" fontId="18" fillId="4" borderId="54" applyAlignment="1" pivotButton="0" quotePrefix="0" xfId="0">
      <alignment horizontal="center" vertical="center" wrapText="1"/>
    </xf>
    <xf numFmtId="0" fontId="0" fillId="0" borderId="55" pivotButton="0" quotePrefix="0" xfId="0"/>
    <xf numFmtId="0" fontId="3" fillId="5" borderId="57" applyAlignment="1" pivotButton="0" quotePrefix="0" xfId="0">
      <alignment horizontal="center" vertical="center" wrapText="1"/>
    </xf>
    <xf numFmtId="0" fontId="0" fillId="0" borderId="68" pivotButton="0" quotePrefix="0" xfId="0"/>
    <xf numFmtId="0" fontId="0" fillId="0" borderId="69" pivotButton="0" quotePrefix="0" xfId="0"/>
    <xf numFmtId="0" fontId="9" fillId="4" borderId="54" applyAlignment="1" pivotButton="0" quotePrefix="0" xfId="0">
      <alignment horizontal="center" vertical="center" wrapText="1"/>
    </xf>
    <xf numFmtId="0" fontId="16" fillId="4" borderId="57" applyAlignment="1" pivotButton="0" quotePrefix="0" xfId="0">
      <alignment horizontal="center" vertical="center" wrapText="1"/>
    </xf>
    <xf numFmtId="0" fontId="18" fillId="4" borderId="13" applyAlignment="1" pivotButton="0" quotePrefix="0" xfId="0">
      <alignment horizontal="center" vertical="center" wrapText="1"/>
    </xf>
    <xf numFmtId="0" fontId="0" fillId="0" borderId="13" pivotButton="0" quotePrefix="0" xfId="0"/>
    <xf numFmtId="0" fontId="9" fillId="4" borderId="13" applyAlignment="1" pivotButton="0" quotePrefix="0" xfId="0">
      <alignment horizontal="center" vertical="center" wrapText="1"/>
    </xf>
    <xf numFmtId="0" fontId="18" fillId="4" borderId="55" applyAlignment="1" pivotButton="0" quotePrefix="0" xfId="0">
      <alignment horizontal="center" vertical="center" wrapText="1"/>
    </xf>
    <xf numFmtId="0" fontId="3" fillId="5" borderId="54" applyAlignment="1" pivotButton="0" quotePrefix="0" xfId="0">
      <alignment horizontal="center" vertical="center" wrapText="1"/>
    </xf>
    <xf numFmtId="0" fontId="0" fillId="0" borderId="53" pivotButton="0" quotePrefix="0" xfId="0"/>
    <xf numFmtId="0" fontId="19" fillId="4" borderId="25" applyAlignment="1" pivotButton="0" quotePrefix="0" xfId="0">
      <alignment horizontal="center" vertical="center" wrapText="1"/>
    </xf>
    <xf numFmtId="0" fontId="0" fillId="0" borderId="23" pivotButton="0" quotePrefix="0" xfId="0"/>
    <xf numFmtId="0" fontId="0" fillId="0" borderId="30" pivotButton="0" quotePrefix="0" xfId="0"/>
    <xf numFmtId="0" fontId="18" fillId="4" borderId="25" applyAlignment="1" pivotButton="0" quotePrefix="0" xfId="0">
      <alignment horizontal="center" vertical="center" wrapText="1"/>
    </xf>
    <xf numFmtId="0" fontId="19" fillId="14" borderId="25" applyAlignment="1" pivotButton="0" quotePrefix="0" xfId="0">
      <alignment horizontal="center" vertical="center" wrapText="1"/>
    </xf>
    <xf numFmtId="0" fontId="0" fillId="0" borderId="79" pivotButton="0" quotePrefix="0" xfId="0"/>
    <xf numFmtId="0" fontId="18" fillId="4" borderId="25" applyAlignment="1" pivotButton="0" quotePrefix="1" xfId="0">
      <alignment horizontal="center" vertical="center" wrapText="1"/>
    </xf>
    <xf numFmtId="0" fontId="3" fillId="4" borderId="58" applyAlignment="1" pivotButton="0" quotePrefix="0" xfId="0">
      <alignment horizontal="center" vertical="center" wrapText="1"/>
    </xf>
    <xf numFmtId="0" fontId="0" fillId="0" borderId="70" pivotButton="0" quotePrefix="0" xfId="0"/>
    <xf numFmtId="0" fontId="0" fillId="0" borderId="76" pivotButton="0" quotePrefix="0" xfId="0"/>
    <xf numFmtId="0" fontId="3" fillId="13" borderId="57" applyAlignment="1" pivotButton="0" quotePrefix="0" xfId="0">
      <alignment horizontal="center" vertical="center" wrapText="1"/>
    </xf>
    <xf numFmtId="0" fontId="3" fillId="13" borderId="56" applyAlignment="1" pivotButton="0" quotePrefix="0" xfId="0">
      <alignment horizontal="center" vertical="center" wrapText="1"/>
    </xf>
    <xf numFmtId="0" fontId="0" fillId="0" borderId="80" pivotButton="0" quotePrefix="0" xfId="0"/>
    <xf numFmtId="0" fontId="3" fillId="13" borderId="54" applyAlignment="1" pivotButton="0" quotePrefix="0" xfId="0">
      <alignment horizontal="center" vertical="center" wrapText="1"/>
    </xf>
    <xf numFmtId="0" fontId="3" fillId="0" borderId="23" applyAlignment="1" pivotButton="0" quotePrefix="0" xfId="0">
      <alignment horizontal="center" vertical="center"/>
    </xf>
    <xf numFmtId="0" fontId="0" fillId="0" borderId="1" applyAlignment="1" pivotButton="0" quotePrefix="0" xfId="0">
      <alignment horizontal="center" vertical="center" wrapText="1"/>
    </xf>
    <xf numFmtId="0" fontId="0" fillId="0" borderId="39" pivotButton="0" quotePrefix="0" xfId="0"/>
    <xf numFmtId="0" fontId="0" fillId="0" borderId="2" pivotButton="0" quotePrefix="0" xfId="0"/>
    <xf numFmtId="0" fontId="3" fillId="0" borderId="18" applyAlignment="1" pivotButton="0" quotePrefix="0" xfId="0">
      <alignment horizontal="center" vertical="center" wrapText="1"/>
    </xf>
    <xf numFmtId="0" fontId="0" fillId="0" borderId="14" pivotButton="0" quotePrefix="0" xfId="0"/>
    <xf numFmtId="0" fontId="0" fillId="0" borderId="18" pivotButton="0" quotePrefix="0" xfId="0"/>
    <xf numFmtId="0" fontId="3" fillId="0" borderId="34" applyAlignment="1" pivotButton="0" quotePrefix="0" xfId="0">
      <alignment horizontal="center" vertical="center"/>
    </xf>
    <xf numFmtId="0" fontId="0" fillId="0" borderId="27" pivotButton="0" quotePrefix="0" xfId="0"/>
    <xf numFmtId="0" fontId="0" fillId="0" borderId="42" applyAlignment="1" pivotButton="0" quotePrefix="0" xfId="0">
      <alignment horizontal="center" vertical="center"/>
    </xf>
    <xf numFmtId="0" fontId="0" fillId="0" borderId="11" pivotButton="0" quotePrefix="0" xfId="0"/>
    <xf numFmtId="0" fontId="0" fillId="0" borderId="28" applyAlignment="1" pivotButton="0" quotePrefix="0" xfId="0">
      <alignment horizontal="center" vertical="center"/>
    </xf>
    <xf numFmtId="0" fontId="3" fillId="2" borderId="18" applyAlignment="1" pivotButton="0" quotePrefix="0" xfId="0">
      <alignment horizontal="center" vertical="center"/>
    </xf>
    <xf numFmtId="0" fontId="5" fillId="0" borderId="1" applyAlignment="1" pivotButton="0" quotePrefix="0" xfId="0">
      <alignment horizontal="center" vertical="center"/>
    </xf>
    <xf numFmtId="0" fontId="0" fillId="0" borderId="1" applyAlignment="1" pivotButton="0" quotePrefix="0" xfId="0">
      <alignment horizontal="center"/>
    </xf>
    <xf numFmtId="0" fontId="0" fillId="0" borderId="20" applyAlignment="1" pivotButton="0" quotePrefix="0" xfId="0">
      <alignment horizontal="center" vertical="center"/>
    </xf>
    <xf numFmtId="0" fontId="0" fillId="0" borderId="81" pivotButton="0" quotePrefix="0" xfId="0"/>
    <xf numFmtId="0" fontId="0" fillId="0" borderId="46" pivotButton="0" quotePrefix="0" xfId="0"/>
    <xf numFmtId="0" fontId="0" fillId="0" borderId="40" pivotButton="0" quotePrefix="0" xfId="0"/>
    <xf numFmtId="0" fontId="0" fillId="0" borderId="0" pivotButton="0" quotePrefix="0" xfId="0"/>
    <xf numFmtId="0" fontId="0" fillId="0" borderId="32" pivotButton="0" quotePrefix="0" xfId="0"/>
    <xf numFmtId="0" fontId="0" fillId="0" borderId="41" pivotButton="0" quotePrefix="0" xfId="0"/>
    <xf numFmtId="0" fontId="0" fillId="0" borderId="47" pivotButton="0" quotePrefix="0" xfId="0"/>
    <xf numFmtId="0" fontId="0" fillId="0" borderId="38" pivotButton="0" quotePrefix="0" xfId="0"/>
    <xf numFmtId="0" fontId="3" fillId="0" borderId="41" applyAlignment="1" pivotButton="0" quotePrefix="0" xfId="0">
      <alignment horizontal="center" vertical="center"/>
    </xf>
    <xf numFmtId="0" fontId="5" fillId="0" borderId="1" applyAlignment="1" pivotButton="0" quotePrefix="0" xfId="0">
      <alignment horizontal="center"/>
    </xf>
    <xf numFmtId="0" fontId="3" fillId="0" borderId="13" applyAlignment="1" pivotButton="0" quotePrefix="0" xfId="0">
      <alignment horizontal="center" vertical="center"/>
    </xf>
    <xf numFmtId="0" fontId="5" fillId="0" borderId="12" applyAlignment="1" pivotButton="0" quotePrefix="0" xfId="0">
      <alignment horizontal="center" vertical="center"/>
    </xf>
    <xf numFmtId="0" fontId="0" fillId="0" borderId="48" pivotButton="0" quotePrefix="0" xfId="0"/>
    <xf numFmtId="0" fontId="3" fillId="0" borderId="12" applyAlignment="1" pivotButton="0" quotePrefix="0" xfId="0">
      <alignment horizontal="center" vertical="center"/>
    </xf>
    <xf numFmtId="0" fontId="0" fillId="0" borderId="33" pivotButton="0" quotePrefix="0" xfId="0"/>
    <xf numFmtId="0" fontId="5" fillId="0" borderId="28" applyAlignment="1" pivotButton="0" quotePrefix="0" xfId="0">
      <alignment horizontal="center" vertical="center"/>
    </xf>
    <xf numFmtId="0" fontId="3" fillId="0" borderId="6" applyAlignment="1" pivotButton="0" quotePrefix="0" xfId="0">
      <alignment horizontal="center"/>
    </xf>
    <xf numFmtId="0" fontId="0" fillId="0" borderId="51" pivotButton="0" quotePrefix="0" xfId="0"/>
    <xf numFmtId="0" fontId="6" fillId="0" borderId="3" applyAlignment="1" pivotButton="0" quotePrefix="0" xfId="0">
      <alignment horizontal="center" vertical="center"/>
    </xf>
    <xf numFmtId="0" fontId="3" fillId="0" borderId="42" applyAlignment="1" pivotButton="0" quotePrefix="0" xfId="0">
      <alignment horizontal="center" vertical="center" wrapText="1"/>
    </xf>
    <xf numFmtId="0" fontId="5" fillId="0" borderId="42" applyAlignment="1" pivotButton="0" quotePrefix="0" xfId="0">
      <alignment horizontal="center" vertical="center" wrapText="1"/>
    </xf>
    <xf numFmtId="0" fontId="0" fillId="0" borderId="12" applyAlignment="1" pivotButton="0" quotePrefix="0" xfId="0">
      <alignment horizontal="center" vertical="center"/>
    </xf>
    <xf numFmtId="0" fontId="0" fillId="0" borderId="43" pivotButton="0" quotePrefix="0" xfId="0"/>
    <xf numFmtId="0" fontId="0" fillId="0" borderId="29" pivotButton="0" quotePrefix="0" xfId="0"/>
    <xf numFmtId="0" fontId="0" fillId="0" borderId="44" pivotButton="0" quotePrefix="0" xfId="0"/>
    <xf numFmtId="0" fontId="0" fillId="0" borderId="45" pivotButton="0" quotePrefix="0" xfId="0"/>
    <xf numFmtId="0" fontId="5" fillId="0" borderId="18" applyAlignment="1" pivotButton="0" quotePrefix="0" xfId="0">
      <alignment horizontal="center" vertical="center" wrapText="1"/>
    </xf>
    <xf numFmtId="0" fontId="0" fillId="2" borderId="28" applyAlignment="1" pivotButton="0" quotePrefix="0" xfId="0">
      <alignment horizontal="center" vertical="center"/>
    </xf>
    <xf numFmtId="0" fontId="3" fillId="0" borderId="1" applyAlignment="1" pivotButton="0" quotePrefix="0" xfId="0">
      <alignment horizontal="center" vertical="center"/>
    </xf>
    <xf numFmtId="0" fontId="0" fillId="0" borderId="3" pivotButton="0" quotePrefix="0" xfId="0"/>
    <xf numFmtId="0" fontId="5" fillId="0" borderId="24" applyAlignment="1" pivotButton="0" quotePrefix="0" xfId="0">
      <alignment horizontal="center" vertical="center"/>
    </xf>
    <xf numFmtId="0" fontId="3" fillId="0" borderId="55" applyAlignment="1" pivotButton="0" quotePrefix="0" xfId="0">
      <alignment horizontal="center" vertical="center"/>
    </xf>
    <xf numFmtId="0" fontId="0" fillId="0" borderId="82" pivotButton="0" quotePrefix="0" xfId="0"/>
    <xf numFmtId="0" fontId="12" fillId="0" borderId="35" applyAlignment="1" pivotButton="0" quotePrefix="0" xfId="0">
      <alignment horizontal="center" wrapText="1"/>
    </xf>
    <xf numFmtId="0" fontId="0" fillId="0" borderId="36" pivotButton="0" quotePrefix="0" xfId="0"/>
    <xf numFmtId="0" fontId="0" fillId="2" borderId="24" applyAlignment="1" pivotButton="0" quotePrefix="0" xfId="0">
      <alignment horizontal="center" vertical="center"/>
    </xf>
    <xf numFmtId="0" fontId="5" fillId="0" borderId="20" applyAlignment="1" pivotButton="0" quotePrefix="0" xfId="0">
      <alignment horizontal="center" vertical="center"/>
    </xf>
    <xf numFmtId="0" fontId="0" fillId="0" borderId="1" applyAlignment="1" pivotButton="0" quotePrefix="0" xfId="0">
      <alignment horizontal="center" vertical="center"/>
    </xf>
    <xf numFmtId="0" fontId="7" fillId="0" borderId="3" applyAlignment="1" pivotButton="0" quotePrefix="0" xfId="0">
      <alignment horizontal="center" vertical="center"/>
    </xf>
    <xf numFmtId="0" fontId="0" fillId="0" borderId="8" applyAlignment="1" pivotButton="0" quotePrefix="0" xfId="0">
      <alignment horizontal="center" vertical="center"/>
    </xf>
    <xf numFmtId="0" fontId="0" fillId="0" borderId="31" pivotButton="0" quotePrefix="0" xfId="0"/>
    <xf numFmtId="0" fontId="0" fillId="0" borderId="37" pivotButton="0" quotePrefix="0" xfId="0"/>
    <xf numFmtId="0" fontId="0" fillId="2" borderId="42" applyAlignment="1" pivotButton="0" quotePrefix="0" xfId="0">
      <alignment horizontal="center" vertical="center"/>
    </xf>
    <xf numFmtId="0" fontId="3" fillId="0" borderId="42" applyAlignment="1" pivotButton="0" quotePrefix="0" xfId="0">
      <alignment horizontal="center" vertical="center"/>
    </xf>
    <xf numFmtId="0" fontId="0" fillId="0" borderId="24" applyAlignment="1" pivotButton="0" quotePrefix="0" xfId="0">
      <alignment horizontal="center" vertical="center"/>
    </xf>
    <xf numFmtId="0" fontId="0" fillId="3" borderId="42" applyAlignment="1" pivotButton="0" quotePrefix="0" xfId="0">
      <alignment horizontal="center" vertical="center"/>
    </xf>
    <xf numFmtId="0" fontId="3" fillId="2" borderId="42" applyAlignment="1" pivotButton="0" quotePrefix="0" xfId="0">
      <alignment horizontal="center" vertical="center"/>
    </xf>
    <xf numFmtId="0" fontId="40" fillId="0" borderId="55" applyAlignment="1" pivotButton="0" quotePrefix="0" xfId="0">
      <alignment wrapText="1"/>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cellXfs>
  <cellStyles count="2">
    <cellStyle name="Normale" xfId="0" builtinId="0"/>
    <cellStyle name="Collegamento ipertestuale"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MORBIDI MAURIZIO</author>
  </authors>
  <commentList>
    <comment ref="D5" authorId="0" shapeId="0">
      <text>
        <t>MORBIDI MAURIZIO:
Disponibile anche codice BD140045210  relativo a BL 6.2</t>
      </text>
    </comment>
    <comment ref="J5" authorId="0" shapeId="0">
      <text>
        <t>MORBIDI MAURIZIO:
Disponibile anche codice BD140038737 di BL 4.3</t>
      </text>
    </comment>
    <comment ref="Q6" authorId="0" shapeId="0">
      <text>
        <t>MORBIDI MAURIZIO:
Le revisioni (non disponibili) in rosso sono relative alla BL 5.0</t>
      </text>
    </comment>
    <comment ref="J10" authorId="0" shapeId="0">
      <text>
        <t>MORBIDI MAURIZIO:
Non indicato nel file di configurazione, ma presente tra i documenti</t>
      </text>
    </comment>
    <comment ref="N13" authorId="0" shapeId="0">
      <text>
        <t>MORBIDI MAURIZIO:
Rev A più aggiornata della BL corrente</t>
      </text>
    </comment>
    <comment ref="K16" authorId="0" shapeId="0">
      <text>
        <t>MORBIDI MAURIZIO:
Disponibile rev D</t>
      </text>
    </comment>
    <comment ref="E17" authorId="0" shapeId="0">
      <text>
        <t>MORBIDI MAURIZIO:
Disponibile rev C</t>
      </text>
    </comment>
    <comment ref="K17" authorId="0" shapeId="0">
      <text>
        <t>MORBIDI MAURIZIO:
Disponibile rev _</t>
      </text>
    </comment>
    <comment ref="K20" authorId="0" shapeId="0">
      <text>
        <t>MORBIDI MAURIZIO:
Disponibile rev _</t>
      </text>
    </comment>
    <comment ref="K22" authorId="0" shapeId="0">
      <text>
        <t>MORBIDI MAURIZIO:
Disponibile rev C</t>
      </text>
    </comment>
    <comment ref="N23" authorId="0" shapeId="0">
      <text>
        <t>MORBIDI MAURIZIO:
Rev A più aggiornata della BL corrente</t>
      </text>
    </comment>
    <comment ref="N25" authorId="0" shapeId="0">
      <text>
        <t>MORBIDI MAURIZIO:
Rev A più aggiornata della BL corrente</t>
      </text>
    </comment>
    <comment ref="N28" authorId="0" shapeId="0">
      <text>
        <t>MORBIDI MAURIZIO:
Dispoinibile ver A non B</t>
      </text>
    </comment>
    <comment ref="B33" authorId="0" shapeId="0">
      <text>
        <t>MORBIDI MAURIZIO:
Non presente in Config Sheet ma gestito nello stesso modo tra le varie flotte</t>
      </text>
    </comment>
    <comment ref="D35" authorId="0" shapeId="0">
      <text>
        <t>MORBIDI MAURIZIO:
Non presente in BL ma inserita comunque tra le  FRS</t>
      </text>
    </comment>
    <comment ref="L37" authorId="0" shapeId="0">
      <text>
        <t>MORBIDI MAURIZIO:
Vecchia versione non più applicabile?</t>
      </text>
    </comment>
    <comment ref="F38" authorId="0" shapeId="0">
      <text>
        <t>MORBIDI MAURIZIO:
EC01P008999B vecchia versione?</t>
      </text>
    </comment>
    <comment ref="I38" authorId="0" shapeId="0">
      <text>
        <t>MORBIDI MAURIZIO:
Vecchio codice antecedente BL3 non più applicabile?</t>
      </text>
    </comment>
    <comment ref="L38" authorId="0" shapeId="0">
      <text>
        <t>MORBIDI MAURIZIO:
EC01P008999B vecchia versione?</t>
      </text>
    </comment>
    <comment ref="O38" authorId="0" shapeId="0">
      <text>
        <t>Rev. D</t>
      </text>
    </comment>
    <comment ref="E47" authorId="0" shapeId="0">
      <text>
        <t>MORBIDI MAURIZIO:
Disponibile rev J</t>
      </text>
    </comment>
    <comment ref="K47" authorId="0" shapeId="0">
      <text>
        <t>MORBIDI MAURIZIO:
Disponibile rev A</t>
      </text>
    </comment>
    <comment ref="N47" authorId="0" shapeId="0">
      <text>
        <t>MORBIDI MAURIZIO:
Dispoinibile ver A non B</t>
      </text>
    </comment>
    <comment ref="E48" authorId="0" shapeId="0">
      <text>
        <t>MORBIDI MAURIZIO:
Disponibile rev C</t>
      </text>
    </comment>
    <comment ref="E51" authorId="0" shapeId="0">
      <text>
        <t>MORBIDI MAURIZIO:
Disponibile rev B</t>
      </text>
    </comment>
    <comment ref="E54" authorId="0" shapeId="0">
      <text>
        <t>MORBIDI MAURIZIO:
Rev 09 + aggiornata di BL corrente.
08 x VZ_IT_New14
09 x VZ_ES</t>
      </text>
    </comment>
    <comment ref="H54" authorId="0" shapeId="0">
      <text>
        <t>MORBIDI MAURIZIO:
Rev 09 + aggiornata di BL corrente.
09 x VZ_ES</t>
      </text>
    </comment>
    <comment ref="E58" authorId="0" shapeId="0">
      <text>
        <t xml:space="preserve">MORBIDI MAURIZIO:
Rev 04 + aggiornata di BL corrente.
04 x VZ_ES
</t>
      </text>
    </comment>
    <comment ref="K58" authorId="0" shapeId="0">
      <text>
        <t xml:space="preserve">MORBIDI MAURIZIO:
Rev 04 + aggiornata di BL corrente.
04 x VZ_ES
</t>
      </text>
    </comment>
    <comment ref="I61" authorId="0" shapeId="0">
      <text>
        <t>MORBIDI MAURIZIO:
Codice HRI = EC010008563</t>
      </text>
    </comment>
    <comment ref="B67" authorId="0" shapeId="0">
      <text>
        <t>MORBIDI MAURIZIO:
Non presente in Config Sheet ma gestito nello stesso modo tra le varie flotte</t>
      </text>
    </comment>
    <comment ref="H69" authorId="0" shapeId="0">
      <text>
        <t>MORBIDI MAURIZIO:
Disponibile rev E che include BL3 SSB</t>
      </text>
    </comment>
    <comment ref="E70" authorId="0" shapeId="0">
      <text>
        <t>MORBIDI MAURIZIO:
Rev J non trovata
Disponibile rev H</t>
      </text>
    </comment>
    <comment ref="E71" authorId="0" shapeId="0">
      <text>
        <t>MORBIDI MAURIZIO:
Rev J non trovata
Disponibile rev H</t>
      </text>
    </comment>
    <comment ref="E72" authorId="0" shapeId="0">
      <text>
        <t>MORBIDI MAURIZIO:
Rev J non trovata
Disponibile rev H</t>
      </text>
    </comment>
    <comment ref="E73" authorId="0" shapeId="0">
      <text>
        <t>MORBIDI MAURIZIO:
Rev J non trovata
Disponibile rev H</t>
      </text>
    </comment>
    <comment ref="E74" authorId="0" shapeId="0">
      <text>
        <t>MORBIDI MAURIZIO:
Rev J non trovata
Disponibile rev H</t>
      </text>
    </comment>
    <comment ref="E75" authorId="0" shapeId="0">
      <text>
        <t>MORBIDI MAURIZIO:
Rev J non trovata
Disponibile rev H</t>
      </text>
    </comment>
    <comment ref="H76" authorId="0" shapeId="0">
      <text>
        <t>MORBIDI MAURIZIO:
Disponibile rev F che include BL3 SSB</t>
      </text>
    </comment>
    <comment ref="H78" authorId="0" shapeId="0">
      <text>
        <t>MORBIDI MAURIZIO:
Disponibile rev E</t>
      </text>
    </comment>
    <comment ref="E79" authorId="0" shapeId="0">
      <text>
        <t>MORBIDI MAURIZIO:
Rev J non trovata
Disponibile rev H</t>
      </text>
    </comment>
    <comment ref="H79" authorId="0" shapeId="0">
      <text>
        <t>MORBIDI MAURIZIO:
Rev D mancante, disponibile rev C</t>
      </text>
    </comment>
    <comment ref="E80" authorId="0" shapeId="0">
      <text>
        <t>MORBIDI MAURIZIO:
Rev J non trovata
Disponibile rev H</t>
      </text>
    </comment>
    <comment ref="H80" authorId="0" shapeId="0">
      <text>
        <t>MORBIDI MAURIZIO:
Rev D mancante, disponibile rev C</t>
      </text>
    </comment>
    <comment ref="E81" authorId="0" shapeId="0">
      <text>
        <t>MORBIDI MAURIZIO:
Rev J non trovata
Disponibile rev H</t>
      </text>
    </comment>
    <comment ref="H81" authorId="0" shapeId="0">
      <text>
        <t>MORBIDI MAURIZIO:
Rev D mancante, disponibile rev C</t>
      </text>
    </comment>
    <comment ref="E82" authorId="0" shapeId="0">
      <text>
        <t>MORBIDI MAURIZIO:
Rev J non trovata
Disponibile rev H</t>
      </text>
    </comment>
    <comment ref="H82" authorId="0" shapeId="0">
      <text>
        <t>MORBIDI MAURIZIO:
Rev D mancante, disponibile rev C</t>
      </text>
    </comment>
    <comment ref="E83" authorId="0" shapeId="0">
      <text>
        <t>MORBIDI MAURIZIO:
Rev J non trovata
Disponibile rev H</t>
      </text>
    </comment>
    <comment ref="H83" authorId="0" shapeId="0">
      <text>
        <t>MORBIDI MAURIZIO:
Rev D mancante, disponibile rev C</t>
      </text>
    </comment>
    <comment ref="E84" authorId="0" shapeId="0">
      <text>
        <t>MORBIDI MAURIZIO:
Rev J non trovata
Disponibile rev H</t>
      </text>
    </comment>
    <comment ref="H84" authorId="0" shapeId="0">
      <text>
        <t>MORBIDI MAURIZIO:
Rev D mancante, disponibile rev C</t>
      </text>
    </comment>
    <comment ref="H85" authorId="0" shapeId="0">
      <text>
        <t>MORBIDI MAURIZIO:
Disponibile rev F</t>
      </text>
    </comment>
    <comment ref="H87" authorId="0" shapeId="0">
      <text>
        <t>MORBIDI MAURIZIO:
Disponibile rev E</t>
      </text>
    </comment>
    <comment ref="E88" authorId="0" shapeId="0">
      <text>
        <t>MORBIDI MAURIZIO:
Rev J non trovata
Disponibile rev H</t>
      </text>
    </comment>
    <comment ref="H88" authorId="0" shapeId="0">
      <text>
        <t>MORBIDI MAURIZIO:
Rev D mancante, disponibile rev C</t>
      </text>
    </comment>
    <comment ref="E89" authorId="0" shapeId="0">
      <text>
        <t>MORBIDI MAURIZIO:
Rev J non trovata
Disponibile rev H</t>
      </text>
    </comment>
    <comment ref="H89" authorId="0" shapeId="0">
      <text>
        <t>MORBIDI MAURIZIO:
Rev D mancante, disponibile rev C</t>
      </text>
    </comment>
    <comment ref="E90" authorId="0" shapeId="0">
      <text>
        <t>MORBIDI MAURIZIO:
Rev J non trovata
Disponibile rev H</t>
      </text>
    </comment>
    <comment ref="H90" authorId="0" shapeId="0">
      <text>
        <t>MORBIDI MAURIZIO:
Rev D mancante, disponibile rev C</t>
      </text>
    </comment>
    <comment ref="E91" authorId="0" shapeId="0">
      <text>
        <t>MORBIDI MAURIZIO:
Rev J non trovata
Disponibile rev H</t>
      </text>
    </comment>
    <comment ref="H91" authorId="0" shapeId="0">
      <text>
        <t>MORBIDI MAURIZIO:
Rev D mancante, disponibile rev C</t>
      </text>
    </comment>
    <comment ref="E92" authorId="0" shapeId="0">
      <text>
        <t>MORBIDI MAURIZIO:
Rev J non trovata
Disponibile rev H</t>
      </text>
    </comment>
    <comment ref="H92" authorId="0" shapeId="0">
      <text>
        <t>MORBIDI MAURIZIO:
Rev D mancante, disponibile rev C</t>
      </text>
    </comment>
    <comment ref="E93" authorId="0" shapeId="0">
      <text>
        <t>MORBIDI MAURIZIO:
Rev J non trovata
Disponibile rev H</t>
      </text>
    </comment>
    <comment ref="H93" authorId="0" shapeId="0">
      <text>
        <t>MORBIDI MAURIZIO:
Rev D mancante, disponibile rev C</t>
      </text>
    </comment>
    <comment ref="H94" authorId="0" shapeId="0">
      <text>
        <t>MORBIDI MAURIZIO:
Disponibile rev F</t>
      </text>
    </comment>
    <comment ref="B95" authorId="0" shapeId="0">
      <text>
        <t>MORBIDI MAURIZIO:
I doc ICD sono presenti sono in BL delle flotte R1. Laddove è stato possibile recuperarli, si inseriscono anche per le altre flotte ma non se ne conosce la BL associata e lo stato di aggiornamento</t>
      </text>
    </comment>
    <comment ref="Q96" authorId="0" shapeId="0">
      <text>
        <t>MORBIDI MAURIZIO:
Disponibile rev 00</t>
      </text>
    </comment>
    <comment ref="Q98" authorId="0" shapeId="0">
      <text>
        <t>MORBIDI MAURIZIO:
Disponibile rev 02</t>
      </text>
    </comment>
    <comment ref="Q100" authorId="0" shapeId="0">
      <text>
        <t>MORBIDI MAURIZIO:
Disponibile rev 00</t>
      </text>
    </comment>
    <comment ref="Q102" authorId="0" shapeId="0">
      <text>
        <t>MORBIDI MAURIZIO:
Disponibile rev 00</t>
      </text>
    </comment>
    <comment ref="Q104" authorId="0" shapeId="0">
      <text>
        <t>MORBIDI MAURIZIO:
Disponibile rev 02</t>
      </text>
    </comment>
    <comment ref="Q106" authorId="0" shapeId="0">
      <text>
        <t>MORBIDI MAURIZIO:
Disponibile rev 01</t>
      </text>
    </comment>
    <comment ref="Q108" authorId="0" shapeId="0">
      <text>
        <t>MORBIDI MAURIZIO:
Disponibile rev 00</t>
      </text>
    </comment>
    <comment ref="Q109" authorId="0" shapeId="0">
      <text>
        <t>MORBIDI MAURIZIO:
Disponibile rev 00</t>
      </text>
    </comment>
    <comment ref="Q110" authorId="0" shapeId="0">
      <text>
        <t>MORBIDI MAURIZIO:
Disponibile rev 00</t>
      </text>
    </comment>
    <comment ref="Q112" authorId="0" shapeId="0">
      <text>
        <t>MORBIDI MAURIZIO:
Disponibile in rev 00</t>
      </text>
    </comment>
    <comment ref="Q114" authorId="0" shapeId="0">
      <text>
        <t>MORBIDI MAURIZIO:
Disponibile rev 00</t>
      </text>
    </comment>
    <comment ref="Q117" authorId="0" shapeId="0">
      <text>
        <t>MORBIDI MAURIZIO:
Disponibile rev 02</t>
      </text>
    </comment>
    <comment ref="Q120" authorId="0" shapeId="0">
      <text>
        <t>MORBIDI MAURIZIO:
Disponibile rev 00</t>
      </text>
    </comment>
    <comment ref="Q121" authorId="0" shapeId="0">
      <text>
        <t>MORBIDI MAURIZIO:
Disponibile rev 01</t>
      </text>
    </comment>
  </commentList>
</comments>
</file>

<file path=xl/comments/comment2.xml><?xml version="1.0" encoding="utf-8"?>
<comments xmlns="http://schemas.openxmlformats.org/spreadsheetml/2006/main">
  <authors>
    <author>MORBIDI MAURIZIO</author>
  </authors>
  <commentList>
    <comment ref="E6" authorId="0" shapeId="0">
      <text>
        <t>MORBIDI MAURIZIO:
3 volumi uniti in un unico PDF</t>
      </text>
    </comment>
    <comment ref="E9" authorId="0" shapeId="0">
      <text>
        <t>MORBIDI MAURIZIO:
4 volumi uniti in un unico pdf</t>
      </text>
    </comment>
    <comment ref="E14" authorId="0" shapeId="0">
      <text>
        <t>MORBIDI MAURIZIO:
3 volumi uniti in un unico PDF</t>
      </text>
    </comment>
    <comment ref="A25" authorId="0" shapeId="0">
      <text>
        <t>MORBIDI MAURIZIO:
N/A</t>
      </text>
    </comment>
    <comment ref="A26" authorId="0" shapeId="0">
      <text>
        <t>MORBIDI MAURIZIO:
Manuale legato al vecchio 20A "ETCS generale". Ancora applicabile??</t>
      </text>
    </comment>
    <comment ref="A29" authorId="0" shapeId="0">
      <text>
        <t>MORBIDI MAURIZIO:
N/A ???</t>
      </text>
    </comment>
    <comment ref="A30" authorId="0" shapeId="0">
      <text>
        <t>MORBIDI MAURIZIO:
Manuale SSB di applicazione generica</t>
      </text>
    </comment>
    <comment ref="A31" authorId="0" shapeId="0">
      <text>
        <t>MORBIDI MAURIZIO:
Manuale SSB spacciato per applicazione specifica correlato al 20A, in realtà è una raccolta di foto e disegni in allegato</t>
      </text>
    </comment>
    <comment ref="A33" authorId="0" shapeId="0">
      <text>
        <t>MORBIDI MAURIZIO:
Ancora applicabile ??</t>
      </text>
    </comment>
    <comment ref="E37" authorId="0" shapeId="0">
      <text>
        <t>MORBIDI MAURIZIO:
4 volumi uniti in un unico pdf</t>
      </text>
    </comment>
  </commentList>
</comments>
</file>

<file path=xl/comments/comment3.xml><?xml version="1.0" encoding="utf-8"?>
<comments xmlns="http://schemas.openxmlformats.org/spreadsheetml/2006/main">
  <authors>
    <author>MORBIDI MAURIZIO</author>
  </authors>
  <commentList>
    <comment ref="C4" authorId="0" shapeId="0">
      <text>
        <t>MORBIDI MAURIZIO:
VZI_Base originale ha formato xlsb</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hyperlink" Target="../../../../:f:/r/sites/IngegneriaETReMezziLeggeri-Trenitalia/" TargetMode="External" Id="rId1"/></Relationships>
</file>

<file path=xl/worksheets/_rels/sheet5.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codeName="Foglio1">
    <outlinePr summaryBelow="1" summaryRight="1"/>
    <pageSetUpPr/>
  </sheetPr>
  <dimension ref="A1:C11"/>
  <sheetViews>
    <sheetView workbookViewId="0">
      <selection activeCell="C18" sqref="C18"/>
    </sheetView>
  </sheetViews>
  <sheetFormatPr baseColWidth="8" defaultColWidth="8.7109375" defaultRowHeight="15"/>
  <cols>
    <col width="10.85546875" customWidth="1" style="8" min="1" max="2"/>
    <col width="59" customWidth="1" style="8" min="3" max="3"/>
    <col width="8.7109375" customWidth="1" style="8" min="4" max="23"/>
    <col width="8.7109375" customWidth="1" style="8" min="24" max="16384"/>
  </cols>
  <sheetData>
    <row r="1" customFormat="1" s="107">
      <c r="A1" s="305" t="inlineStr">
        <is>
          <t>Rev</t>
        </is>
      </c>
      <c r="B1" s="305" t="inlineStr">
        <is>
          <t>Data</t>
        </is>
      </c>
      <c r="C1" s="305" t="inlineStr">
        <is>
          <t>Descrizione</t>
        </is>
      </c>
    </row>
    <row r="2">
      <c r="A2" s="233" t="inlineStr">
        <is>
          <t>1.0</t>
        </is>
      </c>
      <c r="B2" s="306" t="n">
        <v>46190</v>
      </c>
      <c r="C2" s="270" t="inlineStr">
        <is>
          <t>Presentazione bozza</t>
        </is>
      </c>
    </row>
    <row r="3">
      <c r="A3" s="233" t="inlineStr">
        <is>
          <t>1.x</t>
        </is>
      </c>
      <c r="B3" s="270" t="n"/>
      <c r="C3" s="270" t="inlineStr">
        <is>
          <t>Aggiornamenti template e integrazione documenti</t>
        </is>
      </c>
    </row>
    <row r="4">
      <c r="A4" s="233" t="inlineStr">
        <is>
          <t>1.7</t>
        </is>
      </c>
      <c r="B4" s="307" t="n">
        <v>46244</v>
      </c>
      <c r="C4" s="270" t="inlineStr">
        <is>
          <t>Integrata funzione AI per recupero info da FRS</t>
        </is>
      </c>
    </row>
    <row r="5">
      <c r="A5" s="233" t="inlineStr">
        <is>
          <t>1.8</t>
        </is>
      </c>
      <c r="B5" s="307" t="n">
        <v>46259</v>
      </c>
      <c r="C5" s="270" t="inlineStr">
        <is>
          <t>Aggiornamento doc BL 2.9 VZ_ES e BL 4.4_14 VZI_New14</t>
        </is>
      </c>
    </row>
    <row r="6">
      <c r="A6" s="270" t="n"/>
      <c r="B6" s="270" t="n"/>
      <c r="C6" s="270" t="n"/>
    </row>
    <row r="7">
      <c r="A7" s="270" t="n"/>
      <c r="B7" s="270" t="n"/>
      <c r="C7" s="270" t="n"/>
    </row>
    <row r="8">
      <c r="A8" s="270" t="n"/>
      <c r="B8" s="270" t="n"/>
      <c r="C8" s="270" t="n"/>
    </row>
    <row r="9">
      <c r="A9" s="270" t="n"/>
      <c r="B9" s="270" t="n"/>
      <c r="C9" s="270" t="n"/>
    </row>
    <row r="10">
      <c r="A10" s="270" t="n"/>
      <c r="B10" s="270" t="n"/>
      <c r="C10" s="270" t="n"/>
    </row>
    <row r="11">
      <c r="A11" s="270" t="n"/>
      <c r="B11" s="270" t="n"/>
      <c r="C11" s="270" t="n"/>
    </row>
  </sheetData>
  <pageMargins left="0.7" right="0.7" top="0.75" bottom="0.75" header="0.3" footer="0.3"/>
</worksheet>
</file>

<file path=xl/worksheets/sheet2.xml><?xml version="1.0" encoding="utf-8"?>
<worksheet xmlns="http://schemas.openxmlformats.org/spreadsheetml/2006/main">
  <sheetPr codeName="Foglio2">
    <outlinePr summaryBelow="1" summaryRight="1"/>
    <pageSetUpPr/>
  </sheetPr>
  <dimension ref="A1:E13"/>
  <sheetViews>
    <sheetView workbookViewId="0">
      <selection activeCell="A2" sqref="A2:XFD5"/>
    </sheetView>
  </sheetViews>
  <sheetFormatPr baseColWidth="8" defaultColWidth="8.7109375" defaultRowHeight="15"/>
  <cols>
    <col width="15.5703125" customWidth="1" style="9" min="1" max="1"/>
    <col width="13.85546875" customWidth="1" style="9" min="2" max="2"/>
    <col width="8.7109375" customWidth="1" style="9" min="3" max="3"/>
    <col width="120.7109375" customWidth="1" style="59" min="4" max="4"/>
    <col width="60.140625" customWidth="1" style="59" min="5" max="5"/>
    <col width="8.7109375" customWidth="1" style="8" min="6" max="25"/>
    <col width="8.7109375" customWidth="1" style="8" min="26" max="16384"/>
  </cols>
  <sheetData>
    <row r="1" ht="23.45" customFormat="1" customHeight="1" s="109">
      <c r="A1" s="305" t="inlineStr">
        <is>
          <t>Data</t>
        </is>
      </c>
      <c r="B1" s="305" t="inlineStr">
        <is>
          <t>Chi</t>
        </is>
      </c>
      <c r="C1" s="305" t="inlineStr">
        <is>
          <t>Priorità</t>
        </is>
      </c>
      <c r="D1" s="308" t="inlineStr">
        <is>
          <t>Descrizione</t>
        </is>
      </c>
      <c r="E1" s="308" t="inlineStr">
        <is>
          <t>Note</t>
        </is>
      </c>
    </row>
    <row r="2" ht="30" customHeight="1" s="480">
      <c r="A2" s="158" t="n">
        <v>46190</v>
      </c>
      <c r="B2" s="9" t="inlineStr">
        <is>
          <t>Federico</t>
        </is>
      </c>
      <c r="C2" s="9" t="inlineStr">
        <is>
          <t>Alta</t>
        </is>
      </c>
      <c r="D2" s="59" t="inlineStr">
        <is>
          <t>protezione azionamenti</t>
        </is>
      </c>
      <c r="E2" s="59" t="inlineStr">
        <is>
          <t>da ricercare all'interno dei documenti, una volta collezionati tutti i doc disponibili sulla trazione</t>
        </is>
      </c>
    </row>
    <row r="3">
      <c r="A3" s="158" t="n">
        <v>46190</v>
      </c>
      <c r="B3" s="9" t="inlineStr">
        <is>
          <t>Federico</t>
        </is>
      </c>
      <c r="C3" s="9" t="inlineStr">
        <is>
          <t>Alta</t>
        </is>
      </c>
      <c r="D3" s="59" t="inlineStr">
        <is>
          <t>ricerca doc propulsion</t>
        </is>
      </c>
      <c r="E3" s="59" t="inlineStr">
        <is>
          <t>in corso sui vari SGF</t>
        </is>
      </c>
    </row>
    <row r="4">
      <c r="A4" s="158" t="n">
        <v>46190</v>
      </c>
      <c r="B4" s="9" t="inlineStr">
        <is>
          <t>Maurizio</t>
        </is>
      </c>
      <c r="C4" s="9" t="inlineStr">
        <is>
          <t>Alta</t>
        </is>
      </c>
      <c r="D4" s="59" t="inlineStr">
        <is>
          <t>legare manuali e CPR a documenti CONF</t>
        </is>
      </c>
      <c r="E4" s="59" t="inlineStr">
        <is>
          <t>eseguito manualmente, TBD legame automatico (vedi pt sotto)</t>
        </is>
      </c>
    </row>
    <row r="5" ht="45" customHeight="1" s="480">
      <c r="A5" s="158" t="n">
        <v>46190</v>
      </c>
      <c r="B5" s="9" t="inlineStr">
        <is>
          <t>Federico</t>
        </is>
      </c>
      <c r="C5" s="9" t="inlineStr">
        <is>
          <t>Alta</t>
        </is>
      </c>
      <c r="D5" s="59" t="inlineStr">
        <is>
          <t>provare integrazione copilot</t>
        </is>
      </c>
      <c r="E5" s="59" t="inlineStr">
        <is>
          <t>Eseguita prova su FRS_Line_Voltage con compilazione automatica colonna B di Funzioni. Riutilizzabile per prossime FUNC ID</t>
        </is>
      </c>
    </row>
    <row r="6">
      <c r="A6" s="158" t="n">
        <v>46189</v>
      </c>
      <c r="B6" s="9" t="inlineStr">
        <is>
          <t>Maurizio</t>
        </is>
      </c>
      <c r="C6" s="9" t="inlineStr">
        <is>
          <t>Bassa</t>
        </is>
      </c>
      <c r="D6" s="59" t="inlineStr">
        <is>
          <t>Definire struttura codice FUNC ID</t>
        </is>
      </c>
      <c r="E6" s="59" t="inlineStr">
        <is>
          <t>Valutare se necessario</t>
        </is>
      </c>
    </row>
    <row r="7" ht="45" customHeight="1" s="480">
      <c r="A7" s="158" t="n">
        <v>46189</v>
      </c>
      <c r="B7" s="9" t="inlineStr">
        <is>
          <t>Maurizio</t>
        </is>
      </c>
      <c r="C7" s="9" t="inlineStr">
        <is>
          <t>Media</t>
        </is>
      </c>
      <c r="D7" s="59" t="inlineStr">
        <is>
          <t>Diagnostica:
- Reperire documentazione diagnostica EVENTI + AWO per flotta
- Definire modalità archiviazione file diagnostici per flotta e referenziazione in FUNZIONI</t>
        </is>
      </c>
      <c r="E7" s="59" t="inlineStr">
        <is>
          <t>Alcuni doc già recuperati, da definire criterio di archiviazione</t>
        </is>
      </c>
    </row>
    <row r="8">
      <c r="A8" s="158" t="n">
        <v>46189</v>
      </c>
      <c r="B8" s="9" t="inlineStr">
        <is>
          <t>Maurizio</t>
        </is>
      </c>
      <c r="C8" s="9" t="inlineStr">
        <is>
          <t>Bassa</t>
        </is>
      </c>
      <c r="D8" s="59" t="inlineStr">
        <is>
          <t>Rivedere/Completare PBS</t>
        </is>
      </c>
      <c r="E8" s="59" t="inlineStr">
        <is>
          <t>TBD</t>
        </is>
      </c>
    </row>
    <row r="9">
      <c r="A9" s="158" t="n">
        <v>46189</v>
      </c>
      <c r="B9" s="9" t="inlineStr">
        <is>
          <t>Maurizio</t>
        </is>
      </c>
      <c r="C9" s="9" t="inlineStr">
        <is>
          <t>Bassa</t>
        </is>
      </c>
      <c r="D9" s="62" t="inlineStr">
        <is>
          <t>Legare FUNZIONI a PBS ???</t>
        </is>
      </c>
      <c r="E9" s="59" t="inlineStr">
        <is>
          <t>TBD</t>
        </is>
      </c>
    </row>
    <row r="10">
      <c r="A10" s="158" t="n">
        <v>46189</v>
      </c>
      <c r="B10" s="9" t="inlineStr">
        <is>
          <t>Maurizio</t>
        </is>
      </c>
      <c r="C10" s="9" t="inlineStr">
        <is>
          <t>Bassa</t>
        </is>
      </c>
      <c r="D10" s="59" t="inlineStr">
        <is>
          <t>Pensare a come gestire in Funzioni, l'aggiornamento dei documenti richiamati. ES aggiungere campo data???</t>
        </is>
      </c>
      <c r="E10" s="59" t="inlineStr">
        <is>
          <t>TBD</t>
        </is>
      </c>
    </row>
    <row r="11" ht="60" customHeight="1" s="480">
      <c r="A11" s="158" t="n">
        <v>46196</v>
      </c>
      <c r="B11" s="9" t="inlineStr">
        <is>
          <t>Maurizio</t>
        </is>
      </c>
      <c r="C11" s="9" t="inlineStr">
        <is>
          <t>Alta</t>
        </is>
      </c>
      <c r="D11" s="208" t="inlineStr">
        <is>
          <t>Valutare se inserire colonna File Type in Conf Sheet per poter referenziare anche documenti diversi da pdf (es. file excel degli annex ICD)
In tal caso modificare la costruzione del link in Funzioni</t>
        </is>
      </c>
      <c r="E11" s="59" t="inlineStr">
        <is>
          <t>la diversa tipologia di doc a disposizione potrebbe generare problemi nel referenziare i doc tramite link. Agganciare i link ad una colonna che indica il tipo di documento bypassa il problema del formato</t>
        </is>
      </c>
    </row>
    <row r="12" ht="105" customHeight="1" s="480">
      <c r="A12" s="158" t="n">
        <v>46196</v>
      </c>
      <c r="B12" s="9" t="inlineStr">
        <is>
          <t>Maurizio</t>
        </is>
      </c>
      <c r="C12" s="9" t="inlineStr">
        <is>
          <t>Alta</t>
        </is>
      </c>
      <c r="D12" s="208" t="inlineStr">
        <is>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is>
      </c>
      <c r="E12" s="59" t="inlineStr">
        <is>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is>
      </c>
    </row>
    <row r="13" ht="30" customHeight="1" s="480">
      <c r="A13" s="158" t="n">
        <v>46197</v>
      </c>
      <c r="B13" s="9" t="inlineStr">
        <is>
          <t>Federico</t>
        </is>
      </c>
      <c r="C13" s="9" t="inlineStr">
        <is>
          <t>Media</t>
        </is>
      </c>
      <c r="D13" s="59" t="inlineStr">
        <is>
          <t>Pensare a come esportare il file in formato di HTML per poter essere navigabile via broswer</t>
        </is>
      </c>
      <c r="E13" s="59" t="inlineStr">
        <is>
          <t>Potrebbe essere utile in caso sia necessario reperire informazioni quando siamo a bordo treno anche da Telefono</t>
        </is>
      </c>
    </row>
  </sheetData>
  <pageMargins left="0.7" right="0.7" top="0.75" bottom="0.75" header="0.3" footer="0.3"/>
</worksheet>
</file>

<file path=xl/worksheets/sheet3.xml><?xml version="1.0" encoding="utf-8"?>
<worksheet xmlns="http://schemas.openxmlformats.org/spreadsheetml/2006/main">
  <sheetPr codeName="Foglio7">
    <outlinePr summaryBelow="1" summaryRight="1"/>
    <pageSetUpPr/>
  </sheetPr>
  <dimension ref="A1:E13"/>
  <sheetViews>
    <sheetView workbookViewId="0">
      <selection activeCell="D27" sqref="D27"/>
    </sheetView>
  </sheetViews>
  <sheetFormatPr baseColWidth="8" defaultColWidth="8.7109375" defaultRowHeight="15"/>
  <cols>
    <col width="30.85546875" bestFit="1" customWidth="1" style="8" min="1" max="1"/>
    <col width="23.85546875" bestFit="1" customWidth="1" style="8" min="2" max="2"/>
    <col width="6.5703125" bestFit="1" customWidth="1" style="8" min="3" max="3"/>
    <col width="139.42578125" bestFit="1" customWidth="1" style="60" min="4" max="4"/>
    <col width="8.7109375" customWidth="1" style="9" min="5" max="5"/>
    <col width="8.7109375" customWidth="1" style="8" min="6" max="25"/>
    <col width="8.7109375" customWidth="1" style="8" min="26" max="16384"/>
  </cols>
  <sheetData>
    <row r="1" ht="21.6" customHeight="1" s="480">
      <c r="A1" s="100" t="inlineStr">
        <is>
          <t>DESCRIZIONE</t>
        </is>
      </c>
      <c r="B1" s="100" t="inlineStr">
        <is>
          <t>NOME</t>
        </is>
      </c>
      <c r="C1" s="100" t="inlineStr">
        <is>
          <t>Livello</t>
        </is>
      </c>
      <c r="D1" s="101" t="inlineStr">
        <is>
          <t>INDIRIZZO</t>
        </is>
      </c>
      <c r="E1" s="101" t="inlineStr">
        <is>
          <t>LINK</t>
        </is>
      </c>
    </row>
    <row r="2" ht="21.6" customHeight="1" s="480">
      <c r="A2" s="9" t="inlineStr">
        <is>
          <t>Root Sharepoint</t>
        </is>
      </c>
      <c r="B2" s="9" t="inlineStr">
        <is>
          <t>Sharepoint</t>
        </is>
      </c>
      <c r="C2" s="9" t="n">
        <v>0</v>
      </c>
      <c r="D2" s="99" t="inlineStr">
        <is>
          <t>https://gruppofsitaliane.sharepoint.com/:f:/r/sites/IngegneriaETReMezziLeggeri-Trenitalia/</t>
        </is>
      </c>
      <c r="E2" s="108">
        <f>HYPERLINK(D2,"🔗")</f>
        <v/>
      </c>
    </row>
    <row r="3" ht="21.6" customHeight="1" s="480">
      <c r="A3" s="9" t="inlineStr">
        <is>
          <t>Cartella Documenti Ingegneria</t>
        </is>
      </c>
      <c r="B3" s="9" t="inlineStr">
        <is>
          <t>Shared%20Documents/</t>
        </is>
      </c>
      <c r="C3" s="9" t="n">
        <v>1</v>
      </c>
      <c r="D3" s="99">
        <f>CONCATENATE($D$2,B3)</f>
        <v/>
      </c>
      <c r="E3" s="108">
        <f>HYPERLINK(D3,"🔗")</f>
        <v/>
      </c>
    </row>
    <row r="4" ht="21.6" customHeight="1" s="480">
      <c r="A4" s="9" t="inlineStr">
        <is>
          <t>Cartella Archiviazione doc ETR1000</t>
        </is>
      </c>
      <c r="B4" s="9" t="inlineStr">
        <is>
          <t>DB_ETR1000/</t>
        </is>
      </c>
      <c r="C4" s="9" t="n">
        <v>2</v>
      </c>
      <c r="D4" s="99">
        <f>CONCATENATE($D$3,B4)</f>
        <v/>
      </c>
      <c r="E4" s="108">
        <f>HYPERLINK(D4,"🔗")</f>
        <v/>
      </c>
    </row>
    <row r="5" ht="21.6" customHeight="1" s="480">
      <c r="A5" s="9" t="inlineStr">
        <is>
          <t>Documenti di configurazione</t>
        </is>
      </c>
      <c r="B5" s="9" t="inlineStr">
        <is>
          <t>DOC_FLOTTE/</t>
        </is>
      </c>
      <c r="C5" s="9" t="n">
        <v>3</v>
      </c>
      <c r="D5" s="99">
        <f>CONCATENATE($D$4,B5)</f>
        <v/>
      </c>
      <c r="E5" s="108">
        <f>HYPERLINK(D5,"🔗")</f>
        <v/>
      </c>
    </row>
    <row r="6" ht="21.6" customHeight="1" s="480">
      <c r="A6" s="9" t="inlineStr">
        <is>
          <t>Raccolta documentazione Funzioni</t>
        </is>
      </c>
      <c r="B6" s="9" t="inlineStr">
        <is>
          <t>DOC_FUNC/</t>
        </is>
      </c>
      <c r="C6" s="9" t="n">
        <v>3</v>
      </c>
      <c r="D6" s="99">
        <f>CONCATENATE($D$4,B6)</f>
        <v/>
      </c>
      <c r="E6" s="108">
        <f>HYPERLINK(D6,"🔗")</f>
        <v/>
      </c>
    </row>
    <row r="7" ht="21.95" customHeight="1" s="480"/>
    <row r="8" ht="21.95" customHeight="1" s="480"/>
    <row r="9" ht="21.95" customHeight="1" s="480"/>
    <row r="10" ht="21.95" customHeight="1" s="480">
      <c r="A10" s="8" t="inlineStr">
        <is>
          <t>VINCOLI</t>
        </is>
      </c>
    </row>
    <row r="11" ht="21.95" customHeight="1" s="480">
      <c r="A11" s="8" t="inlineStr">
        <is>
          <t>Id Flotta</t>
        </is>
      </c>
      <c r="B11" s="8" t="inlineStr">
        <is>
          <t>Riga 1</t>
        </is>
      </c>
    </row>
    <row r="12" ht="21.95" customHeight="1" s="480">
      <c r="A12" s="8" t="inlineStr">
        <is>
          <t>DOC ID</t>
        </is>
      </c>
      <c r="B12" s="8" t="inlineStr">
        <is>
          <t>Colonna B</t>
        </is>
      </c>
    </row>
    <row r="13">
      <c r="A13" s="8" t="inlineStr">
        <is>
          <t>DOC EXT</t>
        </is>
      </c>
      <c r="B13" s="8" t="inlineStr">
        <is>
          <t>Colonna C</t>
        </is>
      </c>
    </row>
  </sheetData>
  <hyperlinks>
    <hyperlink xmlns:r="http://schemas.openxmlformats.org/officeDocument/2006/relationships" ref="D2" r:id="rId1"/>
  </hyperlinks>
  <pageMargins left="0.7" right="0.7" top="0.75" bottom="0.75" header="0.3" footer="0.3"/>
  <pageSetup orientation="portrait" paperSize="9" horizontalDpi="1200" verticalDpi="1200"/>
</worksheet>
</file>

<file path=xl/worksheets/sheet4.xml><?xml version="1.0" encoding="utf-8"?>
<worksheet xmlns="http://schemas.openxmlformats.org/spreadsheetml/2006/main">
  <sheetPr codeName="Foglio3">
    <tabColor theme="4" tint="0.3999755851924192"/>
    <outlinePr summaryBelow="1" summaryRight="1"/>
    <pageSetUpPr/>
  </sheetPr>
  <dimension ref="A1:BW9"/>
  <sheetViews>
    <sheetView zoomScaleNormal="100" workbookViewId="0">
      <selection activeCell="B3" sqref="B3"/>
    </sheetView>
  </sheetViews>
  <sheetFormatPr baseColWidth="8" defaultRowHeight="15"/>
  <cols>
    <col width="19.42578125" bestFit="1" customWidth="1" style="480" min="1" max="1"/>
    <col width="17.5703125" customWidth="1" style="480" min="2" max="3"/>
    <col width="15.42578125" customWidth="1" style="480" min="4" max="4"/>
    <col width="15.140625" customWidth="1" style="480" min="5" max="5"/>
    <col width="11" customWidth="1" style="7" min="6" max="6"/>
    <col width="3.85546875" bestFit="1" customWidth="1" style="7" min="7" max="52"/>
    <col width="2.85546875" bestFit="1" customWidth="1" style="7" min="53" max="69"/>
    <col width="3.85546875" bestFit="1" customWidth="1" style="7" min="70" max="75"/>
  </cols>
  <sheetData>
    <row r="1" ht="30.95" customFormat="1" customHeight="1" s="8" thickBot="1">
      <c r="A1" s="120" t="inlineStr">
        <is>
          <t>Nome flotta</t>
        </is>
      </c>
      <c r="B1" s="121" t="inlineStr">
        <is>
          <t>ID flotta</t>
        </is>
      </c>
      <c r="C1" s="128" t="inlineStr">
        <is>
          <t>ID flotta "nativa"</t>
        </is>
      </c>
      <c r="D1" s="127" t="inlineStr">
        <is>
          <t>Ultima BL rilasciata</t>
        </is>
      </c>
      <c r="E1" s="122" t="inlineStr">
        <is>
          <t>Conf Sheet aggiornata a BL</t>
        </is>
      </c>
      <c r="F1" s="123" t="inlineStr">
        <is>
          <t>TOT Treni</t>
        </is>
      </c>
      <c r="G1" s="124" t="inlineStr">
        <is>
          <t>NUMERI TRENO</t>
        </is>
      </c>
      <c r="H1" s="125" t="n"/>
      <c r="I1" s="125" t="n"/>
      <c r="J1" s="125" t="n"/>
      <c r="K1" s="125" t="n"/>
      <c r="L1" s="125" t="n"/>
      <c r="M1" s="125" t="n"/>
      <c r="N1" s="125" t="n"/>
      <c r="O1" s="125" t="n"/>
      <c r="P1" s="125" t="n"/>
      <c r="Q1" s="125" t="n"/>
      <c r="R1" s="125" t="n"/>
      <c r="S1" s="125" t="n"/>
      <c r="T1" s="125" t="n"/>
      <c r="U1" s="125" t="n"/>
      <c r="V1" s="125" t="n"/>
      <c r="W1" s="125" t="n"/>
      <c r="X1" s="125" t="n"/>
      <c r="Y1" s="125" t="n"/>
      <c r="Z1" s="125" t="n"/>
      <c r="AA1" s="125" t="n"/>
      <c r="AB1" s="125" t="n"/>
      <c r="AC1" s="125" t="n"/>
      <c r="AD1" s="125" t="n"/>
      <c r="AE1" s="125" t="n"/>
      <c r="AF1" s="125" t="n"/>
      <c r="AG1" s="125" t="n"/>
      <c r="AH1" s="125" t="n"/>
      <c r="AI1" s="125" t="n"/>
      <c r="AJ1" s="125" t="n"/>
      <c r="AK1" s="125" t="n"/>
      <c r="AL1" s="125" t="n"/>
      <c r="AM1" s="125" t="n"/>
      <c r="AN1" s="125" t="n"/>
      <c r="AO1" s="125" t="n"/>
      <c r="AP1" s="125" t="n"/>
      <c r="AQ1" s="125" t="n"/>
      <c r="AR1" s="125" t="n"/>
      <c r="AS1" s="125" t="n"/>
      <c r="AT1" s="125" t="n"/>
      <c r="AU1" s="125" t="n"/>
      <c r="AV1" s="125" t="n"/>
      <c r="AW1" s="125" t="n"/>
      <c r="AX1" s="125" t="n"/>
      <c r="AY1" s="125" t="n"/>
      <c r="AZ1" s="125" t="n"/>
      <c r="BA1" s="125" t="n"/>
      <c r="BB1" s="125" t="n"/>
      <c r="BC1" s="125" t="n"/>
      <c r="BD1" s="125" t="n"/>
      <c r="BE1" s="125" t="n"/>
      <c r="BF1" s="125" t="n"/>
      <c r="BG1" s="125" t="n"/>
      <c r="BH1" s="125" t="n"/>
      <c r="BI1" s="125" t="n"/>
      <c r="BJ1" s="125" t="n"/>
      <c r="BK1" s="125" t="n"/>
      <c r="BL1" s="125" t="n"/>
      <c r="BM1" s="125" t="n"/>
      <c r="BN1" s="125" t="n"/>
      <c r="BO1" s="125" t="n"/>
      <c r="BP1" s="125" t="n"/>
      <c r="BQ1" s="125" t="n"/>
      <c r="BR1" s="125" t="n"/>
      <c r="BS1" s="125" t="n"/>
      <c r="BT1" s="125" t="n"/>
      <c r="BU1" s="125" t="n"/>
      <c r="BV1" s="125" t="n"/>
      <c r="BW1" s="126" t="n"/>
    </row>
    <row r="2" ht="32.1" customFormat="1" customHeight="1" s="8">
      <c r="A2" s="129" t="inlineStr">
        <is>
          <t>VZI-50_IT Flotta base</t>
        </is>
      </c>
      <c r="B2" s="309" t="inlineStr">
        <is>
          <t>VZI_Base</t>
        </is>
      </c>
      <c r="C2" s="130" t="inlineStr">
        <is>
          <t>VZI_Base</t>
        </is>
      </c>
      <c r="D2" s="131" t="inlineStr">
        <is>
          <t>6.3 ?</t>
        </is>
      </c>
      <c r="E2" s="132" t="inlineStr">
        <is>
          <t>6.0
27/09/24</t>
        </is>
      </c>
      <c r="F2" s="133">
        <f>COUNTIF(G2:BW2,"&lt;&gt;")</f>
        <v/>
      </c>
      <c r="G2" s="5" t="n">
        <v>1</v>
      </c>
      <c r="H2" s="254" t="n">
        <v>2</v>
      </c>
      <c r="I2" s="254" t="n">
        <v>3</v>
      </c>
      <c r="J2" s="254" t="n">
        <v>4</v>
      </c>
      <c r="K2" s="254" t="n">
        <v>5</v>
      </c>
      <c r="L2" s="254" t="n">
        <v>6</v>
      </c>
      <c r="M2" s="254" t="n">
        <v>7</v>
      </c>
      <c r="N2" s="254" t="n">
        <v>8</v>
      </c>
      <c r="O2" s="254" t="n">
        <v>9</v>
      </c>
      <c r="P2" s="254" t="n">
        <v>10</v>
      </c>
      <c r="Q2" s="254" t="n">
        <v>11</v>
      </c>
      <c r="R2" s="254" t="n">
        <v>12</v>
      </c>
      <c r="S2" s="254" t="n">
        <v>13</v>
      </c>
      <c r="T2" s="254" t="n">
        <v>14</v>
      </c>
      <c r="U2" s="254" t="n"/>
      <c r="V2" s="254" t="n">
        <v>16</v>
      </c>
      <c r="W2" s="254" t="n">
        <v>17</v>
      </c>
      <c r="X2" s="254" t="n">
        <v>18</v>
      </c>
      <c r="Y2" s="254" t="n">
        <v>19</v>
      </c>
      <c r="Z2" s="254" t="n"/>
      <c r="AA2" s="310" t="n">
        <v>21</v>
      </c>
      <c r="AB2" s="254" t="n">
        <v>22</v>
      </c>
      <c r="AC2" s="254" t="n"/>
      <c r="AD2" s="254" t="n">
        <v>24</v>
      </c>
      <c r="AE2" s="254" t="n"/>
      <c r="AF2" s="254" t="n">
        <v>26</v>
      </c>
      <c r="AG2" s="254" t="n">
        <v>27</v>
      </c>
      <c r="AH2" s="254" t="n"/>
      <c r="AI2" s="254" t="n">
        <v>29</v>
      </c>
      <c r="AJ2" s="254" t="n">
        <v>30</v>
      </c>
      <c r="AK2" s="254" t="n"/>
      <c r="AL2" s="254" t="n">
        <v>32</v>
      </c>
      <c r="AM2" s="254" t="n">
        <v>33</v>
      </c>
      <c r="AN2" s="254" t="n">
        <v>34</v>
      </c>
      <c r="AO2" s="254" t="n"/>
      <c r="AP2" s="254" t="n">
        <v>36</v>
      </c>
      <c r="AQ2" s="254" t="n">
        <v>37</v>
      </c>
      <c r="AR2" s="254" t="n">
        <v>38</v>
      </c>
      <c r="AS2" s="254" t="n">
        <v>39</v>
      </c>
      <c r="AT2" s="254" t="n">
        <v>40</v>
      </c>
      <c r="AU2" s="254" t="n">
        <v>41</v>
      </c>
      <c r="AV2" s="254" t="n">
        <v>42</v>
      </c>
      <c r="AW2" s="254" t="n">
        <v>43</v>
      </c>
      <c r="AX2" s="254" t="n"/>
      <c r="AY2" s="254" t="n">
        <v>45</v>
      </c>
      <c r="AZ2" s="254" t="n">
        <v>46</v>
      </c>
      <c r="BA2" s="254" t="n"/>
      <c r="BB2" s="254" t="n">
        <v>48</v>
      </c>
      <c r="BC2" s="254" t="n"/>
      <c r="BD2" s="254" t="n"/>
      <c r="BE2" s="254" t="n">
        <v>46</v>
      </c>
      <c r="BF2" s="254" t="n">
        <v>47</v>
      </c>
      <c r="BG2" s="254" t="n">
        <v>48</v>
      </c>
      <c r="BH2" s="254" t="n">
        <v>49</v>
      </c>
      <c r="BI2" s="254" t="n">
        <v>50</v>
      </c>
      <c r="BJ2" s="254" t="n"/>
      <c r="BK2" s="254" t="n"/>
      <c r="BL2" s="254" t="n"/>
      <c r="BM2" s="254" t="n"/>
      <c r="BN2" s="254" t="n"/>
      <c r="BO2" s="254" t="n"/>
      <c r="BP2" s="254" t="n"/>
      <c r="BQ2" s="254" t="n"/>
      <c r="BR2" s="254" t="n"/>
      <c r="BS2" s="254" t="n"/>
      <c r="BT2" s="254" t="n"/>
      <c r="BU2" s="254" t="n"/>
      <c r="BV2" s="254" t="n"/>
      <c r="BW2" s="134" t="n"/>
    </row>
    <row r="3" ht="32.1" customFormat="1" customHeight="1" s="8">
      <c r="A3" s="135" t="inlineStr">
        <is>
          <t>VZI-51-58_IT
(New 14)</t>
        </is>
      </c>
      <c r="B3" s="311" t="inlineStr">
        <is>
          <t>VZI_New14</t>
        </is>
      </c>
      <c r="C3" s="136" t="inlineStr">
        <is>
          <t>VZI_Base</t>
        </is>
      </c>
      <c r="D3" s="312" t="inlineStr">
        <is>
          <t>4.4_14
09/07/2026</t>
        </is>
      </c>
      <c r="E3" s="295" t="inlineStr">
        <is>
          <t>4.4_14
09/07/2026</t>
        </is>
      </c>
      <c r="F3" s="138">
        <f>COUNTIF(G3:BW3,"&lt;&gt;")</f>
        <v/>
      </c>
      <c r="G3" s="236" t="n"/>
      <c r="H3" s="233" t="n"/>
      <c r="I3" s="233" t="n"/>
      <c r="J3" s="233" t="n"/>
      <c r="K3" s="233" t="n"/>
      <c r="L3" s="233" t="n"/>
      <c r="M3" s="233" t="n"/>
      <c r="N3" s="233" t="n"/>
      <c r="O3" s="233" t="n"/>
      <c r="P3" s="233" t="n"/>
      <c r="Q3" s="233" t="n"/>
      <c r="R3" s="233" t="n"/>
      <c r="S3" s="233" t="n"/>
      <c r="T3" s="233" t="n"/>
      <c r="U3" s="233" t="n"/>
      <c r="V3" s="233" t="n"/>
      <c r="W3" s="233" t="n"/>
      <c r="X3" s="233" t="n"/>
      <c r="Y3" s="233" t="n"/>
      <c r="Z3" s="233" t="n"/>
      <c r="AA3" s="233" t="n"/>
      <c r="AB3" s="233" t="n"/>
      <c r="AC3" s="233" t="n"/>
      <c r="AD3" s="233" t="n"/>
      <c r="AE3" s="233" t="n"/>
      <c r="AF3" s="233" t="n"/>
      <c r="AG3" s="233" t="n"/>
      <c r="AH3" s="233" t="n"/>
      <c r="AI3" s="233" t="n"/>
      <c r="AJ3" s="233" t="n"/>
      <c r="AK3" s="233" t="n"/>
      <c r="AL3" s="233" t="n"/>
      <c r="AM3" s="233" t="n"/>
      <c r="AN3" s="233" t="n"/>
      <c r="AO3" s="233" t="n"/>
      <c r="AP3" s="233" t="n"/>
      <c r="AQ3" s="233" t="n"/>
      <c r="AR3" s="233" t="n"/>
      <c r="AS3" s="233" t="n"/>
      <c r="AT3" s="233" t="n"/>
      <c r="AU3" s="233" t="n"/>
      <c r="AV3" s="233" t="n"/>
      <c r="AW3" s="233" t="n"/>
      <c r="AX3" s="233" t="n"/>
      <c r="AY3" s="233" t="n"/>
      <c r="AZ3" s="233" t="n"/>
      <c r="BA3" s="233" t="n"/>
      <c r="BB3" s="233" t="n"/>
      <c r="BC3" s="233" t="n"/>
      <c r="BD3" s="233" t="n"/>
      <c r="BE3" s="233" t="n"/>
      <c r="BF3" s="233" t="n"/>
      <c r="BG3" s="233" t="n"/>
      <c r="BH3" s="233" t="n"/>
      <c r="BI3" s="233" t="n"/>
      <c r="BJ3" s="233" t="n">
        <v>51</v>
      </c>
      <c r="BK3" s="233" t="n">
        <v>52</v>
      </c>
      <c r="BL3" s="233" t="n">
        <v>53</v>
      </c>
      <c r="BM3" s="233" t="n">
        <v>54</v>
      </c>
      <c r="BN3" s="233" t="n">
        <v>55</v>
      </c>
      <c r="BO3" s="233" t="n">
        <v>56</v>
      </c>
      <c r="BP3" s="233" t="n">
        <v>57</v>
      </c>
      <c r="BQ3" s="233" t="n">
        <v>58</v>
      </c>
      <c r="BR3" s="233" t="n"/>
      <c r="BS3" s="233" t="n"/>
      <c r="BT3" s="233" t="n"/>
      <c r="BU3" s="233" t="n"/>
      <c r="BV3" s="233" t="n"/>
      <c r="BW3" s="139" t="n"/>
    </row>
    <row r="4" ht="32.1" customFormat="1" customHeight="1" s="8">
      <c r="A4" s="140" t="inlineStr">
        <is>
          <t>VZ_IF Francia</t>
        </is>
      </c>
      <c r="B4" s="311" t="inlineStr">
        <is>
          <t>VZ_IF</t>
        </is>
      </c>
      <c r="C4" s="136" t="inlineStr">
        <is>
          <t>VZI_Base</t>
        </is>
      </c>
      <c r="D4" s="313" t="inlineStr">
        <is>
          <t>4.3_IF
04/04/2025</t>
        </is>
      </c>
      <c r="E4" s="137" t="inlineStr">
        <is>
          <t>4.0_F
10/04/2024</t>
        </is>
      </c>
      <c r="F4" s="138">
        <f>COUNTIF(G4:BW4,"&lt;&gt;")</f>
        <v/>
      </c>
      <c r="G4" s="236" t="n"/>
      <c r="H4" s="233" t="n"/>
      <c r="I4" s="233" t="n"/>
      <c r="J4" s="233" t="n"/>
      <c r="K4" s="233" t="n"/>
      <c r="L4" s="233" t="n"/>
      <c r="M4" s="233" t="n"/>
      <c r="N4" s="233" t="n"/>
      <c r="O4" s="233" t="n"/>
      <c r="P4" s="233" t="n"/>
      <c r="Q4" s="233" t="n"/>
      <c r="R4" s="233" t="n"/>
      <c r="S4" s="233" t="n"/>
      <c r="T4" s="233" t="n"/>
      <c r="U4" s="233" t="n">
        <v>15</v>
      </c>
      <c r="V4" s="233" t="n"/>
      <c r="W4" s="233" t="n"/>
      <c r="X4" s="233" t="n"/>
      <c r="Y4" s="233" t="n"/>
      <c r="Z4" s="233" t="n"/>
      <c r="AA4" s="233" t="n"/>
      <c r="AB4" s="233" t="n"/>
      <c r="AC4" s="233" t="n">
        <v>23</v>
      </c>
      <c r="AD4" s="233" t="n"/>
      <c r="AE4" s="233" t="n">
        <v>25</v>
      </c>
      <c r="AF4" s="233" t="n"/>
      <c r="AG4" s="233" t="n"/>
      <c r="AH4" s="233" t="n">
        <v>28</v>
      </c>
      <c r="AI4" s="233" t="n"/>
      <c r="AJ4" s="233" t="n"/>
      <c r="AK4" s="233" t="n">
        <v>31</v>
      </c>
      <c r="AL4" s="233" t="n"/>
      <c r="AM4" s="233" t="n"/>
      <c r="AN4" s="233" t="n"/>
      <c r="AO4" s="233" t="n"/>
      <c r="AP4" s="233" t="n"/>
      <c r="AQ4" s="233" t="n"/>
      <c r="AR4" s="233" t="n"/>
      <c r="AS4" s="233" t="n"/>
      <c r="AT4" s="233" t="n"/>
      <c r="AU4" s="233" t="n"/>
      <c r="AV4" s="233" t="n"/>
      <c r="AW4" s="233" t="n"/>
      <c r="AX4" s="233" t="n"/>
      <c r="AY4" s="233" t="n"/>
      <c r="AZ4" s="233" t="n"/>
      <c r="BA4" s="233" t="n">
        <v>47</v>
      </c>
      <c r="BB4" s="233" t="n"/>
      <c r="BC4" s="233" t="n">
        <v>49</v>
      </c>
      <c r="BD4" s="233" t="n">
        <v>50</v>
      </c>
      <c r="BE4" s="233" t="n"/>
      <c r="BF4" s="233" t="n"/>
      <c r="BG4" s="233" t="n"/>
      <c r="BH4" s="233" t="n"/>
      <c r="BI4" s="233" t="n"/>
      <c r="BJ4" s="233" t="n"/>
      <c r="BK4" s="233" t="n"/>
      <c r="BL4" s="233" t="n"/>
      <c r="BM4" s="233" t="n"/>
      <c r="BN4" s="233" t="n"/>
      <c r="BO4" s="233" t="n"/>
      <c r="BP4" s="233" t="n"/>
      <c r="BQ4" s="233" t="n"/>
      <c r="BR4" s="233" t="n"/>
      <c r="BS4" s="233" t="n"/>
      <c r="BT4" s="233" t="n"/>
      <c r="BU4" s="233" t="n"/>
      <c r="BV4" s="233" t="n"/>
      <c r="BW4" s="139" t="n"/>
    </row>
    <row r="5" ht="32.1" customFormat="1" customHeight="1" s="145">
      <c r="A5" s="141" t="inlineStr">
        <is>
          <t>VZ_ES Spagna</t>
        </is>
      </c>
      <c r="B5" s="314" t="inlineStr">
        <is>
          <t>VZ_ES</t>
        </is>
      </c>
      <c r="C5" s="311" t="inlineStr">
        <is>
          <t>VZI_New14</t>
        </is>
      </c>
      <c r="D5" s="315" t="inlineStr">
        <is>
          <t>2.9
30/06/2026</t>
        </is>
      </c>
      <c r="E5" s="294" t="inlineStr">
        <is>
          <t>2.9
30/06/2026</t>
        </is>
      </c>
      <c r="F5" s="143">
        <f>COUNTIF(G5:BW5,"&lt;&gt;")</f>
        <v/>
      </c>
      <c r="G5" s="316" t="n">
        <v>1</v>
      </c>
      <c r="H5" s="279" t="n">
        <v>2</v>
      </c>
      <c r="I5" s="279" t="n">
        <v>3</v>
      </c>
      <c r="J5" s="279" t="n">
        <v>4</v>
      </c>
      <c r="K5" s="279" t="n">
        <v>5</v>
      </c>
      <c r="L5" s="279" t="n">
        <v>6</v>
      </c>
      <c r="M5" s="279" t="n">
        <v>7</v>
      </c>
      <c r="N5" s="279" t="n">
        <v>8</v>
      </c>
      <c r="O5" s="279" t="n">
        <v>9</v>
      </c>
      <c r="P5" s="279" t="n">
        <v>10</v>
      </c>
      <c r="Q5" s="279" t="n">
        <v>11</v>
      </c>
      <c r="R5" s="279" t="n">
        <v>12</v>
      </c>
      <c r="S5" s="279" t="n">
        <v>13</v>
      </c>
      <c r="T5" s="279" t="n">
        <v>14</v>
      </c>
      <c r="U5" s="279" t="n">
        <v>15</v>
      </c>
      <c r="V5" s="279" t="n">
        <v>16</v>
      </c>
      <c r="W5" s="279" t="n">
        <v>17</v>
      </c>
      <c r="X5" s="279" t="n">
        <v>18</v>
      </c>
      <c r="Y5" s="279" t="n">
        <v>19</v>
      </c>
      <c r="Z5" s="279" t="n">
        <v>20</v>
      </c>
      <c r="AA5" s="271" t="n"/>
      <c r="AB5" s="271" t="n"/>
      <c r="AC5" s="271" t="n"/>
      <c r="AD5" s="279" t="n"/>
      <c r="AE5" s="279" t="n"/>
      <c r="AF5" s="279" t="n"/>
      <c r="AG5" s="279" t="n"/>
      <c r="AH5" s="279" t="n"/>
      <c r="AI5" s="279" t="n"/>
      <c r="AJ5" s="279" t="n"/>
      <c r="AK5" s="279" t="n"/>
      <c r="AL5" s="279" t="n"/>
      <c r="AM5" s="279" t="n"/>
      <c r="AN5" s="279" t="n"/>
      <c r="AO5" s="279" t="n"/>
      <c r="AP5" s="279" t="n"/>
      <c r="AQ5" s="279" t="n"/>
      <c r="AR5" s="279" t="n"/>
      <c r="AS5" s="279" t="n"/>
      <c r="AT5" s="279" t="n"/>
      <c r="AU5" s="279" t="n"/>
      <c r="AV5" s="279" t="n"/>
      <c r="AW5" s="279" t="n"/>
      <c r="AX5" s="279" t="n"/>
      <c r="AY5" s="279" t="n"/>
      <c r="AZ5" s="279" t="n"/>
      <c r="BA5" s="279" t="n"/>
      <c r="BB5" s="279" t="n"/>
      <c r="BC5" s="279" t="n"/>
      <c r="BD5" s="279" t="n"/>
      <c r="BE5" s="279" t="n"/>
      <c r="BF5" s="279" t="n"/>
      <c r="BG5" s="279" t="n"/>
      <c r="BH5" s="279" t="n"/>
      <c r="BI5" s="279" t="n"/>
      <c r="BJ5" s="279" t="n"/>
      <c r="BK5" s="279" t="n"/>
      <c r="BL5" s="279" t="n"/>
      <c r="BM5" s="279" t="n"/>
      <c r="BN5" s="279" t="n"/>
      <c r="BO5" s="279" t="n"/>
      <c r="BP5" s="279" t="n"/>
      <c r="BQ5" s="279" t="n"/>
      <c r="BR5" s="279" t="n"/>
      <c r="BS5" s="279" t="n"/>
      <c r="BT5" s="279" t="n"/>
      <c r="BU5" s="279" t="n"/>
      <c r="BV5" s="279" t="n"/>
      <c r="BW5" s="144" t="n"/>
    </row>
    <row r="6" ht="32.1" customFormat="1" customHeight="1" s="8">
      <c r="A6" s="135" t="inlineStr">
        <is>
          <t>VZI-6_IT Full HRI
(New 14)</t>
        </is>
      </c>
      <c r="B6" s="311" t="inlineStr">
        <is>
          <t>VZI-6_R1</t>
        </is>
      </c>
      <c r="C6" s="136" t="inlineStr">
        <is>
          <t>VZI-6_R1</t>
        </is>
      </c>
      <c r="D6" s="313" t="inlineStr">
        <is>
          <t>5.0
15/04/2026</t>
        </is>
      </c>
      <c r="E6" s="146" t="inlineStr">
        <is>
          <t>4.0 ?
xx/07/2025</t>
        </is>
      </c>
      <c r="F6" s="138">
        <f>COUNTIF(G6:BW6,"&lt;&gt;")</f>
        <v/>
      </c>
      <c r="G6" s="236" t="n">
        <v>101</v>
      </c>
      <c r="H6" s="233" t="n">
        <v>102</v>
      </c>
      <c r="I6" s="233" t="n">
        <v>103</v>
      </c>
      <c r="J6" s="233" t="n">
        <v>104</v>
      </c>
      <c r="K6" s="233" t="n">
        <v>105</v>
      </c>
      <c r="L6" s="233" t="n">
        <v>106</v>
      </c>
      <c r="M6" s="233" t="n"/>
      <c r="N6" s="233" t="n"/>
      <c r="O6" s="233" t="n"/>
      <c r="P6" s="233" t="n"/>
      <c r="Q6" s="233" t="n"/>
      <c r="R6" s="233" t="n"/>
      <c r="S6" s="233" t="n"/>
      <c r="T6" s="233" t="n"/>
      <c r="U6" s="233" t="n"/>
      <c r="V6" s="233" t="n"/>
      <c r="W6" s="233" t="n"/>
      <c r="X6" s="233" t="n"/>
      <c r="Y6" s="233" t="n"/>
      <c r="Z6" s="233" t="n"/>
      <c r="AA6" s="233" t="n"/>
      <c r="AB6" s="233" t="n"/>
      <c r="AC6" s="233" t="n"/>
      <c r="AD6" s="233" t="n"/>
      <c r="AE6" s="233" t="n"/>
      <c r="AF6" s="233" t="n"/>
      <c r="AG6" s="233" t="n"/>
      <c r="AH6" s="233" t="n"/>
      <c r="AI6" s="233" t="n"/>
      <c r="AJ6" s="233" t="n"/>
      <c r="AK6" s="233" t="n"/>
      <c r="AL6" s="233" t="n"/>
      <c r="AM6" s="233" t="n"/>
      <c r="AN6" s="233" t="n"/>
      <c r="AO6" s="233" t="n"/>
      <c r="AP6" s="233" t="n"/>
      <c r="AQ6" s="233" t="n"/>
      <c r="AR6" s="233" t="n"/>
      <c r="AS6" s="233" t="n"/>
      <c r="AT6" s="233" t="n"/>
      <c r="AU6" s="233" t="n"/>
      <c r="AV6" s="233" t="n"/>
      <c r="AW6" s="233" t="n"/>
      <c r="AX6" s="233" t="n"/>
      <c r="AY6" s="233" t="n"/>
      <c r="AZ6" s="233" t="n"/>
      <c r="BA6" s="233" t="n"/>
      <c r="BB6" s="233" t="n"/>
      <c r="BC6" s="233" t="n"/>
      <c r="BD6" s="233" t="n"/>
      <c r="BE6" s="233" t="n"/>
      <c r="BF6" s="233" t="n"/>
      <c r="BG6" s="233" t="n"/>
      <c r="BH6" s="233" t="n"/>
      <c r="BI6" s="233" t="n"/>
      <c r="BJ6" s="233" t="n"/>
      <c r="BK6" s="233" t="n"/>
      <c r="BL6" s="233" t="n"/>
      <c r="BM6" s="233" t="n"/>
      <c r="BN6" s="233" t="n"/>
      <c r="BO6" s="233" t="n"/>
      <c r="BP6" s="233" t="n"/>
      <c r="BQ6" s="233" t="n"/>
      <c r="BR6" s="233" t="n"/>
      <c r="BS6" s="233" t="n"/>
      <c r="BT6" s="233" t="n"/>
      <c r="BU6" s="233" t="n"/>
      <c r="BV6" s="233" t="n"/>
      <c r="BW6" s="139" t="n"/>
    </row>
    <row r="7" ht="32.1" customFormat="1" customHeight="1" s="8">
      <c r="A7" s="140" t="inlineStr">
        <is>
          <t>VZI-4_IT Full HRI</t>
        </is>
      </c>
      <c r="B7" s="311" t="inlineStr">
        <is>
          <t>VZI-4_R1</t>
        </is>
      </c>
      <c r="C7" s="136" t="inlineStr">
        <is>
          <t>VZI-6_R1</t>
        </is>
      </c>
      <c r="D7" s="313" t="inlineStr">
        <is>
          <t>1.0
15/04/2026</t>
        </is>
      </c>
      <c r="E7" s="147" t="inlineStr">
        <is>
          <t>?</t>
        </is>
      </c>
      <c r="F7" s="138">
        <f>COUNTIF(G7:BW7,"&lt;&gt;")</f>
        <v/>
      </c>
      <c r="G7" s="236" t="n"/>
      <c r="H7" s="233" t="n"/>
      <c r="I7" s="233" t="n"/>
      <c r="J7" s="233" t="n"/>
      <c r="K7" s="233" t="n"/>
      <c r="L7" s="233" t="n"/>
      <c r="M7" s="233" t="n">
        <v>107</v>
      </c>
      <c r="N7" s="233" t="n">
        <v>108</v>
      </c>
      <c r="O7" s="233" t="n">
        <v>109</v>
      </c>
      <c r="P7" s="233" t="n">
        <v>110</v>
      </c>
      <c r="Q7" s="233" t="n">
        <v>111</v>
      </c>
      <c r="R7" s="233" t="n">
        <v>112</v>
      </c>
      <c r="S7" s="233" t="n">
        <v>113</v>
      </c>
      <c r="T7" s="233" t="n">
        <v>114</v>
      </c>
      <c r="U7" s="233" t="n">
        <v>115</v>
      </c>
      <c r="V7" s="233" t="n">
        <v>116</v>
      </c>
      <c r="W7" s="233" t="n">
        <v>117</v>
      </c>
      <c r="X7" s="233" t="n">
        <v>118</v>
      </c>
      <c r="Y7" s="233" t="n">
        <v>119</v>
      </c>
      <c r="Z7" s="233" t="n">
        <v>120</v>
      </c>
      <c r="AA7" s="233" t="n">
        <v>121</v>
      </c>
      <c r="AB7" s="233" t="n">
        <v>122</v>
      </c>
      <c r="AC7" s="233" t="n">
        <v>123</v>
      </c>
      <c r="AD7" s="233" t="n">
        <v>124</v>
      </c>
      <c r="AE7" s="233" t="n">
        <v>125</v>
      </c>
      <c r="AF7" s="233" t="n">
        <v>126</v>
      </c>
      <c r="AG7" s="233" t="n">
        <v>127</v>
      </c>
      <c r="AH7" s="233" t="n">
        <v>128</v>
      </c>
      <c r="AI7" s="233" t="n">
        <v>129</v>
      </c>
      <c r="AJ7" s="233" t="n">
        <v>130</v>
      </c>
      <c r="AK7" s="233" t="n">
        <v>131</v>
      </c>
      <c r="AL7" s="233" t="n">
        <v>132</v>
      </c>
      <c r="AM7" s="233" t="n">
        <v>133</v>
      </c>
      <c r="AN7" s="233" t="n">
        <v>134</v>
      </c>
      <c r="AO7" s="233" t="n">
        <v>135</v>
      </c>
      <c r="AP7" s="233" t="n">
        <v>136</v>
      </c>
      <c r="AQ7" s="233" t="n">
        <v>137</v>
      </c>
      <c r="AR7" s="233" t="n">
        <v>138</v>
      </c>
      <c r="AS7" s="233" t="n">
        <v>139</v>
      </c>
      <c r="AT7" s="233" t="n">
        <v>140</v>
      </c>
      <c r="AU7" s="233" t="n">
        <v>141</v>
      </c>
      <c r="AV7" s="233" t="n">
        <v>142</v>
      </c>
      <c r="AW7" s="233" t="n">
        <v>143</v>
      </c>
      <c r="AX7" s="233" t="n">
        <v>144</v>
      </c>
      <c r="AY7" s="233" t="n">
        <v>145</v>
      </c>
      <c r="AZ7" s="233" t="n">
        <v>146</v>
      </c>
      <c r="BA7" s="233" t="n"/>
      <c r="BB7" s="233" t="n"/>
      <c r="BC7" s="233" t="n"/>
      <c r="BD7" s="233" t="n"/>
      <c r="BE7" s="233" t="n"/>
      <c r="BF7" s="233" t="n"/>
      <c r="BG7" s="233" t="n"/>
      <c r="BH7" s="233" t="n"/>
      <c r="BI7" s="233" t="n"/>
      <c r="BJ7" s="233" t="n"/>
      <c r="BK7" s="233" t="n"/>
      <c r="BL7" s="233" t="n"/>
      <c r="BM7" s="233" t="n"/>
      <c r="BN7" s="233" t="n"/>
      <c r="BO7" s="233" t="n"/>
      <c r="BP7" s="233" t="n"/>
      <c r="BQ7" s="233" t="n"/>
      <c r="BR7" s="233" t="n"/>
      <c r="BS7" s="233" t="n"/>
      <c r="BT7" s="233" t="n"/>
      <c r="BU7" s="233" t="n"/>
      <c r="BV7" s="233" t="n"/>
      <c r="BW7" s="139" t="n"/>
    </row>
    <row r="8" ht="32.1" customFormat="1" customHeight="1" s="145">
      <c r="A8" s="141" t="inlineStr">
        <is>
          <t>VZ_ES Spagna Full HRI</t>
        </is>
      </c>
      <c r="B8" s="317" t="inlineStr">
        <is>
          <t>VZ_ESxx</t>
        </is>
      </c>
      <c r="C8" s="148" t="inlineStr">
        <is>
          <t>VZI-6_R1</t>
        </is>
      </c>
      <c r="D8" s="318" t="n"/>
      <c r="E8" s="142" t="n"/>
      <c r="F8" s="143">
        <f>COUNTIF(G8:BW8,"&lt;&gt;")</f>
        <v/>
      </c>
      <c r="G8" s="316" t="n"/>
      <c r="H8" s="279" t="n"/>
      <c r="I8" s="279" t="n"/>
      <c r="J8" s="279" t="n"/>
      <c r="K8" s="279" t="n"/>
      <c r="L8" s="279" t="n"/>
      <c r="M8" s="279" t="n"/>
      <c r="N8" s="279" t="n"/>
      <c r="O8" s="279" t="n"/>
      <c r="P8" s="279" t="n"/>
      <c r="Q8" s="279" t="n"/>
      <c r="R8" s="279" t="n"/>
      <c r="S8" s="279" t="n"/>
      <c r="T8" s="279" t="n"/>
      <c r="U8" s="279" t="n"/>
      <c r="V8" s="279" t="n"/>
      <c r="W8" s="279" t="n"/>
      <c r="X8" s="279" t="n"/>
      <c r="Y8" s="279" t="n"/>
      <c r="Z8" s="279" t="n"/>
      <c r="AA8" s="271" t="n">
        <v>21</v>
      </c>
      <c r="AB8" s="271" t="n">
        <v>22</v>
      </c>
      <c r="AC8" s="271" t="n">
        <v>23</v>
      </c>
      <c r="AD8" s="279" t="n"/>
      <c r="AE8" s="279" t="n"/>
      <c r="AF8" s="279" t="n"/>
      <c r="AG8" s="279" t="n"/>
      <c r="AH8" s="279" t="n"/>
      <c r="AI8" s="279" t="n"/>
      <c r="AJ8" s="279" t="n"/>
      <c r="AK8" s="279" t="n"/>
      <c r="AL8" s="279" t="n"/>
      <c r="AM8" s="279" t="n"/>
      <c r="AN8" s="279" t="n"/>
      <c r="AO8" s="279" t="n"/>
      <c r="AP8" s="279" t="n"/>
      <c r="AQ8" s="279" t="n"/>
      <c r="AR8" s="279" t="n"/>
      <c r="AS8" s="279" t="n"/>
      <c r="AT8" s="279" t="n"/>
      <c r="AU8" s="279" t="n"/>
      <c r="AV8" s="279" t="n"/>
      <c r="AW8" s="279" t="n"/>
      <c r="AX8" s="279" t="n"/>
      <c r="AY8" s="279" t="n"/>
      <c r="AZ8" s="279" t="n"/>
      <c r="BA8" s="279" t="n"/>
      <c r="BB8" s="279" t="n"/>
      <c r="BC8" s="279" t="n"/>
      <c r="BD8" s="279" t="n"/>
      <c r="BE8" s="279" t="n"/>
      <c r="BF8" s="279" t="n"/>
      <c r="BG8" s="279" t="n"/>
      <c r="BH8" s="279" t="n"/>
      <c r="BI8" s="279" t="n"/>
      <c r="BJ8" s="279" t="n"/>
      <c r="BK8" s="279" t="n"/>
      <c r="BL8" s="279" t="n"/>
      <c r="BM8" s="279" t="n"/>
      <c r="BN8" s="279" t="n"/>
      <c r="BO8" s="279" t="n"/>
      <c r="BP8" s="279" t="n"/>
      <c r="BQ8" s="279" t="n"/>
      <c r="BR8" s="279" t="n"/>
      <c r="BS8" s="279" t="n"/>
      <c r="BT8" s="279" t="n"/>
      <c r="BU8" s="279" t="n"/>
      <c r="BV8" s="279" t="n"/>
      <c r="BW8" s="144" t="n"/>
    </row>
    <row r="9" ht="32.1" customFormat="1" customHeight="1" s="8" thickBot="1">
      <c r="A9" s="149" t="inlineStr">
        <is>
          <t>VZ_DAI</t>
        </is>
      </c>
      <c r="B9" s="150" t="inlineStr">
        <is>
          <t>VZ_DAI</t>
        </is>
      </c>
      <c r="C9" s="151" t="inlineStr">
        <is>
          <t>VZI-6_R1</t>
        </is>
      </c>
      <c r="D9" s="152" t="n"/>
      <c r="E9" s="153" t="n"/>
      <c r="F9" s="476">
        <f>COUNTIF(G9:BW9,"&lt;&gt;")</f>
        <v/>
      </c>
      <c r="G9" s="155" t="n"/>
      <c r="H9" s="156" t="n"/>
      <c r="I9" s="156" t="n"/>
      <c r="J9" s="156" t="n"/>
      <c r="K9" s="156" t="n"/>
      <c r="L9" s="156" t="n"/>
      <c r="M9" s="156" t="n"/>
      <c r="N9" s="156" t="n"/>
      <c r="O9" s="156" t="n"/>
      <c r="P9" s="156" t="n"/>
      <c r="Q9" s="156" t="n"/>
      <c r="R9" s="156" t="n"/>
      <c r="S9" s="156" t="n"/>
      <c r="T9" s="156" t="n"/>
      <c r="U9" s="156" t="n"/>
      <c r="V9" s="156" t="n"/>
      <c r="W9" s="156" t="n"/>
      <c r="X9" s="156" t="n"/>
      <c r="Y9" s="156" t="n"/>
      <c r="Z9" s="156" t="n">
        <v>20</v>
      </c>
      <c r="AA9" s="156" t="n"/>
      <c r="AB9" s="156" t="n"/>
      <c r="AC9" s="156" t="n"/>
      <c r="AD9" s="156" t="n"/>
      <c r="AE9" s="156" t="n"/>
      <c r="AF9" s="156" t="n"/>
      <c r="AG9" s="156" t="n"/>
      <c r="AH9" s="156" t="n"/>
      <c r="AI9" s="156" t="n"/>
      <c r="AJ9" s="156" t="n"/>
      <c r="AK9" s="156" t="n"/>
      <c r="AL9" s="156" t="n"/>
      <c r="AM9" s="156" t="n"/>
      <c r="AN9" s="156" t="n"/>
      <c r="AO9" s="156" t="n">
        <v>35</v>
      </c>
      <c r="AP9" s="156" t="n"/>
      <c r="AQ9" s="156" t="n"/>
      <c r="AR9" s="156" t="n"/>
      <c r="AS9" s="156" t="n"/>
      <c r="AT9" s="156" t="n"/>
      <c r="AU9" s="156" t="n"/>
      <c r="AV9" s="156" t="n"/>
      <c r="AW9" s="156" t="n"/>
      <c r="AX9" s="156" t="n">
        <v>44</v>
      </c>
      <c r="AY9" s="156" t="n"/>
      <c r="AZ9" s="156" t="n"/>
      <c r="BA9" s="156" t="n"/>
      <c r="BB9" s="156" t="n"/>
      <c r="BC9" s="156" t="n"/>
      <c r="BD9" s="156" t="n"/>
      <c r="BE9" s="156" t="n"/>
      <c r="BF9" s="156" t="n"/>
      <c r="BG9" s="156" t="n"/>
      <c r="BH9" s="156" t="n"/>
      <c r="BI9" s="156" t="n"/>
      <c r="BJ9" s="156" t="n"/>
      <c r="BK9" s="156" t="n"/>
      <c r="BL9" s="156" t="n"/>
      <c r="BM9" s="156" t="n"/>
      <c r="BN9" s="156" t="n"/>
      <c r="BO9" s="156" t="n"/>
      <c r="BP9" s="156" t="n"/>
      <c r="BQ9" s="156" t="n"/>
      <c r="BR9" s="156" t="n"/>
      <c r="BS9" s="156" t="n"/>
      <c r="BT9" s="156" t="n"/>
      <c r="BU9" s="156" t="n"/>
      <c r="BV9" s="156" t="n"/>
      <c r="BW9" s="157" t="n"/>
    </row>
  </sheetData>
  <pageMargins left="0.7" right="0.7" top="0.75" bottom="0.75" header="0.3" footer="0.3"/>
</worksheet>
</file>

<file path=xl/worksheets/sheet5.xml><?xml version="1.0" encoding="utf-8"?>
<worksheet xmlns="http://schemas.openxmlformats.org/spreadsheetml/2006/main">
  <sheetPr codeName="Foglio4">
    <tabColor theme="5" tint="0.3999755851924192"/>
    <outlinePr summaryBelow="0"/>
    <pageSetUpPr/>
  </sheetPr>
  <dimension ref="A1:W130"/>
  <sheetViews>
    <sheetView zoomScale="85" zoomScaleNormal="85" workbookViewId="0">
      <pane xSplit="6" ySplit="3" topLeftCell="P35" activePane="bottomRight" state="frozen"/>
      <selection pane="topRight" activeCell="F1" sqref="F1"/>
      <selection pane="bottomLeft" activeCell="B4" sqref="B4"/>
      <selection pane="bottomRight" activeCell="P44" sqref="P44"/>
    </sheetView>
  </sheetViews>
  <sheetFormatPr baseColWidth="8" defaultColWidth="8.7109375" defaultRowHeight="15" outlineLevelRow="1"/>
  <cols>
    <col width="34.5703125" bestFit="1" customWidth="1" style="62" min="1" max="1"/>
    <col width="34.85546875" bestFit="1" customWidth="1" style="62" min="2" max="2"/>
    <col width="8.28515625" bestFit="1" customWidth="1" style="10" min="3" max="3"/>
    <col width="17.5703125" customWidth="1" style="10" min="4" max="4"/>
    <col width="4.42578125" bestFit="1" customWidth="1" style="10" min="5" max="5"/>
    <col width="18.42578125" customWidth="1" style="10" min="6" max="6"/>
    <col width="17.5703125" customWidth="1" style="10" min="7" max="7"/>
    <col width="4.7109375" bestFit="1" customWidth="1" style="10" min="8" max="8"/>
    <col width="17" bestFit="1" customWidth="1" style="10" min="9" max="9"/>
    <col width="17.5703125" customWidth="1" style="10" min="10" max="10"/>
    <col width="4.7109375" bestFit="1" customWidth="1" style="10" min="11" max="11"/>
    <col width="17" bestFit="1" customWidth="1" style="10" min="12" max="12"/>
    <col width="17.5703125" customWidth="1" style="10" min="13" max="13"/>
    <col width="4.42578125" bestFit="1" customWidth="1" style="10" min="14" max="14"/>
    <col width="17" customWidth="1" style="10" min="15" max="15"/>
    <col width="17.140625" customWidth="1" style="10" min="16" max="16"/>
    <col width="5.140625" customWidth="1" style="10" min="17" max="17"/>
    <col width="15.42578125" customWidth="1" style="10" min="18" max="18"/>
    <col width="4.42578125" customWidth="1" style="10" min="19" max="19"/>
    <col width="6.5703125" bestFit="1" customWidth="1" style="10" min="20" max="20"/>
    <col width="6.5703125" customWidth="1" style="10" min="21" max="21"/>
    <col width="6.5703125" bestFit="1" customWidth="1" style="10" min="22" max="22"/>
    <col width="6.5703125" customWidth="1" style="10" min="23" max="23"/>
    <col width="8.7109375" customWidth="1" style="59" min="24" max="43"/>
    <col width="8.7109375" customWidth="1" style="59" min="44" max="16384"/>
  </cols>
  <sheetData>
    <row r="1" customFormat="1" s="61">
      <c r="A1" s="436" t="inlineStr">
        <is>
          <t>DOC DESCRIPTION</t>
        </is>
      </c>
      <c r="B1" s="436" t="inlineStr">
        <is>
          <t>DOC ID</t>
        </is>
      </c>
      <c r="C1" s="436" t="inlineStr">
        <is>
          <t>DOC EXT</t>
        </is>
      </c>
      <c r="D1" s="433" t="inlineStr">
        <is>
          <t>VZI_Base</t>
        </is>
      </c>
      <c r="E1" s="431" t="n"/>
      <c r="F1" s="432" t="n"/>
      <c r="G1" s="434" t="inlineStr">
        <is>
          <t>VZI_New14</t>
        </is>
      </c>
      <c r="H1" s="435" t="n"/>
      <c r="I1" s="435" t="n"/>
      <c r="J1" s="433" t="inlineStr">
        <is>
          <t>VZ_FR</t>
        </is>
      </c>
      <c r="K1" s="431" t="n"/>
      <c r="L1" s="432" t="n"/>
      <c r="M1" s="441" t="inlineStr">
        <is>
          <t>VZ_ES</t>
        </is>
      </c>
      <c r="N1" s="442" t="n"/>
      <c r="O1" s="442" t="n"/>
      <c r="P1" s="433" t="inlineStr">
        <is>
          <t>VZI-6_R1</t>
        </is>
      </c>
      <c r="Q1" s="432" t="n"/>
      <c r="R1" s="433" t="inlineStr">
        <is>
          <t>VZI-4_R1</t>
        </is>
      </c>
      <c r="S1" s="432" t="n"/>
      <c r="T1" s="433" t="inlineStr">
        <is>
          <t>VZ_DAI</t>
        </is>
      </c>
      <c r="U1" s="432" t="n"/>
      <c r="V1" s="433" t="inlineStr">
        <is>
          <t>VZ_Esxx</t>
        </is>
      </c>
      <c r="W1" s="432" t="n"/>
    </row>
    <row r="2" ht="41.1" customFormat="1" customHeight="1" s="61">
      <c r="A2" s="437" t="n"/>
      <c r="B2" s="437" t="n"/>
      <c r="C2" s="437" t="n"/>
      <c r="D2" s="430" t="inlineStr">
        <is>
          <t>Conf Sheet  BD130033980 - BL 6.0</t>
        </is>
      </c>
      <c r="E2" s="431" t="n"/>
      <c r="F2" s="432" t="n"/>
      <c r="G2" s="439" t="inlineStr">
        <is>
          <t>Conf Sheet BD140050695 - BL 4.4</t>
        </is>
      </c>
      <c r="H2" s="435" t="n"/>
      <c r="I2" s="435" t="n"/>
      <c r="J2" s="430" t="inlineStr">
        <is>
          <t>Conf Sheet 3ECP414415-0001 - BL 4.0</t>
        </is>
      </c>
      <c r="K2" s="431" t="n"/>
      <c r="L2" s="432" t="n"/>
      <c r="M2" s="443" t="inlineStr">
        <is>
          <t>Conf Sheet BD140047828 - BL 2.9</t>
        </is>
      </c>
      <c r="N2" s="442" t="n"/>
      <c r="O2" s="442" t="n"/>
      <c r="P2" s="430" t="inlineStr">
        <is>
          <t>VZI-6_IT [R1]
BL 4.0</t>
        </is>
      </c>
      <c r="Q2" s="432" t="n"/>
      <c r="R2" s="440" t="inlineStr">
        <is>
          <t>VZI-4_IT [R1]
BL 1.0</t>
        </is>
      </c>
      <c r="S2" s="432" t="n"/>
      <c r="T2" s="430" t="inlineStr">
        <is>
          <t>VZ-DAI
BL xxx</t>
        </is>
      </c>
      <c r="U2" s="432" t="n"/>
      <c r="V2" s="430" t="inlineStr">
        <is>
          <t>VZ_ES Full HRI
BL xxx</t>
        </is>
      </c>
      <c r="W2" s="432" t="n"/>
    </row>
    <row r="3" ht="30" customFormat="1" customHeight="1" s="61">
      <c r="A3" s="438" t="n"/>
      <c r="B3" s="438" t="n"/>
      <c r="C3" s="438" t="n"/>
      <c r="D3" s="183" t="inlineStr">
        <is>
          <t>File/Codice</t>
        </is>
      </c>
      <c r="E3" s="183" t="inlineStr">
        <is>
          <t>Rev</t>
        </is>
      </c>
      <c r="F3" s="186" t="inlineStr">
        <is>
          <t>Codice Config</t>
        </is>
      </c>
      <c r="G3" s="183" t="inlineStr">
        <is>
          <t>File/Codice</t>
        </is>
      </c>
      <c r="H3" s="183" t="inlineStr">
        <is>
          <t>Rev</t>
        </is>
      </c>
      <c r="I3" s="186" t="inlineStr">
        <is>
          <t>Codice Config</t>
        </is>
      </c>
      <c r="J3" s="183" t="inlineStr">
        <is>
          <t>File/Codice</t>
        </is>
      </c>
      <c r="K3" s="183" t="inlineStr">
        <is>
          <t>Rev</t>
        </is>
      </c>
      <c r="L3" s="186" t="inlineStr">
        <is>
          <t>Codice Config</t>
        </is>
      </c>
      <c r="M3" s="439" t="inlineStr">
        <is>
          <t>File/Codice</t>
        </is>
      </c>
      <c r="N3" s="183" t="inlineStr">
        <is>
          <t>Rev</t>
        </is>
      </c>
      <c r="O3" s="186" t="inlineStr">
        <is>
          <t>Codice Config</t>
        </is>
      </c>
      <c r="P3" s="189" t="inlineStr">
        <is>
          <t>Codice</t>
        </is>
      </c>
      <c r="Q3" s="91" t="inlineStr">
        <is>
          <t>Rev</t>
        </is>
      </c>
      <c r="R3" s="189" t="inlineStr">
        <is>
          <t>Codice</t>
        </is>
      </c>
      <c r="S3" s="91" t="inlineStr">
        <is>
          <t>Rev</t>
        </is>
      </c>
      <c r="T3" s="183" t="inlineStr">
        <is>
          <t>Codice</t>
        </is>
      </c>
      <c r="U3" s="186" t="inlineStr">
        <is>
          <t>Rev</t>
        </is>
      </c>
      <c r="V3" s="183" t="inlineStr">
        <is>
          <t>Codice</t>
        </is>
      </c>
      <c r="W3" s="186" t="inlineStr">
        <is>
          <t>Rev</t>
        </is>
      </c>
    </row>
    <row r="4" customFormat="1" s="61">
      <c r="A4" s="229" t="inlineStr">
        <is>
          <t>SW Configuration</t>
        </is>
      </c>
      <c r="B4" s="229" t="n"/>
      <c r="C4" s="222" t="n"/>
      <c r="D4" s="319" t="n"/>
      <c r="E4" s="320" t="n"/>
      <c r="F4" s="321" t="n"/>
      <c r="G4" s="319" t="n"/>
      <c r="H4" s="320" t="n"/>
      <c r="I4" s="321" t="n"/>
      <c r="J4" s="319" t="n"/>
      <c r="K4" s="320" t="n"/>
      <c r="L4" s="321" t="n"/>
      <c r="M4" s="319" t="n"/>
      <c r="N4" s="320" t="n"/>
      <c r="O4" s="321" t="n"/>
      <c r="P4" s="320" t="n"/>
      <c r="Q4" s="320" t="n"/>
      <c r="R4" s="319" t="n"/>
      <c r="S4" s="321" t="n"/>
      <c r="T4" s="320" t="n"/>
      <c r="U4" s="321" t="n"/>
      <c r="V4" s="320" t="n"/>
      <c r="W4" s="321" t="n"/>
    </row>
    <row r="5" outlineLevel="1" s="480">
      <c r="A5" s="322" t="inlineStr">
        <is>
          <t>SW Config. Matrix</t>
        </is>
      </c>
      <c r="B5" s="322" t="inlineStr">
        <is>
          <t>SW_Config</t>
        </is>
      </c>
      <c r="C5" s="63" t="inlineStr">
        <is>
          <t>pdf</t>
        </is>
      </c>
      <c r="D5" s="77" t="inlineStr">
        <is>
          <t>BD130033981</t>
        </is>
      </c>
      <c r="E5" s="10" t="inlineStr">
        <is>
          <t>_</t>
        </is>
      </c>
      <c r="F5" s="64" t="n"/>
      <c r="G5" s="291" t="inlineStr">
        <is>
          <t>BD140050698</t>
        </is>
      </c>
      <c r="H5" s="10" t="inlineStr">
        <is>
          <t>_</t>
        </is>
      </c>
      <c r="I5" s="73" t="n"/>
      <c r="J5" s="77" t="inlineStr">
        <is>
          <t>3ECP414332-0001</t>
        </is>
      </c>
      <c r="K5" s="78" t="inlineStr">
        <is>
          <t>_</t>
        </is>
      </c>
      <c r="L5" s="73" t="n"/>
      <c r="M5" s="291" t="inlineStr">
        <is>
          <t>BD140047861</t>
        </is>
      </c>
      <c r="N5" s="78" t="inlineStr">
        <is>
          <t>\</t>
        </is>
      </c>
      <c r="O5" s="73" t="n"/>
      <c r="P5" s="78" t="inlineStr">
        <is>
          <t>FT080031387</t>
        </is>
      </c>
      <c r="Q5" s="78" t="inlineStr">
        <is>
          <t>4.3</t>
        </is>
      </c>
      <c r="R5" s="77" t="inlineStr">
        <is>
          <t>FT080031387</t>
        </is>
      </c>
      <c r="S5" s="73" t="inlineStr">
        <is>
          <t>4.3</t>
        </is>
      </c>
      <c r="T5" s="78" t="n"/>
      <c r="U5" s="73" t="n"/>
      <c r="V5" s="78" t="n"/>
      <c r="W5" s="73" t="n"/>
    </row>
    <row r="6">
      <c r="A6" s="323" t="inlineStr">
        <is>
          <t>Functional principle diagrams (VISIO)</t>
        </is>
      </c>
      <c r="B6" s="323" t="n"/>
      <c r="C6" s="113" t="n"/>
      <c r="D6" s="68" t="n"/>
      <c r="E6" s="223" t="n"/>
      <c r="F6" s="69" t="n"/>
      <c r="G6" s="68" t="n"/>
      <c r="H6" s="223" t="n"/>
      <c r="I6" s="69" t="n"/>
      <c r="J6" s="68" t="n"/>
      <c r="K6" s="223" t="n"/>
      <c r="L6" s="69" t="n"/>
      <c r="M6" s="68" t="n"/>
      <c r="N6" s="223" t="n"/>
      <c r="O6" s="69" t="n"/>
      <c r="P6" s="223" t="n"/>
      <c r="Q6" s="223" t="n"/>
      <c r="R6" s="68" t="n"/>
      <c r="S6" s="69" t="n"/>
      <c r="T6" s="223" t="n"/>
      <c r="U6" s="69" t="n"/>
      <c r="V6" s="223" t="n"/>
      <c r="W6" s="69" t="n"/>
    </row>
    <row r="7" outlineLevel="1" ht="30" customHeight="1" s="480">
      <c r="A7" s="322" t="inlineStr">
        <is>
          <t>Drive Control</t>
        </is>
      </c>
      <c r="B7" s="322" t="inlineStr">
        <is>
          <t>FPD_Drive Control</t>
        </is>
      </c>
      <c r="C7" s="63" t="inlineStr">
        <is>
          <t>pdf</t>
        </is>
      </c>
      <c r="D7" s="77" t="inlineStr">
        <is>
          <t>3ECP410467-0001</t>
        </is>
      </c>
      <c r="E7" s="10" t="inlineStr">
        <is>
          <t>B</t>
        </is>
      </c>
      <c r="F7" s="64" t="n"/>
      <c r="G7" s="77" t="inlineStr">
        <is>
          <t>3ECP400500-0005</t>
        </is>
      </c>
      <c r="H7" s="78" t="inlineStr">
        <is>
          <t>_</t>
        </is>
      </c>
      <c r="I7" s="73" t="n"/>
      <c r="J7" s="77" t="inlineStr">
        <is>
          <t>3ECP410467-0001</t>
        </is>
      </c>
      <c r="K7" s="10" t="inlineStr">
        <is>
          <t>B</t>
        </is>
      </c>
      <c r="L7" s="64" t="n"/>
      <c r="M7" s="77" t="inlineStr">
        <is>
          <t>3ECP413651-0005</t>
        </is>
      </c>
      <c r="N7" s="10" t="inlineStr">
        <is>
          <t>_</t>
        </is>
      </c>
      <c r="O7" s="64" t="n"/>
      <c r="P7" s="78" t="inlineStr">
        <is>
          <t>FA010024090</t>
        </is>
      </c>
      <c r="Q7" s="79" t="inlineStr">
        <is>
          <t>00.2</t>
        </is>
      </c>
      <c r="R7" s="63" t="inlineStr">
        <is>
          <t>FA010024090</t>
        </is>
      </c>
      <c r="S7" s="71" t="inlineStr">
        <is>
          <t>00.2</t>
        </is>
      </c>
      <c r="U7" s="64" t="n"/>
      <c r="W7" s="64" t="n"/>
    </row>
    <row r="8" outlineLevel="1" ht="30" customHeight="1" s="480">
      <c r="A8" s="322" t="inlineStr">
        <is>
          <t>Conventional Train Control</t>
        </is>
      </c>
      <c r="B8" s="322" t="inlineStr">
        <is>
          <t>FPD_Conventional Train Control</t>
        </is>
      </c>
      <c r="C8" s="63" t="inlineStr">
        <is>
          <t>pdf</t>
        </is>
      </c>
      <c r="D8" s="77" t="inlineStr">
        <is>
          <t>3ECP410476-0001</t>
        </is>
      </c>
      <c r="E8" s="10" t="inlineStr">
        <is>
          <t>C</t>
        </is>
      </c>
      <c r="F8" s="64" t="n"/>
      <c r="G8" s="77" t="inlineStr">
        <is>
          <t>3ECP400500-0014</t>
        </is>
      </c>
      <c r="H8" s="78" t="inlineStr">
        <is>
          <t>A</t>
        </is>
      </c>
      <c r="I8" s="73" t="n"/>
      <c r="J8" s="77" t="inlineStr">
        <is>
          <t>3ECP307072-0001</t>
        </is>
      </c>
      <c r="K8" s="10" t="inlineStr">
        <is>
          <t>C</t>
        </is>
      </c>
      <c r="L8" s="64" t="n"/>
      <c r="M8" s="77" t="inlineStr">
        <is>
          <t>3ECP413651-0014</t>
        </is>
      </c>
      <c r="N8" s="10" t="inlineStr">
        <is>
          <t>A</t>
        </is>
      </c>
      <c r="O8" s="64" t="n"/>
      <c r="P8" s="78" t="inlineStr">
        <is>
          <t>FA010024089</t>
        </is>
      </c>
      <c r="Q8" s="79" t="inlineStr">
        <is>
          <t>03.2</t>
        </is>
      </c>
      <c r="R8" s="63" t="inlineStr">
        <is>
          <t>FA010024089</t>
        </is>
      </c>
      <c r="S8" s="71" t="inlineStr">
        <is>
          <t>03.2</t>
        </is>
      </c>
      <c r="U8" s="64" t="n"/>
      <c r="W8" s="64" t="n"/>
    </row>
    <row r="9" outlineLevel="1" ht="30" customHeight="1" s="480">
      <c r="A9" s="322" t="inlineStr">
        <is>
          <t>Train Protection - ATP</t>
        </is>
      </c>
      <c r="B9" s="322" t="inlineStr">
        <is>
          <t>FPD_Train Protection - ATP</t>
        </is>
      </c>
      <c r="C9" s="63" t="inlineStr">
        <is>
          <t>pdf</t>
        </is>
      </c>
      <c r="D9" s="77" t="inlineStr">
        <is>
          <t>3ECP410482-0001</t>
        </is>
      </c>
      <c r="E9" s="10" t="inlineStr">
        <is>
          <t>C</t>
        </is>
      </c>
      <c r="F9" s="73" t="n"/>
      <c r="G9" s="77" t="inlineStr">
        <is>
          <t>3ECP400500-0020</t>
        </is>
      </c>
      <c r="H9" s="78" t="inlineStr">
        <is>
          <t>A</t>
        </is>
      </c>
      <c r="I9" s="73" t="n"/>
      <c r="J9" s="77" t="inlineStr">
        <is>
          <t>3ECP410482-0001</t>
        </is>
      </c>
      <c r="K9" s="10" t="inlineStr">
        <is>
          <t>C</t>
        </is>
      </c>
      <c r="L9" s="64" t="n"/>
      <c r="M9" s="77" t="inlineStr">
        <is>
          <t>3ECP413651-0020</t>
        </is>
      </c>
      <c r="N9" s="10" t="inlineStr">
        <is>
          <t>D</t>
        </is>
      </c>
      <c r="O9" s="64" t="n"/>
      <c r="P9" s="78" t="inlineStr">
        <is>
          <t>FA010024100</t>
        </is>
      </c>
      <c r="Q9" s="79" t="inlineStr">
        <is>
          <t>03.2</t>
        </is>
      </c>
      <c r="R9" s="63" t="inlineStr">
        <is>
          <t>FA010024100</t>
        </is>
      </c>
      <c r="S9" s="71" t="inlineStr">
        <is>
          <t>03.2</t>
        </is>
      </c>
      <c r="U9" s="64" t="n"/>
      <c r="W9" s="64" t="n"/>
    </row>
    <row r="10" outlineLevel="1" ht="30" customHeight="1" s="480">
      <c r="A10" s="322" t="inlineStr">
        <is>
          <t>TCMS Architecture</t>
        </is>
      </c>
      <c r="B10" s="322" t="inlineStr">
        <is>
          <t>FPD_TCMS Architecture</t>
        </is>
      </c>
      <c r="C10" s="63" t="inlineStr">
        <is>
          <t>pdf</t>
        </is>
      </c>
      <c r="D10" s="77" t="inlineStr">
        <is>
          <t>\</t>
        </is>
      </c>
      <c r="E10" s="10" t="inlineStr">
        <is>
          <t>\</t>
        </is>
      </c>
      <c r="F10" s="64" t="n"/>
      <c r="G10" s="77" t="inlineStr">
        <is>
          <t>\</t>
        </is>
      </c>
      <c r="H10" s="78" t="inlineStr">
        <is>
          <t>\</t>
        </is>
      </c>
      <c r="I10" s="73" t="n"/>
      <c r="J10" s="77" t="inlineStr">
        <is>
          <t>3ECP307076-0001</t>
        </is>
      </c>
      <c r="K10" s="10" t="inlineStr">
        <is>
          <t>_</t>
        </is>
      </c>
      <c r="L10" s="64" t="n"/>
      <c r="M10" s="77" t="inlineStr">
        <is>
          <t>3ECP307255-0001</t>
        </is>
      </c>
      <c r="N10" s="10" t="inlineStr">
        <is>
          <t>D</t>
        </is>
      </c>
      <c r="O10" s="64" t="n"/>
      <c r="P10" s="78" t="inlineStr">
        <is>
          <t>FA010024104</t>
        </is>
      </c>
      <c r="Q10" s="79" t="inlineStr">
        <is>
          <t>00.2</t>
        </is>
      </c>
      <c r="R10" s="63" t="inlineStr">
        <is>
          <t>FA010024104</t>
        </is>
      </c>
      <c r="S10" s="71" t="inlineStr">
        <is>
          <t>00.2</t>
        </is>
      </c>
      <c r="U10" s="64" t="n"/>
      <c r="W10" s="64" t="n"/>
    </row>
    <row r="11" outlineLevel="1" ht="30" customHeight="1" s="480">
      <c r="A11" s="322" t="inlineStr">
        <is>
          <t>Propulsion and Auxiliary</t>
        </is>
      </c>
      <c r="B11" s="322" t="inlineStr">
        <is>
          <t>FPD_Propulsion and Auxiliary</t>
        </is>
      </c>
      <c r="C11" s="63" t="inlineStr">
        <is>
          <t>pdf</t>
        </is>
      </c>
      <c r="D11" s="77" t="inlineStr">
        <is>
          <t>\</t>
        </is>
      </c>
      <c r="E11" s="10" t="inlineStr">
        <is>
          <t>\</t>
        </is>
      </c>
      <c r="F11" s="64" t="n"/>
      <c r="G11" s="77" t="inlineStr">
        <is>
          <t>\</t>
        </is>
      </c>
      <c r="H11" s="78" t="inlineStr">
        <is>
          <t>\</t>
        </is>
      </c>
      <c r="I11" s="73" t="n"/>
      <c r="J11" s="77" t="n"/>
      <c r="L11" s="64" t="n"/>
      <c r="M11" s="77" t="inlineStr">
        <is>
          <t>\</t>
        </is>
      </c>
      <c r="N11" s="10" t="inlineStr">
        <is>
          <t>\</t>
        </is>
      </c>
      <c r="O11" s="64" t="n"/>
      <c r="P11" s="78" t="inlineStr">
        <is>
          <t>FA010024103</t>
        </is>
      </c>
      <c r="Q11" s="79" t="inlineStr">
        <is>
          <t>01.2</t>
        </is>
      </c>
      <c r="R11" s="63" t="inlineStr">
        <is>
          <t>FA010024103</t>
        </is>
      </c>
      <c r="S11" s="71" t="inlineStr">
        <is>
          <t>01.2</t>
        </is>
      </c>
      <c r="U11" s="64" t="n"/>
      <c r="W11" s="64" t="n"/>
    </row>
    <row r="12" outlineLevel="1" ht="30" customHeight="1" s="480">
      <c r="A12" s="322" t="inlineStr">
        <is>
          <t>Line Voltage</t>
        </is>
      </c>
      <c r="B12" s="322" t="inlineStr">
        <is>
          <t>FPD_Line Voltage</t>
        </is>
      </c>
      <c r="C12" s="63" t="inlineStr">
        <is>
          <t>pdf</t>
        </is>
      </c>
      <c r="D12" s="77" t="inlineStr">
        <is>
          <t>3ECP410475-0001</t>
        </is>
      </c>
      <c r="E12" s="10" t="inlineStr">
        <is>
          <t>B</t>
        </is>
      </c>
      <c r="F12" s="64" t="n"/>
      <c r="G12" s="77" t="inlineStr">
        <is>
          <t>3ECP400500-0013</t>
        </is>
      </c>
      <c r="H12" s="78" t="inlineStr">
        <is>
          <t>C</t>
        </is>
      </c>
      <c r="I12" s="73" t="n"/>
      <c r="J12" s="77" t="inlineStr">
        <is>
          <t>3ECP307079-0001</t>
        </is>
      </c>
      <c r="K12" s="10" t="inlineStr">
        <is>
          <t>A</t>
        </is>
      </c>
      <c r="L12" s="64" t="n"/>
      <c r="M12" s="77" t="inlineStr">
        <is>
          <t>3ECP413651-0013</t>
        </is>
      </c>
      <c r="N12" s="10" t="inlineStr">
        <is>
          <t>_</t>
        </is>
      </c>
      <c r="O12" s="64" t="n"/>
      <c r="P12" s="78" t="inlineStr">
        <is>
          <t>FA010024096</t>
        </is>
      </c>
      <c r="Q12" s="79" t="inlineStr">
        <is>
          <t>03.2</t>
        </is>
      </c>
      <c r="R12" s="63" t="inlineStr">
        <is>
          <t>FA010024096</t>
        </is>
      </c>
      <c r="S12" s="71" t="inlineStr">
        <is>
          <t>03.2</t>
        </is>
      </c>
      <c r="U12" s="64" t="n"/>
      <c r="W12" s="64" t="n"/>
    </row>
    <row r="13" outlineLevel="1" ht="30" customHeight="1" s="480">
      <c r="A13" s="322" t="inlineStr">
        <is>
          <t>Auxiliary Electrical Supply</t>
        </is>
      </c>
      <c r="B13" s="322" t="inlineStr">
        <is>
          <t>FPD_Auxiliary Electrical Supply</t>
        </is>
      </c>
      <c r="C13" s="63" t="inlineStr">
        <is>
          <t>pdf</t>
        </is>
      </c>
      <c r="D13" s="77" t="inlineStr">
        <is>
          <t>3ECP410465-0001</t>
        </is>
      </c>
      <c r="E13" s="10" t="inlineStr">
        <is>
          <t>B</t>
        </is>
      </c>
      <c r="F13" s="64" t="n"/>
      <c r="G13" s="77" t="inlineStr">
        <is>
          <t>3ECP400500-0003</t>
        </is>
      </c>
      <c r="H13" s="10" t="inlineStr">
        <is>
          <t>C</t>
        </is>
      </c>
      <c r="I13" s="73" t="n"/>
      <c r="J13" s="77" t="inlineStr">
        <is>
          <t>3ECP410465-0001</t>
        </is>
      </c>
      <c r="K13" s="10" t="inlineStr">
        <is>
          <t>B</t>
        </is>
      </c>
      <c r="L13" s="64" t="n"/>
      <c r="M13" s="77" t="inlineStr">
        <is>
          <t>3ECP413651-0003</t>
        </is>
      </c>
      <c r="N13" s="79" t="inlineStr">
        <is>
          <t>A</t>
        </is>
      </c>
      <c r="O13" s="64" t="n"/>
      <c r="P13" s="78" t="inlineStr">
        <is>
          <t>FA010024083</t>
        </is>
      </c>
      <c r="Q13" s="79" t="inlineStr">
        <is>
          <t>01.2</t>
        </is>
      </c>
      <c r="R13" s="63" t="inlineStr">
        <is>
          <t>FA010024083</t>
        </is>
      </c>
      <c r="S13" s="71" t="inlineStr">
        <is>
          <t>01.2</t>
        </is>
      </c>
      <c r="U13" s="64" t="n"/>
      <c r="W13" s="64" t="n"/>
    </row>
    <row r="14" outlineLevel="1" ht="30" customHeight="1" s="480">
      <c r="A14" s="322" t="inlineStr">
        <is>
          <t>Battery</t>
        </is>
      </c>
      <c r="B14" s="322" t="inlineStr">
        <is>
          <t>FPD_Battery</t>
        </is>
      </c>
      <c r="C14" s="63" t="inlineStr">
        <is>
          <t>pdf</t>
        </is>
      </c>
      <c r="D14" s="77" t="inlineStr">
        <is>
          <t>3ECP410477-0001</t>
        </is>
      </c>
      <c r="E14" s="10" t="inlineStr">
        <is>
          <t>B</t>
        </is>
      </c>
      <c r="F14" s="64" t="n"/>
      <c r="G14" s="77" t="inlineStr">
        <is>
          <t>3ECP400500-0015</t>
        </is>
      </c>
      <c r="H14" s="78" t="inlineStr">
        <is>
          <t>_</t>
        </is>
      </c>
      <c r="I14" s="73" t="n"/>
      <c r="J14" s="77" t="inlineStr">
        <is>
          <t>3ECP410477-0001</t>
        </is>
      </c>
      <c r="K14" s="10" t="inlineStr">
        <is>
          <t>B</t>
        </is>
      </c>
      <c r="L14" s="64" t="n"/>
      <c r="M14" s="77" t="inlineStr">
        <is>
          <t>3ECP413651-0015</t>
        </is>
      </c>
      <c r="N14" s="10" t="inlineStr">
        <is>
          <t>_</t>
        </is>
      </c>
      <c r="O14" s="64" t="n"/>
      <c r="P14" s="78" t="inlineStr">
        <is>
          <t>FA010024084</t>
        </is>
      </c>
      <c r="Q14" s="79" t="inlineStr">
        <is>
          <t>01.2</t>
        </is>
      </c>
      <c r="R14" s="63" t="inlineStr">
        <is>
          <t>FA010024084</t>
        </is>
      </c>
      <c r="S14" s="71" t="inlineStr">
        <is>
          <t>01.2</t>
        </is>
      </c>
      <c r="U14" s="64" t="n"/>
      <c r="W14" s="64" t="n"/>
    </row>
    <row r="15" outlineLevel="1" ht="30" customHeight="1" s="480">
      <c r="A15" s="322" t="inlineStr">
        <is>
          <t>Air Supply</t>
        </is>
      </c>
      <c r="B15" s="322" t="inlineStr">
        <is>
          <t>FPD_Air Supply</t>
        </is>
      </c>
      <c r="C15" s="63" t="inlineStr">
        <is>
          <t>pdf</t>
        </is>
      </c>
      <c r="D15" s="77" t="inlineStr">
        <is>
          <t>3ECP410463-0001</t>
        </is>
      </c>
      <c r="E15" s="10" t="inlineStr">
        <is>
          <t>B</t>
        </is>
      </c>
      <c r="F15" s="64" t="n"/>
      <c r="G15" s="77" t="inlineStr">
        <is>
          <t>3ECP400500-0002</t>
        </is>
      </c>
      <c r="H15" s="10" t="inlineStr">
        <is>
          <t>A</t>
        </is>
      </c>
      <c r="I15" s="73" t="n"/>
      <c r="J15" s="77" t="inlineStr">
        <is>
          <t>3ECP410463-0001</t>
        </is>
      </c>
      <c r="K15" s="10" t="inlineStr">
        <is>
          <t>B</t>
        </is>
      </c>
      <c r="L15" s="64" t="n"/>
      <c r="M15" s="77" t="inlineStr">
        <is>
          <t>3ECP413651-0002</t>
        </is>
      </c>
      <c r="N15" s="10" t="inlineStr">
        <is>
          <t>A</t>
        </is>
      </c>
      <c r="O15" s="64" t="n"/>
      <c r="P15" s="78" t="inlineStr">
        <is>
          <t>FA010024081</t>
        </is>
      </c>
      <c r="Q15" s="79" t="inlineStr">
        <is>
          <t>01.2</t>
        </is>
      </c>
      <c r="R15" s="63" t="inlineStr">
        <is>
          <t>FA010024081</t>
        </is>
      </c>
      <c r="S15" s="71" t="inlineStr">
        <is>
          <t>01.2</t>
        </is>
      </c>
      <c r="U15" s="64" t="n"/>
      <c r="W15" s="64" t="n"/>
    </row>
    <row r="16" outlineLevel="1" ht="30" customHeight="1" s="480">
      <c r="A16" s="322" t="inlineStr">
        <is>
          <t>Brake Control</t>
        </is>
      </c>
      <c r="B16" s="322" t="inlineStr">
        <is>
          <t>FPD_Brake Control</t>
        </is>
      </c>
      <c r="C16" s="63" t="inlineStr">
        <is>
          <t>pdf</t>
        </is>
      </c>
      <c r="D16" s="77" t="inlineStr">
        <is>
          <t>3ECP410480-0001</t>
        </is>
      </c>
      <c r="E16" s="10" t="inlineStr">
        <is>
          <t>C</t>
        </is>
      </c>
      <c r="F16" s="64" t="n"/>
      <c r="G16" s="77" t="inlineStr">
        <is>
          <t>3ECP400500-0018</t>
        </is>
      </c>
      <c r="H16" s="10" t="inlineStr">
        <is>
          <t>B</t>
        </is>
      </c>
      <c r="I16" s="73" t="n"/>
      <c r="J16" s="77" t="inlineStr">
        <is>
          <t>3ECP307074-0001</t>
        </is>
      </c>
      <c r="K16" s="79" t="inlineStr">
        <is>
          <t>E</t>
        </is>
      </c>
      <c r="L16" s="64" t="n"/>
      <c r="M16" s="77" t="inlineStr">
        <is>
          <t>3ECP413651-0018</t>
        </is>
      </c>
      <c r="N16" s="10" t="inlineStr">
        <is>
          <t>A</t>
        </is>
      </c>
      <c r="O16" s="64" t="n"/>
      <c r="P16" s="78" t="inlineStr">
        <is>
          <t>FA010024086</t>
        </is>
      </c>
      <c r="Q16" s="79" t="inlineStr">
        <is>
          <t>02.2</t>
        </is>
      </c>
      <c r="R16" s="63" t="inlineStr">
        <is>
          <t>FA010024086</t>
        </is>
      </c>
      <c r="S16" s="71" t="inlineStr">
        <is>
          <t>02.2</t>
        </is>
      </c>
      <c r="U16" s="64" t="n"/>
      <c r="W16" s="64" t="n"/>
    </row>
    <row r="17" outlineLevel="1" ht="30" customHeight="1" s="480">
      <c r="A17" s="322" t="inlineStr">
        <is>
          <t>Bogie</t>
        </is>
      </c>
      <c r="B17" s="322" t="inlineStr">
        <is>
          <t>FPD_Bogie</t>
        </is>
      </c>
      <c r="C17" s="63" t="inlineStr">
        <is>
          <t>pdf</t>
        </is>
      </c>
      <c r="D17" s="77" t="inlineStr">
        <is>
          <t>3ECP410466-0001</t>
        </is>
      </c>
      <c r="E17" s="79" t="inlineStr">
        <is>
          <t>D</t>
        </is>
      </c>
      <c r="F17" s="64" t="n"/>
      <c r="G17" s="77" t="inlineStr">
        <is>
          <t>3ECP400500-0004</t>
        </is>
      </c>
      <c r="H17" s="10" t="inlineStr">
        <is>
          <t>B</t>
        </is>
      </c>
      <c r="I17" s="73" t="n"/>
      <c r="J17" s="77" t="inlineStr">
        <is>
          <t>3ECP307081-0001</t>
        </is>
      </c>
      <c r="K17" s="79" t="inlineStr">
        <is>
          <t>B</t>
        </is>
      </c>
      <c r="L17" s="64" t="n"/>
      <c r="M17" s="77" t="inlineStr">
        <is>
          <t>3ECP413651-0004</t>
        </is>
      </c>
      <c r="N17" s="10" t="inlineStr">
        <is>
          <t>_</t>
        </is>
      </c>
      <c r="O17" s="64" t="n"/>
      <c r="P17" s="78" t="inlineStr">
        <is>
          <t>FA010024085</t>
        </is>
      </c>
      <c r="Q17" s="79" t="inlineStr">
        <is>
          <t>01.2</t>
        </is>
      </c>
      <c r="R17" s="63" t="inlineStr">
        <is>
          <t>FA010024085</t>
        </is>
      </c>
      <c r="S17" s="71" t="inlineStr">
        <is>
          <t>01.2</t>
        </is>
      </c>
      <c r="U17" s="64" t="n"/>
      <c r="W17" s="64" t="n"/>
    </row>
    <row r="18" outlineLevel="1" ht="30" customHeight="1" s="480">
      <c r="A18" s="322" t="inlineStr">
        <is>
          <t>Wash Wiper</t>
        </is>
      </c>
      <c r="B18" s="322" t="inlineStr">
        <is>
          <t>FPD_Wash Wiper</t>
        </is>
      </c>
      <c r="C18" s="63" t="inlineStr">
        <is>
          <t>pdf</t>
        </is>
      </c>
      <c r="D18" s="77" t="inlineStr">
        <is>
          <t>3ECP410473-0001</t>
        </is>
      </c>
      <c r="E18" s="10" t="inlineStr">
        <is>
          <t>B</t>
        </is>
      </c>
      <c r="F18" s="64" t="n"/>
      <c r="G18" s="77" t="inlineStr">
        <is>
          <t>3ECP400500-0011</t>
        </is>
      </c>
      <c r="H18" s="10" t="inlineStr">
        <is>
          <t>_</t>
        </is>
      </c>
      <c r="I18" s="73" t="n"/>
      <c r="J18" s="77" t="inlineStr">
        <is>
          <t>3ECP307082-0001</t>
        </is>
      </c>
      <c r="K18" s="10" t="inlineStr">
        <is>
          <t>_</t>
        </is>
      </c>
      <c r="L18" s="64" t="n"/>
      <c r="M18" s="77" t="inlineStr">
        <is>
          <t>3ECP413651-0011</t>
        </is>
      </c>
      <c r="N18" s="10" t="inlineStr">
        <is>
          <t>_</t>
        </is>
      </c>
      <c r="O18" s="64" t="n"/>
      <c r="P18" s="78" t="inlineStr">
        <is>
          <t>FA010024101</t>
        </is>
      </c>
      <c r="Q18" s="79" t="inlineStr">
        <is>
          <t>00.2</t>
        </is>
      </c>
      <c r="R18" s="63" t="inlineStr">
        <is>
          <t>FA010024101</t>
        </is>
      </c>
      <c r="S18" s="71" t="inlineStr">
        <is>
          <t>00.2</t>
        </is>
      </c>
      <c r="U18" s="64" t="n"/>
      <c r="W18" s="64" t="n"/>
    </row>
    <row r="19" outlineLevel="1" ht="30" customHeight="1" s="480">
      <c r="A19" s="322" t="inlineStr">
        <is>
          <t>Windscreen heater</t>
        </is>
      </c>
      <c r="B19" s="322" t="inlineStr">
        <is>
          <t>FPD_Windscreen heater</t>
        </is>
      </c>
      <c r="C19" s="63" t="inlineStr">
        <is>
          <t>pdf</t>
        </is>
      </c>
      <c r="D19" s="77" t="inlineStr">
        <is>
          <t>3ECP410474-0001</t>
        </is>
      </c>
      <c r="E19" s="10" t="inlineStr">
        <is>
          <t>B</t>
        </is>
      </c>
      <c r="F19" s="64" t="n"/>
      <c r="G19" s="77" t="inlineStr">
        <is>
          <t>3ECP400500-0012</t>
        </is>
      </c>
      <c r="H19" s="10" t="inlineStr">
        <is>
          <t>_</t>
        </is>
      </c>
      <c r="I19" s="73" t="n"/>
      <c r="J19" s="77" t="inlineStr">
        <is>
          <t>3ECP410474-0001</t>
        </is>
      </c>
      <c r="K19" s="10" t="inlineStr">
        <is>
          <t>B</t>
        </is>
      </c>
      <c r="L19" s="64" t="n"/>
      <c r="M19" s="77" t="inlineStr">
        <is>
          <t>3ECP413651-0012</t>
        </is>
      </c>
      <c r="N19" s="10" t="inlineStr">
        <is>
          <t>_</t>
        </is>
      </c>
      <c r="O19" s="64" t="n"/>
      <c r="P19" s="78" t="inlineStr">
        <is>
          <t>FA010024102</t>
        </is>
      </c>
      <c r="Q19" s="79" t="inlineStr">
        <is>
          <t>00.2</t>
        </is>
      </c>
      <c r="R19" s="63" t="inlineStr">
        <is>
          <t>FA010024102</t>
        </is>
      </c>
      <c r="S19" s="71" t="inlineStr">
        <is>
          <t>00.2</t>
        </is>
      </c>
      <c r="U19" s="64" t="n"/>
      <c r="W19" s="64" t="n"/>
    </row>
    <row r="20" outlineLevel="1" ht="30" customHeight="1" s="480">
      <c r="A20" s="322" t="inlineStr">
        <is>
          <t>Automatic Coupler</t>
        </is>
      </c>
      <c r="B20" s="322" t="inlineStr">
        <is>
          <t>FPD_Automatic Coupler</t>
        </is>
      </c>
      <c r="C20" s="63" t="inlineStr">
        <is>
          <t>pdf</t>
        </is>
      </c>
      <c r="D20" s="77" t="inlineStr">
        <is>
          <t>3ECP410481-0001</t>
        </is>
      </c>
      <c r="E20" s="10" t="inlineStr">
        <is>
          <t>C</t>
        </is>
      </c>
      <c r="F20" s="64" t="n"/>
      <c r="G20" s="77" t="inlineStr">
        <is>
          <t>3ECP400500-0019</t>
        </is>
      </c>
      <c r="H20" s="10" t="inlineStr">
        <is>
          <t>A</t>
        </is>
      </c>
      <c r="I20" s="73" t="n"/>
      <c r="J20" s="77" t="inlineStr">
        <is>
          <t>3ECP307077-0001</t>
        </is>
      </c>
      <c r="K20" s="79" t="inlineStr">
        <is>
          <t>B</t>
        </is>
      </c>
      <c r="L20" s="64" t="n"/>
      <c r="M20" s="77" t="inlineStr">
        <is>
          <t>3ECP413651-0019</t>
        </is>
      </c>
      <c r="N20" s="10" t="inlineStr">
        <is>
          <t>A</t>
        </is>
      </c>
      <c r="O20" s="64" t="n"/>
      <c r="P20" s="78" t="inlineStr">
        <is>
          <t>FA010024082</t>
        </is>
      </c>
      <c r="Q20" s="79" t="inlineStr">
        <is>
          <t>02.2</t>
        </is>
      </c>
      <c r="R20" s="63" t="inlineStr">
        <is>
          <t>FA010024082</t>
        </is>
      </c>
      <c r="S20" s="71" t="inlineStr">
        <is>
          <t>02.2</t>
        </is>
      </c>
      <c r="U20" s="64" t="n"/>
      <c r="W20" s="64" t="n"/>
    </row>
    <row r="21" outlineLevel="1" ht="30" customHeight="1" s="480">
      <c r="A21" s="322" t="inlineStr">
        <is>
          <t>Horn</t>
        </is>
      </c>
      <c r="B21" s="322" t="inlineStr">
        <is>
          <t>FPD_Horn</t>
        </is>
      </c>
      <c r="C21" s="63" t="inlineStr">
        <is>
          <t>pdf</t>
        </is>
      </c>
      <c r="D21" s="77" t="inlineStr">
        <is>
          <t>3ECP410468-0001</t>
        </is>
      </c>
      <c r="E21" s="10" t="inlineStr">
        <is>
          <t>B</t>
        </is>
      </c>
      <c r="F21" s="64" t="n"/>
      <c r="G21" s="77" t="inlineStr">
        <is>
          <t>3ECP400500-0006</t>
        </is>
      </c>
      <c r="H21" s="78" t="inlineStr">
        <is>
          <t>_</t>
        </is>
      </c>
      <c r="I21" s="73" t="n"/>
      <c r="J21" s="77" t="inlineStr">
        <is>
          <t>3ECP410468-0001</t>
        </is>
      </c>
      <c r="K21" s="10" t="inlineStr">
        <is>
          <t>B</t>
        </is>
      </c>
      <c r="L21" s="64" t="n"/>
      <c r="M21" s="77" t="inlineStr">
        <is>
          <t>3ECP413651-0006</t>
        </is>
      </c>
      <c r="N21" s="10" t="inlineStr">
        <is>
          <t>_</t>
        </is>
      </c>
      <c r="O21" s="64" t="n"/>
      <c r="P21" s="78" t="inlineStr">
        <is>
          <t>FA010024094</t>
        </is>
      </c>
      <c r="Q21" s="79" t="inlineStr">
        <is>
          <t>00.2</t>
        </is>
      </c>
      <c r="R21" s="63" t="inlineStr">
        <is>
          <t>FA010024094</t>
        </is>
      </c>
      <c r="S21" s="71" t="inlineStr">
        <is>
          <t>00.2</t>
        </is>
      </c>
      <c r="U21" s="64" t="n"/>
      <c r="W21" s="64" t="n"/>
    </row>
    <row r="22" outlineLevel="1" ht="30" customHeight="1" s="480">
      <c r="A22" s="322" t="inlineStr">
        <is>
          <t>Exterior and Interior Doors</t>
        </is>
      </c>
      <c r="B22" s="322" t="inlineStr">
        <is>
          <t>FPD_Exterior and Interior Doors</t>
        </is>
      </c>
      <c r="C22" s="63" t="inlineStr">
        <is>
          <t>pdf</t>
        </is>
      </c>
      <c r="D22" s="77" t="inlineStr">
        <is>
          <t>3ECP410462-0001</t>
        </is>
      </c>
      <c r="E22" s="10" t="inlineStr">
        <is>
          <t>C</t>
        </is>
      </c>
      <c r="F22" s="64" t="n"/>
      <c r="G22" s="77" t="inlineStr">
        <is>
          <t>3ECP400500-0001</t>
        </is>
      </c>
      <c r="H22" s="10" t="inlineStr">
        <is>
          <t>A</t>
        </is>
      </c>
      <c r="I22" s="73" t="n"/>
      <c r="J22" s="77" t="inlineStr">
        <is>
          <t>3ECP307073-0001</t>
        </is>
      </c>
      <c r="K22" s="79" t="inlineStr">
        <is>
          <t>D</t>
        </is>
      </c>
      <c r="L22" s="64" t="n"/>
      <c r="M22" s="77" t="inlineStr">
        <is>
          <t>3ECP413651-0001</t>
        </is>
      </c>
      <c r="N22" s="10" t="inlineStr">
        <is>
          <t>A</t>
        </is>
      </c>
      <c r="O22" s="64" t="n"/>
      <c r="P22" s="78" t="inlineStr">
        <is>
          <t>FA010024091</t>
        </is>
      </c>
      <c r="Q22" s="79" t="inlineStr">
        <is>
          <t>02.2</t>
        </is>
      </c>
      <c r="R22" s="63" t="inlineStr">
        <is>
          <t>FA010024091</t>
        </is>
      </c>
      <c r="S22" s="71" t="inlineStr">
        <is>
          <t>02.2</t>
        </is>
      </c>
      <c r="U22" s="64" t="n"/>
      <c r="W22" s="64" t="n"/>
    </row>
    <row r="23" outlineLevel="1" ht="30" customHeight="1" s="480">
      <c r="A23" s="322" t="inlineStr">
        <is>
          <t>Cab HVAC</t>
        </is>
      </c>
      <c r="B23" s="322" t="inlineStr">
        <is>
          <t>FPD_Cab HVAC</t>
        </is>
      </c>
      <c r="C23" s="63" t="inlineStr">
        <is>
          <t>pdf</t>
        </is>
      </c>
      <c r="D23" s="77" t="inlineStr">
        <is>
          <t>3ECP410470-0001</t>
        </is>
      </c>
      <c r="E23" s="10" t="inlineStr">
        <is>
          <t>B</t>
        </is>
      </c>
      <c r="F23" s="64" t="n"/>
      <c r="G23" s="77" t="inlineStr">
        <is>
          <t>3ECP400500-0008</t>
        </is>
      </c>
      <c r="H23" s="10" t="inlineStr">
        <is>
          <t>A</t>
        </is>
      </c>
      <c r="I23" s="73" t="n"/>
      <c r="J23" s="77" t="inlineStr">
        <is>
          <t>3ECP307084-0001</t>
        </is>
      </c>
      <c r="K23" s="10" t="inlineStr">
        <is>
          <t>_</t>
        </is>
      </c>
      <c r="L23" s="64" t="n"/>
      <c r="M23" s="77" t="inlineStr">
        <is>
          <t>3ECP413651-0008</t>
        </is>
      </c>
      <c r="N23" s="79" t="inlineStr">
        <is>
          <t>A</t>
        </is>
      </c>
      <c r="O23" s="64" t="n"/>
      <c r="P23" s="78" t="inlineStr">
        <is>
          <t>FA010024087</t>
        </is>
      </c>
      <c r="Q23" s="79" t="inlineStr">
        <is>
          <t>00.2</t>
        </is>
      </c>
      <c r="R23" s="63" t="inlineStr">
        <is>
          <t>FA010024087</t>
        </is>
      </c>
      <c r="S23" s="71" t="inlineStr">
        <is>
          <t>00.2</t>
        </is>
      </c>
      <c r="U23" s="64" t="n"/>
      <c r="W23" s="64" t="n"/>
    </row>
    <row r="24" outlineLevel="1" ht="30" customHeight="1" s="480">
      <c r="A24" s="322" t="inlineStr">
        <is>
          <t>Saloon HVAC</t>
        </is>
      </c>
      <c r="B24" s="322" t="inlineStr">
        <is>
          <t>FPD_Saloon HVAC</t>
        </is>
      </c>
      <c r="C24" s="63" t="inlineStr">
        <is>
          <t>pdf</t>
        </is>
      </c>
      <c r="D24" s="77" t="inlineStr">
        <is>
          <t>3ECP410471-0001</t>
        </is>
      </c>
      <c r="E24" s="10" t="inlineStr">
        <is>
          <t>B</t>
        </is>
      </c>
      <c r="F24" s="64" t="n"/>
      <c r="G24" s="77" t="inlineStr">
        <is>
          <t>3ECP400500-0009</t>
        </is>
      </c>
      <c r="H24" s="10" t="inlineStr">
        <is>
          <t>A</t>
        </is>
      </c>
      <c r="I24" s="73" t="n"/>
      <c r="J24" s="77" t="inlineStr">
        <is>
          <t>3ECP307080-0001</t>
        </is>
      </c>
      <c r="K24" s="10" t="inlineStr">
        <is>
          <t>_</t>
        </is>
      </c>
      <c r="L24" s="64" t="n"/>
      <c r="M24" s="77" t="inlineStr">
        <is>
          <t>3ECP413651-0009</t>
        </is>
      </c>
      <c r="N24" s="10" t="inlineStr">
        <is>
          <t>_</t>
        </is>
      </c>
      <c r="O24" s="64" t="n"/>
      <c r="P24" s="78" t="inlineStr">
        <is>
          <t>FA010024098</t>
        </is>
      </c>
      <c r="Q24" s="79" t="inlineStr">
        <is>
          <t>00.2</t>
        </is>
      </c>
      <c r="R24" s="63" t="inlineStr">
        <is>
          <t>FA010024098</t>
        </is>
      </c>
      <c r="S24" s="71" t="inlineStr">
        <is>
          <t>00.2</t>
        </is>
      </c>
      <c r="U24" s="64" t="n"/>
      <c r="W24" s="64" t="n"/>
    </row>
    <row r="25" outlineLevel="1" ht="30" customHeight="1" s="480">
      <c r="A25" s="322" t="inlineStr">
        <is>
          <t>Fire Protection and Extinguishing</t>
        </is>
      </c>
      <c r="B25" s="322" t="inlineStr">
        <is>
          <t>FPD_FPS</t>
        </is>
      </c>
      <c r="C25" s="63" t="inlineStr">
        <is>
          <t>pdf</t>
        </is>
      </c>
      <c r="D25" s="77" t="inlineStr">
        <is>
          <t>3ECP410469-0001</t>
        </is>
      </c>
      <c r="E25" s="10" t="inlineStr">
        <is>
          <t>B</t>
        </is>
      </c>
      <c r="F25" s="64" t="n"/>
      <c r="G25" s="77" t="inlineStr">
        <is>
          <t>3ECP400500-0007</t>
        </is>
      </c>
      <c r="H25" s="78" t="inlineStr">
        <is>
          <t>_</t>
        </is>
      </c>
      <c r="I25" s="73" t="n"/>
      <c r="J25" s="77" t="inlineStr">
        <is>
          <t>3ECP307083-0001</t>
        </is>
      </c>
      <c r="K25" s="10" t="inlineStr">
        <is>
          <t>_</t>
        </is>
      </c>
      <c r="L25" s="64" t="n"/>
      <c r="M25" s="77" t="inlineStr">
        <is>
          <t>3ECP413651-0007</t>
        </is>
      </c>
      <c r="N25" s="79" t="inlineStr">
        <is>
          <t>A</t>
        </is>
      </c>
      <c r="O25" s="64" t="n"/>
      <c r="P25" s="78" t="inlineStr">
        <is>
          <t>FA010024093</t>
        </is>
      </c>
      <c r="Q25" s="79" t="inlineStr">
        <is>
          <t>02.2</t>
        </is>
      </c>
      <c r="R25" s="63" t="inlineStr">
        <is>
          <t>FA010024093</t>
        </is>
      </c>
      <c r="S25" s="71" t="inlineStr">
        <is>
          <t>02.2</t>
        </is>
      </c>
      <c r="U25" s="64" t="n"/>
      <c r="W25" s="64" t="n"/>
    </row>
    <row r="26" outlineLevel="1" ht="30" customHeight="1" s="480">
      <c r="A26" s="322" t="inlineStr">
        <is>
          <t>Toilet</t>
        </is>
      </c>
      <c r="B26" s="322" t="inlineStr">
        <is>
          <t>FPD_Toilet</t>
        </is>
      </c>
      <c r="C26" s="63" t="inlineStr">
        <is>
          <t>pdf</t>
        </is>
      </c>
      <c r="D26" s="77" t="inlineStr">
        <is>
          <t>3ECP410472-0001</t>
        </is>
      </c>
      <c r="E26" s="10" t="inlineStr">
        <is>
          <t>B</t>
        </is>
      </c>
      <c r="F26" s="64" t="n"/>
      <c r="G26" s="77" t="inlineStr">
        <is>
          <t>3ECP400500-0010</t>
        </is>
      </c>
      <c r="H26" s="10" t="inlineStr">
        <is>
          <t>B</t>
        </is>
      </c>
      <c r="I26" s="73" t="n"/>
      <c r="J26" s="77" t="inlineStr">
        <is>
          <t>3ECP410472-0001</t>
        </is>
      </c>
      <c r="K26" s="10" t="inlineStr">
        <is>
          <t>B</t>
        </is>
      </c>
      <c r="L26" s="64" t="n"/>
      <c r="M26" s="77" t="inlineStr">
        <is>
          <t>3ECP413651-0010</t>
        </is>
      </c>
      <c r="N26" s="10" t="inlineStr">
        <is>
          <t>_</t>
        </is>
      </c>
      <c r="O26" s="64" t="n"/>
      <c r="P26" s="78" t="inlineStr">
        <is>
          <t>FA010024099</t>
        </is>
      </c>
      <c r="Q26" s="79" t="inlineStr">
        <is>
          <t>01.2</t>
        </is>
      </c>
      <c r="R26" s="63" t="inlineStr">
        <is>
          <t>FA010024099</t>
        </is>
      </c>
      <c r="S26" s="71" t="inlineStr">
        <is>
          <t>01.2</t>
        </is>
      </c>
      <c r="U26" s="64" t="n"/>
      <c r="W26" s="64" t="n"/>
    </row>
    <row r="27" outlineLevel="1" ht="30" customHeight="1" s="480">
      <c r="A27" s="322" t="inlineStr">
        <is>
          <t>Catering</t>
        </is>
      </c>
      <c r="B27" s="322" t="inlineStr">
        <is>
          <t>FPD_Catering</t>
        </is>
      </c>
      <c r="C27" s="63" t="inlineStr">
        <is>
          <t>pdf</t>
        </is>
      </c>
      <c r="D27" s="77" t="inlineStr">
        <is>
          <t>3ECP410484-0001</t>
        </is>
      </c>
      <c r="E27" s="10" t="inlineStr">
        <is>
          <t>B</t>
        </is>
      </c>
      <c r="F27" s="64" t="n"/>
      <c r="G27" s="77" t="inlineStr">
        <is>
          <t>3ECP400500-0022</t>
        </is>
      </c>
      <c r="H27" s="78" t="inlineStr">
        <is>
          <t>_</t>
        </is>
      </c>
      <c r="I27" s="73" t="n"/>
      <c r="J27" s="77" t="inlineStr">
        <is>
          <t>3ECP410484-0001</t>
        </is>
      </c>
      <c r="K27" s="10" t="inlineStr">
        <is>
          <t>B</t>
        </is>
      </c>
      <c r="L27" s="64" t="n"/>
      <c r="M27" s="77" t="inlineStr">
        <is>
          <t>3ECP413651-0022</t>
        </is>
      </c>
      <c r="N27" s="10" t="inlineStr">
        <is>
          <t>B</t>
        </is>
      </c>
      <c r="O27" s="64" t="n"/>
      <c r="P27" s="78" t="inlineStr">
        <is>
          <t>FA010024088</t>
        </is>
      </c>
      <c r="Q27" s="79" t="inlineStr">
        <is>
          <t>01.2</t>
        </is>
      </c>
      <c r="R27" s="63" t="inlineStr">
        <is>
          <t>FA010024088</t>
        </is>
      </c>
      <c r="S27" s="71" t="inlineStr">
        <is>
          <t>01.2</t>
        </is>
      </c>
      <c r="U27" s="64" t="n"/>
      <c r="W27" s="64" t="n"/>
    </row>
    <row r="28" outlineLevel="1" ht="30" customHeight="1" s="480">
      <c r="A28" s="322" t="inlineStr">
        <is>
          <t>PIS CCTV</t>
        </is>
      </c>
      <c r="B28" s="322" t="inlineStr">
        <is>
          <t>FPD_PIS CCTV</t>
        </is>
      </c>
      <c r="C28" s="63" t="inlineStr">
        <is>
          <t>pdf</t>
        </is>
      </c>
      <c r="D28" s="77" t="inlineStr">
        <is>
          <t>3ECP410479-0001</t>
        </is>
      </c>
      <c r="E28" s="10" t="inlineStr">
        <is>
          <t>B</t>
        </is>
      </c>
      <c r="F28" s="64" t="n"/>
      <c r="G28" s="77" t="inlineStr">
        <is>
          <t>3ECP400500-0017</t>
        </is>
      </c>
      <c r="H28" s="10" t="inlineStr">
        <is>
          <t>A</t>
        </is>
      </c>
      <c r="I28" s="73" t="n"/>
      <c r="J28" s="77" t="inlineStr">
        <is>
          <t>3ECP410479-0001</t>
        </is>
      </c>
      <c r="K28" s="10" t="inlineStr">
        <is>
          <t>B</t>
        </is>
      </c>
      <c r="L28" s="64" t="n"/>
      <c r="M28" s="77" t="inlineStr">
        <is>
          <t>3ECP413651-0017</t>
        </is>
      </c>
      <c r="N28" s="79" t="inlineStr">
        <is>
          <t>B</t>
        </is>
      </c>
      <c r="O28" s="64" t="n"/>
      <c r="P28" s="78" t="inlineStr">
        <is>
          <t>FA010024097</t>
        </is>
      </c>
      <c r="Q28" s="79" t="inlineStr">
        <is>
          <t>02.2</t>
        </is>
      </c>
      <c r="R28" s="63" t="inlineStr">
        <is>
          <t>FA010024097</t>
        </is>
      </c>
      <c r="S28" s="71" t="inlineStr">
        <is>
          <t>02.2</t>
        </is>
      </c>
      <c r="U28" s="64" t="n"/>
      <c r="W28" s="64" t="n"/>
    </row>
    <row r="29" outlineLevel="1" ht="30" customHeight="1" s="480">
      <c r="A29" s="322" t="inlineStr">
        <is>
          <t>Exterior Lighting</t>
        </is>
      </c>
      <c r="B29" s="322" t="inlineStr">
        <is>
          <t>FPD_Exterior Lighting</t>
        </is>
      </c>
      <c r="C29" s="63" t="inlineStr">
        <is>
          <t>pdf</t>
        </is>
      </c>
      <c r="D29" s="77" t="inlineStr">
        <is>
          <t>3ECP410483-0001</t>
        </is>
      </c>
      <c r="E29" s="10" t="inlineStr">
        <is>
          <t>C</t>
        </is>
      </c>
      <c r="F29" s="64" t="n"/>
      <c r="G29" s="77" t="inlineStr">
        <is>
          <t>3ECP400500-0021</t>
        </is>
      </c>
      <c r="H29" s="10" t="inlineStr">
        <is>
          <t>B</t>
        </is>
      </c>
      <c r="I29" s="73" t="n"/>
      <c r="J29" s="77" t="inlineStr">
        <is>
          <t>3ECP307075-0001</t>
        </is>
      </c>
      <c r="K29" s="10" t="inlineStr">
        <is>
          <t>B</t>
        </is>
      </c>
      <c r="L29" s="64" t="n"/>
      <c r="M29" s="77" t="inlineStr">
        <is>
          <t>3ECP413651-0021</t>
        </is>
      </c>
      <c r="N29" s="10" t="inlineStr">
        <is>
          <t>_</t>
        </is>
      </c>
      <c r="O29" s="64" t="n"/>
      <c r="P29" s="78" t="inlineStr">
        <is>
          <t>FA010024092</t>
        </is>
      </c>
      <c r="Q29" s="79" t="inlineStr">
        <is>
          <t>00.2</t>
        </is>
      </c>
      <c r="R29" s="63" t="inlineStr">
        <is>
          <t>FA010024092</t>
        </is>
      </c>
      <c r="S29" s="71" t="inlineStr">
        <is>
          <t>00.2</t>
        </is>
      </c>
      <c r="U29" s="64" t="n"/>
      <c r="W29" s="64" t="n"/>
    </row>
    <row r="30" outlineLevel="1" ht="30" customHeight="1" s="480">
      <c r="A30" s="322" t="inlineStr">
        <is>
          <t>Interior Lighting</t>
        </is>
      </c>
      <c r="B30" s="322" t="inlineStr">
        <is>
          <t>FPD_Interior Lighting</t>
        </is>
      </c>
      <c r="C30" s="63" t="inlineStr">
        <is>
          <t>pdf</t>
        </is>
      </c>
      <c r="D30" s="77" t="inlineStr">
        <is>
          <t>3ECP410478-0001</t>
        </is>
      </c>
      <c r="E30" s="10" t="inlineStr">
        <is>
          <t>B</t>
        </is>
      </c>
      <c r="F30" s="64" t="n"/>
      <c r="G30" s="77" t="inlineStr">
        <is>
          <t>3ECP400500-0016</t>
        </is>
      </c>
      <c r="H30" s="78" t="inlineStr">
        <is>
          <t>_</t>
        </is>
      </c>
      <c r="I30" s="73" t="n"/>
      <c r="J30" s="77" t="inlineStr">
        <is>
          <t>3ECP410478-0001</t>
        </is>
      </c>
      <c r="K30" s="10" t="inlineStr">
        <is>
          <t>B</t>
        </is>
      </c>
      <c r="L30" s="64" t="n"/>
      <c r="M30" s="77" t="inlineStr">
        <is>
          <t>3ECP413651-0016</t>
        </is>
      </c>
      <c r="N30" s="10" t="inlineStr">
        <is>
          <t>A</t>
        </is>
      </c>
      <c r="O30" s="64" t="n"/>
      <c r="P30" s="78" t="inlineStr">
        <is>
          <t>FA010024095</t>
        </is>
      </c>
      <c r="Q30" s="79" t="inlineStr">
        <is>
          <t>01.2</t>
        </is>
      </c>
      <c r="R30" s="63" t="inlineStr">
        <is>
          <t>FA010024095</t>
        </is>
      </c>
      <c r="S30" s="71" t="inlineStr">
        <is>
          <t>01.2</t>
        </is>
      </c>
      <c r="U30" s="64" t="n"/>
      <c r="W30" s="64" t="n"/>
    </row>
    <row r="31" outlineLevel="1" s="480">
      <c r="A31" s="322" t="inlineStr">
        <is>
          <t>Train Control Design System</t>
        </is>
      </c>
      <c r="B31" s="322" t="inlineStr">
        <is>
          <t>FPD_Train Control</t>
        </is>
      </c>
      <c r="C31" s="63" t="inlineStr">
        <is>
          <t>pdf</t>
        </is>
      </c>
      <c r="D31" s="77" t="inlineStr">
        <is>
          <t>\</t>
        </is>
      </c>
      <c r="E31" s="10" t="inlineStr">
        <is>
          <t>\</t>
        </is>
      </c>
      <c r="F31" s="64" t="n"/>
      <c r="G31" s="77" t="n"/>
      <c r="H31" s="78" t="n"/>
      <c r="I31" s="73" t="n"/>
      <c r="J31" s="92" t="inlineStr">
        <is>
          <t>3ECP307076-0001</t>
        </is>
      </c>
      <c r="K31" s="10" t="inlineStr">
        <is>
          <t>A</t>
        </is>
      </c>
      <c r="L31" s="93" t="inlineStr">
        <is>
          <t>manca</t>
        </is>
      </c>
      <c r="M31" s="77" t="n"/>
      <c r="O31" s="64" t="n"/>
      <c r="P31" s="78" t="n"/>
      <c r="Q31" s="79" t="n"/>
      <c r="R31" s="63" t="n"/>
      <c r="S31" s="71" t="n"/>
      <c r="U31" s="64" t="n"/>
      <c r="W31" s="64" t="n"/>
    </row>
    <row r="32" outlineLevel="1" ht="30" customHeight="1" s="480">
      <c r="A32" s="322" t="inlineStr">
        <is>
          <t>Schematic diagram for French ATP MU</t>
        </is>
      </c>
      <c r="B32" s="322" t="inlineStr">
        <is>
          <t>FPD_ATP-MU</t>
        </is>
      </c>
      <c r="C32" s="63" t="inlineStr">
        <is>
          <t>pdf</t>
        </is>
      </c>
      <c r="D32" s="77" t="n"/>
      <c r="F32" s="64" t="n"/>
      <c r="G32" s="77" t="n"/>
      <c r="H32" s="78" t="n"/>
      <c r="I32" s="73" t="n"/>
      <c r="J32" s="92" t="inlineStr">
        <is>
          <t>90000056.D04</t>
        </is>
      </c>
      <c r="K32" s="10" t="inlineStr">
        <is>
          <t>5.0</t>
        </is>
      </c>
      <c r="L32" s="93" t="inlineStr">
        <is>
          <t>manca</t>
        </is>
      </c>
      <c r="M32" s="77" t="n"/>
      <c r="O32" s="64" t="n"/>
      <c r="P32" s="78" t="n"/>
      <c r="Q32" s="79" t="n"/>
      <c r="R32" s="63" t="n"/>
      <c r="S32" s="71" t="n"/>
      <c r="U32" s="64" t="n"/>
      <c r="W32" s="64" t="n"/>
    </row>
    <row r="33" outlineLevel="1" s="480">
      <c r="A33" s="324" t="inlineStr">
        <is>
          <t>Energy Meter System</t>
        </is>
      </c>
      <c r="B33" s="324" t="inlineStr">
        <is>
          <t>FPD_EMS</t>
        </is>
      </c>
      <c r="C33" s="221" t="inlineStr">
        <is>
          <t>pdf</t>
        </is>
      </c>
      <c r="D33" s="77" t="n"/>
      <c r="F33" s="64" t="n"/>
      <c r="G33" s="77" t="n"/>
      <c r="H33" s="78" t="n"/>
      <c r="I33" s="73" t="n"/>
      <c r="J33" s="63" t="inlineStr">
        <is>
          <t>FA010031914</t>
        </is>
      </c>
      <c r="K33" s="10" t="inlineStr">
        <is>
          <t>00.1</t>
        </is>
      </c>
      <c r="L33" s="64" t="n"/>
      <c r="M33" s="77" t="n"/>
      <c r="O33" s="64" t="n"/>
      <c r="P33" s="78" t="n"/>
      <c r="Q33" s="79" t="n"/>
      <c r="R33" s="63" t="n"/>
      <c r="S33" s="71" t="n"/>
      <c r="U33" s="64" t="n"/>
      <c r="W33" s="64" t="n"/>
    </row>
    <row r="34" ht="30" customHeight="1" s="480">
      <c r="A34" s="323" t="inlineStr">
        <is>
          <t>Functional Requirement Specification (FRS)</t>
        </is>
      </c>
      <c r="B34" s="323" t="n"/>
      <c r="C34" s="113" t="n"/>
      <c r="D34" s="68" t="n"/>
      <c r="E34" s="223" t="n"/>
      <c r="F34" s="69" t="n"/>
      <c r="G34" s="68" t="n"/>
      <c r="H34" s="223" t="n"/>
      <c r="I34" s="69" t="n"/>
      <c r="J34" s="68" t="n"/>
      <c r="K34" s="223" t="n"/>
      <c r="L34" s="69" t="n"/>
      <c r="M34" s="68" t="n"/>
      <c r="N34" s="223" t="n"/>
      <c r="O34" s="69" t="n"/>
      <c r="P34" s="223" t="n"/>
      <c r="Q34" s="223" t="n"/>
      <c r="R34" s="68" t="n"/>
      <c r="S34" s="69" t="n"/>
      <c r="T34" s="223" t="n"/>
      <c r="U34" s="69" t="n"/>
      <c r="V34" s="223" t="n"/>
      <c r="W34" s="69" t="n"/>
    </row>
    <row r="35" outlineLevel="1" ht="30" customHeight="1" s="480">
      <c r="A35" s="322" t="inlineStr">
        <is>
          <t>Functional Vehicle Requirement Specification</t>
        </is>
      </c>
      <c r="B35" s="322" t="inlineStr">
        <is>
          <t>FRS_Vehicle</t>
        </is>
      </c>
      <c r="C35" s="63" t="inlineStr">
        <is>
          <t>pdf</t>
        </is>
      </c>
      <c r="D35" s="63" t="inlineStr">
        <is>
          <t>3EST000224-9984</t>
        </is>
      </c>
      <c r="E35" s="10" t="inlineStr">
        <is>
          <t>C</t>
        </is>
      </c>
      <c r="F35" s="64" t="inlineStr">
        <is>
          <t>3EST000224-9984</t>
        </is>
      </c>
      <c r="G35" s="63" t="n"/>
      <c r="I35" s="64" t="n"/>
      <c r="J35" s="63" t="n"/>
      <c r="L35" s="64" t="n"/>
      <c r="M35" s="77" t="inlineStr">
        <is>
          <t>3ECP413839-0001</t>
        </is>
      </c>
      <c r="N35" s="78" t="inlineStr">
        <is>
          <t>B</t>
        </is>
      </c>
      <c r="O35" s="73" t="inlineStr">
        <is>
          <t>3ECP413839-0001</t>
        </is>
      </c>
      <c r="P35" s="78" t="inlineStr">
        <is>
          <t>\</t>
        </is>
      </c>
      <c r="Q35" s="80" t="inlineStr">
        <is>
          <t>\</t>
        </is>
      </c>
      <c r="R35" s="63" t="n"/>
      <c r="S35" s="94" t="inlineStr">
        <is>
          <t>\</t>
        </is>
      </c>
      <c r="U35" s="64" t="n"/>
      <c r="W35" s="64" t="n"/>
    </row>
    <row r="36" outlineLevel="1" ht="60" customHeight="1" s="480">
      <c r="A36" s="322" t="inlineStr">
        <is>
          <t>Drive Control</t>
        </is>
      </c>
      <c r="B36" s="322" t="inlineStr">
        <is>
          <t>FRS_Drive Control</t>
        </is>
      </c>
      <c r="C36" s="63" t="inlineStr">
        <is>
          <t>pdf</t>
        </is>
      </c>
      <c r="D36" s="77" t="inlineStr">
        <is>
          <t>3EST000225-7909</t>
        </is>
      </c>
      <c r="E36" s="10" t="inlineStr">
        <is>
          <t>A</t>
        </is>
      </c>
      <c r="F36" s="73" t="inlineStr">
        <is>
          <t>3EST000225-7909</t>
        </is>
      </c>
      <c r="G36" s="77" t="inlineStr">
        <is>
          <t>3EST000225-7909</t>
        </is>
      </c>
      <c r="H36" s="10" t="inlineStr">
        <is>
          <t>A</t>
        </is>
      </c>
      <c r="I36" s="73" t="n"/>
      <c r="J36" s="77" t="inlineStr">
        <is>
          <t>3ECP413571-0501</t>
        </is>
      </c>
      <c r="K36" s="10" t="inlineStr">
        <is>
          <t>_</t>
        </is>
      </c>
      <c r="L36" s="64" t="n"/>
      <c r="M36" s="77" t="inlineStr">
        <is>
          <t>3EST000225-7909</t>
        </is>
      </c>
      <c r="N36" s="78" t="inlineStr">
        <is>
          <t>A</t>
        </is>
      </c>
      <c r="O36" s="73" t="inlineStr">
        <is>
          <t>3EST000225-7909</t>
        </is>
      </c>
      <c r="P36" s="78" t="inlineStr">
        <is>
          <t>FA020022675</t>
        </is>
      </c>
      <c r="Q36" s="87" t="inlineStr">
        <is>
          <t>03.2
4.0?</t>
        </is>
      </c>
      <c r="R36" s="77" t="inlineStr">
        <is>
          <t>FA020022675</t>
        </is>
      </c>
      <c r="S36" s="95" t="inlineStr">
        <is>
          <t>03.2
4.0?</t>
        </is>
      </c>
      <c r="U36" s="64" t="n"/>
      <c r="W36" s="64" t="n"/>
    </row>
    <row r="37" outlineLevel="1" ht="30" customHeight="1" s="480">
      <c r="A37" s="322" t="inlineStr">
        <is>
          <t>Conventional Train Control</t>
        </is>
      </c>
      <c r="B37" s="322" t="inlineStr">
        <is>
          <t>FRS_Conventional Train Control</t>
        </is>
      </c>
      <c r="C37" s="63" t="inlineStr">
        <is>
          <t>pdf</t>
        </is>
      </c>
      <c r="D37" s="77" t="inlineStr">
        <is>
          <t>3EST000225-7916</t>
        </is>
      </c>
      <c r="E37" s="10" t="inlineStr">
        <is>
          <t>A</t>
        </is>
      </c>
      <c r="F37" s="73" t="inlineStr">
        <is>
          <t>3EST000225-7916</t>
        </is>
      </c>
      <c r="G37" s="92" t="inlineStr">
        <is>
          <t>3ECP413719-0903</t>
        </is>
      </c>
      <c r="H37" s="10" t="inlineStr">
        <is>
          <t>_</t>
        </is>
      </c>
      <c r="I37" s="93" t="inlineStr">
        <is>
          <t>manca</t>
        </is>
      </c>
      <c r="J37" s="77" t="inlineStr">
        <is>
          <t>FA02P021958B</t>
        </is>
      </c>
      <c r="K37" s="78" t="inlineStr">
        <is>
          <t>2.0</t>
        </is>
      </c>
      <c r="L37" s="64" t="inlineStr">
        <is>
          <t>3ECP413719-0903</t>
        </is>
      </c>
      <c r="M37" s="77" t="inlineStr">
        <is>
          <t>3ECP413922-0903</t>
        </is>
      </c>
      <c r="N37" s="78" t="inlineStr">
        <is>
          <t>_</t>
        </is>
      </c>
      <c r="O37" s="78" t="inlineStr">
        <is>
          <t>3ECP413922-0903</t>
        </is>
      </c>
      <c r="P37" s="78" t="inlineStr">
        <is>
          <t>FA020023107</t>
        </is>
      </c>
      <c r="Q37" s="88" t="inlineStr">
        <is>
          <t>06.3</t>
        </is>
      </c>
      <c r="R37" s="63" t="inlineStr">
        <is>
          <t>FA020023107</t>
        </is>
      </c>
      <c r="S37" s="96" t="inlineStr">
        <is>
          <t>06.3</t>
        </is>
      </c>
      <c r="U37" s="64" t="n"/>
      <c r="W37" s="64" t="n"/>
    </row>
    <row r="38" outlineLevel="1" ht="30" customHeight="1" s="480">
      <c r="A38" s="322" t="inlineStr">
        <is>
          <t>Train Protection - ATP</t>
        </is>
      </c>
      <c r="B38" s="322" t="inlineStr">
        <is>
          <t>FRS_Train Protection - ATP</t>
        </is>
      </c>
      <c r="C38" s="63" t="inlineStr">
        <is>
          <t>pdf</t>
        </is>
      </c>
      <c r="D38" s="77" t="inlineStr">
        <is>
          <t>FA020013231</t>
        </is>
      </c>
      <c r="E38" s="80" t="inlineStr">
        <is>
          <t>01</t>
        </is>
      </c>
      <c r="F38" s="73" t="inlineStr">
        <is>
          <t>3EST000225-7889
EC01P008999B</t>
        </is>
      </c>
      <c r="G38" s="77" t="inlineStr">
        <is>
          <t>FA020013231</t>
        </is>
      </c>
      <c r="H38" s="80" t="inlineStr">
        <is>
          <t>01</t>
        </is>
      </c>
      <c r="I38" s="71" t="inlineStr">
        <is>
          <t>3ECP414246-0902</t>
        </is>
      </c>
      <c r="J38" s="77" t="inlineStr">
        <is>
          <t>FA020013231</t>
        </is>
      </c>
      <c r="K38" s="80" t="inlineStr">
        <is>
          <t>01</t>
        </is>
      </c>
      <c r="L38" s="73" t="inlineStr">
        <is>
          <t>3EST000225-7889
EC01P008999B</t>
        </is>
      </c>
      <c r="M38" s="63" t="inlineStr">
        <is>
          <t>FA020007630</t>
        </is>
      </c>
      <c r="N38" s="80" t="inlineStr">
        <is>
          <t>04</t>
        </is>
      </c>
      <c r="O38" s="73" t="inlineStr">
        <is>
          <t>3ECP413922-0902</t>
        </is>
      </c>
      <c r="P38" s="78" t="inlineStr">
        <is>
          <t>FA020025863</t>
        </is>
      </c>
      <c r="Q38" s="10" t="inlineStr">
        <is>
          <t>01.3</t>
        </is>
      </c>
      <c r="R38" s="63" t="inlineStr">
        <is>
          <t>FA020025863</t>
        </is>
      </c>
      <c r="S38" s="64" t="inlineStr">
        <is>
          <t>01.3</t>
        </is>
      </c>
      <c r="U38" s="64" t="n"/>
      <c r="W38" s="64" t="n"/>
    </row>
    <row r="39" outlineLevel="1" ht="30" customHeight="1" s="480">
      <c r="A39" s="322" t="inlineStr">
        <is>
          <t>Diagnostics</t>
        </is>
      </c>
      <c r="B39" s="322" t="inlineStr">
        <is>
          <t>FRS_Diagnostics</t>
        </is>
      </c>
      <c r="C39" s="63" t="inlineStr">
        <is>
          <t>pdf</t>
        </is>
      </c>
      <c r="D39" s="77" t="inlineStr">
        <is>
          <t>3EST000225-7918</t>
        </is>
      </c>
      <c r="E39" s="10" t="inlineStr">
        <is>
          <t>B</t>
        </is>
      </c>
      <c r="F39" s="73" t="inlineStr">
        <is>
          <t>3EST000225-7918</t>
        </is>
      </c>
      <c r="G39" s="77" t="inlineStr">
        <is>
          <t>3EST000225-7918</t>
        </is>
      </c>
      <c r="H39" s="10" t="inlineStr">
        <is>
          <t>B</t>
        </is>
      </c>
      <c r="I39" s="73" t="inlineStr">
        <is>
          <t>3EST000225-7918</t>
        </is>
      </c>
      <c r="J39" s="77" t="inlineStr">
        <is>
          <t>3EST000225-7918</t>
        </is>
      </c>
      <c r="K39" s="10" t="inlineStr">
        <is>
          <t>B</t>
        </is>
      </c>
      <c r="L39" s="73" t="inlineStr">
        <is>
          <t>3EST000225-7918</t>
        </is>
      </c>
      <c r="M39" s="77" t="inlineStr">
        <is>
          <t>3ECP413922-1001</t>
        </is>
      </c>
      <c r="N39" s="78" t="inlineStr">
        <is>
          <t>_</t>
        </is>
      </c>
      <c r="O39" s="73" t="inlineStr">
        <is>
          <t>3ECP413922-1001</t>
        </is>
      </c>
      <c r="P39" s="78" t="inlineStr">
        <is>
          <t>FA020023413</t>
        </is>
      </c>
      <c r="Q39" s="88" t="inlineStr">
        <is>
          <t>01.2</t>
        </is>
      </c>
      <c r="R39" s="63" t="inlineStr">
        <is>
          <t>FA020023413</t>
        </is>
      </c>
      <c r="S39" s="96" t="inlineStr">
        <is>
          <t>01.2</t>
        </is>
      </c>
      <c r="U39" s="64" t="n"/>
      <c r="W39" s="64" t="n"/>
    </row>
    <row r="40" outlineLevel="1" ht="30" customHeight="1" s="480">
      <c r="A40" s="322" t="inlineStr">
        <is>
          <t>Visualisation - MMI</t>
        </is>
      </c>
      <c r="B40" s="322" t="inlineStr">
        <is>
          <t>FRS_Visualisation - MMI</t>
        </is>
      </c>
      <c r="C40" s="63" t="inlineStr">
        <is>
          <t>pdf</t>
        </is>
      </c>
      <c r="D40" s="77" t="inlineStr">
        <is>
          <t>3EST000225-7919</t>
        </is>
      </c>
      <c r="E40" s="10" t="inlineStr">
        <is>
          <t>B</t>
        </is>
      </c>
      <c r="F40" s="73" t="inlineStr">
        <is>
          <t>3EST000225-7919</t>
        </is>
      </c>
      <c r="G40" s="77" t="inlineStr">
        <is>
          <t>3EST000225-7919</t>
        </is>
      </c>
      <c r="H40" s="10" t="inlineStr">
        <is>
          <t>B</t>
        </is>
      </c>
      <c r="I40" s="73" t="inlineStr">
        <is>
          <t>3EST000225-7919</t>
        </is>
      </c>
      <c r="J40" s="77" t="inlineStr">
        <is>
          <t>3EST000225-7919</t>
        </is>
      </c>
      <c r="K40" s="10" t="inlineStr">
        <is>
          <t>B</t>
        </is>
      </c>
      <c r="L40" s="73" t="inlineStr">
        <is>
          <t>3EST000225-7919</t>
        </is>
      </c>
      <c r="M40" s="77" t="inlineStr">
        <is>
          <t>3ECP413922-1003</t>
        </is>
      </c>
      <c r="N40" s="78" t="inlineStr">
        <is>
          <t>_</t>
        </is>
      </c>
      <c r="O40" s="73" t="inlineStr">
        <is>
          <t>3ECP413922-1003</t>
        </is>
      </c>
      <c r="P40" s="78" t="inlineStr">
        <is>
          <t>FA020027681</t>
        </is>
      </c>
      <c r="Q40" s="88" t="inlineStr">
        <is>
          <t>03.2</t>
        </is>
      </c>
      <c r="R40" s="63" t="inlineStr">
        <is>
          <t>FA020027681</t>
        </is>
      </c>
      <c r="S40" s="96" t="inlineStr">
        <is>
          <t>03.2</t>
        </is>
      </c>
      <c r="U40" s="64" t="n"/>
      <c r="W40" s="64" t="n"/>
    </row>
    <row r="41" outlineLevel="1" ht="30" customHeight="1" s="480">
      <c r="A41" s="322" t="inlineStr">
        <is>
          <t>TCMS - Operational</t>
        </is>
      </c>
      <c r="B41" s="322" t="inlineStr">
        <is>
          <t>FRS_TCMS - Operational</t>
        </is>
      </c>
      <c r="C41" s="63" t="inlineStr">
        <is>
          <t>pdf</t>
        </is>
      </c>
      <c r="D41" s="77" t="inlineStr">
        <is>
          <t>3EST000225-7917</t>
        </is>
      </c>
      <c r="E41" s="10" t="inlineStr">
        <is>
          <t>B</t>
        </is>
      </c>
      <c r="F41" s="73" t="inlineStr">
        <is>
          <t>3EST000225-7917</t>
        </is>
      </c>
      <c r="G41" s="77" t="inlineStr">
        <is>
          <t>3EST000225-7917</t>
        </is>
      </c>
      <c r="H41" s="10" t="inlineStr">
        <is>
          <t>B</t>
        </is>
      </c>
      <c r="I41" s="73" t="inlineStr">
        <is>
          <t>3EST000225-7917</t>
        </is>
      </c>
      <c r="J41" s="77" t="inlineStr">
        <is>
          <t>3EST000225-7917</t>
        </is>
      </c>
      <c r="K41" s="10" t="inlineStr">
        <is>
          <t>B</t>
        </is>
      </c>
      <c r="L41" s="73" t="inlineStr">
        <is>
          <t>3EST000225-7917</t>
        </is>
      </c>
      <c r="M41" s="77" t="inlineStr">
        <is>
          <t>3ECP413922-0904</t>
        </is>
      </c>
      <c r="N41" s="78" t="inlineStr">
        <is>
          <t>_</t>
        </is>
      </c>
      <c r="O41" s="73" t="inlineStr">
        <is>
          <t>3ECP413922-0904</t>
        </is>
      </c>
      <c r="P41" s="78" t="inlineStr">
        <is>
          <t>FA020026278</t>
        </is>
      </c>
      <c r="Q41" s="88" t="inlineStr">
        <is>
          <t>02.2</t>
        </is>
      </c>
      <c r="R41" s="63" t="inlineStr">
        <is>
          <t>FA020026278</t>
        </is>
      </c>
      <c r="S41" s="96" t="inlineStr">
        <is>
          <t>02.2</t>
        </is>
      </c>
      <c r="U41" s="64" t="n"/>
      <c r="W41" s="64" t="n"/>
    </row>
    <row r="42" outlineLevel="1" ht="30" customHeight="1" s="480">
      <c r="A42" s="322" t="inlineStr">
        <is>
          <t>Train to Wayside Communication (Teledia)</t>
        </is>
      </c>
      <c r="B42" s="322" t="inlineStr">
        <is>
          <t>FRS_Teledia</t>
        </is>
      </c>
      <c r="C42" s="63" t="inlineStr">
        <is>
          <t>pdf</t>
        </is>
      </c>
      <c r="D42" s="77" t="inlineStr">
        <is>
          <t>3ECP413176-0001</t>
        </is>
      </c>
      <c r="E42" s="10" t="inlineStr">
        <is>
          <t>_</t>
        </is>
      </c>
      <c r="F42" s="73" t="inlineStr">
        <is>
          <t>3ECP413176-0001</t>
        </is>
      </c>
      <c r="G42" s="77" t="inlineStr">
        <is>
          <t>3ECP413719-1200</t>
        </is>
      </c>
      <c r="H42" s="78" t="inlineStr">
        <is>
          <t>_</t>
        </is>
      </c>
      <c r="I42" s="73" t="inlineStr">
        <is>
          <t>3ECP413719-1200</t>
        </is>
      </c>
      <c r="J42" s="77" t="inlineStr">
        <is>
          <t>3ECP413176-0001</t>
        </is>
      </c>
      <c r="K42" s="10" t="inlineStr">
        <is>
          <t>_</t>
        </is>
      </c>
      <c r="L42" s="73" t="inlineStr">
        <is>
          <t>3ECP413176-0001</t>
        </is>
      </c>
      <c r="M42" s="77" t="inlineStr">
        <is>
          <t>3ECP413719-1200</t>
        </is>
      </c>
      <c r="N42" s="78" t="inlineStr">
        <is>
          <t>_</t>
        </is>
      </c>
      <c r="O42" s="73" t="inlineStr">
        <is>
          <t>3ECP413719-1200</t>
        </is>
      </c>
      <c r="P42" s="78" t="inlineStr">
        <is>
          <t>\</t>
        </is>
      </c>
      <c r="Q42" s="10" t="inlineStr">
        <is>
          <t>\</t>
        </is>
      </c>
      <c r="R42" s="63" t="inlineStr">
        <is>
          <t>\</t>
        </is>
      </c>
      <c r="S42" s="64" t="inlineStr">
        <is>
          <t>\</t>
        </is>
      </c>
      <c r="U42" s="64" t="n"/>
      <c r="W42" s="64" t="n"/>
    </row>
    <row r="43" outlineLevel="1" ht="30" customHeight="1" s="480">
      <c r="A43" s="322" t="inlineStr">
        <is>
          <t>Line Voltage</t>
        </is>
      </c>
      <c r="B43" s="325" t="inlineStr">
        <is>
          <t>FRS_Line Voltage</t>
        </is>
      </c>
      <c r="C43" s="63" t="inlineStr">
        <is>
          <t>pdf</t>
        </is>
      </c>
      <c r="D43" s="77" t="inlineStr">
        <is>
          <t>3EST000225-7907</t>
        </is>
      </c>
      <c r="E43" s="10" t="inlineStr">
        <is>
          <t>C</t>
        </is>
      </c>
      <c r="F43" s="73" t="inlineStr">
        <is>
          <t>3EST000225-7907</t>
        </is>
      </c>
      <c r="G43" s="159" t="inlineStr">
        <is>
          <t>3ECP413719-0401</t>
        </is>
      </c>
      <c r="H43" s="78" t="inlineStr">
        <is>
          <t>_</t>
        </is>
      </c>
      <c r="I43" s="93" t="inlineStr">
        <is>
          <t>manca</t>
        </is>
      </c>
      <c r="J43" s="77" t="inlineStr">
        <is>
          <t>3ECP413571-0401</t>
        </is>
      </c>
      <c r="K43" s="78" t="inlineStr">
        <is>
          <t>A</t>
        </is>
      </c>
      <c r="L43" s="64" t="n"/>
      <c r="M43" s="77" t="inlineStr">
        <is>
          <t>3EGH489028-2358</t>
        </is>
      </c>
      <c r="N43" s="78" t="inlineStr">
        <is>
          <t>B</t>
        </is>
      </c>
      <c r="O43" s="73" t="inlineStr">
        <is>
          <t>3EGH489028-2358</t>
        </is>
      </c>
      <c r="P43" s="78" t="inlineStr">
        <is>
          <t>FA020022045</t>
        </is>
      </c>
      <c r="Q43" s="88" t="inlineStr">
        <is>
          <t>06.2</t>
        </is>
      </c>
      <c r="R43" s="63" t="inlineStr">
        <is>
          <t>FA020022045</t>
        </is>
      </c>
      <c r="S43" s="96" t="inlineStr">
        <is>
          <t>06.2</t>
        </is>
      </c>
      <c r="U43" s="64" t="n"/>
      <c r="W43" s="64" t="n"/>
    </row>
    <row r="44" outlineLevel="1" ht="30" customHeight="1" s="480">
      <c r="A44" s="322" t="inlineStr">
        <is>
          <t>Aux Electrical Supply</t>
        </is>
      </c>
      <c r="B44" s="325" t="inlineStr">
        <is>
          <t>FRS_Aux Electrical Supply</t>
        </is>
      </c>
      <c r="C44" s="63" t="inlineStr">
        <is>
          <t>pdf</t>
        </is>
      </c>
      <c r="D44" s="77" t="inlineStr">
        <is>
          <t>3EST000225-7914</t>
        </is>
      </c>
      <c r="E44" s="10" t="inlineStr">
        <is>
          <t>B</t>
        </is>
      </c>
      <c r="F44" s="73" t="inlineStr">
        <is>
          <t>3EST000225-7914</t>
        </is>
      </c>
      <c r="G44" s="77" t="inlineStr">
        <is>
          <t>3EST000225-7914</t>
        </is>
      </c>
      <c r="H44" s="10" t="inlineStr">
        <is>
          <t>B</t>
        </is>
      </c>
      <c r="I44" s="73" t="inlineStr">
        <is>
          <t>3EST000225-7914</t>
        </is>
      </c>
      <c r="J44" s="77" t="inlineStr">
        <is>
          <t>3ECP413571-0601</t>
        </is>
      </c>
      <c r="K44" s="10" t="inlineStr">
        <is>
          <t>_</t>
        </is>
      </c>
      <c r="L44" s="64" t="n"/>
      <c r="M44" s="77" t="inlineStr">
        <is>
          <t>3EST000225-7914</t>
        </is>
      </c>
      <c r="N44" s="78" t="inlineStr">
        <is>
          <t>B</t>
        </is>
      </c>
      <c r="O44" s="73" t="inlineStr">
        <is>
          <t>3EST000225-7914</t>
        </is>
      </c>
      <c r="P44" s="78" t="inlineStr">
        <is>
          <t>FA020024537</t>
        </is>
      </c>
      <c r="Q44" s="88" t="inlineStr">
        <is>
          <t>03.2</t>
        </is>
      </c>
      <c r="R44" s="63" t="inlineStr">
        <is>
          <t>FA020024537</t>
        </is>
      </c>
      <c r="S44" s="96" t="inlineStr">
        <is>
          <t>03.2</t>
        </is>
      </c>
      <c r="U44" s="64" t="n"/>
      <c r="W44" s="64" t="n"/>
    </row>
    <row r="45" outlineLevel="1" ht="30" customHeight="1" s="480">
      <c r="A45" s="322" t="inlineStr">
        <is>
          <t>Battery</t>
        </is>
      </c>
      <c r="B45" s="325" t="inlineStr">
        <is>
          <t>FRS_Battery</t>
        </is>
      </c>
      <c r="C45" s="63" t="inlineStr">
        <is>
          <t>pdf</t>
        </is>
      </c>
      <c r="D45" s="77" t="inlineStr">
        <is>
          <t>3EST000225-7908</t>
        </is>
      </c>
      <c r="E45" s="10" t="inlineStr">
        <is>
          <t>B</t>
        </is>
      </c>
      <c r="F45" s="73" t="inlineStr">
        <is>
          <t>3EST000225-7908</t>
        </is>
      </c>
      <c r="G45" s="77" t="inlineStr">
        <is>
          <t>3EST000225-7908</t>
        </is>
      </c>
      <c r="H45" s="10" t="inlineStr">
        <is>
          <t>B</t>
        </is>
      </c>
      <c r="I45" s="73" t="inlineStr">
        <is>
          <t>3EST000225-7908</t>
        </is>
      </c>
      <c r="J45" s="77" t="inlineStr">
        <is>
          <t>3EST000225-7908</t>
        </is>
      </c>
      <c r="K45" s="10" t="inlineStr">
        <is>
          <t>B</t>
        </is>
      </c>
      <c r="L45" s="73" t="inlineStr">
        <is>
          <t>3EST000225-7908</t>
        </is>
      </c>
      <c r="M45" s="77" t="inlineStr">
        <is>
          <t>3EST000225-7908</t>
        </is>
      </c>
      <c r="N45" s="78" t="inlineStr">
        <is>
          <t>B</t>
        </is>
      </c>
      <c r="O45" s="73" t="inlineStr">
        <is>
          <t>3EST000225-7908</t>
        </is>
      </c>
      <c r="P45" s="78" t="inlineStr">
        <is>
          <t>FA020024538</t>
        </is>
      </c>
      <c r="Q45" s="88" t="inlineStr">
        <is>
          <t>03.2</t>
        </is>
      </c>
      <c r="R45" s="63" t="inlineStr">
        <is>
          <t>FA020024538</t>
        </is>
      </c>
      <c r="S45" s="96" t="inlineStr">
        <is>
          <t>03.2</t>
        </is>
      </c>
      <c r="U45" s="64" t="n"/>
      <c r="W45" s="64" t="n"/>
    </row>
    <row r="46" outlineLevel="1" ht="30" customHeight="1" s="480">
      <c r="A46" s="322" t="inlineStr">
        <is>
          <t>Air Supply</t>
        </is>
      </c>
      <c r="B46" s="325" t="inlineStr">
        <is>
          <t>FRS_Air Supply</t>
        </is>
      </c>
      <c r="C46" s="63" t="inlineStr">
        <is>
          <t>pdf</t>
        </is>
      </c>
      <c r="D46" s="77" t="inlineStr">
        <is>
          <t>3EST000225-7915</t>
        </is>
      </c>
      <c r="E46" s="10" t="inlineStr">
        <is>
          <t>D</t>
        </is>
      </c>
      <c r="F46" s="73" t="inlineStr">
        <is>
          <t>3EST000225-7915</t>
        </is>
      </c>
      <c r="G46" s="77" t="inlineStr">
        <is>
          <t>3ECP413719-0603</t>
        </is>
      </c>
      <c r="H46" s="78" t="inlineStr">
        <is>
          <t>_</t>
        </is>
      </c>
      <c r="I46" s="73" t="inlineStr">
        <is>
          <t>3ECP413719-0603</t>
        </is>
      </c>
      <c r="J46" s="77" t="inlineStr">
        <is>
          <t>3EST000225-7915</t>
        </is>
      </c>
      <c r="K46" s="10" t="inlineStr">
        <is>
          <t>D</t>
        </is>
      </c>
      <c r="L46" s="73" t="inlineStr">
        <is>
          <t>3EST000225-7915</t>
        </is>
      </c>
      <c r="M46" s="77" t="inlineStr">
        <is>
          <t>3ECP413719-0603</t>
        </is>
      </c>
      <c r="N46" s="78" t="inlineStr">
        <is>
          <t>_</t>
        </is>
      </c>
      <c r="O46" s="73" t="inlineStr">
        <is>
          <t>3ECP413719-0603</t>
        </is>
      </c>
      <c r="P46" s="78" t="inlineStr">
        <is>
          <t>FA020024531</t>
        </is>
      </c>
      <c r="Q46" s="88" t="inlineStr">
        <is>
          <t>01.3</t>
        </is>
      </c>
      <c r="R46" s="63" t="inlineStr">
        <is>
          <t>FA020024531</t>
        </is>
      </c>
      <c r="S46" s="96" t="inlineStr">
        <is>
          <t>01.3</t>
        </is>
      </c>
      <c r="U46" s="64" t="n"/>
      <c r="W46" s="64" t="n"/>
    </row>
    <row r="47" outlineLevel="1" ht="30" customHeight="1" s="480">
      <c r="A47" s="322" t="inlineStr">
        <is>
          <t>Brake Control</t>
        </is>
      </c>
      <c r="B47" s="325" t="inlineStr">
        <is>
          <t>FRS_Brake Control</t>
        </is>
      </c>
      <c r="C47" s="63" t="inlineStr">
        <is>
          <t>pdf</t>
        </is>
      </c>
      <c r="D47" s="77" t="inlineStr">
        <is>
          <t>3EST000225-7910</t>
        </is>
      </c>
      <c r="E47" s="79" t="inlineStr">
        <is>
          <t>L</t>
        </is>
      </c>
      <c r="F47" s="73" t="inlineStr">
        <is>
          <t>3EST000225-7910</t>
        </is>
      </c>
      <c r="G47" s="92" t="inlineStr">
        <is>
          <t>3ECP413719-0502</t>
        </is>
      </c>
      <c r="H47" s="10" t="inlineStr">
        <is>
          <t>A</t>
        </is>
      </c>
      <c r="I47" s="93" t="inlineStr">
        <is>
          <t>manca</t>
        </is>
      </c>
      <c r="J47" s="77" t="inlineStr">
        <is>
          <t>3ECP413571-0502</t>
        </is>
      </c>
      <c r="K47" s="79" t="inlineStr">
        <is>
          <t>C</t>
        </is>
      </c>
      <c r="L47" s="64" t="n"/>
      <c r="M47" s="63" t="inlineStr">
        <is>
          <t>3ECP413922-0502</t>
        </is>
      </c>
      <c r="N47" s="79" t="inlineStr">
        <is>
          <t>B</t>
        </is>
      </c>
      <c r="O47" s="64" t="inlineStr">
        <is>
          <t>3ECP413922-0502</t>
        </is>
      </c>
      <c r="P47" s="78" t="inlineStr">
        <is>
          <t>FA020023100</t>
        </is>
      </c>
      <c r="Q47" s="88" t="inlineStr">
        <is>
          <t>02.3</t>
        </is>
      </c>
      <c r="R47" s="63" t="inlineStr">
        <is>
          <t>FA020023100</t>
        </is>
      </c>
      <c r="S47" s="96" t="inlineStr">
        <is>
          <t>02.3</t>
        </is>
      </c>
      <c r="U47" s="64" t="n"/>
      <c r="W47" s="64" t="n"/>
    </row>
    <row r="48" outlineLevel="1" ht="30" customHeight="1" s="480">
      <c r="A48" s="322" t="inlineStr">
        <is>
          <t>Bogies</t>
        </is>
      </c>
      <c r="B48" s="325" t="inlineStr">
        <is>
          <t>FRS_Bogies</t>
        </is>
      </c>
      <c r="C48" s="63" t="inlineStr">
        <is>
          <t>pdf</t>
        </is>
      </c>
      <c r="D48" s="77" t="inlineStr">
        <is>
          <t>3EST000225-7906</t>
        </is>
      </c>
      <c r="E48" s="79" t="inlineStr">
        <is>
          <t>D</t>
        </is>
      </c>
      <c r="F48" s="73" t="inlineStr">
        <is>
          <t>3EST000225-7906</t>
        </is>
      </c>
      <c r="G48" s="77" t="inlineStr">
        <is>
          <t>3ECP413719-0300</t>
        </is>
      </c>
      <c r="H48" s="78" t="inlineStr">
        <is>
          <t>_</t>
        </is>
      </c>
      <c r="I48" s="73" t="inlineStr">
        <is>
          <t>3ECP413719-0300</t>
        </is>
      </c>
      <c r="J48" s="159" t="inlineStr">
        <is>
          <t>3ECP413571-0300</t>
        </is>
      </c>
      <c r="K48" s="102" t="inlineStr">
        <is>
          <t>A</t>
        </is>
      </c>
      <c r="L48" s="93" t="inlineStr">
        <is>
          <t>manca</t>
        </is>
      </c>
      <c r="M48" s="77" t="inlineStr">
        <is>
          <t>3ECP413719-0300</t>
        </is>
      </c>
      <c r="N48" s="78" t="inlineStr">
        <is>
          <t>_</t>
        </is>
      </c>
      <c r="O48" s="73" t="inlineStr">
        <is>
          <t>3ECP413719-0300</t>
        </is>
      </c>
      <c r="P48" s="78" t="inlineStr">
        <is>
          <t>FA020030729</t>
        </is>
      </c>
      <c r="Q48" s="88" t="inlineStr">
        <is>
          <t>04.3</t>
        </is>
      </c>
      <c r="R48" s="63" t="inlineStr">
        <is>
          <t>FA020030729</t>
        </is>
      </c>
      <c r="S48" s="96" t="inlineStr">
        <is>
          <t>04.3</t>
        </is>
      </c>
      <c r="U48" s="64" t="n"/>
      <c r="W48" s="64" t="n"/>
    </row>
    <row r="49" outlineLevel="1" ht="30" customHeight="1" s="480">
      <c r="A49" s="322" t="inlineStr">
        <is>
          <t>Wash Wiper</t>
        </is>
      </c>
      <c r="B49" s="322" t="inlineStr">
        <is>
          <t>FRS_Wash Wiper</t>
        </is>
      </c>
      <c r="C49" s="63" t="inlineStr">
        <is>
          <t>pdf</t>
        </is>
      </c>
      <c r="D49" s="77" t="inlineStr">
        <is>
          <t>3EST000225-7900</t>
        </is>
      </c>
      <c r="E49" s="10" t="inlineStr">
        <is>
          <t>A</t>
        </is>
      </c>
      <c r="F49" s="73" t="inlineStr">
        <is>
          <t>3EST000225-7900</t>
        </is>
      </c>
      <c r="G49" s="77" t="inlineStr">
        <is>
          <t>3EST000225-7900</t>
        </is>
      </c>
      <c r="H49" s="10" t="inlineStr">
        <is>
          <t>A</t>
        </is>
      </c>
      <c r="I49" s="73" t="inlineStr">
        <is>
          <t>3EST000225-7900</t>
        </is>
      </c>
      <c r="J49" s="77" t="inlineStr">
        <is>
          <t>3EST000225-7900</t>
        </is>
      </c>
      <c r="K49" s="10" t="inlineStr">
        <is>
          <t>A</t>
        </is>
      </c>
      <c r="L49" s="73" t="inlineStr">
        <is>
          <t>3EST000225-7900</t>
        </is>
      </c>
      <c r="M49" s="77" t="inlineStr">
        <is>
          <t>3EST000225-7900</t>
        </is>
      </c>
      <c r="N49" s="78" t="inlineStr">
        <is>
          <t>A</t>
        </is>
      </c>
      <c r="O49" s="73" t="inlineStr">
        <is>
          <t>3EST000225-7900</t>
        </is>
      </c>
      <c r="P49" s="78" t="inlineStr">
        <is>
          <t>FA020026344</t>
        </is>
      </c>
      <c r="Q49" s="88" t="inlineStr">
        <is>
          <t>00.3</t>
        </is>
      </c>
      <c r="R49" s="63" t="inlineStr">
        <is>
          <t>FA020026344</t>
        </is>
      </c>
      <c r="S49" s="96" t="inlineStr">
        <is>
          <t>00.3</t>
        </is>
      </c>
      <c r="U49" s="64" t="n"/>
      <c r="W49" s="64" t="n"/>
    </row>
    <row r="50" outlineLevel="1" ht="30" customHeight="1" s="480">
      <c r="A50" s="322" t="inlineStr">
        <is>
          <t>Windscreen</t>
        </is>
      </c>
      <c r="B50" s="322" t="inlineStr">
        <is>
          <t>FRS_Windscreen</t>
        </is>
      </c>
      <c r="C50" s="63" t="inlineStr">
        <is>
          <t>pdf</t>
        </is>
      </c>
      <c r="D50" s="77" t="inlineStr">
        <is>
          <t>3EST000225-7902</t>
        </is>
      </c>
      <c r="E50" s="10" t="inlineStr">
        <is>
          <t>A</t>
        </is>
      </c>
      <c r="F50" s="73" t="inlineStr">
        <is>
          <t>3EST000225-7902</t>
        </is>
      </c>
      <c r="G50" s="77" t="inlineStr">
        <is>
          <t>3EST000225-7902</t>
        </is>
      </c>
      <c r="H50" s="10" t="inlineStr">
        <is>
          <t>A</t>
        </is>
      </c>
      <c r="I50" s="73" t="inlineStr">
        <is>
          <t>3EST000225-7902</t>
        </is>
      </c>
      <c r="J50" s="77" t="inlineStr">
        <is>
          <t>3EST000225-7902</t>
        </is>
      </c>
      <c r="K50" s="10" t="inlineStr">
        <is>
          <t>A</t>
        </is>
      </c>
      <c r="L50" s="73" t="inlineStr">
        <is>
          <t>3EST000225-7902</t>
        </is>
      </c>
      <c r="M50" s="77" t="inlineStr">
        <is>
          <t>3EST000225-7902</t>
        </is>
      </c>
      <c r="N50" s="78" t="inlineStr">
        <is>
          <t>A</t>
        </is>
      </c>
      <c r="O50" s="73" t="inlineStr">
        <is>
          <t>3EST000225-7902</t>
        </is>
      </c>
      <c r="P50" s="78" t="inlineStr">
        <is>
          <t>FA020026347</t>
        </is>
      </c>
      <c r="Q50" s="88" t="inlineStr">
        <is>
          <t>00.3</t>
        </is>
      </c>
      <c r="R50" s="63" t="inlineStr">
        <is>
          <t>FA020026347</t>
        </is>
      </c>
      <c r="S50" s="96" t="inlineStr">
        <is>
          <t>00.3</t>
        </is>
      </c>
      <c r="U50" s="64" t="n"/>
      <c r="W50" s="64" t="n"/>
    </row>
    <row r="51" outlineLevel="1" ht="30" customHeight="1" s="480">
      <c r="A51" s="322" t="inlineStr">
        <is>
          <t>Coupler</t>
        </is>
      </c>
      <c r="B51" s="322" t="inlineStr">
        <is>
          <t>FRS_Coupler</t>
        </is>
      </c>
      <c r="C51" s="63" t="inlineStr">
        <is>
          <t>pdf</t>
        </is>
      </c>
      <c r="D51" s="77" t="inlineStr">
        <is>
          <t>3EST000225-7903</t>
        </is>
      </c>
      <c r="E51" s="79" t="inlineStr">
        <is>
          <t>C</t>
        </is>
      </c>
      <c r="F51" s="73" t="inlineStr">
        <is>
          <t>3EST000225-7903</t>
        </is>
      </c>
      <c r="G51" s="92" t="inlineStr">
        <is>
          <t>3ECP413719-0204</t>
        </is>
      </c>
      <c r="H51" s="10" t="inlineStr">
        <is>
          <t>A</t>
        </is>
      </c>
      <c r="I51" s="93" t="inlineStr">
        <is>
          <t>manca</t>
        </is>
      </c>
      <c r="J51" s="159" t="inlineStr">
        <is>
          <t>3ECP413571-0204</t>
        </is>
      </c>
      <c r="K51" s="102" t="inlineStr">
        <is>
          <t>_</t>
        </is>
      </c>
      <c r="L51" s="93" t="inlineStr">
        <is>
          <t>manca</t>
        </is>
      </c>
      <c r="M51" s="77" t="inlineStr">
        <is>
          <t>3ECP413922-0204</t>
        </is>
      </c>
      <c r="N51" s="78" t="inlineStr">
        <is>
          <t>_</t>
        </is>
      </c>
      <c r="O51" s="73" t="inlineStr">
        <is>
          <t>3ECP413922-0204</t>
        </is>
      </c>
      <c r="P51" s="78" t="inlineStr">
        <is>
          <t>FA020026357</t>
        </is>
      </c>
      <c r="Q51" s="88" t="inlineStr">
        <is>
          <t>02.2</t>
        </is>
      </c>
      <c r="R51" s="63" t="inlineStr">
        <is>
          <t>FA020026357</t>
        </is>
      </c>
      <c r="S51" s="96" t="inlineStr">
        <is>
          <t>02.2</t>
        </is>
      </c>
      <c r="U51" s="64" t="n"/>
      <c r="W51" s="64" t="n"/>
    </row>
    <row r="52" outlineLevel="1" ht="30" customHeight="1" s="480">
      <c r="A52" s="322" t="inlineStr">
        <is>
          <t>Horn</t>
        </is>
      </c>
      <c r="B52" s="322" t="inlineStr">
        <is>
          <t>FRS_Horn</t>
        </is>
      </c>
      <c r="C52" s="63" t="inlineStr">
        <is>
          <t>pdf</t>
        </is>
      </c>
      <c r="D52" s="77" t="inlineStr">
        <is>
          <t>3EST000225-7905</t>
        </is>
      </c>
      <c r="E52" s="10" t="inlineStr">
        <is>
          <t>A</t>
        </is>
      </c>
      <c r="F52" s="73" t="inlineStr">
        <is>
          <t>3EST000225-7905</t>
        </is>
      </c>
      <c r="G52" s="77" t="inlineStr">
        <is>
          <t>3EST000225-7905</t>
        </is>
      </c>
      <c r="H52" s="10" t="inlineStr">
        <is>
          <t>A</t>
        </is>
      </c>
      <c r="I52" s="73" t="inlineStr">
        <is>
          <t>3EST000225-7905</t>
        </is>
      </c>
      <c r="J52" s="77" t="inlineStr">
        <is>
          <t>3EST000225-7905</t>
        </is>
      </c>
      <c r="K52" s="10" t="inlineStr">
        <is>
          <t>A</t>
        </is>
      </c>
      <c r="L52" s="73" t="inlineStr">
        <is>
          <t>3EST000225-7905</t>
        </is>
      </c>
      <c r="M52" s="77" t="inlineStr">
        <is>
          <t>3EST000225-7905</t>
        </is>
      </c>
      <c r="N52" s="78" t="inlineStr">
        <is>
          <t>A</t>
        </is>
      </c>
      <c r="O52" s="73" t="inlineStr">
        <is>
          <t>3EST000225-7905</t>
        </is>
      </c>
      <c r="P52" s="78" t="inlineStr">
        <is>
          <t>FA020026338</t>
        </is>
      </c>
      <c r="Q52" s="88" t="inlineStr">
        <is>
          <t>00.3</t>
        </is>
      </c>
      <c r="R52" s="63" t="inlineStr">
        <is>
          <t>FA020026338</t>
        </is>
      </c>
      <c r="S52" s="96" t="inlineStr">
        <is>
          <t>00.3</t>
        </is>
      </c>
      <c r="U52" s="64" t="n"/>
      <c r="W52" s="64" t="n"/>
    </row>
    <row r="53" outlineLevel="1" ht="30" customHeight="1" s="480">
      <c r="A53" s="322" t="inlineStr">
        <is>
          <t>Wheelchair Lifts</t>
        </is>
      </c>
      <c r="B53" s="322" t="inlineStr">
        <is>
          <t>FRS_Wheelchair Lifts</t>
        </is>
      </c>
      <c r="C53" s="63" t="inlineStr">
        <is>
          <t>pdf</t>
        </is>
      </c>
      <c r="D53" s="77" t="inlineStr">
        <is>
          <t>3EST000225-7887</t>
        </is>
      </c>
      <c r="E53" s="10" t="inlineStr">
        <is>
          <t>_</t>
        </is>
      </c>
      <c r="F53" s="73" t="inlineStr">
        <is>
          <t>3EST000225-7887</t>
        </is>
      </c>
      <c r="G53" s="77" t="inlineStr">
        <is>
          <t>3EST000225-7887</t>
        </is>
      </c>
      <c r="H53" s="10" t="inlineStr">
        <is>
          <t>_</t>
        </is>
      </c>
      <c r="I53" s="73" t="inlineStr">
        <is>
          <t>3EST000225-7887</t>
        </is>
      </c>
      <c r="J53" s="77" t="inlineStr">
        <is>
          <t>3EST000225-7887</t>
        </is>
      </c>
      <c r="K53" s="10" t="inlineStr">
        <is>
          <t>_</t>
        </is>
      </c>
      <c r="L53" s="73" t="inlineStr">
        <is>
          <t>3EST000225-7887</t>
        </is>
      </c>
      <c r="M53" s="77" t="inlineStr">
        <is>
          <t>3EST000225-7887</t>
        </is>
      </c>
      <c r="N53" s="78" t="inlineStr">
        <is>
          <t>_</t>
        </is>
      </c>
      <c r="O53" s="73" t="inlineStr">
        <is>
          <t>3EST000225-7887</t>
        </is>
      </c>
      <c r="P53" s="78" t="inlineStr">
        <is>
          <t>FA020025254</t>
        </is>
      </c>
      <c r="Q53" s="88" t="inlineStr">
        <is>
          <t>02.2</t>
        </is>
      </c>
      <c r="R53" s="63" t="inlineStr">
        <is>
          <t>FA020025254</t>
        </is>
      </c>
      <c r="S53" s="96" t="inlineStr">
        <is>
          <t>02.2</t>
        </is>
      </c>
      <c r="U53" s="64" t="n"/>
      <c r="W53" s="64" t="n"/>
    </row>
    <row r="54" outlineLevel="1" ht="30" customHeight="1" s="480">
      <c r="A54" s="322" t="inlineStr">
        <is>
          <t>Exterior Door and Step Systems</t>
        </is>
      </c>
      <c r="B54" s="322" t="inlineStr">
        <is>
          <t>FRS_Exterior Door and Step Systems</t>
        </is>
      </c>
      <c r="C54" s="63" t="inlineStr">
        <is>
          <t>pdf</t>
        </is>
      </c>
      <c r="D54" s="77" t="inlineStr">
        <is>
          <t>EC01P008887B</t>
        </is>
      </c>
      <c r="E54" s="80" t="inlineStr">
        <is>
          <t>09</t>
        </is>
      </c>
      <c r="F54" s="73" t="inlineStr">
        <is>
          <t>3EST000225-7893</t>
        </is>
      </c>
      <c r="G54" s="77" t="inlineStr">
        <is>
          <t>EC01P008887B</t>
        </is>
      </c>
      <c r="H54" s="80" t="inlineStr">
        <is>
          <t>09</t>
        </is>
      </c>
      <c r="I54" s="64" t="inlineStr">
        <is>
          <t>3ECP413719-1400</t>
        </is>
      </c>
      <c r="J54" s="77" t="inlineStr">
        <is>
          <t>FA020000711</t>
        </is>
      </c>
      <c r="K54" s="80" t="inlineStr">
        <is>
          <t>00</t>
        </is>
      </c>
      <c r="L54" s="64" t="inlineStr">
        <is>
          <t>3ECP413571-1400</t>
        </is>
      </c>
      <c r="M54" s="77" t="inlineStr">
        <is>
          <t>EC01P008887B</t>
        </is>
      </c>
      <c r="N54" s="80" t="inlineStr">
        <is>
          <t>09</t>
        </is>
      </c>
      <c r="O54" s="64" t="inlineStr">
        <is>
          <t>3ECP413922-1400</t>
        </is>
      </c>
      <c r="P54" s="78" t="inlineStr">
        <is>
          <t>FA020025252</t>
        </is>
      </c>
      <c r="Q54" s="88" t="inlineStr">
        <is>
          <t>04.2</t>
        </is>
      </c>
      <c r="R54" s="63" t="inlineStr">
        <is>
          <t>FA020025252</t>
        </is>
      </c>
      <c r="S54" s="96" t="inlineStr">
        <is>
          <t>04.2</t>
        </is>
      </c>
      <c r="U54" s="64" t="n"/>
      <c r="W54" s="64" t="n"/>
    </row>
    <row r="55" outlineLevel="1" ht="30" customHeight="1" s="480">
      <c r="A55" s="322" t="inlineStr">
        <is>
          <t>Interior Doors</t>
        </is>
      </c>
      <c r="B55" s="322" t="inlineStr">
        <is>
          <t>FRS_Interior Doors</t>
        </is>
      </c>
      <c r="C55" s="63" t="inlineStr">
        <is>
          <t>pdf</t>
        </is>
      </c>
      <c r="D55" s="77" t="inlineStr">
        <is>
          <t>EC01P008873B</t>
        </is>
      </c>
      <c r="E55" s="80" t="inlineStr">
        <is>
          <t>01</t>
        </is>
      </c>
      <c r="F55" s="73" t="inlineStr">
        <is>
          <t>3EST000225-7886</t>
        </is>
      </c>
      <c r="G55" s="77" t="inlineStr">
        <is>
          <t>EC01P008873B</t>
        </is>
      </c>
      <c r="H55" s="80" t="inlineStr">
        <is>
          <t>01</t>
        </is>
      </c>
      <c r="I55" s="73" t="inlineStr">
        <is>
          <t>3EST000225-7886</t>
        </is>
      </c>
      <c r="J55" s="77" t="inlineStr">
        <is>
          <t>EC01P008873B</t>
        </is>
      </c>
      <c r="K55" s="80" t="inlineStr">
        <is>
          <t>01</t>
        </is>
      </c>
      <c r="L55" s="78" t="inlineStr">
        <is>
          <t>3EST000225-7886</t>
        </is>
      </c>
      <c r="M55" s="77" t="inlineStr">
        <is>
          <t>EC01P008873B</t>
        </is>
      </c>
      <c r="N55" s="80" t="inlineStr">
        <is>
          <t>01</t>
        </is>
      </c>
      <c r="O55" s="73" t="inlineStr">
        <is>
          <t>3EST000225-7886</t>
        </is>
      </c>
      <c r="P55" s="78" t="inlineStr">
        <is>
          <t>FA020025253</t>
        </is>
      </c>
      <c r="Q55" s="88" t="inlineStr">
        <is>
          <t>04.2</t>
        </is>
      </c>
      <c r="R55" s="63" t="inlineStr">
        <is>
          <t>FA020025253</t>
        </is>
      </c>
      <c r="S55" s="96" t="inlineStr">
        <is>
          <t>04.2</t>
        </is>
      </c>
      <c r="U55" s="64" t="n"/>
      <c r="W55" s="64" t="n"/>
    </row>
    <row r="56" outlineLevel="1" ht="30" customHeight="1" s="480">
      <c r="A56" s="322" t="inlineStr">
        <is>
          <t>Cab HVAC</t>
        </is>
      </c>
      <c r="B56" s="322" t="inlineStr">
        <is>
          <t>FRS_Cab HVAC</t>
        </is>
      </c>
      <c r="C56" s="63" t="inlineStr">
        <is>
          <t>pdf</t>
        </is>
      </c>
      <c r="D56" s="77" t="inlineStr">
        <is>
          <t>EC01P009028B</t>
        </is>
      </c>
      <c r="E56" s="10" t="inlineStr">
        <is>
          <t>00.4</t>
        </is>
      </c>
      <c r="F56" s="73" t="inlineStr">
        <is>
          <t>3EST000225-7894</t>
        </is>
      </c>
      <c r="G56" s="77" t="inlineStr">
        <is>
          <t>EC01P009028B</t>
        </is>
      </c>
      <c r="H56" s="10" t="inlineStr">
        <is>
          <t>00.4</t>
        </is>
      </c>
      <c r="I56" s="73" t="inlineStr">
        <is>
          <t>3EST000225-7894</t>
        </is>
      </c>
      <c r="J56" s="77" t="inlineStr">
        <is>
          <t>EC01P009028B</t>
        </is>
      </c>
      <c r="K56" s="10" t="inlineStr">
        <is>
          <t>00.4</t>
        </is>
      </c>
      <c r="L56" s="78" t="inlineStr">
        <is>
          <t>3EST000225-7894</t>
        </is>
      </c>
      <c r="M56" s="77" t="inlineStr">
        <is>
          <t>EC01P009028B</t>
        </is>
      </c>
      <c r="N56" s="10" t="inlineStr">
        <is>
          <t>00.4</t>
        </is>
      </c>
      <c r="O56" s="73" t="inlineStr">
        <is>
          <t>3EST000225-7894</t>
        </is>
      </c>
      <c r="P56" s="78" t="inlineStr">
        <is>
          <t>FA020026562</t>
        </is>
      </c>
      <c r="Q56" s="88" t="inlineStr">
        <is>
          <t>00.2</t>
        </is>
      </c>
      <c r="R56" s="63" t="inlineStr">
        <is>
          <t>FA020026562</t>
        </is>
      </c>
      <c r="S56" s="96" t="inlineStr">
        <is>
          <t>00.2</t>
        </is>
      </c>
      <c r="U56" s="64" t="n"/>
      <c r="W56" s="64" t="n"/>
    </row>
    <row r="57" outlineLevel="1" ht="30" customHeight="1" s="480">
      <c r="A57" s="322" t="inlineStr">
        <is>
          <t>Saloon HVAC</t>
        </is>
      </c>
      <c r="B57" s="322" t="inlineStr">
        <is>
          <t>FRS_Saloon HVAC</t>
        </is>
      </c>
      <c r="C57" s="63" t="inlineStr">
        <is>
          <t>pdf</t>
        </is>
      </c>
      <c r="D57" s="77" t="inlineStr">
        <is>
          <t>EC01P008880B</t>
        </is>
      </c>
      <c r="E57" s="10" t="inlineStr">
        <is>
          <t>00.8</t>
        </is>
      </c>
      <c r="F57" s="73" t="inlineStr">
        <is>
          <t>3EST000225-7897</t>
        </is>
      </c>
      <c r="G57" s="77" t="inlineStr">
        <is>
          <t>3EST000225-7897</t>
        </is>
      </c>
      <c r="H57" s="10" t="inlineStr">
        <is>
          <t>A</t>
        </is>
      </c>
      <c r="I57" s="73" t="inlineStr">
        <is>
          <t>3EST000225-7897</t>
        </is>
      </c>
      <c r="J57" s="77" t="inlineStr">
        <is>
          <t>EC01P008880B</t>
        </is>
      </c>
      <c r="K57" s="10" t="inlineStr">
        <is>
          <t>00.8</t>
        </is>
      </c>
      <c r="L57" s="78" t="inlineStr">
        <is>
          <t>3EST000225-7897</t>
        </is>
      </c>
      <c r="M57" s="63" t="inlineStr">
        <is>
          <t>3EST000225-7897</t>
        </is>
      </c>
      <c r="N57" s="10" t="inlineStr">
        <is>
          <t>00.8</t>
        </is>
      </c>
      <c r="O57" s="73" t="inlineStr">
        <is>
          <t>EC01P008880B</t>
        </is>
      </c>
      <c r="P57" s="78" t="inlineStr">
        <is>
          <t>FA020026563</t>
        </is>
      </c>
      <c r="Q57" s="88" t="inlineStr">
        <is>
          <t>02.2</t>
        </is>
      </c>
      <c r="R57" s="63" t="inlineStr">
        <is>
          <t>FA020026563</t>
        </is>
      </c>
      <c r="S57" s="96" t="inlineStr">
        <is>
          <t>02.2</t>
        </is>
      </c>
      <c r="U57" s="64" t="n"/>
      <c r="W57" s="64" t="n"/>
    </row>
    <row r="58" outlineLevel="1" ht="30" customHeight="1" s="480">
      <c r="A58" s="322" t="inlineStr">
        <is>
          <t>Fire Protection and Extinction</t>
        </is>
      </c>
      <c r="B58" s="322" t="inlineStr">
        <is>
          <t>FRS_FPS</t>
        </is>
      </c>
      <c r="C58" s="63" t="inlineStr">
        <is>
          <t>pdf</t>
        </is>
      </c>
      <c r="D58" s="77" t="inlineStr">
        <is>
          <t>EC01P008884B</t>
        </is>
      </c>
      <c r="E58" s="80" t="inlineStr">
        <is>
          <t>04</t>
        </is>
      </c>
      <c r="F58" s="73" t="inlineStr">
        <is>
          <t>3EST000225-7879</t>
        </is>
      </c>
      <c r="G58" s="77" t="inlineStr">
        <is>
          <t>3EST000225-7879</t>
        </is>
      </c>
      <c r="H58" s="10" t="inlineStr">
        <is>
          <t>A</t>
        </is>
      </c>
      <c r="I58" s="73" t="inlineStr">
        <is>
          <t>3EST000225-7879</t>
        </is>
      </c>
      <c r="J58" s="77" t="inlineStr">
        <is>
          <t>EC01P008884B</t>
        </is>
      </c>
      <c r="K58" s="80" t="inlineStr">
        <is>
          <t>04</t>
        </is>
      </c>
      <c r="L58" s="78" t="inlineStr">
        <is>
          <t>3EST000225-7879</t>
        </is>
      </c>
      <c r="M58" s="63" t="inlineStr">
        <is>
          <t>3ECP413922-0604</t>
        </is>
      </c>
      <c r="N58" s="80" t="inlineStr">
        <is>
          <t>04</t>
        </is>
      </c>
      <c r="O58" s="64" t="inlineStr">
        <is>
          <t>EC01P008884B</t>
        </is>
      </c>
      <c r="P58" s="78" t="inlineStr">
        <is>
          <t>FA020025419</t>
        </is>
      </c>
      <c r="Q58" s="88" t="inlineStr">
        <is>
          <t>03.2</t>
        </is>
      </c>
      <c r="R58" s="63" t="inlineStr">
        <is>
          <t>FA020025419</t>
        </is>
      </c>
      <c r="S58" s="96" t="inlineStr">
        <is>
          <t>03.2</t>
        </is>
      </c>
      <c r="U58" s="64" t="n"/>
      <c r="W58" s="64" t="n"/>
    </row>
    <row r="59" outlineLevel="1" ht="30" customHeight="1" s="480">
      <c r="A59" s="322" t="inlineStr">
        <is>
          <t>Toilet</t>
        </is>
      </c>
      <c r="B59" s="322" t="inlineStr">
        <is>
          <t>FRS_Toilet</t>
        </is>
      </c>
      <c r="C59" s="63" t="inlineStr">
        <is>
          <t>pdf</t>
        </is>
      </c>
      <c r="D59" s="77" t="inlineStr">
        <is>
          <t>EC01P008888B</t>
        </is>
      </c>
      <c r="E59" s="87" t="inlineStr">
        <is>
          <t>02</t>
        </is>
      </c>
      <c r="F59" s="73" t="inlineStr">
        <is>
          <t>3EST000225-7883</t>
        </is>
      </c>
      <c r="G59" s="77" t="inlineStr">
        <is>
          <t>EC01P008888B</t>
        </is>
      </c>
      <c r="H59" s="87" t="inlineStr">
        <is>
          <t>02</t>
        </is>
      </c>
      <c r="I59" s="64" t="inlineStr">
        <is>
          <t>3ECP413719-0802</t>
        </is>
      </c>
      <c r="J59" s="77" t="inlineStr">
        <is>
          <t>EC01P008888B</t>
        </is>
      </c>
      <c r="K59" s="87" t="inlineStr">
        <is>
          <t>02</t>
        </is>
      </c>
      <c r="L59" s="78" t="inlineStr">
        <is>
          <t>3EST000225-7883</t>
        </is>
      </c>
      <c r="M59" s="77" t="inlineStr">
        <is>
          <t>EC01P008888B</t>
        </is>
      </c>
      <c r="N59" s="87" t="inlineStr">
        <is>
          <t>02</t>
        </is>
      </c>
      <c r="O59" s="64" t="inlineStr">
        <is>
          <t>3ECP413719-0802</t>
        </is>
      </c>
      <c r="P59" s="78" t="inlineStr">
        <is>
          <t>FA020026053</t>
        </is>
      </c>
      <c r="Q59" s="88" t="inlineStr">
        <is>
          <t>01.2</t>
        </is>
      </c>
      <c r="R59" s="63" t="inlineStr">
        <is>
          <t>FA020026053</t>
        </is>
      </c>
      <c r="S59" s="96" t="inlineStr">
        <is>
          <t>01.2</t>
        </is>
      </c>
      <c r="U59" s="64" t="n"/>
      <c r="W59" s="64" t="n"/>
    </row>
    <row r="60" outlineLevel="1" s="480">
      <c r="A60" s="322" t="inlineStr">
        <is>
          <t>Catering - Bistrot</t>
        </is>
      </c>
      <c r="B60" s="322" t="inlineStr">
        <is>
          <t>FRS_Catering</t>
        </is>
      </c>
      <c r="C60" s="63" t="inlineStr">
        <is>
          <t>pdf</t>
        </is>
      </c>
      <c r="D60" s="77" t="inlineStr">
        <is>
          <t>EC01P008889B</t>
        </is>
      </c>
      <c r="E60" s="80" t="inlineStr">
        <is>
          <t>03</t>
        </is>
      </c>
      <c r="F60" s="73" t="inlineStr">
        <is>
          <t>3EST000225-7885</t>
        </is>
      </c>
      <c r="G60" s="77" t="inlineStr">
        <is>
          <t>EC01P008889B</t>
        </is>
      </c>
      <c r="H60" s="80" t="inlineStr">
        <is>
          <t>03</t>
        </is>
      </c>
      <c r="I60" s="73" t="inlineStr">
        <is>
          <t>3EST000225-7885</t>
        </is>
      </c>
      <c r="J60" s="77" t="inlineStr">
        <is>
          <t>EC01P008889B</t>
        </is>
      </c>
      <c r="K60" s="80" t="inlineStr">
        <is>
          <t>03</t>
        </is>
      </c>
      <c r="L60" s="78" t="inlineStr">
        <is>
          <t>3EST000225-7885</t>
        </is>
      </c>
      <c r="M60" s="77" t="inlineStr">
        <is>
          <t>EC01P008889B</t>
        </is>
      </c>
      <c r="N60" s="80" t="inlineStr">
        <is>
          <t>03</t>
        </is>
      </c>
      <c r="O60" s="73" t="inlineStr">
        <is>
          <t>3EST000225-7885</t>
        </is>
      </c>
      <c r="P60" s="78" t="inlineStr">
        <is>
          <t>\</t>
        </is>
      </c>
      <c r="Q60" s="10" t="inlineStr">
        <is>
          <t>\</t>
        </is>
      </c>
      <c r="R60" s="63" t="inlineStr">
        <is>
          <t>\</t>
        </is>
      </c>
      <c r="S60" s="64" t="inlineStr">
        <is>
          <t>\</t>
        </is>
      </c>
      <c r="U60" s="64" t="n"/>
      <c r="W60" s="64" t="n"/>
    </row>
    <row r="61" outlineLevel="1" ht="30" customHeight="1" s="480">
      <c r="A61" s="322" t="inlineStr">
        <is>
          <t>PIES</t>
        </is>
      </c>
      <c r="B61" s="322" t="inlineStr">
        <is>
          <t>FRS_PIS</t>
        </is>
      </c>
      <c r="C61" s="63" t="inlineStr">
        <is>
          <t>pdf</t>
        </is>
      </c>
      <c r="D61" s="77" t="inlineStr">
        <is>
          <t>EC01P009000B</t>
        </is>
      </c>
      <c r="E61" s="80" t="inlineStr">
        <is>
          <t>02</t>
        </is>
      </c>
      <c r="F61" s="73" t="inlineStr">
        <is>
          <t>3EST000225-7890</t>
        </is>
      </c>
      <c r="G61" s="77" t="inlineStr">
        <is>
          <t>EC010008563</t>
        </is>
      </c>
      <c r="H61" s="80" t="inlineStr">
        <is>
          <t>00</t>
        </is>
      </c>
      <c r="I61" s="73" t="inlineStr">
        <is>
          <t>3ECP413719-1100</t>
        </is>
      </c>
      <c r="J61" s="77" t="inlineStr">
        <is>
          <t>EC01P009000B</t>
        </is>
      </c>
      <c r="K61" s="80" t="inlineStr">
        <is>
          <t>02</t>
        </is>
      </c>
      <c r="L61" s="78" t="inlineStr">
        <is>
          <t>3EST000225-7890</t>
        </is>
      </c>
      <c r="M61" s="63" t="inlineStr">
        <is>
          <t>EC010008581</t>
        </is>
      </c>
      <c r="N61" s="80" t="inlineStr">
        <is>
          <t>00</t>
        </is>
      </c>
      <c r="O61" s="64" t="inlineStr">
        <is>
          <t>3ECP413922-1100</t>
        </is>
      </c>
      <c r="P61" s="78" t="inlineStr">
        <is>
          <t>FA020025354</t>
        </is>
      </c>
      <c r="Q61" s="88" t="inlineStr">
        <is>
          <t>00.3</t>
        </is>
      </c>
      <c r="R61" s="63" t="inlineStr">
        <is>
          <t>FA020025354</t>
        </is>
      </c>
      <c r="S61" s="96" t="inlineStr">
        <is>
          <t>00.3</t>
        </is>
      </c>
      <c r="U61" s="64" t="n"/>
      <c r="W61" s="64" t="n"/>
    </row>
    <row r="62" outlineLevel="1" ht="30" customHeight="1" s="480">
      <c r="A62" s="322" t="inlineStr">
        <is>
          <t>PIS 2.0</t>
        </is>
      </c>
      <c r="B62" s="322" t="inlineStr">
        <is>
          <t>FRS_PIS 2.0</t>
        </is>
      </c>
      <c r="C62" s="63" t="inlineStr">
        <is>
          <t>pdf</t>
        </is>
      </c>
      <c r="D62" s="77" t="inlineStr">
        <is>
          <t>\</t>
        </is>
      </c>
      <c r="E62" s="10" t="inlineStr">
        <is>
          <t>\</t>
        </is>
      </c>
      <c r="F62" s="64" t="inlineStr">
        <is>
          <t>\</t>
        </is>
      </c>
      <c r="G62" s="63" t="inlineStr">
        <is>
          <t>\</t>
        </is>
      </c>
      <c r="H62" s="10" t="inlineStr">
        <is>
          <t>\</t>
        </is>
      </c>
      <c r="I62" s="64" t="inlineStr">
        <is>
          <t>\</t>
        </is>
      </c>
      <c r="J62" s="77" t="n"/>
      <c r="L62" s="64" t="n"/>
      <c r="M62" s="63" t="inlineStr">
        <is>
          <t>\</t>
        </is>
      </c>
      <c r="N62" s="10" t="inlineStr">
        <is>
          <t>\</t>
        </is>
      </c>
      <c r="O62" s="64" t="inlineStr">
        <is>
          <t>\</t>
        </is>
      </c>
      <c r="P62" s="79" t="inlineStr">
        <is>
          <t>FA020047983</t>
        </is>
      </c>
      <c r="Q62" s="10" t="inlineStr">
        <is>
          <t>00.1</t>
        </is>
      </c>
      <c r="R62" s="63" t="inlineStr">
        <is>
          <t>FA020047983</t>
        </is>
      </c>
      <c r="S62" s="64" t="inlineStr">
        <is>
          <t>00.1</t>
        </is>
      </c>
      <c r="U62" s="64" t="n"/>
      <c r="W62" s="64" t="n"/>
    </row>
    <row r="63" outlineLevel="1" ht="30" customHeight="1" s="480">
      <c r="A63" s="322" t="inlineStr">
        <is>
          <t>CCTV</t>
        </is>
      </c>
      <c r="B63" s="322" t="inlineStr">
        <is>
          <t>FRS_CCTV</t>
        </is>
      </c>
      <c r="C63" s="63" t="inlineStr">
        <is>
          <t>pdf</t>
        </is>
      </c>
      <c r="D63" s="77" t="inlineStr">
        <is>
          <t>EC01P009001B</t>
        </is>
      </c>
      <c r="E63" s="80" t="inlineStr">
        <is>
          <t>01</t>
        </is>
      </c>
      <c r="F63" s="73" t="inlineStr">
        <is>
          <t>3EST000225-7891</t>
        </is>
      </c>
      <c r="G63" s="77" t="inlineStr">
        <is>
          <t>EC01P009001B</t>
        </is>
      </c>
      <c r="H63" s="80" t="inlineStr">
        <is>
          <t>01</t>
        </is>
      </c>
      <c r="I63" s="73" t="inlineStr">
        <is>
          <t>3EST000225-7891</t>
        </is>
      </c>
      <c r="J63" s="77" t="inlineStr">
        <is>
          <t>3EST000225-7891</t>
        </is>
      </c>
      <c r="K63" s="10" t="inlineStr">
        <is>
          <t>A</t>
        </is>
      </c>
      <c r="L63" s="64" t="n"/>
      <c r="M63" s="77" t="inlineStr">
        <is>
          <t>EC01P009001B</t>
        </is>
      </c>
      <c r="N63" s="80" t="inlineStr">
        <is>
          <t>01</t>
        </is>
      </c>
      <c r="O63" s="73" t="inlineStr">
        <is>
          <t>3EST000225-7891</t>
        </is>
      </c>
      <c r="P63" s="78" t="inlineStr">
        <is>
          <t>FA020025360</t>
        </is>
      </c>
      <c r="Q63" s="88" t="inlineStr">
        <is>
          <t>01.2</t>
        </is>
      </c>
      <c r="R63" s="63" t="inlineStr">
        <is>
          <t>FA020025360</t>
        </is>
      </c>
      <c r="S63" s="96" t="inlineStr">
        <is>
          <t>01.2</t>
        </is>
      </c>
      <c r="U63" s="64" t="n"/>
      <c r="W63" s="64" t="n"/>
    </row>
    <row r="64" outlineLevel="1" ht="30" customHeight="1" s="480">
      <c r="A64" s="322" t="inlineStr">
        <is>
          <t>Exterior Lighting</t>
        </is>
      </c>
      <c r="B64" s="322" t="inlineStr">
        <is>
          <t>FRS_Exterior Lighting</t>
        </is>
      </c>
      <c r="C64" s="63" t="inlineStr">
        <is>
          <t>pdf</t>
        </is>
      </c>
      <c r="D64" s="77" t="inlineStr">
        <is>
          <t>3EST000225-7904</t>
        </is>
      </c>
      <c r="E64" s="10" t="inlineStr">
        <is>
          <t>B</t>
        </is>
      </c>
      <c r="F64" s="73" t="inlineStr">
        <is>
          <t>3EST000225-7904</t>
        </is>
      </c>
      <c r="G64" s="77" t="inlineStr">
        <is>
          <t>3EST000225-7904</t>
        </is>
      </c>
      <c r="H64" s="10" t="inlineStr">
        <is>
          <t>B</t>
        </is>
      </c>
      <c r="I64" s="73" t="inlineStr">
        <is>
          <t>3EST000225-7904</t>
        </is>
      </c>
      <c r="J64" s="77" t="inlineStr">
        <is>
          <t>3ECP413571-0206</t>
        </is>
      </c>
      <c r="K64" s="10" t="inlineStr">
        <is>
          <t>_</t>
        </is>
      </c>
      <c r="L64" s="64" t="n"/>
      <c r="M64" s="63" t="inlineStr">
        <is>
          <t>3EST000225-7904</t>
        </is>
      </c>
      <c r="N64" s="10" t="inlineStr">
        <is>
          <t>B</t>
        </is>
      </c>
      <c r="O64" s="64" t="inlineStr">
        <is>
          <t>3EST000225-7904</t>
        </is>
      </c>
      <c r="P64" s="78" t="inlineStr">
        <is>
          <t>3EST000225-7904</t>
        </is>
      </c>
      <c r="Q64" s="10" t="inlineStr">
        <is>
          <t>B.1</t>
        </is>
      </c>
      <c r="R64" s="63" t="inlineStr">
        <is>
          <t>3EST000225-7904</t>
        </is>
      </c>
      <c r="S64" s="64" t="inlineStr">
        <is>
          <t>B.1</t>
        </is>
      </c>
      <c r="U64" s="64" t="n"/>
      <c r="W64" s="64" t="n"/>
    </row>
    <row r="65" outlineLevel="1" ht="30" customHeight="1" s="480">
      <c r="A65" s="322" t="inlineStr">
        <is>
          <t>Interior Lighting</t>
        </is>
      </c>
      <c r="B65" s="322" t="inlineStr">
        <is>
          <t>FRS_Interior Lighting</t>
        </is>
      </c>
      <c r="C65" s="63" t="inlineStr">
        <is>
          <t>pdf</t>
        </is>
      </c>
      <c r="D65" s="77" t="inlineStr">
        <is>
          <t>EC01P008890B</t>
        </is>
      </c>
      <c r="E65" s="10" t="inlineStr">
        <is>
          <t>01.3</t>
        </is>
      </c>
      <c r="F65" s="73" t="inlineStr">
        <is>
          <t>3EST000225-7882</t>
        </is>
      </c>
      <c r="G65" s="77" t="inlineStr">
        <is>
          <t>EC01P008890B</t>
        </is>
      </c>
      <c r="H65" s="10" t="inlineStr">
        <is>
          <t>01.3</t>
        </is>
      </c>
      <c r="I65" s="73" t="inlineStr">
        <is>
          <t>3EST000225-7882</t>
        </is>
      </c>
      <c r="J65" s="63" t="inlineStr">
        <is>
          <t>3EST000225-7882</t>
        </is>
      </c>
      <c r="K65" s="10" t="inlineStr">
        <is>
          <t>B</t>
        </is>
      </c>
      <c r="L65" s="64" t="n"/>
      <c r="M65" s="63" t="inlineStr">
        <is>
          <t>FA020011254</t>
        </is>
      </c>
      <c r="N65" s="80" t="inlineStr">
        <is>
          <t>00</t>
        </is>
      </c>
      <c r="O65" s="64" t="inlineStr">
        <is>
          <t>3ECP413922-0801</t>
        </is>
      </c>
      <c r="P65" s="78" t="inlineStr">
        <is>
          <t>FA020011254</t>
        </is>
      </c>
      <c r="Q65" s="88" t="inlineStr">
        <is>
          <t>00.2</t>
        </is>
      </c>
      <c r="R65" s="63" t="inlineStr">
        <is>
          <t>FA020011254</t>
        </is>
      </c>
      <c r="S65" s="96" t="inlineStr">
        <is>
          <t>00.2</t>
        </is>
      </c>
      <c r="U65" s="64" t="n"/>
      <c r="W65" s="64" t="n"/>
    </row>
    <row r="66" outlineLevel="1" s="480">
      <c r="A66" s="322" t="inlineStr">
        <is>
          <t>Train Protection - ATP (France)</t>
        </is>
      </c>
      <c r="B66" s="322" t="inlineStr">
        <is>
          <t>FRS_Train Protection_France</t>
        </is>
      </c>
      <c r="C66" s="63" t="inlineStr">
        <is>
          <t>pdf</t>
        </is>
      </c>
      <c r="D66" s="77" t="n"/>
      <c r="E66" s="80" t="n"/>
      <c r="F66" s="73" t="n"/>
      <c r="G66" s="77" t="n"/>
      <c r="I66" s="71" t="n"/>
      <c r="J66" s="63" t="inlineStr">
        <is>
          <t>3ECP413571-0902</t>
        </is>
      </c>
      <c r="K66" s="10" t="inlineStr">
        <is>
          <t>B</t>
        </is>
      </c>
      <c r="L66" s="64" t="n"/>
      <c r="M66" s="63" t="n"/>
      <c r="N66" s="80" t="n"/>
      <c r="O66" s="71" t="n"/>
      <c r="P66" s="78" t="n"/>
      <c r="R66" s="63" t="n"/>
      <c r="S66" s="64" t="n"/>
      <c r="U66" s="64" t="n"/>
      <c r="W66" s="64" t="n"/>
    </row>
    <row r="67" outlineLevel="1" s="480">
      <c r="A67" s="324" t="inlineStr">
        <is>
          <t>Energy Meter System</t>
        </is>
      </c>
      <c r="B67" s="324" t="inlineStr">
        <is>
          <t>FRS_EMS</t>
        </is>
      </c>
      <c r="C67" s="221" t="inlineStr">
        <is>
          <t>pdf</t>
        </is>
      </c>
      <c r="D67" s="77" t="n"/>
      <c r="E67" s="80" t="n"/>
      <c r="F67" s="73" t="n"/>
      <c r="G67" s="77" t="n"/>
      <c r="I67" s="71" t="n"/>
      <c r="J67" s="63" t="inlineStr">
        <is>
          <t>EC010029076</t>
        </is>
      </c>
      <c r="K67" s="10" t="inlineStr">
        <is>
          <t>00.1</t>
        </is>
      </c>
      <c r="L67" s="64" t="n"/>
      <c r="M67" s="63" t="n"/>
      <c r="N67" s="80" t="n"/>
      <c r="O67" s="71" t="n"/>
      <c r="P67" s="78" t="inlineStr">
        <is>
          <t>EC010019484</t>
        </is>
      </c>
      <c r="Q67" s="10" t="inlineStr">
        <is>
          <t>01</t>
        </is>
      </c>
      <c r="R67" s="63" t="n"/>
      <c r="S67" s="64" t="n"/>
      <c r="U67" s="64" t="n"/>
      <c r="W67" s="64" t="n"/>
    </row>
    <row r="68">
      <c r="A68" s="323" t="inlineStr">
        <is>
          <t>Functional schematics</t>
        </is>
      </c>
      <c r="B68" s="323" t="n"/>
      <c r="C68" s="113" t="n"/>
      <c r="D68" s="68" t="n"/>
      <c r="E68" s="223" t="n"/>
      <c r="F68" s="69" t="n"/>
      <c r="G68" s="68" t="n"/>
      <c r="H68" s="223" t="n"/>
      <c r="I68" s="69" t="n"/>
      <c r="J68" s="68" t="n"/>
      <c r="K68" s="223" t="n"/>
      <c r="L68" s="69" t="n"/>
      <c r="M68" s="68" t="n"/>
      <c r="N68" s="223" t="n"/>
      <c r="O68" s="69" t="n"/>
      <c r="P68" s="223" t="n"/>
      <c r="Q68" s="223" t="n"/>
      <c r="R68" s="68" t="inlineStr">
        <is>
          <t>mancanti</t>
        </is>
      </c>
      <c r="S68" s="69" t="n"/>
      <c r="T68" s="223" t="n"/>
      <c r="U68" s="69" t="n"/>
      <c r="V68" s="223" t="n"/>
      <c r="W68" s="69" t="n"/>
    </row>
    <row r="69" outlineLevel="1" ht="30" customHeight="1" s="480">
      <c r="A69" s="322" t="inlineStr">
        <is>
          <t>Functional schematics DM1</t>
        </is>
      </c>
      <c r="B69" s="322" t="inlineStr">
        <is>
          <t>FS_DM1</t>
        </is>
      </c>
      <c r="C69" s="63" t="inlineStr">
        <is>
          <t>pdf</t>
        </is>
      </c>
      <c r="D69" s="63" t="inlineStr">
        <is>
          <t>3ECP502128-0001</t>
        </is>
      </c>
      <c r="E69" s="10" t="inlineStr">
        <is>
          <t>M</t>
        </is>
      </c>
      <c r="F69" s="64" t="n"/>
      <c r="G69" s="63" t="inlineStr">
        <is>
          <t>3ECP307211-1401</t>
        </is>
      </c>
      <c r="H69" s="79" t="inlineStr">
        <is>
          <t>C</t>
        </is>
      </c>
      <c r="I69" s="64" t="n"/>
      <c r="J69" s="63" t="inlineStr">
        <is>
          <t>3ECP307051-0001</t>
        </is>
      </c>
      <c r="K69" s="10" t="inlineStr">
        <is>
          <t>E</t>
        </is>
      </c>
      <c r="L69" s="64" t="n"/>
      <c r="M69" s="63" t="inlineStr">
        <is>
          <t>3ECP307251-0001</t>
        </is>
      </c>
      <c r="N69" s="79" t="inlineStr">
        <is>
          <t>G</t>
        </is>
      </c>
      <c r="O69" s="64" t="n"/>
      <c r="P69" s="10" t="inlineStr">
        <is>
          <t>FS020022117-001</t>
        </is>
      </c>
      <c r="Q69" s="79" t="inlineStr">
        <is>
          <t>05.2</t>
        </is>
      </c>
      <c r="R69" s="97" t="inlineStr">
        <is>
          <t>FS020036994-001</t>
        </is>
      </c>
      <c r="S69" s="73" t="inlineStr">
        <is>
          <t>01.2</t>
        </is>
      </c>
      <c r="U69" s="64" t="n"/>
      <c r="W69" s="64" t="n"/>
    </row>
    <row r="70" outlineLevel="1" ht="30" customHeight="1" s="480">
      <c r="A70" s="322" t="inlineStr">
        <is>
          <t>Functional schematics TT2</t>
        </is>
      </c>
      <c r="B70" s="322" t="inlineStr">
        <is>
          <t>FS_TT2</t>
        </is>
      </c>
      <c r="C70" s="63" t="inlineStr">
        <is>
          <t>pdf</t>
        </is>
      </c>
      <c r="D70" s="63" t="inlineStr">
        <is>
          <t>3ECP502129-0001</t>
        </is>
      </c>
      <c r="E70" s="79" t="inlineStr">
        <is>
          <t>J</t>
        </is>
      </c>
      <c r="F70" s="64" t="n"/>
      <c r="G70" s="63" t="inlineStr">
        <is>
          <t>3ECP307211-0002</t>
        </is>
      </c>
      <c r="H70" s="10" t="inlineStr">
        <is>
          <t>D</t>
        </is>
      </c>
      <c r="I70" s="64" t="n"/>
      <c r="J70" s="63" t="inlineStr">
        <is>
          <t>3ECP307059-0001</t>
        </is>
      </c>
      <c r="K70" s="10" t="inlineStr">
        <is>
          <t>D</t>
        </is>
      </c>
      <c r="L70" s="64" t="n"/>
      <c r="M70" s="63" t="inlineStr">
        <is>
          <t>3ECP307251-0002</t>
        </is>
      </c>
      <c r="N70" s="79" t="inlineStr">
        <is>
          <t>G</t>
        </is>
      </c>
      <c r="O70" s="64" t="n"/>
      <c r="P70" s="10" t="inlineStr">
        <is>
          <t>FS020022117-002</t>
        </is>
      </c>
      <c r="Q70" s="79" t="inlineStr">
        <is>
          <t>05.2</t>
        </is>
      </c>
      <c r="R70" s="97" t="inlineStr">
        <is>
          <t>FS020036994-002</t>
        </is>
      </c>
      <c r="S70" s="73" t="inlineStr">
        <is>
          <t>01.2</t>
        </is>
      </c>
      <c r="U70" s="64" t="n"/>
      <c r="W70" s="64" t="n"/>
    </row>
    <row r="71" outlineLevel="1" ht="30" customHeight="1" s="480">
      <c r="A71" s="322" t="inlineStr">
        <is>
          <t>Functional schematics M3</t>
        </is>
      </c>
      <c r="B71" s="322" t="inlineStr">
        <is>
          <t>FS_M3</t>
        </is>
      </c>
      <c r="C71" s="63" t="inlineStr">
        <is>
          <t>pdf</t>
        </is>
      </c>
      <c r="D71" s="63" t="inlineStr">
        <is>
          <t>3ECP502130-0001</t>
        </is>
      </c>
      <c r="E71" s="79" t="inlineStr">
        <is>
          <t>J</t>
        </is>
      </c>
      <c r="F71" s="64" t="n"/>
      <c r="G71" s="63" t="inlineStr">
        <is>
          <t>3ECP307211-0003</t>
        </is>
      </c>
      <c r="H71" s="10" t="inlineStr">
        <is>
          <t>D</t>
        </is>
      </c>
      <c r="I71" s="64" t="n"/>
      <c r="J71" s="63" t="inlineStr">
        <is>
          <t>3ECP307157-0001</t>
        </is>
      </c>
      <c r="K71" s="10" t="inlineStr">
        <is>
          <t>C</t>
        </is>
      </c>
      <c r="L71" s="64" t="n"/>
      <c r="M71" s="63" t="inlineStr">
        <is>
          <t>3ECP307251-0003</t>
        </is>
      </c>
      <c r="N71" s="79" t="inlineStr">
        <is>
          <t>G</t>
        </is>
      </c>
      <c r="O71" s="64" t="n"/>
      <c r="P71" s="10" t="inlineStr">
        <is>
          <t>FS020022117-003</t>
        </is>
      </c>
      <c r="Q71" s="79" t="inlineStr">
        <is>
          <t>05.2</t>
        </is>
      </c>
      <c r="R71" s="97" t="inlineStr">
        <is>
          <t>FS020036994-003</t>
        </is>
      </c>
      <c r="S71" s="73" t="inlineStr">
        <is>
          <t>01.2</t>
        </is>
      </c>
      <c r="U71" s="64" t="n"/>
      <c r="W71" s="64" t="n"/>
    </row>
    <row r="72" outlineLevel="1" ht="30" customHeight="1" s="480">
      <c r="A72" s="322" t="inlineStr">
        <is>
          <t>Functional schematics T4</t>
        </is>
      </c>
      <c r="B72" s="322" t="inlineStr">
        <is>
          <t>FS_T4</t>
        </is>
      </c>
      <c r="C72" s="63" t="inlineStr">
        <is>
          <t>pdf</t>
        </is>
      </c>
      <c r="D72" s="63" t="inlineStr">
        <is>
          <t>3ECP502131-0001</t>
        </is>
      </c>
      <c r="E72" s="79" t="inlineStr">
        <is>
          <t>J</t>
        </is>
      </c>
      <c r="F72" s="64" t="n"/>
      <c r="G72" s="63" t="inlineStr">
        <is>
          <t>3ECP307211-0004</t>
        </is>
      </c>
      <c r="H72" s="10" t="inlineStr">
        <is>
          <t>D</t>
        </is>
      </c>
      <c r="I72" s="64" t="n"/>
      <c r="J72" s="63" t="inlineStr">
        <is>
          <t>3ECP307158-0001</t>
        </is>
      </c>
      <c r="K72" s="10" t="inlineStr">
        <is>
          <t>C</t>
        </is>
      </c>
      <c r="L72" s="64" t="n"/>
      <c r="M72" s="63" t="inlineStr">
        <is>
          <t>3ECP307251-0004</t>
        </is>
      </c>
      <c r="N72" s="79" t="inlineStr">
        <is>
          <t>G</t>
        </is>
      </c>
      <c r="O72" s="64" t="n"/>
      <c r="P72" s="10" t="inlineStr">
        <is>
          <t>FS020022117-004</t>
        </is>
      </c>
      <c r="Q72" s="79" t="inlineStr">
        <is>
          <t>05.2</t>
        </is>
      </c>
      <c r="R72" s="97" t="inlineStr">
        <is>
          <t>FS020036994-004</t>
        </is>
      </c>
      <c r="S72" s="73" t="inlineStr">
        <is>
          <t>01.2</t>
        </is>
      </c>
      <c r="U72" s="64" t="n"/>
      <c r="W72" s="64" t="n"/>
    </row>
    <row r="73" outlineLevel="1" ht="30" customHeight="1" s="480">
      <c r="A73" s="322" t="inlineStr">
        <is>
          <t>Functional schematics T5</t>
        </is>
      </c>
      <c r="B73" s="322" t="inlineStr">
        <is>
          <t>FS_T5</t>
        </is>
      </c>
      <c r="C73" s="63" t="inlineStr">
        <is>
          <t>pdf</t>
        </is>
      </c>
      <c r="D73" s="63" t="inlineStr">
        <is>
          <t>3ECP502132-0001</t>
        </is>
      </c>
      <c r="E73" s="79" t="inlineStr">
        <is>
          <t>J</t>
        </is>
      </c>
      <c r="F73" s="64" t="n"/>
      <c r="G73" s="63" t="inlineStr">
        <is>
          <t>3ECP307211-0005</t>
        </is>
      </c>
      <c r="H73" s="10" t="inlineStr">
        <is>
          <t>D</t>
        </is>
      </c>
      <c r="I73" s="64" t="n"/>
      <c r="J73" s="63" t="inlineStr">
        <is>
          <t>3ECP307159-0001</t>
        </is>
      </c>
      <c r="K73" s="10" t="inlineStr">
        <is>
          <t>C</t>
        </is>
      </c>
      <c r="L73" s="64" t="n"/>
      <c r="M73" s="63" t="inlineStr">
        <is>
          <t>3ECP307251-0005</t>
        </is>
      </c>
      <c r="N73" s="79" t="inlineStr">
        <is>
          <t>G</t>
        </is>
      </c>
      <c r="O73" s="64" t="n"/>
      <c r="P73" s="10" t="inlineStr">
        <is>
          <t>FS020022117-005</t>
        </is>
      </c>
      <c r="Q73" s="79" t="inlineStr">
        <is>
          <t>05.2</t>
        </is>
      </c>
      <c r="R73" s="97" t="inlineStr">
        <is>
          <t>FS020036994-005</t>
        </is>
      </c>
      <c r="S73" s="73" t="inlineStr">
        <is>
          <t>01.2</t>
        </is>
      </c>
      <c r="U73" s="64" t="n"/>
      <c r="W73" s="64" t="n"/>
    </row>
    <row r="74" outlineLevel="1" ht="30" customHeight="1" s="480">
      <c r="A74" s="322" t="inlineStr">
        <is>
          <t>Functional schematics M6</t>
        </is>
      </c>
      <c r="B74" s="322" t="inlineStr">
        <is>
          <t>FS_M6</t>
        </is>
      </c>
      <c r="C74" s="63" t="inlineStr">
        <is>
          <t>pdf</t>
        </is>
      </c>
      <c r="D74" s="63" t="inlineStr">
        <is>
          <t>3ECP502133-0001</t>
        </is>
      </c>
      <c r="E74" s="79" t="inlineStr">
        <is>
          <t>J</t>
        </is>
      </c>
      <c r="F74" s="64" t="n"/>
      <c r="G74" s="63" t="inlineStr">
        <is>
          <t>3ECP307211-0006</t>
        </is>
      </c>
      <c r="H74" s="10" t="inlineStr">
        <is>
          <t>D</t>
        </is>
      </c>
      <c r="I74" s="64" t="n"/>
      <c r="J74" s="63" t="inlineStr">
        <is>
          <t>3ECP307160-0001</t>
        </is>
      </c>
      <c r="K74" s="10" t="inlineStr">
        <is>
          <t>C</t>
        </is>
      </c>
      <c r="L74" s="64" t="n"/>
      <c r="M74" s="63" t="inlineStr">
        <is>
          <t>3ECP307251-0006</t>
        </is>
      </c>
      <c r="N74" s="79" t="inlineStr">
        <is>
          <t>G</t>
        </is>
      </c>
      <c r="O74" s="64" t="n"/>
      <c r="P74" s="10" t="inlineStr">
        <is>
          <t>FS020022117-006</t>
        </is>
      </c>
      <c r="Q74" s="79" t="inlineStr">
        <is>
          <t>05.2</t>
        </is>
      </c>
      <c r="R74" s="97" t="inlineStr">
        <is>
          <t>FS020036994-006</t>
        </is>
      </c>
      <c r="S74" s="73" t="inlineStr">
        <is>
          <t>01.2</t>
        </is>
      </c>
      <c r="U74" s="64" t="n"/>
      <c r="W74" s="64" t="n"/>
    </row>
    <row r="75" outlineLevel="1" ht="30" customHeight="1" s="480">
      <c r="A75" s="322" t="inlineStr">
        <is>
          <t>Functional schematics TT7</t>
        </is>
      </c>
      <c r="B75" s="322" t="inlineStr">
        <is>
          <t>FS_TT7</t>
        </is>
      </c>
      <c r="C75" s="63" t="inlineStr">
        <is>
          <t>pdf</t>
        </is>
      </c>
      <c r="D75" s="63" t="inlineStr">
        <is>
          <t>3ECP502134-0001</t>
        </is>
      </c>
      <c r="E75" s="79" t="inlineStr">
        <is>
          <t>J</t>
        </is>
      </c>
      <c r="F75" s="64" t="n"/>
      <c r="G75" s="63" t="inlineStr">
        <is>
          <t>3ECP307211-0007</t>
        </is>
      </c>
      <c r="H75" s="10" t="inlineStr">
        <is>
          <t>C</t>
        </is>
      </c>
      <c r="I75" s="64" t="n"/>
      <c r="J75" s="63" t="inlineStr">
        <is>
          <t>3ECP307060-0001</t>
        </is>
      </c>
      <c r="K75" s="10" t="inlineStr">
        <is>
          <t>D</t>
        </is>
      </c>
      <c r="L75" s="64" t="n"/>
      <c r="M75" s="63" t="inlineStr">
        <is>
          <t>3ECP307251-0007</t>
        </is>
      </c>
      <c r="N75" s="79" t="inlineStr">
        <is>
          <t>G</t>
        </is>
      </c>
      <c r="O75" s="64" t="n"/>
      <c r="P75" s="10" t="inlineStr">
        <is>
          <t>FS020022117-007</t>
        </is>
      </c>
      <c r="Q75" s="79" t="inlineStr">
        <is>
          <t>05.2</t>
        </is>
      </c>
      <c r="R75" s="97" t="inlineStr">
        <is>
          <t>FS020036994-007</t>
        </is>
      </c>
      <c r="S75" s="73" t="inlineStr">
        <is>
          <t>01.2</t>
        </is>
      </c>
      <c r="U75" s="64" t="n"/>
      <c r="W75" s="64" t="n"/>
    </row>
    <row r="76" outlineLevel="1" ht="30" customHeight="1" s="480">
      <c r="A76" s="322" t="inlineStr">
        <is>
          <t>Functional schematics DM8</t>
        </is>
      </c>
      <c r="B76" s="322" t="inlineStr">
        <is>
          <t>FS_DM8</t>
        </is>
      </c>
      <c r="C76" s="63" t="inlineStr">
        <is>
          <t>pdf</t>
        </is>
      </c>
      <c r="D76" s="63" t="inlineStr">
        <is>
          <t>3ECP502135-0001</t>
        </is>
      </c>
      <c r="E76" s="10" t="inlineStr">
        <is>
          <t>N</t>
        </is>
      </c>
      <c r="F76" s="64" t="n"/>
      <c r="G76" s="63" t="inlineStr">
        <is>
          <t>3ECP307211-1408</t>
        </is>
      </c>
      <c r="H76" s="79" t="inlineStr">
        <is>
          <t>C</t>
        </is>
      </c>
      <c r="I76" s="64" t="n"/>
      <c r="J76" s="63" t="inlineStr">
        <is>
          <t>3ECP307052-0001</t>
        </is>
      </c>
      <c r="K76" s="10" t="inlineStr">
        <is>
          <t>G</t>
        </is>
      </c>
      <c r="L76" s="64" t="n"/>
      <c r="M76" s="63" t="inlineStr">
        <is>
          <t>3ECP307251-0008</t>
        </is>
      </c>
      <c r="N76" s="79" t="inlineStr">
        <is>
          <t>G</t>
        </is>
      </c>
      <c r="O76" s="64" t="n"/>
      <c r="P76" s="10" t="inlineStr">
        <is>
          <t>FS020022117-008</t>
        </is>
      </c>
      <c r="Q76" s="79" t="inlineStr">
        <is>
          <t>05.2</t>
        </is>
      </c>
      <c r="R76" s="97" t="inlineStr">
        <is>
          <t>FS020036994-008</t>
        </is>
      </c>
      <c r="S76" s="73" t="inlineStr">
        <is>
          <t>01.2</t>
        </is>
      </c>
      <c r="U76" s="64" t="n"/>
      <c r="W76" s="64" t="n"/>
    </row>
    <row r="77" ht="30" customHeight="1" s="480">
      <c r="A77" s="323" t="inlineStr">
        <is>
          <t>Wiring table</t>
        </is>
      </c>
      <c r="B77" s="323" t="n"/>
      <c r="C77" s="113" t="n"/>
      <c r="D77" s="224" t="n"/>
      <c r="E77" s="223" t="n"/>
      <c r="F77" s="69" t="n"/>
      <c r="G77" s="68" t="n"/>
      <c r="H77" s="223" t="n"/>
      <c r="I77" s="69" t="n"/>
      <c r="J77" s="68" t="n"/>
      <c r="K77" s="223" t="n"/>
      <c r="L77" s="69" t="n"/>
      <c r="M77" s="68" t="n"/>
      <c r="N77" s="223" t="n"/>
      <c r="O77" s="69" t="n"/>
      <c r="P77" s="223" t="inlineStr">
        <is>
          <t>FS020022117-009</t>
        </is>
      </c>
      <c r="Q77" s="225" t="inlineStr">
        <is>
          <t>05.2</t>
        </is>
      </c>
      <c r="R77" s="224" t="inlineStr">
        <is>
          <t>FS020036994-009</t>
        </is>
      </c>
      <c r="S77" s="226" t="inlineStr">
        <is>
          <t>01.2</t>
        </is>
      </c>
      <c r="T77" s="223" t="n"/>
      <c r="U77" s="69" t="n"/>
      <c r="V77" s="223" t="n"/>
      <c r="W77" s="69" t="n"/>
    </row>
    <row r="78" outlineLevel="1" s="480">
      <c r="A78" s="322" t="inlineStr">
        <is>
          <t>Wiring table DM1</t>
        </is>
      </c>
      <c r="B78" s="322" t="inlineStr">
        <is>
          <t>WT_DM1</t>
        </is>
      </c>
      <c r="C78" s="92" t="inlineStr">
        <is>
          <t>TBD</t>
        </is>
      </c>
      <c r="D78" s="63" t="inlineStr">
        <is>
          <t>3ECP502136-0001</t>
        </is>
      </c>
      <c r="E78" s="10" t="inlineStr">
        <is>
          <t>M</t>
        </is>
      </c>
      <c r="F78" s="71" t="n"/>
      <c r="G78" s="63" t="inlineStr">
        <is>
          <t>3ECP307212-1401</t>
        </is>
      </c>
      <c r="H78" s="79" t="inlineStr">
        <is>
          <t>B</t>
        </is>
      </c>
      <c r="I78" s="64" t="n"/>
      <c r="J78" s="63" t="inlineStr">
        <is>
          <t>3ECP307053-0001</t>
        </is>
      </c>
      <c r="K78" s="10" t="inlineStr">
        <is>
          <t>E</t>
        </is>
      </c>
      <c r="L78" s="64" t="n"/>
      <c r="M78" s="63" t="inlineStr">
        <is>
          <t>3ECP307252-0001</t>
        </is>
      </c>
      <c r="N78" s="79" t="inlineStr">
        <is>
          <t>G</t>
        </is>
      </c>
      <c r="O78" s="64" t="n"/>
      <c r="R78" s="63" t="n"/>
      <c r="S78" s="64" t="n"/>
      <c r="U78" s="64" t="n"/>
      <c r="W78" s="64" t="n"/>
    </row>
    <row r="79" outlineLevel="1" s="480">
      <c r="A79" s="322" t="inlineStr">
        <is>
          <t>Wiring table TT2</t>
        </is>
      </c>
      <c r="B79" s="322" t="inlineStr">
        <is>
          <t>WT_TT2</t>
        </is>
      </c>
      <c r="C79" s="92" t="inlineStr">
        <is>
          <t>TBD</t>
        </is>
      </c>
      <c r="D79" s="63" t="inlineStr">
        <is>
          <t>3ECP502137-0001</t>
        </is>
      </c>
      <c r="E79" s="79" t="inlineStr">
        <is>
          <t>J</t>
        </is>
      </c>
      <c r="F79" s="71" t="n"/>
      <c r="G79" s="63" t="inlineStr">
        <is>
          <t>3ECP307212-0002</t>
        </is>
      </c>
      <c r="H79" s="79" t="inlineStr">
        <is>
          <t>D</t>
        </is>
      </c>
      <c r="I79" s="64" t="n"/>
      <c r="J79" s="63" t="inlineStr">
        <is>
          <t>3ECP307061-0001</t>
        </is>
      </c>
      <c r="K79" s="10" t="inlineStr">
        <is>
          <t>D</t>
        </is>
      </c>
      <c r="L79" s="64" t="n"/>
      <c r="M79" s="63" t="inlineStr">
        <is>
          <t>3ECP307252-0002</t>
        </is>
      </c>
      <c r="N79" s="79" t="inlineStr">
        <is>
          <t>G</t>
        </is>
      </c>
      <c r="O79" s="64" t="n"/>
      <c r="R79" s="63" t="n"/>
      <c r="S79" s="64" t="n"/>
      <c r="U79" s="64" t="n"/>
      <c r="W79" s="64" t="n"/>
    </row>
    <row r="80" outlineLevel="1" s="480">
      <c r="A80" s="322" t="inlineStr">
        <is>
          <t>Wiring table M3</t>
        </is>
      </c>
      <c r="B80" s="322" t="inlineStr">
        <is>
          <t>WT_M3</t>
        </is>
      </c>
      <c r="C80" s="92" t="inlineStr">
        <is>
          <t>TBD</t>
        </is>
      </c>
      <c r="D80" s="63" t="inlineStr">
        <is>
          <t>3ECP502138-0001</t>
        </is>
      </c>
      <c r="E80" s="79" t="inlineStr">
        <is>
          <t>J</t>
        </is>
      </c>
      <c r="F80" s="71" t="n"/>
      <c r="G80" s="63" t="inlineStr">
        <is>
          <t>3ECP307212-0003</t>
        </is>
      </c>
      <c r="H80" s="79" t="inlineStr">
        <is>
          <t>D</t>
        </is>
      </c>
      <c r="I80" s="64" t="n"/>
      <c r="J80" s="63" t="inlineStr">
        <is>
          <t>3ECP307153-0001</t>
        </is>
      </c>
      <c r="K80" s="10" t="inlineStr">
        <is>
          <t>C</t>
        </is>
      </c>
      <c r="L80" s="64" t="n"/>
      <c r="M80" s="63" t="inlineStr">
        <is>
          <t>3ECP307252-0003</t>
        </is>
      </c>
      <c r="N80" s="79" t="inlineStr">
        <is>
          <t>G</t>
        </is>
      </c>
      <c r="O80" s="64" t="n"/>
      <c r="R80" s="63" t="n"/>
      <c r="S80" s="64" t="n"/>
      <c r="U80" s="64" t="n"/>
      <c r="W80" s="64" t="n"/>
    </row>
    <row r="81" outlineLevel="1" s="480">
      <c r="A81" s="322" t="inlineStr">
        <is>
          <t>Wiring table T4</t>
        </is>
      </c>
      <c r="B81" s="322" t="inlineStr">
        <is>
          <t>WT_T4</t>
        </is>
      </c>
      <c r="C81" s="92" t="inlineStr">
        <is>
          <t>TBD</t>
        </is>
      </c>
      <c r="D81" s="63" t="inlineStr">
        <is>
          <t>3ECP502139-0001</t>
        </is>
      </c>
      <c r="E81" s="79" t="inlineStr">
        <is>
          <t>J</t>
        </is>
      </c>
      <c r="F81" s="71" t="n"/>
      <c r="G81" s="63" t="inlineStr">
        <is>
          <t>3ECP307212-0004</t>
        </is>
      </c>
      <c r="H81" s="79" t="inlineStr">
        <is>
          <t>D</t>
        </is>
      </c>
      <c r="I81" s="64" t="n"/>
      <c r="J81" s="63" t="inlineStr">
        <is>
          <t>3ECP307154-0001</t>
        </is>
      </c>
      <c r="K81" s="10" t="inlineStr">
        <is>
          <t>C</t>
        </is>
      </c>
      <c r="L81" s="64" t="n"/>
      <c r="M81" s="63" t="inlineStr">
        <is>
          <t>3ECP307252-0004</t>
        </is>
      </c>
      <c r="N81" s="79" t="inlineStr">
        <is>
          <t>G</t>
        </is>
      </c>
      <c r="O81" s="64" t="n"/>
      <c r="R81" s="63" t="n"/>
      <c r="S81" s="64" t="n"/>
      <c r="U81" s="64" t="n"/>
      <c r="W81" s="64" t="n"/>
    </row>
    <row r="82" outlineLevel="1" s="480">
      <c r="A82" s="322" t="inlineStr">
        <is>
          <t>Wiring table T5</t>
        </is>
      </c>
      <c r="B82" s="322" t="inlineStr">
        <is>
          <t>WT_T5</t>
        </is>
      </c>
      <c r="C82" s="92" t="inlineStr">
        <is>
          <t>TBD</t>
        </is>
      </c>
      <c r="D82" s="63" t="inlineStr">
        <is>
          <t>3ECP502140-0001</t>
        </is>
      </c>
      <c r="E82" s="79" t="inlineStr">
        <is>
          <t>J</t>
        </is>
      </c>
      <c r="F82" s="71" t="n"/>
      <c r="G82" s="63" t="inlineStr">
        <is>
          <t>3ECP307212-0005</t>
        </is>
      </c>
      <c r="H82" s="79" t="inlineStr">
        <is>
          <t>D</t>
        </is>
      </c>
      <c r="I82" s="64" t="n"/>
      <c r="J82" s="63" t="inlineStr">
        <is>
          <t>3ECP307155-0001</t>
        </is>
      </c>
      <c r="K82" s="10" t="inlineStr">
        <is>
          <t>C</t>
        </is>
      </c>
      <c r="L82" s="64" t="n"/>
      <c r="M82" s="63" t="inlineStr">
        <is>
          <t>3ECP307252-0005</t>
        </is>
      </c>
      <c r="N82" s="79" t="inlineStr">
        <is>
          <t>G</t>
        </is>
      </c>
      <c r="O82" s="64" t="n"/>
      <c r="R82" s="63" t="n"/>
      <c r="S82" s="64" t="n"/>
      <c r="U82" s="64" t="n"/>
      <c r="W82" s="64" t="n"/>
    </row>
    <row r="83" outlineLevel="1" s="480">
      <c r="A83" s="322" t="inlineStr">
        <is>
          <t>Wiring table M6</t>
        </is>
      </c>
      <c r="B83" s="322" t="inlineStr">
        <is>
          <t>WT_M6</t>
        </is>
      </c>
      <c r="C83" s="92" t="inlineStr">
        <is>
          <t>TBD</t>
        </is>
      </c>
      <c r="D83" s="63" t="inlineStr">
        <is>
          <t>3ECP502141-0001</t>
        </is>
      </c>
      <c r="E83" s="79" t="inlineStr">
        <is>
          <t>J</t>
        </is>
      </c>
      <c r="F83" s="71" t="n"/>
      <c r="G83" s="63" t="inlineStr">
        <is>
          <t>3ECP307212-0006</t>
        </is>
      </c>
      <c r="H83" s="79" t="inlineStr">
        <is>
          <t>D</t>
        </is>
      </c>
      <c r="I83" s="64" t="n"/>
      <c r="J83" s="63" t="inlineStr">
        <is>
          <t>3ECP307156-0001</t>
        </is>
      </c>
      <c r="K83" s="10" t="inlineStr">
        <is>
          <t>C</t>
        </is>
      </c>
      <c r="L83" s="64" t="n"/>
      <c r="M83" s="63" t="inlineStr">
        <is>
          <t>3ECP307252-0006</t>
        </is>
      </c>
      <c r="N83" s="79" t="inlineStr">
        <is>
          <t>G</t>
        </is>
      </c>
      <c r="O83" s="64" t="n"/>
      <c r="R83" s="63" t="n"/>
      <c r="S83" s="64" t="n"/>
      <c r="U83" s="64" t="n"/>
      <c r="W83" s="64" t="n"/>
    </row>
    <row r="84" outlineLevel="1" s="480">
      <c r="A84" s="322" t="inlineStr">
        <is>
          <t>Wiring table TT7</t>
        </is>
      </c>
      <c r="B84" s="322" t="inlineStr">
        <is>
          <t>WT_TT7</t>
        </is>
      </c>
      <c r="C84" s="92" t="inlineStr">
        <is>
          <t>TBD</t>
        </is>
      </c>
      <c r="D84" s="63" t="inlineStr">
        <is>
          <t>3ECP502142-0001</t>
        </is>
      </c>
      <c r="E84" s="79" t="inlineStr">
        <is>
          <t>J</t>
        </is>
      </c>
      <c r="F84" s="71" t="n"/>
      <c r="G84" s="63" t="inlineStr">
        <is>
          <t>3ECP307212-0007</t>
        </is>
      </c>
      <c r="H84" s="79" t="inlineStr">
        <is>
          <t>D</t>
        </is>
      </c>
      <c r="I84" s="64" t="n"/>
      <c r="J84" s="63" t="inlineStr">
        <is>
          <t>3ECP307062-0001</t>
        </is>
      </c>
      <c r="K84" s="10" t="inlineStr">
        <is>
          <t>D</t>
        </is>
      </c>
      <c r="L84" s="64" t="n"/>
      <c r="M84" s="63" t="inlineStr">
        <is>
          <t>3ECP307252-0007</t>
        </is>
      </c>
      <c r="N84" s="79" t="inlineStr">
        <is>
          <t>G</t>
        </is>
      </c>
      <c r="O84" s="64" t="n"/>
      <c r="R84" s="63" t="n"/>
      <c r="S84" s="64" t="n"/>
      <c r="U84" s="64" t="n"/>
      <c r="W84" s="64" t="n"/>
    </row>
    <row r="85" outlineLevel="1" s="480">
      <c r="A85" s="322" t="inlineStr">
        <is>
          <t>Wiring table DM8</t>
        </is>
      </c>
      <c r="B85" s="322" t="inlineStr">
        <is>
          <t>WT_DM8</t>
        </is>
      </c>
      <c r="C85" s="92" t="inlineStr">
        <is>
          <t>TBD</t>
        </is>
      </c>
      <c r="D85" s="63" t="inlineStr">
        <is>
          <t>3ECP502143-0001</t>
        </is>
      </c>
      <c r="E85" s="10" t="inlineStr">
        <is>
          <t>N</t>
        </is>
      </c>
      <c r="F85" s="71" t="n"/>
      <c r="G85" s="63" t="inlineStr">
        <is>
          <t>3ECP307212-1408</t>
        </is>
      </c>
      <c r="H85" s="79" t="inlineStr">
        <is>
          <t>C</t>
        </is>
      </c>
      <c r="I85" s="64" t="n"/>
      <c r="J85" s="63" t="inlineStr">
        <is>
          <t>3ECP307054-0001</t>
        </is>
      </c>
      <c r="K85" s="10" t="inlineStr">
        <is>
          <t>G</t>
        </is>
      </c>
      <c r="L85" s="64" t="n"/>
      <c r="M85" s="63" t="inlineStr">
        <is>
          <t>3ECP307252-0008</t>
        </is>
      </c>
      <c r="N85" s="79" t="inlineStr">
        <is>
          <t>G</t>
        </is>
      </c>
      <c r="O85" s="64" t="n"/>
      <c r="R85" s="63" t="n"/>
      <c r="S85" s="64" t="n"/>
      <c r="U85" s="64" t="n"/>
      <c r="W85" s="64" t="n"/>
    </row>
    <row r="86">
      <c r="A86" s="323" t="inlineStr">
        <is>
          <t>Electric Part lists</t>
        </is>
      </c>
      <c r="B86" s="323" t="n"/>
      <c r="C86" s="113" t="n"/>
      <c r="D86" s="224" t="n"/>
      <c r="E86" s="223" t="n"/>
      <c r="F86" s="69" t="n"/>
      <c r="G86" s="68" t="n"/>
      <c r="H86" s="223" t="n"/>
      <c r="I86" s="69" t="n"/>
      <c r="J86" s="68" t="n"/>
      <c r="K86" s="223" t="n"/>
      <c r="L86" s="69" t="n"/>
      <c r="M86" s="68" t="n"/>
      <c r="N86" s="223" t="n"/>
      <c r="O86" s="69" t="n"/>
      <c r="P86" s="223" t="n"/>
      <c r="Q86" s="223" t="n"/>
      <c r="R86" s="68" t="n"/>
      <c r="S86" s="69" t="n"/>
      <c r="T86" s="223" t="n"/>
      <c r="U86" s="69" t="n"/>
      <c r="V86" s="223" t="n"/>
      <c r="W86" s="69" t="n"/>
    </row>
    <row r="87" outlineLevel="1" s="480">
      <c r="A87" s="322" t="inlineStr">
        <is>
          <t>Electric Part List DM1</t>
        </is>
      </c>
      <c r="B87" s="322" t="inlineStr">
        <is>
          <t>EPL_DM1</t>
        </is>
      </c>
      <c r="C87" s="92" t="inlineStr">
        <is>
          <t>TBD</t>
        </is>
      </c>
      <c r="D87" s="63" t="inlineStr">
        <is>
          <t>3ECP502144-0001</t>
        </is>
      </c>
      <c r="E87" s="10" t="inlineStr">
        <is>
          <t>M</t>
        </is>
      </c>
      <c r="F87" s="71" t="n"/>
      <c r="G87" s="63" t="inlineStr">
        <is>
          <t>3ECP307213-1401</t>
        </is>
      </c>
      <c r="H87" s="79" t="inlineStr">
        <is>
          <t>C</t>
        </is>
      </c>
      <c r="I87" s="64" t="n"/>
      <c r="J87" s="63" t="inlineStr">
        <is>
          <t>3ECP307055-0001</t>
        </is>
      </c>
      <c r="K87" s="10" t="inlineStr">
        <is>
          <t>E</t>
        </is>
      </c>
      <c r="L87" s="64" t="n"/>
      <c r="M87" s="63" t="inlineStr">
        <is>
          <t>3ECP307253-0001</t>
        </is>
      </c>
      <c r="N87" s="79" t="inlineStr">
        <is>
          <t>G</t>
        </is>
      </c>
      <c r="O87" s="64" t="n"/>
      <c r="R87" s="63" t="n"/>
      <c r="S87" s="64" t="n"/>
      <c r="U87" s="64" t="n"/>
      <c r="W87" s="64" t="n"/>
    </row>
    <row r="88" outlineLevel="1" s="480">
      <c r="A88" s="322" t="inlineStr">
        <is>
          <t>Electric Part List TT2</t>
        </is>
      </c>
      <c r="B88" s="322" t="inlineStr">
        <is>
          <t>EPL_TT2</t>
        </is>
      </c>
      <c r="C88" s="92" t="inlineStr">
        <is>
          <t>TBD</t>
        </is>
      </c>
      <c r="D88" s="63" t="inlineStr">
        <is>
          <t>3ECP502145-0001</t>
        </is>
      </c>
      <c r="E88" s="79" t="inlineStr">
        <is>
          <t>J</t>
        </is>
      </c>
      <c r="F88" s="71" t="n"/>
      <c r="G88" s="63" t="inlineStr">
        <is>
          <t>3ECP307213-0002</t>
        </is>
      </c>
      <c r="H88" s="79" t="inlineStr">
        <is>
          <t>D</t>
        </is>
      </c>
      <c r="I88" s="64" t="n"/>
      <c r="J88" s="63" t="inlineStr">
        <is>
          <t>3ECP307063-0001</t>
        </is>
      </c>
      <c r="K88" s="10" t="inlineStr">
        <is>
          <t>D</t>
        </is>
      </c>
      <c r="L88" s="64" t="n"/>
      <c r="M88" s="63" t="inlineStr">
        <is>
          <t>3ECP307253-0002</t>
        </is>
      </c>
      <c r="N88" s="79" t="inlineStr">
        <is>
          <t>G</t>
        </is>
      </c>
      <c r="O88" s="64" t="n"/>
      <c r="R88" s="63" t="n"/>
      <c r="S88" s="64" t="n"/>
      <c r="U88" s="64" t="n"/>
      <c r="W88" s="64" t="n"/>
    </row>
    <row r="89" outlineLevel="1" s="480">
      <c r="A89" s="322" t="inlineStr">
        <is>
          <t>Electric Part List M3</t>
        </is>
      </c>
      <c r="B89" s="322" t="inlineStr">
        <is>
          <t>EPL_M3</t>
        </is>
      </c>
      <c r="C89" s="92" t="inlineStr">
        <is>
          <t>TBD</t>
        </is>
      </c>
      <c r="D89" s="63" t="inlineStr">
        <is>
          <t>3ECP502146-0001</t>
        </is>
      </c>
      <c r="E89" s="79" t="inlineStr">
        <is>
          <t>J</t>
        </is>
      </c>
      <c r="F89" s="71" t="n"/>
      <c r="G89" s="63" t="inlineStr">
        <is>
          <t>3ECP307213-0003</t>
        </is>
      </c>
      <c r="H89" s="79" t="inlineStr">
        <is>
          <t>D</t>
        </is>
      </c>
      <c r="I89" s="64" t="n"/>
      <c r="J89" s="63" t="inlineStr">
        <is>
          <t>3ECP307161-0001</t>
        </is>
      </c>
      <c r="K89" s="10" t="inlineStr">
        <is>
          <t>C</t>
        </is>
      </c>
      <c r="L89" s="64" t="n"/>
      <c r="M89" s="63" t="inlineStr">
        <is>
          <t>3ECP307253-0003</t>
        </is>
      </c>
      <c r="N89" s="79" t="inlineStr">
        <is>
          <t>G</t>
        </is>
      </c>
      <c r="O89" s="64" t="n"/>
      <c r="R89" s="63" t="n"/>
      <c r="S89" s="64" t="n"/>
      <c r="U89" s="64" t="n"/>
      <c r="W89" s="64" t="n"/>
    </row>
    <row r="90" outlineLevel="1" s="480">
      <c r="A90" s="322" t="inlineStr">
        <is>
          <t>Electric Part List T4</t>
        </is>
      </c>
      <c r="B90" s="322" t="inlineStr">
        <is>
          <t>EPL_T4</t>
        </is>
      </c>
      <c r="C90" s="92" t="inlineStr">
        <is>
          <t>TBD</t>
        </is>
      </c>
      <c r="D90" s="63" t="inlineStr">
        <is>
          <t>3ECP502147-0001</t>
        </is>
      </c>
      <c r="E90" s="79" t="inlineStr">
        <is>
          <t>J</t>
        </is>
      </c>
      <c r="F90" s="71" t="n"/>
      <c r="G90" s="63" t="inlineStr">
        <is>
          <t>3ECP307213-0004</t>
        </is>
      </c>
      <c r="H90" s="79" t="inlineStr">
        <is>
          <t>D</t>
        </is>
      </c>
      <c r="I90" s="64" t="n"/>
      <c r="J90" s="63" t="inlineStr">
        <is>
          <t>3ECP307162-0001</t>
        </is>
      </c>
      <c r="K90" s="10" t="inlineStr">
        <is>
          <t>C</t>
        </is>
      </c>
      <c r="L90" s="64" t="n"/>
      <c r="M90" s="63" t="inlineStr">
        <is>
          <t>3ECP307253-0004</t>
        </is>
      </c>
      <c r="N90" s="79" t="inlineStr">
        <is>
          <t>G</t>
        </is>
      </c>
      <c r="O90" s="64" t="n"/>
      <c r="R90" s="63" t="n"/>
      <c r="S90" s="64" t="n"/>
      <c r="U90" s="64" t="n"/>
      <c r="W90" s="64" t="n"/>
    </row>
    <row r="91" outlineLevel="1" s="480">
      <c r="A91" s="322" t="inlineStr">
        <is>
          <t>Electric Part List T5</t>
        </is>
      </c>
      <c r="B91" s="322" t="inlineStr">
        <is>
          <t>EPL_T5</t>
        </is>
      </c>
      <c r="C91" s="92" t="inlineStr">
        <is>
          <t>TBD</t>
        </is>
      </c>
      <c r="D91" s="63" t="inlineStr">
        <is>
          <t>3ECP502148-0001</t>
        </is>
      </c>
      <c r="E91" s="79" t="inlineStr">
        <is>
          <t>J</t>
        </is>
      </c>
      <c r="F91" s="71" t="n"/>
      <c r="G91" s="63" t="inlineStr">
        <is>
          <t>3ECP307213-0005</t>
        </is>
      </c>
      <c r="H91" s="79" t="inlineStr">
        <is>
          <t>D</t>
        </is>
      </c>
      <c r="I91" s="64" t="n"/>
      <c r="J91" s="63" t="inlineStr">
        <is>
          <t>3ECP307163-0001</t>
        </is>
      </c>
      <c r="K91" s="10" t="inlineStr">
        <is>
          <t>C</t>
        </is>
      </c>
      <c r="L91" s="64" t="n"/>
      <c r="M91" s="63" t="inlineStr">
        <is>
          <t>3ECP307253-0005</t>
        </is>
      </c>
      <c r="N91" s="79" t="inlineStr">
        <is>
          <t>G</t>
        </is>
      </c>
      <c r="O91" s="64" t="n"/>
      <c r="R91" s="63" t="n"/>
      <c r="S91" s="64" t="n"/>
      <c r="U91" s="64" t="n"/>
      <c r="W91" s="64" t="n"/>
    </row>
    <row r="92" outlineLevel="1" s="480">
      <c r="A92" s="322" t="inlineStr">
        <is>
          <t>Electric Part List M6</t>
        </is>
      </c>
      <c r="B92" s="322" t="inlineStr">
        <is>
          <t>EPL_M6</t>
        </is>
      </c>
      <c r="C92" s="92" t="inlineStr">
        <is>
          <t>TBD</t>
        </is>
      </c>
      <c r="D92" s="63" t="inlineStr">
        <is>
          <t>3ECP502149-0001</t>
        </is>
      </c>
      <c r="E92" s="79" t="inlineStr">
        <is>
          <t>J</t>
        </is>
      </c>
      <c r="F92" s="71" t="n"/>
      <c r="G92" s="63" t="inlineStr">
        <is>
          <t>3ECP307213-0006</t>
        </is>
      </c>
      <c r="H92" s="79" t="inlineStr">
        <is>
          <t>D</t>
        </is>
      </c>
      <c r="I92" s="64" t="n"/>
      <c r="J92" s="63" t="inlineStr">
        <is>
          <t>3ECP307164-0001</t>
        </is>
      </c>
      <c r="K92" s="10" t="inlineStr">
        <is>
          <t>C</t>
        </is>
      </c>
      <c r="L92" s="64" t="n"/>
      <c r="M92" s="63" t="inlineStr">
        <is>
          <t>3ECP307253-0006</t>
        </is>
      </c>
      <c r="N92" s="79" t="inlineStr">
        <is>
          <t>G</t>
        </is>
      </c>
      <c r="O92" s="64" t="n"/>
      <c r="R92" s="63" t="n"/>
      <c r="S92" s="64" t="n"/>
      <c r="U92" s="64" t="n"/>
      <c r="W92" s="64" t="n"/>
    </row>
    <row r="93" outlineLevel="1" s="480">
      <c r="A93" s="322" t="inlineStr">
        <is>
          <t>Electric Part List TT7</t>
        </is>
      </c>
      <c r="B93" s="322" t="inlineStr">
        <is>
          <t>EPL_TT7</t>
        </is>
      </c>
      <c r="C93" s="92" t="inlineStr">
        <is>
          <t>TBD</t>
        </is>
      </c>
      <c r="D93" s="63" t="inlineStr">
        <is>
          <t>3ECP502150-0001</t>
        </is>
      </c>
      <c r="E93" s="79" t="inlineStr">
        <is>
          <t>J</t>
        </is>
      </c>
      <c r="F93" s="71" t="n"/>
      <c r="G93" s="63" t="inlineStr">
        <is>
          <t>3ECP307213-0007</t>
        </is>
      </c>
      <c r="H93" s="79" t="inlineStr">
        <is>
          <t>D</t>
        </is>
      </c>
      <c r="I93" s="64" t="n"/>
      <c r="J93" s="63" t="inlineStr">
        <is>
          <t>3ECP307164-0001</t>
        </is>
      </c>
      <c r="K93" s="10" t="inlineStr">
        <is>
          <t>D</t>
        </is>
      </c>
      <c r="L93" s="64" t="n"/>
      <c r="M93" s="63" t="inlineStr">
        <is>
          <t>3ECP307253-0007</t>
        </is>
      </c>
      <c r="N93" s="79" t="inlineStr">
        <is>
          <t>G</t>
        </is>
      </c>
      <c r="O93" s="64" t="n"/>
      <c r="R93" s="63" t="n"/>
      <c r="S93" s="64" t="n"/>
      <c r="U93" s="64" t="n"/>
      <c r="W93" s="64" t="n"/>
    </row>
    <row r="94" outlineLevel="1" s="480">
      <c r="A94" s="322" t="inlineStr">
        <is>
          <t>Electric Part List DM8</t>
        </is>
      </c>
      <c r="B94" s="322" t="inlineStr">
        <is>
          <t>EPL_DM8</t>
        </is>
      </c>
      <c r="C94" s="92" t="inlineStr">
        <is>
          <t>TBD</t>
        </is>
      </c>
      <c r="D94" s="63" t="inlineStr">
        <is>
          <t>3ECP502151-0001</t>
        </is>
      </c>
      <c r="E94" s="10" t="inlineStr">
        <is>
          <t>N</t>
        </is>
      </c>
      <c r="F94" s="71" t="n"/>
      <c r="G94" s="63" t="inlineStr">
        <is>
          <t>3ECP307213-1408</t>
        </is>
      </c>
      <c r="H94" s="79" t="inlineStr">
        <is>
          <t>C</t>
        </is>
      </c>
      <c r="I94" s="64" t="n"/>
      <c r="J94" s="63" t="inlineStr">
        <is>
          <t>3ECP307056-0001</t>
        </is>
      </c>
      <c r="K94" s="10" t="inlineStr">
        <is>
          <t>G</t>
        </is>
      </c>
      <c r="L94" s="64" t="n"/>
      <c r="M94" s="63" t="inlineStr">
        <is>
          <t>3ECP307253-0008</t>
        </is>
      </c>
      <c r="N94" s="79" t="inlineStr">
        <is>
          <t>G</t>
        </is>
      </c>
      <c r="O94" s="64" t="n"/>
      <c r="R94" s="63" t="n"/>
      <c r="S94" s="64" t="n"/>
      <c r="U94" s="64" t="n"/>
      <c r="W94" s="64" t="n"/>
    </row>
    <row r="95">
      <c r="A95" s="323" t="inlineStr">
        <is>
          <t>Interface Control Document</t>
        </is>
      </c>
      <c r="B95" s="326" t="inlineStr">
        <is>
          <t>NOTA</t>
        </is>
      </c>
      <c r="C95" s="227" t="n"/>
      <c r="D95" s="228" t="n"/>
      <c r="E95" s="223" t="n"/>
      <c r="F95" s="69" t="n"/>
      <c r="G95" s="68" t="n"/>
      <c r="H95" s="223" t="n"/>
      <c r="I95" s="69" t="n"/>
      <c r="J95" s="68" t="n"/>
      <c r="K95" s="223" t="n"/>
      <c r="L95" s="69" t="n"/>
      <c r="M95" s="68" t="n"/>
      <c r="N95" s="223" t="n"/>
      <c r="O95" s="69" t="n"/>
      <c r="P95" s="223" t="n"/>
      <c r="Q95" s="223" t="n"/>
      <c r="R95" s="68" t="n"/>
      <c r="S95" s="69" t="n"/>
      <c r="T95" s="223" t="n"/>
      <c r="U95" s="69" t="n"/>
      <c r="V95" s="223" t="n"/>
      <c r="W95" s="69" t="n"/>
    </row>
    <row r="96" outlineLevel="1" ht="30" customHeight="1" s="480">
      <c r="A96" s="322" t="inlineStr">
        <is>
          <t>ICD Sistema TCMS</t>
        </is>
      </c>
      <c r="B96" s="322" t="inlineStr">
        <is>
          <t>ICD_TCMS</t>
        </is>
      </c>
      <c r="C96" s="63" t="inlineStr">
        <is>
          <t>pdf</t>
        </is>
      </c>
      <c r="D96" s="10" t="inlineStr">
        <is>
          <t>3EST000225-0120</t>
        </is>
      </c>
      <c r="E96" s="10" t="inlineStr">
        <is>
          <t>D</t>
        </is>
      </c>
      <c r="F96" s="10" t="inlineStr">
        <is>
          <t>3EST000225-0120</t>
        </is>
      </c>
      <c r="G96" s="63" t="n"/>
      <c r="I96" s="64" t="n"/>
      <c r="J96" s="63" t="n"/>
      <c r="L96" s="64" t="n"/>
      <c r="M96" s="63" t="n"/>
      <c r="O96" s="64" t="n"/>
      <c r="P96" s="78" t="inlineStr">
        <is>
          <t>EC130021271</t>
        </is>
      </c>
      <c r="Q96" s="10" t="inlineStr">
        <is>
          <t>01.2</t>
        </is>
      </c>
      <c r="R96" s="210" t="inlineStr">
        <is>
          <t>EC130021271</t>
        </is>
      </c>
      <c r="S96" s="211" t="inlineStr">
        <is>
          <t>01.2</t>
        </is>
      </c>
      <c r="U96" s="64" t="n"/>
      <c r="W96" s="64" t="n"/>
    </row>
    <row r="97" outlineLevel="1" ht="30" customHeight="1" s="480">
      <c r="A97" s="322" t="inlineStr">
        <is>
          <t>ICD Sistema TCMS - Annex</t>
        </is>
      </c>
      <c r="B97" s="322" t="n"/>
      <c r="C97" s="63" t="inlineStr">
        <is>
          <t>xslx</t>
        </is>
      </c>
      <c r="D97" s="63" t="inlineStr">
        <is>
          <t>\</t>
        </is>
      </c>
      <c r="F97" s="64" t="inlineStr">
        <is>
          <t>\</t>
        </is>
      </c>
      <c r="G97" s="63" t="n"/>
      <c r="I97" s="64" t="n"/>
      <c r="J97" s="63" t="n"/>
      <c r="L97" s="64" t="n"/>
      <c r="M97" s="63" t="n"/>
      <c r="O97" s="64" t="n"/>
      <c r="P97" s="78" t="inlineStr">
        <is>
          <t>EC130021272</t>
        </is>
      </c>
      <c r="Q97" s="10" t="inlineStr">
        <is>
          <t>03.2</t>
        </is>
      </c>
      <c r="R97" s="210" t="inlineStr">
        <is>
          <t>EC130021272</t>
        </is>
      </c>
      <c r="S97" s="211" t="inlineStr">
        <is>
          <t>03.2</t>
        </is>
      </c>
      <c r="U97" s="64" t="n"/>
      <c r="W97" s="64" t="n"/>
    </row>
    <row r="98" outlineLevel="1" ht="30" customHeight="1" s="480">
      <c r="A98" s="322" t="inlineStr">
        <is>
          <t>ICD GTW IPTCOM-TRDP</t>
        </is>
      </c>
      <c r="B98" s="322" t="inlineStr">
        <is>
          <t>ICD_GTW</t>
        </is>
      </c>
      <c r="C98" s="63" t="inlineStr">
        <is>
          <t>pdf</t>
        </is>
      </c>
      <c r="D98" s="63" t="inlineStr">
        <is>
          <t>\</t>
        </is>
      </c>
      <c r="F98" s="64" t="inlineStr">
        <is>
          <t>\</t>
        </is>
      </c>
      <c r="G98" s="63" t="n"/>
      <c r="I98" s="64" t="n"/>
      <c r="J98" s="63" t="n"/>
      <c r="L98" s="64" t="n"/>
      <c r="M98" s="63" t="n"/>
      <c r="O98" s="64" t="n"/>
      <c r="P98" s="78" t="inlineStr">
        <is>
          <t>EC130019965</t>
        </is>
      </c>
      <c r="Q98" s="10" t="inlineStr">
        <is>
          <t>03.2</t>
        </is>
      </c>
      <c r="R98" s="210" t="inlineStr">
        <is>
          <t>EC130019965</t>
        </is>
      </c>
      <c r="S98" s="211" t="inlineStr">
        <is>
          <t>03.2</t>
        </is>
      </c>
      <c r="U98" s="64" t="n"/>
      <c r="W98" s="64" t="n"/>
    </row>
    <row r="99" outlineLevel="1" ht="30" customHeight="1" s="480">
      <c r="A99" s="322" t="inlineStr">
        <is>
          <t>ICD GTW IPTCOM-TRDP - Annex</t>
        </is>
      </c>
      <c r="B99" s="322" t="n"/>
      <c r="C99" s="63" t="inlineStr">
        <is>
          <t>xslx</t>
        </is>
      </c>
      <c r="D99" s="63" t="inlineStr">
        <is>
          <t>\</t>
        </is>
      </c>
      <c r="F99" s="64" t="inlineStr">
        <is>
          <t>\</t>
        </is>
      </c>
      <c r="G99" s="63" t="n"/>
      <c r="I99" s="64" t="n"/>
      <c r="J99" s="63" t="n"/>
      <c r="L99" s="64" t="n"/>
      <c r="M99" s="63" t="n"/>
      <c r="O99" s="64" t="n"/>
      <c r="P99" s="78" t="inlineStr">
        <is>
          <t>EC130019966</t>
        </is>
      </c>
      <c r="Q99" s="10" t="inlineStr">
        <is>
          <t>01.2</t>
        </is>
      </c>
      <c r="R99" s="210" t="inlineStr">
        <is>
          <t>EC130019966</t>
        </is>
      </c>
      <c r="S99" s="211" t="inlineStr">
        <is>
          <t>01.2</t>
        </is>
      </c>
      <c r="U99" s="64" t="n"/>
      <c r="W99" s="64" t="n"/>
    </row>
    <row r="100" outlineLevel="1" ht="30" customHeight="1" s="480">
      <c r="A100" s="322" t="inlineStr">
        <is>
          <t>ICD Sistema Propulsion TCU</t>
        </is>
      </c>
      <c r="B100" s="322" t="inlineStr">
        <is>
          <t>ICD_Propulsion</t>
        </is>
      </c>
      <c r="C100" s="63" t="inlineStr">
        <is>
          <t>pdf</t>
        </is>
      </c>
      <c r="D100" s="63" t="inlineStr">
        <is>
          <t>3EST000225-5108</t>
        </is>
      </c>
      <c r="E100" s="10" t="inlineStr">
        <is>
          <t>E</t>
        </is>
      </c>
      <c r="F100" s="64" t="inlineStr">
        <is>
          <t>\</t>
        </is>
      </c>
      <c r="G100" s="63" t="n"/>
      <c r="I100" s="64" t="n"/>
      <c r="J100" s="63" t="n"/>
      <c r="L100" s="64" t="n"/>
      <c r="M100" s="63" t="n"/>
      <c r="O100" s="64" t="n"/>
      <c r="P100" s="78" t="inlineStr">
        <is>
          <t>EC130019102</t>
        </is>
      </c>
      <c r="Q100" s="10" t="inlineStr">
        <is>
          <t>02.2</t>
        </is>
      </c>
      <c r="R100" s="210" t="inlineStr">
        <is>
          <t>EC130019102</t>
        </is>
      </c>
      <c r="S100" s="211" t="inlineStr">
        <is>
          <t>02.2</t>
        </is>
      </c>
      <c r="U100" s="64" t="n"/>
      <c r="W100" s="64" t="n"/>
    </row>
    <row r="101" outlineLevel="1" ht="30" customHeight="1" s="480">
      <c r="A101" s="322" t="inlineStr">
        <is>
          <t>ICD Sistema Propulsion TCU - Annex</t>
        </is>
      </c>
      <c r="B101" s="322" t="n"/>
      <c r="C101" s="63" t="inlineStr">
        <is>
          <t>xslx</t>
        </is>
      </c>
      <c r="D101" s="63" t="inlineStr">
        <is>
          <t>\</t>
        </is>
      </c>
      <c r="F101" s="64" t="inlineStr">
        <is>
          <t>\</t>
        </is>
      </c>
      <c r="G101" s="63" t="n"/>
      <c r="I101" s="64" t="n"/>
      <c r="J101" s="63" t="n"/>
      <c r="L101" s="64" t="n"/>
      <c r="M101" s="63" t="n"/>
      <c r="O101" s="64" t="n"/>
      <c r="P101" s="78" t="inlineStr">
        <is>
          <t>EC130019104</t>
        </is>
      </c>
      <c r="Q101" s="10" t="inlineStr">
        <is>
          <t>05.2</t>
        </is>
      </c>
      <c r="R101" s="210" t="inlineStr">
        <is>
          <t>EC130019104</t>
        </is>
      </c>
      <c r="S101" s="211" t="inlineStr">
        <is>
          <t>05.2</t>
        </is>
      </c>
      <c r="U101" s="64" t="n"/>
      <c r="W101" s="64" t="n"/>
    </row>
    <row r="102" outlineLevel="1" ht="30" customHeight="1" s="480">
      <c r="A102" s="322" t="inlineStr">
        <is>
          <t>ICD Pantografo</t>
        </is>
      </c>
      <c r="B102" s="322" t="inlineStr">
        <is>
          <t>ICD_Panto</t>
        </is>
      </c>
      <c r="C102" s="63" t="inlineStr">
        <is>
          <t>pdf</t>
        </is>
      </c>
      <c r="D102" s="63" t="inlineStr">
        <is>
          <t>3EST000225-7432</t>
        </is>
      </c>
      <c r="E102" s="10" t="inlineStr">
        <is>
          <t>C</t>
        </is>
      </c>
      <c r="F102" s="64" t="inlineStr">
        <is>
          <t>\</t>
        </is>
      </c>
      <c r="G102" s="63" t="n"/>
      <c r="I102" s="64" t="n"/>
      <c r="J102" s="63" t="n"/>
      <c r="L102" s="64" t="n"/>
      <c r="M102" s="63" t="n"/>
      <c r="O102" s="64" t="n"/>
      <c r="P102" s="78" t="inlineStr">
        <is>
          <t>EC130021259</t>
        </is>
      </c>
      <c r="Q102" s="10" t="inlineStr">
        <is>
          <t>00.3</t>
        </is>
      </c>
      <c r="R102" s="210" t="inlineStr">
        <is>
          <t>EC130021259</t>
        </is>
      </c>
      <c r="S102" s="211" t="inlineStr">
        <is>
          <t>00.3</t>
        </is>
      </c>
      <c r="U102" s="64" t="n"/>
      <c r="W102" s="64" t="n"/>
    </row>
    <row r="103" outlineLevel="1" ht="30" customHeight="1" s="480">
      <c r="A103" s="322" t="inlineStr">
        <is>
          <t>ICD Pantografo - Annex</t>
        </is>
      </c>
      <c r="B103" s="322" t="n"/>
      <c r="C103" s="63" t="inlineStr">
        <is>
          <t>xslx</t>
        </is>
      </c>
      <c r="D103" s="63" t="inlineStr">
        <is>
          <t>\</t>
        </is>
      </c>
      <c r="F103" s="64" t="inlineStr">
        <is>
          <t>\</t>
        </is>
      </c>
      <c r="G103" s="63" t="n"/>
      <c r="I103" s="64" t="n"/>
      <c r="J103" s="63" t="n"/>
      <c r="L103" s="64" t="n"/>
      <c r="M103" s="63" t="n"/>
      <c r="O103" s="64" t="n"/>
      <c r="P103" s="78" t="inlineStr">
        <is>
          <t>EC130021260</t>
        </is>
      </c>
      <c r="Q103" s="10" t="inlineStr">
        <is>
          <t>03.2</t>
        </is>
      </c>
      <c r="R103" s="210" t="inlineStr">
        <is>
          <t>EC130021260</t>
        </is>
      </c>
      <c r="S103" s="211" t="inlineStr">
        <is>
          <t>03.2</t>
        </is>
      </c>
      <c r="U103" s="64" t="n"/>
      <c r="W103" s="64" t="n"/>
    </row>
    <row r="104" outlineLevel="1" ht="30" customHeight="1" s="480">
      <c r="A104" s="322" t="inlineStr">
        <is>
          <t>ICD Sistema BCU</t>
        </is>
      </c>
      <c r="B104" s="322" t="inlineStr">
        <is>
          <t>ICD_Brake</t>
        </is>
      </c>
      <c r="C104" s="63" t="inlineStr">
        <is>
          <t>pdf</t>
        </is>
      </c>
      <c r="D104" s="63" t="inlineStr">
        <is>
          <t>3EST000225-7431</t>
        </is>
      </c>
      <c r="E104" s="10" t="inlineStr">
        <is>
          <t>D</t>
        </is>
      </c>
      <c r="F104" s="64" t="inlineStr">
        <is>
          <t>\</t>
        </is>
      </c>
      <c r="G104" s="63" t="n"/>
      <c r="I104" s="64" t="n"/>
      <c r="J104" s="63" t="n"/>
      <c r="L104" s="64" t="n"/>
      <c r="M104" s="63" t="n"/>
      <c r="O104" s="64" t="n"/>
      <c r="P104" s="78" t="inlineStr">
        <is>
          <t>EC130019100</t>
        </is>
      </c>
      <c r="Q104" s="10" t="inlineStr">
        <is>
          <t>02.2</t>
        </is>
      </c>
      <c r="R104" s="210" t="inlineStr">
        <is>
          <t>EC130019100</t>
        </is>
      </c>
      <c r="S104" s="211" t="inlineStr">
        <is>
          <t>02.2</t>
        </is>
      </c>
      <c r="U104" s="64" t="n"/>
      <c r="W104" s="64" t="n"/>
    </row>
    <row r="105" outlineLevel="1" ht="30" customHeight="1" s="480">
      <c r="A105" s="322" t="inlineStr">
        <is>
          <t>ICD Sistema BCU - Annex</t>
        </is>
      </c>
      <c r="B105" s="322" t="inlineStr">
        <is>
          <t>ICD_Brake_Annex</t>
        </is>
      </c>
      <c r="C105" s="63" t="inlineStr">
        <is>
          <t>xslx</t>
        </is>
      </c>
      <c r="D105" s="209" t="inlineStr">
        <is>
          <t>3EST000225-7431_Annex</t>
        </is>
      </c>
      <c r="F105" s="64" t="inlineStr">
        <is>
          <t>\</t>
        </is>
      </c>
      <c r="G105" s="63" t="n"/>
      <c r="I105" s="64" t="n"/>
      <c r="J105" s="63" t="n"/>
      <c r="L105" s="64" t="n"/>
      <c r="M105" s="63" t="n"/>
      <c r="O105" s="64" t="n"/>
      <c r="P105" s="78" t="inlineStr">
        <is>
          <t>EC130019101</t>
        </is>
      </c>
      <c r="Q105" s="10" t="inlineStr">
        <is>
          <t>03.3</t>
        </is>
      </c>
      <c r="R105" s="210" t="inlineStr">
        <is>
          <t>EC130019101</t>
        </is>
      </c>
      <c r="S105" s="211" t="inlineStr">
        <is>
          <t>03.3</t>
        </is>
      </c>
      <c r="U105" s="64" t="n"/>
      <c r="W105" s="64" t="n"/>
    </row>
    <row r="106" outlineLevel="1" ht="30" customHeight="1" s="480">
      <c r="A106" s="322" t="inlineStr">
        <is>
          <t>ICD Sistema Segnalamento</t>
        </is>
      </c>
      <c r="B106" s="322" t="inlineStr">
        <is>
          <t>ICD_ATP</t>
        </is>
      </c>
      <c r="C106" s="63" t="inlineStr">
        <is>
          <t>pdf</t>
        </is>
      </c>
      <c r="D106" s="63" t="inlineStr">
        <is>
          <t>\</t>
        </is>
      </c>
      <c r="F106" s="64" t="inlineStr">
        <is>
          <t>\</t>
        </is>
      </c>
      <c r="G106" s="63" t="n"/>
      <c r="I106" s="64" t="n"/>
      <c r="J106" s="63" t="n"/>
      <c r="L106" s="64" t="n"/>
      <c r="M106" s="63" t="n"/>
      <c r="O106" s="64" t="n"/>
      <c r="P106" s="78" t="inlineStr">
        <is>
          <t>EC130020522</t>
        </is>
      </c>
      <c r="Q106" s="10" t="inlineStr">
        <is>
          <t>01.3</t>
        </is>
      </c>
      <c r="R106" s="210" t="inlineStr">
        <is>
          <t>EC130020522</t>
        </is>
      </c>
      <c r="S106" s="211" t="inlineStr">
        <is>
          <t>01.3</t>
        </is>
      </c>
      <c r="U106" s="64" t="n"/>
      <c r="W106" s="64" t="n"/>
    </row>
    <row r="107" outlineLevel="1" ht="30" customHeight="1" s="480">
      <c r="A107" s="322" t="inlineStr">
        <is>
          <t>ICD Sistema Segnalamento - Annex</t>
        </is>
      </c>
      <c r="B107" s="322" t="n"/>
      <c r="C107" s="63" t="inlineStr">
        <is>
          <t>xslx</t>
        </is>
      </c>
      <c r="D107" s="63" t="inlineStr">
        <is>
          <t>\</t>
        </is>
      </c>
      <c r="F107" s="64" t="inlineStr">
        <is>
          <t>\</t>
        </is>
      </c>
      <c r="G107" s="63" t="n"/>
      <c r="I107" s="64" t="n"/>
      <c r="J107" s="63" t="n"/>
      <c r="L107" s="64" t="n"/>
      <c r="M107" s="63" t="n"/>
      <c r="O107" s="64" t="n"/>
      <c r="P107" s="78" t="inlineStr">
        <is>
          <t>EC130020523</t>
        </is>
      </c>
      <c r="Q107" s="10" t="inlineStr">
        <is>
          <t>03.2</t>
        </is>
      </c>
      <c r="R107" s="210" t="inlineStr">
        <is>
          <t>EC130020523</t>
        </is>
      </c>
      <c r="S107" s="211" t="inlineStr">
        <is>
          <t>03.2</t>
        </is>
      </c>
      <c r="U107" s="64" t="n"/>
      <c r="W107" s="64" t="n"/>
    </row>
    <row r="108" outlineLevel="1" ht="30" customHeight="1" s="480">
      <c r="A108" s="322" t="inlineStr">
        <is>
          <t>ICD Sistema PIS</t>
        </is>
      </c>
      <c r="B108" s="322" t="inlineStr">
        <is>
          <t>ICD_PIS</t>
        </is>
      </c>
      <c r="C108" s="63" t="inlineStr">
        <is>
          <t>pdf</t>
        </is>
      </c>
      <c r="D108" s="63" t="inlineStr">
        <is>
          <t>3EST000225-7439</t>
        </is>
      </c>
      <c r="E108" s="10" t="inlineStr">
        <is>
          <t>B</t>
        </is>
      </c>
      <c r="F108" s="64" t="inlineStr">
        <is>
          <t>\</t>
        </is>
      </c>
      <c r="G108" s="63" t="n"/>
      <c r="I108" s="64" t="n"/>
      <c r="J108" s="63" t="n"/>
      <c r="L108" s="64" t="n"/>
      <c r="M108" s="63" t="n"/>
      <c r="O108" s="64" t="n"/>
      <c r="P108" s="78" t="inlineStr">
        <is>
          <t>EC130021261</t>
        </is>
      </c>
      <c r="Q108" s="10" t="inlineStr">
        <is>
          <t>00.3</t>
        </is>
      </c>
      <c r="R108" s="210" t="inlineStr">
        <is>
          <t>EC130021261</t>
        </is>
      </c>
      <c r="S108" s="211" t="inlineStr">
        <is>
          <t>00.3</t>
        </is>
      </c>
      <c r="U108" s="64" t="n"/>
      <c r="W108" s="64" t="n"/>
    </row>
    <row r="109" outlineLevel="1" ht="30" customHeight="1" s="480">
      <c r="A109" s="322" t="inlineStr">
        <is>
          <t>ICD Sistema PIS - Annex</t>
        </is>
      </c>
      <c r="B109" s="322" t="n"/>
      <c r="C109" s="63" t="inlineStr">
        <is>
          <t>xslx</t>
        </is>
      </c>
      <c r="D109" s="63" t="inlineStr">
        <is>
          <t>\</t>
        </is>
      </c>
      <c r="F109" s="64" t="inlineStr">
        <is>
          <t>\</t>
        </is>
      </c>
      <c r="G109" s="63" t="n"/>
      <c r="I109" s="64" t="n"/>
      <c r="J109" s="63" t="n"/>
      <c r="L109" s="64" t="n"/>
      <c r="M109" s="63" t="n"/>
      <c r="O109" s="64" t="n"/>
      <c r="P109" s="78" t="inlineStr">
        <is>
          <t>EC130021262</t>
        </is>
      </c>
      <c r="Q109" s="10" t="inlineStr">
        <is>
          <t>01.3</t>
        </is>
      </c>
      <c r="R109" s="210" t="inlineStr">
        <is>
          <t>EC130021262</t>
        </is>
      </c>
      <c r="S109" s="211" t="inlineStr">
        <is>
          <t>01.3</t>
        </is>
      </c>
      <c r="U109" s="64" t="n"/>
      <c r="W109" s="64" t="n"/>
    </row>
    <row r="110" outlineLevel="1" ht="30" customHeight="1" s="480">
      <c r="A110" s="322" t="inlineStr">
        <is>
          <t>ICD Sistema Toilette</t>
        </is>
      </c>
      <c r="B110" s="322" t="inlineStr">
        <is>
          <t>ICD_Toilet</t>
        </is>
      </c>
      <c r="C110" s="63" t="inlineStr">
        <is>
          <t>pdf</t>
        </is>
      </c>
      <c r="D110" s="63" t="inlineStr">
        <is>
          <t>3EST000225-7438</t>
        </is>
      </c>
      <c r="E110" s="10" t="inlineStr">
        <is>
          <t>E</t>
        </is>
      </c>
      <c r="F110" s="64" t="inlineStr">
        <is>
          <t>\</t>
        </is>
      </c>
      <c r="G110" s="63" t="n"/>
      <c r="I110" s="64" t="n"/>
      <c r="J110" s="63" t="n"/>
      <c r="L110" s="64" t="n"/>
      <c r="M110" s="63" t="n"/>
      <c r="O110" s="64" t="n"/>
      <c r="P110" s="78" t="inlineStr">
        <is>
          <t>EC130021264</t>
        </is>
      </c>
      <c r="Q110" s="10" t="inlineStr">
        <is>
          <t>00.3</t>
        </is>
      </c>
      <c r="R110" s="210" t="inlineStr">
        <is>
          <t>EC130021264</t>
        </is>
      </c>
      <c r="S110" s="211" t="inlineStr">
        <is>
          <t>00.3</t>
        </is>
      </c>
      <c r="U110" s="64" t="n"/>
      <c r="W110" s="64" t="n"/>
    </row>
    <row r="111" outlineLevel="1" ht="30" customHeight="1" s="480">
      <c r="A111" s="322" t="inlineStr">
        <is>
          <t>ICD Sistema Toilette - Annex</t>
        </is>
      </c>
      <c r="B111" s="322" t="n"/>
      <c r="C111" s="63" t="inlineStr">
        <is>
          <t>xslx</t>
        </is>
      </c>
      <c r="D111" s="63" t="inlineStr">
        <is>
          <t>\</t>
        </is>
      </c>
      <c r="F111" s="64" t="inlineStr">
        <is>
          <t>\</t>
        </is>
      </c>
      <c r="G111" s="63" t="n"/>
      <c r="I111" s="64" t="n"/>
      <c r="J111" s="63" t="n"/>
      <c r="L111" s="64" t="n"/>
      <c r="M111" s="63" t="n"/>
      <c r="O111" s="64" t="n"/>
      <c r="P111" s="78" t="inlineStr">
        <is>
          <t>EC130021265</t>
        </is>
      </c>
      <c r="Q111" s="10" t="inlineStr">
        <is>
          <t>02.2</t>
        </is>
      </c>
      <c r="R111" s="210" t="inlineStr">
        <is>
          <t>EC130021265</t>
        </is>
      </c>
      <c r="S111" s="211" t="inlineStr">
        <is>
          <t>02.2</t>
        </is>
      </c>
      <c r="U111" s="64" t="n"/>
      <c r="W111" s="64" t="n"/>
    </row>
    <row r="112" outlineLevel="1" ht="30" customHeight="1" s="480">
      <c r="A112" s="322" t="inlineStr">
        <is>
          <t>ICD Sistema Anticendio</t>
        </is>
      </c>
      <c r="B112" s="322" t="inlineStr">
        <is>
          <t>ICD_FPS</t>
        </is>
      </c>
      <c r="C112" s="63" t="inlineStr">
        <is>
          <t>pdf</t>
        </is>
      </c>
      <c r="D112" s="63" t="inlineStr">
        <is>
          <t>3EST000225-7440</t>
        </is>
      </c>
      <c r="E112" s="10" t="inlineStr">
        <is>
          <t>E</t>
        </is>
      </c>
      <c r="F112" s="64" t="inlineStr">
        <is>
          <t>\</t>
        </is>
      </c>
      <c r="G112" s="63" t="n"/>
      <c r="I112" s="64" t="n"/>
      <c r="J112" s="63" t="n"/>
      <c r="L112" s="64" t="n"/>
      <c r="M112" s="63" t="n"/>
      <c r="O112" s="64" t="n"/>
      <c r="P112" s="78" t="inlineStr">
        <is>
          <t>EC130021300</t>
        </is>
      </c>
      <c r="Q112" s="10" t="inlineStr">
        <is>
          <t>00.5</t>
        </is>
      </c>
      <c r="R112" s="210" t="inlineStr">
        <is>
          <t>EC130021300</t>
        </is>
      </c>
      <c r="S112" s="211" t="inlineStr">
        <is>
          <t>00.5</t>
        </is>
      </c>
      <c r="U112" s="64" t="n"/>
      <c r="W112" s="64" t="n"/>
    </row>
    <row r="113" outlineLevel="1" ht="30" customHeight="1" s="480">
      <c r="A113" s="322" t="inlineStr">
        <is>
          <t>ICD Sistema Anticendio - Annex</t>
        </is>
      </c>
      <c r="B113" s="322" t="n"/>
      <c r="C113" s="63" t="inlineStr">
        <is>
          <t>xslx</t>
        </is>
      </c>
      <c r="D113" s="63" t="inlineStr">
        <is>
          <t>\</t>
        </is>
      </c>
      <c r="F113" s="64" t="inlineStr">
        <is>
          <t>\</t>
        </is>
      </c>
      <c r="G113" s="63" t="n"/>
      <c r="I113" s="64" t="n"/>
      <c r="J113" s="63" t="n"/>
      <c r="L113" s="64" t="n"/>
      <c r="M113" s="63" t="n"/>
      <c r="O113" s="64" t="n"/>
      <c r="P113" s="78" t="inlineStr">
        <is>
          <t>EC130021301</t>
        </is>
      </c>
      <c r="Q113" s="10" t="inlineStr">
        <is>
          <t>04.2</t>
        </is>
      </c>
      <c r="R113" s="210" t="inlineStr">
        <is>
          <t>EC130021301</t>
        </is>
      </c>
      <c r="S113" s="211" t="inlineStr">
        <is>
          <t>04.2</t>
        </is>
      </c>
      <c r="U113" s="64" t="n"/>
      <c r="W113" s="64" t="n"/>
    </row>
    <row r="114" outlineLevel="1" ht="30" customHeight="1" s="480">
      <c r="A114" s="322" t="inlineStr">
        <is>
          <t>ICD Sistema Porte</t>
        </is>
      </c>
      <c r="B114" s="322" t="inlineStr">
        <is>
          <t>ICD_Doors</t>
        </is>
      </c>
      <c r="C114" s="63" t="inlineStr">
        <is>
          <t>pdf</t>
        </is>
      </c>
      <c r="D114" s="63" t="inlineStr">
        <is>
          <t>3EST000225-7437</t>
        </is>
      </c>
      <c r="E114" s="10" t="inlineStr">
        <is>
          <t>C</t>
        </is>
      </c>
      <c r="F114" s="64" t="inlineStr">
        <is>
          <t>\</t>
        </is>
      </c>
      <c r="G114" s="63" t="n"/>
      <c r="I114" s="64" t="n"/>
      <c r="J114" s="63" t="n"/>
      <c r="L114" s="64" t="n"/>
      <c r="M114" s="63" t="n"/>
      <c r="O114" s="64" t="n"/>
      <c r="P114" s="78" t="inlineStr">
        <is>
          <t>EC130021266</t>
        </is>
      </c>
      <c r="Q114" s="10" t="inlineStr">
        <is>
          <t>00.3</t>
        </is>
      </c>
      <c r="R114" s="210" t="inlineStr">
        <is>
          <t>EC130021266</t>
        </is>
      </c>
      <c r="S114" s="211" t="inlineStr">
        <is>
          <t>00.3</t>
        </is>
      </c>
      <c r="U114" s="64" t="n"/>
      <c r="W114" s="64" t="n"/>
    </row>
    <row r="115" outlineLevel="1" ht="30" customHeight="1" s="480">
      <c r="A115" s="322" t="inlineStr">
        <is>
          <t>ICD Sistema Porte - Annex</t>
        </is>
      </c>
      <c r="B115" s="322" t="n"/>
      <c r="C115" s="63" t="inlineStr">
        <is>
          <t>xslx</t>
        </is>
      </c>
      <c r="D115" s="63" t="inlineStr">
        <is>
          <t>\</t>
        </is>
      </c>
      <c r="F115" s="64" t="inlineStr">
        <is>
          <t>\</t>
        </is>
      </c>
      <c r="G115" s="63" t="n"/>
      <c r="I115" s="64" t="n"/>
      <c r="J115" s="63" t="n"/>
      <c r="L115" s="64" t="n"/>
      <c r="M115" s="63" t="n"/>
      <c r="O115" s="64" t="n"/>
      <c r="P115" s="78" t="inlineStr">
        <is>
          <t>EC130021268</t>
        </is>
      </c>
      <c r="Q115" s="10" t="inlineStr">
        <is>
          <t>01.2</t>
        </is>
      </c>
      <c r="R115" s="210" t="inlineStr">
        <is>
          <t>EC130021268</t>
        </is>
      </c>
      <c r="S115" s="211" t="inlineStr">
        <is>
          <t>01.2</t>
        </is>
      </c>
      <c r="U115" s="64" t="n"/>
      <c r="W115" s="64" t="n"/>
    </row>
    <row r="116" outlineLevel="1" ht="30" customHeight="1" s="480">
      <c r="A116" s="322" t="inlineStr">
        <is>
          <t>ICD Sistema HVSP</t>
        </is>
      </c>
      <c r="B116" s="322" t="inlineStr">
        <is>
          <t>ICD_HVSP</t>
        </is>
      </c>
      <c r="C116" s="63" t="inlineStr">
        <is>
          <t>pdf</t>
        </is>
      </c>
      <c r="D116" s="63" t="inlineStr">
        <is>
          <t>\</t>
        </is>
      </c>
      <c r="F116" s="64" t="inlineStr">
        <is>
          <t>\</t>
        </is>
      </c>
      <c r="G116" s="63" t="n"/>
      <c r="I116" s="64" t="n"/>
      <c r="J116" s="63" t="n"/>
      <c r="L116" s="64" t="n"/>
      <c r="M116" s="63" t="n"/>
      <c r="O116" s="64" t="n"/>
      <c r="P116" s="78" t="inlineStr">
        <is>
          <t>EC130023723</t>
        </is>
      </c>
      <c r="Q116" s="10" t="inlineStr">
        <is>
          <t>01.2</t>
        </is>
      </c>
      <c r="R116" s="210" t="inlineStr">
        <is>
          <t>EC130023723</t>
        </is>
      </c>
      <c r="S116" s="211" t="inlineStr">
        <is>
          <t>01.2</t>
        </is>
      </c>
      <c r="U116" s="64" t="n"/>
      <c r="W116" s="64" t="n"/>
    </row>
    <row r="117" outlineLevel="1" ht="30" customHeight="1" s="480">
      <c r="A117" s="322" t="inlineStr">
        <is>
          <t>ICD Sistema HVSP  - Annex</t>
        </is>
      </c>
      <c r="B117" s="322" t="n"/>
      <c r="C117" s="63" t="inlineStr">
        <is>
          <t>xslx</t>
        </is>
      </c>
      <c r="D117" s="63" t="inlineStr">
        <is>
          <t>\</t>
        </is>
      </c>
      <c r="F117" s="64" t="inlineStr">
        <is>
          <t>\</t>
        </is>
      </c>
      <c r="G117" s="63" t="n"/>
      <c r="I117" s="64" t="n"/>
      <c r="J117" s="63" t="n"/>
      <c r="L117" s="64" t="n"/>
      <c r="M117" s="63" t="n"/>
      <c r="O117" s="64" t="n"/>
      <c r="P117" s="78" t="inlineStr">
        <is>
          <t>EC130023724</t>
        </is>
      </c>
      <c r="Q117" s="10" t="inlineStr">
        <is>
          <t>04.2</t>
        </is>
      </c>
      <c r="R117" s="210" t="inlineStr">
        <is>
          <t>EC130023724</t>
        </is>
      </c>
      <c r="S117" s="211" t="inlineStr">
        <is>
          <t>04.2</t>
        </is>
      </c>
      <c r="U117" s="64" t="n"/>
      <c r="W117" s="64" t="n"/>
    </row>
    <row r="118" outlineLevel="1" ht="30" customHeight="1" s="480">
      <c r="A118" s="322" t="inlineStr">
        <is>
          <t>ICD Sistema Carica Batterie</t>
        </is>
      </c>
      <c r="B118" s="322" t="inlineStr">
        <is>
          <t>ICD_Battery charger</t>
        </is>
      </c>
      <c r="C118" s="63" t="inlineStr">
        <is>
          <t>pdf</t>
        </is>
      </c>
      <c r="D118" s="63" t="inlineStr">
        <is>
          <t>3EST000225-7435</t>
        </is>
      </c>
      <c r="E118" s="10" t="inlineStr">
        <is>
          <t>C</t>
        </is>
      </c>
      <c r="F118" s="64" t="inlineStr">
        <is>
          <t>\</t>
        </is>
      </c>
      <c r="G118" s="63" t="n"/>
      <c r="I118" s="64" t="n"/>
      <c r="J118" s="63" t="n"/>
      <c r="L118" s="64" t="n"/>
      <c r="M118" s="63" t="n"/>
      <c r="O118" s="64" t="n"/>
      <c r="P118" s="78" t="inlineStr">
        <is>
          <t>EC130021254</t>
        </is>
      </c>
      <c r="Q118" s="10" t="inlineStr">
        <is>
          <t>00.4</t>
        </is>
      </c>
      <c r="R118" s="210" t="inlineStr">
        <is>
          <t>EC130021254</t>
        </is>
      </c>
      <c r="S118" s="211" t="inlineStr">
        <is>
          <t>00.4</t>
        </is>
      </c>
      <c r="U118" s="64" t="n"/>
      <c r="W118" s="64" t="n"/>
    </row>
    <row r="119" outlineLevel="1" ht="30" customHeight="1" s="480">
      <c r="A119" s="322" t="inlineStr">
        <is>
          <t>ICD Sistema Carica Batterie - Annex</t>
        </is>
      </c>
      <c r="B119" s="322" t="n"/>
      <c r="C119" s="63" t="inlineStr">
        <is>
          <t>xslx</t>
        </is>
      </c>
      <c r="D119" s="63" t="inlineStr">
        <is>
          <t>\</t>
        </is>
      </c>
      <c r="F119" s="64" t="inlineStr">
        <is>
          <t>\</t>
        </is>
      </c>
      <c r="G119" s="63" t="n"/>
      <c r="I119" s="64" t="n"/>
      <c r="J119" s="63" t="n"/>
      <c r="L119" s="64" t="n"/>
      <c r="M119" s="63" t="n"/>
      <c r="O119" s="64" t="n"/>
      <c r="P119" s="78" t="inlineStr">
        <is>
          <t>EC130021255</t>
        </is>
      </c>
      <c r="Q119" s="10" t="inlineStr">
        <is>
          <t>01.2</t>
        </is>
      </c>
      <c r="R119" s="210" t="inlineStr">
        <is>
          <t>EC130021255</t>
        </is>
      </c>
      <c r="S119" s="211" t="inlineStr">
        <is>
          <t>01.2</t>
        </is>
      </c>
      <c r="U119" s="64" t="n"/>
      <c r="W119" s="64" t="n"/>
    </row>
    <row r="120" outlineLevel="1" ht="30" customHeight="1" s="480">
      <c r="A120" s="322" t="inlineStr">
        <is>
          <t>ICD HVAC</t>
        </is>
      </c>
      <c r="B120" s="322" t="inlineStr">
        <is>
          <t>ICD_HVAC</t>
        </is>
      </c>
      <c r="C120" s="63" t="inlineStr">
        <is>
          <t>pdf</t>
        </is>
      </c>
      <c r="D120" s="63" t="inlineStr">
        <is>
          <t>3EST000225-7436</t>
        </is>
      </c>
      <c r="E120" s="10" t="inlineStr">
        <is>
          <t>C</t>
        </is>
      </c>
      <c r="F120" s="64" t="inlineStr">
        <is>
          <t>\</t>
        </is>
      </c>
      <c r="G120" s="63" t="n"/>
      <c r="I120" s="64" t="n"/>
      <c r="J120" s="63" t="n"/>
      <c r="L120" s="64" t="n"/>
      <c r="M120" s="63" t="n"/>
      <c r="O120" s="64" t="n"/>
      <c r="P120" s="78" t="inlineStr">
        <is>
          <t>EC130021304</t>
        </is>
      </c>
      <c r="Q120" s="10" t="inlineStr">
        <is>
          <t>00.4</t>
        </is>
      </c>
      <c r="R120" s="210" t="inlineStr">
        <is>
          <t>EC130021304</t>
        </is>
      </c>
      <c r="S120" s="211" t="inlineStr">
        <is>
          <t>00.4</t>
        </is>
      </c>
      <c r="U120" s="64" t="n"/>
      <c r="W120" s="64" t="n"/>
    </row>
    <row r="121" outlineLevel="1" ht="30" customHeight="1" s="480">
      <c r="A121" s="322" t="inlineStr">
        <is>
          <t>ICD HVAC - Annex</t>
        </is>
      </c>
      <c r="B121" s="322" t="n"/>
      <c r="C121" s="63" t="inlineStr">
        <is>
          <t>xslx</t>
        </is>
      </c>
      <c r="D121" s="63" t="inlineStr">
        <is>
          <t>\</t>
        </is>
      </c>
      <c r="F121" s="64" t="inlineStr">
        <is>
          <t>\</t>
        </is>
      </c>
      <c r="G121" s="63" t="n"/>
      <c r="I121" s="64" t="n"/>
      <c r="J121" s="63" t="n"/>
      <c r="L121" s="64" t="n"/>
      <c r="M121" s="63" t="n"/>
      <c r="O121" s="64" t="n"/>
      <c r="P121" s="78" t="inlineStr">
        <is>
          <t>EC130021305</t>
        </is>
      </c>
      <c r="Q121" s="10" t="inlineStr">
        <is>
          <t>02.2</t>
        </is>
      </c>
      <c r="R121" s="210" t="inlineStr">
        <is>
          <t>EC130021305</t>
        </is>
      </c>
      <c r="S121" s="211" t="inlineStr">
        <is>
          <t>02.2</t>
        </is>
      </c>
      <c r="U121" s="64" t="n"/>
      <c r="W121" s="64" t="n"/>
    </row>
    <row r="122" outlineLevel="1" ht="30" customHeight="1" s="480">
      <c r="A122" s="322" t="inlineStr">
        <is>
          <t>ICD Energy Measurement System</t>
        </is>
      </c>
      <c r="B122" s="322" t="inlineStr">
        <is>
          <t>ICD_EMS</t>
        </is>
      </c>
      <c r="C122" s="63" t="inlineStr">
        <is>
          <t>pdf</t>
        </is>
      </c>
      <c r="D122" s="63" t="inlineStr">
        <is>
          <t>\</t>
        </is>
      </c>
      <c r="F122" s="64" t="inlineStr">
        <is>
          <t>\</t>
        </is>
      </c>
      <c r="G122" s="63" t="n"/>
      <c r="I122" s="64" t="n"/>
      <c r="J122" s="63" t="n"/>
      <c r="L122" s="64" t="n"/>
      <c r="M122" s="63" t="n"/>
      <c r="O122" s="64" t="n"/>
      <c r="P122" s="78" t="inlineStr">
        <is>
          <t>EC130023132</t>
        </is>
      </c>
      <c r="Q122" s="10" t="inlineStr">
        <is>
          <t>01.2</t>
        </is>
      </c>
      <c r="R122" s="210" t="inlineStr">
        <is>
          <t>EC130023132</t>
        </is>
      </c>
      <c r="S122" s="211" t="inlineStr">
        <is>
          <t>01.2</t>
        </is>
      </c>
      <c r="U122" s="64" t="n"/>
      <c r="W122" s="64" t="n"/>
    </row>
    <row r="123" outlineLevel="1" ht="30" customHeight="1" s="480">
      <c r="A123" s="322" t="inlineStr">
        <is>
          <t>ICD Energy Measurement System - Annex</t>
        </is>
      </c>
      <c r="B123" s="322" t="n"/>
      <c r="C123" s="63" t="inlineStr">
        <is>
          <t>xslx</t>
        </is>
      </c>
      <c r="D123" s="63" t="inlineStr">
        <is>
          <t>\</t>
        </is>
      </c>
      <c r="F123" s="64" t="inlineStr">
        <is>
          <t>\</t>
        </is>
      </c>
      <c r="G123" s="63" t="n"/>
      <c r="I123" s="64" t="n"/>
      <c r="J123" s="63" t="n"/>
      <c r="L123" s="64" t="n"/>
      <c r="M123" s="63" t="n"/>
      <c r="O123" s="64" t="n"/>
      <c r="P123" s="78" t="inlineStr">
        <is>
          <t>EC130023133</t>
        </is>
      </c>
      <c r="Q123" s="10" t="inlineStr">
        <is>
          <t>02.2</t>
        </is>
      </c>
      <c r="R123" s="210" t="inlineStr">
        <is>
          <t>EC130023133</t>
        </is>
      </c>
      <c r="S123" s="211" t="inlineStr">
        <is>
          <t>02.2</t>
        </is>
      </c>
      <c r="U123" s="64" t="n"/>
      <c r="W123" s="64" t="n"/>
    </row>
    <row r="124">
      <c r="A124" s="323" t="inlineStr">
        <is>
          <t>General Vehicle Document</t>
        </is>
      </c>
      <c r="B124" s="323" t="n"/>
      <c r="C124" s="113" t="n"/>
      <c r="D124" s="68" t="n"/>
      <c r="E124" s="223" t="n"/>
      <c r="F124" s="69" t="n"/>
      <c r="G124" s="68" t="n"/>
      <c r="H124" s="223" t="n"/>
      <c r="I124" s="69" t="n"/>
      <c r="J124" s="68" t="n"/>
      <c r="K124" s="223" t="n"/>
      <c r="L124" s="69" t="n"/>
      <c r="M124" s="68" t="n"/>
      <c r="N124" s="223" t="n"/>
      <c r="O124" s="69" t="n"/>
      <c r="P124" s="223" t="n"/>
      <c r="Q124" s="223" t="n"/>
      <c r="R124" s="68" t="n"/>
      <c r="S124" s="69" t="n"/>
      <c r="T124" s="223" t="n"/>
      <c r="U124" s="69" t="n"/>
      <c r="V124" s="223" t="n"/>
      <c r="W124" s="69" t="n"/>
    </row>
    <row r="125" outlineLevel="1" ht="30" customHeight="1" s="480">
      <c r="A125" s="322" t="inlineStr">
        <is>
          <t>Train Performances</t>
        </is>
      </c>
      <c r="B125" s="322">
        <f>CONCATENATE("GVN_",A125)</f>
        <v/>
      </c>
      <c r="C125" s="63" t="inlineStr">
        <is>
          <t>pdf</t>
        </is>
      </c>
      <c r="D125" s="63" t="n"/>
      <c r="F125" s="64" t="n"/>
      <c r="G125" s="63" t="n"/>
      <c r="I125" s="64" t="n"/>
      <c r="J125" s="63" t="n"/>
      <c r="L125" s="64" t="n"/>
      <c r="M125" s="63" t="n"/>
      <c r="O125" s="64" t="n"/>
      <c r="P125" s="78" t="inlineStr">
        <is>
          <t>ED040019912</t>
        </is>
      </c>
      <c r="Q125" s="79" t="inlineStr">
        <is>
          <t>03.2</t>
        </is>
      </c>
      <c r="R125" s="63" t="inlineStr">
        <is>
          <t>ED040019912</t>
        </is>
      </c>
      <c r="S125" s="71" t="inlineStr">
        <is>
          <t>03.2</t>
        </is>
      </c>
      <c r="U125" s="64" t="n"/>
      <c r="W125" s="64" t="n"/>
    </row>
    <row r="126" outlineLevel="1" ht="30" customHeight="1" s="480">
      <c r="A126" s="322" t="inlineStr">
        <is>
          <t>Train System Architecture</t>
        </is>
      </c>
      <c r="B126" s="322">
        <f>CONCATENATE("GVN_",A126)</f>
        <v/>
      </c>
      <c r="C126" s="63" t="inlineStr">
        <is>
          <t>pdf</t>
        </is>
      </c>
      <c r="D126" s="63" t="n"/>
      <c r="F126" s="64" t="n"/>
      <c r="G126" s="63" t="n"/>
      <c r="I126" s="64" t="n"/>
      <c r="J126" s="63" t="n"/>
      <c r="L126" s="64" t="n"/>
      <c r="M126" s="63" t="n"/>
      <c r="O126" s="64" t="n"/>
      <c r="P126" s="78" t="inlineStr">
        <is>
          <t>FF010020369</t>
        </is>
      </c>
      <c r="Q126" s="79" t="inlineStr">
        <is>
          <t>01.2</t>
        </is>
      </c>
      <c r="R126" s="63" t="inlineStr">
        <is>
          <t>FF010020369</t>
        </is>
      </c>
      <c r="S126" s="71" t="inlineStr">
        <is>
          <t>01.2</t>
        </is>
      </c>
      <c r="U126" s="64" t="n"/>
      <c r="W126" s="64" t="n"/>
    </row>
    <row r="127" outlineLevel="1" ht="30" customHeight="1" s="480">
      <c r="A127" s="322" t="inlineStr">
        <is>
          <t>Train Running Simulations</t>
        </is>
      </c>
      <c r="B127" s="322">
        <f>CONCATENATE("GVN_",A127)</f>
        <v/>
      </c>
      <c r="C127" s="63" t="inlineStr">
        <is>
          <t>pdf</t>
        </is>
      </c>
      <c r="D127" s="63" t="n"/>
      <c r="F127" s="64" t="n"/>
      <c r="G127" s="63" t="n"/>
      <c r="I127" s="64" t="n"/>
      <c r="J127" s="63" t="n"/>
      <c r="L127" s="64" t="n"/>
      <c r="M127" s="63" t="n"/>
      <c r="O127" s="64" t="n"/>
      <c r="P127" s="78" t="inlineStr">
        <is>
          <t>ED180020963</t>
        </is>
      </c>
      <c r="Q127" s="79" t="inlineStr">
        <is>
          <t>01.2</t>
        </is>
      </c>
      <c r="R127" s="63" t="inlineStr">
        <is>
          <t>ED180020963</t>
        </is>
      </c>
      <c r="S127" s="71" t="inlineStr">
        <is>
          <t>01.2</t>
        </is>
      </c>
      <c r="U127" s="64" t="n"/>
      <c r="W127" s="64" t="n"/>
    </row>
    <row r="128" outlineLevel="1" ht="30" customHeight="1" s="480">
      <c r="A128" s="322" t="inlineStr">
        <is>
          <t>SyFD Propulsion System</t>
        </is>
      </c>
      <c r="B128" s="322">
        <f>CONCATENATE("GVN_",A128)</f>
        <v/>
      </c>
      <c r="C128" s="63" t="inlineStr">
        <is>
          <t>pdf</t>
        </is>
      </c>
      <c r="D128" s="63" t="n"/>
      <c r="F128" s="64" t="n"/>
      <c r="G128" s="63" t="n"/>
      <c r="I128" s="64" t="n"/>
      <c r="J128" s="63" t="n"/>
      <c r="L128" s="64" t="n"/>
      <c r="M128" s="63" t="n"/>
      <c r="O128" s="64" t="n"/>
      <c r="P128" s="78" t="inlineStr">
        <is>
          <t>FE010020176</t>
        </is>
      </c>
      <c r="Q128" s="79" t="inlineStr">
        <is>
          <t>00.4</t>
        </is>
      </c>
      <c r="R128" s="63" t="inlineStr">
        <is>
          <t>FE010020176</t>
        </is>
      </c>
      <c r="S128" s="71" t="inlineStr">
        <is>
          <t>00.4</t>
        </is>
      </c>
      <c r="U128" s="64" t="n"/>
      <c r="W128" s="64" t="n"/>
    </row>
    <row r="129" outlineLevel="1" ht="30" customHeight="1" s="480">
      <c r="A129" s="322" t="inlineStr">
        <is>
          <t>SyFD Train Control and Management System</t>
        </is>
      </c>
      <c r="B129" s="322">
        <f>CONCATENATE("GVN_",A129)</f>
        <v/>
      </c>
      <c r="C129" s="63" t="inlineStr">
        <is>
          <t>pdf</t>
        </is>
      </c>
      <c r="D129" s="63" t="n"/>
      <c r="F129" s="64" t="n"/>
      <c r="G129" s="63" t="n"/>
      <c r="I129" s="64" t="n"/>
      <c r="J129" s="63" t="n"/>
      <c r="L129" s="64" t="n"/>
      <c r="M129" s="63" t="n"/>
      <c r="O129" s="64" t="n"/>
      <c r="P129" s="78" t="inlineStr">
        <is>
          <t>FT170023207</t>
        </is>
      </c>
      <c r="Q129" s="79" t="inlineStr">
        <is>
          <t>00.6</t>
        </is>
      </c>
      <c r="R129" s="63" t="inlineStr">
        <is>
          <t>FT170023207</t>
        </is>
      </c>
      <c r="S129" s="71" t="inlineStr">
        <is>
          <t>00.6</t>
        </is>
      </c>
      <c r="U129" s="64" t="n"/>
      <c r="W129" s="64" t="n"/>
    </row>
    <row r="130" outlineLevel="1" ht="30" customHeight="1" s="480">
      <c r="A130" s="327" t="inlineStr">
        <is>
          <t>SyFD Ethernet Train Communication Network</t>
        </is>
      </c>
      <c r="B130" s="327">
        <f>CONCATENATE("GVN_",A130)</f>
        <v/>
      </c>
      <c r="C130" s="182" t="inlineStr">
        <is>
          <t>pdf</t>
        </is>
      </c>
      <c r="D130" s="182" t="n"/>
      <c r="E130" s="66" t="n"/>
      <c r="F130" s="65" t="n"/>
      <c r="G130" s="182" t="n"/>
      <c r="H130" s="66" t="n"/>
      <c r="I130" s="65" t="n"/>
      <c r="J130" s="182" t="n"/>
      <c r="K130" s="66" t="n"/>
      <c r="L130" s="65" t="n"/>
      <c r="M130" s="182" t="n"/>
      <c r="N130" s="66" t="n"/>
      <c r="O130" s="65" t="n"/>
      <c r="P130" s="90" t="inlineStr">
        <is>
          <t>FE020026857</t>
        </is>
      </c>
      <c r="Q130" s="89" t="inlineStr">
        <is>
          <t>02.2</t>
        </is>
      </c>
      <c r="R130" s="182" t="inlineStr">
        <is>
          <t>FE020026857</t>
        </is>
      </c>
      <c r="S130" s="98" t="inlineStr">
        <is>
          <t>02.2</t>
        </is>
      </c>
      <c r="T130" s="66" t="n"/>
      <c r="U130" s="65" t="n"/>
      <c r="V130" s="66" t="n"/>
      <c r="W130" s="65" t="n"/>
    </row>
  </sheetData>
  <mergeCells count="19">
    <mergeCell ref="D2:F2"/>
    <mergeCell ref="V2:W2"/>
    <mergeCell ref="P1:Q1"/>
    <mergeCell ref="V1:W1"/>
    <mergeCell ref="P2:Q2"/>
    <mergeCell ref="G1:I1"/>
    <mergeCell ref="A1:A3"/>
    <mergeCell ref="J2:L2"/>
    <mergeCell ref="T2:U2"/>
    <mergeCell ref="T1:U1"/>
    <mergeCell ref="D1:F1"/>
    <mergeCell ref="G2:I2"/>
    <mergeCell ref="J1:L1"/>
    <mergeCell ref="B1:B3"/>
    <mergeCell ref="C1:C3"/>
    <mergeCell ref="R2:S2"/>
    <mergeCell ref="M1:O1"/>
    <mergeCell ref="M2:O2"/>
    <mergeCell ref="R1:S1"/>
  </mergeCells>
  <pageMargins left="0.7" right="0.7" top="0.75" bottom="0.75" header="0.3" footer="0.3"/>
  <pageSetup orientation="portrait" paperSize="9" verticalDpi="1200"/>
  <legacyDrawing xmlns:r="http://schemas.openxmlformats.org/officeDocument/2006/relationships" r:id="anysvml"/>
</worksheet>
</file>

<file path=xl/worksheets/sheet6.xml><?xml version="1.0" encoding="utf-8"?>
<worksheet xmlns="http://schemas.openxmlformats.org/spreadsheetml/2006/main">
  <sheetPr>
    <tabColor theme="5" tint="0.3999755851924192"/>
    <outlinePr summaryBelow="1" summaryRight="1"/>
    <pageSetUpPr/>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baseColWidth="8" defaultColWidth="8.7109375" defaultRowHeight="15"/>
  <cols>
    <col width="36.5703125" customWidth="1" style="62" min="1" max="1"/>
    <col width="34.85546875" bestFit="1" customWidth="1" style="62" min="2" max="2"/>
    <col width="8.42578125" bestFit="1" customWidth="1" style="10" min="3" max="3"/>
    <col width="17.5703125" customWidth="1" style="10" min="4" max="4"/>
    <col width="4.42578125" bestFit="1" customWidth="1" style="10" min="5" max="5"/>
    <col width="17.5703125" customWidth="1" style="10" min="6" max="6"/>
    <col width="4.7109375" bestFit="1" customWidth="1" style="10" min="7" max="7"/>
    <col width="17.5703125" customWidth="1" style="10" min="8" max="8"/>
    <col width="4.7109375" bestFit="1" customWidth="1" style="10" min="9" max="9"/>
    <col width="17.5703125" customWidth="1" style="10" min="10" max="10"/>
    <col width="4.42578125" bestFit="1" customWidth="1" style="10" min="11" max="11"/>
    <col width="17.140625" customWidth="1" style="10" min="12" max="12"/>
    <col width="5.140625"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9"/>
    <col width="8.7109375" customWidth="1" style="59" min="40" max="16384"/>
  </cols>
  <sheetData>
    <row r="1" ht="26.45" customFormat="1" customHeight="1" s="61">
      <c r="A1" s="436" t="inlineStr">
        <is>
          <t>DOC DESCRIPTION</t>
        </is>
      </c>
      <c r="B1" s="445" t="inlineStr">
        <is>
          <t>DOC ID</t>
        </is>
      </c>
      <c r="C1" s="436" t="inlineStr">
        <is>
          <t>DOC EXT</t>
        </is>
      </c>
      <c r="D1" s="444" t="inlineStr">
        <is>
          <t>VZI_Base</t>
        </is>
      </c>
      <c r="E1" s="435" t="n"/>
      <c r="F1" s="433" t="inlineStr">
        <is>
          <t>VZI_New14</t>
        </is>
      </c>
      <c r="G1" s="432" t="n"/>
      <c r="H1" s="444" t="inlineStr">
        <is>
          <t>VZ_FR</t>
        </is>
      </c>
      <c r="I1" s="435" t="n"/>
      <c r="J1" s="433" t="inlineStr">
        <is>
          <t>VZ_ES</t>
        </is>
      </c>
      <c r="K1" s="432" t="n"/>
      <c r="L1" s="444" t="inlineStr">
        <is>
          <t>VZI-6_R1</t>
        </is>
      </c>
      <c r="M1" s="435" t="n"/>
      <c r="N1" s="433" t="inlineStr">
        <is>
          <t>VZI-4_R1</t>
        </is>
      </c>
      <c r="O1" s="432" t="n"/>
      <c r="P1" s="444" t="inlineStr">
        <is>
          <t>VZ_DAI</t>
        </is>
      </c>
      <c r="Q1" s="435" t="n"/>
      <c r="R1" s="433" t="inlineStr">
        <is>
          <t>VZ_Esxx</t>
        </is>
      </c>
      <c r="S1" s="432" t="n"/>
    </row>
    <row r="2" ht="26.45" customFormat="1" customHeight="1" s="61">
      <c r="A2" s="438" t="n"/>
      <c r="B2" s="446" t="n"/>
      <c r="C2" s="438" t="n"/>
      <c r="D2" s="183" t="inlineStr">
        <is>
          <t>File/Codice</t>
        </is>
      </c>
      <c r="E2" s="183" t="inlineStr">
        <is>
          <t>Rev</t>
        </is>
      </c>
      <c r="F2" s="439" t="inlineStr">
        <is>
          <t>File/Codice</t>
        </is>
      </c>
      <c r="G2" s="186" t="inlineStr">
        <is>
          <t>Rev</t>
        </is>
      </c>
      <c r="H2" s="183" t="inlineStr">
        <is>
          <t>File/Codice</t>
        </is>
      </c>
      <c r="I2" s="183" t="inlineStr">
        <is>
          <t>Rev</t>
        </is>
      </c>
      <c r="J2" s="439" t="inlineStr">
        <is>
          <t>File/Codice</t>
        </is>
      </c>
      <c r="K2" s="186" t="inlineStr">
        <is>
          <t>Rev</t>
        </is>
      </c>
      <c r="L2" s="443" t="inlineStr">
        <is>
          <t>Codice</t>
        </is>
      </c>
      <c r="M2" s="443" t="inlineStr">
        <is>
          <t>Rev</t>
        </is>
      </c>
      <c r="N2" s="189" t="inlineStr">
        <is>
          <t>Codice</t>
        </is>
      </c>
      <c r="O2" s="91" t="inlineStr">
        <is>
          <t>Rev</t>
        </is>
      </c>
      <c r="P2" s="183" t="inlineStr">
        <is>
          <t>Codice</t>
        </is>
      </c>
      <c r="Q2" s="183" t="inlineStr">
        <is>
          <t>Rev</t>
        </is>
      </c>
      <c r="R2" s="439" t="inlineStr">
        <is>
          <t>Codice</t>
        </is>
      </c>
      <c r="S2" s="186" t="inlineStr">
        <is>
          <t>Rev</t>
        </is>
      </c>
    </row>
    <row r="3">
      <c r="A3" s="244" t="inlineStr">
        <is>
          <t>Functional Doc &amp; Specification</t>
        </is>
      </c>
      <c r="B3" s="177" t="n"/>
      <c r="C3" s="184" t="n"/>
      <c r="D3" s="178" t="n"/>
      <c r="E3" s="178" t="n"/>
      <c r="F3" s="187" t="n"/>
      <c r="G3" s="188" t="n"/>
      <c r="H3" s="178" t="n"/>
      <c r="I3" s="178" t="n"/>
      <c r="J3" s="187" t="n"/>
      <c r="K3" s="188" t="n"/>
      <c r="L3" s="178" t="n"/>
      <c r="M3" s="178" t="n"/>
      <c r="N3" s="187" t="n"/>
      <c r="O3" s="188" t="n"/>
      <c r="P3" s="178" t="n"/>
      <c r="Q3" s="178" t="n"/>
      <c r="R3" s="187" t="n"/>
      <c r="S3" s="188" t="n"/>
    </row>
    <row r="4" ht="30" customHeight="1" s="480">
      <c r="A4" s="62" t="inlineStr">
        <is>
          <t>Architettura di Controllo Treno ed Interfacce di Comando</t>
        </is>
      </c>
      <c r="B4" s="62" t="inlineStr">
        <is>
          <t>FD_TCMS</t>
        </is>
      </c>
      <c r="C4" s="328" t="inlineStr">
        <is>
          <t>pdf</t>
        </is>
      </c>
      <c r="D4" s="10" t="inlineStr">
        <is>
          <t>3ECP410429-0001</t>
        </is>
      </c>
      <c r="E4" s="10" t="inlineStr">
        <is>
          <t>L</t>
        </is>
      </c>
      <c r="F4" s="63" t="inlineStr">
        <is>
          <t>3ECP413973-0001</t>
        </is>
      </c>
      <c r="G4" s="64" t="inlineStr">
        <is>
          <t>A</t>
        </is>
      </c>
      <c r="J4" s="63" t="n"/>
      <c r="K4" s="64" t="n"/>
      <c r="L4" s="10" t="inlineStr">
        <is>
          <t>FE010019098</t>
        </is>
      </c>
      <c r="M4" s="10" t="inlineStr">
        <is>
          <t>1.02</t>
        </is>
      </c>
      <c r="N4" s="63" t="n"/>
      <c r="O4" s="64" t="n"/>
      <c r="R4" s="63" t="n"/>
      <c r="S4" s="64" t="n"/>
    </row>
    <row r="5">
      <c r="A5" s="62" t="inlineStr">
        <is>
          <t>Brake System</t>
        </is>
      </c>
      <c r="B5" s="62" t="inlineStr">
        <is>
          <t>FD_Brake</t>
        </is>
      </c>
      <c r="C5" s="328" t="inlineStr">
        <is>
          <t>pdf</t>
        </is>
      </c>
      <c r="D5" s="10" t="inlineStr">
        <is>
          <t>3EGH489013-3044</t>
        </is>
      </c>
      <c r="E5" s="10" t="inlineStr">
        <is>
          <t>F</t>
        </is>
      </c>
      <c r="F5" s="63" t="n"/>
      <c r="G5" s="64" t="n"/>
      <c r="J5" s="63" t="n"/>
      <c r="K5" s="64" t="n"/>
      <c r="N5" s="63" t="n"/>
      <c r="O5" s="64" t="n"/>
      <c r="R5" s="63" t="n"/>
      <c r="S5" s="64" t="n"/>
    </row>
    <row r="6">
      <c r="A6" s="62" t="inlineStr">
        <is>
          <t>Air Supply</t>
        </is>
      </c>
      <c r="B6" s="62" t="inlineStr">
        <is>
          <t>FD_Air Supply</t>
        </is>
      </c>
      <c r="C6" s="328" t="inlineStr">
        <is>
          <t>pdf</t>
        </is>
      </c>
      <c r="D6" s="10" t="inlineStr">
        <is>
          <t>3EGH489013-4928</t>
        </is>
      </c>
      <c r="E6" s="10" t="inlineStr">
        <is>
          <t>A</t>
        </is>
      </c>
      <c r="F6" s="63" t="n"/>
      <c r="G6" s="64" t="n"/>
      <c r="J6" s="63" t="n"/>
      <c r="K6" s="64" t="n"/>
      <c r="N6" s="63" t="n"/>
      <c r="O6" s="64" t="n"/>
      <c r="R6" s="63" t="n"/>
      <c r="S6" s="64" t="n"/>
    </row>
    <row r="7">
      <c r="A7" s="62" t="inlineStr">
        <is>
          <t>Descrizione SW PCU</t>
        </is>
      </c>
      <c r="B7" s="62" t="inlineStr">
        <is>
          <t>FD_PCU</t>
        </is>
      </c>
      <c r="C7" s="328" t="inlineStr">
        <is>
          <t>pdf</t>
        </is>
      </c>
      <c r="D7" s="10" t="inlineStr">
        <is>
          <t>3EST000225-5111</t>
        </is>
      </c>
      <c r="E7" s="10" t="inlineStr">
        <is>
          <t>C</t>
        </is>
      </c>
      <c r="F7" s="63" t="n"/>
      <c r="G7" s="64" t="n"/>
      <c r="J7" s="63" t="n"/>
      <c r="K7" s="64" t="n"/>
      <c r="N7" s="63" t="n"/>
      <c r="O7" s="64" t="n"/>
      <c r="R7" s="63" t="n"/>
      <c r="S7" s="64" t="n"/>
    </row>
    <row r="8">
      <c r="A8" s="62" t="inlineStr">
        <is>
          <t>Descrizione SW Alta Tensione</t>
        </is>
      </c>
      <c r="B8" s="62" t="inlineStr">
        <is>
          <t>FD_High Voltage</t>
        </is>
      </c>
      <c r="C8" s="328" t="inlineStr">
        <is>
          <t>pdf</t>
        </is>
      </c>
      <c r="D8" s="10" t="inlineStr">
        <is>
          <t>3EST000225-5113</t>
        </is>
      </c>
      <c r="E8" s="10" t="inlineStr">
        <is>
          <t>C</t>
        </is>
      </c>
      <c r="F8" s="63" t="n"/>
      <c r="G8" s="64" t="n"/>
      <c r="J8" s="63" t="n"/>
      <c r="K8" s="64" t="n"/>
      <c r="N8" s="63" t="n"/>
      <c r="O8" s="64" t="n"/>
      <c r="R8" s="63" t="n"/>
      <c r="S8" s="64" t="n"/>
    </row>
    <row r="9">
      <c r="A9" s="62" t="inlineStr">
        <is>
          <t>Descrizione SW Propulsione</t>
        </is>
      </c>
      <c r="B9" s="62" t="inlineStr">
        <is>
          <t>FD_Propulsion</t>
        </is>
      </c>
      <c r="C9" s="328" t="inlineStr">
        <is>
          <t>pdf</t>
        </is>
      </c>
      <c r="D9" s="10" t="inlineStr">
        <is>
          <t>3EST000225-5115</t>
        </is>
      </c>
      <c r="E9" s="10" t="inlineStr">
        <is>
          <t>C</t>
        </is>
      </c>
      <c r="F9" s="63" t="n"/>
      <c r="G9" s="64" t="n"/>
      <c r="J9" s="63" t="n"/>
      <c r="K9" s="64" t="n"/>
      <c r="N9" s="63" t="n"/>
      <c r="O9" s="64" t="n"/>
      <c r="R9" s="63" t="n"/>
      <c r="S9" s="64" t="n"/>
    </row>
    <row r="10">
      <c r="A10" s="62" t="inlineStr">
        <is>
          <t>Descrizione SW DCU/L</t>
        </is>
      </c>
      <c r="B10" s="62" t="inlineStr">
        <is>
          <t>FD_DCU/L</t>
        </is>
      </c>
      <c r="C10" s="328" t="inlineStr">
        <is>
          <t>pdf</t>
        </is>
      </c>
      <c r="D10" s="10" t="inlineStr">
        <is>
          <t>3EST000225-5117</t>
        </is>
      </c>
      <c r="E10" s="10" t="inlineStr">
        <is>
          <t>B</t>
        </is>
      </c>
      <c r="F10" s="63" t="n"/>
      <c r="G10" s="64" t="n"/>
      <c r="J10" s="63" t="n"/>
      <c r="K10" s="64" t="n"/>
      <c r="N10" s="63" t="n"/>
      <c r="O10" s="64" t="n"/>
      <c r="R10" s="63" t="n"/>
      <c r="S10" s="64" t="n"/>
    </row>
    <row r="11">
      <c r="A11" s="62" t="inlineStr">
        <is>
          <t>Descrizione SW DCU/M</t>
        </is>
      </c>
      <c r="B11" s="62" t="inlineStr">
        <is>
          <t>FD_DCU/M</t>
        </is>
      </c>
      <c r="C11" s="328" t="inlineStr">
        <is>
          <t>pdf</t>
        </is>
      </c>
      <c r="D11" s="10" t="inlineStr">
        <is>
          <t>3EST000225-5118</t>
        </is>
      </c>
      <c r="E11" s="10" t="inlineStr">
        <is>
          <t>G</t>
        </is>
      </c>
      <c r="F11" s="63" t="n"/>
      <c r="G11" s="64" t="n"/>
      <c r="J11" s="63" t="n"/>
      <c r="K11" s="64" t="n"/>
      <c r="N11" s="63" t="n"/>
      <c r="O11" s="64" t="n"/>
      <c r="R11" s="63" t="n"/>
      <c r="S11" s="64" t="n"/>
    </row>
    <row r="12">
      <c r="A12" s="62" t="inlineStr">
        <is>
          <t>Descrizione SW ACM</t>
        </is>
      </c>
      <c r="B12" s="62" t="inlineStr">
        <is>
          <t>FD_ACM</t>
        </is>
      </c>
      <c r="C12" s="328" t="inlineStr">
        <is>
          <t>pdf</t>
        </is>
      </c>
      <c r="D12" s="10" t="inlineStr">
        <is>
          <t>3EST000225-5119</t>
        </is>
      </c>
      <c r="E12" s="10" t="inlineStr">
        <is>
          <t>E</t>
        </is>
      </c>
      <c r="F12" s="63" t="n"/>
      <c r="G12" s="64" t="n"/>
      <c r="J12" s="63" t="n"/>
      <c r="K12" s="64" t="n"/>
      <c r="N12" s="63" t="n"/>
      <c r="O12" s="64" t="n"/>
      <c r="R12" s="63" t="n"/>
      <c r="S12" s="64" t="n"/>
    </row>
    <row r="13">
      <c r="A13" s="62" t="inlineStr">
        <is>
          <t>Descrizione SW DCU/C</t>
        </is>
      </c>
      <c r="B13" s="62" t="inlineStr">
        <is>
          <t>FD_DCU/C</t>
        </is>
      </c>
      <c r="C13" s="328" t="inlineStr">
        <is>
          <t>pdf</t>
        </is>
      </c>
      <c r="D13" s="10" t="inlineStr">
        <is>
          <t>3EST000225-5120</t>
        </is>
      </c>
      <c r="E13" s="10" t="inlineStr">
        <is>
          <t>C</t>
        </is>
      </c>
      <c r="F13" s="63" t="n"/>
      <c r="G13" s="64" t="n"/>
      <c r="J13" s="63" t="n"/>
      <c r="K13" s="64" t="n"/>
      <c r="N13" s="63" t="n"/>
      <c r="O13" s="64" t="n"/>
      <c r="R13" s="63" t="n"/>
      <c r="S13" s="64" t="n"/>
    </row>
    <row r="14">
      <c r="A14" s="62" t="inlineStr">
        <is>
          <t>Descrizione SW LIM</t>
        </is>
      </c>
      <c r="B14" s="62" t="inlineStr">
        <is>
          <t>FD_LIM</t>
        </is>
      </c>
      <c r="C14" s="328" t="inlineStr">
        <is>
          <t>pdf</t>
        </is>
      </c>
      <c r="D14" s="10" t="inlineStr">
        <is>
          <t>3EST000225-5132</t>
        </is>
      </c>
      <c r="E14" s="10" t="inlineStr">
        <is>
          <t>_</t>
        </is>
      </c>
      <c r="F14" s="63" t="n"/>
      <c r="G14" s="64" t="n"/>
      <c r="J14" s="63" t="n"/>
      <c r="K14" s="64" t="n"/>
      <c r="N14" s="63" t="n"/>
      <c r="O14" s="64" t="n"/>
      <c r="R14" s="63" t="n"/>
      <c r="S14" s="64" t="n"/>
    </row>
    <row r="15">
      <c r="C15" s="328" t="n"/>
      <c r="F15" s="63" t="n"/>
      <c r="G15" s="64" t="n"/>
      <c r="J15" s="63" t="n"/>
      <c r="K15" s="64" t="n"/>
      <c r="N15" s="63" t="n"/>
      <c r="O15" s="64" t="n"/>
      <c r="R15" s="63" t="n"/>
      <c r="S15" s="64" t="n"/>
    </row>
    <row r="16">
      <c r="A16" s="244" t="inlineStr">
        <is>
          <t>Product Description</t>
        </is>
      </c>
      <c r="B16" s="177" t="n"/>
      <c r="C16" s="184" t="n"/>
      <c r="D16" s="178" t="n"/>
      <c r="E16" s="178" t="n"/>
      <c r="F16" s="187" t="n"/>
      <c r="G16" s="188" t="n"/>
      <c r="H16" s="178" t="n"/>
      <c r="I16" s="178" t="n"/>
      <c r="J16" s="187" t="n"/>
      <c r="K16" s="188" t="n"/>
      <c r="L16" s="178" t="n"/>
      <c r="M16" s="178" t="n"/>
      <c r="N16" s="187" t="n"/>
      <c r="O16" s="188" t="n"/>
      <c r="P16" s="178" t="n"/>
      <c r="Q16" s="178" t="n"/>
      <c r="R16" s="187" t="n"/>
      <c r="S16" s="188" t="n"/>
    </row>
    <row r="17">
      <c r="A17" s="62" t="inlineStr">
        <is>
          <t>Converter unit TC1120</t>
        </is>
      </c>
      <c r="B17" s="62" t="inlineStr">
        <is>
          <t>PDES_Converter</t>
        </is>
      </c>
      <c r="C17" s="328" t="inlineStr">
        <is>
          <t>pdf</t>
        </is>
      </c>
      <c r="D17" s="10" t="inlineStr">
        <is>
          <t>3EST000228-5653</t>
        </is>
      </c>
      <c r="E17" s="10" t="inlineStr">
        <is>
          <t>B</t>
        </is>
      </c>
      <c r="F17" s="63" t="n"/>
      <c r="G17" s="64" t="n"/>
      <c r="J17" s="63" t="n"/>
      <c r="K17" s="64" t="n"/>
      <c r="N17" s="63" t="n"/>
      <c r="O17" s="64" t="n"/>
      <c r="R17" s="63" t="n"/>
      <c r="S17" s="64" t="n"/>
    </row>
    <row r="18" ht="30" customHeight="1" s="480">
      <c r="A18" s="62" t="inlineStr">
        <is>
          <t>Auxiliary converter module, CM-C S 15/10 WA V02</t>
        </is>
      </c>
      <c r="B18" s="62" t="inlineStr">
        <is>
          <t>PDES_Auxiliary module</t>
        </is>
      </c>
      <c r="C18" s="328" t="inlineStr">
        <is>
          <t>pdf</t>
        </is>
      </c>
      <c r="D18" s="10" t="inlineStr">
        <is>
          <t>3EST000226-1993</t>
        </is>
      </c>
      <c r="E18" s="10" t="inlineStr">
        <is>
          <t>A</t>
        </is>
      </c>
      <c r="F18" s="63" t="n"/>
      <c r="G18" s="64" t="n"/>
      <c r="J18" s="63" t="n"/>
      <c r="K18" s="64" t="n"/>
      <c r="N18" s="63" t="n"/>
      <c r="O18" s="64" t="n"/>
      <c r="R18" s="63" t="n"/>
      <c r="S18" s="64" t="n"/>
    </row>
    <row r="19" ht="30" customHeight="1" s="480">
      <c r="A19" s="62" t="inlineStr">
        <is>
          <t>Chopper converter module, CM-C L 30/07 WC V01</t>
        </is>
      </c>
      <c r="B19" s="62" t="inlineStr">
        <is>
          <t>PDES_Chopper module</t>
        </is>
      </c>
      <c r="C19" s="328" t="inlineStr">
        <is>
          <t>pdf</t>
        </is>
      </c>
      <c r="D19" s="10" t="inlineStr">
        <is>
          <t>3EST000226-1995</t>
        </is>
      </c>
      <c r="E19" s="10" t="inlineStr">
        <is>
          <t>B</t>
        </is>
      </c>
      <c r="F19" s="63" t="n"/>
      <c r="G19" s="64" t="n"/>
      <c r="J19" s="63" t="n"/>
      <c r="K19" s="64" t="n"/>
      <c r="N19" s="63" t="n"/>
      <c r="O19" s="64" t="n"/>
      <c r="R19" s="63" t="n"/>
      <c r="S19" s="64" t="n"/>
    </row>
    <row r="20" ht="30" customHeight="1" s="480">
      <c r="A20" s="62" t="inlineStr">
        <is>
          <t>Line converter module, CM-C M 15/15 WL V06</t>
        </is>
      </c>
      <c r="B20" s="62" t="inlineStr">
        <is>
          <t>PDES_Line Module</t>
        </is>
      </c>
      <c r="C20" s="328" t="inlineStr">
        <is>
          <t>pdf</t>
        </is>
      </c>
      <c r="D20" s="10" t="inlineStr">
        <is>
          <t>3EST000226-1994</t>
        </is>
      </c>
      <c r="E20" s="10" t="inlineStr">
        <is>
          <t>B</t>
        </is>
      </c>
      <c r="F20" s="63" t="n"/>
      <c r="G20" s="64" t="n"/>
      <c r="J20" s="63" t="n"/>
      <c r="K20" s="64" t="n"/>
      <c r="N20" s="63" t="n"/>
      <c r="O20" s="64" t="n"/>
      <c r="R20" s="63" t="n"/>
      <c r="S20" s="64" t="n"/>
    </row>
    <row r="21" ht="30" customHeight="1" s="480">
      <c r="A21" s="62" t="inlineStr">
        <is>
          <t>Motor converter module, CM-C S 15/10 WM V02</t>
        </is>
      </c>
      <c r="B21" s="62" t="inlineStr">
        <is>
          <t>PDES_Motor Module</t>
        </is>
      </c>
      <c r="C21" s="328" t="inlineStr">
        <is>
          <t>pdf</t>
        </is>
      </c>
      <c r="D21" s="10" t="inlineStr">
        <is>
          <t>3EST000226-1992</t>
        </is>
      </c>
      <c r="E21" s="10" t="inlineStr">
        <is>
          <t>B</t>
        </is>
      </c>
      <c r="F21" s="63" t="n"/>
      <c r="G21" s="64" t="n"/>
      <c r="J21" s="63" t="n"/>
      <c r="K21" s="64" t="n"/>
      <c r="N21" s="63" t="n"/>
      <c r="O21" s="64" t="n"/>
      <c r="R21" s="63" t="n"/>
      <c r="S21" s="64" t="n"/>
    </row>
    <row r="22">
      <c r="A22" s="62" t="inlineStr">
        <is>
          <t>TCMS Tech Description</t>
        </is>
      </c>
      <c r="B22" s="62" t="inlineStr">
        <is>
          <t>PDES_TCMS</t>
        </is>
      </c>
      <c r="C22" s="328" t="inlineStr">
        <is>
          <t>pdf</t>
        </is>
      </c>
      <c r="D22" s="10" t="inlineStr">
        <is>
          <t>3EST000225-4855</t>
        </is>
      </c>
      <c r="E22" s="10" t="inlineStr">
        <is>
          <t>E</t>
        </is>
      </c>
      <c r="F22" s="63" t="n"/>
      <c r="G22" s="64" t="n"/>
      <c r="J22" s="63" t="n"/>
      <c r="K22" s="64" t="n"/>
      <c r="N22" s="63" t="n"/>
      <c r="O22" s="64" t="n"/>
      <c r="R22" s="63" t="n"/>
      <c r="S22" s="64" t="n"/>
    </row>
    <row r="23">
      <c r="A23" s="62" t="inlineStr">
        <is>
          <t>Brake Tech Description</t>
        </is>
      </c>
      <c r="B23" s="62" t="inlineStr">
        <is>
          <t>PDES_Brake</t>
        </is>
      </c>
      <c r="C23" s="328" t="inlineStr">
        <is>
          <t>pdf</t>
        </is>
      </c>
      <c r="D23" s="10" t="inlineStr">
        <is>
          <t>FTIT10002-I01TDE</t>
        </is>
      </c>
      <c r="E23" s="10" t="inlineStr">
        <is>
          <t>F00</t>
        </is>
      </c>
      <c r="F23" s="63" t="n"/>
      <c r="G23" s="64" t="n"/>
      <c r="J23" s="63" t="n"/>
      <c r="K23" s="64" t="n"/>
      <c r="N23" s="63" t="n"/>
      <c r="O23" s="64" t="n"/>
      <c r="R23" s="63" t="n"/>
      <c r="S23" s="64" t="n"/>
    </row>
    <row r="24">
      <c r="C24" s="328" t="n"/>
      <c r="F24" s="63" t="n"/>
      <c r="G24" s="64" t="n"/>
      <c r="J24" s="63" t="n"/>
      <c r="K24" s="64" t="n"/>
      <c r="N24" s="63" t="n"/>
      <c r="O24" s="64" t="n"/>
      <c r="R24" s="63" t="n"/>
      <c r="S24" s="64" t="n"/>
    </row>
    <row r="25">
      <c r="A25" s="244" t="inlineStr">
        <is>
          <t>Test Specification &amp; Report</t>
        </is>
      </c>
      <c r="B25" s="177" t="n"/>
      <c r="C25" s="184" t="n"/>
      <c r="D25" s="178" t="n"/>
      <c r="E25" s="178" t="n"/>
      <c r="F25" s="187" t="n"/>
      <c r="G25" s="188" t="n"/>
      <c r="H25" s="178" t="n"/>
      <c r="I25" s="178" t="n"/>
      <c r="J25" s="187" t="n"/>
      <c r="K25" s="188" t="n"/>
      <c r="L25" s="178" t="n"/>
      <c r="M25" s="178" t="n"/>
      <c r="N25" s="187" t="n"/>
      <c r="O25" s="188" t="n"/>
      <c r="P25" s="178" t="n"/>
      <c r="Q25" s="178" t="n"/>
      <c r="R25" s="187" t="n"/>
      <c r="S25" s="188" t="n"/>
    </row>
    <row r="26">
      <c r="A26" s="62" t="inlineStr">
        <is>
          <t>System Test Specification</t>
        </is>
      </c>
      <c r="B26" s="62" t="inlineStr">
        <is>
          <t>TS_VZI_Base</t>
        </is>
      </c>
      <c r="C26" s="328" t="inlineStr">
        <is>
          <t>pdf</t>
        </is>
      </c>
      <c r="D26" s="10" t="inlineStr">
        <is>
          <t>3EST000225-6042</t>
        </is>
      </c>
      <c r="E26" s="10" t="inlineStr">
        <is>
          <t>C</t>
        </is>
      </c>
      <c r="F26" s="63" t="n"/>
      <c r="G26" s="64" t="n"/>
      <c r="J26" s="63" t="n"/>
      <c r="K26" s="64" t="n"/>
      <c r="N26" s="63" t="n"/>
      <c r="O26" s="64" t="n"/>
      <c r="R26" s="63" t="n"/>
      <c r="S26" s="64" t="n"/>
    </row>
    <row r="27" ht="30" customHeight="1" s="480">
      <c r="A27" s="62" t="inlineStr">
        <is>
          <t>EPVE63 Test Intervento protezioni azionamento</t>
        </is>
      </c>
      <c r="B27" s="62" t="inlineStr">
        <is>
          <t xml:space="preserve">TS_Test Protezioni azionamento EPVE63 </t>
        </is>
      </c>
      <c r="C27" s="328" t="inlineStr">
        <is>
          <t>pdf</t>
        </is>
      </c>
      <c r="F27" s="63" t="n"/>
      <c r="G27" s="64" t="n"/>
      <c r="J27" s="63" t="n"/>
      <c r="K27" s="64" t="n"/>
      <c r="L27" s="10" t="inlineStr">
        <is>
          <t>DC08060VE63</t>
        </is>
      </c>
      <c r="M27" s="94" t="inlineStr">
        <is>
          <t>01</t>
        </is>
      </c>
      <c r="N27" s="63" t="n"/>
      <c r="O27" s="64" t="n"/>
      <c r="P27" s="63" t="n"/>
      <c r="Q27" s="64" t="n"/>
      <c r="R27" s="63" t="n"/>
      <c r="S27" s="64" t="n"/>
      <c r="T27" s="212" t="n"/>
    </row>
    <row r="28" ht="30" customHeight="1" s="480">
      <c r="A28" s="62" t="inlineStr">
        <is>
          <t>EPVE63 Report Intervento protezioni
azionamento</t>
        </is>
      </c>
      <c r="B28" s="62" t="inlineStr">
        <is>
          <t>TS_Report Protezioni azionamento EPVE63</t>
        </is>
      </c>
      <c r="C28" s="328" t="inlineStr">
        <is>
          <t>pdf</t>
        </is>
      </c>
      <c r="F28" s="63" t="n"/>
      <c r="G28" s="64" t="n"/>
      <c r="J28" s="63" t="n"/>
      <c r="K28" s="64" t="n"/>
      <c r="L28" s="10" t="inlineStr">
        <is>
          <t>DD04060VE63</t>
        </is>
      </c>
      <c r="M28" s="94" t="inlineStr">
        <is>
          <t>00</t>
        </is>
      </c>
      <c r="N28" s="63" t="n"/>
      <c r="O28" s="64" t="n"/>
      <c r="P28" s="63" t="n"/>
      <c r="Q28" s="64" t="n"/>
      <c r="R28" s="63" t="n"/>
      <c r="S28" s="64" t="n"/>
      <c r="T28" s="212" t="n"/>
    </row>
    <row r="29">
      <c r="A29" s="62" t="inlineStr">
        <is>
          <t>Test Report HVSP</t>
        </is>
      </c>
      <c r="B29" s="62" t="inlineStr">
        <is>
          <t>TS_Report HVSP</t>
        </is>
      </c>
      <c r="C29" s="328" t="inlineStr">
        <is>
          <t>pdf</t>
        </is>
      </c>
      <c r="F29" s="63" t="n"/>
      <c r="G29" s="64" t="n"/>
      <c r="J29" s="63" t="n"/>
      <c r="K29" s="64" t="n"/>
      <c r="L29" s="10" t="inlineStr">
        <is>
          <t>DD040031058</t>
        </is>
      </c>
      <c r="M29" s="64" t="inlineStr">
        <is>
          <t>00.6</t>
        </is>
      </c>
      <c r="N29" s="63" t="n"/>
      <c r="O29" s="64" t="n"/>
      <c r="P29" s="63" t="n"/>
      <c r="Q29" s="64" t="n"/>
      <c r="R29" s="63" t="n"/>
      <c r="S29" s="64" t="n"/>
      <c r="T29" s="212" t="n"/>
    </row>
    <row r="30">
      <c r="A30" s="62" t="inlineStr">
        <is>
          <t>Test High Voltage</t>
        </is>
      </c>
      <c r="B30" s="62" t="inlineStr">
        <is>
          <t>TS_Test High Voltage</t>
        </is>
      </c>
      <c r="C30" s="328" t="inlineStr">
        <is>
          <t>pdf</t>
        </is>
      </c>
      <c r="F30" s="63" t="n"/>
      <c r="G30" s="64" t="n"/>
      <c r="J30" s="63" t="n"/>
      <c r="K30" s="64" t="n"/>
      <c r="L30" s="10" t="inlineStr">
        <is>
          <t>EC070028470</t>
        </is>
      </c>
      <c r="M30" s="64" t="inlineStr">
        <is>
          <t>1.0</t>
        </is>
      </c>
      <c r="N30" s="63" t="n"/>
      <c r="O30" s="64" t="n"/>
      <c r="P30" s="63" t="n"/>
      <c r="Q30" s="64" t="n"/>
      <c r="R30" s="63" t="n"/>
      <c r="S30" s="64" t="n"/>
      <c r="T30" s="212" t="n"/>
    </row>
    <row r="31">
      <c r="A31" s="62" t="inlineStr">
        <is>
          <t>Test Driver Control</t>
        </is>
      </c>
      <c r="B31" s="62" t="inlineStr">
        <is>
          <t>TS_Test Driver Control</t>
        </is>
      </c>
      <c r="C31" s="328" t="inlineStr">
        <is>
          <t>pdf</t>
        </is>
      </c>
      <c r="F31" s="63" t="n"/>
      <c r="G31" s="64" t="n"/>
      <c r="J31" s="63" t="n"/>
      <c r="K31" s="64" t="n"/>
      <c r="L31" s="10" t="inlineStr">
        <is>
          <t>EC070028753</t>
        </is>
      </c>
      <c r="M31" s="64" t="inlineStr">
        <is>
          <t>1.0</t>
        </is>
      </c>
      <c r="N31" s="63" t="n"/>
      <c r="O31" s="64" t="n"/>
      <c r="P31" s="63" t="n"/>
      <c r="Q31" s="64" t="n"/>
      <c r="R31" s="63" t="n"/>
      <c r="S31" s="64" t="n"/>
      <c r="T31" s="212" t="n"/>
    </row>
    <row r="32" ht="30" customHeight="1" s="480">
      <c r="A32" s="62" t="inlineStr">
        <is>
          <t>Test Intervento protezioni azionamento</t>
        </is>
      </c>
      <c r="B32" s="62" t="inlineStr">
        <is>
          <t>TS_Test Protezioni azionamento</t>
        </is>
      </c>
      <c r="C32" s="328" t="inlineStr">
        <is>
          <t>pdf</t>
        </is>
      </c>
      <c r="F32" s="63" t="n"/>
      <c r="G32" s="64" t="n"/>
      <c r="J32" s="63" t="n"/>
      <c r="K32" s="64" t="n"/>
      <c r="L32" s="10" t="inlineStr">
        <is>
          <t>EC070045631</t>
        </is>
      </c>
      <c r="M32" s="64" t="inlineStr">
        <is>
          <t>2.0</t>
        </is>
      </c>
      <c r="N32" s="63" t="n"/>
      <c r="O32" s="64" t="n"/>
      <c r="P32" s="63" t="n"/>
      <c r="Q32" s="64" t="n"/>
      <c r="R32" s="63" t="n"/>
      <c r="S32" s="64" t="n"/>
      <c r="T32" s="212" t="n"/>
    </row>
    <row r="33">
      <c r="A33" s="62" t="inlineStr">
        <is>
          <t>Combined test specification</t>
        </is>
      </c>
      <c r="B33" s="62" t="inlineStr">
        <is>
          <t>TS_Test Combined</t>
        </is>
      </c>
      <c r="C33" s="328" t="inlineStr">
        <is>
          <t>pdf</t>
        </is>
      </c>
      <c r="F33" s="63" t="n"/>
      <c r="G33" s="64" t="n"/>
      <c r="J33" s="63" t="n"/>
      <c r="K33" s="64" t="n"/>
      <c r="L33" s="10" t="inlineStr">
        <is>
          <t>EC070027996</t>
        </is>
      </c>
      <c r="M33" s="64" t="inlineStr">
        <is>
          <t>2.0</t>
        </is>
      </c>
      <c r="N33" s="63" t="n"/>
      <c r="O33" s="64" t="n"/>
      <c r="P33" s="63" t="n"/>
      <c r="Q33" s="64" t="n"/>
      <c r="R33" s="63" t="n"/>
      <c r="S33" s="64" t="n"/>
      <c r="T33" s="212" t="n"/>
    </row>
    <row r="34">
      <c r="A34" s="62" t="inlineStr">
        <is>
          <t>Prove HVSP in combined test</t>
        </is>
      </c>
      <c r="B34" s="62" t="inlineStr">
        <is>
          <t>TS_Test HVSP Combined</t>
        </is>
      </c>
      <c r="C34" s="328" t="inlineStr">
        <is>
          <t>pdf</t>
        </is>
      </c>
      <c r="F34" s="63" t="n"/>
      <c r="G34" s="64" t="n"/>
      <c r="J34" s="63" t="n"/>
      <c r="K34" s="64" t="n"/>
      <c r="L34" s="10" t="inlineStr">
        <is>
          <t>EC070030298</t>
        </is>
      </c>
      <c r="M34" s="64" t="inlineStr">
        <is>
          <t>00.2</t>
        </is>
      </c>
      <c r="N34" s="63" t="n"/>
      <c r="O34" s="64" t="n"/>
      <c r="P34" s="63" t="n"/>
      <c r="Q34" s="64" t="n"/>
      <c r="R34" s="63" t="n"/>
      <c r="S34" s="64" t="n"/>
      <c r="T34" s="212" t="n"/>
    </row>
    <row r="35">
      <c r="A35" s="244" t="inlineStr">
        <is>
          <t>Manuals (other)</t>
        </is>
      </c>
      <c r="B35" s="177" t="n"/>
      <c r="C35" s="184" t="n"/>
      <c r="D35" s="178" t="n"/>
      <c r="E35" s="178" t="n"/>
      <c r="F35" s="187" t="n"/>
      <c r="G35" s="188" t="n"/>
      <c r="H35" s="178" t="n"/>
      <c r="I35" s="178" t="n"/>
      <c r="J35" s="187" t="n"/>
      <c r="K35" s="188" t="n"/>
      <c r="L35" s="178" t="n"/>
      <c r="M35" s="178" t="n"/>
      <c r="N35" s="187" t="n"/>
      <c r="O35" s="188" t="n"/>
      <c r="P35" s="178" t="n"/>
      <c r="Q35" s="178" t="n"/>
      <c r="R35" s="187" t="n"/>
      <c r="S35" s="188" t="n"/>
    </row>
    <row r="36" ht="30" customFormat="1" customHeight="1" s="250">
      <c r="A36" s="245" t="inlineStr">
        <is>
          <t>Manuale uso e depannage - Apparecchiature Segnalamento Francia</t>
        </is>
      </c>
      <c r="B36" s="245" t="inlineStr">
        <is>
          <t>MAN_GDA-VZI_Base</t>
        </is>
      </c>
      <c r="C36" s="246" t="inlineStr">
        <is>
          <t>pdf</t>
        </is>
      </c>
      <c r="D36" s="247" t="n"/>
      <c r="E36" s="247" t="n"/>
      <c r="F36" s="221" t="n"/>
      <c r="G36" s="248" t="n"/>
      <c r="H36" s="247" t="n"/>
      <c r="I36" s="247" t="n"/>
      <c r="J36" s="221" t="inlineStr">
        <is>
          <t>ETR1000V300_FR-DC100002740</t>
        </is>
      </c>
      <c r="K36" s="249" t="inlineStr">
        <is>
          <t>03</t>
        </is>
      </c>
      <c r="L36" s="247" t="n"/>
      <c r="M36" s="247" t="n"/>
      <c r="N36" s="221" t="n"/>
      <c r="O36" s="248" t="n"/>
      <c r="P36" s="247" t="n"/>
      <c r="Q36" s="247" t="n"/>
      <c r="R36" s="221" t="n"/>
      <c r="S36" s="248"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worksheet>
</file>

<file path=xl/worksheets/sheet7.xml><?xml version="1.0" encoding="utf-8"?>
<worksheet xmlns="http://schemas.openxmlformats.org/spreadsheetml/2006/main">
  <sheetPr codeName="Foglio6">
    <tabColor theme="5" tint="0.3999755851924192"/>
    <outlinePr summaryBelow="1" summaryRight="1"/>
    <pageSetUpPr/>
  </sheetPr>
  <dimension ref="A1:AC79"/>
  <sheetViews>
    <sheetView zoomScale="70" zoomScaleNormal="70" workbookViewId="0">
      <selection activeCell="K17" sqref="K17"/>
    </sheetView>
  </sheetViews>
  <sheetFormatPr baseColWidth="8" defaultColWidth="8.7109375" defaultRowHeight="15"/>
  <cols>
    <col width="58.140625" bestFit="1" customWidth="1" style="8" min="1" max="1"/>
    <col width="20.7109375" bestFit="1" customWidth="1" style="9" min="2" max="2"/>
    <col width="8.140625" bestFit="1" customWidth="1" style="9" min="3" max="3"/>
    <col width="4.85546875" bestFit="1" customWidth="1" style="9" min="4" max="4"/>
    <col width="12.85546875" customWidth="1" style="9" min="5" max="5"/>
    <col width="32" bestFit="1" customWidth="1" style="9" min="6" max="6"/>
    <col width="27.85546875" bestFit="1" customWidth="1" style="9" min="7" max="7"/>
    <col width="4.140625" bestFit="1" customWidth="1" style="9" min="8" max="8"/>
    <col width="7.140625" bestFit="1" customWidth="1" style="9" min="9" max="9"/>
    <col width="32" bestFit="1" customWidth="1" style="9" min="10" max="10"/>
    <col width="27.85546875" bestFit="1" customWidth="1" style="9" min="11" max="11"/>
    <col width="4.140625" bestFit="1" customWidth="1" style="9" min="12" max="12"/>
    <col width="7.140625" bestFit="1" customWidth="1" style="9" min="13" max="13"/>
    <col width="26.85546875" customWidth="1" style="9" min="14" max="14"/>
    <col width="26.85546875" customWidth="1" style="8" min="15" max="15"/>
    <col width="4.42578125" bestFit="1" customWidth="1" style="9" min="16" max="16"/>
    <col width="7.42578125" bestFit="1" customWidth="1" style="290" min="17" max="17"/>
    <col width="23" bestFit="1" customWidth="1" style="9" min="18" max="18"/>
    <col width="25.7109375" bestFit="1" customWidth="1" style="9" min="19" max="19"/>
    <col width="4.42578125" bestFit="1" customWidth="1" style="9" min="20" max="20"/>
    <col width="6.85546875" bestFit="1" customWidth="1" style="290" min="21" max="21"/>
    <col width="25.7109375" bestFit="1" customWidth="1" style="9" min="22" max="22"/>
    <col width="28.42578125" bestFit="1" customWidth="1" style="9" min="23" max="23"/>
    <col width="16.140625" customWidth="1" style="9" min="24" max="25"/>
    <col width="23.5703125" bestFit="1" customWidth="1" style="9" min="26" max="26"/>
    <col width="26.42578125" bestFit="1" customWidth="1" style="9" min="27" max="27"/>
    <col width="4.42578125" bestFit="1" customWidth="1" style="9" min="28" max="28"/>
    <col width="8.85546875" bestFit="1" customWidth="1" style="290" min="29" max="29"/>
    <col width="8.7109375" customWidth="1" style="8" min="30" max="43"/>
    <col width="8.7109375" customWidth="1" style="8" min="44" max="16384"/>
  </cols>
  <sheetData>
    <row r="1" ht="29.45" customHeight="1" s="480">
      <c r="A1" s="436" t="inlineStr">
        <is>
          <t>DOC DESCRIPTION</t>
        </is>
      </c>
      <c r="B1" s="445" t="inlineStr">
        <is>
          <t>DOC ID</t>
        </is>
      </c>
      <c r="C1" s="445" t="inlineStr">
        <is>
          <t>DOC EXT</t>
        </is>
      </c>
      <c r="D1" s="451" t="inlineStr">
        <is>
          <t>TIPO</t>
        </is>
      </c>
      <c r="E1" s="451" t="inlineStr">
        <is>
          <t>VOLUME
SUBVOLUME
_TOMO</t>
        </is>
      </c>
      <c r="F1" s="447" t="inlineStr">
        <is>
          <t>VZI_Base</t>
        </is>
      </c>
      <c r="G1" s="448" t="n"/>
      <c r="H1" s="448" t="n"/>
      <c r="I1" s="449" t="n"/>
      <c r="J1" s="447" t="inlineStr">
        <is>
          <t>VZI_New14</t>
        </is>
      </c>
      <c r="K1" s="448" t="n"/>
      <c r="L1" s="448" t="n"/>
      <c r="M1" s="449" t="n"/>
      <c r="N1" s="450" t="inlineStr">
        <is>
          <t>VZ_FR</t>
        </is>
      </c>
      <c r="O1" s="448" t="n"/>
      <c r="P1" s="448" t="n"/>
      <c r="Q1" s="449" t="n"/>
      <c r="R1" s="450" t="inlineStr">
        <is>
          <t>VZ-ES</t>
        </is>
      </c>
      <c r="S1" s="448" t="n"/>
      <c r="T1" s="448" t="n"/>
      <c r="U1" s="449" t="n"/>
      <c r="V1" s="453" t="inlineStr">
        <is>
          <t>VZI-6_R1</t>
        </is>
      </c>
      <c r="W1" s="448" t="n"/>
      <c r="X1" s="448" t="n"/>
      <c r="Y1" s="449" t="n"/>
      <c r="Z1" s="453" t="inlineStr">
        <is>
          <t>VZI-4_R1</t>
        </is>
      </c>
      <c r="AA1" s="448" t="n"/>
      <c r="AB1" s="448" t="n"/>
      <c r="AC1" s="449" t="n"/>
    </row>
    <row r="2" ht="29.45" customHeight="1" s="480" thickBot="1">
      <c r="A2" s="438" t="n"/>
      <c r="B2" s="446" t="n"/>
      <c r="C2" s="446" t="n"/>
      <c r="D2" s="452" t="n"/>
      <c r="E2" s="452" t="n"/>
      <c r="F2" s="172" t="inlineStr">
        <is>
          <t>NOME FILE</t>
        </is>
      </c>
      <c r="G2" s="251" t="inlineStr">
        <is>
          <t>CODICE</t>
        </is>
      </c>
      <c r="H2" s="173" t="inlineStr">
        <is>
          <t>REV</t>
        </is>
      </c>
      <c r="I2" s="174" t="inlineStr">
        <is>
          <t>DATA</t>
        </is>
      </c>
      <c r="J2" s="172" t="inlineStr">
        <is>
          <t>NOME FILE</t>
        </is>
      </c>
      <c r="K2" s="251" t="inlineStr">
        <is>
          <t>CODICE</t>
        </is>
      </c>
      <c r="L2" s="173" t="inlineStr">
        <is>
          <t>REV</t>
        </is>
      </c>
      <c r="M2" s="174" t="inlineStr">
        <is>
          <t>DATA</t>
        </is>
      </c>
      <c r="N2" s="172" t="inlineStr">
        <is>
          <t>NOME FILE</t>
        </is>
      </c>
      <c r="O2" s="251" t="inlineStr">
        <is>
          <t>CODICE</t>
        </is>
      </c>
      <c r="P2" s="84" t="inlineStr">
        <is>
          <t>REV</t>
        </is>
      </c>
      <c r="Q2" s="85" t="inlineStr">
        <is>
          <t>DATA</t>
        </is>
      </c>
      <c r="R2" s="172" t="inlineStr">
        <is>
          <t>NOME FILE</t>
        </is>
      </c>
      <c r="S2" s="251" t="inlineStr">
        <is>
          <t>CODICE</t>
        </is>
      </c>
      <c r="T2" s="84" t="inlineStr">
        <is>
          <t>REV</t>
        </is>
      </c>
      <c r="U2" s="252" t="inlineStr">
        <is>
          <t>DATA</t>
        </is>
      </c>
      <c r="V2" s="172" t="inlineStr">
        <is>
          <t>NOME FILE</t>
        </is>
      </c>
      <c r="W2" s="251" t="inlineStr">
        <is>
          <t>CODICE</t>
        </is>
      </c>
      <c r="X2" s="84" t="inlineStr">
        <is>
          <t>REV</t>
        </is>
      </c>
      <c r="Y2" s="85" t="inlineStr">
        <is>
          <t>DATA</t>
        </is>
      </c>
      <c r="Z2" s="172" t="inlineStr">
        <is>
          <t>NOME FILE</t>
        </is>
      </c>
      <c r="AA2" s="251" t="inlineStr">
        <is>
          <t>CODICE</t>
        </is>
      </c>
      <c r="AB2" s="84" t="inlineStr">
        <is>
          <t>REV</t>
        </is>
      </c>
      <c r="AC2" s="252" t="inlineStr">
        <is>
          <t>DATA</t>
        </is>
      </c>
    </row>
    <row r="3">
      <c r="A3" s="253" t="inlineStr">
        <is>
          <t>Descrizione generale e funzionamento</t>
        </is>
      </c>
      <c r="B3" s="254">
        <f>CONCATENATE(D3,"_",E3)</f>
        <v/>
      </c>
      <c r="C3" s="254" t="inlineStr">
        <is>
          <t>pdf</t>
        </is>
      </c>
      <c r="D3" s="254" t="inlineStr">
        <is>
          <t>PBC</t>
        </is>
      </c>
      <c r="E3" s="254" t="inlineStr">
        <is>
          <t>01A</t>
        </is>
      </c>
      <c r="F3" s="190">
        <f>CONCATENATE("ETR1000V300-",$D3,"-",$E3)</f>
        <v/>
      </c>
      <c r="G3" s="255">
        <f>CONCATENATE(F3,"-",H3)</f>
        <v/>
      </c>
      <c r="H3" s="191" t="n">
        <v>14</v>
      </c>
      <c r="I3" s="192" t="n">
        <v>46113</v>
      </c>
      <c r="J3" s="190">
        <f>$F3</f>
        <v/>
      </c>
      <c r="K3" s="255">
        <f>$G3</f>
        <v/>
      </c>
      <c r="L3" s="191">
        <f>$H3</f>
        <v/>
      </c>
      <c r="M3" s="192">
        <f>$I3</f>
        <v/>
      </c>
      <c r="N3" s="256">
        <f>CONCATENATE("ETR1000V300_FR-",$D3,"-",$E3)</f>
        <v/>
      </c>
      <c r="O3" s="257">
        <f>CONCATENATE(N3,"-",P3)</f>
        <v/>
      </c>
      <c r="P3" s="258" t="inlineStr">
        <is>
          <t>03</t>
        </is>
      </c>
      <c r="Q3" s="259" t="n">
        <v>43922</v>
      </c>
      <c r="R3" s="260">
        <f>CONCATENATE("ETR1000V300_ES-",$D3,"-",$E3)</f>
        <v/>
      </c>
      <c r="S3" s="261">
        <f>CONCATENATE(R3,"-",T3)</f>
        <v/>
      </c>
      <c r="T3" s="258" t="inlineStr">
        <is>
          <t>03</t>
        </is>
      </c>
      <c r="U3" s="262" t="n">
        <v>45566</v>
      </c>
      <c r="V3" s="260">
        <f>CONCATENATE("ETR1000V300_R1-",$D3,"-",$E3)</f>
        <v/>
      </c>
      <c r="W3" s="261">
        <f>CONCATENATE(V3,"-",X3)</f>
        <v/>
      </c>
      <c r="X3" s="258" t="inlineStr">
        <is>
          <t>06</t>
        </is>
      </c>
      <c r="Y3" s="262" t="n">
        <v>45870</v>
      </c>
      <c r="Z3" s="263">
        <f>V3</f>
        <v/>
      </c>
      <c r="AA3" s="258">
        <f>W3</f>
        <v/>
      </c>
      <c r="AB3" s="258">
        <f>X3</f>
        <v/>
      </c>
      <c r="AC3" s="264">
        <f>Y3</f>
        <v/>
      </c>
    </row>
    <row r="4">
      <c r="A4" s="265" t="inlineStr">
        <is>
          <t>Norme d’Uso ed Interventi di Emergenza</t>
        </is>
      </c>
      <c r="B4" s="233">
        <f>CONCATENATE(D4,"_",E4)</f>
        <v/>
      </c>
      <c r="C4" s="254" t="inlineStr">
        <is>
          <t>pdf</t>
        </is>
      </c>
      <c r="D4" s="233" t="inlineStr">
        <is>
          <t>PBC</t>
        </is>
      </c>
      <c r="E4" s="233" t="inlineStr">
        <is>
          <t>01B</t>
        </is>
      </c>
      <c r="F4" s="193">
        <f>CONCATENATE("ETR1000V300-",$D4,"-",$E4)</f>
        <v/>
      </c>
      <c r="G4" s="266">
        <f>CONCATENATE(F4,"-",H4)</f>
        <v/>
      </c>
      <c r="H4" s="194" t="n">
        <v>14</v>
      </c>
      <c r="I4" s="195" t="n">
        <v>45748</v>
      </c>
      <c r="J4" s="193">
        <f>$F4</f>
        <v/>
      </c>
      <c r="K4" s="266">
        <f>$G4</f>
        <v/>
      </c>
      <c r="L4" s="194">
        <f>$H4</f>
        <v/>
      </c>
      <c r="M4" s="195">
        <f>$I4</f>
        <v/>
      </c>
      <c r="N4" s="260">
        <f>CONCATENATE("ETR1000V300_FR-",$D4,"-",$E4)</f>
        <v/>
      </c>
      <c r="O4" s="261">
        <f>CONCATENATE(N4,"-",P4)</f>
        <v/>
      </c>
      <c r="P4" s="235" t="inlineStr">
        <is>
          <t>03</t>
        </is>
      </c>
      <c r="Q4" s="262" t="n">
        <v>43922</v>
      </c>
      <c r="R4" s="260">
        <f>CONCATENATE("ETR1000V300_ES-",$D4,"-",$E4)</f>
        <v/>
      </c>
      <c r="S4" s="235">
        <f>CONCATENATE(R4,"-",T4)</f>
        <v/>
      </c>
      <c r="T4" s="235" t="inlineStr">
        <is>
          <t>03</t>
        </is>
      </c>
      <c r="U4" s="262" t="n">
        <v>45566</v>
      </c>
      <c r="V4" s="260">
        <f>CONCATENATE("ETR1000V300_R1-",$D4,"-",$E4)</f>
        <v/>
      </c>
      <c r="W4" s="261">
        <f>CONCATENATE(V4,"-",X4)</f>
        <v/>
      </c>
      <c r="X4" s="267" t="inlineStr">
        <is>
          <t>09</t>
        </is>
      </c>
      <c r="Y4" s="262" t="n">
        <v>45870</v>
      </c>
      <c r="Z4" s="268">
        <f>V4</f>
        <v/>
      </c>
      <c r="AA4" s="267">
        <f>W4</f>
        <v/>
      </c>
      <c r="AB4" s="267">
        <f>X4</f>
        <v/>
      </c>
      <c r="AC4" s="269">
        <f>Y4</f>
        <v/>
      </c>
    </row>
    <row r="5">
      <c r="A5" s="270" t="inlineStr">
        <is>
          <t>Manuale per il Personale di Bordo addetto alla Scorta</t>
        </is>
      </c>
      <c r="B5" s="233">
        <f>CONCATENATE(D5,"_",E5)</f>
        <v/>
      </c>
      <c r="C5" s="254" t="inlineStr">
        <is>
          <t>pdf</t>
        </is>
      </c>
      <c r="D5" s="233" t="inlineStr">
        <is>
          <t>PBS</t>
        </is>
      </c>
      <c r="E5" s="233" t="inlineStr">
        <is>
          <t>01A</t>
        </is>
      </c>
      <c r="F5" s="193">
        <f>CONCATENATE("ETR1000V300-",$D5,"-",$E5)</f>
        <v/>
      </c>
      <c r="G5" s="266">
        <f>CONCATENATE(F5,"-",H5)</f>
        <v/>
      </c>
      <c r="H5" s="197" t="inlineStr">
        <is>
          <t>04</t>
        </is>
      </c>
      <c r="I5" s="195" t="n">
        <v>45748</v>
      </c>
      <c r="J5" s="193">
        <f>$F5</f>
        <v/>
      </c>
      <c r="K5" s="266">
        <f>$G5</f>
        <v/>
      </c>
      <c r="L5" s="197">
        <f>$H5</f>
        <v/>
      </c>
      <c r="M5" s="195">
        <f>$I5</f>
        <v/>
      </c>
      <c r="N5" s="260">
        <f>CONCATENATE("ETR1000V300_FR-",$D5,"-",$E5)</f>
        <v/>
      </c>
      <c r="O5" s="261">
        <f>CONCATENATE(N5,"-",P5)</f>
        <v/>
      </c>
      <c r="P5" s="267" t="inlineStr">
        <is>
          <t>01</t>
        </is>
      </c>
      <c r="Q5" s="262" t="n">
        <v>43922</v>
      </c>
      <c r="R5" s="260">
        <f>CONCATENATE("ETR1000V300_ES-",$D5,"-",$E5)</f>
        <v/>
      </c>
      <c r="S5" s="235">
        <f>CONCATENATE(R5,"-",T5)</f>
        <v/>
      </c>
      <c r="T5" s="235" t="inlineStr">
        <is>
          <t>03</t>
        </is>
      </c>
      <c r="U5" s="262" t="n">
        <v>45566</v>
      </c>
      <c r="V5" s="260">
        <f>CONCATENATE("ETR1000V300_R1-",$D5,"-",$E5)</f>
        <v/>
      </c>
      <c r="W5" s="261">
        <f>CONCATENATE(V5,"-",X5)</f>
        <v/>
      </c>
      <c r="X5" s="267" t="inlineStr">
        <is>
          <t>03</t>
        </is>
      </c>
      <c r="Y5" s="262" t="n">
        <v>45901</v>
      </c>
      <c r="Z5" s="268">
        <f>V5</f>
        <v/>
      </c>
      <c r="AA5" s="267">
        <f>W5</f>
        <v/>
      </c>
      <c r="AB5" s="267">
        <f>X5</f>
        <v/>
      </c>
      <c r="AC5" s="269">
        <f>Y5</f>
        <v/>
      </c>
    </row>
    <row r="6">
      <c r="A6" s="270" t="inlineStr">
        <is>
          <t>Cassa</t>
        </is>
      </c>
      <c r="B6" s="233">
        <f>CONCATENATE(D6,"_",E6)</f>
        <v/>
      </c>
      <c r="C6" s="254" t="inlineStr">
        <is>
          <t>pdf</t>
        </is>
      </c>
      <c r="D6" s="233" t="inlineStr">
        <is>
          <t>MR1</t>
        </is>
      </c>
      <c r="E6" s="271" t="inlineStr">
        <is>
          <t>01A</t>
        </is>
      </c>
      <c r="F6" s="193">
        <f>CONCATENATE("ETR1000V300-",$D6,"-",$E6)</f>
        <v/>
      </c>
      <c r="G6" s="266">
        <f>CONCATENATE(F6,"-",H6)</f>
        <v/>
      </c>
      <c r="H6" s="203" t="inlineStr">
        <is>
          <t>08</t>
        </is>
      </c>
      <c r="I6" s="204" t="n">
        <v>46113</v>
      </c>
      <c r="J6" s="193">
        <f>$F6</f>
        <v/>
      </c>
      <c r="K6" s="266">
        <f>$G6</f>
        <v/>
      </c>
      <c r="L6" s="203">
        <f>$H6</f>
        <v/>
      </c>
      <c r="M6" s="204">
        <f>$I6</f>
        <v/>
      </c>
      <c r="N6" s="272">
        <f>CONCATENATE("ETR1000V300_FR-",$D6,"-",$E6)</f>
        <v/>
      </c>
      <c r="O6" s="261">
        <f>CONCATENATE(N6,"-",P6)</f>
        <v/>
      </c>
      <c r="P6" s="267" t="inlineStr">
        <is>
          <t>01</t>
        </is>
      </c>
      <c r="Q6" s="262" t="n">
        <v>44105</v>
      </c>
      <c r="R6" s="273" t="inlineStr">
        <is>
          <t>TBD</t>
        </is>
      </c>
      <c r="S6" s="274" t="n"/>
      <c r="T6" s="274" t="n"/>
      <c r="U6" s="275" t="n"/>
      <c r="V6" s="260">
        <f>CONCATENATE("ETR1000V300_R1-",$D6,"-",$E6)</f>
        <v/>
      </c>
      <c r="W6" s="261">
        <f>CONCATENATE(V6,"-",X6)</f>
        <v/>
      </c>
      <c r="X6" s="267" t="inlineStr">
        <is>
          <t>05</t>
        </is>
      </c>
      <c r="Y6" s="276" t="inlineStr">
        <is>
          <t>gen-2026</t>
        </is>
      </c>
      <c r="Z6" s="268">
        <f>V6</f>
        <v/>
      </c>
      <c r="AA6" s="267">
        <f>W6</f>
        <v/>
      </c>
      <c r="AB6" s="267">
        <f>X6</f>
        <v/>
      </c>
      <c r="AC6" s="269">
        <f>Y6</f>
        <v/>
      </c>
    </row>
    <row r="7">
      <c r="A7" s="270" t="inlineStr">
        <is>
          <t>Carrello</t>
        </is>
      </c>
      <c r="B7" s="233">
        <f>CONCATENATE(D7,"_",E7)</f>
        <v/>
      </c>
      <c r="C7" s="254" t="inlineStr">
        <is>
          <t>pdf</t>
        </is>
      </c>
      <c r="D7" s="233" t="inlineStr">
        <is>
          <t>MR1</t>
        </is>
      </c>
      <c r="E7" s="233" t="inlineStr">
        <is>
          <t>02A</t>
        </is>
      </c>
      <c r="F7" s="193">
        <f>CONCATENATE("ETR1000V300-",$D7,"-",$E7)</f>
        <v/>
      </c>
      <c r="G7" s="266">
        <f>CONCATENATE(F7,"-",H7)</f>
        <v/>
      </c>
      <c r="H7" s="205" t="n">
        <v>14</v>
      </c>
      <c r="I7" s="204" t="n">
        <v>46113</v>
      </c>
      <c r="J7" s="193">
        <f>$F7</f>
        <v/>
      </c>
      <c r="K7" s="266">
        <f>$G7</f>
        <v/>
      </c>
      <c r="L7" s="205">
        <f>$H7</f>
        <v/>
      </c>
      <c r="M7" s="204">
        <f>$I7</f>
        <v/>
      </c>
      <c r="N7" s="272">
        <f>CONCATENATE("ETR1000V300_FR-",$D7,"-",$E7)</f>
        <v/>
      </c>
      <c r="O7" s="261">
        <f>CONCATENATE(N7,"-",P7)</f>
        <v/>
      </c>
      <c r="P7" s="267" t="inlineStr">
        <is>
          <t>02</t>
        </is>
      </c>
      <c r="Q7" s="262" t="n">
        <v>44713</v>
      </c>
      <c r="R7" s="260" t="n"/>
      <c r="S7" s="235" t="n"/>
      <c r="T7" s="235" t="n"/>
      <c r="U7" s="262" t="n"/>
      <c r="V7" s="260">
        <f>CONCATENATE("ETR1000V300_R1-",$D7,"-",$E7)</f>
        <v/>
      </c>
      <c r="W7" s="261">
        <f>CONCATENATE(V7,"-",X7)</f>
        <v/>
      </c>
      <c r="X7" s="267" t="inlineStr">
        <is>
          <t>08</t>
        </is>
      </c>
      <c r="Y7" s="276" t="inlineStr">
        <is>
          <t>gen-2026</t>
        </is>
      </c>
      <c r="Z7" s="268">
        <f>V7</f>
        <v/>
      </c>
      <c r="AA7" s="267">
        <f>W7</f>
        <v/>
      </c>
      <c r="AB7" s="267">
        <f>X7</f>
        <v/>
      </c>
      <c r="AC7" s="269">
        <f>Y7</f>
        <v/>
      </c>
    </row>
    <row r="8">
      <c r="A8" s="270" t="inlineStr">
        <is>
          <t>Impianto pneumatico e freno</t>
        </is>
      </c>
      <c r="B8" s="233">
        <f>CONCATENATE(D8,"_",E8)</f>
        <v/>
      </c>
      <c r="C8" s="254" t="inlineStr">
        <is>
          <t>pdf</t>
        </is>
      </c>
      <c r="D8" s="233" t="inlineStr">
        <is>
          <t>MR1</t>
        </is>
      </c>
      <c r="E8" s="233" t="inlineStr">
        <is>
          <t>03A</t>
        </is>
      </c>
      <c r="F8" s="193">
        <f>CONCATENATE("ETR1000V300-",$D8,"-",$E8)</f>
        <v/>
      </c>
      <c r="G8" s="266">
        <f>CONCATENATE(F8,"-",H8)</f>
        <v/>
      </c>
      <c r="H8" s="203" t="inlineStr">
        <is>
          <t>09</t>
        </is>
      </c>
      <c r="I8" s="204" t="n">
        <v>46113</v>
      </c>
      <c r="J8" s="193">
        <f>$F8</f>
        <v/>
      </c>
      <c r="K8" s="266">
        <f>$G8</f>
        <v/>
      </c>
      <c r="L8" s="203">
        <f>$H8</f>
        <v/>
      </c>
      <c r="M8" s="204">
        <f>$I8</f>
        <v/>
      </c>
      <c r="N8" s="272">
        <f>CONCATENATE("ETR1000V300_FR-",$D8,"-",$E8)</f>
        <v/>
      </c>
      <c r="O8" s="261">
        <f>CONCATENATE(N8,"-",P8)</f>
        <v/>
      </c>
      <c r="P8" s="267" t="inlineStr">
        <is>
          <t>02</t>
        </is>
      </c>
      <c r="Q8" s="262" t="n">
        <v>44713</v>
      </c>
      <c r="R8" s="260" t="n"/>
      <c r="S8" s="235" t="n"/>
      <c r="T8" s="235" t="n"/>
      <c r="U8" s="262" t="n"/>
      <c r="V8" s="260">
        <f>CONCATENATE("ETR1000V300_R1-",$D8,"-",$E8)</f>
        <v/>
      </c>
      <c r="W8" s="261">
        <f>CONCATENATE(V8,"-",X8)</f>
        <v/>
      </c>
      <c r="X8" s="267" t="inlineStr">
        <is>
          <t>04</t>
        </is>
      </c>
      <c r="Y8" s="262" t="n">
        <v>45992</v>
      </c>
      <c r="Z8" s="268">
        <f>V8</f>
        <v/>
      </c>
      <c r="AA8" s="267">
        <f>W8</f>
        <v/>
      </c>
      <c r="AB8" s="267">
        <f>X8</f>
        <v/>
      </c>
      <c r="AC8" s="269">
        <f>Y8</f>
        <v/>
      </c>
    </row>
    <row r="9">
      <c r="A9" s="270" t="inlineStr">
        <is>
          <t>Equipaggiamento elettrico ed elettropneumatico</t>
        </is>
      </c>
      <c r="B9" s="233">
        <f>CONCATENATE(D9,"_",E9)</f>
        <v/>
      </c>
      <c r="C9" s="254" t="inlineStr">
        <is>
          <t>pdf</t>
        </is>
      </c>
      <c r="D9" s="233" t="inlineStr">
        <is>
          <t>MR1</t>
        </is>
      </c>
      <c r="E9" s="271" t="inlineStr">
        <is>
          <t>04A</t>
        </is>
      </c>
      <c r="F9" s="193">
        <f>CONCATENATE("ETR1000V300-",$D9,"-",$E9)</f>
        <v/>
      </c>
      <c r="G9" s="266">
        <f>CONCATENATE(F9,"-",H9)</f>
        <v/>
      </c>
      <c r="H9" s="203" t="n">
        <v>10</v>
      </c>
      <c r="I9" s="204" t="n">
        <v>46113</v>
      </c>
      <c r="J9" s="193">
        <f>$F9</f>
        <v/>
      </c>
      <c r="K9" s="266">
        <f>$G9</f>
        <v/>
      </c>
      <c r="L9" s="203">
        <f>$H9</f>
        <v/>
      </c>
      <c r="M9" s="204">
        <f>$I9</f>
        <v/>
      </c>
      <c r="N9" s="272">
        <f>CONCATENATE("ETR1000V300_FR-",$D9,"-",$E9)</f>
        <v/>
      </c>
      <c r="O9" s="261">
        <f>CONCATENATE(N9,"-",P9)</f>
        <v/>
      </c>
      <c r="P9" s="267" t="inlineStr">
        <is>
          <t>05</t>
        </is>
      </c>
      <c r="Q9" s="262" t="n">
        <v>45931</v>
      </c>
      <c r="R9" s="260" t="n"/>
      <c r="S9" s="235" t="n"/>
      <c r="T9" s="235" t="n"/>
      <c r="U9" s="262" t="n"/>
      <c r="V9" s="260">
        <f>CONCATENATE("ETR1000V300_R1-",$D9,"-",$E9)</f>
        <v/>
      </c>
      <c r="W9" s="261">
        <f>CONCATENATE(V9,"-",X9)</f>
        <v/>
      </c>
      <c r="X9" s="267" t="inlineStr">
        <is>
          <t>05</t>
        </is>
      </c>
      <c r="Y9" s="276" t="inlineStr">
        <is>
          <t>gen-2026</t>
        </is>
      </c>
      <c r="Z9" s="268">
        <f>V9</f>
        <v/>
      </c>
      <c r="AA9" s="267">
        <f>W9</f>
        <v/>
      </c>
      <c r="AB9" s="267">
        <f>X9</f>
        <v/>
      </c>
      <c r="AC9" s="269">
        <f>Y9</f>
        <v/>
      </c>
    </row>
    <row r="10">
      <c r="A10" s="270" t="inlineStr">
        <is>
          <t>Logica di comando</t>
        </is>
      </c>
      <c r="B10" s="233">
        <f>CONCATENATE(D10,"_",E10)</f>
        <v/>
      </c>
      <c r="C10" s="254" t="inlineStr">
        <is>
          <t>pdf</t>
        </is>
      </c>
      <c r="D10" s="233" t="inlineStr">
        <is>
          <t>MR1</t>
        </is>
      </c>
      <c r="E10" s="233" t="inlineStr">
        <is>
          <t>05A</t>
        </is>
      </c>
      <c r="F10" s="193">
        <f>CONCATENATE("ETR1000V300-",$D10,"-",$E10)</f>
        <v/>
      </c>
      <c r="G10" s="266">
        <f>CONCATENATE(F10,"-",H10)</f>
        <v/>
      </c>
      <c r="H10" s="203" t="inlineStr">
        <is>
          <t>04</t>
        </is>
      </c>
      <c r="I10" s="204" t="n">
        <v>46113</v>
      </c>
      <c r="J10" s="193">
        <f>$F10</f>
        <v/>
      </c>
      <c r="K10" s="266">
        <f>$G10</f>
        <v/>
      </c>
      <c r="L10" s="203">
        <f>$H10</f>
        <v/>
      </c>
      <c r="M10" s="204">
        <f>$I10</f>
        <v/>
      </c>
      <c r="N10" s="260">
        <f>$F10</f>
        <v/>
      </c>
      <c r="O10" s="261">
        <f>$G10</f>
        <v/>
      </c>
      <c r="P10" s="235">
        <f>$H10</f>
        <v/>
      </c>
      <c r="Q10" s="277">
        <f>$I10</f>
        <v/>
      </c>
      <c r="R10" s="260" t="n"/>
      <c r="S10" s="235" t="n"/>
      <c r="T10" s="235" t="n"/>
      <c r="U10" s="262" t="n"/>
      <c r="V10" s="260">
        <f>CONCATENATE("ETR1000V300_R1-",$D10,"-",$E10)</f>
        <v/>
      </c>
      <c r="W10" s="261">
        <f>CONCATENATE(V10,"-",X10)</f>
        <v/>
      </c>
      <c r="X10" s="267" t="inlineStr">
        <is>
          <t>03</t>
        </is>
      </c>
      <c r="Y10" s="262" t="n">
        <v>45931</v>
      </c>
      <c r="Z10" s="268">
        <f>V10</f>
        <v/>
      </c>
      <c r="AA10" s="267">
        <f>W10</f>
        <v/>
      </c>
      <c r="AB10" s="267">
        <f>X10</f>
        <v/>
      </c>
      <c r="AC10" s="269">
        <f>Y10</f>
        <v/>
      </c>
    </row>
    <row r="11">
      <c r="A11" s="270" t="inlineStr">
        <is>
          <t>Logica di comando - Nodo TCN</t>
        </is>
      </c>
      <c r="B11" s="233">
        <f>CONCATENATE(D11,"_",E11)</f>
        <v/>
      </c>
      <c r="C11" s="254" t="inlineStr">
        <is>
          <t>pdf</t>
        </is>
      </c>
      <c r="D11" s="233" t="inlineStr">
        <is>
          <t>MR1</t>
        </is>
      </c>
      <c r="E11" s="233" t="inlineStr">
        <is>
          <t>05B</t>
        </is>
      </c>
      <c r="F11" s="193">
        <f>CONCATENATE("ETR1000V300-",$D11,"-",$E11)</f>
        <v/>
      </c>
      <c r="G11" s="266">
        <f>CONCATENATE(F11,"-",H11)</f>
        <v/>
      </c>
      <c r="H11" s="197" t="inlineStr">
        <is>
          <t>02</t>
        </is>
      </c>
      <c r="I11" s="196" t="inlineStr">
        <is>
          <t>giu-17</t>
        </is>
      </c>
      <c r="J11" s="193">
        <f>$F11</f>
        <v/>
      </c>
      <c r="K11" s="266">
        <f>$G11</f>
        <v/>
      </c>
      <c r="L11" s="197">
        <f>$H11</f>
        <v/>
      </c>
      <c r="M11" s="196">
        <f>$I11</f>
        <v/>
      </c>
      <c r="N11" s="260">
        <f>$F11</f>
        <v/>
      </c>
      <c r="O11" s="261">
        <f>$G11</f>
        <v/>
      </c>
      <c r="P11" s="235">
        <f>$H11</f>
        <v/>
      </c>
      <c r="Q11" s="262">
        <f>$I11</f>
        <v/>
      </c>
      <c r="R11" s="260" t="n"/>
      <c r="S11" s="235" t="n"/>
      <c r="T11" s="235" t="n"/>
      <c r="U11" s="262" t="n"/>
      <c r="V11" s="260" t="inlineStr">
        <is>
          <t>\</t>
        </is>
      </c>
      <c r="W11" s="261" t="inlineStr">
        <is>
          <t>\</t>
        </is>
      </c>
      <c r="X11" s="267" t="inlineStr">
        <is>
          <t>\</t>
        </is>
      </c>
      <c r="Y11" s="262" t="inlineStr">
        <is>
          <t>\</t>
        </is>
      </c>
      <c r="Z11" s="268">
        <f>V11</f>
        <v/>
      </c>
      <c r="AA11" s="267">
        <f>W11</f>
        <v/>
      </c>
      <c r="AB11" s="267">
        <f>X11</f>
        <v/>
      </c>
      <c r="AC11" s="269">
        <f>Y11</f>
        <v/>
      </c>
    </row>
    <row r="12">
      <c r="A12" s="270" t="inlineStr">
        <is>
          <t>Azionamento di trazione</t>
        </is>
      </c>
      <c r="B12" s="233">
        <f>CONCATENATE(D12,"_",E12)</f>
        <v/>
      </c>
      <c r="C12" s="254" t="inlineStr">
        <is>
          <t>pdf</t>
        </is>
      </c>
      <c r="D12" s="233" t="inlineStr">
        <is>
          <t>MR1</t>
        </is>
      </c>
      <c r="E12" s="233" t="inlineStr">
        <is>
          <t>06A</t>
        </is>
      </c>
      <c r="F12" s="193">
        <f>CONCATENATE("ETR1000V300-",$D12,"-",$E12)</f>
        <v/>
      </c>
      <c r="G12" s="266">
        <f>CONCATENATE(F12,"-",H12)</f>
        <v/>
      </c>
      <c r="H12" s="203" t="inlineStr">
        <is>
          <t>05</t>
        </is>
      </c>
      <c r="I12" s="204" t="n">
        <v>46113</v>
      </c>
      <c r="J12" s="193">
        <f>$F12</f>
        <v/>
      </c>
      <c r="K12" s="266">
        <f>$G12</f>
        <v/>
      </c>
      <c r="L12" s="203">
        <f>$H12</f>
        <v/>
      </c>
      <c r="M12" s="204">
        <f>$I12</f>
        <v/>
      </c>
      <c r="N12" s="260">
        <f>$F12</f>
        <v/>
      </c>
      <c r="O12" s="235">
        <f>$G12</f>
        <v/>
      </c>
      <c r="P12" s="235">
        <f>$H12</f>
        <v/>
      </c>
      <c r="Q12" s="262">
        <f>$I12</f>
        <v/>
      </c>
      <c r="R12" s="260" t="n"/>
      <c r="S12" s="235" t="n"/>
      <c r="T12" s="235" t="n"/>
      <c r="U12" s="262" t="n"/>
      <c r="V12" s="260">
        <f>CONCATENATE("ETR1000V300_R1-",$D12,"-",$E12)</f>
        <v/>
      </c>
      <c r="W12" s="261">
        <f>CONCATENATE(V12,"-",X12)</f>
        <v/>
      </c>
      <c r="X12" s="267" t="inlineStr">
        <is>
          <t>04</t>
        </is>
      </c>
      <c r="Y12" s="262" t="n">
        <v>45992</v>
      </c>
      <c r="Z12" s="268">
        <f>V12</f>
        <v/>
      </c>
      <c r="AA12" s="267">
        <f>W12</f>
        <v/>
      </c>
      <c r="AB12" s="267">
        <f>X12</f>
        <v/>
      </c>
      <c r="AC12" s="269">
        <f>Y12</f>
        <v/>
      </c>
    </row>
    <row r="13">
      <c r="A13" s="270" t="inlineStr">
        <is>
          <t>Motore di trazione</t>
        </is>
      </c>
      <c r="B13" s="233">
        <f>CONCATENATE(D13,"_",E13)</f>
        <v/>
      </c>
      <c r="C13" s="254" t="inlineStr">
        <is>
          <t>pdf</t>
        </is>
      </c>
      <c r="D13" s="233" t="inlineStr">
        <is>
          <t>MR1</t>
        </is>
      </c>
      <c r="E13" s="233" t="inlineStr">
        <is>
          <t>07A</t>
        </is>
      </c>
      <c r="F13" s="193">
        <f>CONCATENATE("ETR1000V300-",$D13,"-",$E13)</f>
        <v/>
      </c>
      <c r="G13" s="266">
        <f>CONCATENATE(F13,"-",H13)</f>
        <v/>
      </c>
      <c r="H13" s="203" t="inlineStr">
        <is>
          <t>07</t>
        </is>
      </c>
      <c r="I13" s="204" t="n">
        <v>46113</v>
      </c>
      <c r="J13" s="193">
        <f>$F13</f>
        <v/>
      </c>
      <c r="K13" s="266">
        <f>$G13</f>
        <v/>
      </c>
      <c r="L13" s="203">
        <f>$H13</f>
        <v/>
      </c>
      <c r="M13" s="204">
        <f>$I13</f>
        <v/>
      </c>
      <c r="N13" s="260">
        <f>$F13</f>
        <v/>
      </c>
      <c r="O13" s="235">
        <f>$G13</f>
        <v/>
      </c>
      <c r="P13" s="235">
        <f>$H13</f>
        <v/>
      </c>
      <c r="Q13" s="262">
        <f>$I13</f>
        <v/>
      </c>
      <c r="R13" s="260" t="n"/>
      <c r="S13" s="235" t="n"/>
      <c r="T13" s="235" t="n"/>
      <c r="U13" s="262" t="n"/>
      <c r="V13" s="260">
        <f>CONCATENATE("ETR1000V300_R1-",$D13,"-",$E13)</f>
        <v/>
      </c>
      <c r="W13" s="261">
        <f>CONCATENATE(V13,"-",X13)</f>
        <v/>
      </c>
      <c r="X13" s="267" t="inlineStr">
        <is>
          <t>04</t>
        </is>
      </c>
      <c r="Y13" s="262" t="n">
        <v>45931</v>
      </c>
      <c r="Z13" s="268">
        <f>V13</f>
        <v/>
      </c>
      <c r="AA13" s="267">
        <f>W13</f>
        <v/>
      </c>
      <c r="AB13" s="267">
        <f>X13</f>
        <v/>
      </c>
      <c r="AC13" s="269">
        <f>Y13</f>
        <v/>
      </c>
    </row>
    <row r="14">
      <c r="A14" s="270" t="inlineStr">
        <is>
          <t>Passaggi esterni</t>
        </is>
      </c>
      <c r="B14" s="233">
        <f>CONCATENATE(D14,"_",E14)</f>
        <v/>
      </c>
      <c r="C14" s="254" t="inlineStr">
        <is>
          <t>pdf</t>
        </is>
      </c>
      <c r="D14" s="233" t="inlineStr">
        <is>
          <t>MR1</t>
        </is>
      </c>
      <c r="E14" s="271" t="inlineStr">
        <is>
          <t>08A</t>
        </is>
      </c>
      <c r="F14" s="193">
        <f>CONCATENATE("ETR1000V300-",$D14,"-",$E14)</f>
        <v/>
      </c>
      <c r="G14" s="266">
        <f>CONCATENATE(F14,"-",H14)</f>
        <v/>
      </c>
      <c r="H14" s="203" t="inlineStr">
        <is>
          <t>05</t>
        </is>
      </c>
      <c r="I14" s="204" t="n">
        <v>46113</v>
      </c>
      <c r="J14" s="193">
        <f>$F14</f>
        <v/>
      </c>
      <c r="K14" s="266">
        <f>$G14</f>
        <v/>
      </c>
      <c r="L14" s="203">
        <f>$H14</f>
        <v/>
      </c>
      <c r="M14" s="204">
        <f>$I14</f>
        <v/>
      </c>
      <c r="N14" s="260">
        <f>$F14</f>
        <v/>
      </c>
      <c r="O14" s="235">
        <f>$G14</f>
        <v/>
      </c>
      <c r="P14" s="235">
        <f>$H14</f>
        <v/>
      </c>
      <c r="Q14" s="262">
        <f>$I14</f>
        <v/>
      </c>
      <c r="R14" s="260" t="n"/>
      <c r="S14" s="235" t="n"/>
      <c r="T14" s="235" t="n"/>
      <c r="U14" s="262" t="n"/>
      <c r="V14" s="260">
        <f>CONCATENATE("ETR1000V300_R1-",$D14,"-",$E14)</f>
        <v/>
      </c>
      <c r="W14" s="261">
        <f>CONCATENATE(V14,"-",X14)</f>
        <v/>
      </c>
      <c r="X14" s="267" t="inlineStr">
        <is>
          <t>04</t>
        </is>
      </c>
      <c r="Y14" s="262" t="n">
        <v>45931</v>
      </c>
      <c r="Z14" s="268">
        <f>V14</f>
        <v/>
      </c>
      <c r="AA14" s="267">
        <f>W14</f>
        <v/>
      </c>
      <c r="AB14" s="267">
        <f>X14</f>
        <v/>
      </c>
      <c r="AC14" s="269">
        <f>Y14</f>
        <v/>
      </c>
    </row>
    <row r="15">
      <c r="A15" s="270" t="inlineStr">
        <is>
          <t>Sottosistema di climatizzazione</t>
        </is>
      </c>
      <c r="B15" s="233">
        <f>CONCATENATE(D15,"_",E15)</f>
        <v/>
      </c>
      <c r="C15" s="254" t="inlineStr">
        <is>
          <t>pdf</t>
        </is>
      </c>
      <c r="D15" s="233" t="inlineStr">
        <is>
          <t>MR1</t>
        </is>
      </c>
      <c r="E15" s="233" t="inlineStr">
        <is>
          <t>09A</t>
        </is>
      </c>
      <c r="F15" s="193">
        <f>CONCATENATE("ETR1000V300-",$D15,"-",$E15)</f>
        <v/>
      </c>
      <c r="G15" s="266">
        <f>CONCATENATE(F15,"-",H15)</f>
        <v/>
      </c>
      <c r="H15" s="203" t="inlineStr">
        <is>
          <t>05</t>
        </is>
      </c>
      <c r="I15" s="204" t="n">
        <v>46113</v>
      </c>
      <c r="J15" s="193">
        <f>$F15</f>
        <v/>
      </c>
      <c r="K15" s="266">
        <f>$G15</f>
        <v/>
      </c>
      <c r="L15" s="203">
        <f>$H15</f>
        <v/>
      </c>
      <c r="M15" s="204">
        <f>$I15</f>
        <v/>
      </c>
      <c r="N15" s="260">
        <f>$F15</f>
        <v/>
      </c>
      <c r="O15" s="235">
        <f>$G15</f>
        <v/>
      </c>
      <c r="P15" s="235">
        <f>$H15</f>
        <v/>
      </c>
      <c r="Q15" s="262">
        <f>$I15</f>
        <v/>
      </c>
      <c r="R15" s="260" t="n"/>
      <c r="S15" s="235" t="n"/>
      <c r="T15" s="235" t="n"/>
      <c r="U15" s="262" t="n"/>
      <c r="V15" s="260">
        <f>CONCATENATE("ETR1000V300_R1-",$D15,"-",$E15)</f>
        <v/>
      </c>
      <c r="W15" s="261">
        <f>CONCATENATE(V15,"-",X15)</f>
        <v/>
      </c>
      <c r="X15" s="267" t="inlineStr">
        <is>
          <t>04</t>
        </is>
      </c>
      <c r="Y15" s="262" t="n">
        <v>45931</v>
      </c>
      <c r="Z15" s="268">
        <f>V15</f>
        <v/>
      </c>
      <c r="AA15" s="267">
        <f>W15</f>
        <v/>
      </c>
      <c r="AB15" s="267">
        <f>X15</f>
        <v/>
      </c>
      <c r="AC15" s="269">
        <f>Y15</f>
        <v/>
      </c>
    </row>
    <row r="16">
      <c r="A16" s="270" t="inlineStr">
        <is>
          <t>Sottosistema di comunicazione</t>
        </is>
      </c>
      <c r="B16" s="233">
        <f>CONCATENATE(D16,"_",E16)</f>
        <v/>
      </c>
      <c r="C16" s="254" t="inlineStr">
        <is>
          <t>pdf</t>
        </is>
      </c>
      <c r="D16" s="233" t="inlineStr">
        <is>
          <t>MR1</t>
        </is>
      </c>
      <c r="E16" s="233" t="inlineStr">
        <is>
          <t>10A</t>
        </is>
      </c>
      <c r="F16" s="193">
        <f>CONCATENATE("ETR1000V300-",$D16,"-",$E16)</f>
        <v/>
      </c>
      <c r="G16" s="266">
        <f>CONCATENATE(F16,"-",H16)</f>
        <v/>
      </c>
      <c r="H16" s="203" t="inlineStr">
        <is>
          <t>05</t>
        </is>
      </c>
      <c r="I16" s="204" t="n">
        <v>46113</v>
      </c>
      <c r="J16" s="193">
        <f>$F16</f>
        <v/>
      </c>
      <c r="K16" s="266">
        <f>$G16</f>
        <v/>
      </c>
      <c r="L16" s="203">
        <f>$H16</f>
        <v/>
      </c>
      <c r="M16" s="204">
        <f>$I16</f>
        <v/>
      </c>
      <c r="N16" s="260">
        <f>$F16</f>
        <v/>
      </c>
      <c r="O16" s="235">
        <f>$G16</f>
        <v/>
      </c>
      <c r="P16" s="235">
        <f>$H16</f>
        <v/>
      </c>
      <c r="Q16" s="262">
        <f>$I16</f>
        <v/>
      </c>
      <c r="R16" s="260" t="n"/>
      <c r="S16" s="235" t="n"/>
      <c r="T16" s="235" t="n"/>
      <c r="U16" s="262" t="n"/>
      <c r="V16" s="260">
        <f>CONCATENATE("ETR1000V300_R1-",$D16,"-",$E16)</f>
        <v/>
      </c>
      <c r="W16" s="261">
        <f>CONCATENATE(V16,"-",X16)</f>
        <v/>
      </c>
      <c r="X16" s="267" t="inlineStr">
        <is>
          <t>03</t>
        </is>
      </c>
      <c r="Y16" s="262" t="n">
        <v>45901</v>
      </c>
      <c r="Z16" s="268">
        <f>V16</f>
        <v/>
      </c>
      <c r="AA16" s="267">
        <f>W16</f>
        <v/>
      </c>
      <c r="AB16" s="267">
        <f>X16</f>
        <v/>
      </c>
      <c r="AC16" s="269">
        <f>Y16</f>
        <v/>
      </c>
    </row>
    <row r="17">
      <c r="A17" s="270" t="inlineStr">
        <is>
          <t>Convertitore servizi ausiliari e caricabatterie</t>
        </is>
      </c>
      <c r="B17" s="233">
        <f>CONCATENATE(D17,"_",E17)</f>
        <v/>
      </c>
      <c r="C17" s="254" t="inlineStr">
        <is>
          <t>pdf</t>
        </is>
      </c>
      <c r="D17" s="233" t="inlineStr">
        <is>
          <t>MR1</t>
        </is>
      </c>
      <c r="E17" s="233" t="inlineStr">
        <is>
          <t>11A</t>
        </is>
      </c>
      <c r="F17" s="193">
        <f>CONCATENATE("ETR1000V300-",$D17,"-",$E17)</f>
        <v/>
      </c>
      <c r="G17" s="266">
        <f>CONCATENATE(F17,"-",H17)</f>
        <v/>
      </c>
      <c r="H17" s="203" t="inlineStr">
        <is>
          <t>03</t>
        </is>
      </c>
      <c r="I17" s="204" t="n">
        <v>46113</v>
      </c>
      <c r="J17" s="193">
        <f>$F17</f>
        <v/>
      </c>
      <c r="K17" s="266">
        <f>$G17</f>
        <v/>
      </c>
      <c r="L17" s="203">
        <f>$H17</f>
        <v/>
      </c>
      <c r="M17" s="204">
        <f>$I17</f>
        <v/>
      </c>
      <c r="N17" s="260">
        <f>$F17</f>
        <v/>
      </c>
      <c r="O17" s="235">
        <f>$G17</f>
        <v/>
      </c>
      <c r="P17" s="235">
        <f>$H17</f>
        <v/>
      </c>
      <c r="Q17" s="262">
        <f>$I17</f>
        <v/>
      </c>
      <c r="R17" s="260" t="n"/>
      <c r="S17" s="235" t="n"/>
      <c r="T17" s="235" t="n"/>
      <c r="U17" s="262" t="n"/>
      <c r="V17" s="260">
        <f>CONCATENATE("ETR1000V300_R1-",$D17,"-",$E17)</f>
        <v/>
      </c>
      <c r="W17" s="261">
        <f>CONCATENATE(V17,"-",X17)</f>
        <v/>
      </c>
      <c r="X17" s="267" t="inlineStr">
        <is>
          <t>03</t>
        </is>
      </c>
      <c r="Y17" s="262" t="n">
        <v>45992</v>
      </c>
      <c r="Z17" s="268">
        <f>V17</f>
        <v/>
      </c>
      <c r="AA17" s="267">
        <f>W17</f>
        <v/>
      </c>
      <c r="AB17" s="267">
        <f>X17</f>
        <v/>
      </c>
      <c r="AC17" s="269">
        <f>Y17</f>
        <v/>
      </c>
    </row>
    <row r="18">
      <c r="A18" s="270" t="inlineStr">
        <is>
          <t>Sottosistema diagnostica di bordo</t>
        </is>
      </c>
      <c r="B18" s="233">
        <f>CONCATENATE(D18,"_",E18)</f>
        <v/>
      </c>
      <c r="C18" s="254" t="inlineStr">
        <is>
          <t>pdf</t>
        </is>
      </c>
      <c r="D18" s="233" t="inlineStr">
        <is>
          <t>MR1</t>
        </is>
      </c>
      <c r="E18" s="233" t="inlineStr">
        <is>
          <t>13A</t>
        </is>
      </c>
      <c r="F18" s="193">
        <f>CONCATENATE("ETR1000V300-",$D18,"-",$E18)</f>
        <v/>
      </c>
      <c r="G18" s="266">
        <f>CONCATENATE(F18,"-",H18)</f>
        <v/>
      </c>
      <c r="H18" s="203" t="inlineStr">
        <is>
          <t>03</t>
        </is>
      </c>
      <c r="I18" s="204" t="n">
        <v>46113</v>
      </c>
      <c r="J18" s="193">
        <f>$F18</f>
        <v/>
      </c>
      <c r="K18" s="266">
        <f>$G18</f>
        <v/>
      </c>
      <c r="L18" s="203">
        <f>$H18</f>
        <v/>
      </c>
      <c r="M18" s="204">
        <f>$I18</f>
        <v/>
      </c>
      <c r="N18" s="260">
        <f>$F18</f>
        <v/>
      </c>
      <c r="O18" s="235">
        <f>$G18</f>
        <v/>
      </c>
      <c r="P18" s="235">
        <f>$H18</f>
        <v/>
      </c>
      <c r="Q18" s="262">
        <f>$I18</f>
        <v/>
      </c>
      <c r="R18" s="260" t="n"/>
      <c r="S18" s="235" t="n"/>
      <c r="T18" s="235" t="n"/>
      <c r="U18" s="262" t="n"/>
      <c r="V18" s="260">
        <f>CONCATENATE("ETR1000V300_R1-",$D18,"-",$E18)</f>
        <v/>
      </c>
      <c r="W18" s="261">
        <f>CONCATENATE(V18,"-",X18)</f>
        <v/>
      </c>
      <c r="X18" s="267" t="inlineStr">
        <is>
          <t>03</t>
        </is>
      </c>
      <c r="Y18" s="262" t="n">
        <v>45931</v>
      </c>
      <c r="Z18" s="268">
        <f>V18</f>
        <v/>
      </c>
      <c r="AA18" s="267">
        <f>W18</f>
        <v/>
      </c>
      <c r="AB18" s="267">
        <f>X18</f>
        <v/>
      </c>
      <c r="AC18" s="269">
        <f>Y18</f>
        <v/>
      </c>
    </row>
    <row r="19">
      <c r="A19" s="270" t="inlineStr">
        <is>
          <t>Allestimenti interni</t>
        </is>
      </c>
      <c r="B19" s="233">
        <f>CONCATENATE(D19,"_",E19)</f>
        <v/>
      </c>
      <c r="C19" s="254" t="inlineStr">
        <is>
          <t>pdf</t>
        </is>
      </c>
      <c r="D19" s="233" t="inlineStr">
        <is>
          <t>MR1</t>
        </is>
      </c>
      <c r="E19" s="233" t="inlineStr">
        <is>
          <t>14A</t>
        </is>
      </c>
      <c r="F19" s="199">
        <f>CONCATENATE("ETR1000V300-",$D19,"-",$E19)</f>
        <v/>
      </c>
      <c r="G19" s="266">
        <f>CONCATENATE(F19,"-",H19)</f>
        <v/>
      </c>
      <c r="H19" s="203" t="inlineStr">
        <is>
          <t>06</t>
        </is>
      </c>
      <c r="I19" s="204" t="n">
        <v>46113</v>
      </c>
      <c r="J19" s="199">
        <f>$F19</f>
        <v/>
      </c>
      <c r="K19" s="266">
        <f>$G19</f>
        <v/>
      </c>
      <c r="L19" s="203">
        <f>$H19</f>
        <v/>
      </c>
      <c r="M19" s="204">
        <f>$I19</f>
        <v/>
      </c>
      <c r="N19" s="260">
        <f>$F19</f>
        <v/>
      </c>
      <c r="O19" s="235">
        <f>$G19</f>
        <v/>
      </c>
      <c r="P19" s="235">
        <f>$H19</f>
        <v/>
      </c>
      <c r="Q19" s="262">
        <f>$I19</f>
        <v/>
      </c>
      <c r="R19" s="260" t="n"/>
      <c r="S19" s="235" t="n"/>
      <c r="T19" s="235" t="n"/>
      <c r="U19" s="262" t="n"/>
      <c r="V19" s="260" t="n"/>
      <c r="W19" s="261" t="n"/>
      <c r="X19" s="267" t="n"/>
      <c r="Y19" s="262" t="n"/>
      <c r="Z19" s="260" t="n"/>
      <c r="AA19" s="235" t="n"/>
      <c r="AB19" s="235" t="n"/>
      <c r="AC19" s="262" t="n"/>
    </row>
    <row r="20">
      <c r="A20" s="270" t="inlineStr">
        <is>
          <t>Allestimenti interni - Arredi comparto e cabina di guida</t>
        </is>
      </c>
      <c r="B20" s="233">
        <f>CONCATENATE(D20,"_",E20)</f>
        <v/>
      </c>
      <c r="C20" s="254" t="inlineStr">
        <is>
          <t>pdf</t>
        </is>
      </c>
      <c r="D20" s="233" t="inlineStr">
        <is>
          <t>MR1</t>
        </is>
      </c>
      <c r="E20" s="233" t="inlineStr">
        <is>
          <t>14B</t>
        </is>
      </c>
      <c r="F20" s="193">
        <f>CONCATENATE("ETR1000V300-",$D20,"-",$E20)</f>
        <v/>
      </c>
      <c r="G20" s="266" t="inlineStr">
        <is>
          <t>\</t>
        </is>
      </c>
      <c r="H20" s="200" t="inlineStr">
        <is>
          <t>\</t>
        </is>
      </c>
      <c r="I20" s="196" t="inlineStr">
        <is>
          <t>\</t>
        </is>
      </c>
      <c r="J20" s="193">
        <f>$F20</f>
        <v/>
      </c>
      <c r="K20" s="266">
        <f>$G20</f>
        <v/>
      </c>
      <c r="L20" s="200">
        <f>$H20</f>
        <v/>
      </c>
      <c r="M20" s="196">
        <f>$I20</f>
        <v/>
      </c>
      <c r="N20" s="260">
        <f>$G20</f>
        <v/>
      </c>
      <c r="O20" s="235">
        <f>$G20</f>
        <v/>
      </c>
      <c r="P20" s="235">
        <f>$H20</f>
        <v/>
      </c>
      <c r="Q20" s="262">
        <f>$I20</f>
        <v/>
      </c>
      <c r="R20" s="260" t="n"/>
      <c r="S20" s="235" t="n"/>
      <c r="T20" s="235" t="n"/>
      <c r="U20" s="262" t="n"/>
      <c r="V20" s="260">
        <f>CONCATENATE("ETR1000V300_R1-",$D20,"-",$E20)</f>
        <v/>
      </c>
      <c r="W20" s="261">
        <f>CONCATENATE(V20,"-",X20)</f>
        <v/>
      </c>
      <c r="X20" s="267" t="inlineStr">
        <is>
          <t>03</t>
        </is>
      </c>
      <c r="Y20" s="262" t="n">
        <v>45992</v>
      </c>
      <c r="Z20" s="268">
        <f>V20</f>
        <v/>
      </c>
      <c r="AA20" s="267">
        <f>W20</f>
        <v/>
      </c>
      <c r="AB20" s="267">
        <f>X20</f>
        <v/>
      </c>
      <c r="AC20" s="269">
        <f>Y20</f>
        <v/>
      </c>
    </row>
    <row r="21">
      <c r="A21" s="270" t="inlineStr">
        <is>
          <t>Servizi Generali di Bordo - Toilette</t>
        </is>
      </c>
      <c r="B21" s="233">
        <f>CONCATENATE(D21,"_",E21)</f>
        <v/>
      </c>
      <c r="C21" s="254" t="inlineStr">
        <is>
          <t>pdf</t>
        </is>
      </c>
      <c r="D21" s="233" t="inlineStr">
        <is>
          <t>MR1</t>
        </is>
      </c>
      <c r="E21" s="233" t="inlineStr">
        <is>
          <t>15A</t>
        </is>
      </c>
      <c r="F21" s="193">
        <f>CONCATENATE("ETR1000V300-",$D21,"-",$E21)</f>
        <v/>
      </c>
      <c r="G21" s="266">
        <f>CONCATENATE(F21,"-",H21)</f>
        <v/>
      </c>
      <c r="H21" s="203" t="inlineStr">
        <is>
          <t>06</t>
        </is>
      </c>
      <c r="I21" s="204" t="n">
        <v>46113</v>
      </c>
      <c r="J21" s="193">
        <f>$F21</f>
        <v/>
      </c>
      <c r="K21" s="266">
        <f>$G21</f>
        <v/>
      </c>
      <c r="L21" s="203">
        <f>$H21</f>
        <v/>
      </c>
      <c r="M21" s="204">
        <f>$I21</f>
        <v/>
      </c>
      <c r="N21" s="260">
        <f>$F21</f>
        <v/>
      </c>
      <c r="O21" s="235">
        <f>$G21</f>
        <v/>
      </c>
      <c r="P21" s="235">
        <f>$H21</f>
        <v/>
      </c>
      <c r="Q21" s="262">
        <f>$I21</f>
        <v/>
      </c>
      <c r="R21" s="260" t="n"/>
      <c r="S21" s="235" t="n"/>
      <c r="T21" s="235" t="n"/>
      <c r="U21" s="262" t="n"/>
      <c r="V21" s="260">
        <f>CONCATENATE("ETR1000V300_R1-",$D21,"-",$E21)</f>
        <v/>
      </c>
      <c r="W21" s="261">
        <f>CONCATENATE(V21,"-",X21)</f>
        <v/>
      </c>
      <c r="X21" s="267" t="inlineStr">
        <is>
          <t>03</t>
        </is>
      </c>
      <c r="Y21" s="276" t="inlineStr">
        <is>
          <t>gen-2026</t>
        </is>
      </c>
      <c r="Z21" s="268">
        <f>V21</f>
        <v/>
      </c>
      <c r="AA21" s="267">
        <f>W21</f>
        <v/>
      </c>
      <c r="AB21" s="267">
        <f>X21</f>
        <v/>
      </c>
      <c r="AC21" s="269">
        <f>Y21</f>
        <v/>
      </c>
    </row>
    <row r="22">
      <c r="A22" s="270" t="inlineStr">
        <is>
          <t>Servizi Generali di Bordo - Bar Bistrot</t>
        </is>
      </c>
      <c r="B22" s="233">
        <f>CONCATENATE(D22,"_",E22)</f>
        <v/>
      </c>
      <c r="C22" s="254" t="inlineStr">
        <is>
          <t>pdf</t>
        </is>
      </c>
      <c r="D22" s="233" t="inlineStr">
        <is>
          <t>MR1</t>
        </is>
      </c>
      <c r="E22" s="233" t="inlineStr">
        <is>
          <t>15B</t>
        </is>
      </c>
      <c r="F22" s="193">
        <f>CONCATENATE("ETR1000V300-",$D22,"-",$E22)</f>
        <v/>
      </c>
      <c r="G22" s="266" t="inlineStr">
        <is>
          <t>\</t>
        </is>
      </c>
      <c r="H22" s="194" t="inlineStr">
        <is>
          <t>\</t>
        </is>
      </c>
      <c r="I22" s="196" t="inlineStr">
        <is>
          <t>\</t>
        </is>
      </c>
      <c r="J22" s="193">
        <f>$F22</f>
        <v/>
      </c>
      <c r="K22" s="266">
        <f>$G22</f>
        <v/>
      </c>
      <c r="L22" s="194">
        <f>$H22</f>
        <v/>
      </c>
      <c r="M22" s="196">
        <f>$I22</f>
        <v/>
      </c>
      <c r="N22" s="260">
        <f>$G22</f>
        <v/>
      </c>
      <c r="O22" s="235">
        <f>$G22</f>
        <v/>
      </c>
      <c r="P22" s="235">
        <f>$H22</f>
        <v/>
      </c>
      <c r="Q22" s="262">
        <f>$I22</f>
        <v/>
      </c>
      <c r="R22" s="260" t="n"/>
      <c r="S22" s="235" t="n"/>
      <c r="T22" s="235" t="n"/>
      <c r="U22" s="262" t="n"/>
      <c r="V22" s="260" t="n"/>
      <c r="W22" s="261" t="n"/>
      <c r="X22" s="267" t="n"/>
      <c r="Y22" s="262" t="n"/>
      <c r="Z22" s="268" t="n"/>
      <c r="AA22" s="267" t="n"/>
      <c r="AB22" s="267" t="n"/>
      <c r="AC22" s="269" t="n"/>
    </row>
    <row r="23">
      <c r="A23" s="270" t="inlineStr">
        <is>
          <t>Emergenza e recupero</t>
        </is>
      </c>
      <c r="B23" s="233">
        <f>CONCATENATE(D23,"_",E23)</f>
        <v/>
      </c>
      <c r="C23" s="254" t="inlineStr">
        <is>
          <t>pdf</t>
        </is>
      </c>
      <c r="D23" s="233" t="inlineStr">
        <is>
          <t>MR1</t>
        </is>
      </c>
      <c r="E23" s="233" t="inlineStr">
        <is>
          <t>16A</t>
        </is>
      </c>
      <c r="F23" s="193">
        <f>CONCATENATE("ETR1000V300-",$D23,"-",$E23)</f>
        <v/>
      </c>
      <c r="G23" s="266">
        <f>CONCATENATE(F23,"-",H23)</f>
        <v/>
      </c>
      <c r="H23" s="198" t="inlineStr">
        <is>
          <t>07</t>
        </is>
      </c>
      <c r="I23" s="195" t="n">
        <v>44228</v>
      </c>
      <c r="J23" s="193">
        <f>$F23</f>
        <v/>
      </c>
      <c r="K23" s="266">
        <f>$G23</f>
        <v/>
      </c>
      <c r="L23" s="198">
        <f>$H23</f>
        <v/>
      </c>
      <c r="M23" s="195">
        <f>$I23</f>
        <v/>
      </c>
      <c r="N23" s="260">
        <f>$F23</f>
        <v/>
      </c>
      <c r="O23" s="235">
        <f>$G23</f>
        <v/>
      </c>
      <c r="P23" s="235">
        <f>$H23</f>
        <v/>
      </c>
      <c r="Q23" s="262">
        <f>$I23</f>
        <v/>
      </c>
      <c r="R23" s="260" t="n"/>
      <c r="S23" s="235" t="n"/>
      <c r="T23" s="235" t="n"/>
      <c r="U23" s="262" t="n"/>
      <c r="V23" s="260" t="n"/>
      <c r="W23" s="261" t="n"/>
      <c r="X23" s="267" t="n"/>
      <c r="Y23" s="262" t="n"/>
      <c r="Z23" s="268" t="n"/>
      <c r="AA23" s="267" t="n"/>
      <c r="AB23" s="267" t="n"/>
      <c r="AC23" s="269" t="n"/>
    </row>
    <row r="24">
      <c r="A24" s="270" t="inlineStr">
        <is>
          <t>Telecomunicazioni TT</t>
        </is>
      </c>
      <c r="B24" s="233">
        <f>CONCATENATE(D24,"_",E24)</f>
        <v/>
      </c>
      <c r="C24" s="254" t="inlineStr">
        <is>
          <t>pdf</t>
        </is>
      </c>
      <c r="D24" s="233" t="inlineStr">
        <is>
          <t>MR1</t>
        </is>
      </c>
      <c r="E24" s="233" t="inlineStr">
        <is>
          <t>18A</t>
        </is>
      </c>
      <c r="F24" s="193">
        <f>CONCATENATE("ETR1000V300-",$D24,"-",$E24)</f>
        <v/>
      </c>
      <c r="G24" s="266">
        <f>CONCATENATE(F24,"-",H24)</f>
        <v/>
      </c>
      <c r="H24" s="203" t="inlineStr">
        <is>
          <t>05</t>
        </is>
      </c>
      <c r="I24" s="204" t="n">
        <v>46113</v>
      </c>
      <c r="J24" s="193">
        <f>$F24</f>
        <v/>
      </c>
      <c r="K24" s="266">
        <f>$G24</f>
        <v/>
      </c>
      <c r="L24" s="203">
        <f>$H24</f>
        <v/>
      </c>
      <c r="M24" s="204">
        <f>$I24</f>
        <v/>
      </c>
      <c r="N24" s="260">
        <f>$F24</f>
        <v/>
      </c>
      <c r="O24" s="235">
        <f>$G24</f>
        <v/>
      </c>
      <c r="P24" s="235">
        <f>$H24</f>
        <v/>
      </c>
      <c r="Q24" s="262">
        <f>$I24</f>
        <v/>
      </c>
      <c r="R24" s="260" t="n"/>
      <c r="S24" s="235" t="n"/>
      <c r="T24" s="235" t="n"/>
      <c r="U24" s="262" t="n"/>
      <c r="V24" s="260">
        <f>CONCATENATE("ETR1000V300_R1-",$D24,"-",$E24)</f>
        <v/>
      </c>
      <c r="W24" s="261">
        <f>CONCATENATE(V24,"-",X24)</f>
        <v/>
      </c>
      <c r="X24" s="267" t="inlineStr">
        <is>
          <t>03</t>
        </is>
      </c>
      <c r="Y24" s="262" t="n">
        <v>45931</v>
      </c>
      <c r="Z24" s="268">
        <f>V24</f>
        <v/>
      </c>
      <c r="AA24" s="267">
        <f>W24</f>
        <v/>
      </c>
      <c r="AB24" s="267">
        <f>X24</f>
        <v/>
      </c>
      <c r="AC24" s="269">
        <f>Y24</f>
        <v/>
      </c>
    </row>
    <row r="25">
      <c r="A25" s="270" t="inlineStr">
        <is>
          <t>Sottosistema di bordo generale</t>
        </is>
      </c>
      <c r="B25" s="233">
        <f>CONCATENATE(D25,"_",E25)</f>
        <v/>
      </c>
      <c r="C25" s="254" t="inlineStr">
        <is>
          <t>pdf</t>
        </is>
      </c>
      <c r="D25" s="233" t="inlineStr">
        <is>
          <t>MR1</t>
        </is>
      </c>
      <c r="E25" s="233" t="inlineStr">
        <is>
          <t>20A</t>
        </is>
      </c>
      <c r="F25" s="171">
        <f>CONCATENATE("ETR1000V300-",$D25,"-",$E25)</f>
        <v/>
      </c>
      <c r="G25" s="266">
        <f>CONCATENATE(F25,"-",H25)</f>
        <v/>
      </c>
      <c r="H25" s="197" t="inlineStr">
        <is>
          <t>03</t>
        </is>
      </c>
      <c r="I25" s="196" t="inlineStr">
        <is>
          <t>giu-20</t>
        </is>
      </c>
      <c r="J25" s="171">
        <f>$F25</f>
        <v/>
      </c>
      <c r="K25" s="266">
        <f>$G25</f>
        <v/>
      </c>
      <c r="L25" s="197">
        <f>$H25</f>
        <v/>
      </c>
      <c r="M25" s="196">
        <f>$I25</f>
        <v/>
      </c>
      <c r="N25" s="272" t="inlineStr">
        <is>
          <t>\</t>
        </is>
      </c>
      <c r="O25" s="235" t="inlineStr">
        <is>
          <t>\</t>
        </is>
      </c>
      <c r="P25" s="235" t="inlineStr">
        <is>
          <t>\</t>
        </is>
      </c>
      <c r="Q25" s="262" t="inlineStr">
        <is>
          <t>\</t>
        </is>
      </c>
      <c r="R25" s="260" t="n"/>
      <c r="S25" s="235" t="n"/>
      <c r="T25" s="235" t="n"/>
      <c r="U25" s="262" t="n"/>
      <c r="V25" s="260">
        <f>CONCATENATE("ETR1000V300_R1-",$D25,"-",$E25)</f>
        <v/>
      </c>
      <c r="W25" s="261">
        <f>CONCATENATE(V25,"-",X25)</f>
        <v/>
      </c>
      <c r="X25" s="267" t="inlineStr">
        <is>
          <t>05</t>
        </is>
      </c>
      <c r="Y25" s="276" t="inlineStr">
        <is>
          <t>gen-2026</t>
        </is>
      </c>
      <c r="Z25" s="268">
        <f>V25</f>
        <v/>
      </c>
      <c r="AA25" s="267">
        <f>W25</f>
        <v/>
      </c>
      <c r="AB25" s="267">
        <f>X25</f>
        <v/>
      </c>
      <c r="AC25" s="269">
        <f>Y25</f>
        <v/>
      </c>
    </row>
    <row r="26">
      <c r="A26" s="270" t="inlineStr">
        <is>
          <t>Sottosistema di bordo ETCS specifico del treno</t>
        </is>
      </c>
      <c r="B26" s="233">
        <f>CONCATENATE(D26,"_",E26)</f>
        <v/>
      </c>
      <c r="C26" s="254" t="inlineStr">
        <is>
          <t>pdf</t>
        </is>
      </c>
      <c r="D26" s="233" t="inlineStr">
        <is>
          <t>MR1</t>
        </is>
      </c>
      <c r="E26" s="233" t="inlineStr">
        <is>
          <t>20B</t>
        </is>
      </c>
      <c r="F26" s="171">
        <f>CONCATENATE("ETR1000V300-",$D26,"-",$E26)</f>
        <v/>
      </c>
      <c r="G26" s="266">
        <f>CONCATENATE(F26,"-",H26)</f>
        <v/>
      </c>
      <c r="H26" s="197" t="inlineStr">
        <is>
          <t>01</t>
        </is>
      </c>
      <c r="I26" s="196" t="inlineStr">
        <is>
          <t>lug-17</t>
        </is>
      </c>
      <c r="J26" s="171">
        <f>$F26</f>
        <v/>
      </c>
      <c r="K26" s="266">
        <f>$G26</f>
        <v/>
      </c>
      <c r="L26" s="197">
        <f>$H26</f>
        <v/>
      </c>
      <c r="M26" s="196">
        <f>$I26</f>
        <v/>
      </c>
      <c r="N26" s="272" t="inlineStr">
        <is>
          <t>\</t>
        </is>
      </c>
      <c r="O26" s="235" t="inlineStr">
        <is>
          <t>\</t>
        </is>
      </c>
      <c r="P26" s="235" t="inlineStr">
        <is>
          <t>\</t>
        </is>
      </c>
      <c r="Q26" s="262" t="inlineStr">
        <is>
          <t>\</t>
        </is>
      </c>
      <c r="R26" s="260" t="n"/>
      <c r="S26" s="235" t="n"/>
      <c r="T26" s="235" t="n"/>
      <c r="U26" s="262" t="n"/>
      <c r="V26" s="260">
        <f>CONCATENATE("ETR1000V300_R1-",$D26,"-",$E26)</f>
        <v/>
      </c>
      <c r="W26" s="261">
        <f>CONCATENATE(V26,"-",X26)</f>
        <v/>
      </c>
      <c r="X26" s="267" t="inlineStr">
        <is>
          <t>02</t>
        </is>
      </c>
      <c r="Y26" s="262" t="n">
        <v>45931</v>
      </c>
      <c r="Z26" s="268">
        <f>V26</f>
        <v/>
      </c>
      <c r="AA26" s="267">
        <f>W26</f>
        <v/>
      </c>
      <c r="AB26" s="267">
        <f>X26</f>
        <v/>
      </c>
      <c r="AC26" s="269">
        <f>Y26</f>
        <v/>
      </c>
    </row>
    <row r="27">
      <c r="A27" s="270" t="inlineStr">
        <is>
          <t>Sottosistema di bordo generale - Linea francese</t>
        </is>
      </c>
      <c r="B27" s="233">
        <f>CONCATENATE(D27,"_",E27)</f>
        <v/>
      </c>
      <c r="C27" s="254" t="inlineStr">
        <is>
          <t>pdf</t>
        </is>
      </c>
      <c r="D27" s="233" t="inlineStr">
        <is>
          <t>MR1</t>
        </is>
      </c>
      <c r="E27" s="233" t="inlineStr">
        <is>
          <t>20C</t>
        </is>
      </c>
      <c r="F27" s="193" t="inlineStr">
        <is>
          <t>\</t>
        </is>
      </c>
      <c r="G27" s="266" t="inlineStr">
        <is>
          <t>\</t>
        </is>
      </c>
      <c r="H27" s="197" t="inlineStr">
        <is>
          <t>\</t>
        </is>
      </c>
      <c r="I27" s="196" t="inlineStr">
        <is>
          <t>\</t>
        </is>
      </c>
      <c r="J27" s="193">
        <f>$F27</f>
        <v/>
      </c>
      <c r="K27" s="266">
        <f>$G27</f>
        <v/>
      </c>
      <c r="L27" s="197">
        <f>$H27</f>
        <v/>
      </c>
      <c r="M27" s="196">
        <f>$I27</f>
        <v/>
      </c>
      <c r="N27" s="272">
        <f>CONCATENATE("ETR1000V300_FR-",$D27,"-",$E27)</f>
        <v/>
      </c>
      <c r="O27" s="261">
        <f>CONCATENATE(N27,"-",P27)</f>
        <v/>
      </c>
      <c r="P27" s="267" t="inlineStr">
        <is>
          <t>02</t>
        </is>
      </c>
      <c r="Q27" s="262" t="n">
        <v>44409</v>
      </c>
      <c r="R27" s="260" t="n"/>
      <c r="S27" s="235" t="n"/>
      <c r="T27" s="235" t="n"/>
      <c r="U27" s="262" t="n"/>
      <c r="V27" s="260" t="inlineStr">
        <is>
          <t>\</t>
        </is>
      </c>
      <c r="W27" s="261" t="inlineStr">
        <is>
          <t>\</t>
        </is>
      </c>
      <c r="X27" s="267" t="inlineStr">
        <is>
          <t>\</t>
        </is>
      </c>
      <c r="Y27" s="262" t="inlineStr">
        <is>
          <t>\</t>
        </is>
      </c>
      <c r="Z27" s="268">
        <f>V27</f>
        <v/>
      </c>
      <c r="AA27" s="267">
        <f>W27</f>
        <v/>
      </c>
      <c r="AB27" s="267">
        <f>X27</f>
        <v/>
      </c>
      <c r="AC27" s="269">
        <f>Y27</f>
        <v/>
      </c>
    </row>
    <row r="28">
      <c r="A28" s="270" t="inlineStr">
        <is>
          <t>Sottosistema di bordo specifico - Linea francese</t>
        </is>
      </c>
      <c r="B28" s="233">
        <f>CONCATENATE(D28,"_",E28)</f>
        <v/>
      </c>
      <c r="C28" s="254" t="inlineStr">
        <is>
          <t>pdf</t>
        </is>
      </c>
      <c r="D28" s="233" t="inlineStr">
        <is>
          <t>MR1</t>
        </is>
      </c>
      <c r="E28" s="233" t="inlineStr">
        <is>
          <t>20D</t>
        </is>
      </c>
      <c r="F28" s="193" t="inlineStr">
        <is>
          <t>\</t>
        </is>
      </c>
      <c r="G28" s="266" t="inlineStr">
        <is>
          <t>\</t>
        </is>
      </c>
      <c r="H28" s="197" t="inlineStr">
        <is>
          <t>\</t>
        </is>
      </c>
      <c r="I28" s="196" t="inlineStr">
        <is>
          <t>\</t>
        </is>
      </c>
      <c r="J28" s="193">
        <f>$F28</f>
        <v/>
      </c>
      <c r="K28" s="266">
        <f>$G28</f>
        <v/>
      </c>
      <c r="L28" s="197">
        <f>$H28</f>
        <v/>
      </c>
      <c r="M28" s="196">
        <f>$I28</f>
        <v/>
      </c>
      <c r="N28" s="272">
        <f>CONCATENATE("ETR1000V300_FR-",$D28,"-",$E28)</f>
        <v/>
      </c>
      <c r="O28" s="261">
        <f>CONCATENATE(N28,"-",P28)</f>
        <v/>
      </c>
      <c r="P28" s="267" t="inlineStr">
        <is>
          <t>01</t>
        </is>
      </c>
      <c r="Q28" s="262" t="n">
        <v>44136</v>
      </c>
      <c r="R28" s="260" t="n"/>
      <c r="S28" s="235" t="n"/>
      <c r="T28" s="235" t="n"/>
      <c r="U28" s="262" t="n"/>
      <c r="V28" s="260" t="inlineStr">
        <is>
          <t>\</t>
        </is>
      </c>
      <c r="W28" s="261" t="inlineStr">
        <is>
          <t>\</t>
        </is>
      </c>
      <c r="X28" s="267" t="inlineStr">
        <is>
          <t>\</t>
        </is>
      </c>
      <c r="Y28" s="262" t="inlineStr">
        <is>
          <t>\</t>
        </is>
      </c>
      <c r="Z28" s="268">
        <f>V28</f>
        <v/>
      </c>
      <c r="AA28" s="267">
        <f>W28</f>
        <v/>
      </c>
      <c r="AB28" s="267">
        <f>X28</f>
        <v/>
      </c>
      <c r="AC28" s="269">
        <f>Y28</f>
        <v/>
      </c>
    </row>
    <row r="29" ht="30" customFormat="1" customHeight="1" s="83">
      <c r="A29" s="278" t="inlineStr">
        <is>
          <t>SSB ERTMS/SCMT (ALA) - MANUALE GENERICO USO E
MANUTENZIONE (B60A.000012.640.06I)</t>
        </is>
      </c>
      <c r="B29" s="279">
        <f>CONCATENATE(D29,"_",E29)</f>
        <v/>
      </c>
      <c r="C29" s="254" t="inlineStr">
        <is>
          <t>pdf</t>
        </is>
      </c>
      <c r="D29" s="279" t="inlineStr">
        <is>
          <t>MR1</t>
        </is>
      </c>
      <c r="E29" s="271" t="inlineStr">
        <is>
          <t>20A_ALA</t>
        </is>
      </c>
      <c r="F29" s="171">
        <f>CONCATENATE("ETR1000V300-",$D29,"-",$E29)</f>
        <v/>
      </c>
      <c r="G29" s="266">
        <f>CONCATENATE(F29,"-",H29)</f>
        <v/>
      </c>
      <c r="H29" s="198" t="inlineStr">
        <is>
          <t>08</t>
        </is>
      </c>
      <c r="I29" s="280" t="n">
        <v>43966</v>
      </c>
      <c r="J29" s="171">
        <f>$F29</f>
        <v/>
      </c>
      <c r="K29" s="266">
        <f>$G29</f>
        <v/>
      </c>
      <c r="L29" s="198">
        <f>$H29</f>
        <v/>
      </c>
      <c r="M29" s="280">
        <f>$I29</f>
        <v/>
      </c>
      <c r="N29" s="281" t="inlineStr">
        <is>
          <t>\</t>
        </is>
      </c>
      <c r="O29" s="282" t="inlineStr">
        <is>
          <t>\</t>
        </is>
      </c>
      <c r="P29" s="282" t="inlineStr">
        <is>
          <t>\</t>
        </is>
      </c>
      <c r="Q29" s="277" t="inlineStr">
        <is>
          <t>\</t>
        </is>
      </c>
      <c r="R29" s="283" t="n"/>
      <c r="S29" s="284" t="n"/>
      <c r="T29" s="284" t="n"/>
      <c r="U29" s="285" t="n"/>
      <c r="V29" s="260" t="n"/>
      <c r="W29" s="261" t="n"/>
      <c r="X29" s="267" t="n"/>
      <c r="Y29" s="262" t="n"/>
      <c r="Z29" s="283" t="n"/>
      <c r="AA29" s="284" t="n"/>
      <c r="AB29" s="284" t="n"/>
      <c r="AC29" s="285" t="n"/>
    </row>
    <row r="30" ht="30" customFormat="1" customHeight="1" s="83">
      <c r="A30" s="278" t="inlineStr">
        <is>
          <t>SSB ERTMS/SCMT (ELO) - MANUALE GENERICO USO E
MANUTENZIONE (B60X.0100506.G00.00IT rev.02.00)</t>
        </is>
      </c>
      <c r="B30" s="279">
        <f>CONCATENATE(D30,"_",E30)</f>
        <v/>
      </c>
      <c r="C30" s="254" t="inlineStr">
        <is>
          <t>pdf</t>
        </is>
      </c>
      <c r="D30" s="279" t="inlineStr">
        <is>
          <t>MR1</t>
        </is>
      </c>
      <c r="E30" s="271" t="inlineStr">
        <is>
          <t>20A_ELO</t>
        </is>
      </c>
      <c r="F30" s="193">
        <f>CONCATENATE("ETR1000V300-",$D30,"-",$E30)</f>
        <v/>
      </c>
      <c r="G30" s="266">
        <f>CONCATENATE(F30,"-",H30)</f>
        <v/>
      </c>
      <c r="H30" s="203" t="inlineStr">
        <is>
          <t>05</t>
        </is>
      </c>
      <c r="I30" s="204" t="n">
        <v>46113</v>
      </c>
      <c r="J30" s="193">
        <f>$F30</f>
        <v/>
      </c>
      <c r="K30" s="266">
        <f>$G30</f>
        <v/>
      </c>
      <c r="L30" s="203">
        <f>$H30</f>
        <v/>
      </c>
      <c r="M30" s="204">
        <f>$I30</f>
        <v/>
      </c>
      <c r="N30" s="281" t="inlineStr">
        <is>
          <t>\</t>
        </is>
      </c>
      <c r="O30" s="282" t="inlineStr">
        <is>
          <t>\</t>
        </is>
      </c>
      <c r="P30" s="282" t="inlineStr">
        <is>
          <t>\</t>
        </is>
      </c>
      <c r="Q30" s="277" t="inlineStr">
        <is>
          <t>\</t>
        </is>
      </c>
      <c r="R30" s="283" t="n"/>
      <c r="S30" s="284" t="n"/>
      <c r="T30" s="284" t="n"/>
      <c r="U30" s="285" t="n"/>
      <c r="V30" s="260" t="n"/>
      <c r="W30" s="261" t="n"/>
      <c r="X30" s="267" t="n"/>
      <c r="Y30" s="262" t="n"/>
      <c r="Z30" s="283" t="n"/>
      <c r="AA30" s="284" t="n"/>
      <c r="AB30" s="284" t="n"/>
      <c r="AC30" s="285" t="n"/>
    </row>
    <row r="31" ht="30" customFormat="1" customHeight="1" s="83">
      <c r="A31" s="278" t="inlineStr">
        <is>
          <t>Sotto Sistema di Bordo ERTMS BL3 CON SCMT INTEGRATO (B60A.0100914.G00.00IT)</t>
        </is>
      </c>
      <c r="B31" s="279">
        <f>CONCATENATE(D31,"_",E31)</f>
        <v/>
      </c>
      <c r="C31" s="254" t="inlineStr">
        <is>
          <t>pdf</t>
        </is>
      </c>
      <c r="D31" s="279" t="inlineStr">
        <is>
          <t>MR1</t>
        </is>
      </c>
      <c r="E31" s="271" t="inlineStr">
        <is>
          <t>20B_ELO</t>
        </is>
      </c>
      <c r="F31" s="193">
        <f>CONCATENATE("ETR1000V300-",$D31,"-",$E31)</f>
        <v/>
      </c>
      <c r="G31" s="266">
        <f>CONCATENATE(F31,"-",H31)</f>
        <v/>
      </c>
      <c r="H31" s="203" t="inlineStr">
        <is>
          <t>02</t>
        </is>
      </c>
      <c r="I31" s="204" t="n">
        <v>45717</v>
      </c>
      <c r="J31" s="193">
        <f>$F31</f>
        <v/>
      </c>
      <c r="K31" s="266">
        <f>$G31</f>
        <v/>
      </c>
      <c r="L31" s="203">
        <f>$H31</f>
        <v/>
      </c>
      <c r="M31" s="204">
        <f>$I31</f>
        <v/>
      </c>
      <c r="N31" s="281" t="inlineStr">
        <is>
          <t>\</t>
        </is>
      </c>
      <c r="O31" s="282" t="inlineStr">
        <is>
          <t>\</t>
        </is>
      </c>
      <c r="P31" s="282" t="inlineStr">
        <is>
          <t>\</t>
        </is>
      </c>
      <c r="Q31" s="277" t="inlineStr">
        <is>
          <t>\</t>
        </is>
      </c>
      <c r="R31" s="283" t="n"/>
      <c r="S31" s="284" t="n"/>
      <c r="T31" s="284" t="n"/>
      <c r="U31" s="285" t="n"/>
      <c r="V31" s="260" t="n"/>
      <c r="W31" s="261" t="n"/>
      <c r="X31" s="267" t="n"/>
      <c r="Y31" s="262" t="n"/>
      <c r="Z31" s="283" t="n"/>
      <c r="AA31" s="284" t="n"/>
      <c r="AB31" s="284" t="n"/>
      <c r="AC31" s="285" t="n"/>
    </row>
    <row r="32" ht="30" customFormat="1" customHeight="1" s="83">
      <c r="A32" s="286" t="inlineStr">
        <is>
          <t>PGDJ DIS-JRU FTP - PRODOTTO GENERICO DIS-JRU (FT11P035105GE03B)</t>
        </is>
      </c>
      <c r="B32" s="279">
        <f>CONCATENATE(D32,"_",E32)</f>
        <v/>
      </c>
      <c r="C32" s="254" t="inlineStr">
        <is>
          <t>pdf</t>
        </is>
      </c>
      <c r="D32" s="279" t="inlineStr">
        <is>
          <t>MR1</t>
        </is>
      </c>
      <c r="E32" s="271" t="inlineStr">
        <is>
          <t>31A_JRU</t>
        </is>
      </c>
      <c r="F32" s="171">
        <f>CONCATENATE("ETR1000V300-",$D32,"-",$E32)</f>
        <v/>
      </c>
      <c r="G32" s="266">
        <f>CONCATENATE(F32,"-",H32)</f>
        <v/>
      </c>
      <c r="H32" s="200" t="inlineStr">
        <is>
          <t>\</t>
        </is>
      </c>
      <c r="I32" s="280" t="n">
        <v>44256</v>
      </c>
      <c r="J32" s="171">
        <f>$F32</f>
        <v/>
      </c>
      <c r="K32" s="266">
        <f>$G32</f>
        <v/>
      </c>
      <c r="L32" s="200">
        <f>$H32</f>
        <v/>
      </c>
      <c r="M32" s="280">
        <f>$I32</f>
        <v/>
      </c>
      <c r="N32" s="281" t="inlineStr">
        <is>
          <t>\</t>
        </is>
      </c>
      <c r="O32" s="282" t="inlineStr">
        <is>
          <t>\</t>
        </is>
      </c>
      <c r="P32" s="282" t="inlineStr">
        <is>
          <t>\</t>
        </is>
      </c>
      <c r="Q32" s="277" t="inlineStr">
        <is>
          <t>\</t>
        </is>
      </c>
      <c r="R32" s="283" t="n"/>
      <c r="S32" s="284" t="n"/>
      <c r="T32" s="284" t="n"/>
      <c r="U32" s="285" t="n"/>
      <c r="V32" s="260" t="n"/>
      <c r="W32" s="261" t="n"/>
      <c r="X32" s="267" t="n"/>
      <c r="Y32" s="262" t="n"/>
      <c r="Z32" s="283" t="n"/>
      <c r="AA32" s="284" t="n"/>
      <c r="AB32" s="284" t="n"/>
      <c r="AC32" s="285" t="n"/>
    </row>
    <row r="33">
      <c r="A33" s="270" t="inlineStr">
        <is>
          <t>Sistema informativo di condotta Generale (DIS)</t>
        </is>
      </c>
      <c r="B33" s="233">
        <f>CONCATENATE(D33,"_",E33)</f>
        <v/>
      </c>
      <c r="C33" s="254" t="inlineStr">
        <is>
          <t>pdf</t>
        </is>
      </c>
      <c r="D33" s="233" t="inlineStr">
        <is>
          <t>MR1</t>
        </is>
      </c>
      <c r="E33" s="233" t="inlineStr">
        <is>
          <t>31A</t>
        </is>
      </c>
      <c r="F33" s="193">
        <f>CONCATENATE("ETR1000V300-",$D33,"-",$E33)</f>
        <v/>
      </c>
      <c r="G33" s="266">
        <f>CONCATENATE(F33,"-",H33)</f>
        <v/>
      </c>
      <c r="H33" s="197" t="inlineStr">
        <is>
          <t>02</t>
        </is>
      </c>
      <c r="I33" s="196" t="inlineStr">
        <is>
          <t>gen-18</t>
        </is>
      </c>
      <c r="J33" s="193">
        <f>$F33</f>
        <v/>
      </c>
      <c r="K33" s="266">
        <f>$G33</f>
        <v/>
      </c>
      <c r="L33" s="197">
        <f>$H33</f>
        <v/>
      </c>
      <c r="M33" s="196">
        <f>$I33</f>
        <v/>
      </c>
      <c r="N33" s="272">
        <f>CONCATENATE("ETR1000V300_FR-",$D33,"-",$E33)</f>
        <v/>
      </c>
      <c r="O33" s="261">
        <f>CONCATENATE(N33,"-",P33)</f>
        <v/>
      </c>
      <c r="P33" s="267" t="inlineStr">
        <is>
          <t>01</t>
        </is>
      </c>
      <c r="Q33" s="262" t="n">
        <v>44136</v>
      </c>
      <c r="R33" s="260" t="n"/>
      <c r="S33" s="235" t="n"/>
      <c r="T33" s="235" t="n"/>
      <c r="U33" s="262" t="n"/>
      <c r="V33" s="260">
        <f>CONCATENATE("ETR1000V300_R1-",$D33,"-",$E33)</f>
        <v/>
      </c>
      <c r="W33" s="261">
        <f>CONCATENATE(V33,"-",X33)</f>
        <v/>
      </c>
      <c r="X33" s="267" t="inlineStr">
        <is>
          <t>04</t>
        </is>
      </c>
      <c r="Y33" s="276" t="inlineStr">
        <is>
          <t>gen-2026</t>
        </is>
      </c>
      <c r="Z33" s="268">
        <f>V33</f>
        <v/>
      </c>
      <c r="AA33" s="267">
        <f>W33</f>
        <v/>
      </c>
      <c r="AB33" s="267">
        <f>X33</f>
        <v/>
      </c>
      <c r="AC33" s="269">
        <f>Y33</f>
        <v/>
      </c>
    </row>
    <row r="34">
      <c r="A34" s="270" t="inlineStr">
        <is>
          <t>Cassa</t>
        </is>
      </c>
      <c r="B34" s="233">
        <f>CONCATENATE(D34,"_",E34)</f>
        <v/>
      </c>
      <c r="C34" s="254" t="inlineStr">
        <is>
          <t>pdf</t>
        </is>
      </c>
      <c r="D34" s="233" t="inlineStr">
        <is>
          <t>MR2</t>
        </is>
      </c>
      <c r="E34" s="233" t="inlineStr">
        <is>
          <t>01A</t>
        </is>
      </c>
      <c r="F34" s="193">
        <f>CONCATENATE("ETR1000V300-",$D34,"-",$E34)</f>
        <v/>
      </c>
      <c r="G34" s="266">
        <f>CONCATENATE(F34,"-",H34)</f>
        <v/>
      </c>
      <c r="H34" s="207" t="inlineStr">
        <is>
          <t>07</t>
        </is>
      </c>
      <c r="I34" s="204" t="n">
        <v>46113</v>
      </c>
      <c r="J34" s="193">
        <f>$F34</f>
        <v/>
      </c>
      <c r="K34" s="266">
        <f>$G34</f>
        <v/>
      </c>
      <c r="L34" s="207">
        <f>$H34</f>
        <v/>
      </c>
      <c r="M34" s="204">
        <f>$I34</f>
        <v/>
      </c>
      <c r="N34" s="272">
        <f>CONCATENATE("ETR1000V300_FR-",$D34,"-",$E34)</f>
        <v/>
      </c>
      <c r="O34" s="261">
        <f>CONCATENATE(N34,"-",P34)</f>
        <v/>
      </c>
      <c r="P34" s="267" t="inlineStr">
        <is>
          <t>01</t>
        </is>
      </c>
      <c r="Q34" s="262" t="n">
        <v>44105</v>
      </c>
      <c r="R34" s="260" t="n"/>
      <c r="S34" s="235" t="n"/>
      <c r="T34" s="235" t="n"/>
      <c r="U34" s="262" t="n"/>
      <c r="V34" s="260">
        <f>CONCATENATE("ETR1000V300_R1-",$D34,"-",$E34)</f>
        <v/>
      </c>
      <c r="W34" s="261">
        <f>CONCATENATE(V34,"-",X34)</f>
        <v/>
      </c>
      <c r="X34" s="267" t="inlineStr">
        <is>
          <t>02</t>
        </is>
      </c>
      <c r="Y34" s="287" t="n">
        <v>45809</v>
      </c>
      <c r="Z34" s="260">
        <f>V34</f>
        <v/>
      </c>
      <c r="AA34" s="235">
        <f>W34</f>
        <v/>
      </c>
      <c r="AB34" s="235">
        <f>X34</f>
        <v/>
      </c>
      <c r="AC34" s="262">
        <f>Y34</f>
        <v/>
      </c>
    </row>
    <row r="35">
      <c r="A35" s="270" t="inlineStr">
        <is>
          <t>Carrello</t>
        </is>
      </c>
      <c r="B35" s="233">
        <f>CONCATENATE(D35,"_",E35)</f>
        <v/>
      </c>
      <c r="C35" s="254" t="inlineStr">
        <is>
          <t>pdf</t>
        </is>
      </c>
      <c r="D35" s="233" t="inlineStr">
        <is>
          <t>MR2</t>
        </is>
      </c>
      <c r="E35" s="233" t="inlineStr">
        <is>
          <t>02A</t>
        </is>
      </c>
      <c r="F35" s="193">
        <f>CONCATENATE("ETR1000V300-",$D35,"-",$E35)</f>
        <v/>
      </c>
      <c r="G35" s="266">
        <f>CONCATENATE(F35,"-",H35)</f>
        <v/>
      </c>
      <c r="H35" s="207" t="n">
        <v>13</v>
      </c>
      <c r="I35" s="204" t="n">
        <v>46113</v>
      </c>
      <c r="J35" s="193">
        <f>$F35</f>
        <v/>
      </c>
      <c r="K35" s="266">
        <f>$G35</f>
        <v/>
      </c>
      <c r="L35" s="207">
        <f>$H35</f>
        <v/>
      </c>
      <c r="M35" s="204">
        <f>$I35</f>
        <v/>
      </c>
      <c r="N35" s="272">
        <f>CONCATENATE("ETR1000V300_FR-",$D35,"-",$E35)</f>
        <v/>
      </c>
      <c r="O35" s="261">
        <f>CONCATENATE(N35,"-",P35)</f>
        <v/>
      </c>
      <c r="P35" s="267" t="inlineStr">
        <is>
          <t>03</t>
        </is>
      </c>
      <c r="Q35" s="262" t="n">
        <v>44713</v>
      </c>
      <c r="R35" s="260" t="n"/>
      <c r="S35" s="235" t="n"/>
      <c r="T35" s="235" t="n"/>
      <c r="U35" s="262" t="n"/>
      <c r="V35" s="260">
        <f>CONCATENATE("ETR1000V300_R1-",$D35,"-",$E35)</f>
        <v/>
      </c>
      <c r="W35" s="261">
        <f>CONCATENATE(V35,"-",X35)</f>
        <v/>
      </c>
      <c r="X35" s="267" t="inlineStr">
        <is>
          <t>04</t>
        </is>
      </c>
      <c r="Y35" s="287" t="n">
        <v>45901</v>
      </c>
      <c r="Z35" s="260">
        <f>V35</f>
        <v/>
      </c>
      <c r="AA35" s="235">
        <f>W35</f>
        <v/>
      </c>
      <c r="AB35" s="235">
        <f>X35</f>
        <v/>
      </c>
      <c r="AC35" s="262">
        <f>Y35</f>
        <v/>
      </c>
    </row>
    <row r="36">
      <c r="A36" s="270" t="inlineStr">
        <is>
          <t>Impianto pneumatico e freno</t>
        </is>
      </c>
      <c r="B36" s="233">
        <f>CONCATENATE(D36,"_",E36)</f>
        <v/>
      </c>
      <c r="C36" s="254" t="inlineStr">
        <is>
          <t>pdf</t>
        </is>
      </c>
      <c r="D36" s="233" t="inlineStr">
        <is>
          <t>MR2</t>
        </is>
      </c>
      <c r="E36" s="233" t="inlineStr">
        <is>
          <t>03A</t>
        </is>
      </c>
      <c r="F36" s="193">
        <f>CONCATENATE("ETR1000V300-",$D36,"-",$E36)</f>
        <v/>
      </c>
      <c r="G36" s="266">
        <f>CONCATENATE(F36,"-",H36)</f>
        <v/>
      </c>
      <c r="H36" s="207" t="inlineStr">
        <is>
          <t>06</t>
        </is>
      </c>
      <c r="I36" s="204" t="n">
        <v>46113</v>
      </c>
      <c r="J36" s="193">
        <f>$F36</f>
        <v/>
      </c>
      <c r="K36" s="266">
        <f>$G36</f>
        <v/>
      </c>
      <c r="L36" s="207">
        <f>$H36</f>
        <v/>
      </c>
      <c r="M36" s="204">
        <f>$I36</f>
        <v/>
      </c>
      <c r="N36" s="272">
        <f>CONCATENATE("ETR1000V300_FR-",$D36,"-",$E36)</f>
        <v/>
      </c>
      <c r="O36" s="261">
        <f>CONCATENATE(N36,"-",P36)</f>
        <v/>
      </c>
      <c r="P36" s="267" t="inlineStr">
        <is>
          <t>02</t>
        </is>
      </c>
      <c r="Q36" s="262" t="n">
        <v>44713</v>
      </c>
      <c r="R36" s="260" t="n"/>
      <c r="S36" s="235" t="n"/>
      <c r="T36" s="235" t="n"/>
      <c r="U36" s="262" t="n"/>
      <c r="V36" s="260">
        <f>CONCATENATE("ETR1000V300_R1-",$D36,"-",$E36)</f>
        <v/>
      </c>
      <c r="W36" s="261">
        <f>CONCATENATE(V36,"-",X36)</f>
        <v/>
      </c>
      <c r="X36" s="267" t="inlineStr">
        <is>
          <t>02</t>
        </is>
      </c>
      <c r="Y36" s="287" t="n">
        <v>45809</v>
      </c>
      <c r="Z36" s="260">
        <f>V36</f>
        <v/>
      </c>
      <c r="AA36" s="235">
        <f>W36</f>
        <v/>
      </c>
      <c r="AB36" s="235">
        <f>X36</f>
        <v/>
      </c>
      <c r="AC36" s="262">
        <f>Y36</f>
        <v/>
      </c>
    </row>
    <row r="37">
      <c r="A37" s="270" t="inlineStr">
        <is>
          <t>Equipaggiamento elettrico ed elettropneumatico</t>
        </is>
      </c>
      <c r="B37" s="233">
        <f>CONCATENATE(D37,"_",E37)</f>
        <v/>
      </c>
      <c r="C37" s="254" t="inlineStr">
        <is>
          <t>pdf</t>
        </is>
      </c>
      <c r="D37" s="233" t="inlineStr">
        <is>
          <t>MR2</t>
        </is>
      </c>
      <c r="E37" s="271" t="inlineStr">
        <is>
          <t>04A</t>
        </is>
      </c>
      <c r="F37" s="193">
        <f>CONCATENATE("ETR1000V300-",$D37,"-",$E37)</f>
        <v/>
      </c>
      <c r="G37" s="266">
        <f>CONCATENATE(F37,"-",H37)</f>
        <v/>
      </c>
      <c r="H37" s="207" t="n">
        <v>10</v>
      </c>
      <c r="I37" s="204" t="n">
        <v>46113</v>
      </c>
      <c r="J37" s="193">
        <f>$F37</f>
        <v/>
      </c>
      <c r="K37" s="266">
        <f>$G37</f>
        <v/>
      </c>
      <c r="L37" s="207">
        <f>$H37</f>
        <v/>
      </c>
      <c r="M37" s="204">
        <f>$I37</f>
        <v/>
      </c>
      <c r="N37" s="272">
        <f>CONCATENATE("ETR1000V300_FR-",$D37,"-",$E37)</f>
        <v/>
      </c>
      <c r="O37" s="261">
        <f>CONCATENATE(N37,"-",P37)</f>
        <v/>
      </c>
      <c r="P37" s="267" t="inlineStr">
        <is>
          <t>05</t>
        </is>
      </c>
      <c r="Q37" s="262" t="n">
        <v>45931</v>
      </c>
      <c r="R37" s="260" t="n"/>
      <c r="S37" s="235" t="n"/>
      <c r="T37" s="235" t="n"/>
      <c r="U37" s="262" t="n"/>
      <c r="V37" s="260">
        <f>CONCATENATE("ETR1000V300_R1-",$D37,"-",$E37)</f>
        <v/>
      </c>
      <c r="W37" s="261">
        <f>CONCATENATE(V37,"-",X37)</f>
        <v/>
      </c>
      <c r="X37" s="267" t="inlineStr">
        <is>
          <t>02</t>
        </is>
      </c>
      <c r="Y37" s="287" t="n">
        <v>45809</v>
      </c>
      <c r="Z37" s="260">
        <f>V37</f>
        <v/>
      </c>
      <c r="AA37" s="235">
        <f>W37</f>
        <v/>
      </c>
      <c r="AB37" s="235">
        <f>X37</f>
        <v/>
      </c>
      <c r="AC37" s="262">
        <f>Y37</f>
        <v/>
      </c>
    </row>
    <row r="38">
      <c r="A38" s="270" t="inlineStr">
        <is>
          <t>Logica di comando</t>
        </is>
      </c>
      <c r="B38" s="233">
        <f>CONCATENATE(D38,"_",E38)</f>
        <v/>
      </c>
      <c r="C38" s="254" t="inlineStr">
        <is>
          <t>pdf</t>
        </is>
      </c>
      <c r="D38" s="233" t="inlineStr">
        <is>
          <t>MR2</t>
        </is>
      </c>
      <c r="E38" s="233" t="inlineStr">
        <is>
          <t>05A</t>
        </is>
      </c>
      <c r="F38" s="193">
        <f>CONCATENATE("ETR1000V300-",$D38,"-",$E38)</f>
        <v/>
      </c>
      <c r="G38" s="266">
        <f>CONCATENATE(F38,"-",H38)</f>
        <v/>
      </c>
      <c r="H38" s="207" t="inlineStr">
        <is>
          <t>03</t>
        </is>
      </c>
      <c r="I38" s="204" t="n">
        <v>46113</v>
      </c>
      <c r="J38" s="193">
        <f>$F38</f>
        <v/>
      </c>
      <c r="K38" s="266">
        <f>$G38</f>
        <v/>
      </c>
      <c r="L38" s="207">
        <f>$H38</f>
        <v/>
      </c>
      <c r="M38" s="204">
        <f>$I38</f>
        <v/>
      </c>
      <c r="N38" s="260">
        <f>$F38</f>
        <v/>
      </c>
      <c r="O38" s="235">
        <f>$G38</f>
        <v/>
      </c>
      <c r="P38" s="235">
        <f>$H38</f>
        <v/>
      </c>
      <c r="Q38" s="262">
        <f>$I38</f>
        <v/>
      </c>
      <c r="R38" s="260" t="n"/>
      <c r="S38" s="235" t="n"/>
      <c r="T38" s="235" t="n"/>
      <c r="U38" s="262" t="n"/>
      <c r="V38" s="260">
        <f>CONCATENATE("ETR1000V300_R1-",$D38,"-",$E38)</f>
        <v/>
      </c>
      <c r="W38" s="261">
        <f>CONCATENATE(V38,"-",X38)</f>
        <v/>
      </c>
      <c r="X38" s="267" t="inlineStr">
        <is>
          <t>03</t>
        </is>
      </c>
      <c r="Y38" s="287" t="n">
        <v>45931</v>
      </c>
      <c r="Z38" s="260">
        <f>V38</f>
        <v/>
      </c>
      <c r="AA38" s="235">
        <f>W38</f>
        <v/>
      </c>
      <c r="AB38" s="235">
        <f>X38</f>
        <v/>
      </c>
      <c r="AC38" s="262">
        <f>Y38</f>
        <v/>
      </c>
    </row>
    <row r="39">
      <c r="A39" s="270" t="inlineStr">
        <is>
          <t>Logica di comando - Nodo TCN</t>
        </is>
      </c>
      <c r="B39" s="233">
        <f>CONCATENATE(D39,"_",E39)</f>
        <v/>
      </c>
      <c r="C39" s="254" t="inlineStr">
        <is>
          <t>pdf</t>
        </is>
      </c>
      <c r="D39" s="233" t="inlineStr">
        <is>
          <t>MR2</t>
        </is>
      </c>
      <c r="E39" s="233" t="inlineStr">
        <is>
          <t>05B</t>
        </is>
      </c>
      <c r="F39" s="193">
        <f>CONCATENATE("ETR1000V300-",$D39,"-",$E39)</f>
        <v/>
      </c>
      <c r="G39" s="266">
        <f>CONCATENATE(F39,"-",H39)</f>
        <v/>
      </c>
      <c r="H39" s="197" t="inlineStr">
        <is>
          <t>02</t>
        </is>
      </c>
      <c r="I39" s="196" t="inlineStr">
        <is>
          <t>giu-17</t>
        </is>
      </c>
      <c r="J39" s="193">
        <f>$F39</f>
        <v/>
      </c>
      <c r="K39" s="266">
        <f>$G39</f>
        <v/>
      </c>
      <c r="L39" s="197">
        <f>$H39</f>
        <v/>
      </c>
      <c r="M39" s="196">
        <f>$I39</f>
        <v/>
      </c>
      <c r="N39" s="260">
        <f>$F39</f>
        <v/>
      </c>
      <c r="O39" s="235">
        <f>$G39</f>
        <v/>
      </c>
      <c r="P39" s="235">
        <f>$H39</f>
        <v/>
      </c>
      <c r="Q39" s="262">
        <f>$I39</f>
        <v/>
      </c>
      <c r="R39" s="260" t="n"/>
      <c r="S39" s="235" t="n"/>
      <c r="T39" s="235" t="n"/>
      <c r="U39" s="262" t="n"/>
      <c r="V39" s="260" t="n"/>
      <c r="W39" s="235" t="n"/>
      <c r="X39" s="235" t="n"/>
      <c r="Y39" s="236" t="n"/>
      <c r="Z39" s="260" t="n"/>
      <c r="AA39" s="235" t="n"/>
      <c r="AB39" s="235" t="n"/>
      <c r="AC39" s="262" t="n"/>
    </row>
    <row r="40">
      <c r="A40" s="270" t="inlineStr">
        <is>
          <t>Azionamento di trazione</t>
        </is>
      </c>
      <c r="B40" s="233">
        <f>CONCATENATE(D40,"_",E40)</f>
        <v/>
      </c>
      <c r="C40" s="254" t="inlineStr">
        <is>
          <t>pdf</t>
        </is>
      </c>
      <c r="D40" s="233" t="inlineStr">
        <is>
          <t>MR2</t>
        </is>
      </c>
      <c r="E40" s="233" t="inlineStr">
        <is>
          <t>06A</t>
        </is>
      </c>
      <c r="F40" s="193">
        <f>CONCATENATE("ETR1000V300-",$D40,"-",$E40)</f>
        <v/>
      </c>
      <c r="G40" s="266">
        <f>CONCATENATE(F40,"-",H40)</f>
        <v/>
      </c>
      <c r="H40" s="207" t="inlineStr">
        <is>
          <t>04</t>
        </is>
      </c>
      <c r="I40" s="204" t="n">
        <v>46113</v>
      </c>
      <c r="J40" s="193">
        <f>$F40</f>
        <v/>
      </c>
      <c r="K40" s="266">
        <f>$G40</f>
        <v/>
      </c>
      <c r="L40" s="207">
        <f>$H40</f>
        <v/>
      </c>
      <c r="M40" s="204">
        <f>$I40</f>
        <v/>
      </c>
      <c r="N40" s="260">
        <f>$F40</f>
        <v/>
      </c>
      <c r="O40" s="235">
        <f>$G40</f>
        <v/>
      </c>
      <c r="P40" s="235">
        <f>$H40</f>
        <v/>
      </c>
      <c r="Q40" s="262">
        <f>$I40</f>
        <v/>
      </c>
      <c r="R40" s="260" t="n"/>
      <c r="S40" s="235" t="n"/>
      <c r="T40" s="235" t="n"/>
      <c r="U40" s="262" t="n"/>
      <c r="V40" s="260">
        <f>CONCATENATE("ETR1000V300_R1-",$D40,"-",$E40)</f>
        <v/>
      </c>
      <c r="W40" s="261">
        <f>CONCATENATE(V40,"-",X40)</f>
        <v/>
      </c>
      <c r="X40" s="267" t="inlineStr">
        <is>
          <t>02</t>
        </is>
      </c>
      <c r="Y40" s="287" t="n">
        <v>45809</v>
      </c>
      <c r="Z40" s="260">
        <f>V40</f>
        <v/>
      </c>
      <c r="AA40" s="235">
        <f>W40</f>
        <v/>
      </c>
      <c r="AB40" s="235">
        <f>X40</f>
        <v/>
      </c>
      <c r="AC40" s="262">
        <f>Y40</f>
        <v/>
      </c>
    </row>
    <row r="41">
      <c r="A41" s="270" t="inlineStr">
        <is>
          <t>Motore di trazione</t>
        </is>
      </c>
      <c r="B41" s="233">
        <f>CONCATENATE(D41,"_",E41)</f>
        <v/>
      </c>
      <c r="C41" s="254" t="inlineStr">
        <is>
          <t>pdf</t>
        </is>
      </c>
      <c r="D41" s="233" t="inlineStr">
        <is>
          <t>MR2</t>
        </is>
      </c>
      <c r="E41" s="233" t="inlineStr">
        <is>
          <t>07A</t>
        </is>
      </c>
      <c r="F41" s="193">
        <f>CONCATENATE("ETR1000V300-",$D41,"-",$E41)</f>
        <v/>
      </c>
      <c r="G41" s="266">
        <f>CONCATENATE(F41,"-",H41)</f>
        <v/>
      </c>
      <c r="H41" s="207" t="inlineStr">
        <is>
          <t>05</t>
        </is>
      </c>
      <c r="I41" s="204" t="n">
        <v>46113</v>
      </c>
      <c r="J41" s="193">
        <f>$F41</f>
        <v/>
      </c>
      <c r="K41" s="266">
        <f>$G41</f>
        <v/>
      </c>
      <c r="L41" s="207">
        <f>$H41</f>
        <v/>
      </c>
      <c r="M41" s="204">
        <f>$I41</f>
        <v/>
      </c>
      <c r="N41" s="260">
        <f>$F41</f>
        <v/>
      </c>
      <c r="O41" s="235">
        <f>$G41</f>
        <v/>
      </c>
      <c r="P41" s="235">
        <f>$H41</f>
        <v/>
      </c>
      <c r="Q41" s="262">
        <f>$I41</f>
        <v/>
      </c>
      <c r="R41" s="260" t="n"/>
      <c r="S41" s="235" t="n"/>
      <c r="T41" s="235" t="n"/>
      <c r="U41" s="262" t="n"/>
      <c r="V41" s="260">
        <f>CONCATENATE("ETR1000V300_R1-",$D41,"-",$E41)</f>
        <v/>
      </c>
      <c r="W41" s="261">
        <f>CONCATENATE(V41,"-",X41)</f>
        <v/>
      </c>
      <c r="X41" s="267" t="inlineStr">
        <is>
          <t>03</t>
        </is>
      </c>
      <c r="Y41" s="287" t="n">
        <v>45931</v>
      </c>
      <c r="Z41" s="260">
        <f>V41</f>
        <v/>
      </c>
      <c r="AA41" s="235">
        <f>W41</f>
        <v/>
      </c>
      <c r="AB41" s="235">
        <f>X41</f>
        <v/>
      </c>
      <c r="AC41" s="262">
        <f>Y41</f>
        <v/>
      </c>
    </row>
    <row r="42">
      <c r="A42" s="270" t="inlineStr">
        <is>
          <t>Passaggi esterni</t>
        </is>
      </c>
      <c r="B42" s="233">
        <f>CONCATENATE(D42,"_",E42)</f>
        <v/>
      </c>
      <c r="C42" s="254" t="inlineStr">
        <is>
          <t>pdf</t>
        </is>
      </c>
      <c r="D42" s="233" t="inlineStr">
        <is>
          <t>MR2</t>
        </is>
      </c>
      <c r="E42" s="233" t="inlineStr">
        <is>
          <t>08A</t>
        </is>
      </c>
      <c r="F42" s="193">
        <f>CONCATENATE("ETR1000V300-",$D42,"-",$E42)</f>
        <v/>
      </c>
      <c r="G42" s="266">
        <f>CONCATENATE(F42,"-",H42)</f>
        <v/>
      </c>
      <c r="H42" s="207" t="inlineStr">
        <is>
          <t>04</t>
        </is>
      </c>
      <c r="I42" s="204" t="n">
        <v>46113</v>
      </c>
      <c r="J42" s="193">
        <f>$F42</f>
        <v/>
      </c>
      <c r="K42" s="266">
        <f>$G42</f>
        <v/>
      </c>
      <c r="L42" s="207">
        <f>$H42</f>
        <v/>
      </c>
      <c r="M42" s="204">
        <f>$I42</f>
        <v/>
      </c>
      <c r="N42" s="260">
        <f>$F42</f>
        <v/>
      </c>
      <c r="O42" s="235">
        <f>$G42</f>
        <v/>
      </c>
      <c r="P42" s="235">
        <f>$H42</f>
        <v/>
      </c>
      <c r="Q42" s="262">
        <f>$I42</f>
        <v/>
      </c>
      <c r="R42" s="260" t="n"/>
      <c r="S42" s="235" t="n"/>
      <c r="T42" s="235" t="n"/>
      <c r="U42" s="262" t="n"/>
      <c r="V42" s="260">
        <f>CONCATENATE("ETR1000V300_R1-",$D42,"-",$E42)</f>
        <v/>
      </c>
      <c r="W42" s="261">
        <f>CONCATENATE(V42,"-",X42)</f>
        <v/>
      </c>
      <c r="X42" s="267" t="inlineStr">
        <is>
          <t>03</t>
        </is>
      </c>
      <c r="Y42" s="287" t="n">
        <v>45931</v>
      </c>
      <c r="Z42" s="260">
        <f>V42</f>
        <v/>
      </c>
      <c r="AA42" s="235">
        <f>W42</f>
        <v/>
      </c>
      <c r="AB42" s="235">
        <f>X42</f>
        <v/>
      </c>
      <c r="AC42" s="262">
        <f>Y42</f>
        <v/>
      </c>
    </row>
    <row r="43">
      <c r="A43" s="270" t="inlineStr">
        <is>
          <t>Sottosistema di climatizzazione</t>
        </is>
      </c>
      <c r="B43" s="233">
        <f>CONCATENATE(D43,"_",E43)</f>
        <v/>
      </c>
      <c r="C43" s="254" t="inlineStr">
        <is>
          <t>pdf</t>
        </is>
      </c>
      <c r="D43" s="233" t="inlineStr">
        <is>
          <t>MR2</t>
        </is>
      </c>
      <c r="E43" s="233" t="inlineStr">
        <is>
          <t>09A</t>
        </is>
      </c>
      <c r="F43" s="193">
        <f>CONCATENATE("ETR1000V300-",$D43,"-",$E43)</f>
        <v/>
      </c>
      <c r="G43" s="266">
        <f>CONCATENATE(F43,"-",H43)</f>
        <v/>
      </c>
      <c r="H43" s="207" t="inlineStr">
        <is>
          <t>04</t>
        </is>
      </c>
      <c r="I43" s="204" t="n">
        <v>46113</v>
      </c>
      <c r="J43" s="193">
        <f>$F43</f>
        <v/>
      </c>
      <c r="K43" s="266">
        <f>$G43</f>
        <v/>
      </c>
      <c r="L43" s="207">
        <f>$H43</f>
        <v/>
      </c>
      <c r="M43" s="204">
        <f>$I43</f>
        <v/>
      </c>
      <c r="N43" s="260">
        <f>$F43</f>
        <v/>
      </c>
      <c r="O43" s="235">
        <f>$G43</f>
        <v/>
      </c>
      <c r="P43" s="235">
        <f>$H43</f>
        <v/>
      </c>
      <c r="Q43" s="262">
        <f>$I43</f>
        <v/>
      </c>
      <c r="R43" s="260" t="n"/>
      <c r="S43" s="235" t="n"/>
      <c r="T43" s="235" t="n"/>
      <c r="U43" s="262" t="n"/>
      <c r="V43" s="260">
        <f>CONCATENATE("ETR1000V300_R1-",$D43,"-",$E43)</f>
        <v/>
      </c>
      <c r="W43" s="261">
        <f>CONCATENATE(V43,"-",X43)</f>
        <v/>
      </c>
      <c r="X43" s="267" t="inlineStr">
        <is>
          <t>03</t>
        </is>
      </c>
      <c r="Y43" s="287" t="n">
        <v>45931</v>
      </c>
      <c r="Z43" s="260">
        <f>V43</f>
        <v/>
      </c>
      <c r="AA43" s="235">
        <f>W43</f>
        <v/>
      </c>
      <c r="AB43" s="235">
        <f>X43</f>
        <v/>
      </c>
      <c r="AC43" s="262">
        <f>Y43</f>
        <v/>
      </c>
    </row>
    <row r="44">
      <c r="A44" s="270" t="inlineStr">
        <is>
          <t>Convertitore servizi ausiliari e caricabatterie</t>
        </is>
      </c>
      <c r="B44" s="233">
        <f>CONCATENATE(D44,"_",E44)</f>
        <v/>
      </c>
      <c r="C44" s="254" t="inlineStr">
        <is>
          <t>pdf</t>
        </is>
      </c>
      <c r="D44" s="233" t="inlineStr">
        <is>
          <t>MR2</t>
        </is>
      </c>
      <c r="E44" s="233" t="inlineStr">
        <is>
          <t>11A</t>
        </is>
      </c>
      <c r="F44" s="193">
        <f>CONCATENATE("ETR1000V300-",$D44,"-",$E44)</f>
        <v/>
      </c>
      <c r="G44" s="266">
        <f>CONCATENATE(F44,"-",H44)</f>
        <v/>
      </c>
      <c r="H44" s="207" t="inlineStr">
        <is>
          <t>03</t>
        </is>
      </c>
      <c r="I44" s="204" t="n">
        <v>46113</v>
      </c>
      <c r="J44" s="193">
        <f>$F44</f>
        <v/>
      </c>
      <c r="K44" s="266">
        <f>$G44</f>
        <v/>
      </c>
      <c r="L44" s="207">
        <f>$H44</f>
        <v/>
      </c>
      <c r="M44" s="204">
        <f>$I44</f>
        <v/>
      </c>
      <c r="N44" s="260">
        <f>$F44</f>
        <v/>
      </c>
      <c r="O44" s="235">
        <f>$G44</f>
        <v/>
      </c>
      <c r="P44" s="235">
        <f>$H44</f>
        <v/>
      </c>
      <c r="Q44" s="262">
        <f>$I44</f>
        <v/>
      </c>
      <c r="R44" s="260" t="n"/>
      <c r="S44" s="235" t="n"/>
      <c r="T44" s="235" t="n"/>
      <c r="U44" s="262" t="n"/>
      <c r="V44" s="260">
        <f>CONCATENATE("ETR1000V300_R1-",$D44,"-",$E44)</f>
        <v/>
      </c>
      <c r="W44" s="261">
        <f>CONCATENATE(V44,"-",X44)</f>
        <v/>
      </c>
      <c r="X44" s="267" t="inlineStr">
        <is>
          <t>02</t>
        </is>
      </c>
      <c r="Y44" s="287" t="n">
        <v>45809</v>
      </c>
      <c r="Z44" s="260">
        <f>V44</f>
        <v/>
      </c>
      <c r="AA44" s="235">
        <f>W44</f>
        <v/>
      </c>
      <c r="AB44" s="235">
        <f>X44</f>
        <v/>
      </c>
      <c r="AC44" s="262">
        <f>Y44</f>
        <v/>
      </c>
    </row>
    <row r="45">
      <c r="A45" s="270" t="inlineStr">
        <is>
          <t>Sottosistema diagnostica di bordo</t>
        </is>
      </c>
      <c r="B45" s="233">
        <f>CONCATENATE(D45,"_",E45)</f>
        <v/>
      </c>
      <c r="C45" s="254" t="inlineStr">
        <is>
          <t>pdf</t>
        </is>
      </c>
      <c r="D45" s="233" t="inlineStr">
        <is>
          <t>MR2</t>
        </is>
      </c>
      <c r="E45" s="233" t="inlineStr">
        <is>
          <t>13A</t>
        </is>
      </c>
      <c r="F45" s="193">
        <f>CONCATENATE("ETR1000V300-",$D45,"-",$E45)</f>
        <v/>
      </c>
      <c r="G45" s="266">
        <f>CONCATENATE(F45,"-",H45)</f>
        <v/>
      </c>
      <c r="H45" s="207" t="inlineStr">
        <is>
          <t>03</t>
        </is>
      </c>
      <c r="I45" s="204" t="n">
        <v>46113</v>
      </c>
      <c r="J45" s="193">
        <f>$F45</f>
        <v/>
      </c>
      <c r="K45" s="266">
        <f>$G45</f>
        <v/>
      </c>
      <c r="L45" s="207">
        <f>$H45</f>
        <v/>
      </c>
      <c r="M45" s="204">
        <f>$I45</f>
        <v/>
      </c>
      <c r="N45" s="260">
        <f>$F45</f>
        <v/>
      </c>
      <c r="O45" s="235">
        <f>$G45</f>
        <v/>
      </c>
      <c r="P45" s="235">
        <f>$H45</f>
        <v/>
      </c>
      <c r="Q45" s="262">
        <f>$I45</f>
        <v/>
      </c>
      <c r="R45" s="260" t="n"/>
      <c r="S45" s="235" t="n"/>
      <c r="T45" s="235" t="n"/>
      <c r="U45" s="262" t="n"/>
      <c r="V45" s="260">
        <f>CONCATENATE("ETR1000V300_R1-",$D45,"-",$E45)</f>
        <v/>
      </c>
      <c r="W45" s="261">
        <f>CONCATENATE(V45,"-",X45)</f>
        <v/>
      </c>
      <c r="X45" s="267" t="inlineStr">
        <is>
          <t>03</t>
        </is>
      </c>
      <c r="Y45" s="287" t="n">
        <v>45931</v>
      </c>
      <c r="Z45" s="260">
        <f>V45</f>
        <v/>
      </c>
      <c r="AA45" s="235">
        <f>W45</f>
        <v/>
      </c>
      <c r="AB45" s="235">
        <f>X45</f>
        <v/>
      </c>
      <c r="AC45" s="262">
        <f>Y45</f>
        <v/>
      </c>
    </row>
    <row r="46">
      <c r="A46" s="270" t="inlineStr">
        <is>
          <t>Allestimenti interni</t>
        </is>
      </c>
      <c r="B46" s="233">
        <f>CONCATENATE(D46,"_",E46)</f>
        <v/>
      </c>
      <c r="C46" s="254" t="inlineStr">
        <is>
          <t>pdf</t>
        </is>
      </c>
      <c r="D46" s="233" t="inlineStr">
        <is>
          <t>MR2</t>
        </is>
      </c>
      <c r="E46" s="233" t="inlineStr">
        <is>
          <t>14A</t>
        </is>
      </c>
      <c r="F46" s="193">
        <f>CONCATENATE("ETR1000V300-",$D46,"-",$E46)</f>
        <v/>
      </c>
      <c r="G46" s="266">
        <f>CONCATENATE(F46,"-",H46)</f>
        <v/>
      </c>
      <c r="H46" s="207" t="inlineStr">
        <is>
          <t>05</t>
        </is>
      </c>
      <c r="I46" s="204" t="n">
        <v>46113</v>
      </c>
      <c r="J46" s="193">
        <f>$F46</f>
        <v/>
      </c>
      <c r="K46" s="266">
        <f>$G46</f>
        <v/>
      </c>
      <c r="L46" s="207">
        <f>$H46</f>
        <v/>
      </c>
      <c r="M46" s="204">
        <f>$I46</f>
        <v/>
      </c>
      <c r="N46" s="260">
        <f>$F46</f>
        <v/>
      </c>
      <c r="O46" s="235">
        <f>$G46</f>
        <v/>
      </c>
      <c r="P46" s="235">
        <f>$H46</f>
        <v/>
      </c>
      <c r="Q46" s="262">
        <f>$I46</f>
        <v/>
      </c>
      <c r="R46" s="260" t="n"/>
      <c r="S46" s="235" t="n"/>
      <c r="T46" s="235" t="n"/>
      <c r="U46" s="262" t="n"/>
      <c r="V46" s="260">
        <f>CONCATENATE("ETR1000V300_R1-",$D46,"-",$E46)</f>
        <v/>
      </c>
      <c r="W46" s="261">
        <f>CONCATENATE(V46,"-",X46)</f>
        <v/>
      </c>
      <c r="X46" s="267" t="inlineStr">
        <is>
          <t>02</t>
        </is>
      </c>
      <c r="Y46" s="287" t="n">
        <v>45809</v>
      </c>
      <c r="Z46" s="260">
        <f>V46</f>
        <v/>
      </c>
      <c r="AA46" s="235">
        <f>W46</f>
        <v/>
      </c>
      <c r="AB46" s="235">
        <f>X46</f>
        <v/>
      </c>
      <c r="AC46" s="262">
        <f>Y46</f>
        <v/>
      </c>
    </row>
    <row r="47">
      <c r="A47" s="270" t="inlineStr">
        <is>
          <t>Allestimenti interni - Arredi comparto e cabina di guida</t>
        </is>
      </c>
      <c r="B47" s="233">
        <f>CONCATENATE(D47,"_",E47)</f>
        <v/>
      </c>
      <c r="C47" s="254" t="inlineStr">
        <is>
          <t>pdf</t>
        </is>
      </c>
      <c r="D47" s="233" t="inlineStr">
        <is>
          <t>MR2</t>
        </is>
      </c>
      <c r="E47" s="233" t="inlineStr">
        <is>
          <t>14B</t>
        </is>
      </c>
      <c r="F47" s="193" t="inlineStr">
        <is>
          <t>\</t>
        </is>
      </c>
      <c r="G47" s="266" t="inlineStr">
        <is>
          <t>\</t>
        </is>
      </c>
      <c r="H47" s="197" t="inlineStr">
        <is>
          <t>\</t>
        </is>
      </c>
      <c r="I47" s="280" t="inlineStr">
        <is>
          <t>\</t>
        </is>
      </c>
      <c r="J47" s="193">
        <f>$F47</f>
        <v/>
      </c>
      <c r="K47" s="266">
        <f>$G47</f>
        <v/>
      </c>
      <c r="L47" s="197">
        <f>$H47</f>
        <v/>
      </c>
      <c r="M47" s="280">
        <f>$I47</f>
        <v/>
      </c>
      <c r="N47" s="260">
        <f>$F47</f>
        <v/>
      </c>
      <c r="O47" s="235">
        <f>$G47</f>
        <v/>
      </c>
      <c r="P47" s="235">
        <f>$H47</f>
        <v/>
      </c>
      <c r="Q47" s="262">
        <f>$I47</f>
        <v/>
      </c>
      <c r="R47" s="260" t="n"/>
      <c r="S47" s="235" t="n"/>
      <c r="T47" s="235" t="n"/>
      <c r="U47" s="262" t="n"/>
      <c r="V47" s="260">
        <f>CONCATENATE("ETR1000V300_R1-",$D47,"-",$E47)</f>
        <v/>
      </c>
      <c r="W47" s="261">
        <f>CONCATENATE(V47,"-",X47)</f>
        <v/>
      </c>
      <c r="X47" s="267" t="inlineStr">
        <is>
          <t>02</t>
        </is>
      </c>
      <c r="Y47" s="287" t="n">
        <v>45809</v>
      </c>
      <c r="Z47" s="260">
        <f>V47</f>
        <v/>
      </c>
      <c r="AA47" s="235">
        <f>W47</f>
        <v/>
      </c>
      <c r="AB47" s="235">
        <f>X47</f>
        <v/>
      </c>
      <c r="AC47" s="262">
        <f>Y47</f>
        <v/>
      </c>
    </row>
    <row r="48">
      <c r="A48" s="270" t="inlineStr">
        <is>
          <t>Servizi Generali di Bordo - Toilette</t>
        </is>
      </c>
      <c r="B48" s="233">
        <f>CONCATENATE(D48,"_",E48)</f>
        <v/>
      </c>
      <c r="C48" s="254" t="inlineStr">
        <is>
          <t>pdf</t>
        </is>
      </c>
      <c r="D48" s="233" t="inlineStr">
        <is>
          <t>MR2</t>
        </is>
      </c>
      <c r="E48" s="233" t="inlineStr">
        <is>
          <t>15A</t>
        </is>
      </c>
      <c r="F48" s="193">
        <f>CONCATENATE("ETR1000V300-",$D48,"-",$E48)</f>
        <v/>
      </c>
      <c r="G48" s="266">
        <f>CONCATENATE(F48,"-",H48)</f>
        <v/>
      </c>
      <c r="H48" s="207" t="inlineStr">
        <is>
          <t>05</t>
        </is>
      </c>
      <c r="I48" s="204" t="n">
        <v>46113</v>
      </c>
      <c r="J48" s="193">
        <f>$F48</f>
        <v/>
      </c>
      <c r="K48" s="266">
        <f>$G48</f>
        <v/>
      </c>
      <c r="L48" s="207">
        <f>$H48</f>
        <v/>
      </c>
      <c r="M48" s="204">
        <f>$I48</f>
        <v/>
      </c>
      <c r="N48" s="260">
        <f>$F48</f>
        <v/>
      </c>
      <c r="O48" s="235">
        <f>$G48</f>
        <v/>
      </c>
      <c r="P48" s="235">
        <f>$H48</f>
        <v/>
      </c>
      <c r="Q48" s="262">
        <f>$I48</f>
        <v/>
      </c>
      <c r="R48" s="260" t="n"/>
      <c r="S48" s="235" t="n"/>
      <c r="T48" s="235" t="n"/>
      <c r="U48" s="262" t="n"/>
      <c r="V48" s="260">
        <f>CONCATENATE("ETR1000V300_R1-",$D48,"-",$E48)</f>
        <v/>
      </c>
      <c r="W48" s="261">
        <f>CONCATENATE(V48,"-",X48)</f>
        <v/>
      </c>
      <c r="X48" s="267" t="inlineStr">
        <is>
          <t>01</t>
        </is>
      </c>
      <c r="Y48" s="287" t="n">
        <v>45809</v>
      </c>
      <c r="Z48" s="260">
        <f>V48</f>
        <v/>
      </c>
      <c r="AA48" s="235">
        <f>W48</f>
        <v/>
      </c>
      <c r="AB48" s="235">
        <f>X48</f>
        <v/>
      </c>
      <c r="AC48" s="262">
        <f>Y48</f>
        <v/>
      </c>
    </row>
    <row r="49">
      <c r="A49" s="270" t="inlineStr">
        <is>
          <t>Servizi Generali di Bordo - Bar Bistrot</t>
        </is>
      </c>
      <c r="B49" s="233">
        <f>CONCATENATE(D49,"_",E49)</f>
        <v/>
      </c>
      <c r="C49" s="254" t="inlineStr">
        <is>
          <t>pdf</t>
        </is>
      </c>
      <c r="D49" s="233" t="inlineStr">
        <is>
          <t>MR2</t>
        </is>
      </c>
      <c r="E49" s="233" t="inlineStr">
        <is>
          <t>15B</t>
        </is>
      </c>
      <c r="F49" s="193" t="inlineStr">
        <is>
          <t>\</t>
        </is>
      </c>
      <c r="G49" s="266" t="inlineStr">
        <is>
          <t>\</t>
        </is>
      </c>
      <c r="H49" s="197" t="inlineStr">
        <is>
          <t>\</t>
        </is>
      </c>
      <c r="I49" s="280" t="inlineStr">
        <is>
          <t>\</t>
        </is>
      </c>
      <c r="J49" s="193">
        <f>$F49</f>
        <v/>
      </c>
      <c r="K49" s="266">
        <f>$G49</f>
        <v/>
      </c>
      <c r="L49" s="207">
        <f>$H49</f>
        <v/>
      </c>
      <c r="M49" s="204">
        <f>$I49</f>
        <v/>
      </c>
      <c r="N49" s="260">
        <f>$F49</f>
        <v/>
      </c>
      <c r="O49" s="235">
        <f>$G49</f>
        <v/>
      </c>
      <c r="P49" s="235">
        <f>$H49</f>
        <v/>
      </c>
      <c r="Q49" s="262">
        <f>$I49</f>
        <v/>
      </c>
      <c r="R49" s="260" t="n"/>
      <c r="S49" s="235" t="n"/>
      <c r="T49" s="235" t="n"/>
      <c r="U49" s="262" t="n"/>
      <c r="V49" s="260">
        <f>CONCATENATE("ETR1000V300_R1-",$D49,"-",$E49)</f>
        <v/>
      </c>
      <c r="W49" s="261">
        <f>CONCATENATE(V49,"-",X49)</f>
        <v/>
      </c>
      <c r="X49" s="267" t="inlineStr">
        <is>
          <t>02</t>
        </is>
      </c>
      <c r="Y49" s="287" t="n">
        <v>45809</v>
      </c>
      <c r="Z49" s="260">
        <f>V49</f>
        <v/>
      </c>
      <c r="AA49" s="235">
        <f>W49</f>
        <v/>
      </c>
      <c r="AB49" s="235">
        <f>X49</f>
        <v/>
      </c>
      <c r="AC49" s="262">
        <f>Y49</f>
        <v/>
      </c>
    </row>
    <row r="50">
      <c r="A50" s="270" t="inlineStr">
        <is>
          <t>Documentazione circuiti elettronici</t>
        </is>
      </c>
      <c r="B50" s="233">
        <f>CONCATENATE(D50,"_",E50)</f>
        <v/>
      </c>
      <c r="C50" s="254" t="inlineStr">
        <is>
          <t>pdf</t>
        </is>
      </c>
      <c r="D50" s="233" t="inlineStr">
        <is>
          <t>MR2</t>
        </is>
      </c>
      <c r="E50" s="233" t="inlineStr">
        <is>
          <t>17A</t>
        </is>
      </c>
      <c r="F50" s="193">
        <f>CONCATENATE("ETR1000V300-",$D50,"-",$E50)</f>
        <v/>
      </c>
      <c r="G50" s="266">
        <f>CONCATENATE(F50,"-",H50)</f>
        <v/>
      </c>
      <c r="H50" s="197" t="inlineStr">
        <is>
          <t>00</t>
        </is>
      </c>
      <c r="I50" s="195" t="n">
        <v>41913</v>
      </c>
      <c r="J50" s="193">
        <f>$F50</f>
        <v/>
      </c>
      <c r="K50" s="266">
        <f>$G50</f>
        <v/>
      </c>
      <c r="L50" s="197">
        <f>$H50</f>
        <v/>
      </c>
      <c r="M50" s="195">
        <f>$I50</f>
        <v/>
      </c>
      <c r="N50" s="260">
        <f>$F50</f>
        <v/>
      </c>
      <c r="O50" s="235">
        <f>$G50</f>
        <v/>
      </c>
      <c r="P50" s="235">
        <f>$H50</f>
        <v/>
      </c>
      <c r="Q50" s="262">
        <f>$I50</f>
        <v/>
      </c>
      <c r="R50" s="260" t="n"/>
      <c r="S50" s="235" t="n"/>
      <c r="T50" s="235" t="n"/>
      <c r="U50" s="262" t="n"/>
      <c r="V50" s="268" t="n"/>
      <c r="W50" s="267" t="n"/>
      <c r="X50" s="267" t="n"/>
      <c r="Y50" s="276" t="n"/>
      <c r="Z50" s="268" t="n"/>
      <c r="AA50" s="267" t="n"/>
      <c r="AB50" s="267" t="n"/>
      <c r="AC50" s="269">
        <f>Y50</f>
        <v/>
      </c>
    </row>
    <row r="51">
      <c r="A51" s="270" t="inlineStr">
        <is>
          <t>Messa in servizio (tomo 1 di 5)</t>
        </is>
      </c>
      <c r="B51" s="233">
        <f>CONCATENATE(D51,"_",E51)</f>
        <v/>
      </c>
      <c r="C51" s="254" t="inlineStr">
        <is>
          <t>pdf</t>
        </is>
      </c>
      <c r="D51" s="233" t="inlineStr">
        <is>
          <t>MR2</t>
        </is>
      </c>
      <c r="E51" s="233" t="inlineStr">
        <is>
          <t>30A</t>
        </is>
      </c>
      <c r="F51" s="193">
        <f>CONCATENATE("ETR1000V300-",$D51,"-",$E51)</f>
        <v/>
      </c>
      <c r="G51" s="266">
        <f>CONCATENATE(F51,"-",H51)</f>
        <v/>
      </c>
      <c r="H51" s="197" t="inlineStr">
        <is>
          <t>01</t>
        </is>
      </c>
      <c r="I51" s="196" t="inlineStr">
        <is>
          <t>mag-16</t>
        </is>
      </c>
      <c r="J51" s="193">
        <f>$F51</f>
        <v/>
      </c>
      <c r="K51" s="266">
        <f>$G51</f>
        <v/>
      </c>
      <c r="L51" s="197">
        <f>$H51</f>
        <v/>
      </c>
      <c r="M51" s="196">
        <f>$I51</f>
        <v/>
      </c>
      <c r="N51" s="260">
        <f>$F51</f>
        <v/>
      </c>
      <c r="O51" s="235">
        <f>$G51</f>
        <v/>
      </c>
      <c r="P51" s="235">
        <f>$H51</f>
        <v/>
      </c>
      <c r="Q51" s="262">
        <f>$I51</f>
        <v/>
      </c>
      <c r="R51" s="260" t="n"/>
      <c r="S51" s="235" t="n"/>
      <c r="T51" s="235" t="n"/>
      <c r="U51" s="262" t="n"/>
      <c r="V51" s="260">
        <f>CONCATENATE("ETR1000V300_R1-",$D51,"-",$E51)</f>
        <v/>
      </c>
      <c r="W51" s="261">
        <f>CONCATENATE(V51,"-",X51)</f>
        <v/>
      </c>
      <c r="X51" s="267" t="inlineStr">
        <is>
          <t>02</t>
        </is>
      </c>
      <c r="Y51" s="287" t="n">
        <v>45627</v>
      </c>
      <c r="Z51" s="260">
        <f>V51</f>
        <v/>
      </c>
      <c r="AA51" s="235">
        <f>W51</f>
        <v/>
      </c>
      <c r="AB51" s="235">
        <f>X51</f>
        <v/>
      </c>
      <c r="AC51" s="262">
        <f>Y51</f>
        <v/>
      </c>
    </row>
    <row r="52">
      <c r="A52" s="270" t="inlineStr">
        <is>
          <t>Cassa veicoli di estremità</t>
        </is>
      </c>
      <c r="B52" s="233">
        <f>CONCATENATE(D52,"_",E52)</f>
        <v/>
      </c>
      <c r="C52" s="254" t="inlineStr">
        <is>
          <t>pdf</t>
        </is>
      </c>
      <c r="D52" s="233" t="inlineStr">
        <is>
          <t>CPR</t>
        </is>
      </c>
      <c r="E52" s="233" t="inlineStr">
        <is>
          <t>01A</t>
        </is>
      </c>
      <c r="F52" s="193">
        <f>CONCATENATE("ETR1000V300-",$D52,"-",$E52)</f>
        <v/>
      </c>
      <c r="G52" s="233" t="inlineStr">
        <is>
          <t>2.05.993</t>
        </is>
      </c>
      <c r="H52" s="194" t="inlineStr">
        <is>
          <t>\</t>
        </is>
      </c>
      <c r="I52" s="196" t="inlineStr">
        <is>
          <t>mag-22</t>
        </is>
      </c>
      <c r="J52" s="193">
        <f>$F52</f>
        <v/>
      </c>
      <c r="K52" s="233">
        <f>$G52</f>
        <v/>
      </c>
      <c r="L52" s="194">
        <f>$H52</f>
        <v/>
      </c>
      <c r="M52" s="196">
        <f>$I52</f>
        <v/>
      </c>
      <c r="N52" s="272">
        <f>CONCATENATE("ETR1000V300_FR-",$D52,"-",$E52)</f>
        <v/>
      </c>
      <c r="O52" s="261" t="inlineStr">
        <is>
          <t>2.05.1232</t>
        </is>
      </c>
      <c r="P52" s="235" t="inlineStr">
        <is>
          <t>\</t>
        </is>
      </c>
      <c r="Q52" s="262" t="n">
        <v>44136</v>
      </c>
      <c r="R52" s="260" t="n"/>
      <c r="S52" s="235" t="n"/>
      <c r="T52" s="235" t="n"/>
      <c r="U52" s="262" t="n"/>
      <c r="V52" s="272">
        <f>CONCATENATE("ETR1000V300_R1-",$D52,"-",$E52)</f>
        <v/>
      </c>
      <c r="W52" s="267" t="inlineStr">
        <is>
          <t>2.05.1397</t>
        </is>
      </c>
      <c r="X52" s="267" t="inlineStr">
        <is>
          <t>01</t>
        </is>
      </c>
      <c r="Y52" s="262" t="n">
        <v>45901</v>
      </c>
      <c r="Z52" s="268">
        <f>V52</f>
        <v/>
      </c>
      <c r="AA52" s="267">
        <f>W52</f>
        <v/>
      </c>
      <c r="AB52" s="267">
        <f>X52</f>
        <v/>
      </c>
      <c r="AC52" s="269">
        <f>Y52</f>
        <v/>
      </c>
    </row>
    <row r="53">
      <c r="A53" s="270" t="inlineStr">
        <is>
          <t>Cassa veicoli intermedi</t>
        </is>
      </c>
      <c r="B53" s="233">
        <f>CONCATENATE(D53,"_",E53)</f>
        <v/>
      </c>
      <c r="C53" s="254" t="inlineStr">
        <is>
          <t>pdf</t>
        </is>
      </c>
      <c r="D53" s="233" t="inlineStr">
        <is>
          <t>CPR</t>
        </is>
      </c>
      <c r="E53" s="233" t="inlineStr">
        <is>
          <t>01B</t>
        </is>
      </c>
      <c r="F53" s="193">
        <f>CONCATENATE("ETR1000V300-",$D53,"-",$E53)</f>
        <v/>
      </c>
      <c r="G53" s="233" t="inlineStr">
        <is>
          <t>2.05.994</t>
        </is>
      </c>
      <c r="H53" s="194" t="inlineStr">
        <is>
          <t>\</t>
        </is>
      </c>
      <c r="I53" s="196" t="inlineStr">
        <is>
          <t>mag-22</t>
        </is>
      </c>
      <c r="J53" s="193">
        <f>$F53</f>
        <v/>
      </c>
      <c r="K53" s="233">
        <f>$G53</f>
        <v/>
      </c>
      <c r="L53" s="194">
        <f>$H53</f>
        <v/>
      </c>
      <c r="M53" s="196">
        <f>$I53</f>
        <v/>
      </c>
      <c r="N53" s="272">
        <f>CONCATENATE("ETR1000V300_FR-",$D53,"-",$E53)</f>
        <v/>
      </c>
      <c r="O53" s="261" t="inlineStr">
        <is>
          <t>2.05.1233</t>
        </is>
      </c>
      <c r="P53" s="235" t="inlineStr">
        <is>
          <t>\</t>
        </is>
      </c>
      <c r="Q53" s="262" t="n">
        <v>44136</v>
      </c>
      <c r="R53" s="260" t="n"/>
      <c r="S53" s="235" t="n"/>
      <c r="T53" s="235" t="n"/>
      <c r="U53" s="262" t="n"/>
      <c r="V53" s="272">
        <f>CONCATENATE("ETR1000V300_R1-",$D53,"-",$E53)</f>
        <v/>
      </c>
      <c r="W53" s="267" t="inlineStr">
        <is>
          <t>2.05.1398</t>
        </is>
      </c>
      <c r="X53" s="267" t="inlineStr">
        <is>
          <t>01</t>
        </is>
      </c>
      <c r="Y53" s="262" t="n">
        <v>45901</v>
      </c>
      <c r="Z53" s="268">
        <f>V53</f>
        <v/>
      </c>
      <c r="AA53" s="267">
        <f>W53</f>
        <v/>
      </c>
      <c r="AB53" s="267">
        <f>X53</f>
        <v/>
      </c>
      <c r="AC53" s="269">
        <f>Y53</f>
        <v/>
      </c>
    </row>
    <row r="54">
      <c r="A54" s="270" t="inlineStr">
        <is>
          <t>Accoppiatore automatico-asta semipermanente</t>
        </is>
      </c>
      <c r="B54" s="233">
        <f>CONCATENATE(D54,"_",E54)</f>
        <v/>
      </c>
      <c r="C54" s="254" t="inlineStr">
        <is>
          <t>pdf</t>
        </is>
      </c>
      <c r="D54" s="233" t="inlineStr">
        <is>
          <t>CPR</t>
        </is>
      </c>
      <c r="E54" s="233" t="inlineStr">
        <is>
          <t>01C</t>
        </is>
      </c>
      <c r="F54" s="193">
        <f>CONCATENATE("ETR1000V300-",$D54,"-",$E54)</f>
        <v/>
      </c>
      <c r="G54" s="233" t="inlineStr">
        <is>
          <t>2.05.995</t>
        </is>
      </c>
      <c r="H54" s="194" t="inlineStr">
        <is>
          <t>\</t>
        </is>
      </c>
      <c r="I54" s="196" t="inlineStr">
        <is>
          <t>mag-22</t>
        </is>
      </c>
      <c r="J54" s="193">
        <f>$F54</f>
        <v/>
      </c>
      <c r="K54" s="233">
        <f>$G54</f>
        <v/>
      </c>
      <c r="L54" s="194">
        <f>$H54</f>
        <v/>
      </c>
      <c r="M54" s="196">
        <f>$I54</f>
        <v/>
      </c>
      <c r="N54" s="260">
        <f>F54</f>
        <v/>
      </c>
      <c r="O54" s="235">
        <f>G54</f>
        <v/>
      </c>
      <c r="P54" s="235">
        <f>H54</f>
        <v/>
      </c>
      <c r="Q54" s="236">
        <f>I54</f>
        <v/>
      </c>
      <c r="R54" s="260" t="n"/>
      <c r="S54" s="235" t="n"/>
      <c r="T54" s="235" t="n"/>
      <c r="U54" s="262" t="n"/>
      <c r="V54" s="260" t="n"/>
      <c r="W54" s="235" t="n"/>
      <c r="X54" s="235" t="n"/>
      <c r="Y54" s="262" t="n"/>
      <c r="Z54" s="260" t="n"/>
      <c r="AA54" s="235" t="n"/>
      <c r="AB54" s="235" t="n"/>
      <c r="AC54" s="262" t="n"/>
    </row>
    <row r="55">
      <c r="A55" s="270" t="inlineStr">
        <is>
          <t>Musetto mobile</t>
        </is>
      </c>
      <c r="B55" s="233">
        <f>CONCATENATE(D55,"_",E55)</f>
        <v/>
      </c>
      <c r="C55" s="254" t="inlineStr">
        <is>
          <t>pdf</t>
        </is>
      </c>
      <c r="D55" s="233" t="inlineStr">
        <is>
          <t>CPR</t>
        </is>
      </c>
      <c r="E55" s="233" t="inlineStr">
        <is>
          <t>01D</t>
        </is>
      </c>
      <c r="F55" s="193">
        <f>CONCATENATE("ETR1000V300-",$D55,"-",$E55)</f>
        <v/>
      </c>
      <c r="G55" s="233" t="inlineStr">
        <is>
          <t>2.05.996</t>
        </is>
      </c>
      <c r="H55" s="194" t="inlineStr">
        <is>
          <t>\</t>
        </is>
      </c>
      <c r="I55" s="196" t="inlineStr">
        <is>
          <t>mag-22</t>
        </is>
      </c>
      <c r="J55" s="193">
        <f>$F55</f>
        <v/>
      </c>
      <c r="K55" s="233">
        <f>$G55</f>
        <v/>
      </c>
      <c r="L55" s="194">
        <f>$H55</f>
        <v/>
      </c>
      <c r="M55" s="196">
        <f>$I55</f>
        <v/>
      </c>
      <c r="N55" s="272">
        <f>CONCATENATE("ETR1000V300_FR-",$D55,"-",$E55)</f>
        <v/>
      </c>
      <c r="O55" s="261" t="inlineStr">
        <is>
          <t>2.05.1234</t>
        </is>
      </c>
      <c r="P55" s="235" t="inlineStr">
        <is>
          <t>\</t>
        </is>
      </c>
      <c r="Q55" s="262" t="n">
        <v>44136</v>
      </c>
      <c r="R55" s="260" t="n"/>
      <c r="S55" s="235" t="n"/>
      <c r="T55" s="235" t="n"/>
      <c r="U55" s="262" t="n"/>
      <c r="V55" s="272">
        <f>CONCATENATE("ETR1000V300_R1-",$D55,"-",$E55)</f>
        <v/>
      </c>
      <c r="W55" s="267" t="inlineStr">
        <is>
          <t>2.05.1400</t>
        </is>
      </c>
      <c r="X55" s="267" t="inlineStr">
        <is>
          <t>01</t>
        </is>
      </c>
      <c r="Y55" s="262" t="n">
        <v>45931</v>
      </c>
      <c r="Z55" s="268">
        <f>V55</f>
        <v/>
      </c>
      <c r="AA55" s="267">
        <f>W55</f>
        <v/>
      </c>
      <c r="AB55" s="267">
        <f>X55</f>
        <v/>
      </c>
      <c r="AC55" s="269">
        <f>Y55</f>
        <v/>
      </c>
    </row>
    <row r="56">
      <c r="A56" s="270" t="inlineStr">
        <is>
          <t>Carrello</t>
        </is>
      </c>
      <c r="B56" s="233">
        <f>CONCATENATE(D56,"_",E56)</f>
        <v/>
      </c>
      <c r="C56" s="254" t="inlineStr">
        <is>
          <t>pdf</t>
        </is>
      </c>
      <c r="D56" s="233" t="inlineStr">
        <is>
          <t>CPR</t>
        </is>
      </c>
      <c r="E56" s="233" t="inlineStr">
        <is>
          <t>02A</t>
        </is>
      </c>
      <c r="F56" s="193">
        <f>CONCATENATE("ETR1000V300-",$D56,"-",$E56)</f>
        <v/>
      </c>
      <c r="G56" s="233" t="inlineStr">
        <is>
          <t>2.05.997</t>
        </is>
      </c>
      <c r="H56" s="194" t="inlineStr">
        <is>
          <t>\</t>
        </is>
      </c>
      <c r="I56" s="196" t="inlineStr">
        <is>
          <t>mar-21</t>
        </is>
      </c>
      <c r="J56" s="193">
        <f>$F56</f>
        <v/>
      </c>
      <c r="K56" s="233">
        <f>$G56</f>
        <v/>
      </c>
      <c r="L56" s="194">
        <f>$H56</f>
        <v/>
      </c>
      <c r="M56" s="196">
        <f>$I56</f>
        <v/>
      </c>
      <c r="N56" s="272">
        <f>CONCATENATE("ETR1000V300_FR-",$D56,"-",$E56)</f>
        <v/>
      </c>
      <c r="O56" s="261" t="inlineStr">
        <is>
          <t>2.05.1235</t>
        </is>
      </c>
      <c r="P56" s="235" t="inlineStr">
        <is>
          <t>\</t>
        </is>
      </c>
      <c r="Q56" s="262" t="n">
        <v>43617</v>
      </c>
      <c r="R56" s="260" t="n"/>
      <c r="S56" s="235" t="n"/>
      <c r="T56" s="235" t="n"/>
      <c r="U56" s="262" t="n"/>
      <c r="V56" s="272">
        <f>CONCATENATE("ETR1000V300_R1-",$D56,"-",$E56)</f>
        <v/>
      </c>
      <c r="W56" s="267" t="inlineStr">
        <is>
          <t>2.05.1401</t>
        </is>
      </c>
      <c r="X56" s="267" t="inlineStr">
        <is>
          <t>02</t>
        </is>
      </c>
      <c r="Y56" s="262" t="n">
        <v>45931</v>
      </c>
      <c r="Z56" s="268">
        <f>V56</f>
        <v/>
      </c>
      <c r="AA56" s="267">
        <f>W56</f>
        <v/>
      </c>
      <c r="AB56" s="267">
        <f>X56</f>
        <v/>
      </c>
      <c r="AC56" s="269">
        <f>Y56</f>
        <v/>
      </c>
    </row>
    <row r="57">
      <c r="A57" s="270" t="inlineStr">
        <is>
          <t>Impianto pneumatico e freno - sistemazioni</t>
        </is>
      </c>
      <c r="B57" s="233">
        <f>CONCATENATE(D57,"_",E57)</f>
        <v/>
      </c>
      <c r="C57" s="254" t="inlineStr">
        <is>
          <t>pdf</t>
        </is>
      </c>
      <c r="D57" s="233" t="inlineStr">
        <is>
          <t>CPR</t>
        </is>
      </c>
      <c r="E57" s="233" t="inlineStr">
        <is>
          <t>03A</t>
        </is>
      </c>
      <c r="F57" s="193">
        <f>CONCATENATE("ETR1000V300-",$D57,"-",$E57)</f>
        <v/>
      </c>
      <c r="G57" s="233" t="inlineStr">
        <is>
          <t>2.05.998</t>
        </is>
      </c>
      <c r="H57" s="194" t="inlineStr">
        <is>
          <t>\</t>
        </is>
      </c>
      <c r="I57" s="196" t="inlineStr">
        <is>
          <t>lug-17</t>
        </is>
      </c>
      <c r="J57" s="193">
        <f>$F57</f>
        <v/>
      </c>
      <c r="K57" s="233">
        <f>$G57</f>
        <v/>
      </c>
      <c r="L57" s="194">
        <f>$H57</f>
        <v/>
      </c>
      <c r="M57" s="196">
        <f>$I57</f>
        <v/>
      </c>
      <c r="N57" s="272">
        <f>CONCATENATE("ETR1000V300_FR-",$D57,"-",$E57)</f>
        <v/>
      </c>
      <c r="O57" s="261" t="inlineStr">
        <is>
          <t>2.05.1236</t>
        </is>
      </c>
      <c r="P57" s="235" t="inlineStr">
        <is>
          <t>\</t>
        </is>
      </c>
      <c r="Q57" s="262" t="n">
        <v>43922</v>
      </c>
      <c r="R57" s="260" t="n"/>
      <c r="S57" s="235" t="n"/>
      <c r="T57" s="235" t="n"/>
      <c r="U57" s="262" t="n"/>
      <c r="V57" s="272">
        <f>CONCATENATE("ETR1000V300_R1-",$D57,"-",$E57)</f>
        <v/>
      </c>
      <c r="W57" s="267" t="inlineStr">
        <is>
          <t>2.05.1402</t>
        </is>
      </c>
      <c r="X57" s="267" t="inlineStr">
        <is>
          <t>02</t>
        </is>
      </c>
      <c r="Y57" s="262" t="n">
        <v>45931</v>
      </c>
      <c r="Z57" s="268">
        <f>V57</f>
        <v/>
      </c>
      <c r="AA57" s="267">
        <f>W57</f>
        <v/>
      </c>
      <c r="AB57" s="267">
        <f>X57</f>
        <v/>
      </c>
      <c r="AC57" s="269">
        <f>Y57</f>
        <v/>
      </c>
    </row>
    <row r="58">
      <c r="A58" s="270" t="inlineStr">
        <is>
          <t>Impianto pneumatico e freno - componenti</t>
        </is>
      </c>
      <c r="B58" s="233">
        <f>CONCATENATE(D58,"_",E58)</f>
        <v/>
      </c>
      <c r="C58" s="254" t="inlineStr">
        <is>
          <t>pdf</t>
        </is>
      </c>
      <c r="D58" s="233" t="inlineStr">
        <is>
          <t>CPR</t>
        </is>
      </c>
      <c r="E58" s="233" t="inlineStr">
        <is>
          <t>03B</t>
        </is>
      </c>
      <c r="F58" s="193">
        <f>CONCATENATE("ETR1000V300-",$D58,"-",$E58)</f>
        <v/>
      </c>
      <c r="G58" s="233" t="inlineStr">
        <is>
          <t>2.05.999</t>
        </is>
      </c>
      <c r="H58" s="194" t="inlineStr">
        <is>
          <t>\</t>
        </is>
      </c>
      <c r="I58" s="206" t="n">
        <v>46113</v>
      </c>
      <c r="J58" s="193">
        <f>$F58</f>
        <v/>
      </c>
      <c r="K58" s="233">
        <f>$G58</f>
        <v/>
      </c>
      <c r="L58" s="194">
        <f>$H58</f>
        <v/>
      </c>
      <c r="M58" s="206">
        <f>$I58</f>
        <v/>
      </c>
      <c r="N58" s="272">
        <f>CONCATENATE("ETR1000V300_FR-",$D58,"-",$E58)</f>
        <v/>
      </c>
      <c r="O58" s="261" t="inlineStr">
        <is>
          <t>2.05.1237</t>
        </is>
      </c>
      <c r="P58" s="235" t="inlineStr">
        <is>
          <t>\</t>
        </is>
      </c>
      <c r="Q58" s="262" t="n">
        <v>44317</v>
      </c>
      <c r="R58" s="260" t="n"/>
      <c r="S58" s="235" t="n"/>
      <c r="T58" s="235" t="n"/>
      <c r="U58" s="262" t="n"/>
      <c r="V58" s="272">
        <f>CONCATENATE("ETR1000V300_R1-",$D58,"-",$E58)</f>
        <v/>
      </c>
      <c r="W58" s="267" t="inlineStr">
        <is>
          <t>2.05.1403</t>
        </is>
      </c>
      <c r="X58" s="267" t="inlineStr">
        <is>
          <t>02</t>
        </is>
      </c>
      <c r="Y58" s="262" t="n">
        <v>45931</v>
      </c>
      <c r="Z58" s="268">
        <f>V58</f>
        <v/>
      </c>
      <c r="AA58" s="267">
        <f>W58</f>
        <v/>
      </c>
      <c r="AB58" s="267">
        <f>X58</f>
        <v/>
      </c>
      <c r="AC58" s="269">
        <f>Y58</f>
        <v/>
      </c>
    </row>
    <row r="59">
      <c r="A59" s="270" t="inlineStr">
        <is>
          <t>Equipaggiamento elettrico ed elettropneumatico - sistemazioni</t>
        </is>
      </c>
      <c r="B59" s="233">
        <f>CONCATENATE(D59,"_",E59)</f>
        <v/>
      </c>
      <c r="C59" s="254" t="inlineStr">
        <is>
          <t>pdf</t>
        </is>
      </c>
      <c r="D59" s="233" t="inlineStr">
        <is>
          <t>CPR</t>
        </is>
      </c>
      <c r="E59" s="233" t="inlineStr">
        <is>
          <t>04A</t>
        </is>
      </c>
      <c r="F59" s="193">
        <f>CONCATENATE("ETR1000V300-",$D59,"-",$E59)</f>
        <v/>
      </c>
      <c r="G59" s="233" t="inlineStr">
        <is>
          <t>2.05.1000</t>
        </is>
      </c>
      <c r="H59" s="194" t="inlineStr">
        <is>
          <t>\</t>
        </is>
      </c>
      <c r="I59" s="206" t="n">
        <v>45748</v>
      </c>
      <c r="J59" s="193">
        <f>$F59</f>
        <v/>
      </c>
      <c r="K59" s="233">
        <f>$G59</f>
        <v/>
      </c>
      <c r="L59" s="194">
        <f>$H59</f>
        <v/>
      </c>
      <c r="M59" s="206">
        <f>$I59</f>
        <v/>
      </c>
      <c r="N59" s="272">
        <f>CONCATENATE("ETR1000V300_FR-",$D59,"-",$E59)</f>
        <v/>
      </c>
      <c r="O59" s="261" t="inlineStr">
        <is>
          <t>2.05.1238</t>
        </is>
      </c>
      <c r="P59" s="235" t="inlineStr">
        <is>
          <t>\</t>
        </is>
      </c>
      <c r="Q59" s="262" t="n">
        <v>43922</v>
      </c>
      <c r="R59" s="260" t="n"/>
      <c r="S59" s="235" t="n"/>
      <c r="T59" s="235" t="n"/>
      <c r="U59" s="262" t="n"/>
      <c r="V59" s="272">
        <f>CONCATENATE("ETR1000V300_R1-",$D59,"-",$E59)</f>
        <v/>
      </c>
      <c r="W59" s="267" t="inlineStr">
        <is>
          <t>2.05.1404</t>
        </is>
      </c>
      <c r="X59" s="267" t="inlineStr">
        <is>
          <t>01</t>
        </is>
      </c>
      <c r="Y59" s="262" t="n">
        <v>45901</v>
      </c>
      <c r="Z59" s="268">
        <f>V59</f>
        <v/>
      </c>
      <c r="AA59" s="267">
        <f>W59</f>
        <v/>
      </c>
      <c r="AB59" s="267">
        <f>X59</f>
        <v/>
      </c>
      <c r="AC59" s="269">
        <f>Y59</f>
        <v/>
      </c>
    </row>
    <row r="60">
      <c r="A60" s="270" t="inlineStr">
        <is>
          <t>Equipaggiamento elettrico ed elettropneumatico - componenti</t>
        </is>
      </c>
      <c r="B60" s="233">
        <f>CONCATENATE(D60,"_",E60)</f>
        <v/>
      </c>
      <c r="C60" s="254" t="inlineStr">
        <is>
          <t>pdf</t>
        </is>
      </c>
      <c r="D60" s="233" t="inlineStr">
        <is>
          <t>CPR</t>
        </is>
      </c>
      <c r="E60" s="233" t="inlineStr">
        <is>
          <t>04B</t>
        </is>
      </c>
      <c r="F60" s="193">
        <f>CONCATENATE("ETR1000V300-",$D60,"-",$E60)</f>
        <v/>
      </c>
      <c r="G60" s="233" t="inlineStr">
        <is>
          <t>2.05.1001</t>
        </is>
      </c>
      <c r="H60" s="194" t="inlineStr">
        <is>
          <t>\</t>
        </is>
      </c>
      <c r="I60" s="206" t="n">
        <v>46082</v>
      </c>
      <c r="J60" s="193">
        <f>$F60</f>
        <v/>
      </c>
      <c r="K60" s="233">
        <f>$G60</f>
        <v/>
      </c>
      <c r="L60" s="194">
        <f>$H60</f>
        <v/>
      </c>
      <c r="M60" s="206">
        <f>$I60</f>
        <v/>
      </c>
      <c r="N60" s="272">
        <f>CONCATENATE("ETR1000V300_FR-",$D60,"-",$E60)</f>
        <v/>
      </c>
      <c r="O60" s="261" t="inlineStr">
        <is>
          <t>2.05.1239</t>
        </is>
      </c>
      <c r="P60" s="235" t="inlineStr">
        <is>
          <t>\</t>
        </is>
      </c>
      <c r="Q60" s="262" t="n">
        <v>43952</v>
      </c>
      <c r="R60" s="260" t="n"/>
      <c r="S60" s="235" t="n"/>
      <c r="T60" s="235" t="n"/>
      <c r="U60" s="262" t="n"/>
      <c r="V60" s="272">
        <f>CONCATENATE("ETR1000V300_R1-",$D60,"-",$E60)</f>
        <v/>
      </c>
      <c r="W60" s="267" t="inlineStr">
        <is>
          <t>2.05.1405</t>
        </is>
      </c>
      <c r="X60" s="267" t="inlineStr">
        <is>
          <t>01</t>
        </is>
      </c>
      <c r="Y60" s="262" t="n">
        <v>45931</v>
      </c>
      <c r="Z60" s="268">
        <f>V60</f>
        <v/>
      </c>
      <c r="AA60" s="267">
        <f>W60</f>
        <v/>
      </c>
      <c r="AB60" s="267">
        <f>X60</f>
        <v/>
      </c>
      <c r="AC60" s="269">
        <f>Y60</f>
        <v/>
      </c>
    </row>
    <row r="61">
      <c r="A61" s="270" t="inlineStr">
        <is>
          <t>Pantografi</t>
        </is>
      </c>
      <c r="B61" s="233">
        <f>CONCATENATE(D61,"_",E61)</f>
        <v/>
      </c>
      <c r="C61" s="254" t="inlineStr">
        <is>
          <t>pdf</t>
        </is>
      </c>
      <c r="D61" s="233" t="inlineStr">
        <is>
          <t>CPR</t>
        </is>
      </c>
      <c r="E61" s="233" t="inlineStr">
        <is>
          <t>04C</t>
        </is>
      </c>
      <c r="F61" s="193">
        <f>CONCATENATE("ETR1000V300-",$D61,"-",$E61)</f>
        <v/>
      </c>
      <c r="G61" s="233" t="inlineStr">
        <is>
          <t>2.05.1002</t>
        </is>
      </c>
      <c r="H61" s="194" t="inlineStr">
        <is>
          <t>\</t>
        </is>
      </c>
      <c r="I61" s="196" t="inlineStr">
        <is>
          <t>mar-21</t>
        </is>
      </c>
      <c r="J61" s="193">
        <f>$F61</f>
        <v/>
      </c>
      <c r="K61" s="233">
        <f>$G61</f>
        <v/>
      </c>
      <c r="L61" s="194">
        <f>$H61</f>
        <v/>
      </c>
      <c r="M61" s="196">
        <f>$I61</f>
        <v/>
      </c>
      <c r="N61" s="272">
        <f>CONCATENATE("ETR1000V300_FR-",$D61,"-",$E61)</f>
        <v/>
      </c>
      <c r="O61" s="261" t="inlineStr">
        <is>
          <t>2.05.1240</t>
        </is>
      </c>
      <c r="P61" s="235" t="inlineStr">
        <is>
          <t>\</t>
        </is>
      </c>
      <c r="Q61" s="262" t="n">
        <v>43922</v>
      </c>
      <c r="R61" s="260" t="n"/>
      <c r="S61" s="235" t="n"/>
      <c r="T61" s="235" t="n"/>
      <c r="U61" s="262" t="n"/>
      <c r="V61" s="272">
        <f>CONCATENATE("ETR1000V300_R1-",$D61,"-",$E61)</f>
        <v/>
      </c>
      <c r="W61" s="267" t="inlineStr">
        <is>
          <t>2.05.1406</t>
        </is>
      </c>
      <c r="X61" s="267" t="inlineStr">
        <is>
          <t>01</t>
        </is>
      </c>
      <c r="Y61" s="262" t="n">
        <v>45931</v>
      </c>
      <c r="Z61" s="268">
        <f>V61</f>
        <v/>
      </c>
      <c r="AA61" s="267">
        <f>W61</f>
        <v/>
      </c>
      <c r="AB61" s="267">
        <f>X61</f>
        <v/>
      </c>
      <c r="AC61" s="269">
        <f>Y61</f>
        <v/>
      </c>
    </row>
    <row r="62">
      <c r="A62" s="270" t="inlineStr">
        <is>
          <t>Quadri elettrici</t>
        </is>
      </c>
      <c r="B62" s="233">
        <f>CONCATENATE(D62,"_",E62)</f>
        <v/>
      </c>
      <c r="C62" s="254" t="inlineStr">
        <is>
          <t>pdf</t>
        </is>
      </c>
      <c r="D62" s="233" t="inlineStr">
        <is>
          <t>CPR</t>
        </is>
      </c>
      <c r="E62" s="233" t="inlineStr">
        <is>
          <t>04D</t>
        </is>
      </c>
      <c r="F62" s="193">
        <f>CONCATENATE("ETR1000V300-",$D62,"-",$E62)</f>
        <v/>
      </c>
      <c r="G62" s="233" t="inlineStr">
        <is>
          <t>2.05.1003</t>
        </is>
      </c>
      <c r="H62" s="194" t="inlineStr">
        <is>
          <t>\</t>
        </is>
      </c>
      <c r="I62" s="206" t="n">
        <v>45748</v>
      </c>
      <c r="J62" s="193">
        <f>$F62</f>
        <v/>
      </c>
      <c r="K62" s="233">
        <f>$G62</f>
        <v/>
      </c>
      <c r="L62" s="194">
        <f>$H62</f>
        <v/>
      </c>
      <c r="M62" s="206">
        <f>$I62</f>
        <v/>
      </c>
      <c r="N62" s="272">
        <f>CONCATENATE("ETR1000V300_FR-",$D62,"-",$E62)</f>
        <v/>
      </c>
      <c r="O62" s="261" t="inlineStr">
        <is>
          <t>2.05.1241</t>
        </is>
      </c>
      <c r="P62" s="235" t="inlineStr">
        <is>
          <t>\</t>
        </is>
      </c>
      <c r="Q62" s="262" t="n">
        <v>43952</v>
      </c>
      <c r="R62" s="260" t="n"/>
      <c r="S62" s="235" t="n"/>
      <c r="T62" s="235" t="n"/>
      <c r="U62" s="262" t="n"/>
      <c r="V62" s="260" t="n"/>
      <c r="W62" s="235" t="n"/>
      <c r="X62" s="235" t="n"/>
      <c r="Y62" s="262" t="n"/>
      <c r="Z62" s="260" t="n"/>
      <c r="AA62" s="235" t="n"/>
      <c r="AB62" s="235" t="n"/>
      <c r="AC62" s="262" t="n"/>
    </row>
    <row r="63">
      <c r="A63" s="270" t="inlineStr">
        <is>
          <t>Logica di comando</t>
        </is>
      </c>
      <c r="B63" s="233">
        <f>CONCATENATE(D63,"_",E63)</f>
        <v/>
      </c>
      <c r="C63" s="254" t="inlineStr">
        <is>
          <t>pdf</t>
        </is>
      </c>
      <c r="D63" s="233" t="inlineStr">
        <is>
          <t>CPR</t>
        </is>
      </c>
      <c r="E63" s="233" t="inlineStr">
        <is>
          <t>05A</t>
        </is>
      </c>
      <c r="F63" s="193">
        <f>CONCATENATE("ETR1000V300-",$D63,"-",$E63)</f>
        <v/>
      </c>
      <c r="G63" s="233" t="inlineStr">
        <is>
          <t>2.05.1004</t>
        </is>
      </c>
      <c r="H63" s="194" t="inlineStr">
        <is>
          <t>\</t>
        </is>
      </c>
      <c r="I63" s="195" t="n">
        <v>44287</v>
      </c>
      <c r="J63" s="193">
        <f>$F63</f>
        <v/>
      </c>
      <c r="K63" s="233">
        <f>$G63</f>
        <v/>
      </c>
      <c r="L63" s="194">
        <f>$H63</f>
        <v/>
      </c>
      <c r="M63" s="195">
        <f>$I63</f>
        <v/>
      </c>
      <c r="N63" s="260">
        <f>F63</f>
        <v/>
      </c>
      <c r="O63" s="235">
        <f>G63</f>
        <v/>
      </c>
      <c r="P63" s="235">
        <f>H63</f>
        <v/>
      </c>
      <c r="Q63" s="287">
        <f>I63</f>
        <v/>
      </c>
      <c r="R63" s="260" t="n"/>
      <c r="S63" s="235" t="n"/>
      <c r="T63" s="235" t="n"/>
      <c r="U63" s="262" t="n"/>
      <c r="V63" s="272">
        <f>CONCATENATE("ETR1000V300_R1-",$D63,"-",$E63)</f>
        <v/>
      </c>
      <c r="W63" s="267" t="inlineStr">
        <is>
          <t>2.05.1408</t>
        </is>
      </c>
      <c r="X63" s="267" t="inlineStr">
        <is>
          <t>02</t>
        </is>
      </c>
      <c r="Y63" s="262" t="n">
        <v>45931</v>
      </c>
      <c r="Z63" s="268">
        <f>V63</f>
        <v/>
      </c>
      <c r="AA63" s="267">
        <f>W63</f>
        <v/>
      </c>
      <c r="AB63" s="267">
        <f>X63</f>
        <v/>
      </c>
      <c r="AC63" s="269">
        <f>Y63</f>
        <v/>
      </c>
    </row>
    <row r="64">
      <c r="A64" s="270" t="inlineStr">
        <is>
          <t>Azionamento di trazione</t>
        </is>
      </c>
      <c r="B64" s="233">
        <f>CONCATENATE(D64,"_",E64)</f>
        <v/>
      </c>
      <c r="C64" s="254" t="inlineStr">
        <is>
          <t>pdf</t>
        </is>
      </c>
      <c r="D64" s="233" t="inlineStr">
        <is>
          <t>CPR</t>
        </is>
      </c>
      <c r="E64" s="233" t="inlineStr">
        <is>
          <t>06A</t>
        </is>
      </c>
      <c r="F64" s="193">
        <f>CONCATENATE("ETR1000V300-",$D64,"-",$E64)</f>
        <v/>
      </c>
      <c r="G64" s="233" t="inlineStr">
        <is>
          <t>2.05.1005</t>
        </is>
      </c>
      <c r="H64" s="194" t="inlineStr">
        <is>
          <t>\</t>
        </is>
      </c>
      <c r="I64" s="195" t="n">
        <v>44287</v>
      </c>
      <c r="J64" s="193">
        <f>$F64</f>
        <v/>
      </c>
      <c r="K64" s="233">
        <f>$G64</f>
        <v/>
      </c>
      <c r="L64" s="194">
        <f>$H64</f>
        <v/>
      </c>
      <c r="M64" s="195">
        <f>$I64</f>
        <v/>
      </c>
      <c r="N64" s="260">
        <f>F64</f>
        <v/>
      </c>
      <c r="O64" s="235">
        <f>G64</f>
        <v/>
      </c>
      <c r="P64" s="235">
        <f>H64</f>
        <v/>
      </c>
      <c r="Q64" s="287">
        <f>I64</f>
        <v/>
      </c>
      <c r="R64" s="260" t="n"/>
      <c r="S64" s="235" t="n"/>
      <c r="T64" s="235" t="n"/>
      <c r="U64" s="262" t="n"/>
      <c r="V64" s="272">
        <f>CONCATENATE("ETR1000V300_R1-",$D64,"-",$E64)</f>
        <v/>
      </c>
      <c r="W64" s="267" t="inlineStr">
        <is>
          <t>2.05.1409</t>
        </is>
      </c>
      <c r="X64" s="267" t="inlineStr">
        <is>
          <t>02</t>
        </is>
      </c>
      <c r="Y64" s="262" t="n">
        <v>45931</v>
      </c>
      <c r="Z64" s="268">
        <f>V64</f>
        <v/>
      </c>
      <c r="AA64" s="267">
        <f>W64</f>
        <v/>
      </c>
      <c r="AB64" s="267">
        <f>X64</f>
        <v/>
      </c>
      <c r="AC64" s="269">
        <f>Y64</f>
        <v/>
      </c>
    </row>
    <row r="65">
      <c r="A65" s="270" t="inlineStr">
        <is>
          <t>Motore di trazione</t>
        </is>
      </c>
      <c r="B65" s="233">
        <f>CONCATENATE(D65,"_",E65)</f>
        <v/>
      </c>
      <c r="C65" s="254" t="inlineStr">
        <is>
          <t>pdf</t>
        </is>
      </c>
      <c r="D65" s="233" t="inlineStr">
        <is>
          <t>CPR</t>
        </is>
      </c>
      <c r="E65" s="233" t="inlineStr">
        <is>
          <t>07A</t>
        </is>
      </c>
      <c r="F65" s="193">
        <f>CONCATENATE("ETR1000V300-",$D65,"-",$E65)</f>
        <v/>
      </c>
      <c r="G65" s="233" t="inlineStr">
        <is>
          <t>2.05.1006</t>
        </is>
      </c>
      <c r="H65" s="194" t="inlineStr">
        <is>
          <t>\</t>
        </is>
      </c>
      <c r="I65" s="196" t="inlineStr">
        <is>
          <t>mag-17</t>
        </is>
      </c>
      <c r="J65" s="193">
        <f>$F65</f>
        <v/>
      </c>
      <c r="K65" s="233">
        <f>$G65</f>
        <v/>
      </c>
      <c r="L65" s="194">
        <f>$H65</f>
        <v/>
      </c>
      <c r="M65" s="196">
        <f>$I65</f>
        <v/>
      </c>
      <c r="N65" s="260">
        <f>F65</f>
        <v/>
      </c>
      <c r="O65" s="235">
        <f>G65</f>
        <v/>
      </c>
      <c r="P65" s="235">
        <f>H65</f>
        <v/>
      </c>
      <c r="Q65" s="287">
        <f>I65</f>
        <v/>
      </c>
      <c r="R65" s="260" t="n"/>
      <c r="S65" s="235" t="n"/>
      <c r="T65" s="235" t="n"/>
      <c r="U65" s="262" t="n"/>
      <c r="V65" s="272">
        <f>CONCATENATE("ETR1000V300_R1-",$D65,"-",$E65)</f>
        <v/>
      </c>
      <c r="W65" s="267" t="inlineStr">
        <is>
          <t>2.05.1410</t>
        </is>
      </c>
      <c r="X65" s="267" t="inlineStr">
        <is>
          <t>01</t>
        </is>
      </c>
      <c r="Y65" s="262" t="n">
        <v>45931</v>
      </c>
      <c r="Z65" s="260">
        <f>V65</f>
        <v/>
      </c>
      <c r="AA65" s="235">
        <f>W65</f>
        <v/>
      </c>
      <c r="AB65" s="235">
        <f>X65</f>
        <v/>
      </c>
      <c r="AC65" s="262">
        <f>Y65</f>
        <v/>
      </c>
    </row>
    <row r="66">
      <c r="A66" s="270" t="inlineStr">
        <is>
          <t>Porte di salita passeggeri</t>
        </is>
      </c>
      <c r="B66" s="233">
        <f>CONCATENATE(D66,"_",E66)</f>
        <v/>
      </c>
      <c r="C66" s="254" t="inlineStr">
        <is>
          <t>pdf</t>
        </is>
      </c>
      <c r="D66" s="233" t="inlineStr">
        <is>
          <t>CPR</t>
        </is>
      </c>
      <c r="E66" s="233" t="inlineStr">
        <is>
          <t>08A</t>
        </is>
      </c>
      <c r="F66" s="193">
        <f>CONCATENATE("ETR1000V300-",$D66,"-",$E66)</f>
        <v/>
      </c>
      <c r="G66" s="233" t="inlineStr">
        <is>
          <t>2.05.1007</t>
        </is>
      </c>
      <c r="H66" s="194" t="inlineStr">
        <is>
          <t>\</t>
        </is>
      </c>
      <c r="I66" s="196" t="inlineStr">
        <is>
          <t>lug-17</t>
        </is>
      </c>
      <c r="J66" s="193">
        <f>$F66</f>
        <v/>
      </c>
      <c r="K66" s="233">
        <f>$G66</f>
        <v/>
      </c>
      <c r="L66" s="194">
        <f>$H66</f>
        <v/>
      </c>
      <c r="M66" s="196">
        <f>$I66</f>
        <v/>
      </c>
      <c r="N66" s="260">
        <f>F66</f>
        <v/>
      </c>
      <c r="O66" s="235">
        <f>G66</f>
        <v/>
      </c>
      <c r="P66" s="235">
        <f>H66</f>
        <v/>
      </c>
      <c r="Q66" s="287">
        <f>I66</f>
        <v/>
      </c>
      <c r="R66" s="260" t="n"/>
      <c r="S66" s="235" t="n"/>
      <c r="T66" s="235" t="n"/>
      <c r="U66" s="262" t="n"/>
      <c r="V66" s="272">
        <f>CONCATENATE("ETR1000V300_R1-",$D66,"-",$E66)</f>
        <v/>
      </c>
      <c r="W66" s="267" t="inlineStr">
        <is>
          <t>2.05.1411</t>
        </is>
      </c>
      <c r="X66" s="267" t="inlineStr">
        <is>
          <t>02</t>
        </is>
      </c>
      <c r="Y66" s="262" t="n">
        <v>45932</v>
      </c>
      <c r="Z66" s="268">
        <f>V66</f>
        <v/>
      </c>
      <c r="AA66" s="267">
        <f>W66</f>
        <v/>
      </c>
      <c r="AB66" s="267">
        <f>X66</f>
        <v/>
      </c>
      <c r="AC66" s="269">
        <f>Y66</f>
        <v/>
      </c>
    </row>
    <row r="67">
      <c r="A67" s="270" t="inlineStr">
        <is>
          <t>Porte interne e intercomunicanti</t>
        </is>
      </c>
      <c r="B67" s="233">
        <f>CONCATENATE(D67,"_",E67)</f>
        <v/>
      </c>
      <c r="C67" s="254" t="inlineStr">
        <is>
          <t>pdf</t>
        </is>
      </c>
      <c r="D67" s="233" t="inlineStr">
        <is>
          <t>CPR</t>
        </is>
      </c>
      <c r="E67" s="233" t="inlineStr">
        <is>
          <t>08B</t>
        </is>
      </c>
      <c r="F67" s="193">
        <f>CONCATENATE("ETR1000V300-",$D67,"-",$E67)</f>
        <v/>
      </c>
      <c r="G67" s="233" t="inlineStr">
        <is>
          <t>2.05.1008</t>
        </is>
      </c>
      <c r="H67" s="194" t="inlineStr">
        <is>
          <t>\</t>
        </is>
      </c>
      <c r="I67" s="196" t="inlineStr">
        <is>
          <t>lug-15</t>
        </is>
      </c>
      <c r="J67" s="193">
        <f>$F67</f>
        <v/>
      </c>
      <c r="K67" s="233">
        <f>$G67</f>
        <v/>
      </c>
      <c r="L67" s="194">
        <f>$H67</f>
        <v/>
      </c>
      <c r="M67" s="196">
        <f>$I67</f>
        <v/>
      </c>
      <c r="N67" s="260">
        <f>F67</f>
        <v/>
      </c>
      <c r="O67" s="235">
        <f>G67</f>
        <v/>
      </c>
      <c r="P67" s="235">
        <f>H67</f>
        <v/>
      </c>
      <c r="Q67" s="287">
        <f>I67</f>
        <v/>
      </c>
      <c r="R67" s="260" t="n"/>
      <c r="S67" s="235" t="n"/>
      <c r="T67" s="235" t="n"/>
      <c r="U67" s="262" t="n"/>
      <c r="V67" s="272">
        <f>CONCATENATE("ETR1000V300_R1-",$D67,"-",$E67)</f>
        <v/>
      </c>
      <c r="W67" s="267" t="inlineStr">
        <is>
          <t>2.05.1412</t>
        </is>
      </c>
      <c r="X67" s="267" t="inlineStr">
        <is>
          <t>02</t>
        </is>
      </c>
      <c r="Y67" s="262" t="n">
        <v>45931</v>
      </c>
      <c r="Z67" s="268">
        <f>V67</f>
        <v/>
      </c>
      <c r="AA67" s="267">
        <f>W67</f>
        <v/>
      </c>
      <c r="AB67" s="267">
        <f>X67</f>
        <v/>
      </c>
      <c r="AC67" s="269">
        <f>Y67</f>
        <v/>
      </c>
    </row>
    <row r="68">
      <c r="A68" s="270" t="inlineStr">
        <is>
          <t>Sollevatore hk</t>
        </is>
      </c>
      <c r="B68" s="233">
        <f>CONCATENATE(D68,"_",E68)</f>
        <v/>
      </c>
      <c r="C68" s="254" t="inlineStr">
        <is>
          <t>pdf</t>
        </is>
      </c>
      <c r="D68" s="233" t="inlineStr">
        <is>
          <t>CPR</t>
        </is>
      </c>
      <c r="E68" s="233" t="inlineStr">
        <is>
          <t>08C</t>
        </is>
      </c>
      <c r="F68" s="193">
        <f>CONCATENATE("ETR1000V300-",$D68,"-",$E68)</f>
        <v/>
      </c>
      <c r="G68" s="233" t="inlineStr">
        <is>
          <t>2.05.1009</t>
        </is>
      </c>
      <c r="H68" s="194" t="inlineStr">
        <is>
          <t>\</t>
        </is>
      </c>
      <c r="I68" s="196" t="inlineStr">
        <is>
          <t>dic-15</t>
        </is>
      </c>
      <c r="J68" s="193">
        <f>$F68</f>
        <v/>
      </c>
      <c r="K68" s="233">
        <f>$G68</f>
        <v/>
      </c>
      <c r="L68" s="194">
        <f>$H68</f>
        <v/>
      </c>
      <c r="M68" s="196">
        <f>$I68</f>
        <v/>
      </c>
      <c r="N68" s="260">
        <f>F68</f>
        <v/>
      </c>
      <c r="O68" s="235">
        <f>G68</f>
        <v/>
      </c>
      <c r="P68" s="235">
        <f>H68</f>
        <v/>
      </c>
      <c r="Q68" s="287">
        <f>I68</f>
        <v/>
      </c>
      <c r="R68" s="260" t="n"/>
      <c r="S68" s="235" t="n"/>
      <c r="T68" s="235" t="n"/>
      <c r="U68" s="262" t="n"/>
      <c r="V68" s="272">
        <f>CONCATENATE("ETR1000V300_R1-",$D68,"-",$E68)</f>
        <v/>
      </c>
      <c r="W68" s="267" t="inlineStr">
        <is>
          <t>2.05.1413</t>
        </is>
      </c>
      <c r="X68" s="267" t="inlineStr">
        <is>
          <t>02</t>
        </is>
      </c>
      <c r="Y68" s="262" t="n">
        <v>45931</v>
      </c>
      <c r="Z68" s="268">
        <f>V68</f>
        <v/>
      </c>
      <c r="AA68" s="267">
        <f>W68</f>
        <v/>
      </c>
      <c r="AB68" s="267">
        <f>X68</f>
        <v/>
      </c>
      <c r="AC68" s="269">
        <f>Y68</f>
        <v/>
      </c>
    </row>
    <row r="69">
      <c r="A69" s="270" t="inlineStr">
        <is>
          <t>Sottosistema di climatizzazione</t>
        </is>
      </c>
      <c r="B69" s="233">
        <f>CONCATENATE(D69,"_",E69)</f>
        <v/>
      </c>
      <c r="C69" s="254" t="inlineStr">
        <is>
          <t>pdf</t>
        </is>
      </c>
      <c r="D69" s="233" t="inlineStr">
        <is>
          <t>CPR</t>
        </is>
      </c>
      <c r="E69" s="233" t="inlineStr">
        <is>
          <t>09A</t>
        </is>
      </c>
      <c r="F69" s="193">
        <f>CONCATENATE("ETR1000V300-",$D69,"-",$E69)</f>
        <v/>
      </c>
      <c r="G69" s="233" t="inlineStr">
        <is>
          <t>2.05.1010</t>
        </is>
      </c>
      <c r="H69" s="194" t="inlineStr">
        <is>
          <t>\</t>
        </is>
      </c>
      <c r="I69" s="196" t="inlineStr">
        <is>
          <t>feb-21</t>
        </is>
      </c>
      <c r="J69" s="193">
        <f>$F69</f>
        <v/>
      </c>
      <c r="K69" s="233">
        <f>$G69</f>
        <v/>
      </c>
      <c r="L69" s="194">
        <f>$H69</f>
        <v/>
      </c>
      <c r="M69" s="196">
        <f>$I69</f>
        <v/>
      </c>
      <c r="N69" s="260">
        <f>F69</f>
        <v/>
      </c>
      <c r="O69" s="235">
        <f>G69</f>
        <v/>
      </c>
      <c r="P69" s="235">
        <f>H69</f>
        <v/>
      </c>
      <c r="Q69" s="287">
        <f>I69</f>
        <v/>
      </c>
      <c r="R69" s="260" t="n"/>
      <c r="S69" s="235" t="n"/>
      <c r="T69" s="235" t="n"/>
      <c r="U69" s="262" t="n"/>
      <c r="V69" s="260" t="n"/>
      <c r="W69" s="235" t="n"/>
      <c r="X69" s="235" t="n"/>
      <c r="Y69" s="262" t="n"/>
      <c r="Z69" s="260" t="n"/>
      <c r="AA69" s="235" t="n"/>
      <c r="AB69" s="235" t="n"/>
      <c r="AC69" s="262" t="n"/>
    </row>
    <row r="70">
      <c r="A70" s="270" t="inlineStr">
        <is>
          <t>Sottosistema di comunicazione</t>
        </is>
      </c>
      <c r="B70" s="233">
        <f>CONCATENATE(D70,"_",E70)</f>
        <v/>
      </c>
      <c r="C70" s="254" t="inlineStr">
        <is>
          <t>pdf</t>
        </is>
      </c>
      <c r="D70" s="233" t="inlineStr">
        <is>
          <t>CPR</t>
        </is>
      </c>
      <c r="E70" s="233" t="inlineStr">
        <is>
          <t>10A</t>
        </is>
      </c>
      <c r="F70" s="193">
        <f>CONCATENATE("ETR1000V300-",$D70,"-",$E70)</f>
        <v/>
      </c>
      <c r="G70" s="233" t="inlineStr">
        <is>
          <t>2.05.1011</t>
        </is>
      </c>
      <c r="H70" s="194" t="inlineStr">
        <is>
          <t>\</t>
        </is>
      </c>
      <c r="I70" s="196" t="inlineStr">
        <is>
          <t>mag-22</t>
        </is>
      </c>
      <c r="J70" s="193">
        <f>$F70</f>
        <v/>
      </c>
      <c r="K70" s="233">
        <f>$G70</f>
        <v/>
      </c>
      <c r="L70" s="194">
        <f>$H70</f>
        <v/>
      </c>
      <c r="M70" s="196">
        <f>$I70</f>
        <v/>
      </c>
      <c r="N70" s="260">
        <f>F70</f>
        <v/>
      </c>
      <c r="O70" s="235">
        <f>G70</f>
        <v/>
      </c>
      <c r="P70" s="235">
        <f>H70</f>
        <v/>
      </c>
      <c r="Q70" s="287">
        <f>I70</f>
        <v/>
      </c>
      <c r="R70" s="260" t="n"/>
      <c r="S70" s="235" t="n"/>
      <c r="T70" s="235" t="n"/>
      <c r="U70" s="262" t="n"/>
      <c r="V70" s="272">
        <f>CONCATENATE("ETR1000V300_R1-",$D70,"-",$E70)</f>
        <v/>
      </c>
      <c r="W70" s="267" t="inlineStr">
        <is>
          <t>2.05.1415</t>
        </is>
      </c>
      <c r="X70" s="267" t="inlineStr">
        <is>
          <t>02</t>
        </is>
      </c>
      <c r="Y70" s="262" t="n">
        <v>45931</v>
      </c>
      <c r="Z70" s="268">
        <f>V70</f>
        <v/>
      </c>
      <c r="AA70" s="267">
        <f>W70</f>
        <v/>
      </c>
      <c r="AB70" s="267">
        <f>X70</f>
        <v/>
      </c>
      <c r="AC70" s="269">
        <f>Y70</f>
        <v/>
      </c>
    </row>
    <row r="71">
      <c r="A71" s="270" t="inlineStr">
        <is>
          <t>Convertitore servizi ausiliari e caricabatterie</t>
        </is>
      </c>
      <c r="B71" s="233">
        <f>CONCATENATE(D71,"_",E71)</f>
        <v/>
      </c>
      <c r="C71" s="254" t="inlineStr">
        <is>
          <t>pdf</t>
        </is>
      </c>
      <c r="D71" s="233" t="inlineStr">
        <is>
          <t>CPR</t>
        </is>
      </c>
      <c r="E71" s="233" t="inlineStr">
        <is>
          <t>11A</t>
        </is>
      </c>
      <c r="F71" s="193">
        <f>CONCATENATE("ETR1000V300-",$D71,"-",$E71)</f>
        <v/>
      </c>
      <c r="G71" s="233" t="inlineStr">
        <is>
          <t>2.05.1012</t>
        </is>
      </c>
      <c r="H71" s="194" t="inlineStr">
        <is>
          <t>\</t>
        </is>
      </c>
      <c r="I71" s="195" t="n">
        <v>44287</v>
      </c>
      <c r="J71" s="193">
        <f>$F71</f>
        <v/>
      </c>
      <c r="K71" s="233">
        <f>$G71</f>
        <v/>
      </c>
      <c r="L71" s="194">
        <f>$H71</f>
        <v/>
      </c>
      <c r="M71" s="195">
        <f>$I71</f>
        <v/>
      </c>
      <c r="N71" s="260">
        <f>F71</f>
        <v/>
      </c>
      <c r="O71" s="235">
        <f>G71</f>
        <v/>
      </c>
      <c r="P71" s="235">
        <f>H71</f>
        <v/>
      </c>
      <c r="Q71" s="287">
        <f>I71</f>
        <v/>
      </c>
      <c r="R71" s="260" t="n"/>
      <c r="S71" s="235" t="n"/>
      <c r="T71" s="235" t="n"/>
      <c r="U71" s="262" t="n"/>
      <c r="V71" s="272">
        <f>CONCATENATE("ETR1000V300_R1-",$D71,"-",$E71)</f>
        <v/>
      </c>
      <c r="W71" s="267" t="inlineStr">
        <is>
          <t>2.05.1416</t>
        </is>
      </c>
      <c r="X71" s="267" t="inlineStr">
        <is>
          <t>02</t>
        </is>
      </c>
      <c r="Y71" s="262" t="n">
        <v>45931</v>
      </c>
      <c r="Z71" s="268">
        <f>V71</f>
        <v/>
      </c>
      <c r="AA71" s="267">
        <f>W71</f>
        <v/>
      </c>
      <c r="AB71" s="267">
        <f>X71</f>
        <v/>
      </c>
      <c r="AC71" s="269">
        <f>Y71</f>
        <v/>
      </c>
    </row>
    <row r="72">
      <c r="A72" s="270" t="inlineStr">
        <is>
          <t>Allestimenti interni - dotazioni di bordo</t>
        </is>
      </c>
      <c r="B72" s="233">
        <f>CONCATENATE(D72,"_",E72)</f>
        <v/>
      </c>
      <c r="C72" s="254" t="inlineStr">
        <is>
          <t>pdf</t>
        </is>
      </c>
      <c r="D72" s="233" t="inlineStr">
        <is>
          <t>CPR</t>
        </is>
      </c>
      <c r="E72" s="233" t="inlineStr">
        <is>
          <t>14A</t>
        </is>
      </c>
      <c r="F72" s="193">
        <f>CONCATENATE("ETR1000V300-",$D72,"-",$E72)</f>
        <v/>
      </c>
      <c r="G72" s="233" t="inlineStr">
        <is>
          <t>2.05.1013</t>
        </is>
      </c>
      <c r="H72" s="194" t="inlineStr">
        <is>
          <t>\</t>
        </is>
      </c>
      <c r="I72" s="196" t="inlineStr">
        <is>
          <t>mag-22</t>
        </is>
      </c>
      <c r="J72" s="193">
        <f>$F72</f>
        <v/>
      </c>
      <c r="K72" s="233">
        <f>$G72</f>
        <v/>
      </c>
      <c r="L72" s="194">
        <f>$H72</f>
        <v/>
      </c>
      <c r="M72" s="196">
        <f>$I72</f>
        <v/>
      </c>
      <c r="N72" s="260">
        <f>F72</f>
        <v/>
      </c>
      <c r="O72" s="235">
        <f>G72</f>
        <v/>
      </c>
      <c r="P72" s="235">
        <f>H72</f>
        <v/>
      </c>
      <c r="Q72" s="287">
        <f>I72</f>
        <v/>
      </c>
      <c r="R72" s="260" t="n"/>
      <c r="S72" s="235" t="n"/>
      <c r="T72" s="235" t="n"/>
      <c r="U72" s="262" t="n"/>
      <c r="V72" s="260" t="n"/>
      <c r="W72" s="235" t="n"/>
      <c r="X72" s="235" t="n"/>
      <c r="Y72" s="262" t="n"/>
      <c r="Z72" s="260" t="n"/>
      <c r="AA72" s="235" t="n"/>
      <c r="AB72" s="235" t="n"/>
      <c r="AC72" s="262" t="n"/>
    </row>
    <row r="73">
      <c r="A73" s="270" t="inlineStr">
        <is>
          <t>Sedili passeggeri e cabina guida</t>
        </is>
      </c>
      <c r="B73" s="233">
        <f>CONCATENATE(D73,"_",E73)</f>
        <v/>
      </c>
      <c r="C73" s="254" t="inlineStr">
        <is>
          <t>pdf</t>
        </is>
      </c>
      <c r="D73" s="233" t="inlineStr">
        <is>
          <t>CPR</t>
        </is>
      </c>
      <c r="E73" s="233" t="inlineStr">
        <is>
          <t>14B</t>
        </is>
      </c>
      <c r="F73" s="193">
        <f>CONCATENATE("ETR1000V300-",$D73,"-",$E73)</f>
        <v/>
      </c>
      <c r="G73" s="233" t="inlineStr">
        <is>
          <t>2.05.1014</t>
        </is>
      </c>
      <c r="H73" s="194" t="inlineStr">
        <is>
          <t>\</t>
        </is>
      </c>
      <c r="I73" s="206" t="n">
        <v>46174</v>
      </c>
      <c r="J73" s="193">
        <f>$F73</f>
        <v/>
      </c>
      <c r="K73" s="233">
        <f>$G73</f>
        <v/>
      </c>
      <c r="L73" s="194">
        <f>$H73</f>
        <v/>
      </c>
      <c r="M73" s="206">
        <f>$I73</f>
        <v/>
      </c>
      <c r="N73" s="260">
        <f>F73</f>
        <v/>
      </c>
      <c r="O73" s="235">
        <f>G73</f>
        <v/>
      </c>
      <c r="P73" s="235">
        <f>H73</f>
        <v/>
      </c>
      <c r="Q73" s="287">
        <f>I73</f>
        <v/>
      </c>
      <c r="R73" s="260" t="n"/>
      <c r="S73" s="235" t="n"/>
      <c r="T73" s="235" t="n"/>
      <c r="U73" s="262" t="n"/>
      <c r="V73" s="260" t="n"/>
      <c r="W73" s="235" t="n"/>
      <c r="X73" s="235" t="n"/>
      <c r="Y73" s="262" t="n"/>
      <c r="Z73" s="260" t="n"/>
      <c r="AA73" s="235" t="n"/>
      <c r="AB73" s="235" t="n"/>
      <c r="AC73" s="262" t="n"/>
    </row>
    <row r="74">
      <c r="A74" s="270" t="inlineStr">
        <is>
          <t>Arredamento comparto</t>
        </is>
      </c>
      <c r="B74" s="233">
        <f>CONCATENATE(D74,"_",E74)</f>
        <v/>
      </c>
      <c r="C74" s="254" t="inlineStr">
        <is>
          <t>pdf</t>
        </is>
      </c>
      <c r="D74" s="233" t="inlineStr">
        <is>
          <t>CPR</t>
        </is>
      </c>
      <c r="E74" s="233" t="inlineStr">
        <is>
          <t>14C</t>
        </is>
      </c>
      <c r="F74" s="193">
        <f>CONCATENATE("ETR1000V300-",$D74,"-",$E74)</f>
        <v/>
      </c>
      <c r="G74" s="233" t="inlineStr">
        <is>
          <t>2.05.1015</t>
        </is>
      </c>
      <c r="H74" s="194" t="inlineStr">
        <is>
          <t>\</t>
        </is>
      </c>
      <c r="I74" s="196" t="inlineStr">
        <is>
          <t>mag-22</t>
        </is>
      </c>
      <c r="J74" s="193">
        <f>$F74</f>
        <v/>
      </c>
      <c r="K74" s="233">
        <f>$G74</f>
        <v/>
      </c>
      <c r="L74" s="194">
        <f>$H74</f>
        <v/>
      </c>
      <c r="M74" s="196">
        <f>$I74</f>
        <v/>
      </c>
      <c r="N74" s="260">
        <f>F74</f>
        <v/>
      </c>
      <c r="O74" s="235">
        <f>G74</f>
        <v/>
      </c>
      <c r="P74" s="235">
        <f>H74</f>
        <v/>
      </c>
      <c r="Q74" s="287">
        <f>I74</f>
        <v/>
      </c>
      <c r="R74" s="260" t="n"/>
      <c r="S74" s="235" t="n"/>
      <c r="T74" s="235" t="n"/>
      <c r="U74" s="262" t="n"/>
      <c r="V74" s="260" t="n"/>
      <c r="W74" s="235" t="n"/>
      <c r="X74" s="235" t="n"/>
      <c r="Y74" s="262" t="n"/>
      <c r="Z74" s="260" t="n"/>
      <c r="AA74" s="235" t="n"/>
      <c r="AB74" s="235" t="n"/>
      <c r="AC74" s="262" t="n"/>
    </row>
    <row r="75">
      <c r="A75" s="270" t="inlineStr">
        <is>
          <t>Arredamento vestiboli</t>
        </is>
      </c>
      <c r="B75" s="233">
        <f>CONCATENATE(D75,"_",E75)</f>
        <v/>
      </c>
      <c r="C75" s="254" t="inlineStr">
        <is>
          <t>pdf</t>
        </is>
      </c>
      <c r="D75" s="233" t="inlineStr">
        <is>
          <t>CPR</t>
        </is>
      </c>
      <c r="E75" s="233" t="inlineStr">
        <is>
          <t>14D</t>
        </is>
      </c>
      <c r="F75" s="193">
        <f>CONCATENATE("ETR1000V300-",$D75,"-",$E75)</f>
        <v/>
      </c>
      <c r="G75" s="233" t="inlineStr">
        <is>
          <t>2.05.1016</t>
        </is>
      </c>
      <c r="H75" s="194" t="inlineStr">
        <is>
          <t>\</t>
        </is>
      </c>
      <c r="I75" s="196" t="inlineStr">
        <is>
          <t>mag-22</t>
        </is>
      </c>
      <c r="J75" s="193">
        <f>$F75</f>
        <v/>
      </c>
      <c r="K75" s="233">
        <f>$G75</f>
        <v/>
      </c>
      <c r="L75" s="194">
        <f>$H75</f>
        <v/>
      </c>
      <c r="M75" s="196">
        <f>$I75</f>
        <v/>
      </c>
      <c r="N75" s="260">
        <f>F75</f>
        <v/>
      </c>
      <c r="O75" s="235">
        <f>G75</f>
        <v/>
      </c>
      <c r="P75" s="235">
        <f>H75</f>
        <v/>
      </c>
      <c r="Q75" s="287">
        <f>I75</f>
        <v/>
      </c>
      <c r="R75" s="260" t="n"/>
      <c r="S75" s="235" t="n"/>
      <c r="T75" s="235" t="n"/>
      <c r="U75" s="262" t="n"/>
      <c r="V75" s="272">
        <f>CONCATENATE("ETR1000V300_R1-",$D75,"-",$E75)</f>
        <v/>
      </c>
      <c r="W75" s="267" t="inlineStr">
        <is>
          <t>2.05.1420</t>
        </is>
      </c>
      <c r="X75" s="267" t="inlineStr">
        <is>
          <t>01</t>
        </is>
      </c>
      <c r="Y75" s="262" t="n">
        <v>45931</v>
      </c>
      <c r="Z75" s="260">
        <f>V75</f>
        <v/>
      </c>
      <c r="AA75" s="235">
        <f>W75</f>
        <v/>
      </c>
      <c r="AB75" s="235">
        <f>X75</f>
        <v/>
      </c>
      <c r="AC75" s="262">
        <f>Y75</f>
        <v/>
      </c>
    </row>
    <row r="76">
      <c r="A76" s="270" t="inlineStr">
        <is>
          <t>Servizi Generali di Bordo - Toilet</t>
        </is>
      </c>
      <c r="B76" s="233">
        <f>CONCATENATE(D76,"_",E76)</f>
        <v/>
      </c>
      <c r="C76" s="254" t="inlineStr">
        <is>
          <t>pdf</t>
        </is>
      </c>
      <c r="D76" s="233" t="inlineStr">
        <is>
          <t>CPR</t>
        </is>
      </c>
      <c r="E76" s="233" t="inlineStr">
        <is>
          <t>15A</t>
        </is>
      </c>
      <c r="F76" s="193">
        <f>CONCATENATE("ETR1000V300-",$D76,"-",$E76)</f>
        <v/>
      </c>
      <c r="G76" s="233" t="inlineStr">
        <is>
          <t>2.05.1017</t>
        </is>
      </c>
      <c r="H76" s="194" t="inlineStr">
        <is>
          <t>\</t>
        </is>
      </c>
      <c r="I76" s="196" t="inlineStr">
        <is>
          <t>mag-22</t>
        </is>
      </c>
      <c r="J76" s="193">
        <f>$F76</f>
        <v/>
      </c>
      <c r="K76" s="233">
        <f>$G76</f>
        <v/>
      </c>
      <c r="L76" s="194">
        <f>$H76</f>
        <v/>
      </c>
      <c r="M76" s="196">
        <f>$I76</f>
        <v/>
      </c>
      <c r="N76" s="260">
        <f>F76</f>
        <v/>
      </c>
      <c r="O76" s="235">
        <f>G76</f>
        <v/>
      </c>
      <c r="P76" s="235">
        <f>H76</f>
        <v/>
      </c>
      <c r="Q76" s="287">
        <f>I76</f>
        <v/>
      </c>
      <c r="R76" s="260" t="n"/>
      <c r="S76" s="235" t="n"/>
      <c r="T76" s="235" t="n"/>
      <c r="U76" s="262" t="n"/>
      <c r="V76" s="260" t="n"/>
      <c r="W76" s="235" t="n"/>
      <c r="X76" s="235" t="n"/>
      <c r="Y76" s="262" t="n"/>
      <c r="Z76" s="260" t="n"/>
      <c r="AA76" s="235" t="n"/>
      <c r="AB76" s="235" t="n"/>
      <c r="AC76" s="262" t="n"/>
    </row>
    <row r="77">
      <c r="A77" s="270" t="inlineStr">
        <is>
          <t>Servizi Generali di Bordo - Bar Bistrò</t>
        </is>
      </c>
      <c r="B77" s="233">
        <f>CONCATENATE(D77,"_",E77)</f>
        <v/>
      </c>
      <c r="C77" s="254" t="inlineStr">
        <is>
          <t>pdf</t>
        </is>
      </c>
      <c r="D77" s="233" t="inlineStr">
        <is>
          <t>CPR</t>
        </is>
      </c>
      <c r="E77" s="233" t="inlineStr">
        <is>
          <t>15B</t>
        </is>
      </c>
      <c r="F77" s="193">
        <f>CONCATENATE("ETR1000V300-",$D77,"-",$E77)</f>
        <v/>
      </c>
      <c r="G77" s="233" t="inlineStr">
        <is>
          <t>2.05.1018</t>
        </is>
      </c>
      <c r="H77" s="194" t="inlineStr">
        <is>
          <t>\</t>
        </is>
      </c>
      <c r="I77" s="196" t="inlineStr">
        <is>
          <t>mag-22</t>
        </is>
      </c>
      <c r="J77" s="193">
        <f>$F77</f>
        <v/>
      </c>
      <c r="K77" s="233">
        <f>$G77</f>
        <v/>
      </c>
      <c r="L77" s="194">
        <f>$H77</f>
        <v/>
      </c>
      <c r="M77" s="196">
        <f>$I77</f>
        <v/>
      </c>
      <c r="N77" s="260">
        <f>F77</f>
        <v/>
      </c>
      <c r="O77" s="235">
        <f>G77</f>
        <v/>
      </c>
      <c r="P77" s="235">
        <f>H77</f>
        <v/>
      </c>
      <c r="Q77" s="287">
        <f>I77</f>
        <v/>
      </c>
      <c r="R77" s="260" t="n"/>
      <c r="S77" s="235" t="n"/>
      <c r="T77" s="235" t="n"/>
      <c r="U77" s="262" t="n"/>
      <c r="V77" s="260" t="n"/>
      <c r="W77" s="235" t="n"/>
      <c r="X77" s="235" t="n"/>
      <c r="Y77" s="262" t="n"/>
      <c r="Z77" s="260" t="n"/>
      <c r="AA77" s="235" t="n"/>
      <c r="AB77" s="235" t="n"/>
      <c r="AC77" s="262" t="n"/>
    </row>
    <row r="78">
      <c r="A78" s="270" t="inlineStr">
        <is>
          <t>Sistemi tecnologici di bordo</t>
        </is>
      </c>
      <c r="B78" s="233">
        <f>CONCATENATE(D78,"_",E78)</f>
        <v/>
      </c>
      <c r="C78" s="254" t="inlineStr">
        <is>
          <t>pdf</t>
        </is>
      </c>
      <c r="D78" s="233" t="inlineStr">
        <is>
          <t>CPR</t>
        </is>
      </c>
      <c r="E78" s="233" t="inlineStr">
        <is>
          <t>31A</t>
        </is>
      </c>
      <c r="F78" s="193">
        <f>CONCATENATE("ETR1000V300-",$D78,"-",$E78)</f>
        <v/>
      </c>
      <c r="G78" s="233" t="inlineStr">
        <is>
          <t>2.05.1019</t>
        </is>
      </c>
      <c r="H78" s="194" t="inlineStr">
        <is>
          <t>\</t>
        </is>
      </c>
      <c r="I78" s="206" t="n">
        <v>45717</v>
      </c>
      <c r="J78" s="193">
        <f>$F78</f>
        <v/>
      </c>
      <c r="K78" s="233">
        <f>$G78</f>
        <v/>
      </c>
      <c r="L78" s="194">
        <f>$H78</f>
        <v/>
      </c>
      <c r="M78" s="206">
        <f>$I78</f>
        <v/>
      </c>
      <c r="N78" s="260">
        <f>F78</f>
        <v/>
      </c>
      <c r="O78" s="235">
        <f>G78</f>
        <v/>
      </c>
      <c r="P78" s="235">
        <f>H78</f>
        <v/>
      </c>
      <c r="Q78" s="287">
        <f>I78</f>
        <v/>
      </c>
      <c r="R78" s="260" t="n"/>
      <c r="S78" s="235" t="n"/>
      <c r="T78" s="235" t="n"/>
      <c r="U78" s="262" t="n"/>
      <c r="V78" s="272">
        <f>CONCATENATE("ETR1000V300_R1-",$D78,"-",$E78)</f>
        <v/>
      </c>
      <c r="W78" s="267" t="inlineStr">
        <is>
          <t>2.05.1423</t>
        </is>
      </c>
      <c r="X78" s="267" t="inlineStr">
        <is>
          <t>02</t>
        </is>
      </c>
      <c r="Y78" s="262" t="n">
        <v>45931</v>
      </c>
      <c r="Z78" s="268">
        <f>V78</f>
        <v/>
      </c>
      <c r="AA78" s="267">
        <f>W78</f>
        <v/>
      </c>
      <c r="AB78" s="267">
        <f>X78</f>
        <v/>
      </c>
      <c r="AC78" s="269">
        <f>Y78</f>
        <v/>
      </c>
    </row>
    <row r="79" customFormat="1" s="83">
      <c r="A79" s="288" t="inlineStr">
        <is>
          <t>SOTTOSISTEMA DI BORDO ERTMS/BL3 PIATTAFORMA ELO</t>
        </is>
      </c>
      <c r="B79" s="271">
        <f>CONCATENATE(D79,"_",E79)</f>
        <v/>
      </c>
      <c r="C79" s="254" t="inlineStr">
        <is>
          <t>pdf</t>
        </is>
      </c>
      <c r="D79" s="271" t="inlineStr">
        <is>
          <t>CPR</t>
        </is>
      </c>
      <c r="E79" s="271" t="inlineStr">
        <is>
          <t>20A</t>
        </is>
      </c>
      <c r="F79" s="193">
        <f>CONCATENATE("ETR1000V300-",$D79,"-",$E79)</f>
        <v/>
      </c>
      <c r="G79" s="271" t="inlineStr">
        <is>
          <t>B60A.0100914.G00.01IT</t>
        </is>
      </c>
      <c r="H79" s="202" t="inlineStr">
        <is>
          <t>\</t>
        </is>
      </c>
      <c r="I79" s="201" t="n">
        <v>45017</v>
      </c>
      <c r="J79" s="193">
        <f>$F79</f>
        <v/>
      </c>
      <c r="K79" s="271">
        <f>$G79</f>
        <v/>
      </c>
      <c r="L79" s="202">
        <f>$H79</f>
        <v/>
      </c>
      <c r="M79" s="201">
        <f>$I79</f>
        <v/>
      </c>
      <c r="N79" s="283" t="inlineStr">
        <is>
          <t>\</t>
        </is>
      </c>
      <c r="O79" s="289" t="inlineStr">
        <is>
          <t>\</t>
        </is>
      </c>
      <c r="P79" s="235" t="inlineStr">
        <is>
          <t>\</t>
        </is>
      </c>
      <c r="Q79" s="285" t="inlineStr">
        <is>
          <t>\</t>
        </is>
      </c>
      <c r="R79" s="283" t="n"/>
      <c r="S79" s="284" t="n"/>
      <c r="T79" s="284" t="n"/>
      <c r="U79" s="285" t="n"/>
      <c r="V79" s="283" t="n"/>
      <c r="W79" s="284" t="n"/>
      <c r="X79" s="284" t="n"/>
      <c r="Y79" s="262" t="n"/>
      <c r="Z79" s="283" t="n"/>
      <c r="AA79" s="284" t="n"/>
      <c r="AB79" s="284" t="n"/>
      <c r="AC79" s="285" t="n"/>
    </row>
  </sheetData>
  <mergeCells count="11">
    <mergeCell ref="F1:I1"/>
    <mergeCell ref="R1:U1"/>
    <mergeCell ref="N1:Q1"/>
    <mergeCell ref="D1:D2"/>
    <mergeCell ref="B1:B2"/>
    <mergeCell ref="C1:C2"/>
    <mergeCell ref="E1:E2"/>
    <mergeCell ref="V1:Y1"/>
    <mergeCell ref="Z1:AC1"/>
    <mergeCell ref="J1:M1"/>
    <mergeCell ref="A1:A2"/>
  </mergeCells>
  <pageMargins left="0.7" right="0.7" top="0.75" bottom="0.75" header="0.3" footer="0.3"/>
  <pageSetup orientation="portrait" paperSize="9" horizontalDpi="1200" verticalDpi="1200"/>
  <legacyDrawing xmlns:r="http://schemas.openxmlformats.org/officeDocument/2006/relationships" r:id="anysvml"/>
</worksheet>
</file>

<file path=xl/worksheets/sheet8.xml><?xml version="1.0" encoding="utf-8"?>
<worksheet xmlns="http://schemas.openxmlformats.org/spreadsheetml/2006/main">
  <sheetPr>
    <tabColor theme="5" tint="0.3999755851924192"/>
    <outlinePr summaryBelow="1" summaryRight="1"/>
    <pageSetUpPr/>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baseColWidth="8" defaultColWidth="8.7109375" defaultRowHeight="15"/>
  <cols>
    <col width="36.5703125" customWidth="1" style="62" min="1" max="1"/>
    <col width="34.85546875" bestFit="1" customWidth="1" style="62" min="2" max="2"/>
    <col width="8.42578125" bestFit="1" customWidth="1" style="10" min="3" max="3"/>
    <col width="24.85546875" bestFit="1" customWidth="1" style="10" min="4" max="4"/>
    <col width="6.42578125" bestFit="1" customWidth="1" style="10" min="5" max="5"/>
    <col width="33.5703125" bestFit="1" customWidth="1" style="10" min="6" max="6"/>
    <col width="4.7109375" bestFit="1" customWidth="1" style="10" min="7" max="7"/>
    <col width="33.5703125" bestFit="1" customWidth="1" style="10" min="8" max="8"/>
    <col width="4.7109375" bestFit="1" customWidth="1" style="10" min="9" max="9"/>
    <col width="33.5703125" bestFit="1" customWidth="1" style="10" min="10" max="10"/>
    <col width="4.42578125" bestFit="1" customWidth="1" style="10" min="11" max="11"/>
    <col width="27.42578125" bestFit="1" customWidth="1" style="10" min="12" max="12"/>
    <col width="5.42578125" bestFit="1" customWidth="1" style="10" min="13" max="13"/>
    <col width="15.42578125" customWidth="1" style="10" min="14" max="14"/>
    <col width="4.42578125" customWidth="1" style="10" min="15" max="15"/>
    <col width="6.5703125" bestFit="1" customWidth="1" style="10" min="16" max="16"/>
    <col width="6.5703125" customWidth="1" style="10" min="17" max="17"/>
    <col width="6.5703125" bestFit="1" customWidth="1" style="10" min="18" max="18"/>
    <col width="6.5703125" customWidth="1" style="10" min="19" max="19"/>
    <col width="8.7109375" customWidth="1" style="59" min="20" max="39"/>
    <col width="8.7109375" customWidth="1" style="59" min="40" max="16384"/>
  </cols>
  <sheetData>
    <row r="1" ht="21.6" customFormat="1" customHeight="1" s="61">
      <c r="A1" s="436" t="inlineStr">
        <is>
          <t>DOC DESCRIPTION</t>
        </is>
      </c>
      <c r="B1" s="445" t="inlineStr">
        <is>
          <t>DOC ID</t>
        </is>
      </c>
      <c r="C1" s="445" t="inlineStr">
        <is>
          <t>DOC EXT</t>
        </is>
      </c>
      <c r="D1" s="444" t="inlineStr">
        <is>
          <t>VZI_Base</t>
        </is>
      </c>
      <c r="E1" s="435" t="n"/>
      <c r="F1" s="433" t="inlineStr">
        <is>
          <t>VZI_New14</t>
        </is>
      </c>
      <c r="G1" s="432" t="n"/>
      <c r="H1" s="444" t="inlineStr">
        <is>
          <t>VZ_FR</t>
        </is>
      </c>
      <c r="I1" s="435" t="n"/>
      <c r="J1" s="433" t="inlineStr">
        <is>
          <t>VZ_ES</t>
        </is>
      </c>
      <c r="K1" s="432" t="n"/>
      <c r="L1" s="444" t="inlineStr">
        <is>
          <t>VZI-6_R1</t>
        </is>
      </c>
      <c r="M1" s="435" t="n"/>
      <c r="N1" s="433" t="inlineStr">
        <is>
          <t>VZI-4_R1</t>
        </is>
      </c>
      <c r="O1" s="432" t="n"/>
      <c r="P1" s="444" t="inlineStr">
        <is>
          <t>VZ_DAI</t>
        </is>
      </c>
      <c r="Q1" s="435" t="n"/>
      <c r="R1" s="433" t="inlineStr">
        <is>
          <t>VZ_Esxx</t>
        </is>
      </c>
      <c r="S1" s="432" t="n"/>
    </row>
    <row r="2" ht="21.6" customFormat="1" customHeight="1" s="61">
      <c r="A2" s="438" t="n"/>
      <c r="B2" s="446" t="n"/>
      <c r="C2" s="446" t="n"/>
      <c r="D2" s="183" t="inlineStr">
        <is>
          <t>File/Codice</t>
        </is>
      </c>
      <c r="E2" s="183" t="inlineStr">
        <is>
          <t>Rev</t>
        </is>
      </c>
      <c r="F2" s="439" t="inlineStr">
        <is>
          <t>File/Codice</t>
        </is>
      </c>
      <c r="G2" s="186" t="inlineStr">
        <is>
          <t>Rev</t>
        </is>
      </c>
      <c r="H2" s="183" t="inlineStr">
        <is>
          <t>File/Codice</t>
        </is>
      </c>
      <c r="I2" s="183" t="inlineStr">
        <is>
          <t>Rev</t>
        </is>
      </c>
      <c r="J2" s="439" t="inlineStr">
        <is>
          <t>File/Codice</t>
        </is>
      </c>
      <c r="K2" s="186" t="inlineStr">
        <is>
          <t>Rev</t>
        </is>
      </c>
      <c r="L2" s="443" t="inlineStr">
        <is>
          <t>Codice</t>
        </is>
      </c>
      <c r="M2" s="443" t="inlineStr">
        <is>
          <t>Rev</t>
        </is>
      </c>
      <c r="N2" s="189" t="inlineStr">
        <is>
          <t>Codice</t>
        </is>
      </c>
      <c r="O2" s="91" t="inlineStr">
        <is>
          <t>Rev</t>
        </is>
      </c>
      <c r="P2" s="183" t="inlineStr">
        <is>
          <t>Codice</t>
        </is>
      </c>
      <c r="Q2" s="183" t="inlineStr">
        <is>
          <t>Rev</t>
        </is>
      </c>
      <c r="R2" s="439" t="inlineStr">
        <is>
          <t>Codice</t>
        </is>
      </c>
      <c r="S2" s="186" t="inlineStr">
        <is>
          <t>Rev</t>
        </is>
      </c>
    </row>
    <row r="3">
      <c r="A3" s="244" t="inlineStr">
        <is>
          <t>Telediagnostica</t>
        </is>
      </c>
      <c r="B3" s="184" t="n"/>
      <c r="C3" s="184" t="n"/>
      <c r="D3" s="178" t="n"/>
      <c r="E3" s="178" t="n"/>
      <c r="F3" s="187" t="n"/>
      <c r="G3" s="188" t="n"/>
      <c r="H3" s="178" t="n"/>
      <c r="I3" s="178" t="n"/>
      <c r="J3" s="187" t="n"/>
      <c r="K3" s="188" t="n"/>
      <c r="L3" s="178" t="n"/>
      <c r="M3" s="178" t="n"/>
      <c r="N3" s="187" t="n"/>
      <c r="O3" s="188" t="n"/>
      <c r="P3" s="178" t="n"/>
      <c r="Q3" s="178" t="n"/>
      <c r="R3" s="187" t="n"/>
      <c r="S3" s="188" t="n"/>
    </row>
    <row r="4" ht="30" customHeight="1" s="480">
      <c r="A4" s="322" t="inlineStr">
        <is>
          <t>Sviluppo regole (Algoritmi Diagnostici)</t>
        </is>
      </c>
      <c r="B4" s="62" t="inlineStr">
        <is>
          <t>DIA_Regole</t>
        </is>
      </c>
      <c r="C4" s="328" t="inlineStr">
        <is>
          <t>xlsm</t>
        </is>
      </c>
      <c r="D4" s="10" t="inlineStr">
        <is>
          <t>Sviluppo_Regole_TI_rev1.1</t>
        </is>
      </c>
      <c r="E4" s="10" t="inlineStr">
        <is>
          <t>\</t>
        </is>
      </c>
      <c r="F4" s="63" t="inlineStr">
        <is>
          <t>SVILUPPO REGOLE_ 14_FR_SP_Rev_0.1</t>
        </is>
      </c>
      <c r="G4" s="64" t="inlineStr">
        <is>
          <t>\</t>
        </is>
      </c>
      <c r="H4" s="10" t="inlineStr">
        <is>
          <t>SVILUPPO REGOLE_ 14_FR_SP_Rev_0.1</t>
        </is>
      </c>
      <c r="I4" s="64" t="inlineStr">
        <is>
          <t>\</t>
        </is>
      </c>
      <c r="J4" s="63" t="inlineStr">
        <is>
          <t>SVILUPPO REGOLE_ 14_FR_SP_Rev_0.1</t>
        </is>
      </c>
      <c r="K4" s="64" t="inlineStr">
        <is>
          <t>\</t>
        </is>
      </c>
      <c r="N4" s="63" t="n"/>
      <c r="O4" s="64" t="n"/>
      <c r="R4" s="63" t="n"/>
      <c r="S4" s="64" t="n"/>
    </row>
    <row r="5">
      <c r="A5" s="322" t="inlineStr">
        <is>
          <t>Event Report/List</t>
        </is>
      </c>
      <c r="B5" s="62" t="inlineStr">
        <is>
          <t>DIA_Event</t>
        </is>
      </c>
      <c r="C5" s="328" t="inlineStr">
        <is>
          <t>xlsx</t>
        </is>
      </c>
      <c r="D5" s="10" t="inlineStr">
        <is>
          <t>EventReport_VZI_3.9.0.3</t>
        </is>
      </c>
      <c r="E5" s="10" t="inlineStr">
        <is>
          <t>\</t>
        </is>
      </c>
      <c r="F5" s="63" t="inlineStr">
        <is>
          <t>EventReport_VZI14_BL3_5.1.0.3 2</t>
        </is>
      </c>
      <c r="G5" s="64" t="inlineStr">
        <is>
          <t>\</t>
        </is>
      </c>
      <c r="H5" s="10" t="inlineStr">
        <is>
          <t>EventReport VZIF 11.4.0</t>
        </is>
      </c>
      <c r="I5" s="10" t="inlineStr">
        <is>
          <t>\</t>
        </is>
      </c>
      <c r="J5" s="63" t="inlineStr">
        <is>
          <t>EventReport_VZS 21.2.0.3</t>
        </is>
      </c>
      <c r="K5" s="64" t="n"/>
      <c r="L5" s="10" t="inlineStr">
        <is>
          <t>FP010036055</t>
        </is>
      </c>
      <c r="M5" s="293" t="inlineStr">
        <is>
          <t>3.44</t>
        </is>
      </c>
      <c r="N5" s="63" t="n"/>
      <c r="O5" s="64" t="n"/>
      <c r="R5" s="63" t="n"/>
      <c r="S5" s="64" t="n"/>
    </row>
    <row r="6">
      <c r="A6" s="322" t="inlineStr">
        <is>
          <t>Teledia Signal List</t>
        </is>
      </c>
      <c r="B6" s="62" t="inlineStr">
        <is>
          <t>DIA_Signal</t>
        </is>
      </c>
      <c r="C6" s="328" t="inlineStr">
        <is>
          <t>xlsx</t>
        </is>
      </c>
      <c r="F6" s="63" t="n"/>
      <c r="G6" s="64" t="n"/>
      <c r="I6" s="80" t="n"/>
      <c r="J6" s="63" t="n"/>
      <c r="K6" s="64" t="n"/>
      <c r="L6" s="10" t="inlineStr">
        <is>
          <t>FP020046917</t>
        </is>
      </c>
      <c r="M6" s="293" t="inlineStr">
        <is>
          <t>3.44</t>
        </is>
      </c>
      <c r="N6" s="63" t="n"/>
      <c r="O6" s="64" t="n"/>
      <c r="R6" s="63" t="n"/>
      <c r="S6" s="64" t="n"/>
    </row>
    <row r="7" ht="30" customHeight="1" s="480">
      <c r="A7" s="322" t="inlineStr">
        <is>
          <t>PropulsionDiagnosticDataset</t>
        </is>
      </c>
      <c r="B7" s="62" t="inlineStr">
        <is>
          <t>DIA_Dataset_Propulsion</t>
        </is>
      </c>
      <c r="C7" s="328" t="inlineStr">
        <is>
          <t>xlsx</t>
        </is>
      </c>
      <c r="F7" s="63" t="n"/>
      <c r="G7" s="64" t="n"/>
      <c r="I7" s="80" t="n"/>
      <c r="J7" s="63" t="n"/>
      <c r="K7" s="64" t="n"/>
      <c r="L7" s="10" t="inlineStr">
        <is>
          <t>PropulsionDiagnosticDataset</t>
        </is>
      </c>
      <c r="M7" s="80" t="inlineStr">
        <is>
          <t>00.12</t>
        </is>
      </c>
      <c r="N7" s="63" t="n"/>
      <c r="O7" s="64" t="n"/>
      <c r="R7" s="63" t="n"/>
      <c r="S7" s="64" t="n"/>
    </row>
    <row r="8">
      <c r="A8" s="322" t="inlineStr">
        <is>
          <t>EMS ICD diagnostic event</t>
        </is>
      </c>
      <c r="B8" s="62" t="inlineStr">
        <is>
          <t>DIA_Event EMS</t>
        </is>
      </c>
      <c r="C8" s="328" t="inlineStr">
        <is>
          <t>xlsx</t>
        </is>
      </c>
      <c r="F8" s="63" t="n"/>
      <c r="G8" s="64" t="n"/>
      <c r="H8" s="10" t="inlineStr">
        <is>
          <t>EC130034365</t>
        </is>
      </c>
      <c r="I8" s="80" t="inlineStr">
        <is>
          <t>00</t>
        </is>
      </c>
      <c r="J8" s="63" t="n"/>
      <c r="K8" s="64" t="n"/>
      <c r="N8" s="63" t="n"/>
      <c r="O8" s="64" t="n"/>
      <c r="R8" s="63" t="n"/>
      <c r="S8" s="64" t="n"/>
    </row>
    <row r="9">
      <c r="A9" s="322" t="n"/>
      <c r="C9" s="328" t="n"/>
      <c r="F9" s="63" t="n"/>
      <c r="G9" s="64" t="n"/>
      <c r="I9" s="80" t="n"/>
      <c r="J9" s="63" t="n"/>
      <c r="K9" s="64" t="n"/>
      <c r="N9" s="63" t="n"/>
      <c r="O9" s="64" t="n"/>
      <c r="R9" s="63" t="n"/>
      <c r="S9" s="64" t="n"/>
    </row>
    <row r="10">
      <c r="A10" s="322" t="n"/>
      <c r="C10" s="328" t="n"/>
      <c r="F10" s="63" t="n"/>
      <c r="G10" s="64" t="n"/>
      <c r="I10" s="80" t="n"/>
      <c r="J10" s="63" t="n"/>
      <c r="K10" s="64" t="n"/>
      <c r="N10" s="63" t="n"/>
      <c r="O10" s="64" t="n"/>
      <c r="R10" s="63" t="n"/>
      <c r="S10" s="64" t="n"/>
    </row>
    <row r="11">
      <c r="A11" s="322" t="n"/>
      <c r="C11" s="328" t="n"/>
      <c r="F11" s="63" t="n"/>
      <c r="G11" s="64" t="n"/>
      <c r="I11" s="80" t="n"/>
      <c r="J11" s="63" t="n"/>
      <c r="K11" s="64" t="n"/>
      <c r="N11" s="63" t="n"/>
      <c r="O11" s="64" t="n"/>
      <c r="R11" s="63" t="n"/>
      <c r="S11" s="64" t="n"/>
    </row>
    <row r="12">
      <c r="A12" s="322" t="n"/>
      <c r="C12" s="328" t="n"/>
      <c r="F12" s="63" t="n"/>
      <c r="G12" s="64" t="n"/>
      <c r="I12" s="80" t="n"/>
      <c r="J12" s="63" t="n"/>
      <c r="K12" s="64" t="n"/>
      <c r="N12" s="63" t="n"/>
      <c r="O12" s="64" t="n"/>
      <c r="R12" s="63" t="n"/>
      <c r="S12" s="64" t="n"/>
    </row>
    <row r="13">
      <c r="A13" s="322" t="n"/>
      <c r="C13" s="328" t="n"/>
      <c r="F13" s="63" t="n"/>
      <c r="G13" s="64" t="n"/>
      <c r="I13" s="80" t="n"/>
      <c r="J13" s="63" t="n"/>
      <c r="K13" s="64" t="n"/>
      <c r="N13" s="63" t="n"/>
      <c r="O13" s="64" t="n"/>
      <c r="R13" s="63" t="n"/>
      <c r="S13" s="64" t="n"/>
    </row>
    <row r="14">
      <c r="A14" s="322" t="n"/>
      <c r="C14" s="328" t="n"/>
      <c r="F14" s="63" t="n"/>
      <c r="G14" s="64" t="n"/>
      <c r="I14" s="80" t="n"/>
      <c r="J14" s="63" t="n"/>
      <c r="K14" s="64" t="n"/>
      <c r="N14" s="63" t="n"/>
      <c r="O14" s="64" t="n"/>
      <c r="R14" s="63" t="n"/>
      <c r="S14" s="64" t="n"/>
    </row>
    <row r="15">
      <c r="A15" s="322" t="n"/>
      <c r="C15" s="328" t="n"/>
      <c r="F15" s="63" t="n"/>
      <c r="G15" s="64" t="n"/>
      <c r="I15" s="80" t="n"/>
      <c r="J15" s="63" t="n"/>
      <c r="K15" s="64" t="n"/>
      <c r="N15" s="63" t="n"/>
      <c r="O15" s="64" t="n"/>
      <c r="R15" s="63" t="n"/>
      <c r="S15" s="64" t="n"/>
    </row>
    <row r="16">
      <c r="A16" s="322" t="n"/>
      <c r="C16" s="328" t="n"/>
      <c r="F16" s="63" t="n"/>
      <c r="G16" s="64" t="n"/>
      <c r="I16" s="80" t="n"/>
      <c r="J16" s="63" t="n"/>
      <c r="K16" s="64" t="n"/>
      <c r="N16" s="63" t="n"/>
      <c r="O16" s="64" t="n"/>
      <c r="R16" s="63" t="n"/>
      <c r="S16" s="64" t="n"/>
    </row>
    <row r="17">
      <c r="A17" s="322" t="n"/>
      <c r="C17" s="328" t="n"/>
      <c r="F17" s="63" t="n"/>
      <c r="G17" s="64" t="n"/>
      <c r="I17" s="80" t="n"/>
      <c r="J17" s="63" t="n"/>
      <c r="K17" s="64" t="n"/>
      <c r="N17" s="63" t="n"/>
      <c r="O17" s="64" t="n"/>
      <c r="R17" s="63" t="n"/>
      <c r="S17" s="64" t="n"/>
    </row>
    <row r="18">
      <c r="A18" s="322" t="n"/>
      <c r="C18" s="328" t="n"/>
      <c r="F18" s="63" t="n"/>
      <c r="G18" s="64" t="n"/>
      <c r="I18" s="80" t="n"/>
      <c r="J18" s="63" t="n"/>
      <c r="K18" s="64" t="n"/>
      <c r="N18" s="63" t="n"/>
      <c r="O18" s="64" t="n"/>
      <c r="R18" s="63" t="n"/>
      <c r="S18" s="64" t="n"/>
    </row>
    <row r="19">
      <c r="A19" s="322" t="n"/>
      <c r="C19" s="328" t="n"/>
      <c r="F19" s="63" t="n"/>
      <c r="G19" s="64" t="n"/>
      <c r="I19" s="80" t="n"/>
      <c r="J19" s="63" t="n"/>
      <c r="K19" s="64" t="n"/>
      <c r="N19" s="63" t="n"/>
      <c r="O19" s="64" t="n"/>
      <c r="R19" s="63" t="n"/>
      <c r="S19" s="64" t="n"/>
    </row>
    <row r="20">
      <c r="A20" s="322" t="n"/>
      <c r="C20" s="328" t="n"/>
      <c r="F20" s="63" t="n"/>
      <c r="G20" s="64" t="n"/>
      <c r="I20" s="80" t="n"/>
      <c r="J20" s="63" t="n"/>
      <c r="K20" s="64" t="n"/>
      <c r="N20" s="63" t="n"/>
      <c r="O20" s="64" t="n"/>
      <c r="R20" s="63" t="n"/>
      <c r="S20" s="64" t="n"/>
    </row>
  </sheetData>
  <mergeCells count="11">
    <mergeCell ref="D1:E1"/>
    <mergeCell ref="H1:I1"/>
    <mergeCell ref="L1:M1"/>
    <mergeCell ref="J1:K1"/>
    <mergeCell ref="P1:Q1"/>
    <mergeCell ref="C1:C2"/>
    <mergeCell ref="B1:B2"/>
    <mergeCell ref="F1:G1"/>
    <mergeCell ref="N1:O1"/>
    <mergeCell ref="R1:S1"/>
    <mergeCell ref="A1:A2"/>
  </mergeCells>
  <pageMargins left="0.7" right="0.7" top="0.75" bottom="0.75" header="0.3" footer="0.3"/>
  <pageSetup orientation="portrait" paperSize="9" verticalDpi="1200"/>
  <legacyDrawing xmlns:r="http://schemas.openxmlformats.org/officeDocument/2006/relationships" r:id="anysvml"/>
</worksheet>
</file>

<file path=xl/worksheets/sheet9.xml><?xml version="1.0" encoding="utf-8"?>
<worksheet xmlns="http://schemas.openxmlformats.org/spreadsheetml/2006/main">
  <sheetPr codeName="Foglio5">
    <tabColor theme="9" tint="0.3999755851924192"/>
    <outlinePr summaryBelow="0" summaryRight="0"/>
    <pageSetUpPr/>
  </sheetPr>
  <dimension ref="A1:L285"/>
  <sheetViews>
    <sheetView tabSelected="1" zoomScale="55" zoomScaleNormal="55" workbookViewId="0">
      <pane xSplit="2" ySplit="1" topLeftCell="C5" activePane="bottomRight" state="frozen"/>
      <selection pane="topRight" activeCell="F1" sqref="F1"/>
      <selection pane="bottomLeft" activeCell="A3" sqref="A3"/>
      <selection pane="bottomRight" activeCell="F23" sqref="F23:J23"/>
    </sheetView>
  </sheetViews>
  <sheetFormatPr baseColWidth="8" defaultColWidth="8.7109375" defaultRowHeight="15" outlineLevelRow="2"/>
  <cols>
    <col width="22.140625" bestFit="1" customWidth="1" style="62" min="1" max="1"/>
    <col width="65.42578125" customWidth="1" style="62" min="2" max="2"/>
    <col width="14" bestFit="1" customWidth="1" style="62" min="3" max="3"/>
    <col width="28.42578125" bestFit="1" customWidth="1" style="10" min="4" max="4"/>
    <col width="21.42578125" customWidth="1" style="62" min="5" max="5"/>
    <col width="35.5703125" customWidth="1" style="10" min="6" max="10"/>
    <col width="14.85546875" customWidth="1" style="10" min="11" max="12"/>
    <col width="8.7109375" customWidth="1" style="59" min="13" max="13"/>
    <col width="33.140625" customWidth="1" style="59" min="14" max="14"/>
    <col width="8.7109375" customWidth="1" style="59" min="15" max="34"/>
    <col width="8.7109375" customWidth="1" style="59" min="35" max="16384"/>
  </cols>
  <sheetData>
    <row r="1" ht="30" customFormat="1" customHeight="1" s="61">
      <c r="A1" s="329" t="inlineStr">
        <is>
          <t>FUNC ID</t>
        </is>
      </c>
      <c r="B1" s="329" t="inlineStr">
        <is>
          <t>DESCRIZIONE FUNZIONE</t>
        </is>
      </c>
      <c r="C1" s="436" t="inlineStr">
        <is>
          <t>DOC
CARTELLA</t>
        </is>
      </c>
      <c r="D1" s="436" t="inlineStr">
        <is>
          <t>DOC ID</t>
        </is>
      </c>
      <c r="E1" s="436" t="inlineStr">
        <is>
          <t>Info DOC</t>
        </is>
      </c>
      <c r="F1" s="330" t="inlineStr">
        <is>
          <t>VZI_Base</t>
        </is>
      </c>
      <c r="G1" s="330" t="inlineStr">
        <is>
          <t>VZI_New14</t>
        </is>
      </c>
      <c r="H1" s="441" t="inlineStr">
        <is>
          <t>VZ_FR</t>
        </is>
      </c>
      <c r="I1" s="441" t="inlineStr">
        <is>
          <t>VZ_ES</t>
        </is>
      </c>
      <c r="J1" s="441" t="inlineStr">
        <is>
          <t>VZI-6_R1</t>
        </is>
      </c>
      <c r="K1" s="441" t="inlineStr">
        <is>
          <t>VZI-4_R1</t>
        </is>
      </c>
      <c r="L1" s="82" t="inlineStr">
        <is>
          <t>VZ_DAI</t>
        </is>
      </c>
    </row>
    <row r="2">
      <c r="A2" s="331" t="inlineStr">
        <is>
          <t>Func_XXX</t>
        </is>
      </c>
      <c r="B2" s="331" t="inlineStr">
        <is>
          <t>xxxxx</t>
        </is>
      </c>
      <c r="C2" s="213" t="inlineStr">
        <is>
          <t>HW  + SW</t>
        </is>
      </c>
      <c r="D2" s="332" t="inlineStr">
        <is>
          <t>\</t>
        </is>
      </c>
      <c r="E2" s="333" t="n"/>
      <c r="F2" s="334" t="n"/>
      <c r="G2" s="334" t="n"/>
      <c r="H2" s="334" t="n"/>
      <c r="I2" s="334" t="n"/>
      <c r="J2" s="334" t="n"/>
      <c r="K2" s="334" t="n"/>
      <c r="L2" s="335" t="n"/>
    </row>
    <row r="3" outlineLevel="1" collapsed="1" s="480">
      <c r="A3" s="336" t="n"/>
      <c r="B3" s="337"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0)))),".",INDIRECT(CONCATENATE("'"&amp;$C3&amp;"'!",ADDRESS(MATCH($D3,INDIRECT("'"&amp;$C3&amp;"'!$B:$B"),0),3))),"#page=",F4),CONCATENATE("#Sharepoint//",$D3))</f>
        <v/>
      </c>
      <c r="G3" s="338" t="n"/>
      <c r="H3" s="338" t="n"/>
      <c r="I3" s="338" t="n"/>
      <c r="J3" s="340">
        <f t="array" ref="J3">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
      </c>
      <c r="K3" s="341" t="n"/>
      <c r="L3" s="338" t="n"/>
    </row>
    <row r="4" hidden="1" outlineLevel="2" s="480">
      <c r="A4" s="105" t="n"/>
      <c r="B4" s="106">
        <f t="array" ref="B4">INDIRECT("'" &amp; $C9 &amp; "'!B5")</f>
        <v/>
      </c>
      <c r="C4" s="342" t="n"/>
      <c r="D4" s="217" t="n"/>
      <c r="E4" s="218" t="inlineStr">
        <is>
          <t>Rif. Pagina</t>
        </is>
      </c>
      <c r="F4" s="217" t="n">
        <v>1</v>
      </c>
      <c r="G4" s="217" t="n"/>
      <c r="H4" s="217" t="n"/>
      <c r="I4" s="217" t="n"/>
      <c r="J4" s="217" t="n">
        <v>1</v>
      </c>
      <c r="K4" s="343" t="n"/>
      <c r="L4" s="217" t="n"/>
    </row>
    <row r="5" outlineLevel="1" collapsed="1" s="480">
      <c r="A5" s="105" t="n"/>
      <c r="B5" s="106" t="n"/>
      <c r="C5" s="338" t="inlineStr">
        <is>
          <t>CONFIG</t>
        </is>
      </c>
      <c r="D5" s="338" t="inlineStr">
        <is>
          <t>FRS_xx</t>
        </is>
      </c>
      <c r="E5" s="339" t="inlineStr">
        <is>
          <t>Link</t>
        </is>
      </c>
      <c r="F5" s="340">
        <f t="array" ref="F5">HYPERLINK(CONCATENATE(Cartelle!$D$5,F$1,"/CONFIG/",MID($D5,1,FIND("_",$D5)-1),"/",INDIRECT(CONCATENATE("'CONFIG'!",ADDRESS(MATCH($D5, CONFIG!$B:$B, 0),MATCH(F$1, CONFIG!$1:$1, 0)))),".pdf#page=",F6),CONCATENATE("#Sharepoint//",$D5))</f>
        <v/>
      </c>
      <c r="G5" s="338" t="n"/>
      <c r="H5" s="338" t="n"/>
      <c r="I5" s="338" t="n"/>
      <c r="J5" s="340">
        <f t="array" ref="J5">HYPERLINK(CONCATENATE(Cartelle!$D$5,J$1,"/CONFIG/",MID($D5,1,FIND("_",$D5)-1),"/",INDIRECT(CONCATENATE("'CONFIG'!",ADDRESS(MATCH($D5, CONFIG!$B:$B, 0),MATCH(J$1, CONFIG!$1:$1, 0)))),".pdf#page=",J6),CONCATENATE("#Sharepoint//",$D5))</f>
        <v/>
      </c>
      <c r="K5" s="338" t="n"/>
      <c r="L5" s="338" t="n"/>
    </row>
    <row r="6" hidden="1" outlineLevel="2" s="480">
      <c r="A6" s="105" t="n"/>
      <c r="B6" s="106" t="n"/>
      <c r="C6" s="342" t="n"/>
      <c r="D6" s="217" t="n"/>
      <c r="E6" s="218" t="inlineStr">
        <is>
          <t>Rif. Pagina</t>
        </is>
      </c>
      <c r="F6" s="217" t="n">
        <v>1</v>
      </c>
      <c r="G6" s="217" t="n"/>
      <c r="H6" s="217" t="n"/>
      <c r="I6" s="217" t="n"/>
      <c r="J6" s="217" t="n">
        <v>1</v>
      </c>
      <c r="K6" s="217" t="n"/>
      <c r="L6" s="217" t="n"/>
    </row>
    <row r="7" outlineLevel="1" collapsed="1" s="480">
      <c r="A7" s="105" t="n"/>
      <c r="B7" s="106" t="n"/>
      <c r="C7" s="338" t="inlineStr">
        <is>
          <t>CONFIG</t>
        </is>
      </c>
      <c r="D7" s="338" t="inlineStr">
        <is>
          <t>FPD_xx</t>
        </is>
      </c>
      <c r="E7" s="339" t="inlineStr">
        <is>
          <t>Link</t>
        </is>
      </c>
      <c r="F7" s="340">
        <f t="array" ref="F7">HYPERLINK(CONCATENATE(Cartelle!$D$5,F$1,"/CONFIG/",MID($D7,1,FIND("_",$D7)-1),"/",INDIRECT(CONCATENATE("'CONFIG'!",ADDRESS(MATCH($D7, CONFIG!$B:$B, 0),MATCH(F$1, CONFIG!$1:$1, 0)))),".pdf#page=",F8),CONCATENATE("#Sharepoint//",$D7))</f>
        <v/>
      </c>
      <c r="G7" s="338" t="n"/>
      <c r="H7" s="338" t="n"/>
      <c r="I7" s="338" t="n"/>
      <c r="J7" s="340">
        <f t="array" ref="J7">HYPERLINK(CONCATENATE(Cartelle!$D$5,J$1,"/CONFIG/",MID($D7,1,FIND("_",$D7)-1),"/",INDIRECT(CONCATENATE("'CONFIG'!",ADDRESS(MATCH($D7, CONFIG!$B:$B, 0),MATCH(J$1, CONFIG!$1:$1, 0)))),".pdf#page=",J8),CONCATENATE("#Sharepoint//",$D7))</f>
        <v/>
      </c>
      <c r="K7" s="338" t="n"/>
      <c r="L7" s="338" t="n"/>
    </row>
    <row r="8" hidden="1" outlineLevel="2" s="480">
      <c r="A8" s="105" t="n"/>
      <c r="B8" s="106" t="n"/>
      <c r="C8" s="106" t="n"/>
      <c r="D8" s="217" t="n"/>
      <c r="E8" s="218" t="inlineStr">
        <is>
          <t>Rif. Pagina</t>
        </is>
      </c>
      <c r="F8" s="217" t="n">
        <v>1</v>
      </c>
      <c r="G8" s="217" t="n"/>
      <c r="H8" s="217" t="n"/>
      <c r="I8" s="217" t="n"/>
      <c r="J8" s="217" t="n">
        <v>1</v>
      </c>
      <c r="K8" s="217" t="n"/>
      <c r="L8" s="217" t="n"/>
    </row>
    <row r="9" outlineLevel="1" collapsed="1" s="480">
      <c r="A9" s="67" t="n"/>
      <c r="B9" s="86" t="n"/>
      <c r="C9" s="338" t="inlineStr">
        <is>
          <t>MAN_CPR</t>
        </is>
      </c>
      <c r="D9" s="332" t="inlineStr">
        <is>
          <t>PBC_01A</t>
        </is>
      </c>
      <c r="E9" s="344" t="inlineStr">
        <is>
          <t>Link</t>
        </is>
      </c>
      <c r="F9" s="340">
        <f t="array" ref="F9">HYPERLINK(CONCATENATE(Cartelle!$D$5,F$1,"/",$C9,"/",MID($D9,1,FIND("_",$D9)-1),"/",INDIRECT(CONCATENATE("'" &amp; $C9 &amp; "'!",ADDRESS(MATCH($D9, INDIRECT("'" &amp; $C9 &amp; "'!$B:$B"), 0),MATCH(F$1, INDIRECT("'" &amp; $C9 &amp; "'!$1:$1"), 0)))),".",INDIRECT(CONCATENATE("'"&amp;$C9&amp;"'!",ADDRESS(MATCH($D9,INDIRECT("'"&amp;$C9&amp;"'!$B:$B"),0),3))),"#page=",F10),CONCATENATE("#Sharepoint//",$D9))</f>
        <v/>
      </c>
      <c r="G9" s="340">
        <f t="array" ref="G9">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
      </c>
      <c r="H9" s="338" t="n"/>
      <c r="I9" s="338" t="n"/>
      <c r="J9" s="338" t="n"/>
      <c r="K9" s="338" t="n"/>
      <c r="L9" s="338" t="n"/>
    </row>
    <row r="10" hidden="1" outlineLevel="2" s="480">
      <c r="A10" s="67" t="n"/>
      <c r="B10" s="86" t="n"/>
      <c r="D10" s="345" t="n"/>
      <c r="E10" s="218" t="inlineStr">
        <is>
          <t>Rif. Pagina</t>
        </is>
      </c>
      <c r="F10" s="217" t="n">
        <v>1</v>
      </c>
      <c r="G10" s="217" t="n">
        <v>1</v>
      </c>
      <c r="H10" s="217" t="n"/>
      <c r="I10" s="217" t="n"/>
      <c r="J10" s="217" t="n"/>
      <c r="K10" s="217" t="n"/>
      <c r="L10" s="217" t="n"/>
    </row>
    <row r="11" hidden="1" outlineLevel="2" s="480">
      <c r="A11" s="67" t="n"/>
      <c r="B11" s="86" t="n"/>
      <c r="D11" s="346" t="n"/>
      <c r="E11" s="343" t="inlineStr">
        <is>
          <t>Descrizione</t>
        </is>
      </c>
      <c r="F11" s="217" t="n"/>
      <c r="G11" s="217" t="n"/>
      <c r="H11" s="217" t="n"/>
      <c r="I11" s="217" t="n"/>
      <c r="J11" s="217" t="n"/>
      <c r="K11" s="217" t="n"/>
      <c r="L11" s="217" t="n"/>
    </row>
    <row r="12" outlineLevel="1" collapsed="1" s="480">
      <c r="A12" s="67" t="n"/>
      <c r="B12" s="86" t="n"/>
      <c r="C12" s="338" t="inlineStr">
        <is>
          <t>DIAGNOSTIC</t>
        </is>
      </c>
      <c r="D12" s="332" t="inlineStr">
        <is>
          <t>DIA_Regole</t>
        </is>
      </c>
      <c r="E12" s="344"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c r="G12" s="338" t="n"/>
      <c r="H12" s="338" t="n"/>
      <c r="I12" s="338" t="n"/>
      <c r="J12" s="338" t="n"/>
      <c r="K12" s="338" t="n"/>
      <c r="L12" s="338" t="n"/>
    </row>
    <row r="13" hidden="1" outlineLevel="2" s="480">
      <c r="A13" s="67" t="n"/>
      <c r="B13" s="86" t="n"/>
      <c r="D13" s="345" t="n"/>
      <c r="E13" s="343" t="inlineStr">
        <is>
          <t>Pagina</t>
        </is>
      </c>
      <c r="F13" s="217" t="n">
        <v>1</v>
      </c>
      <c r="G13" s="217" t="n"/>
      <c r="H13" s="217" t="n"/>
      <c r="I13" s="217" t="n"/>
      <c r="J13" s="217" t="n"/>
      <c r="K13" s="217" t="n"/>
      <c r="L13" s="217" t="n"/>
    </row>
    <row r="14" outlineLevel="1" collapsed="1" s="480">
      <c r="A14" s="67" t="n"/>
      <c r="B14" s="176" t="inlineStr">
        <is>
          <t>TBD Sottocartelle GENERAL sulla base del prefisso</t>
        </is>
      </c>
      <c r="C14" s="338" t="inlineStr">
        <is>
          <t>GENERAL</t>
        </is>
      </c>
      <c r="D14" s="332" t="inlineStr">
        <is>
          <t>FD_TCMS</t>
        </is>
      </c>
      <c r="E14" s="344" t="inlineStr">
        <is>
          <t>Link</t>
        </is>
      </c>
      <c r="F14" s="292">
        <f t="array" ref="F14">HYPERLINK(CONCATENATE(Cartelle!$D$5,F$1,"/",$C14,"/",MID($D14,1,FIND("_",$D14)-1),"/",INDIRECT(CONCATENATE("'" &amp; $C14 &amp; "'!",ADDRESS(MATCH($D14, INDIRECT("'" &amp; $C14 &amp; "'!$B:$B"), 0),MATCH(F$1, INDIRECT("'" &amp; $C14 &amp; "'!$1:$1"), 0)))),".",INDIRECT(CONCATENATE("'"&amp;$C14&amp;"'!",ADDRESS(MATCH($D14,INDIRECT("'"&amp;$C14&amp;"'!$B:$B"),0),3))),"#page=",F15),CONCATENATE("#Sharepoint//",$D14))</f>
        <v/>
      </c>
      <c r="G14" s="338" t="n"/>
      <c r="H14" s="338" t="n"/>
      <c r="I14" s="338" t="n"/>
      <c r="J14" s="338" t="n"/>
      <c r="K14" s="338" t="n"/>
      <c r="L14" s="338" t="n"/>
    </row>
    <row r="15" hidden="1" outlineLevel="2" s="480">
      <c r="A15" s="67" t="n"/>
      <c r="B15" s="86" t="n"/>
      <c r="D15" s="345" t="n"/>
      <c r="E15" s="343" t="inlineStr">
        <is>
          <t>Pagina</t>
        </is>
      </c>
      <c r="F15" s="217" t="n">
        <v>1</v>
      </c>
      <c r="G15" s="217" t="n"/>
      <c r="H15" s="217" t="n"/>
      <c r="I15" s="217" t="n"/>
      <c r="J15" s="217" t="n"/>
      <c r="K15" s="217" t="n"/>
      <c r="L15" s="217" t="n"/>
    </row>
    <row r="16" ht="30" customHeight="1" s="480">
      <c r="A16" s="347" t="inlineStr">
        <is>
          <t>LV_Country_code_selection</t>
        </is>
      </c>
      <c r="B16" s="347" t="inlineStr">
        <is>
          <t>Selezione su IDU del paese corrente, per informare la PCU sui pantografi selezionabili</t>
        </is>
      </c>
      <c r="C16" s="180" t="n"/>
      <c r="D16" s="348" t="inlineStr">
        <is>
          <t>\</t>
        </is>
      </c>
      <c r="E16" s="349" t="n"/>
      <c r="F16" s="350" t="n"/>
      <c r="G16" s="350" t="n"/>
      <c r="H16" s="350" t="n"/>
      <c r="I16" s="350" t="n"/>
      <c r="J16" s="350" t="n"/>
      <c r="K16" s="350" t="n"/>
      <c r="L16" s="351" t="n"/>
    </row>
    <row r="17" outlineLevel="1" s="480">
      <c r="A17" s="336" t="n"/>
      <c r="B17" s="337" t="n"/>
      <c r="C17" s="338" t="inlineStr">
        <is>
          <t>CONFIG</t>
        </is>
      </c>
      <c r="D17" s="338" t="inlineStr">
        <is>
          <t>FRS_Line Voltage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c r="G17" s="352" t="n"/>
      <c r="H17" s="340">
        <f t="array" ref="H17">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
      </c>
      <c r="I17" s="340">
        <f t="array" ref="I17">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
      </c>
      <c r="J17" s="340">
        <f t="array" ref="J17">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
      </c>
      <c r="K17" s="341" t="n"/>
      <c r="L17" s="338" t="n"/>
    </row>
    <row r="18" outlineLevel="2" s="480">
      <c r="A18" s="105" t="n"/>
      <c r="B18" s="106" t="n"/>
      <c r="C18" s="106" t="n"/>
      <c r="D18" s="217" t="n"/>
      <c r="E18" s="218" t="inlineStr">
        <is>
          <t>Rif. Pagina</t>
        </is>
      </c>
      <c r="F18" s="217" t="n">
        <v>7</v>
      </c>
      <c r="G18" s="217" t="n"/>
      <c r="H18" s="217" t="n">
        <v>7</v>
      </c>
      <c r="I18" s="217" t="n">
        <v>7</v>
      </c>
      <c r="J18" s="217" t="n">
        <v>12</v>
      </c>
      <c r="K18" s="343" t="n"/>
      <c r="L18" s="217" t="n"/>
    </row>
    <row r="19" outlineLevel="2" ht="409.5" customHeight="1" s="480">
      <c r="A19" s="105" t="n"/>
      <c r="B19" s="106" t="n"/>
      <c r="C19" s="106" t="n"/>
      <c r="D19" s="217" t="n"/>
      <c r="E19" s="230" t="inlineStr">
        <is>
          <t>Funzioni AI</t>
        </is>
      </c>
      <c r="F19" s="524"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(VZI_Base): Nota specifica su questa config: la funzione è identica alle altre, ma non invia la selezione ai PCU in caso di guasto.
Score equivalenza: 85/100
Pag. iniziale: parte di pag.7 — Pag. finale: parte di pag.8.</t>
        </is>
      </c>
      <c r="G19" s="231" t="n"/>
      <c r="H19" s="524"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(VZ_FR): Nota specifica su questa config: la funzione è identica alle altre, ma invia la selezione ai PCU in caso di guasto.
Score equivalenza: 85/100
Pag. iniziale: parte di pag.7 — Pag. finale: parte di pag.8.</t>
        </is>
      </c>
      <c r="I19" s="524"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(VZ_ES): Nota specifica su questa config: la funzione non è identica alle altre, poiché non implementa il timeout di 35s.
Score equivalenza: 85/100
Pag. iniziale: parte di pag.7 — Pag. finale: parte di pag.8.</t>
        </is>
      </c>
      <c r="J19" s="524" t="inlineStr">
        <is>
          <t>La funzione 'LV_Country_code_selection' seleziona il paese di operazione in base all'IDU e invia la selezione ai PCU. In caso di guasto, il sistema comunica il paese di operazione più recente conosciuto. La funzione è valida per tutte le configurazioni, ma presenta alcune differenze significative.
Differenze tra configurazioni:
  • VZI_Base ha soglia 750 kPa, VZ_FR ha soglia 800 kPa
  • VZI_Base non invia la selezione ai PCU in caso di guasto
  • VZI_Base non comunica il paese di operazione più recente conosciuto in caso di guasto
  • VZ_FR invia la selezione ai PCU in caso di guasto
  • VZ_FR comunica il paese di operazione più recente conosciuto in caso di guasto
  • VZ_ES non implementa il timeout di 35s presente nelle altre config
  • VZI-6_R1 non invia la selezione ai PCU in caso di guasto
  • VZI-6_R1 non comunica il paese di operazione più recente conosciuto in caso di guasto
Questa configurazione (VZI-6_R1): Nota specifica su questa config: la funzione è identica alle altre, ma non invia la selezione ai PCU in caso di guasto.
Score equivalenza: 85/100
Pag. iniziale: parte di pag.12 — Pag. finale: parte di pag.13.</t>
        </is>
      </c>
      <c r="K19" s="230" t="n"/>
      <c r="L19" s="232" t="n"/>
    </row>
    <row r="20" ht="30" customHeight="1" s="480">
      <c r="A20" s="347" t="inlineStr">
        <is>
          <t>LV_Pantograph_Lifting</t>
        </is>
      </c>
      <c r="B20" s="347" t="inlineStr">
        <is>
          <t>Comando di alzamento pantografo 1 o 2 sulla base di tensione di linea (switch) e paese (IDU) selezionati</t>
        </is>
      </c>
      <c r="C20" s="180" t="n"/>
      <c r="D20" s="348" t="inlineStr">
        <is>
          <t>\</t>
        </is>
      </c>
      <c r="E20" s="349" t="n"/>
      <c r="F20" s="350" t="n"/>
      <c r="G20" s="350" t="n"/>
      <c r="H20" s="350" t="n"/>
      <c r="I20" s="350" t="n"/>
      <c r="J20" s="350" t="n"/>
      <c r="K20" s="350" t="n"/>
      <c r="L20" s="351" t="n"/>
    </row>
    <row r="21" outlineLevel="1" s="480">
      <c r="A21" s="336" t="n"/>
      <c r="B21" s="337" t="n"/>
      <c r="C21" s="338" t="inlineStr">
        <is>
          <t>CONFIG</t>
        </is>
      </c>
      <c r="D21" s="338" t="inlineStr">
        <is>
          <t>FRS_Line Voltage</t>
        </is>
      </c>
      <c r="E21" s="339" t="inlineStr">
        <is>
          <t>Link</t>
        </is>
      </c>
      <c r="F21" s="340">
        <f t="array" ref="F21">HYPERLINK(CONCATENATE(Cartelle!$D$5,F$1,"/",$C21,"/",MID($D21,1,FIND("_",$D21)-1),"/",INDIRECT(CONCATENATE("'" &amp; $C21 &amp; "'!",ADDRESS(MATCH($D21, INDIRECT("'" &amp; $C21 &amp; "'!$B:$B"), 0),MATCH(F$1, INDIRECT("'" &amp; $C21 &amp; "'!$1:$1"), 0)))),".",INDIRECT(CONCATENATE("'"&amp;$C21&amp;"'!",ADDRESS(MATCH($D21,INDIRECT("'"&amp;$C21&amp;"'!$B:$B"),0),3))),"#page=",F22),CONCATENATE("#Sharepoint//",$D21))</f>
        <v/>
      </c>
      <c r="G21" s="352" t="n"/>
      <c r="H21" s="340">
        <f t="array" ref="H2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
      </c>
      <c r="I21" s="340">
        <f t="array" ref="I2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
      </c>
      <c r="J21" s="340">
        <f t="array" ref="J2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
      </c>
      <c r="K21" s="341" t="n"/>
      <c r="L21" s="338" t="n"/>
    </row>
    <row r="22" outlineLevel="2" s="480">
      <c r="A22" s="105" t="n"/>
      <c r="B22" s="106" t="n"/>
      <c r="C22" s="106" t="n"/>
      <c r="D22" s="217" t="n"/>
      <c r="E22" s="218" t="inlineStr">
        <is>
          <t>Rif. Pagina</t>
        </is>
      </c>
      <c r="F22" s="217" t="n">
        <v>8</v>
      </c>
      <c r="G22" s="217" t="n"/>
      <c r="H22" s="217" t="n">
        <v>8</v>
      </c>
      <c r="I22" s="217" t="n">
        <v>8</v>
      </c>
      <c r="J22" s="217" t="n">
        <v>13</v>
      </c>
      <c r="K22" s="343" t="n"/>
      <c r="L22" s="217" t="n"/>
    </row>
    <row r="23" outlineLevel="2" ht="360" customHeight="1" s="480">
      <c r="A23" s="105" t="n"/>
      <c r="B23" s="106" t="n"/>
      <c r="C23" s="106" t="n"/>
      <c r="D23" s="217" t="n"/>
      <c r="E23" s="230" t="inlineStr">
        <is>
          <t>Funzioni AI</t>
        </is>
      </c>
      <c r="F23" s="429" t="n"/>
      <c r="G23" s="231" t="n"/>
      <c r="H23" s="429" t="n"/>
      <c r="I23" s="429" t="n"/>
      <c r="J23" s="429" t="n"/>
      <c r="K23" s="230" t="n"/>
      <c r="L23" s="232" t="n"/>
    </row>
    <row r="24" ht="30" customHeight="1" s="480">
      <c r="A24" s="347" t="inlineStr">
        <is>
          <t>LV_Pantograph_Lowering</t>
        </is>
      </c>
      <c r="B24" s="347" t="inlineStr">
        <is>
          <t>Comando di abbassamento pantografo manuale/automatico</t>
        </is>
      </c>
      <c r="C24" s="180" t="n"/>
      <c r="D24" s="348" t="inlineStr">
        <is>
          <t>\</t>
        </is>
      </c>
      <c r="E24" s="349" t="n"/>
      <c r="F24" s="350" t="n"/>
      <c r="G24" s="350" t="n"/>
      <c r="H24" s="350" t="n"/>
      <c r="I24" s="350" t="n"/>
      <c r="J24" s="350" t="n"/>
      <c r="K24" s="350" t="n"/>
      <c r="L24" s="351" t="n"/>
    </row>
    <row r="25" outlineLevel="1" collapsed="1" s="480">
      <c r="A25" s="336" t="n"/>
      <c r="B25" s="337" t="n"/>
      <c r="C25" s="338" t="inlineStr">
        <is>
          <t>CONFIG</t>
        </is>
      </c>
      <c r="D25" s="338" t="inlineStr">
        <is>
          <t>FRS_Line Voltage</t>
        </is>
      </c>
      <c r="E25" s="339" t="inlineStr">
        <is>
          <t>Link</t>
        </is>
      </c>
      <c r="F25" s="340">
        <f t="array" ref="F25">HYPERLINK(CONCATENATE(Cartelle!$D$5,F$1,"/",$C25,"/",MID($D25,1,FIND("_",$D25)-1),"/",INDIRECT(CONCATENATE("'" &amp; $C25 &amp; "'!",ADDRESS(MATCH($D25, INDIRECT("'" &amp; $C25 &amp; "'!$B:$B"), 0),MATCH(F$1, INDIRECT("'" &amp; $C25 &amp; "'!$1:$1"), 0)))),".",INDIRECT(CONCATENATE("'"&amp;$C25&amp;"'!",ADDRESS(MATCH($D25,INDIRECT("'"&amp;$C25&amp;"'!$B:$B"),0),3))),"#page=",F26),CONCATENATE("#Sharepoint//",$D25))</f>
        <v/>
      </c>
      <c r="G25" s="352" t="n"/>
      <c r="H25" s="340">
        <f t="array" ref="H25">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
      </c>
      <c r="I25" s="340">
        <f t="array" ref="I25">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
      </c>
      <c r="J25" s="340">
        <f t="array" ref="J25">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
      </c>
      <c r="K25" s="341" t="n"/>
      <c r="L25" s="338" t="n"/>
    </row>
    <row r="26" hidden="1" outlineLevel="2" s="480">
      <c r="A26" s="105" t="n"/>
      <c r="B26" s="106" t="n"/>
      <c r="C26" s="106" t="n"/>
      <c r="D26" s="217" t="n"/>
      <c r="E26" s="218" t="inlineStr">
        <is>
          <t>Rif. Pagina</t>
        </is>
      </c>
      <c r="F26" s="217" t="n">
        <v>14</v>
      </c>
      <c r="G26" s="217" t="n"/>
      <c r="H26" s="217" t="n">
        <v>16</v>
      </c>
      <c r="I26" s="217" t="n">
        <v>14</v>
      </c>
      <c r="J26" s="217" t="n">
        <v>19</v>
      </c>
      <c r="K26" s="343" t="n"/>
      <c r="L26" s="217" t="n"/>
    </row>
    <row r="27" hidden="1" outlineLevel="2" ht="409.5" customHeight="1" s="480">
      <c r="A27" s="105" t="n"/>
      <c r="B27" s="106" t="n"/>
      <c r="C27" s="106" t="n"/>
      <c r="D27" s="217" t="n"/>
      <c r="E27" s="230" t="inlineStr">
        <is>
          <t>Funzioni AI</t>
        </is>
      </c>
      <c r="F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(VZI_Base): La funzione è identica alle altre config, ma con una soglia di 750 kPa
Score equivalenza: 85/100
Pag. di riferimento: parte di pag.14.</t>
        </is>
      </c>
      <c r="G27" s="231" t="n"/>
      <c r="H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(VZ_FR): La funzione è identica alle altre config, ma con una soglia di 800 kPa e un timeout di 35s
Score equivalenza: 85/100
Pag. iniziale: parte di pag.16 — Pag. finale: parte di pag.18.</t>
        </is>
      </c>
      <c r="I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(VZ_ES): La funzione è diversa dalle altre config, poiché non implementa il timeout di 35s e ha un comportamento di blocco del pantografo diverso
Score equivalenza: 85/100
Pag. di riferimento: parte di pag.14.</t>
        </is>
      </c>
      <c r="J27" s="427" t="inlineStr">
        <is>
          <t>La funzione 'LV_Pantograph_Lowering' è attivata quando il sistema di tensione elettrica viene disattivato, tramite il comando di abbassamento del pantografo. La funzione è progettata per bloccare il pantografo in caso di guasto o mancata risposta, e per assicurare che i circuitti di sicurezza siano aperti prima di abbassare il pantografo.
Differenze tra configurazioni:
  • VZI_Base ha soglia 750 kPa, VZ_FR ha soglia 800 kPa
  • VZI_Base e VZ_FR hanno il comportamento di blocco del pantografo in caso di guasto
  • VZ_FR ha un timeout di 35s, mentre VZI_Base e VZI-6_R1 hanno un timeout di 3s
  • VZI_ES non implementa il timeout di 35s e ha un comportamento di blocco del pantografo diverso
Questa configurazione (VZI-6_R1): La funzione è identica alle altre config, ma con una soglia di 800 kPa
Score equivalenza: 85/100
Pag. iniziale: parte di pag.19 — Pag. finale: pag.20.</t>
        </is>
      </c>
      <c r="K27" s="230" t="n"/>
      <c r="L27" s="232" t="n"/>
    </row>
    <row r="28" ht="30" customFormat="1" customHeight="1" s="8">
      <c r="A28" s="353" t="inlineStr">
        <is>
          <t>LV_Automatic_Dropping_Device_(ADD)</t>
        </is>
      </c>
      <c r="B28" s="354" t="inlineStr">
        <is>
          <t>Dispositivo di abbassamento automatico del pantografo in caso di guasto</t>
        </is>
      </c>
      <c r="C28" s="181" t="n"/>
      <c r="D28" s="355" t="inlineStr">
        <is>
          <t>\</t>
        </is>
      </c>
      <c r="E28" s="356" t="n"/>
      <c r="F28" s="357" t="n"/>
      <c r="G28" s="357" t="n"/>
      <c r="H28" s="357" t="n"/>
      <c r="I28" s="357" t="n"/>
      <c r="J28" s="357" t="n"/>
      <c r="K28" s="357" t="n"/>
      <c r="L28" s="358" t="n"/>
    </row>
    <row r="29" outlineLevel="1" collapsed="1" customFormat="1" s="8">
      <c r="B29" s="59" t="n"/>
      <c r="C29" s="338" t="inlineStr">
        <is>
          <t>CONFIG</t>
        </is>
      </c>
      <c r="D29" s="338" t="inlineStr">
        <is>
          <t>FRS_Line Voltage</t>
        </is>
      </c>
      <c r="E29" s="339" t="inlineStr">
        <is>
          <t>Link</t>
        </is>
      </c>
      <c r="F29" s="340">
        <f t="array" ref="F29">HYPERLINK(CONCATENATE(Cartelle!$D$5,F$1,"/",$C29,"/",MID($D29,1,FIND("_",$D29)-1),"/",INDIRECT(CONCATENATE("'" &amp; $C29 &amp; "'!",ADDRESS(MATCH($D29, INDIRECT("'" &amp; $C29 &amp; "'!$B:$B"), 0),MATCH(F$1, INDIRECT("'" &amp; $C29 &amp; "'!$1:$1"), 0)))),".",INDIRECT(CONCATENATE("'"&amp;$C29&amp;"'!",ADDRESS(MATCH($D29,INDIRECT("'"&amp;$C29&amp;"'!$B:$B"),0),3))),"#page=",F30),CONCATENATE("#Sharepoint//",$D29))</f>
        <v/>
      </c>
      <c r="G29" s="352" t="n"/>
      <c r="H29" s="340">
        <f t="array" ref="H29">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
      </c>
      <c r="I29" s="340">
        <f t="array" ref="I29">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
      </c>
      <c r="J29" s="340">
        <f t="array" ref="J29">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
      </c>
      <c r="K29" s="359" t="n"/>
      <c r="L29" s="359" t="n"/>
    </row>
    <row r="30" hidden="1" outlineLevel="2" customFormat="1" s="8">
      <c r="B30" s="59" t="n"/>
      <c r="C30" s="446" t="n"/>
      <c r="D30" s="233" t="n"/>
      <c r="E30" s="270" t="inlineStr">
        <is>
          <t>Rif. Pagina</t>
        </is>
      </c>
      <c r="F30" s="233" t="n">
        <v>16</v>
      </c>
      <c r="G30" s="233" t="n"/>
      <c r="H30" s="233" t="n">
        <v>18</v>
      </c>
      <c r="I30" s="233" t="n">
        <v>16</v>
      </c>
      <c r="J30" s="233" t="n">
        <v>22</v>
      </c>
      <c r="K30" s="233" t="n"/>
      <c r="L30" s="233" t="n"/>
    </row>
    <row r="31" hidden="1" outlineLevel="2" ht="405" customFormat="1" customHeight="1" s="8">
      <c r="B31" s="59" t="n"/>
      <c r="C31" s="446" t="n"/>
      <c r="D31" s="233" t="n"/>
      <c r="E31" s="234" t="inlineStr">
        <is>
          <t>Funzioni AI</t>
        </is>
      </c>
      <c r="F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(VZI_Base): La VZI_Base ha un timeout di 35s e non ha un counter per misurare la distanza di guasto
Score equivalenza: 85/100
Pag. di riferimento: parte di pag.16.</t>
        </is>
      </c>
      <c r="G31" s="235" t="n"/>
      <c r="H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(VZ_FR): La VZ_FR ha un timeout di 30s e un counter per misurare la distanza di guasto
Score equivalenza: 85/100
Pag. iniziale: parte di pag.18 — Pag. finale: pag.19.</t>
        </is>
      </c>
      <c r="I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(VZ_ES): La VZ_ES non implementa il timeout di 35s e non ha un counter per misurare la distanza di guasto
Score equivalenza: 85/100
Pag. di riferimento: parte di pag.16.</t>
        </is>
      </c>
      <c r="J31" s="427" t="inlineStr">
        <is>
          <t>La funzione 'LV_Automatic_Dropping_Device_(ADD)' abbassa il pantografo automaticamente in caso di guasto o di danni alle strie di contatto. La funzione è attivata quando si verifica un guasto o un danno alle strie di contatto e abbassa il pantografo per evitare ulteriori danni. La funzione è progettata per essere sicura e affidabile, con un livello di sicurezza di SIL 2.
Differenze tra configurazioni:
  • VZI_Base ha soglia 750 kPa, VZ_FR ha soglia 800 kPa
  • VZI_Base ha un timeout di 35s, VZ_FR ha un timeout di 30s
  • VZI_Base non ha un counter per misurare la distanza di guasto, VZ_FR e VZI-6_R1 hanno un counter
Questa configurazione (VZI-6_R1): La VZI-6_R1 ha un counter per misurare la distanza di guasto
Score equivalenza: 85/100
Pag. iniziale: parte di pag.22 — Pag. finale: pag.23.</t>
        </is>
      </c>
      <c r="K31" s="235" t="n"/>
      <c r="L31" s="236" t="n"/>
    </row>
    <row r="32" ht="45" customFormat="1" customHeight="1" s="8">
      <c r="A32" s="353" t="inlineStr">
        <is>
          <t>LV_Pantograph_Interlock</t>
        </is>
      </c>
      <c r="B32" s="360" t="inlineStr">
        <is>
          <t>Interblocco automatico dei pantografi in caso di guasto rilevato. Il Pdc può bloccare anche manualmente un pantografo per impedirne la selezione</t>
        </is>
      </c>
      <c r="C32" s="181" t="n"/>
      <c r="D32" s="355" t="inlineStr">
        <is>
          <t>\</t>
        </is>
      </c>
      <c r="E32" s="356" t="n"/>
      <c r="F32" s="357" t="n"/>
      <c r="G32" s="357" t="n"/>
      <c r="H32" s="357" t="n"/>
      <c r="I32" s="357" t="n"/>
      <c r="J32" s="357" t="n"/>
      <c r="K32" s="357" t="n"/>
      <c r="L32" s="358" t="n"/>
    </row>
    <row r="33" outlineLevel="1" collapsed="1" customFormat="1" s="8">
      <c r="B33" s="59" t="n"/>
      <c r="C33" s="338" t="inlineStr">
        <is>
          <t>CONFIG</t>
        </is>
      </c>
      <c r="D33" s="338" t="inlineStr">
        <is>
          <t>FRS_Line Voltage</t>
        </is>
      </c>
      <c r="E33" s="339" t="inlineStr">
        <is>
          <t>Link</t>
        </is>
      </c>
      <c r="F33" s="340">
        <f t="array" ref="F33">HYPERLINK(CONCATENATE(Cartelle!$D$5,F$1,"/",$C33,"/",MID($D33,1,FIND("_",$D33)-1),"/",INDIRECT(CONCATENATE("'" &amp; $C33 &amp; "'!",ADDRESS(MATCH($D33, INDIRECT("'" &amp; $C33 &amp; "'!$B:$B"), 0),MATCH(F$1, INDIRECT("'" &amp; $C33 &amp; "'!$1:$1"), 0)))),".",INDIRECT(CONCATENATE("'"&amp;$C33&amp;"'!",ADDRESS(MATCH($D33,INDIRECT("'"&amp;$C33&amp;"'!$B:$B"),0),3))),"#page=",F34),CONCATENATE("#Sharepoint//",$D33))</f>
        <v/>
      </c>
      <c r="G33" s="352" t="n"/>
      <c r="H33" s="340">
        <f t="array" ref="H33">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
      </c>
      <c r="I33" s="340">
        <f t="array" ref="I33">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
      </c>
      <c r="J33" s="340">
        <f t="array" ref="J33">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
      </c>
      <c r="K33" s="359" t="n"/>
      <c r="L33" s="359" t="n"/>
    </row>
    <row r="34" hidden="1" outlineLevel="2" customFormat="1" s="8">
      <c r="B34" s="59" t="n"/>
      <c r="C34" s="446" t="n"/>
      <c r="D34" s="233" t="n"/>
      <c r="E34" s="270" t="inlineStr">
        <is>
          <t>Rif. Pagina</t>
        </is>
      </c>
      <c r="F34" s="233" t="n">
        <v>18</v>
      </c>
      <c r="G34" s="233" t="n"/>
      <c r="H34" s="233" t="n">
        <v>21</v>
      </c>
      <c r="I34" s="233" t="n">
        <v>21</v>
      </c>
      <c r="J34" s="233" t="n">
        <v>26</v>
      </c>
      <c r="K34" s="233" t="n"/>
      <c r="L34" s="233" t="n"/>
    </row>
    <row r="35" hidden="1" outlineLevel="2" ht="375" customFormat="1" customHeight="1" s="8">
      <c r="B35" s="59" t="n"/>
      <c r="C35" s="446" t="n"/>
      <c r="D35" s="233" t="n"/>
      <c r="E35" s="234" t="inlineStr">
        <is>
          <t>Funzioni AI</t>
        </is>
      </c>
      <c r="F35" s="239" t="inlineStr">
        <is>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is>
      </c>
      <c r="G35" s="235" t="n"/>
      <c r="H35" s="239" t="inlineStr">
        <is>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is>
      </c>
      <c r="I35" s="239" t="inlineStr">
        <is>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is>
      </c>
      <c r="J35" s="239" t="inlineStr">
        <is>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is>
      </c>
      <c r="K35" s="235" t="n"/>
      <c r="L35" s="236" t="n"/>
    </row>
    <row r="36" ht="30" customFormat="1" customHeight="1" s="8">
      <c r="A36" s="353" t="inlineStr">
        <is>
          <t>LV_Pantograph_Selection</t>
        </is>
      </c>
      <c r="B36" s="360" t="inlineStr">
        <is>
          <t>Selezione del pantografo in base al paese (tipologia/dimensioni pantografo) e al sistema di alimentazione (AC/DC) selezionato</t>
        </is>
      </c>
      <c r="C36" s="181" t="n"/>
      <c r="D36" s="355" t="inlineStr">
        <is>
          <t>\</t>
        </is>
      </c>
      <c r="E36" s="356" t="n"/>
      <c r="F36" s="357" t="n"/>
      <c r="G36" s="357" t="n"/>
      <c r="H36" s="357" t="n"/>
      <c r="I36" s="357" t="n"/>
      <c r="J36" s="357" t="n"/>
      <c r="K36" s="357" t="n"/>
      <c r="L36" s="358" t="n"/>
    </row>
    <row r="37" outlineLevel="1" collapsed="1" customFormat="1" s="8">
      <c r="B37" s="59" t="n"/>
      <c r="C37" s="338" t="inlineStr">
        <is>
          <t>CONFIG</t>
        </is>
      </c>
      <c r="D37" s="338" t="inlineStr">
        <is>
          <t>FRS_Line Voltage</t>
        </is>
      </c>
      <c r="E37" s="339" t="inlineStr">
        <is>
          <t>Link</t>
        </is>
      </c>
      <c r="F37" s="340">
        <f t="array" ref="F37">HYPERLINK(CONCATENATE(Cartelle!$D$5,F$1,"/",$C37,"/",MID($D37,1,FIND("_",$D37)-1),"/",INDIRECT(CONCATENATE("'" &amp; $C37 &amp; "'!",ADDRESS(MATCH($D37, INDIRECT("'" &amp; $C37 &amp; "'!$B:$B"), 0),MATCH(F$1, INDIRECT("'" &amp; $C37 &amp; "'!$1:$1"), 0)))),".",INDIRECT(CONCATENATE("'"&amp;$C37&amp;"'!",ADDRESS(MATCH($D37,INDIRECT("'"&amp;$C37&amp;"'!$B:$B"),0),3))),"#page=",F38),CONCATENATE("#Sharepoint//",$D37))</f>
        <v/>
      </c>
      <c r="G37" s="352" t="n"/>
      <c r="H37" s="340">
        <f t="array" ref="H37">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
      </c>
      <c r="I37" s="340">
        <f t="array" ref="I37">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
      </c>
      <c r="J37" s="340">
        <f t="array" ref="J37">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
      </c>
      <c r="K37" s="359" t="n"/>
      <c r="L37" s="359" t="n"/>
    </row>
    <row r="38" hidden="1" outlineLevel="2" customFormat="1" s="8">
      <c r="B38" s="59" t="n"/>
      <c r="C38" s="446" t="n"/>
      <c r="D38" s="233" t="n"/>
      <c r="E38" s="270" t="inlineStr">
        <is>
          <t>Rif. Pagina</t>
        </is>
      </c>
      <c r="F38" s="233" t="n">
        <v>20</v>
      </c>
      <c r="G38" s="233" t="n"/>
      <c r="H38" s="233" t="n">
        <v>22</v>
      </c>
      <c r="I38" s="233" t="n">
        <v>22</v>
      </c>
      <c r="J38" s="233" t="n">
        <v>28</v>
      </c>
      <c r="K38" s="233" t="n"/>
      <c r="L38" s="233" t="n"/>
    </row>
    <row r="39" hidden="1" outlineLevel="2" ht="375" customFormat="1" customHeight="1" s="8">
      <c r="B39" s="59" t="n"/>
      <c r="C39" s="446" t="n"/>
      <c r="D39" s="233" t="n"/>
      <c r="E39" s="234" t="inlineStr">
        <is>
          <t>Funzioni AI</t>
        </is>
      </c>
      <c r="F39" s="239" t="inlineStr">
        <is>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is>
      </c>
      <c r="G39" s="235" t="n"/>
      <c r="H39" s="239" t="inlineStr">
        <is>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is>
      </c>
      <c r="I39" s="239" t="inlineStr">
        <is>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is>
      </c>
      <c r="J39" s="239" t="inlineStr">
        <is>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is>
      </c>
      <c r="K39" s="235" t="n"/>
      <c r="L39" s="236" t="n"/>
    </row>
    <row r="40" ht="45" customFormat="1" customHeight="1" s="8">
      <c r="A40" s="353" t="inlineStr">
        <is>
          <t>LV_Pantograph_Control_of_Static_Contact_Force</t>
        </is>
      </c>
      <c r="B40" s="360" t="inlineStr">
        <is>
          <t>Controllo della forza statica/pressione del pantografo alzato in funzione del sistema di tensione, della velocità, della direzione di marcia e della posizione del pantografo stesso</t>
        </is>
      </c>
      <c r="C40" s="181" t="n"/>
      <c r="D40" s="355" t="inlineStr">
        <is>
          <t>\</t>
        </is>
      </c>
      <c r="E40" s="356" t="n"/>
      <c r="F40" s="357" t="n"/>
      <c r="G40" s="357" t="n"/>
      <c r="H40" s="357" t="n"/>
      <c r="I40" s="357" t="n"/>
      <c r="J40" s="357" t="n"/>
      <c r="K40" s="357" t="n"/>
      <c r="L40" s="358" t="n"/>
    </row>
    <row r="41" outlineLevel="1" collapsed="1" customFormat="1" s="8">
      <c r="B41" s="59" t="n"/>
      <c r="C41" s="338" t="inlineStr">
        <is>
          <t>CONFIG</t>
        </is>
      </c>
      <c r="D41" s="338" t="inlineStr">
        <is>
          <t>FRS_Line Voltage</t>
        </is>
      </c>
      <c r="E41" s="339" t="inlineStr">
        <is>
          <t>Link</t>
        </is>
      </c>
      <c r="F41" s="340">
        <f t="array" ref="F41">HYPERLINK(CONCATENATE(Cartelle!$D$5,F$1,"/",$C41,"/",MID($D41,1,FIND("_",$D41)-1),"/",INDIRECT(CONCATENATE("'" &amp; $C41 &amp; "'!",ADDRESS(MATCH($D41, INDIRECT("'" &amp; $C41 &amp; "'!$B:$B"), 0),MATCH(F$1, INDIRECT("'" &amp; $C41 &amp; "'!$1:$1"), 0)))),".",INDIRECT(CONCATENATE("'"&amp;$C41&amp;"'!",ADDRESS(MATCH($D41,INDIRECT("'"&amp;$C41&amp;"'!$B:$B"),0),3))),"#page=",F42),CONCATENATE("#Sharepoint//",$D41))</f>
        <v/>
      </c>
      <c r="G41" s="352" t="n"/>
      <c r="H41" s="340">
        <f t="array" ref="H4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
      </c>
      <c r="I41" s="340">
        <f t="array" ref="I4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
      </c>
      <c r="J41" s="340">
        <f t="array" ref="J4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
      </c>
      <c r="K41" s="359" t="n"/>
      <c r="L41" s="359" t="n"/>
    </row>
    <row r="42" hidden="1" outlineLevel="2" customFormat="1" s="8">
      <c r="B42" s="59" t="n"/>
      <c r="C42" s="446" t="n"/>
      <c r="D42" s="233" t="n"/>
      <c r="E42" s="270" t="inlineStr">
        <is>
          <t>Rif. Pagina</t>
        </is>
      </c>
      <c r="F42" s="233" t="n">
        <v>21</v>
      </c>
      <c r="G42" s="233" t="n"/>
      <c r="H42" s="233" t="n">
        <v>24</v>
      </c>
      <c r="I42" s="233" t="n">
        <v>23</v>
      </c>
      <c r="J42" s="233" t="n">
        <v>29</v>
      </c>
      <c r="K42" s="233" t="n"/>
      <c r="L42" s="233" t="n"/>
    </row>
    <row r="43" hidden="1" outlineLevel="2" ht="360" customFormat="1" customHeight="1" s="8">
      <c r="B43" s="59" t="n"/>
      <c r="C43" s="446" t="n"/>
      <c r="D43" s="233" t="n"/>
      <c r="E43" s="234" t="inlineStr">
        <is>
          <t>Funzioni AI</t>
        </is>
      </c>
      <c r="F43" s="239" t="inlineStr">
        <is>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is>
      </c>
      <c r="G43" s="235" t="n"/>
      <c r="H43" s="239" t="inlineStr">
        <is>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is>
      </c>
      <c r="I43" s="239" t="inlineStr">
        <is>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is>
      </c>
      <c r="J43" s="239" t="inlineStr">
        <is>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is>
      </c>
      <c r="K43" s="235" t="n"/>
      <c r="L43" s="236" t="n"/>
    </row>
    <row r="44" ht="30" customFormat="1" customHeight="1" s="8">
      <c r="A44" s="353" t="inlineStr">
        <is>
          <t>LV_Line_Voltage_Supervision</t>
        </is>
      </c>
      <c r="B44" s="360" t="inlineStr">
        <is>
          <t>Controllo della tensione di linea tramite sensori di tensione letti dal sistema di propulsione</t>
        </is>
      </c>
      <c r="C44" s="181" t="n"/>
      <c r="D44" s="355" t="inlineStr">
        <is>
          <t>\</t>
        </is>
      </c>
      <c r="E44" s="356" t="n"/>
      <c r="F44" s="357" t="n"/>
      <c r="G44" s="357" t="n"/>
      <c r="H44" s="357" t="n"/>
      <c r="I44" s="357" t="n"/>
      <c r="J44" s="357" t="n"/>
      <c r="K44" s="357" t="n"/>
      <c r="L44" s="358" t="n"/>
    </row>
    <row r="45" outlineLevel="1" collapsed="1" customFormat="1" s="8">
      <c r="B45" s="59" t="n"/>
      <c r="C45" s="338" t="inlineStr">
        <is>
          <t>CONFIG</t>
        </is>
      </c>
      <c r="D45" s="338" t="inlineStr">
        <is>
          <t>FRS_Line Voltage</t>
        </is>
      </c>
      <c r="E45" s="339" t="inlineStr">
        <is>
          <t>Link</t>
        </is>
      </c>
      <c r="F45" s="340">
        <f t="array" ref="F45">HYPERLINK(CONCATENATE(Cartelle!$D$5,F$1,"/",$C45,"/",MID($D45,1,FIND("_",$D45)-1),"/",INDIRECT(CONCATENATE("'" &amp; $C45 &amp; "'!",ADDRESS(MATCH($D45, INDIRECT("'" &amp; $C45 &amp; "'!$B:$B"), 0),MATCH(F$1, INDIRECT("'" &amp; $C45 &amp; "'!$1:$1"), 0)))),".",INDIRECT(CONCATENATE("'"&amp;$C45&amp;"'!",ADDRESS(MATCH($D45,INDIRECT("'"&amp;$C45&amp;"'!$B:$B"),0),3))),"#page=",F46),CONCATENATE("#Sharepoint//",$D45))</f>
        <v/>
      </c>
      <c r="G45" s="352" t="n"/>
      <c r="H45" s="340">
        <f t="array" ref="H45">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
      </c>
      <c r="I45" s="340">
        <f t="array" ref="I45">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
      </c>
      <c r="J45" s="340">
        <f t="array" ref="J45">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
      </c>
      <c r="K45" s="359" t="n"/>
      <c r="L45" s="359" t="n"/>
    </row>
    <row r="46" hidden="1" outlineLevel="2" customFormat="1" s="8">
      <c r="B46" s="59" t="n"/>
      <c r="C46" s="446" t="n"/>
      <c r="D46" s="233" t="n"/>
      <c r="E46" s="270" t="inlineStr">
        <is>
          <t>Rif. Pagina</t>
        </is>
      </c>
      <c r="F46" s="233" t="n">
        <v>23</v>
      </c>
      <c r="G46" s="233" t="n"/>
      <c r="H46" s="233" t="n">
        <v>25</v>
      </c>
      <c r="I46" s="233" t="n">
        <v>24</v>
      </c>
      <c r="J46" s="233" t="n">
        <v>30</v>
      </c>
      <c r="K46" s="233" t="n"/>
      <c r="L46" s="233" t="n"/>
    </row>
    <row r="47" hidden="1" outlineLevel="2" ht="409.5" customFormat="1" customHeight="1" s="8">
      <c r="B47" s="59" t="n"/>
      <c r="C47" s="446" t="n"/>
      <c r="D47" s="233" t="n"/>
      <c r="E47" s="234" t="inlineStr">
        <is>
          <t>Funzioni AI</t>
        </is>
      </c>
      <c r="F47" s="239" t="inlineStr">
        <is>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is>
      </c>
      <c r="G47" s="235" t="n"/>
      <c r="H47" s="239" t="inlineStr">
        <is>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is>
      </c>
      <c r="I47" s="240" t="inlineStr">
        <is>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is>
      </c>
      <c r="J47" s="239" t="inlineStr">
        <is>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is>
      </c>
      <c r="K47" s="235" t="n"/>
      <c r="L47" s="236" t="n"/>
    </row>
    <row r="48" customFormat="1" s="8">
      <c r="A48" s="353" t="inlineStr">
        <is>
          <t>LV_Line_Current_Supervision</t>
        </is>
      </c>
      <c r="B48" s="360" t="inlineStr">
        <is>
          <t>Controllo della corrente di linea</t>
        </is>
      </c>
      <c r="C48" s="181" t="n"/>
      <c r="D48" s="355" t="inlineStr">
        <is>
          <t>\</t>
        </is>
      </c>
      <c r="E48" s="356" t="n"/>
      <c r="F48" s="357" t="n"/>
      <c r="G48" s="357" t="n"/>
      <c r="H48" s="357" t="n"/>
      <c r="I48" s="357" t="n"/>
      <c r="J48" s="357" t="n"/>
      <c r="K48" s="357" t="n"/>
      <c r="L48" s="358" t="n"/>
    </row>
    <row r="49" outlineLevel="1" collapsed="1" customFormat="1" s="8">
      <c r="B49" s="59" t="n"/>
      <c r="C49" s="338" t="inlineStr">
        <is>
          <t>CONFIG</t>
        </is>
      </c>
      <c r="D49" s="338" t="inlineStr">
        <is>
          <t>FRS_Line Voltage</t>
        </is>
      </c>
      <c r="E49" s="339" t="inlineStr">
        <is>
          <t>Link</t>
        </is>
      </c>
      <c r="F49" s="340">
        <f t="array" ref="F49">HYPERLINK(CONCATENATE(Cartelle!$D$5,F$1,"/",$C49,"/",MID($D49,1,FIND("_",$D49)-1),"/",INDIRECT(CONCATENATE("'" &amp; $C49 &amp; "'!",ADDRESS(MATCH($D49, INDIRECT("'" &amp; $C49 &amp; "'!$B:$B"), 0),MATCH(F$1, INDIRECT("'" &amp; $C49 &amp; "'!$1:$1"), 0)))),".",INDIRECT(CONCATENATE("'"&amp;$C49&amp;"'!",ADDRESS(MATCH($D49,INDIRECT("'"&amp;$C49&amp;"'!$B:$B"),0),3))),"#page=",F50),CONCATENATE("#Sharepoint//",$D49))</f>
        <v/>
      </c>
      <c r="G49" s="352" t="n"/>
      <c r="H49" s="340">
        <f t="array" ref="H49">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
      </c>
      <c r="I49" s="340">
        <f t="array" ref="I49">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
      </c>
      <c r="J49" s="340">
        <f t="array" ref="J49">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
      </c>
      <c r="K49" s="359" t="n"/>
      <c r="L49" s="359" t="n"/>
    </row>
    <row r="50" hidden="1" outlineLevel="2" customFormat="1" s="8">
      <c r="B50" s="59" t="n"/>
      <c r="C50" s="446" t="n"/>
      <c r="D50" s="233" t="n"/>
      <c r="E50" s="270" t="inlineStr">
        <is>
          <t>Rif. Pagina</t>
        </is>
      </c>
      <c r="F50" s="233" t="n">
        <v>25</v>
      </c>
      <c r="G50" s="233" t="n"/>
      <c r="H50" s="233" t="n">
        <v>29</v>
      </c>
      <c r="I50" s="233" t="n">
        <v>27</v>
      </c>
      <c r="J50" s="233" t="n">
        <v>36</v>
      </c>
      <c r="K50" s="233" t="n"/>
      <c r="L50" s="233" t="n"/>
    </row>
    <row r="51" hidden="1" outlineLevel="2" ht="409.5" customFormat="1" customHeight="1" s="8">
      <c r="B51" s="59" t="n"/>
      <c r="C51" s="446" t="n"/>
      <c r="D51" s="233" t="n"/>
      <c r="E51" s="234" t="inlineStr">
        <is>
          <t>Funzioni AI</t>
        </is>
      </c>
      <c r="F51" s="240" t="inlineStr">
        <is>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is>
      </c>
      <c r="G51" s="235" t="n"/>
      <c r="H51" s="240" t="inlineStr">
        <is>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is>
      </c>
      <c r="I51" s="240" t="inlineStr">
        <is>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is>
      </c>
      <c r="J51" s="240" t="inlineStr">
        <is>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is>
      </c>
      <c r="K51" s="235" t="n"/>
      <c r="L51" s="236" t="n"/>
    </row>
    <row r="52" customFormat="1" s="8">
      <c r="A52" s="353" t="inlineStr">
        <is>
          <t>LV_Line_Interference_Monitor</t>
        </is>
      </c>
      <c r="B52" s="360" t="inlineStr">
        <is>
          <t>Controllo correnti/interferenze indesiderate di linea</t>
        </is>
      </c>
      <c r="C52" s="181" t="n"/>
      <c r="D52" s="355" t="inlineStr">
        <is>
          <t>\</t>
        </is>
      </c>
      <c r="E52" s="356" t="n"/>
      <c r="F52" s="357" t="n"/>
      <c r="G52" s="357" t="n"/>
      <c r="H52" s="357" t="n"/>
      <c r="I52" s="357" t="n"/>
      <c r="J52" s="357" t="n"/>
      <c r="K52" s="357" t="n"/>
      <c r="L52" s="358" t="n"/>
    </row>
    <row r="53" outlineLevel="1" collapsed="1" customFormat="1" s="8">
      <c r="B53" s="59" t="n"/>
      <c r="C53" s="338" t="inlineStr">
        <is>
          <t>CONFIG</t>
        </is>
      </c>
      <c r="D53" s="338" t="inlineStr">
        <is>
          <t>FRS_Line Voltage</t>
        </is>
      </c>
      <c r="E53" s="339" t="inlineStr">
        <is>
          <t>Link</t>
        </is>
      </c>
      <c r="F53" s="340">
        <f t="array" ref="F53">HYPERLINK(CONCATENATE(Cartelle!$D$5,F$1,"/",$C53,"/",MID($D53,1,FIND("_",$D53)-1),"/",INDIRECT(CONCATENATE("'" &amp; $C53 &amp; "'!",ADDRESS(MATCH($D53, INDIRECT("'" &amp; $C53 &amp; "'!$B:$B"), 0),MATCH(F$1, INDIRECT("'" &amp; $C53 &amp; "'!$1:$1"), 0)))),".",INDIRECT(CONCATENATE("'"&amp;$C53&amp;"'!",ADDRESS(MATCH($D53,INDIRECT("'"&amp;$C53&amp;"'!$B:$B"),0),3))),"#page=",F54),CONCATENATE("#Sharepoint//",$D53))</f>
        <v/>
      </c>
      <c r="G53" s="352" t="n"/>
      <c r="H53" s="340">
        <f t="array" ref="H53">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
      </c>
      <c r="I53" s="340">
        <f t="array" ref="I53">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
      </c>
      <c r="J53" s="340">
        <f t="array" ref="J53">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
      </c>
      <c r="K53" s="359" t="n"/>
      <c r="L53" s="359" t="n"/>
    </row>
    <row r="54" hidden="1" outlineLevel="2" customFormat="1" s="8">
      <c r="B54" s="59" t="n"/>
      <c r="C54" s="446" t="n"/>
      <c r="D54" s="233" t="n"/>
      <c r="E54" s="270" t="inlineStr">
        <is>
          <t>Rif. Pagina</t>
        </is>
      </c>
      <c r="F54" s="233" t="n">
        <v>27</v>
      </c>
      <c r="G54" s="233" t="n"/>
      <c r="H54" s="233" t="n">
        <v>31</v>
      </c>
      <c r="I54" s="233" t="n">
        <v>29</v>
      </c>
      <c r="J54" s="233" t="n">
        <v>39</v>
      </c>
      <c r="K54" s="233" t="n"/>
      <c r="L54" s="233" t="n"/>
    </row>
    <row r="55" hidden="1" outlineLevel="2" ht="409.5" customFormat="1" customHeight="1" s="8">
      <c r="B55" s="59" t="n"/>
      <c r="C55" s="446" t="n"/>
      <c r="D55" s="233" t="n"/>
      <c r="E55" s="234" t="inlineStr">
        <is>
          <t>Funzioni AI</t>
        </is>
      </c>
      <c r="F55" s="239" t="inlineStr">
        <is>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is>
      </c>
      <c r="G55" s="235" t="n"/>
      <c r="H55" s="240" t="inlineStr">
        <is>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is>
      </c>
      <c r="I55" s="239" t="inlineStr">
        <is>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is>
      </c>
      <c r="J55" s="239" t="inlineStr">
        <is>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is>
      </c>
      <c r="K55" s="235" t="n"/>
      <c r="L55" s="236" t="n"/>
    </row>
    <row r="56" customFormat="1" s="8">
      <c r="A56" s="353" t="inlineStr">
        <is>
          <t>LV_LIM_50Hz_protection_bypass</t>
        </is>
      </c>
      <c r="B56" s="360" t="inlineStr">
        <is>
          <t>Bypass della protezione LIM 50 Hz</t>
        </is>
      </c>
      <c r="C56" s="181" t="n"/>
      <c r="D56" s="355" t="inlineStr">
        <is>
          <t>\</t>
        </is>
      </c>
      <c r="E56" s="356" t="n"/>
      <c r="F56" s="357" t="n"/>
      <c r="G56" s="357" t="n"/>
      <c r="H56" s="357" t="n"/>
      <c r="I56" s="357" t="n"/>
      <c r="J56" s="357" t="n"/>
      <c r="K56" s="357" t="n"/>
      <c r="L56" s="358" t="n"/>
    </row>
    <row r="57" outlineLevel="1" collapsed="1" customFormat="1" s="8">
      <c r="B57" s="59" t="n"/>
      <c r="C57" s="338" t="inlineStr">
        <is>
          <t>CONFIG</t>
        </is>
      </c>
      <c r="D57" s="338" t="inlineStr">
        <is>
          <t>FRS_Line Voltage</t>
        </is>
      </c>
      <c r="E57" s="339" t="inlineStr">
        <is>
          <t>Link</t>
        </is>
      </c>
      <c r="F57" s="340">
        <f t="array" ref="F57">HYPERLINK(CONCATENATE(Cartelle!$D$5,F$1,"/",$C57,"/",MID($D57,1,FIND("_",$D57)-1),"/",INDIRECT(CONCATENATE("'" &amp; $C57 &amp; "'!",ADDRESS(MATCH($D57, INDIRECT("'" &amp; $C57 &amp; "'!$B:$B"), 0),MATCH(F$1, INDIRECT("'" &amp; $C57 &amp; "'!$1:$1"), 0)))),".",INDIRECT(CONCATENATE("'"&amp;$C57&amp;"'!",ADDRESS(MATCH($D57,INDIRECT("'"&amp;$C57&amp;"'!$B:$B"),0),3))),"#page=",F58),CONCATENATE("#Sharepoint//",$D57))</f>
        <v/>
      </c>
      <c r="G57" s="352" t="n"/>
      <c r="H57" s="340">
        <f t="array" ref="H57">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
      </c>
      <c r="I57" s="340">
        <f t="array" ref="I57">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
      </c>
      <c r="J57" s="340">
        <f t="array" ref="J57">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
      </c>
      <c r="K57" s="359" t="n"/>
      <c r="L57" s="359" t="n"/>
    </row>
    <row r="58" hidden="1" outlineLevel="2" customFormat="1" s="8">
      <c r="B58" s="59" t="n"/>
      <c r="C58" s="446" t="n"/>
      <c r="D58" s="233" t="n"/>
      <c r="E58" s="270" t="inlineStr">
        <is>
          <t>Rif. Pagina</t>
        </is>
      </c>
      <c r="F58" s="233" t="n">
        <v>29</v>
      </c>
      <c r="G58" s="233" t="n"/>
      <c r="H58" s="233" t="n">
        <v>34</v>
      </c>
      <c r="I58" s="233" t="n">
        <v>31</v>
      </c>
      <c r="J58" s="233" t="n">
        <v>42</v>
      </c>
      <c r="K58" s="233" t="n"/>
      <c r="L58" s="233" t="n"/>
    </row>
    <row r="59" hidden="1" outlineLevel="2" ht="360" customFormat="1" customHeight="1" s="8">
      <c r="B59" s="59" t="n"/>
      <c r="C59" s="446" t="n"/>
      <c r="D59" s="233" t="n"/>
      <c r="E59" s="234" t="inlineStr">
        <is>
          <t>Funzioni AI</t>
        </is>
      </c>
      <c r="F59" s="239" t="inlineStr">
        <is>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is>
      </c>
      <c r="G59" s="235" t="n"/>
      <c r="H59" s="239" t="inlineStr">
        <is>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is>
      </c>
      <c r="I59" s="239" t="inlineStr">
        <is>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is>
      </c>
      <c r="J59" s="239" t="inlineStr">
        <is>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is>
      </c>
      <c r="K59" s="235" t="n"/>
      <c r="L59" s="236" t="n"/>
    </row>
    <row r="60" ht="60" customFormat="1" customHeight="1" s="8">
      <c r="A60" s="353" t="inlineStr">
        <is>
          <t>LV_Neutral_Section_Passing</t>
        </is>
      </c>
      <c r="B60" s="360" t="inlineStr">
        <is>
          <t>Gestione del passaggio in sezione neutra:
- automatica da ATP in caso di tratto neutro al cambio fase
- inizializzata da ATP con selezione manuale deò PdC della tensione di linea, in caso di tratto neutro al cambio tensione</t>
        </is>
      </c>
      <c r="C60" s="181" t="n"/>
      <c r="D60" s="355" t="inlineStr">
        <is>
          <t>\</t>
        </is>
      </c>
      <c r="E60" s="356" t="n"/>
      <c r="F60" s="357" t="n"/>
      <c r="G60" s="357" t="n"/>
      <c r="H60" s="357" t="n"/>
      <c r="I60" s="357" t="n"/>
      <c r="J60" s="357" t="n"/>
      <c r="K60" s="357" t="n"/>
      <c r="L60" s="358" t="n"/>
    </row>
    <row r="61" outlineLevel="1" collapsed="1" customFormat="1" s="8">
      <c r="B61" s="59" t="n"/>
      <c r="C61" s="338" t="inlineStr">
        <is>
          <t>CONFIG</t>
        </is>
      </c>
      <c r="D61" s="338" t="inlineStr">
        <is>
          <t>FRS_Line Voltage</t>
        </is>
      </c>
      <c r="E61" s="339" t="inlineStr">
        <is>
          <t>Link</t>
        </is>
      </c>
      <c r="F61" s="340">
        <f t="array" ref="F61">HYPERLINK(CONCATENATE(Cartelle!$D$5,F$1,"/",$C61,"/",MID($D61,1,FIND("_",$D61)-1),"/",INDIRECT(CONCATENATE("'" &amp; $C61 &amp; "'!",ADDRESS(MATCH($D61, INDIRECT("'" &amp; $C61 &amp; "'!$B:$B"), 0),MATCH(F$1, INDIRECT("'" &amp; $C61 &amp; "'!$1:$1"), 0)))),".",INDIRECT(CONCATENATE("'"&amp;$C61&amp;"'!",ADDRESS(MATCH($D61,INDIRECT("'"&amp;$C61&amp;"'!$B:$B"),0),3))),"#page=",F62),CONCATENATE("#Sharepoint//",$D61))</f>
        <v/>
      </c>
      <c r="G61" s="352" t="n"/>
      <c r="H61" s="340">
        <f t="array" ref="H6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
      </c>
      <c r="I61" s="340">
        <f t="array" ref="I6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
      </c>
      <c r="J61" s="340">
        <f t="array" ref="J6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
      </c>
      <c r="K61" s="359" t="n"/>
      <c r="L61" s="359" t="n"/>
    </row>
    <row r="62" hidden="1" outlineLevel="2" customFormat="1" s="8">
      <c r="B62" s="59" t="n"/>
      <c r="C62" s="446" t="n"/>
      <c r="D62" s="233" t="n"/>
      <c r="E62" s="270" t="inlineStr">
        <is>
          <t>Rif. Pagina</t>
        </is>
      </c>
      <c r="F62" s="233" t="n">
        <v>30</v>
      </c>
      <c r="G62" s="233" t="n"/>
      <c r="H62" s="233" t="n">
        <v>35</v>
      </c>
      <c r="I62" s="233" t="n">
        <v>32</v>
      </c>
      <c r="J62" s="233" t="n">
        <v>43</v>
      </c>
      <c r="K62" s="233" t="n"/>
      <c r="L62" s="233" t="n"/>
    </row>
    <row r="63" hidden="1" outlineLevel="2" ht="409.5" customFormat="1" customHeight="1" s="8">
      <c r="B63" s="59" t="n"/>
      <c r="C63" s="446" t="n"/>
      <c r="D63" s="233" t="n"/>
      <c r="E63" s="234" t="inlineStr">
        <is>
          <t>Funzioni AI</t>
        </is>
      </c>
      <c r="F63" s="239" t="inlineStr">
        <is>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is>
      </c>
      <c r="G63" s="235" t="n"/>
      <c r="H63" s="239" t="inlineStr">
        <is>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is>
      </c>
      <c r="I63" s="239" t="inlineStr">
        <is>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is>
      </c>
      <c r="J63" s="239" t="inlineStr">
        <is>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is>
      </c>
      <c r="K63" s="235" t="n"/>
      <c r="L63" s="236" t="n"/>
    </row>
    <row r="64" ht="30" customFormat="1" customHeight="1" s="8">
      <c r="A64" s="353" t="inlineStr">
        <is>
          <t>LV_System_Selection</t>
        </is>
      </c>
      <c r="B64" s="360" t="inlineStr">
        <is>
          <t>Selezione tramite commutatore a 4 posizioni della tensione di linea (25 kV AC, 15 kV AC, 3 kV DC o 1,5 kV DC)</t>
        </is>
      </c>
      <c r="C64" s="181" t="n"/>
      <c r="D64" s="355" t="inlineStr">
        <is>
          <t>\</t>
        </is>
      </c>
      <c r="E64" s="356" t="n"/>
      <c r="F64" s="357" t="n"/>
      <c r="G64" s="357" t="n"/>
      <c r="H64" s="357" t="n"/>
      <c r="I64" s="357" t="n"/>
      <c r="J64" s="357" t="n"/>
      <c r="K64" s="357" t="n"/>
      <c r="L64" s="358" t="n"/>
    </row>
    <row r="65" outlineLevel="1" collapsed="1" customFormat="1" s="8">
      <c r="B65" s="59" t="n"/>
      <c r="C65" s="338" t="inlineStr">
        <is>
          <t>CONFIG</t>
        </is>
      </c>
      <c r="D65" s="338" t="inlineStr">
        <is>
          <t>FRS_Line Voltage</t>
        </is>
      </c>
      <c r="E65" s="339" t="inlineStr">
        <is>
          <t>Link</t>
        </is>
      </c>
      <c r="F65" s="340">
        <f t="array" ref="F65">HYPERLINK(CONCATENATE(Cartelle!$D$5,F$1,"/",$C65,"/",MID($D65,1,FIND("_",$D65)-1),"/",INDIRECT(CONCATENATE("'" &amp; $C65 &amp; "'!",ADDRESS(MATCH($D65, INDIRECT("'" &amp; $C65 &amp; "'!$B:$B"), 0),MATCH(F$1, INDIRECT("'" &amp; $C65 &amp; "'!$1:$1"), 0)))),".",INDIRECT(CONCATENATE("'"&amp;$C65&amp;"'!",ADDRESS(MATCH($D65,INDIRECT("'"&amp;$C65&amp;"'!$B:$B"),0),3))),"#page=",F66),CONCATENATE("#Sharepoint//",$D65))</f>
        <v/>
      </c>
      <c r="G65" s="352" t="n"/>
      <c r="H65" s="340">
        <f t="array" ref="H65">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
      </c>
      <c r="I65" s="340">
        <f t="array" ref="I65">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
      </c>
      <c r="J65" s="340">
        <f t="array" ref="J65">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
      </c>
      <c r="K65" s="359" t="n"/>
      <c r="L65" s="359" t="n"/>
    </row>
    <row r="66" hidden="1" outlineLevel="2" customFormat="1" s="8">
      <c r="B66" s="59" t="n"/>
      <c r="C66" s="446" t="n"/>
      <c r="D66" s="233" t="n"/>
      <c r="E66" s="270" t="inlineStr">
        <is>
          <t>Rif. Pagina</t>
        </is>
      </c>
      <c r="F66" s="233" t="n">
        <v>34</v>
      </c>
      <c r="G66" s="233" t="n"/>
      <c r="H66" s="233" t="n">
        <v>39</v>
      </c>
      <c r="I66" s="233" t="n">
        <v>35</v>
      </c>
      <c r="J66" s="233" t="n">
        <v>47</v>
      </c>
      <c r="K66" s="233" t="n"/>
      <c r="L66" s="233" t="n"/>
    </row>
    <row r="67" hidden="1" outlineLevel="2" ht="315" customFormat="1" customHeight="1" s="8">
      <c r="B67" s="59" t="n"/>
      <c r="C67" s="446" t="n"/>
      <c r="D67" s="233" t="n"/>
      <c r="E67" s="234" t="inlineStr">
        <is>
          <t>Funzioni AI</t>
        </is>
      </c>
      <c r="F67" s="239" t="inlineStr">
        <is>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is>
      </c>
      <c r="G67" s="235" t="n"/>
      <c r="H67" s="239" t="inlineStr">
        <is>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is>
      </c>
      <c r="I67" s="239" t="inlineStr">
        <is>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is>
      </c>
      <c r="J67" s="239" t="inlineStr">
        <is>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is>
      </c>
      <c r="K67" s="235" t="n"/>
      <c r="L67" s="236" t="n"/>
    </row>
    <row r="68" ht="30" customFormat="1" customHeight="1" s="8">
      <c r="A68" s="353" t="inlineStr">
        <is>
          <t>LV_Line_Circuit_Breaker_Closing</t>
        </is>
      </c>
      <c r="B68" s="360" t="inlineStr">
        <is>
          <t>Chiusura dell’interruttore di linea (LCB) per collegare la tensione di linea al treno</t>
        </is>
      </c>
      <c r="C68" s="181" t="n"/>
      <c r="D68" s="355" t="inlineStr">
        <is>
          <t>\</t>
        </is>
      </c>
      <c r="E68" s="356" t="n"/>
      <c r="F68" s="357" t="n"/>
      <c r="G68" s="357" t="n"/>
      <c r="H68" s="357" t="n"/>
      <c r="I68" s="357" t="n"/>
      <c r="J68" s="357" t="n"/>
      <c r="K68" s="357" t="n"/>
      <c r="L68" s="358" t="n"/>
    </row>
    <row r="69" outlineLevel="1" collapsed="1" customFormat="1" s="8">
      <c r="B69" s="59" t="n"/>
      <c r="C69" s="338" t="inlineStr">
        <is>
          <t>CONFIG</t>
        </is>
      </c>
      <c r="D69" s="338" t="inlineStr">
        <is>
          <t>FRS_Line Voltage</t>
        </is>
      </c>
      <c r="E69" s="339" t="inlineStr">
        <is>
          <t>Link</t>
        </is>
      </c>
      <c r="F69" s="340">
        <f t="array" ref="F69">HYPERLINK(CONCATENATE(Cartelle!$D$5,F$1,"/",$C69,"/",MID($D69,1,FIND("_",$D69)-1),"/",INDIRECT(CONCATENATE("'" &amp; $C69 &amp; "'!",ADDRESS(MATCH($D69, INDIRECT("'" &amp; $C69 &amp; "'!$B:$B"), 0),MATCH(F$1, INDIRECT("'" &amp; $C69 &amp; "'!$1:$1"), 0)))),".",INDIRECT(CONCATENATE("'"&amp;$C69&amp;"'!",ADDRESS(MATCH($D69,INDIRECT("'"&amp;$C69&amp;"'!$B:$B"),0),3))),"#page=",F70),CONCATENATE("#Sharepoint//",$D69))</f>
        <v/>
      </c>
      <c r="G69" s="352" t="n"/>
      <c r="H69" s="340">
        <f t="array" ref="H69">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
      </c>
      <c r="I69" s="340">
        <f t="array" ref="I69">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
      </c>
      <c r="J69" s="340">
        <f t="array" ref="J69">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
      </c>
      <c r="K69" s="359" t="n"/>
      <c r="L69" s="359" t="n"/>
    </row>
    <row r="70" hidden="1" outlineLevel="2" customFormat="1" s="8">
      <c r="B70" s="59" t="n"/>
      <c r="C70" s="446" t="n"/>
      <c r="D70" s="233" t="n"/>
      <c r="E70" s="270" t="inlineStr">
        <is>
          <t>Rif. Pagina</t>
        </is>
      </c>
      <c r="F70" s="233" t="n">
        <v>37</v>
      </c>
      <c r="G70" s="233" t="n"/>
      <c r="H70" s="233" t="n">
        <v>42</v>
      </c>
      <c r="I70" s="233" t="n">
        <v>38</v>
      </c>
      <c r="J70" s="233" t="n">
        <v>50</v>
      </c>
      <c r="K70" s="233" t="n"/>
      <c r="L70" s="233" t="n"/>
    </row>
    <row r="71" hidden="1" outlineLevel="2" ht="409.5" customFormat="1" customHeight="1" s="8">
      <c r="B71" s="59" t="n"/>
      <c r="C71" s="446" t="n"/>
      <c r="D71" s="233" t="n"/>
      <c r="E71" s="234" t="inlineStr">
        <is>
          <t>Funzioni AI</t>
        </is>
      </c>
      <c r="F71" s="240" t="inlineStr">
        <is>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is>
      </c>
      <c r="G71" s="235" t="n"/>
      <c r="H71" s="240" t="inlineStr">
        <is>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is>
      </c>
      <c r="I71" s="239" t="inlineStr">
        <is>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is>
      </c>
      <c r="J71" s="239" t="inlineStr">
        <is>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is>
      </c>
      <c r="K71" s="235" t="n"/>
      <c r="L71" s="236" t="n"/>
    </row>
    <row r="72" customFormat="1" s="8">
      <c r="A72" s="353" t="inlineStr">
        <is>
          <t>LV_Line_Circuit_Breaker_Opening</t>
        </is>
      </c>
      <c r="B72" s="360" t="inlineStr">
        <is>
          <t>Apertura LCB su comando o per intervento protezione</t>
        </is>
      </c>
      <c r="C72" s="181" t="n"/>
      <c r="D72" s="355" t="inlineStr">
        <is>
          <t>\</t>
        </is>
      </c>
      <c r="E72" s="356" t="n"/>
      <c r="F72" s="357" t="n"/>
      <c r="G72" s="357" t="n"/>
      <c r="H72" s="357" t="n"/>
      <c r="I72" s="357" t="n"/>
      <c r="J72" s="357" t="n"/>
      <c r="K72" s="357" t="n"/>
      <c r="L72" s="358" t="n"/>
    </row>
    <row r="73" outlineLevel="1" collapsed="1" customFormat="1" s="8">
      <c r="B73" s="59" t="n"/>
      <c r="C73" s="338" t="inlineStr">
        <is>
          <t>CONFIG</t>
        </is>
      </c>
      <c r="D73" s="338" t="inlineStr">
        <is>
          <t>FRS_Line Voltage</t>
        </is>
      </c>
      <c r="E73" s="339" t="inlineStr">
        <is>
          <t>Link</t>
        </is>
      </c>
      <c r="F73" s="340">
        <f t="array" ref="F73">HYPERLINK(CONCATENATE(Cartelle!$D$5,F$1,"/",$C73,"/",MID($D73,1,FIND("_",$D73)-1),"/",INDIRECT(CONCATENATE("'" &amp; $C73 &amp; "'!",ADDRESS(MATCH($D73, INDIRECT("'" &amp; $C73 &amp; "'!$B:$B"), 0),MATCH(F$1, INDIRECT("'" &amp; $C73 &amp; "'!$1:$1"), 0)))),".",INDIRECT(CONCATENATE("'"&amp;$C73&amp;"'!",ADDRESS(MATCH($D73,INDIRECT("'"&amp;$C73&amp;"'!$B:$B"),0),3))),"#page=",F74),CONCATENATE("#Sharepoint//",$D73))</f>
        <v/>
      </c>
      <c r="G73" s="352" t="n"/>
      <c r="H73" s="340">
        <f t="array" ref="H73">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
      </c>
      <c r="I73" s="340">
        <f t="array" ref="I73">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
      </c>
      <c r="J73" s="340">
        <f t="array" ref="J73">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
      </c>
      <c r="K73" s="359" t="n"/>
      <c r="L73" s="359" t="n"/>
    </row>
    <row r="74" hidden="1" outlineLevel="2" customFormat="1" s="8">
      <c r="B74" s="59" t="n"/>
      <c r="C74" s="446" t="n"/>
      <c r="D74" s="233" t="n"/>
      <c r="E74" s="270" t="inlineStr">
        <is>
          <t>Rif. Pagina</t>
        </is>
      </c>
      <c r="F74" s="233" t="n">
        <v>40</v>
      </c>
      <c r="G74" s="233" t="n"/>
      <c r="H74" s="233" t="n">
        <v>46</v>
      </c>
      <c r="I74" s="233" t="n">
        <v>42</v>
      </c>
      <c r="J74" s="233" t="n">
        <v>56</v>
      </c>
      <c r="K74" s="233" t="n"/>
      <c r="L74" s="233" t="n"/>
    </row>
    <row r="75" hidden="1" outlineLevel="2" ht="409.5" customFormat="1" customHeight="1" s="8">
      <c r="B75" s="59" t="n"/>
      <c r="C75" s="446" t="n"/>
      <c r="D75" s="233" t="n"/>
      <c r="E75" s="234" t="inlineStr">
        <is>
          <t>Funzioni AI</t>
        </is>
      </c>
      <c r="F75" s="240" t="inlineStr">
        <is>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is>
      </c>
      <c r="G75" s="235" t="n"/>
      <c r="H75" s="240" t="inlineStr">
        <is>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is>
      </c>
      <c r="I75" s="240" t="inlineStr">
        <is>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is>
      </c>
      <c r="J75" s="240" t="inlineStr">
        <is>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is>
      </c>
      <c r="K75" s="235" t="n"/>
      <c r="L75" s="236" t="n"/>
    </row>
    <row r="76" ht="30" customFormat="1" customHeight="1" s="8">
      <c r="A76" s="353" t="inlineStr">
        <is>
          <t>LV_Isolate_High_Voltage</t>
        </is>
      </c>
      <c r="B76" s="360" t="inlineStr">
        <is>
          <t>Isolamento di sezioni HV guaste per mantenere disponibile parte della trazione</t>
        </is>
      </c>
      <c r="C76" s="181" t="n"/>
      <c r="D76" s="355" t="inlineStr">
        <is>
          <t>\</t>
        </is>
      </c>
      <c r="E76" s="356" t="n"/>
      <c r="F76" s="357" t="n"/>
      <c r="G76" s="357" t="n"/>
      <c r="H76" s="357" t="n"/>
      <c r="I76" s="357" t="n"/>
      <c r="J76" s="357" t="n"/>
      <c r="K76" s="357" t="n"/>
      <c r="L76" s="358" t="n"/>
    </row>
    <row r="77" outlineLevel="1" collapsed="1" customFormat="1" s="8">
      <c r="B77" s="59" t="n"/>
      <c r="C77" s="338" t="inlineStr">
        <is>
          <t>CONFIG</t>
        </is>
      </c>
      <c r="D77" s="338" t="inlineStr">
        <is>
          <t>FRS_Line Voltage</t>
        </is>
      </c>
      <c r="E77" s="339" t="inlineStr">
        <is>
          <t>Link</t>
        </is>
      </c>
      <c r="F77" s="340">
        <f t="array" ref="F77">HYPERLINK(CONCATENATE(Cartelle!$D$5,F$1,"/",$C77,"/",MID($D77,1,FIND("_",$D77)-1),"/",INDIRECT(CONCATENATE("'" &amp; $C77 &amp; "'!",ADDRESS(MATCH($D77, INDIRECT("'" &amp; $C77 &amp; "'!$B:$B"), 0),MATCH(F$1, INDIRECT("'" &amp; $C77 &amp; "'!$1:$1"), 0)))),".",INDIRECT(CONCATENATE("'"&amp;$C77&amp;"'!",ADDRESS(MATCH($D77,INDIRECT("'"&amp;$C77&amp;"'!$B:$B"),0),3))),"#page=",F78),CONCATENATE("#Sharepoint//",$D77))</f>
        <v/>
      </c>
      <c r="G77" s="352" t="n"/>
      <c r="H77" s="340">
        <f t="array" ref="H77">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
      </c>
      <c r="I77" s="340">
        <f t="array" ref="I77">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
      </c>
      <c r="J77" s="340">
        <f t="array" ref="J77">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
      </c>
      <c r="K77" s="359" t="n"/>
      <c r="L77" s="359" t="n"/>
    </row>
    <row r="78" hidden="1" outlineLevel="2" customFormat="1" s="8">
      <c r="B78" s="59" t="n"/>
      <c r="C78" s="446" t="n"/>
      <c r="D78" s="233" t="n"/>
      <c r="E78" s="270" t="inlineStr">
        <is>
          <t>Rif. Pagina</t>
        </is>
      </c>
      <c r="F78" s="233" t="n">
        <v>45</v>
      </c>
      <c r="G78" s="233" t="n"/>
      <c r="H78" s="233" t="n">
        <v>52</v>
      </c>
      <c r="I78" s="233" t="n">
        <v>47</v>
      </c>
      <c r="J78" s="233" t="n">
        <v>61</v>
      </c>
      <c r="K78" s="233" t="n"/>
      <c r="L78" s="233" t="n"/>
    </row>
    <row r="79" hidden="1" outlineLevel="2" ht="375" customFormat="1" customHeight="1" s="8">
      <c r="B79" s="59" t="n"/>
      <c r="C79" s="446" t="n"/>
      <c r="D79" s="233" t="n"/>
      <c r="E79" s="234" t="inlineStr">
        <is>
          <t>Funzioni AI</t>
        </is>
      </c>
      <c r="F79" s="239" t="inlineStr">
        <is>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is>
      </c>
      <c r="G79" s="235" t="n"/>
      <c r="H79" s="239" t="inlineStr">
        <is>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is>
      </c>
      <c r="I79" s="239" t="inlineStr">
        <is>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is>
      </c>
      <c r="J79" s="239" t="inlineStr">
        <is>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is>
      </c>
      <c r="K79" s="235" t="n"/>
      <c r="L79" s="236" t="n"/>
    </row>
    <row r="80" ht="30" customFormat="1" customHeight="1" s="8">
      <c r="A80" s="353" t="inlineStr">
        <is>
          <t>LV_Main_Transformer_cooling_control</t>
        </is>
      </c>
      <c r="B80" s="360" t="inlineStr">
        <is>
          <t>Controllo da parte della PCU della velocità delle ventole del circuito di raffreddamento ad olio</t>
        </is>
      </c>
      <c r="C80" s="181" t="n"/>
      <c r="D80" s="355" t="inlineStr">
        <is>
          <t>\</t>
        </is>
      </c>
      <c r="E80" s="356" t="n"/>
      <c r="F80" s="357" t="n"/>
      <c r="G80" s="357" t="n"/>
      <c r="H80" s="357" t="n"/>
      <c r="I80" s="357" t="n"/>
      <c r="J80" s="357" t="n"/>
      <c r="K80" s="357" t="n"/>
      <c r="L80" s="358" t="n"/>
    </row>
    <row r="81" outlineLevel="1" collapsed="1" customFormat="1" s="8">
      <c r="B81" s="59" t="n"/>
      <c r="C81" s="338" t="inlineStr">
        <is>
          <t>CONFIG</t>
        </is>
      </c>
      <c r="D81" s="361" t="inlineStr">
        <is>
          <t>FRS_Line Voltage</t>
        </is>
      </c>
      <c r="E81" s="362" t="inlineStr">
        <is>
          <t>Link</t>
        </is>
      </c>
      <c r="F81" s="363" t="n"/>
      <c r="G81" s="363" t="n"/>
      <c r="H81" s="363" t="n"/>
      <c r="I81" s="363" t="n"/>
      <c r="J81" s="340">
        <f t="array" ref="J8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
      </c>
      <c r="K81" s="359" t="n"/>
      <c r="L81" s="359" t="n"/>
    </row>
    <row r="82" hidden="1" outlineLevel="2" customFormat="1" s="8">
      <c r="B82" s="59" t="n"/>
      <c r="C82" s="446" t="n"/>
      <c r="D82" s="233" t="n"/>
      <c r="E82" s="270" t="inlineStr">
        <is>
          <t>Rif. Pagina</t>
        </is>
      </c>
      <c r="F82" s="233" t="n"/>
      <c r="G82" s="233" t="n"/>
      <c r="H82" s="233" t="n"/>
      <c r="I82" s="233" t="n"/>
      <c r="J82" s="233" t="n">
        <v>65</v>
      </c>
      <c r="K82" s="233" t="n"/>
      <c r="L82" s="233" t="n"/>
    </row>
    <row r="83" hidden="1" outlineLevel="2" ht="360" customFormat="1" customHeight="1" s="8">
      <c r="B83" s="59" t="n"/>
      <c r="C83" s="446" t="n"/>
      <c r="D83" s="233" t="n"/>
      <c r="E83" s="234" t="inlineStr">
        <is>
          <t>Funzioni AI</t>
        </is>
      </c>
      <c r="F83" s="235" t="n"/>
      <c r="G83" s="235" t="n"/>
      <c r="H83" s="235" t="n"/>
      <c r="I83" s="235" t="n"/>
      <c r="J83" s="241" t="inlineStr">
        <is>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is>
      </c>
      <c r="K83" s="235" t="n"/>
      <c r="L83" s="236" t="n"/>
    </row>
    <row r="84" ht="30" customFormat="1" customHeight="1" s="8">
      <c r="A84" s="353" t="inlineStr">
        <is>
          <t>LV_Main_Transformer_Supervision</t>
        </is>
      </c>
      <c r="B84" s="360" t="inlineStr">
        <is>
          <t>Controllo da parte della PCU della temperatura del trasformatore e degli induttori linea</t>
        </is>
      </c>
      <c r="C84" s="181" t="n"/>
      <c r="D84" s="355" t="inlineStr">
        <is>
          <t>\</t>
        </is>
      </c>
      <c r="E84" s="356" t="n"/>
      <c r="F84" s="357" t="n"/>
      <c r="G84" s="357" t="n"/>
      <c r="H84" s="357" t="n"/>
      <c r="I84" s="357" t="n"/>
      <c r="J84" s="357" t="n"/>
      <c r="K84" s="357" t="n"/>
      <c r="L84" s="358" t="n"/>
    </row>
    <row r="85" outlineLevel="1" collapsed="1" customFormat="1" s="8">
      <c r="B85" s="59" t="n"/>
      <c r="C85" s="338" t="inlineStr">
        <is>
          <t>CONFIG</t>
        </is>
      </c>
      <c r="D85" s="361" t="inlineStr">
        <is>
          <t>FRS_Line Voltage</t>
        </is>
      </c>
      <c r="E85" s="362" t="inlineStr">
        <is>
          <t>Link</t>
        </is>
      </c>
      <c r="F85" s="363" t="n"/>
      <c r="G85" s="363" t="n"/>
      <c r="H85" s="363" t="n"/>
      <c r="I85" s="363" t="n"/>
      <c r="J85" s="340">
        <f t="array" ref="J85">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
      </c>
      <c r="K85" s="359" t="n"/>
      <c r="L85" s="359" t="n"/>
    </row>
    <row r="86" hidden="1" outlineLevel="2" customFormat="1" s="8">
      <c r="B86" s="59" t="n"/>
      <c r="C86" s="446" t="n"/>
      <c r="D86" s="233" t="n"/>
      <c r="E86" s="270" t="inlineStr">
        <is>
          <t>Rif. Pagina</t>
        </is>
      </c>
      <c r="F86" s="233" t="n"/>
      <c r="G86" s="233" t="n"/>
      <c r="H86" s="233" t="n"/>
      <c r="I86" s="233" t="n"/>
      <c r="J86" s="233" t="n">
        <v>68</v>
      </c>
      <c r="K86" s="233" t="n"/>
      <c r="L86" s="233" t="n"/>
    </row>
    <row r="87" hidden="1" outlineLevel="2" ht="195" customFormat="1" customHeight="1" s="8">
      <c r="B87" s="59" t="n"/>
      <c r="C87" s="446" t="n"/>
      <c r="D87" s="233" t="n"/>
      <c r="E87" s="234" t="inlineStr">
        <is>
          <t>Funzioni AI</t>
        </is>
      </c>
      <c r="F87" s="235" t="n"/>
      <c r="G87" s="235" t="n"/>
      <c r="H87" s="235" t="n"/>
      <c r="I87" s="235" t="n"/>
      <c r="J87" s="241" t="inlineStr">
        <is>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is>
      </c>
      <c r="K87" s="235" t="n"/>
      <c r="L87" s="236" t="n"/>
    </row>
    <row r="88" ht="30" customFormat="1" customHeight="1" s="8">
      <c r="A88" s="353" t="inlineStr">
        <is>
          <t>LV_Energy_Meter</t>
        </is>
      </c>
      <c r="B88" s="360" t="inlineStr">
        <is>
          <t>Sistema di lettura dell'evergia assorbita dal treno e invio a terra dei dati</t>
        </is>
      </c>
      <c r="C88" s="181" t="n"/>
      <c r="D88" s="355" t="inlineStr">
        <is>
          <t>\</t>
        </is>
      </c>
      <c r="E88" s="356" t="n"/>
      <c r="F88" s="357" t="n"/>
      <c r="G88" s="357" t="n"/>
      <c r="H88" s="357" t="n"/>
      <c r="I88" s="357" t="n"/>
      <c r="J88" s="357" t="n"/>
      <c r="K88" s="357" t="n"/>
      <c r="L88" s="358" t="n"/>
    </row>
    <row r="89" outlineLevel="1" collapsed="1" customFormat="1" s="8">
      <c r="B89" s="59" t="n"/>
      <c r="C89" s="338" t="inlineStr">
        <is>
          <t>CONFIG</t>
        </is>
      </c>
      <c r="D89" s="361" t="inlineStr">
        <is>
          <t>FRS_Line Voltage</t>
        </is>
      </c>
      <c r="E89" s="362" t="inlineStr">
        <is>
          <t>Link</t>
        </is>
      </c>
      <c r="F89" s="363" t="n"/>
      <c r="G89" s="363" t="n"/>
      <c r="H89" s="340">
        <f t="array" ref="H89">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
      </c>
      <c r="I89" s="340">
        <f t="array" ref="I89">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
      </c>
      <c r="J89" s="340">
        <f t="array" ref="J89">HYPERLINK(CONCATENATE(Cartelle!$D$5,J$1,"/CONFIG/",MID($D89,1,FIND("_",$D89)-1),"/",INDIRECT(CONCATENATE("'CONFIG'!",ADDRESS(MATCH($D89, CONFIG!$B:$B, 0),MATCH(J$1, CONFIG!$1:$1, 0)))),".pdf#page=",J90),CONCATENATE("#Sharepoint//",$D89))</f>
        <v/>
      </c>
      <c r="K89" s="359" t="n"/>
      <c r="L89" s="359" t="n"/>
    </row>
    <row r="90" hidden="1" outlineLevel="2" customFormat="1" s="8">
      <c r="B90" s="59" t="n"/>
      <c r="C90" s="446" t="n"/>
      <c r="D90" s="233" t="n"/>
      <c r="E90" s="270" t="inlineStr">
        <is>
          <t>Rif. Pagina</t>
        </is>
      </c>
      <c r="F90" s="233" t="n"/>
      <c r="G90" s="233" t="n"/>
      <c r="H90" s="233" t="n">
        <v>54</v>
      </c>
      <c r="I90" s="233" t="n">
        <v>49</v>
      </c>
      <c r="J90" s="233" t="n">
        <v>71</v>
      </c>
      <c r="K90" s="233" t="n"/>
      <c r="L90" s="233" t="n"/>
    </row>
    <row r="91" hidden="1" outlineLevel="2" ht="390" customFormat="1" customHeight="1" s="8">
      <c r="B91" s="59" t="n"/>
      <c r="C91" s="446" t="n"/>
      <c r="D91" s="233" t="n"/>
      <c r="E91" s="234" t="inlineStr">
        <is>
          <t>Funzioni AI</t>
        </is>
      </c>
      <c r="F91" s="235" t="n"/>
      <c r="G91" s="235" t="n"/>
      <c r="H91" s="239" t="inlineStr">
        <is>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is>
      </c>
      <c r="I91" s="239" t="inlineStr">
        <is>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is>
      </c>
      <c r="J91" s="239" t="inlineStr">
        <is>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is>
      </c>
      <c r="K91" s="235" t="n"/>
      <c r="L91" s="236" t="n"/>
    </row>
    <row r="92" customFormat="1" s="8">
      <c r="A92" s="353" t="inlineStr">
        <is>
          <t>LV_Key_interlocking</t>
        </is>
      </c>
      <c r="B92" s="364" t="inlineStr">
        <is>
          <t>Interblocco tramite giro chiavi del sistema alta tensione</t>
        </is>
      </c>
      <c r="C92" s="181" t="n"/>
      <c r="D92" s="355" t="inlineStr">
        <is>
          <t>\</t>
        </is>
      </c>
      <c r="E92" s="356" t="n"/>
      <c r="F92" s="357" t="n"/>
      <c r="G92" s="357" t="n"/>
      <c r="H92" s="357" t="n"/>
      <c r="I92" s="357" t="n"/>
      <c r="J92" s="357" t="n"/>
      <c r="K92" s="357" t="n"/>
      <c r="L92" s="358" t="n"/>
    </row>
    <row r="93" outlineLevel="1" collapsed="1" customFormat="1" s="8">
      <c r="B93" s="59" t="n"/>
      <c r="C93" s="338" t="inlineStr">
        <is>
          <t>CONFIG</t>
        </is>
      </c>
      <c r="D93" s="338" t="inlineStr">
        <is>
          <t>FRS_Line Voltage</t>
        </is>
      </c>
      <c r="E93" s="339" t="inlineStr">
        <is>
          <t>Link</t>
        </is>
      </c>
      <c r="F93" s="340">
        <f t="array" ref="F93">HYPERLINK(CONCATENATE(Cartelle!$D$5,F$1,"/",$C93,"/",MID($D93,1,FIND("_",$D93)-1),"/",INDIRECT(CONCATENATE("'" &amp; $C93 &amp; "'!",ADDRESS(MATCH($D93, INDIRECT("'" &amp; $C93 &amp; "'!$B:$B"), 0),MATCH(F$1, INDIRECT("'" &amp; $C93 &amp; "'!$1:$1"), 0)))),".",INDIRECT(CONCATENATE("'"&amp;$C93&amp;"'!",ADDRESS(MATCH($D93,INDIRECT("'"&amp;$C93&amp;"'!$B:$B"),0),3))),"#page=",F94),CONCATENATE("#Sharepoint//",$D93))</f>
        <v/>
      </c>
      <c r="G93" s="352" t="n"/>
      <c r="H93" s="340">
        <f t="array" ref="H93">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
      </c>
      <c r="I93" s="340">
        <f t="array" ref="I93">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
      </c>
      <c r="J93" s="340">
        <f t="array" ref="J93">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
      </c>
      <c r="K93" s="359" t="n"/>
      <c r="L93" s="359" t="n"/>
    </row>
    <row r="94" hidden="1" outlineLevel="2" customFormat="1" s="8">
      <c r="B94" s="59" t="n"/>
      <c r="C94" s="446" t="n"/>
      <c r="D94" s="233" t="n"/>
      <c r="E94" s="270" t="inlineStr">
        <is>
          <t>Rif. Pagina</t>
        </is>
      </c>
      <c r="F94" s="233" t="n">
        <v>48</v>
      </c>
      <c r="G94" s="233" t="n"/>
      <c r="H94" s="233" t="n">
        <v>55</v>
      </c>
      <c r="I94" s="233" t="n">
        <v>51</v>
      </c>
      <c r="J94" s="233" t="n">
        <v>73</v>
      </c>
      <c r="K94" s="233" t="n"/>
      <c r="L94" s="233" t="n"/>
    </row>
    <row r="95" hidden="1" outlineLevel="2" ht="409.5" customFormat="1" customHeight="1" s="8">
      <c r="B95" s="59" t="n"/>
      <c r="C95" s="446" t="n"/>
      <c r="D95" s="233" t="n"/>
      <c r="E95" s="234" t="inlineStr">
        <is>
          <t>Funzioni AI</t>
        </is>
      </c>
      <c r="F95" s="240" t="inlineStr">
        <is>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is>
      </c>
      <c r="G95" s="235" t="n"/>
      <c r="H95" s="239" t="inlineStr">
        <is>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is>
      </c>
      <c r="I95" s="239" t="inlineStr">
        <is>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is>
      </c>
      <c r="J95" s="239" t="inlineStr">
        <is>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is>
      </c>
      <c r="K95" s="235" t="n"/>
      <c r="L95" s="236" t="n"/>
    </row>
    <row r="96" ht="30" customFormat="1" customHeight="1" s="8">
      <c r="A96" s="353" t="inlineStr">
        <is>
          <t>LV_Function_Earthing_of_High_Voltage_Supply</t>
        </is>
      </c>
      <c r="B96" s="364" t="inlineStr">
        <is>
          <t>Messa a terra dell'alta tensione per consentire la manutenzione in sicurezza</t>
        </is>
      </c>
      <c r="C96" s="181" t="n"/>
      <c r="D96" s="355" t="inlineStr">
        <is>
          <t>\</t>
        </is>
      </c>
      <c r="E96" s="356" t="n"/>
      <c r="F96" s="357" t="n"/>
      <c r="G96" s="357" t="n"/>
      <c r="H96" s="357" t="n"/>
      <c r="I96" s="357" t="n"/>
      <c r="J96" s="357" t="n"/>
      <c r="K96" s="357" t="n"/>
      <c r="L96" s="358" t="n"/>
    </row>
    <row r="97" outlineLevel="1" collapsed="1" customFormat="1" s="8">
      <c r="B97" s="59" t="n"/>
      <c r="C97" s="338" t="inlineStr">
        <is>
          <t>CONFIG</t>
        </is>
      </c>
      <c r="D97" s="338" t="inlineStr">
        <is>
          <t>FRS_Line Voltage</t>
        </is>
      </c>
      <c r="E97" s="339" t="inlineStr">
        <is>
          <t>Link</t>
        </is>
      </c>
      <c r="F97" s="340">
        <f t="array" ref="F97">HYPERLINK(CONCATENATE(Cartelle!$D$5,F$1,"/",$C97,"/",MID($D97,1,FIND("_",$D97)-1),"/",INDIRECT(CONCATENATE("'" &amp; $C97 &amp; "'!",ADDRESS(MATCH($D97, INDIRECT("'" &amp; $C97 &amp; "'!$B:$B"), 0),MATCH(F$1, INDIRECT("'" &amp; $C97 &amp; "'!$1:$1"), 0)))),".",INDIRECT(CONCATENATE("'"&amp;$C97&amp;"'!",ADDRESS(MATCH($D97,INDIRECT("'"&amp;$C97&amp;"'!$B:$B"),0),3))),"#page=",F98),CONCATENATE("#Sharepoint//",$D97))</f>
        <v/>
      </c>
      <c r="G97" s="352" t="n"/>
      <c r="H97" s="340">
        <f t="array" ref="H97">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
      </c>
      <c r="I97" s="340">
        <f t="array" ref="I97">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
      </c>
      <c r="J97" s="340">
        <f t="array" ref="J97">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
      </c>
      <c r="K97" s="359" t="n"/>
      <c r="L97" s="359" t="n"/>
    </row>
    <row r="98" hidden="1" outlineLevel="2" customFormat="1" s="8">
      <c r="B98" s="59" t="n"/>
      <c r="C98" s="446" t="n"/>
      <c r="D98" s="233" t="n"/>
      <c r="E98" s="270" t="inlineStr">
        <is>
          <t>Rif. Pagina</t>
        </is>
      </c>
      <c r="F98" s="233" t="n">
        <v>49</v>
      </c>
      <c r="G98" s="233" t="n"/>
      <c r="H98" s="233" t="n">
        <v>56</v>
      </c>
      <c r="I98" s="233" t="n">
        <v>52</v>
      </c>
      <c r="J98" s="233" t="n">
        <v>74</v>
      </c>
      <c r="K98" s="233" t="n"/>
      <c r="L98" s="233" t="n"/>
    </row>
    <row r="99" hidden="1" outlineLevel="2" ht="409.5" customFormat="1" customHeight="1" s="8">
      <c r="B99" s="59" t="n"/>
      <c r="C99" s="446" t="n"/>
      <c r="D99" s="233" t="n"/>
      <c r="E99" s="234" t="inlineStr">
        <is>
          <t>Funzioni AI</t>
        </is>
      </c>
      <c r="F99" s="239" t="inlineStr">
        <is>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is>
      </c>
      <c r="G99" s="235" t="n"/>
      <c r="H99" s="239" t="inlineStr">
        <is>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is>
      </c>
      <c r="I99" s="239" t="inlineStr">
        <is>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is>
      </c>
      <c r="J99" s="239" t="inlineStr">
        <is>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is>
      </c>
      <c r="K99" s="235" t="n"/>
      <c r="L99" s="236" t="n"/>
    </row>
    <row r="100" ht="30" customFormat="1" customHeight="1" s="8">
      <c r="A100" s="353" t="inlineStr">
        <is>
          <t>LV_Function_Earthing_of_Converter_boxes</t>
        </is>
      </c>
      <c r="B100" s="364" t="inlineStr">
        <is>
          <t>Messa a terra dei box convertitori per consentire l’accesso e la manutenzione in sicurezza</t>
        </is>
      </c>
      <c r="C100" s="181" t="n"/>
      <c r="D100" s="355" t="inlineStr">
        <is>
          <t>\</t>
        </is>
      </c>
      <c r="E100" s="356" t="n"/>
      <c r="F100" s="357" t="n"/>
      <c r="G100" s="357" t="n"/>
      <c r="H100" s="357" t="n"/>
      <c r="I100" s="357" t="n"/>
      <c r="J100" s="357" t="n"/>
      <c r="K100" s="357" t="n"/>
      <c r="L100" s="358" t="n"/>
    </row>
    <row r="101" outlineLevel="1" collapsed="1" customFormat="1" s="8">
      <c r="B101" s="59" t="n"/>
      <c r="C101" s="338" t="inlineStr">
        <is>
          <t>CONFIG</t>
        </is>
      </c>
      <c r="D101" s="338" t="inlineStr">
        <is>
          <t>FRS_Line Voltage</t>
        </is>
      </c>
      <c r="E101" s="339" t="inlineStr">
        <is>
          <t>Link</t>
        </is>
      </c>
      <c r="F101" s="340">
        <f t="array" ref="F101">HYPERLINK(CONCATENATE(Cartelle!$D$5,F$1,"/",$C101,"/",MID($D101,1,FIND("_",$D101)-1),"/",INDIRECT(CONCATENATE("'" &amp; $C101 &amp; "'!",ADDRESS(MATCH($D101, INDIRECT("'" &amp; $C101 &amp; "'!$B:$B"), 0),MATCH(F$1, INDIRECT("'" &amp; $C101 &amp; "'!$1:$1"), 0)))),".",INDIRECT(CONCATENATE("'"&amp;$C101&amp;"'!",ADDRESS(MATCH($D101,INDIRECT("'"&amp;$C101&amp;"'!$B:$B"),0),3))),"#page=",F102),CONCATENATE("#Sharepoint//",$D101))</f>
        <v/>
      </c>
      <c r="G101" s="352" t="n"/>
      <c r="H101" s="340">
        <f t="array" ref="H10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
      </c>
      <c r="I101" s="340">
        <f t="array" ref="I10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
      </c>
      <c r="J101" s="340">
        <f t="array" ref="J10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
      </c>
      <c r="K101" s="359" t="n"/>
      <c r="L101" s="359" t="n"/>
    </row>
    <row r="102" hidden="1" outlineLevel="2" customFormat="1" s="8">
      <c r="B102" s="59" t="n"/>
      <c r="C102" s="446" t="n"/>
      <c r="D102" s="233" t="n"/>
      <c r="E102" s="270" t="inlineStr">
        <is>
          <t>Rif. Pagina</t>
        </is>
      </c>
      <c r="F102" s="233" t="n">
        <v>52</v>
      </c>
      <c r="G102" s="233" t="n"/>
      <c r="H102" s="233" t="n">
        <v>59</v>
      </c>
      <c r="I102" s="233" t="n">
        <v>55</v>
      </c>
      <c r="J102" s="233" t="n">
        <v>77</v>
      </c>
      <c r="K102" s="233" t="n"/>
      <c r="L102" s="233" t="n"/>
    </row>
    <row r="103" hidden="1" outlineLevel="2" ht="409.5" customFormat="1" customHeight="1" s="8">
      <c r="B103" s="59" t="n"/>
      <c r="C103" s="446" t="n"/>
      <c r="D103" s="233" t="n"/>
      <c r="E103" s="234" t="inlineStr">
        <is>
          <t>Funzioni AI</t>
        </is>
      </c>
      <c r="F103" s="240" t="inlineStr">
        <is>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is>
      </c>
      <c r="G103" s="235" t="n"/>
      <c r="H103" s="240" t="inlineStr">
        <is>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is>
      </c>
      <c r="I103" s="240" t="inlineStr">
        <is>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is>
      </c>
      <c r="J103" s="240" t="inlineStr">
        <is>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is>
      </c>
      <c r="K103" s="235" t="n"/>
      <c r="L103" s="236" t="n"/>
    </row>
    <row r="104" customFormat="1" s="8">
      <c r="A104" s="353" t="inlineStr">
        <is>
          <t>LV_HVAC_pre-conditioning_on_DC_line</t>
        </is>
      </c>
      <c r="B104" s="364" t="inlineStr">
        <is>
          <t>Funzione per alimentare gli HVAC senza superare i limiti di corrente</t>
        </is>
      </c>
      <c r="C104" s="181" t="n"/>
      <c r="D104" s="355" t="inlineStr">
        <is>
          <t>\</t>
        </is>
      </c>
      <c r="E104" s="356" t="n"/>
      <c r="F104" s="357" t="n"/>
      <c r="G104" s="357" t="n"/>
      <c r="H104" s="357" t="n"/>
      <c r="I104" s="357" t="n"/>
      <c r="J104" s="357" t="n"/>
      <c r="K104" s="357" t="n"/>
      <c r="L104" s="358" t="n"/>
    </row>
    <row r="105" outlineLevel="1" collapsed="1" customFormat="1" s="8">
      <c r="B105" s="59" t="n"/>
      <c r="C105" s="338" t="inlineStr">
        <is>
          <t>CONFIG</t>
        </is>
      </c>
      <c r="D105" s="338" t="inlineStr">
        <is>
          <t>FRS_Line Voltage</t>
        </is>
      </c>
      <c r="E105" s="339" t="inlineStr">
        <is>
          <t>Link</t>
        </is>
      </c>
      <c r="F105" s="340">
        <f t="array" ref="F105">HYPERLINK(CONCATENATE(Cartelle!$D$5,F$1,"/",$C105,"/",MID($D105,1,FIND("_",$D105)-1),"/",INDIRECT(CONCATENATE("'" &amp; $C105 &amp; "'!",ADDRESS(MATCH($D105, INDIRECT("'" &amp; $C105 &amp; "'!$B:$B"), 0),MATCH(F$1, INDIRECT("'" &amp; $C105 &amp; "'!$1:$1"), 0)))),".",INDIRECT(CONCATENATE("'"&amp;$C105&amp;"'!",ADDRESS(MATCH($D105,INDIRECT("'"&amp;$C105&amp;"'!$B:$B"),0),3))),"#page=",F106),CONCATENATE("#Sharepoint//",$D105))</f>
        <v/>
      </c>
      <c r="G105" s="352" t="n"/>
      <c r="H105" s="340">
        <f t="array" ref="H105">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
      </c>
      <c r="I105" s="340">
        <f t="array" ref="I105">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
      </c>
      <c r="J105" s="340">
        <f t="array" ref="J105">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
      </c>
      <c r="K105" s="359" t="n"/>
      <c r="L105" s="359" t="n"/>
    </row>
    <row r="106" hidden="1" outlineLevel="2" customFormat="1" s="8">
      <c r="B106" s="59" t="n"/>
      <c r="C106" s="446" t="n"/>
      <c r="D106" s="233" t="n"/>
      <c r="E106" s="270" t="inlineStr">
        <is>
          <t>Rif. Pagina</t>
        </is>
      </c>
      <c r="F106" s="233" t="n">
        <v>55</v>
      </c>
      <c r="G106" s="233" t="n"/>
      <c r="H106" s="233" t="n">
        <v>62</v>
      </c>
      <c r="I106" s="233" t="n">
        <v>58</v>
      </c>
      <c r="J106" s="233" t="n">
        <v>80</v>
      </c>
      <c r="K106" s="233" t="n"/>
      <c r="L106" s="233" t="n"/>
    </row>
    <row r="107" hidden="1" outlineLevel="2" ht="409.5" customFormat="1" customHeight="1" s="8">
      <c r="B107" s="59" t="n"/>
      <c r="C107" s="446" t="n"/>
      <c r="D107" s="233" t="n"/>
      <c r="E107" s="234" t="inlineStr">
        <is>
          <t>Funzioni AI</t>
        </is>
      </c>
      <c r="F107" s="240" t="inlineStr">
        <is>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is>
      </c>
      <c r="G107" s="235" t="n"/>
      <c r="H107" s="240" t="inlineStr">
        <is>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is>
      </c>
      <c r="I107" s="240" t="inlineStr">
        <is>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is>
      </c>
      <c r="J107" s="240" t="inlineStr">
        <is>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is>
      </c>
      <c r="K107" s="235" t="n"/>
      <c r="L107" s="236" t="n"/>
    </row>
    <row r="108" customFormat="1" s="8">
      <c r="A108" s="353" t="inlineStr">
        <is>
          <t>AUX_Function_General</t>
        </is>
      </c>
      <c r="B108" s="360" t="n"/>
      <c r="C108" s="181" t="n"/>
      <c r="D108" s="355" t="inlineStr">
        <is>
          <t>\</t>
        </is>
      </c>
      <c r="E108" s="356" t="n"/>
      <c r="F108" s="357" t="n"/>
      <c r="G108" s="357" t="n"/>
      <c r="H108" s="357" t="n"/>
      <c r="I108" s="357" t="n"/>
      <c r="J108" s="357" t="n"/>
      <c r="K108" s="357" t="n"/>
      <c r="L108" s="358" t="n"/>
    </row>
    <row r="109" outlineLevel="1" collapsed="1" customFormat="1" s="8">
      <c r="B109" s="59" t="n"/>
      <c r="C109" s="338" t="inlineStr">
        <is>
          <t>CONFIG</t>
        </is>
      </c>
      <c r="D109" s="361" t="inlineStr">
        <is>
          <t>FRS_Aux Electrical Supply</t>
        </is>
      </c>
      <c r="E109" s="362" t="inlineStr">
        <is>
          <t>Link</t>
        </is>
      </c>
      <c r="F109" s="340">
        <f t="array" ref="F109">HYPERLINK(CONCATENATE(Cartelle!$D$5,F$1,"/",$C109,"/",MID($D109,1,FIND("_",$D109)-1),"/",INDIRECT(CONCATENATE("'" &amp; $C109 &amp; "'!",ADDRESS(MATCH($D109, INDIRECT("'" &amp; $C109 &amp; "'!$B:$B"), 0),MATCH(F$1, INDIRECT("'" &amp; $C109 &amp; "'!$1:$1"), 0)))),".",INDIRECT(CONCATENATE("'"&amp;$C109&amp;"'!",ADDRESS(MATCH($D109,INDIRECT("'"&amp;$C109&amp;"'!$B:$B"),0),3))),"#page=",F110),CONCATENATE("#Sharepoint//",$D109))</f>
        <v/>
      </c>
      <c r="G109" s="340" t="n"/>
      <c r="H109" s="340">
        <f t="array" ref="H109">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
      </c>
      <c r="I109" s="340">
        <f t="array" ref="I109">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
      </c>
      <c r="J109" s="340">
        <f t="array" ref="J109">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
      </c>
      <c r="K109" s="359" t="n"/>
      <c r="L109" s="359" t="n"/>
    </row>
    <row r="110" hidden="1" outlineLevel="2" customFormat="1" s="8">
      <c r="B110" s="59" t="n"/>
      <c r="C110" s="517" t="n"/>
      <c r="D110" s="365" t="n"/>
      <c r="E110" s="366" t="inlineStr">
        <is>
          <t>Rif. Pagina</t>
        </is>
      </c>
      <c r="F110" s="365" t="n">
        <v>5</v>
      </c>
      <c r="G110" s="365" t="n"/>
      <c r="H110" s="365" t="n">
        <v>5</v>
      </c>
      <c r="I110" s="365" t="n">
        <v>5</v>
      </c>
      <c r="J110" s="365" t="n">
        <v>6</v>
      </c>
      <c r="K110" s="365" t="n"/>
      <c r="L110" s="365" t="n"/>
    </row>
    <row r="111" hidden="1" outlineLevel="2" ht="360" customFormat="1" customHeight="1" s="8">
      <c r="B111" s="59" t="n"/>
      <c r="C111" s="446" t="n"/>
      <c r="D111" s="233" t="n"/>
      <c r="E111" s="234" t="inlineStr">
        <is>
          <t>Funzioni AI</t>
        </is>
      </c>
      <c r="F111" s="239" t="inlineStr">
        <is>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is>
      </c>
      <c r="G111" s="235" t="n"/>
      <c r="H111" s="239" t="inlineStr">
        <is>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is>
      </c>
      <c r="I111" s="239" t="inlineStr">
        <is>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is>
      </c>
      <c r="J111" s="239" t="inlineStr">
        <is>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is>
      </c>
      <c r="K111" s="235" t="n"/>
      <c r="L111" s="236" t="n"/>
    </row>
    <row r="112" customFormat="1" s="8">
      <c r="A112" s="353" t="inlineStr">
        <is>
          <t>AUX_Activation_and_Synchronisation_of_ACM</t>
        </is>
      </c>
      <c r="B112" s="360" t="n"/>
      <c r="C112" s="181" t="n"/>
      <c r="D112" s="355" t="inlineStr">
        <is>
          <t>\</t>
        </is>
      </c>
      <c r="E112" s="356" t="n"/>
      <c r="F112" s="357" t="n"/>
      <c r="G112" s="357" t="n"/>
      <c r="H112" s="357" t="n"/>
      <c r="I112" s="357" t="n"/>
      <c r="J112" s="357" t="n"/>
      <c r="K112" s="357" t="n"/>
      <c r="L112" s="358" t="n"/>
    </row>
    <row r="113" outlineLevel="1" collapsed="1" customFormat="1" s="8">
      <c r="B113" s="59" t="n"/>
      <c r="C113" s="338" t="inlineStr">
        <is>
          <t>CONFIG</t>
        </is>
      </c>
      <c r="D113" s="361" t="inlineStr">
        <is>
          <t>FRS_Aux Electrical Supply</t>
        </is>
      </c>
      <c r="E113" s="362" t="inlineStr">
        <is>
          <t>Link</t>
        </is>
      </c>
      <c r="F113" s="340">
        <f t="array" ref="F113">HYPERLINK(CONCATENATE(Cartelle!$D$5,F$1,"/",$C113,"/",MID($D113,1,FIND("_",$D113)-1),"/",INDIRECT(CONCATENATE("'" &amp; $C113 &amp; "'!",ADDRESS(MATCH($D113, INDIRECT("'" &amp; $C113 &amp; "'!$B:$B"), 0),MATCH(F$1, INDIRECT("'" &amp; $C113 &amp; "'!$1:$1"), 0)))),".",INDIRECT(CONCATENATE("'"&amp;$C113&amp;"'!",ADDRESS(MATCH($D113,INDIRECT("'"&amp;$C113&amp;"'!$B:$B"),0),3))),"#page=",F114),CONCATENATE("#Sharepoint//",$D113))</f>
        <v/>
      </c>
      <c r="G113" s="340" t="n"/>
      <c r="H113" s="340">
        <f t="array" ref="H113">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
      </c>
      <c r="I113" s="340">
        <f t="array" ref="I113">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
      </c>
      <c r="J113" s="340">
        <f t="array" ref="J113">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
      </c>
      <c r="K113" s="359" t="n"/>
      <c r="L113" s="359" t="n"/>
    </row>
    <row r="114" hidden="1" outlineLevel="2" customFormat="1" s="8">
      <c r="B114" s="59" t="n"/>
      <c r="C114" s="517" t="n"/>
      <c r="D114" s="365" t="n"/>
      <c r="E114" s="366" t="inlineStr">
        <is>
          <t>Rif. Pagina</t>
        </is>
      </c>
      <c r="F114" s="365" t="n">
        <v>7</v>
      </c>
      <c r="G114" s="365" t="n"/>
      <c r="H114" s="365" t="n">
        <v>7</v>
      </c>
      <c r="I114" s="365" t="n">
        <v>7</v>
      </c>
      <c r="J114" s="365" t="n">
        <v>8</v>
      </c>
      <c r="K114" s="365" t="n"/>
      <c r="L114" s="365" t="n"/>
    </row>
    <row r="115" hidden="1" outlineLevel="2" ht="409.5" customFormat="1" customHeight="1" s="8">
      <c r="B115" s="59" t="n"/>
      <c r="C115" s="446" t="n"/>
      <c r="D115" s="233" t="n"/>
      <c r="E115" s="234" t="inlineStr">
        <is>
          <t>Funzioni AI</t>
        </is>
      </c>
      <c r="F115" s="239" t="inlineStr">
        <is>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is>
      </c>
      <c r="G115" s="235" t="n"/>
      <c r="H115" s="239" t="inlineStr">
        <is>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is>
      </c>
      <c r="I115" s="239" t="inlineStr">
        <is>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is>
      </c>
      <c r="J115" s="239" t="inlineStr">
        <is>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is>
      </c>
      <c r="K115" s="235" t="n"/>
      <c r="L115" s="236" t="n"/>
    </row>
    <row r="116" customFormat="1" s="8">
      <c r="A116" s="353" t="inlineStr">
        <is>
          <t>AUX_ACM_reset</t>
        </is>
      </c>
      <c r="B116" s="360" t="n"/>
      <c r="C116" s="181" t="n"/>
      <c r="D116" s="355" t="inlineStr">
        <is>
          <t>\</t>
        </is>
      </c>
      <c r="E116" s="356" t="n"/>
      <c r="F116" s="357" t="n"/>
      <c r="G116" s="357" t="n"/>
      <c r="H116" s="357" t="n"/>
      <c r="I116" s="357" t="n"/>
      <c r="J116" s="357" t="n"/>
      <c r="K116" s="357" t="n"/>
      <c r="L116" s="358" t="n"/>
    </row>
    <row r="117" outlineLevel="1" collapsed="1" customFormat="1" s="8">
      <c r="B117" s="59" t="n"/>
      <c r="C117" s="338" t="inlineStr">
        <is>
          <t>CONFIG</t>
        </is>
      </c>
      <c r="D117" s="361" t="inlineStr">
        <is>
          <t>FRS_Aux Electrical Supply</t>
        </is>
      </c>
      <c r="E117" s="362" t="inlineStr">
        <is>
          <t>Link</t>
        </is>
      </c>
      <c r="F117" s="340">
        <f t="array" ref="F117">HYPERLINK(CONCATENATE(Cartelle!$D$5,F$1,"/",$C117,"/",MID($D117,1,FIND("_",$D117)-1),"/",INDIRECT(CONCATENATE("'" &amp; $C117 &amp; "'!",ADDRESS(MATCH($D117, INDIRECT("'" &amp; $C117 &amp; "'!$B:$B"), 0),MATCH(F$1, INDIRECT("'" &amp; $C117 &amp; "'!$1:$1"), 0)))),".",INDIRECT(CONCATENATE("'"&amp;$C117&amp;"'!",ADDRESS(MATCH($D117,INDIRECT("'"&amp;$C117&amp;"'!$B:$B"),0),3))),"#page=",F118),CONCATENATE("#Sharepoint//",$D117))</f>
        <v/>
      </c>
      <c r="G117" s="340" t="n"/>
      <c r="H117" s="340">
        <f t="array" ref="H117">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
      </c>
      <c r="I117" s="340">
        <f t="array" ref="I117">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
      </c>
      <c r="J117" s="340">
        <f t="array" ref="J117">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
      </c>
      <c r="K117" s="359" t="n"/>
      <c r="L117" s="359" t="n"/>
    </row>
    <row r="118" hidden="1" outlineLevel="2" customFormat="1" s="8">
      <c r="B118" s="59" t="n"/>
      <c r="C118" s="517" t="n"/>
      <c r="D118" s="365" t="n"/>
      <c r="E118" s="366" t="inlineStr">
        <is>
          <t>Rif. Pagina</t>
        </is>
      </c>
      <c r="F118" s="365" t="n">
        <v>9</v>
      </c>
      <c r="G118" s="365" t="n"/>
      <c r="H118" s="365" t="n">
        <v>9</v>
      </c>
      <c r="I118" s="365" t="n">
        <v>9</v>
      </c>
      <c r="J118" s="365" t="n">
        <v>9</v>
      </c>
      <c r="K118" s="365" t="n"/>
      <c r="L118" s="365" t="n"/>
    </row>
    <row r="119" hidden="1" outlineLevel="2" ht="345" customFormat="1" customHeight="1" s="8">
      <c r="B119" s="59" t="n"/>
      <c r="C119" s="446" t="n"/>
      <c r="D119" s="233" t="n"/>
      <c r="E119" s="234" t="inlineStr">
        <is>
          <t>Funzioni AI</t>
        </is>
      </c>
      <c r="F119" s="239" t="inlineStr">
        <is>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is>
      </c>
      <c r="G119" s="235" t="n"/>
      <c r="H119" s="239" t="inlineStr">
        <is>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is>
      </c>
      <c r="I119" s="239" t="inlineStr">
        <is>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is>
      </c>
      <c r="J119" s="239" t="inlineStr">
        <is>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is>
      </c>
      <c r="K119" s="235" t="n"/>
      <c r="L119" s="236" t="n"/>
    </row>
    <row r="120" customFormat="1" s="8">
      <c r="A120" s="353" t="inlineStr">
        <is>
          <t>AUX_AC_on_Board_Supply_System</t>
        </is>
      </c>
      <c r="B120" s="360" t="n"/>
      <c r="C120" s="181" t="n"/>
      <c r="D120" s="355" t="inlineStr">
        <is>
          <t>\</t>
        </is>
      </c>
      <c r="E120" s="356" t="n"/>
      <c r="F120" s="357" t="n"/>
      <c r="G120" s="357" t="n"/>
      <c r="H120" s="357" t="n"/>
      <c r="I120" s="357" t="n"/>
      <c r="J120" s="357" t="n"/>
      <c r="K120" s="357" t="n"/>
      <c r="L120" s="358" t="n"/>
    </row>
    <row r="121" outlineLevel="1" collapsed="1" customFormat="1" s="8">
      <c r="B121" s="59" t="n"/>
      <c r="C121" s="338" t="inlineStr">
        <is>
          <t>CONFIG</t>
        </is>
      </c>
      <c r="D121" s="361" t="inlineStr">
        <is>
          <t>FRS_Aux Electrical Supply</t>
        </is>
      </c>
      <c r="E121" s="362" t="inlineStr">
        <is>
          <t>Link</t>
        </is>
      </c>
      <c r="F121" s="340">
        <f t="array" ref="F121">HYPERLINK(CONCATENATE(Cartelle!$D$5,F$1,"/",$C121,"/",MID($D121,1,FIND("_",$D121)-1),"/",INDIRECT(CONCATENATE("'" &amp; $C121 &amp; "'!",ADDRESS(MATCH($D121, INDIRECT("'" &amp; $C121 &amp; "'!$B:$B"), 0),MATCH(F$1, INDIRECT("'" &amp; $C121 &amp; "'!$1:$1"), 0)))),".",INDIRECT(CONCATENATE("'"&amp;$C121&amp;"'!",ADDRESS(MATCH($D121,INDIRECT("'"&amp;$C121&amp;"'!$B:$B"),0),3))),"#page=",F122),CONCATENATE("#Sharepoint//",$D121))</f>
        <v/>
      </c>
      <c r="G121" s="340" t="n"/>
      <c r="H121" s="340">
        <f t="array" ref="H12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
      </c>
      <c r="I121" s="340">
        <f t="array" ref="I12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
      </c>
      <c r="J121" s="340">
        <f t="array" ref="J12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
      </c>
      <c r="K121" s="359" t="n"/>
      <c r="L121" s="359" t="n"/>
    </row>
    <row r="122" hidden="1" outlineLevel="2" customFormat="1" s="8">
      <c r="B122" s="59" t="n"/>
      <c r="C122" s="517" t="n"/>
      <c r="D122" s="365" t="n"/>
      <c r="E122" s="366" t="inlineStr">
        <is>
          <t>Rif. Pagina</t>
        </is>
      </c>
      <c r="F122" s="365" t="n">
        <v>10</v>
      </c>
      <c r="G122" s="365" t="n"/>
      <c r="H122" s="365" t="n">
        <v>10</v>
      </c>
      <c r="I122" s="365" t="n">
        <v>10</v>
      </c>
      <c r="J122" s="365" t="n">
        <v>10</v>
      </c>
      <c r="K122" s="365" t="n"/>
      <c r="L122" s="365" t="n"/>
    </row>
    <row r="123" hidden="1" outlineLevel="2" ht="375" customFormat="1" customHeight="1" s="8">
      <c r="B123" s="59" t="n"/>
      <c r="C123" s="446" t="n"/>
      <c r="D123" s="233" t="n"/>
      <c r="E123" s="234" t="inlineStr">
        <is>
          <t>Funzioni AI</t>
        </is>
      </c>
      <c r="F123" s="239" t="inlineStr">
        <is>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is>
      </c>
      <c r="G123" s="235" t="n"/>
      <c r="H123" s="239" t="inlineStr">
        <is>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is>
      </c>
      <c r="I123" s="239" t="inlineStr">
        <is>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is>
      </c>
      <c r="J123" s="239" t="inlineStr">
        <is>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is>
      </c>
      <c r="K123" s="235" t="n"/>
      <c r="L123" s="236" t="n"/>
    </row>
    <row r="124" customFormat="1" s="8">
      <c r="A124" s="353" t="inlineStr">
        <is>
          <t>AUX_External_Power_Supply</t>
        </is>
      </c>
      <c r="B124" s="360" t="n"/>
      <c r="C124" s="181" t="n"/>
      <c r="D124" s="355" t="inlineStr">
        <is>
          <t>\</t>
        </is>
      </c>
      <c r="E124" s="356" t="n"/>
      <c r="F124" s="357" t="n"/>
      <c r="G124" s="357" t="n"/>
      <c r="H124" s="357" t="n"/>
      <c r="I124" s="357" t="n"/>
      <c r="J124" s="357" t="n"/>
      <c r="K124" s="357" t="n"/>
      <c r="L124" s="358" t="n"/>
    </row>
    <row r="125" outlineLevel="1" collapsed="1" customFormat="1" s="8">
      <c r="B125" s="59" t="n"/>
      <c r="C125" s="338" t="inlineStr">
        <is>
          <t>CONFIG</t>
        </is>
      </c>
      <c r="D125" s="361" t="inlineStr">
        <is>
          <t>FRS_Aux Electrical Supply</t>
        </is>
      </c>
      <c r="E125" s="362" t="inlineStr">
        <is>
          <t>Link</t>
        </is>
      </c>
      <c r="F125" s="340">
        <f t="array" ref="F125">HYPERLINK(CONCATENATE(Cartelle!$D$5,F$1,"/",$C125,"/",MID($D125,1,FIND("_",$D125)-1),"/",INDIRECT(CONCATENATE("'" &amp; $C125 &amp; "'!",ADDRESS(MATCH($D125, INDIRECT("'" &amp; $C125 &amp; "'!$B:$B"), 0),MATCH(F$1, INDIRECT("'" &amp; $C125 &amp; "'!$1:$1"), 0)))),".",INDIRECT(CONCATENATE("'"&amp;$C125&amp;"'!",ADDRESS(MATCH($D125,INDIRECT("'"&amp;$C125&amp;"'!$B:$B"),0),3))),"#page=",F126),CONCATENATE("#Sharepoint//",$D125))</f>
        <v/>
      </c>
      <c r="G125" s="340" t="n"/>
      <c r="H125" s="340">
        <f t="array" ref="H125">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
      </c>
      <c r="I125" s="340">
        <f t="array" ref="I125">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
      </c>
      <c r="J125" s="340">
        <f t="array" ref="J125">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
      </c>
      <c r="K125" s="359" t="n"/>
      <c r="L125" s="359" t="n"/>
    </row>
    <row r="126" hidden="1" outlineLevel="2" customFormat="1" s="8">
      <c r="B126" s="59" t="n"/>
      <c r="C126" s="517" t="n"/>
      <c r="D126" s="365" t="n"/>
      <c r="E126" s="366" t="inlineStr">
        <is>
          <t>Rif. Pagina</t>
        </is>
      </c>
      <c r="F126" s="365" t="n">
        <v>18</v>
      </c>
      <c r="G126" s="365" t="n"/>
      <c r="H126" s="365" t="n">
        <v>19</v>
      </c>
      <c r="I126" s="365" t="n">
        <v>18</v>
      </c>
      <c r="J126" s="365" t="n">
        <v>18</v>
      </c>
      <c r="K126" s="365" t="n"/>
      <c r="L126" s="365" t="n"/>
    </row>
    <row r="127" hidden="1" outlineLevel="2" ht="315" customFormat="1" customHeight="1" s="8">
      <c r="B127" s="59" t="n"/>
      <c r="C127" s="446" t="n"/>
      <c r="D127" s="233" t="n"/>
      <c r="E127" s="234" t="inlineStr">
        <is>
          <t>Funzioni AI</t>
        </is>
      </c>
      <c r="F127" s="239" t="inlineStr">
        <is>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is>
      </c>
      <c r="G127" s="235" t="n"/>
      <c r="H127" s="239" t="inlineStr">
        <is>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is>
      </c>
      <c r="I127" s="239" t="inlineStr">
        <is>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is>
      </c>
      <c r="J127" s="239" t="inlineStr">
        <is>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is>
      </c>
      <c r="K127" s="235" t="n"/>
      <c r="L127" s="236" t="n"/>
    </row>
    <row r="128" customFormat="1" s="8">
      <c r="A128" s="353" t="inlineStr">
        <is>
          <t>AUX_Earthing_switch</t>
        </is>
      </c>
      <c r="B128" s="360" t="n"/>
      <c r="C128" s="181" t="n"/>
      <c r="D128" s="355" t="inlineStr">
        <is>
          <t>\</t>
        </is>
      </c>
      <c r="E128" s="356" t="n"/>
      <c r="F128" s="357" t="n"/>
      <c r="G128" s="357" t="n"/>
      <c r="H128" s="357" t="n"/>
      <c r="I128" s="357" t="n"/>
      <c r="J128" s="357" t="n"/>
      <c r="K128" s="357" t="n"/>
      <c r="L128" s="358" t="n"/>
    </row>
    <row r="129" outlineLevel="1" collapsed="1" customFormat="1" s="8">
      <c r="B129" s="59" t="n"/>
      <c r="C129" s="338" t="inlineStr">
        <is>
          <t>CONFIG</t>
        </is>
      </c>
      <c r="D129" s="361" t="inlineStr">
        <is>
          <t>FRS_Aux Electrical Supply</t>
        </is>
      </c>
      <c r="E129" s="362" t="inlineStr">
        <is>
          <t>Link</t>
        </is>
      </c>
      <c r="F129" s="340">
        <f t="array" ref="F129">HYPERLINK(CONCATENATE(Cartelle!$D$5,F$1,"/",$C129,"/",MID($D129,1,FIND("_",$D129)-1),"/",INDIRECT(CONCATENATE("'" &amp; $C129 &amp; "'!",ADDRESS(MATCH($D129, INDIRECT("'" &amp; $C129 &amp; "'!$B:$B"), 0),MATCH(F$1, INDIRECT("'" &amp; $C129 &amp; "'!$1:$1"), 0)))),".",INDIRECT(CONCATENATE("'"&amp;$C129&amp;"'!",ADDRESS(MATCH($D129,INDIRECT("'"&amp;$C129&amp;"'!$B:$B"),0),3))),"#page=",F130),CONCATENATE("#Sharepoint//",$D129))</f>
        <v/>
      </c>
      <c r="G129" s="340" t="n"/>
      <c r="H129" s="340">
        <f t="array" ref="H129">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
      </c>
      <c r="I129" s="340">
        <f t="array" ref="I129">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
      </c>
      <c r="J129" s="340">
        <f t="array" ref="J129">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
      </c>
      <c r="K129" s="359" t="n"/>
      <c r="L129" s="359" t="n"/>
    </row>
    <row r="130" hidden="1" outlineLevel="2" customFormat="1" s="8">
      <c r="B130" s="59" t="n"/>
      <c r="C130" s="517" t="n"/>
      <c r="D130" s="365" t="n"/>
      <c r="E130" s="366" t="inlineStr">
        <is>
          <t>Rif. Pagina</t>
        </is>
      </c>
      <c r="F130" s="365" t="n">
        <v>22</v>
      </c>
      <c r="G130" s="365" t="n"/>
      <c r="H130" s="365" t="n">
        <v>23</v>
      </c>
      <c r="I130" s="365" t="n">
        <v>22</v>
      </c>
      <c r="J130" s="365" t="n">
        <v>22</v>
      </c>
      <c r="K130" s="365" t="n"/>
      <c r="L130" s="365" t="n"/>
    </row>
    <row r="131" hidden="1" outlineLevel="2" ht="409.5" customFormat="1" customHeight="1" s="8">
      <c r="B131" s="59" t="n"/>
      <c r="C131" s="446" t="n"/>
      <c r="D131" s="233" t="n"/>
      <c r="E131" s="234" t="inlineStr">
        <is>
          <t>Funzioni AI</t>
        </is>
      </c>
      <c r="F131" s="240" t="inlineStr">
        <is>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is>
      </c>
      <c r="G131" s="235" t="n"/>
      <c r="H131" s="240" t="inlineStr">
        <is>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is>
      </c>
      <c r="I131" s="240" t="inlineStr">
        <is>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is>
      </c>
      <c r="J131" s="240" t="inlineStr">
        <is>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is>
      </c>
      <c r="K131" s="235" t="n"/>
      <c r="L131" s="236" t="n"/>
    </row>
    <row r="132" customFormat="1" s="8">
      <c r="A132" s="353" t="inlineStr">
        <is>
          <t>AUX_230V,_50Hz_Sockets</t>
        </is>
      </c>
      <c r="B132" s="360" t="n"/>
      <c r="C132" s="181" t="n"/>
      <c r="D132" s="355" t="inlineStr">
        <is>
          <t>\</t>
        </is>
      </c>
      <c r="E132" s="356" t="n"/>
      <c r="F132" s="357" t="n"/>
      <c r="G132" s="357" t="n"/>
      <c r="H132" s="357" t="n"/>
      <c r="I132" s="357" t="n"/>
      <c r="J132" s="357" t="n"/>
      <c r="K132" s="357" t="n"/>
      <c r="L132" s="358" t="n"/>
    </row>
    <row r="133" outlineLevel="1" collapsed="1" customFormat="1" s="8">
      <c r="B133" s="59" t="n"/>
      <c r="C133" s="338" t="inlineStr">
        <is>
          <t>CONFIG</t>
        </is>
      </c>
      <c r="D133" s="361" t="inlineStr">
        <is>
          <t>FRS_Aux Electrical Supply</t>
        </is>
      </c>
      <c r="E133" s="362" t="inlineStr">
        <is>
          <t>Link</t>
        </is>
      </c>
      <c r="F133" s="340">
        <f t="array" ref="F133">HYPERLINK(CONCATENATE(Cartelle!$D$5,F$1,"/",$C133,"/",MID($D133,1,FIND("_",$D133)-1),"/",INDIRECT(CONCATENATE("'" &amp; $C133 &amp; "'!",ADDRESS(MATCH($D133, INDIRECT("'" &amp; $C133 &amp; "'!$B:$B"), 0),MATCH(F$1, INDIRECT("'" &amp; $C133 &amp; "'!$1:$1"), 0)))),".",INDIRECT(CONCATENATE("'"&amp;$C133&amp;"'!",ADDRESS(MATCH($D133,INDIRECT("'"&amp;$C133&amp;"'!$B:$B"),0),3))),"#page=",F134),CONCATENATE("#Sharepoint//",$D133))</f>
        <v/>
      </c>
      <c r="G133" s="340" t="n"/>
      <c r="H133" s="340">
        <f t="array" ref="H133">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
      </c>
      <c r="I133" s="340">
        <f t="array" ref="I133">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
      </c>
      <c r="J133" s="340">
        <f t="array" ref="J133">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
      </c>
      <c r="K133" s="359" t="n"/>
      <c r="L133" s="359" t="n"/>
    </row>
    <row r="134" hidden="1" outlineLevel="2" customFormat="1" s="8">
      <c r="B134" s="59" t="n"/>
      <c r="C134" s="517" t="n"/>
      <c r="D134" s="365" t="n"/>
      <c r="E134" s="366" t="inlineStr">
        <is>
          <t>Rif. Pagina</t>
        </is>
      </c>
      <c r="F134" s="365" t="n">
        <v>23</v>
      </c>
      <c r="G134" s="365" t="n"/>
      <c r="H134" s="365" t="n">
        <v>24</v>
      </c>
      <c r="I134" s="365" t="n">
        <v>23</v>
      </c>
      <c r="J134" s="365" t="n">
        <v>23</v>
      </c>
      <c r="K134" s="365" t="n"/>
      <c r="L134" s="365" t="n"/>
    </row>
    <row r="135" hidden="1" outlineLevel="2" ht="360" customFormat="1" customHeight="1" s="8">
      <c r="B135" s="59" t="n"/>
      <c r="C135" s="446" t="n"/>
      <c r="D135" s="233" t="n"/>
      <c r="E135" s="234" t="inlineStr">
        <is>
          <t>Funzioni AI</t>
        </is>
      </c>
      <c r="F135" s="239" t="inlineStr">
        <is>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is>
      </c>
      <c r="G135" s="235" t="n"/>
      <c r="H135" s="239" t="inlineStr">
        <is>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is>
      </c>
      <c r="I135" s="239" t="inlineStr">
        <is>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is>
      </c>
      <c r="J135" s="239" t="inlineStr">
        <is>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is>
      </c>
      <c r="K135" s="235" t="n"/>
      <c r="L135" s="236" t="n"/>
    </row>
    <row r="136" customFormat="1" s="8">
      <c r="A136" s="353" t="inlineStr">
        <is>
          <t>AUX_Mini_Circuit_Breaker_Supervision</t>
        </is>
      </c>
      <c r="B136" s="360" t="n"/>
      <c r="C136" s="181" t="n"/>
      <c r="D136" s="355" t="inlineStr">
        <is>
          <t>\</t>
        </is>
      </c>
      <c r="E136" s="356" t="n"/>
      <c r="F136" s="357" t="n"/>
      <c r="G136" s="357" t="n"/>
      <c r="H136" s="357" t="n"/>
      <c r="I136" s="357" t="n"/>
      <c r="J136" s="357" t="n"/>
      <c r="K136" s="357" t="n"/>
      <c r="L136" s="358" t="n"/>
    </row>
    <row r="137" outlineLevel="1" collapsed="1" customFormat="1" s="8">
      <c r="B137" s="59" t="n"/>
      <c r="C137" s="338" t="inlineStr">
        <is>
          <t>CONFIG</t>
        </is>
      </c>
      <c r="D137" s="361" t="inlineStr">
        <is>
          <t>FRS_Aux Electrical Supply</t>
        </is>
      </c>
      <c r="E137" s="362" t="inlineStr">
        <is>
          <t>Link</t>
        </is>
      </c>
      <c r="F137" s="340">
        <f t="array" ref="F137">HYPERLINK(CONCATENATE(Cartelle!$D$5,F$1,"/",$C137,"/",MID($D137,1,FIND("_",$D137)-1),"/",INDIRECT(CONCATENATE("'" &amp; $C137 &amp; "'!",ADDRESS(MATCH($D137, INDIRECT("'" &amp; $C137 &amp; "'!$B:$B"), 0),MATCH(F$1, INDIRECT("'" &amp; $C137 &amp; "'!$1:$1"), 0)))),".",INDIRECT(CONCATENATE("'"&amp;$C137&amp;"'!",ADDRESS(MATCH($D137,INDIRECT("'"&amp;$C137&amp;"'!$B:$B"),0),3))),"#page=",F138),CONCATENATE("#Sharepoint//",$D137))</f>
        <v/>
      </c>
      <c r="G137" s="340" t="n"/>
      <c r="H137" s="340">
        <f t="array" ref="H137">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
      </c>
      <c r="I137" s="340">
        <f t="array" ref="I137">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
      </c>
      <c r="J137" s="340">
        <f t="array" ref="J137">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
      </c>
      <c r="K137" s="359" t="n"/>
      <c r="L137" s="359" t="n"/>
    </row>
    <row r="138" hidden="1" outlineLevel="2" customFormat="1" s="8">
      <c r="B138" s="59" t="n"/>
      <c r="C138" s="446" t="n"/>
      <c r="D138" s="233" t="n"/>
      <c r="E138" s="270" t="inlineStr">
        <is>
          <t>Rif. Pagina</t>
        </is>
      </c>
      <c r="F138" s="233" t="n">
        <v>24</v>
      </c>
      <c r="G138" s="233" t="n">
        <v>24</v>
      </c>
      <c r="H138" s="233" t="n">
        <v>25</v>
      </c>
      <c r="I138" s="233" t="n">
        <v>24</v>
      </c>
      <c r="J138" s="233" t="n">
        <v>24</v>
      </c>
      <c r="K138" s="233" t="n"/>
      <c r="L138" s="233" t="n"/>
    </row>
    <row r="139" hidden="1" outlineLevel="2" ht="409.5" customFormat="1" customHeight="1" s="8">
      <c r="B139" s="59" t="n"/>
      <c r="C139" s="446" t="n"/>
      <c r="D139" s="233" t="n"/>
      <c r="E139" s="234" t="inlineStr">
        <is>
          <t>Funzioni AI</t>
        </is>
      </c>
      <c r="F139" s="240" t="inlineStr">
        <is>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is>
      </c>
      <c r="G139" s="235" t="n"/>
      <c r="H139" s="240" t="inlineStr">
        <is>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is>
      </c>
      <c r="I139" s="240" t="inlineStr">
        <is>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is>
      </c>
      <c r="J139" s="240" t="inlineStr">
        <is>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is>
      </c>
      <c r="K139" s="235" t="n"/>
      <c r="L139" s="236" t="n"/>
    </row>
    <row r="140">
      <c r="A140" s="181" t="inlineStr">
        <is>
          <t>BAT_Failure_cases_battery_system</t>
        </is>
      </c>
      <c r="B140" s="367" t="n"/>
      <c r="C140" s="181" t="n"/>
      <c r="D140" s="368" t="inlineStr">
        <is>
          <t>\</t>
        </is>
      </c>
      <c r="E140" s="162" t="n"/>
      <c r="F140" s="163" t="n"/>
      <c r="G140" s="163" t="n"/>
      <c r="H140" s="163" t="n"/>
      <c r="I140" s="163" t="n"/>
      <c r="J140" s="163" t="n"/>
      <c r="K140" s="163" t="n"/>
      <c r="L140" s="164" t="n"/>
    </row>
    <row r="141" outlineLevel="1" collapsed="1" s="480">
      <c r="B141" s="169" t="n"/>
      <c r="C141" s="338" t="inlineStr">
        <is>
          <t>CONFIG</t>
        </is>
      </c>
      <c r="D141" s="369" t="inlineStr">
        <is>
          <t>FRS_Battery</t>
        </is>
      </c>
      <c r="E141" s="370" t="inlineStr">
        <is>
          <t>Link</t>
        </is>
      </c>
      <c r="F141" s="340">
        <f t="array" ref="F141">HYPERLINK(CONCATENATE(Cartelle!$D$5,F$1,"/",$C141,"/",MID($D141,1,FIND("_",$D141)-1),"/",INDIRECT(CONCATENATE("'" &amp; $C141 &amp; "'!",ADDRESS(MATCH($D141, INDIRECT("'" &amp; $C141 &amp; "'!$B:$B"), 0),MATCH(F$1, INDIRECT("'" &amp; $C141 &amp; "'!$1:$1"), 0)))),".",INDIRECT(CONCATENATE("'"&amp;$C141&amp;"'!",ADDRESS(MATCH($D141,INDIRECT("'"&amp;$C141&amp;"'!$B:$B"),0),3))),"#page=",F142),CONCATENATE("#Sharepoint//",$D141))</f>
        <v/>
      </c>
      <c r="G141" s="340" t="n"/>
      <c r="H141" s="340" t="n"/>
      <c r="I141" s="340" t="n"/>
      <c r="J141" s="340">
        <f t="array" ref="J14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
      </c>
      <c r="K141" s="359" t="n"/>
      <c r="L141" s="359" t="n"/>
    </row>
    <row r="142" hidden="1" outlineLevel="2" s="480">
      <c r="B142" s="169" t="n"/>
      <c r="D142" s="166" t="n"/>
      <c r="E142" s="165" t="inlineStr">
        <is>
          <t>Rif. Pagina</t>
        </is>
      </c>
      <c r="F142" s="166" t="n">
        <v>8</v>
      </c>
      <c r="G142" s="166" t="n">
        <v>8</v>
      </c>
      <c r="H142" s="166" t="n">
        <v>8</v>
      </c>
      <c r="I142" s="166" t="n">
        <v>8</v>
      </c>
      <c r="J142" s="166" t="n">
        <v>8</v>
      </c>
      <c r="K142" s="166" t="n"/>
      <c r="L142" s="166" t="n"/>
    </row>
    <row r="143" hidden="1" outlineLevel="2" ht="390" customFormat="1" customHeight="1" s="8">
      <c r="B143" s="59" t="n"/>
      <c r="C143" s="446" t="n"/>
      <c r="D143" s="233" t="n"/>
      <c r="E143" s="234" t="inlineStr">
        <is>
          <t>Funzioni AI</t>
        </is>
      </c>
      <c r="F143" s="239" t="inlineStr">
        <is>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is>
      </c>
      <c r="G143" s="235" t="n"/>
      <c r="H143" s="235" t="n"/>
      <c r="I143" s="235" t="n"/>
      <c r="J143" s="239" t="inlineStr">
        <is>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is>
      </c>
      <c r="K143" s="235" t="n"/>
      <c r="L143" s="236" t="n"/>
    </row>
    <row r="144">
      <c r="A144" s="181" t="inlineStr">
        <is>
          <t>BAT_Function_Battery_Isolation</t>
        </is>
      </c>
      <c r="B144" s="367" t="n"/>
      <c r="C144" s="181" t="n"/>
      <c r="D144" s="368" t="inlineStr">
        <is>
          <t>\</t>
        </is>
      </c>
      <c r="E144" s="162" t="n"/>
      <c r="F144" s="163" t="n"/>
      <c r="G144" s="163" t="n"/>
      <c r="H144" s="163" t="n"/>
      <c r="I144" s="163" t="n"/>
      <c r="J144" s="163" t="n"/>
      <c r="K144" s="163" t="n"/>
      <c r="L144" s="164" t="n"/>
    </row>
    <row r="145" outlineLevel="1" collapsed="1" s="480">
      <c r="B145" s="169" t="n"/>
      <c r="C145" s="338" t="inlineStr">
        <is>
          <t>CONFIG</t>
        </is>
      </c>
      <c r="D145" s="369" t="inlineStr">
        <is>
          <t>FRS_Battery</t>
        </is>
      </c>
      <c r="E145" s="370" t="inlineStr">
        <is>
          <t>Link</t>
        </is>
      </c>
      <c r="F145" s="340">
        <f t="array" ref="F145">HYPERLINK(CONCATENATE(Cartelle!$D$5,F$1,"/",$C145,"/",MID($D145,1,FIND("_",$D145)-1),"/",INDIRECT(CONCATENATE("'" &amp; $C145 &amp; "'!",ADDRESS(MATCH($D145, INDIRECT("'" &amp; $C145 &amp; "'!$B:$B"), 0),MATCH(F$1, INDIRECT("'" &amp; $C145 &amp; "'!$1:$1"), 0)))),".",INDIRECT(CONCATENATE("'"&amp;$C145&amp;"'!",ADDRESS(MATCH($D145,INDIRECT("'"&amp;$C145&amp;"'!$B:$B"),0),3))),"#page=",F146),CONCATENATE("#Sharepoint//",$D145))</f>
        <v/>
      </c>
      <c r="G145" s="340" t="n"/>
      <c r="H145" s="340" t="n"/>
      <c r="I145" s="340" t="n"/>
      <c r="J145" s="340">
        <f t="array" ref="J145">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
      </c>
      <c r="K145" s="359" t="n"/>
      <c r="L145" s="359" t="n"/>
    </row>
    <row r="146" hidden="1" outlineLevel="2" s="480">
      <c r="B146" s="169" t="n"/>
      <c r="D146" s="166" t="n"/>
      <c r="E146" s="165" t="inlineStr">
        <is>
          <t>Rif. Pagina</t>
        </is>
      </c>
      <c r="F146" s="166" t="n">
        <v>9</v>
      </c>
      <c r="G146" s="166" t="n"/>
      <c r="H146" s="166" t="n"/>
      <c r="I146" s="166" t="n"/>
      <c r="J146" s="166" t="n">
        <v>9</v>
      </c>
      <c r="K146" s="166" t="n"/>
      <c r="L146" s="166" t="n"/>
    </row>
    <row r="147" hidden="1" outlineLevel="2" ht="345" customFormat="1" customHeight="1" s="8">
      <c r="B147" s="59" t="n"/>
      <c r="C147" s="446" t="n"/>
      <c r="D147" s="233" t="n"/>
      <c r="E147" s="234" t="inlineStr">
        <is>
          <t>Funzioni AI</t>
        </is>
      </c>
      <c r="F147" s="239" t="inlineStr">
        <is>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is>
      </c>
      <c r="G147" s="235" t="n"/>
      <c r="H147" s="235" t="n"/>
      <c r="I147" s="235" t="n"/>
      <c r="J147" s="239" t="inlineStr">
        <is>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is>
      </c>
      <c r="K147" s="235" t="n"/>
      <c r="L147" s="236" t="n"/>
    </row>
    <row r="148">
      <c r="A148" s="181" t="inlineStr">
        <is>
          <t>BAT_Battery_Contactors</t>
        </is>
      </c>
      <c r="B148" s="367" t="n"/>
      <c r="C148" s="181" t="n"/>
      <c r="D148" s="368" t="inlineStr">
        <is>
          <t>\</t>
        </is>
      </c>
      <c r="E148" s="162" t="n"/>
      <c r="F148" s="163" t="n"/>
      <c r="G148" s="163" t="n"/>
      <c r="H148" s="163" t="n"/>
      <c r="I148" s="163" t="n"/>
      <c r="J148" s="163" t="n"/>
      <c r="K148" s="163" t="n"/>
      <c r="L148" s="164" t="n"/>
    </row>
    <row r="149" outlineLevel="1" collapsed="1" s="480">
      <c r="B149" s="169" t="n"/>
      <c r="C149" s="338" t="inlineStr">
        <is>
          <t>CONFIG</t>
        </is>
      </c>
      <c r="D149" s="369" t="inlineStr">
        <is>
          <t>FRS_Battery</t>
        </is>
      </c>
      <c r="E149" s="370" t="inlineStr">
        <is>
          <t>Link</t>
        </is>
      </c>
      <c r="F149" s="340">
        <f t="array" ref="F149">HYPERLINK(CONCATENATE(Cartelle!$D$5,F$1,"/",$C149,"/",MID($D149,1,FIND("_",$D149)-1),"/",INDIRECT(CONCATENATE("'" &amp; $C149 &amp; "'!",ADDRESS(MATCH($D149, INDIRECT("'" &amp; $C149 &amp; "'!$B:$B"), 0),MATCH(F$1, INDIRECT("'" &amp; $C149 &amp; "'!$1:$1"), 0)))),".",INDIRECT(CONCATENATE("'"&amp;$C149&amp;"'!",ADDRESS(MATCH($D149,INDIRECT("'"&amp;$C149&amp;"'!$B:$B"),0),3))),"#page=",F150),CONCATENATE("#Sharepoint//",$D149))</f>
        <v/>
      </c>
      <c r="G149" s="340" t="n"/>
      <c r="H149" s="340" t="n"/>
      <c r="I149" s="340" t="n"/>
      <c r="J149" s="340">
        <f t="array" ref="J149">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
      </c>
      <c r="K149" s="359" t="n"/>
      <c r="L149" s="359" t="n"/>
    </row>
    <row r="150" hidden="1" outlineLevel="2" s="480">
      <c r="B150" s="169" t="n"/>
      <c r="D150" s="166" t="n"/>
      <c r="E150" s="165" t="inlineStr">
        <is>
          <t>Rif. Pagina</t>
        </is>
      </c>
      <c r="F150" s="166" t="n">
        <v>11</v>
      </c>
      <c r="G150" s="166" t="n"/>
      <c r="H150" s="166" t="n"/>
      <c r="I150" s="166" t="n"/>
      <c r="J150" s="166" t="n">
        <v>11</v>
      </c>
      <c r="K150" s="166" t="n"/>
      <c r="L150" s="166" t="n"/>
    </row>
    <row r="151" hidden="1" outlineLevel="2" ht="390" customFormat="1" customHeight="1" s="8">
      <c r="B151" s="59" t="n"/>
      <c r="C151" s="446" t="n"/>
      <c r="D151" s="233" t="n"/>
      <c r="E151" s="234" t="inlineStr">
        <is>
          <t>Funzioni AI</t>
        </is>
      </c>
      <c r="F151" s="239" t="inlineStr">
        <is>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is>
      </c>
      <c r="G151" s="235" t="n"/>
      <c r="H151" s="235" t="n"/>
      <c r="I151" s="235" t="n"/>
      <c r="J151" s="239" t="inlineStr">
        <is>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is>
      </c>
      <c r="K151" s="235" t="n"/>
      <c r="L151" s="236" t="n"/>
    </row>
    <row r="152">
      <c r="A152" s="181" t="inlineStr">
        <is>
          <t>BAT_Load_Shed_Contactors</t>
        </is>
      </c>
      <c r="B152" s="367" t="n"/>
      <c r="C152" s="181" t="n"/>
      <c r="D152" s="368" t="inlineStr">
        <is>
          <t>\</t>
        </is>
      </c>
      <c r="E152" s="162" t="n"/>
      <c r="F152" s="163" t="n"/>
      <c r="G152" s="163" t="n"/>
      <c r="H152" s="163" t="n"/>
      <c r="I152" s="163" t="n"/>
      <c r="J152" s="163" t="n"/>
      <c r="K152" s="163" t="n"/>
      <c r="L152" s="164" t="n"/>
    </row>
    <row r="153" outlineLevel="1" collapsed="1" s="480">
      <c r="B153" s="169" t="n"/>
      <c r="C153" s="338" t="inlineStr">
        <is>
          <t>CONFIG</t>
        </is>
      </c>
      <c r="D153" s="369" t="inlineStr">
        <is>
          <t>FRS_Battery</t>
        </is>
      </c>
      <c r="E153" s="370" t="inlineStr">
        <is>
          <t>Link</t>
        </is>
      </c>
      <c r="F153" s="340">
        <f t="array" ref="F153">HYPERLINK(CONCATENATE(Cartelle!$D$5,F$1,"/",$C153,"/",MID($D153,1,FIND("_",$D153)-1),"/",INDIRECT(CONCATENATE("'" &amp; $C153 &amp; "'!",ADDRESS(MATCH($D153, INDIRECT("'" &amp; $C153 &amp; "'!$B:$B"), 0),MATCH(F$1, INDIRECT("'" &amp; $C153 &amp; "'!$1:$1"), 0)))),".",INDIRECT(CONCATENATE("'"&amp;$C153&amp;"'!",ADDRESS(MATCH($D153,INDIRECT("'"&amp;$C153&amp;"'!$B:$B"),0),3))),"#page=",F154),CONCATENATE("#Sharepoint//",$D153))</f>
        <v/>
      </c>
      <c r="G153" s="340" t="n"/>
      <c r="H153" s="340" t="n"/>
      <c r="I153" s="340" t="n"/>
      <c r="J153" s="340">
        <f t="array" ref="J153">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
      </c>
      <c r="K153" s="359" t="n"/>
      <c r="L153" s="359" t="n"/>
    </row>
    <row r="154" hidden="1" outlineLevel="2" s="480">
      <c r="B154" s="169" t="n"/>
      <c r="D154" s="166" t="n"/>
      <c r="E154" s="165" t="inlineStr">
        <is>
          <t>Rif. Pagina</t>
        </is>
      </c>
      <c r="F154" s="166" t="n">
        <v>16</v>
      </c>
      <c r="G154" s="166" t="n"/>
      <c r="H154" s="166" t="n"/>
      <c r="I154" s="166" t="n"/>
      <c r="J154" s="166" t="n">
        <v>16</v>
      </c>
      <c r="K154" s="166" t="n"/>
      <c r="L154" s="166" t="n"/>
    </row>
    <row r="155" hidden="1" outlineLevel="2" ht="345" customFormat="1" customHeight="1" s="8">
      <c r="B155" s="59" t="n"/>
      <c r="C155" s="446" t="n"/>
      <c r="D155" s="233" t="n"/>
      <c r="E155" s="234" t="inlineStr">
        <is>
          <t>Funzioni AI</t>
        </is>
      </c>
      <c r="F155" s="239" t="inlineStr">
        <is>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is>
      </c>
      <c r="G155" s="235" t="n"/>
      <c r="H155" s="235" t="n"/>
      <c r="I155" s="235" t="n"/>
      <c r="J155" s="239" t="inlineStr">
        <is>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is>
      </c>
      <c r="K155" s="235" t="n"/>
      <c r="L155" s="236" t="n"/>
    </row>
    <row r="156">
      <c r="A156" s="181" t="inlineStr">
        <is>
          <t>BAT_DC_Busline_Distribution</t>
        </is>
      </c>
      <c r="B156" s="367" t="n"/>
      <c r="C156" s="181" t="n"/>
      <c r="D156" s="368" t="inlineStr">
        <is>
          <t>\</t>
        </is>
      </c>
      <c r="E156" s="162" t="n"/>
      <c r="F156" s="163" t="n"/>
      <c r="G156" s="163" t="n"/>
      <c r="H156" s="163" t="n"/>
      <c r="I156" s="163" t="n"/>
      <c r="J156" s="163" t="n"/>
      <c r="K156" s="163" t="n"/>
      <c r="L156" s="164" t="n"/>
    </row>
    <row r="157" outlineLevel="1" collapsed="1" s="480">
      <c r="B157" s="169" t="n"/>
      <c r="C157" s="338" t="inlineStr">
        <is>
          <t>CONFIG</t>
        </is>
      </c>
      <c r="D157" s="369" t="inlineStr">
        <is>
          <t>FRS_Battery</t>
        </is>
      </c>
      <c r="E157" s="370" t="inlineStr">
        <is>
          <t>Link</t>
        </is>
      </c>
      <c r="F157" s="340">
        <f t="array" ref="F157">HYPERLINK(CONCATENATE(Cartelle!$D$5,F$1,"/",$C157,"/",MID($D157,1,FIND("_",$D157)-1),"/",INDIRECT(CONCATENATE("'" &amp; $C157 &amp; "'!",ADDRESS(MATCH($D157, INDIRECT("'" &amp; $C157 &amp; "'!$B:$B"), 0),MATCH(F$1, INDIRECT("'" &amp; $C157 &amp; "'!$1:$1"), 0)))),".",INDIRECT(CONCATENATE("'"&amp;$C157&amp;"'!",ADDRESS(MATCH($D157,INDIRECT("'"&amp;$C157&amp;"'!$B:$B"),0),3))),"#page=",F158),CONCATENATE("#Sharepoint//",$D157))</f>
        <v/>
      </c>
      <c r="G157" s="340" t="n"/>
      <c r="H157" s="340" t="n"/>
      <c r="I157" s="340" t="n"/>
      <c r="J157" s="340">
        <f t="array" ref="J157">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
      </c>
      <c r="K157" s="359" t="n"/>
      <c r="L157" s="359" t="n"/>
    </row>
    <row r="158" hidden="1" outlineLevel="2" s="480">
      <c r="B158" s="169" t="n"/>
      <c r="D158" s="166" t="n"/>
      <c r="E158" s="165" t="inlineStr">
        <is>
          <t>Rif. Pagina</t>
        </is>
      </c>
      <c r="F158" s="166" t="n">
        <v>19</v>
      </c>
      <c r="G158" s="166" t="n"/>
      <c r="H158" s="166" t="n"/>
      <c r="I158" s="166" t="n"/>
      <c r="J158" s="166" t="n">
        <v>19</v>
      </c>
      <c r="K158" s="166" t="n"/>
      <c r="L158" s="166" t="n"/>
    </row>
    <row r="159" hidden="1" outlineLevel="2" ht="375" customFormat="1" customHeight="1" s="8">
      <c r="B159" s="59" t="n"/>
      <c r="C159" s="446" t="n"/>
      <c r="D159" s="233" t="n"/>
      <c r="E159" s="234" t="inlineStr">
        <is>
          <t>Funzioni AI</t>
        </is>
      </c>
      <c r="F159" s="239" t="inlineStr">
        <is>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is>
      </c>
      <c r="G159" s="235" t="n"/>
      <c r="H159" s="235" t="n"/>
      <c r="I159" s="235" t="n"/>
      <c r="J159" s="239" t="inlineStr">
        <is>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is>
      </c>
      <c r="K159" s="235" t="n"/>
      <c r="L159" s="236" t="n"/>
    </row>
    <row r="160">
      <c r="A160" s="181" t="inlineStr">
        <is>
          <t>BAT_Battery_Charging</t>
        </is>
      </c>
      <c r="B160" s="367" t="n"/>
      <c r="C160" s="181" t="n"/>
      <c r="D160" s="368" t="inlineStr">
        <is>
          <t>\</t>
        </is>
      </c>
      <c r="E160" s="162" t="n"/>
      <c r="F160" s="163" t="n"/>
      <c r="G160" s="163" t="n"/>
      <c r="H160" s="163" t="n"/>
      <c r="I160" s="163" t="n"/>
      <c r="J160" s="163" t="n"/>
      <c r="K160" s="163" t="n"/>
      <c r="L160" s="164" t="n"/>
    </row>
    <row r="161" outlineLevel="1" collapsed="1" s="480">
      <c r="B161" s="169" t="n"/>
      <c r="C161" s="338" t="inlineStr">
        <is>
          <t>CONFIG</t>
        </is>
      </c>
      <c r="D161" s="369" t="inlineStr">
        <is>
          <t>FRS_Battery</t>
        </is>
      </c>
      <c r="E161" s="370" t="inlineStr">
        <is>
          <t>Link</t>
        </is>
      </c>
      <c r="F161" s="340">
        <f t="array" ref="F161">HYPERLINK(CONCATENATE(Cartelle!$D$5,F$1,"/",$C161,"/",MID($D161,1,FIND("_",$D161)-1),"/",INDIRECT(CONCATENATE("'" &amp; $C161 &amp; "'!",ADDRESS(MATCH($D161, INDIRECT("'" &amp; $C161 &amp; "'!$B:$B"), 0),MATCH(F$1, INDIRECT("'" &amp; $C161 &amp; "'!$1:$1"), 0)))),".",INDIRECT(CONCATENATE("'"&amp;$C161&amp;"'!",ADDRESS(MATCH($D161,INDIRECT("'"&amp;$C161&amp;"'!$B:$B"),0),3))),"#page=",F162),CONCATENATE("#Sharepoint//",$D161))</f>
        <v/>
      </c>
      <c r="G161" s="340" t="n"/>
      <c r="H161" s="340" t="n"/>
      <c r="I161" s="340" t="n"/>
      <c r="J161" s="340">
        <f t="array" ref="J16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
      </c>
      <c r="K161" s="359" t="n"/>
      <c r="L161" s="359" t="n"/>
    </row>
    <row r="162" hidden="1" outlineLevel="2" s="480">
      <c r="B162" s="169" t="n"/>
      <c r="D162" s="166" t="n"/>
      <c r="E162" s="165" t="inlineStr">
        <is>
          <t>Rif. Pagina</t>
        </is>
      </c>
      <c r="F162" s="166" t="n">
        <v>21</v>
      </c>
      <c r="G162" s="166" t="n">
        <v>21</v>
      </c>
      <c r="H162" s="166" t="n">
        <v>21</v>
      </c>
      <c r="I162" s="166" t="n">
        <v>21</v>
      </c>
      <c r="J162" s="166" t="n">
        <v>21</v>
      </c>
      <c r="K162" s="166" t="n"/>
      <c r="L162" s="166" t="n"/>
    </row>
    <row r="163" hidden="1" outlineLevel="2" ht="390" customFormat="1" customHeight="1" s="8">
      <c r="B163" s="59" t="n"/>
      <c r="C163" s="446" t="n"/>
      <c r="D163" s="233" t="n"/>
      <c r="E163" s="234" t="inlineStr">
        <is>
          <t>Funzioni AI</t>
        </is>
      </c>
      <c r="F163" s="239" t="inlineStr">
        <is>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is>
      </c>
      <c r="G163" s="235" t="n"/>
      <c r="H163" s="235" t="n"/>
      <c r="I163" s="235" t="n"/>
      <c r="J163" s="239" t="inlineStr">
        <is>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is>
      </c>
      <c r="K163" s="235" t="n"/>
      <c r="L163" s="236" t="n"/>
    </row>
    <row r="164">
      <c r="A164" s="181" t="inlineStr">
        <is>
          <t>AIR_Control_of_Main_Compressor</t>
        </is>
      </c>
      <c r="B164" s="367" t="n"/>
      <c r="C164" s="181" t="n"/>
      <c r="D164" s="368" t="inlineStr">
        <is>
          <t>\</t>
        </is>
      </c>
      <c r="E164" s="162" t="n"/>
      <c r="F164" s="163" t="n"/>
      <c r="G164" s="163" t="n"/>
      <c r="H164" s="163" t="n"/>
      <c r="I164" s="163" t="n"/>
      <c r="J164" s="163" t="n"/>
      <c r="K164" s="163" t="n"/>
      <c r="L164" s="164" t="n"/>
    </row>
    <row r="165" outlineLevel="1" collapsed="1" s="480">
      <c r="B165" s="169" t="n"/>
      <c r="C165" s="338" t="inlineStr">
        <is>
          <t>CONFIG</t>
        </is>
      </c>
      <c r="D165" s="369" t="inlineStr">
        <is>
          <t>FRS_Air Supply</t>
        </is>
      </c>
      <c r="E165" s="370" t="inlineStr">
        <is>
          <t>Link</t>
        </is>
      </c>
      <c r="F165" s="340">
        <f t="array" ref="F165">HYPERLINK(CONCATENATE(Cartelle!$D$5,F$1,"/",$C165,"/",MID($D165,1,FIND("_",$D165)-1),"/",INDIRECT(CONCATENATE("'" &amp; $C165 &amp; "'!",ADDRESS(MATCH($D165, INDIRECT("'" &amp; $C165 &amp; "'!$B:$B"), 0),MATCH(F$1, INDIRECT("'" &amp; $C165 &amp; "'!$1:$1"), 0)))),".",INDIRECT(CONCATENATE("'"&amp;$C165&amp;"'!",ADDRESS(MATCH($D165,INDIRECT("'"&amp;$C165&amp;"'!$B:$B"),0),3))),"#page=",F166),CONCATENATE("#Sharepoint//",$D165))</f>
        <v/>
      </c>
      <c r="G165" s="340">
        <f t="array" ref="G165">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
      </c>
      <c r="H165" s="363" t="n"/>
      <c r="I165" s="363" t="n"/>
      <c r="J165" s="340">
        <f t="array" ref="J165">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
      </c>
      <c r="K165" s="359" t="n"/>
      <c r="L165" s="359" t="n"/>
    </row>
    <row r="166" hidden="1" outlineLevel="2" s="480">
      <c r="B166" s="169" t="n"/>
      <c r="D166" s="168" t="n"/>
      <c r="E166" s="167" t="inlineStr">
        <is>
          <t>Rif. Pagina</t>
        </is>
      </c>
      <c r="F166" s="168" t="n">
        <v>6</v>
      </c>
      <c r="G166" s="168" t="n">
        <v>6</v>
      </c>
      <c r="H166" s="168" t="n">
        <v>6</v>
      </c>
      <c r="I166" s="168" t="n">
        <v>6</v>
      </c>
      <c r="J166" s="168" t="n">
        <v>6</v>
      </c>
      <c r="K166" s="168" t="n"/>
      <c r="L166" s="168" t="n"/>
    </row>
    <row r="167" hidden="1" outlineLevel="2" ht="409.5" customFormat="1" customHeight="1" s="8">
      <c r="B167" s="59" t="n"/>
      <c r="C167" s="446" t="n"/>
      <c r="D167" s="233" t="n"/>
      <c r="E167" s="234" t="inlineStr">
        <is>
          <t>Funzioni AI</t>
        </is>
      </c>
      <c r="F167" s="239" t="inlineStr">
        <is>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is>
      </c>
      <c r="G167" s="239" t="inlineStr">
        <is>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is>
      </c>
      <c r="H167" s="235" t="n"/>
      <c r="I167" s="235" t="n"/>
      <c r="J167" s="239" t="inlineStr">
        <is>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is>
      </c>
      <c r="K167" s="235" t="n"/>
      <c r="L167" s="236" t="n"/>
    </row>
    <row r="168">
      <c r="A168" s="181" t="inlineStr">
        <is>
          <t>AIR_Monitoring_of_Main_Compressor</t>
        </is>
      </c>
      <c r="B168" s="367" t="n"/>
      <c r="C168" s="181" t="n"/>
      <c r="D168" s="368" t="inlineStr">
        <is>
          <t>\</t>
        </is>
      </c>
      <c r="E168" s="162" t="n"/>
      <c r="F168" s="163" t="n"/>
      <c r="G168" s="163" t="n"/>
      <c r="H168" s="163" t="n"/>
      <c r="I168" s="163" t="n"/>
      <c r="J168" s="163" t="n"/>
      <c r="K168" s="163" t="n"/>
      <c r="L168" s="164" t="n"/>
    </row>
    <row r="169" outlineLevel="1" collapsed="1" s="480">
      <c r="B169" s="169" t="n"/>
      <c r="C169" s="338" t="inlineStr">
        <is>
          <t>CONFIG</t>
        </is>
      </c>
      <c r="D169" s="369" t="inlineStr">
        <is>
          <t>FRS_Air Supply</t>
        </is>
      </c>
      <c r="E169" s="370" t="inlineStr">
        <is>
          <t>Link</t>
        </is>
      </c>
      <c r="F169" s="340">
        <f t="array" ref="F169">HYPERLINK(CONCATENATE(Cartelle!$D$5,F$1,"/",$C169,"/",MID($D169,1,FIND("_",$D169)-1),"/",INDIRECT(CONCATENATE("'" &amp; $C169 &amp; "'!",ADDRESS(MATCH($D169, INDIRECT("'" &amp; $C169 &amp; "'!$B:$B"), 0),MATCH(F$1, INDIRECT("'" &amp; $C169 &amp; "'!$1:$1"), 0)))),".",INDIRECT(CONCATENATE("'"&amp;$C169&amp;"'!",ADDRESS(MATCH($D169,INDIRECT("'"&amp;$C169&amp;"'!$B:$B"),0),3))),"#page=",F170),CONCATENATE("#Sharepoint//",$D169))</f>
        <v/>
      </c>
      <c r="G169" s="340">
        <f t="array" ref="G169">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
      </c>
      <c r="H169" s="363" t="n"/>
      <c r="I169" s="363" t="n"/>
      <c r="J169" s="340">
        <f t="array" ref="J169">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
      </c>
      <c r="K169" s="359" t="n"/>
      <c r="L169" s="359" t="n"/>
    </row>
    <row r="170" hidden="1" outlineLevel="2" s="480">
      <c r="B170" s="169" t="n"/>
      <c r="D170" s="168" t="n"/>
      <c r="E170" s="167" t="inlineStr">
        <is>
          <t>Rif. Pagina</t>
        </is>
      </c>
      <c r="F170" s="168" t="n">
        <v>11</v>
      </c>
      <c r="G170" s="168" t="n">
        <v>12</v>
      </c>
      <c r="H170" s="168" t="n">
        <v>11</v>
      </c>
      <c r="I170" s="168" t="n">
        <v>12</v>
      </c>
      <c r="J170" s="168" t="n">
        <v>11</v>
      </c>
      <c r="K170" s="168" t="n"/>
      <c r="L170" s="168" t="n"/>
    </row>
    <row r="171" hidden="1" outlineLevel="2" ht="375" customFormat="1" customHeight="1" s="8">
      <c r="B171" s="59" t="n"/>
      <c r="C171" s="446" t="n"/>
      <c r="D171" s="233" t="n"/>
      <c r="E171" s="234" t="inlineStr">
        <is>
          <t>Funzioni AI</t>
        </is>
      </c>
      <c r="F171" s="239" t="inlineStr">
        <is>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is>
      </c>
      <c r="G171" s="239" t="inlineStr">
        <is>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is>
      </c>
      <c r="H171" s="235" t="n"/>
      <c r="I171" s="235" t="n"/>
      <c r="J171" s="239" t="inlineStr">
        <is>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is>
      </c>
      <c r="K171" s="235" t="n"/>
      <c r="L171" s="236" t="n"/>
    </row>
    <row r="172">
      <c r="A172" s="181" t="inlineStr">
        <is>
          <t>AIR_Forcing_of_Main_compressor</t>
        </is>
      </c>
      <c r="B172" s="367" t="n"/>
      <c r="C172" s="181" t="n"/>
      <c r="D172" s="368" t="inlineStr">
        <is>
          <t>\</t>
        </is>
      </c>
      <c r="E172" s="162" t="n"/>
      <c r="F172" s="163" t="n"/>
      <c r="G172" s="163" t="n"/>
      <c r="H172" s="163" t="n"/>
      <c r="I172" s="163" t="n"/>
      <c r="J172" s="163" t="n"/>
      <c r="K172" s="163" t="n"/>
      <c r="L172" s="164" t="n"/>
    </row>
    <row r="173" outlineLevel="1" collapsed="1" s="480">
      <c r="B173" s="169" t="n"/>
      <c r="C173" s="338" t="inlineStr">
        <is>
          <t>CONFIG</t>
        </is>
      </c>
      <c r="D173" s="369" t="inlineStr">
        <is>
          <t>FRS_Air Supply</t>
        </is>
      </c>
      <c r="E173" s="370" t="inlineStr">
        <is>
          <t>Link</t>
        </is>
      </c>
      <c r="F173" s="340">
        <f t="array" ref="F173">HYPERLINK(CONCATENATE(Cartelle!$D$5,F$1,"/",$C173,"/",MID($D173,1,FIND("_",$D173)-1),"/",INDIRECT(CONCATENATE("'" &amp; $C173 &amp; "'!",ADDRESS(MATCH($D173, INDIRECT("'" &amp; $C173 &amp; "'!$B:$B"), 0),MATCH(F$1, INDIRECT("'" &amp; $C173 &amp; "'!$1:$1"), 0)))),".",INDIRECT(CONCATENATE("'"&amp;$C173&amp;"'!",ADDRESS(MATCH($D173,INDIRECT("'"&amp;$C173&amp;"'!$B:$B"),0),3))),"#page=",F174),CONCATENATE("#Sharepoint//",$D173))</f>
        <v/>
      </c>
      <c r="G173" s="340">
        <f t="array" ref="G173">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
      </c>
      <c r="H173" s="363" t="n"/>
      <c r="I173" s="363" t="n"/>
      <c r="J173" s="340">
        <f t="array" ref="J173">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
      </c>
      <c r="K173" s="359" t="n"/>
      <c r="L173" s="359" t="n"/>
    </row>
    <row r="174" hidden="1" outlineLevel="2" s="480">
      <c r="B174" s="169" t="n"/>
      <c r="D174" s="168" t="n"/>
      <c r="E174" s="167" t="inlineStr">
        <is>
          <t>Rif. Pagina</t>
        </is>
      </c>
      <c r="F174" s="168" t="n">
        <v>14</v>
      </c>
      <c r="G174" s="168" t="n">
        <v>14</v>
      </c>
      <c r="H174" s="168" t="n">
        <v>14</v>
      </c>
      <c r="I174" s="168" t="n">
        <v>14</v>
      </c>
      <c r="J174" s="168" t="n">
        <v>14</v>
      </c>
      <c r="K174" s="168" t="n"/>
      <c r="L174" s="168" t="n"/>
    </row>
    <row r="175" hidden="1" outlineLevel="2" ht="409.5" customFormat="1" customHeight="1" s="8">
      <c r="B175" s="59" t="n"/>
      <c r="C175" s="446" t="n"/>
      <c r="D175" s="233" t="n"/>
      <c r="E175" s="234" t="inlineStr">
        <is>
          <t>Funzioni AI</t>
        </is>
      </c>
      <c r="F175" s="240" t="inlineStr">
        <is>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is>
      </c>
      <c r="G175" s="240" t="inlineStr">
        <is>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is>
      </c>
      <c r="H175" s="235" t="n"/>
      <c r="I175" s="235" t="n"/>
      <c r="J175" s="240" t="inlineStr">
        <is>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is>
      </c>
      <c r="K175" s="235" t="n"/>
      <c r="L175" s="236" t="n"/>
    </row>
    <row r="176">
      <c r="A176" s="181" t="inlineStr">
        <is>
          <t>AIR_Air_Dryer</t>
        </is>
      </c>
      <c r="B176" s="367" t="n"/>
      <c r="C176" s="181" t="n"/>
      <c r="D176" s="368" t="inlineStr">
        <is>
          <t>\</t>
        </is>
      </c>
      <c r="E176" s="162" t="n"/>
      <c r="F176" s="163" t="n"/>
      <c r="G176" s="163" t="n"/>
      <c r="H176" s="163" t="n"/>
      <c r="I176" s="163" t="n"/>
      <c r="J176" s="163" t="n"/>
      <c r="K176" s="163" t="n"/>
      <c r="L176" s="164" t="n"/>
    </row>
    <row r="177" outlineLevel="1" collapsed="1" s="480">
      <c r="B177" s="169" t="n"/>
      <c r="C177" s="338" t="inlineStr">
        <is>
          <t>CONFIG</t>
        </is>
      </c>
      <c r="D177" s="369" t="inlineStr">
        <is>
          <t>FRS_Air Supply</t>
        </is>
      </c>
      <c r="E177" s="370" t="inlineStr">
        <is>
          <t>Link</t>
        </is>
      </c>
      <c r="F177" s="340">
        <f t="array" ref="F177">HYPERLINK(CONCATENATE(Cartelle!$D$5,F$1,"/",$C177,"/",MID($D177,1,FIND("_",$D177)-1),"/",INDIRECT(CONCATENATE("'" &amp; $C177 &amp; "'!",ADDRESS(MATCH($D177, INDIRECT("'" &amp; $C177 &amp; "'!$B:$B"), 0),MATCH(F$1, INDIRECT("'" &amp; $C177 &amp; "'!$1:$1"), 0)))),".",INDIRECT(CONCATENATE("'"&amp;$C177&amp;"'!",ADDRESS(MATCH($D177,INDIRECT("'"&amp;$C177&amp;"'!$B:$B"),0),3))),"#page=",F178),CONCATENATE("#Sharepoint//",$D177))</f>
        <v/>
      </c>
      <c r="G177" s="340">
        <f t="array" ref="G177">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
      </c>
      <c r="H177" s="363" t="n"/>
      <c r="I177" s="363" t="n"/>
      <c r="J177" s="340">
        <f t="array" ref="J177">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
      </c>
      <c r="K177" s="359" t="n"/>
      <c r="L177" s="359" t="n"/>
    </row>
    <row r="178" hidden="1" outlineLevel="2" s="480">
      <c r="B178" s="169" t="n"/>
      <c r="D178" s="168" t="n"/>
      <c r="E178" s="167" t="inlineStr">
        <is>
          <t>Rif. Pagina</t>
        </is>
      </c>
      <c r="F178" s="168" t="n">
        <v>18</v>
      </c>
      <c r="G178" s="168" t="n">
        <v>16</v>
      </c>
      <c r="H178" s="168" t="n">
        <v>18</v>
      </c>
      <c r="I178" s="168" t="n">
        <v>16</v>
      </c>
      <c r="J178" s="168" t="n">
        <v>16</v>
      </c>
      <c r="K178" s="168" t="n"/>
      <c r="L178" s="168" t="n"/>
    </row>
    <row r="179" hidden="1" outlineLevel="2" ht="409.5" customFormat="1" customHeight="1" s="8">
      <c r="B179" s="59" t="n"/>
      <c r="C179" s="446" t="n"/>
      <c r="D179" s="233" t="n"/>
      <c r="E179" s="234" t="inlineStr">
        <is>
          <t>Funzioni AI</t>
        </is>
      </c>
      <c r="F179" s="239" t="inlineStr">
        <is>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is>
      </c>
      <c r="G179" s="240" t="inlineStr">
        <is>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is>
      </c>
      <c r="H179" s="235" t="n"/>
      <c r="I179" s="235" t="n"/>
      <c r="J179" s="240" t="inlineStr">
        <is>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is>
      </c>
      <c r="K179" s="235" t="n"/>
      <c r="L179" s="236" t="n"/>
    </row>
    <row r="180">
      <c r="A180" s="181" t="inlineStr">
        <is>
          <t>AIR_External_Air_Supply</t>
        </is>
      </c>
      <c r="B180" s="367" t="n"/>
      <c r="C180" s="181" t="n"/>
      <c r="D180" s="368" t="inlineStr">
        <is>
          <t>\</t>
        </is>
      </c>
      <c r="E180" s="162" t="n"/>
      <c r="F180" s="163" t="n"/>
      <c r="G180" s="163" t="n"/>
      <c r="H180" s="163" t="n"/>
      <c r="I180" s="163" t="n"/>
      <c r="J180" s="163" t="n"/>
      <c r="K180" s="163" t="n"/>
      <c r="L180" s="164" t="n"/>
    </row>
    <row r="181" outlineLevel="1" collapsed="1" s="480">
      <c r="B181" s="169" t="n"/>
      <c r="C181" s="338" t="inlineStr">
        <is>
          <t>CONFIG</t>
        </is>
      </c>
      <c r="D181" s="369" t="inlineStr">
        <is>
          <t>FRS_Air Supply</t>
        </is>
      </c>
      <c r="E181" s="370" t="inlineStr">
        <is>
          <t>Link</t>
        </is>
      </c>
      <c r="F181" s="340">
        <f t="array" ref="F181">HYPERLINK(CONCATENATE(Cartelle!$D$5,F$1,"/",$C181,"/",MID($D181,1,FIND("_",$D181)-1),"/",INDIRECT(CONCATENATE("'" &amp; $C181 &amp; "'!",ADDRESS(MATCH($D181, INDIRECT("'" &amp; $C181 &amp; "'!$B:$B"), 0),MATCH(F$1, INDIRECT("'" &amp; $C181 &amp; "'!$1:$1"), 0)))),".",INDIRECT(CONCATENATE("'"&amp;$C181&amp;"'!",ADDRESS(MATCH($D181,INDIRECT("'"&amp;$C181&amp;"'!$B:$B"),0),3))),"#page=",F182),CONCATENATE("#Sharepoint//",$D181))</f>
        <v/>
      </c>
      <c r="G181" s="340">
        <f t="array" ref="G18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
      </c>
      <c r="H181" s="363" t="n"/>
      <c r="I181" s="363" t="n"/>
      <c r="J181" s="340">
        <f t="array" ref="J18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
      </c>
      <c r="K181" s="359" t="n"/>
      <c r="L181" s="359" t="n"/>
    </row>
    <row r="182" hidden="1" outlineLevel="2" s="480">
      <c r="B182" s="169" t="n"/>
      <c r="D182" s="168" t="n"/>
      <c r="E182" s="167" t="inlineStr">
        <is>
          <t>Rif. Pagina</t>
        </is>
      </c>
      <c r="F182" s="168" t="n">
        <v>20</v>
      </c>
      <c r="G182" s="168" t="n">
        <v>18</v>
      </c>
      <c r="H182" s="168" t="n">
        <v>20</v>
      </c>
      <c r="I182" s="168" t="n">
        <v>18</v>
      </c>
      <c r="J182" s="168" t="n">
        <v>17</v>
      </c>
      <c r="K182" s="168" t="n"/>
      <c r="L182" s="168" t="n"/>
    </row>
    <row r="183" hidden="1" outlineLevel="2" ht="315" customFormat="1" customHeight="1" s="8">
      <c r="B183" s="59" t="n"/>
      <c r="C183" s="446" t="n"/>
      <c r="D183" s="233" t="n"/>
      <c r="E183" s="234" t="inlineStr">
        <is>
          <t>Funzioni AI</t>
        </is>
      </c>
      <c r="F183" s="239" t="inlineStr">
        <is>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is>
      </c>
      <c r="G183" s="239" t="inlineStr">
        <is>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is>
      </c>
      <c r="H183" s="235" t="n"/>
      <c r="I183" s="235" t="n"/>
      <c r="J183" s="239" t="inlineStr">
        <is>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is>
      </c>
      <c r="K183" s="235" t="n"/>
      <c r="L183" s="236" t="n"/>
    </row>
    <row r="184">
      <c r="A184" s="181" t="inlineStr">
        <is>
          <t>AIR_Control_of_Auxiliary_Compressor</t>
        </is>
      </c>
      <c r="B184" s="367" t="n"/>
      <c r="C184" s="181" t="n"/>
      <c r="D184" s="368" t="inlineStr">
        <is>
          <t>\</t>
        </is>
      </c>
      <c r="E184" s="162" t="n"/>
      <c r="F184" s="163" t="n"/>
      <c r="G184" s="163" t="n"/>
      <c r="H184" s="163" t="n"/>
      <c r="I184" s="163" t="n"/>
      <c r="J184" s="163" t="n"/>
      <c r="K184" s="163" t="n"/>
      <c r="L184" s="164" t="n"/>
    </row>
    <row r="185" outlineLevel="1" collapsed="1" s="480">
      <c r="B185" s="169" t="n"/>
      <c r="C185" s="338" t="inlineStr">
        <is>
          <t>CONFIG</t>
        </is>
      </c>
      <c r="D185" s="369" t="inlineStr">
        <is>
          <t>FRS_Air Supply</t>
        </is>
      </c>
      <c r="E185" s="370" t="inlineStr">
        <is>
          <t>Link</t>
        </is>
      </c>
      <c r="F185" s="340">
        <f t="array" ref="F185">HYPERLINK(CONCATENATE(Cartelle!$D$5,F$1,"/",$C185,"/",MID($D185,1,FIND("_",$D185)-1),"/",INDIRECT(CONCATENATE("'" &amp; $C185 &amp; "'!",ADDRESS(MATCH($D185, INDIRECT("'" &amp; $C185 &amp; "'!$B:$B"), 0),MATCH(F$1, INDIRECT("'" &amp; $C185 &amp; "'!$1:$1"), 0)))),".",INDIRECT(CONCATENATE("'"&amp;$C185&amp;"'!",ADDRESS(MATCH($D185,INDIRECT("'"&amp;$C185&amp;"'!$B:$B"),0),3))),"#page=",F186),CONCATENATE("#Sharepoint//",$D185))</f>
        <v/>
      </c>
      <c r="G185" s="340">
        <f t="array" ref="G185">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
      </c>
      <c r="H185" s="363" t="n"/>
      <c r="I185" s="363" t="n"/>
      <c r="J185" s="340">
        <f t="array" ref="J185">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
      </c>
      <c r="K185" s="359" t="n"/>
      <c r="L185" s="359" t="n"/>
    </row>
    <row r="186" hidden="1" outlineLevel="2" s="480">
      <c r="B186" s="169" t="n"/>
      <c r="D186" s="168" t="n"/>
      <c r="E186" s="167" t="inlineStr">
        <is>
          <t>Rif. Pagina</t>
        </is>
      </c>
      <c r="F186" s="168" t="n">
        <v>22</v>
      </c>
      <c r="G186" s="168" t="n">
        <v>19</v>
      </c>
      <c r="H186" s="168" t="n">
        <v>22</v>
      </c>
      <c r="I186" s="168" t="n">
        <v>19</v>
      </c>
      <c r="J186" s="168" t="n">
        <v>18</v>
      </c>
      <c r="K186" s="168" t="n"/>
      <c r="L186" s="168" t="n"/>
    </row>
    <row r="187" hidden="1" outlineLevel="2" ht="405" customFormat="1" customHeight="1" s="8">
      <c r="B187" s="59" t="n"/>
      <c r="C187" s="446" t="n"/>
      <c r="D187" s="233" t="n"/>
      <c r="E187" s="234" t="inlineStr">
        <is>
          <t>Funzioni AI</t>
        </is>
      </c>
      <c r="F187" s="239" t="inlineStr">
        <is>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is>
      </c>
      <c r="G187" s="239" t="inlineStr">
        <is>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is>
      </c>
      <c r="H187" s="235" t="n"/>
      <c r="I187" s="235" t="n"/>
      <c r="J187" s="239" t="inlineStr">
        <is>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is>
      </c>
      <c r="K187" s="235" t="n"/>
      <c r="L187" s="236" t="n"/>
    </row>
    <row r="188">
      <c r="A188" s="181" t="inlineStr">
        <is>
          <t>AIR_Suspension_Supervision</t>
        </is>
      </c>
      <c r="B188" s="367" t="n"/>
      <c r="C188" s="181" t="n"/>
      <c r="D188" s="368" t="inlineStr">
        <is>
          <t>\</t>
        </is>
      </c>
      <c r="E188" s="162" t="n"/>
      <c r="F188" s="163" t="n"/>
      <c r="G188" s="163" t="n"/>
      <c r="H188" s="163" t="n"/>
      <c r="I188" s="163" t="n"/>
      <c r="J188" s="163" t="n"/>
      <c r="K188" s="163" t="n"/>
      <c r="L188" s="164" t="n"/>
    </row>
    <row r="189" outlineLevel="1" collapsed="1" s="480">
      <c r="B189" s="169" t="n"/>
      <c r="C189" s="338" t="inlineStr">
        <is>
          <t>CONFIG</t>
        </is>
      </c>
      <c r="D189" s="369" t="inlineStr">
        <is>
          <t>FRS_Air Supply</t>
        </is>
      </c>
      <c r="E189" s="370" t="inlineStr">
        <is>
          <t>Link</t>
        </is>
      </c>
      <c r="F189" s="340">
        <f t="array" ref="F189">HYPERLINK(CONCATENATE(Cartelle!$D$5,F$1,"/",$C189,"/",MID($D189,1,FIND("_",$D189)-1),"/",INDIRECT(CONCATENATE("'" &amp; $C189 &amp; "'!",ADDRESS(MATCH($D189, INDIRECT("'" &amp; $C189 &amp; "'!$B:$B"), 0),MATCH(F$1, INDIRECT("'" &amp; $C189 &amp; "'!$1:$1"), 0)))),".",INDIRECT(CONCATENATE("'"&amp;$C189&amp;"'!",ADDRESS(MATCH($D189,INDIRECT("'"&amp;$C189&amp;"'!$B:$B"),0),3))),"#page=",F190),CONCATENATE("#Sharepoint//",$D189))</f>
        <v/>
      </c>
      <c r="G189" s="340">
        <f t="array" ref="G189">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
      </c>
      <c r="H189" s="363" t="n"/>
      <c r="I189" s="363" t="n"/>
      <c r="J189" s="340">
        <f t="array" ref="J189">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
      </c>
      <c r="K189" s="359" t="n"/>
      <c r="L189" s="359" t="n"/>
    </row>
    <row r="190" hidden="1" outlineLevel="2" s="480">
      <c r="B190" s="169" t="n"/>
      <c r="D190" s="168" t="n"/>
      <c r="E190" s="167" t="inlineStr">
        <is>
          <t>Rif. Pagina</t>
        </is>
      </c>
      <c r="F190" s="168" t="n">
        <v>26</v>
      </c>
      <c r="G190" s="168" t="n">
        <v>22</v>
      </c>
      <c r="H190" s="168" t="n">
        <v>26</v>
      </c>
      <c r="I190" s="168" t="n">
        <v>22</v>
      </c>
      <c r="J190" s="168" t="n">
        <v>21</v>
      </c>
      <c r="K190" s="168" t="n"/>
      <c r="L190" s="168" t="n"/>
    </row>
    <row r="191" hidden="1" outlineLevel="2" ht="330" customFormat="1" customHeight="1" s="8">
      <c r="B191" s="59" t="n"/>
      <c r="C191" s="446" t="n"/>
      <c r="D191" s="233" t="n"/>
      <c r="E191" s="234" t="inlineStr">
        <is>
          <t>Funzioni AI</t>
        </is>
      </c>
      <c r="F191" s="239" t="inlineStr">
        <is>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is>
      </c>
      <c r="G191" s="239" t="inlineStr">
        <is>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is>
      </c>
      <c r="H191" s="235" t="n"/>
      <c r="I191" s="235" t="n"/>
      <c r="J191" s="239" t="inlineStr">
        <is>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is>
      </c>
      <c r="K191" s="235" t="n"/>
      <c r="L191" s="236" t="n"/>
    </row>
    <row r="192">
      <c r="A192" s="181" t="inlineStr">
        <is>
          <t>AIR_Provision_for_Tilt_system</t>
        </is>
      </c>
      <c r="B192" s="367" t="n"/>
      <c r="C192" s="181" t="n"/>
      <c r="D192" s="368" t="inlineStr">
        <is>
          <t>\</t>
        </is>
      </c>
      <c r="E192" s="162" t="n"/>
      <c r="F192" s="163" t="n"/>
      <c r="G192" s="163" t="n"/>
      <c r="H192" s="163" t="n"/>
      <c r="I192" s="163" t="n"/>
      <c r="J192" s="163" t="n"/>
      <c r="K192" s="163" t="n"/>
      <c r="L192" s="164" t="n"/>
    </row>
    <row r="193" outlineLevel="1" collapsed="1" s="480">
      <c r="B193" s="169" t="n"/>
      <c r="C193" s="338" t="inlineStr">
        <is>
          <t>CONFIG</t>
        </is>
      </c>
      <c r="D193" s="369" t="inlineStr">
        <is>
          <t>FRS_Air Supply</t>
        </is>
      </c>
      <c r="E193" s="370" t="inlineStr">
        <is>
          <t>Link</t>
        </is>
      </c>
      <c r="F193" s="340">
        <f t="array" ref="F193">HYPERLINK(CONCATENATE(Cartelle!$D$5,F$1,"/",$C193,"/",MID($D193,1,FIND("_",$D193)-1),"/",INDIRECT(CONCATENATE("'" &amp; $C193 &amp; "'!",ADDRESS(MATCH($D193, INDIRECT("'" &amp; $C193 &amp; "'!$B:$B"), 0),MATCH(F$1, INDIRECT("'" &amp; $C193 &amp; "'!$1:$1"), 0)))),".",INDIRECT(CONCATENATE("'"&amp;$C193&amp;"'!",ADDRESS(MATCH($D193,INDIRECT("'"&amp;$C193&amp;"'!$B:$B"),0),3))),"#page=",F194),CONCATENATE("#Sharepoint//",$D193))</f>
        <v/>
      </c>
      <c r="G193" s="340">
        <f t="array" ref="G193">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
      </c>
      <c r="H193" s="363" t="n"/>
      <c r="I193" s="363" t="n"/>
      <c r="J193" s="340">
        <f t="array" ref="J193">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
      </c>
      <c r="K193" s="359" t="n"/>
      <c r="L193" s="359" t="n"/>
    </row>
    <row r="194" hidden="1" outlineLevel="2" s="480">
      <c r="B194" s="169" t="n"/>
      <c r="D194" s="166" t="n"/>
      <c r="E194" s="165" t="inlineStr">
        <is>
          <t>Rif. Pagina</t>
        </is>
      </c>
      <c r="F194" s="166" t="n">
        <v>28</v>
      </c>
      <c r="G194" s="166" t="n">
        <v>23</v>
      </c>
      <c r="H194" s="166" t="n">
        <v>28</v>
      </c>
      <c r="I194" s="166" t="n">
        <v>23</v>
      </c>
      <c r="J194" s="166" t="n">
        <v>22</v>
      </c>
      <c r="K194" s="166" t="n"/>
      <c r="L194" s="166" t="n"/>
    </row>
    <row r="195" hidden="1" outlineLevel="2" ht="409.5" customFormat="1" customHeight="1" s="8">
      <c r="B195" s="59" t="n"/>
      <c r="C195" s="446" t="n"/>
      <c r="D195" s="233" t="n"/>
      <c r="E195" s="234" t="inlineStr">
        <is>
          <t>Funzioni AI</t>
        </is>
      </c>
      <c r="F195" s="239" t="inlineStr">
        <is>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is>
      </c>
      <c r="G195" s="239" t="inlineStr">
        <is>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is>
      </c>
      <c r="H195" s="235" t="n"/>
      <c r="I195" s="235" t="n"/>
      <c r="J195" s="239" t="inlineStr">
        <is>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is>
      </c>
      <c r="K195" s="235" t="n"/>
      <c r="L195" s="236" t="n"/>
    </row>
    <row r="196">
      <c r="A196" s="181" t="inlineStr">
        <is>
          <t>BRK_Service_Brake_Direct_Electro-Pneumatic_Brake</t>
        </is>
      </c>
      <c r="B196" s="367" t="n"/>
      <c r="C196" s="181" t="n"/>
      <c r="D196" s="368" t="inlineStr">
        <is>
          <t>\</t>
        </is>
      </c>
      <c r="E196" s="162" t="n"/>
      <c r="F196" s="163" t="n"/>
      <c r="G196" s="163" t="n"/>
      <c r="H196" s="163" t="n"/>
      <c r="I196" s="163" t="n"/>
      <c r="J196" s="163" t="n"/>
      <c r="K196" s="163" t="n"/>
      <c r="L196" s="164" t="n"/>
    </row>
    <row r="197" outlineLevel="1" s="480">
      <c r="B197" s="169" t="n"/>
      <c r="C197" s="338" t="inlineStr">
        <is>
          <t>CONFIG</t>
        </is>
      </c>
      <c r="D197" s="369" t="inlineStr">
        <is>
          <t>FRS_Brake Control</t>
        </is>
      </c>
      <c r="E197" s="370" t="inlineStr">
        <is>
          <t>Link</t>
        </is>
      </c>
      <c r="F197" s="340">
        <f t="array" ref="F197">HYPERLINK(CONCATENATE(Cartelle!$D$5,F$1,"/",$C197,"/",MID($D197,1,FIND("_",$D197)-1),"/",INDIRECT(CONCATENATE("'" &amp; $C197 &amp; "'!",ADDRESS(MATCH($D197, INDIRECT("'" &amp; $C197 &amp; "'!$B:$B"), 0),MATCH(F$1, INDIRECT("'" &amp; $C197 &amp; "'!$1:$1"), 0)))),".",INDIRECT(CONCATENATE("'"&amp;$C197&amp;"'!",ADDRESS(MATCH($D197,INDIRECT("'"&amp;$C197&amp;"'!$B:$B"),0),3))),"#page=",F198),CONCATENATE("#Sharepoint//",$D197))</f>
        <v/>
      </c>
      <c r="G197" s="352" t="n"/>
      <c r="H197" s="340">
        <f t="array" ref="H197">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
      </c>
      <c r="I197" s="340">
        <f t="array" ref="I197">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
      </c>
      <c r="J197" s="340">
        <f t="array" ref="J197">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
      </c>
      <c r="K197" s="359" t="n"/>
      <c r="L197" s="359" t="n"/>
    </row>
    <row r="198" outlineLevel="2" s="480">
      <c r="B198" s="169" t="n"/>
      <c r="D198" s="168" t="n"/>
      <c r="E198" s="167" t="inlineStr">
        <is>
          <t>Rif. Pagina</t>
        </is>
      </c>
      <c r="F198" s="168" t="n">
        <v>14</v>
      </c>
      <c r="G198" s="168" t="n"/>
      <c r="H198" s="168" t="n">
        <v>14</v>
      </c>
      <c r="I198" s="168" t="n">
        <v>14</v>
      </c>
      <c r="J198" s="168" t="n">
        <v>19</v>
      </c>
      <c r="K198" s="168" t="n"/>
      <c r="L198" s="168" t="n"/>
    </row>
    <row r="199" outlineLevel="2" ht="409.5" customFormat="1" customHeight="1" s="8">
      <c r="B199" s="59" t="n"/>
      <c r="C199" s="446" t="n"/>
      <c r="D199" s="233" t="n"/>
      <c r="E199" s="234" t="inlineStr">
        <is>
          <t>Funzioni AI</t>
        </is>
      </c>
      <c r="F199" s="239" t="inlineStr">
        <is>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is>
      </c>
      <c r="G199" s="235" t="n"/>
      <c r="H199" s="239" t="inlineStr">
        <is>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is>
      </c>
      <c r="I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is>
      </c>
      <c r="J199" s="239" t="inlineStr">
        <is>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is>
      </c>
      <c r="K199" s="235" t="n"/>
      <c r="L199" s="236" t="n"/>
    </row>
    <row r="200">
      <c r="A200" s="181" t="inlineStr">
        <is>
          <t>BRK_Service_Brake_Indirect_Brake</t>
        </is>
      </c>
      <c r="B200" s="367" t="n"/>
      <c r="C200" s="181" t="n"/>
      <c r="D200" s="368" t="inlineStr">
        <is>
          <t>\</t>
        </is>
      </c>
      <c r="E200" s="162" t="n"/>
      <c r="F200" s="163" t="n"/>
      <c r="G200" s="163" t="n"/>
      <c r="H200" s="163" t="n"/>
      <c r="I200" s="163" t="n"/>
      <c r="J200" s="163" t="n"/>
      <c r="K200" s="163" t="n"/>
      <c r="L200" s="164" t="n"/>
    </row>
    <row r="201" outlineLevel="1" collapsed="1" s="480">
      <c r="B201" s="169" t="n"/>
      <c r="C201" s="338" t="inlineStr">
        <is>
          <t>CONFIG</t>
        </is>
      </c>
      <c r="D201" s="369" t="inlineStr">
        <is>
          <t>FRS_Brake Control</t>
        </is>
      </c>
      <c r="E201" s="370" t="inlineStr">
        <is>
          <t>Link</t>
        </is>
      </c>
      <c r="F201" s="340">
        <f t="array" ref="F201">HYPERLINK(CONCATENATE(Cartelle!$D$5,F$1,"/",$C201,"/",MID($D201,1,FIND("_",$D201)-1),"/",INDIRECT(CONCATENATE("'" &amp; $C201 &amp; "'!",ADDRESS(MATCH($D201, INDIRECT("'" &amp; $C201 &amp; "'!$B:$B"), 0),MATCH(F$1, INDIRECT("'" &amp; $C201 &amp; "'!$1:$1"), 0)))),".",INDIRECT(CONCATENATE("'"&amp;$C201&amp;"'!",ADDRESS(MATCH($D201,INDIRECT("'"&amp;$C201&amp;"'!$B:$B"),0),3))),"#page=",F202),CONCATENATE("#Sharepoint//",$D201))</f>
        <v/>
      </c>
      <c r="G201" s="352" t="n"/>
      <c r="H201" s="340">
        <f t="array" ref="H20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
      </c>
      <c r="I201" s="340">
        <f t="array" ref="I20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
      </c>
      <c r="J201" s="340">
        <f t="array" ref="J20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
      </c>
      <c r="K201" s="359" t="n"/>
      <c r="L201" s="359" t="n"/>
    </row>
    <row r="202" hidden="1" outlineLevel="2" s="480">
      <c r="B202" s="169" t="n"/>
      <c r="D202" s="168" t="n"/>
      <c r="E202" s="167" t="inlineStr">
        <is>
          <t>Rif. Pagina</t>
        </is>
      </c>
      <c r="F202" s="168" t="n">
        <v>50</v>
      </c>
      <c r="G202" s="168" t="n"/>
      <c r="H202" s="168" t="n">
        <v>54</v>
      </c>
      <c r="I202" s="168" t="n">
        <v>50</v>
      </c>
      <c r="J202" s="168" t="n">
        <v>95</v>
      </c>
      <c r="K202" s="168" t="n"/>
      <c r="L202" s="168" t="n"/>
    </row>
    <row r="203" hidden="1" outlineLevel="2" ht="390" customFormat="1" customHeight="1" s="8">
      <c r="B203" s="59" t="n"/>
      <c r="C203" s="446" t="n"/>
      <c r="D203" s="233" t="n"/>
      <c r="E203" s="234" t="inlineStr">
        <is>
          <t>Funzioni AI</t>
        </is>
      </c>
      <c r="F203" s="239" t="inlineStr">
        <is>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is>
      </c>
      <c r="G203" s="235" t="n"/>
      <c r="H203" s="239" t="inlineStr">
        <is>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is>
      </c>
      <c r="I203" s="239" t="inlineStr">
        <is>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is>
      </c>
      <c r="J203" s="239" t="inlineStr">
        <is>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is>
      </c>
      <c r="K203" s="235" t="n"/>
      <c r="L203" s="236" t="n"/>
    </row>
    <row r="204">
      <c r="A204" s="181" t="inlineStr">
        <is>
          <t>BRK_Holding_Brake</t>
        </is>
      </c>
      <c r="B204" s="367" t="n"/>
      <c r="C204" s="181" t="n"/>
      <c r="D204" s="368" t="inlineStr">
        <is>
          <t>\</t>
        </is>
      </c>
      <c r="E204" s="162" t="n"/>
      <c r="F204" s="163" t="n"/>
      <c r="G204" s="163" t="n"/>
      <c r="H204" s="163" t="n"/>
      <c r="I204" s="163" t="n"/>
      <c r="J204" s="163" t="n"/>
      <c r="K204" s="163" t="n"/>
      <c r="L204" s="164" t="n"/>
    </row>
    <row r="205" outlineLevel="1" collapsed="1" s="480">
      <c r="B205" s="169" t="n"/>
      <c r="C205" s="338" t="inlineStr">
        <is>
          <t>CONFIG</t>
        </is>
      </c>
      <c r="D205" s="369" t="inlineStr">
        <is>
          <t>FRS_Brake Control</t>
        </is>
      </c>
      <c r="E205" s="370" t="inlineStr">
        <is>
          <t>Link</t>
        </is>
      </c>
      <c r="F205" s="340">
        <f t="array" ref="F205">HYPERLINK(CONCATENATE(Cartelle!$D$5,F$1,"/",$C205,"/",MID($D205,1,FIND("_",$D205)-1),"/",INDIRECT(CONCATENATE("'" &amp; $C205 &amp; "'!",ADDRESS(MATCH($D205, INDIRECT("'" &amp; $C205 &amp; "'!$B:$B"), 0),MATCH(F$1, INDIRECT("'" &amp; $C205 &amp; "'!$1:$1"), 0)))),".",INDIRECT(CONCATENATE("'"&amp;$C205&amp;"'!",ADDRESS(MATCH($D205,INDIRECT("'"&amp;$C205&amp;"'!$B:$B"),0),3))),"#page=",F206),CONCATENATE("#Sharepoint//",$D205))</f>
        <v/>
      </c>
      <c r="G205" s="352" t="n"/>
      <c r="H205" s="340">
        <f t="array" ref="H205">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
      </c>
      <c r="I205" s="340">
        <f t="array" ref="I205">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
      </c>
      <c r="J205" s="340">
        <f t="array" ref="J205">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
      </c>
      <c r="K205" s="359" t="n"/>
      <c r="L205" s="359" t="n"/>
    </row>
    <row r="206" hidden="1" outlineLevel="2" s="480">
      <c r="B206" s="169" t="n"/>
      <c r="D206" s="168" t="n"/>
      <c r="E206" s="167" t="inlineStr">
        <is>
          <t>Rif. Pagina</t>
        </is>
      </c>
      <c r="F206" s="168" t="n">
        <v>87</v>
      </c>
      <c r="G206" s="168" t="n"/>
      <c r="H206" s="168" t="n">
        <v>94</v>
      </c>
      <c r="I206" s="168" t="n">
        <v>86</v>
      </c>
      <c r="J206" s="168" t="n">
        <v>129</v>
      </c>
      <c r="K206" s="168" t="n"/>
      <c r="L206" s="168" t="n"/>
    </row>
    <row r="207" hidden="1" outlineLevel="2" ht="405" customFormat="1" customHeight="1" s="8">
      <c r="B207" s="59" t="n"/>
      <c r="C207" s="446" t="n"/>
      <c r="D207" s="233" t="n"/>
      <c r="E207" s="234" t="inlineStr">
        <is>
          <t>Funzioni AI</t>
        </is>
      </c>
      <c r="F207" s="239" t="inlineStr">
        <is>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is>
      </c>
      <c r="G207" s="235" t="n"/>
      <c r="H207" s="239" t="inlineStr">
        <is>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is>
      </c>
      <c r="I207" s="239" t="inlineStr">
        <is>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is>
      </c>
      <c r="J207" s="239" t="inlineStr">
        <is>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is>
      </c>
      <c r="K207" s="235" t="n"/>
      <c r="L207" s="236" t="n"/>
    </row>
    <row r="208">
      <c r="A208" s="181" t="inlineStr">
        <is>
          <t>BRK_Urgency_Brake_(Optional)</t>
        </is>
      </c>
      <c r="B208" s="367" t="n"/>
      <c r="C208" s="181" t="n"/>
      <c r="D208" s="368" t="inlineStr">
        <is>
          <t>\</t>
        </is>
      </c>
      <c r="E208" s="162" t="n"/>
      <c r="F208" s="163" t="n"/>
      <c r="G208" s="163" t="n"/>
      <c r="H208" s="163" t="n"/>
      <c r="I208" s="163" t="n"/>
      <c r="J208" s="163" t="n"/>
      <c r="K208" s="163" t="n"/>
      <c r="L208" s="164" t="n"/>
    </row>
    <row r="209" outlineLevel="1" collapsed="1" s="480">
      <c r="B209" s="169" t="n"/>
      <c r="C209" s="338" t="inlineStr">
        <is>
          <t>CONFIG</t>
        </is>
      </c>
      <c r="D209" s="369" t="inlineStr">
        <is>
          <t>FRS_Brake Control</t>
        </is>
      </c>
      <c r="E209" s="370" t="inlineStr">
        <is>
          <t>Link</t>
        </is>
      </c>
      <c r="F209" s="340">
        <f t="array" ref="F209">HYPERLINK(CONCATENATE(Cartelle!$D$5,F$1,"/",$C209,"/",MID($D209,1,FIND("_",$D209)-1),"/",INDIRECT(CONCATENATE("'" &amp; $C209 &amp; "'!",ADDRESS(MATCH($D209, INDIRECT("'" &amp; $C209 &amp; "'!$B:$B"), 0),MATCH(F$1, INDIRECT("'" &amp; $C209 &amp; "'!$1:$1"), 0)))),".",INDIRECT(CONCATENATE("'"&amp;$C209&amp;"'!",ADDRESS(MATCH($D209,INDIRECT("'"&amp;$C209&amp;"'!$B:$B"),0),3))),"#page=",F210),CONCATENATE("#Sharepoint//",$D209))</f>
        <v/>
      </c>
      <c r="G209" s="352" t="n"/>
      <c r="H209" s="340">
        <f t="array" ref="H209">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
      </c>
      <c r="I209" s="340">
        <f t="array" ref="I209">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
      </c>
      <c r="J209" s="340">
        <f t="array" ref="J209">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
      </c>
      <c r="K209" s="359" t="n"/>
      <c r="L209" s="359" t="n"/>
    </row>
    <row r="210" hidden="1" outlineLevel="2" s="480">
      <c r="B210" s="169" t="n"/>
      <c r="D210" s="168" t="n"/>
      <c r="E210" s="167" t="inlineStr">
        <is>
          <t>Rif. Pagina</t>
        </is>
      </c>
      <c r="F210" s="168" t="n">
        <v>91</v>
      </c>
      <c r="G210" s="168" t="n"/>
      <c r="H210" s="168" t="n">
        <v>99</v>
      </c>
      <c r="I210" s="168" t="n">
        <v>90</v>
      </c>
      <c r="J210" s="168" t="n">
        <v>133</v>
      </c>
      <c r="K210" s="168" t="n"/>
      <c r="L210" s="168" t="n"/>
    </row>
    <row r="211" hidden="1" outlineLevel="2" ht="375" customFormat="1" customHeight="1" s="8">
      <c r="B211" s="59" t="n"/>
      <c r="C211" s="446" t="n"/>
      <c r="D211" s="233" t="n"/>
      <c r="E211" s="234" t="inlineStr">
        <is>
          <t>Funzioni AI</t>
        </is>
      </c>
      <c r="F211" s="239" t="inlineStr">
        <is>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is>
      </c>
      <c r="G211" s="235" t="n"/>
      <c r="H211" s="239" t="inlineStr">
        <is>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is>
      </c>
      <c r="I211" s="239" t="inlineStr">
        <is>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is>
      </c>
      <c r="J211" s="239" t="inlineStr">
        <is>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is>
      </c>
      <c r="K211" s="235" t="n"/>
      <c r="L211" s="236" t="n"/>
    </row>
    <row r="212">
      <c r="A212" s="181" t="inlineStr">
        <is>
          <t>BRK_Emergency_Brake</t>
        </is>
      </c>
      <c r="B212" s="367" t="n"/>
      <c r="C212" s="181" t="n"/>
      <c r="D212" s="368" t="inlineStr">
        <is>
          <t>\</t>
        </is>
      </c>
      <c r="E212" s="162" t="n"/>
      <c r="F212" s="163" t="n"/>
      <c r="G212" s="163" t="n"/>
      <c r="H212" s="163" t="n"/>
      <c r="I212" s="163" t="n"/>
      <c r="J212" s="163" t="n"/>
      <c r="K212" s="163" t="n"/>
      <c r="L212" s="164" t="n"/>
    </row>
    <row r="213" outlineLevel="1" collapsed="1" s="480">
      <c r="B213" s="169" t="n"/>
      <c r="C213" s="338" t="inlineStr">
        <is>
          <t>CONFIG</t>
        </is>
      </c>
      <c r="D213" s="369" t="inlineStr">
        <is>
          <t>FRS_Brake Control</t>
        </is>
      </c>
      <c r="E213" s="370" t="inlineStr">
        <is>
          <t>Link</t>
        </is>
      </c>
      <c r="F213" s="340">
        <f t="array" ref="F213">HYPERLINK(CONCATENATE(Cartelle!$D$5,F$1,"/",$C213,"/",MID($D213,1,FIND("_",$D213)-1),"/",INDIRECT(CONCATENATE("'" &amp; $C213 &amp; "'!",ADDRESS(MATCH($D213, INDIRECT("'" &amp; $C213 &amp; "'!$B:$B"), 0),MATCH(F$1, INDIRECT("'" &amp; $C213 &amp; "'!$1:$1"), 0)))),".",INDIRECT(CONCATENATE("'"&amp;$C213&amp;"'!",ADDRESS(MATCH($D213,INDIRECT("'"&amp;$C213&amp;"'!$B:$B"),0),3))),"#page=",F214),CONCATENATE("#Sharepoint//",$D213))</f>
        <v/>
      </c>
      <c r="G213" s="352" t="n"/>
      <c r="H213" s="340">
        <f t="array" ref="H213">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
      </c>
      <c r="I213" s="340">
        <f t="array" ref="I213">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
      </c>
      <c r="J213" s="340">
        <f t="array" ref="J213">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
      </c>
      <c r="K213" s="359" t="n"/>
      <c r="L213" s="359" t="n"/>
    </row>
    <row r="214" hidden="1" outlineLevel="2" s="480">
      <c r="B214" s="169" t="n"/>
      <c r="D214" s="168" t="n"/>
      <c r="E214" s="167" t="inlineStr">
        <is>
          <t>Rif. Pagina</t>
        </is>
      </c>
      <c r="F214" s="168" t="n">
        <v>97</v>
      </c>
      <c r="G214" s="168" t="n"/>
      <c r="H214" s="168" t="n">
        <v>102</v>
      </c>
      <c r="I214" s="168" t="n">
        <v>93</v>
      </c>
      <c r="J214" s="168" t="n">
        <v>136</v>
      </c>
      <c r="K214" s="168" t="n"/>
      <c r="L214" s="168" t="n"/>
    </row>
    <row r="215" hidden="1" outlineLevel="2" ht="409.5" customHeight="1" s="480">
      <c r="B215" s="169" t="n"/>
      <c r="D215" s="168" t="n"/>
      <c r="E215" s="234" t="inlineStr">
        <is>
          <t>Funzioni AI</t>
        </is>
      </c>
      <c r="F215" s="242" t="inlineStr">
        <is>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is>
      </c>
      <c r="G215" s="237" t="n"/>
      <c r="H215" s="242" t="inlineStr">
        <is>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is>
      </c>
      <c r="I215" s="242" t="inlineStr">
        <is>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is>
      </c>
      <c r="J215" s="242" t="inlineStr">
        <is>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is>
      </c>
      <c r="K215" s="237" t="n"/>
      <c r="L215" s="238" t="n"/>
    </row>
    <row r="216">
      <c r="A216" s="181" t="inlineStr">
        <is>
          <t>BRK_Parking_Brake</t>
        </is>
      </c>
      <c r="B216" s="367" t="n"/>
      <c r="C216" s="181" t="n"/>
      <c r="D216" s="368" t="inlineStr">
        <is>
          <t>\</t>
        </is>
      </c>
      <c r="E216" s="162" t="n"/>
      <c r="F216" s="163" t="n"/>
      <c r="G216" s="163" t="n"/>
      <c r="H216" s="163" t="n"/>
      <c r="I216" s="163" t="n"/>
      <c r="J216" s="163" t="n"/>
      <c r="K216" s="163" t="n"/>
      <c r="L216" s="164" t="n"/>
    </row>
    <row r="217" outlineLevel="1" collapsed="1" s="480">
      <c r="B217" s="169" t="n"/>
      <c r="C217" s="338" t="inlineStr">
        <is>
          <t>CONFIG</t>
        </is>
      </c>
      <c r="D217" s="369" t="inlineStr">
        <is>
          <t>FRS_Brake Control</t>
        </is>
      </c>
      <c r="E217" s="370" t="inlineStr">
        <is>
          <t>Link</t>
        </is>
      </c>
      <c r="F217" s="340">
        <f t="array" ref="F217">HYPERLINK(CONCATENATE(Cartelle!$D$5,F$1,"/",$C217,"/",MID($D217,1,FIND("_",$D217)-1),"/",INDIRECT(CONCATENATE("'" &amp; $C217 &amp; "'!",ADDRESS(MATCH($D217, INDIRECT("'" &amp; $C217 &amp; "'!$B:$B"), 0),MATCH(F$1, INDIRECT("'" &amp; $C217 &amp; "'!$1:$1"), 0)))),".",INDIRECT(CONCATENATE("'"&amp;$C217&amp;"'!",ADDRESS(MATCH($D217,INDIRECT("'"&amp;$C217&amp;"'!$B:$B"),0),3))),"#page=",F218),CONCATENATE("#Sharepoint//",$D217))</f>
        <v/>
      </c>
      <c r="G217" s="352" t="n"/>
      <c r="H217" s="340">
        <f t="array" ref="H217">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
      </c>
      <c r="I217" s="340">
        <f t="array" ref="I217">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
      </c>
      <c r="J217" s="340">
        <f t="array" ref="J217">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
      </c>
      <c r="K217" s="359" t="n"/>
      <c r="L217" s="359" t="n"/>
    </row>
    <row r="218" hidden="1" outlineLevel="2" s="480">
      <c r="B218" s="169" t="n"/>
      <c r="D218" s="168" t="n"/>
      <c r="E218" s="167" t="inlineStr">
        <is>
          <t>Rif. Pagina</t>
        </is>
      </c>
      <c r="F218" s="168" t="n">
        <v>117</v>
      </c>
      <c r="G218" s="168" t="n"/>
      <c r="H218" s="168" t="n">
        <v>127</v>
      </c>
      <c r="I218" s="168" t="n">
        <v>113</v>
      </c>
      <c r="J218" s="168" t="n">
        <v>154</v>
      </c>
      <c r="K218" s="168" t="n"/>
      <c r="L218" s="168" t="n"/>
    </row>
    <row r="219" hidden="1" outlineLevel="2" ht="360" customHeight="1" s="480">
      <c r="B219" s="169" t="n"/>
      <c r="D219" s="168" t="n"/>
      <c r="E219" s="270" t="inlineStr">
        <is>
          <t>Funzioni AI</t>
        </is>
      </c>
      <c r="F219" s="371" t="inlineStr">
        <is>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is>
      </c>
      <c r="G219" s="166" t="n"/>
      <c r="H219" s="371" t="inlineStr">
        <is>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is>
      </c>
      <c r="I219" s="371" t="inlineStr">
        <is>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is>
      </c>
      <c r="J219" s="371" t="inlineStr">
        <is>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is>
      </c>
      <c r="K219" s="166" t="n"/>
      <c r="L219" s="166" t="n"/>
    </row>
    <row r="220" hidden="1" outlineLevel="2" ht="240" customHeight="1" s="480">
      <c r="B220" s="86" t="n"/>
      <c r="D220" s="346" t="n"/>
      <c r="E220" s="218" t="inlineStr">
        <is>
          <t>Approfindimenti (data 01/06/2026)</t>
        </is>
      </c>
      <c r="F220" s="217" t="inlineStr">
        <is>
          <t>\</t>
        </is>
      </c>
      <c r="G220" s="217" t="n"/>
      <c r="H220" s="217" t="n"/>
      <c r="I220" s="217" t="n"/>
      <c r="J220" s="343" t="inlineStr">
        <is>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is>
      </c>
      <c r="K220" s="217" t="n"/>
      <c r="L220" s="217" t="n"/>
    </row>
    <row r="221" outlineLevel="1" collapsed="1" s="480">
      <c r="B221" s="86" t="n"/>
      <c r="C221" s="338" t="inlineStr">
        <is>
          <t>CONFIG</t>
        </is>
      </c>
      <c r="D221" s="338" t="inlineStr">
        <is>
          <t>FS_DM1</t>
        </is>
      </c>
      <c r="E221" s="339" t="inlineStr">
        <is>
          <t>Link</t>
        </is>
      </c>
      <c r="F221" s="340">
        <f t="array" ref="F221">HYPERLINK(CONCATENATE(Cartelle!$D$5,F$1,"/",$C221,"/",MID($D221,1,FIND("_",$D221)-1),"/",INDIRECT(CONCATENATE("'" &amp; $C221 &amp; "'!",ADDRESS(MATCH($D221, INDIRECT("'" &amp; $C221 &amp; "'!$B:$B"), 0),MATCH(F$1, INDIRECT("'" &amp; $C221 &amp; "'!$1:$1"), 0)))),".",INDIRECT(CONCATENATE("'"&amp;$C221&amp;"'!",ADDRESS(MATCH($D221,INDIRECT("'"&amp;$C221&amp;"'!$B:$B"),0),3))),"#page=",F222),CONCATENATE("#Sharepoint//",$D221))</f>
        <v/>
      </c>
      <c r="G221" s="340" t="n"/>
      <c r="H221" s="338" t="n"/>
      <c r="I221" s="338" t="n"/>
      <c r="J221" s="340">
        <f t="array" ref="J22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
      </c>
      <c r="K221" s="341" t="n"/>
      <c r="L221" s="338" t="n"/>
    </row>
    <row r="222" hidden="1" outlineLevel="2" s="480">
      <c r="B222" s="86" t="n"/>
      <c r="D222" s="345" t="n"/>
      <c r="E222" s="218" t="inlineStr">
        <is>
          <t>Rif. Pagina</t>
        </is>
      </c>
      <c r="F222" s="217" t="n">
        <v>276</v>
      </c>
      <c r="G222" s="332" t="n">
        <v>243</v>
      </c>
      <c r="H222" s="217" t="n"/>
      <c r="I222" s="217" t="n"/>
      <c r="J222" s="217" t="n">
        <v>144</v>
      </c>
      <c r="K222" s="343" t="n"/>
      <c r="L222" s="217" t="n"/>
    </row>
    <row r="223" hidden="1" outlineLevel="2" ht="75" customHeight="1" s="480">
      <c r="B223" s="86" t="n"/>
      <c r="D223" s="328" t="n"/>
      <c r="E223" s="218" t="inlineStr">
        <is>
          <t>Applicazione PB - Componenti circuito elettrico (data 01/06/2026)</t>
        </is>
      </c>
      <c r="F223" s="343" t="inlineStr">
        <is>
          <t>GG-A024 = Pulsante parking
JE-K0005 = MIO-S-DX4</t>
        </is>
      </c>
      <c r="G223" s="217" t="n"/>
      <c r="H223" s="217" t="n"/>
      <c r="I223" s="217" t="n"/>
      <c r="J223" s="343" t="inlineStr">
        <is>
          <t>GG-A024 = Pulsante parking
GC-K025 = Relè abilitazione cabina
GC-K018 = Relè temporizz
GC-K011 = Relè abilitazione cabina
JE-K005 = RIO-LP MASTER</t>
        </is>
      </c>
      <c r="K223" s="372" t="n"/>
      <c r="L223" s="217" t="n"/>
    </row>
    <row r="224" hidden="1" outlineLevel="2" ht="330" customHeight="1" s="480">
      <c r="B224" s="86" t="n"/>
      <c r="D224" s="346" t="n"/>
      <c r="E224" s="218" t="inlineStr">
        <is>
          <t>Applicazione PB - Descrizione circuitale (data 01/06/2026)</t>
        </is>
      </c>
      <c r="F224" s="343" t="inlineStr">
        <is>
          <t>La pressione di GG-A024 chiude 2 contatti interni (1 ordinario, 1 ridondato), collegando 2 linee 110V a 2 ingressi della MIO: BRA_PARK_COM
Le 2 linee 110 derivano direttamente dal bus  180, tramite due fusibili rispettivamente JE-F007 e JE-F009.</t>
        </is>
      </c>
      <c r="G224" s="217" t="n"/>
      <c r="H224" s="217" t="n"/>
      <c r="I224" s="217" t="n"/>
      <c r="J224" s="343" t="inlineStr">
        <is>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is>
      </c>
      <c r="K224" s="217" t="n"/>
      <c r="L224" s="217" t="n"/>
    </row>
    <row r="225" outlineLevel="1" collapsed="1" s="480">
      <c r="B225" s="86" t="n"/>
      <c r="C225" s="338" t="inlineStr">
        <is>
          <t>CONFIG</t>
        </is>
      </c>
      <c r="D225" s="338" t="inlineStr">
        <is>
          <t>FS_TT2</t>
        </is>
      </c>
      <c r="E225" s="339" t="inlineStr">
        <is>
          <t>Link</t>
        </is>
      </c>
      <c r="F225" s="340">
        <f t="array" ref="F225">HYPERLINK(CONCATENATE(Cartelle!$D$5,F$1,"/",$C225,"/",MID($D225,1,FIND("_",$D225)-1),"/",INDIRECT(CONCATENATE("'" &amp; $C225 &amp; "'!",ADDRESS(MATCH($D225, INDIRECT("'" &amp; $C225 &amp; "'!$B:$B"), 0),MATCH(F$1, INDIRECT("'" &amp; $C225 &amp; "'!$1:$1"), 0)))),".",INDIRECT(CONCATENATE("'"&amp;$C225&amp;"'!",ADDRESS(MATCH($D225,INDIRECT("'"&amp;$C225&amp;"'!$B:$B"),0),3))),"#page=",F226),CONCATENATE("#Sharepoint//",$D225))</f>
        <v/>
      </c>
      <c r="G225" s="338" t="n"/>
      <c r="H225" s="338" t="n"/>
      <c r="I225" s="338" t="n"/>
      <c r="J225" s="340">
        <f t="array" ref="J225">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
      </c>
      <c r="K225" s="341" t="n"/>
      <c r="L225" s="338" t="n"/>
    </row>
    <row r="226" hidden="1" outlineLevel="2" s="480">
      <c r="B226" s="86" t="n"/>
      <c r="D226" s="345" t="n"/>
      <c r="E226" s="218" t="inlineStr">
        <is>
          <t>Rif. Pagina</t>
        </is>
      </c>
      <c r="F226" s="217" t="n">
        <v>171</v>
      </c>
      <c r="G226" s="217" t="n"/>
      <c r="H226" s="217" t="n"/>
      <c r="I226" s="217" t="n"/>
      <c r="J226" s="217" t="n">
        <v>131</v>
      </c>
      <c r="K226" s="343" t="n"/>
      <c r="L226" s="217" t="n"/>
    </row>
    <row r="227" hidden="1" outlineLevel="2" ht="120" customHeight="1" s="480">
      <c r="B227" s="86" t="n"/>
      <c r="D227" s="328" t="n"/>
      <c r="E227" s="218" t="inlineStr">
        <is>
          <t>Applicazione PB - Componenti circuito elettrico (data 01/06/2026)</t>
        </is>
      </c>
      <c r="F227" s="343" t="inlineStr">
        <is>
          <t>EVFS1 = Valvola applicazione parking brake
JE-K009 = RIO
JE-K010 = RIO
GG-K016 = Relè RER</t>
        </is>
      </c>
      <c r="G227" s="217" t="n"/>
      <c r="H227" s="217" t="n"/>
      <c r="I227" s="217" t="n"/>
      <c r="J227" s="343" t="inlineStr">
        <is>
          <t>GG-K016 = Relè RER
GG-K028 = Relè di taglio per il comando di rilascio del PB dato da TCMS attraverso BRA_EVFS1_COM
EVFS1 = Valvola applicazione parking brake
JE-K009 = RIO
JE-K010 = RIO</t>
        </is>
      </c>
      <c r="K227" s="372" t="n"/>
      <c r="L227" s="217" t="n"/>
    </row>
    <row r="228" hidden="1" outlineLevel="2" ht="270" customHeight="1" s="480">
      <c r="B228" s="86" t="n"/>
      <c r="D228" s="346" t="n"/>
      <c r="E228" s="218" t="inlineStr">
        <is>
          <t>Applicazione PB - Descrizione circuitale (data 01/06/2026)</t>
        </is>
      </c>
      <c r="F228" s="343" t="inlineStr">
        <is>
          <t xml:space="preserve">Il segnale di rilascio del praking brake verso la EVFS1 viene fornito dalle RIO BRA-EVFS1_COM. Il comando verso EVFS1 è sezionato solamente da un relè GG-K016 chiamato RER che si abilita con un contatto relativo all'inserzione della chiave di banco </t>
        </is>
      </c>
      <c r="G228" s="217" t="n"/>
      <c r="H228" s="217" t="n"/>
      <c r="I228" s="217" t="n"/>
      <c r="J228" s="343" t="inlineStr">
        <is>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is>
      </c>
      <c r="K228" s="217" t="n"/>
      <c r="L228" s="217" t="n"/>
    </row>
    <row r="229">
      <c r="A229" s="181" t="inlineStr">
        <is>
          <t>BRK_Wheel_Slide_Protection</t>
        </is>
      </c>
      <c r="B229" s="367" t="n"/>
      <c r="C229" s="181" t="n"/>
      <c r="D229" s="368" t="inlineStr">
        <is>
          <t>\</t>
        </is>
      </c>
      <c r="E229" s="162" t="n"/>
      <c r="F229" s="163" t="n"/>
      <c r="G229" s="163" t="n"/>
      <c r="H229" s="163" t="n"/>
      <c r="I229" s="163" t="n"/>
      <c r="J229" s="163" t="n"/>
      <c r="K229" s="163" t="n"/>
      <c r="L229" s="164" t="n"/>
    </row>
    <row r="230" outlineLevel="1" collapsed="1" s="480">
      <c r="B230" s="169" t="n"/>
      <c r="C230" s="338" t="inlineStr">
        <is>
          <t>CONFIG</t>
        </is>
      </c>
      <c r="D230" s="369" t="inlineStr">
        <is>
          <t>FRS_Brake Control</t>
        </is>
      </c>
      <c r="E230" s="370" t="inlineStr">
        <is>
          <t>Link</t>
        </is>
      </c>
      <c r="F230" s="340">
        <f t="array" ref="F230">HYPERLINK(CONCATENATE(Cartelle!$D$5,F$1,"/",$C230,"/",MID($D230,1,FIND("_",$D230)-1),"/",INDIRECT(CONCATENATE("'" &amp; $C230 &amp; "'!",ADDRESS(MATCH($D230, INDIRECT("'" &amp; $C230 &amp; "'!$B:$B"), 0),MATCH(F$1, INDIRECT("'" &amp; $C230 &amp; "'!$1:$1"), 0)))),".",INDIRECT(CONCATENATE("'"&amp;$C230&amp;"'!",ADDRESS(MATCH($D230,INDIRECT("'"&amp;$C230&amp;"'!$B:$B"),0),3))),"#page=",F231),CONCATENATE("#Sharepoint//",$D230))</f>
        <v/>
      </c>
      <c r="G230" s="352" t="n"/>
      <c r="H230" s="340">
        <f t="array" ref="H230">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
      </c>
      <c r="I230" s="340">
        <f t="array" ref="I230">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
      </c>
      <c r="J230" s="340">
        <f t="array" ref="J230">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
      </c>
      <c r="K230" s="359" t="n"/>
      <c r="L230" s="359" t="n"/>
    </row>
    <row r="231" hidden="1" outlineLevel="2" s="480">
      <c r="B231" s="169" t="n"/>
      <c r="D231" s="168" t="n"/>
      <c r="E231" s="167" t="inlineStr">
        <is>
          <t>Rif. Pagina</t>
        </is>
      </c>
      <c r="F231" s="168" t="n">
        <v>131</v>
      </c>
      <c r="G231" s="168" t="n"/>
      <c r="H231" s="168" t="n">
        <v>142</v>
      </c>
      <c r="I231" s="168" t="n">
        <v>131</v>
      </c>
      <c r="J231" s="168" t="n">
        <v>171</v>
      </c>
      <c r="K231" s="168" t="n"/>
      <c r="L231" s="168" t="n"/>
    </row>
    <row r="232" hidden="1" outlineLevel="2" ht="390" customHeight="1" s="480">
      <c r="B232" s="169" t="n"/>
      <c r="D232" s="168" t="n"/>
      <c r="E232" s="234" t="inlineStr">
        <is>
          <t>Funzioni AI</t>
        </is>
      </c>
      <c r="F232" s="242" t="inlineStr">
        <is>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is>
      </c>
      <c r="G232" s="237" t="n"/>
      <c r="H232" s="242" t="inlineStr">
        <is>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is>
      </c>
      <c r="I232" s="242" t="inlineStr">
        <is>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is>
      </c>
      <c r="J232" s="242" t="inlineStr">
        <is>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is>
      </c>
      <c r="K232" s="237" t="n"/>
      <c r="L232" s="238" t="n"/>
    </row>
    <row r="233">
      <c r="A233" s="181" t="inlineStr">
        <is>
          <t>BRK_Detection_of_Non-Rotating_Axle_(DNRA)</t>
        </is>
      </c>
      <c r="B233" s="367" t="n"/>
      <c r="C233" s="181" t="n"/>
      <c r="D233" s="368" t="inlineStr">
        <is>
          <t>\</t>
        </is>
      </c>
      <c r="E233" s="162" t="n"/>
      <c r="F233" s="163" t="n"/>
      <c r="G233" s="163" t="n"/>
      <c r="H233" s="163" t="n"/>
      <c r="I233" s="163" t="n"/>
      <c r="J233" s="163" t="n"/>
      <c r="K233" s="163" t="n"/>
      <c r="L233" s="164" t="n"/>
    </row>
    <row r="234" outlineLevel="1" collapsed="1" s="480">
      <c r="B234" s="169" t="n"/>
      <c r="C234" s="338" t="inlineStr">
        <is>
          <t>CONFIG</t>
        </is>
      </c>
      <c r="D234" s="369" t="inlineStr">
        <is>
          <t>FRS_Brake Control</t>
        </is>
      </c>
      <c r="E234" s="370" t="inlineStr">
        <is>
          <t>Link</t>
        </is>
      </c>
      <c r="F234" s="340">
        <f t="array" ref="F234">HYPERLINK(CONCATENATE(Cartelle!$D$5,F$1,"/",$C234,"/",MID($D234,1,FIND("_",$D234)-1),"/",INDIRECT(CONCATENATE("'" &amp; $C234 &amp; "'!",ADDRESS(MATCH($D234, INDIRECT("'" &amp; $C234 &amp; "'!$B:$B"), 0),MATCH(F$1, INDIRECT("'" &amp; $C234 &amp; "'!$1:$1"), 0)))),".",INDIRECT(CONCATENATE("'"&amp;$C234&amp;"'!",ADDRESS(MATCH($D234,INDIRECT("'"&amp;$C234&amp;"'!$B:$B"),0),3))),"#page=",F235),CONCATENATE("#Sharepoint//",$D234))</f>
        <v/>
      </c>
      <c r="G234" s="352" t="n"/>
      <c r="H234" s="340">
        <f t="array" ref="H234">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
      </c>
      <c r="I234" s="340">
        <f t="array" ref="I234">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
      </c>
      <c r="J234" s="340">
        <f t="array" ref="J234">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
      </c>
      <c r="K234" s="359" t="n"/>
      <c r="L234" s="359" t="n"/>
    </row>
    <row r="235" hidden="1" outlineLevel="2" s="480">
      <c r="B235" s="169" t="n"/>
      <c r="D235" s="168" t="n"/>
      <c r="E235" s="167" t="inlineStr">
        <is>
          <t>Rif. Pagina</t>
        </is>
      </c>
      <c r="F235" s="168" t="n">
        <v>145</v>
      </c>
      <c r="G235" s="168" t="n"/>
      <c r="H235" s="168" t="n">
        <v>157</v>
      </c>
      <c r="I235" s="168" t="n">
        <v>144</v>
      </c>
      <c r="J235" s="168" t="n">
        <v>189</v>
      </c>
      <c r="K235" s="168" t="n"/>
      <c r="L235" s="168" t="n"/>
    </row>
    <row r="236" hidden="1" outlineLevel="2" ht="390" customHeight="1" s="480">
      <c r="B236" s="169" t="n"/>
      <c r="D236" s="168" t="n"/>
      <c r="E236" s="234" t="inlineStr">
        <is>
          <t>Funzioni AI</t>
        </is>
      </c>
      <c r="F236" s="242" t="inlineStr">
        <is>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is>
      </c>
      <c r="G236" s="237" t="n"/>
      <c r="H236" s="242" t="inlineStr">
        <is>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is>
      </c>
      <c r="I236" s="242" t="inlineStr">
        <is>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is>
      </c>
      <c r="J236" s="242" t="inlineStr">
        <is>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is>
      </c>
      <c r="K236" s="237" t="n"/>
      <c r="L236" s="238" t="n"/>
    </row>
    <row r="237">
      <c r="A237" s="181" t="inlineStr">
        <is>
          <t>BRK_Passenger_Emergency_Brake</t>
        </is>
      </c>
      <c r="B237" s="367" t="n"/>
      <c r="C237" s="181" t="n"/>
      <c r="D237" s="368" t="inlineStr">
        <is>
          <t>\</t>
        </is>
      </c>
      <c r="E237" s="162" t="n"/>
      <c r="F237" s="163" t="n"/>
      <c r="G237" s="163" t="n"/>
      <c r="H237" s="163" t="n"/>
      <c r="I237" s="163" t="n"/>
      <c r="J237" s="163" t="n"/>
      <c r="K237" s="163" t="n"/>
      <c r="L237" s="164" t="n"/>
    </row>
    <row r="238" outlineLevel="1" collapsed="1" s="480">
      <c r="B238" s="169" t="n"/>
      <c r="C238" s="338" t="inlineStr">
        <is>
          <t>CONFIG</t>
        </is>
      </c>
      <c r="D238" s="369" t="inlineStr">
        <is>
          <t>FRS_Brake Control</t>
        </is>
      </c>
      <c r="E238" s="370" t="inlineStr">
        <is>
          <t>Link</t>
        </is>
      </c>
      <c r="F238" s="340">
        <f t="array" ref="F238">HYPERLINK(CONCATENATE(Cartelle!$D$5,F$1,"/",$C238,"/",MID($D238,1,FIND("_",$D238)-1),"/",INDIRECT(CONCATENATE("'" &amp; $C238 &amp; "'!",ADDRESS(MATCH($D238, INDIRECT("'" &amp; $C238 &amp; "'!$B:$B"), 0),MATCH(F$1, INDIRECT("'" &amp; $C238 &amp; "'!$1:$1"), 0)))),".",INDIRECT(CONCATENATE("'"&amp;$C238&amp;"'!",ADDRESS(MATCH($D238,INDIRECT("'"&amp;$C238&amp;"'!$B:$B"),0),3))),"#page=",F239),CONCATENATE("#Sharepoint//",$D238))</f>
        <v/>
      </c>
      <c r="G238" s="352" t="n"/>
      <c r="H238" s="340">
        <f t="array" ref="H238">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
      </c>
      <c r="I238" s="340">
        <f t="array" ref="I238">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
      </c>
      <c r="J238" s="340">
        <f t="array" ref="J238">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
      </c>
      <c r="K238" s="359" t="n"/>
      <c r="L238" s="359" t="n"/>
    </row>
    <row r="239" hidden="1" outlineLevel="2" s="480">
      <c r="B239" s="169" t="n"/>
      <c r="D239" s="168" t="n"/>
      <c r="E239" s="167" t="inlineStr">
        <is>
          <t>Rif. Pagina</t>
        </is>
      </c>
      <c r="F239" s="168" t="n">
        <v>153</v>
      </c>
      <c r="G239" s="168" t="n"/>
      <c r="H239" s="168" t="n">
        <v>165</v>
      </c>
      <c r="I239" s="168" t="n">
        <v>166</v>
      </c>
      <c r="J239" s="168" t="n">
        <v>192</v>
      </c>
      <c r="K239" s="168" t="n"/>
      <c r="L239" s="168" t="n"/>
    </row>
    <row r="240" hidden="1" outlineLevel="2" ht="375" customHeight="1" s="480">
      <c r="B240" s="169" t="n"/>
      <c r="D240" s="168" t="n"/>
      <c r="E240" s="234" t="inlineStr">
        <is>
          <t>Funzioni AI</t>
        </is>
      </c>
      <c r="F240" s="242" t="inlineStr">
        <is>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is>
      </c>
      <c r="G240" s="237" t="n"/>
      <c r="H240" s="242" t="inlineStr">
        <is>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is>
      </c>
      <c r="I240" s="242" t="inlineStr">
        <is>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is>
      </c>
      <c r="J240" s="242" t="inlineStr">
        <is>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is>
      </c>
      <c r="K240" s="237" t="n"/>
      <c r="L240" s="238" t="n"/>
    </row>
    <row r="241">
      <c r="A241" s="181" t="inlineStr">
        <is>
          <t>BRK_Sanding</t>
        </is>
      </c>
      <c r="B241" s="367" t="n"/>
      <c r="C241" s="181" t="n"/>
      <c r="D241" s="368" t="inlineStr">
        <is>
          <t>\</t>
        </is>
      </c>
      <c r="E241" s="162" t="n"/>
      <c r="F241" s="163" t="n"/>
      <c r="G241" s="163" t="n"/>
      <c r="H241" s="163" t="n"/>
      <c r="I241" s="163" t="n"/>
      <c r="J241" s="163" t="n"/>
      <c r="K241" s="163" t="n"/>
      <c r="L241" s="164" t="n"/>
    </row>
    <row r="242" outlineLevel="1" collapsed="1" s="480">
      <c r="B242" s="169" t="n"/>
      <c r="C242" s="338" t="inlineStr">
        <is>
          <t>CONFIG</t>
        </is>
      </c>
      <c r="D242" s="369" t="inlineStr">
        <is>
          <t>FRS_Brake Control</t>
        </is>
      </c>
      <c r="E242" s="370" t="inlineStr">
        <is>
          <t>Link</t>
        </is>
      </c>
      <c r="F242" s="340">
        <f t="array" ref="F242">HYPERLINK(CONCATENATE(Cartelle!$D$5,F$1,"/",$C242,"/",MID($D242,1,FIND("_",$D242)-1),"/",INDIRECT(CONCATENATE("'" &amp; $C242 &amp; "'!",ADDRESS(MATCH($D242, INDIRECT("'" &amp; $C242 &amp; "'!$B:$B"), 0),MATCH(F$1, INDIRECT("'" &amp; $C242 &amp; "'!$1:$1"), 0)))),".",INDIRECT(CONCATENATE("'"&amp;$C242&amp;"'!",ADDRESS(MATCH($D242,INDIRECT("'"&amp;$C242&amp;"'!$B:$B"),0),3))),"#page=",F243),CONCATENATE("#Sharepoint//",$D242))</f>
        <v/>
      </c>
      <c r="G242" s="352" t="n"/>
      <c r="H242" s="340">
        <f t="array" ref="H242">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
      </c>
      <c r="I242" s="340">
        <f t="array" ref="I242">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
      </c>
      <c r="J242" s="340">
        <f t="array" ref="J242">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
      </c>
      <c r="K242" s="359" t="n"/>
      <c r="L242" s="359" t="n"/>
    </row>
    <row r="243" hidden="1" outlineLevel="2" s="480">
      <c r="B243" s="169" t="n"/>
      <c r="D243" s="168" t="n"/>
      <c r="E243" s="167" t="inlineStr">
        <is>
          <t>Rif. Pagina</t>
        </is>
      </c>
      <c r="F243" s="168" t="n">
        <v>163</v>
      </c>
      <c r="G243" s="168" t="n"/>
      <c r="H243" s="168" t="n">
        <v>173</v>
      </c>
      <c r="I243" s="168" t="n">
        <v>177</v>
      </c>
      <c r="J243" s="168" t="n">
        <v>204</v>
      </c>
      <c r="K243" s="168" t="n"/>
      <c r="L243" s="168" t="n"/>
    </row>
    <row r="244" hidden="1" outlineLevel="2" ht="405" customHeight="1" s="480">
      <c r="B244" s="169" t="n"/>
      <c r="D244" s="168" t="n"/>
      <c r="E244" s="234" t="inlineStr">
        <is>
          <t>Funzioni AI</t>
        </is>
      </c>
      <c r="F244" s="242" t="inlineStr">
        <is>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is>
      </c>
      <c r="G244" s="237" t="n"/>
      <c r="H244" s="242" t="inlineStr">
        <is>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is>
      </c>
      <c r="I244" s="242" t="inlineStr">
        <is>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is>
      </c>
      <c r="J244" s="242" t="inlineStr">
        <is>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is>
      </c>
      <c r="K244" s="237" t="n"/>
      <c r="L244" s="238" t="n"/>
    </row>
    <row r="245">
      <c r="A245" s="181" t="inlineStr">
        <is>
          <t>BRK_Brake_Test</t>
        </is>
      </c>
      <c r="B245" s="367" t="n"/>
      <c r="C245" s="181" t="n"/>
      <c r="D245" s="368" t="inlineStr">
        <is>
          <t>\</t>
        </is>
      </c>
      <c r="E245" s="162" t="n"/>
      <c r="F245" s="163" t="n"/>
      <c r="G245" s="163" t="n"/>
      <c r="H245" s="163" t="n"/>
      <c r="I245" s="163" t="n"/>
      <c r="J245" s="163" t="n"/>
      <c r="K245" s="163" t="n"/>
      <c r="L245" s="164" t="n"/>
    </row>
    <row r="246" outlineLevel="1" collapsed="1" s="480">
      <c r="B246" s="169" t="n"/>
      <c r="C246" s="338" t="inlineStr">
        <is>
          <t>CONFIG</t>
        </is>
      </c>
      <c r="D246" s="369" t="inlineStr">
        <is>
          <t>FRS_Brake Control</t>
        </is>
      </c>
      <c r="E246" s="370" t="inlineStr">
        <is>
          <t>Link</t>
        </is>
      </c>
      <c r="F246" s="340">
        <f t="array" ref="F246">HYPERLINK(CONCATENATE(Cartelle!$D$5,F$1,"/",$C246,"/",MID($D246,1,FIND("_",$D246)-1),"/",INDIRECT(CONCATENATE("'" &amp; $C246 &amp; "'!",ADDRESS(MATCH($D246, INDIRECT("'" &amp; $C246 &amp; "'!$B:$B"), 0),MATCH(F$1, INDIRECT("'" &amp; $C246 &amp; "'!$1:$1"), 0)))),".",INDIRECT(CONCATENATE("'"&amp;$C246&amp;"'!",ADDRESS(MATCH($D246,INDIRECT("'"&amp;$C246&amp;"'!$B:$B"),0),3))),"#page=",F247),CONCATENATE("#Sharepoint//",$D246))</f>
        <v/>
      </c>
      <c r="G246" s="352" t="n"/>
      <c r="H246" s="340">
        <f t="array" ref="H246">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
      </c>
      <c r="I246" s="340">
        <f t="array" ref="I246">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
      </c>
      <c r="J246" s="340">
        <f t="array" ref="J246">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
      </c>
      <c r="K246" s="359" t="n"/>
      <c r="L246" s="359" t="n"/>
    </row>
    <row r="247" hidden="1" outlineLevel="2" s="480">
      <c r="B247" s="169" t="n"/>
      <c r="D247" s="168" t="n"/>
      <c r="E247" s="167" t="inlineStr">
        <is>
          <t>Rif. Pagina</t>
        </is>
      </c>
      <c r="F247" s="168" t="n">
        <v>172</v>
      </c>
      <c r="G247" s="168" t="n"/>
      <c r="H247" s="168" t="n">
        <v>184</v>
      </c>
      <c r="I247" s="168" t="n">
        <v>186</v>
      </c>
      <c r="J247" s="168" t="n">
        <v>213</v>
      </c>
      <c r="K247" s="168" t="n"/>
      <c r="L247" s="168" t="n"/>
    </row>
    <row r="248" hidden="1" outlineLevel="2" ht="409.5" customHeight="1" s="480">
      <c r="B248" s="169" t="n"/>
      <c r="D248" s="168" t="n"/>
      <c r="E248" s="234" t="inlineStr">
        <is>
          <t>Funzioni AI</t>
        </is>
      </c>
      <c r="F248" s="243" t="inlineStr">
        <is>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is>
      </c>
      <c r="G248" s="237" t="n"/>
      <c r="H248" s="243" t="inlineStr">
        <is>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is>
      </c>
      <c r="I248" s="243" t="inlineStr">
        <is>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is>
      </c>
      <c r="J248" s="243" t="inlineStr">
        <is>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is>
      </c>
      <c r="K248" s="237" t="n"/>
      <c r="L248" s="238" t="n"/>
    </row>
    <row r="249">
      <c r="A249" s="181" t="inlineStr">
        <is>
          <t>BRK_Towing</t>
        </is>
      </c>
      <c r="B249" s="367" t="n"/>
      <c r="C249" s="181" t="n"/>
      <c r="D249" s="368" t="inlineStr">
        <is>
          <t>\</t>
        </is>
      </c>
      <c r="E249" s="162" t="n"/>
      <c r="F249" s="163" t="n"/>
      <c r="G249" s="163" t="n"/>
      <c r="H249" s="163" t="n"/>
      <c r="I249" s="163" t="n"/>
      <c r="J249" s="163" t="n"/>
      <c r="K249" s="163" t="n"/>
      <c r="L249" s="164" t="n"/>
    </row>
    <row r="250" outlineLevel="1" collapsed="1" s="480">
      <c r="B250" s="169" t="n"/>
      <c r="C250" s="338" t="inlineStr">
        <is>
          <t>CONFIG</t>
        </is>
      </c>
      <c r="D250" s="369" t="inlineStr">
        <is>
          <t>FRS_Brake Control</t>
        </is>
      </c>
      <c r="E250" s="370" t="inlineStr">
        <is>
          <t>Link</t>
        </is>
      </c>
      <c r="F250" s="340">
        <f t="array" ref="F250">HYPERLINK(CONCATENATE(Cartelle!$D$5,F$1,"/",$C250,"/",MID($D250,1,FIND("_",$D250)-1),"/",INDIRECT(CONCATENATE("'" &amp; $C250 &amp; "'!",ADDRESS(MATCH($D250, INDIRECT("'" &amp; $C250 &amp; "'!$B:$B"), 0),MATCH(F$1, INDIRECT("'" &amp; $C250 &amp; "'!$1:$1"), 0)))),".",INDIRECT(CONCATENATE("'"&amp;$C250&amp;"'!",ADDRESS(MATCH($D250,INDIRECT("'"&amp;$C250&amp;"'!$B:$B"),0),3))),"#page=",F251),CONCATENATE("#Sharepoint//",$D250))</f>
        <v/>
      </c>
      <c r="G250" s="352" t="n"/>
      <c r="H250" s="340">
        <f t="array" ref="H250">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
      </c>
      <c r="I250" s="340">
        <f t="array" ref="I250">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
      </c>
      <c r="J250" s="340">
        <f t="array" ref="J250">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
      </c>
      <c r="K250" s="359" t="n"/>
      <c r="L250" s="359" t="n"/>
    </row>
    <row r="251" hidden="1" outlineLevel="2" s="480">
      <c r="B251" s="169" t="n"/>
      <c r="D251" s="168" t="n"/>
      <c r="E251" s="167" t="inlineStr">
        <is>
          <t>Rif. Pagina</t>
        </is>
      </c>
      <c r="F251" s="168" t="n">
        <v>224</v>
      </c>
      <c r="G251" s="168" t="n"/>
      <c r="H251" s="168" t="n">
        <v>238</v>
      </c>
      <c r="I251" s="168" t="n">
        <v>234</v>
      </c>
      <c r="J251" s="168" t="n">
        <v>262</v>
      </c>
      <c r="K251" s="168" t="n"/>
      <c r="L251" s="168" t="n"/>
    </row>
    <row r="252" hidden="1" outlineLevel="2" ht="360" customHeight="1" s="480">
      <c r="B252" s="169" t="n"/>
      <c r="D252" s="168" t="n"/>
      <c r="E252" s="234" t="inlineStr">
        <is>
          <t>Funzioni AI</t>
        </is>
      </c>
      <c r="F252" s="242" t="inlineStr">
        <is>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is>
      </c>
      <c r="G252" s="237" t="n"/>
      <c r="H252" s="242" t="inlineStr">
        <is>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is>
      </c>
      <c r="I252" s="242" t="inlineStr">
        <is>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is>
      </c>
      <c r="J252" s="242" t="inlineStr">
        <is>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is>
      </c>
      <c r="K252" s="237" t="n"/>
      <c r="L252" s="238" t="n"/>
    </row>
    <row r="253">
      <c r="A253" s="181" t="inlineStr">
        <is>
          <t>BRK_Fire_Safety_&amp;_Running_Capability</t>
        </is>
      </c>
      <c r="B253" s="367" t="n"/>
      <c r="C253" s="181" t="n"/>
      <c r="D253" s="368" t="inlineStr">
        <is>
          <t>\</t>
        </is>
      </c>
      <c r="E253" s="162" t="n"/>
      <c r="F253" s="163" t="n"/>
      <c r="G253" s="163" t="n"/>
      <c r="H253" s="163" t="n"/>
      <c r="I253" s="163" t="n"/>
      <c r="J253" s="163" t="n"/>
      <c r="K253" s="163" t="n"/>
      <c r="L253" s="164" t="n"/>
    </row>
    <row r="254" outlineLevel="1" collapsed="1" s="480">
      <c r="B254" s="169" t="n"/>
      <c r="C254" s="338" t="inlineStr">
        <is>
          <t>CONFIG</t>
        </is>
      </c>
      <c r="D254" s="369" t="inlineStr">
        <is>
          <t>FRS_Brake Control</t>
        </is>
      </c>
      <c r="E254" s="370" t="inlineStr">
        <is>
          <t>Link</t>
        </is>
      </c>
      <c r="F254" s="340">
        <f t="array" ref="F254">HYPERLINK(CONCATENATE(Cartelle!$D$5,F$1,"/",$C254,"/",MID($D254,1,FIND("_",$D254)-1),"/",INDIRECT(CONCATENATE("'" &amp; $C254 &amp; "'!",ADDRESS(MATCH($D254, INDIRECT("'" &amp; $C254 &amp; "'!$B:$B"), 0),MATCH(F$1, INDIRECT("'" &amp; $C254 &amp; "'!$1:$1"), 0)))),".",INDIRECT(CONCATENATE("'"&amp;$C254&amp;"'!",ADDRESS(MATCH($D254,INDIRECT("'"&amp;$C254&amp;"'!$B:$B"),0),3))),"#page=",F255),CONCATENATE("#Sharepoint//",$D254))</f>
        <v/>
      </c>
      <c r="G254" s="352" t="n"/>
      <c r="H254" s="340">
        <f t="array" ref="H254">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
      </c>
      <c r="I254" s="340">
        <f t="array" ref="I254">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
      </c>
      <c r="J254" s="340">
        <f t="array" ref="J254">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
      </c>
      <c r="K254" s="359" t="n"/>
      <c r="L254" s="359" t="n"/>
    </row>
    <row r="255" hidden="1" outlineLevel="2" s="480">
      <c r="B255" s="169" t="n"/>
      <c r="D255" s="168" t="n"/>
      <c r="E255" s="167" t="inlineStr">
        <is>
          <t>Rif. Pagina</t>
        </is>
      </c>
      <c r="F255" s="168" t="n">
        <v>233</v>
      </c>
      <c r="G255" s="168" t="n"/>
      <c r="H255" s="168" t="n">
        <v>246</v>
      </c>
      <c r="I255" s="168" t="n">
        <v>242</v>
      </c>
      <c r="J255" s="168" t="n">
        <v>270</v>
      </c>
      <c r="K255" s="168" t="n"/>
      <c r="L255" s="168" t="n"/>
    </row>
    <row r="256" hidden="1" outlineLevel="2" ht="375" customHeight="1" s="480">
      <c r="B256" s="169" t="n"/>
      <c r="D256" s="168" t="n"/>
      <c r="E256" s="234" t="inlineStr">
        <is>
          <t>Funzioni AI</t>
        </is>
      </c>
      <c r="F256" s="242" t="inlineStr">
        <is>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is>
      </c>
      <c r="G256" s="237" t="n"/>
      <c r="H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is>
      </c>
      <c r="I256" s="242" t="inlineStr">
        <is>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is>
      </c>
      <c r="J256" s="242" t="inlineStr">
        <is>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is>
      </c>
      <c r="K256" s="237" t="n"/>
      <c r="L256" s="238" t="n"/>
    </row>
    <row r="257">
      <c r="A257" s="181" t="inlineStr">
        <is>
          <t>BRK_Magnetic_Track_Brake_Optional</t>
        </is>
      </c>
      <c r="B257" s="367" t="n"/>
      <c r="C257" s="181" t="n"/>
      <c r="D257" s="368" t="inlineStr">
        <is>
          <t>\</t>
        </is>
      </c>
      <c r="E257" s="162" t="n"/>
      <c r="F257" s="163" t="n"/>
      <c r="G257" s="163" t="n"/>
      <c r="H257" s="163" t="n"/>
      <c r="I257" s="163" t="n"/>
      <c r="J257" s="163" t="n"/>
      <c r="K257" s="163" t="n"/>
      <c r="L257" s="164" t="n"/>
    </row>
    <row r="258" outlineLevel="1" collapsed="1" s="480">
      <c r="B258" s="169" t="n"/>
      <c r="C258" s="338" t="inlineStr">
        <is>
          <t>CONFIG</t>
        </is>
      </c>
      <c r="D258" s="369" t="inlineStr">
        <is>
          <t>FRS_Brake Control</t>
        </is>
      </c>
      <c r="E258" s="370" t="inlineStr">
        <is>
          <t>Link</t>
        </is>
      </c>
      <c r="F258" s="340">
        <f t="array" ref="F258">HYPERLINK(CONCATENATE(Cartelle!$D$5,F$1,"/",$C258,"/",MID($D258,1,FIND("_",$D258)-1),"/",INDIRECT(CONCATENATE("'" &amp; $C258 &amp; "'!",ADDRESS(MATCH($D258, INDIRECT("'" &amp; $C258 &amp; "'!$B:$B"), 0),MATCH(F$1, INDIRECT("'" &amp; $C258 &amp; "'!$1:$1"), 0)))),".",INDIRECT(CONCATENATE("'"&amp;$C258&amp;"'!",ADDRESS(MATCH($D258,INDIRECT("'"&amp;$C258&amp;"'!$B:$B"),0),3))),"#page=",F259),CONCATENATE("#Sharepoint//",$D258))</f>
        <v/>
      </c>
      <c r="G258" s="352" t="n"/>
      <c r="H258" s="340">
        <f t="array" ref="H258">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
      </c>
      <c r="I258" s="340">
        <f t="array" ref="I258">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
      </c>
      <c r="J258" s="340">
        <f t="array" ref="J258">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
      </c>
      <c r="K258" s="359" t="n"/>
      <c r="L258" s="359" t="n"/>
    </row>
    <row r="259" hidden="1" outlineLevel="2" s="480">
      <c r="B259" s="169" t="n"/>
      <c r="D259" s="166" t="n"/>
      <c r="E259" s="165" t="inlineStr">
        <is>
          <t>Rif. Pagina</t>
        </is>
      </c>
      <c r="F259" s="166" t="n">
        <v>234</v>
      </c>
      <c r="G259" s="166" t="n"/>
      <c r="H259" s="166" t="n">
        <v>247</v>
      </c>
      <c r="I259" s="166" t="n"/>
      <c r="J259" s="166" t="n"/>
      <c r="K259" s="166" t="n"/>
      <c r="L259" s="166" t="n"/>
    </row>
    <row r="260" hidden="1" outlineLevel="2" ht="390" customHeight="1" s="480">
      <c r="B260" s="169" t="n"/>
      <c r="D260" s="168" t="n"/>
      <c r="E260" s="234" t="inlineStr">
        <is>
          <t>Funzioni AI</t>
        </is>
      </c>
      <c r="F260" s="242" t="inlineStr">
        <is>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is>
      </c>
      <c r="G260" s="237" t="n"/>
      <c r="H260" s="242" t="inlineStr">
        <is>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is>
      </c>
      <c r="I260" s="242" t="inlineStr">
        <is>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is>
      </c>
      <c r="J260" s="242" t="inlineStr">
        <is>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is>
      </c>
      <c r="K260" s="237" t="n"/>
      <c r="L260" s="238" t="n"/>
    </row>
    <row r="261">
      <c r="A261" s="181" t="inlineStr">
        <is>
          <t>BOG_Flange_Lubrication</t>
        </is>
      </c>
      <c r="B261" s="367" t="n"/>
      <c r="C261" s="181" t="n"/>
      <c r="D261" s="368" t="inlineStr">
        <is>
          <t>\</t>
        </is>
      </c>
      <c r="E261" s="162" t="n"/>
      <c r="F261" s="163" t="n"/>
      <c r="G261" s="163" t="n"/>
      <c r="H261" s="163" t="n"/>
      <c r="I261" s="163" t="n"/>
      <c r="J261" s="163" t="n"/>
      <c r="K261" s="163" t="n"/>
      <c r="L261" s="164" t="n"/>
    </row>
    <row r="262" outlineLevel="1" collapsed="1" s="480">
      <c r="B262" s="169" t="n"/>
      <c r="C262" s="338" t="inlineStr">
        <is>
          <t>CONFIG</t>
        </is>
      </c>
      <c r="D262" s="369" t="inlineStr">
        <is>
          <t>FRS_Bogies</t>
        </is>
      </c>
      <c r="E262" s="370" t="inlineStr">
        <is>
          <t>Link</t>
        </is>
      </c>
      <c r="F262" s="340">
        <f t="array" ref="F262">HYPERLINK(CONCATENATE(Cartelle!$D$5,F$1,"/",$C262,"/",MID($D262,1,FIND("_",$D262)-1),"/",INDIRECT(CONCATENATE("'" &amp; $C262 &amp; "'!",ADDRESS(MATCH($D262, INDIRECT("'" &amp; $C262 &amp; "'!$B:$B"), 0),MATCH(F$1, INDIRECT("'" &amp; $C262 &amp; "'!$1:$1"), 0)))),".",INDIRECT(CONCATENATE("'"&amp;$C262&amp;"'!",ADDRESS(MATCH($D262,INDIRECT("'"&amp;$C262&amp;"'!$B:$B"),0),3))),"#page=",F263),CONCATENATE("#Sharepoint//",$D262))</f>
        <v/>
      </c>
      <c r="G262" s="340">
        <f t="array" ref="G262">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
      </c>
      <c r="H262" s="352" t="n"/>
      <c r="I262" s="363" t="n"/>
      <c r="J262" s="340">
        <f t="array" ref="J262">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
      </c>
      <c r="K262" s="359" t="n"/>
      <c r="L262" s="359" t="n"/>
    </row>
    <row r="263" hidden="1" outlineLevel="2" s="480">
      <c r="B263" s="169" t="n"/>
      <c r="D263" s="168" t="n"/>
      <c r="E263" s="167" t="inlineStr">
        <is>
          <t>Rif. Pagina</t>
        </is>
      </c>
      <c r="F263" s="168" t="n">
        <v>11</v>
      </c>
      <c r="G263" s="168" t="n">
        <v>10</v>
      </c>
      <c r="H263" s="168" t="n"/>
      <c r="I263" s="168" t="n"/>
      <c r="J263" s="168" t="n">
        <v>11</v>
      </c>
      <c r="K263" s="168" t="n"/>
      <c r="L263" s="168" t="n"/>
    </row>
    <row r="264" hidden="1" outlineLevel="2" ht="409.5" customHeight="1" s="480">
      <c r="B264" s="169" t="n"/>
      <c r="D264" s="168" t="n"/>
      <c r="E264" s="234" t="inlineStr">
        <is>
          <t>Funzioni AI</t>
        </is>
      </c>
      <c r="F264" s="242" t="inlineStr">
        <is>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is>
      </c>
      <c r="G264" s="242" t="inlineStr">
        <is>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is>
      </c>
      <c r="H264" s="237" t="n"/>
      <c r="I264" s="237" t="n"/>
      <c r="J264" s="242" t="inlineStr">
        <is>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is>
      </c>
      <c r="K264" s="237" t="n"/>
      <c r="L264" s="238" t="n"/>
    </row>
    <row r="265">
      <c r="A265" s="181" t="inlineStr">
        <is>
          <t>BOG_Hotbox_Detection</t>
        </is>
      </c>
      <c r="B265" s="367" t="n"/>
      <c r="C265" s="181" t="n"/>
      <c r="D265" s="368" t="inlineStr">
        <is>
          <t>\</t>
        </is>
      </c>
      <c r="E265" s="162" t="n"/>
      <c r="F265" s="163" t="n"/>
      <c r="G265" s="163" t="n"/>
      <c r="H265" s="163" t="n"/>
      <c r="I265" s="163" t="n"/>
      <c r="J265" s="163" t="n"/>
      <c r="K265" s="163" t="n"/>
      <c r="L265" s="164" t="n"/>
    </row>
    <row r="266" outlineLevel="1" collapsed="1" s="480">
      <c r="B266" s="169" t="n"/>
      <c r="C266" s="338" t="inlineStr">
        <is>
          <t>CONFIG</t>
        </is>
      </c>
      <c r="D266" s="369" t="inlineStr">
        <is>
          <t>FRS_Bogies</t>
        </is>
      </c>
      <c r="E266" s="370" t="inlineStr">
        <is>
          <t>Link</t>
        </is>
      </c>
      <c r="F266" s="340">
        <f t="array" ref="F266">HYPERLINK(CONCATENATE(Cartelle!$D$5,F$1,"/",$C266,"/",MID($D266,1,FIND("_",$D266)-1),"/",INDIRECT(CONCATENATE("'" &amp; $C266 &amp; "'!",ADDRESS(MATCH($D266, INDIRECT("'" &amp; $C266 &amp; "'!$B:$B"), 0),MATCH(F$1, INDIRECT("'" &amp; $C266 &amp; "'!$1:$1"), 0)))),".",INDIRECT(CONCATENATE("'"&amp;$C266&amp;"'!",ADDRESS(MATCH($D266,INDIRECT("'"&amp;$C266&amp;"'!$B:$B"),0),3))),"#page=",F267),CONCATENATE("#Sharepoint//",$D266))</f>
        <v/>
      </c>
      <c r="G266" s="340">
        <f t="array" ref="G266">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
      </c>
      <c r="H266" s="352" t="n"/>
      <c r="I266" s="363" t="n"/>
      <c r="J266" s="340">
        <f t="array" ref="J266">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
      </c>
      <c r="K266" s="359" t="n"/>
      <c r="L266" s="359" t="n"/>
    </row>
    <row r="267" hidden="1" outlineLevel="2" s="480">
      <c r="B267" s="169" t="n"/>
      <c r="D267" s="168" t="n"/>
      <c r="E267" s="167" t="inlineStr">
        <is>
          <t>Rif. Pagina</t>
        </is>
      </c>
      <c r="F267" s="168" t="n">
        <v>14</v>
      </c>
      <c r="G267" s="168" t="n">
        <v>12</v>
      </c>
      <c r="H267" s="168" t="n"/>
      <c r="I267" s="168" t="n"/>
      <c r="J267" s="168" t="n">
        <v>14</v>
      </c>
      <c r="K267" s="168" t="n"/>
      <c r="L267" s="168" t="n"/>
    </row>
    <row r="268" hidden="1" outlineLevel="2" ht="409.5" customHeight="1" s="480">
      <c r="B268" s="169" t="n"/>
      <c r="D268" s="168" t="n"/>
      <c r="E268" s="234" t="inlineStr">
        <is>
          <t>Funzioni AI</t>
        </is>
      </c>
      <c r="F268" s="242" t="inlineStr">
        <is>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is>
      </c>
      <c r="G268" s="243" t="inlineStr">
        <is>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is>
      </c>
      <c r="H268" s="237" t="n"/>
      <c r="I268" s="237" t="n"/>
      <c r="J268" s="243" t="inlineStr">
        <is>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is>
      </c>
      <c r="K268" s="237" t="n"/>
      <c r="L268" s="238" t="n"/>
    </row>
    <row r="269" hidden="1" outlineLevel="2" ht="409.5" customHeight="1" s="480">
      <c r="A269" s="103" t="n"/>
      <c r="B269" s="175" t="n"/>
      <c r="C269" s="104" t="n"/>
      <c r="D269" s="346" t="n"/>
      <c r="E269" s="218" t="inlineStr">
        <is>
          <t>Approfondimenti
(data 01/07/2026)</t>
        </is>
      </c>
      <c r="F269" s="343" t="inlineStr">
        <is>
          <t>Europe.CONCEPT.392: in caso di bypass DNRA, limite velocità a 200 km/h
Europe.CONCEPT.355: evento di warning se Temp gearbox &gt;= 145 °C</t>
        </is>
      </c>
      <c r="G269" s="343" t="inlineStr">
        <is>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is>
      </c>
      <c r="H269" s="217" t="n"/>
      <c r="I269" s="217" t="n"/>
      <c r="J269" s="217" t="inlineStr">
        <is>
          <t>TBD</t>
        </is>
      </c>
      <c r="K269" s="217" t="n"/>
      <c r="L269" s="217" t="n"/>
    </row>
    <row r="270" outlineLevel="1" collapsed="1" s="480">
      <c r="A270" s="373" t="n"/>
      <c r="B270" s="374" t="n"/>
      <c r="C270" s="338" t="inlineStr">
        <is>
          <t>CONFIG</t>
        </is>
      </c>
      <c r="D270" s="338" t="inlineStr">
        <is>
          <t>FS_DM1</t>
        </is>
      </c>
      <c r="E270" s="339" t="inlineStr">
        <is>
          <t>Link</t>
        </is>
      </c>
      <c r="F270" s="340">
        <f t="array" ref="F270">HYPERLINK(CONCATENATE(Cartelle!$D$5,F$1,"/",$C270,"/",MID($D270,1,FIND("_",$D270)-1),"/",INDIRECT(CONCATENATE("'" &amp; $C270 &amp; "'!",ADDRESS(MATCH($D270, INDIRECT("'" &amp; $C270 &amp; "'!$B:$B"), 0),MATCH(F$1, INDIRECT("'" &amp; $C270 &amp; "'!$1:$1"), 0)))),".",INDIRECT(CONCATENATE("'"&amp;$C270&amp;"'!",ADDRESS(MATCH($D270,INDIRECT("'"&amp;$C270&amp;"'!$B:$B"),0),3))),"#page=",F271),CONCATENATE("#Sharepoint//",$D270))</f>
        <v/>
      </c>
      <c r="G270" s="338" t="n"/>
      <c r="H270" s="338" t="n"/>
      <c r="I270" s="338" t="n"/>
      <c r="J270" s="340">
        <f t="array" ref="J270">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
      </c>
      <c r="K270" s="341" t="n"/>
      <c r="L270" s="338" t="n"/>
    </row>
    <row r="271" hidden="1" outlineLevel="2" s="480">
      <c r="A271" s="103" t="n"/>
      <c r="B271" s="175" t="n"/>
      <c r="C271" s="104" t="n"/>
      <c r="D271" s="217" t="n"/>
      <c r="E271" s="218" t="inlineStr">
        <is>
          <t>Rif. Pagina</t>
        </is>
      </c>
      <c r="F271" s="217" t="n">
        <v>388</v>
      </c>
      <c r="G271" s="217" t="n"/>
      <c r="H271" s="217" t="n"/>
      <c r="I271" s="217" t="n"/>
      <c r="J271" s="217" t="n">
        <v>264</v>
      </c>
      <c r="K271" s="343" t="n"/>
      <c r="L271" s="217" t="n"/>
    </row>
    <row r="272" hidden="1" outlineLevel="2" ht="150" customHeight="1" s="480">
      <c r="A272" s="103" t="n"/>
      <c r="B272" s="175" t="n"/>
      <c r="C272" s="104" t="n"/>
      <c r="D272" s="217" t="n"/>
      <c r="E272" s="218" t="inlineStr">
        <is>
          <t>Componenti circuito elettrico
(da 01/07/2026)</t>
        </is>
      </c>
      <c r="F272" s="343" t="inlineStr">
        <is>
          <t>GC-Q024 = Relè abilitazione cabina LCA
GC-Q026 = Relè abilitazione cabina LCA
SB-K018 = Relè accoppiamento
JB-K003 = Relè apertura Loop HABD
JB-K004 = Relè apertura Loop HABD
GG-K016 = Relè apertura Loop DNRA
GG-K017 = Relè apertura Loop DNRA
GC-A018 H2B = spia Locked Axle</t>
        </is>
      </c>
      <c r="G272" s="217" t="n"/>
      <c r="H272" s="217" t="n"/>
      <c r="I272" s="217" t="n"/>
      <c r="J272" s="343" t="inlineStr">
        <is>
          <t>JB-K003 = Relè apertura Loop HABD
JB-K004 = Relè apertura Loop HABD
JE-K009 = RIO OTC_FUSE_LOOP
JE-K010 = RIO OTC_FUSE LOOP
GC-A018 H2B = spia HABD Alarm</t>
        </is>
      </c>
      <c r="K272" s="343" t="n"/>
      <c r="L272" s="217" t="n"/>
    </row>
    <row r="273" hidden="1" outlineLevel="2" ht="345" customHeight="1" s="480">
      <c r="A273" s="103" t="n"/>
      <c r="B273" s="175" t="n"/>
      <c r="C273" s="104" t="n"/>
      <c r="D273" s="217" t="n"/>
      <c r="E273" s="218" t="inlineStr">
        <is>
          <t>Descrizione circuitale
(da 01/07/2026)</t>
        </is>
      </c>
      <c r="F273" s="343" t="inlineStr">
        <is>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is>
      </c>
      <c r="G273" s="217" t="n"/>
      <c r="H273" s="217" t="n"/>
      <c r="I273" s="217" t="n"/>
      <c r="J273" s="343" t="inlineStr">
        <is>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is>
      </c>
      <c r="K273" s="343" t="n"/>
      <c r="L273" s="217" t="n"/>
    </row>
    <row r="274">
      <c r="A274" s="181" t="inlineStr">
        <is>
          <t>BOG_Instability_Monitoring</t>
        </is>
      </c>
      <c r="B274" s="367" t="n"/>
      <c r="C274" s="181" t="n"/>
      <c r="D274" s="368" t="inlineStr">
        <is>
          <t>\</t>
        </is>
      </c>
      <c r="E274" s="162" t="n"/>
      <c r="F274" s="163" t="n"/>
      <c r="G274" s="163" t="n"/>
      <c r="H274" s="163" t="n"/>
      <c r="I274" s="163" t="n"/>
      <c r="J274" s="163" t="n"/>
      <c r="K274" s="163" t="n"/>
      <c r="L274" s="164" t="n"/>
    </row>
    <row r="275" outlineLevel="1" collapsed="1" s="480">
      <c r="B275" s="169" t="n"/>
      <c r="C275" s="338" t="inlineStr">
        <is>
          <t>CONFIG</t>
        </is>
      </c>
      <c r="D275" s="369" t="inlineStr">
        <is>
          <t>FRS_Bogies</t>
        </is>
      </c>
      <c r="E275" s="370" t="inlineStr">
        <is>
          <t>Link</t>
        </is>
      </c>
      <c r="F275" s="340">
        <f t="array" ref="F275">HYPERLINK(CONCATENATE(Cartelle!$D$5,F$1,"/",$C275,"/",MID($D275,1,FIND("_",$D275)-1),"/",INDIRECT(CONCATENATE("'" &amp; $C275 &amp; "'!",ADDRESS(MATCH($D275, INDIRECT("'" &amp; $C275 &amp; "'!$B:$B"), 0),MATCH(F$1, INDIRECT("'" &amp; $C275 &amp; "'!$1:$1"), 0)))),".",INDIRECT(CONCATENATE("'"&amp;$C275&amp;"'!",ADDRESS(MATCH($D275,INDIRECT("'"&amp;$C275&amp;"'!$B:$B"),0),3))),"#page=",F276),CONCATENATE("#Sharepoint//",$D275))</f>
        <v/>
      </c>
      <c r="G275" s="340">
        <f t="array" ref="G275">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
      </c>
      <c r="H275" s="352" t="n"/>
      <c r="I275" s="363" t="n"/>
      <c r="J275" s="340">
        <f t="array" ref="J275">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
      </c>
      <c r="K275" s="359" t="n"/>
      <c r="L275" s="359" t="n"/>
    </row>
    <row r="276" hidden="1" outlineLevel="2" s="480">
      <c r="B276" s="169" t="n"/>
      <c r="D276" s="168" t="n"/>
      <c r="E276" s="167" t="inlineStr">
        <is>
          <t>Rif. Pagina</t>
        </is>
      </c>
      <c r="F276" s="168" t="n">
        <v>20</v>
      </c>
      <c r="G276" s="168" t="n">
        <v>20</v>
      </c>
      <c r="H276" s="168" t="n"/>
      <c r="I276" s="168" t="n"/>
      <c r="J276" s="168" t="n">
        <v>36</v>
      </c>
      <c r="K276" s="168" t="n"/>
      <c r="L276" s="168" t="n"/>
    </row>
    <row r="277" hidden="1" outlineLevel="2" ht="405" customHeight="1" s="480">
      <c r="B277" s="169" t="n"/>
      <c r="D277" s="168" t="n"/>
      <c r="E277" s="234" t="inlineStr">
        <is>
          <t>Funzioni AI</t>
        </is>
      </c>
      <c r="F277" s="242" t="inlineStr">
        <is>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is>
      </c>
      <c r="G277" s="242" t="inlineStr">
        <is>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is>
      </c>
      <c r="H277" s="237" t="n"/>
      <c r="I277" s="237" t="n"/>
      <c r="J277" s="242" t="inlineStr">
        <is>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is>
      </c>
      <c r="K277" s="237" t="n"/>
      <c r="L277" s="238" t="n"/>
    </row>
    <row r="278">
      <c r="A278" s="181" t="inlineStr">
        <is>
          <t>BOG_Active_Lateral_Suspension_(ALS)</t>
        </is>
      </c>
      <c r="B278" s="367" t="n"/>
      <c r="C278" s="181" t="n"/>
      <c r="D278" s="368" t="inlineStr">
        <is>
          <t>\</t>
        </is>
      </c>
      <c r="E278" s="162" t="n"/>
      <c r="F278" s="163" t="n"/>
      <c r="G278" s="163" t="n"/>
      <c r="H278" s="163" t="n"/>
      <c r="I278" s="163" t="n"/>
      <c r="J278" s="163" t="n"/>
      <c r="K278" s="163" t="n"/>
      <c r="L278" s="164" t="n"/>
    </row>
    <row r="279" outlineLevel="1" collapsed="1" s="480">
      <c r="B279" s="169" t="n"/>
      <c r="C279" s="338" t="inlineStr">
        <is>
          <t>CONFIG</t>
        </is>
      </c>
      <c r="D279" s="369" t="inlineStr">
        <is>
          <t>FRS_Bogies</t>
        </is>
      </c>
      <c r="E279" s="370" t="inlineStr">
        <is>
          <t>Link</t>
        </is>
      </c>
      <c r="F279" s="340">
        <f t="array" ref="F279">HYPERLINK(CONCATENATE(Cartelle!$D$5,F$1,"/",$C279,"/",MID($D279,1,FIND("_",$D279)-1),"/",INDIRECT(CONCATENATE("'" &amp; $C279 &amp; "'!",ADDRESS(MATCH($D279, INDIRECT("'" &amp; $C279 &amp; "'!$B:$B"), 0),MATCH(F$1, INDIRECT("'" &amp; $C279 &amp; "'!$1:$1"), 0)))),".",INDIRECT(CONCATENATE("'"&amp;$C279&amp;"'!",ADDRESS(MATCH($D279,INDIRECT("'"&amp;$C279&amp;"'!$B:$B"),0),3))),"#page=",F280),CONCATENATE("#Sharepoint//",$D279))</f>
        <v/>
      </c>
      <c r="G279" s="340">
        <f t="array" ref="G279">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
      </c>
      <c r="H279" s="352" t="n"/>
      <c r="I279" s="363" t="n"/>
      <c r="J279" s="340">
        <f t="array" ref="J279">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
      </c>
      <c r="K279" s="359" t="n"/>
      <c r="L279" s="359" t="n"/>
    </row>
    <row r="280" hidden="1" outlineLevel="2" s="480">
      <c r="B280" s="169" t="n"/>
      <c r="D280" s="168" t="n"/>
      <c r="E280" s="167" t="inlineStr">
        <is>
          <t>Rif. Pagina</t>
        </is>
      </c>
      <c r="F280" s="168" t="n">
        <v>29</v>
      </c>
      <c r="G280" s="168" t="n">
        <v>28</v>
      </c>
      <c r="H280" s="168" t="n"/>
      <c r="I280" s="168" t="n"/>
      <c r="J280" s="168" t="n">
        <v>43</v>
      </c>
      <c r="K280" s="168" t="n"/>
      <c r="L280" s="168" t="n"/>
    </row>
    <row r="281" hidden="1" outlineLevel="2" ht="390" customHeight="1" s="480">
      <c r="B281" s="169" t="n"/>
      <c r="D281" s="168" t="n"/>
      <c r="E281" s="234" t="inlineStr">
        <is>
          <t>Funzioni AI</t>
        </is>
      </c>
      <c r="F281" s="242" t="inlineStr">
        <is>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is>
      </c>
      <c r="G281" s="242" t="inlineStr">
        <is>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is>
      </c>
      <c r="H281" s="237" t="n"/>
      <c r="I281" s="237" t="n"/>
      <c r="J281" s="242" t="inlineStr">
        <is>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is>
      </c>
      <c r="K281" s="237" t="n"/>
      <c r="L281" s="238" t="n"/>
    </row>
    <row r="282">
      <c r="A282" s="181" t="inlineStr">
        <is>
          <t>BOG_Diagnostics_&amp;_CBM</t>
        </is>
      </c>
      <c r="B282" s="367" t="n"/>
      <c r="C282" s="181" t="n"/>
      <c r="D282" s="368" t="inlineStr">
        <is>
          <t>\</t>
        </is>
      </c>
      <c r="E282" s="162" t="n"/>
      <c r="F282" s="163" t="n"/>
      <c r="G282" s="163" t="n"/>
      <c r="H282" s="163" t="n"/>
      <c r="I282" s="163" t="n"/>
      <c r="J282" s="163" t="n"/>
      <c r="K282" s="163" t="n"/>
      <c r="L282" s="164" t="n"/>
    </row>
    <row r="283" outlineLevel="1" collapsed="1" s="480">
      <c r="B283" s="169" t="n"/>
      <c r="C283" s="338" t="inlineStr">
        <is>
          <t>CONFIG</t>
        </is>
      </c>
      <c r="D283" s="369" t="inlineStr">
        <is>
          <t>FRS_Bogies</t>
        </is>
      </c>
      <c r="E283" s="370" t="inlineStr">
        <is>
          <t>Link</t>
        </is>
      </c>
      <c r="F283" s="340">
        <f t="array" ref="F283">HYPERLINK(CONCATENATE(Cartelle!$D$5,F$1,"/",$C283,"/",MID($D283,1,FIND("_",$D283)-1),"/",INDIRECT(CONCATENATE("'" &amp; $C283 &amp; "'!",ADDRESS(MATCH($D283, INDIRECT("'" &amp; $C283 &amp; "'!$B:$B"), 0),MATCH(F$1, INDIRECT("'" &amp; $C283 &amp; "'!$1:$1"), 0)))),".",INDIRECT(CONCATENATE("'"&amp;$C283&amp;"'!",ADDRESS(MATCH($D283,INDIRECT("'"&amp;$C283&amp;"'!$B:$B"),0),3))),"#page=",F284),CONCATENATE("#Sharepoint//",$D283))</f>
        <v/>
      </c>
      <c r="G283" s="340">
        <f t="array" ref="G283">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
      </c>
      <c r="H283" s="352" t="n"/>
      <c r="I283" s="363" t="n"/>
      <c r="J283" s="340">
        <f t="array" ref="J283">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
      </c>
      <c r="K283" s="359" t="n"/>
      <c r="L283" s="359" t="n"/>
    </row>
    <row r="284" hidden="1" outlineLevel="2" s="480">
      <c r="B284" s="169" t="n"/>
      <c r="D284" s="166" t="n"/>
      <c r="E284" s="165" t="inlineStr">
        <is>
          <t>Rif. Pagina</t>
        </is>
      </c>
      <c r="F284" s="166" t="n">
        <v>31</v>
      </c>
      <c r="G284" s="166" t="n">
        <v>29</v>
      </c>
      <c r="H284" s="166" t="n"/>
      <c r="I284" s="166" t="n">
        <v>29</v>
      </c>
      <c r="J284" s="166" t="n">
        <v>44</v>
      </c>
      <c r="K284" s="166" t="n"/>
      <c r="L284" s="166" t="n"/>
    </row>
    <row r="285" hidden="1" outlineLevel="2" ht="375" customHeight="1" s="480">
      <c r="B285" s="169" t="n"/>
      <c r="D285" s="168" t="n"/>
      <c r="E285" s="234" t="inlineStr">
        <is>
          <t>Funzioni AI</t>
        </is>
      </c>
      <c r="F285" s="242" t="inlineStr">
        <is>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is>
      </c>
      <c r="G285" s="242" t="inlineStr">
        <is>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is>
      </c>
      <c r="H285" s="237" t="n"/>
      <c r="I285" s="237" t="n"/>
      <c r="J285" s="242" t="inlineStr">
        <is>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is>
      </c>
      <c r="K285" s="237" t="n"/>
      <c r="L285" s="238" t="n"/>
    </row>
  </sheetData>
  <pageMargins left="0.7" right="0.7" top="0.75" bottom="0.75" header="0.3" footer="0.3"/>
  <pageSetup orientation="portrait" paperSize="9" verticalDpi="0"/>
</worksheet>
</file>

<file path=xl/worksheets/sheet10.xml><?xml version="1.0" encoding="utf-8"?>
<worksheet xmlns="http://schemas.openxmlformats.org/spreadsheetml/2006/main">
  <sheetPr>
    <outlinePr summaryBelow="0" summaryRight="0"/>
    <pageSetUpPr/>
  </sheetPr>
  <dimension ref="A1:K80"/>
  <sheetViews>
    <sheetView zoomScale="85" zoomScaleNormal="85" workbookViewId="0">
      <selection activeCell="A5" sqref="A5:XFD69"/>
    </sheetView>
  </sheetViews>
  <sheetFormatPr baseColWidth="8" defaultColWidth="8.7109375" defaultRowHeight="15"/>
  <cols>
    <col width="22.140625" bestFit="1" customWidth="1" style="62" min="1" max="1"/>
    <col width="65.42578125" customWidth="1" style="62" min="2" max="2"/>
    <col width="34.7109375" bestFit="1" customWidth="1" style="62" min="3" max="3"/>
    <col width="34.85546875" customWidth="1" style="62" min="4" max="4"/>
    <col width="35.5703125" customWidth="1" style="10" min="5" max="9"/>
    <col width="14.85546875" customWidth="1" style="10" min="10" max="11"/>
    <col width="8.7109375" customWidth="1" style="59" min="12" max="12"/>
    <col width="33.140625" customWidth="1" style="59" min="13" max="13"/>
    <col width="8.7109375" customWidth="1" style="59" min="14" max="27"/>
    <col width="8.7109375" customWidth="1" style="59" min="28" max="16384"/>
  </cols>
  <sheetData>
    <row r="1" customFormat="1" s="61">
      <c r="A1" s="329" t="inlineStr">
        <is>
          <t>FUNC ID</t>
        </is>
      </c>
      <c r="B1" s="329" t="inlineStr">
        <is>
          <t>DESCRIZIONE</t>
        </is>
      </c>
      <c r="C1" s="299" t="inlineStr">
        <is>
          <t>REQUISITO</t>
        </is>
      </c>
      <c r="D1" s="299" t="inlineStr">
        <is>
          <t>CONFIGURAZIONE APPARTENENZA</t>
        </is>
      </c>
      <c r="E1" s="330" t="inlineStr">
        <is>
          <t>VZI_Base</t>
        </is>
      </c>
      <c r="F1" s="330" t="inlineStr">
        <is>
          <t>VZI_New14</t>
        </is>
      </c>
      <c r="G1" s="441" t="inlineStr">
        <is>
          <t>VZ_FR</t>
        </is>
      </c>
      <c r="H1" s="441" t="inlineStr">
        <is>
          <t>VZ_ES</t>
        </is>
      </c>
      <c r="I1" s="441" t="inlineStr">
        <is>
          <t>VZI-6_R1</t>
        </is>
      </c>
      <c r="J1" s="441" t="inlineStr">
        <is>
          <t>VZI-4_R1</t>
        </is>
      </c>
      <c r="K1" s="82" t="inlineStr">
        <is>
          <t>VZ_DAI</t>
        </is>
      </c>
    </row>
    <row r="2" hidden="1" s="480">
      <c r="A2" s="331" t="inlineStr">
        <is>
          <t>Func_XXX</t>
        </is>
      </c>
      <c r="B2" s="331" t="inlineStr">
        <is>
          <t>xxxxx</t>
        </is>
      </c>
      <c r="C2" s="300" t="n"/>
      <c r="D2" s="300" t="n"/>
      <c r="E2" s="334" t="n"/>
      <c r="F2" s="334" t="n"/>
      <c r="G2" s="334" t="n"/>
      <c r="H2" s="334" t="n"/>
      <c r="I2" s="334" t="n"/>
      <c r="J2" s="334" t="n"/>
      <c r="K2" s="335" t="n"/>
    </row>
    <row r="3" ht="30" customHeight="1" s="480">
      <c r="A3" s="347" t="inlineStr">
        <is>
          <t>LV_Country_code_selection</t>
        </is>
      </c>
      <c r="B3" s="347" t="inlineStr">
        <is>
          <t>Selezione su IDU del paese corrente, per informare la PCU sui pantografi selezionabili</t>
        </is>
      </c>
      <c r="C3" s="301" t="n"/>
      <c r="D3" s="301" t="n"/>
      <c r="E3" s="350" t="n"/>
      <c r="F3" s="350" t="n"/>
      <c r="G3" s="350" t="n"/>
      <c r="H3" s="350" t="n"/>
      <c r="I3" s="350" t="n"/>
      <c r="J3" s="350" t="n"/>
      <c r="K3" s="351" t="n"/>
    </row>
    <row r="4" ht="30" customHeight="1" s="480">
      <c r="C4" s="525" t="inlineStr">
        <is>
          <t>2F_04.01.Zefiro-Europe.CONCEPT.1013</t>
        </is>
      </c>
      <c r="D4"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4" s="525" t="inlineStr">
        <is>
          <t>Description: The selected country code shall be sent to all PCU's in the train.
————————————————————
Type / Applicability Details: Derived Requirement
————————————————————
Derived to: 4S 09.03.05.-.TCMS _ Software
————————————————————
SIL: SIL 2</t>
        </is>
      </c>
      <c r="G4" s="526" t="inlineStr">
        <is>
          <t>MATCHED</t>
        </is>
      </c>
      <c r="H4" s="526" t="inlineStr">
        <is>
          <t>MATCHED</t>
        </is>
      </c>
      <c r="I4" s="526" t="inlineStr">
        <is>
          <t>MATCHED</t>
        </is>
      </c>
    </row>
    <row r="5" ht="30" customHeight="1" s="480">
      <c r="C5" s="525" t="inlineStr">
        <is>
          <t>2F_04.01.Zefiro-Europe.CONCEPT.775</t>
        </is>
      </c>
      <c r="D5"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5" s="525" t="inlineStr">
        <is>
          <t>Description: One of the following country-codes shall be selected by the driver on the IDU: Code Country of operation 1 Italy 2 Austria 3 Belgium 4 France 5 Germany 6 Netherlands 7 Spain 8 Switzerland 0 not defined
————————————————————
Type / Applicability Details: Derived Requirement
————————————————————
Derived to: 4S 09.03.05.-.TCMS _ Software
————————————————————
SIL: SIL 2</t>
        </is>
      </c>
      <c r="G5" s="526" t="inlineStr">
        <is>
          <t>MATCHED</t>
        </is>
      </c>
      <c r="H5" s="527" t="inlineStr">
        <is>
          <t>Description divergente tra VZI_Base e VZ_ES (similarita' 81%, score 0/100).
Dettaglio differenze nella Description:
  • VZI_Base: «selected» → VZ_ES: «used»
  • presente solo in VZ_ES: «tcms depending»
  • VZI_Base: «driver on» → VZ_ES: «country in which»</t>
        </is>
      </c>
      <c r="I5" s="527" t="inlineStr">
        <is>
          <t>Description divergente tra VZI_Base e VZI-6_R1 (similarita' 70%, score 0/100).
Dettaglio differenze nella Description:
  • VZI_Base: «selected» → VZI-6_R1: «used»
  • presente solo in VZI-6_R1: «tcms depending»
  • VZI_Base: «driver on» → VZI-6_R1: «country in which»</t>
        </is>
      </c>
    </row>
    <row r="6" ht="30" customHeight="1" s="480">
      <c r="C6" s="525" t="inlineStr">
        <is>
          <t>2F_04.01.Zefiro-Europe.CONCEPT.797</t>
        </is>
      </c>
      <c r="D6"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6" s="525" t="inlineStr">
        <is>
          <t>Description: In emergency operation mode (emegency operation mode trainline is energised) the latest selected/known country code shall be used and communicated to the PCU (LIM).
————————————————————
Type / Applicability Details: Derived Requirement
————————————————————
Derived to: 4S 09.03.05.-.TCMS _ Software
————————————————————
SIL: SIL 2</t>
        </is>
      </c>
      <c r="G6" s="526" t="inlineStr">
        <is>
          <t>MATCHED</t>
        </is>
      </c>
      <c r="H6" s="526" t="inlineStr">
        <is>
          <t>MATCHED</t>
        </is>
      </c>
      <c r="I6" s="526" t="inlineStr">
        <is>
          <t>MATCHED</t>
        </is>
      </c>
    </row>
    <row r="7" ht="45" customHeight="1" s="480">
      <c r="C7" s="525" t="inlineStr">
        <is>
          <t>2F_04.01.Zefiro-Europe.CONCEPT.965</t>
        </is>
      </c>
      <c r="D7"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7" s="525" t="inlineStr">
        <is>
          <t>Description: The driver shall get a feedback on IDU from propulsion system that the system is prepared for operation in country or selected country-code. The driver has to confirm it on the IDU.
————————————————————
Type / Applicability Details: Derived Requirement
————————————————————
Derived to: 4S 09.03.05.-.TCMS _ Software
————————————————————
SIL: SIL 2</t>
        </is>
      </c>
      <c r="G7" s="526" t="inlineStr">
        <is>
          <t>MATCHED</t>
        </is>
      </c>
      <c r="H7" s="526" t="inlineStr">
        <is>
          <t>MATCHED</t>
        </is>
      </c>
      <c r="I7" s="526" t="inlineStr">
        <is>
          <t>MATCHED</t>
        </is>
      </c>
    </row>
    <row r="8" ht="30" customHeight="1" s="480">
      <c r="C8" s="525" t="inlineStr">
        <is>
          <t>2F_04.01.Zefiro-Europe.TRS.772</t>
        </is>
      </c>
      <c r="D8" s="421" t="inlineStr">
        <is>
          <r>
            <rPr>
              <b val="1"/>
              <color rgb="00BF8F00"/>
            </rPr>
            <t>VZI-6_R1</t>
          </r>
          <r>
            <rPr>
              <b val="1"/>
              <color rgb="FF000000"/>
            </rPr>
            <t xml:space="preserve">, </t>
          </r>
          <r>
            <rPr>
              <b val="1"/>
              <color rgb="001F4E79"/>
            </rPr>
            <t>VZI_Base</t>
          </r>
          <r>
            <rPr>
              <b val="1"/>
              <color rgb="FF000000"/>
            </rPr>
            <t xml:space="preserve">, </t>
          </r>
          <r>
            <rPr>
              <b val="1"/>
              <color rgb="007030A0"/>
            </rPr>
            <t>VZ_ES</t>
          </r>
          <r>
            <rPr>
              <b val="1"/>
              <color rgb="FF000000"/>
            </rPr>
            <t xml:space="preserve">, </t>
          </r>
          <r>
            <rPr>
              <b val="1"/>
              <color rgb="0000703C"/>
            </rPr>
            <t>VZ_FR</t>
          </r>
        </is>
      </c>
      <c r="E8" s="525" t="inlineStr">
        <is>
          <t>Description: _ It shall be possible to select the country which the train will be operated in from the IDU. Possible counties are:  Italy, Austria, Belgium, France, Germany, Netherlands, Spain and Switzerland. The country selection shall be used for country specific configurations such as:  selection of wide or narrow pantograph  levels of line voltage supervision  levels of line current harmonics.
————————————————————
Safety level: SIL 2</t>
        </is>
      </c>
      <c r="G8" s="527" t="inlineStr">
        <is>
          <t>Description divergente tra VZI_Base e VZ_FR (similarita' 89%, score 0/100).</t>
        </is>
      </c>
      <c r="H8" s="527" t="inlineStr">
        <is>
          <t>Description assente in VZ_ES: confronto non possibile, verifica manuale del documento.</t>
        </is>
      </c>
      <c r="I8" s="527" t="inlineStr">
        <is>
          <t>Description divergente tra VZI_Base e VZI-6_R1 (similarita' 77%, score 0/100).
Dettaglio differenze nella Description:
  • VZI_Base: «idu.» → VZI-6_R1: «tod.»
  • VZI_Base: «counties» → VZI-6_R1: «countries»
  • presente solo in VZI-6_R1: «only italy code is operative»</t>
        </is>
      </c>
    </row>
    <row r="9" ht="45" customHeight="1" s="480">
      <c r="C9" s="525" t="inlineStr">
        <is>
          <t>2F_04.01.Zefiro-Europe.CONCEPT.HR01</t>
        </is>
      </c>
      <c r="D9" s="528" t="inlineStr">
        <is>
          <t>VZI-6_R1</t>
        </is>
      </c>
      <c r="I9" s="525" t="inlineStr">
        <is>
          <t>MISS VZI_BASE REQ
The selected country code shall be sent to HVSPs in the train.</t>
        </is>
      </c>
    </row>
    <row r="10" ht="30" customHeight="1" s="480">
      <c r="C10" s="525" t="inlineStr">
        <is>
          <t>2F_04.01.Zefiro-Europe.CONCEPT.HR02</t>
        </is>
      </c>
      <c r="D10" s="528" t="inlineStr">
        <is>
          <t>VZI-6_R1</t>
        </is>
      </c>
      <c r="I10" s="525" t="inlineStr">
        <is>
          <t>MISS VZI_BASE REQ
In emergency operation mode (emegency operation mode trainline is energised) the latest selected/known country code shall be used and communicated to the HVSP.</t>
        </is>
      </c>
    </row>
    <row r="11">
      <c r="C11" s="525" t="inlineStr">
        <is>
          <t>2F_04.01.Zefiro-Europe.CONCEPT.HR03</t>
        </is>
      </c>
      <c r="D11" s="528" t="inlineStr">
        <is>
          <t>VZI-6_R1</t>
        </is>
      </c>
      <c r="I11" s="525" t="inlineStr">
        <is>
          <t>MISS VZI_BASE REQ
It shall not be allowed to select a not available or not defined country code. Note: (Not applicable to VZI-6)</t>
        </is>
      </c>
    </row>
    <row r="12">
      <c r="C12" s="525" t="inlineStr">
        <is>
          <t>2F_04.01.Zefiro-Europe.CONCEPT.HR310</t>
        </is>
      </c>
      <c r="D12" s="528" t="inlineStr">
        <is>
          <t>VZI-6_R1</t>
        </is>
      </c>
      <c r="I12" s="525" t="inlineStr">
        <is>
          <t>MISS VZI_BASE REQ
The country code shall be validated if equal to 1 (Italy code) and check variable = 1.</t>
        </is>
      </c>
    </row>
    <row r="13">
      <c r="A13" s="347" t="inlineStr">
        <is>
          <t>LV_Pantograph_Lifting</t>
        </is>
      </c>
      <c r="B13" s="347" t="inlineStr">
        <is>
          <t>Comando di alzamento pantografo 1 o 2 sulla base di tensione di linea (switch) e paese (IDU) selezionati</t>
        </is>
      </c>
      <c r="C13" s="303" t="n"/>
      <c r="D13" s="303" t="n"/>
      <c r="E13" s="350" t="n"/>
      <c r="F13" s="350" t="n"/>
      <c r="G13" s="350" t="n"/>
      <c r="H13" s="350" t="n"/>
      <c r="I13" s="350" t="n"/>
      <c r="J13" s="350" t="n"/>
      <c r="K13" s="351" t="n"/>
    </row>
    <row r="14" ht="60" customHeight="1" s="480">
      <c r="A14" s="347" t="inlineStr">
        <is>
          <t>LV_Pantograph_Lowering</t>
        </is>
      </c>
      <c r="B14" s="347" t="inlineStr">
        <is>
          <t>Comando di abbassamento pantografo manuale/automatico</t>
        </is>
      </c>
      <c r="C14" s="303" t="n"/>
      <c r="D14" s="303" t="n"/>
      <c r="E14" s="350" t="n"/>
      <c r="F14" s="350" t="n"/>
      <c r="G14" s="350" t="n"/>
      <c r="H14" s="350" t="n"/>
      <c r="I14" s="350" t="n"/>
      <c r="J14" s="350" t="n"/>
      <c r="K14" s="351" t="n"/>
    </row>
    <row r="15" ht="30" customHeight="1" s="480">
      <c r="A15" s="353" t="inlineStr">
        <is>
          <t>LV_Automatic_Dropping_Device_(ADD)</t>
        </is>
      </c>
      <c r="B15" s="354" t="inlineStr">
        <is>
          <t>Dispositivo di abbassamento automatico del pantografo in caso di guasto</t>
        </is>
      </c>
      <c r="C15" s="302" t="n"/>
      <c r="D15" s="302" t="n"/>
      <c r="E15" s="357" t="n"/>
      <c r="F15" s="357" t="n"/>
      <c r="G15" s="357" t="n"/>
      <c r="H15" s="357" t="n"/>
      <c r="I15" s="357" t="n"/>
      <c r="J15" s="357" t="n"/>
      <c r="K15" s="358" t="n"/>
    </row>
    <row r="16" ht="30" customHeight="1" s="480">
      <c r="A16" s="353" t="inlineStr">
        <is>
          <t>LV_Pantograph_Interlock</t>
        </is>
      </c>
      <c r="B16" s="360" t="inlineStr">
        <is>
          <t>Interblocco automatico dei pantografi in caso di guasto rilevato. Il Pdc può bloccare anche manualmente un pantografo per impedirne la selezione</t>
        </is>
      </c>
      <c r="C16" s="302" t="n"/>
      <c r="D16" s="302" t="n"/>
      <c r="E16" s="357" t="n"/>
      <c r="F16" s="357" t="n"/>
      <c r="G16" s="357" t="n"/>
      <c r="H16" s="357" t="n"/>
      <c r="I16" s="357" t="n"/>
      <c r="J16" s="357" t="n"/>
      <c r="K16" s="358" t="n"/>
    </row>
    <row r="17">
      <c r="A17" s="353" t="inlineStr">
        <is>
          <t>LV_Pantograph_Selection</t>
        </is>
      </c>
      <c r="B17" s="360" t="inlineStr">
        <is>
          <t>Selezione del pantografo in base al paese (tipologia/dimensioni pantografo) e al sistema di alimentazione (AC/DC) selezionato</t>
        </is>
      </c>
      <c r="C17" s="302" t="n"/>
      <c r="D17" s="302" t="n"/>
      <c r="E17" s="357" t="n"/>
      <c r="F17" s="357" t="n"/>
      <c r="G17" s="357" t="n"/>
      <c r="H17" s="357" t="n"/>
      <c r="I17" s="357" t="n"/>
      <c r="J17" s="357" t="n"/>
      <c r="K17" s="358" t="n"/>
    </row>
    <row r="18" ht="30" customHeight="1" s="480">
      <c r="A18" s="353" t="inlineStr">
        <is>
          <t>LV_Pantograph_Control_of_Static_Contact_Force</t>
        </is>
      </c>
      <c r="B18" s="360" t="inlineStr">
        <is>
          <t>Controllo della forza statica/pressione del pantografo alzato in funzione del sistema di tensione, della velocità, della direzione di marcia e della posizione del pantografo stesso</t>
        </is>
      </c>
      <c r="C18" s="302" t="n"/>
      <c r="D18" s="302" t="n"/>
      <c r="E18" s="357" t="n"/>
      <c r="F18" s="357" t="n"/>
      <c r="G18" s="357" t="n"/>
      <c r="H18" s="357" t="n"/>
      <c r="I18" s="357" t="n"/>
      <c r="J18" s="357" t="n"/>
      <c r="K18" s="358" t="n"/>
    </row>
    <row r="19" ht="30" customHeight="1" s="480">
      <c r="A19" s="353" t="inlineStr">
        <is>
          <t>LV_Line_Voltage_Supervision</t>
        </is>
      </c>
      <c r="B19" s="360" t="inlineStr">
        <is>
          <t>Controllo della tensione di linea tramite sensori di tensione letti dal sistema di propulsione</t>
        </is>
      </c>
      <c r="C19" s="302" t="n"/>
      <c r="D19" s="302" t="n"/>
      <c r="E19" s="357" t="n"/>
      <c r="F19" s="357" t="n"/>
      <c r="G19" s="357" t="n"/>
      <c r="H19" s="357" t="n"/>
      <c r="I19" s="357" t="n"/>
      <c r="J19" s="357" t="n"/>
      <c r="K19" s="358" t="n"/>
    </row>
    <row r="20" ht="30" customHeight="1" s="480">
      <c r="A20" s="353" t="inlineStr">
        <is>
          <t>LV_Line_Current_Supervision</t>
        </is>
      </c>
      <c r="B20" s="360" t="inlineStr">
        <is>
          <t>Controllo della corrente di linea</t>
        </is>
      </c>
      <c r="C20" s="302" t="n"/>
      <c r="D20" s="302" t="n"/>
      <c r="E20" s="357" t="n"/>
      <c r="F20" s="357" t="n"/>
      <c r="G20" s="357" t="n"/>
      <c r="H20" s="357" t="n"/>
      <c r="I20" s="357" t="n"/>
      <c r="J20" s="357" t="n"/>
      <c r="K20" s="358" t="n"/>
    </row>
    <row r="21" ht="30" customHeight="1" s="480">
      <c r="A21" s="353" t="inlineStr">
        <is>
          <t>LV_Line_Interference_Monitor</t>
        </is>
      </c>
      <c r="B21" s="360" t="inlineStr">
        <is>
          <t>Controllo correnti/interferenze indesiderate di linea</t>
        </is>
      </c>
      <c r="C21" s="302" t="n"/>
      <c r="D21" s="302" t="n"/>
      <c r="E21" s="357" t="n"/>
      <c r="F21" s="357" t="n"/>
      <c r="G21" s="357" t="n"/>
      <c r="H21" s="357" t="n"/>
      <c r="I21" s="357" t="n"/>
      <c r="J21" s="357" t="n"/>
      <c r="K21" s="358" t="n"/>
    </row>
    <row r="22">
      <c r="A22" s="353" t="inlineStr">
        <is>
          <t>LV_LIM_50Hz_protection_bypass</t>
        </is>
      </c>
      <c r="B22" s="360" t="inlineStr">
        <is>
          <t>Bypass della protezione LIM 50 Hz</t>
        </is>
      </c>
      <c r="C22" s="302" t="n"/>
      <c r="D22" s="302" t="n"/>
      <c r="E22" s="357" t="n"/>
      <c r="F22" s="357" t="n"/>
      <c r="G22" s="357" t="n"/>
      <c r="H22" s="357" t="n"/>
      <c r="I22" s="357" t="n"/>
      <c r="J22" s="357" t="n"/>
      <c r="K22" s="358" t="n"/>
    </row>
    <row r="23" ht="30" customHeight="1" s="480">
      <c r="A23" s="353" t="inlineStr">
        <is>
          <t>LV_Neutral_Section_Passing</t>
        </is>
      </c>
      <c r="B23" s="360" t="inlineStr">
        <is>
          <t>Gestione del passaggio in sezione neutra:
- automatica da ATP in caso di tratto neutro al cambio fase
- inizializzata da ATP con selezione manuale deò PdC della tensione di linea, in caso di tratto neutro al cambio tensione</t>
        </is>
      </c>
      <c r="C23" s="304" t="n"/>
      <c r="D23" s="304" t="n"/>
      <c r="E23" s="357" t="n"/>
      <c r="F23" s="357" t="n"/>
      <c r="G23" s="357" t="n"/>
      <c r="H23" s="357" t="n"/>
      <c r="I23" s="357" t="n"/>
      <c r="J23" s="357" t="n"/>
      <c r="K23" s="358" t="n"/>
    </row>
    <row r="24" ht="30" customHeight="1" s="480">
      <c r="A24" s="353" t="inlineStr">
        <is>
          <t>LV_System_Selection</t>
        </is>
      </c>
      <c r="B24" s="360" t="inlineStr">
        <is>
          <t>Selezione tramite commutatore a 4 posizioni della tensione di linea (25 kV AC, 15 kV AC, 3 kV DC o 1,5 kV DC)</t>
        </is>
      </c>
      <c r="C24" s="304" t="n"/>
      <c r="D24" s="304" t="n"/>
      <c r="E24" s="357" t="n"/>
      <c r="F24" s="357" t="n"/>
      <c r="G24" s="357" t="n"/>
      <c r="H24" s="357" t="n"/>
      <c r="I24" s="357" t="n"/>
      <c r="J24" s="357" t="n"/>
      <c r="K24" s="358" t="n"/>
    </row>
    <row r="25">
      <c r="A25" s="353" t="inlineStr">
        <is>
          <t>LV_Line_Circuit_Breaker_Closing</t>
        </is>
      </c>
      <c r="B25" s="360" t="inlineStr">
        <is>
          <t>Chiusura dell’interruttore di linea (LCB) per collegare la tensione di linea al treno</t>
        </is>
      </c>
      <c r="C25" s="304" t="n"/>
      <c r="D25" s="304" t="n"/>
      <c r="E25" s="357" t="n"/>
      <c r="F25" s="357" t="n"/>
      <c r="G25" s="357" t="n"/>
      <c r="H25" s="357" t="n"/>
      <c r="I25" s="357" t="n"/>
      <c r="J25" s="357" t="n"/>
      <c r="K25" s="358" t="n"/>
    </row>
    <row r="26">
      <c r="A26" s="353" t="inlineStr">
        <is>
          <t>LV_Line_Circuit_Breaker_Opening</t>
        </is>
      </c>
      <c r="B26" s="360" t="inlineStr">
        <is>
          <t>Apertura LCB su comando o per intervento protezione</t>
        </is>
      </c>
      <c r="C26" s="304" t="n"/>
      <c r="D26" s="304" t="n"/>
      <c r="E26" s="357" t="n"/>
      <c r="F26" s="357" t="n"/>
      <c r="G26" s="357" t="n"/>
      <c r="H26" s="357" t="n"/>
      <c r="I26" s="357" t="n"/>
      <c r="J26" s="357" t="n"/>
      <c r="K26" s="358" t="n"/>
    </row>
    <row r="27">
      <c r="A27" s="353" t="inlineStr">
        <is>
          <t>LV_Isolate_High_Voltage</t>
        </is>
      </c>
      <c r="B27" s="360" t="inlineStr">
        <is>
          <t>Isolamento di sezioni HV guaste per mantenere disponibile parte della trazione</t>
        </is>
      </c>
      <c r="C27" s="304" t="n"/>
      <c r="D27" s="304" t="n"/>
      <c r="E27" s="357" t="n"/>
      <c r="F27" s="357" t="n"/>
      <c r="G27" s="357" t="n"/>
      <c r="H27" s="357" t="n"/>
      <c r="I27" s="357" t="n"/>
      <c r="J27" s="357" t="n"/>
      <c r="K27" s="358" t="n"/>
    </row>
    <row r="28">
      <c r="A28" s="353" t="inlineStr">
        <is>
          <t>LV_Main_Transformer_cooling_control</t>
        </is>
      </c>
      <c r="B28" s="360" t="inlineStr">
        <is>
          <t>Controllo da parte della PCU della velocità delle ventole del circuito di raffreddamento ad olio</t>
        </is>
      </c>
      <c r="C28" s="304" t="n"/>
      <c r="D28" s="304" t="n"/>
      <c r="E28" s="357" t="n"/>
      <c r="F28" s="357" t="n"/>
      <c r="G28" s="357" t="n"/>
      <c r="H28" s="357" t="n"/>
      <c r="I28" s="357" t="n"/>
      <c r="J28" s="357" t="n"/>
      <c r="K28" s="358" t="n"/>
    </row>
    <row r="29">
      <c r="A29" s="353" t="inlineStr">
        <is>
          <t>LV_Main_Transformer_Supervision</t>
        </is>
      </c>
      <c r="B29" s="360" t="inlineStr">
        <is>
          <t>Controllo da parte della PCU della temperatura del trasformatore e degli induttori linea</t>
        </is>
      </c>
      <c r="C29" s="304" t="n"/>
      <c r="D29" s="304" t="n"/>
      <c r="E29" s="357" t="n"/>
      <c r="F29" s="357" t="n"/>
      <c r="G29" s="357" t="n"/>
      <c r="H29" s="357" t="n"/>
      <c r="I29" s="357" t="n"/>
      <c r="J29" s="357" t="n"/>
      <c r="K29" s="358" t="n"/>
    </row>
    <row r="30">
      <c r="A30" s="353" t="inlineStr">
        <is>
          <t>LV_Energy_Meter</t>
        </is>
      </c>
      <c r="B30" s="360" t="inlineStr">
        <is>
          <t>Sistema di lettura dell'evergia assorbita dal treno e invio a terra dei dati</t>
        </is>
      </c>
      <c r="C30" s="304" t="n"/>
      <c r="D30" s="304" t="n"/>
      <c r="E30" s="357" t="n"/>
      <c r="F30" s="357" t="n"/>
      <c r="G30" s="357" t="n"/>
      <c r="H30" s="357" t="n"/>
      <c r="I30" s="357" t="n"/>
      <c r="J30" s="357" t="n"/>
      <c r="K30" s="358" t="n"/>
    </row>
    <row r="31">
      <c r="A31" s="353" t="inlineStr">
        <is>
          <t>LV_Key_interlocking</t>
        </is>
      </c>
      <c r="B31" s="364" t="inlineStr">
        <is>
          <t>Interblocco tramite giro chiavi del sistema alta tensione</t>
        </is>
      </c>
      <c r="C31" s="304" t="n"/>
      <c r="D31" s="304" t="n"/>
      <c r="E31" s="357" t="n"/>
      <c r="F31" s="357" t="n"/>
      <c r="G31" s="357" t="n"/>
      <c r="H31" s="357" t="n"/>
      <c r="I31" s="357" t="n"/>
      <c r="J31" s="357" t="n"/>
      <c r="K31" s="358" t="n"/>
    </row>
    <row r="32">
      <c r="A32" s="353" t="inlineStr">
        <is>
          <t>LV_Function_Earthing_of_High_Voltage_Supply</t>
        </is>
      </c>
      <c r="B32" s="364" t="inlineStr">
        <is>
          <t>Messa a terra dell'alta tensione per consentire la manutenzione in sicurezza</t>
        </is>
      </c>
      <c r="C32" s="304" t="n"/>
      <c r="D32" s="304" t="n"/>
      <c r="E32" s="357" t="n"/>
      <c r="F32" s="357" t="n"/>
      <c r="G32" s="357" t="n"/>
      <c r="H32" s="357" t="n"/>
      <c r="I32" s="357" t="n"/>
      <c r="J32" s="357" t="n"/>
      <c r="K32" s="358" t="n"/>
    </row>
    <row r="33">
      <c r="A33" s="353" t="inlineStr">
        <is>
          <t>LV_Function_Earthing_of_Converter_boxes</t>
        </is>
      </c>
      <c r="B33" s="364" t="inlineStr">
        <is>
          <t>Messa a terra dei box convertitori per consentire l’accesso e la manutenzione in sicurezza</t>
        </is>
      </c>
      <c r="C33" s="304" t="n"/>
      <c r="D33" s="304" t="n"/>
      <c r="E33" s="357" t="n"/>
      <c r="F33" s="357" t="n"/>
      <c r="G33" s="357" t="n"/>
      <c r="H33" s="357" t="n"/>
      <c r="I33" s="357" t="n"/>
      <c r="J33" s="357" t="n"/>
      <c r="K33" s="358" t="n"/>
    </row>
    <row r="34">
      <c r="A34" s="353" t="inlineStr">
        <is>
          <t>LV_HVAC_pre-conditioning_on_DC_line</t>
        </is>
      </c>
      <c r="B34" s="364" t="inlineStr">
        <is>
          <t>Funzione per alimentare gli HVAC senza superare i limiti di corrente</t>
        </is>
      </c>
      <c r="C34" s="304" t="n"/>
      <c r="D34" s="304" t="n"/>
      <c r="E34" s="357" t="n"/>
      <c r="F34" s="357" t="n"/>
      <c r="G34" s="357" t="n"/>
      <c r="H34" s="357" t="n"/>
      <c r="I34" s="357" t="n"/>
      <c r="J34" s="357" t="n"/>
      <c r="K34" s="358" t="n"/>
    </row>
    <row r="35">
      <c r="A35" s="353" t="inlineStr">
        <is>
          <t>AUX_Function_General</t>
        </is>
      </c>
      <c r="B35" s="360" t="n"/>
      <c r="C35" s="304" t="n"/>
      <c r="D35" s="304" t="n"/>
      <c r="E35" s="357" t="n"/>
      <c r="F35" s="357" t="n"/>
      <c r="G35" s="357" t="n"/>
      <c r="H35" s="357" t="n"/>
      <c r="I35" s="357" t="n"/>
      <c r="J35" s="357" t="n"/>
      <c r="K35" s="358" t="n"/>
    </row>
    <row r="36">
      <c r="A36" s="353" t="inlineStr">
        <is>
          <t>AUX_Activation_and_Synchronisation_of_ACM</t>
        </is>
      </c>
      <c r="B36" s="360" t="n"/>
      <c r="C36" s="304" t="n"/>
      <c r="D36" s="304" t="n"/>
      <c r="E36" s="357" t="n"/>
      <c r="F36" s="357" t="n"/>
      <c r="G36" s="357" t="n"/>
      <c r="H36" s="357" t="n"/>
      <c r="I36" s="357" t="n"/>
      <c r="J36" s="357" t="n"/>
      <c r="K36" s="358" t="n"/>
    </row>
    <row r="37">
      <c r="A37" s="353" t="inlineStr">
        <is>
          <t>AUX_ACM_reset</t>
        </is>
      </c>
      <c r="B37" s="360" t="n"/>
      <c r="C37" s="304" t="n"/>
      <c r="D37" s="304" t="n"/>
      <c r="E37" s="357" t="n"/>
      <c r="F37" s="357" t="n"/>
      <c r="G37" s="357" t="n"/>
      <c r="H37" s="357" t="n"/>
      <c r="I37" s="357" t="n"/>
      <c r="J37" s="357" t="n"/>
      <c r="K37" s="358" t="n"/>
    </row>
    <row r="38">
      <c r="A38" s="353" t="inlineStr">
        <is>
          <t>AUX_AC_on_Board_Supply_System</t>
        </is>
      </c>
      <c r="B38" s="360" t="n"/>
      <c r="C38" s="304" t="n"/>
      <c r="D38" s="304" t="n"/>
      <c r="E38" s="357" t="n"/>
      <c r="F38" s="357" t="n"/>
      <c r="G38" s="357" t="n"/>
      <c r="H38" s="357" t="n"/>
      <c r="I38" s="357" t="n"/>
      <c r="J38" s="357" t="n"/>
      <c r="K38" s="358" t="n"/>
    </row>
    <row r="39">
      <c r="A39" s="353" t="inlineStr">
        <is>
          <t>AUX_External_Power_Supply</t>
        </is>
      </c>
      <c r="B39" s="360" t="n"/>
      <c r="C39" s="304" t="n"/>
      <c r="D39" s="304" t="n"/>
      <c r="E39" s="357" t="n"/>
      <c r="F39" s="357" t="n"/>
      <c r="G39" s="357" t="n"/>
      <c r="H39" s="357" t="n"/>
      <c r="I39" s="357" t="n"/>
      <c r="J39" s="357" t="n"/>
      <c r="K39" s="358" t="n"/>
    </row>
    <row r="40">
      <c r="A40" s="353" t="inlineStr">
        <is>
          <t>AUX_Earthing_switch</t>
        </is>
      </c>
      <c r="B40" s="360" t="n"/>
      <c r="C40" s="304" t="n"/>
      <c r="D40" s="304" t="n"/>
      <c r="E40" s="357" t="n"/>
      <c r="F40" s="357" t="n"/>
      <c r="G40" s="357" t="n"/>
      <c r="H40" s="357" t="n"/>
      <c r="I40" s="357" t="n"/>
      <c r="J40" s="357" t="n"/>
      <c r="K40" s="358" t="n"/>
    </row>
    <row r="41">
      <c r="A41" s="353" t="inlineStr">
        <is>
          <t>AUX_230V,_50Hz_Sockets</t>
        </is>
      </c>
      <c r="B41" s="360" t="n"/>
      <c r="C41" s="304" t="n"/>
      <c r="D41" s="304" t="n"/>
      <c r="E41" s="357" t="n"/>
      <c r="F41" s="357" t="n"/>
      <c r="G41" s="357" t="n"/>
      <c r="H41" s="357" t="n"/>
      <c r="I41" s="357" t="n"/>
      <c r="J41" s="357" t="n"/>
      <c r="K41" s="358" t="n"/>
    </row>
    <row r="42">
      <c r="A42" s="353" t="inlineStr">
        <is>
          <t>AUX_Mini_Circuit_Breaker_Supervision</t>
        </is>
      </c>
      <c r="B42" s="360" t="n"/>
      <c r="C42" s="304" t="n"/>
      <c r="D42" s="304" t="n"/>
      <c r="E42" s="357" t="n"/>
      <c r="F42" s="357" t="n"/>
      <c r="G42" s="357" t="n"/>
      <c r="H42" s="357" t="n"/>
      <c r="I42" s="357" t="n"/>
      <c r="J42" s="357" t="n"/>
      <c r="K42" s="358" t="n"/>
    </row>
    <row r="43">
      <c r="A43" s="181" t="inlineStr">
        <is>
          <t>BAT_Failure_cases_battery_system</t>
        </is>
      </c>
      <c r="B43" s="367" t="n"/>
      <c r="C43" s="304" t="n"/>
      <c r="D43" s="304" t="n"/>
      <c r="E43" s="163" t="n"/>
      <c r="F43" s="163" t="n"/>
      <c r="G43" s="163" t="n"/>
      <c r="H43" s="163" t="n"/>
      <c r="I43" s="163" t="n"/>
      <c r="J43" s="163" t="n"/>
      <c r="K43" s="164" t="n"/>
    </row>
    <row r="44">
      <c r="A44" s="181" t="inlineStr">
        <is>
          <t>BAT_Function_Battery_Isolation</t>
        </is>
      </c>
      <c r="B44" s="367" t="n"/>
      <c r="C44" s="304" t="n"/>
      <c r="D44" s="304" t="n"/>
      <c r="E44" s="163" t="n"/>
      <c r="F44" s="163" t="n"/>
      <c r="G44" s="163" t="n"/>
      <c r="H44" s="163" t="n"/>
      <c r="I44" s="163" t="n"/>
      <c r="J44" s="163" t="n"/>
      <c r="K44" s="164" t="n"/>
    </row>
    <row r="45">
      <c r="A45" s="181" t="inlineStr">
        <is>
          <t>BAT_Battery_Contactors</t>
        </is>
      </c>
      <c r="B45" s="367" t="n"/>
      <c r="C45" s="304" t="n"/>
      <c r="D45" s="304" t="n"/>
      <c r="E45" s="163" t="n"/>
      <c r="F45" s="163" t="n"/>
      <c r="G45" s="163" t="n"/>
      <c r="H45" s="163" t="n"/>
      <c r="I45" s="163" t="n"/>
      <c r="J45" s="163" t="n"/>
      <c r="K45" s="164" t="n"/>
    </row>
    <row r="46">
      <c r="A46" s="181" t="inlineStr">
        <is>
          <t>BAT_Load_Shed_Contactors</t>
        </is>
      </c>
      <c r="B46" s="367" t="n"/>
      <c r="C46" s="304" t="n"/>
      <c r="D46" s="304" t="n"/>
      <c r="E46" s="163" t="n"/>
      <c r="F46" s="163" t="n"/>
      <c r="G46" s="163" t="n"/>
      <c r="H46" s="163" t="n"/>
      <c r="I46" s="163" t="n"/>
      <c r="J46" s="163" t="n"/>
      <c r="K46" s="164" t="n"/>
    </row>
    <row r="47">
      <c r="A47" s="181" t="inlineStr">
        <is>
          <t>BAT_DC_Busline_Distribution</t>
        </is>
      </c>
      <c r="B47" s="367" t="n"/>
      <c r="C47" s="304" t="n"/>
      <c r="D47" s="304" t="n"/>
      <c r="E47" s="163" t="n"/>
      <c r="F47" s="163" t="n"/>
      <c r="G47" s="163" t="n"/>
      <c r="H47" s="163" t="n"/>
      <c r="I47" s="163" t="n"/>
      <c r="J47" s="163" t="n"/>
      <c r="K47" s="164" t="n"/>
    </row>
    <row r="48">
      <c r="A48" s="181" t="inlineStr">
        <is>
          <t>BAT_Battery_Charging</t>
        </is>
      </c>
      <c r="B48" s="367" t="n"/>
      <c r="C48" s="304" t="n"/>
      <c r="D48" s="304" t="n"/>
      <c r="E48" s="163" t="n"/>
      <c r="F48" s="163" t="n"/>
      <c r="G48" s="163" t="n"/>
      <c r="H48" s="163" t="n"/>
      <c r="I48" s="163" t="n"/>
      <c r="J48" s="163" t="n"/>
      <c r="K48" s="164" t="n"/>
    </row>
    <row r="49">
      <c r="A49" s="181" t="inlineStr">
        <is>
          <t>AIR_Control_of_Main_Compressor</t>
        </is>
      </c>
      <c r="B49" s="367" t="n"/>
      <c r="C49" s="304" t="n"/>
      <c r="D49" s="304" t="n"/>
      <c r="E49" s="163" t="n"/>
      <c r="F49" s="163" t="n"/>
      <c r="G49" s="163" t="n"/>
      <c r="H49" s="163" t="n"/>
      <c r="I49" s="163" t="n"/>
      <c r="J49" s="163" t="n"/>
      <c r="K49" s="164" t="n"/>
    </row>
    <row r="50">
      <c r="A50" s="181" t="inlineStr">
        <is>
          <t>AIR_Monitoring_of_Main_Compressor</t>
        </is>
      </c>
      <c r="B50" s="367" t="n"/>
      <c r="C50" s="304" t="n"/>
      <c r="D50" s="304" t="n"/>
      <c r="E50" s="163" t="n"/>
      <c r="F50" s="163" t="n"/>
      <c r="G50" s="163" t="n"/>
      <c r="H50" s="163" t="n"/>
      <c r="I50" s="163" t="n"/>
      <c r="J50" s="163" t="n"/>
      <c r="K50" s="164" t="n"/>
    </row>
    <row r="51">
      <c r="A51" s="181" t="inlineStr">
        <is>
          <t>AIR_Forcing_of_Main_compressor</t>
        </is>
      </c>
      <c r="B51" s="367" t="n"/>
      <c r="C51" s="304" t="n"/>
      <c r="D51" s="304" t="n"/>
      <c r="E51" s="163" t="n"/>
      <c r="F51" s="163" t="n"/>
      <c r="G51" s="163" t="n"/>
      <c r="H51" s="163" t="n"/>
      <c r="I51" s="163" t="n"/>
      <c r="J51" s="163" t="n"/>
      <c r="K51" s="164" t="n"/>
    </row>
    <row r="52">
      <c r="A52" s="181" t="inlineStr">
        <is>
          <t>AIR_Air_Dryer</t>
        </is>
      </c>
      <c r="B52" s="367" t="n"/>
      <c r="C52" s="304" t="n"/>
      <c r="D52" s="304" t="n"/>
      <c r="E52" s="163" t="n"/>
      <c r="F52" s="163" t="n"/>
      <c r="G52" s="163" t="n"/>
      <c r="H52" s="163" t="n"/>
      <c r="I52" s="163" t="n"/>
      <c r="J52" s="163" t="n"/>
      <c r="K52" s="164" t="n"/>
    </row>
    <row r="53">
      <c r="A53" s="181" t="inlineStr">
        <is>
          <t>AIR_External_Air_Supply</t>
        </is>
      </c>
      <c r="B53" s="367" t="n"/>
      <c r="C53" s="304" t="n"/>
      <c r="D53" s="304" t="n"/>
      <c r="E53" s="163" t="n"/>
      <c r="F53" s="163" t="n"/>
      <c r="G53" s="163" t="n"/>
      <c r="H53" s="163" t="n"/>
      <c r="I53" s="163" t="n"/>
      <c r="J53" s="163" t="n"/>
      <c r="K53" s="164" t="n"/>
    </row>
    <row r="54">
      <c r="A54" s="181" t="inlineStr">
        <is>
          <t>AIR_Control_of_Auxiliary_Compressor</t>
        </is>
      </c>
      <c r="B54" s="367" t="n"/>
      <c r="C54" s="304" t="n"/>
      <c r="D54" s="304" t="n"/>
      <c r="E54" s="163" t="n"/>
      <c r="F54" s="163" t="n"/>
      <c r="G54" s="163" t="n"/>
      <c r="H54" s="163" t="n"/>
      <c r="I54" s="163" t="n"/>
      <c r="J54" s="163" t="n"/>
      <c r="K54" s="164" t="n"/>
    </row>
    <row r="55">
      <c r="A55" s="181" t="inlineStr">
        <is>
          <t>AIR_Suspension_Supervision</t>
        </is>
      </c>
      <c r="B55" s="367" t="n"/>
      <c r="C55" s="304" t="n"/>
      <c r="D55" s="304" t="n"/>
      <c r="E55" s="163" t="n"/>
      <c r="F55" s="163" t="n"/>
      <c r="G55" s="163" t="n"/>
      <c r="H55" s="163" t="n"/>
      <c r="I55" s="163" t="n"/>
      <c r="J55" s="163" t="n"/>
      <c r="K55" s="164" t="n"/>
    </row>
    <row r="56">
      <c r="A56" s="181" t="inlineStr">
        <is>
          <t>AIR_Provision_for_Tilt_system</t>
        </is>
      </c>
      <c r="B56" s="367" t="n"/>
      <c r="C56" s="304" t="n"/>
      <c r="D56" s="304" t="n"/>
      <c r="E56" s="163" t="n"/>
      <c r="F56" s="163" t="n"/>
      <c r="G56" s="163" t="n"/>
      <c r="H56" s="163" t="n"/>
      <c r="I56" s="163" t="n"/>
      <c r="J56" s="163" t="n"/>
      <c r="K56" s="164" t="n"/>
    </row>
    <row r="57">
      <c r="A57" s="181" t="inlineStr">
        <is>
          <t>BRK_Service_Brake_Direct_Electro-Pneumatic_Brake</t>
        </is>
      </c>
      <c r="B57" s="367" t="n"/>
      <c r="C57" s="304" t="n"/>
      <c r="D57" s="304" t="n"/>
      <c r="E57" s="163" t="n"/>
      <c r="F57" s="163" t="n"/>
      <c r="G57" s="163" t="n"/>
      <c r="H57" s="163" t="n"/>
      <c r="I57" s="163" t="n"/>
      <c r="J57" s="163" t="n"/>
      <c r="K57" s="164" t="n"/>
    </row>
    <row r="58">
      <c r="A58" s="181" t="inlineStr">
        <is>
          <t>BRK_Service_Brake_Indirect_Brake</t>
        </is>
      </c>
      <c r="B58" s="367" t="n"/>
      <c r="C58" s="304" t="n"/>
      <c r="D58" s="304" t="n"/>
      <c r="E58" s="163" t="n"/>
      <c r="F58" s="163" t="n"/>
      <c r="G58" s="163" t="n"/>
      <c r="H58" s="163" t="n"/>
      <c r="I58" s="163" t="n"/>
      <c r="J58" s="163" t="n"/>
      <c r="K58" s="164" t="n"/>
    </row>
    <row r="59">
      <c r="A59" s="181" t="inlineStr">
        <is>
          <t>BRK_Holding_Brake</t>
        </is>
      </c>
      <c r="B59" s="367" t="n"/>
      <c r="C59" s="304" t="n"/>
      <c r="D59" s="304" t="n"/>
      <c r="E59" s="163" t="n"/>
      <c r="F59" s="163" t="n"/>
      <c r="G59" s="163" t="n"/>
      <c r="H59" s="163" t="n"/>
      <c r="I59" s="163" t="n"/>
      <c r="J59" s="163" t="n"/>
      <c r="K59" s="164" t="n"/>
    </row>
    <row r="60">
      <c r="A60" s="181" t="inlineStr">
        <is>
          <t>BRK_Urgency_Brake_(Optional)</t>
        </is>
      </c>
      <c r="B60" s="367" t="n"/>
      <c r="C60" s="304" t="n"/>
      <c r="D60" s="304" t="n"/>
      <c r="E60" s="163" t="n"/>
      <c r="F60" s="163" t="n"/>
      <c r="G60" s="163" t="n"/>
      <c r="H60" s="163" t="n"/>
      <c r="I60" s="163" t="n"/>
      <c r="J60" s="163" t="n"/>
      <c r="K60" s="164" t="n"/>
    </row>
    <row r="61">
      <c r="A61" s="181" t="inlineStr">
        <is>
          <t>BRK_Emergency_Brake</t>
        </is>
      </c>
      <c r="B61" s="367" t="n"/>
      <c r="C61" s="304" t="n"/>
      <c r="D61" s="304" t="n"/>
      <c r="E61" s="163" t="n"/>
      <c r="F61" s="163" t="n"/>
      <c r="G61" s="163" t="n"/>
      <c r="H61" s="163" t="n"/>
      <c r="I61" s="163" t="n"/>
      <c r="J61" s="163" t="n"/>
      <c r="K61" s="164" t="n"/>
    </row>
    <row r="62">
      <c r="A62" s="181" t="inlineStr">
        <is>
          <t>BRK_Parking_Brake</t>
        </is>
      </c>
      <c r="B62" s="367" t="n"/>
      <c r="C62" s="304" t="n"/>
      <c r="D62" s="304" t="n"/>
      <c r="E62" s="163" t="n"/>
      <c r="F62" s="163" t="n"/>
      <c r="G62" s="163" t="n"/>
      <c r="H62" s="163" t="n"/>
      <c r="I62" s="163" t="n"/>
      <c r="J62" s="163" t="n"/>
      <c r="K62" s="164" t="n"/>
    </row>
    <row r="63">
      <c r="A63" s="181" t="inlineStr">
        <is>
          <t>BRK_Wheel_Slide_Protection</t>
        </is>
      </c>
      <c r="B63" s="367" t="n"/>
      <c r="C63" s="304" t="n"/>
      <c r="D63" s="304" t="n"/>
      <c r="E63" s="163" t="n"/>
      <c r="F63" s="163" t="n"/>
      <c r="G63" s="163" t="n"/>
      <c r="H63" s="163" t="n"/>
      <c r="I63" s="163" t="n"/>
      <c r="J63" s="163" t="n"/>
      <c r="K63" s="164" t="n"/>
    </row>
    <row r="64">
      <c r="A64" s="181" t="inlineStr">
        <is>
          <t>BRK_Detection_of_Non-Rotating_Axle_(DNRA)</t>
        </is>
      </c>
      <c r="B64" s="367" t="n"/>
      <c r="C64" s="304" t="n"/>
      <c r="D64" s="304" t="n"/>
      <c r="E64" s="163" t="n"/>
      <c r="F64" s="163" t="n"/>
      <c r="G64" s="163" t="n"/>
      <c r="H64" s="163" t="n"/>
      <c r="I64" s="163" t="n"/>
      <c r="J64" s="163" t="n"/>
      <c r="K64" s="164" t="n"/>
    </row>
    <row r="65">
      <c r="A65" s="181" t="inlineStr">
        <is>
          <t>BRK_Passenger_Emergency_Brake</t>
        </is>
      </c>
      <c r="B65" s="367" t="n"/>
      <c r="C65" s="304" t="n"/>
      <c r="D65" s="304" t="n"/>
      <c r="E65" s="163" t="n"/>
      <c r="F65" s="163" t="n"/>
      <c r="G65" s="163" t="n"/>
      <c r="H65" s="163" t="n"/>
      <c r="I65" s="163" t="n"/>
      <c r="J65" s="163" t="n"/>
      <c r="K65" s="164" t="n"/>
    </row>
    <row r="66">
      <c r="A66" s="181" t="inlineStr">
        <is>
          <t>BRK_Sanding</t>
        </is>
      </c>
      <c r="B66" s="367" t="n"/>
      <c r="C66" s="304" t="n"/>
      <c r="D66" s="304" t="n"/>
      <c r="E66" s="163" t="n"/>
      <c r="F66" s="163" t="n"/>
      <c r="G66" s="163" t="n"/>
      <c r="H66" s="163" t="n"/>
      <c r="I66" s="163" t="n"/>
      <c r="J66" s="163" t="n"/>
      <c r="K66" s="164" t="n"/>
    </row>
    <row r="67">
      <c r="A67" s="181" t="inlineStr">
        <is>
          <t>BRK_Brake_Test</t>
        </is>
      </c>
      <c r="B67" s="367" t="n"/>
      <c r="C67" s="304" t="n"/>
      <c r="D67" s="304" t="n"/>
      <c r="E67" s="163" t="n"/>
      <c r="F67" s="163" t="n"/>
      <c r="G67" s="163" t="n"/>
      <c r="H67" s="163" t="n"/>
      <c r="I67" s="163" t="n"/>
      <c r="J67" s="163" t="n"/>
      <c r="K67" s="164" t="n"/>
    </row>
    <row r="68">
      <c r="A68" s="181" t="inlineStr">
        <is>
          <t>BRK_Towing</t>
        </is>
      </c>
      <c r="B68" s="367" t="n"/>
      <c r="C68" s="304" t="n"/>
      <c r="D68" s="304" t="n"/>
      <c r="E68" s="163" t="n"/>
      <c r="F68" s="163" t="n"/>
      <c r="G68" s="163" t="n"/>
      <c r="H68" s="163" t="n"/>
      <c r="I68" s="163" t="n"/>
      <c r="J68" s="163" t="n"/>
      <c r="K68" s="164" t="n"/>
    </row>
    <row r="69">
      <c r="A69" s="181" t="inlineStr">
        <is>
          <t>BRK_Fire_Safety_&amp;_Running_Capability</t>
        </is>
      </c>
      <c r="B69" s="367" t="n"/>
      <c r="C69" s="304" t="n"/>
      <c r="D69" s="304" t="n"/>
      <c r="E69" s="163" t="n"/>
      <c r="F69" s="163" t="n"/>
      <c r="G69" s="163" t="n"/>
      <c r="H69" s="163" t="n"/>
      <c r="I69" s="163" t="n"/>
      <c r="J69" s="163" t="n"/>
      <c r="K69" s="164" t="n"/>
    </row>
    <row r="70">
      <c r="A70" s="181" t="inlineStr">
        <is>
          <t>BRK_Magnetic_Track_Brake_Optional</t>
        </is>
      </c>
      <c r="B70" s="367" t="n"/>
      <c r="C70" s="304" t="n"/>
      <c r="D70" s="304" t="n"/>
      <c r="E70" s="163" t="n"/>
      <c r="F70" s="163" t="n"/>
      <c r="G70" s="163" t="n"/>
      <c r="H70" s="163" t="n"/>
      <c r="I70" s="163" t="n"/>
      <c r="J70" s="163" t="n"/>
      <c r="K70" s="164" t="n"/>
    </row>
    <row r="71">
      <c r="A71" s="181" t="inlineStr">
        <is>
          <t>BOG_Flange_Lubrication</t>
        </is>
      </c>
      <c r="B71" s="367" t="n"/>
      <c r="C71" s="304" t="n"/>
      <c r="D71" s="304" t="n"/>
      <c r="E71" s="163" t="n"/>
      <c r="F71" s="163" t="n"/>
      <c r="G71" s="163" t="n"/>
      <c r="H71" s="163" t="n"/>
      <c r="I71" s="163" t="n"/>
      <c r="J71" s="163" t="n"/>
      <c r="K71" s="164" t="n"/>
    </row>
    <row r="72">
      <c r="A72" s="181" t="inlineStr">
        <is>
          <t>BOG_Hotbox_Detection</t>
        </is>
      </c>
      <c r="B72" s="367" t="n"/>
      <c r="C72" s="304" t="n"/>
      <c r="D72" s="304" t="n"/>
      <c r="E72" s="163" t="n"/>
      <c r="F72" s="163" t="n"/>
      <c r="G72" s="163" t="n"/>
      <c r="H72" s="163" t="n"/>
      <c r="I72" s="163" t="n"/>
      <c r="J72" s="163" t="n"/>
      <c r="K72" s="164" t="n"/>
    </row>
    <row r="73">
      <c r="A73" s="181" t="inlineStr">
        <is>
          <t>BOG_Instability_Monitoring</t>
        </is>
      </c>
      <c r="B73" s="367" t="n"/>
      <c r="C73" s="304" t="n"/>
      <c r="D73" s="304" t="n"/>
      <c r="E73" s="163" t="n"/>
      <c r="F73" s="163" t="n"/>
      <c r="G73" s="163" t="n"/>
      <c r="H73" s="163" t="n"/>
      <c r="I73" s="163" t="n"/>
      <c r="J73" s="163" t="n"/>
      <c r="K73" s="164" t="n"/>
    </row>
    <row r="74">
      <c r="A74" s="181" t="inlineStr">
        <is>
          <t>BOG_Active_Lateral_Suspension_(ALS)</t>
        </is>
      </c>
      <c r="B74" s="367" t="n"/>
      <c r="C74" s="304" t="n"/>
      <c r="D74" s="304" t="n"/>
      <c r="E74" s="163" t="n"/>
      <c r="F74" s="163" t="n"/>
      <c r="G74" s="163" t="n"/>
      <c r="H74" s="163" t="n"/>
      <c r="I74" s="163" t="n"/>
      <c r="J74" s="163" t="n"/>
      <c r="K74" s="164" t="n"/>
    </row>
    <row r="75">
      <c r="A75" s="181" t="inlineStr">
        <is>
          <t>BOG_Diagnostics_&amp;_CBM</t>
        </is>
      </c>
      <c r="B75" s="367" t="n"/>
      <c r="C75" s="304" t="n"/>
      <c r="D75" s="304" t="n"/>
      <c r="E75" s="163" t="n"/>
      <c r="F75" s="163" t="n"/>
      <c r="G75" s="163" t="n"/>
      <c r="H75" s="163" t="n"/>
      <c r="I75" s="163" t="n"/>
      <c r="J75" s="163" t="n"/>
      <c r="K75" s="164" t="n"/>
    </row>
    <row r="76">
      <c r="B76" s="169" t="n"/>
      <c r="E76" s="242" t="n"/>
      <c r="F76" s="242" t="n"/>
      <c r="G76" s="237" t="n"/>
      <c r="H76" s="237" t="n"/>
      <c r="I76" s="242" t="n"/>
      <c r="J76" s="237" t="n"/>
      <c r="K76" s="238" t="n"/>
    </row>
    <row r="77">
      <c r="C77" s="420" t="n"/>
      <c r="D77" s="421" t="n"/>
      <c r="E77" s="422" t="n"/>
      <c r="G77" s="423" t="n"/>
      <c r="H77" s="424" t="n"/>
      <c r="I77" s="425" t="n"/>
    </row>
    <row r="78">
      <c r="C78" s="420" t="n"/>
      <c r="D78" s="421" t="n"/>
      <c r="E78" s="422" t="n"/>
      <c r="G78" s="423" t="n"/>
      <c r="H78" s="424" t="n"/>
      <c r="I78" s="425" t="n"/>
    </row>
    <row r="79">
      <c r="C79" s="420" t="n"/>
      <c r="D79" s="421" t="n"/>
      <c r="E79" s="422" t="n"/>
      <c r="G79" s="423" t="n"/>
      <c r="H79" s="424" t="n"/>
      <c r="I79" s="425" t="n"/>
    </row>
    <row r="80">
      <c r="C80" s="426" t="n"/>
      <c r="D80" s="421" t="n"/>
      <c r="I80" s="425" t="n"/>
    </row>
  </sheetData>
  <pageMargins left="0.7" right="0.7" top="0.75" bottom="0.75" header="0.3" footer="0.3"/>
</worksheet>
</file>

<file path=xl/worksheets/sheet11.xml><?xml version="1.0" encoding="utf-8"?>
<worksheet xmlns="http://schemas.openxmlformats.org/spreadsheetml/2006/main">
  <sheetPr codeName="Foglio8">
    <tabColor rgb="FFFFCCFF"/>
    <outlinePr summaryBelow="0"/>
    <pageSetUpPr/>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baseColWidth="8" defaultColWidth="8.7109375" defaultRowHeight="15" outlineLevelRow="3"/>
  <cols>
    <col width="13.85546875" bestFit="1" customWidth="1" style="10" min="1" max="1"/>
    <col width="39.5703125" bestFit="1" customWidth="1" style="10" min="2" max="2"/>
    <col width="24.28515625" customWidth="1" style="10" min="3" max="3"/>
    <col width="18.7109375" bestFit="1" customWidth="1" style="10" min="4" max="4"/>
    <col width="16.5703125" customWidth="1" style="10" min="5" max="10"/>
    <col width="8.7109375" customWidth="1" style="59" min="11" max="30"/>
    <col width="8.7109375" customWidth="1" style="59" min="31" max="16384"/>
  </cols>
  <sheetData>
    <row r="1" ht="31.5" customFormat="1" customHeight="1" s="61">
      <c r="A1" s="460" t="inlineStr">
        <is>
          <t>Impianto</t>
        </is>
      </c>
      <c r="B1" s="458" t="inlineStr">
        <is>
          <t>Gruppo/Componente</t>
        </is>
      </c>
      <c r="C1" s="457" t="inlineStr">
        <is>
          <t>P/N</t>
        </is>
      </c>
      <c r="D1" s="454" t="inlineStr">
        <is>
          <t>Applicabilità flotte</t>
        </is>
      </c>
      <c r="E1" s="455" t="n"/>
      <c r="F1" s="455" t="n"/>
      <c r="G1" s="455" t="n"/>
      <c r="H1" s="455" t="n"/>
      <c r="I1" s="455" t="n"/>
      <c r="J1" s="456" t="n"/>
    </row>
    <row r="2" ht="31.5" customFormat="1" customHeight="1" s="61">
      <c r="A2" s="446" t="n"/>
      <c r="B2" s="459" t="n"/>
      <c r="C2" s="438" t="n"/>
      <c r="D2" s="330" t="inlineStr">
        <is>
          <t>VZI_Base</t>
        </is>
      </c>
      <c r="E2" s="441" t="inlineStr">
        <is>
          <t>VZI_New14</t>
        </is>
      </c>
      <c r="F2" s="441" t="inlineStr">
        <is>
          <t>VZ_FR</t>
        </is>
      </c>
      <c r="G2" s="441" t="inlineStr">
        <is>
          <t>VZ_ES</t>
        </is>
      </c>
      <c r="H2" s="441" t="inlineStr">
        <is>
          <t>VZI-6_R1</t>
        </is>
      </c>
      <c r="I2" s="441" t="inlineStr">
        <is>
          <t>VZI-4_R1</t>
        </is>
      </c>
      <c r="J2" s="82" t="inlineStr">
        <is>
          <t>VZ_DAI</t>
        </is>
      </c>
    </row>
    <row r="3">
      <c r="A3" s="110" t="inlineStr">
        <is>
          <t>PANTOGRAFO</t>
        </is>
      </c>
      <c r="B3" s="111" t="n"/>
      <c r="C3" s="376" t="n"/>
      <c r="D3" s="110" t="inlineStr">
        <is>
          <t>.</t>
        </is>
      </c>
      <c r="E3" s="112" t="inlineStr">
        <is>
          <t>.</t>
        </is>
      </c>
      <c r="F3" s="112" t="inlineStr">
        <is>
          <t>.</t>
        </is>
      </c>
      <c r="G3" s="112" t="inlineStr">
        <is>
          <t>.</t>
        </is>
      </c>
      <c r="H3" s="112" t="inlineStr">
        <is>
          <t>.</t>
        </is>
      </c>
      <c r="I3" s="112" t="inlineStr">
        <is>
          <t>.</t>
        </is>
      </c>
      <c r="J3" s="111" t="inlineStr">
        <is>
          <t>.</t>
        </is>
      </c>
    </row>
    <row r="4" outlineLevel="1" s="480">
      <c r="A4" s="113" t="n"/>
      <c r="B4" s="69" t="inlineStr">
        <is>
          <t>CAPTAZIONE</t>
        </is>
      </c>
      <c r="C4" s="377" t="n"/>
      <c r="D4" s="113" t="inlineStr">
        <is>
          <t>..</t>
        </is>
      </c>
      <c r="E4" s="101" t="inlineStr">
        <is>
          <t>..</t>
        </is>
      </c>
      <c r="F4" s="101" t="inlineStr">
        <is>
          <t>..</t>
        </is>
      </c>
      <c r="G4" s="101" t="inlineStr">
        <is>
          <t>..</t>
        </is>
      </c>
      <c r="H4" s="101" t="inlineStr">
        <is>
          <t>..</t>
        </is>
      </c>
      <c r="I4" s="101" t="inlineStr">
        <is>
          <t>..</t>
        </is>
      </c>
      <c r="J4" s="114" t="inlineStr">
        <is>
          <t>..</t>
        </is>
      </c>
    </row>
    <row r="5" outlineLevel="2" s="480">
      <c r="A5" s="63" t="n"/>
      <c r="B5" s="64" t="inlineStr">
        <is>
          <t>Pantografo 25 kV</t>
        </is>
      </c>
      <c r="C5" s="328" t="n">
        <v>10574479</v>
      </c>
      <c r="D5" s="63" t="inlineStr">
        <is>
          <t>T4-T5</t>
        </is>
      </c>
      <c r="E5" s="10" t="inlineStr">
        <is>
          <t>T4-T5</t>
        </is>
      </c>
      <c r="F5" s="10" t="inlineStr">
        <is>
          <t>X</t>
        </is>
      </c>
      <c r="H5" s="10" t="inlineStr">
        <is>
          <t>T4-T5</t>
        </is>
      </c>
      <c r="J5" s="64" t="n"/>
    </row>
    <row r="6" outlineLevel="2" s="480">
      <c r="A6" s="63" t="n"/>
      <c r="B6" s="64" t="inlineStr">
        <is>
          <t>Pantografo 3 kV</t>
        </is>
      </c>
      <c r="C6" s="328" t="n">
        <v>10542152</v>
      </c>
      <c r="D6" s="63" t="inlineStr">
        <is>
          <t>TT2-TT7</t>
        </is>
      </c>
      <c r="E6" s="10" t="inlineStr">
        <is>
          <t>TT2-TT7</t>
        </is>
      </c>
      <c r="F6" s="10" t="inlineStr">
        <is>
          <t>X</t>
        </is>
      </c>
      <c r="H6" s="10" t="inlineStr">
        <is>
          <t>TT2-TT7</t>
        </is>
      </c>
      <c r="J6" s="64" t="n"/>
    </row>
    <row r="7" outlineLevel="2" s="480">
      <c r="A7" s="63" t="n"/>
      <c r="B7" s="64" t="inlineStr">
        <is>
          <t>Pantografo 1,5 kV</t>
        </is>
      </c>
      <c r="C7" s="328" t="n"/>
      <c r="D7" s="63" t="n"/>
      <c r="J7" s="64" t="n"/>
    </row>
    <row r="8" outlineLevel="1" s="480">
      <c r="A8" s="113" t="n"/>
      <c r="B8" s="69" t="inlineStr">
        <is>
          <t>CONTROLLO</t>
        </is>
      </c>
      <c r="C8" s="377" t="n"/>
      <c r="D8" s="113" t="inlineStr">
        <is>
          <t>..</t>
        </is>
      </c>
      <c r="E8" s="101" t="inlineStr">
        <is>
          <t>..</t>
        </is>
      </c>
      <c r="F8" s="101" t="inlineStr">
        <is>
          <t>..</t>
        </is>
      </c>
      <c r="G8" s="101" t="inlineStr">
        <is>
          <t>..</t>
        </is>
      </c>
      <c r="H8" s="101" t="inlineStr">
        <is>
          <t>..</t>
        </is>
      </c>
      <c r="I8" s="101" t="inlineStr">
        <is>
          <t>..</t>
        </is>
      </c>
      <c r="J8" s="114" t="inlineStr">
        <is>
          <t>..</t>
        </is>
      </c>
    </row>
    <row r="9" outlineLevel="2" s="480">
      <c r="A9" s="63" t="n"/>
      <c r="B9" s="73" t="inlineStr">
        <is>
          <t>PPU</t>
        </is>
      </c>
      <c r="C9" s="378" t="inlineStr">
        <is>
          <t>0102895</t>
        </is>
      </c>
      <c r="D9" s="63" t="inlineStr">
        <is>
          <t>TT2-T4-T5-TT7</t>
        </is>
      </c>
      <c r="J9" s="64" t="n"/>
    </row>
    <row r="10" outlineLevel="2" customFormat="1" s="118">
      <c r="A10" s="77" t="n"/>
      <c r="B10" s="74" t="inlineStr">
        <is>
          <t>PPU</t>
        </is>
      </c>
      <c r="C10" s="379" t="inlineStr">
        <is>
          <t>232C10395F</t>
        </is>
      </c>
      <c r="D10" s="75" t="n"/>
      <c r="E10" s="76" t="inlineStr">
        <is>
          <t>TT2-T4-T5-TT7</t>
        </is>
      </c>
      <c r="F10" s="78" t="n"/>
      <c r="G10" s="78" t="n"/>
      <c r="H10" s="78" t="n"/>
      <c r="I10" s="78" t="n"/>
      <c r="J10" s="73" t="n"/>
    </row>
    <row r="11" outlineLevel="2" s="480">
      <c r="A11" s="63" t="n"/>
      <c r="B11" s="115" t="inlineStr">
        <is>
          <t>PPU</t>
        </is>
      </c>
      <c r="C11" s="380" t="inlineStr">
        <is>
          <t>231C100036B</t>
        </is>
      </c>
      <c r="D11" s="119" t="n"/>
      <c r="E11" s="116" t="n"/>
      <c r="F11" s="116" t="n"/>
      <c r="G11" s="116" t="n"/>
      <c r="H11" s="116" t="inlineStr">
        <is>
          <t>TT2-T4-T5-TT7</t>
        </is>
      </c>
      <c r="J11" s="64" t="n"/>
    </row>
    <row r="12">
      <c r="A12" s="110" t="inlineStr">
        <is>
          <t>TCMS</t>
        </is>
      </c>
      <c r="B12" s="117" t="n"/>
      <c r="C12" s="376" t="n"/>
      <c r="D12" s="110" t="inlineStr">
        <is>
          <t>.</t>
        </is>
      </c>
      <c r="E12" s="112" t="inlineStr">
        <is>
          <t>.</t>
        </is>
      </c>
      <c r="F12" s="112" t="inlineStr">
        <is>
          <t>.</t>
        </is>
      </c>
      <c r="G12" s="112" t="inlineStr">
        <is>
          <t>.</t>
        </is>
      </c>
      <c r="H12" s="112" t="inlineStr">
        <is>
          <t>.</t>
        </is>
      </c>
      <c r="I12" s="112" t="inlineStr">
        <is>
          <t>.</t>
        </is>
      </c>
      <c r="J12" s="111" t="inlineStr">
        <is>
          <t>.</t>
        </is>
      </c>
    </row>
    <row r="13" outlineLevel="1" s="480">
      <c r="A13" s="113" t="n"/>
      <c r="B13" s="69" t="inlineStr">
        <is>
          <t>CONTROLLO</t>
        </is>
      </c>
      <c r="C13" s="377" t="n"/>
      <c r="D13" s="113" t="inlineStr">
        <is>
          <t>..</t>
        </is>
      </c>
      <c r="E13" s="101" t="inlineStr">
        <is>
          <t>..</t>
        </is>
      </c>
      <c r="F13" s="101" t="inlineStr">
        <is>
          <t>..</t>
        </is>
      </c>
      <c r="G13" s="101" t="inlineStr">
        <is>
          <t>..</t>
        </is>
      </c>
      <c r="H13" s="101" t="inlineStr">
        <is>
          <t>..</t>
        </is>
      </c>
      <c r="I13" s="101" t="inlineStr">
        <is>
          <t>..</t>
        </is>
      </c>
      <c r="J13" s="114" t="inlineStr">
        <is>
          <t>..</t>
        </is>
      </c>
    </row>
    <row r="14" outlineLevel="2" s="480">
      <c r="A14" s="63" t="n"/>
      <c r="B14" s="73" t="inlineStr">
        <is>
          <t>CCU-O Dual MVB (DCY1110B)</t>
        </is>
      </c>
      <c r="C14" s="381" t="inlineStr">
        <is>
          <t>3EST000225-5707</t>
        </is>
      </c>
      <c r="D14" s="63" t="inlineStr">
        <is>
          <t>DM1-DM8</t>
        </is>
      </c>
      <c r="E14" s="10" t="inlineStr">
        <is>
          <t>DM1-DM8</t>
        </is>
      </c>
      <c r="J14" s="64" t="n"/>
    </row>
    <row r="15" outlineLevel="2" s="480">
      <c r="A15" s="63" t="n"/>
      <c r="B15" s="73" t="inlineStr">
        <is>
          <t>CCU-C 2ETH (DCY1550A)</t>
        </is>
      </c>
      <c r="C15" s="381" t="inlineStr">
        <is>
          <t>3EST000225-5711</t>
        </is>
      </c>
      <c r="D15" s="63" t="inlineStr">
        <is>
          <t>DM1-M3-DM8</t>
        </is>
      </c>
      <c r="E15" s="10" t="inlineStr">
        <is>
          <t>DM1-M3-DM8</t>
        </is>
      </c>
      <c r="J15" s="64" t="n"/>
    </row>
    <row r="16" outlineLevel="2" s="480">
      <c r="A16" s="63" t="n"/>
      <c r="B16" s="73" t="inlineStr">
        <is>
          <t>CCU-S (DCY 1660A)</t>
        </is>
      </c>
      <c r="C16" s="381" t="inlineStr">
        <is>
          <t>3EST000221-6430</t>
        </is>
      </c>
      <c r="D16" s="63" t="inlineStr">
        <is>
          <t>DM1-DM8</t>
        </is>
      </c>
      <c r="E16" s="10" t="inlineStr">
        <is>
          <t>DM1-DM8</t>
        </is>
      </c>
      <c r="J16" s="64" t="n"/>
    </row>
    <row r="17" outlineLevel="2" s="480">
      <c r="A17" s="63" t="n"/>
      <c r="B17" s="73" t="inlineStr">
        <is>
          <t>MIO-DXH4-S (DCS 2222B)</t>
        </is>
      </c>
      <c r="C17" s="381" t="inlineStr">
        <is>
          <t>3EST000228-0629</t>
        </is>
      </c>
      <c r="D17" s="63" t="inlineStr">
        <is>
          <t>DM1-DM8</t>
        </is>
      </c>
      <c r="J17" s="64" t="n"/>
    </row>
    <row r="18" outlineLevel="2" s="480">
      <c r="A18" s="63" t="n"/>
      <c r="B18" s="74" t="inlineStr">
        <is>
          <t>MIO-S (DCS 2222C)</t>
        </is>
      </c>
      <c r="C18" s="379" t="inlineStr">
        <is>
          <t>3EST000230-5830</t>
        </is>
      </c>
      <c r="D18" s="63" t="n"/>
      <c r="E18" s="76" t="inlineStr">
        <is>
          <t>DM1-DM8</t>
        </is>
      </c>
      <c r="J18" s="64" t="n"/>
    </row>
    <row r="19" outlineLevel="2" s="480">
      <c r="A19" s="63" t="n"/>
      <c r="B19" s="73" t="inlineStr">
        <is>
          <t>MIO-S-AI1+DXH3 (DCS 7222B)</t>
        </is>
      </c>
      <c r="C19" s="381" t="inlineStr">
        <is>
          <t>3EST000228-3395</t>
        </is>
      </c>
      <c r="D19" s="63" t="inlineStr">
        <is>
          <t>DM1-DM8</t>
        </is>
      </c>
      <c r="J19" s="64" t="n"/>
    </row>
    <row r="20" outlineLevel="2" s="480">
      <c r="A20" s="63" t="n"/>
      <c r="B20" s="74" t="inlineStr">
        <is>
          <t>MIO-S (DCS 7222B)</t>
        </is>
      </c>
      <c r="C20" s="379" t="inlineStr">
        <is>
          <t>3EST000230-5833</t>
        </is>
      </c>
      <c r="D20" s="63" t="n"/>
      <c r="E20" s="76" t="inlineStr">
        <is>
          <t>DM1-DM8</t>
        </is>
      </c>
      <c r="J20" s="64" t="n"/>
    </row>
    <row r="21" outlineLevel="2" s="480">
      <c r="A21" s="63" t="n"/>
      <c r="B21" s="73" t="inlineStr">
        <is>
          <t>MIO-S-AI1+DXH2 (DCS 7220B)</t>
        </is>
      </c>
      <c r="C21" s="381" t="inlineStr">
        <is>
          <t>3EST000228-3394</t>
        </is>
      </c>
      <c r="D21" s="63" t="inlineStr">
        <is>
          <t>Tutte</t>
        </is>
      </c>
      <c r="E21" s="10" t="inlineStr">
        <is>
          <t>Tutte</t>
        </is>
      </c>
      <c r="J21" s="64" t="n"/>
    </row>
    <row r="22" outlineLevel="2" s="480">
      <c r="A22" s="63" t="n"/>
      <c r="B22" s="64" t="inlineStr">
        <is>
          <t>MIO-DXH4 (DCX 2222A)</t>
        </is>
      </c>
      <c r="C22" s="328" t="inlineStr">
        <is>
          <t>3EST000209-5696</t>
        </is>
      </c>
      <c r="D22" s="63" t="inlineStr">
        <is>
          <t>Tutte</t>
        </is>
      </c>
      <c r="E22" s="10" t="inlineStr">
        <is>
          <t>Tutte</t>
        </is>
      </c>
      <c r="J22" s="64" t="n"/>
    </row>
    <row r="23" outlineLevel="2" s="480">
      <c r="A23" s="63" t="n"/>
      <c r="B23" s="64" t="inlineStr">
        <is>
          <t>MIO-DX1H (DCX 2000A)</t>
        </is>
      </c>
      <c r="C23" s="328" t="inlineStr">
        <is>
          <t>3EST000209-5690</t>
        </is>
      </c>
      <c r="D23" s="63" t="inlineStr">
        <is>
          <t>M3</t>
        </is>
      </c>
      <c r="E23" s="78" t="inlineStr">
        <is>
          <t>M3</t>
        </is>
      </c>
      <c r="J23" s="64" t="n"/>
    </row>
    <row r="24" outlineLevel="2" s="480">
      <c r="A24" s="63" t="n"/>
      <c r="B24" s="64" t="inlineStr">
        <is>
          <t>MIO-DX3H (DCX 2220A)</t>
        </is>
      </c>
      <c r="C24" s="328" t="inlineStr">
        <is>
          <t>3EST000209-5694</t>
        </is>
      </c>
      <c r="D24" s="63" t="inlineStr">
        <is>
          <t>Tutte</t>
        </is>
      </c>
      <c r="E24" s="10" t="inlineStr">
        <is>
          <t>Tutte</t>
        </is>
      </c>
      <c r="J24" s="64" t="n"/>
    </row>
    <row r="25" outlineLevel="2" s="480">
      <c r="A25" s="63" t="n"/>
      <c r="B25" s="115" t="inlineStr">
        <is>
          <t>CDU-H03</t>
        </is>
      </c>
      <c r="C25" s="380" t="inlineStr">
        <is>
          <t>HW01107958-00</t>
        </is>
      </c>
      <c r="D25" s="63" t="n"/>
      <c r="H25" s="116" t="inlineStr">
        <is>
          <t>DM1-DM8</t>
        </is>
      </c>
      <c r="I25" s="116" t="inlineStr">
        <is>
          <t>DM1-DM8</t>
        </is>
      </c>
      <c r="J25" s="64" t="n"/>
    </row>
    <row r="26" outlineLevel="2" s="480">
      <c r="A26" s="63" t="n"/>
      <c r="B26" s="115" t="inlineStr">
        <is>
          <t>DU-H03</t>
        </is>
      </c>
      <c r="C26" s="380" t="inlineStr">
        <is>
          <t>HW02298449-00</t>
        </is>
      </c>
      <c r="D26" s="63" t="n"/>
      <c r="H26" s="116" t="inlineStr">
        <is>
          <t>DM1-DM8</t>
        </is>
      </c>
      <c r="I26" s="116" t="inlineStr">
        <is>
          <t>DM1-DM8</t>
        </is>
      </c>
      <c r="J26" s="64" t="n"/>
    </row>
    <row r="27" outlineLevel="2" s="480">
      <c r="A27" s="63" t="n"/>
      <c r="B27" s="115" t="inlineStr">
        <is>
          <t>DU-H04 (OBS)</t>
        </is>
      </c>
      <c r="C27" s="380" t="inlineStr">
        <is>
          <t>HW02298458-00</t>
        </is>
      </c>
      <c r="D27" s="63" t="n"/>
      <c r="H27" s="116" t="inlineStr">
        <is>
          <t>M3</t>
        </is>
      </c>
      <c r="I27" s="116" t="inlineStr">
        <is>
          <t>M3</t>
        </is>
      </c>
      <c r="J27" s="64" t="n"/>
    </row>
    <row r="28" outlineLevel="2" s="480">
      <c r="A28" s="63" t="n"/>
      <c r="B28" s="115" t="inlineStr">
        <is>
          <t>DU-H05 (PIS-ALG)</t>
        </is>
      </c>
      <c r="C28" s="380" t="inlineStr">
        <is>
          <t>HW02298473-00</t>
        </is>
      </c>
      <c r="D28" s="63" t="n"/>
      <c r="H28" s="116" t="inlineStr">
        <is>
          <t>M3</t>
        </is>
      </c>
      <c r="I28" s="116" t="inlineStr">
        <is>
          <t>M3</t>
        </is>
      </c>
      <c r="J28" s="64" t="n"/>
    </row>
    <row r="29" outlineLevel="2" s="480">
      <c r="A29" s="63" t="n"/>
      <c r="B29" s="115" t="inlineStr">
        <is>
          <t>RIO-LP (CUSFE684-H05)</t>
        </is>
      </c>
      <c r="C29" s="380" t="inlineStr">
        <is>
          <t>HW01107911-00</t>
        </is>
      </c>
      <c r="D29" s="63" t="n"/>
      <c r="H29" s="116" t="inlineStr">
        <is>
          <t>DM1-DM8</t>
        </is>
      </c>
      <c r="I29" s="116" t="inlineStr">
        <is>
          <t>DM1-DM8</t>
        </is>
      </c>
      <c r="J29" s="64" t="n"/>
    </row>
    <row r="30" outlineLevel="2" s="480">
      <c r="A30" s="63" t="n"/>
      <c r="B30" s="115" t="inlineStr">
        <is>
          <t>RIO-C5/C6 (CUSFE684-H06)</t>
        </is>
      </c>
      <c r="C30" s="380" t="inlineStr">
        <is>
          <t>HW01107914-00</t>
        </is>
      </c>
      <c r="D30" s="63" t="n"/>
      <c r="H30" s="116" t="inlineStr">
        <is>
          <t>DM1-DM8</t>
        </is>
      </c>
      <c r="I30" s="116" t="inlineStr">
        <is>
          <t>DM1-DM8</t>
        </is>
      </c>
      <c r="J30" s="64" t="n"/>
    </row>
    <row r="31" outlineLevel="2" s="480">
      <c r="A31" s="63" t="n"/>
      <c r="B31" s="115" t="inlineStr">
        <is>
          <t>RIO-EB-01 (CUSFE684-H01)</t>
        </is>
      </c>
      <c r="C31" s="380" t="inlineStr">
        <is>
          <t>HW01107901-00</t>
        </is>
      </c>
      <c r="D31" s="63" t="n"/>
      <c r="H31" s="116" t="inlineStr">
        <is>
          <t>DM1-DM8</t>
        </is>
      </c>
      <c r="I31" s="116" t="inlineStr">
        <is>
          <t>DM1-DM8</t>
        </is>
      </c>
      <c r="J31" s="64" t="n"/>
    </row>
    <row r="32" outlineLevel="2" s="480">
      <c r="A32" s="63" t="n"/>
      <c r="B32" s="115" t="inlineStr">
        <is>
          <t>RIO-EB-02 (CUSFE684-H02)</t>
        </is>
      </c>
      <c r="C32" s="380" t="inlineStr">
        <is>
          <t>HW01107904-00</t>
        </is>
      </c>
      <c r="D32" s="63" t="n"/>
      <c r="H32" s="116" t="inlineStr">
        <is>
          <t>TT2-TT7</t>
        </is>
      </c>
      <c r="I32" s="116" t="inlineStr">
        <is>
          <t>TT2-TT7</t>
        </is>
      </c>
      <c r="J32" s="64" t="n"/>
    </row>
    <row r="33" outlineLevel="2" s="480">
      <c r="A33" s="63" t="n"/>
      <c r="B33" s="115" t="inlineStr">
        <is>
          <t>RIO-EB-03 (CUSFE684-H03)</t>
        </is>
      </c>
      <c r="C33" s="380" t="inlineStr">
        <is>
          <t>HW01107905-00</t>
        </is>
      </c>
      <c r="D33" s="63" t="n"/>
      <c r="H33" s="116" t="inlineStr">
        <is>
          <t>M3-M6</t>
        </is>
      </c>
      <c r="I33" s="116" t="inlineStr">
        <is>
          <t>M3-M6</t>
        </is>
      </c>
      <c r="J33" s="64" t="n"/>
    </row>
    <row r="34" outlineLevel="2" s="480">
      <c r="A34" s="63" t="n"/>
      <c r="B34" s="115" t="inlineStr">
        <is>
          <t>RIO-EB-04 (CUSFE684-H04)</t>
        </is>
      </c>
      <c r="C34" s="380" t="inlineStr">
        <is>
          <t>HW01107908-00</t>
        </is>
      </c>
      <c r="D34" s="63" t="n"/>
      <c r="H34" s="116" t="inlineStr">
        <is>
          <t>T4-T5</t>
        </is>
      </c>
      <c r="I34" s="116" t="inlineStr">
        <is>
          <t>T4-T5</t>
        </is>
      </c>
      <c r="J34" s="64" t="n"/>
    </row>
    <row r="35" outlineLevel="2" ht="30" customHeight="1" s="480">
      <c r="A35" s="63" t="n"/>
      <c r="B35" s="115" t="inlineStr">
        <is>
          <t>RIO-C2-01 (CURSE32-H01)</t>
        </is>
      </c>
      <c r="C35" s="380" t="inlineStr">
        <is>
          <t>HW01107953-00</t>
        </is>
      </c>
      <c r="D35" s="63" t="n"/>
      <c r="H35" s="116" t="inlineStr">
        <is>
          <t>DM1-TT2-M3-M6-TT7-DM8</t>
        </is>
      </c>
      <c r="I35" s="116" t="inlineStr">
        <is>
          <t>DM1-TT2-M3-M6-TT7-DM8</t>
        </is>
      </c>
      <c r="J35" s="64" t="n"/>
    </row>
    <row r="36" outlineLevel="2" s="480">
      <c r="A36" s="63" t="n"/>
      <c r="B36" s="115" t="inlineStr">
        <is>
          <t>RIO-C2-02 (CURSE32-H02)</t>
        </is>
      </c>
      <c r="C36" s="380" t="inlineStr">
        <is>
          <t>HW01107954-00</t>
        </is>
      </c>
      <c r="D36" s="63" t="n"/>
      <c r="H36" s="116" t="inlineStr">
        <is>
          <t>T4-T5</t>
        </is>
      </c>
      <c r="I36" s="116" t="inlineStr">
        <is>
          <t>T4-T5</t>
        </is>
      </c>
      <c r="J36" s="64" t="n"/>
    </row>
    <row r="37" outlineLevel="1" s="480">
      <c r="A37" s="113" t="n"/>
      <c r="B37" s="69" t="inlineStr">
        <is>
          <t>DIAGNOSTICA</t>
        </is>
      </c>
      <c r="C37" s="377" t="n"/>
      <c r="D37" s="113" t="inlineStr">
        <is>
          <t>..</t>
        </is>
      </c>
      <c r="E37" s="101" t="inlineStr">
        <is>
          <t>..</t>
        </is>
      </c>
      <c r="F37" s="101" t="inlineStr">
        <is>
          <t>..</t>
        </is>
      </c>
      <c r="G37" s="101" t="inlineStr">
        <is>
          <t>..</t>
        </is>
      </c>
      <c r="H37" s="101" t="inlineStr">
        <is>
          <t>..</t>
        </is>
      </c>
      <c r="I37" s="101" t="inlineStr">
        <is>
          <t>..</t>
        </is>
      </c>
      <c r="J37" s="114" t="inlineStr">
        <is>
          <t>..</t>
        </is>
      </c>
    </row>
    <row r="38" outlineLevel="2" s="480">
      <c r="A38" s="63" t="n"/>
      <c r="B38" s="73" t="inlineStr">
        <is>
          <t>MCG (DCZ 2424B)</t>
        </is>
      </c>
      <c r="C38" s="381" t="inlineStr">
        <is>
          <t>3EST000225-7169</t>
        </is>
      </c>
      <c r="D38" s="63" t="inlineStr">
        <is>
          <t>X</t>
        </is>
      </c>
      <c r="J38" s="64" t="n"/>
    </row>
    <row r="39" outlineLevel="2" s="480">
      <c r="A39" s="63" t="n"/>
      <c r="B39" s="74" t="inlineStr">
        <is>
          <t>MCG</t>
        </is>
      </c>
      <c r="C39" s="379" t="inlineStr">
        <is>
          <t>3EST000234-1560</t>
        </is>
      </c>
      <c r="D39" s="75" t="n"/>
      <c r="E39" s="76" t="inlineStr">
        <is>
          <t>X</t>
        </is>
      </c>
      <c r="J39" s="64" t="n"/>
    </row>
    <row r="40" outlineLevel="2" s="480">
      <c r="A40" s="63" t="n"/>
      <c r="B40" s="73" t="inlineStr">
        <is>
          <t>IDU</t>
        </is>
      </c>
      <c r="C40" s="381" t="inlineStr">
        <is>
          <t>3EST000223-8802</t>
        </is>
      </c>
      <c r="D40" s="77" t="inlineStr">
        <is>
          <t>DM1-M3-DM8</t>
        </is>
      </c>
      <c r="E40" s="78" t="inlineStr">
        <is>
          <t>DM1-M3-DM8</t>
        </is>
      </c>
      <c r="J40" s="64" t="n"/>
    </row>
    <row r="41" outlineLevel="2" s="480">
      <c r="A41" s="63" t="n"/>
      <c r="B41" s="115" t="inlineStr">
        <is>
          <t>IDU</t>
        </is>
      </c>
      <c r="C41" s="380" t="inlineStr">
        <is>
          <t>EC030021237P01</t>
        </is>
      </c>
      <c r="D41" s="63" t="n"/>
      <c r="H41" s="116" t="inlineStr">
        <is>
          <t>DM1-M3-DM8</t>
        </is>
      </c>
      <c r="I41" s="116" t="inlineStr">
        <is>
          <t>DM1-M3-DM8</t>
        </is>
      </c>
      <c r="J41" s="64" t="n"/>
    </row>
    <row r="42" outlineLevel="1" s="480">
      <c r="A42" s="113" t="n"/>
      <c r="B42" s="69" t="inlineStr">
        <is>
          <t>RETE / COMUNICAZIONE</t>
        </is>
      </c>
      <c r="C42" s="377" t="n"/>
      <c r="D42" s="113" t="inlineStr">
        <is>
          <t>..</t>
        </is>
      </c>
      <c r="E42" s="101" t="inlineStr">
        <is>
          <t>..</t>
        </is>
      </c>
      <c r="F42" s="101" t="inlineStr">
        <is>
          <t>..</t>
        </is>
      </c>
      <c r="G42" s="101" t="inlineStr">
        <is>
          <t>..</t>
        </is>
      </c>
      <c r="H42" s="101" t="inlineStr">
        <is>
          <t>..</t>
        </is>
      </c>
      <c r="I42" s="101" t="inlineStr">
        <is>
          <t>..</t>
        </is>
      </c>
      <c r="J42" s="114" t="inlineStr">
        <is>
          <t>..</t>
        </is>
      </c>
    </row>
    <row r="43" outlineLevel="2" s="480">
      <c r="A43" s="63" t="n"/>
      <c r="B43" s="64" t="inlineStr">
        <is>
          <t>MCG Antenna WLAN/GSM GPS</t>
        </is>
      </c>
      <c r="C43" s="328" t="inlineStr">
        <is>
          <t>3EST000212-2155</t>
        </is>
      </c>
      <c r="D43" s="63" t="inlineStr">
        <is>
          <t>M3</t>
        </is>
      </c>
      <c r="J43" s="64" t="n"/>
    </row>
    <row r="44" outlineLevel="2" s="480">
      <c r="A44" s="63" t="n"/>
      <c r="B44" s="74" t="inlineStr">
        <is>
          <t xml:space="preserve"> MCG Antenna WLAN/GSM GPS</t>
        </is>
      </c>
      <c r="C44" s="379" t="inlineStr">
        <is>
          <t>3EH-232550R0005</t>
        </is>
      </c>
      <c r="D44" s="75" t="n"/>
      <c r="E44" s="76" t="inlineStr">
        <is>
          <t>M3</t>
        </is>
      </c>
      <c r="J44" s="64" t="n"/>
    </row>
    <row r="45" outlineLevel="2" s="480">
      <c r="A45" s="63" t="n"/>
      <c r="B45" s="64" t="inlineStr">
        <is>
          <t>TCN GW-S DCY 1703A</t>
        </is>
      </c>
      <c r="C45" s="328" t="inlineStr">
        <is>
          <t>EST000221-6460</t>
        </is>
      </c>
      <c r="D45" s="63" t="inlineStr">
        <is>
          <t>DM1-DM8</t>
        </is>
      </c>
      <c r="E45" s="10" t="inlineStr">
        <is>
          <t>DM1-DM8</t>
        </is>
      </c>
      <c r="J45" s="64" t="n"/>
    </row>
    <row r="46" outlineLevel="2" s="480">
      <c r="A46" s="63" t="n"/>
      <c r="B46" s="73" t="inlineStr">
        <is>
          <t>IP Train Switch</t>
        </is>
      </c>
      <c r="C46" s="381" t="inlineStr">
        <is>
          <t>3EST000212-3000</t>
        </is>
      </c>
      <c r="D46" s="63" t="inlineStr">
        <is>
          <t>DM1-DM8</t>
        </is>
      </c>
      <c r="J46" s="64" t="n"/>
    </row>
    <row r="47" outlineLevel="2" s="480">
      <c r="A47" s="63" t="n"/>
      <c r="B47" s="74" t="inlineStr">
        <is>
          <t>IP Train Switch</t>
        </is>
      </c>
      <c r="C47" s="379" t="inlineStr">
        <is>
          <t>3EST000236-6769</t>
        </is>
      </c>
      <c r="D47" s="75" t="n"/>
      <c r="E47" s="76" t="inlineStr">
        <is>
          <t>DM1-DM8</t>
        </is>
      </c>
      <c r="J47" s="64" t="n"/>
    </row>
    <row r="48" outlineLevel="2" s="480">
      <c r="A48" s="63" t="n"/>
      <c r="B48" s="73" t="inlineStr">
        <is>
          <t>IP Train Repeater</t>
        </is>
      </c>
      <c r="C48" s="381" t="inlineStr">
        <is>
          <t>3EST000212-3010</t>
        </is>
      </c>
      <c r="D48" s="63" t="inlineStr">
        <is>
          <t>M3-T4-T5</t>
        </is>
      </c>
      <c r="J48" s="64" t="n"/>
    </row>
    <row r="49" outlineLevel="2" s="480">
      <c r="A49" s="63" t="n"/>
      <c r="B49" s="72" t="inlineStr">
        <is>
          <t>IP Train Repeater</t>
        </is>
      </c>
      <c r="C49" s="382" t="inlineStr">
        <is>
          <t>3EST000236-6770</t>
        </is>
      </c>
      <c r="D49" s="63" t="n"/>
      <c r="E49" s="10" t="inlineStr">
        <is>
          <t>M3-T4-T5</t>
        </is>
      </c>
      <c r="J49" s="64" t="n"/>
    </row>
    <row r="50" outlineLevel="2" s="480">
      <c r="A50" s="63" t="n"/>
      <c r="B50" s="73" t="inlineStr">
        <is>
          <t>IP Ring Switch</t>
        </is>
      </c>
      <c r="C50" s="381" t="inlineStr">
        <is>
          <t>3EST000225-7297</t>
        </is>
      </c>
      <c r="D50" s="63" t="inlineStr">
        <is>
          <t>Tutte</t>
        </is>
      </c>
      <c r="J50" s="64" t="n"/>
    </row>
    <row r="51" outlineLevel="2" s="480">
      <c r="A51" s="63" t="n"/>
      <c r="B51" s="74" t="inlineStr">
        <is>
          <t>IP Ring Switch</t>
        </is>
      </c>
      <c r="C51" s="379" t="inlineStr">
        <is>
          <t>3EST000235-7837</t>
        </is>
      </c>
      <c r="D51" s="75" t="n"/>
      <c r="E51" s="76" t="inlineStr">
        <is>
          <t>DM1</t>
        </is>
      </c>
      <c r="J51" s="64" t="n"/>
    </row>
    <row r="52" outlineLevel="2" s="480">
      <c r="A52" s="63" t="n"/>
      <c r="B52" s="74" t="inlineStr">
        <is>
          <t>IP Ring Switch</t>
        </is>
      </c>
      <c r="C52" s="379" t="inlineStr">
        <is>
          <t>3EST000234-7837</t>
        </is>
      </c>
      <c r="D52" s="75" t="n"/>
      <c r="E52" s="76" t="inlineStr">
        <is>
          <t>DM8</t>
        </is>
      </c>
      <c r="J52" s="64" t="n"/>
    </row>
    <row r="53" outlineLevel="2" s="480">
      <c r="A53" s="63" t="n"/>
      <c r="B53" s="64" t="inlineStr">
        <is>
          <t>BUS Coupler BCT 12KF04</t>
        </is>
      </c>
      <c r="C53" s="328" t="inlineStr">
        <is>
          <t>EGM032400R0001</t>
        </is>
      </c>
      <c r="D53" s="63" t="inlineStr">
        <is>
          <t>TT2-T5-TT7</t>
        </is>
      </c>
      <c r="E53" s="10" t="inlineStr">
        <is>
          <t>TT2-T5-TT7</t>
        </is>
      </c>
      <c r="J53" s="64" t="n"/>
    </row>
    <row r="54" outlineLevel="2" ht="30" customHeight="1" s="480">
      <c r="A54" s="63" t="n"/>
      <c r="B54" s="115" t="inlineStr">
        <is>
          <t>Switch CS 14P NoPoE 1ByPX (NODC14NC02)</t>
        </is>
      </c>
      <c r="C54" s="380" t="inlineStr">
        <is>
          <t>EC030021125P14C001</t>
        </is>
      </c>
      <c r="D54" s="63" t="n"/>
      <c r="H54" s="116" t="inlineStr">
        <is>
          <t>Tutte</t>
        </is>
      </c>
      <c r="I54" s="116" t="inlineStr">
        <is>
          <t>Tutte</t>
        </is>
      </c>
      <c r="J54" s="64" t="n"/>
    </row>
    <row r="55" outlineLevel="2" ht="30" customHeight="1" s="480">
      <c r="A55" s="63" t="n"/>
      <c r="B55" s="115" t="inlineStr">
        <is>
          <t>Switch ETBN 14P NoPoE 2ByPX (NODC14NI01)</t>
        </is>
      </c>
      <c r="C55" s="380" t="inlineStr">
        <is>
          <t>EC030021126P14C001</t>
        </is>
      </c>
      <c r="D55" s="63" t="n"/>
      <c r="H55" s="116" t="inlineStr">
        <is>
          <t>DM1-DM8</t>
        </is>
      </c>
      <c r="I55" s="116" t="inlineStr">
        <is>
          <t>DM1-DM8</t>
        </is>
      </c>
      <c r="J55" s="64" t="n"/>
    </row>
    <row r="56">
      <c r="A56" s="110" t="inlineStr">
        <is>
          <t>TRAZIONE</t>
        </is>
      </c>
      <c r="B56" s="111" t="n"/>
      <c r="C56" s="376" t="n"/>
      <c r="D56" s="110" t="inlineStr">
        <is>
          <t>.</t>
        </is>
      </c>
      <c r="E56" s="112" t="inlineStr">
        <is>
          <t>.</t>
        </is>
      </c>
      <c r="F56" s="112" t="inlineStr">
        <is>
          <t>.</t>
        </is>
      </c>
      <c r="G56" s="112" t="inlineStr">
        <is>
          <t>.</t>
        </is>
      </c>
      <c r="H56" s="112" t="inlineStr">
        <is>
          <t>.</t>
        </is>
      </c>
      <c r="I56" s="112" t="inlineStr">
        <is>
          <t>.</t>
        </is>
      </c>
      <c r="J56" s="111" t="inlineStr">
        <is>
          <t>.</t>
        </is>
      </c>
    </row>
    <row r="57" outlineLevel="1" s="480">
      <c r="A57" s="68" t="n"/>
      <c r="B57" s="69" t="inlineStr">
        <is>
          <t>SEZIONE 4M / MCM (MOTORI)</t>
        </is>
      </c>
      <c r="C57" s="383" t="n"/>
      <c r="D57" s="113" t="inlineStr">
        <is>
          <t>..</t>
        </is>
      </c>
      <c r="E57" s="101" t="inlineStr">
        <is>
          <t>..</t>
        </is>
      </c>
      <c r="F57" s="101" t="inlineStr">
        <is>
          <t>..</t>
        </is>
      </c>
      <c r="G57" s="101" t="inlineStr">
        <is>
          <t>..</t>
        </is>
      </c>
      <c r="H57" s="101" t="inlineStr">
        <is>
          <t>..</t>
        </is>
      </c>
      <c r="I57" s="101" t="inlineStr">
        <is>
          <t>..</t>
        </is>
      </c>
      <c r="J57" s="114" t="inlineStr">
        <is>
          <t>..</t>
        </is>
      </c>
    </row>
    <row r="58" outlineLevel="2" ht="30" customHeight="1" s="480">
      <c r="A58" s="63" t="n"/>
      <c r="B58" s="64" t="inlineStr">
        <is>
          <t>Modulo convertitore MCM (15/10 WM V02)</t>
        </is>
      </c>
      <c r="C58" s="328" t="inlineStr">
        <is>
          <t>3EST000222-0850</t>
        </is>
      </c>
      <c r="D58" s="63" t="inlineStr">
        <is>
          <t>DM1-M3-M6-DM8</t>
        </is>
      </c>
      <c r="E58" s="10" t="inlineStr">
        <is>
          <t>DM1-M3-M6-DM8</t>
        </is>
      </c>
      <c r="J58" s="64" t="n"/>
    </row>
    <row r="59" outlineLevel="3" ht="30" customHeight="1" s="480">
      <c r="A59" s="63" t="n"/>
      <c r="B59" s="64" t="inlineStr">
        <is>
          <t>Centralina DCU/M</t>
        </is>
      </c>
      <c r="C59" s="328" t="inlineStr">
        <is>
          <t>3EST000222-1018</t>
        </is>
      </c>
      <c r="D59" s="63" t="inlineStr">
        <is>
          <t>DM1-M3-M6-DM8</t>
        </is>
      </c>
      <c r="E59" s="10" t="inlineStr">
        <is>
          <t>DM1-M3-M6-DM8</t>
        </is>
      </c>
      <c r="J59" s="64" t="n"/>
    </row>
    <row r="60" outlineLevel="3" ht="30" customHeight="1" s="480">
      <c r="A60" s="63" t="n"/>
      <c r="B60" s="64" t="inlineStr">
        <is>
          <t>Modulo IGBT</t>
        </is>
      </c>
      <c r="C60" s="328" t="inlineStr">
        <is>
          <t>3EST000214-9948</t>
        </is>
      </c>
      <c r="D60" s="63" t="inlineStr">
        <is>
          <t>DM1-M3-M6-DM8</t>
        </is>
      </c>
      <c r="E60" s="10" t="inlineStr">
        <is>
          <t>DM1-M3-M6-DM8</t>
        </is>
      </c>
      <c r="J60" s="64" t="n"/>
    </row>
    <row r="61" outlineLevel="2" s="480">
      <c r="A61" s="63" t="n"/>
      <c r="B61" s="115" t="inlineStr">
        <is>
          <t>Modulo convertitore MCM</t>
        </is>
      </c>
      <c r="C61" s="380" t="inlineStr">
        <is>
          <t>HW02250828-00</t>
        </is>
      </c>
      <c r="D61" s="75" t="n"/>
      <c r="E61" s="76" t="n"/>
      <c r="F61" s="76" t="n"/>
      <c r="G61" s="76" t="n"/>
      <c r="H61" s="116" t="inlineStr">
        <is>
          <t>X</t>
        </is>
      </c>
      <c r="I61" s="116" t="inlineStr">
        <is>
          <t>X</t>
        </is>
      </c>
      <c r="J61" s="64" t="n"/>
    </row>
    <row r="62" outlineLevel="3" s="480">
      <c r="A62" s="63" t="n"/>
      <c r="B62" s="115" t="inlineStr">
        <is>
          <t>Centralina Assieme MOCU</t>
        </is>
      </c>
      <c r="C62" s="380" t="inlineStr">
        <is>
          <t>HW04821017-00</t>
        </is>
      </c>
      <c r="D62" s="75" t="n"/>
      <c r="E62" s="76" t="n"/>
      <c r="F62" s="76" t="n"/>
      <c r="G62" s="76" t="n"/>
      <c r="H62" s="116" t="inlineStr">
        <is>
          <t>X</t>
        </is>
      </c>
      <c r="I62" s="116" t="inlineStr">
        <is>
          <t>X</t>
        </is>
      </c>
      <c r="J62" s="64" t="n"/>
    </row>
    <row r="63" outlineLevel="3" collapsed="1" s="480">
      <c r="A63" s="63" t="n"/>
      <c r="B63" s="115" t="inlineStr">
        <is>
          <t>Modulo IGBT</t>
        </is>
      </c>
      <c r="C63" s="380" t="inlineStr">
        <is>
          <t>EC030020031</t>
        </is>
      </c>
      <c r="D63" s="75" t="n"/>
      <c r="E63" s="76" t="n"/>
      <c r="F63" s="76" t="n"/>
      <c r="G63" s="76" t="n"/>
      <c r="H63" s="116" t="inlineStr">
        <is>
          <t>X</t>
        </is>
      </c>
      <c r="I63" s="116" t="inlineStr">
        <is>
          <t>X</t>
        </is>
      </c>
      <c r="J63" s="64" t="n"/>
    </row>
    <row r="64" outlineLevel="1" s="480">
      <c r="A64" s="68" t="n"/>
      <c r="B64" s="69" t="inlineStr">
        <is>
          <t>SEZIONE LCM (LINEA AC)</t>
        </is>
      </c>
      <c r="C64" s="383" t="n"/>
      <c r="D64" s="113" t="inlineStr">
        <is>
          <t>..</t>
        </is>
      </c>
      <c r="E64" s="101" t="inlineStr">
        <is>
          <t>..</t>
        </is>
      </c>
      <c r="F64" s="101" t="inlineStr">
        <is>
          <t>..</t>
        </is>
      </c>
      <c r="G64" s="101" t="inlineStr">
        <is>
          <t>..</t>
        </is>
      </c>
      <c r="H64" s="101" t="inlineStr">
        <is>
          <t>..</t>
        </is>
      </c>
      <c r="I64" s="101" t="inlineStr">
        <is>
          <t>..</t>
        </is>
      </c>
      <c r="J64" s="114" t="inlineStr">
        <is>
          <t>..</t>
        </is>
      </c>
    </row>
    <row r="65" outlineLevel="2" ht="30" customHeight="1" s="480">
      <c r="A65" s="63" t="n"/>
      <c r="B65" s="64" t="inlineStr">
        <is>
          <t>Modulo convertitore LCM (15/15 WL V06)</t>
        </is>
      </c>
      <c r="C65" s="328" t="inlineStr">
        <is>
          <t>3EST000222-0610</t>
        </is>
      </c>
      <c r="D65" s="63" t="inlineStr">
        <is>
          <t>DM1-M3-M6-DM8</t>
        </is>
      </c>
      <c r="E65" s="10" t="inlineStr">
        <is>
          <t>DM1-M3-M6-DM8</t>
        </is>
      </c>
      <c r="J65" s="64" t="n"/>
    </row>
    <row r="66" outlineLevel="3" ht="30" customHeight="1" s="480">
      <c r="A66" s="63" t="n"/>
      <c r="B66" s="64" t="inlineStr">
        <is>
          <t>Centralina DCU</t>
        </is>
      </c>
      <c r="C66" s="328" t="inlineStr">
        <is>
          <t>3EST000222-1018</t>
        </is>
      </c>
      <c r="D66" s="63" t="inlineStr">
        <is>
          <t>DM1-M3-M6-DM8</t>
        </is>
      </c>
      <c r="E66" s="10" t="inlineStr">
        <is>
          <t>DM1-M3-M6-DM8</t>
        </is>
      </c>
      <c r="J66" s="64" t="n"/>
    </row>
    <row r="67" outlineLevel="3" ht="30" customHeight="1" s="480">
      <c r="A67" s="63" t="n"/>
      <c r="B67" s="64" t="inlineStr">
        <is>
          <t>Modulo IGBT</t>
        </is>
      </c>
      <c r="C67" s="328" t="inlineStr">
        <is>
          <t>3EST000214-9825</t>
        </is>
      </c>
      <c r="D67" s="63" t="inlineStr">
        <is>
          <t>DM1-M3-M6-DM8</t>
        </is>
      </c>
      <c r="E67" s="10" t="inlineStr">
        <is>
          <t>DM1-M3-M6-DM8</t>
        </is>
      </c>
      <c r="J67" s="64" t="n"/>
    </row>
    <row r="68" outlineLevel="2" s="480">
      <c r="A68" s="63" t="n"/>
      <c r="B68" s="115" t="inlineStr">
        <is>
          <t>Modulo convertitore LCM</t>
        </is>
      </c>
      <c r="C68" s="380" t="inlineStr">
        <is>
          <t>3EST000222-0610-HR</t>
        </is>
      </c>
      <c r="D68" s="75" t="n"/>
      <c r="E68" s="76" t="n"/>
      <c r="F68" s="76" t="n"/>
      <c r="G68" s="76" t="n"/>
      <c r="H68" s="116" t="inlineStr">
        <is>
          <t>X</t>
        </is>
      </c>
      <c r="I68" s="116" t="inlineStr">
        <is>
          <t>X</t>
        </is>
      </c>
      <c r="J68" s="64" t="n"/>
    </row>
    <row r="69" outlineLevel="3" s="480">
      <c r="A69" s="63" t="n"/>
      <c r="B69" s="71" t="inlineStr">
        <is>
          <t>Centralina DCU/L</t>
        </is>
      </c>
      <c r="C69" s="384" t="inlineStr">
        <is>
          <t>3EST000299-9665-HR</t>
        </is>
      </c>
      <c r="D69" s="70" t="n"/>
      <c r="E69" s="79" t="n"/>
      <c r="F69" s="79" t="n"/>
      <c r="G69" s="79" t="n"/>
      <c r="H69" s="79" t="inlineStr">
        <is>
          <t>X</t>
        </is>
      </c>
      <c r="I69" s="79" t="inlineStr">
        <is>
          <t>X</t>
        </is>
      </c>
      <c r="J69" s="64" t="n"/>
    </row>
    <row r="70" outlineLevel="3" collapsed="1" s="480">
      <c r="A70" s="63" t="n"/>
      <c r="B70" s="115" t="inlineStr">
        <is>
          <t>Modulo IGBT</t>
        </is>
      </c>
      <c r="C70" s="380" t="inlineStr">
        <is>
          <t>3EST000223-1474-HR</t>
        </is>
      </c>
      <c r="D70" s="75" t="n"/>
      <c r="E70" s="76" t="n"/>
      <c r="F70" s="76" t="n"/>
      <c r="G70" s="76" t="n"/>
      <c r="H70" s="116" t="inlineStr">
        <is>
          <t>X</t>
        </is>
      </c>
      <c r="I70" s="116" t="inlineStr">
        <is>
          <t>X</t>
        </is>
      </c>
      <c r="J70" s="64" t="n"/>
    </row>
    <row r="71" outlineLevel="1" s="480">
      <c r="A71" s="68" t="n"/>
      <c r="B71" s="69" t="inlineStr">
        <is>
          <t>SEZIONE CCM (LINEA DC)</t>
        </is>
      </c>
      <c r="C71" s="383" t="n"/>
      <c r="D71" s="113" t="inlineStr">
        <is>
          <t>..</t>
        </is>
      </c>
      <c r="E71" s="101" t="inlineStr">
        <is>
          <t>..</t>
        </is>
      </c>
      <c r="F71" s="101" t="inlineStr">
        <is>
          <t>..</t>
        </is>
      </c>
      <c r="G71" s="101" t="inlineStr">
        <is>
          <t>..</t>
        </is>
      </c>
      <c r="H71" s="101" t="inlineStr">
        <is>
          <t>..</t>
        </is>
      </c>
      <c r="I71" s="101" t="inlineStr">
        <is>
          <t>..</t>
        </is>
      </c>
      <c r="J71" s="114" t="inlineStr">
        <is>
          <t>..</t>
        </is>
      </c>
    </row>
    <row r="72" outlineLevel="2" ht="30" customHeight="1" s="480">
      <c r="A72" s="63" t="n"/>
      <c r="B72" s="64" t="inlineStr">
        <is>
          <t>Modulo Convertitore CCM (30/07 WC V01)</t>
        </is>
      </c>
      <c r="C72" s="328" t="inlineStr">
        <is>
          <t>3EST000222-1010</t>
        </is>
      </c>
      <c r="D72" s="63" t="inlineStr">
        <is>
          <t>DM1-M3-M6-DM8</t>
        </is>
      </c>
      <c r="E72" s="10" t="inlineStr">
        <is>
          <t>DM1-M3-M6-DM8</t>
        </is>
      </c>
      <c r="J72" s="64" t="n"/>
    </row>
    <row r="73" outlineLevel="3" ht="30" customHeight="1" s="480">
      <c r="A73" s="63" t="n"/>
      <c r="B73" s="64" t="inlineStr">
        <is>
          <t>Centralina DCU/C</t>
        </is>
      </c>
      <c r="C73" s="328" t="inlineStr">
        <is>
          <t>3EST000222-1018</t>
        </is>
      </c>
      <c r="D73" s="63" t="inlineStr">
        <is>
          <t>DM1-M3-M6-DM8</t>
        </is>
      </c>
      <c r="E73" s="10" t="inlineStr">
        <is>
          <t>DM1-M3-M6-DM8</t>
        </is>
      </c>
      <c r="J73" s="64" t="n"/>
    </row>
    <row r="74" outlineLevel="3" ht="30" customHeight="1" s="480">
      <c r="A74" s="63" t="n"/>
      <c r="B74" s="64" t="inlineStr">
        <is>
          <t>Modulo IGBT</t>
        </is>
      </c>
      <c r="C74" s="328" t="inlineStr">
        <is>
          <t>3EST000214-9948</t>
        </is>
      </c>
      <c r="D74" s="63" t="inlineStr">
        <is>
          <t>DM1-M3-M6-DM8</t>
        </is>
      </c>
      <c r="E74" s="10" t="inlineStr">
        <is>
          <t>DM1-M3-M6-DM8</t>
        </is>
      </c>
      <c r="J74" s="64" t="n"/>
    </row>
    <row r="75" outlineLevel="2" s="480">
      <c r="A75" s="63" t="n"/>
      <c r="B75" s="115" t="inlineStr">
        <is>
          <t>Modulo convertitore CCM</t>
        </is>
      </c>
      <c r="C75" s="380" t="inlineStr">
        <is>
          <t>HW02250827-00</t>
        </is>
      </c>
      <c r="D75" s="75" t="n"/>
      <c r="E75" s="76" t="n"/>
      <c r="F75" s="76" t="n"/>
      <c r="G75" s="76" t="n"/>
      <c r="H75" s="116" t="inlineStr">
        <is>
          <t>X</t>
        </is>
      </c>
      <c r="I75" s="116" t="inlineStr">
        <is>
          <t>X</t>
        </is>
      </c>
      <c r="J75" s="64" t="n"/>
    </row>
    <row r="76" outlineLevel="3" s="480">
      <c r="A76" s="63" t="n"/>
      <c r="B76" s="115" t="inlineStr">
        <is>
          <t>Centralina Assieme MOCU</t>
        </is>
      </c>
      <c r="C76" s="380" t="inlineStr">
        <is>
          <t>HW05869752-00</t>
        </is>
      </c>
      <c r="D76" s="75" t="n"/>
      <c r="E76" s="76" t="n"/>
      <c r="F76" s="76" t="n"/>
      <c r="G76" s="76" t="n"/>
      <c r="H76" s="116" t="inlineStr">
        <is>
          <t>X</t>
        </is>
      </c>
      <c r="I76" s="116" t="inlineStr">
        <is>
          <t>X</t>
        </is>
      </c>
      <c r="J76" s="64" t="n"/>
    </row>
    <row r="77" outlineLevel="3" collapsed="1" s="480">
      <c r="A77" s="63" t="n"/>
      <c r="B77" s="115" t="inlineStr">
        <is>
          <t>Modulo IGBT</t>
        </is>
      </c>
      <c r="C77" s="380" t="inlineStr">
        <is>
          <t>EC030020031</t>
        </is>
      </c>
      <c r="D77" s="75" t="n"/>
      <c r="E77" s="76" t="n"/>
      <c r="F77" s="76" t="n"/>
      <c r="G77" s="76" t="n"/>
      <c r="H77" s="116" t="inlineStr">
        <is>
          <t>X</t>
        </is>
      </c>
      <c r="I77" s="116" t="inlineStr">
        <is>
          <t>X</t>
        </is>
      </c>
      <c r="J77" s="64" t="n"/>
    </row>
    <row r="78" outlineLevel="1" s="480">
      <c r="A78" s="68" t="n"/>
      <c r="B78" s="69" t="inlineStr">
        <is>
          <t>SEZIONE CS (RAFFREDDAMENTO)</t>
        </is>
      </c>
      <c r="C78" s="383" t="n"/>
      <c r="D78" s="113" t="inlineStr">
        <is>
          <t>..</t>
        </is>
      </c>
      <c r="E78" s="101" t="inlineStr">
        <is>
          <t>..</t>
        </is>
      </c>
      <c r="F78" s="101" t="inlineStr">
        <is>
          <t>..</t>
        </is>
      </c>
      <c r="G78" s="101" t="inlineStr">
        <is>
          <t>..</t>
        </is>
      </c>
      <c r="H78" s="101" t="inlineStr">
        <is>
          <t>..</t>
        </is>
      </c>
      <c r="I78" s="101" t="inlineStr">
        <is>
          <t>..</t>
        </is>
      </c>
      <c r="J78" s="114" t="inlineStr">
        <is>
          <t>..</t>
        </is>
      </c>
    </row>
    <row r="79" outlineLevel="2" ht="30" customHeight="1" s="480">
      <c r="A79" s="63" t="n"/>
      <c r="B79" s="64" t="inlineStr">
        <is>
          <t>Modulo raffreddamento</t>
        </is>
      </c>
      <c r="C79" s="328" t="inlineStr">
        <is>
          <t>3EST000225-0304</t>
        </is>
      </c>
      <c r="D79" s="63" t="inlineStr">
        <is>
          <t>DM1-M3-M6-DM8</t>
        </is>
      </c>
      <c r="E79" s="10" t="inlineStr">
        <is>
          <t>DM1-M3-M6-DM8</t>
        </is>
      </c>
      <c r="H79" s="10" t="inlineStr">
        <is>
          <t>X</t>
        </is>
      </c>
      <c r="I79" s="10" t="inlineStr">
        <is>
          <t>X</t>
        </is>
      </c>
      <c r="J79" s="64" t="n"/>
    </row>
    <row r="80" outlineLevel="1" s="480">
      <c r="A80" s="68" t="n"/>
      <c r="B80" s="69" t="inlineStr">
        <is>
          <t>SEZIONE AE (AUSILIARI)</t>
        </is>
      </c>
      <c r="C80" s="383" t="n"/>
      <c r="D80" s="113" t="inlineStr">
        <is>
          <t>..</t>
        </is>
      </c>
      <c r="E80" s="101" t="inlineStr">
        <is>
          <t>..</t>
        </is>
      </c>
      <c r="F80" s="101" t="inlineStr">
        <is>
          <t>..</t>
        </is>
      </c>
      <c r="G80" s="101" t="inlineStr">
        <is>
          <t>..</t>
        </is>
      </c>
      <c r="H80" s="101" t="inlineStr">
        <is>
          <t>..</t>
        </is>
      </c>
      <c r="I80" s="101" t="inlineStr">
        <is>
          <t>..</t>
        </is>
      </c>
      <c r="J80" s="114" t="inlineStr">
        <is>
          <t>..</t>
        </is>
      </c>
    </row>
    <row r="81" outlineLevel="2" ht="30" customHeight="1" s="480">
      <c r="A81" s="63" t="n"/>
      <c r="B81" s="64" t="inlineStr">
        <is>
          <t>Modulo convertitore ACM</t>
        </is>
      </c>
      <c r="C81" s="328" t="inlineStr">
        <is>
          <t>3EST000222-0910</t>
        </is>
      </c>
      <c r="D81" s="63" t="inlineStr">
        <is>
          <t>DM1-M3-M6-DM8</t>
        </is>
      </c>
      <c r="E81" s="10" t="inlineStr">
        <is>
          <t>DM1-M3-M6-DM8</t>
        </is>
      </c>
      <c r="J81" s="64" t="n"/>
    </row>
    <row r="82" outlineLevel="3" ht="30" customHeight="1" s="480">
      <c r="A82" s="63" t="n"/>
      <c r="B82" s="64" t="inlineStr">
        <is>
          <t>Centralina DCU</t>
        </is>
      </c>
      <c r="C82" s="328" t="inlineStr">
        <is>
          <t>3EST000222-1018</t>
        </is>
      </c>
      <c r="D82" s="63" t="inlineStr">
        <is>
          <t>DM1-M3-M6-DM8</t>
        </is>
      </c>
      <c r="E82" s="10" t="inlineStr">
        <is>
          <t>DM1-M3-M6-DM8</t>
        </is>
      </c>
      <c r="J82" s="64" t="n"/>
    </row>
    <row r="83" outlineLevel="3" ht="30" customHeight="1" s="480">
      <c r="A83" s="63" t="n"/>
      <c r="B83" s="64" t="inlineStr">
        <is>
          <t>Modulo IGBT</t>
        </is>
      </c>
      <c r="C83" s="384" t="inlineStr">
        <is>
          <t>3EST000214-9948</t>
        </is>
      </c>
      <c r="D83" s="63" t="inlineStr">
        <is>
          <t>DM1-M3-M6-DM8</t>
        </is>
      </c>
      <c r="E83" s="10" t="inlineStr">
        <is>
          <t>DM1-M3-M6-DM8</t>
        </is>
      </c>
      <c r="J83" s="64" t="n"/>
    </row>
    <row r="84" outlineLevel="2" s="480">
      <c r="A84" s="63" t="n"/>
      <c r="B84" s="115" t="inlineStr">
        <is>
          <t>Modulo convertitore ACM</t>
        </is>
      </c>
      <c r="C84" s="380" t="inlineStr">
        <is>
          <t>3EST000222-0910-HR</t>
        </is>
      </c>
      <c r="D84" s="75" t="n"/>
      <c r="E84" s="76" t="n"/>
      <c r="F84" s="76" t="n"/>
      <c r="G84" s="76" t="n"/>
      <c r="H84" s="116" t="inlineStr">
        <is>
          <t>X</t>
        </is>
      </c>
      <c r="I84" s="116" t="inlineStr">
        <is>
          <t>X</t>
        </is>
      </c>
      <c r="J84" s="64" t="n"/>
    </row>
    <row r="85" outlineLevel="3" s="480">
      <c r="A85" s="63" t="n"/>
      <c r="B85" s="71" t="inlineStr">
        <is>
          <t>Centralina DCU</t>
        </is>
      </c>
      <c r="C85" s="384" t="inlineStr">
        <is>
          <t>???</t>
        </is>
      </c>
      <c r="D85" s="70" t="n"/>
      <c r="E85" s="79" t="n"/>
      <c r="F85" s="79" t="n"/>
      <c r="G85" s="79" t="n"/>
      <c r="H85" s="79" t="inlineStr">
        <is>
          <t>X</t>
        </is>
      </c>
      <c r="I85" s="79" t="inlineStr">
        <is>
          <t>X</t>
        </is>
      </c>
      <c r="J85" s="64" t="n"/>
    </row>
    <row r="86" outlineLevel="3" collapsed="1" s="480">
      <c r="A86" s="63" t="n"/>
      <c r="B86" s="71" t="inlineStr">
        <is>
          <t>Modulo IGBT</t>
        </is>
      </c>
      <c r="C86" s="384" t="inlineStr">
        <is>
          <t>???</t>
        </is>
      </c>
      <c r="D86" s="70" t="n"/>
      <c r="E86" s="79" t="n"/>
      <c r="F86" s="79" t="n"/>
      <c r="G86" s="79" t="n"/>
      <c r="H86" s="79" t="inlineStr">
        <is>
          <t>X</t>
        </is>
      </c>
      <c r="I86" s="79" t="inlineStr">
        <is>
          <t>X</t>
        </is>
      </c>
      <c r="J86" s="64" t="n"/>
    </row>
    <row r="87">
      <c r="A87" s="63" t="n"/>
      <c r="B87" s="64" t="n"/>
      <c r="C87" s="328" t="n"/>
      <c r="D87" s="63" t="n"/>
      <c r="J87" s="64" t="n"/>
    </row>
    <row r="88">
      <c r="A88" s="63" t="n"/>
      <c r="B88" s="64" t="n"/>
      <c r="C88" s="328" t="n"/>
      <c r="D88" s="63" t="n"/>
      <c r="J88" s="64" t="n"/>
    </row>
    <row r="89">
      <c r="A89" s="63" t="n"/>
      <c r="B89" s="64" t="n"/>
      <c r="C89" s="328" t="n"/>
      <c r="D89" s="63" t="n"/>
      <c r="J89" s="64" t="n"/>
    </row>
    <row r="90">
      <c r="A90" s="63" t="n"/>
      <c r="B90" s="64" t="n"/>
      <c r="C90" s="328" t="n"/>
      <c r="D90" s="63" t="n"/>
      <c r="J90" s="64" t="n"/>
    </row>
    <row r="91">
      <c r="A91" s="63" t="n"/>
      <c r="B91" s="64" t="inlineStr">
        <is>
          <t>Antincendio DM1</t>
        </is>
      </c>
      <c r="C91" s="328" t="inlineStr">
        <is>
          <t>3ECP502022-0001</t>
        </is>
      </c>
      <c r="D91" s="63" t="n"/>
      <c r="J91" s="64" t="n"/>
    </row>
    <row r="92">
      <c r="A92" s="63" t="n"/>
      <c r="B92" s="64" t="inlineStr">
        <is>
          <t>UNITA' MAU 150/80</t>
        </is>
      </c>
      <c r="C92" s="328" t="inlineStr">
        <is>
          <t>3ECP502624-0001</t>
        </is>
      </c>
      <c r="D92" s="63" t="n"/>
      <c r="J92" s="64" t="n"/>
    </row>
    <row r="93" ht="30" customHeight="1" s="480">
      <c r="A93" s="63" t="n"/>
      <c r="B93" s="64" t="inlineStr">
        <is>
          <t>SISTEMA DI RILEVAMENTO</t>
        </is>
      </c>
      <c r="C93" s="328" t="inlineStr">
        <is>
          <t>000203-UMN002-0001.1.A-DM1</t>
        </is>
      </c>
      <c r="D93" s="63" t="n"/>
      <c r="J93" s="64" t="n"/>
    </row>
    <row r="94">
      <c r="A94" s="63" t="n"/>
      <c r="B94" s="64" t="inlineStr">
        <is>
          <t>SISTEMA AEROSOL</t>
        </is>
      </c>
      <c r="C94" s="328" t="inlineStr">
        <is>
          <t>985-MCO72318</t>
        </is>
      </c>
      <c r="D94" s="63" t="n"/>
      <c r="J94" s="64" t="n"/>
    </row>
    <row r="95">
      <c r="A95" s="63" t="n"/>
      <c r="B95" s="64" t="inlineStr">
        <is>
          <t>Antincendio DM8</t>
        </is>
      </c>
      <c r="C95" s="328" t="inlineStr">
        <is>
          <t>3EGH489009-5958</t>
        </is>
      </c>
      <c r="D95" s="63" t="n"/>
      <c r="J95" s="64" t="n"/>
    </row>
    <row r="96">
      <c r="A96" s="63" t="n"/>
      <c r="B96" s="64" t="inlineStr">
        <is>
          <t>UNITA' MAU 150/80</t>
        </is>
      </c>
      <c r="C96" s="328" t="inlineStr">
        <is>
          <t>3ECP502624-0001</t>
        </is>
      </c>
      <c r="D96" s="63" t="n"/>
      <c r="J96" s="64" t="n"/>
    </row>
    <row r="97" ht="30" customHeight="1" s="480">
      <c r="A97" s="63" t="n"/>
      <c r="B97" s="64" t="inlineStr">
        <is>
          <t>SISTEMA DI RILEVAMENTO</t>
        </is>
      </c>
      <c r="C97" s="328" t="inlineStr">
        <is>
          <t>000203-UMN002-0001.1.A-DM8</t>
        </is>
      </c>
      <c r="D97" s="63" t="n"/>
      <c r="J97" s="64" t="n"/>
    </row>
    <row r="98">
      <c r="A98" s="63" t="n"/>
      <c r="B98" s="64" t="inlineStr">
        <is>
          <t>SISTEMA AEROSOL</t>
        </is>
      </c>
      <c r="C98" s="328" t="inlineStr">
        <is>
          <t>985-MCO72318</t>
        </is>
      </c>
      <c r="D98" s="63" t="n"/>
      <c r="J98" s="64" t="n"/>
    </row>
    <row r="99">
      <c r="A99" s="63" t="n"/>
      <c r="B99" s="64" t="n"/>
      <c r="C99" s="328" t="n"/>
      <c r="D99" s="63" t="n"/>
      <c r="J99" s="64" t="n"/>
    </row>
    <row r="100">
      <c r="A100" s="182" t="n"/>
      <c r="B100" s="65" t="n"/>
      <c r="C100" s="346" t="n"/>
      <c r="D100" s="182" t="n"/>
      <c r="E100" s="66" t="n"/>
      <c r="F100" s="66" t="n"/>
      <c r="G100" s="66" t="n"/>
      <c r="H100" s="66" t="n"/>
      <c r="I100" s="66" t="n"/>
      <c r="J100" s="65" t="n"/>
    </row>
  </sheetData>
  <autoFilter ref="A2:J86"/>
  <mergeCells count="4">
    <mergeCell ref="D1:J1"/>
    <mergeCell ref="C1:C2"/>
    <mergeCell ref="B1:B2"/>
    <mergeCell ref="A1:A2"/>
  </mergeCells>
  <pageMargins left="0.7" right="0.7" top="0.75" bottom="0.75" header="0.3" footer="0.3"/>
  <pageSetup orientation="portrait" paperSize="9" verticalDpi="0"/>
</worksheet>
</file>

<file path=xl/worksheets/sheet12.xml><?xml version="1.0" encoding="utf-8"?>
<worksheet xmlns="http://schemas.openxmlformats.org/spreadsheetml/2006/main">
  <sheetPr codeName="Foglio9">
    <outlinePr summaryBelow="1" summaryRight="1"/>
    <pageSetUpPr/>
  </sheetPr>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baseColWidth="8" defaultRowHeight="15"/>
  <cols>
    <col width="17.85546875" customWidth="1" style="480" min="1" max="1"/>
    <col width="14.42578125" customWidth="1" style="480" min="2" max="2"/>
    <col width="18.42578125" customWidth="1" style="480" min="3" max="3"/>
    <col width="15.85546875" customWidth="1" style="480" min="4" max="4"/>
    <col width="19.42578125" customWidth="1" style="480" min="5" max="6"/>
    <col width="14.42578125" customWidth="1" style="480" min="7" max="7"/>
    <col width="16.42578125" customWidth="1" style="480" min="8" max="8"/>
    <col width="23.85546875" customWidth="1" style="480" min="9" max="9"/>
    <col width="21.85546875" customWidth="1" style="480" min="10" max="10"/>
    <col width="11.42578125" customWidth="1" style="480" min="11" max="11"/>
    <col width="15.5703125" customWidth="1" style="480" min="12" max="12"/>
    <col width="19.85546875" customWidth="1" style="480" min="13" max="13"/>
    <col width="21.5703125" customWidth="1" style="480" min="14" max="14"/>
    <col width="12.140625" customWidth="1" style="480" min="15" max="15"/>
    <col width="15.5703125" customWidth="1" style="480" min="16" max="16"/>
    <col width="24.5703125" customWidth="1" style="480" min="17" max="17"/>
    <col width="26.85546875" customWidth="1" style="480" min="18" max="18"/>
    <col width="15.140625" customWidth="1" style="480" min="20" max="20"/>
    <col width="25.140625" customWidth="1" style="480" min="21" max="21"/>
    <col width="20.140625" customWidth="1" style="480" min="22" max="22"/>
    <col width="10" bestFit="1" customWidth="1" style="480" min="23" max="23"/>
    <col width="15.42578125" customWidth="1" style="480" min="24" max="24"/>
    <col width="20.42578125" customWidth="1" style="480" min="25" max="25"/>
    <col width="25.85546875" customWidth="1" style="480" min="26" max="26"/>
  </cols>
  <sheetData>
    <row r="1" ht="15.75" customHeight="1" s="480" thickBot="1">
      <c r="C1" s="493" t="inlineStr">
        <is>
          <t>IT 50 treni (flotta base)</t>
        </is>
      </c>
      <c r="D1" s="463" t="n"/>
      <c r="E1" s="463" t="n"/>
      <c r="F1" s="494" t="n"/>
      <c r="G1" s="493" t="inlineStr">
        <is>
          <t>IT 8 treni (51-58)</t>
        </is>
      </c>
      <c r="H1" s="463" t="n"/>
      <c r="I1" s="463" t="n"/>
      <c r="J1" s="494" t="n"/>
      <c r="K1" s="493" t="inlineStr">
        <is>
          <t>IT 6+30 treni (101-136)</t>
        </is>
      </c>
      <c r="L1" s="463" t="n"/>
      <c r="M1" s="463" t="n"/>
      <c r="N1" s="494" t="n"/>
      <c r="O1" s="493" t="inlineStr">
        <is>
          <t>I-FR 9 treni</t>
        </is>
      </c>
      <c r="P1" s="463" t="n"/>
      <c r="Q1" s="463" t="n"/>
      <c r="R1" s="494" t="n"/>
      <c r="S1" s="493" t="inlineStr">
        <is>
          <t>DAI 9 treni</t>
        </is>
      </c>
      <c r="T1" s="463" t="n"/>
      <c r="U1" s="463" t="n"/>
      <c r="V1" s="494" t="n"/>
      <c r="W1" s="493" t="inlineStr">
        <is>
          <t>ES 20 treni</t>
        </is>
      </c>
      <c r="X1" s="463" t="n"/>
      <c r="Y1" s="463" t="n"/>
      <c r="Z1" s="494" t="n"/>
    </row>
    <row r="2" ht="15.75" customHeight="1" s="480" thickBot="1">
      <c r="A2" s="505" t="inlineStr">
        <is>
          <t>Sottosistema</t>
        </is>
      </c>
      <c r="B2" s="464" t="n"/>
      <c r="C2" s="12" t="inlineStr">
        <is>
          <t>P/N</t>
        </is>
      </c>
      <c r="D2" s="13" t="inlineStr">
        <is>
          <t>Id</t>
        </is>
      </c>
      <c r="E2" s="13" t="inlineStr">
        <is>
          <t>P/N</t>
        </is>
      </c>
      <c r="F2" s="14" t="inlineStr">
        <is>
          <t>Descrizione</t>
        </is>
      </c>
      <c r="G2" s="15" t="inlineStr">
        <is>
          <t>P/N</t>
        </is>
      </c>
      <c r="H2" s="13" t="inlineStr">
        <is>
          <t>Id</t>
        </is>
      </c>
      <c r="I2" s="13" t="inlineStr">
        <is>
          <t>P/N</t>
        </is>
      </c>
      <c r="J2" s="14" t="inlineStr">
        <is>
          <t>Descrizione</t>
        </is>
      </c>
      <c r="K2" s="15" t="inlineStr">
        <is>
          <t>P/N</t>
        </is>
      </c>
      <c r="L2" s="13" t="inlineStr">
        <is>
          <t>Id</t>
        </is>
      </c>
      <c r="M2" s="13" t="inlineStr">
        <is>
          <t>P/N</t>
        </is>
      </c>
      <c r="N2" s="14" t="inlineStr">
        <is>
          <t>Descrizione</t>
        </is>
      </c>
      <c r="O2" s="15" t="inlineStr">
        <is>
          <t>P/N</t>
        </is>
      </c>
      <c r="P2" s="13" t="inlineStr">
        <is>
          <t>Id</t>
        </is>
      </c>
      <c r="Q2" s="13" t="inlineStr">
        <is>
          <t>P/N</t>
        </is>
      </c>
      <c r="R2" s="14" t="inlineStr">
        <is>
          <t>Descrizione</t>
        </is>
      </c>
      <c r="S2" s="15" t="inlineStr">
        <is>
          <t>P/N</t>
        </is>
      </c>
      <c r="T2" s="13" t="inlineStr">
        <is>
          <t>Id</t>
        </is>
      </c>
      <c r="U2" s="13" t="inlineStr">
        <is>
          <t>P/N</t>
        </is>
      </c>
      <c r="V2" s="14" t="inlineStr">
        <is>
          <t>Descrizione</t>
        </is>
      </c>
      <c r="W2" s="15" t="inlineStr">
        <is>
          <t>P/N</t>
        </is>
      </c>
      <c r="X2" s="13" t="inlineStr">
        <is>
          <t>Id</t>
        </is>
      </c>
      <c r="Y2" s="13" t="inlineStr">
        <is>
          <t>P/N</t>
        </is>
      </c>
      <c r="Z2" s="14" t="inlineStr">
        <is>
          <t>Descrizione</t>
        </is>
      </c>
    </row>
    <row r="3" ht="286.5" customHeight="1" s="480">
      <c r="A3" s="490" t="inlineStr">
        <is>
          <t>Carrelli</t>
        </is>
      </c>
      <c r="B3" s="487" t="inlineStr">
        <is>
          <t>Motori</t>
        </is>
      </c>
      <c r="C3" s="465" t="inlineStr">
        <is>
          <t>100360301
100360302
100360303
100360304</t>
        </is>
      </c>
      <c r="D3" s="385" t="inlineStr">
        <is>
          <t>Sala Montata</t>
        </is>
      </c>
      <c r="E3" s="10" t="inlineStr">
        <is>
          <t>100360402
100360403</t>
        </is>
      </c>
      <c r="F3" s="17" t="inlineStr">
        <is>
          <t>Sensoristica ERTMS-SCMT carrelli DM
Sala senza boccole: 100360064</t>
        </is>
      </c>
      <c r="G3" s="465" t="inlineStr">
        <is>
          <t>100360301
100360302
100360303
100360304</t>
        </is>
      </c>
      <c r="H3" s="385" t="inlineStr">
        <is>
          <t>Sala Montata</t>
        </is>
      </c>
      <c r="I3" s="10" t="inlineStr">
        <is>
          <t>100360402
100360403</t>
        </is>
      </c>
      <c r="J3" s="17" t="inlineStr">
        <is>
          <t>Sensoristica ERTMS-SCMT carrelli DM
Sala senza boccole: 100360064</t>
        </is>
      </c>
      <c r="K3" s="503" t="inlineStr">
        <is>
          <t>100360301
100360302
100360303
100360304
(EN45545)</t>
        </is>
      </c>
      <c r="L3" s="386" t="inlineStr">
        <is>
          <t>Sala Montata</t>
        </is>
      </c>
      <c r="M3" s="18" t="inlineStr">
        <is>
          <t>100360402
100360403</t>
        </is>
      </c>
      <c r="N3" s="19" t="inlineStr">
        <is>
          <t>Sensoristica ERTMS-SCMT carrelli DM</t>
        </is>
      </c>
      <c r="O3" s="465" t="inlineStr">
        <is>
          <t>100329688
100329689
100360303
100360304</t>
        </is>
      </c>
      <c r="P3" s="385" t="inlineStr">
        <is>
          <t>Sala Montata</t>
        </is>
      </c>
      <c r="Q3" s="438" t="n"/>
      <c r="R3" s="20" t="inlineStr">
        <is>
          <t>Sensoristica ERTMS-SCMT, Memor brush, ETCS antenna su carrelli ant. DM1/8
Sensori Wiegand su post. DM1/8
Sensori Wiegand su ant. TT2/7
Sala senza boccole: 100360064</t>
        </is>
      </c>
      <c r="S3" s="473" t="n"/>
      <c r="T3" s="387" t="inlineStr">
        <is>
          <t>Sala Montata</t>
        </is>
      </c>
      <c r="U3" s="388" t="n"/>
      <c r="V3" s="21" t="inlineStr">
        <is>
          <t>tbd sensori boccola DM</t>
        </is>
      </c>
      <c r="W3" s="465" t="inlineStr">
        <is>
          <t>DM: 100437987
100470644</t>
        </is>
      </c>
      <c r="X3" s="385" t="inlineStr">
        <is>
          <t>Sala Montata</t>
        </is>
      </c>
      <c r="Y3" s="438" t="n"/>
      <c r="Z3" s="17" t="inlineStr">
        <is>
          <t>Sensoristica ETCS-ASFA-LZB carrelli DM</t>
        </is>
      </c>
    </row>
    <row r="4">
      <c r="A4" s="469" t="n"/>
      <c r="C4" s="466" t="n"/>
      <c r="D4" s="389" t="inlineStr">
        <is>
          <t>Riduttore</t>
        </is>
      </c>
      <c r="E4" s="390" t="n">
        <v>13900244911</v>
      </c>
      <c r="F4" s="22" t="n"/>
      <c r="G4" s="466" t="n"/>
      <c r="H4" s="389" t="inlineStr">
        <is>
          <t>Riduttore</t>
        </is>
      </c>
      <c r="I4" s="390" t="n">
        <v>13900244911</v>
      </c>
      <c r="J4" s="22" t="n"/>
      <c r="K4" s="466" t="n"/>
      <c r="L4" s="391" t="inlineStr">
        <is>
          <t>Riduttore</t>
        </is>
      </c>
      <c r="M4" s="392" t="n">
        <v>13900244911</v>
      </c>
      <c r="N4" s="23" t="n"/>
      <c r="O4" s="466" t="n"/>
      <c r="P4" s="389" t="inlineStr">
        <is>
          <t>Riduttore</t>
        </is>
      </c>
      <c r="Q4" s="393" t="n">
        <v>13900244911</v>
      </c>
      <c r="R4" s="22" t="n"/>
      <c r="S4" s="466" t="n"/>
      <c r="T4" s="394" t="inlineStr">
        <is>
          <t>Riduttore</t>
        </is>
      </c>
      <c r="U4" s="395" t="n">
        <v>13900244911</v>
      </c>
      <c r="V4" s="24" t="n"/>
      <c r="W4" s="466" t="n"/>
      <c r="X4" s="389" t="inlineStr">
        <is>
          <t>Riduttore</t>
        </is>
      </c>
      <c r="Y4" s="165" t="n"/>
      <c r="Z4" s="22" t="n"/>
    </row>
    <row r="5">
      <c r="A5" s="469" t="n"/>
      <c r="C5" s="466" t="n"/>
      <c r="D5" s="389" t="inlineStr">
        <is>
          <t>Motore</t>
        </is>
      </c>
      <c r="E5" s="165" t="inlineStr">
        <is>
          <t>3EST000224-9555</t>
        </is>
      </c>
      <c r="F5" s="22" t="n"/>
      <c r="G5" s="466" t="n"/>
      <c r="H5" s="389" t="inlineStr">
        <is>
          <t>Motore</t>
        </is>
      </c>
      <c r="I5" s="165" t="inlineStr">
        <is>
          <t>3EST000224-9555</t>
        </is>
      </c>
      <c r="J5" s="22" t="n"/>
      <c r="K5" s="466" t="n"/>
      <c r="L5" s="391" t="inlineStr">
        <is>
          <t>Motore</t>
        </is>
      </c>
      <c r="M5" s="396" t="inlineStr">
        <is>
          <t>3EST000224-9555</t>
        </is>
      </c>
      <c r="N5" s="23" t="n"/>
      <c r="O5" s="466" t="n"/>
      <c r="P5" s="389" t="inlineStr">
        <is>
          <t>Motore</t>
        </is>
      </c>
      <c r="Q5" s="166" t="inlineStr">
        <is>
          <t>3EST000224-9555</t>
        </is>
      </c>
      <c r="R5" s="22" t="n"/>
      <c r="S5" s="466" t="n"/>
      <c r="T5" s="394" t="inlineStr">
        <is>
          <t>Motore</t>
        </is>
      </c>
      <c r="U5" s="397" t="inlineStr">
        <is>
          <t>3EST000224-9555</t>
        </is>
      </c>
      <c r="V5" s="24" t="n"/>
      <c r="W5" s="466" t="n"/>
      <c r="X5" s="389" t="inlineStr">
        <is>
          <t>Motore</t>
        </is>
      </c>
      <c r="Y5" s="165" t="n"/>
      <c r="Z5" s="22" t="n"/>
    </row>
    <row r="6" ht="87" customHeight="1" s="480">
      <c r="A6" s="469" t="n"/>
      <c r="C6" s="466" t="n"/>
      <c r="D6" s="389" t="inlineStr">
        <is>
          <t>Cil.Freno</t>
        </is>
      </c>
      <c r="E6" s="398" t="inlineStr">
        <is>
          <t>FT0011601-100
FT0011602-100
FT0011602-101</t>
        </is>
      </c>
      <c r="F6" s="22" t="n"/>
      <c r="G6" s="466" t="n"/>
      <c r="H6" s="389" t="inlineStr">
        <is>
          <t>Cil.Freno</t>
        </is>
      </c>
      <c r="I6" s="398" t="inlineStr">
        <is>
          <t>FT0011601-100
FT0011602-100
FT0011602-101</t>
        </is>
      </c>
      <c r="J6" s="22" t="n"/>
      <c r="K6" s="466" t="n"/>
      <c r="L6" s="391" t="inlineStr">
        <is>
          <t>Cil.Freno</t>
        </is>
      </c>
      <c r="M6" s="399" t="inlineStr">
        <is>
          <t>FT0011601-100
FT0011602-100
FT0011602-101</t>
        </is>
      </c>
      <c r="N6" s="23" t="n"/>
      <c r="O6" s="466" t="n"/>
      <c r="P6" s="389" t="inlineStr">
        <is>
          <t>Cil.Freno</t>
        </is>
      </c>
      <c r="Q6" s="400" t="inlineStr">
        <is>
          <t>FT0011601-100
FT0011602-100
FT0011602-101</t>
        </is>
      </c>
      <c r="R6" s="22" t="n"/>
      <c r="S6" s="466" t="n"/>
      <c r="T6" s="394" t="inlineStr">
        <is>
          <t>Cil.Freno</t>
        </is>
      </c>
      <c r="U6" s="401" t="inlineStr">
        <is>
          <t>FT0011601-100
FT0011602-100
FT0011602-101</t>
        </is>
      </c>
      <c r="V6" s="24" t="n"/>
      <c r="W6" s="466" t="n"/>
      <c r="X6" s="389" t="inlineStr">
        <is>
          <t>Cil.Freno</t>
        </is>
      </c>
      <c r="Y6" s="398" t="inlineStr">
        <is>
          <t>FT0011601-100
FT0011602-100
FT0011602-101</t>
        </is>
      </c>
      <c r="Z6" s="22" t="n"/>
    </row>
    <row r="7">
      <c r="A7" s="469" t="n"/>
      <c r="C7" s="466" t="n"/>
      <c r="D7" s="389" t="inlineStr">
        <is>
          <t>Als</t>
        </is>
      </c>
      <c r="E7" s="165" t="inlineStr">
        <is>
          <t>6398B000-01</t>
        </is>
      </c>
      <c r="F7" s="22" t="n"/>
      <c r="G7" s="466" t="n"/>
      <c r="H7" s="389" t="inlineStr">
        <is>
          <t>Als</t>
        </is>
      </c>
      <c r="I7" s="165" t="inlineStr">
        <is>
          <t>6398B000-01</t>
        </is>
      </c>
      <c r="J7" s="22" t="n"/>
      <c r="K7" s="466" t="n"/>
      <c r="L7" s="391" t="inlineStr">
        <is>
          <t>Als</t>
        </is>
      </c>
      <c r="M7" s="396" t="inlineStr">
        <is>
          <t>6398B000-01</t>
        </is>
      </c>
      <c r="N7" s="23" t="n"/>
      <c r="O7" s="466" t="n"/>
      <c r="P7" s="389" t="inlineStr">
        <is>
          <t>Als</t>
        </is>
      </c>
      <c r="Q7" s="166" t="inlineStr">
        <is>
          <t>6398B000-01</t>
        </is>
      </c>
      <c r="R7" s="22" t="n"/>
      <c r="S7" s="466" t="n"/>
      <c r="T7" s="394" t="inlineStr">
        <is>
          <t>Als</t>
        </is>
      </c>
      <c r="U7" s="397" t="inlineStr">
        <is>
          <t>6398B000-01</t>
        </is>
      </c>
      <c r="V7" s="24" t="n"/>
      <c r="W7" s="466" t="n"/>
      <c r="X7" s="389" t="inlineStr">
        <is>
          <t>Als</t>
        </is>
      </c>
      <c r="Y7" s="165" t="n"/>
      <c r="Z7" s="22" t="n"/>
    </row>
    <row r="8">
      <c r="A8" s="469" t="n"/>
      <c r="B8" s="442" t="n"/>
      <c r="C8" s="467" t="n"/>
      <c r="D8" s="389" t="inlineStr">
        <is>
          <t>BMS</t>
        </is>
      </c>
      <c r="E8" s="165" t="n"/>
      <c r="F8" s="22" t="inlineStr">
        <is>
          <t>Ephimess fase 2</t>
        </is>
      </c>
      <c r="G8" s="467" t="n"/>
      <c r="H8" s="389" t="inlineStr">
        <is>
          <t>BMS</t>
        </is>
      </c>
      <c r="I8" s="165" t="n"/>
      <c r="J8" s="22" t="inlineStr">
        <is>
          <t>Ephimess fase 2</t>
        </is>
      </c>
      <c r="K8" s="467" t="n"/>
      <c r="L8" s="391" t="inlineStr">
        <is>
          <t>BMS</t>
        </is>
      </c>
      <c r="M8" s="396" t="n"/>
      <c r="N8" s="23" t="n"/>
      <c r="O8" s="467" t="n"/>
      <c r="P8" s="389" t="inlineStr">
        <is>
          <t>BMS</t>
        </is>
      </c>
      <c r="Q8" s="166" t="n"/>
      <c r="R8" s="22" t="n"/>
      <c r="S8" s="467" t="n"/>
      <c r="T8" s="394" t="inlineStr">
        <is>
          <t>BMS</t>
        </is>
      </c>
      <c r="U8" s="397" t="n"/>
      <c r="V8" s="24" t="n"/>
      <c r="W8" s="467" t="n"/>
      <c r="X8" s="389" t="inlineStr">
        <is>
          <t>BMS</t>
        </is>
      </c>
      <c r="Y8" s="165" t="n"/>
      <c r="Z8" s="22" t="n"/>
    </row>
    <row r="9" ht="30" customHeight="1" s="480">
      <c r="A9" s="469" t="n"/>
      <c r="B9" s="508" t="inlineStr">
        <is>
          <t>Portanti</t>
        </is>
      </c>
      <c r="C9" s="496" t="inlineStr">
        <is>
          <t>100360311
100360312
100360313</t>
        </is>
      </c>
      <c r="D9" s="389" t="inlineStr">
        <is>
          <t>Sala</t>
        </is>
      </c>
      <c r="E9" s="217" t="inlineStr">
        <is>
          <t>100360411
100360412</t>
        </is>
      </c>
      <c r="F9" s="22" t="n"/>
      <c r="G9" s="496" t="inlineStr">
        <is>
          <t>100360311
100360312
100360313</t>
        </is>
      </c>
      <c r="H9" s="389" t="inlineStr">
        <is>
          <t>Sala</t>
        </is>
      </c>
      <c r="I9" s="217" t="inlineStr">
        <is>
          <t>100360411
100360412</t>
        </is>
      </c>
      <c r="J9" s="22" t="n"/>
      <c r="K9" s="497" t="inlineStr">
        <is>
          <t>100360311
100360312
100360313
(EN45545)</t>
        </is>
      </c>
      <c r="L9" s="391" t="inlineStr">
        <is>
          <t>Sala</t>
        </is>
      </c>
      <c r="M9" s="403" t="inlineStr">
        <is>
          <t>100360411
100360412</t>
        </is>
      </c>
      <c r="N9" s="23" t="n"/>
      <c r="O9" s="496" t="inlineStr">
        <is>
          <t>100360311
100329690
100360313</t>
        </is>
      </c>
      <c r="P9" s="389" t="inlineStr">
        <is>
          <t>Sala</t>
        </is>
      </c>
      <c r="Q9" s="217" t="inlineStr">
        <is>
          <t>100360411
100360412</t>
        </is>
      </c>
      <c r="R9" s="22" t="n"/>
      <c r="S9" s="523" t="n"/>
      <c r="T9" s="394" t="inlineStr">
        <is>
          <t>Sala</t>
        </is>
      </c>
      <c r="U9" s="397" t="n"/>
      <c r="V9" s="24" t="n"/>
      <c r="W9" s="520" t="n"/>
      <c r="X9" s="389" t="inlineStr">
        <is>
          <t>Sala</t>
        </is>
      </c>
      <c r="Y9" s="165" t="n"/>
      <c r="Z9" s="22" t="n"/>
    </row>
    <row r="10">
      <c r="A10" s="469" t="n"/>
      <c r="C10" s="466" t="n"/>
      <c r="D10" s="389" t="inlineStr">
        <is>
          <t>Freno</t>
        </is>
      </c>
      <c r="E10" s="165" t="n"/>
      <c r="F10" s="22" t="n"/>
      <c r="G10" s="466" t="n"/>
      <c r="H10" s="389" t="inlineStr">
        <is>
          <t>Freno</t>
        </is>
      </c>
      <c r="I10" s="165" t="n"/>
      <c r="J10" s="22" t="n"/>
      <c r="K10" s="466" t="n"/>
      <c r="L10" s="391" t="inlineStr">
        <is>
          <t>Freno</t>
        </is>
      </c>
      <c r="M10" s="396" t="n"/>
      <c r="N10" s="23" t="n"/>
      <c r="O10" s="466" t="n"/>
      <c r="P10" s="389" t="inlineStr">
        <is>
          <t>Freno</t>
        </is>
      </c>
      <c r="Q10" s="165" t="n"/>
      <c r="R10" s="22" t="n"/>
      <c r="S10" s="466" t="n"/>
      <c r="T10" s="394" t="inlineStr">
        <is>
          <t>Freno</t>
        </is>
      </c>
      <c r="U10" s="397" t="n"/>
      <c r="V10" s="24" t="n"/>
      <c r="W10" s="466" t="n"/>
      <c r="X10" s="389" t="inlineStr">
        <is>
          <t>Freno</t>
        </is>
      </c>
      <c r="Y10" s="165" t="n"/>
      <c r="Z10" s="22" t="n"/>
    </row>
    <row r="11">
      <c r="A11" s="469" t="n"/>
      <c r="C11" s="466" t="n"/>
      <c r="D11" s="389" t="inlineStr">
        <is>
          <t>Als</t>
        </is>
      </c>
      <c r="E11" s="165" t="n"/>
      <c r="F11" s="22" t="n"/>
      <c r="G11" s="466" t="n"/>
      <c r="H11" s="389" t="inlineStr">
        <is>
          <t>Als</t>
        </is>
      </c>
      <c r="I11" s="165" t="n"/>
      <c r="J11" s="22" t="n"/>
      <c r="K11" s="466" t="n"/>
      <c r="L11" s="391" t="inlineStr">
        <is>
          <t>Als</t>
        </is>
      </c>
      <c r="M11" s="396" t="n"/>
      <c r="N11" s="23" t="n"/>
      <c r="O11" s="466" t="n"/>
      <c r="P11" s="389" t="inlineStr">
        <is>
          <t>Als</t>
        </is>
      </c>
      <c r="Q11" s="165" t="n"/>
      <c r="R11" s="22" t="n"/>
      <c r="S11" s="466" t="n"/>
      <c r="T11" s="394" t="inlineStr">
        <is>
          <t>Als</t>
        </is>
      </c>
      <c r="U11" s="397" t="n"/>
      <c r="V11" s="24" t="n"/>
      <c r="W11" s="466" t="n"/>
      <c r="X11" s="389" t="inlineStr">
        <is>
          <t>Als</t>
        </is>
      </c>
      <c r="Y11" s="165" t="n"/>
      <c r="Z11" s="22" t="n"/>
    </row>
    <row r="12" ht="15.75" customHeight="1" s="480" thickBot="1">
      <c r="A12" s="491" t="n"/>
      <c r="B12" s="509" t="n"/>
      <c r="C12" s="471" t="n"/>
      <c r="D12" s="25" t="inlineStr">
        <is>
          <t>BMS</t>
        </is>
      </c>
      <c r="E12" s="26" t="n"/>
      <c r="F12" s="27" t="n"/>
      <c r="G12" s="471" t="n"/>
      <c r="H12" s="25" t="inlineStr">
        <is>
          <t>BMS</t>
        </is>
      </c>
      <c r="I12" s="26" t="n"/>
      <c r="J12" s="27" t="n"/>
      <c r="K12" s="471" t="n"/>
      <c r="L12" s="28" t="inlineStr">
        <is>
          <t>BMS</t>
        </is>
      </c>
      <c r="M12" s="29" t="n"/>
      <c r="N12" s="30" t="n"/>
      <c r="O12" s="471" t="n"/>
      <c r="P12" s="25" t="inlineStr">
        <is>
          <t>BMS</t>
        </is>
      </c>
      <c r="Q12" s="26" t="n"/>
      <c r="R12" s="27" t="n"/>
      <c r="S12" s="471" t="n"/>
      <c r="T12" s="31" t="inlineStr">
        <is>
          <t>BMS</t>
        </is>
      </c>
      <c r="U12" s="32" t="n"/>
      <c r="V12" s="33" t="n"/>
      <c r="W12" s="471" t="n"/>
      <c r="X12" s="25" t="inlineStr">
        <is>
          <t>BMS</t>
        </is>
      </c>
      <c r="Y12" s="26" t="n"/>
      <c r="Z12" s="27" t="n"/>
    </row>
    <row r="13">
      <c r="A13" s="505" t="inlineStr">
        <is>
          <t>Pantografi</t>
        </is>
      </c>
      <c r="B13" s="461" t="inlineStr">
        <is>
          <t>3 kV</t>
        </is>
      </c>
      <c r="C13" s="521" t="n">
        <v>100170460</v>
      </c>
      <c r="D13" s="34" t="inlineStr">
        <is>
          <t>Struttura</t>
        </is>
      </c>
      <c r="E13" s="35" t="n">
        <v>10573076</v>
      </c>
      <c r="F13" s="36" t="n"/>
      <c r="G13" s="507" t="n">
        <v>10949272</v>
      </c>
      <c r="H13" s="34" t="inlineStr">
        <is>
          <t>Struttura</t>
        </is>
      </c>
      <c r="I13" s="35" t="n">
        <v>10573076</v>
      </c>
      <c r="J13" s="36" t="n"/>
      <c r="K13" s="507" t="n">
        <v>10949272</v>
      </c>
      <c r="L13" s="34" t="inlineStr">
        <is>
          <t>Struttura</t>
        </is>
      </c>
      <c r="M13" s="35" t="n">
        <v>10573076</v>
      </c>
      <c r="N13" s="36" t="n"/>
      <c r="O13" s="521" t="n">
        <v>100170460</v>
      </c>
      <c r="P13" s="34" t="inlineStr">
        <is>
          <t>Struttura</t>
        </is>
      </c>
      <c r="Q13" s="35" t="n">
        <v>10573076</v>
      </c>
      <c r="R13" s="36" t="n"/>
      <c r="S13" s="512" t="n"/>
      <c r="T13" s="37" t="inlineStr">
        <is>
          <t>Struttura</t>
        </is>
      </c>
      <c r="U13" s="37" t="n"/>
      <c r="V13" s="38" t="n"/>
      <c r="W13" s="521" t="n"/>
      <c r="X13" s="34" t="inlineStr">
        <is>
          <t>Struttura</t>
        </is>
      </c>
      <c r="Y13" s="34" t="n"/>
      <c r="Z13" s="36" t="n"/>
    </row>
    <row r="14">
      <c r="A14" s="469" t="n"/>
      <c r="C14" s="466" t="n"/>
      <c r="D14" s="165" t="inlineStr">
        <is>
          <t>Archetto</t>
        </is>
      </c>
      <c r="E14" s="7" t="n">
        <v>10561136</v>
      </c>
      <c r="F14" s="22" t="n"/>
      <c r="G14" s="466" t="n"/>
      <c r="H14" s="165" t="inlineStr">
        <is>
          <t>Archetto</t>
        </is>
      </c>
      <c r="I14" s="7" t="n">
        <v>10561136</v>
      </c>
      <c r="J14" s="22" t="n"/>
      <c r="K14" s="466" t="n"/>
      <c r="L14" s="165" t="inlineStr">
        <is>
          <t>Archetto</t>
        </is>
      </c>
      <c r="M14" s="7" t="n">
        <v>10561136</v>
      </c>
      <c r="N14" s="22" t="n"/>
      <c r="O14" s="466" t="n"/>
      <c r="P14" s="165" t="inlineStr">
        <is>
          <t>Archetto</t>
        </is>
      </c>
      <c r="Q14" s="166" t="n">
        <v>10561136</v>
      </c>
      <c r="R14" s="22" t="n"/>
      <c r="S14" s="466" t="n"/>
      <c r="T14" s="397" t="inlineStr">
        <is>
          <t>Archetto</t>
        </is>
      </c>
      <c r="U14" s="397" t="n"/>
      <c r="V14" s="24" t="n"/>
      <c r="W14" s="466" t="n"/>
      <c r="X14" s="165" t="inlineStr">
        <is>
          <t>Archetto</t>
        </is>
      </c>
      <c r="Y14" s="165" t="n"/>
      <c r="Z14" s="22" t="inlineStr">
        <is>
          <t>Archetto 1.950 mm</t>
        </is>
      </c>
    </row>
    <row r="15">
      <c r="A15" s="469" t="n"/>
      <c r="C15" s="466" t="n"/>
      <c r="D15" s="165" t="inlineStr">
        <is>
          <t>Strisciante</t>
        </is>
      </c>
      <c r="E15" s="166" t="inlineStr">
        <is>
          <t>SK1451</t>
        </is>
      </c>
      <c r="F15" s="22" t="n"/>
      <c r="G15" s="466" t="n"/>
      <c r="H15" s="165" t="inlineStr">
        <is>
          <t>Strisciante</t>
        </is>
      </c>
      <c r="I15" s="166" t="inlineStr">
        <is>
          <t>SK1451</t>
        </is>
      </c>
      <c r="J15" s="22" t="n"/>
      <c r="K15" s="466" t="n"/>
      <c r="L15" s="165" t="inlineStr">
        <is>
          <t>Strisciante</t>
        </is>
      </c>
      <c r="M15" s="166" t="inlineStr">
        <is>
          <t>SK1451</t>
        </is>
      </c>
      <c r="N15" s="22" t="n"/>
      <c r="O15" s="466" t="n"/>
      <c r="P15" s="165" t="inlineStr">
        <is>
          <t>Strisciante</t>
        </is>
      </c>
      <c r="Q15" s="7" t="inlineStr">
        <is>
          <t>SK1451</t>
        </is>
      </c>
      <c r="R15" s="22" t="n"/>
      <c r="S15" s="466" t="n"/>
      <c r="T15" s="397" t="inlineStr">
        <is>
          <t>Strisciante</t>
        </is>
      </c>
      <c r="U15" s="397" t="n"/>
      <c r="V15" s="24" t="n"/>
      <c r="W15" s="466" t="n"/>
      <c r="X15" s="165" t="inlineStr">
        <is>
          <t>Strisciante</t>
        </is>
      </c>
      <c r="Y15" s="165" t="n"/>
      <c r="Z15" s="22" t="n"/>
    </row>
    <row r="16">
      <c r="A16" s="469" t="n"/>
      <c r="B16" s="442" t="n"/>
      <c r="C16" s="467" t="n"/>
      <c r="D16" s="165" t="inlineStr">
        <is>
          <t>PPU</t>
        </is>
      </c>
      <c r="E16" s="166" t="n">
        <v>102895</v>
      </c>
      <c r="F16" s="22" t="n"/>
      <c r="G16" s="467" t="n"/>
      <c r="H16" s="165" t="inlineStr">
        <is>
          <t>PPU</t>
        </is>
      </c>
      <c r="I16" s="404" t="inlineStr">
        <is>
          <t>232C10395F</t>
        </is>
      </c>
      <c r="J16" s="40" t="inlineStr">
        <is>
          <t>Con isolamento ADD</t>
        </is>
      </c>
      <c r="K16" s="467" t="n"/>
      <c r="L16" s="165" t="inlineStr">
        <is>
          <t>PPU</t>
        </is>
      </c>
      <c r="M16" s="404" t="inlineStr">
        <is>
          <t>231C100036B</t>
        </is>
      </c>
      <c r="N16" s="40" t="inlineStr">
        <is>
          <t>Con isolamento ADD</t>
        </is>
      </c>
      <c r="O16" s="467" t="n"/>
      <c r="P16" s="165" t="inlineStr">
        <is>
          <t>PPU</t>
        </is>
      </c>
      <c r="Q16" s="404" t="inlineStr">
        <is>
          <t>232C10353E</t>
        </is>
      </c>
      <c r="R16" s="41" t="inlineStr">
        <is>
          <t>PPU DC Modificata per agg.panto 1.5</t>
        </is>
      </c>
      <c r="S16" s="467" t="n"/>
      <c r="T16" s="397" t="inlineStr">
        <is>
          <t>PCU</t>
        </is>
      </c>
      <c r="U16" s="397" t="n"/>
      <c r="V16" s="24" t="n"/>
      <c r="W16" s="467" t="n"/>
      <c r="X16" s="165" t="inlineStr">
        <is>
          <t>PPU</t>
        </is>
      </c>
      <c r="Y16" s="165" t="n"/>
      <c r="Z16" s="40" t="inlineStr">
        <is>
          <t>Con isolamento ADD</t>
        </is>
      </c>
    </row>
    <row r="17">
      <c r="A17" s="469" t="n"/>
      <c r="B17" s="508" t="inlineStr">
        <is>
          <t>25 kV</t>
        </is>
      </c>
      <c r="C17" s="472" t="n">
        <v>100170464</v>
      </c>
      <c r="D17" s="389" t="inlineStr">
        <is>
          <t>Struttura</t>
        </is>
      </c>
      <c r="E17" s="405" t="n">
        <v>10573076</v>
      </c>
      <c r="F17" s="22" t="n"/>
      <c r="G17" s="492" t="n">
        <v>10949356</v>
      </c>
      <c r="H17" s="165" t="inlineStr">
        <is>
          <t>Struttura</t>
        </is>
      </c>
      <c r="I17" s="405" t="n">
        <v>10573076</v>
      </c>
      <c r="J17" s="22" t="n"/>
      <c r="K17" s="492" t="n">
        <v>10949356</v>
      </c>
      <c r="L17" s="165" t="inlineStr">
        <is>
          <t>Struttura</t>
        </is>
      </c>
      <c r="M17" s="405" t="n">
        <v>10573076</v>
      </c>
      <c r="N17" s="22" t="n"/>
      <c r="O17" s="472" t="n">
        <v>100170464</v>
      </c>
      <c r="P17" s="165" t="inlineStr">
        <is>
          <t>Struttura</t>
        </is>
      </c>
      <c r="Q17" s="9" t="n">
        <v>10573076</v>
      </c>
      <c r="R17" s="22" t="n"/>
      <c r="S17" s="504" t="n"/>
      <c r="T17" s="397" t="inlineStr">
        <is>
          <t>Struttura</t>
        </is>
      </c>
      <c r="U17" s="397" t="n"/>
      <c r="V17" s="24" t="n"/>
      <c r="W17" s="472" t="n"/>
      <c r="X17" s="165" t="inlineStr">
        <is>
          <t>Struttura</t>
        </is>
      </c>
      <c r="Y17" s="165" t="n"/>
      <c r="Z17" s="22" t="n"/>
    </row>
    <row r="18">
      <c r="A18" s="469" t="n"/>
      <c r="C18" s="466" t="n"/>
      <c r="D18" s="389" t="inlineStr">
        <is>
          <t>Archetto</t>
        </is>
      </c>
      <c r="E18" s="42" t="n">
        <v>10572700</v>
      </c>
      <c r="F18" s="22" t="n"/>
      <c r="G18" s="466" t="n"/>
      <c r="H18" s="165" t="inlineStr">
        <is>
          <t>Archetto</t>
        </is>
      </c>
      <c r="I18" s="42" t="n">
        <v>10572700</v>
      </c>
      <c r="J18" s="22" t="n"/>
      <c r="K18" s="466" t="n"/>
      <c r="L18" s="165" t="inlineStr">
        <is>
          <t>Archetto</t>
        </is>
      </c>
      <c r="M18" s="42" t="n">
        <v>10572700</v>
      </c>
      <c r="N18" s="22" t="n"/>
      <c r="O18" s="466" t="n"/>
      <c r="P18" s="165" t="inlineStr">
        <is>
          <t>Archetto</t>
        </is>
      </c>
      <c r="Q18" s="406" t="n">
        <v>10572700</v>
      </c>
      <c r="R18" s="22" t="inlineStr">
        <is>
          <t>Vedi strisciante</t>
        </is>
      </c>
      <c r="S18" s="466" t="n"/>
      <c r="T18" s="397" t="inlineStr">
        <is>
          <t>Archetto</t>
        </is>
      </c>
      <c r="U18" s="397" t="n"/>
      <c r="V18" s="24" t="n"/>
      <c r="W18" s="466" t="n"/>
      <c r="X18" s="165" t="inlineStr">
        <is>
          <t>Archetto</t>
        </is>
      </c>
      <c r="Y18" s="165" t="n"/>
      <c r="Z18" s="22" t="n"/>
    </row>
    <row r="19">
      <c r="A19" s="469" t="n"/>
      <c r="C19" s="466" t="n"/>
      <c r="D19" s="389" t="inlineStr">
        <is>
          <t>Strisciante</t>
        </is>
      </c>
      <c r="E19" s="166" t="inlineStr">
        <is>
          <t>SK1630</t>
        </is>
      </c>
      <c r="F19" s="22" t="n"/>
      <c r="G19" s="466" t="n"/>
      <c r="H19" s="165" t="inlineStr">
        <is>
          <t>Strisciante</t>
        </is>
      </c>
      <c r="I19" s="166" t="inlineStr">
        <is>
          <t>SK1630</t>
        </is>
      </c>
      <c r="J19" s="22" t="n"/>
      <c r="K19" s="466" t="n"/>
      <c r="L19" s="165" t="inlineStr">
        <is>
          <t>Strisciante</t>
        </is>
      </c>
      <c r="M19" s="166" t="inlineStr">
        <is>
          <t>SK1630</t>
        </is>
      </c>
      <c r="N19" s="22" t="n"/>
      <c r="O19" s="466" t="n"/>
      <c r="P19" s="165" t="inlineStr">
        <is>
          <t>Strisciante</t>
        </is>
      </c>
      <c r="Q19" s="404" t="inlineStr">
        <is>
          <t>SK 2381</t>
        </is>
      </c>
      <c r="R19" s="22" t="inlineStr">
        <is>
          <t>Conforme a norma FR SAM E903</t>
        </is>
      </c>
      <c r="S19" s="466" t="n"/>
      <c r="T19" s="397" t="inlineStr">
        <is>
          <t>Strisciante</t>
        </is>
      </c>
      <c r="U19" s="407" t="inlineStr">
        <is>
          <t>SK1630</t>
        </is>
      </c>
      <c r="V19" s="24" t="n"/>
      <c r="W19" s="466" t="n"/>
      <c r="X19" s="165" t="inlineStr">
        <is>
          <t>Strisciante</t>
        </is>
      </c>
      <c r="Y19" s="166" t="inlineStr">
        <is>
          <t>SK1630</t>
        </is>
      </c>
      <c r="Z19" s="22" t="n"/>
    </row>
    <row r="20">
      <c r="A20" s="469" t="n"/>
      <c r="B20" s="509" t="n"/>
      <c r="C20" s="467" t="n"/>
      <c r="D20" s="165" t="inlineStr">
        <is>
          <t>PPU</t>
        </is>
      </c>
      <c r="E20" s="7" t="n">
        <v>102895</v>
      </c>
      <c r="F20" s="22" t="n"/>
      <c r="G20" s="467" t="n"/>
      <c r="H20" s="165" t="inlineStr">
        <is>
          <t>PPU</t>
        </is>
      </c>
      <c r="I20" s="404" t="inlineStr">
        <is>
          <t>232C10395F</t>
        </is>
      </c>
      <c r="J20" s="40" t="inlineStr">
        <is>
          <t>Con isolamento ADD</t>
        </is>
      </c>
      <c r="K20" s="467" t="n"/>
      <c r="L20" s="165" t="inlineStr">
        <is>
          <t>PPU</t>
        </is>
      </c>
      <c r="M20" s="404" t="inlineStr">
        <is>
          <t>231C100036B</t>
        </is>
      </c>
      <c r="N20" s="40" t="inlineStr">
        <is>
          <t>Con isolamento ADD</t>
        </is>
      </c>
      <c r="O20" s="467" t="n"/>
      <c r="P20" s="165" t="inlineStr">
        <is>
          <t>PPU</t>
        </is>
      </c>
      <c r="Q20" s="408" t="n">
        <v>102895</v>
      </c>
      <c r="R20" s="22" t="n"/>
      <c r="S20" s="467" t="n"/>
      <c r="T20" s="397" t="inlineStr">
        <is>
          <t>PPU</t>
        </is>
      </c>
      <c r="U20" s="397" t="n"/>
      <c r="V20" s="24" t="n"/>
      <c r="W20" s="467" t="n"/>
      <c r="X20" s="165" t="inlineStr">
        <is>
          <t>PPU</t>
        </is>
      </c>
      <c r="Y20" s="165" t="n"/>
      <c r="Z20" s="40" t="inlineStr">
        <is>
          <t>Con isolamento ADD</t>
        </is>
      </c>
    </row>
    <row r="21">
      <c r="A21" s="469" t="n"/>
      <c r="B21" s="508" t="inlineStr">
        <is>
          <t>1,5 kV</t>
        </is>
      </c>
      <c r="C21" s="472" t="inlineStr">
        <is>
          <t>n/a</t>
        </is>
      </c>
      <c r="D21" s="389" t="inlineStr">
        <is>
          <t>Struttura</t>
        </is>
      </c>
      <c r="E21" s="396" t="n"/>
      <c r="F21" s="23" t="n"/>
      <c r="G21" s="472" t="inlineStr">
        <is>
          <t>n/a</t>
        </is>
      </c>
      <c r="H21" s="165" t="inlineStr">
        <is>
          <t>Struttura</t>
        </is>
      </c>
      <c r="I21" s="396" t="n"/>
      <c r="J21" s="23" t="n"/>
      <c r="K21" s="472" t="inlineStr">
        <is>
          <t>n/a</t>
        </is>
      </c>
      <c r="L21" s="165" t="inlineStr">
        <is>
          <t>Struttura</t>
        </is>
      </c>
      <c r="M21" s="396" t="n"/>
      <c r="N21" s="23" t="n"/>
      <c r="O21" s="492" t="n">
        <v>10851208</v>
      </c>
      <c r="P21" s="165" t="inlineStr">
        <is>
          <t>Struttura</t>
        </is>
      </c>
      <c r="Q21" s="166" t="n">
        <v>10573076</v>
      </c>
      <c r="R21" s="22" t="n"/>
      <c r="S21" s="504" t="n"/>
      <c r="T21" s="397" t="inlineStr">
        <is>
          <t>Struttura</t>
        </is>
      </c>
      <c r="U21" s="397" t="n"/>
      <c r="V21" s="24" t="n"/>
      <c r="W21" s="472" t="n"/>
      <c r="X21" s="165" t="inlineStr">
        <is>
          <t>Struttura</t>
        </is>
      </c>
      <c r="Y21" s="396" t="n"/>
      <c r="Z21" s="23" t="n"/>
    </row>
    <row r="22">
      <c r="A22" s="469" t="n"/>
      <c r="C22" s="466" t="n"/>
      <c r="D22" s="389" t="inlineStr">
        <is>
          <t>Archetto</t>
        </is>
      </c>
      <c r="E22" s="396" t="n"/>
      <c r="F22" s="23" t="n"/>
      <c r="G22" s="466" t="n"/>
      <c r="H22" s="165" t="inlineStr">
        <is>
          <t>Archetto</t>
        </is>
      </c>
      <c r="I22" s="396" t="n"/>
      <c r="J22" s="23" t="n"/>
      <c r="K22" s="466" t="n"/>
      <c r="L22" s="165" t="inlineStr">
        <is>
          <t>Archetto</t>
        </is>
      </c>
      <c r="M22" s="396" t="n"/>
      <c r="N22" s="23" t="n"/>
      <c r="O22" s="466" t="n"/>
      <c r="P22" s="165" t="inlineStr">
        <is>
          <t>Archetto</t>
        </is>
      </c>
      <c r="Q22" s="166" t="n">
        <v>10882275</v>
      </c>
      <c r="R22" s="22" t="inlineStr">
        <is>
          <t>Larghezza 1.950 mm</t>
        </is>
      </c>
      <c r="S22" s="466" t="n"/>
      <c r="T22" s="397" t="inlineStr">
        <is>
          <t>Archetto</t>
        </is>
      </c>
      <c r="U22" s="397" t="n"/>
      <c r="V22" s="24" t="n"/>
      <c r="W22" s="466" t="n"/>
      <c r="X22" s="165" t="inlineStr">
        <is>
          <t>Archetto</t>
        </is>
      </c>
      <c r="Y22" s="396" t="n"/>
      <c r="Z22" s="23" t="n"/>
    </row>
    <row r="23">
      <c r="A23" s="469" t="n"/>
      <c r="C23" s="466" t="n"/>
      <c r="D23" s="389" t="inlineStr">
        <is>
          <t>Strisciante</t>
        </is>
      </c>
      <c r="E23" s="396" t="n"/>
      <c r="F23" s="23" t="n"/>
      <c r="G23" s="466" t="n"/>
      <c r="H23" s="165" t="inlineStr">
        <is>
          <t>Strisciante</t>
        </is>
      </c>
      <c r="I23" s="396" t="n"/>
      <c r="J23" s="23" t="n"/>
      <c r="K23" s="466" t="n"/>
      <c r="L23" s="165" t="inlineStr">
        <is>
          <t>Strisciante</t>
        </is>
      </c>
      <c r="M23" s="396" t="n"/>
      <c r="N23" s="23" t="n"/>
      <c r="O23" s="466" t="n"/>
      <c r="P23" s="165" t="inlineStr">
        <is>
          <t>Strisciante</t>
        </is>
      </c>
      <c r="Q23" s="166" t="inlineStr">
        <is>
          <t>SK 2348</t>
        </is>
      </c>
      <c r="R23" s="22" t="n"/>
      <c r="S23" s="466" t="n"/>
      <c r="T23" s="397" t="inlineStr">
        <is>
          <t>Strisciante</t>
        </is>
      </c>
      <c r="U23" s="397" t="n"/>
      <c r="V23" s="24" t="n"/>
      <c r="W23" s="466" t="n"/>
      <c r="X23" s="165" t="inlineStr">
        <is>
          <t>Strisciante</t>
        </is>
      </c>
      <c r="Y23" s="396" t="n"/>
      <c r="Z23" s="23" t="n"/>
    </row>
    <row r="24">
      <c r="A24" s="469" t="n"/>
      <c r="B24" s="509" t="n"/>
      <c r="C24" s="467" t="n"/>
      <c r="D24" s="389" t="inlineStr">
        <is>
          <t>PCU</t>
        </is>
      </c>
      <c r="E24" s="396" t="n"/>
      <c r="F24" s="23" t="n"/>
      <c r="G24" s="467" t="n"/>
      <c r="H24" s="165" t="inlineStr">
        <is>
          <t>PCU</t>
        </is>
      </c>
      <c r="I24" s="396" t="n"/>
      <c r="J24" s="23" t="n"/>
      <c r="K24" s="467" t="n"/>
      <c r="L24" s="165" t="inlineStr">
        <is>
          <t>PCU</t>
        </is>
      </c>
      <c r="M24" s="396" t="n"/>
      <c r="N24" s="23" t="n"/>
      <c r="O24" s="467" t="n"/>
      <c r="P24" s="165" t="inlineStr">
        <is>
          <t>PPU</t>
        </is>
      </c>
      <c r="Q24" s="404" t="inlineStr">
        <is>
          <t>232C10353E</t>
        </is>
      </c>
      <c r="R24" s="41" t="inlineStr">
        <is>
          <t>PPU Modificata per agg.panto 1.5</t>
        </is>
      </c>
      <c r="S24" s="467" t="n"/>
      <c r="T24" s="397" t="inlineStr">
        <is>
          <t>PCU</t>
        </is>
      </c>
      <c r="U24" s="397" t="n"/>
      <c r="V24" s="24" t="n"/>
      <c r="W24" s="467" t="n"/>
      <c r="X24" s="165" t="inlineStr">
        <is>
          <t>PCU</t>
        </is>
      </c>
      <c r="Y24" s="396" t="n"/>
      <c r="Z24" s="23" t="n"/>
    </row>
    <row r="25">
      <c r="A25" s="469" t="n"/>
      <c r="B25" s="508" t="inlineStr">
        <is>
          <t>15 kV</t>
        </is>
      </c>
      <c r="C25" s="472" t="inlineStr">
        <is>
          <t>n/a</t>
        </is>
      </c>
      <c r="D25" s="389" t="inlineStr">
        <is>
          <t>Struttura</t>
        </is>
      </c>
      <c r="E25" s="396" t="n"/>
      <c r="F25" s="23" t="n"/>
      <c r="G25" s="472" t="inlineStr">
        <is>
          <t>n/a</t>
        </is>
      </c>
      <c r="H25" s="165" t="inlineStr">
        <is>
          <t>Struttura</t>
        </is>
      </c>
      <c r="I25" s="396" t="n"/>
      <c r="J25" s="23" t="n"/>
      <c r="K25" s="472" t="inlineStr">
        <is>
          <t>n/a</t>
        </is>
      </c>
      <c r="L25" s="165" t="inlineStr">
        <is>
          <t>Struttura</t>
        </is>
      </c>
      <c r="M25" s="396" t="n"/>
      <c r="N25" s="23" t="n"/>
      <c r="O25" s="522" t="n"/>
      <c r="P25" s="396" t="inlineStr">
        <is>
          <t>Struttura</t>
        </is>
      </c>
      <c r="Q25" s="396" t="n"/>
      <c r="R25" s="23" t="n"/>
      <c r="S25" s="519" t="n"/>
      <c r="T25" s="397" t="inlineStr">
        <is>
          <t>Struttura</t>
        </is>
      </c>
      <c r="U25" s="397" t="n"/>
      <c r="V25" s="24" t="n"/>
      <c r="W25" s="470" t="n"/>
      <c r="X25" s="165" t="inlineStr">
        <is>
          <t>Struttura</t>
        </is>
      </c>
      <c r="Y25" s="396" t="n"/>
      <c r="Z25" s="23" t="n"/>
    </row>
    <row r="26">
      <c r="A26" s="469" t="n"/>
      <c r="C26" s="466" t="n"/>
      <c r="D26" s="389" t="inlineStr">
        <is>
          <t>Archetto</t>
        </is>
      </c>
      <c r="E26" s="396" t="n"/>
      <c r="F26" s="23" t="n"/>
      <c r="G26" s="466" t="n"/>
      <c r="H26" s="165" t="inlineStr">
        <is>
          <t>Archetto</t>
        </is>
      </c>
      <c r="I26" s="396" t="n"/>
      <c r="J26" s="23" t="n"/>
      <c r="K26" s="466" t="n"/>
      <c r="L26" s="165" t="inlineStr">
        <is>
          <t>Archetto</t>
        </is>
      </c>
      <c r="M26" s="396" t="n"/>
      <c r="N26" s="23" t="n"/>
      <c r="O26" s="466" t="n"/>
      <c r="P26" s="396" t="inlineStr">
        <is>
          <t>Archetto</t>
        </is>
      </c>
      <c r="Q26" s="396" t="n"/>
      <c r="R26" s="23" t="n"/>
      <c r="S26" s="466" t="n"/>
      <c r="T26" s="397" t="inlineStr">
        <is>
          <t>Archetto</t>
        </is>
      </c>
      <c r="U26" s="397" t="n"/>
      <c r="V26" s="24" t="n"/>
      <c r="W26" s="466" t="n"/>
      <c r="X26" s="165" t="inlineStr">
        <is>
          <t>Archetto</t>
        </is>
      </c>
      <c r="Y26" s="396" t="n"/>
      <c r="Z26" s="23" t="n"/>
    </row>
    <row r="27">
      <c r="A27" s="469" t="n"/>
      <c r="C27" s="466" t="n"/>
      <c r="D27" s="389" t="inlineStr">
        <is>
          <t>Strisciante</t>
        </is>
      </c>
      <c r="E27" s="396" t="n"/>
      <c r="F27" s="23" t="n"/>
      <c r="G27" s="466" t="n"/>
      <c r="H27" s="165" t="inlineStr">
        <is>
          <t>Strisciante</t>
        </is>
      </c>
      <c r="I27" s="396" t="n"/>
      <c r="J27" s="23" t="n"/>
      <c r="K27" s="466" t="n"/>
      <c r="L27" s="165" t="inlineStr">
        <is>
          <t>Strisciante</t>
        </is>
      </c>
      <c r="M27" s="396" t="n"/>
      <c r="N27" s="23" t="n"/>
      <c r="O27" s="466" t="n"/>
      <c r="P27" s="396" t="inlineStr">
        <is>
          <t>Strisciante</t>
        </is>
      </c>
      <c r="Q27" s="396" t="n"/>
      <c r="R27" s="23" t="n"/>
      <c r="S27" s="466" t="n"/>
      <c r="T27" s="397" t="inlineStr">
        <is>
          <t>Strisciante</t>
        </is>
      </c>
      <c r="U27" s="397" t="n"/>
      <c r="V27" s="24" t="n"/>
      <c r="W27" s="466" t="n"/>
      <c r="X27" s="165" t="inlineStr">
        <is>
          <t>Strisciante</t>
        </is>
      </c>
      <c r="Y27" s="396" t="n"/>
      <c r="Z27" s="23" t="n"/>
    </row>
    <row r="28" ht="15.75" customHeight="1" s="480" thickBot="1">
      <c r="A28" s="506" t="n"/>
      <c r="B28" s="509" t="n"/>
      <c r="C28" s="467" t="n"/>
      <c r="D28" s="25" t="inlineStr">
        <is>
          <t>PCU</t>
        </is>
      </c>
      <c r="E28" s="29" t="n"/>
      <c r="F28" s="30" t="n"/>
      <c r="G28" s="467" t="n"/>
      <c r="H28" s="26" t="inlineStr">
        <is>
          <t>PCU</t>
        </is>
      </c>
      <c r="I28" s="29" t="n"/>
      <c r="J28" s="30" t="n"/>
      <c r="K28" s="467" t="n"/>
      <c r="L28" s="26" t="inlineStr">
        <is>
          <t>PCU</t>
        </is>
      </c>
      <c r="M28" s="29" t="n"/>
      <c r="N28" s="30" t="n"/>
      <c r="O28" s="471" t="n"/>
      <c r="P28" s="29" t="inlineStr">
        <is>
          <t>PPU</t>
        </is>
      </c>
      <c r="Q28" s="29" t="n"/>
      <c r="R28" s="30" t="n"/>
      <c r="S28" s="471" t="n"/>
      <c r="T28" s="32" t="inlineStr">
        <is>
          <t>PCU</t>
        </is>
      </c>
      <c r="U28" s="32" t="n"/>
      <c r="V28" s="33" t="n"/>
      <c r="W28" s="471" t="n"/>
      <c r="X28" s="26" t="inlineStr">
        <is>
          <t>PCU</t>
        </is>
      </c>
      <c r="Y28" s="29" t="n"/>
      <c r="Z28" s="30" t="n"/>
    </row>
    <row r="29" ht="101.45" customHeight="1" s="480">
      <c r="A29" s="490" t="inlineStr">
        <is>
          <t>TCMS Hardware</t>
        </is>
      </c>
      <c r="B29" s="490" t="inlineStr">
        <is>
          <t>LV</t>
        </is>
      </c>
      <c r="C29" s="44" t="n"/>
      <c r="D29" s="45" t="inlineStr">
        <is>
          <t>CCU-O</t>
        </is>
      </c>
      <c r="E29" s="34" t="inlineStr">
        <is>
          <t>3EST000225-5707</t>
        </is>
      </c>
      <c r="F29" s="36" t="n"/>
      <c r="G29" s="44" t="n"/>
      <c r="H29" s="45" t="inlineStr">
        <is>
          <t>CCU-O</t>
        </is>
      </c>
      <c r="I29" s="34" t="inlineStr">
        <is>
          <t>3EST000225-5707</t>
        </is>
      </c>
      <c r="J29" s="36" t="n"/>
      <c r="K29" s="44" t="n"/>
      <c r="L29" s="45" t="inlineStr">
        <is>
          <t>CCU-O</t>
        </is>
      </c>
      <c r="M29" s="516" t="inlineStr">
        <is>
          <t>Nuova architettura Full Ethernet</t>
        </is>
      </c>
      <c r="N29" s="500" t="n"/>
      <c r="O29" s="44" t="n"/>
      <c r="P29" s="45" t="inlineStr">
        <is>
          <t>CCU-O</t>
        </is>
      </c>
      <c r="Q29" s="34" t="inlineStr">
        <is>
          <t>3EST000225-5707</t>
        </is>
      </c>
      <c r="R29" s="36" t="n"/>
      <c r="S29" s="44" t="n"/>
      <c r="T29" s="45" t="inlineStr">
        <is>
          <t>CCU-O</t>
        </is>
      </c>
      <c r="U29" s="34" t="inlineStr">
        <is>
          <t>3EST000225-5707</t>
        </is>
      </c>
      <c r="V29" s="36" t="n"/>
      <c r="W29" s="449" t="n"/>
      <c r="X29" s="45" t="inlineStr">
        <is>
          <t>CCU-O</t>
        </is>
      </c>
      <c r="Y29" s="34" t="inlineStr">
        <is>
          <t>3EST000236-6235</t>
        </is>
      </c>
      <c r="Z29" s="47" t="inlineStr">
        <is>
          <t>Higher performances and longer spare parts support</t>
        </is>
      </c>
    </row>
    <row r="30">
      <c r="A30" s="469" t="n"/>
      <c r="B30" s="469" t="n"/>
      <c r="C30" s="48" t="n"/>
      <c r="D30" s="409" t="inlineStr">
        <is>
          <t>CCU-S</t>
        </is>
      </c>
      <c r="E30" s="165" t="inlineStr">
        <is>
          <t>3EST000221-6430</t>
        </is>
      </c>
      <c r="F30" s="22" t="n"/>
      <c r="G30" s="48" t="n"/>
      <c r="H30" s="409" t="inlineStr">
        <is>
          <t>CCU-S</t>
        </is>
      </c>
      <c r="I30" s="165" t="inlineStr">
        <is>
          <t>3EST000221-6430</t>
        </is>
      </c>
      <c r="J30" s="22" t="n"/>
      <c r="K30" s="48" t="n"/>
      <c r="L30" s="409" t="inlineStr">
        <is>
          <t>CCU-S</t>
        </is>
      </c>
      <c r="M30" s="517" t="n"/>
      <c r="N30" s="481" t="n"/>
      <c r="O30" s="48" t="n"/>
      <c r="P30" s="409" t="inlineStr">
        <is>
          <t>CCU-S</t>
        </is>
      </c>
      <c r="Q30" s="165" t="inlineStr">
        <is>
          <t>3EST000221-6430</t>
        </is>
      </c>
      <c r="R30" s="22" t="n"/>
      <c r="S30" s="48" t="n"/>
      <c r="T30" s="409" t="inlineStr">
        <is>
          <t>CCU-S</t>
        </is>
      </c>
      <c r="U30" s="165" t="inlineStr">
        <is>
          <t>3EST000221-6430</t>
        </is>
      </c>
      <c r="V30" s="22" t="n"/>
      <c r="W30" s="298" t="n"/>
      <c r="X30" s="409" t="inlineStr">
        <is>
          <t>CCU-S</t>
        </is>
      </c>
      <c r="Y30" s="165" t="inlineStr">
        <is>
          <t>3EST000232-1990</t>
        </is>
      </c>
      <c r="Z30" s="22" t="n"/>
    </row>
    <row r="31" ht="144.6" customHeight="1" s="480">
      <c r="A31" s="469" t="n"/>
      <c r="B31" s="491" t="n"/>
      <c r="C31" s="48" t="n"/>
      <c r="D31" s="410" t="inlineStr">
        <is>
          <t>MIO-S</t>
        </is>
      </c>
      <c r="E31" s="398" t="inlineStr">
        <is>
          <t>3EST000228-0629
3EST000228-3395
3EST000228-3394</t>
        </is>
      </c>
      <c r="F31" s="22" t="n"/>
      <c r="G31" s="48" t="n"/>
      <c r="H31" s="410" t="inlineStr">
        <is>
          <t>MIO-S</t>
        </is>
      </c>
      <c r="I31" s="411" t="inlineStr">
        <is>
          <t>3EST000230-5830
3EST000230-5833
3EST000228-3394</t>
        </is>
      </c>
      <c r="J31" s="49" t="inlineStr">
        <is>
          <t>Sell no more supported for new projects due to internal component out of production (legacy only)</t>
        </is>
      </c>
      <c r="K31" s="48" t="n"/>
      <c r="L31" s="410" t="inlineStr">
        <is>
          <t>MIO-S</t>
        </is>
      </c>
      <c r="M31" s="517" t="n"/>
      <c r="N31" s="481" t="n"/>
      <c r="O31" s="48" t="n"/>
      <c r="P31" s="410" t="inlineStr">
        <is>
          <t>MIO-S</t>
        </is>
      </c>
      <c r="Q31" s="343" t="inlineStr">
        <is>
          <t>3EST000228-0629
3EST000228-3395
3EST000228-3394</t>
        </is>
      </c>
      <c r="R31" s="22" t="n"/>
      <c r="S31" s="48" t="n"/>
      <c r="T31" s="410" t="inlineStr">
        <is>
          <t>MIO-S</t>
        </is>
      </c>
      <c r="U31" s="343" t="inlineStr">
        <is>
          <t>3EST000228-0629
3EST000228-3395
3EST000228-3394</t>
        </is>
      </c>
      <c r="V31" s="22" t="n"/>
      <c r="W31" s="298" t="n"/>
      <c r="X31" s="410" t="inlineStr">
        <is>
          <t>MIO-S</t>
        </is>
      </c>
      <c r="Y31" s="412" t="inlineStr">
        <is>
          <t>3EST000230-5830
3EST000230-5833
3EST000228-3394</t>
        </is>
      </c>
      <c r="Z31" s="50" t="inlineStr">
        <is>
          <t>Sell no more supported for new projects due to internal component out of production (legacy only)</t>
        </is>
      </c>
    </row>
    <row r="32" ht="29.1" customHeight="1" s="480">
      <c r="A32" s="469" t="n"/>
      <c r="B32" s="487" t="inlineStr">
        <is>
          <t>Teledia</t>
        </is>
      </c>
      <c r="C32" s="48" t="n"/>
      <c r="D32" s="410" t="inlineStr">
        <is>
          <t>MCG</t>
        </is>
      </c>
      <c r="E32" s="398" t="inlineStr">
        <is>
          <t>3EST000225-7169</t>
        </is>
      </c>
      <c r="F32" s="22" t="n"/>
      <c r="G32" s="48" t="n"/>
      <c r="H32" s="410" t="inlineStr">
        <is>
          <t>MCG</t>
        </is>
      </c>
      <c r="I32" s="413" t="inlineStr">
        <is>
          <t>3EST000234-1560</t>
        </is>
      </c>
      <c r="J32" s="41" t="inlineStr">
        <is>
          <t>additional LTE connection</t>
        </is>
      </c>
      <c r="K32" s="48" t="n"/>
      <c r="L32" s="410" t="inlineStr">
        <is>
          <t>MCG</t>
        </is>
      </c>
      <c r="M32" s="517" t="n"/>
      <c r="N32" s="481" t="n"/>
      <c r="O32" s="48" t="n"/>
      <c r="P32" s="410" t="inlineStr">
        <is>
          <t>MCG</t>
        </is>
      </c>
      <c r="Q32" s="398" t="inlineStr">
        <is>
          <t>3EST000225-7169</t>
        </is>
      </c>
      <c r="R32" s="22" t="n"/>
      <c r="S32" s="48" t="n"/>
      <c r="T32" s="410" t="inlineStr">
        <is>
          <t>MCG</t>
        </is>
      </c>
      <c r="U32" s="398" t="inlineStr">
        <is>
          <t>3EST000225-7169</t>
        </is>
      </c>
      <c r="V32" s="22" t="n"/>
      <c r="W32" s="298" t="n"/>
      <c r="X32" s="410" t="inlineStr">
        <is>
          <t>MCG</t>
        </is>
      </c>
      <c r="Y32" s="165" t="inlineStr">
        <is>
          <t>3EST000234-1560</t>
        </is>
      </c>
      <c r="Z32" s="41" t="inlineStr">
        <is>
          <t>additional LTE connection</t>
        </is>
      </c>
    </row>
    <row r="33">
      <c r="A33" s="469" t="n"/>
      <c r="B33" s="508" t="inlineStr">
        <is>
          <t>Monitor</t>
        </is>
      </c>
      <c r="C33" s="48" t="n"/>
      <c r="D33" s="409" t="inlineStr">
        <is>
          <t>IDU</t>
        </is>
      </c>
      <c r="E33" s="165" t="inlineStr">
        <is>
          <t>3EST000223-8802</t>
        </is>
      </c>
      <c r="F33" s="22" t="n"/>
      <c r="G33" s="48" t="n"/>
      <c r="H33" s="409" t="inlineStr">
        <is>
          <t>IDU</t>
        </is>
      </c>
      <c r="I33" s="165" t="inlineStr">
        <is>
          <t>3EST000223-8802</t>
        </is>
      </c>
      <c r="J33" s="22" t="n"/>
      <c r="K33" s="48" t="n"/>
      <c r="L33" s="409" t="inlineStr">
        <is>
          <t>IDU/TOD</t>
        </is>
      </c>
      <c r="M33" s="517" t="n"/>
      <c r="N33" s="481" t="n"/>
      <c r="O33" s="48" t="n"/>
      <c r="P33" s="409" t="inlineStr">
        <is>
          <t>IDU</t>
        </is>
      </c>
      <c r="Q33" s="165" t="inlineStr">
        <is>
          <t>3EST000223-8802</t>
        </is>
      </c>
      <c r="R33" s="22" t="n"/>
      <c r="S33" s="48" t="n"/>
      <c r="T33" s="409" t="inlineStr">
        <is>
          <t>IDU</t>
        </is>
      </c>
      <c r="U33" s="165" t="inlineStr">
        <is>
          <t>3EST000223-8802</t>
        </is>
      </c>
      <c r="V33" s="22" t="n"/>
      <c r="W33" s="298" t="n"/>
      <c r="X33" s="409" t="inlineStr">
        <is>
          <t>IDU</t>
        </is>
      </c>
      <c r="Y33" s="165" t="inlineStr">
        <is>
          <t>3EST000223-8802</t>
        </is>
      </c>
      <c r="Z33" s="22" t="n"/>
    </row>
    <row r="34" ht="14.45" customHeight="1" s="480">
      <c r="A34" s="469" t="n"/>
      <c r="B34" s="468" t="inlineStr">
        <is>
          <t>Bus</t>
        </is>
      </c>
      <c r="C34" s="48" t="n"/>
      <c r="D34" s="409" t="inlineStr">
        <is>
          <t>T Repeater</t>
        </is>
      </c>
      <c r="E34" s="165" t="inlineStr">
        <is>
          <t>3EST000212-3010</t>
        </is>
      </c>
      <c r="F34" s="22" t="n"/>
      <c r="G34" s="48" t="n"/>
      <c r="H34" s="409" t="inlineStr">
        <is>
          <t>T Repeater</t>
        </is>
      </c>
      <c r="I34" s="413" t="inlineStr">
        <is>
          <t>3EST000236-6770</t>
        </is>
      </c>
      <c r="J34" s="510" t="inlineStr">
        <is>
          <t>Sell no more supported for new projects due to internal component out of production (legacy only)</t>
        </is>
      </c>
      <c r="K34" s="48" t="n"/>
      <c r="L34" s="409" t="inlineStr">
        <is>
          <t>T Repeater</t>
        </is>
      </c>
      <c r="M34" s="517" t="n"/>
      <c r="N34" s="481" t="n"/>
      <c r="O34" s="48" t="n"/>
      <c r="P34" s="409" t="inlineStr">
        <is>
          <t>T Repeater</t>
        </is>
      </c>
      <c r="Q34" s="165" t="inlineStr">
        <is>
          <t>3EST000212-3010</t>
        </is>
      </c>
      <c r="R34" s="22" t="n"/>
      <c r="S34" s="48" t="n"/>
      <c r="T34" s="409" t="inlineStr">
        <is>
          <t>T Repeater</t>
        </is>
      </c>
      <c r="U34" s="165" t="inlineStr">
        <is>
          <t>3EST000212-3010</t>
        </is>
      </c>
      <c r="V34" s="22" t="n"/>
      <c r="W34" s="298" t="n"/>
      <c r="X34" s="409" t="inlineStr">
        <is>
          <t>T Repeater</t>
        </is>
      </c>
      <c r="Y34" s="165" t="inlineStr">
        <is>
          <t>3EST000236-6770</t>
        </is>
      </c>
      <c r="Z34" s="510" t="inlineStr">
        <is>
          <t>Sell no more supported for new projects due to internal component out of production (legacy only)</t>
        </is>
      </c>
    </row>
    <row r="35">
      <c r="A35" s="469" t="n"/>
      <c r="B35" s="469" t="n"/>
      <c r="C35" s="48" t="n"/>
      <c r="D35" s="409" t="inlineStr">
        <is>
          <t>T Switch</t>
        </is>
      </c>
      <c r="E35" s="165" t="inlineStr">
        <is>
          <t>3EST000212-3000</t>
        </is>
      </c>
      <c r="F35" s="22" t="n"/>
      <c r="G35" s="48" t="n"/>
      <c r="H35" s="409" t="inlineStr">
        <is>
          <t>T Switch</t>
        </is>
      </c>
      <c r="I35" s="413" t="inlineStr">
        <is>
          <t>3EST000236-6769</t>
        </is>
      </c>
      <c r="J35" s="511" t="n"/>
      <c r="K35" s="48" t="n"/>
      <c r="L35" s="409" t="inlineStr">
        <is>
          <t>T Switch</t>
        </is>
      </c>
      <c r="M35" s="517" t="n"/>
      <c r="N35" s="481" t="n"/>
      <c r="O35" s="48" t="n"/>
      <c r="P35" s="409" t="inlineStr">
        <is>
          <t>T Switch</t>
        </is>
      </c>
      <c r="Q35" s="165" t="inlineStr">
        <is>
          <t>3EST000212-3000</t>
        </is>
      </c>
      <c r="R35" s="22" t="n"/>
      <c r="S35" s="48" t="n"/>
      <c r="T35" s="409" t="inlineStr">
        <is>
          <t>T Switch</t>
        </is>
      </c>
      <c r="U35" s="165" t="inlineStr">
        <is>
          <t>3EST000212-3000</t>
        </is>
      </c>
      <c r="V35" s="22" t="n"/>
      <c r="W35" s="298" t="n"/>
      <c r="X35" s="409" t="inlineStr">
        <is>
          <t>T Switch</t>
        </is>
      </c>
      <c r="Y35" s="165" t="inlineStr">
        <is>
          <t>3EST000236-6769</t>
        </is>
      </c>
      <c r="Z35" s="511" t="n"/>
    </row>
    <row r="36" ht="15.75" customHeight="1" s="480" thickBot="1">
      <c r="A36" s="491" t="n"/>
      <c r="B36" s="469" t="n"/>
      <c r="C36" s="51" t="n"/>
      <c r="D36" s="414" t="inlineStr">
        <is>
          <t>R Switch</t>
        </is>
      </c>
      <c r="E36" s="167" t="inlineStr">
        <is>
          <t>3EST000225-7297</t>
        </is>
      </c>
      <c r="F36" s="52" t="n"/>
      <c r="G36" s="51" t="n"/>
      <c r="H36" s="414" t="inlineStr">
        <is>
          <t>R Switch</t>
        </is>
      </c>
      <c r="I36" s="415" t="inlineStr">
        <is>
          <t>3EST000234-7837</t>
        </is>
      </c>
      <c r="J36" s="511" t="n"/>
      <c r="K36" s="51" t="n"/>
      <c r="L36" s="414" t="inlineStr">
        <is>
          <t>R Switch</t>
        </is>
      </c>
      <c r="M36" s="518" t="n"/>
      <c r="N36" s="484" t="n"/>
      <c r="O36" s="51" t="n"/>
      <c r="P36" s="414" t="inlineStr">
        <is>
          <t>R Switch</t>
        </is>
      </c>
      <c r="Q36" s="167" t="inlineStr">
        <is>
          <t>3EST000225-7297</t>
        </is>
      </c>
      <c r="R36" s="52" t="n"/>
      <c r="S36" s="51" t="n"/>
      <c r="T36" s="414" t="inlineStr">
        <is>
          <t>R Switch</t>
        </is>
      </c>
      <c r="U36" s="167" t="inlineStr">
        <is>
          <t>3EST000225-7297</t>
        </is>
      </c>
      <c r="V36" s="52" t="n"/>
      <c r="W36" s="375" t="n"/>
      <c r="X36" s="414" t="inlineStr">
        <is>
          <t>R Switch</t>
        </is>
      </c>
      <c r="Y36" s="167" t="inlineStr">
        <is>
          <t>3EST000234-7837</t>
        </is>
      </c>
      <c r="Z36" s="511" t="n"/>
    </row>
    <row r="37" ht="15.75" customHeight="1" s="480" thickBot="1">
      <c r="A37" s="39" t="inlineStr">
        <is>
          <t>Energy Meter</t>
        </is>
      </c>
      <c r="B37" s="11" t="inlineStr">
        <is>
          <t>Tipo</t>
        </is>
      </c>
      <c r="C37" s="475" t="inlineStr">
        <is>
          <t>n/a</t>
        </is>
      </c>
      <c r="D37" s="463" t="n"/>
      <c r="E37" s="463" t="n"/>
      <c r="F37" s="464" t="n"/>
      <c r="G37" s="475" t="inlineStr">
        <is>
          <t>n/a</t>
        </is>
      </c>
      <c r="H37" s="463" t="n"/>
      <c r="I37" s="463" t="n"/>
      <c r="J37" s="464" t="n"/>
      <c r="K37" s="486" t="inlineStr">
        <is>
          <t>EMS Microelettrica  integrato con TCMS</t>
        </is>
      </c>
      <c r="L37" s="463" t="n"/>
      <c r="M37" s="463" t="n"/>
      <c r="N37" s="464" t="n"/>
      <c r="O37" s="486" t="inlineStr">
        <is>
          <t>EMS Microelettrica non integrato con TCMS</t>
        </is>
      </c>
      <c r="P37" s="463" t="n"/>
      <c r="Q37" s="463" t="n"/>
      <c r="R37" s="464" t="n"/>
      <c r="S37" s="486" t="inlineStr">
        <is>
          <t>EMS Alstom  integrato con TCMS</t>
        </is>
      </c>
      <c r="T37" s="463" t="n"/>
      <c r="U37" s="463" t="n"/>
      <c r="V37" s="464" t="n"/>
      <c r="W37" s="486" t="inlineStr">
        <is>
          <t>EMS Alstom  integrato con TCMS</t>
        </is>
      </c>
      <c r="X37" s="463" t="n"/>
      <c r="Y37" s="463" t="n"/>
      <c r="Z37" s="464" t="n"/>
    </row>
    <row r="38" ht="87" customHeight="1" s="480">
      <c r="A38" s="490" t="inlineStr">
        <is>
          <t>Freno</t>
        </is>
      </c>
      <c r="B38" s="461" t="inlineStr">
        <is>
          <t>Centraline</t>
        </is>
      </c>
      <c r="C38" s="44" t="n"/>
      <c r="D38" s="53" t="inlineStr">
        <is>
          <t>BCU</t>
        </is>
      </c>
      <c r="E38" s="54" t="inlineStr">
        <is>
          <t>FT0024971-100 (DM)
FT0028492-100 (TT)</t>
        </is>
      </c>
      <c r="F38" s="36" t="n"/>
      <c r="G38" s="44" t="n"/>
      <c r="H38" s="53" t="inlineStr">
        <is>
          <t>BCU</t>
        </is>
      </c>
      <c r="I38" s="54" t="inlineStr">
        <is>
          <t>FT0024971-100 (DM)
FT0028492-100 (TT)</t>
        </is>
      </c>
      <c r="J38" s="36" t="n"/>
      <c r="K38" s="44" t="n"/>
      <c r="L38" s="53" t="inlineStr">
        <is>
          <t>BCU</t>
        </is>
      </c>
      <c r="M38" s="34" t="n"/>
      <c r="N38" s="36" t="n"/>
      <c r="O38" s="44" t="n"/>
      <c r="P38" s="53" t="inlineStr">
        <is>
          <t>BCU</t>
        </is>
      </c>
      <c r="Q38" s="54" t="inlineStr">
        <is>
          <t>FT0024971-100 (DM)
FT0028492-100 (TT)</t>
        </is>
      </c>
      <c r="R38" s="36" t="n"/>
      <c r="S38" s="44" t="n"/>
      <c r="T38" s="53" t="inlineStr">
        <is>
          <t>BCU</t>
        </is>
      </c>
      <c r="U38" s="54" t="inlineStr">
        <is>
          <t>FT0024971-100 (DM)
FT0028492-100 (TT)</t>
        </is>
      </c>
      <c r="V38" s="36" t="n"/>
      <c r="W38" s="44" t="n"/>
      <c r="X38" s="53" t="inlineStr">
        <is>
          <t>BCU</t>
        </is>
      </c>
      <c r="Y38" s="34" t="n"/>
      <c r="Z38" s="36" t="n"/>
    </row>
    <row r="39" ht="101.45" customHeight="1" s="480">
      <c r="A39" s="469" t="n"/>
      <c r="B39" s="442" t="n"/>
      <c r="C39" s="48" t="n"/>
      <c r="D39" s="389" t="inlineStr">
        <is>
          <t>WSP</t>
        </is>
      </c>
      <c r="E39" s="398" t="inlineStr">
        <is>
          <t xml:space="preserve">FT0024963-100 (DM)
FT0024967-100 (TT)
</t>
        </is>
      </c>
      <c r="F39" s="22" t="n"/>
      <c r="G39" s="48" t="n"/>
      <c r="H39" s="389" t="inlineStr">
        <is>
          <t>WSP</t>
        </is>
      </c>
      <c r="I39" s="398" t="inlineStr">
        <is>
          <t xml:space="preserve">FT0024963-100 (DM)
FT0024967-100 (TT)
</t>
        </is>
      </c>
      <c r="J39" s="22" t="n"/>
      <c r="K39" s="48" t="n"/>
      <c r="L39" s="389" t="inlineStr">
        <is>
          <t>WSP</t>
        </is>
      </c>
      <c r="M39" s="165" t="n"/>
      <c r="N39" s="22" t="n"/>
      <c r="O39" s="48" t="n"/>
      <c r="P39" s="389" t="inlineStr">
        <is>
          <t>WSP</t>
        </is>
      </c>
      <c r="Q39" s="398" t="inlineStr">
        <is>
          <t xml:space="preserve">FT0024963-100 (DM)
FT0024967-100 (TT)
</t>
        </is>
      </c>
      <c r="R39" s="22" t="n"/>
      <c r="S39" s="48" t="n"/>
      <c r="T39" s="389" t="inlineStr">
        <is>
          <t>WSP</t>
        </is>
      </c>
      <c r="U39" s="398" t="inlineStr">
        <is>
          <t xml:space="preserve">FT0024963-100 (DM)
FT0024967-100 (TT)
</t>
        </is>
      </c>
      <c r="V39" s="22" t="n"/>
      <c r="W39" s="48" t="n"/>
      <c r="X39" s="389" t="inlineStr">
        <is>
          <t>WSP</t>
        </is>
      </c>
      <c r="Y39" s="165" t="n"/>
      <c r="Z39" s="22" t="n"/>
    </row>
    <row r="40">
      <c r="A40" s="469" t="n"/>
      <c r="B40" s="485" t="inlineStr">
        <is>
          <t>Pneumatica</t>
        </is>
      </c>
      <c r="C40" s="48" t="n"/>
      <c r="D40" s="389" t="inlineStr">
        <is>
          <t>Distributore</t>
        </is>
      </c>
      <c r="E40" s="416" t="inlineStr">
        <is>
          <t>SW4 COD. 726 43V S1 10</t>
        </is>
      </c>
      <c r="F40" s="22" t="n"/>
      <c r="G40" s="48" t="n"/>
      <c r="H40" s="389" t="inlineStr">
        <is>
          <t>Distributore</t>
        </is>
      </c>
      <c r="I40" s="416" t="inlineStr">
        <is>
          <t>SW4 COD. 726 43V S1 10</t>
        </is>
      </c>
      <c r="J40" s="22" t="n"/>
      <c r="K40" s="48" t="n"/>
      <c r="L40" s="389" t="inlineStr">
        <is>
          <t>Distributore</t>
        </is>
      </c>
      <c r="M40" s="165" t="n"/>
      <c r="N40" s="22" t="n"/>
      <c r="O40" s="48" t="n"/>
      <c r="P40" s="389" t="inlineStr">
        <is>
          <t>Distributore</t>
        </is>
      </c>
      <c r="Q40" s="416" t="inlineStr">
        <is>
          <t>SW4 COD. 726 43V S1 10</t>
        </is>
      </c>
      <c r="R40" s="22" t="n"/>
      <c r="S40" s="48" t="n"/>
      <c r="T40" s="389" t="inlineStr">
        <is>
          <t>Distributore</t>
        </is>
      </c>
      <c r="U40" s="416" t="inlineStr">
        <is>
          <t>SW4 COD. 726 43V S1 10</t>
        </is>
      </c>
      <c r="V40" s="22" t="n"/>
      <c r="W40" s="48" t="n"/>
      <c r="X40" s="389" t="inlineStr">
        <is>
          <t>Distributore</t>
        </is>
      </c>
      <c r="Y40" s="165" t="n"/>
      <c r="Z40" s="22" t="n"/>
    </row>
    <row r="41">
      <c r="A41" s="469" t="n"/>
      <c r="B41" s="479" t="n"/>
      <c r="C41" s="48" t="n"/>
      <c r="D41" s="389" t="inlineStr">
        <is>
          <t>DBV</t>
        </is>
      </c>
      <c r="E41" s="165" t="inlineStr">
        <is>
          <t>FT0022875-100</t>
        </is>
      </c>
      <c r="F41" s="22" t="n"/>
      <c r="G41" s="48" t="n"/>
      <c r="H41" s="389" t="inlineStr">
        <is>
          <t>DBV</t>
        </is>
      </c>
      <c r="I41" s="165" t="inlineStr">
        <is>
          <t>FT0022875-100</t>
        </is>
      </c>
      <c r="J41" s="22" t="n"/>
      <c r="K41" s="48" t="n"/>
      <c r="L41" s="389" t="inlineStr">
        <is>
          <t>DBV</t>
        </is>
      </c>
      <c r="M41" s="165" t="n"/>
      <c r="N41" s="22" t="n"/>
      <c r="O41" s="48" t="n"/>
      <c r="P41" s="389" t="inlineStr">
        <is>
          <t>DBV</t>
        </is>
      </c>
      <c r="Q41" s="165" t="inlineStr">
        <is>
          <t>FT0022875-100</t>
        </is>
      </c>
      <c r="R41" s="22" t="n"/>
      <c r="S41" s="48" t="n"/>
      <c r="T41" s="389" t="inlineStr">
        <is>
          <t>DBV</t>
        </is>
      </c>
      <c r="U41" s="165" t="inlineStr">
        <is>
          <t>FT0022875-100</t>
        </is>
      </c>
      <c r="V41" s="22" t="n"/>
      <c r="W41" s="48" t="n"/>
      <c r="X41" s="389" t="inlineStr">
        <is>
          <t>DBV</t>
        </is>
      </c>
      <c r="Y41" s="165" t="n"/>
      <c r="Z41" s="22" t="n"/>
    </row>
    <row r="42" ht="15.75" customHeight="1" s="480" thickBot="1">
      <c r="A42" s="491" t="n"/>
      <c r="B42" s="482" t="n"/>
      <c r="C42" s="51" t="n"/>
      <c r="D42" s="417" t="inlineStr">
        <is>
          <t>Dump V. WSP</t>
        </is>
      </c>
      <c r="E42" s="167" t="inlineStr">
        <is>
          <t>FT0023704-103</t>
        </is>
      </c>
      <c r="F42" s="27" t="inlineStr">
        <is>
          <t>DV-17</t>
        </is>
      </c>
      <c r="G42" s="55" t="n"/>
      <c r="H42" s="25" t="inlineStr">
        <is>
          <t>Dump V. WSP</t>
        </is>
      </c>
      <c r="I42" s="167" t="inlineStr">
        <is>
          <t>FT0023704-103</t>
        </is>
      </c>
      <c r="J42" s="27" t="inlineStr">
        <is>
          <t>DV-17</t>
        </is>
      </c>
      <c r="K42" s="55" t="n"/>
      <c r="L42" s="25" t="inlineStr">
        <is>
          <t>Dump V. WSP</t>
        </is>
      </c>
      <c r="M42" s="26" t="inlineStr">
        <is>
          <t>FT0126050-100</t>
        </is>
      </c>
      <c r="N42" s="27" t="inlineStr">
        <is>
          <t>DV-12 Double Coil</t>
        </is>
      </c>
      <c r="O42" s="55" t="n"/>
      <c r="P42" s="25" t="inlineStr">
        <is>
          <t>Dump V. WSP</t>
        </is>
      </c>
      <c r="Q42" s="167" t="inlineStr">
        <is>
          <t>FT0023704-103</t>
        </is>
      </c>
      <c r="R42" s="27" t="inlineStr">
        <is>
          <t>DV-17</t>
        </is>
      </c>
      <c r="S42" s="55" t="n"/>
      <c r="T42" s="25" t="inlineStr">
        <is>
          <t>Dump V. WSP</t>
        </is>
      </c>
      <c r="U42" s="26" t="inlineStr">
        <is>
          <t>FT0126050-100</t>
        </is>
      </c>
      <c r="V42" s="27" t="inlineStr">
        <is>
          <t>DV-12 Double Coil</t>
        </is>
      </c>
      <c r="W42" s="55" t="n"/>
      <c r="X42" s="25" t="inlineStr">
        <is>
          <t>Dump V. WSP</t>
        </is>
      </c>
      <c r="Y42" s="26" t="inlineStr">
        <is>
          <t>FT0126050-100</t>
        </is>
      </c>
      <c r="Z42" s="27" t="inlineStr">
        <is>
          <t>DV-12 Double Coil</t>
        </is>
      </c>
    </row>
    <row r="43">
      <c r="A43" s="490" t="inlineStr">
        <is>
          <t>PRM</t>
        </is>
      </c>
      <c r="B43" s="461" t="inlineStr">
        <is>
          <t>Toilet</t>
        </is>
      </c>
      <c r="C43" s="498" t="inlineStr">
        <is>
          <t>Toilet Production HK standard flotta base</t>
        </is>
      </c>
      <c r="D43" s="499" t="n"/>
      <c r="E43" s="499" t="n"/>
      <c r="F43" s="500" t="n"/>
      <c r="G43" s="498" t="inlineStr">
        <is>
          <t>Toilet Production HK standard flotta base</t>
        </is>
      </c>
      <c r="H43" s="499" t="n"/>
      <c r="I43" s="499" t="n"/>
      <c r="J43" s="500" t="n"/>
      <c r="K43" s="498" t="inlineStr">
        <is>
          <t>Toilet Production HK - conf. NRD Spagna + STI PRM 2019</t>
        </is>
      </c>
      <c r="L43" s="499" t="n"/>
      <c r="M43" s="499" t="n"/>
      <c r="N43" s="500" t="n"/>
      <c r="O43" s="498" t="inlineStr">
        <is>
          <t>Toilet Production HK standard flotta base</t>
        </is>
      </c>
      <c r="P43" s="499" t="n"/>
      <c r="Q43" s="499" t="n"/>
      <c r="R43" s="500" t="n"/>
      <c r="S43" s="498" t="inlineStr">
        <is>
          <t>Toilet Production HK standard flotta base</t>
        </is>
      </c>
      <c r="T43" s="499" t="n"/>
      <c r="U43" s="499" t="n"/>
      <c r="V43" s="500" t="n"/>
      <c r="W43" s="498" t="inlineStr">
        <is>
          <t>Toilet Production HK - conf. NRD Spagna + STI PRM 2019</t>
        </is>
      </c>
      <c r="X43" s="499" t="n"/>
      <c r="Y43" s="499" t="n"/>
      <c r="Z43" s="500" t="n"/>
    </row>
    <row r="44">
      <c r="A44" s="469" t="n"/>
      <c r="B44" s="442" t="n"/>
      <c r="C44" s="501" t="n"/>
      <c r="D44" s="442" t="n"/>
      <c r="E44" s="442" t="n"/>
      <c r="F44" s="502" t="n"/>
      <c r="G44" s="501" t="n"/>
      <c r="H44" s="442" t="n"/>
      <c r="I44" s="442" t="n"/>
      <c r="J44" s="502" t="n"/>
      <c r="K44" s="501" t="n"/>
      <c r="L44" s="442" t="n"/>
      <c r="M44" s="442" t="n"/>
      <c r="N44" s="502" t="n"/>
      <c r="O44" s="501" t="n"/>
      <c r="P44" s="442" t="n"/>
      <c r="Q44" s="442" t="n"/>
      <c r="R44" s="502" t="n"/>
      <c r="S44" s="501" t="n"/>
      <c r="T44" s="442" t="n"/>
      <c r="U44" s="442" t="n"/>
      <c r="V44" s="502" t="n"/>
      <c r="W44" s="501" t="n"/>
      <c r="X44" s="442" t="n"/>
      <c r="Y44" s="442" t="n"/>
      <c r="Z44" s="502" t="n"/>
    </row>
    <row r="45">
      <c r="A45" s="469" t="n"/>
      <c r="B45" s="485" t="inlineStr">
        <is>
          <t>Lift</t>
        </is>
      </c>
      <c r="C45" s="476" t="inlineStr">
        <is>
          <t>Lift HK standard flotta base azionamento idraulico</t>
        </is>
      </c>
      <c r="D45" s="477" t="n"/>
      <c r="E45" s="477" t="n"/>
      <c r="F45" s="478" t="n"/>
      <c r="G45" s="476" t="inlineStr">
        <is>
          <t>Lift HK standard flotta base azionamento idraulico</t>
        </is>
      </c>
      <c r="H45" s="477" t="n"/>
      <c r="I45" s="477" t="n"/>
      <c r="J45" s="478" t="n"/>
      <c r="K45" s="513" t="inlineStr">
        <is>
          <t>Lift HK STI PRM 2019 (pedana più grande, azionamento elettrico)</t>
        </is>
      </c>
      <c r="L45" s="477" t="n"/>
      <c r="M45" s="477" t="n"/>
      <c r="N45" s="478" t="n"/>
      <c r="O45" s="476" t="inlineStr">
        <is>
          <t>Lift HK standard flotta base azionamento idraulico</t>
        </is>
      </c>
      <c r="P45" s="477" t="n"/>
      <c r="Q45" s="477" t="n"/>
      <c r="R45" s="478" t="n"/>
      <c r="S45" s="476" t="inlineStr">
        <is>
          <t>Lift HK standard flotta base azionamento idraulico</t>
        </is>
      </c>
      <c r="T45" s="477" t="n"/>
      <c r="U45" s="477" t="n"/>
      <c r="V45" s="478" t="n"/>
      <c r="W45" s="513" t="inlineStr">
        <is>
          <t>Lift HK STI PRM 2019 (pedana più grande) azionamento idraulico</t>
        </is>
      </c>
      <c r="X45" s="477" t="n"/>
      <c r="Y45" s="477" t="n"/>
      <c r="Z45" s="478" t="n"/>
    </row>
    <row r="46">
      <c r="A46" s="469" t="n"/>
      <c r="B46" s="479" t="n"/>
      <c r="C46" s="479" t="n"/>
      <c r="F46" s="481" t="n"/>
      <c r="G46" s="479" t="n"/>
      <c r="J46" s="481" t="n"/>
      <c r="K46" s="479" t="n"/>
      <c r="N46" s="481" t="n"/>
      <c r="O46" s="479" t="n"/>
      <c r="R46" s="481" t="n"/>
      <c r="S46" s="479" t="n"/>
      <c r="V46" s="481" t="n"/>
      <c r="W46" s="479" t="n"/>
      <c r="Z46" s="481" t="n"/>
    </row>
    <row r="47" ht="15.75" customHeight="1" s="480" thickBot="1">
      <c r="A47" s="491" t="n"/>
      <c r="B47" s="482" t="n"/>
      <c r="C47" s="482" t="n"/>
      <c r="D47" s="483" t="n"/>
      <c r="E47" s="483" t="n"/>
      <c r="F47" s="484" t="n"/>
      <c r="G47" s="482" t="n"/>
      <c r="H47" s="483" t="n"/>
      <c r="I47" s="483" t="n"/>
      <c r="J47" s="484" t="n"/>
      <c r="K47" s="482" t="n"/>
      <c r="L47" s="483" t="n"/>
      <c r="M47" s="483" t="n"/>
      <c r="N47" s="484" t="n"/>
      <c r="O47" s="482" t="n"/>
      <c r="P47" s="483" t="n"/>
      <c r="Q47" s="483" t="n"/>
      <c r="R47" s="484" t="n"/>
      <c r="S47" s="482" t="n"/>
      <c r="T47" s="483" t="n"/>
      <c r="U47" s="483" t="n"/>
      <c r="V47" s="484" t="n"/>
      <c r="W47" s="482" t="n"/>
      <c r="X47" s="483" t="n"/>
      <c r="Y47" s="483" t="n"/>
      <c r="Z47" s="484" t="n"/>
    </row>
    <row r="48" ht="29.45" customHeight="1" s="480" thickBot="1">
      <c r="A48" s="56" t="inlineStr">
        <is>
          <t>Porte Esterne</t>
        </is>
      </c>
      <c r="B48" s="57" t="inlineStr">
        <is>
          <t>Tipo</t>
        </is>
      </c>
      <c r="C48" s="514" t="inlineStr">
        <is>
          <t>Porte esterne IFE standard flotta base</t>
        </is>
      </c>
      <c r="D48" s="463" t="n"/>
      <c r="E48" s="463" t="n"/>
      <c r="F48" s="464" t="n"/>
      <c r="G48" s="514" t="inlineStr">
        <is>
          <t>Porte esterne IFE standard flotta base</t>
        </is>
      </c>
      <c r="H48" s="463" t="n"/>
      <c r="I48" s="463" t="n"/>
      <c r="J48" s="464" t="n"/>
      <c r="K48" s="462" t="inlineStr">
        <is>
          <t>Porte esterne IFE TSI 2019
Centralina Ethernet</t>
        </is>
      </c>
      <c r="L48" s="463" t="n"/>
      <c r="M48" s="463" t="n"/>
      <c r="N48" s="464" t="n"/>
      <c r="O48" s="514" t="inlineStr">
        <is>
          <t>Porte esterne IFE standard flotta base</t>
        </is>
      </c>
      <c r="P48" s="463" t="n"/>
      <c r="Q48" s="463" t="n"/>
      <c r="R48" s="464" t="n"/>
      <c r="S48" s="514" t="inlineStr">
        <is>
          <t>Porte esterne IFE standard flotta base</t>
        </is>
      </c>
      <c r="T48" s="463" t="n"/>
      <c r="U48" s="463" t="n"/>
      <c r="V48" s="464" t="n"/>
      <c r="W48" s="474" t="inlineStr">
        <is>
          <t>Porte esterne IFE (TSI 2019)</t>
        </is>
      </c>
      <c r="X48" s="463" t="n"/>
      <c r="Y48" s="463" t="n"/>
      <c r="Z48" s="464" t="n"/>
    </row>
    <row r="49" ht="24" customHeight="1" s="480">
      <c r="A49" s="505" t="inlineStr">
        <is>
          <t>Antincendio</t>
        </is>
      </c>
      <c r="B49" s="58" t="inlineStr">
        <is>
          <t>Sensori
Elettronica</t>
        </is>
      </c>
      <c r="C49" s="498" t="inlineStr">
        <is>
          <t>SCU Saira</t>
        </is>
      </c>
      <c r="D49" s="448" t="n"/>
      <c r="E49" s="448" t="n"/>
      <c r="F49" s="489" t="n"/>
      <c r="G49" s="488" t="inlineStr">
        <is>
          <t>FDU-1000 (fornitura ISE)</t>
        </is>
      </c>
      <c r="H49" s="448" t="n"/>
      <c r="I49" s="448" t="n"/>
      <c r="J49" s="489" t="n"/>
      <c r="K49" s="488" t="inlineStr">
        <is>
          <t>FDU ISE</t>
        </is>
      </c>
      <c r="L49" s="448" t="n"/>
      <c r="M49" s="448" t="n"/>
      <c r="N49" s="489" t="n"/>
      <c r="O49" s="498" t="inlineStr">
        <is>
          <t>SCU Saira</t>
        </is>
      </c>
      <c r="P49" s="448" t="n"/>
      <c r="Q49" s="448" t="n"/>
      <c r="R49" s="489" t="n"/>
      <c r="S49" s="498" t="inlineStr">
        <is>
          <t>SCU Saira</t>
        </is>
      </c>
      <c r="T49" s="448" t="n"/>
      <c r="U49" s="448" t="n"/>
      <c r="V49" s="489" t="n"/>
      <c r="W49" s="488" t="inlineStr">
        <is>
          <t>FDU-1000 (fornitura ISE)</t>
        </is>
      </c>
      <c r="X49" s="448" t="n"/>
      <c r="Y49" s="448" t="n"/>
      <c r="Z49" s="489" t="n"/>
    </row>
    <row r="50" ht="15.75" customHeight="1" s="480" thickBot="1">
      <c r="A50" s="506" t="n"/>
      <c r="B50" s="43" t="inlineStr">
        <is>
          <t>Estinzione</t>
        </is>
      </c>
      <c r="C50" s="495" t="inlineStr">
        <is>
          <t>WaterMist Marioff - 2 gruppi MAU (DM1/8)</t>
        </is>
      </c>
      <c r="D50" s="483" t="n"/>
      <c r="E50" s="483" t="n"/>
      <c r="F50" s="484" t="n"/>
      <c r="G50" s="515" t="inlineStr">
        <is>
          <t>WaterMist Marioff - 2 gruppi MAU (DM1/8)</t>
        </is>
      </c>
      <c r="H50" s="483" t="n"/>
      <c r="I50" s="483" t="n"/>
      <c r="J50" s="484" t="n"/>
      <c r="K50" s="515" t="inlineStr">
        <is>
          <t>WaterMist Acquasys - 1 gruppo MAU (DM1)</t>
        </is>
      </c>
      <c r="L50" s="483" t="n"/>
      <c r="M50" s="483" t="n"/>
      <c r="N50" s="484" t="n"/>
      <c r="O50" s="495" t="inlineStr">
        <is>
          <t>WaterMist Marioff - 2 gruppi MAU (DM1/8)</t>
        </is>
      </c>
      <c r="P50" s="483" t="n"/>
      <c r="Q50" s="483" t="n"/>
      <c r="R50" s="484" t="n"/>
      <c r="S50" s="495" t="inlineStr">
        <is>
          <t>WaterMist Marioff - 2 gruppi MAU (DM1/8)</t>
        </is>
      </c>
      <c r="T50" s="483" t="n"/>
      <c r="U50" s="483" t="n"/>
      <c r="V50" s="484" t="n"/>
      <c r="W50" s="495" t="inlineStr">
        <is>
          <t>n/a</t>
        </is>
      </c>
      <c r="X50" s="483" t="n"/>
      <c r="Y50" s="483" t="n"/>
      <c r="Z50" s="484" t="n"/>
    </row>
  </sheetData>
  <mergeCells count="100">
    <mergeCell ref="B43:B44"/>
    <mergeCell ref="K48:N48"/>
    <mergeCell ref="O3:O8"/>
    <mergeCell ref="B34:B36"/>
    <mergeCell ref="W25:W28"/>
    <mergeCell ref="K21:K24"/>
    <mergeCell ref="S3:S8"/>
    <mergeCell ref="W48:Z48"/>
    <mergeCell ref="C37:F37"/>
    <mergeCell ref="S45:V47"/>
    <mergeCell ref="B45:B47"/>
    <mergeCell ref="O37:R37"/>
    <mergeCell ref="B3:B8"/>
    <mergeCell ref="K49:N49"/>
    <mergeCell ref="A38:A42"/>
    <mergeCell ref="B13:B16"/>
    <mergeCell ref="K17:K20"/>
    <mergeCell ref="C1:F1"/>
    <mergeCell ref="W17:W20"/>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A13:A28"/>
    <mergeCell ref="G13:G16"/>
    <mergeCell ref="B17:B20"/>
    <mergeCell ref="W37:Z37"/>
    <mergeCell ref="Z34:Z36"/>
    <mergeCell ref="S13:S16"/>
    <mergeCell ref="C21:C24"/>
    <mergeCell ref="K45:N47"/>
    <mergeCell ref="B9:B12"/>
    <mergeCell ref="G48:J48"/>
    <mergeCell ref="C45:F47"/>
    <mergeCell ref="S48:V48"/>
    <mergeCell ref="J34:J36"/>
    <mergeCell ref="K1:N1"/>
    <mergeCell ref="O45:R47"/>
    <mergeCell ref="K50:N50"/>
    <mergeCell ref="B25:B28"/>
    <mergeCell ref="M29:N36"/>
    <mergeCell ref="G49:J49"/>
    <mergeCell ref="A29:A36"/>
    <mergeCell ref="B29:B31"/>
    <mergeCell ref="S49:V49"/>
    <mergeCell ref="A49:A50"/>
    <mergeCell ref="S25:S28"/>
    <mergeCell ref="B40:B42"/>
    <mergeCell ref="G17:G20"/>
    <mergeCell ref="S50:V50"/>
    <mergeCell ref="C9:C12"/>
    <mergeCell ref="C43:F44"/>
    <mergeCell ref="O43:R44"/>
    <mergeCell ref="W9:W12"/>
    <mergeCell ref="W21:W24"/>
    <mergeCell ref="O21:O24"/>
    <mergeCell ref="W3:W8"/>
    <mergeCell ref="A3:A12"/>
    <mergeCell ref="G37:J37"/>
    <mergeCell ref="W45:Z47"/>
    <mergeCell ref="C13:C16"/>
    <mergeCell ref="S37:V37"/>
    <mergeCell ref="O13:O16"/>
    <mergeCell ref="C48:F48"/>
    <mergeCell ref="G45:J47"/>
    <mergeCell ref="O48:R48"/>
    <mergeCell ref="B21:B24"/>
    <mergeCell ref="G1:J1"/>
    <mergeCell ref="B38:B39"/>
    <mergeCell ref="G50:J50"/>
    <mergeCell ref="S1:V1"/>
    <mergeCell ref="S17:S20"/>
    <mergeCell ref="C49:F49"/>
    <mergeCell ref="C25:C28"/>
    <mergeCell ref="A43:A47"/>
    <mergeCell ref="W49:Z49"/>
    <mergeCell ref="O25:O28"/>
    <mergeCell ref="K43:N44"/>
    <mergeCell ref="A2:B2"/>
    <mergeCell ref="S9:S12"/>
    <mergeCell ref="G3:G8"/>
    <mergeCell ref="C17:C20"/>
    <mergeCell ref="W43:Z44"/>
    <mergeCell ref="O49:R49"/>
    <mergeCell ref="K13:K16"/>
    <mergeCell ref="W13:W16"/>
    <mergeCell ref="O50:R50"/>
    <mergeCell ref="G21:G2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31"/>
  <sheetViews>
    <sheetView workbookViewId="0">
      <selection activeCell="A10" sqref="A10"/>
    </sheetView>
  </sheetViews>
  <sheetFormatPr baseColWidth="8" defaultColWidth="8.7109375" defaultRowHeight="15"/>
  <cols>
    <col width="35.42578125" customWidth="1" style="59" min="1" max="1"/>
    <col width="65.42578125" customWidth="1" style="8" min="2" max="2"/>
    <col width="11.42578125" bestFit="1" customWidth="1" style="8" min="3" max="3"/>
    <col width="28.42578125" bestFit="1" customWidth="1" style="8" min="4" max="4"/>
    <col width="21.42578125" customWidth="1" style="8" min="5" max="5"/>
    <col width="35.5703125" customWidth="1" style="8" min="6" max="7"/>
    <col width="8.7109375" customWidth="1" style="8" min="8" max="27"/>
    <col width="8.7109375" customWidth="1" style="8" min="28" max="16384"/>
  </cols>
  <sheetData>
    <row r="1" ht="30" customHeight="1" s="480">
      <c r="A1" s="329" t="inlineStr">
        <is>
          <t>FUNC ID</t>
        </is>
      </c>
      <c r="B1" s="329" t="inlineStr">
        <is>
          <t>DESCRIZIONE FUNZIONE</t>
        </is>
      </c>
      <c r="C1" s="436" t="inlineStr">
        <is>
          <t>DOC
CARTELLA</t>
        </is>
      </c>
      <c r="D1" s="436" t="inlineStr">
        <is>
          <t>DOC ID</t>
        </is>
      </c>
      <c r="E1" s="436" t="inlineStr">
        <is>
          <t>Info DOC</t>
        </is>
      </c>
      <c r="F1" s="330" t="inlineStr">
        <is>
          <t>VZI_Base</t>
        </is>
      </c>
      <c r="G1" s="330" t="inlineStr">
        <is>
          <t>VZI_New14</t>
        </is>
      </c>
    </row>
    <row r="2">
      <c r="A2" s="418" t="inlineStr">
        <is>
          <t>xxx</t>
        </is>
      </c>
      <c r="B2" s="418" t="inlineStr">
        <is>
          <t>xxx</t>
        </is>
      </c>
      <c r="C2" s="179" t="n"/>
      <c r="D2" s="419" t="n"/>
      <c r="E2" s="349" t="n"/>
      <c r="F2" s="350" t="n"/>
      <c r="G2" s="350" t="n"/>
    </row>
    <row r="3">
      <c r="A3" s="62" t="n"/>
      <c r="B3" s="86" t="n"/>
      <c r="C3" s="338" t="inlineStr">
        <is>
          <t>CONFIG</t>
        </is>
      </c>
      <c r="D3" s="338" t="inlineStr">
        <is>
          <t>FS_DM1</t>
        </is>
      </c>
      <c r="E3" s="339" t="inlineStr">
        <is>
          <t>Link</t>
        </is>
      </c>
      <c r="F3" s="340">
        <f t="array" ref="F3">HYPERLINK(CONCATENATE(Cartelle!$D$5,F$1,"/",$C3,"/",MID($D3,1,FIND("_",$D3)-1),"/",INDIRECT(CONCATENATE("'" &amp; $C3 &amp; "'!",ADDRESS(MATCH($D3, INDIRECT("'" &amp; $C3 &amp; "'!$B:$B"), 0),MATCH(F$1, INDIRECT("'" &amp; $C3 &amp; "'!$1:$1"), 0)))),".pdf#page=",F4),CONCATENATE("#Sharepoint//",$D3))</f>
        <v/>
      </c>
      <c r="G3" s="340" t="n"/>
    </row>
    <row r="4" ht="45" customHeight="1" s="480">
      <c r="A4" s="59" t="inlineStr">
        <is>
          <t>Nel foglio indicato in Cx nella colonna B, cerca la riga corrispondente al DOC ID indicato in Dx</t>
        </is>
      </c>
      <c r="B4" s="9">
        <f>MATCH($D3, INDIRECT("'" &amp; $C3 &amp; "'!$B:$B"), 0)</f>
        <v/>
      </c>
      <c r="C4" s="338" t="inlineStr">
        <is>
          <t>CONFIG</t>
        </is>
      </c>
      <c r="D4" s="338" t="inlineStr">
        <is>
          <t>FS_DM1</t>
        </is>
      </c>
      <c r="E4" s="339" t="inlineStr">
        <is>
          <t>Link</t>
        </is>
      </c>
      <c r="F4" s="8" t="n">
        <v>1</v>
      </c>
    </row>
    <row r="5" ht="45" customHeight="1" s="480">
      <c r="A5" s="59" t="inlineStr">
        <is>
          <t>Nel foglio CONFIG riga 1, cerca la colonna corrispondente alla flotta indicata da F1</t>
        </is>
      </c>
      <c r="B5" s="9">
        <f>MATCH(F$1,INDIRECT("'"&amp;$C3&amp;"'!$1:$1"),0)</f>
        <v/>
      </c>
      <c r="C5" s="338" t="inlineStr">
        <is>
          <t>CONFIG</t>
        </is>
      </c>
      <c r="D5" s="338" t="inlineStr">
        <is>
          <t>FS_DM1</t>
        </is>
      </c>
      <c r="E5" s="339" t="inlineStr">
        <is>
          <t>Link</t>
        </is>
      </c>
    </row>
    <row r="6" ht="45" customHeight="1" s="480">
      <c r="A6" s="59" t="inlineStr">
        <is>
          <t>Restituisci la posizione della cella corrispondente a riga/colonna sopra identificati</t>
        </is>
      </c>
      <c r="B6" s="9">
        <f>ADDRESS(MATCH($D3,INDIRECT("'"&amp;$C3&amp;"'!$B:$B"),0),MATCH(F$1,INDIRECT("'"&amp;$C3&amp;"'!$1:$1"),0))</f>
        <v/>
      </c>
      <c r="C6" s="338" t="inlineStr">
        <is>
          <t>CONFIG</t>
        </is>
      </c>
      <c r="D6" s="338" t="inlineStr">
        <is>
          <t>FS_DM1</t>
        </is>
      </c>
      <c r="E6" s="339" t="inlineStr">
        <is>
          <t>Link</t>
        </is>
      </c>
    </row>
    <row r="7" ht="30" customHeight="1" s="480">
      <c r="A7" s="59" t="inlineStr">
        <is>
          <t>Alla posizione della cella, concatena il nome del foglio recuperato in Cx</t>
        </is>
      </c>
      <c r="B7" s="9">
        <f>CONCATENATE("'" &amp; $C3 &amp; "'!",ADDRESS(MATCH($D3, INDIRECT("'" &amp; $C3 &amp; "'!$B:$B"), 0),MATCH(F$1, INDIRECT("'" &amp; $C3 &amp; "'!$1:$1"), 0)))</f>
        <v/>
      </c>
      <c r="C7" s="338" t="inlineStr">
        <is>
          <t>CONFIG</t>
        </is>
      </c>
      <c r="D7" s="338" t="inlineStr">
        <is>
          <t>FS_DM1</t>
        </is>
      </c>
      <c r="E7" s="339" t="inlineStr">
        <is>
          <t>Link</t>
        </is>
      </c>
    </row>
    <row r="8" ht="60" customHeight="1" s="480">
      <c r="A8" s="59" t="inlineStr">
        <is>
          <t>Recupera il contenuto del foglio/cella indicato nell'indirizzo sopra, il quale corrisponde al nome del file archiviato</t>
        </is>
      </c>
      <c r="B8" s="214">
        <f t="array" ref="B8">INDIRECT(CONCATENATE("'"&amp;$C3&amp;"'!",ADDRESS(MATCH($D3,INDIRECT("'"&amp;$C3&amp;"'!$B:$B"),0),MATCH(F$1,INDIRECT("'"&amp;$C3&amp;"'!$1:$1"),0))))</f>
        <v/>
      </c>
      <c r="C8" s="338" t="inlineStr">
        <is>
          <t>CONFIG</t>
        </is>
      </c>
      <c r="D8" s="338" t="inlineStr">
        <is>
          <t>FS_DM1</t>
        </is>
      </c>
      <c r="E8" s="339" t="inlineStr">
        <is>
          <t>Link</t>
        </is>
      </c>
    </row>
    <row r="9" ht="60" customHeight="1" s="480">
      <c r="A9" s="59" t="inlineStr">
        <is>
          <t>Recupera il prefisso del DOC ID posto prima del carattere "_", al quale corrisponde la sottocartella di archiviazione</t>
        </is>
      </c>
      <c r="B9" s="214">
        <f>MID($D3,1,FIND("_",$D3)-1)</f>
        <v/>
      </c>
      <c r="C9" s="338" t="inlineStr">
        <is>
          <t>CONFIG</t>
        </is>
      </c>
      <c r="D9" s="338" t="inlineStr">
        <is>
          <t>FS_DM1</t>
        </is>
      </c>
      <c r="E9" s="339" t="inlineStr">
        <is>
          <t>Link</t>
        </is>
      </c>
    </row>
    <row r="10" ht="165" customHeight="1" s="480">
      <c r="A10" s="59" t="inlineStr">
        <is>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is>
      </c>
      <c r="B10" s="215">
        <f t="array" ref="B10">CONCATENATE(Cartelle!$D$5,F$1,"/",$C3,"/",MID($D3,1,FIND("_",$D3)-1),"/",INDIRECT(CONCATENATE("'" &amp; $C3 &amp; "'!",ADDRESS(MATCH($D3, INDIRECT("'" &amp; $C3 &amp; "'!$B:$B"), 0),MATCH(F$1, INDIRECT("'" &amp; $C3 &amp; "'!$1:$1"), 0)))),".pdf#page=",F4)</f>
        <v/>
      </c>
      <c r="C10" s="338" t="inlineStr">
        <is>
          <t>CONFIG</t>
        </is>
      </c>
      <c r="D10" s="338" t="inlineStr">
        <is>
          <t>FS_DM1</t>
        </is>
      </c>
      <c r="E10" s="339" t="inlineStr">
        <is>
          <t>Link</t>
        </is>
      </c>
    </row>
    <row r="11">
      <c r="B11" s="59" t="n"/>
      <c r="C11" s="217" t="n"/>
      <c r="D11" s="217" t="n"/>
      <c r="E11" s="218" t="n"/>
    </row>
    <row r="12" ht="45" customHeight="1" s="480">
      <c r="A12" s="59" t="inlineStr">
        <is>
          <t>recupero del formato del file dal foglio indicato in Cx, alla riga indicata del DOC ID e colonna 3</t>
        </is>
      </c>
      <c r="B12" s="216">
        <f t="array" ref="B12">INDIRECT(CONCATENATE("'"&amp;$C7&amp;"'!",ADDRESS(MATCH($D3,INDIRECT("'"&amp;$C3&amp;"'!$B:$B"),0),3)))</f>
        <v/>
      </c>
      <c r="C12" s="338" t="inlineStr">
        <is>
          <t>CONFIG</t>
        </is>
      </c>
      <c r="D12" s="338" t="inlineStr">
        <is>
          <t>FS_DM1</t>
        </is>
      </c>
      <c r="E12" s="339" t="inlineStr">
        <is>
          <t>Link</t>
        </is>
      </c>
      <c r="F12" s="340">
        <f t="array" ref="F12">HYPERLINK(CONCATENATE(Cartelle!$D$5,F$1,"/",$C12,"/",MID($D12,1,FIND("_",$D12)-1),"/",INDIRECT(CONCATENATE("'" &amp; $C12 &amp; "'!",ADDRESS(MATCH($D12, INDIRECT("'" &amp; $C12 &amp; "'!$B:$B"), 0),MATCH(F$1, INDIRECT("'" &amp; $C12 &amp; "'!$1:$1"), 0)))),".",INDIRECT(CONCATENATE("'"&amp;$C12&amp;"'!",ADDRESS(MATCH($D12,INDIRECT("'"&amp;$C12&amp;"'!$B:$B"),0),3))),"#page=",F13),CONCATENATE("#Sharepoint//",$D12))</f>
        <v/>
      </c>
    </row>
    <row r="13" ht="60" customHeight="1" s="480">
      <c r="A13" s="59" t="inlineStr">
        <is>
          <t>crea l'indirizzo come sopra, inserendo anche la parte di recupero di estensione del file</t>
        </is>
      </c>
      <c r="B13" s="215">
        <f t="array" ref="B13">CONCATENATE(Cartelle!$D$5,F$1,"/",$C12,"/",MID($D12,1,FIND("_",$D12)-1),"/",INDIRECT(CONCATENATE("'" &amp; $C12 &amp; "'!",ADDRESS(MATCH($D12, INDIRECT("'" &amp; $C12 &amp; "'!$B:$B"), 0),MATCH(F$1, INDIRECT("'" &amp; $C12 &amp; "'!$1:$1"), 0)))),".",INDIRECT(CONCATENATE("'"&amp;$C12&amp;"'!",ADDRESS(MATCH($D12,INDIRECT("'"&amp;$C12&amp;"'!$B:$B"),0),3))),"#page=",F13)</f>
        <v/>
      </c>
      <c r="F13" s="8" t="n">
        <v>10</v>
      </c>
    </row>
    <row r="14" ht="30" customHeight="1" s="480">
      <c r="A14" s="219" t="inlineStr">
        <is>
          <t>prova link con DOC Type &lt;&gt; pdf</t>
        </is>
      </c>
      <c r="B14" s="220" t="n"/>
      <c r="C14" s="338" t="inlineStr">
        <is>
          <t>DIAGNOSTIC</t>
        </is>
      </c>
      <c r="D14" s="338" t="inlineStr">
        <is>
          <t>AD_Flotte</t>
        </is>
      </c>
      <c r="E14" s="339" t="inlineStr">
        <is>
          <t>Link</t>
        </is>
      </c>
      <c r="F14" s="340">
        <f t="array" ref="F14">HYPERLINK(CONCATENATE(Cartelle!$D$5,F$1,"/",$C14,"/",MID($D14,1,FIND("_",$D14)-1),"/",INDIRECT(CONCATENATE("'" &amp; $C14 &amp; "'!",ADDRESS(MATCH($D14, INDIRECT("'" &amp; $C14 &amp; "'!$B:$B"), 0),MATCH(F$1, INDIRECT("'" &amp; $C14 &amp; "'!$1:$1"), 0)))),".",INDIRECT(CONCATENATE("'"&amp;$C14&amp;"'!",ADDRESS(MATCH($D14,INDIRECT("'"&amp;$C14&amp;"'!$B:$B"),0),3))),"#page=",F15),CONCATENATE("#Sharepoint//",$D14))</f>
        <v/>
      </c>
    </row>
    <row r="15">
      <c r="F15" s="8" t="n">
        <v>1</v>
      </c>
    </row>
    <row r="17" ht="30" customHeight="1" s="480">
      <c r="A17" s="219" t="inlineStr">
        <is>
          <t>prova link con DOC Type &lt;&gt; pdf</t>
        </is>
      </c>
      <c r="B17" s="220" t="n"/>
      <c r="C17" s="338" t="inlineStr">
        <is>
          <t>DIAGNOSTIC</t>
        </is>
      </c>
      <c r="D17" s="338" t="inlineStr">
        <is>
          <t>AD_Flotte</t>
        </is>
      </c>
      <c r="E17" s="339" t="inlineStr">
        <is>
          <t>Link</t>
        </is>
      </c>
      <c r="F17" s="340">
        <f t="array" ref="F17">HYPERLINK(CONCATENATE(Cartelle!$D$5,F$1,"/",$C17,"/",MID($D17,1,FIND("_",$D17)-1),"/",INDIRECT(CONCATENATE("'" &amp; $C17 &amp; "'!",ADDRESS(MATCH($D17, INDIRECT("'" &amp; $C17 &amp; "'!$B:$B"), 0),MATCH(F$1, INDIRECT("'" &amp; $C17 &amp; "'!$1:$1"), 0)))),".",INDIRECT(CONCATENATE("'"&amp;$C17&amp;"'!",ADDRESS(MATCH($D17,INDIRECT("'"&amp;$C17&amp;"'!$B:$B"),0),3))),"#page=",F18),CONCATENATE("#Sharepoint//",$D17))</f>
        <v/>
      </c>
    </row>
    <row r="18">
      <c r="F18" s="8" t="n">
        <v>1</v>
      </c>
    </row>
    <row r="19">
      <c r="A19" s="418" t="inlineStr">
        <is>
          <t>xxx</t>
        </is>
      </c>
      <c r="B19" s="418" t="inlineStr">
        <is>
          <t>xxx</t>
        </is>
      </c>
      <c r="C19" s="179" t="n"/>
      <c r="D19" s="419" t="n"/>
      <c r="E19" s="349" t="n"/>
      <c r="F19" s="350" t="n"/>
      <c r="G19" s="350" t="n"/>
    </row>
    <row r="20" ht="30" customHeight="1" s="480">
      <c r="A20" s="62" t="inlineStr">
        <is>
          <t>parte iniziale - posizione cella foglio/flotta</t>
        </is>
      </c>
      <c r="B20" s="86">
        <f>ADDRESS(MATCH($D20, INDIRECT("'" &amp; $C20 &amp; "'!$B:$B"), 0),MATCH(G$1, INDIRECT("'" &amp; $C20 &amp; "'!$1:$1"), 0))</f>
        <v/>
      </c>
      <c r="C20" s="338" t="inlineStr">
        <is>
          <t>CONFIG</t>
        </is>
      </c>
      <c r="D20" s="338" t="inlineStr">
        <is>
          <t>FS_DM1</t>
        </is>
      </c>
      <c r="E20" s="339" t="inlineStr">
        <is>
          <t>Link</t>
        </is>
      </c>
      <c r="F20" s="340" t="n"/>
      <c r="G20" s="340">
        <f t="array" ref="G20">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
      </c>
    </row>
    <row r="21">
      <c r="A21" s="59" t="inlineStr">
        <is>
          <t>Recupera il contenuto del foglio/cella</t>
        </is>
      </c>
      <c r="B21" s="9">
        <f t="array" ref="B21">INDIRECT(CONCATENATE("'" &amp; $C20 &amp; "'!",ADDRESS(MATCH($D20, INDIRECT("'" &amp; $C20 &amp; "'!$B:$B"), 0),MATCH(G$1, INDIRECT("'" &amp; $C20 &amp; "'!$1:$1"), 0))))</f>
        <v/>
      </c>
      <c r="C21" s="338" t="inlineStr">
        <is>
          <t>CONFIG</t>
        </is>
      </c>
      <c r="D21" s="338" t="inlineStr">
        <is>
          <t>FRS_Diagnostics</t>
        </is>
      </c>
      <c r="E21" s="339" t="inlineStr">
        <is>
          <t>Link</t>
        </is>
      </c>
      <c r="F21" s="8" t="n">
        <v>1</v>
      </c>
    </row>
    <row r="22">
      <c r="B22" s="9">
        <f t="array" ref="B22">INDIRECT(CONCATENATE("'"&amp;$C20&amp;"'!",MATCH($D20,INDIRECT("'"&amp;$C20&amp;"'!$B:$B"),0),":",MATCH($D20,INDIRECT("'"&amp;$C20&amp;"'!$B:$B"),0)))</f>
        <v/>
      </c>
      <c r="C22" s="338" t="inlineStr">
        <is>
          <t>CONFIG</t>
        </is>
      </c>
      <c r="D22" s="338" t="inlineStr">
        <is>
          <t>FRS_Diagnostics</t>
        </is>
      </c>
      <c r="E22" s="339" t="inlineStr">
        <is>
          <t>Link</t>
        </is>
      </c>
    </row>
    <row r="23">
      <c r="B23" s="9">
        <f t="array" ref="B23">MATCH(INDIRECT(CONCATENATE("'"&amp;$C20&amp;"'!",ADDRESS(MATCH($D20,INDIRECT("'"&amp;$C20&amp;"'!$B:$B"),0),MATCH(G$1,INDIRECT("'"&amp;$C20&amp;"'!$1:$1"),0)))),INDIRECT(CONCATENATE("'"&amp;$C20&amp;"'!",MATCH($D20,INDIRECT("'"&amp;$C20&amp;"'!$B:$B"),0),":",MATCH($D20,INDIRECT("'"&amp;$C20&amp;"'!$B:$B"),0))))</f>
        <v/>
      </c>
      <c r="C23" s="338" t="inlineStr">
        <is>
          <t>CONFIG</t>
        </is>
      </c>
      <c r="D23" s="338" t="inlineStr">
        <is>
          <t>FRS_Diagnostics</t>
        </is>
      </c>
      <c r="E23" s="339" t="inlineStr">
        <is>
          <t>Link</t>
        </is>
      </c>
    </row>
    <row r="24">
      <c r="B24" s="8">
        <f t="array" ref="B24">INDEX(INDIRECT("'" &amp; $C20 &amp; "'!$1:$1"), 1, MATCH(INDIRECT(CONCATENATE("'" &amp; $C20 &amp; "'!",ADDRESS(MATCH($D20, INDIRECT("'" &amp; $C20 &amp; "'!$B:$B"), 0),MATCH(G$1, INDIRECT("'" &amp; $C20 &amp; "'!$1:$1"), 0)))),INDIRECT(CONCATENATE("'" &amp; $C20 &amp; "'!",MATCH($D20, INDIRECT("'" &amp; $C20 &amp; "'!$B:$B"), 0),":",MATCH($D20, INDIRECT("'" &amp; $C20 &amp; "'!$B:$B"), 0))),0))</f>
        <v/>
      </c>
    </row>
    <row r="28" collapsed="1" customFormat="1" s="59">
      <c r="A28" s="86" t="n"/>
      <c r="B28" s="338" t="inlineStr">
        <is>
          <t>MAN_CPR</t>
        </is>
      </c>
      <c r="C28" s="332" t="inlineStr">
        <is>
          <t>PBC_01A</t>
        </is>
      </c>
      <c r="D28" s="344" t="inlineStr">
        <is>
          <t>Link</t>
        </is>
      </c>
      <c r="E28" s="340">
        <f t="array" ref="E28">HYPERLINK(CONCATENATE(Cartelle!$D$5,E$1,"/",$B28,"/",MID($C28,1,FIND("_",$C28)-1),"/",INDIRECT(CONCATENATE("'" &amp; $B28 &amp; "'!",ADDRESS(MATCH($C28, INDIRECT("'" &amp; $B28 &amp; "'!$B:$B"), 0),MATCH(E$1, INDIRECT("'" &amp; $B28 &amp; "'!$1:$1"), 0)))),".pdf#page=",E29),CONCATENATE("#Sharepoint//",$C28))</f>
        <v/>
      </c>
      <c r="F28" s="340">
        <f t="array" ref="F28">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
      </c>
      <c r="G28" s="338" t="n"/>
    </row>
    <row r="29" hidden="1" customFormat="1" s="59">
      <c r="A29" s="86" t="n"/>
      <c r="B29" s="62" t="n"/>
      <c r="C29" s="345" t="n"/>
      <c r="D29" s="218" t="inlineStr">
        <is>
          <t>Rif. Pagina</t>
        </is>
      </c>
      <c r="E29" s="217" t="n">
        <v>1</v>
      </c>
      <c r="F29" s="217" t="n">
        <v>1</v>
      </c>
      <c r="G29" s="217" t="n"/>
    </row>
    <row r="30" hidden="1" customFormat="1" s="59">
      <c r="A30" s="86" t="n"/>
      <c r="B30" s="62" t="n"/>
      <c r="C30" s="346" t="n"/>
      <c r="D30" s="343" t="inlineStr">
        <is>
          <t>Descrizione</t>
        </is>
      </c>
      <c r="E30" s="217" t="n"/>
      <c r="F30" s="217" t="n"/>
      <c r="G30" s="217" t="n"/>
    </row>
    <row r="31" collapsed="1" customFormat="1" s="59">
      <c r="A31" s="86" t="n"/>
      <c r="B31" s="338" t="inlineStr">
        <is>
          <t>GENERAL</t>
        </is>
      </c>
      <c r="C31" s="332" t="inlineStr">
        <is>
          <t>AD_Regole</t>
        </is>
      </c>
      <c r="D31" s="344" t="inlineStr">
        <is>
          <t>TBD</t>
        </is>
      </c>
      <c r="E31" s="338" t="n"/>
      <c r="F31" s="338" t="n"/>
      <c r="G31" s="338" t="n"/>
    </row>
  </sheetData>
  <pageMargins left="0.7" right="0.7" top="0.75" bottom="0.75" header="0.3" footer="0.3"/>
</worksheet>
</file>

<file path=xl/worksheets/sheet14.xml><?xml version="1.0" encoding="utf-8"?>
<worksheet xmlns="http://schemas.openxmlformats.org/spreadsheetml/2006/main">
  <sheetPr codeName="Foglio10">
    <outlinePr summaryBelow="1" summaryRight="1"/>
    <pageSetUpPr/>
  </sheetPr>
  <dimension ref="B2:I17"/>
  <sheetViews>
    <sheetView workbookViewId="0">
      <selection activeCell="F28" sqref="F28"/>
    </sheetView>
  </sheetViews>
  <sheetFormatPr baseColWidth="8" defaultRowHeight="15"/>
  <cols>
    <col width="41.85546875" customWidth="1" style="480" min="2" max="2"/>
    <col width="6.140625" bestFit="1" customWidth="1" style="480" min="7" max="7"/>
  </cols>
  <sheetData>
    <row r="1" ht="15.75" customHeight="1" s="480" thickBot="1"/>
    <row r="2" ht="15.75" customHeight="1" s="480" thickBot="1">
      <c r="C2" s="1" t="inlineStr">
        <is>
          <t>VZI-50</t>
        </is>
      </c>
      <c r="D2" s="1" t="inlineStr">
        <is>
          <t>VZI-51-58</t>
        </is>
      </c>
      <c r="E2" s="1" t="inlineStr">
        <is>
          <t>VZI-6</t>
        </is>
      </c>
      <c r="F2" s="1" t="inlineStr">
        <is>
          <t>VZI-4</t>
        </is>
      </c>
      <c r="G2" s="1" t="inlineStr">
        <is>
          <t>VZ-FR</t>
        </is>
      </c>
      <c r="H2" s="1" t="inlineStr">
        <is>
          <t>VZ-ES</t>
        </is>
      </c>
      <c r="I2" s="464" t="inlineStr">
        <is>
          <t>VZ-DAI</t>
        </is>
      </c>
    </row>
    <row r="3" ht="15.75" customHeight="1" s="480" thickBot="1">
      <c r="B3" s="1" t="inlineStr">
        <is>
          <t xml:space="preserve">IPA (Indicazione Porte Aperte) </t>
        </is>
      </c>
      <c r="C3" s="5" t="n"/>
      <c r="D3" s="254" t="inlineStr">
        <is>
          <t>SI</t>
        </is>
      </c>
      <c r="E3" s="254" t="inlineStr">
        <is>
          <t>SI</t>
        </is>
      </c>
      <c r="F3" s="254" t="inlineStr">
        <is>
          <t>SI</t>
        </is>
      </c>
      <c r="G3" s="254" t="n"/>
      <c r="H3" s="254" t="inlineStr">
        <is>
          <t>SI</t>
        </is>
      </c>
      <c r="I3" s="254" t="inlineStr">
        <is>
          <t>SI</t>
        </is>
      </c>
    </row>
    <row r="4" ht="30.75" customHeight="1" s="480" thickBot="1">
      <c r="B4" s="3" t="inlineStr">
        <is>
          <t>BY-PASS ALLARME APPLICAZIONE PARKING
BRAKE IN MOVIMENTO</t>
        </is>
      </c>
      <c r="C4" s="236" t="n"/>
      <c r="D4" s="233" t="inlineStr">
        <is>
          <t>SI</t>
        </is>
      </c>
      <c r="E4" s="233" t="inlineStr">
        <is>
          <t>SI</t>
        </is>
      </c>
      <c r="F4" s="233" t="inlineStr">
        <is>
          <t>SI</t>
        </is>
      </c>
      <c r="G4" s="233" t="n"/>
      <c r="H4" s="233" t="inlineStr">
        <is>
          <t>SI</t>
        </is>
      </c>
      <c r="I4" s="233" t="inlineStr">
        <is>
          <t>SI</t>
        </is>
      </c>
    </row>
    <row r="5" ht="15.75" customHeight="1" s="480" thickBot="1">
      <c r="B5" s="1" t="inlineStr">
        <is>
          <t>RIDONDANZA LOOP DNRA-BMS</t>
        </is>
      </c>
      <c r="C5" s="236" t="n"/>
      <c r="D5" s="233" t="inlineStr">
        <is>
          <t>SI</t>
        </is>
      </c>
      <c r="E5" s="233" t="inlineStr">
        <is>
          <t>SI</t>
        </is>
      </c>
      <c r="F5" s="233" t="inlineStr">
        <is>
          <t>SI</t>
        </is>
      </c>
      <c r="G5" s="233" t="n"/>
      <c r="H5" s="233" t="inlineStr">
        <is>
          <t>SI</t>
        </is>
      </c>
      <c r="I5" s="233" t="inlineStr">
        <is>
          <t>SI</t>
        </is>
      </c>
    </row>
    <row r="6" ht="15.75" customHeight="1" s="480" thickBot="1">
      <c r="B6" s="1" t="inlineStr">
        <is>
          <t>INTERRUTTORI 220V SPOSTATI INTERNO CASSA</t>
        </is>
      </c>
      <c r="C6" s="236" t="n"/>
      <c r="D6" s="233" t="inlineStr">
        <is>
          <t>SI</t>
        </is>
      </c>
      <c r="E6" s="233" t="inlineStr">
        <is>
          <t>SI</t>
        </is>
      </c>
      <c r="F6" s="233" t="inlineStr">
        <is>
          <t>SI</t>
        </is>
      </c>
      <c r="G6" s="233" t="n"/>
      <c r="H6" s="233" t="inlineStr">
        <is>
          <t>SI</t>
        </is>
      </c>
      <c r="I6" s="233" t="inlineStr">
        <is>
          <t>SI</t>
        </is>
      </c>
    </row>
    <row r="7" ht="15.75" customHeight="1" s="480" thickBot="1">
      <c r="B7" s="1" t="inlineStr">
        <is>
          <t>COMPRESSORE ARIA (?)</t>
        </is>
      </c>
      <c r="C7" s="236" t="n"/>
      <c r="D7" s="233" t="n"/>
      <c r="E7" s="233" t="n"/>
      <c r="F7" s="233" t="n"/>
      <c r="G7" s="233" t="n"/>
      <c r="H7" s="233" t="n"/>
      <c r="I7" s="233" t="n"/>
    </row>
    <row r="8" ht="15.75" customHeight="1" s="480" thickBot="1">
      <c r="B8" s="1" t="inlineStr">
        <is>
          <t>BY-PASS ADD PER MARCIA SOCCORSO</t>
        </is>
      </c>
      <c r="C8" s="236" t="n"/>
      <c r="D8" s="233" t="inlineStr">
        <is>
          <t>SI</t>
        </is>
      </c>
      <c r="E8" s="233" t="inlineStr">
        <is>
          <t>SI</t>
        </is>
      </c>
      <c r="F8" s="233" t="inlineStr">
        <is>
          <t>SI</t>
        </is>
      </c>
      <c r="G8" s="233" t="n"/>
      <c r="H8" s="233" t="inlineStr">
        <is>
          <t>SI</t>
        </is>
      </c>
      <c r="I8" s="233" t="inlineStr">
        <is>
          <t>SI</t>
        </is>
      </c>
    </row>
    <row r="9" ht="15.75" customHeight="1" s="480" thickBot="1">
      <c r="B9" s="1" t="inlineStr">
        <is>
          <t>ARREDI TOILET BAR BISTROT</t>
        </is>
      </c>
      <c r="C9" s="236" t="n"/>
      <c r="D9" s="233" t="n"/>
      <c r="E9" s="233" t="n"/>
      <c r="F9" s="233" t="n"/>
      <c r="G9" s="233" t="n"/>
      <c r="H9" s="233" t="n"/>
      <c r="I9" s="233" t="n"/>
    </row>
    <row r="10" ht="45.75" customHeight="1" s="480" thickBot="1">
      <c r="B10" s="3" t="inlineStr">
        <is>
          <t>COMANDO DISACCOPPIAMENTO AUTOMATICO 
TESTE ELETTRICHE</t>
        </is>
      </c>
      <c r="C10" s="236" t="n"/>
      <c r="D10" s="233" t="inlineStr">
        <is>
          <t>SI</t>
        </is>
      </c>
      <c r="E10" s="233" t="inlineStr">
        <is>
          <t>SI</t>
        </is>
      </c>
      <c r="F10" s="233" t="inlineStr">
        <is>
          <t>SI</t>
        </is>
      </c>
      <c r="G10" s="233" t="n"/>
      <c r="H10" s="233" t="inlineStr">
        <is>
          <t>SI</t>
        </is>
      </c>
      <c r="I10" s="233" t="inlineStr">
        <is>
          <t>SI</t>
        </is>
      </c>
    </row>
    <row r="11" ht="15.75" customHeight="1" s="480" thickBot="1">
      <c r="B11" s="1" t="inlineStr">
        <is>
          <t>PANTOGRAFI</t>
        </is>
      </c>
      <c r="C11" s="236" t="n"/>
      <c r="D11" s="233" t="n"/>
      <c r="E11" s="233" t="n"/>
      <c r="F11" s="233" t="n"/>
      <c r="G11" s="233" t="n"/>
      <c r="H11" s="233" t="n"/>
      <c r="I11" s="233" t="n"/>
    </row>
    <row r="12" ht="15.75" customHeight="1" s="480" thickBot="1">
      <c r="B12" s="1" t="inlineStr">
        <is>
          <t>PIANO DI MANUTENZIONE</t>
        </is>
      </c>
      <c r="C12" s="298" t="n"/>
      <c r="D12" s="165" t="n"/>
      <c r="E12" s="165" t="n"/>
      <c r="F12" s="165" t="n"/>
      <c r="G12" s="165" t="n"/>
      <c r="H12" s="165" t="n"/>
      <c r="I12" s="165" t="n"/>
    </row>
    <row r="13" ht="15.75" customHeight="1" s="480" thickBot="1">
      <c r="B13" s="1" t="inlineStr">
        <is>
          <t>BL SSB</t>
        </is>
      </c>
      <c r="C13" s="298" t="n"/>
      <c r="D13" s="165" t="n"/>
      <c r="E13" s="165" t="n"/>
      <c r="F13" s="165" t="n"/>
      <c r="G13" s="165" t="n"/>
      <c r="H13" s="165" t="n"/>
      <c r="I13" s="165" t="n"/>
    </row>
    <row r="14" ht="15.75" customHeight="1" s="480" thickBot="1">
      <c r="B14" s="506" t="inlineStr">
        <is>
          <t>BL DIS</t>
        </is>
      </c>
      <c r="C14" s="298" t="n"/>
      <c r="D14" s="165" t="n"/>
      <c r="E14" s="165" t="n"/>
      <c r="F14" s="165" t="n"/>
      <c r="G14" s="165" t="n"/>
      <c r="H14" s="165" t="n"/>
      <c r="I14" s="165" t="n"/>
    </row>
    <row r="15" ht="15.75" customHeight="1" s="480" thickBot="1">
      <c r="B15" s="1" t="inlineStr">
        <is>
          <t>ETCS HD (HW)</t>
        </is>
      </c>
      <c r="C15" s="298" t="n"/>
      <c r="D15" s="165" t="n"/>
      <c r="E15" s="165" t="n"/>
      <c r="F15" s="165" t="n"/>
      <c r="G15" s="165" t="n"/>
      <c r="H15" s="165" t="n"/>
      <c r="I15" s="165" t="n"/>
    </row>
    <row r="16" ht="15.75" customHeight="1" s="480" thickBot="1">
      <c r="B16" s="1" t="inlineStr">
        <is>
          <t xml:space="preserve">ANTINCENDIO </t>
        </is>
      </c>
      <c r="C16" s="298" t="n"/>
      <c r="D16" s="165" t="n"/>
      <c r="E16" s="165" t="n"/>
      <c r="F16" s="165" t="n"/>
      <c r="G16" s="165" t="n"/>
      <c r="H16" s="165" t="n"/>
      <c r="I16" s="165" t="n"/>
    </row>
    <row r="17" ht="15.75" customHeight="1" s="480" thickBot="1">
      <c r="B17" s="6" t="inlineStr">
        <is>
          <t xml:space="preserve">LAYOUT INTERNO </t>
        </is>
      </c>
      <c r="C17" s="165" t="n"/>
      <c r="D17" s="165" t="n"/>
      <c r="E17" s="165" t="n"/>
      <c r="F17" s="165" t="n"/>
      <c r="G17" s="165" t="n"/>
      <c r="H17" s="165" t="n"/>
      <c r="I17" s="165" t="n"/>
    </row>
  </sheetData>
  <pageMargins left="0.7" right="0.7" top="0.75" bottom="0.75" header="0.3" footer="0.3"/>
  <headerFooter>
    <oddHeader/>
    <oddFooter>&amp;C&amp;"Aptos"&amp;10 &amp;K000000_x000d_# Informazione ad uso interno - Internal use information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MIRANDA SIMONA</dc:creator>
  <dcterms:created xmlns:dcterms="http://purl.org/dc/terms/" xmlns:xsi="http://www.w3.org/2001/XMLSchema-instance" xsi:type="dcterms:W3CDTF">2015-06-05T18:19:34Z</dcterms:created>
  <dcterms:modified xmlns:dcterms="http://purl.org/dc/terms/" xmlns:xsi="http://www.w3.org/2001/XMLSchema-instance" xsi:type="dcterms:W3CDTF">2026-10-13T13:06:20Z</dcterms:modified>
  <cp:lastModifiedBy>CASINI GABRIELE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0x010100713C8E1CBF8C9C478FBCA521FF5AE747</vt:lpwstr>
  </property>
  <property name="MSIP_Label_886719c9-282b-4f1b-a005-55ab1b897fee_Enabled" fmtid="{D5CDD505-2E9C-101B-9397-08002B2CF9AE}" pid="3">
    <vt:lpwstr xmlns:vt="http://schemas.openxmlformats.org/officeDocument/2006/docPropsVTypes">true</vt:lpwstr>
  </property>
  <property name="MSIP_Label_886719c9-282b-4f1b-a005-55ab1b897fee_SetDate" fmtid="{D5CDD505-2E9C-101B-9397-08002B2CF9AE}" pid="4">
    <vt:lpwstr xmlns:vt="http://schemas.openxmlformats.org/officeDocument/2006/docPropsVTypes">2025-11-06T16:11:52Z</vt:lpwstr>
  </property>
  <property name="MSIP_Label_886719c9-282b-4f1b-a005-55ab1b897fee_Method" fmtid="{D5CDD505-2E9C-101B-9397-08002B2CF9AE}" pid="5">
    <vt:lpwstr xmlns:vt="http://schemas.openxmlformats.org/officeDocument/2006/docPropsVTypes">Standard</vt:lpwstr>
  </property>
  <property name="MSIP_Label_886719c9-282b-4f1b-a005-55ab1b897fee_Name" fmtid="{D5CDD505-2E9C-101B-9397-08002B2CF9AE}" pid="6">
    <vt:lpwstr xmlns:vt="http://schemas.openxmlformats.org/officeDocument/2006/docPropsVTypes">Internal use without protection</vt:lpwstr>
  </property>
  <property name="MSIP_Label_886719c9-282b-4f1b-a005-55ab1b897fee_SiteId" fmtid="{D5CDD505-2E9C-101B-9397-08002B2CF9AE}" pid="7">
    <vt:lpwstr xmlns:vt="http://schemas.openxmlformats.org/officeDocument/2006/docPropsVTypes">4c8a6547-459a-4b75-a3dc-f66efe3e9c4e</vt:lpwstr>
  </property>
  <property name="MSIP_Label_886719c9-282b-4f1b-a005-55ab1b897fee_ActionId" fmtid="{D5CDD505-2E9C-101B-9397-08002B2CF9AE}" pid="8">
    <vt:lpwstr xmlns:vt="http://schemas.openxmlformats.org/officeDocument/2006/docPropsVTypes">b7d0f9bc-0f68-4257-8c97-866d80925a8c</vt:lpwstr>
  </property>
  <property name="MSIP_Label_886719c9-282b-4f1b-a005-55ab1b897fee_ContentBits" fmtid="{D5CDD505-2E9C-101B-9397-08002B2CF9AE}" pid="9">
    <vt:lpwstr xmlns:vt="http://schemas.openxmlformats.org/officeDocument/2006/docPropsVTypes">2</vt:lpwstr>
  </property>
  <property name="MSIP_Label_886719c9-282b-4f1b-a005-55ab1b897fee_Tag" fmtid="{D5CDD505-2E9C-101B-9397-08002B2CF9AE}" pid="10">
    <vt:lpwstr xmlns:vt="http://schemas.openxmlformats.org/officeDocument/2006/docPropsVTypes">10, 3, 0, 1</vt:lpwstr>
  </property>
  <property name="MediaServiceImageTags" fmtid="{D5CDD505-2E9C-101B-9397-08002B2CF9AE}" pid="11">
    <vt:lpwstr xmlns:vt="http://schemas.openxmlformats.org/officeDocument/2006/docPropsVTypes"/>
  </property>
</Properties>
</file>