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10" yWindow="-110" windowWidth="19420" windowHeight="10420" tabRatio="600" firstSheet="8" activeTab="8" autoFilterDateGrouping="1"/>
  </bookViews>
  <sheets>
    <sheet xmlns:r="http://schemas.openxmlformats.org/officeDocument/2006/relationships" name="Issue" sheetId="1" state="visible" r:id="rId1"/>
    <sheet xmlns:r="http://schemas.openxmlformats.org/officeDocument/2006/relationships" name="ToDo" sheetId="2" state="visible" r:id="rId2"/>
    <sheet xmlns:r="http://schemas.openxmlformats.org/officeDocument/2006/relationships" name="Cartelle" sheetId="3" state="visible" r:id="rId3"/>
    <sheet xmlns:r="http://schemas.openxmlformats.org/officeDocument/2006/relationships" name="Flotte" sheetId="4" state="visible" r:id="rId4"/>
    <sheet xmlns:r="http://schemas.openxmlformats.org/officeDocument/2006/relationships" name="CONFIG" sheetId="5" state="visible" r:id="rId5"/>
    <sheet xmlns:r="http://schemas.openxmlformats.org/officeDocument/2006/relationships" name="GENERAL" sheetId="6" state="visible" r:id="rId6"/>
    <sheet xmlns:r="http://schemas.openxmlformats.org/officeDocument/2006/relationships" name="MAN_CPR" sheetId="7" state="visible" r:id="rId7"/>
    <sheet xmlns:r="http://schemas.openxmlformats.org/officeDocument/2006/relationships" name="DIAGNOSTIC" sheetId="8" state="visible" r:id="rId8"/>
    <sheet xmlns:r="http://schemas.openxmlformats.org/officeDocument/2006/relationships" name="Funzioni" sheetId="9" state="visible" r:id="rId9"/>
    <sheet xmlns:r="http://schemas.openxmlformats.org/officeDocument/2006/relationships" name="Requisiti" sheetId="10" state="visible" r:id="rId10"/>
    <sheet xmlns:r="http://schemas.openxmlformats.org/officeDocument/2006/relationships" name="PBS (TBD)" sheetId="11" state="visible" r:id="rId11"/>
    <sheet xmlns:r="http://schemas.openxmlformats.org/officeDocument/2006/relationships" name="Struttura" sheetId="12" state="visible" r:id="rId12"/>
    <sheet xmlns:r="http://schemas.openxmlformats.org/officeDocument/2006/relationships" name="LINK F" sheetId="13" state="visible" r:id="rId13"/>
    <sheet xmlns:r="http://schemas.openxmlformats.org/officeDocument/2006/relationships" name="Modifiche progettuali" sheetId="14" state="visible" r:id="rId14"/>
  </sheets>
  <definedNames>
    <definedName name="_xlnm._FilterDatabase" localSheetId="10" hidden="1">'PBS (TBD)'!$A$2:$J$86</definedName>
  </definedNames>
  <calcPr calcId="191028" fullCalcOnLoad="1"/>
</workbook>
</file>

<file path=xl/styles.xml><?xml version="1.0" encoding="utf-8"?>
<styleSheet xmlns="http://schemas.openxmlformats.org/spreadsheetml/2006/main">
  <numFmts count="1">
    <numFmt numFmtId="164" formatCode="[$-410]mmm\-yy;@"/>
  </numFmts>
  <fonts count="44">
    <font>
      <name val="Calibri"/>
      <family val="2"/>
      <color theme="1"/>
      <sz val="11"/>
      <scheme val="minor"/>
    </font>
    <font>
      <name val="Calibri"/>
      <family val="2"/>
      <strike val="1"/>
      <color rgb="FFFF0000"/>
      <sz val="11"/>
      <scheme val="minor"/>
    </font>
    <font>
      <name val="Calibri"/>
      <family val="2"/>
      <color theme="4"/>
      <sz val="11"/>
      <scheme val="minor"/>
    </font>
    <font>
      <name val="Calibri"/>
      <family val="2"/>
      <b val="1"/>
      <color theme="1"/>
      <sz val="11"/>
      <scheme val="minor"/>
    </font>
    <font>
      <name val="Calibri"/>
      <family val="2"/>
      <i val="1"/>
      <color theme="1"/>
      <sz val="11"/>
      <scheme val="minor"/>
    </font>
    <font>
      <name val="Calibri"/>
      <family val="2"/>
      <b val="1"/>
      <color rgb="FF0070C0"/>
      <sz val="11"/>
      <scheme val="minor"/>
    </font>
    <font>
      <name val="Calibri"/>
      <family val="2"/>
      <color theme="1"/>
      <sz val="10"/>
      <scheme val="minor"/>
    </font>
    <font>
      <name val="Calibri"/>
      <family val="2"/>
      <b val="1"/>
      <color rgb="FF0070C0"/>
      <sz val="10"/>
      <scheme val="minor"/>
    </font>
    <font>
      <name val="Calibri"/>
      <family val="2"/>
      <color theme="1"/>
      <sz val="9"/>
      <scheme val="minor"/>
    </font>
    <font>
      <name val="Calibri"/>
      <family val="2"/>
      <sz val="11"/>
      <scheme val="minor"/>
    </font>
    <font>
      <name val="Calibri"/>
      <family val="2"/>
      <b val="1"/>
      <color rgb="FFFF0000"/>
      <sz val="11"/>
      <scheme val="minor"/>
    </font>
    <font>
      <name val="Calibri"/>
      <family val="2"/>
      <color rgb="FF002060"/>
      <sz val="11"/>
      <scheme val="minor"/>
    </font>
    <font>
      <name val="Calibri"/>
      <family val="2"/>
      <color theme="1"/>
      <sz val="8"/>
      <scheme val="minor"/>
    </font>
    <font>
      <name val="Calibri"/>
      <family val="2"/>
      <b val="1"/>
      <color theme="1"/>
      <sz val="10"/>
      <scheme val="minor"/>
    </font>
    <font>
      <name val="Calibri"/>
      <family val="2"/>
      <b val="1"/>
      <color theme="1"/>
      <sz val="9"/>
      <scheme val="minor"/>
    </font>
    <font>
      <name val="Calibri"/>
      <family val="2"/>
      <color theme="10"/>
      <sz val="11"/>
      <u val="single"/>
      <scheme val="minor"/>
    </font>
    <font>
      <name val="Calibri"/>
      <family val="2"/>
      <color rgb="FFFF0000"/>
      <sz val="11"/>
      <scheme val="minor"/>
    </font>
    <font>
      <name val="Calibri"/>
      <family val="2"/>
      <color theme="4" tint="-0.249977111117893"/>
      <sz val="11"/>
      <scheme val="minor"/>
    </font>
    <font>
      <name val="Calibri"/>
      <family val="2"/>
      <b val="1"/>
      <sz val="11"/>
      <scheme val="minor"/>
    </font>
    <font>
      <name val="Calibri"/>
      <family val="2"/>
      <b val="1"/>
      <color theme="1"/>
      <sz val="11"/>
    </font>
    <font>
      <name val="Calibri"/>
      <family val="2"/>
      <b val="1"/>
      <color theme="0"/>
      <sz val="11"/>
      <scheme val="minor"/>
    </font>
    <font>
      <name val="Calibri"/>
      <family val="2"/>
      <color theme="7" tint="-0.249977111117893"/>
      <sz val="11"/>
      <scheme val="minor"/>
    </font>
    <font>
      <name val="Calibri"/>
      <family val="2"/>
      <i val="1"/>
      <color rgb="FFFF0000"/>
      <sz val="11"/>
      <scheme val="minor"/>
    </font>
    <font>
      <name val="Calibri"/>
      <family val="2"/>
      <color theme="9"/>
      <sz val="11"/>
      <scheme val="minor"/>
    </font>
    <font>
      <name val="Calibri"/>
      <color rgb="FF00AA00"/>
      <sz val="11"/>
    </font>
    <font>
      <name val="Calibri"/>
      <color rgb="FFCC0000"/>
      <sz val="11"/>
    </font>
    <font>
      <name val="Calibri"/>
      <color rgb="FF000000"/>
      <sz val="11"/>
    </font>
    <font>
      <name val="Calibri"/>
      <family val="2"/>
      <b val="1"/>
      <color theme="1"/>
      <sz val="9"/>
    </font>
    <font>
      <name val="Tahoma"/>
      <charset val="1"/>
      <color indexed="81"/>
      <sz val="9"/>
    </font>
    <font>
      <name val="Tahoma"/>
      <charset val="1"/>
      <b val="1"/>
      <color indexed="81"/>
      <sz val="9"/>
    </font>
    <font>
      <name val="Tahoma"/>
      <family val="2"/>
      <b val="1"/>
      <color indexed="81"/>
      <sz val="9"/>
    </font>
    <font>
      <name val="Tahoma"/>
      <family val="2"/>
      <color indexed="81"/>
      <sz val="9"/>
    </font>
    <font>
      <name val="Calibri"/>
      <family val="2"/>
      <sz val="8"/>
      <scheme val="minor"/>
    </font>
    <font>
      <name val="Calibri"/>
      <family val="2"/>
      <color rgb="FF00AA00"/>
      <sz val="11"/>
    </font>
    <font>
      <name val="Calibri"/>
      <family val="2"/>
      <color rgb="FF1F4E79"/>
      <sz val="11"/>
    </font>
    <font>
      <name val="Calibri"/>
      <family val="2"/>
      <b val="1"/>
      <color rgb="FF1F4E79"/>
      <sz val="11"/>
    </font>
    <font>
      <name val="Calibri"/>
      <family val="2"/>
      <b val="1"/>
      <color rgb="FF00703C"/>
      <sz val="11"/>
    </font>
    <font>
      <name val="Calibri"/>
      <family val="2"/>
      <b val="1"/>
      <color rgb="FF7030A0"/>
      <sz val="11"/>
    </font>
    <font>
      <name val="Calibri"/>
      <family val="2"/>
      <b val="1"/>
      <color rgb="FFBF8F00"/>
      <sz val="11"/>
    </font>
    <font>
      <name val="Calibri"/>
      <family val="2"/>
      <color rgb="FFBF8F00"/>
      <sz val="11"/>
    </font>
    <font>
      <color rgb="FF000000"/>
    </font>
    <font>
      <b val="1"/>
      <color rgb="FF008000"/>
    </font>
    <font>
      <color rgb="FFC00000"/>
    </font>
    <font>
      <b val="1"/>
      <color rgb="00BF8F00"/>
    </font>
  </fonts>
  <fills count="21">
    <fill>
      <patternFill/>
    </fill>
    <fill>
      <patternFill patternType="gray125"/>
    </fill>
    <fill>
      <patternFill patternType="solid">
        <fgColor theme="0" tint="-0.1499984740745262"/>
        <bgColor indexed="64"/>
      </patternFill>
    </fill>
    <fill>
      <patternFill patternType="solid">
        <fgColor theme="3" tint="0.799981688894314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4" tint="0.3999755851924192"/>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CFF"/>
        <bgColor indexed="64"/>
      </patternFill>
    </fill>
    <fill>
      <patternFill patternType="solid">
        <fgColor theme="7" tint="0.5999938962981048"/>
        <bgColor indexed="64"/>
      </patternFill>
    </fill>
    <fill>
      <patternFill patternType="solid">
        <fgColor rgb="FFA9D08E"/>
        <bgColor indexed="64"/>
      </patternFill>
    </fill>
    <fill>
      <patternFill patternType="solid">
        <fgColor rgb="FFE2EFDA"/>
        <bgColor indexed="64"/>
      </patternFill>
    </fill>
    <fill>
      <patternFill patternType="solid">
        <fgColor rgb="FF92D050"/>
        <bgColor indexed="64"/>
      </patternFill>
    </fill>
    <fill>
      <patternFill patternType="solid">
        <fgColor theme="9" tint="0.5999938962981048"/>
        <bgColor indexed="64"/>
      </patternFill>
    </fill>
    <fill>
      <patternFill patternType="solid">
        <fgColor theme="5" tint="0.7999816888943144"/>
        <bgColor indexed="64"/>
      </patternFill>
    </fill>
    <fill>
      <patternFill patternType="solid">
        <fgColor rgb="FFFFFFCC"/>
        <bgColor indexed="64"/>
      </patternFill>
    </fill>
  </fills>
  <borders count="8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style="medium">
        <color indexed="64"/>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auto="1"/>
      </top>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diagonal/>
    </border>
    <border>
      <left style="thin">
        <color indexed="64"/>
      </left>
      <right style="thin">
        <color theme="0" tint="-0.3499862666707358"/>
      </right>
      <top style="medium">
        <color indexed="64"/>
      </top>
      <bottom style="thin">
        <color indexed="64"/>
      </bottom>
      <diagonal/>
    </border>
    <border>
      <left style="thin">
        <color theme="0" tint="-0.3499862666707358"/>
      </left>
      <right style="thin">
        <color theme="0" tint="-0.3499862666707358"/>
      </right>
      <top style="medium">
        <color indexed="64"/>
      </top>
      <bottom style="thin">
        <color indexed="64"/>
      </bottom>
      <diagonal/>
    </border>
    <border>
      <left style="thin">
        <color theme="0" tint="-0.3499862666707358"/>
      </left>
      <right style="thin">
        <color indexed="64"/>
      </right>
      <top style="medium">
        <color indexed="64"/>
      </top>
      <bottom style="thin">
        <color indexed="64"/>
      </bottom>
      <diagonal/>
    </border>
    <border>
      <left style="thin">
        <color indexed="64"/>
      </left>
      <right style="thin">
        <color theme="0" tint="-0.3499862666707358"/>
      </right>
      <top/>
      <bottom style="thin">
        <color auto="1"/>
      </bottom>
      <diagonal/>
    </border>
    <border>
      <left style="thin">
        <color theme="0" tint="-0.3499862666707358"/>
      </left>
      <right style="thin">
        <color theme="0" tint="-0.3499862666707358"/>
      </right>
      <top style="thin">
        <color auto="1"/>
      </top>
      <bottom style="thin">
        <color auto="1"/>
      </bottom>
      <diagonal/>
    </border>
    <border>
      <left style="thin">
        <color theme="0" tint="-0.3499862666707358"/>
      </left>
      <right style="thin">
        <color indexed="64"/>
      </right>
      <top style="thin">
        <color auto="1"/>
      </top>
      <bottom style="thin">
        <color auto="1"/>
      </bottom>
      <diagonal/>
    </border>
    <border>
      <left style="thin">
        <color indexed="64"/>
      </left>
      <right style="thin">
        <color theme="0" tint="-0.3499862666707358"/>
      </right>
      <top style="thin">
        <color indexed="64"/>
      </top>
      <bottom style="medium">
        <color indexed="64"/>
      </bottom>
      <diagonal/>
    </border>
    <border>
      <left style="thin">
        <color theme="0" tint="-0.3499862666707358"/>
      </left>
      <right style="thin">
        <color theme="0" tint="-0.3499862666707358"/>
      </right>
      <top style="thin">
        <color indexed="64"/>
      </top>
      <bottom style="medium">
        <color indexed="64"/>
      </bottom>
      <diagonal/>
    </border>
    <border>
      <left style="thin">
        <color theme="0" tint="-0.3499862666707358"/>
      </left>
      <right style="thin">
        <color indexed="64"/>
      </right>
      <top style="thin">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top style="thin">
        <color auto="1"/>
      </top>
      <bottom/>
      <diagonal/>
    </border>
    <border>
      <left/>
      <right style="thin">
        <color indexed="64"/>
      </right>
      <top style="thin">
        <color auto="1"/>
      </top>
      <bottom/>
      <diagonal/>
    </border>
    <border>
      <left style="thin">
        <color indexed="64"/>
      </left>
      <right/>
      <top style="medium">
        <color indexed="64"/>
      </top>
      <bottom style="thin">
        <color indexed="64"/>
      </bottom>
      <diagonal/>
    </border>
    <border>
      <left/>
      <right style="thin">
        <color theme="0" tint="-0.3499862666707358"/>
      </right>
      <top style="thin">
        <color indexed="64"/>
      </top>
      <bottom style="medium">
        <color indexed="64"/>
      </bottom>
      <diagonal/>
    </border>
    <border>
      <left/>
      <right style="thin">
        <color theme="0" tint="-0.3499862666707358"/>
      </right>
      <top style="medium">
        <color indexed="64"/>
      </top>
      <bottom style="thin">
        <color indexed="64"/>
      </bottom>
      <diagonal/>
    </border>
    <border>
      <left/>
      <right style="thin">
        <color theme="0" tint="-0.3499862666707358"/>
      </right>
      <top/>
      <bottom style="thin">
        <color auto="1"/>
      </bottom>
      <diagonal/>
    </border>
    <border>
      <left style="thin">
        <color auto="1"/>
      </left>
      <right/>
      <top/>
      <bottom/>
      <diagonal/>
    </border>
    <border>
      <left/>
      <right style="thin">
        <color auto="1"/>
      </right>
      <top style="thin">
        <color auto="1"/>
      </top>
      <bottom/>
      <diagonal/>
    </border>
    <border>
      <left/>
      <right/>
      <top style="thin">
        <color auto="1"/>
      </top>
      <bottom style="thin">
        <color indexed="64"/>
      </bottom>
      <diagonal/>
    </border>
    <border>
      <left/>
      <right style="thin">
        <color auto="1"/>
      </right>
      <top style="thin">
        <color auto="1"/>
      </top>
      <bottom style="thin">
        <color indexed="64"/>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auto="1"/>
      </bottom>
      <diagonal/>
    </border>
    <border>
      <left/>
      <right/>
      <top style="thin">
        <color indexed="64"/>
      </top>
      <bottom/>
      <diagonal/>
    </border>
    <border>
      <left/>
      <right/>
      <top/>
      <bottom style="thin">
        <color auto="1"/>
      </bottom>
      <diagonal/>
    </border>
  </borders>
  <cellStyleXfs count="3">
    <xf numFmtId="0" fontId="0" fillId="0" borderId="0"/>
    <xf numFmtId="0" fontId="15" fillId="0" borderId="0"/>
    <xf numFmtId="0" fontId="15" fillId="0" borderId="0"/>
  </cellStyleXfs>
  <cellXfs count="545">
    <xf numFmtId="0" fontId="0" fillId="0" borderId="0" pivotButton="0" quotePrefix="0" xfId="0"/>
    <xf numFmtId="0" fontId="0" fillId="0" borderId="1" pivotButton="0" quotePrefix="0" xfId="0"/>
    <xf numFmtId="0" fontId="0" fillId="0" borderId="2" pivotButton="0" quotePrefix="0" xfId="0"/>
    <xf numFmtId="0" fontId="0" fillId="0" borderId="1" applyAlignment="1" pivotButton="0" quotePrefix="0" xfId="0">
      <alignment wrapText="1"/>
    </xf>
    <xf numFmtId="0" fontId="0" fillId="0" borderId="3" pivotButton="0" quotePrefix="0" xfId="0"/>
    <xf numFmtId="0" fontId="0" fillId="0" borderId="4" applyAlignment="1" pivotButton="0" quotePrefix="0" xfId="0">
      <alignment horizontal="center" vertical="center"/>
    </xf>
    <xf numFmtId="0" fontId="0" fillId="0" borderId="5" pivotButton="0" quotePrefix="0" xfId="0"/>
    <xf numFmtId="0" fontId="0" fillId="0" borderId="0" applyAlignment="1" pivotButton="0" quotePrefix="0" xfId="0">
      <alignment horizontal="center"/>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0" borderId="5" applyAlignment="1" pivotButton="0" quotePrefix="0" xfId="0">
      <alignment horizontal="center" vertical="center"/>
    </xf>
    <xf numFmtId="0" fontId="3" fillId="0" borderId="6" applyAlignment="1" pivotButton="0" quotePrefix="0" xfId="0">
      <alignment horizontal="center" vertical="center"/>
    </xf>
    <xf numFmtId="0" fontId="3" fillId="0" borderId="9" applyAlignment="1" pivotButton="0" quotePrefix="0" xfId="0">
      <alignment horizontal="center" vertical="center"/>
    </xf>
    <xf numFmtId="0" fontId="3" fillId="0" borderId="10" applyAlignment="1" pivotButton="0" quotePrefix="0" xfId="0">
      <alignment horizontal="center" vertical="center"/>
    </xf>
    <xf numFmtId="0" fontId="3" fillId="0" borderId="11" applyAlignment="1" pivotButton="0" quotePrefix="0" xfId="0">
      <alignment horizontal="center" vertical="center"/>
    </xf>
    <xf numFmtId="0" fontId="3" fillId="0" borderId="13" applyAlignment="1" pivotButton="0" quotePrefix="0" xfId="0">
      <alignment horizontal="center" vertical="center"/>
    </xf>
    <xf numFmtId="0" fontId="0" fillId="0" borderId="15" applyAlignment="1" pivotButton="0" quotePrefix="0" xfId="0">
      <alignment wrapText="1"/>
    </xf>
    <xf numFmtId="0" fontId="0" fillId="3" borderId="0" applyAlignment="1" pivotButton="0" quotePrefix="0" xfId="0">
      <alignment horizontal="center" vertical="center" wrapText="1"/>
    </xf>
    <xf numFmtId="0" fontId="0" fillId="3" borderId="15" applyAlignment="1" pivotButton="0" quotePrefix="0" xfId="0">
      <alignment wrapText="1"/>
    </xf>
    <xf numFmtId="0" fontId="6" fillId="0" borderId="15" applyAlignment="1" pivotButton="0" quotePrefix="0" xfId="0">
      <alignment wrapText="1"/>
    </xf>
    <xf numFmtId="0" fontId="0" fillId="2" borderId="15" applyAlignment="1" pivotButton="0" quotePrefix="0" xfId="0">
      <alignment wrapText="1"/>
    </xf>
    <xf numFmtId="0" fontId="0" fillId="0" borderId="17" pivotButton="0" quotePrefix="0" xfId="0"/>
    <xf numFmtId="0" fontId="0" fillId="3" borderId="17" pivotButton="0" quotePrefix="0" xfId="0"/>
    <xf numFmtId="0" fontId="0" fillId="2" borderId="17" pivotButton="0" quotePrefix="0" xfId="0"/>
    <xf numFmtId="0" fontId="4" fillId="0" borderId="21" pivotButton="0" quotePrefix="0" xfId="0"/>
    <xf numFmtId="0" fontId="0" fillId="0" borderId="21" pivotButton="0" quotePrefix="0" xfId="0"/>
    <xf numFmtId="0" fontId="0" fillId="0" borderId="22" pivotButton="0" quotePrefix="0" xfId="0"/>
    <xf numFmtId="0" fontId="4" fillId="3" borderId="21" pivotButton="0" quotePrefix="0" xfId="0"/>
    <xf numFmtId="0" fontId="0" fillId="3" borderId="21" pivotButton="0" quotePrefix="0" xfId="0"/>
    <xf numFmtId="0" fontId="0" fillId="3" borderId="22" pivotButton="0" quotePrefix="0" xfId="0"/>
    <xf numFmtId="0" fontId="4" fillId="2" borderId="21" pivotButton="0" quotePrefix="0" xfId="0"/>
    <xf numFmtId="0" fontId="0" fillId="2" borderId="21" pivotButton="0" quotePrefix="0" xfId="0"/>
    <xf numFmtId="0" fontId="0" fillId="2" borderId="22" pivotButton="0" quotePrefix="0" xfId="0"/>
    <xf numFmtId="0" fontId="0" fillId="0" borderId="25" pivotButton="0" quotePrefix="0" xfId="0"/>
    <xf numFmtId="0" fontId="0" fillId="0" borderId="25" applyAlignment="1" pivotButton="0" quotePrefix="0" xfId="0">
      <alignment horizontal="center"/>
    </xf>
    <xf numFmtId="0" fontId="0" fillId="0" borderId="26" pivotButton="0" quotePrefix="0" xfId="0"/>
    <xf numFmtId="0" fontId="0" fillId="2" borderId="25" pivotButton="0" quotePrefix="0" xfId="0"/>
    <xf numFmtId="0" fontId="0" fillId="2" borderId="26" pivotButton="0" quotePrefix="0" xfId="0"/>
    <xf numFmtId="0" fontId="3" fillId="0" borderId="27" applyAlignment="1" pivotButton="0" quotePrefix="0" xfId="0">
      <alignment horizontal="center" vertical="center"/>
    </xf>
    <xf numFmtId="0" fontId="7" fillId="0" borderId="17" pivotButton="0" quotePrefix="0" xfId="0"/>
    <xf numFmtId="0" fontId="8" fillId="0" borderId="17" pivotButton="0" quotePrefix="0" xfId="0"/>
    <xf numFmtId="0" fontId="9" fillId="0" borderId="0" applyAlignment="1" pivotButton="0" quotePrefix="0" xfId="0">
      <alignment horizontal="center"/>
    </xf>
    <xf numFmtId="0" fontId="3" fillId="0" borderId="3" applyAlignment="1" pivotButton="0" quotePrefix="0" xfId="0">
      <alignment horizontal="center" vertical="center"/>
    </xf>
    <xf numFmtId="0" fontId="0" fillId="0" borderId="24" pivotButton="0" quotePrefix="0" xfId="0"/>
    <xf numFmtId="0" fontId="4" fillId="0" borderId="23" pivotButton="0" quotePrefix="0" xfId="0"/>
    <xf numFmtId="0" fontId="0" fillId="0" borderId="30" pivotButton="0" quotePrefix="0" xfId="0"/>
    <xf numFmtId="0" fontId="0" fillId="0" borderId="26" applyAlignment="1" pivotButton="0" quotePrefix="0" xfId="0">
      <alignment wrapText="1"/>
    </xf>
    <xf numFmtId="0" fontId="0" fillId="0" borderId="28" pivotButton="0" quotePrefix="0" xfId="0"/>
    <xf numFmtId="0" fontId="8" fillId="0" borderId="17" applyAlignment="1" pivotButton="0" quotePrefix="0" xfId="0">
      <alignment wrapText="1"/>
    </xf>
    <xf numFmtId="0" fontId="8" fillId="0" borderId="17" applyAlignment="1" pivotButton="0" quotePrefix="0" xfId="0">
      <alignment vertical="center" wrapText="1"/>
    </xf>
    <xf numFmtId="0" fontId="0" fillId="0" borderId="19" pivotButton="0" quotePrefix="0" xfId="0"/>
    <xf numFmtId="0" fontId="0" fillId="0" borderId="35" pivotButton="0" quotePrefix="0" xfId="0"/>
    <xf numFmtId="0" fontId="4" fillId="0" borderId="25" pivotButton="0" quotePrefix="0" xfId="0"/>
    <xf numFmtId="0" fontId="0" fillId="0" borderId="25" applyAlignment="1" pivotButton="0" quotePrefix="0" xfId="0">
      <alignment wrapText="1"/>
    </xf>
    <xf numFmtId="0" fontId="0" fillId="0" borderId="42" pivotButton="0" quotePrefix="0" xfId="0"/>
    <xf numFmtId="0" fontId="3" fillId="0" borderId="1" applyAlignment="1" pivotButton="0" quotePrefix="0" xfId="0">
      <alignment horizontal="center" vertical="center" wrapText="1"/>
    </xf>
    <xf numFmtId="0" fontId="13" fillId="0" borderId="1" applyAlignment="1" pivotButton="0" quotePrefix="0" xfId="0">
      <alignment horizontal="center" vertical="center"/>
    </xf>
    <xf numFmtId="0" fontId="14" fillId="0" borderId="12"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xf>
    <xf numFmtId="0" fontId="3" fillId="0" borderId="0" applyAlignment="1" pivotButton="0" quotePrefix="0" xfId="0">
      <alignment vertical="center" wrapText="1"/>
    </xf>
    <xf numFmtId="0" fontId="0" fillId="0" borderId="0" applyAlignment="1" pivotButton="0" quotePrefix="0" xfId="0">
      <alignment horizontal="left" vertical="center" wrapText="1"/>
    </xf>
    <xf numFmtId="0" fontId="0" fillId="0" borderId="31" applyAlignment="1" pivotButton="0" quotePrefix="0" xfId="0">
      <alignment horizontal="center" vertical="center" wrapText="1"/>
    </xf>
    <xf numFmtId="0" fontId="0" fillId="0" borderId="49"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31" applyAlignment="1" pivotButton="0" quotePrefix="0" xfId="0">
      <alignment horizontal="left" vertical="center" wrapText="1"/>
    </xf>
    <xf numFmtId="0" fontId="0" fillId="2" borderId="31" applyAlignment="1" pivotButton="0" quotePrefix="0" xfId="0">
      <alignment horizontal="center" vertical="center" wrapText="1"/>
    </xf>
    <xf numFmtId="0" fontId="0" fillId="2" borderId="49" applyAlignment="1" pivotButton="0" quotePrefix="0" xfId="0">
      <alignment horizontal="center" vertical="center" wrapText="1"/>
    </xf>
    <xf numFmtId="0" fontId="16" fillId="0" borderId="31" applyAlignment="1" pivotButton="0" quotePrefix="0" xfId="0">
      <alignment horizontal="center" vertical="center" wrapText="1"/>
    </xf>
    <xf numFmtId="0" fontId="16" fillId="0" borderId="49" applyAlignment="1" pivotButton="0" quotePrefix="0" xfId="0">
      <alignment horizontal="center" vertical="center" wrapText="1"/>
    </xf>
    <xf numFmtId="0" fontId="17" fillId="0" borderId="49" applyAlignment="1" pivotButton="0" quotePrefix="0" xfId="0">
      <alignment horizontal="center" vertical="center" wrapText="1"/>
    </xf>
    <xf numFmtId="0" fontId="9" fillId="0" borderId="49" applyAlignment="1" pivotButton="0" quotePrefix="0" xfId="0">
      <alignment horizontal="center" vertical="center" wrapText="1"/>
    </xf>
    <xf numFmtId="0" fontId="2" fillId="0" borderId="49" applyAlignment="1" pivotButton="0" quotePrefix="0" xfId="0">
      <alignment horizontal="center" vertical="center" wrapText="1"/>
    </xf>
    <xf numFmtId="0" fontId="2" fillId="0" borderId="31" applyAlignment="1" pivotButton="0" quotePrefix="0" xfId="0">
      <alignment horizontal="center" vertical="center" wrapText="1"/>
    </xf>
    <xf numFmtId="0" fontId="2" fillId="0" borderId="0" applyAlignment="1" pivotButton="0" quotePrefix="0" xfId="0">
      <alignment horizontal="center" vertical="center" wrapText="1"/>
    </xf>
    <xf numFmtId="0" fontId="9" fillId="0" borderId="31" applyAlignment="1" pivotButton="0" quotePrefix="0" xfId="0">
      <alignment horizontal="center" vertical="center" wrapText="1"/>
    </xf>
    <xf numFmtId="0" fontId="9"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0" fillId="0" borderId="0" applyAlignment="1" pivotButton="0" quotePrefix="1" xfId="0">
      <alignment horizontal="center" vertical="center" wrapText="1"/>
    </xf>
    <xf numFmtId="0" fontId="18" fillId="4" borderId="13" applyAlignment="1" pivotButton="0" quotePrefix="0" xfId="0">
      <alignment horizontal="center" vertical="center" wrapText="1"/>
    </xf>
    <xf numFmtId="0" fontId="18" fillId="4" borderId="4" applyAlignment="1" pivotButton="0" quotePrefix="0" xfId="0">
      <alignment horizontal="center" vertical="center" wrapText="1"/>
    </xf>
    <xf numFmtId="0" fontId="16" fillId="0" borderId="0" applyAlignment="1" pivotButton="0" quotePrefix="0" xfId="0">
      <alignment vertical="center"/>
    </xf>
    <xf numFmtId="0" fontId="19" fillId="4" borderId="21" applyAlignment="1" pivotButton="0" quotePrefix="0" xfId="0">
      <alignment horizontal="center" vertical="center" wrapText="1"/>
    </xf>
    <xf numFmtId="49" fontId="19" fillId="4" borderId="21" applyAlignment="1" pivotButton="0" quotePrefix="0" xfId="0">
      <alignment horizontal="center" vertical="center" wrapText="1"/>
    </xf>
    <xf numFmtId="0" fontId="0" fillId="0" borderId="49" applyAlignment="1" pivotButton="0" quotePrefix="0" xfId="0">
      <alignment horizontal="left" vertical="center" wrapText="1"/>
    </xf>
    <xf numFmtId="0" fontId="9" fillId="0" borderId="0" applyAlignment="1" pivotButton="0" quotePrefix="1" xfId="0">
      <alignment horizontal="center" vertical="center" wrapText="1"/>
    </xf>
    <xf numFmtId="0" fontId="16" fillId="0" borderId="0" applyAlignment="1" pivotButton="0" quotePrefix="1" xfId="0">
      <alignment horizontal="center" vertical="center" wrapText="1"/>
    </xf>
    <xf numFmtId="0" fontId="16" fillId="0" borderId="13" applyAlignment="1" pivotButton="0" quotePrefix="0" xfId="0">
      <alignment horizontal="center" vertical="center" wrapText="1"/>
    </xf>
    <xf numFmtId="0" fontId="9" fillId="0" borderId="13" applyAlignment="1" pivotButton="0" quotePrefix="0" xfId="0">
      <alignment horizontal="center" vertical="center" wrapText="1"/>
    </xf>
    <xf numFmtId="0" fontId="9" fillId="4" borderId="4" applyAlignment="1" pivotButton="0" quotePrefix="0" xfId="0">
      <alignment horizontal="center" vertical="center" wrapText="1"/>
    </xf>
    <xf numFmtId="0" fontId="0" fillId="8" borderId="31" applyAlignment="1" pivotButton="0" quotePrefix="0" xfId="0">
      <alignment horizontal="center" vertical="center" wrapText="1"/>
    </xf>
    <xf numFmtId="0" fontId="0" fillId="8" borderId="49" applyAlignment="1" pivotButton="0" quotePrefix="0" xfId="0">
      <alignment horizontal="center" vertical="center" wrapText="1"/>
    </xf>
    <xf numFmtId="0" fontId="0" fillId="0" borderId="49" applyAlignment="1" pivotButton="0" quotePrefix="1" xfId="0">
      <alignment horizontal="center" vertical="center" wrapText="1"/>
    </xf>
    <xf numFmtId="0" fontId="9" fillId="0" borderId="49" applyAlignment="1" pivotButton="0" quotePrefix="1" xfId="0">
      <alignment horizontal="center" vertical="center" wrapText="1"/>
    </xf>
    <xf numFmtId="0" fontId="16" fillId="0" borderId="49" applyAlignment="1" pivotButton="0" quotePrefix="1" xfId="0">
      <alignment horizontal="center" vertical="center" wrapText="1"/>
    </xf>
    <xf numFmtId="0" fontId="16" fillId="8" borderId="31" applyAlignment="1" pivotButton="0" quotePrefix="0" xfId="0">
      <alignment horizontal="center" vertical="center" wrapText="1"/>
    </xf>
    <xf numFmtId="0" fontId="16" fillId="0" borderId="4" applyAlignment="1" pivotButton="0" quotePrefix="0" xfId="0">
      <alignment horizontal="center" vertical="center" wrapText="1"/>
    </xf>
    <xf numFmtId="0" fontId="15" fillId="0" borderId="0" applyAlignment="1" pivotButton="0" quotePrefix="0" xfId="1">
      <alignment horizontal="left" vertical="center"/>
    </xf>
    <xf numFmtId="0" fontId="3" fillId="2" borderId="0" applyAlignment="1" pivotButton="0" quotePrefix="0" xfId="0">
      <alignment horizontal="center" vertical="center"/>
    </xf>
    <xf numFmtId="0" fontId="3" fillId="2" borderId="0" applyAlignment="1" pivotButton="0" quotePrefix="0" xfId="0">
      <alignment horizontal="center" vertical="center" wrapText="1"/>
    </xf>
    <xf numFmtId="0" fontId="0" fillId="8" borderId="0" applyAlignment="1" pivotButton="0" quotePrefix="0" xfId="0">
      <alignment horizontal="center" vertical="center" wrapText="1"/>
    </xf>
    <xf numFmtId="0" fontId="9" fillId="0" borderId="31" applyAlignment="1" pivotButton="0" quotePrefix="0" xfId="0">
      <alignment horizontal="left" vertical="center" wrapText="1"/>
    </xf>
    <xf numFmtId="0" fontId="9" fillId="0" borderId="49" applyAlignment="1" pivotButton="0" quotePrefix="0" xfId="0">
      <alignment horizontal="left" vertical="center" wrapText="1"/>
    </xf>
    <xf numFmtId="0" fontId="16" fillId="0" borderId="31" applyAlignment="1" pivotButton="0" quotePrefix="0" xfId="0">
      <alignment horizontal="left" vertical="center" wrapText="1"/>
    </xf>
    <xf numFmtId="0" fontId="16" fillId="0" borderId="49" applyAlignment="1" pivotButton="0" quotePrefix="0" xfId="0">
      <alignment horizontal="left" vertical="center" wrapText="1"/>
    </xf>
    <xf numFmtId="0" fontId="3" fillId="0" borderId="0" applyAlignment="1" pivotButton="0" quotePrefix="0" xfId="0">
      <alignment horizontal="center" vertical="center"/>
    </xf>
    <xf numFmtId="0" fontId="15" fillId="0" borderId="0" applyAlignment="1" pivotButton="0" quotePrefix="0" xfId="1">
      <alignment horizontal="center" vertical="center"/>
    </xf>
    <xf numFmtId="0" fontId="3" fillId="0" borderId="0" applyAlignment="1" pivotButton="0" quotePrefix="0" xfId="0">
      <alignment vertical="center"/>
    </xf>
    <xf numFmtId="0" fontId="3" fillId="10" borderId="31" applyAlignment="1" pivotButton="0" quotePrefix="0" xfId="0">
      <alignment horizontal="center" vertical="center" wrapText="1"/>
    </xf>
    <xf numFmtId="0" fontId="3" fillId="10" borderId="49" applyAlignment="1" pivotButton="0" quotePrefix="0" xfId="0">
      <alignment horizontal="center" vertical="center" wrapText="1"/>
    </xf>
    <xf numFmtId="0" fontId="3" fillId="10" borderId="0" applyAlignment="1" pivotButton="0" quotePrefix="0" xfId="0">
      <alignment horizontal="center" vertical="center" wrapText="1"/>
    </xf>
    <xf numFmtId="0" fontId="3" fillId="2" borderId="31" applyAlignment="1" pivotButton="0" quotePrefix="0" xfId="0">
      <alignment horizontal="center" vertical="center" wrapText="1"/>
    </xf>
    <xf numFmtId="0" fontId="3" fillId="2" borderId="49" applyAlignment="1" pivotButton="0" quotePrefix="0" xfId="0">
      <alignment horizontal="center" vertical="center" wrapText="1"/>
    </xf>
    <xf numFmtId="0" fontId="21" fillId="0" borderId="49" applyAlignment="1" pivotButton="0" quotePrefix="0" xfId="0">
      <alignment horizontal="center" vertical="center" wrapText="1"/>
    </xf>
    <xf numFmtId="0" fontId="21" fillId="0" borderId="0" applyAlignment="1" pivotButton="0" quotePrefix="0" xfId="0">
      <alignment horizontal="center" vertical="center" wrapText="1"/>
    </xf>
    <xf numFmtId="0" fontId="0" fillId="10" borderId="49" applyAlignment="1" pivotButton="0" quotePrefix="0" xfId="0">
      <alignment horizontal="center" vertical="center" wrapText="1"/>
    </xf>
    <xf numFmtId="0" fontId="9" fillId="0" borderId="0" applyAlignment="1" pivotButton="0" quotePrefix="0" xfId="0">
      <alignment vertical="center" wrapText="1"/>
    </xf>
    <xf numFmtId="0" fontId="21" fillId="0" borderId="31" applyAlignment="1" pivotButton="0" quotePrefix="0" xfId="0">
      <alignment horizontal="center" vertical="center" wrapText="1"/>
    </xf>
    <xf numFmtId="0" fontId="3" fillId="9" borderId="6" applyAlignment="1" pivotButton="0" quotePrefix="0" xfId="0">
      <alignment horizontal="center" vertical="center"/>
    </xf>
    <xf numFmtId="0" fontId="3" fillId="9" borderId="7" applyAlignment="1" pivotButton="0" quotePrefix="0" xfId="0">
      <alignment horizontal="center" vertical="center"/>
    </xf>
    <xf numFmtId="0" fontId="3" fillId="4" borderId="8" applyAlignment="1" pivotButton="0" quotePrefix="0" xfId="0">
      <alignment horizontal="center" vertical="center" wrapText="1"/>
    </xf>
    <xf numFmtId="0" fontId="3" fillId="10" borderId="1" applyAlignment="1" pivotButton="0" quotePrefix="0" xfId="0">
      <alignment horizontal="center" vertical="center"/>
    </xf>
    <xf numFmtId="0" fontId="3" fillId="10" borderId="39" applyAlignment="1" pivotButton="0" quotePrefix="0" xfId="0">
      <alignment horizontal="left" vertical="center"/>
    </xf>
    <xf numFmtId="0" fontId="0" fillId="10" borderId="39" applyAlignment="1" pivotButton="0" quotePrefix="0" xfId="0">
      <alignment horizontal="center" vertical="center"/>
    </xf>
    <xf numFmtId="0" fontId="0" fillId="10" borderId="2" applyAlignment="1" pivotButton="0" quotePrefix="0" xfId="0">
      <alignment horizontal="center" vertical="center"/>
    </xf>
    <xf numFmtId="0" fontId="3" fillId="4" borderId="51" applyAlignment="1" pivotButton="0" quotePrefix="0" xfId="0">
      <alignment horizontal="center" vertical="center" wrapText="1"/>
    </xf>
    <xf numFmtId="0" fontId="3" fillId="4" borderId="8" applyAlignment="1" pivotButton="0" quotePrefix="0" xfId="0">
      <alignment horizontal="center" vertical="center"/>
    </xf>
    <xf numFmtId="0" fontId="3" fillId="0" borderId="18" applyAlignment="1" pivotButton="0" quotePrefix="0" xfId="0">
      <alignment vertical="center"/>
    </xf>
    <xf numFmtId="0" fontId="3" fillId="0" borderId="15" applyAlignment="1" pivotButton="0" quotePrefix="1" xfId="0">
      <alignment horizontal="center" vertical="center"/>
    </xf>
    <xf numFmtId="0" fontId="10" fillId="0" borderId="4" applyAlignment="1" pivotButton="0" quotePrefix="0" xfId="0">
      <alignment horizontal="center" vertical="center"/>
    </xf>
    <xf numFmtId="0" fontId="3" fillId="0" borderId="15" applyAlignment="1" pivotButton="0" quotePrefix="0" xfId="0">
      <alignment horizontal="center" vertical="center" wrapText="1"/>
    </xf>
    <xf numFmtId="0" fontId="0" fillId="0" borderId="33" applyAlignment="1" pivotButton="0" quotePrefix="0" xfId="0">
      <alignment horizontal="center" vertical="center"/>
    </xf>
    <xf numFmtId="0" fontId="0" fillId="0" borderId="15" applyAlignment="1" pivotButton="0" quotePrefix="0" xfId="0">
      <alignment horizontal="center" vertical="center"/>
    </xf>
    <xf numFmtId="0" fontId="3" fillId="0" borderId="28" applyAlignment="1" pivotButton="0" quotePrefix="0" xfId="0">
      <alignment vertical="center" wrapText="1"/>
    </xf>
    <xf numFmtId="0" fontId="3" fillId="0" borderId="17" applyAlignment="1" pivotButton="0" quotePrefix="1" xfId="0">
      <alignment horizontal="center" vertical="center"/>
    </xf>
    <xf numFmtId="0" fontId="3" fillId="0" borderId="17" applyAlignment="1" pivotButton="0" quotePrefix="0" xfId="0">
      <alignment horizontal="center" vertical="center" wrapText="1"/>
    </xf>
    <xf numFmtId="0" fontId="0" fillId="0" borderId="16" applyAlignment="1" pivotButton="0" quotePrefix="0" xfId="0">
      <alignment horizontal="center" vertical="center"/>
    </xf>
    <xf numFmtId="0" fontId="0" fillId="0" borderId="17" applyAlignment="1" pivotButton="0" quotePrefix="0" xfId="0">
      <alignment horizontal="center" vertical="center"/>
    </xf>
    <xf numFmtId="0" fontId="3" fillId="0" borderId="28" applyAlignment="1" pivotButton="0" quotePrefix="0" xfId="0">
      <alignment vertical="center"/>
    </xf>
    <xf numFmtId="0" fontId="18" fillId="0" borderId="28" applyAlignment="1" pivotButton="0" quotePrefix="0" xfId="0">
      <alignment vertical="center"/>
    </xf>
    <xf numFmtId="0" fontId="18" fillId="0" borderId="17" applyAlignment="1" pivotButton="0" quotePrefix="0" xfId="0">
      <alignment horizontal="center" vertical="center" wrapText="1"/>
    </xf>
    <xf numFmtId="0" fontId="9" fillId="0" borderId="16" applyAlignment="1" pivotButton="0" quotePrefix="0" xfId="0">
      <alignment horizontal="center" vertical="center"/>
    </xf>
    <xf numFmtId="0" fontId="9" fillId="0" borderId="17" applyAlignment="1" pivotButton="0" quotePrefix="0" xfId="0">
      <alignment horizontal="center" vertical="center"/>
    </xf>
    <xf numFmtId="0" fontId="9" fillId="0" borderId="0" applyAlignment="1" pivotButton="0" quotePrefix="0" xfId="0">
      <alignment vertical="center"/>
    </xf>
    <xf numFmtId="0" fontId="10" fillId="0" borderId="17" applyAlignment="1" pivotButton="0" quotePrefix="0" xfId="0">
      <alignment horizontal="center" vertical="center" wrapText="1"/>
    </xf>
    <xf numFmtId="0" fontId="3" fillId="0" borderId="17" applyAlignment="1" pivotButton="0" quotePrefix="0" xfId="0">
      <alignment horizontal="center" vertical="center"/>
    </xf>
    <xf numFmtId="0" fontId="10" fillId="0" borderId="17" applyAlignment="1" pivotButton="0" quotePrefix="1" xfId="0">
      <alignment horizontal="center" vertical="center"/>
    </xf>
    <xf numFmtId="0" fontId="3" fillId="0" borderId="42" applyAlignment="1" pivotButton="0" quotePrefix="0" xfId="0">
      <alignment vertical="center"/>
    </xf>
    <xf numFmtId="0" fontId="3" fillId="0" borderId="21" applyAlignment="1" pivotButton="0" quotePrefix="1" xfId="0">
      <alignment horizontal="center" vertical="center"/>
    </xf>
    <xf numFmtId="0" fontId="10" fillId="0" borderId="22" applyAlignment="1" pivotButton="0" quotePrefix="1" xfId="0">
      <alignment horizontal="center" vertical="center"/>
    </xf>
    <xf numFmtId="0" fontId="3" fillId="0" borderId="50" applyAlignment="1" pivotButton="0" quotePrefix="0" xfId="0">
      <alignment horizontal="center" vertical="center"/>
    </xf>
    <xf numFmtId="0" fontId="3" fillId="0" borderId="22" applyAlignment="1" pivotButton="0" quotePrefix="0" xfId="0">
      <alignment horizontal="center" vertical="center"/>
    </xf>
    <xf numFmtId="0" fontId="0" fillId="0" borderId="20" applyAlignment="1" pivotButton="0" quotePrefix="0" xfId="0">
      <alignment horizontal="center" vertical="center"/>
    </xf>
    <xf numFmtId="0" fontId="0" fillId="0" borderId="50" applyAlignment="1" pivotButton="0" quotePrefix="0" xfId="0">
      <alignment horizontal="center" vertical="center"/>
    </xf>
    <xf numFmtId="0" fontId="0" fillId="0" borderId="21" applyAlignment="1" pivotButton="0" quotePrefix="0" xfId="0">
      <alignment horizontal="center" vertical="center"/>
    </xf>
    <xf numFmtId="0" fontId="0" fillId="0" borderId="22" applyAlignment="1" pivotButton="0" quotePrefix="0" xfId="0">
      <alignment horizontal="center" vertical="center"/>
    </xf>
    <xf numFmtId="14" fontId="0" fillId="0" borderId="0" applyAlignment="1" pivotButton="0" quotePrefix="0" xfId="0">
      <alignment horizontal="center" vertical="center"/>
    </xf>
    <xf numFmtId="0" fontId="9" fillId="8" borderId="31" applyAlignment="1" pivotButton="0" quotePrefix="0" xfId="0">
      <alignment horizontal="center" vertical="center" wrapText="1"/>
    </xf>
    <xf numFmtId="0" fontId="0" fillId="0" borderId="31" pivotButton="0" quotePrefix="0" xfId="0"/>
    <xf numFmtId="0" fontId="0" fillId="0" borderId="53" pivotButton="0" quotePrefix="0" xfId="0"/>
    <xf numFmtId="0" fontId="0" fillId="15" borderId="54" pivotButton="0" quotePrefix="0" xfId="0"/>
    <xf numFmtId="0" fontId="0" fillId="15" borderId="55" pivotButton="0" quotePrefix="0" xfId="0"/>
    <xf numFmtId="0" fontId="0" fillId="15" borderId="56" pivotButton="0" quotePrefix="0" xfId="0"/>
    <xf numFmtId="0" fontId="0" fillId="0" borderId="57" pivotButton="0" quotePrefix="0" xfId="0"/>
    <xf numFmtId="0" fontId="0" fillId="0" borderId="57" applyAlignment="1" pivotButton="0" quotePrefix="0" xfId="0">
      <alignment horizontal="center"/>
    </xf>
    <xf numFmtId="0" fontId="0" fillId="0" borderId="58" pivotButton="0" quotePrefix="0" xfId="0"/>
    <xf numFmtId="0" fontId="0" fillId="0" borderId="58" applyAlignment="1" pivotButton="0" quotePrefix="0" xfId="0">
      <alignment horizontal="center"/>
    </xf>
    <xf numFmtId="0" fontId="0" fillId="0" borderId="0" applyAlignment="1" pivotButton="0" quotePrefix="0" xfId="0">
      <alignment wrapText="1"/>
    </xf>
    <xf numFmtId="0" fontId="9" fillId="4" borderId="13" applyAlignment="1" pivotButton="0" quotePrefix="0" xfId="0">
      <alignment horizontal="center" vertical="center" wrapText="1"/>
    </xf>
    <xf numFmtId="0" fontId="0" fillId="5" borderId="62" applyAlignment="1" pivotButton="0" quotePrefix="0" xfId="0">
      <alignment horizontal="center" vertical="center"/>
    </xf>
    <xf numFmtId="0" fontId="19" fillId="4" borderId="65" applyAlignment="1" pivotButton="0" quotePrefix="0" xfId="0">
      <alignment horizontal="center" vertical="center" wrapText="1"/>
    </xf>
    <xf numFmtId="0" fontId="19" fillId="4" borderId="66" applyAlignment="1" pivotButton="0" quotePrefix="0" xfId="0">
      <alignment horizontal="center" vertical="center" wrapText="1"/>
    </xf>
    <xf numFmtId="49" fontId="19" fillId="4" borderId="67" applyAlignment="1" pivotButton="0" quotePrefix="0" xfId="0">
      <alignment horizontal="center" vertical="center" wrapText="1"/>
    </xf>
    <xf numFmtId="0" fontId="9" fillId="0" borderId="0" applyAlignment="1" pivotButton="0" quotePrefix="0" xfId="0">
      <alignment horizontal="left" vertical="center" wrapText="1"/>
    </xf>
    <xf numFmtId="0" fontId="0" fillId="12" borderId="49" applyAlignment="1" pivotButton="0" quotePrefix="0" xfId="0">
      <alignment horizontal="left" vertical="center" wrapText="1"/>
    </xf>
    <xf numFmtId="0" fontId="0" fillId="2" borderId="55" applyAlignment="1" pivotButton="0" quotePrefix="0" xfId="0">
      <alignment horizontal="left" vertical="center" wrapText="1"/>
    </xf>
    <xf numFmtId="0" fontId="0" fillId="2" borderId="55" applyAlignment="1" pivotButton="0" quotePrefix="0" xfId="0">
      <alignment horizontal="center" vertical="center" wrapText="1"/>
    </xf>
    <xf numFmtId="0" fontId="0" fillId="6" borderId="58" applyAlignment="1" pivotButton="0" quotePrefix="0" xfId="0">
      <alignment horizontal="center" vertical="center" wrapText="1"/>
    </xf>
    <xf numFmtId="0" fontId="16" fillId="6" borderId="57" applyAlignment="1" pivotButton="0" quotePrefix="0" xfId="0">
      <alignment horizontal="center" vertical="center" wrapText="1"/>
    </xf>
    <xf numFmtId="0" fontId="0" fillId="15" borderId="57" pivotButton="0" quotePrefix="0" xfId="0"/>
    <xf numFmtId="0" fontId="0" fillId="0" borderId="53" applyAlignment="1" pivotButton="0" quotePrefix="0" xfId="0">
      <alignment horizontal="center" vertical="center" wrapText="1"/>
    </xf>
    <xf numFmtId="0" fontId="9" fillId="4" borderId="55" applyAlignment="1" pivotButton="0" quotePrefix="0" xfId="0">
      <alignment horizontal="center" vertical="center" wrapText="1"/>
    </xf>
    <xf numFmtId="0" fontId="0" fillId="2" borderId="57" applyAlignment="1" pivotButton="0" quotePrefix="0" xfId="0">
      <alignment horizontal="center" vertical="center" wrapText="1"/>
    </xf>
    <xf numFmtId="0" fontId="9" fillId="4" borderId="54" applyAlignment="1" pivotButton="0" quotePrefix="0" xfId="0">
      <alignment horizontal="center" vertical="center" wrapText="1"/>
    </xf>
    <xf numFmtId="0" fontId="9" fillId="4" borderId="56" applyAlignment="1" pivotButton="0" quotePrefix="0" xfId="0">
      <alignment horizontal="center" vertical="center" wrapText="1"/>
    </xf>
    <xf numFmtId="0" fontId="0" fillId="2" borderId="54" applyAlignment="1" pivotButton="0" quotePrefix="0" xfId="0">
      <alignment horizontal="center" vertical="center" wrapText="1"/>
    </xf>
    <xf numFmtId="0" fontId="0" fillId="2" borderId="56" applyAlignment="1" pivotButton="0" quotePrefix="0" xfId="0">
      <alignment horizontal="center" vertical="center" wrapText="1"/>
    </xf>
    <xf numFmtId="0" fontId="9" fillId="4" borderId="53" applyAlignment="1" pivotButton="0" quotePrefix="0" xfId="0">
      <alignment horizontal="center" vertical="center" wrapText="1"/>
    </xf>
    <xf numFmtId="0" fontId="0" fillId="0" borderId="59" applyAlignment="1" pivotButton="0" quotePrefix="0" xfId="0">
      <alignment horizontal="center" vertical="center"/>
    </xf>
    <xf numFmtId="0" fontId="0" fillId="0" borderId="60" applyAlignment="1" pivotButton="0" quotePrefix="0" xfId="0">
      <alignment horizontal="center" vertical="center"/>
    </xf>
    <xf numFmtId="17" fontId="0" fillId="0" borderId="61" applyAlignment="1" pivotButton="0" quotePrefix="0" xfId="0">
      <alignment horizontal="center" vertical="center"/>
    </xf>
    <xf numFmtId="0" fontId="0" fillId="0" borderId="62" applyAlignment="1" pivotButton="0" quotePrefix="0" xfId="0">
      <alignment horizontal="center" vertical="center"/>
    </xf>
    <xf numFmtId="0" fontId="0" fillId="0" borderId="63" applyAlignment="1" pivotButton="0" quotePrefix="0" xfId="0">
      <alignment horizontal="center" vertical="center"/>
    </xf>
    <xf numFmtId="17" fontId="0" fillId="0" borderId="64" applyAlignment="1" pivotButton="0" quotePrefix="0" xfId="0">
      <alignment horizontal="center" vertical="center"/>
    </xf>
    <xf numFmtId="0" fontId="0" fillId="0" borderId="64" applyAlignment="1" pivotButton="0" quotePrefix="0" xfId="0">
      <alignment horizontal="center" vertical="center"/>
    </xf>
    <xf numFmtId="0" fontId="0" fillId="0" borderId="63" applyAlignment="1" pivotButton="0" quotePrefix="1" xfId="0">
      <alignment horizontal="center" vertical="center"/>
    </xf>
    <xf numFmtId="0" fontId="9" fillId="0" borderId="63" applyAlignment="1" pivotButton="0" quotePrefix="1" xfId="0">
      <alignment horizontal="center" vertical="center"/>
    </xf>
    <xf numFmtId="0" fontId="9" fillId="0" borderId="62" applyAlignment="1" pivotButton="0" quotePrefix="0" xfId="0">
      <alignment horizontal="center" vertical="center"/>
    </xf>
    <xf numFmtId="0" fontId="9" fillId="0" borderId="63" applyAlignment="1" pivotButton="0" quotePrefix="0" xfId="0">
      <alignment horizontal="center" vertical="center"/>
    </xf>
    <xf numFmtId="17" fontId="16" fillId="0" borderId="64" applyAlignment="1" pivotButton="0" quotePrefix="0" xfId="0">
      <alignment horizontal="center" vertical="center"/>
    </xf>
    <xf numFmtId="0" fontId="16" fillId="0" borderId="63" applyAlignment="1" pivotButton="0" quotePrefix="0" xfId="0">
      <alignment horizontal="center" vertical="center"/>
    </xf>
    <xf numFmtId="0" fontId="9" fillId="17" borderId="63" applyAlignment="1" pivotButton="0" quotePrefix="1" xfId="0">
      <alignment horizontal="center" vertical="center"/>
    </xf>
    <xf numFmtId="17" fontId="9" fillId="17" borderId="64" applyAlignment="1" pivotButton="0" quotePrefix="0" xfId="0">
      <alignment horizontal="center" vertical="center"/>
    </xf>
    <xf numFmtId="0" fontId="0" fillId="17" borderId="63" applyAlignment="1" pivotButton="0" quotePrefix="0" xfId="0">
      <alignment horizontal="center" vertical="center"/>
    </xf>
    <xf numFmtId="17" fontId="0" fillId="17" borderId="64" applyAlignment="1" pivotButton="0" quotePrefix="0" xfId="0">
      <alignment horizontal="center" vertical="center"/>
    </xf>
    <xf numFmtId="0" fontId="0" fillId="17" borderId="63" applyAlignment="1" pivotButton="0" quotePrefix="1" xfId="0">
      <alignment horizontal="center" vertical="center"/>
    </xf>
    <xf numFmtId="0" fontId="0" fillId="18" borderId="0" applyAlignment="1" pivotButton="0" quotePrefix="0" xfId="0">
      <alignment vertical="center" wrapText="1"/>
    </xf>
    <xf numFmtId="0" fontId="0" fillId="19" borderId="31" applyAlignment="1" pivotButton="0" quotePrefix="0" xfId="0">
      <alignment horizontal="center" vertical="center" wrapText="1"/>
    </xf>
    <xf numFmtId="0" fontId="23" fillId="0" borderId="31" applyAlignment="1" pivotButton="0" quotePrefix="0" xfId="0">
      <alignment horizontal="center" vertical="center" wrapText="1"/>
    </xf>
    <xf numFmtId="0" fontId="23" fillId="0" borderId="49" applyAlignment="1" pivotButton="0" quotePrefix="0" xfId="0">
      <alignment horizontal="center" vertical="center" wrapText="1"/>
    </xf>
    <xf numFmtId="0" fontId="0" fillId="0" borderId="31" applyAlignment="1" pivotButton="0" quotePrefix="0" xfId="0">
      <alignment vertical="center" wrapText="1"/>
    </xf>
    <xf numFmtId="0" fontId="16" fillId="12" borderId="57" applyAlignment="1" pivotButton="0" quotePrefix="0" xfId="0">
      <alignment horizontal="center" vertical="center" wrapText="1"/>
    </xf>
    <xf numFmtId="0" fontId="0" fillId="8" borderId="0" applyAlignment="1" pivotButton="0" quotePrefix="0" xfId="0">
      <alignment horizontal="center" vertical="center"/>
    </xf>
    <xf numFmtId="0" fontId="0" fillId="5" borderId="0" applyAlignment="1" pivotButton="0" quotePrefix="0" xfId="0">
      <alignment vertical="center" wrapText="1"/>
    </xf>
    <xf numFmtId="0" fontId="0" fillId="20" borderId="0" applyAlignment="1" pivotButton="0" quotePrefix="0" xfId="0">
      <alignment vertical="center"/>
    </xf>
    <xf numFmtId="0" fontId="0" fillId="0" borderId="57" applyAlignment="1" pivotButton="0" quotePrefix="0" xfId="0">
      <alignment horizontal="center" vertical="center" wrapText="1"/>
    </xf>
    <xf numFmtId="0" fontId="0" fillId="0" borderId="56" applyAlignment="1" pivotButton="0" quotePrefix="0" xfId="0">
      <alignment horizontal="left" vertical="center" wrapText="1"/>
    </xf>
    <xf numFmtId="0" fontId="0" fillId="7" borderId="0" applyAlignment="1" pivotButton="0" quotePrefix="0" xfId="0">
      <alignment vertical="center" wrapText="1"/>
    </xf>
    <xf numFmtId="0" fontId="0" fillId="7" borderId="0" applyAlignment="1" pivotButton="0" quotePrefix="0" xfId="0">
      <alignment vertical="center"/>
    </xf>
    <xf numFmtId="0" fontId="0" fillId="20" borderId="31" applyAlignment="1" pivotButton="0" quotePrefix="0" xfId="0">
      <alignment horizontal="center" vertical="center" wrapText="1"/>
    </xf>
    <xf numFmtId="0" fontId="3" fillId="2" borderId="52" applyAlignment="1" pivotButton="0" quotePrefix="0" xfId="0">
      <alignment horizontal="center" vertical="center" wrapText="1"/>
    </xf>
    <xf numFmtId="0" fontId="0" fillId="2" borderId="0" applyAlignment="1" pivotButton="0" quotePrefix="0" xfId="0">
      <alignment horizontal="center" vertical="center" wrapText="1"/>
    </xf>
    <xf numFmtId="0" fontId="16" fillId="2" borderId="31" applyAlignment="1" pivotButton="0" quotePrefix="0" xfId="0">
      <alignment horizontal="center" vertical="center" wrapText="1"/>
    </xf>
    <xf numFmtId="0" fontId="16" fillId="2" borderId="0" applyAlignment="1" pivotButton="0" quotePrefix="0" xfId="0">
      <alignment horizontal="center" vertical="center" wrapText="1"/>
    </xf>
    <xf numFmtId="0" fontId="9" fillId="2" borderId="49" applyAlignment="1" pivotButton="0" quotePrefix="0" xfId="0">
      <alignment horizontal="center" vertical="center" wrapText="1"/>
    </xf>
    <xf numFmtId="0" fontId="22" fillId="2" borderId="31" applyAlignment="1" pivotButton="0" quotePrefix="0" xfId="0">
      <alignment horizontal="center" vertical="center" wrapText="1"/>
    </xf>
    <xf numFmtId="0" fontId="0" fillId="2" borderId="31" applyAlignment="1" pivotButton="0" quotePrefix="0" xfId="0">
      <alignment horizontal="left" vertical="center" wrapText="1"/>
    </xf>
    <xf numFmtId="0" fontId="3" fillId="2" borderId="58" applyAlignment="1" pivotButton="0" quotePrefix="0" xfId="0">
      <alignment horizontal="left" vertical="center" wrapText="1"/>
    </xf>
    <xf numFmtId="0" fontId="0" fillId="0" borderId="55" applyAlignment="1" pivotButton="0" quotePrefix="0" xfId="0">
      <alignment horizontal="left" vertical="center" wrapText="1"/>
    </xf>
    <xf numFmtId="0" fontId="0" fillId="0" borderId="55" applyAlignment="1" pivotButton="0" quotePrefix="0" xfId="0">
      <alignment horizontal="center" vertical="center" wrapText="1"/>
    </xf>
    <xf numFmtId="0" fontId="0" fillId="0" borderId="56" applyAlignment="1" pivotButton="0" quotePrefix="0" xfId="0">
      <alignment horizontal="center" vertical="center" wrapText="1"/>
    </xf>
    <xf numFmtId="0" fontId="0" fillId="0" borderId="57" applyAlignment="1" pivotButton="0" quotePrefix="0" xfId="0">
      <alignment horizontal="center" vertical="center"/>
    </xf>
    <xf numFmtId="0" fontId="0" fillId="0" borderId="54" applyAlignment="1" pivotButton="0" quotePrefix="0" xfId="0">
      <alignment vertical="center"/>
    </xf>
    <xf numFmtId="0" fontId="0" fillId="0" borderId="55" applyAlignment="1" pivotButton="0" quotePrefix="0" xfId="0">
      <alignment horizontal="center" vertical="center"/>
    </xf>
    <xf numFmtId="0" fontId="0" fillId="0" borderId="56" applyAlignment="1" pivotButton="0" quotePrefix="0" xfId="0">
      <alignment horizontal="center" vertical="center"/>
    </xf>
    <xf numFmtId="0" fontId="0" fillId="0" borderId="70" applyAlignment="1" pivotButton="0" quotePrefix="0" xfId="0">
      <alignment horizontal="center"/>
    </xf>
    <xf numFmtId="0" fontId="0" fillId="0" borderId="71" applyAlignment="1" pivotButton="0" quotePrefix="0" xfId="0">
      <alignment horizontal="center"/>
    </xf>
    <xf numFmtId="0" fontId="24" fillId="0" borderId="55" applyAlignment="1" pivotButton="0" quotePrefix="0" xfId="0">
      <alignment wrapText="1"/>
    </xf>
    <xf numFmtId="0" fontId="25" fillId="0" borderId="55" applyAlignment="1" pivotButton="0" quotePrefix="0" xfId="0">
      <alignment wrapText="1"/>
    </xf>
    <xf numFmtId="0" fontId="26" fillId="0" borderId="55" applyAlignment="1" pivotButton="0" quotePrefix="0" xfId="0">
      <alignment wrapText="1"/>
    </xf>
    <xf numFmtId="0" fontId="24" fillId="0" borderId="70" applyAlignment="1" pivotButton="0" quotePrefix="0" xfId="0">
      <alignment wrapText="1"/>
    </xf>
    <xf numFmtId="0" fontId="25" fillId="0" borderId="70" applyAlignment="1" pivotButton="0" quotePrefix="0" xfId="0">
      <alignment wrapText="1"/>
    </xf>
    <xf numFmtId="0" fontId="3" fillId="2" borderId="57" applyAlignment="1" pivotButton="0" quotePrefix="0" xfId="0">
      <alignment horizontal="left" vertical="center" wrapText="1"/>
    </xf>
    <xf numFmtId="0" fontId="0" fillId="20" borderId="0" applyAlignment="1" pivotButton="0" quotePrefix="0" xfId="0">
      <alignment horizontal="left" vertical="center" wrapText="1"/>
    </xf>
    <xf numFmtId="0" fontId="0" fillId="20" borderId="68" applyAlignment="1" pivotButton="0" quotePrefix="0" xfId="0">
      <alignment horizontal="center" vertical="center" wrapText="1"/>
    </xf>
    <xf numFmtId="0" fontId="0" fillId="20" borderId="0" applyAlignment="1" pivotButton="0" quotePrefix="0" xfId="0">
      <alignment horizontal="center" vertical="center" wrapText="1"/>
    </xf>
    <xf numFmtId="0" fontId="0" fillId="20" borderId="49" applyAlignment="1" pivotButton="0" quotePrefix="0" xfId="0">
      <alignment horizontal="center" vertical="center" wrapText="1"/>
    </xf>
    <xf numFmtId="0" fontId="0" fillId="20" borderId="49" applyAlignment="1" pivotButton="0" quotePrefix="1" xfId="0">
      <alignment horizontal="center" vertical="center" wrapText="1"/>
    </xf>
    <xf numFmtId="0" fontId="0" fillId="20" borderId="0" applyAlignment="1" pivotButton="0" quotePrefix="0" xfId="0">
      <alignment vertical="center" wrapText="1"/>
    </xf>
    <xf numFmtId="0" fontId="19" fillId="4" borderId="73" applyAlignment="1" pivotButton="0" quotePrefix="0" xfId="0">
      <alignment horizontal="center" vertical="center" wrapText="1"/>
    </xf>
    <xf numFmtId="164" fontId="19" fillId="4" borderId="21" applyAlignment="1" pivotButton="0" quotePrefix="0" xfId="0">
      <alignment horizontal="center" vertical="center" wrapText="1"/>
    </xf>
    <xf numFmtId="0" fontId="0" fillId="0" borderId="69" applyAlignment="1" pivotButton="0" quotePrefix="0" xfId="0">
      <alignment vertical="center"/>
    </xf>
    <xf numFmtId="0" fontId="0" fillId="0" borderId="69" applyAlignment="1" pivotButton="0" quotePrefix="0" xfId="0">
      <alignment horizontal="center" vertical="center"/>
    </xf>
    <xf numFmtId="0" fontId="0" fillId="0" borderId="74" applyAlignment="1" pivotButton="0" quotePrefix="0" xfId="0">
      <alignment horizontal="center" vertical="center"/>
    </xf>
    <xf numFmtId="0" fontId="0" fillId="0" borderId="72" applyAlignment="1" pivotButton="0" quotePrefix="0" xfId="0">
      <alignment horizontal="center" vertical="center"/>
    </xf>
    <xf numFmtId="0" fontId="0" fillId="0" borderId="23" applyAlignment="1" pivotButton="0" quotePrefix="0" xfId="0">
      <alignment horizontal="center" vertical="center"/>
    </xf>
    <xf numFmtId="0" fontId="0" fillId="0" borderId="23" applyAlignment="1" pivotButton="0" quotePrefix="1" xfId="0">
      <alignment horizontal="center" vertical="center"/>
    </xf>
    <xf numFmtId="164" fontId="0" fillId="0" borderId="30" applyAlignment="1" pivotButton="0" quotePrefix="0" xfId="0">
      <alignment horizontal="center" vertical="center"/>
    </xf>
    <xf numFmtId="0" fontId="0" fillId="0" borderId="54" applyAlignment="1" pivotButton="0" quotePrefix="0" xfId="0">
      <alignment horizontal="center" vertical="center"/>
    </xf>
    <xf numFmtId="0" fontId="0" fillId="0" borderId="13" applyAlignment="1" pivotButton="0" quotePrefix="0" xfId="0">
      <alignment horizontal="center" vertical="center"/>
    </xf>
    <xf numFmtId="164" fontId="0" fillId="0" borderId="56" applyAlignment="1" pivotButton="0" quotePrefix="0" xfId="0">
      <alignment horizontal="center" vertical="center"/>
    </xf>
    <xf numFmtId="0" fontId="0" fillId="0" borderId="72" applyAlignment="1" pivotButton="0" quotePrefix="1" xfId="0">
      <alignment horizontal="center" vertical="center"/>
    </xf>
    <xf numFmtId="164" fontId="0" fillId="0" borderId="30" applyAlignment="1" pivotButton="0" quotePrefix="1" xfId="0">
      <alignment horizontal="center" vertical="center"/>
    </xf>
    <xf numFmtId="0" fontId="0" fillId="0" borderId="57" applyAlignment="1" pivotButton="0" quotePrefix="1" xfId="0">
      <alignment vertical="center"/>
    </xf>
    <xf numFmtId="0" fontId="0" fillId="0" borderId="75" applyAlignment="1" pivotButton="0" quotePrefix="0" xfId="0">
      <alignment horizontal="center" vertical="center"/>
    </xf>
    <xf numFmtId="0" fontId="0" fillId="0" borderId="55" applyAlignment="1" pivotButton="0" quotePrefix="1" xfId="0">
      <alignment horizontal="center" vertical="center"/>
    </xf>
    <xf numFmtId="0" fontId="0" fillId="0" borderId="54" applyAlignment="1" pivotButton="0" quotePrefix="1" xfId="0">
      <alignment horizontal="center" vertical="center"/>
    </xf>
    <xf numFmtId="164" fontId="0" fillId="0" borderId="56" applyAlignment="1" pivotButton="0" quotePrefix="1" xfId="0">
      <alignment horizontal="center" vertical="center"/>
    </xf>
    <xf numFmtId="0" fontId="0" fillId="0" borderId="57" applyAlignment="1" pivotButton="0" quotePrefix="0" xfId="0">
      <alignment vertical="center"/>
    </xf>
    <xf numFmtId="0" fontId="16" fillId="0" borderId="57" applyAlignment="1" pivotButton="0" quotePrefix="0" xfId="0">
      <alignment horizontal="center" vertical="center"/>
    </xf>
    <xf numFmtId="0" fontId="0" fillId="0" borderId="53" applyAlignment="1" pivotButton="0" quotePrefix="0" xfId="0">
      <alignment horizontal="center" vertical="center"/>
    </xf>
    <xf numFmtId="0" fontId="0" fillId="12" borderId="54" applyAlignment="1" pivotButton="0" quotePrefix="0" xfId="0">
      <alignment horizontal="center" vertical="center"/>
    </xf>
    <xf numFmtId="0" fontId="0" fillId="12" borderId="55" applyAlignment="1" pivotButton="0" quotePrefix="0" xfId="0">
      <alignment horizontal="center" vertical="center"/>
    </xf>
    <xf numFmtId="164" fontId="0" fillId="12" borderId="56" applyAlignment="1" pivotButton="0" quotePrefix="0" xfId="0">
      <alignment horizontal="center" vertical="center"/>
    </xf>
    <xf numFmtId="0" fontId="0" fillId="0" borderId="56" applyAlignment="1" pivotButton="0" quotePrefix="1" xfId="0">
      <alignment horizontal="center" vertical="center"/>
    </xf>
    <xf numFmtId="164" fontId="9" fillId="0" borderId="56" applyAlignment="1" pivotButton="0" quotePrefix="0" xfId="0">
      <alignment horizontal="center" vertical="center"/>
    </xf>
    <xf numFmtId="0" fontId="9" fillId="0" borderId="57" applyAlignment="1" pivotButton="0" quotePrefix="0" xfId="0">
      <alignment vertical="center" wrapText="1"/>
    </xf>
    <xf numFmtId="0" fontId="9" fillId="0" borderId="57" applyAlignment="1" pivotButton="0" quotePrefix="0" xfId="0">
      <alignment horizontal="center" vertical="center"/>
    </xf>
    <xf numFmtId="17" fontId="9" fillId="0" borderId="64" applyAlignment="1" pivotButton="0" quotePrefix="0" xfId="0">
      <alignment horizontal="center" vertical="center"/>
    </xf>
    <xf numFmtId="0" fontId="9" fillId="0" borderId="54" applyAlignment="1" pivotButton="0" quotePrefix="0" xfId="0">
      <alignment horizontal="center" vertical="center"/>
    </xf>
    <xf numFmtId="0" fontId="9" fillId="0" borderId="55" applyAlignment="1" pivotButton="0" quotePrefix="0" xfId="0">
      <alignment horizontal="center" vertical="center"/>
    </xf>
    <xf numFmtId="0" fontId="16" fillId="0" borderId="54" applyAlignment="1" pivotButton="0" quotePrefix="0" xfId="0">
      <alignment horizontal="center" vertical="center"/>
    </xf>
    <xf numFmtId="0" fontId="16" fillId="0" borderId="55" applyAlignment="1" pivotButton="0" quotePrefix="0" xfId="0">
      <alignment horizontal="center" vertical="center"/>
    </xf>
    <xf numFmtId="164" fontId="16" fillId="0" borderId="56" applyAlignment="1" pivotButton="0" quotePrefix="0" xfId="0">
      <alignment horizontal="center" vertical="center"/>
    </xf>
    <xf numFmtId="0" fontId="9" fillId="0" borderId="57" applyAlignment="1" pivotButton="0" quotePrefix="0" xfId="0">
      <alignment horizontal="left" vertical="center" wrapText="1"/>
    </xf>
    <xf numFmtId="17" fontId="0" fillId="0" borderId="56" applyAlignment="1" pivotButton="0" quotePrefix="0" xfId="0">
      <alignment horizontal="center" vertical="center"/>
    </xf>
    <xf numFmtId="0" fontId="16" fillId="0" borderId="57" applyAlignment="1" pivotButton="0" quotePrefix="0" xfId="0">
      <alignment vertical="center" wrapText="1"/>
    </xf>
    <xf numFmtId="0" fontId="16" fillId="0" borderId="55" applyAlignment="1" pivotButton="0" quotePrefix="0" xfId="0">
      <alignment vertical="center"/>
    </xf>
    <xf numFmtId="164" fontId="0" fillId="0" borderId="0" applyAlignment="1" pivotButton="0" quotePrefix="0" xfId="0">
      <alignment horizontal="center" vertical="center"/>
    </xf>
    <xf numFmtId="0" fontId="9" fillId="12" borderId="31" applyAlignment="1" pivotButton="0" quotePrefix="0" xfId="0">
      <alignment horizontal="center" vertical="center" wrapText="1"/>
    </xf>
    <xf numFmtId="0" fontId="3" fillId="5" borderId="57" applyAlignment="1" pivotButton="0" quotePrefix="0" xfId="0">
      <alignment horizontal="center" vertical="center" wrapText="1"/>
    </xf>
    <xf numFmtId="0" fontId="0" fillId="0" borderId="69" pivotButton="0" quotePrefix="0" xfId="0"/>
    <xf numFmtId="0" fontId="0" fillId="0" borderId="56" pivotButton="0" quotePrefix="0" xfId="0"/>
    <xf numFmtId="0" fontId="15" fillId="7" borderId="0" applyAlignment="1" pivotButton="0" quotePrefix="0" xfId="1">
      <alignment horizontal="center"/>
    </xf>
    <xf numFmtId="0" fontId="0" fillId="12" borderId="0" applyAlignment="1" pivotButton="0" quotePrefix="0" xfId="0">
      <alignment horizontal="center" vertical="center" wrapText="1"/>
    </xf>
    <xf numFmtId="0" fontId="18" fillId="12" borderId="17" applyAlignment="1" pivotButton="0" quotePrefix="0" xfId="0">
      <alignment horizontal="center" vertical="center" wrapText="1"/>
    </xf>
    <xf numFmtId="0" fontId="3" fillId="12" borderId="17" applyAlignment="1" pivotButton="0" quotePrefix="0" xfId="0">
      <alignment horizontal="center" vertical="center" wrapText="1"/>
    </xf>
    <xf numFmtId="0" fontId="3" fillId="10" borderId="57" applyAlignment="1" pivotButton="0" quotePrefix="0" xfId="0">
      <alignment horizontal="center" vertical="center"/>
    </xf>
    <xf numFmtId="14" fontId="0" fillId="0" borderId="57" applyAlignment="1" pivotButton="0" quotePrefix="0" xfId="0">
      <alignment horizontal="center" vertical="center"/>
    </xf>
    <xf numFmtId="14" fontId="0" fillId="0" borderId="57" applyAlignment="1" pivotButton="0" quotePrefix="0" xfId="0">
      <alignment vertical="center"/>
    </xf>
    <xf numFmtId="0" fontId="3" fillId="10" borderId="57" applyAlignment="1" pivotButton="0" quotePrefix="0" xfId="0">
      <alignment horizontal="center" vertical="center" wrapText="1"/>
    </xf>
    <xf numFmtId="0" fontId="3" fillId="0" borderId="69" applyAlignment="1" pivotButton="0" quotePrefix="1" xfId="0">
      <alignment horizontal="center" vertical="center"/>
    </xf>
    <xf numFmtId="0" fontId="1" fillId="0" borderId="69" applyAlignment="1" pivotButton="0" quotePrefix="0" xfId="0">
      <alignment horizontal="center" vertical="center"/>
    </xf>
    <xf numFmtId="0" fontId="3" fillId="0" borderId="57" applyAlignment="1" pivotButton="0" quotePrefix="1" xfId="0">
      <alignment horizontal="center" vertical="center"/>
    </xf>
    <xf numFmtId="0" fontId="3" fillId="12" borderId="56" applyAlignment="1" pivotButton="0" quotePrefix="0" xfId="0">
      <alignment horizontal="center" vertical="center" wrapText="1"/>
    </xf>
    <xf numFmtId="0" fontId="3" fillId="0" borderId="56" applyAlignment="1" pivotButton="0" quotePrefix="0" xfId="0">
      <alignment horizontal="center" vertical="center" wrapText="1"/>
    </xf>
    <xf numFmtId="0" fontId="18" fillId="0" borderId="57" applyAlignment="1" pivotButton="0" quotePrefix="1" xfId="0">
      <alignment horizontal="center" vertical="center"/>
    </xf>
    <xf numFmtId="0" fontId="18" fillId="12" borderId="56" applyAlignment="1" pivotButton="0" quotePrefix="0" xfId="0">
      <alignment horizontal="center" vertical="center" wrapText="1"/>
    </xf>
    <xf numFmtId="0" fontId="9" fillId="0" borderId="56" applyAlignment="1" pivotButton="0" quotePrefix="0" xfId="0">
      <alignment horizontal="center" vertical="center"/>
    </xf>
    <xf numFmtId="0" fontId="10" fillId="0" borderId="57" applyAlignment="1" pivotButton="0" quotePrefix="1" xfId="0">
      <alignment horizontal="center" vertical="center"/>
    </xf>
    <xf numFmtId="0" fontId="18" fillId="0" borderId="56" applyAlignment="1" pivotButton="0" quotePrefix="0" xfId="0">
      <alignment horizontal="center" vertical="center" wrapText="1"/>
    </xf>
    <xf numFmtId="0" fontId="18" fillId="2" borderId="52" applyAlignment="1" pivotButton="0" quotePrefix="0" xfId="0">
      <alignment horizontal="center" vertical="center" wrapText="1"/>
    </xf>
    <xf numFmtId="0" fontId="18" fillId="2" borderId="70" applyAlignment="1" pivotButton="0" quotePrefix="0" xfId="0">
      <alignment horizontal="center" vertical="center" wrapText="1"/>
    </xf>
    <xf numFmtId="0" fontId="18" fillId="2" borderId="71" applyAlignment="1" pivotButton="0" quotePrefix="0" xfId="0">
      <alignment horizontal="center" vertical="center" wrapText="1"/>
    </xf>
    <xf numFmtId="0" fontId="0" fillId="0" borderId="68" applyAlignment="1" pivotButton="0" quotePrefix="0" xfId="0">
      <alignment horizontal="left" vertical="center" wrapText="1"/>
    </xf>
    <xf numFmtId="0" fontId="3" fillId="2" borderId="68" applyAlignment="1" pivotButton="0" quotePrefix="0" xfId="0">
      <alignment horizontal="left" vertical="center" wrapText="1"/>
    </xf>
    <xf numFmtId="0" fontId="0" fillId="20" borderId="68" applyAlignment="1" pivotButton="0" quotePrefix="0" xfId="0">
      <alignment horizontal="left" vertical="center" wrapText="1"/>
    </xf>
    <xf numFmtId="0" fontId="0" fillId="7" borderId="68" applyAlignment="1" pivotButton="0" quotePrefix="0" xfId="0">
      <alignment horizontal="left" vertical="center" wrapText="1"/>
    </xf>
    <xf numFmtId="0" fontId="22" fillId="2" borderId="68" applyAlignment="1" pivotButton="0" quotePrefix="0" xfId="0">
      <alignment horizontal="left" vertical="center" wrapText="1"/>
    </xf>
    <xf numFmtId="0" fontId="0" fillId="0" borderId="69" applyAlignment="1" pivotButton="0" quotePrefix="0" xfId="0">
      <alignment horizontal="left" vertical="center" wrapText="1"/>
    </xf>
    <xf numFmtId="0" fontId="0" fillId="0" borderId="68" applyAlignment="1" pivotButton="0" quotePrefix="0" xfId="0">
      <alignment horizontal="center" vertical="center" wrapText="1"/>
    </xf>
    <xf numFmtId="0" fontId="20" fillId="11" borderId="57" applyAlignment="1" pivotButton="0" quotePrefix="0" xfId="0">
      <alignment horizontal="center" vertical="center" wrapText="1"/>
    </xf>
    <xf numFmtId="0" fontId="18" fillId="4" borderId="53" applyAlignment="1" pivotButton="0" quotePrefix="0" xfId="0">
      <alignment horizontal="center" vertical="center" wrapText="1"/>
    </xf>
    <xf numFmtId="0" fontId="16" fillId="12" borderId="57" applyAlignment="1" pivotButton="0" quotePrefix="0" xfId="0">
      <alignment horizontal="left" vertical="center" wrapText="1"/>
    </xf>
    <xf numFmtId="0" fontId="0" fillId="12" borderId="57" applyAlignment="1" pivotButton="0" quotePrefix="0" xfId="0">
      <alignment horizontal="center" vertical="center" wrapText="1"/>
    </xf>
    <xf numFmtId="0" fontId="0" fillId="12" borderId="55" applyAlignment="1" pivotButton="0" quotePrefix="0" xfId="0">
      <alignment horizontal="left" vertical="center" wrapText="1"/>
    </xf>
    <xf numFmtId="0" fontId="0" fillId="12" borderId="55" applyAlignment="1" pivotButton="0" quotePrefix="0" xfId="0">
      <alignment horizontal="center" vertical="center" wrapText="1"/>
    </xf>
    <xf numFmtId="0" fontId="0" fillId="12" borderId="56" applyAlignment="1" pivotButton="0" quotePrefix="0" xfId="0">
      <alignment horizontal="center" vertical="center" wrapText="1"/>
    </xf>
    <xf numFmtId="0" fontId="16" fillId="0" borderId="52" applyAlignment="1" pivotButton="0" quotePrefix="0" xfId="0">
      <alignment horizontal="left" vertical="center" wrapText="1"/>
    </xf>
    <xf numFmtId="0" fontId="16" fillId="0" borderId="71" applyAlignment="1" pivotButton="0" quotePrefix="0" xfId="0">
      <alignment horizontal="left" vertical="center" wrapText="1"/>
    </xf>
    <xf numFmtId="0" fontId="0" fillId="7" borderId="57" applyAlignment="1" pivotButton="0" quotePrefix="0" xfId="0">
      <alignment horizontal="center" vertical="center" wrapText="1"/>
    </xf>
    <xf numFmtId="0" fontId="0" fillId="7" borderId="56" applyAlignment="1" pivotButton="0" quotePrefix="0" xfId="0">
      <alignment horizontal="left" vertical="center" wrapText="1"/>
    </xf>
    <xf numFmtId="0" fontId="15" fillId="7" borderId="57" applyAlignment="1" pivotButton="0" quotePrefix="0" xfId="1">
      <alignment horizontal="center" vertical="center"/>
    </xf>
    <xf numFmtId="0" fontId="0" fillId="7" borderId="57" applyAlignment="1" pivotButton="0" quotePrefix="0" xfId="0">
      <alignment horizontal="left" vertical="center" wrapText="1"/>
    </xf>
    <xf numFmtId="0" fontId="9" fillId="0" borderId="71" applyAlignment="1" pivotButton="0" quotePrefix="0" xfId="0">
      <alignment horizontal="left" vertical="center" wrapText="1"/>
    </xf>
    <xf numFmtId="0" fontId="0" fillId="0" borderId="57" applyAlignment="1" pivotButton="0" quotePrefix="0" xfId="0">
      <alignment horizontal="left" vertical="center" wrapText="1"/>
    </xf>
    <xf numFmtId="0" fontId="0" fillId="12" borderId="57" applyAlignment="1" pivotButton="0" quotePrefix="0" xfId="0">
      <alignment horizontal="left" vertical="center" wrapText="1"/>
    </xf>
    <xf numFmtId="0" fontId="0" fillId="0" borderId="58" applyAlignment="1" pivotButton="0" quotePrefix="0" xfId="0">
      <alignment horizontal="center" vertical="center" wrapText="1"/>
    </xf>
    <xf numFmtId="0" fontId="0" fillId="0" borderId="69" applyAlignment="1" pivotButton="0" quotePrefix="0" xfId="0">
      <alignment horizontal="center" vertical="center" wrapText="1"/>
    </xf>
    <xf numFmtId="0" fontId="9" fillId="6" borderId="57" applyAlignment="1" pivotButton="0" quotePrefix="0" xfId="0">
      <alignment horizontal="left" vertical="center" wrapText="1"/>
    </xf>
    <xf numFmtId="0" fontId="0" fillId="6" borderId="57" applyAlignment="1" pivotButton="0" quotePrefix="0" xfId="0">
      <alignment horizontal="center" vertical="center" wrapText="1"/>
    </xf>
    <xf numFmtId="0" fontId="0" fillId="6" borderId="55" applyAlignment="1" pivotButton="0" quotePrefix="0" xfId="0">
      <alignment horizontal="left" vertical="center" wrapText="1"/>
    </xf>
    <xf numFmtId="0" fontId="0" fillId="6" borderId="55" applyAlignment="1" pivotButton="0" quotePrefix="0" xfId="0">
      <alignment horizontal="center" vertical="center" wrapText="1"/>
    </xf>
    <xf numFmtId="0" fontId="0" fillId="6" borderId="56" applyAlignment="1" pivotButton="0" quotePrefix="0" xfId="0">
      <alignment horizontal="center" vertical="center" wrapText="1"/>
    </xf>
    <xf numFmtId="0" fontId="15" fillId="8" borderId="57" applyAlignment="1" pivotButton="0" quotePrefix="0" xfId="1">
      <alignment horizontal="center" vertical="center"/>
    </xf>
    <xf numFmtId="0" fontId="0" fillId="15" borderId="57" applyAlignment="1" pivotButton="0" quotePrefix="0" xfId="0">
      <alignment vertical="center"/>
    </xf>
    <xf numFmtId="0" fontId="0" fillId="6" borderId="57" applyAlignment="1" pivotButton="0" quotePrefix="0" xfId="0">
      <alignment vertical="center" wrapText="1"/>
    </xf>
    <xf numFmtId="0" fontId="0" fillId="15" borderId="57" applyAlignment="1" pivotButton="0" quotePrefix="0" xfId="0">
      <alignment horizontal="center" vertical="center"/>
    </xf>
    <xf numFmtId="0" fontId="0" fillId="15" borderId="54" applyAlignment="1" pivotButton="0" quotePrefix="0" xfId="0">
      <alignment vertical="center"/>
    </xf>
    <xf numFmtId="0" fontId="0" fillId="15" borderId="55" applyAlignment="1" pivotButton="0" quotePrefix="0" xfId="0">
      <alignment vertical="center"/>
    </xf>
    <xf numFmtId="0" fontId="0" fillId="15" borderId="56" applyAlignment="1" pivotButton="0" quotePrefix="0" xfId="0">
      <alignment vertical="center"/>
    </xf>
    <xf numFmtId="0" fontId="0" fillId="16" borderId="57" applyAlignment="1" pivotButton="0" quotePrefix="0" xfId="0">
      <alignment horizontal="center" vertical="center" wrapText="1"/>
    </xf>
    <xf numFmtId="0" fontId="0" fillId="15" borderId="57" applyAlignment="1" pivotButton="0" quotePrefix="0" xfId="0">
      <alignment vertical="center" wrapText="1"/>
    </xf>
    <xf numFmtId="0" fontId="15" fillId="7" borderId="57" applyAlignment="1" pivotButton="0" quotePrefix="0" xfId="2">
      <alignment horizontal="center" vertical="center"/>
    </xf>
    <xf numFmtId="0" fontId="0" fillId="16" borderId="57" applyAlignment="1" pivotButton="0" quotePrefix="0" xfId="0">
      <alignment horizontal="center" vertical="center"/>
    </xf>
    <xf numFmtId="0" fontId="0" fillId="16" borderId="57" applyAlignment="1" pivotButton="0" quotePrefix="0" xfId="0">
      <alignment vertical="center"/>
    </xf>
    <xf numFmtId="0" fontId="15" fillId="16" borderId="57" applyAlignment="1" pivotButton="0" quotePrefix="0" xfId="1">
      <alignment horizontal="center" vertical="center"/>
    </xf>
    <xf numFmtId="0" fontId="0" fillId="15" borderId="57" applyAlignment="1" pivotButton="0" quotePrefix="0" xfId="0">
      <alignment vertical="top" wrapText="1"/>
    </xf>
    <xf numFmtId="0" fontId="0" fillId="0" borderId="58" applyAlignment="1" pivotButton="0" quotePrefix="0" xfId="0">
      <alignment horizontal="center" vertical="center"/>
    </xf>
    <xf numFmtId="0" fontId="0" fillId="0" borderId="58" applyAlignment="1" pivotButton="0" quotePrefix="0" xfId="0">
      <alignment vertical="center"/>
    </xf>
    <xf numFmtId="0" fontId="0" fillId="15" borderId="57" applyAlignment="1" pivotButton="0" quotePrefix="0" xfId="0">
      <alignment wrapText="1"/>
    </xf>
    <xf numFmtId="0" fontId="0" fillId="15" borderId="57" applyAlignment="1" pivotButton="0" quotePrefix="0" xfId="0">
      <alignment horizontal="center"/>
    </xf>
    <xf numFmtId="0" fontId="0" fillId="16" borderId="57" applyAlignment="1" pivotButton="0" quotePrefix="0" xfId="0">
      <alignment horizontal="center"/>
    </xf>
    <xf numFmtId="0" fontId="0" fillId="16" borderId="57" pivotButton="0" quotePrefix="0" xfId="0"/>
    <xf numFmtId="0" fontId="24" fillId="0" borderId="57" applyAlignment="1" pivotButton="0" quotePrefix="0" xfId="0">
      <alignment wrapText="1"/>
    </xf>
    <xf numFmtId="0" fontId="16" fillId="0" borderId="57" applyAlignment="1" pivotButton="0" quotePrefix="0" xfId="0">
      <alignment horizontal="center" vertical="center" wrapText="1"/>
    </xf>
    <xf numFmtId="0" fontId="9" fillId="0" borderId="52" applyAlignment="1" pivotButton="0" quotePrefix="0" xfId="0">
      <alignment horizontal="left" vertical="center" wrapText="1"/>
    </xf>
    <xf numFmtId="0" fontId="9" fillId="0" borderId="70" applyAlignment="1" pivotButton="0" quotePrefix="0" xfId="0">
      <alignment horizontal="left" vertical="center" wrapText="1"/>
    </xf>
    <xf numFmtId="0" fontId="0" fillId="0" borderId="71" pivotButton="0" quotePrefix="0" xfId="0"/>
    <xf numFmtId="0" fontId="3" fillId="10" borderId="68" applyAlignment="1" pivotButton="0" quotePrefix="0" xfId="0">
      <alignment horizontal="center" vertical="center" wrapText="1"/>
    </xf>
    <xf numFmtId="0" fontId="3" fillId="2" borderId="68" applyAlignment="1" pivotButton="0" quotePrefix="0" xfId="0">
      <alignment horizontal="center" vertical="center" wrapText="1"/>
    </xf>
    <xf numFmtId="0" fontId="9" fillId="0" borderId="68" applyAlignment="1" pivotButton="0" quotePrefix="1" xfId="0">
      <alignment horizontal="center" vertical="center" wrapText="1"/>
    </xf>
    <xf numFmtId="0" fontId="2" fillId="0" borderId="68" applyAlignment="1" pivotButton="0" quotePrefix="0" xfId="0">
      <alignment horizontal="center" vertical="center" wrapText="1"/>
    </xf>
    <xf numFmtId="0" fontId="21" fillId="0" borderId="68" applyAlignment="1" pivotButton="0" quotePrefix="0" xfId="0">
      <alignment horizontal="center" vertical="center" wrapText="1"/>
    </xf>
    <xf numFmtId="0" fontId="9" fillId="0" borderId="68" applyAlignment="1" pivotButton="0" quotePrefix="0" xfId="0">
      <alignment horizontal="center" vertical="center" wrapText="1"/>
    </xf>
    <xf numFmtId="0" fontId="17" fillId="0" borderId="68" applyAlignment="1" pivotButton="0" quotePrefix="0" xfId="0">
      <alignment horizontal="center" vertical="center" wrapText="1"/>
    </xf>
    <xf numFmtId="0" fontId="0" fillId="2" borderId="68" applyAlignment="1" pivotButton="0" quotePrefix="0" xfId="0">
      <alignment horizontal="center" vertical="center" wrapText="1"/>
    </xf>
    <xf numFmtId="0" fontId="16" fillId="0" borderId="68" applyAlignment="1" pivotButton="0" quotePrefix="0" xfId="0">
      <alignment horizontal="center" vertical="center" wrapText="1"/>
    </xf>
    <xf numFmtId="0" fontId="4" fillId="0" borderId="69" pivotButton="0" quotePrefix="0" xfId="0"/>
    <xf numFmtId="0" fontId="4" fillId="3" borderId="69" pivotButton="0" quotePrefix="0" xfId="0"/>
    <xf numFmtId="0" fontId="4" fillId="2" borderId="69" pivotButton="0" quotePrefix="0" xfId="0"/>
    <xf numFmtId="0" fontId="0" fillId="2" borderId="69" pivotButton="0" quotePrefix="0" xfId="0"/>
    <xf numFmtId="0" fontId="4" fillId="0" borderId="57" pivotButton="0" quotePrefix="0" xfId="0"/>
    <xf numFmtId="3" fontId="0" fillId="0" borderId="57" applyAlignment="1" pivotButton="0" quotePrefix="0" xfId="0">
      <alignment horizontal="left"/>
    </xf>
    <xf numFmtId="0" fontId="4" fillId="3" borderId="57" pivotButton="0" quotePrefix="0" xfId="0"/>
    <xf numFmtId="3" fontId="0" fillId="3" borderId="57" applyAlignment="1" pivotButton="0" quotePrefix="0" xfId="0">
      <alignment horizontal="left"/>
    </xf>
    <xf numFmtId="3" fontId="0" fillId="0" borderId="57" applyAlignment="1" pivotButton="0" quotePrefix="0" xfId="0">
      <alignment horizontal="center"/>
    </xf>
    <xf numFmtId="0" fontId="4" fillId="2" borderId="57" pivotButton="0" quotePrefix="0" xfId="0"/>
    <xf numFmtId="3" fontId="0" fillId="2" borderId="57" applyAlignment="1" pivotButton="0" quotePrefix="0" xfId="0">
      <alignment horizontal="left"/>
    </xf>
    <xf numFmtId="0" fontId="0" fillId="3" borderId="57" pivotButton="0" quotePrefix="0" xfId="0"/>
    <xf numFmtId="0" fontId="0" fillId="2" borderId="57" pivotButton="0" quotePrefix="0" xfId="0"/>
    <xf numFmtId="0" fontId="0" fillId="0" borderId="57" applyAlignment="1" pivotButton="0" quotePrefix="0" xfId="0">
      <alignment wrapText="1"/>
    </xf>
    <xf numFmtId="0" fontId="0" fillId="3" borderId="57" applyAlignment="1" pivotButton="0" quotePrefix="0" xfId="0">
      <alignment wrapText="1"/>
    </xf>
    <xf numFmtId="0" fontId="0" fillId="0" borderId="57" applyAlignment="1" pivotButton="0" quotePrefix="0" xfId="0">
      <alignment horizontal="center" wrapText="1"/>
    </xf>
    <xf numFmtId="0" fontId="0" fillId="2" borderId="57" applyAlignment="1" pivotButton="0" quotePrefix="0" xfId="0">
      <alignment wrapText="1"/>
    </xf>
    <xf numFmtId="0" fontId="3" fillId="0" borderId="55" applyAlignment="1" pivotButton="0" quotePrefix="0" xfId="0">
      <alignment horizontal="center" vertical="center"/>
    </xf>
    <xf numFmtId="0" fontId="0" fillId="3" borderId="57" applyAlignment="1" pivotButton="0" quotePrefix="0" xfId="0">
      <alignment horizontal="center" vertical="center" wrapText="1"/>
    </xf>
    <xf numFmtId="0" fontId="5" fillId="0" borderId="57" applyAlignment="1" pivotButton="0" quotePrefix="0" xfId="0">
      <alignment horizontal="center"/>
    </xf>
    <xf numFmtId="0" fontId="0" fillId="0" borderId="69" applyAlignment="1" pivotButton="0" quotePrefix="0" xfId="0">
      <alignment horizontal="center"/>
    </xf>
    <xf numFmtId="0" fontId="10" fillId="0" borderId="57" applyAlignment="1" pivotButton="0" quotePrefix="0" xfId="0">
      <alignment horizontal="center" vertical="center"/>
    </xf>
    <xf numFmtId="0" fontId="0" fillId="2" borderId="57" applyAlignment="1" pivotButton="0" quotePrefix="0" xfId="0">
      <alignment horizontal="center"/>
    </xf>
    <xf numFmtId="0" fontId="11" fillId="0" borderId="57" applyAlignment="1" pivotButton="0" quotePrefix="0" xfId="0">
      <alignment horizontal="center"/>
    </xf>
    <xf numFmtId="0" fontId="4" fillId="0" borderId="55" pivotButton="0" quotePrefix="0" xfId="0"/>
    <xf numFmtId="0" fontId="4" fillId="0" borderId="55" applyAlignment="1" pivotButton="0" quotePrefix="0" xfId="0">
      <alignment vertical="center"/>
    </xf>
    <xf numFmtId="0" fontId="5" fillId="0" borderId="57" applyAlignment="1" pivotButton="0" quotePrefix="0" xfId="0">
      <alignment vertical="center" wrapText="1"/>
    </xf>
    <xf numFmtId="0" fontId="0" fillId="0" borderId="57" applyAlignment="1" pivotButton="0" quotePrefix="0" xfId="0">
      <alignment vertical="center" wrapText="1"/>
    </xf>
    <xf numFmtId="0" fontId="5" fillId="0" borderId="57" pivotButton="0" quotePrefix="0" xfId="0"/>
    <xf numFmtId="0" fontId="4" fillId="0" borderId="70" pivotButton="0" quotePrefix="0" xfId="0"/>
    <xf numFmtId="0" fontId="5" fillId="0" borderId="58" pivotButton="0" quotePrefix="0" xfId="0"/>
    <xf numFmtId="0" fontId="6" fillId="0" borderId="57" pivotButton="0" quotePrefix="0" xfId="0"/>
    <xf numFmtId="0" fontId="4" fillId="0" borderId="58" pivotButton="0" quotePrefix="0" xfId="0"/>
    <xf numFmtId="0" fontId="0" fillId="6" borderId="58" applyAlignment="1" pivotButton="0" quotePrefix="0" xfId="0">
      <alignment horizontal="left" vertical="center" wrapText="1"/>
    </xf>
    <xf numFmtId="0" fontId="15" fillId="6" borderId="57" applyAlignment="1" pivotButton="0" quotePrefix="0" xfId="1">
      <alignment horizontal="center" vertical="center"/>
    </xf>
    <xf numFmtId="0" fontId="9" fillId="4" borderId="57" applyAlignment="1" pivotButton="0" quotePrefix="0" xfId="0">
      <alignment horizontal="center" vertical="center" wrapText="1"/>
    </xf>
    <xf numFmtId="0" fontId="0" fillId="0" borderId="56" pivotButton="0" quotePrefix="0" xfId="0"/>
    <xf numFmtId="0" fontId="18" fillId="4" borderId="57" applyAlignment="1" pivotButton="0" quotePrefix="0" xfId="0">
      <alignment horizontal="center" vertical="center" wrapText="1"/>
    </xf>
    <xf numFmtId="0" fontId="18" fillId="4" borderId="54" applyAlignment="1" pivotButton="0" quotePrefix="0" xfId="0">
      <alignment horizontal="center" vertical="center" wrapText="1"/>
    </xf>
    <xf numFmtId="0" fontId="0" fillId="0" borderId="55" pivotButton="0" quotePrefix="0" xfId="0"/>
    <xf numFmtId="0" fontId="3" fillId="5" borderId="57" applyAlignment="1" pivotButton="0" quotePrefix="0" xfId="0">
      <alignment horizontal="center" vertical="center" wrapText="1"/>
    </xf>
    <xf numFmtId="0" fontId="0" fillId="0" borderId="68" pivotButton="0" quotePrefix="0" xfId="0"/>
    <xf numFmtId="0" fontId="0" fillId="0" borderId="69" pivotButton="0" quotePrefix="0" xfId="0"/>
    <xf numFmtId="0" fontId="9" fillId="4" borderId="54" applyAlignment="1" pivotButton="0" quotePrefix="0" xfId="0">
      <alignment horizontal="center" vertical="center" wrapText="1"/>
    </xf>
    <xf numFmtId="0" fontId="16" fillId="4" borderId="57" applyAlignment="1" pivotButton="0" quotePrefix="0" xfId="0">
      <alignment horizontal="center" vertical="center" wrapText="1"/>
    </xf>
    <xf numFmtId="0" fontId="18" fillId="4" borderId="13" applyAlignment="1" pivotButton="0" quotePrefix="0" xfId="0">
      <alignment horizontal="center" vertical="center" wrapText="1"/>
    </xf>
    <xf numFmtId="0" fontId="0" fillId="0" borderId="13" pivotButton="0" quotePrefix="0" xfId="0"/>
    <xf numFmtId="0" fontId="9" fillId="4" borderId="13" applyAlignment="1" pivotButton="0" quotePrefix="0" xfId="0">
      <alignment horizontal="center" vertical="center" wrapText="1"/>
    </xf>
    <xf numFmtId="0" fontId="18" fillId="4" borderId="55" applyAlignment="1" pivotButton="0" quotePrefix="0" xfId="0">
      <alignment horizontal="center" vertical="center" wrapText="1"/>
    </xf>
    <xf numFmtId="0" fontId="3" fillId="5" borderId="54" applyAlignment="1" pivotButton="0" quotePrefix="0" xfId="0">
      <alignment horizontal="center" vertical="center" wrapText="1"/>
    </xf>
    <xf numFmtId="0" fontId="0" fillId="0" borderId="53" pivotButton="0" quotePrefix="0" xfId="0"/>
    <xf numFmtId="0" fontId="18" fillId="4" borderId="72" applyAlignment="1" pivotButton="0" quotePrefix="1" xfId="0">
      <alignment horizontal="center" vertical="center" wrapText="1"/>
    </xf>
    <xf numFmtId="0" fontId="18" fillId="4" borderId="23" applyAlignment="1" pivotButton="0" quotePrefix="1" xfId="0">
      <alignment horizontal="center" vertical="center" wrapText="1"/>
    </xf>
    <xf numFmtId="0" fontId="18" fillId="4" borderId="30" applyAlignment="1" pivotButton="0" quotePrefix="1" xfId="0">
      <alignment horizontal="center" vertical="center" wrapText="1"/>
    </xf>
    <xf numFmtId="0" fontId="3" fillId="5" borderId="58" applyAlignment="1" pivotButton="0" quotePrefix="0" xfId="0">
      <alignment horizontal="center" vertical="center" wrapText="1"/>
    </xf>
    <xf numFmtId="0" fontId="3" fillId="5" borderId="69" applyAlignment="1" pivotButton="0" quotePrefix="0" xfId="0">
      <alignment horizontal="center" vertical="center" wrapText="1"/>
    </xf>
    <xf numFmtId="0" fontId="3" fillId="5" borderId="52" applyAlignment="1" pivotButton="0" quotePrefix="0" xfId="0">
      <alignment horizontal="center" vertical="center" wrapText="1"/>
    </xf>
    <xf numFmtId="0" fontId="3" fillId="5" borderId="53" applyAlignment="1" pivotButton="0" quotePrefix="0" xfId="0">
      <alignment horizontal="center" vertical="center" wrapText="1"/>
    </xf>
    <xf numFmtId="0" fontId="19" fillId="14" borderId="25" applyAlignment="1" pivotButton="0" quotePrefix="0" xfId="0">
      <alignment horizontal="center" vertical="center" wrapText="1"/>
    </xf>
    <xf numFmtId="0" fontId="19" fillId="14" borderId="21" applyAlignment="1" pivotButton="0" quotePrefix="0" xfId="0">
      <alignment horizontal="center" vertical="center" wrapText="1"/>
    </xf>
    <xf numFmtId="0" fontId="19" fillId="4" borderId="72" applyAlignment="1" pivotButton="0" quotePrefix="0" xfId="0">
      <alignment horizontal="center" vertical="center" wrapText="1"/>
    </xf>
    <xf numFmtId="0" fontId="19" fillId="4" borderId="23" applyAlignment="1" pivotButton="0" quotePrefix="0" xfId="0">
      <alignment horizontal="center" vertical="center" wrapText="1"/>
    </xf>
    <xf numFmtId="0" fontId="19" fillId="4" borderId="30" applyAlignment="1" pivotButton="0" quotePrefix="0" xfId="0">
      <alignment horizontal="center" vertical="center" wrapText="1"/>
    </xf>
    <xf numFmtId="0" fontId="18" fillId="4" borderId="72" applyAlignment="1" pivotButton="0" quotePrefix="0" xfId="0">
      <alignment horizontal="center" vertical="center" wrapText="1"/>
    </xf>
    <xf numFmtId="0" fontId="18" fillId="4" borderId="23" applyAlignment="1" pivotButton="0" quotePrefix="0" xfId="0">
      <alignment horizontal="center" vertical="center" wrapText="1"/>
    </xf>
    <xf numFmtId="0" fontId="18" fillId="4" borderId="30" applyAlignment="1" pivotButton="0" quotePrefix="0" xfId="0">
      <alignment horizontal="center" vertical="center" wrapText="1"/>
    </xf>
    <xf numFmtId="0" fontId="3" fillId="13" borderId="54" applyAlignment="1" pivotButton="0" quotePrefix="0" xfId="0">
      <alignment horizontal="center" vertical="center" wrapText="1"/>
    </xf>
    <xf numFmtId="0" fontId="3" fillId="13" borderId="57" applyAlignment="1" pivotButton="0" quotePrefix="0" xfId="0">
      <alignment horizontal="center" vertical="center" wrapText="1"/>
    </xf>
    <xf numFmtId="0" fontId="3" fillId="13" borderId="56" applyAlignment="1" pivotButton="0" quotePrefix="0" xfId="0">
      <alignment horizontal="center" vertical="center" wrapText="1"/>
    </xf>
    <xf numFmtId="0" fontId="0" fillId="0" borderId="4" pivotButton="0" quotePrefix="0" xfId="0"/>
    <xf numFmtId="0" fontId="3" fillId="4" borderId="58" applyAlignment="1" pivotButton="0" quotePrefix="0" xfId="0">
      <alignment horizontal="center" vertical="center" wrapText="1"/>
    </xf>
    <xf numFmtId="0" fontId="0" fillId="0" borderId="70" pivotButton="0" quotePrefix="0" xfId="0"/>
    <xf numFmtId="0" fontId="0" fillId="0" borderId="71" pivotButton="0" quotePrefix="0" xfId="0"/>
    <xf numFmtId="0" fontId="12" fillId="0" borderId="35" applyAlignment="1" pivotButton="0" quotePrefix="0" xfId="0">
      <alignment horizontal="center" wrapText="1"/>
    </xf>
    <xf numFmtId="0" fontId="0" fillId="0" borderId="36" pivotButton="0" quotePrefix="0" xfId="0"/>
    <xf numFmtId="0" fontId="5" fillId="0" borderId="1" applyAlignment="1" pivotButton="0" quotePrefix="0" xfId="0">
      <alignment horizontal="center" vertical="center"/>
    </xf>
    <xf numFmtId="0" fontId="0" fillId="0" borderId="39" pivotButton="0" quotePrefix="0" xfId="0"/>
    <xf numFmtId="0" fontId="0" fillId="0" borderId="2" pivotButton="0" quotePrefix="0" xfId="0"/>
    <xf numFmtId="0" fontId="0" fillId="0" borderId="1" applyAlignment="1" pivotButton="0" quotePrefix="0" xfId="0">
      <alignment horizontal="center"/>
    </xf>
    <xf numFmtId="0" fontId="0" fillId="0" borderId="20" applyAlignment="1" pivotButton="0" quotePrefix="0" xfId="0">
      <alignment horizontal="center" vertical="center"/>
    </xf>
    <xf numFmtId="0" fontId="0" fillId="0" borderId="46" pivotButton="0" quotePrefix="0" xfId="0"/>
    <xf numFmtId="0" fontId="0" fillId="0" borderId="40" pivotButton="0" quotePrefix="0" xfId="0"/>
    <xf numFmtId="0" fontId="0" fillId="0" borderId="0" pivotButton="0" quotePrefix="0" xfId="0"/>
    <xf numFmtId="0" fontId="0" fillId="0" borderId="32" pivotButton="0" quotePrefix="0" xfId="0"/>
    <xf numFmtId="0" fontId="0" fillId="0" borderId="41" pivotButton="0" quotePrefix="0" xfId="0"/>
    <xf numFmtId="0" fontId="0" fillId="0" borderId="47" pivotButton="0" quotePrefix="0" xfId="0"/>
    <xf numFmtId="0" fontId="0" fillId="0" borderId="38" pivotButton="0" quotePrefix="0" xfId="0"/>
    <xf numFmtId="0" fontId="3" fillId="0" borderId="41" applyAlignment="1" pivotButton="0" quotePrefix="0" xfId="0">
      <alignment horizontal="center" vertical="center"/>
    </xf>
    <xf numFmtId="0" fontId="5" fillId="0" borderId="1" applyAlignment="1" pivotButton="0" quotePrefix="0" xfId="0">
      <alignment horizontal="center"/>
    </xf>
    <xf numFmtId="0" fontId="0" fillId="0" borderId="1" applyAlignment="1" pivotButton="0" quotePrefix="0" xfId="0">
      <alignment horizontal="center" vertical="center"/>
    </xf>
    <xf numFmtId="0" fontId="3" fillId="0" borderId="23" applyAlignment="1" pivotButton="0" quotePrefix="0" xfId="0">
      <alignment horizontal="center" vertical="center"/>
    </xf>
    <xf numFmtId="0" fontId="0" fillId="0" borderId="1" applyAlignment="1" pivotButton="0" quotePrefix="0" xfId="0">
      <alignment horizontal="center" vertical="center" wrapText="1"/>
    </xf>
    <xf numFmtId="0" fontId="3" fillId="0" borderId="18" applyAlignment="1" pivotButton="0" quotePrefix="0" xfId="0">
      <alignment horizontal="center" vertical="center" wrapText="1"/>
    </xf>
    <xf numFmtId="0" fontId="0" fillId="0" borderId="14" pivotButton="0" quotePrefix="0" xfId="0"/>
    <xf numFmtId="0" fontId="0" fillId="0" borderId="18" pivotButton="0" quotePrefix="0" xfId="0"/>
    <xf numFmtId="0" fontId="3" fillId="0" borderId="34" applyAlignment="1" pivotButton="0" quotePrefix="0" xfId="0">
      <alignment horizontal="center" vertical="center"/>
    </xf>
    <xf numFmtId="0" fontId="0" fillId="0" borderId="27" pivotButton="0" quotePrefix="0" xfId="0"/>
    <xf numFmtId="0" fontId="0" fillId="0" borderId="42" applyAlignment="1" pivotButton="0" quotePrefix="0" xfId="0">
      <alignment horizontal="center" vertical="center"/>
    </xf>
    <xf numFmtId="0" fontId="0" fillId="0" borderId="11" pivotButton="0" quotePrefix="0" xfId="0"/>
    <xf numFmtId="0" fontId="0" fillId="0" borderId="28" applyAlignment="1" pivotButton="0" quotePrefix="0" xfId="0">
      <alignment horizontal="center" vertical="center"/>
    </xf>
    <xf numFmtId="0" fontId="3" fillId="2" borderId="18" applyAlignment="1" pivotButton="0" quotePrefix="0" xfId="0">
      <alignment horizontal="center" vertical="center"/>
    </xf>
    <xf numFmtId="0" fontId="3" fillId="0" borderId="13" applyAlignment="1" pivotButton="0" quotePrefix="0" xfId="0">
      <alignment horizontal="center" vertical="center"/>
    </xf>
    <xf numFmtId="0" fontId="3" fillId="0" borderId="6" applyAlignment="1" pivotButton="0" quotePrefix="0" xfId="0">
      <alignment horizontal="center"/>
    </xf>
    <xf numFmtId="0" fontId="0" fillId="0" borderId="51" pivotButton="0" quotePrefix="0" xfId="0"/>
    <xf numFmtId="0" fontId="3" fillId="0" borderId="1" applyAlignment="1" pivotButton="0" quotePrefix="0" xfId="0">
      <alignment horizontal="center" vertical="center"/>
    </xf>
    <xf numFmtId="0" fontId="0" fillId="0" borderId="3" pivotButton="0" quotePrefix="0" xfId="0"/>
    <xf numFmtId="0" fontId="5" fillId="0" borderId="24" applyAlignment="1" pivotButton="0" quotePrefix="0" xfId="0">
      <alignment horizontal="center" vertical="center"/>
    </xf>
    <xf numFmtId="0" fontId="3" fillId="0" borderId="55" applyAlignment="1" pivotButton="0" quotePrefix="0" xfId="0">
      <alignment horizontal="center" vertical="center"/>
    </xf>
    <xf numFmtId="0" fontId="3" fillId="0" borderId="42" applyAlignment="1" pivotButton="0" quotePrefix="0" xfId="0">
      <alignment horizontal="center" vertical="center" wrapText="1"/>
    </xf>
    <xf numFmtId="0" fontId="5" fillId="0" borderId="28" applyAlignment="1" pivotButton="0" quotePrefix="0" xfId="0">
      <alignment horizontal="center" vertical="center"/>
    </xf>
    <xf numFmtId="0" fontId="6" fillId="0" borderId="3" applyAlignment="1" pivotButton="0" quotePrefix="0" xfId="0">
      <alignment horizontal="center" vertical="center"/>
    </xf>
    <xf numFmtId="0" fontId="5" fillId="0" borderId="42" applyAlignment="1" pivotButton="0" quotePrefix="0" xfId="0">
      <alignment horizontal="center" vertical="center" wrapText="1"/>
    </xf>
    <xf numFmtId="0" fontId="0" fillId="0" borderId="12" applyAlignment="1" pivotButton="0" quotePrefix="0" xfId="0">
      <alignment horizontal="center" vertical="center"/>
    </xf>
    <xf numFmtId="0" fontId="0" fillId="0" borderId="43" pivotButton="0" quotePrefix="0" xfId="0"/>
    <xf numFmtId="0" fontId="0" fillId="0" borderId="29" pivotButton="0" quotePrefix="0" xfId="0"/>
    <xf numFmtId="0" fontId="0" fillId="0" borderId="44" pivotButton="0" quotePrefix="0" xfId="0"/>
    <xf numFmtId="0" fontId="0" fillId="0" borderId="45" pivotButton="0" quotePrefix="0" xfId="0"/>
    <xf numFmtId="0" fontId="5" fillId="0" borderId="18" applyAlignment="1" pivotButton="0" quotePrefix="0" xfId="0">
      <alignment horizontal="center" vertical="center" wrapText="1"/>
    </xf>
    <xf numFmtId="0" fontId="0" fillId="2" borderId="28" applyAlignment="1" pivotButton="0" quotePrefix="0" xfId="0">
      <alignment horizontal="center" vertical="center"/>
    </xf>
    <xf numFmtId="0" fontId="3" fillId="0" borderId="12" applyAlignment="1" pivotButton="0" quotePrefix="0" xfId="0">
      <alignment horizontal="center" vertical="center"/>
    </xf>
    <xf numFmtId="0" fontId="0" fillId="0" borderId="33" pivotButton="0" quotePrefix="0" xfId="0"/>
    <xf numFmtId="0" fontId="0" fillId="2" borderId="24" applyAlignment="1" pivotButton="0" quotePrefix="0" xfId="0">
      <alignment horizontal="center" vertical="center"/>
    </xf>
    <xf numFmtId="0" fontId="5" fillId="0" borderId="20" applyAlignment="1" pivotButton="0" quotePrefix="0" xfId="0">
      <alignment horizontal="center" vertical="center"/>
    </xf>
    <xf numFmtId="0" fontId="0" fillId="2" borderId="42" applyAlignment="1" pivotButton="0" quotePrefix="0" xfId="0">
      <alignment horizontal="center" vertical="center"/>
    </xf>
    <xf numFmtId="0" fontId="0" fillId="0" borderId="8" applyAlignment="1" pivotButton="0" quotePrefix="0" xfId="0">
      <alignment horizontal="center" vertical="center"/>
    </xf>
    <xf numFmtId="0" fontId="0" fillId="0" borderId="31" pivotButton="0" quotePrefix="0" xfId="0"/>
    <xf numFmtId="0" fontId="0" fillId="0" borderId="37" pivotButton="0" quotePrefix="0" xfId="0"/>
    <xf numFmtId="0" fontId="7" fillId="0" borderId="3" applyAlignment="1" pivotButton="0" quotePrefix="0" xfId="0">
      <alignment horizontal="center" vertical="center"/>
    </xf>
    <xf numFmtId="0" fontId="5" fillId="0" borderId="12" applyAlignment="1" pivotButton="0" quotePrefix="0" xfId="0">
      <alignment horizontal="center" vertical="center"/>
    </xf>
    <xf numFmtId="0" fontId="0" fillId="0" borderId="23" pivotButton="0" quotePrefix="0" xfId="0"/>
    <xf numFmtId="0" fontId="0" fillId="0" borderId="48" pivotButton="0" quotePrefix="0" xfId="0"/>
    <xf numFmtId="0" fontId="0" fillId="0" borderId="24" applyAlignment="1" pivotButton="0" quotePrefix="0" xfId="0">
      <alignment horizontal="center" vertical="center"/>
    </xf>
    <xf numFmtId="0" fontId="0" fillId="3" borderId="42" applyAlignment="1" pivotButton="0" quotePrefix="0" xfId="0">
      <alignment horizontal="center" vertical="center"/>
    </xf>
    <xf numFmtId="0" fontId="3" fillId="2" borderId="42" applyAlignment="1" pivotButton="0" quotePrefix="0" xfId="0">
      <alignment horizontal="center" vertical="center"/>
    </xf>
    <xf numFmtId="0" fontId="3" fillId="0" borderId="42" applyAlignment="1" pivotButton="0" quotePrefix="0" xfId="0">
      <alignment horizontal="center" vertical="center"/>
    </xf>
    <xf numFmtId="0" fontId="20" fillId="11" borderId="53" applyAlignment="1" pivotButton="0" quotePrefix="0" xfId="0">
      <alignment horizontal="center" vertical="center" wrapText="1"/>
    </xf>
    <xf numFmtId="0" fontId="9" fillId="6" borderId="55" applyAlignment="1" pivotButton="0" quotePrefix="0" xfId="0">
      <alignment horizontal="left" vertical="center" wrapText="1"/>
    </xf>
    <xf numFmtId="0" fontId="0" fillId="15" borderId="55" applyAlignment="1" pivotButton="0" quotePrefix="0" xfId="0">
      <alignment vertical="top" wrapText="1"/>
    </xf>
    <xf numFmtId="0" fontId="0" fillId="15" borderId="55" applyAlignment="1" pivotButton="0" quotePrefix="0" xfId="0">
      <alignment vertical="center" wrapText="1"/>
    </xf>
    <xf numFmtId="0" fontId="0" fillId="15" borderId="55" applyAlignment="1" pivotButton="0" quotePrefix="0" xfId="0">
      <alignment wrapText="1"/>
    </xf>
    <xf numFmtId="0" fontId="33" fillId="0" borderId="70" applyAlignment="1" pivotButton="0" quotePrefix="0" xfId="0">
      <alignment wrapText="1"/>
    </xf>
    <xf numFmtId="0" fontId="34" fillId="0" borderId="0" applyAlignment="1" pivotButton="0" quotePrefix="0" xfId="0">
      <alignment vertical="top" wrapText="1"/>
    </xf>
    <xf numFmtId="0" fontId="0" fillId="0" borderId="0" applyAlignment="1" pivotButton="0" quotePrefix="0" xfId="0">
      <alignment vertical="top" wrapText="1"/>
    </xf>
    <xf numFmtId="0" fontId="35" fillId="0" borderId="0" applyAlignment="1" pivotButton="0" quotePrefix="0" xfId="0">
      <alignment horizontal="center"/>
    </xf>
    <xf numFmtId="0" fontId="36" fillId="0" borderId="0" applyAlignment="1" pivotButton="0" quotePrefix="0" xfId="0">
      <alignment horizontal="center"/>
    </xf>
    <xf numFmtId="0" fontId="37" fillId="0" borderId="0" applyAlignment="1" pivotButton="0" quotePrefix="0" xfId="0">
      <alignment horizontal="center"/>
    </xf>
    <xf numFmtId="0" fontId="38" fillId="0" borderId="0" applyAlignment="1" pivotButton="0" quotePrefix="0" xfId="0">
      <alignment horizontal="center"/>
    </xf>
    <xf numFmtId="0" fontId="39" fillId="0" borderId="0" applyAlignment="1" pivotButton="0" quotePrefix="0" xfId="0">
      <alignment vertical="top" wrapText="1"/>
    </xf>
    <xf numFmtId="0" fontId="0" fillId="0" borderId="78" pivotButton="0" quotePrefix="0" xfId="0"/>
    <xf numFmtId="0" fontId="0" fillId="0" borderId="79" pivotButton="0" quotePrefix="0" xfId="0"/>
    <xf numFmtId="0" fontId="19" fillId="4" borderId="25" applyAlignment="1" pivotButton="0" quotePrefix="0" xfId="0">
      <alignment horizontal="center" vertical="center" wrapText="1"/>
    </xf>
    <xf numFmtId="0" fontId="18" fillId="4" borderId="25" applyAlignment="1" pivotButton="0" quotePrefix="0" xfId="0">
      <alignment horizontal="center" vertical="center" wrapText="1"/>
    </xf>
    <xf numFmtId="0" fontId="18" fillId="4" borderId="25" applyAlignment="1" pivotButton="0" quotePrefix="1" xfId="0">
      <alignment horizontal="center" vertical="center" wrapText="1"/>
    </xf>
    <xf numFmtId="0" fontId="0" fillId="0" borderId="82" pivotButton="0" quotePrefix="0" xfId="0"/>
    <xf numFmtId="0" fontId="40" fillId="0" borderId="55" applyAlignment="1" pivotButton="0" quotePrefix="0" xfId="0">
      <alignment vertical="top" wrapText="1"/>
    </xf>
    <xf numFmtId="0" fontId="41" fillId="0" borderId="55" applyAlignment="1" pivotButton="0" quotePrefix="0" xfId="0">
      <alignment vertical="top" wrapText="1"/>
    </xf>
    <xf numFmtId="0" fontId="42" fillId="0" borderId="55" applyAlignment="1" pivotButton="0" quotePrefix="0" xfId="0">
      <alignment vertical="top" wrapText="1"/>
    </xf>
    <xf numFmtId="0" fontId="40" fillId="0" borderId="0" applyAlignment="1" pivotButton="0" quotePrefix="0" xfId="0">
      <alignment vertical="top" wrapText="1"/>
    </xf>
    <xf numFmtId="0" fontId="41" fillId="0" borderId="0" applyAlignment="1" pivotButton="0" quotePrefix="0" xfId="0">
      <alignment vertical="top" wrapText="1"/>
    </xf>
    <xf numFmtId="0" fontId="42" fillId="0" borderId="0" applyAlignment="1" pivotButton="0" quotePrefix="0" xfId="0">
      <alignment vertical="top" wrapText="1"/>
    </xf>
    <xf numFmtId="0" fontId="43" fillId="0" borderId="0" applyAlignment="1" pivotButton="0" quotePrefix="0" xfId="0">
      <alignment vertical="top" wrapText="1"/>
    </xf>
    <xf numFmtId="0" fontId="0" fillId="0" borderId="77" pivotButton="0" quotePrefix="0" xfId="0"/>
    <xf numFmtId="0" fontId="0" fillId="0" borderId="83" pivotButton="0" quotePrefix="0" xfId="0"/>
    <xf numFmtId="0" fontId="0" fillId="0" borderId="85" pivotButton="0" quotePrefix="0" xfId="0"/>
    <xf numFmtId="0" fontId="0" fillId="0" borderId="84" pivotButton="0" quotePrefix="0" xfId="0"/>
  </cellXfs>
  <cellStyles count="3">
    <cellStyle name="Normale" xfId="0" builtinId="0"/>
    <cellStyle name="Collegamento ipertestuale" xfId="1" builtinId="8"/>
    <cellStyle name="Hyperlink"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MORBIDI MAURIZIO</author>
  </authors>
  <commentList>
    <comment ref="D5" authorId="0" shapeId="0">
      <text>
        <t>MORBIDI MAURIZIO:
Disponibile anche codice BD140045210  relativo a BL 6.2</t>
      </text>
    </comment>
    <comment ref="J5" authorId="0" shapeId="0">
      <text>
        <t>MORBIDI MAURIZIO:
Disponibile anche codice BD140038737 di BL 4.3</t>
      </text>
    </comment>
    <comment ref="Q6" authorId="0" shapeId="0">
      <text>
        <t>MORBIDI MAURIZIO:
Le revisioni (non disponibili) in rosso sono relative alla BL 5.0</t>
      </text>
    </comment>
    <comment ref="J10" authorId="0" shapeId="0">
      <text>
        <t>MORBIDI MAURIZIO:
Non indicato nel file di configurazione, ma presente tra i documenti</t>
      </text>
    </comment>
    <comment ref="N13" authorId="0" shapeId="0">
      <text>
        <t>MORBIDI MAURIZIO:
Rev A più aggiornata della BL corrente</t>
      </text>
    </comment>
    <comment ref="K16" authorId="0" shapeId="0">
      <text>
        <t>MORBIDI MAURIZIO:
Disponibile rev D</t>
      </text>
    </comment>
    <comment ref="E17" authorId="0" shapeId="0">
      <text>
        <t>MORBIDI MAURIZIO:
Disponibile rev C</t>
      </text>
    </comment>
    <comment ref="K17" authorId="0" shapeId="0">
      <text>
        <t>MORBIDI MAURIZIO:
Disponibile rev _</t>
      </text>
    </comment>
    <comment ref="K20" authorId="0" shapeId="0">
      <text>
        <t>MORBIDI MAURIZIO:
Disponibile rev _</t>
      </text>
    </comment>
    <comment ref="K22" authorId="0" shapeId="0">
      <text>
        <t>MORBIDI MAURIZIO:
Disponibile rev C</t>
      </text>
    </comment>
    <comment ref="N23" authorId="0" shapeId="0">
      <text>
        <t>MORBIDI MAURIZIO:
Rev A più aggiornata della BL corrente</t>
      </text>
    </comment>
    <comment ref="N25" authorId="0" shapeId="0">
      <text>
        <t>MORBIDI MAURIZIO:
Rev A più aggiornata della BL corrente</t>
      </text>
    </comment>
    <comment ref="N28" authorId="0" shapeId="0">
      <text>
        <t>MORBIDI MAURIZIO:
Dispoinibile ver A non B</t>
      </text>
    </comment>
    <comment ref="B33" authorId="0" shapeId="0">
      <text>
        <t>MORBIDI MAURIZIO:
Non presente in Config Sheet ma gestito nello stesso modo tra le varie flotte</t>
      </text>
    </comment>
    <comment ref="D35" authorId="0" shapeId="0">
      <text>
        <t>MORBIDI MAURIZIO:
Non presente in BL ma inserita comunque tra le  FRS</t>
      </text>
    </comment>
    <comment ref="L37" authorId="0" shapeId="0">
      <text>
        <t>MORBIDI MAURIZIO:
Vecchia versione non più applicabile?</t>
      </text>
    </comment>
    <comment ref="F38" authorId="0" shapeId="0">
      <text>
        <t>MORBIDI MAURIZIO:
EC01P008999B vecchia versione?</t>
      </text>
    </comment>
    <comment ref="I38" authorId="0" shapeId="0">
      <text>
        <t>MORBIDI MAURIZIO:
Vecchio codice antecedente BL3 non più applicabile?</t>
      </text>
    </comment>
    <comment ref="L38" authorId="0" shapeId="0">
      <text>
        <t>MORBIDI MAURIZIO:
EC01P008999B vecchia versione?</t>
      </text>
    </comment>
    <comment ref="O38" authorId="0" shapeId="0">
      <text>
        <t>Rev. D</t>
      </text>
    </comment>
    <comment ref="E47" authorId="0" shapeId="0">
      <text>
        <t>MORBIDI MAURIZIO:
Disponibile rev J</t>
      </text>
    </comment>
    <comment ref="K47" authorId="0" shapeId="0">
      <text>
        <t>MORBIDI MAURIZIO:
Disponibile rev A</t>
      </text>
    </comment>
    <comment ref="N47" authorId="0" shapeId="0">
      <text>
        <t>MORBIDI MAURIZIO:
Dispoinibile ver A non B</t>
      </text>
    </comment>
    <comment ref="E48" authorId="0" shapeId="0">
      <text>
        <t>MORBIDI MAURIZIO:
Disponibile rev C</t>
      </text>
    </comment>
    <comment ref="E51" authorId="0" shapeId="0">
      <text>
        <t>MORBIDI MAURIZIO:
Disponibile rev B</t>
      </text>
    </comment>
    <comment ref="E54" authorId="0" shapeId="0">
      <text>
        <t>MORBIDI MAURIZIO:
Rev 09 + aggiornata di BL corrente.
08 x VZ_IT_New14
09 x VZ_ES</t>
      </text>
    </comment>
    <comment ref="H54" authorId="0" shapeId="0">
      <text>
        <t>MORBIDI MAURIZIO:
Rev 09 + aggiornata di BL corrente.
09 x VZ_ES</t>
      </text>
    </comment>
    <comment ref="E58" authorId="0" shapeId="0">
      <text>
        <t xml:space="preserve">MORBIDI MAURIZIO:
Rev 04 + aggiornata di BL corrente.
04 x VZ_ES
</t>
      </text>
    </comment>
    <comment ref="K58" authorId="0" shapeId="0">
      <text>
        <t xml:space="preserve">MORBIDI MAURIZIO:
Rev 04 + aggiornata di BL corrente.
04 x VZ_ES
</t>
      </text>
    </comment>
    <comment ref="I61" authorId="0" shapeId="0">
      <text>
        <t>MORBIDI MAURIZIO:
Codice HRI = EC010008563</t>
      </text>
    </comment>
    <comment ref="B67" authorId="0" shapeId="0">
      <text>
        <t>MORBIDI MAURIZIO:
Non presente in Config Sheet ma gestito nello stesso modo tra le varie flotte</t>
      </text>
    </comment>
    <comment ref="H69" authorId="0" shapeId="0">
      <text>
        <t>MORBIDI MAURIZIO:
Disponibile rev E che include BL3 SSB</t>
      </text>
    </comment>
    <comment ref="E70" authorId="0" shapeId="0">
      <text>
        <t>MORBIDI MAURIZIO:
Rev J non trovata
Disponibile rev H</t>
      </text>
    </comment>
    <comment ref="E71" authorId="0" shapeId="0">
      <text>
        <t>MORBIDI MAURIZIO:
Rev J non trovata
Disponibile rev H</t>
      </text>
    </comment>
    <comment ref="E72" authorId="0" shapeId="0">
      <text>
        <t>MORBIDI MAURIZIO:
Rev J non trovata
Disponibile rev H</t>
      </text>
    </comment>
    <comment ref="E73" authorId="0" shapeId="0">
      <text>
        <t>MORBIDI MAURIZIO:
Rev J non trovata
Disponibile rev H</t>
      </text>
    </comment>
    <comment ref="E74" authorId="0" shapeId="0">
      <text>
        <t>MORBIDI MAURIZIO:
Rev J non trovata
Disponibile rev H</t>
      </text>
    </comment>
    <comment ref="E75" authorId="0" shapeId="0">
      <text>
        <t>MORBIDI MAURIZIO:
Rev J non trovata
Disponibile rev H</t>
      </text>
    </comment>
    <comment ref="H76" authorId="0" shapeId="0">
      <text>
        <t>MORBIDI MAURIZIO:
Disponibile rev F che include BL3 SSB</t>
      </text>
    </comment>
    <comment ref="H78" authorId="0" shapeId="0">
      <text>
        <t>MORBIDI MAURIZIO:
Disponibile rev E</t>
      </text>
    </comment>
    <comment ref="E79" authorId="0" shapeId="0">
      <text>
        <t>MORBIDI MAURIZIO:
Rev J non trovata
Disponibile rev H</t>
      </text>
    </comment>
    <comment ref="H79" authorId="0" shapeId="0">
      <text>
        <t>MORBIDI MAURIZIO:
Rev D mancante, disponibile rev C</t>
      </text>
    </comment>
    <comment ref="E80" authorId="0" shapeId="0">
      <text>
        <t>MORBIDI MAURIZIO:
Rev J non trovata
Disponibile rev H</t>
      </text>
    </comment>
    <comment ref="H80" authorId="0" shapeId="0">
      <text>
        <t>MORBIDI MAURIZIO:
Rev D mancante, disponibile rev C</t>
      </text>
    </comment>
    <comment ref="E81" authorId="0" shapeId="0">
      <text>
        <t>MORBIDI MAURIZIO:
Rev J non trovata
Disponibile rev H</t>
      </text>
    </comment>
    <comment ref="H81" authorId="0" shapeId="0">
      <text>
        <t>MORBIDI MAURIZIO:
Rev D mancante, disponibile rev C</t>
      </text>
    </comment>
    <comment ref="E82" authorId="0" shapeId="0">
      <text>
        <t>MORBIDI MAURIZIO:
Rev J non trovata
Disponibile rev H</t>
      </text>
    </comment>
    <comment ref="H82" authorId="0" shapeId="0">
      <text>
        <t>MORBIDI MAURIZIO:
Rev D mancante, disponibile rev C</t>
      </text>
    </comment>
    <comment ref="E83" authorId="0" shapeId="0">
      <text>
        <t>MORBIDI MAURIZIO:
Rev J non trovata
Disponibile rev H</t>
      </text>
    </comment>
    <comment ref="H83" authorId="0" shapeId="0">
      <text>
        <t>MORBIDI MAURIZIO:
Rev D mancante, disponibile rev C</t>
      </text>
    </comment>
    <comment ref="E84" authorId="0" shapeId="0">
      <text>
        <t>MORBIDI MAURIZIO:
Rev J non trovata
Disponibile rev H</t>
      </text>
    </comment>
    <comment ref="H84" authorId="0" shapeId="0">
      <text>
        <t>MORBIDI MAURIZIO:
Rev D mancante, disponibile rev C</t>
      </text>
    </comment>
    <comment ref="H85" authorId="0" shapeId="0">
      <text>
        <t>MORBIDI MAURIZIO:
Disponibile rev F</t>
      </text>
    </comment>
    <comment ref="H87" authorId="0" shapeId="0">
      <text>
        <t>MORBIDI MAURIZIO:
Disponibile rev E</t>
      </text>
    </comment>
    <comment ref="E88" authorId="0" shapeId="0">
      <text>
        <t>MORBIDI MAURIZIO:
Rev J non trovata
Disponibile rev H</t>
      </text>
    </comment>
    <comment ref="H88" authorId="0" shapeId="0">
      <text>
        <t>MORBIDI MAURIZIO:
Rev D mancante, disponibile rev C</t>
      </text>
    </comment>
    <comment ref="E89" authorId="0" shapeId="0">
      <text>
        <t>MORBIDI MAURIZIO:
Rev J non trovata
Disponibile rev H</t>
      </text>
    </comment>
    <comment ref="H89" authorId="0" shapeId="0">
      <text>
        <t>MORBIDI MAURIZIO:
Rev D mancante, disponibile rev C</t>
      </text>
    </comment>
    <comment ref="E90" authorId="0" shapeId="0">
      <text>
        <t>MORBIDI MAURIZIO:
Rev J non trovata
Disponibile rev H</t>
      </text>
    </comment>
    <comment ref="H90" authorId="0" shapeId="0">
      <text>
        <t>MORBIDI MAURIZIO:
Rev D mancante, disponibile rev C</t>
      </text>
    </comment>
    <comment ref="E91" authorId="0" shapeId="0">
      <text>
        <t>MORBIDI MAURIZIO:
Rev J non trovata
Disponibile rev H</t>
      </text>
    </comment>
    <comment ref="H91" authorId="0" shapeId="0">
      <text>
        <t>MORBIDI MAURIZIO:
Rev D mancante, disponibile rev C</t>
      </text>
    </comment>
    <comment ref="E92" authorId="0" shapeId="0">
      <text>
        <t>MORBIDI MAURIZIO:
Rev J non trovata
Disponibile rev H</t>
      </text>
    </comment>
    <comment ref="H92" authorId="0" shapeId="0">
      <text>
        <t>MORBIDI MAURIZIO:
Rev D mancante, disponibile rev C</t>
      </text>
    </comment>
    <comment ref="E93" authorId="0" shapeId="0">
      <text>
        <t>MORBIDI MAURIZIO:
Rev J non trovata
Disponibile rev H</t>
      </text>
    </comment>
    <comment ref="H93" authorId="0" shapeId="0">
      <text>
        <t>MORBIDI MAURIZIO:
Rev D mancante, disponibile rev C</t>
      </text>
    </comment>
    <comment ref="H94" authorId="0" shapeId="0">
      <text>
        <t>MORBIDI MAURIZIO:
Disponibile rev F</t>
      </text>
    </comment>
    <comment ref="B95" authorId="0" shapeId="0">
      <text>
        <t>MORBIDI MAURIZIO:
I doc ICD sono presenti sono in BL delle flotte R1. Laddove è stato possibile recuperarli, si inseriscono anche per le altre flotte ma non se ne conosce la BL associata e lo stato di aggiornamento</t>
      </text>
    </comment>
    <comment ref="Q96" authorId="0" shapeId="0">
      <text>
        <t>MORBIDI MAURIZIO:
Disponibile rev 00</t>
      </text>
    </comment>
    <comment ref="Q98" authorId="0" shapeId="0">
      <text>
        <t>MORBIDI MAURIZIO:
Disponibile rev 02</t>
      </text>
    </comment>
    <comment ref="Q100" authorId="0" shapeId="0">
      <text>
        <t>MORBIDI MAURIZIO:
Disponibile rev 00</t>
      </text>
    </comment>
    <comment ref="Q102" authorId="0" shapeId="0">
      <text>
        <t>MORBIDI MAURIZIO:
Disponibile rev 00</t>
      </text>
    </comment>
    <comment ref="Q104" authorId="0" shapeId="0">
      <text>
        <t>MORBIDI MAURIZIO:
Disponibile rev 02</t>
      </text>
    </comment>
    <comment ref="Q106" authorId="0" shapeId="0">
      <text>
        <t>MORBIDI MAURIZIO:
Disponibile rev 01</t>
      </text>
    </comment>
    <comment ref="Q108" authorId="0" shapeId="0">
      <text>
        <t>MORBIDI MAURIZIO:
Disponibile rev 00</t>
      </text>
    </comment>
    <comment ref="Q109" authorId="0" shapeId="0">
      <text>
        <t>MORBIDI MAURIZIO:
Disponibile rev 00</t>
      </text>
    </comment>
    <comment ref="Q110" authorId="0" shapeId="0">
      <text>
        <t>MORBIDI MAURIZIO:
Disponibile rev 00</t>
      </text>
    </comment>
    <comment ref="Q112" authorId="0" shapeId="0">
      <text>
        <t>MORBIDI MAURIZIO:
Disponibile in rev 00</t>
      </text>
    </comment>
    <comment ref="Q114" authorId="0" shapeId="0">
      <text>
        <t>MORBIDI MAURIZIO:
Disponibile rev 00</t>
      </text>
    </comment>
    <comment ref="Q117" authorId="0" shapeId="0">
      <text>
        <t>MORBIDI MAURIZIO:
Disponibile rev 02</t>
      </text>
    </comment>
    <comment ref="Q120" authorId="0" shapeId="0">
      <text>
        <t>MORBIDI MAURIZIO:
Disponibile rev 00</t>
      </text>
    </comment>
    <comment ref="Q121" authorId="0" shapeId="0">
      <text>
        <t>MORBIDI MAURIZIO:
Disponibile rev 01</t>
      </text>
    </comment>
  </commentList>
</comments>
</file>

<file path=xl/comments/comment2.xml><?xml version="1.0" encoding="utf-8"?>
<comments xmlns="http://schemas.openxmlformats.org/spreadsheetml/2006/main">
  <authors>
    <author>MORBIDI MAURIZIO</author>
  </authors>
  <commentList>
    <comment ref="E6" authorId="0" shapeId="0">
      <text>
        <t>MORBIDI MAURIZIO:
3 volumi uniti in un unico PDF</t>
      </text>
    </comment>
    <comment ref="E9" authorId="0" shapeId="0">
      <text>
        <t>MORBIDI MAURIZIO:
4 volumi uniti in un unico pdf</t>
      </text>
    </comment>
    <comment ref="E14" authorId="0" shapeId="0">
      <text>
        <t>MORBIDI MAURIZIO:
3 volumi uniti in un unico PDF</t>
      </text>
    </comment>
    <comment ref="A25" authorId="0" shapeId="0">
      <text>
        <t>MORBIDI MAURIZIO:
N/A</t>
      </text>
    </comment>
    <comment ref="A26" authorId="0" shapeId="0">
      <text>
        <t>MORBIDI MAURIZIO:
Manuale legato al vecchio 20A "ETCS generale". Ancora applicabile??</t>
      </text>
    </comment>
    <comment ref="A29" authorId="0" shapeId="0">
      <text>
        <t>MORBIDI MAURIZIO:
N/A ???</t>
      </text>
    </comment>
    <comment ref="A30" authorId="0" shapeId="0">
      <text>
        <t>MORBIDI MAURIZIO:
Manuale SSB di applicazione generica</t>
      </text>
    </comment>
    <comment ref="A31" authorId="0" shapeId="0">
      <text>
        <t>MORBIDI MAURIZIO:
Manuale SSB spacciato per applicazione specifica correlato al 20A, in realtà è una raccolta di foto e disegni in allegato</t>
      </text>
    </comment>
    <comment ref="A33" authorId="0" shapeId="0">
      <text>
        <t>MORBIDI MAURIZIO:
Ancora applicabile ??</t>
      </text>
    </comment>
    <comment ref="E37" authorId="0" shapeId="0">
      <text>
        <t>MORBIDI MAURIZIO:
4 volumi uniti in un unico pdf</t>
      </text>
    </comment>
  </commentList>
</comments>
</file>

<file path=xl/comments/comment3.xml><?xml version="1.0" encoding="utf-8"?>
<comments xmlns="http://schemas.openxmlformats.org/spreadsheetml/2006/main">
  <authors>
    <author>MORBIDI MAURIZIO</author>
  </authors>
  <commentList>
    <comment ref="C4" authorId="0" shapeId="0">
      <text>
        <t>MORBIDI MAURIZIO:
VZI_Base originale ha formato xlsb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f:/r/sites/IngegneriaETReMezziLeggeri-Trenitalia/" TargetMode="Externa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Foglio1">
    <outlinePr summaryBelow="1" summaryRight="1"/>
    <pageSetUpPr/>
  </sheetPr>
  <dimension ref="A1:C11"/>
  <sheetViews>
    <sheetView workbookViewId="0">
      <selection activeCell="C18" sqref="C18"/>
    </sheetView>
  </sheetViews>
  <sheetFormatPr baseColWidth="8" defaultColWidth="8.7265625" defaultRowHeight="14.5"/>
  <cols>
    <col width="10.81640625" customWidth="1" style="8" min="1" max="2"/>
    <col width="59" customWidth="1" style="8" min="3" max="3"/>
    <col width="8.7265625" customWidth="1" style="8" min="4" max="9"/>
    <col width="8.7265625" customWidth="1" style="8" min="10" max="16384"/>
  </cols>
  <sheetData>
    <row r="1" customFormat="1" s="107">
      <c r="A1" s="299" t="inlineStr">
        <is>
          <t>Rev</t>
        </is>
      </c>
      <c r="B1" s="299" t="inlineStr">
        <is>
          <t>Data</t>
        </is>
      </c>
      <c r="C1" s="299" t="inlineStr">
        <is>
          <t>Descrizione</t>
        </is>
      </c>
    </row>
    <row r="2">
      <c r="A2" s="233" t="inlineStr">
        <is>
          <t>1.0</t>
        </is>
      </c>
      <c r="B2" s="300" t="n">
        <v>46190</v>
      </c>
      <c r="C2" s="270" t="inlineStr">
        <is>
          <t>Presentazione bozza</t>
        </is>
      </c>
    </row>
    <row r="3">
      <c r="A3" s="233" t="inlineStr">
        <is>
          <t>1.x</t>
        </is>
      </c>
      <c r="B3" s="270" t="n"/>
      <c r="C3" s="270" t="inlineStr">
        <is>
          <t>Aggiornamenti template e integrazione documenti</t>
        </is>
      </c>
    </row>
    <row r="4">
      <c r="A4" s="233" t="inlineStr">
        <is>
          <t>1.7</t>
        </is>
      </c>
      <c r="B4" s="301" t="n">
        <v>46244</v>
      </c>
      <c r="C4" s="270" t="inlineStr">
        <is>
          <t>Integrata funzione AI per recupero info da FRS</t>
        </is>
      </c>
    </row>
    <row r="5">
      <c r="A5" s="233" t="inlineStr">
        <is>
          <t>1.8</t>
        </is>
      </c>
      <c r="B5" s="301" t="n">
        <v>46259</v>
      </c>
      <c r="C5" s="270" t="inlineStr">
        <is>
          <t>Aggiornamento doc BL 2.9 VZ_ES e BL 4.4_14 VZI_New14</t>
        </is>
      </c>
    </row>
    <row r="6">
      <c r="A6" s="270" t="n"/>
      <c r="B6" s="270" t="n"/>
      <c r="C6" s="270" t="n"/>
    </row>
    <row r="7">
      <c r="A7" s="270" t="n"/>
      <c r="B7" s="270" t="n"/>
      <c r="C7" s="270" t="n"/>
    </row>
    <row r="8">
      <c r="A8" s="270" t="n"/>
      <c r="B8" s="270" t="n"/>
      <c r="C8" s="270" t="n"/>
    </row>
    <row r="9">
      <c r="A9" s="270" t="n"/>
      <c r="B9" s="270" t="n"/>
      <c r="C9" s="270" t="n"/>
    </row>
    <row r="10">
      <c r="A10" s="270" t="n"/>
      <c r="B10" s="270" t="n"/>
      <c r="C10" s="270" t="n"/>
    </row>
    <row r="11">
      <c r="A11" s="270" t="n"/>
      <c r="B11" s="270" t="n"/>
      <c r="C11" s="270" t="n"/>
    </row>
  </sheetData>
  <pageMargins left="0.7" right="0.7" top="0.75" bottom="0.75" header="0.3" footer="0.3"/>
</worksheet>
</file>

<file path=xl/worksheets/sheet2.xml><?xml version="1.0" encoding="utf-8"?>
<worksheet xmlns="http://schemas.openxmlformats.org/spreadsheetml/2006/main">
  <sheetPr codeName="Foglio2">
    <outlinePr summaryBelow="1" summaryRight="1"/>
    <pageSetUpPr/>
  </sheetPr>
  <dimension ref="A1:E13"/>
  <sheetViews>
    <sheetView workbookViewId="0">
      <selection activeCell="A2" sqref="A2"/>
    </sheetView>
  </sheetViews>
  <sheetFormatPr baseColWidth="8" defaultColWidth="8.7265625" defaultRowHeight="14.5"/>
  <cols>
    <col width="15.54296875" customWidth="1" style="9" min="1" max="1"/>
    <col width="13.81640625" customWidth="1" style="9" min="2" max="2"/>
    <col width="8.7265625" customWidth="1" style="9" min="3" max="3"/>
    <col width="120.7265625" customWidth="1" style="59" min="4" max="4"/>
    <col width="60.1796875" customWidth="1" style="59" min="5" max="5"/>
    <col width="8.7265625" customWidth="1" style="8" min="6" max="11"/>
    <col width="8.7265625" customWidth="1" style="8" min="12" max="16384"/>
  </cols>
  <sheetData>
    <row r="1" ht="23.5" customFormat="1" customHeight="1" s="109">
      <c r="A1" s="299" t="inlineStr">
        <is>
          <t>Data</t>
        </is>
      </c>
      <c r="B1" s="299" t="inlineStr">
        <is>
          <t>Chi</t>
        </is>
      </c>
      <c r="C1" s="299" t="inlineStr">
        <is>
          <t>Priorità</t>
        </is>
      </c>
      <c r="D1" s="302" t="inlineStr">
        <is>
          <t>Descrizione</t>
        </is>
      </c>
      <c r="E1" s="302" t="inlineStr">
        <is>
          <t>Note</t>
        </is>
      </c>
    </row>
    <row r="2" ht="30" customHeight="1" s="462">
      <c r="A2" s="158" t="n">
        <v>46190</v>
      </c>
      <c r="B2" s="9" t="inlineStr">
        <is>
          <t>Federico</t>
        </is>
      </c>
      <c r="C2" s="9" t="inlineStr">
        <is>
          <t>Alta</t>
        </is>
      </c>
      <c r="D2" s="59" t="inlineStr">
        <is>
          <t>protezione azionamenti</t>
        </is>
      </c>
      <c r="E2" s="59" t="inlineStr">
        <is>
          <t>da ricercare all'interno dei documenti, una volta collezionati tutti i doc disponibili sulla trazione</t>
        </is>
      </c>
    </row>
    <row r="3">
      <c r="A3" s="158" t="n">
        <v>46190</v>
      </c>
      <c r="B3" s="9" t="inlineStr">
        <is>
          <t>Federico</t>
        </is>
      </c>
      <c r="C3" s="9" t="inlineStr">
        <is>
          <t>Alta</t>
        </is>
      </c>
      <c r="D3" s="59" t="inlineStr">
        <is>
          <t>ricerca doc propulsion</t>
        </is>
      </c>
      <c r="E3" s="59" t="inlineStr">
        <is>
          <t>in corso sui vari SGF</t>
        </is>
      </c>
    </row>
    <row r="4">
      <c r="A4" s="158" t="n">
        <v>46190</v>
      </c>
      <c r="B4" s="9" t="inlineStr">
        <is>
          <t>Maurizio</t>
        </is>
      </c>
      <c r="C4" s="9" t="inlineStr">
        <is>
          <t>Alta</t>
        </is>
      </c>
      <c r="D4" s="59" t="inlineStr">
        <is>
          <t>legare manuali e CPR a documenti CONF</t>
        </is>
      </c>
      <c r="E4" s="59" t="inlineStr">
        <is>
          <t>eseguito manualmente, TBD legame automatico (vedi pt sotto)</t>
        </is>
      </c>
    </row>
    <row r="5" ht="45" customHeight="1" s="462">
      <c r="A5" s="158" t="n">
        <v>46190</v>
      </c>
      <c r="B5" s="9" t="inlineStr">
        <is>
          <t>Federico</t>
        </is>
      </c>
      <c r="C5" s="9" t="inlineStr">
        <is>
          <t>Alta</t>
        </is>
      </c>
      <c r="D5" s="59" t="inlineStr">
        <is>
          <t>provare integrazione copilot</t>
        </is>
      </c>
      <c r="E5" s="59" t="inlineStr">
        <is>
          <t>Eseguita prova su FRS_Line_Voltage con compilazione automatica colonna B di Funzioni. Riutilizzabile per prossime FUNC ID</t>
        </is>
      </c>
    </row>
    <row r="6">
      <c r="A6" s="158" t="n">
        <v>46189</v>
      </c>
      <c r="B6" s="9" t="inlineStr">
        <is>
          <t>Maurizio</t>
        </is>
      </c>
      <c r="C6" s="9" t="inlineStr">
        <is>
          <t>Bassa</t>
        </is>
      </c>
      <c r="D6" s="59" t="inlineStr">
        <is>
          <t>Definire struttura codice FUNC ID</t>
        </is>
      </c>
      <c r="E6" s="59" t="inlineStr">
        <is>
          <t>Valutare se necessario</t>
        </is>
      </c>
    </row>
    <row r="7" ht="45" customHeight="1" s="462">
      <c r="A7" s="158" t="n">
        <v>46189</v>
      </c>
      <c r="B7" s="9" t="inlineStr">
        <is>
          <t>Maurizio</t>
        </is>
      </c>
      <c r="C7" s="9" t="inlineStr">
        <is>
          <t>Media</t>
        </is>
      </c>
      <c r="D7" s="59" t="inlineStr">
        <is>
          <t>Diagnostica:
- Reperire documentazione diagnostica EVENTI + AWO per flotta
- Definire modalità archiviazione file diagnostici per flotta e referenziazione in FUNZIONI</t>
        </is>
      </c>
      <c r="E7" s="59" t="inlineStr">
        <is>
          <t>Alcuni doc già recuperati, da definire criterio di archiviazione</t>
        </is>
      </c>
    </row>
    <row r="8">
      <c r="A8" s="158" t="n">
        <v>46189</v>
      </c>
      <c r="B8" s="9" t="inlineStr">
        <is>
          <t>Maurizio</t>
        </is>
      </c>
      <c r="C8" s="9" t="inlineStr">
        <is>
          <t>Bassa</t>
        </is>
      </c>
      <c r="D8" s="59" t="inlineStr">
        <is>
          <t>Rivedere/Completare PBS</t>
        </is>
      </c>
      <c r="E8" s="59" t="inlineStr">
        <is>
          <t>TBD</t>
        </is>
      </c>
    </row>
    <row r="9">
      <c r="A9" s="158" t="n">
        <v>46189</v>
      </c>
      <c r="B9" s="9" t="inlineStr">
        <is>
          <t>Maurizio</t>
        </is>
      </c>
      <c r="C9" s="9" t="inlineStr">
        <is>
          <t>Bassa</t>
        </is>
      </c>
      <c r="D9" s="62" t="inlineStr">
        <is>
          <t>Legare FUNZIONI a PBS ???</t>
        </is>
      </c>
      <c r="E9" s="59" t="inlineStr">
        <is>
          <t>TBD</t>
        </is>
      </c>
    </row>
    <row r="10">
      <c r="A10" s="158" t="n">
        <v>46189</v>
      </c>
      <c r="B10" s="9" t="inlineStr">
        <is>
          <t>Maurizio</t>
        </is>
      </c>
      <c r="C10" s="9" t="inlineStr">
        <is>
          <t>Bassa</t>
        </is>
      </c>
      <c r="D10" s="59" t="inlineStr">
        <is>
          <t>Pensare a come gestire in Funzioni, l'aggiornamento dei documenti richiamati. ES aggiungere campo data???</t>
        </is>
      </c>
      <c r="E10" s="59" t="inlineStr">
        <is>
          <t>TBD</t>
        </is>
      </c>
    </row>
    <row r="11" ht="60" customHeight="1" s="462">
      <c r="A11" s="158" t="n">
        <v>46196</v>
      </c>
      <c r="B11" s="9" t="inlineStr">
        <is>
          <t>Maurizio</t>
        </is>
      </c>
      <c r="C11" s="9" t="inlineStr">
        <is>
          <t>Alta</t>
        </is>
      </c>
      <c r="D11" s="208" t="inlineStr">
        <is>
          <t>Valutare se inserire colonna File Type in Conf Sheet per poter referenziare anche documenti diversi da pdf (es. file excel degli annex ICD)
In tal caso modificare la costruzione del link in Funzioni</t>
        </is>
      </c>
      <c r="E11" s="59" t="inlineStr">
        <is>
          <t>la diversa tipologia di doc a disposizione potrebbe generare problemi nel referenziare i doc tramite link. Agganciare i link ad una colonna che indica il tipo di documento bypassa il problema del formato</t>
        </is>
      </c>
    </row>
    <row r="12" ht="105" customHeight="1" s="462">
      <c r="A12" s="158" t="n">
        <v>46196</v>
      </c>
      <c r="B12" s="9" t="inlineStr">
        <is>
          <t>Maurizio</t>
        </is>
      </c>
      <c r="C12" s="9" t="inlineStr">
        <is>
          <t>Alta</t>
        </is>
      </c>
      <c r="D12" s="208" t="inlineStr">
        <is>
          <t>Inserire in Funzioni una colonna Doc Type che specifica la tipologia di documenti da linkare (es. CONFIG, MR_CPR, GENERAL, DIAGNOSTIC…) al quale è associato il foglio excel per la ricerca del documento (automatica nella formula del link) e la cartella di archiviazione per la costruzione del link (automatica)</t>
        </is>
      </c>
      <c r="E12" s="59" t="inlineStr">
        <is>
          <t>Dato che la costruzione del file DB e delle cartelle su Sharepoint (criterio di archiviazione) può essere ancora modificabile sulla base della tipologia di documenti che sarà necessario tracciare/archiviare, potrebbe essere utili introdurre un Doc Type che venga utilizzato sia per tracciare i doc su un foglio del DB dedicato sia per creare dinamicamente il link su cartelle ad oggi ancora "flessibili"</t>
        </is>
      </c>
    </row>
    <row r="13" ht="30" customHeight="1" s="462">
      <c r="A13" s="158" t="n">
        <v>46197</v>
      </c>
      <c r="B13" s="9" t="inlineStr">
        <is>
          <t>Federico</t>
        </is>
      </c>
      <c r="C13" s="9" t="inlineStr">
        <is>
          <t>Media</t>
        </is>
      </c>
      <c r="D13" s="59" t="inlineStr">
        <is>
          <t>Pensare a come esportare il file in formato di HTML per poter essere navigabile via broswer</t>
        </is>
      </c>
      <c r="E13" s="59" t="inlineStr">
        <is>
          <t>Potrebbe essere utile in caso sia necessario reperire informazioni quando siamo a bordo treno anche da Telefono</t>
        </is>
      </c>
    </row>
  </sheetData>
  <pageMargins left="0.7" right="0.7" top="0.75" bottom="0.75" header="0.3" footer="0.3"/>
</worksheet>
</file>

<file path=xl/worksheets/sheet3.xml><?xml version="1.0" encoding="utf-8"?>
<worksheet xmlns="http://schemas.openxmlformats.org/spreadsheetml/2006/main">
  <sheetPr codeName="Foglio7">
    <outlinePr summaryBelow="1" summaryRight="1"/>
    <pageSetUpPr/>
  </sheetPr>
  <dimension ref="A1:E13"/>
  <sheetViews>
    <sheetView workbookViewId="0">
      <selection activeCell="D27" sqref="D27"/>
    </sheetView>
  </sheetViews>
  <sheetFormatPr baseColWidth="8" defaultColWidth="8.7265625" defaultRowHeight="14.5"/>
  <cols>
    <col width="30.81640625" bestFit="1" customWidth="1" style="8" min="1" max="1"/>
    <col width="23.81640625" bestFit="1" customWidth="1" style="8" min="2" max="2"/>
    <col width="6.54296875" bestFit="1" customWidth="1" style="8" min="3" max="3"/>
    <col width="139.453125" bestFit="1" customWidth="1" style="60" min="4" max="4"/>
    <col width="8.7265625" customWidth="1" style="9" min="5" max="5"/>
    <col width="8.7265625" customWidth="1" style="8" min="6" max="11"/>
    <col width="8.7265625" customWidth="1" style="8" min="12" max="16384"/>
  </cols>
  <sheetData>
    <row r="1" ht="21.65" customHeight="1" s="462">
      <c r="A1" s="100" t="inlineStr">
        <is>
          <t>DESCRIZIONE</t>
        </is>
      </c>
      <c r="B1" s="100" t="inlineStr">
        <is>
          <t>NOME</t>
        </is>
      </c>
      <c r="C1" s="100" t="inlineStr">
        <is>
          <t>Livello</t>
        </is>
      </c>
      <c r="D1" s="101" t="inlineStr">
        <is>
          <t>INDIRIZZO</t>
        </is>
      </c>
      <c r="E1" s="101" t="inlineStr">
        <is>
          <t>LINK</t>
        </is>
      </c>
    </row>
    <row r="2" ht="21.65" customHeight="1" s="462">
      <c r="A2" s="9" t="inlineStr">
        <is>
          <t>Root Sharepoint</t>
        </is>
      </c>
      <c r="B2" s="9" t="inlineStr">
        <is>
          <t>Sharepoint</t>
        </is>
      </c>
      <c r="C2" s="9" t="n">
        <v>0</v>
      </c>
      <c r="D2" s="99" t="inlineStr">
        <is>
          <t>https://gruppofsitaliane.sharepoint.com/:f:/r/sites/IngegneriaETReMezziLeggeri-Trenitalia/</t>
        </is>
      </c>
      <c r="E2" s="108">
        <f>HYPERLINK(D2,"🔗")</f>
        <v/>
      </c>
    </row>
    <row r="3" ht="21.65" customHeight="1" s="462">
      <c r="A3" s="9" t="inlineStr">
        <is>
          <t>Cartella Documenti Ingegneria</t>
        </is>
      </c>
      <c r="B3" s="9" t="inlineStr">
        <is>
          <t>Shared%20Documents/</t>
        </is>
      </c>
      <c r="C3" s="9" t="n">
        <v>1</v>
      </c>
      <c r="D3" s="99">
        <f>CONCATENATE($D$2,B3)</f>
        <v/>
      </c>
      <c r="E3" s="108">
        <f>HYPERLINK(D3,"🔗")</f>
        <v/>
      </c>
    </row>
    <row r="4" ht="21.65" customHeight="1" s="462">
      <c r="A4" s="9" t="inlineStr">
        <is>
          <t>Cartella Archiviazione doc ETR1000</t>
        </is>
      </c>
      <c r="B4" s="9" t="inlineStr">
        <is>
          <t>DB_ETR1000/</t>
        </is>
      </c>
      <c r="C4" s="9" t="n">
        <v>2</v>
      </c>
      <c r="D4" s="99">
        <f>CONCATENATE($D$3,B4)</f>
        <v/>
      </c>
      <c r="E4" s="108">
        <f>HYPERLINK(D4,"🔗")</f>
        <v/>
      </c>
    </row>
    <row r="5" ht="21.65" customHeight="1" s="462">
      <c r="A5" s="9" t="inlineStr">
        <is>
          <t>Documenti di configurazione</t>
        </is>
      </c>
      <c r="B5" s="9" t="inlineStr">
        <is>
          <t>DOC_FLOTTE/</t>
        </is>
      </c>
      <c r="C5" s="9" t="n">
        <v>3</v>
      </c>
      <c r="D5" s="99">
        <f>CONCATENATE($D$4,B5)</f>
        <v/>
      </c>
      <c r="E5" s="108">
        <f>HYPERLINK(D5,"🔗")</f>
        <v/>
      </c>
    </row>
    <row r="6" ht="21.65" customHeight="1" s="462">
      <c r="A6" s="9" t="inlineStr">
        <is>
          <t>Raccolta documentazione Funzioni</t>
        </is>
      </c>
      <c r="B6" s="9" t="inlineStr">
        <is>
          <t>DOC_FUNC/</t>
        </is>
      </c>
      <c r="C6" s="9" t="n">
        <v>3</v>
      </c>
      <c r="D6" s="99">
        <f>CONCATENATE($D$4,B6)</f>
        <v/>
      </c>
      <c r="E6" s="108">
        <f>HYPERLINK(D6,"🔗")</f>
        <v/>
      </c>
    </row>
    <row r="7" ht="22" customHeight="1" s="462"/>
    <row r="8" ht="22" customHeight="1" s="462"/>
    <row r="9" ht="22" customHeight="1" s="462"/>
    <row r="10" ht="22" customHeight="1" s="462">
      <c r="A10" s="8" t="inlineStr">
        <is>
          <t>VINCOLI</t>
        </is>
      </c>
    </row>
    <row r="11" ht="22" customHeight="1" s="462">
      <c r="A11" s="8" t="inlineStr">
        <is>
          <t>Id Flotta</t>
        </is>
      </c>
      <c r="B11" s="8" t="inlineStr">
        <is>
          <t>Riga 1</t>
        </is>
      </c>
    </row>
    <row r="12" ht="22" customHeight="1" s="462">
      <c r="A12" s="8" t="inlineStr">
        <is>
          <t>DOC ID</t>
        </is>
      </c>
      <c r="B12" s="8" t="inlineStr">
        <is>
          <t>Colonna B</t>
        </is>
      </c>
    </row>
    <row r="13">
      <c r="A13" s="8" t="inlineStr">
        <is>
          <t>DOC EXT</t>
        </is>
      </c>
      <c r="B13" s="8" t="inlineStr">
        <is>
          <t>Colonna C</t>
        </is>
      </c>
    </row>
  </sheetData>
  <hyperlinks>
    <hyperlink xmlns:r="http://schemas.openxmlformats.org/officeDocument/2006/relationships" ref="D2" r:id="rId1"/>
  </hyperlinks>
  <pageMargins left="0.7" right="0.7" top="0.75" bottom="0.75" header="0.3" footer="0.3"/>
  <pageSetup orientation="portrait" paperSize="9" horizontalDpi="1200" verticalDpi="1200"/>
</worksheet>
</file>

<file path=xl/worksheets/sheet4.xml><?xml version="1.0" encoding="utf-8"?>
<worksheet xmlns="http://schemas.openxmlformats.org/spreadsheetml/2006/main">
  <sheetPr codeName="Foglio3">
    <tabColor theme="4" tint="0.3999755851924192"/>
    <outlinePr summaryBelow="1" summaryRight="1"/>
    <pageSetUpPr/>
  </sheetPr>
  <dimension ref="A1:BW9"/>
  <sheetViews>
    <sheetView zoomScale="85" zoomScaleNormal="85" workbookViewId="0">
      <selection activeCell="J19" sqref="J19"/>
    </sheetView>
  </sheetViews>
  <sheetFormatPr baseColWidth="8" defaultRowHeight="14.5"/>
  <cols>
    <col width="16.1796875" customWidth="1" style="462" min="1" max="1"/>
    <col width="9.26953125" customWidth="1" style="462" min="2" max="2"/>
    <col width="17.54296875" customWidth="1" style="462" min="3" max="3"/>
    <col width="15.453125" customWidth="1" style="462" min="4" max="4"/>
    <col width="15.1796875" customWidth="1" style="462" min="5" max="5"/>
    <col width="11" customWidth="1" style="7" min="6" max="6"/>
    <col width="3.81640625" bestFit="1" customWidth="1" style="7" min="7" max="52"/>
    <col width="2.81640625" bestFit="1" customWidth="1" style="7" min="53" max="69"/>
    <col width="3.81640625" bestFit="1" customWidth="1" style="7" min="70" max="75"/>
  </cols>
  <sheetData>
    <row r="1" ht="31" customFormat="1" customHeight="1" s="8" thickBot="1">
      <c r="A1" s="120" t="inlineStr">
        <is>
          <t>Nome flotta</t>
        </is>
      </c>
      <c r="B1" s="121" t="inlineStr">
        <is>
          <t>ID flotta</t>
        </is>
      </c>
      <c r="C1" s="128" t="inlineStr">
        <is>
          <t>ID flotta "nativa"</t>
        </is>
      </c>
      <c r="D1" s="127" t="inlineStr">
        <is>
          <t>Ultima BL rilasciata</t>
        </is>
      </c>
      <c r="E1" s="122" t="inlineStr">
        <is>
          <t>Conf Sheet aggiornata a BL</t>
        </is>
      </c>
      <c r="F1" s="123" t="inlineStr">
        <is>
          <t>TOT Treni</t>
        </is>
      </c>
      <c r="G1" s="124" t="inlineStr">
        <is>
          <t>NUMERI TRENO</t>
        </is>
      </c>
      <c r="H1" s="125" t="n"/>
      <c r="I1" s="125" t="n"/>
      <c r="J1" s="125" t="n"/>
      <c r="K1" s="125" t="n"/>
      <c r="L1" s="125" t="n"/>
      <c r="M1" s="125" t="n"/>
      <c r="N1" s="125" t="n"/>
      <c r="O1" s="125" t="n"/>
      <c r="P1" s="125" t="n"/>
      <c r="Q1" s="125" t="n"/>
      <c r="R1" s="125" t="n"/>
      <c r="S1" s="125" t="n"/>
      <c r="T1" s="125" t="n"/>
      <c r="U1" s="125" t="n"/>
      <c r="V1" s="125" t="n"/>
      <c r="W1" s="125" t="n"/>
      <c r="X1" s="125" t="n"/>
      <c r="Y1" s="125" t="n"/>
      <c r="Z1" s="125" t="n"/>
      <c r="AA1" s="125" t="n"/>
      <c r="AB1" s="125" t="n"/>
      <c r="AC1" s="125" t="n"/>
      <c r="AD1" s="125" t="n"/>
      <c r="AE1" s="125" t="n"/>
      <c r="AF1" s="125" t="n"/>
      <c r="AG1" s="125" t="n"/>
      <c r="AH1" s="125" t="n"/>
      <c r="AI1" s="125" t="n"/>
      <c r="AJ1" s="125" t="n"/>
      <c r="AK1" s="125" t="n"/>
      <c r="AL1" s="125" t="n"/>
      <c r="AM1" s="125" t="n"/>
      <c r="AN1" s="125" t="n"/>
      <c r="AO1" s="125" t="n"/>
      <c r="AP1" s="125" t="n"/>
      <c r="AQ1" s="125" t="n"/>
      <c r="AR1" s="125" t="n"/>
      <c r="AS1" s="125" t="n"/>
      <c r="AT1" s="125" t="n"/>
      <c r="AU1" s="125" t="n"/>
      <c r="AV1" s="125" t="n"/>
      <c r="AW1" s="125" t="n"/>
      <c r="AX1" s="125" t="n"/>
      <c r="AY1" s="125" t="n"/>
      <c r="AZ1" s="125" t="n"/>
      <c r="BA1" s="125" t="n"/>
      <c r="BB1" s="125" t="n"/>
      <c r="BC1" s="125" t="n"/>
      <c r="BD1" s="125" t="n"/>
      <c r="BE1" s="125" t="n"/>
      <c r="BF1" s="125" t="n"/>
      <c r="BG1" s="125" t="n"/>
      <c r="BH1" s="125" t="n"/>
      <c r="BI1" s="125" t="n"/>
      <c r="BJ1" s="125" t="n"/>
      <c r="BK1" s="125" t="n"/>
      <c r="BL1" s="125" t="n"/>
      <c r="BM1" s="125" t="n"/>
      <c r="BN1" s="125" t="n"/>
      <c r="BO1" s="125" t="n"/>
      <c r="BP1" s="125" t="n"/>
      <c r="BQ1" s="125" t="n"/>
      <c r="BR1" s="125" t="n"/>
      <c r="BS1" s="125" t="n"/>
      <c r="BT1" s="125" t="n"/>
      <c r="BU1" s="125" t="n"/>
      <c r="BV1" s="125" t="n"/>
      <c r="BW1" s="126" t="n"/>
    </row>
    <row r="2" ht="32.15" customFormat="1" customHeight="1" s="8">
      <c r="A2" s="129" t="inlineStr">
        <is>
          <t>VZI-50_IT Flotta base</t>
        </is>
      </c>
      <c r="B2" s="303" t="inlineStr">
        <is>
          <t>VZI_Base</t>
        </is>
      </c>
      <c r="C2" s="130" t="inlineStr">
        <is>
          <t>VZI_Base</t>
        </is>
      </c>
      <c r="D2" s="131" t="inlineStr">
        <is>
          <t>6.3 ?</t>
        </is>
      </c>
      <c r="E2" s="132" t="inlineStr">
        <is>
          <t>6.0
27/09/24</t>
        </is>
      </c>
      <c r="F2" s="133">
        <f>COUNTIF(G2:BW2,"&lt;&gt;")</f>
        <v/>
      </c>
      <c r="G2" s="5" t="n">
        <v>1</v>
      </c>
      <c r="H2" s="254" t="n">
        <v>2</v>
      </c>
      <c r="I2" s="254" t="n">
        <v>3</v>
      </c>
      <c r="J2" s="254" t="n">
        <v>4</v>
      </c>
      <c r="K2" s="254" t="n">
        <v>5</v>
      </c>
      <c r="L2" s="254" t="n">
        <v>6</v>
      </c>
      <c r="M2" s="254" t="n">
        <v>7</v>
      </c>
      <c r="N2" s="254" t="n">
        <v>8</v>
      </c>
      <c r="O2" s="254" t="n">
        <v>9</v>
      </c>
      <c r="P2" s="254" t="n">
        <v>10</v>
      </c>
      <c r="Q2" s="254" t="n">
        <v>11</v>
      </c>
      <c r="R2" s="254" t="n">
        <v>12</v>
      </c>
      <c r="S2" s="254" t="n">
        <v>13</v>
      </c>
      <c r="T2" s="254" t="n">
        <v>14</v>
      </c>
      <c r="U2" s="254" t="n"/>
      <c r="V2" s="254" t="n">
        <v>16</v>
      </c>
      <c r="W2" s="254" t="n">
        <v>17</v>
      </c>
      <c r="X2" s="254" t="n">
        <v>18</v>
      </c>
      <c r="Y2" s="254" t="n">
        <v>19</v>
      </c>
      <c r="Z2" s="254" t="n"/>
      <c r="AA2" s="304" t="n">
        <v>21</v>
      </c>
      <c r="AB2" s="254" t="n">
        <v>22</v>
      </c>
      <c r="AC2" s="254" t="n"/>
      <c r="AD2" s="254" t="n">
        <v>24</v>
      </c>
      <c r="AE2" s="254" t="n"/>
      <c r="AF2" s="254" t="n">
        <v>26</v>
      </c>
      <c r="AG2" s="254" t="n">
        <v>27</v>
      </c>
      <c r="AH2" s="254" t="n"/>
      <c r="AI2" s="254" t="n">
        <v>29</v>
      </c>
      <c r="AJ2" s="254" t="n">
        <v>30</v>
      </c>
      <c r="AK2" s="254" t="n"/>
      <c r="AL2" s="254" t="n">
        <v>32</v>
      </c>
      <c r="AM2" s="254" t="n">
        <v>33</v>
      </c>
      <c r="AN2" s="254" t="n">
        <v>34</v>
      </c>
      <c r="AO2" s="254" t="n"/>
      <c r="AP2" s="254" t="n">
        <v>36</v>
      </c>
      <c r="AQ2" s="254" t="n">
        <v>37</v>
      </c>
      <c r="AR2" s="254" t="n">
        <v>38</v>
      </c>
      <c r="AS2" s="254" t="n">
        <v>39</v>
      </c>
      <c r="AT2" s="254" t="n">
        <v>40</v>
      </c>
      <c r="AU2" s="254" t="n">
        <v>41</v>
      </c>
      <c r="AV2" s="254" t="n">
        <v>42</v>
      </c>
      <c r="AW2" s="254" t="n">
        <v>43</v>
      </c>
      <c r="AX2" s="254" t="n"/>
      <c r="AY2" s="254" t="n">
        <v>45</v>
      </c>
      <c r="AZ2" s="254" t="n">
        <v>46</v>
      </c>
      <c r="BA2" s="254" t="n"/>
      <c r="BB2" s="254" t="n">
        <v>48</v>
      </c>
      <c r="BC2" s="254" t="n"/>
      <c r="BD2" s="254" t="n"/>
      <c r="BE2" s="254" t="n">
        <v>46</v>
      </c>
      <c r="BF2" s="254" t="n">
        <v>47</v>
      </c>
      <c r="BG2" s="254" t="n">
        <v>48</v>
      </c>
      <c r="BH2" s="254" t="n">
        <v>49</v>
      </c>
      <c r="BI2" s="254" t="n">
        <v>50</v>
      </c>
      <c r="BJ2" s="254" t="n"/>
      <c r="BK2" s="254" t="n"/>
      <c r="BL2" s="254" t="n"/>
      <c r="BM2" s="254" t="n"/>
      <c r="BN2" s="254" t="n"/>
      <c r="BO2" s="254" t="n"/>
      <c r="BP2" s="254" t="n"/>
      <c r="BQ2" s="254" t="n"/>
      <c r="BR2" s="254" t="n"/>
      <c r="BS2" s="254" t="n"/>
      <c r="BT2" s="254" t="n"/>
      <c r="BU2" s="254" t="n"/>
      <c r="BV2" s="254" t="n"/>
      <c r="BW2" s="134" t="n"/>
    </row>
    <row r="3" ht="32.15" customFormat="1" customHeight="1" s="8">
      <c r="A3" s="135" t="inlineStr">
        <is>
          <t>VZI-51-58_IT
(New 14)</t>
        </is>
      </c>
      <c r="B3" s="305" t="inlineStr">
        <is>
          <t>VZI_New14</t>
        </is>
      </c>
      <c r="C3" s="136" t="inlineStr">
        <is>
          <t>VZI_Base</t>
        </is>
      </c>
      <c r="D3" s="306" t="inlineStr">
        <is>
          <t>4.4_14
09/07/2026</t>
        </is>
      </c>
      <c r="E3" s="298" t="inlineStr">
        <is>
          <t>4.4_14
09/07/2026</t>
        </is>
      </c>
      <c r="F3" s="138">
        <f>COUNTIF(G3:BW3,"&lt;&gt;")</f>
        <v/>
      </c>
      <c r="G3" s="236" t="n"/>
      <c r="H3" s="233" t="n"/>
      <c r="I3" s="233" t="n"/>
      <c r="J3" s="233" t="n"/>
      <c r="K3" s="233" t="n"/>
      <c r="L3" s="233" t="n"/>
      <c r="M3" s="233" t="n"/>
      <c r="N3" s="233" t="n"/>
      <c r="O3" s="233" t="n"/>
      <c r="P3" s="233" t="n"/>
      <c r="Q3" s="233" t="n"/>
      <c r="R3" s="233" t="n"/>
      <c r="S3" s="233" t="n"/>
      <c r="T3" s="233" t="n"/>
      <c r="U3" s="233" t="n"/>
      <c r="V3" s="233" t="n"/>
      <c r="W3" s="233" t="n"/>
      <c r="X3" s="233" t="n"/>
      <c r="Y3" s="233" t="n"/>
      <c r="Z3" s="233" t="n"/>
      <c r="AA3" s="233" t="n"/>
      <c r="AB3" s="233" t="n"/>
      <c r="AC3" s="233" t="n"/>
      <c r="AD3" s="233" t="n"/>
      <c r="AE3" s="233" t="n"/>
      <c r="AF3" s="233" t="n"/>
      <c r="AG3" s="233" t="n"/>
      <c r="AH3" s="233" t="n"/>
      <c r="AI3" s="233" t="n"/>
      <c r="AJ3" s="233" t="n"/>
      <c r="AK3" s="233" t="n"/>
      <c r="AL3" s="233" t="n"/>
      <c r="AM3" s="233" t="n"/>
      <c r="AN3" s="233" t="n"/>
      <c r="AO3" s="233" t="n"/>
      <c r="AP3" s="233" t="n"/>
      <c r="AQ3" s="233" t="n"/>
      <c r="AR3" s="233" t="n"/>
      <c r="AS3" s="233" t="n"/>
      <c r="AT3" s="233" t="n"/>
      <c r="AU3" s="233" t="n"/>
      <c r="AV3" s="233" t="n"/>
      <c r="AW3" s="233" t="n"/>
      <c r="AX3" s="233" t="n"/>
      <c r="AY3" s="233" t="n"/>
      <c r="AZ3" s="233" t="n"/>
      <c r="BA3" s="233" t="n"/>
      <c r="BB3" s="233" t="n"/>
      <c r="BC3" s="233" t="n"/>
      <c r="BD3" s="233" t="n"/>
      <c r="BE3" s="233" t="n"/>
      <c r="BF3" s="233" t="n"/>
      <c r="BG3" s="233" t="n"/>
      <c r="BH3" s="233" t="n"/>
      <c r="BI3" s="233" t="n"/>
      <c r="BJ3" s="233" t="n">
        <v>51</v>
      </c>
      <c r="BK3" s="233" t="n">
        <v>52</v>
      </c>
      <c r="BL3" s="233" t="n">
        <v>53</v>
      </c>
      <c r="BM3" s="233" t="n">
        <v>54</v>
      </c>
      <c r="BN3" s="233" t="n">
        <v>55</v>
      </c>
      <c r="BO3" s="233" t="n">
        <v>56</v>
      </c>
      <c r="BP3" s="233" t="n">
        <v>57</v>
      </c>
      <c r="BQ3" s="233" t="n">
        <v>58</v>
      </c>
      <c r="BR3" s="233" t="n"/>
      <c r="BS3" s="233" t="n"/>
      <c r="BT3" s="233" t="n"/>
      <c r="BU3" s="233" t="n"/>
      <c r="BV3" s="233" t="n"/>
      <c r="BW3" s="139" t="n"/>
    </row>
    <row r="4" ht="32.15" customFormat="1" customHeight="1" s="8">
      <c r="A4" s="140" t="inlineStr">
        <is>
          <t>VZ_IF Francia</t>
        </is>
      </c>
      <c r="B4" s="305" t="inlineStr">
        <is>
          <t>VZ_IF</t>
        </is>
      </c>
      <c r="C4" s="136" t="inlineStr">
        <is>
          <t>VZI_Base</t>
        </is>
      </c>
      <c r="D4" s="307" t="inlineStr">
        <is>
          <t>4.3_IF
04/04/2025</t>
        </is>
      </c>
      <c r="E4" s="137" t="inlineStr">
        <is>
          <t>4.0_F
10/04/2024</t>
        </is>
      </c>
      <c r="F4" s="138">
        <f>COUNTIF(G4:BW4,"&lt;&gt;")</f>
        <v/>
      </c>
      <c r="G4" s="236" t="n"/>
      <c r="H4" s="233" t="n"/>
      <c r="I4" s="233" t="n"/>
      <c r="J4" s="233" t="n"/>
      <c r="K4" s="233" t="n"/>
      <c r="L4" s="233" t="n"/>
      <c r="M4" s="233" t="n"/>
      <c r="N4" s="233" t="n"/>
      <c r="O4" s="233" t="n"/>
      <c r="P4" s="233" t="n"/>
      <c r="Q4" s="233" t="n"/>
      <c r="R4" s="233" t="n"/>
      <c r="S4" s="233" t="n"/>
      <c r="T4" s="233" t="n"/>
      <c r="U4" s="233" t="n">
        <v>15</v>
      </c>
      <c r="V4" s="233" t="n"/>
      <c r="W4" s="233" t="n"/>
      <c r="X4" s="233" t="n"/>
      <c r="Y4" s="233" t="n"/>
      <c r="Z4" s="233" t="n"/>
      <c r="AA4" s="233" t="n"/>
      <c r="AB4" s="233" t="n"/>
      <c r="AC4" s="233" t="n">
        <v>23</v>
      </c>
      <c r="AD4" s="233" t="n"/>
      <c r="AE4" s="233" t="n">
        <v>25</v>
      </c>
      <c r="AF4" s="233" t="n"/>
      <c r="AG4" s="233" t="n"/>
      <c r="AH4" s="233" t="n">
        <v>28</v>
      </c>
      <c r="AI4" s="233" t="n"/>
      <c r="AJ4" s="233" t="n"/>
      <c r="AK4" s="233" t="n">
        <v>31</v>
      </c>
      <c r="AL4" s="233" t="n"/>
      <c r="AM4" s="233" t="n"/>
      <c r="AN4" s="233" t="n"/>
      <c r="AO4" s="233" t="n"/>
      <c r="AP4" s="233" t="n"/>
      <c r="AQ4" s="233" t="n"/>
      <c r="AR4" s="233" t="n"/>
      <c r="AS4" s="233" t="n"/>
      <c r="AT4" s="233" t="n"/>
      <c r="AU4" s="233" t="n"/>
      <c r="AV4" s="233" t="n"/>
      <c r="AW4" s="233" t="n"/>
      <c r="AX4" s="233" t="n"/>
      <c r="AY4" s="233" t="n"/>
      <c r="AZ4" s="233" t="n"/>
      <c r="BA4" s="233" t="n">
        <v>47</v>
      </c>
      <c r="BB4" s="233" t="n"/>
      <c r="BC4" s="233" t="n">
        <v>49</v>
      </c>
      <c r="BD4" s="233" t="n">
        <v>50</v>
      </c>
      <c r="BE4" s="233" t="n"/>
      <c r="BF4" s="233" t="n"/>
      <c r="BG4" s="233" t="n"/>
      <c r="BH4" s="233" t="n"/>
      <c r="BI4" s="233" t="n"/>
      <c r="BJ4" s="233" t="n"/>
      <c r="BK4" s="233" t="n"/>
      <c r="BL4" s="233" t="n"/>
      <c r="BM4" s="233" t="n"/>
      <c r="BN4" s="233" t="n"/>
      <c r="BO4" s="233" t="n"/>
      <c r="BP4" s="233" t="n"/>
      <c r="BQ4" s="233" t="n"/>
      <c r="BR4" s="233" t="n"/>
      <c r="BS4" s="233" t="n"/>
      <c r="BT4" s="233" t="n"/>
      <c r="BU4" s="233" t="n"/>
      <c r="BV4" s="233" t="n"/>
      <c r="BW4" s="139" t="n"/>
    </row>
    <row r="5" ht="32.15" customFormat="1" customHeight="1" s="145">
      <c r="A5" s="141" t="inlineStr">
        <is>
          <t>VZ_ES Spagna</t>
        </is>
      </c>
      <c r="B5" s="308" t="inlineStr">
        <is>
          <t>VZ_ES</t>
        </is>
      </c>
      <c r="C5" s="305" t="inlineStr">
        <is>
          <t>VZI_New14</t>
        </is>
      </c>
      <c r="D5" s="309" t="inlineStr">
        <is>
          <t>2.9
30/06/2026</t>
        </is>
      </c>
      <c r="E5" s="297" t="inlineStr">
        <is>
          <t>2.9
30/06/2026</t>
        </is>
      </c>
      <c r="F5" s="143">
        <f>COUNTIF(G5:BW5,"&lt;&gt;")</f>
        <v/>
      </c>
      <c r="G5" s="310" t="n">
        <v>1</v>
      </c>
      <c r="H5" s="279" t="n">
        <v>2</v>
      </c>
      <c r="I5" s="279" t="n">
        <v>3</v>
      </c>
      <c r="J5" s="279" t="n">
        <v>4</v>
      </c>
      <c r="K5" s="279" t="n">
        <v>5</v>
      </c>
      <c r="L5" s="279" t="n">
        <v>6</v>
      </c>
      <c r="M5" s="279" t="n">
        <v>7</v>
      </c>
      <c r="N5" s="279" t="n">
        <v>8</v>
      </c>
      <c r="O5" s="279" t="n">
        <v>9</v>
      </c>
      <c r="P5" s="279" t="n">
        <v>10</v>
      </c>
      <c r="Q5" s="279" t="n">
        <v>11</v>
      </c>
      <c r="R5" s="279" t="n">
        <v>12</v>
      </c>
      <c r="S5" s="279" t="n">
        <v>13</v>
      </c>
      <c r="T5" s="279" t="n">
        <v>14</v>
      </c>
      <c r="U5" s="279" t="n">
        <v>15</v>
      </c>
      <c r="V5" s="279" t="n">
        <v>16</v>
      </c>
      <c r="W5" s="279" t="n">
        <v>17</v>
      </c>
      <c r="X5" s="279" t="n">
        <v>18</v>
      </c>
      <c r="Y5" s="279" t="n">
        <v>19</v>
      </c>
      <c r="Z5" s="279" t="n">
        <v>20</v>
      </c>
      <c r="AA5" s="271" t="n"/>
      <c r="AB5" s="271" t="n"/>
      <c r="AC5" s="271" t="n"/>
      <c r="AD5" s="279" t="n"/>
      <c r="AE5" s="279" t="n"/>
      <c r="AF5" s="279" t="n"/>
      <c r="AG5" s="279" t="n"/>
      <c r="AH5" s="279" t="n"/>
      <c r="AI5" s="279" t="n"/>
      <c r="AJ5" s="279" t="n"/>
      <c r="AK5" s="279" t="n"/>
      <c r="AL5" s="279" t="n"/>
      <c r="AM5" s="279" t="n"/>
      <c r="AN5" s="279" t="n"/>
      <c r="AO5" s="279" t="n"/>
      <c r="AP5" s="279" t="n"/>
      <c r="AQ5" s="279" t="n"/>
      <c r="AR5" s="279" t="n"/>
      <c r="AS5" s="279" t="n"/>
      <c r="AT5" s="279" t="n"/>
      <c r="AU5" s="279" t="n"/>
      <c r="AV5" s="279" t="n"/>
      <c r="AW5" s="279" t="n"/>
      <c r="AX5" s="279" t="n"/>
      <c r="AY5" s="279" t="n"/>
      <c r="AZ5" s="279" t="n"/>
      <c r="BA5" s="279" t="n"/>
      <c r="BB5" s="279" t="n"/>
      <c r="BC5" s="279" t="n"/>
      <c r="BD5" s="279" t="n"/>
      <c r="BE5" s="279" t="n"/>
      <c r="BF5" s="279" t="n"/>
      <c r="BG5" s="279" t="n"/>
      <c r="BH5" s="279" t="n"/>
      <c r="BI5" s="279" t="n"/>
      <c r="BJ5" s="279" t="n"/>
      <c r="BK5" s="279" t="n"/>
      <c r="BL5" s="279" t="n"/>
      <c r="BM5" s="279" t="n"/>
      <c r="BN5" s="279" t="n"/>
      <c r="BO5" s="279" t="n"/>
      <c r="BP5" s="279" t="n"/>
      <c r="BQ5" s="279" t="n"/>
      <c r="BR5" s="279" t="n"/>
      <c r="BS5" s="279" t="n"/>
      <c r="BT5" s="279" t="n"/>
      <c r="BU5" s="279" t="n"/>
      <c r="BV5" s="279" t="n"/>
      <c r="BW5" s="144" t="n"/>
    </row>
    <row r="6" ht="32.15" customFormat="1" customHeight="1" s="8">
      <c r="A6" s="135" t="inlineStr">
        <is>
          <t>VZI-6_IT Full HRI
(New 14)</t>
        </is>
      </c>
      <c r="B6" s="305" t="inlineStr">
        <is>
          <t>VZI-6_R1</t>
        </is>
      </c>
      <c r="C6" s="136" t="inlineStr">
        <is>
          <t>VZI-6_R1</t>
        </is>
      </c>
      <c r="D6" s="307" t="inlineStr">
        <is>
          <t>5.0
15/04/2026</t>
        </is>
      </c>
      <c r="E6" s="146" t="inlineStr">
        <is>
          <t>4.0 ?
xx/07/2025</t>
        </is>
      </c>
      <c r="F6" s="138">
        <f>COUNTIF(G6:BW6,"&lt;&gt;")</f>
        <v/>
      </c>
      <c r="G6" s="236" t="n">
        <v>101</v>
      </c>
      <c r="H6" s="233" t="n">
        <v>102</v>
      </c>
      <c r="I6" s="233" t="n">
        <v>103</v>
      </c>
      <c r="J6" s="233" t="n">
        <v>104</v>
      </c>
      <c r="K6" s="233" t="n">
        <v>105</v>
      </c>
      <c r="L6" s="233" t="n">
        <v>106</v>
      </c>
      <c r="M6" s="233" t="n"/>
      <c r="N6" s="233" t="n"/>
      <c r="O6" s="233" t="n"/>
      <c r="P6" s="233" t="n"/>
      <c r="Q6" s="233" t="n"/>
      <c r="R6" s="233" t="n"/>
      <c r="S6" s="233" t="n"/>
      <c r="T6" s="233" t="n"/>
      <c r="U6" s="233" t="n"/>
      <c r="V6" s="233" t="n"/>
      <c r="W6" s="233" t="n"/>
      <c r="X6" s="233" t="n"/>
      <c r="Y6" s="233" t="n"/>
      <c r="Z6" s="233" t="n"/>
      <c r="AA6" s="233" t="n"/>
      <c r="AB6" s="233" t="n"/>
      <c r="AC6" s="233" t="n"/>
      <c r="AD6" s="233" t="n"/>
      <c r="AE6" s="233" t="n"/>
      <c r="AF6" s="233" t="n"/>
      <c r="AG6" s="233" t="n"/>
      <c r="AH6" s="233" t="n"/>
      <c r="AI6" s="233" t="n"/>
      <c r="AJ6" s="233" t="n"/>
      <c r="AK6" s="233" t="n"/>
      <c r="AL6" s="233" t="n"/>
      <c r="AM6" s="233" t="n"/>
      <c r="AN6" s="233" t="n"/>
      <c r="AO6" s="233" t="n"/>
      <c r="AP6" s="233" t="n"/>
      <c r="AQ6" s="233" t="n"/>
      <c r="AR6" s="233" t="n"/>
      <c r="AS6" s="233" t="n"/>
      <c r="AT6" s="233" t="n"/>
      <c r="AU6" s="233" t="n"/>
      <c r="AV6" s="233" t="n"/>
      <c r="AW6" s="233" t="n"/>
      <c r="AX6" s="233" t="n"/>
      <c r="AY6" s="233" t="n"/>
      <c r="AZ6" s="233" t="n"/>
      <c r="BA6" s="233" t="n"/>
      <c r="BB6" s="233" t="n"/>
      <c r="BC6" s="233" t="n"/>
      <c r="BD6" s="233" t="n"/>
      <c r="BE6" s="233" t="n"/>
      <c r="BF6" s="233" t="n"/>
      <c r="BG6" s="233" t="n"/>
      <c r="BH6" s="233" t="n"/>
      <c r="BI6" s="233" t="n"/>
      <c r="BJ6" s="233" t="n"/>
      <c r="BK6" s="233" t="n"/>
      <c r="BL6" s="233" t="n"/>
      <c r="BM6" s="233" t="n"/>
      <c r="BN6" s="233" t="n"/>
      <c r="BO6" s="233" t="n"/>
      <c r="BP6" s="233" t="n"/>
      <c r="BQ6" s="233" t="n"/>
      <c r="BR6" s="233" t="n"/>
      <c r="BS6" s="233" t="n"/>
      <c r="BT6" s="233" t="n"/>
      <c r="BU6" s="233" t="n"/>
      <c r="BV6" s="233" t="n"/>
      <c r="BW6" s="139" t="n"/>
    </row>
    <row r="7" ht="32.15" customFormat="1" customHeight="1" s="8">
      <c r="A7" s="140" t="inlineStr">
        <is>
          <t>VZI-4_IT Full HRI</t>
        </is>
      </c>
      <c r="B7" s="305" t="inlineStr">
        <is>
          <t>VZI-4_R1</t>
        </is>
      </c>
      <c r="C7" s="136" t="inlineStr">
        <is>
          <t>VZI-6_R1</t>
        </is>
      </c>
      <c r="D7" s="307" t="inlineStr">
        <is>
          <t>1.0
15/04/2026</t>
        </is>
      </c>
      <c r="E7" s="147" t="inlineStr">
        <is>
          <t>?</t>
        </is>
      </c>
      <c r="F7" s="138">
        <f>COUNTIF(G7:BW7,"&lt;&gt;")</f>
        <v/>
      </c>
      <c r="G7" s="236" t="n"/>
      <c r="H7" s="233" t="n"/>
      <c r="I7" s="233" t="n"/>
      <c r="J7" s="233" t="n"/>
      <c r="K7" s="233" t="n"/>
      <c r="L7" s="233" t="n"/>
      <c r="M7" s="233" t="n">
        <v>107</v>
      </c>
      <c r="N7" s="233" t="n">
        <v>108</v>
      </c>
      <c r="O7" s="233" t="n">
        <v>109</v>
      </c>
      <c r="P7" s="233" t="n">
        <v>110</v>
      </c>
      <c r="Q7" s="233" t="n">
        <v>111</v>
      </c>
      <c r="R7" s="233" t="n">
        <v>112</v>
      </c>
      <c r="S7" s="233" t="n">
        <v>113</v>
      </c>
      <c r="T7" s="233" t="n">
        <v>114</v>
      </c>
      <c r="U7" s="233" t="n">
        <v>115</v>
      </c>
      <c r="V7" s="233" t="n">
        <v>116</v>
      </c>
      <c r="W7" s="233" t="n">
        <v>117</v>
      </c>
      <c r="X7" s="233" t="n">
        <v>118</v>
      </c>
      <c r="Y7" s="233" t="n">
        <v>119</v>
      </c>
      <c r="Z7" s="233" t="n">
        <v>120</v>
      </c>
      <c r="AA7" s="233" t="n">
        <v>121</v>
      </c>
      <c r="AB7" s="233" t="n">
        <v>122</v>
      </c>
      <c r="AC7" s="233" t="n">
        <v>123</v>
      </c>
      <c r="AD7" s="233" t="n">
        <v>124</v>
      </c>
      <c r="AE7" s="233" t="n">
        <v>125</v>
      </c>
      <c r="AF7" s="233" t="n">
        <v>126</v>
      </c>
      <c r="AG7" s="233" t="n">
        <v>127</v>
      </c>
      <c r="AH7" s="233" t="n">
        <v>128</v>
      </c>
      <c r="AI7" s="233" t="n">
        <v>129</v>
      </c>
      <c r="AJ7" s="233" t="n">
        <v>130</v>
      </c>
      <c r="AK7" s="233" t="n">
        <v>131</v>
      </c>
      <c r="AL7" s="233" t="n">
        <v>132</v>
      </c>
      <c r="AM7" s="233" t="n">
        <v>133</v>
      </c>
      <c r="AN7" s="233" t="n">
        <v>134</v>
      </c>
      <c r="AO7" s="233" t="n">
        <v>135</v>
      </c>
      <c r="AP7" s="233" t="n">
        <v>136</v>
      </c>
      <c r="AQ7" s="233" t="n">
        <v>137</v>
      </c>
      <c r="AR7" s="233" t="n">
        <v>138</v>
      </c>
      <c r="AS7" s="233" t="n">
        <v>139</v>
      </c>
      <c r="AT7" s="233" t="n">
        <v>140</v>
      </c>
      <c r="AU7" s="233" t="n">
        <v>141</v>
      </c>
      <c r="AV7" s="233" t="n">
        <v>142</v>
      </c>
      <c r="AW7" s="233" t="n">
        <v>143</v>
      </c>
      <c r="AX7" s="233" t="n">
        <v>144</v>
      </c>
      <c r="AY7" s="233" t="n">
        <v>145</v>
      </c>
      <c r="AZ7" s="233" t="n">
        <v>146</v>
      </c>
      <c r="BA7" s="233" t="n"/>
      <c r="BB7" s="233" t="n"/>
      <c r="BC7" s="233" t="n"/>
      <c r="BD7" s="233" t="n"/>
      <c r="BE7" s="233" t="n"/>
      <c r="BF7" s="233" t="n"/>
      <c r="BG7" s="233" t="n"/>
      <c r="BH7" s="233" t="n"/>
      <c r="BI7" s="233" t="n"/>
      <c r="BJ7" s="233" t="n"/>
      <c r="BK7" s="233" t="n"/>
      <c r="BL7" s="233" t="n"/>
      <c r="BM7" s="233" t="n"/>
      <c r="BN7" s="233" t="n"/>
      <c r="BO7" s="233" t="n"/>
      <c r="BP7" s="233" t="n"/>
      <c r="BQ7" s="233" t="n"/>
      <c r="BR7" s="233" t="n"/>
      <c r="BS7" s="233" t="n"/>
      <c r="BT7" s="233" t="n"/>
      <c r="BU7" s="233" t="n"/>
      <c r="BV7" s="233" t="n"/>
      <c r="BW7" s="139" t="n"/>
    </row>
    <row r="8" ht="32.15" customFormat="1" customHeight="1" s="145">
      <c r="A8" s="141" t="inlineStr">
        <is>
          <t>VZ_ES Spagna Full HRI</t>
        </is>
      </c>
      <c r="B8" s="311" t="inlineStr">
        <is>
          <t>VZ_ESxx</t>
        </is>
      </c>
      <c r="C8" s="148" t="inlineStr">
        <is>
          <t>VZI-6_R1</t>
        </is>
      </c>
      <c r="D8" s="312" t="n"/>
      <c r="E8" s="142" t="n"/>
      <c r="F8" s="143">
        <f>COUNTIF(G8:BW8,"&lt;&gt;")</f>
        <v/>
      </c>
      <c r="G8" s="310" t="n"/>
      <c r="H8" s="279" t="n"/>
      <c r="I8" s="279" t="n"/>
      <c r="J8" s="279" t="n"/>
      <c r="K8" s="279" t="n"/>
      <c r="L8" s="279" t="n"/>
      <c r="M8" s="279" t="n"/>
      <c r="N8" s="279" t="n"/>
      <c r="O8" s="279" t="n"/>
      <c r="P8" s="279" t="n"/>
      <c r="Q8" s="279" t="n"/>
      <c r="R8" s="279" t="n"/>
      <c r="S8" s="279" t="n"/>
      <c r="T8" s="279" t="n"/>
      <c r="U8" s="279" t="n"/>
      <c r="V8" s="279" t="n"/>
      <c r="W8" s="279" t="n"/>
      <c r="X8" s="279" t="n"/>
      <c r="Y8" s="279" t="n"/>
      <c r="Z8" s="279" t="n"/>
      <c r="AA8" s="271" t="n">
        <v>21</v>
      </c>
      <c r="AB8" s="271" t="n">
        <v>22</v>
      </c>
      <c r="AC8" s="271" t="n">
        <v>23</v>
      </c>
      <c r="AD8" s="279" t="n"/>
      <c r="AE8" s="279" t="n"/>
      <c r="AF8" s="279" t="n"/>
      <c r="AG8" s="279" t="n"/>
      <c r="AH8" s="279" t="n"/>
      <c r="AI8" s="279" t="n"/>
      <c r="AJ8" s="279" t="n"/>
      <c r="AK8" s="279" t="n"/>
      <c r="AL8" s="279" t="n"/>
      <c r="AM8" s="279" t="n"/>
      <c r="AN8" s="279" t="n"/>
      <c r="AO8" s="279" t="n"/>
      <c r="AP8" s="279" t="n"/>
      <c r="AQ8" s="279" t="n"/>
      <c r="AR8" s="279" t="n"/>
      <c r="AS8" s="279" t="n"/>
      <c r="AT8" s="279" t="n"/>
      <c r="AU8" s="279" t="n"/>
      <c r="AV8" s="279" t="n"/>
      <c r="AW8" s="279" t="n"/>
      <c r="AX8" s="279" t="n"/>
      <c r="AY8" s="279" t="n"/>
      <c r="AZ8" s="279" t="n"/>
      <c r="BA8" s="279" t="n"/>
      <c r="BB8" s="279" t="n"/>
      <c r="BC8" s="279" t="n"/>
      <c r="BD8" s="279" t="n"/>
      <c r="BE8" s="279" t="n"/>
      <c r="BF8" s="279" t="n"/>
      <c r="BG8" s="279" t="n"/>
      <c r="BH8" s="279" t="n"/>
      <c r="BI8" s="279" t="n"/>
      <c r="BJ8" s="279" t="n"/>
      <c r="BK8" s="279" t="n"/>
      <c r="BL8" s="279" t="n"/>
      <c r="BM8" s="279" t="n"/>
      <c r="BN8" s="279" t="n"/>
      <c r="BO8" s="279" t="n"/>
      <c r="BP8" s="279" t="n"/>
      <c r="BQ8" s="279" t="n"/>
      <c r="BR8" s="279" t="n"/>
      <c r="BS8" s="279" t="n"/>
      <c r="BT8" s="279" t="n"/>
      <c r="BU8" s="279" t="n"/>
      <c r="BV8" s="279" t="n"/>
      <c r="BW8" s="144" t="n"/>
    </row>
    <row r="9" ht="32.15" customFormat="1" customHeight="1" s="8" thickBot="1">
      <c r="A9" s="149" t="inlineStr">
        <is>
          <t>VZ_DAI</t>
        </is>
      </c>
      <c r="B9" s="150" t="inlineStr">
        <is>
          <t>VZ_DAI</t>
        </is>
      </c>
      <c r="C9" s="151" t="inlineStr">
        <is>
          <t>VZI-6_R1</t>
        </is>
      </c>
      <c r="D9" s="152" t="n"/>
      <c r="E9" s="153" t="n"/>
      <c r="F9" s="459">
        <f>COUNTIF(G9:BW9,"&lt;&gt;")</f>
        <v/>
      </c>
      <c r="G9" s="155" t="n"/>
      <c r="H9" s="156" t="n"/>
      <c r="I9" s="156" t="n"/>
      <c r="J9" s="156" t="n"/>
      <c r="K9" s="156" t="n"/>
      <c r="L9" s="156" t="n"/>
      <c r="M9" s="156" t="n"/>
      <c r="N9" s="156" t="n"/>
      <c r="O9" s="156" t="n"/>
      <c r="P9" s="156" t="n"/>
      <c r="Q9" s="156" t="n"/>
      <c r="R9" s="156" t="n"/>
      <c r="S9" s="156" t="n"/>
      <c r="T9" s="156" t="n"/>
      <c r="U9" s="156" t="n"/>
      <c r="V9" s="156" t="n"/>
      <c r="W9" s="156" t="n"/>
      <c r="X9" s="156" t="n"/>
      <c r="Y9" s="156" t="n"/>
      <c r="Z9" s="156" t="n">
        <v>20</v>
      </c>
      <c r="AA9" s="156" t="n"/>
      <c r="AB9" s="156" t="n"/>
      <c r="AC9" s="156" t="n"/>
      <c r="AD9" s="156" t="n"/>
      <c r="AE9" s="156" t="n"/>
      <c r="AF9" s="156" t="n"/>
      <c r="AG9" s="156" t="n"/>
      <c r="AH9" s="156" t="n"/>
      <c r="AI9" s="156" t="n"/>
      <c r="AJ9" s="156" t="n"/>
      <c r="AK9" s="156" t="n"/>
      <c r="AL9" s="156" t="n"/>
      <c r="AM9" s="156" t="n"/>
      <c r="AN9" s="156" t="n"/>
      <c r="AO9" s="156" t="n">
        <v>35</v>
      </c>
      <c r="AP9" s="156" t="n"/>
      <c r="AQ9" s="156" t="n"/>
      <c r="AR9" s="156" t="n"/>
      <c r="AS9" s="156" t="n"/>
      <c r="AT9" s="156" t="n"/>
      <c r="AU9" s="156" t="n"/>
      <c r="AV9" s="156" t="n"/>
      <c r="AW9" s="156" t="n"/>
      <c r="AX9" s="156" t="n">
        <v>44</v>
      </c>
      <c r="AY9" s="156" t="n"/>
      <c r="AZ9" s="156" t="n"/>
      <c r="BA9" s="156" t="n"/>
      <c r="BB9" s="156" t="n"/>
      <c r="BC9" s="156" t="n"/>
      <c r="BD9" s="156" t="n"/>
      <c r="BE9" s="156" t="n"/>
      <c r="BF9" s="156" t="n"/>
      <c r="BG9" s="156" t="n"/>
      <c r="BH9" s="156" t="n"/>
      <c r="BI9" s="156" t="n"/>
      <c r="BJ9" s="156" t="n"/>
      <c r="BK9" s="156" t="n"/>
      <c r="BL9" s="156" t="n"/>
      <c r="BM9" s="156" t="n"/>
      <c r="BN9" s="156" t="n"/>
      <c r="BO9" s="156" t="n"/>
      <c r="BP9" s="156" t="n"/>
      <c r="BQ9" s="156" t="n"/>
      <c r="BR9" s="156" t="n"/>
      <c r="BS9" s="156" t="n"/>
      <c r="BT9" s="156" t="n"/>
      <c r="BU9" s="156" t="n"/>
      <c r="BV9" s="156" t="n"/>
      <c r="BW9" s="157" t="n"/>
    </row>
  </sheetData>
  <pageMargins left="0.7" right="0.7" top="0.75" bottom="0.75" header="0.3" footer="0.3"/>
</worksheet>
</file>

<file path=xl/worksheets/sheet5.xml><?xml version="1.0" encoding="utf-8"?>
<worksheet xmlns="http://schemas.openxmlformats.org/spreadsheetml/2006/main">
  <sheetPr codeName="Foglio4">
    <tabColor theme="5" tint="0.3999755851924192"/>
    <outlinePr summaryBelow="0"/>
    <pageSetUpPr/>
  </sheetPr>
  <dimension ref="A1:W130"/>
  <sheetViews>
    <sheetView zoomScale="85" zoomScaleNormal="85" workbookViewId="0">
      <pane xSplit="6" ySplit="3" topLeftCell="G112" activePane="bottomRight" state="frozen"/>
      <selection pane="topRight" activeCell="F1" sqref="F1"/>
      <selection pane="bottomLeft" activeCell="B4" sqref="B4"/>
      <selection pane="bottomRight" activeCell="G3" sqref="G1:I1048576"/>
    </sheetView>
  </sheetViews>
  <sheetFormatPr baseColWidth="8" defaultColWidth="8.7265625" defaultRowHeight="14.5" outlineLevelRow="1"/>
  <cols>
    <col width="34.54296875" bestFit="1" customWidth="1" style="62" min="1" max="1"/>
    <col width="34.81640625" bestFit="1" customWidth="1" style="62" min="2" max="2"/>
    <col width="8.26953125" bestFit="1" customWidth="1" style="10" min="3" max="3"/>
    <col width="17.54296875" customWidth="1" style="10" min="4" max="4"/>
    <col width="4.453125" bestFit="1" customWidth="1" style="10" min="5" max="5"/>
    <col width="18.453125" customWidth="1" style="10" min="6" max="6"/>
    <col width="17.54296875" customWidth="1" style="10" min="7" max="7"/>
    <col width="4.7265625" bestFit="1" customWidth="1" style="10" min="8" max="8"/>
    <col width="17" bestFit="1" customWidth="1" style="10" min="9" max="9"/>
    <col width="17.54296875" customWidth="1" style="10" min="10" max="10"/>
    <col width="4.7265625" bestFit="1" customWidth="1" style="10" min="11" max="11"/>
    <col width="17" bestFit="1" customWidth="1" style="10" min="12" max="12"/>
    <col width="17.54296875" customWidth="1" style="10" min="13" max="13"/>
    <col width="4.453125" bestFit="1" customWidth="1" style="10" min="14" max="14"/>
    <col width="17" customWidth="1" style="10" min="15" max="15"/>
    <col width="17.1796875" customWidth="1" style="10" min="16" max="16"/>
    <col width="5.1796875" customWidth="1" style="10" min="17" max="17"/>
    <col width="15.453125" customWidth="1" style="10" min="18" max="18"/>
    <col width="4.453125" customWidth="1" style="10" min="19" max="19"/>
    <col width="6.54296875" bestFit="1" customWidth="1" style="10" min="20" max="20"/>
    <col width="6.54296875" customWidth="1" style="10" min="21" max="21"/>
    <col width="6.54296875" bestFit="1" customWidth="1" style="10" min="22" max="22"/>
    <col width="6.54296875" customWidth="1" style="10" min="23" max="23"/>
    <col width="8.7265625" customWidth="1" style="59" min="24" max="29"/>
    <col width="8.7265625" customWidth="1" style="59" min="30" max="16384"/>
  </cols>
  <sheetData>
    <row r="1" customFormat="1" s="61">
      <c r="A1" s="420" t="inlineStr">
        <is>
          <t>DOC DESCRIPTION</t>
        </is>
      </c>
      <c r="B1" s="420" t="inlineStr">
        <is>
          <t>DOC ID</t>
        </is>
      </c>
      <c r="C1" s="420" t="inlineStr">
        <is>
          <t>DOC EXT</t>
        </is>
      </c>
      <c r="D1" s="417" t="inlineStr">
        <is>
          <t>VZI_Base</t>
        </is>
      </c>
      <c r="E1" s="528" t="n"/>
      <c r="F1" s="529" t="n"/>
      <c r="G1" s="418" t="inlineStr">
        <is>
          <t>VZI_New14</t>
        </is>
      </c>
      <c r="H1" s="419" t="n"/>
      <c r="I1" s="419" t="n"/>
      <c r="J1" s="417" t="inlineStr">
        <is>
          <t>VZ_FR</t>
        </is>
      </c>
      <c r="K1" s="528" t="n"/>
      <c r="L1" s="529" t="n"/>
      <c r="M1" s="425" t="inlineStr">
        <is>
          <t>VZ_ES</t>
        </is>
      </c>
      <c r="N1" s="426" t="n"/>
      <c r="O1" s="426" t="n"/>
      <c r="P1" s="417" t="inlineStr">
        <is>
          <t>VZI-6_R1</t>
        </is>
      </c>
      <c r="Q1" s="529" t="n"/>
      <c r="R1" s="417" t="inlineStr">
        <is>
          <t>VZI-4_R1</t>
        </is>
      </c>
      <c r="S1" s="529" t="n"/>
      <c r="T1" s="417" t="inlineStr">
        <is>
          <t>VZ_DAI</t>
        </is>
      </c>
      <c r="U1" s="529" t="n"/>
      <c r="V1" s="417" t="inlineStr">
        <is>
          <t>VZ_Esxx</t>
        </is>
      </c>
      <c r="W1" s="529" t="n"/>
    </row>
    <row r="2" ht="41.15" customFormat="1" customHeight="1" s="61">
      <c r="A2" s="421" t="n"/>
      <c r="B2" s="421" t="n"/>
      <c r="C2" s="421" t="n"/>
      <c r="D2" s="415" t="inlineStr">
        <is>
          <t>Conf Sheet  BD130033980 - BL 6.0</t>
        </is>
      </c>
      <c r="E2" s="528" t="n"/>
      <c r="F2" s="529" t="n"/>
      <c r="G2" s="423" t="inlineStr">
        <is>
          <t>Conf Sheet BD140050695 - BL 4.4</t>
        </is>
      </c>
      <c r="H2" s="419" t="n"/>
      <c r="I2" s="419" t="n"/>
      <c r="J2" s="415" t="inlineStr">
        <is>
          <t>Conf Sheet 3ECP414415-0001 - BL 4.0</t>
        </is>
      </c>
      <c r="K2" s="528" t="n"/>
      <c r="L2" s="529" t="n"/>
      <c r="M2" s="427" t="inlineStr">
        <is>
          <t>Conf Sheet BD140047828 - BL 2.9</t>
        </is>
      </c>
      <c r="N2" s="426" t="n"/>
      <c r="O2" s="426" t="n"/>
      <c r="P2" s="415" t="inlineStr">
        <is>
          <t>VZI-6_IT [R1]
BL 4.0</t>
        </is>
      </c>
      <c r="Q2" s="529" t="n"/>
      <c r="R2" s="424" t="inlineStr">
        <is>
          <t>VZI-4_IT [R1]
BL 1.0</t>
        </is>
      </c>
      <c r="S2" s="529" t="n"/>
      <c r="T2" s="415" t="inlineStr">
        <is>
          <t>VZ-DAI
BL xxx</t>
        </is>
      </c>
      <c r="U2" s="529" t="n"/>
      <c r="V2" s="415" t="inlineStr">
        <is>
          <t>VZ_ES Full HRI
BL xxx</t>
        </is>
      </c>
      <c r="W2" s="529" t="n"/>
    </row>
    <row r="3" ht="30" customFormat="1" customHeight="1" s="61">
      <c r="A3" s="422" t="n"/>
      <c r="B3" s="422" t="n"/>
      <c r="C3" s="422" t="n"/>
      <c r="D3" s="183" t="inlineStr">
        <is>
          <t>File/Codice</t>
        </is>
      </c>
      <c r="E3" s="183" t="inlineStr">
        <is>
          <t>Rev</t>
        </is>
      </c>
      <c r="F3" s="186" t="inlineStr">
        <is>
          <t>Codice Config</t>
        </is>
      </c>
      <c r="G3" s="183" t="inlineStr">
        <is>
          <t>File/Codice</t>
        </is>
      </c>
      <c r="H3" s="183" t="inlineStr">
        <is>
          <t>Rev</t>
        </is>
      </c>
      <c r="I3" s="186" t="inlineStr">
        <is>
          <t>Codice Config</t>
        </is>
      </c>
      <c r="J3" s="183" t="inlineStr">
        <is>
          <t>File/Codice</t>
        </is>
      </c>
      <c r="K3" s="183" t="inlineStr">
        <is>
          <t>Rev</t>
        </is>
      </c>
      <c r="L3" s="186" t="inlineStr">
        <is>
          <t>Codice Config</t>
        </is>
      </c>
      <c r="M3" s="423" t="inlineStr">
        <is>
          <t>File/Codice</t>
        </is>
      </c>
      <c r="N3" s="183" t="inlineStr">
        <is>
          <t>Rev</t>
        </is>
      </c>
      <c r="O3" s="186" t="inlineStr">
        <is>
          <t>Codice Config</t>
        </is>
      </c>
      <c r="P3" s="189" t="inlineStr">
        <is>
          <t>Codice</t>
        </is>
      </c>
      <c r="Q3" s="91" t="inlineStr">
        <is>
          <t>Rev</t>
        </is>
      </c>
      <c r="R3" s="189" t="inlineStr">
        <is>
          <t>Codice</t>
        </is>
      </c>
      <c r="S3" s="91" t="inlineStr">
        <is>
          <t>Rev</t>
        </is>
      </c>
      <c r="T3" s="183" t="inlineStr">
        <is>
          <t>Codice</t>
        </is>
      </c>
      <c r="U3" s="186" t="inlineStr">
        <is>
          <t>Rev</t>
        </is>
      </c>
      <c r="V3" s="183" t="inlineStr">
        <is>
          <t>Codice</t>
        </is>
      </c>
      <c r="W3" s="186" t="inlineStr">
        <is>
          <t>Rev</t>
        </is>
      </c>
    </row>
    <row r="4" customFormat="1" s="61">
      <c r="A4" s="229" t="inlineStr">
        <is>
          <t>SW Configuration</t>
        </is>
      </c>
      <c r="B4" s="229" t="n"/>
      <c r="C4" s="222" t="n"/>
      <c r="D4" s="313" t="n"/>
      <c r="E4" s="314" t="n"/>
      <c r="F4" s="315" t="n"/>
      <c r="G4" s="313" t="n"/>
      <c r="H4" s="314" t="n"/>
      <c r="I4" s="315" t="n"/>
      <c r="J4" s="313" t="n"/>
      <c r="K4" s="314" t="n"/>
      <c r="L4" s="315" t="n"/>
      <c r="M4" s="313" t="n"/>
      <c r="N4" s="314" t="n"/>
      <c r="O4" s="315" t="n"/>
      <c r="P4" s="314" t="n"/>
      <c r="Q4" s="314" t="n"/>
      <c r="R4" s="313" t="n"/>
      <c r="S4" s="315" t="n"/>
      <c r="T4" s="314" t="n"/>
      <c r="U4" s="315" t="n"/>
      <c r="V4" s="314" t="n"/>
      <c r="W4" s="315" t="n"/>
    </row>
    <row r="5" outlineLevel="1" s="462">
      <c r="A5" s="316" t="inlineStr">
        <is>
          <t>SW Config. Matrix</t>
        </is>
      </c>
      <c r="B5" s="316" t="inlineStr">
        <is>
          <t>SW_Config</t>
        </is>
      </c>
      <c r="C5" s="63" t="inlineStr">
        <is>
          <t>pdf</t>
        </is>
      </c>
      <c r="D5" s="77" t="inlineStr">
        <is>
          <t>BD130033981</t>
        </is>
      </c>
      <c r="E5" s="10" t="inlineStr">
        <is>
          <t>_</t>
        </is>
      </c>
      <c r="F5" s="64" t="n"/>
      <c r="G5" s="291" t="inlineStr">
        <is>
          <t>BD140050698</t>
        </is>
      </c>
      <c r="H5" s="10" t="inlineStr">
        <is>
          <t>_</t>
        </is>
      </c>
      <c r="I5" s="73" t="n"/>
      <c r="J5" s="77" t="inlineStr">
        <is>
          <t>3ECP414332-0001</t>
        </is>
      </c>
      <c r="K5" s="78" t="inlineStr">
        <is>
          <t>_</t>
        </is>
      </c>
      <c r="L5" s="73" t="n"/>
      <c r="M5" s="291" t="inlineStr">
        <is>
          <t>BD140047861</t>
        </is>
      </c>
      <c r="N5" s="78" t="inlineStr">
        <is>
          <t>\</t>
        </is>
      </c>
      <c r="O5" s="73" t="n"/>
      <c r="P5" s="78" t="inlineStr">
        <is>
          <t>FT080031387</t>
        </is>
      </c>
      <c r="Q5" s="78" t="inlineStr">
        <is>
          <t>4.3</t>
        </is>
      </c>
      <c r="R5" s="77" t="inlineStr">
        <is>
          <t>FT080031387</t>
        </is>
      </c>
      <c r="S5" s="73" t="inlineStr">
        <is>
          <t>4.3</t>
        </is>
      </c>
      <c r="T5" s="78" t="n"/>
      <c r="U5" s="73" t="n"/>
      <c r="V5" s="78" t="n"/>
      <c r="W5" s="73" t="n"/>
    </row>
    <row r="6">
      <c r="A6" s="317" t="inlineStr">
        <is>
          <t>Functional principle diagrams (VISIO)</t>
        </is>
      </c>
      <c r="B6" s="317" t="n"/>
      <c r="C6" s="113" t="n"/>
      <c r="D6" s="68" t="n"/>
      <c r="E6" s="223" t="n"/>
      <c r="F6" s="69" t="n"/>
      <c r="G6" s="68" t="n"/>
      <c r="H6" s="223" t="n"/>
      <c r="I6" s="69" t="n"/>
      <c r="J6" s="68" t="n"/>
      <c r="K6" s="223" t="n"/>
      <c r="L6" s="69" t="n"/>
      <c r="M6" s="68" t="n"/>
      <c r="N6" s="223" t="n"/>
      <c r="O6" s="69" t="n"/>
      <c r="P6" s="223" t="n"/>
      <c r="Q6" s="223" t="n"/>
      <c r="R6" s="68" t="n"/>
      <c r="S6" s="69" t="n"/>
      <c r="T6" s="223" t="n"/>
      <c r="U6" s="69" t="n"/>
      <c r="V6" s="223" t="n"/>
      <c r="W6" s="69" t="n"/>
    </row>
    <row r="7" outlineLevel="1" ht="30" customHeight="1" s="462">
      <c r="A7" s="316" t="inlineStr">
        <is>
          <t>Drive Control</t>
        </is>
      </c>
      <c r="B7" s="316" t="inlineStr">
        <is>
          <t>FPD_Drive Control</t>
        </is>
      </c>
      <c r="C7" s="63" t="inlineStr">
        <is>
          <t>pdf</t>
        </is>
      </c>
      <c r="D7" s="77" t="inlineStr">
        <is>
          <t>3ECP410467-0001</t>
        </is>
      </c>
      <c r="E7" s="10" t="inlineStr">
        <is>
          <t>B</t>
        </is>
      </c>
      <c r="F7" s="64" t="n"/>
      <c r="G7" s="77" t="inlineStr">
        <is>
          <t>3ECP400500-0005</t>
        </is>
      </c>
      <c r="H7" s="78" t="inlineStr">
        <is>
          <t>_</t>
        </is>
      </c>
      <c r="I7" s="73" t="n"/>
      <c r="J7" s="77" t="inlineStr">
        <is>
          <t>3ECP410467-0001</t>
        </is>
      </c>
      <c r="K7" s="10" t="inlineStr">
        <is>
          <t>B</t>
        </is>
      </c>
      <c r="L7" s="64" t="n"/>
      <c r="M7" s="77" t="inlineStr">
        <is>
          <t>3ECP413651-0005</t>
        </is>
      </c>
      <c r="N7" s="10" t="inlineStr">
        <is>
          <t>_</t>
        </is>
      </c>
      <c r="O7" s="64" t="n"/>
      <c r="P7" s="78" t="inlineStr">
        <is>
          <t>FA010024090</t>
        </is>
      </c>
      <c r="Q7" s="79" t="inlineStr">
        <is>
          <t>00.2</t>
        </is>
      </c>
      <c r="R7" s="63" t="inlineStr">
        <is>
          <t>FA010024090</t>
        </is>
      </c>
      <c r="S7" s="71" t="inlineStr">
        <is>
          <t>00.2</t>
        </is>
      </c>
      <c r="U7" s="64" t="n"/>
      <c r="W7" s="64" t="n"/>
    </row>
    <row r="8" outlineLevel="1" ht="30" customHeight="1" s="462">
      <c r="A8" s="316" t="inlineStr">
        <is>
          <t>Conventional Train Control</t>
        </is>
      </c>
      <c r="B8" s="316" t="inlineStr">
        <is>
          <t>FPD_Conventional Train Control</t>
        </is>
      </c>
      <c r="C8" s="63" t="inlineStr">
        <is>
          <t>pdf</t>
        </is>
      </c>
      <c r="D8" s="77" t="inlineStr">
        <is>
          <t>3ECP410476-0001</t>
        </is>
      </c>
      <c r="E8" s="10" t="inlineStr">
        <is>
          <t>C</t>
        </is>
      </c>
      <c r="F8" s="64" t="n"/>
      <c r="G8" s="77" t="inlineStr">
        <is>
          <t>3ECP400500-0014</t>
        </is>
      </c>
      <c r="H8" s="78" t="inlineStr">
        <is>
          <t>A</t>
        </is>
      </c>
      <c r="I8" s="73" t="n"/>
      <c r="J8" s="77" t="inlineStr">
        <is>
          <t>3ECP307072-0001</t>
        </is>
      </c>
      <c r="K8" s="10" t="inlineStr">
        <is>
          <t>C</t>
        </is>
      </c>
      <c r="L8" s="64" t="n"/>
      <c r="M8" s="77" t="inlineStr">
        <is>
          <t>3ECP413651-0014</t>
        </is>
      </c>
      <c r="N8" s="10" t="inlineStr">
        <is>
          <t>A</t>
        </is>
      </c>
      <c r="O8" s="64" t="n"/>
      <c r="P8" s="78" t="inlineStr">
        <is>
          <t>FA010024089</t>
        </is>
      </c>
      <c r="Q8" s="79" t="inlineStr">
        <is>
          <t>03.2</t>
        </is>
      </c>
      <c r="R8" s="63" t="inlineStr">
        <is>
          <t>FA010024089</t>
        </is>
      </c>
      <c r="S8" s="71" t="inlineStr">
        <is>
          <t>03.2</t>
        </is>
      </c>
      <c r="U8" s="64" t="n"/>
      <c r="W8" s="64" t="n"/>
    </row>
    <row r="9" outlineLevel="1" ht="30" customHeight="1" s="462">
      <c r="A9" s="316" t="inlineStr">
        <is>
          <t>Train Protection - ATP</t>
        </is>
      </c>
      <c r="B9" s="316" t="inlineStr">
        <is>
          <t>FPD_Train Protection - ATP</t>
        </is>
      </c>
      <c r="C9" s="63" t="inlineStr">
        <is>
          <t>pdf</t>
        </is>
      </c>
      <c r="D9" s="77" t="inlineStr">
        <is>
          <t>3ECP410482-0001</t>
        </is>
      </c>
      <c r="E9" s="10" t="inlineStr">
        <is>
          <t>C</t>
        </is>
      </c>
      <c r="F9" s="73" t="n"/>
      <c r="G9" s="77" t="inlineStr">
        <is>
          <t>3ECP400500-0020</t>
        </is>
      </c>
      <c r="H9" s="78" t="inlineStr">
        <is>
          <t>A</t>
        </is>
      </c>
      <c r="I9" s="73" t="n"/>
      <c r="J9" s="77" t="inlineStr">
        <is>
          <t>3ECP410482-0001</t>
        </is>
      </c>
      <c r="K9" s="10" t="inlineStr">
        <is>
          <t>C</t>
        </is>
      </c>
      <c r="L9" s="64" t="n"/>
      <c r="M9" s="77" t="inlineStr">
        <is>
          <t>3ECP413651-0020</t>
        </is>
      </c>
      <c r="N9" s="10" t="inlineStr">
        <is>
          <t>D</t>
        </is>
      </c>
      <c r="O9" s="64" t="n"/>
      <c r="P9" s="78" t="inlineStr">
        <is>
          <t>FA010024100</t>
        </is>
      </c>
      <c r="Q9" s="79" t="inlineStr">
        <is>
          <t>03.2</t>
        </is>
      </c>
      <c r="R9" s="63" t="inlineStr">
        <is>
          <t>FA010024100</t>
        </is>
      </c>
      <c r="S9" s="71" t="inlineStr">
        <is>
          <t>03.2</t>
        </is>
      </c>
      <c r="U9" s="64" t="n"/>
      <c r="W9" s="64" t="n"/>
    </row>
    <row r="10" outlineLevel="1" ht="30" customHeight="1" s="462">
      <c r="A10" s="316" t="inlineStr">
        <is>
          <t>TCMS Architecture</t>
        </is>
      </c>
      <c r="B10" s="316" t="inlineStr">
        <is>
          <t>FPD_TCMS Architecture</t>
        </is>
      </c>
      <c r="C10" s="63" t="inlineStr">
        <is>
          <t>pdf</t>
        </is>
      </c>
      <c r="D10" s="77" t="inlineStr">
        <is>
          <t>\</t>
        </is>
      </c>
      <c r="E10" s="10" t="inlineStr">
        <is>
          <t>\</t>
        </is>
      </c>
      <c r="F10" s="64" t="n"/>
      <c r="G10" s="77" t="inlineStr">
        <is>
          <t>\</t>
        </is>
      </c>
      <c r="H10" s="78" t="inlineStr">
        <is>
          <t>\</t>
        </is>
      </c>
      <c r="I10" s="73" t="n"/>
      <c r="J10" s="77" t="inlineStr">
        <is>
          <t>3ECP307076-0001</t>
        </is>
      </c>
      <c r="K10" s="10" t="inlineStr">
        <is>
          <t>_</t>
        </is>
      </c>
      <c r="L10" s="64" t="n"/>
      <c r="M10" s="77" t="inlineStr">
        <is>
          <t>3ECP307255-0001</t>
        </is>
      </c>
      <c r="N10" s="10" t="inlineStr">
        <is>
          <t>D</t>
        </is>
      </c>
      <c r="O10" s="64" t="n"/>
      <c r="P10" s="78" t="inlineStr">
        <is>
          <t>FA010024104</t>
        </is>
      </c>
      <c r="Q10" s="79" t="inlineStr">
        <is>
          <t>00.2</t>
        </is>
      </c>
      <c r="R10" s="63" t="inlineStr">
        <is>
          <t>FA010024104</t>
        </is>
      </c>
      <c r="S10" s="71" t="inlineStr">
        <is>
          <t>00.2</t>
        </is>
      </c>
      <c r="U10" s="64" t="n"/>
      <c r="W10" s="64" t="n"/>
    </row>
    <row r="11" outlineLevel="1" ht="30" customHeight="1" s="462">
      <c r="A11" s="316" t="inlineStr">
        <is>
          <t>Propulsion and Auxiliary</t>
        </is>
      </c>
      <c r="B11" s="316" t="inlineStr">
        <is>
          <t>FPD_Propulsion and Auxiliary</t>
        </is>
      </c>
      <c r="C11" s="63" t="inlineStr">
        <is>
          <t>pdf</t>
        </is>
      </c>
      <c r="D11" s="77" t="inlineStr">
        <is>
          <t>\</t>
        </is>
      </c>
      <c r="E11" s="10" t="inlineStr">
        <is>
          <t>\</t>
        </is>
      </c>
      <c r="F11" s="64" t="n"/>
      <c r="G11" s="77" t="inlineStr">
        <is>
          <t>\</t>
        </is>
      </c>
      <c r="H11" s="78" t="inlineStr">
        <is>
          <t>\</t>
        </is>
      </c>
      <c r="I11" s="73" t="n"/>
      <c r="J11" s="77" t="n"/>
      <c r="L11" s="64" t="n"/>
      <c r="M11" s="77" t="inlineStr">
        <is>
          <t>\</t>
        </is>
      </c>
      <c r="N11" s="10" t="inlineStr">
        <is>
          <t>\</t>
        </is>
      </c>
      <c r="O11" s="64" t="n"/>
      <c r="P11" s="78" t="inlineStr">
        <is>
          <t>FA010024103</t>
        </is>
      </c>
      <c r="Q11" s="79" t="inlineStr">
        <is>
          <t>01.2</t>
        </is>
      </c>
      <c r="R11" s="63" t="inlineStr">
        <is>
          <t>FA010024103</t>
        </is>
      </c>
      <c r="S11" s="71" t="inlineStr">
        <is>
          <t>01.2</t>
        </is>
      </c>
      <c r="U11" s="64" t="n"/>
      <c r="W11" s="64" t="n"/>
    </row>
    <row r="12" outlineLevel="1" ht="30" customHeight="1" s="462">
      <c r="A12" s="316" t="inlineStr">
        <is>
          <t>Line Voltage</t>
        </is>
      </c>
      <c r="B12" s="316" t="inlineStr">
        <is>
          <t>FPD_Line Voltage</t>
        </is>
      </c>
      <c r="C12" s="63" t="inlineStr">
        <is>
          <t>pdf</t>
        </is>
      </c>
      <c r="D12" s="77" t="inlineStr">
        <is>
          <t>3ECP410475-0001</t>
        </is>
      </c>
      <c r="E12" s="10" t="inlineStr">
        <is>
          <t>B</t>
        </is>
      </c>
      <c r="F12" s="64" t="n"/>
      <c r="G12" s="77" t="inlineStr">
        <is>
          <t>3ECP400500-0013</t>
        </is>
      </c>
      <c r="H12" s="78" t="inlineStr">
        <is>
          <t>C</t>
        </is>
      </c>
      <c r="I12" s="73" t="n"/>
      <c r="J12" s="77" t="inlineStr">
        <is>
          <t>3ECP307079-0001</t>
        </is>
      </c>
      <c r="K12" s="10" t="inlineStr">
        <is>
          <t>A</t>
        </is>
      </c>
      <c r="L12" s="64" t="n"/>
      <c r="M12" s="77" t="inlineStr">
        <is>
          <t>3ECP413651-0013</t>
        </is>
      </c>
      <c r="N12" s="10" t="inlineStr">
        <is>
          <t>_</t>
        </is>
      </c>
      <c r="O12" s="64" t="n"/>
      <c r="P12" s="78" t="inlineStr">
        <is>
          <t>FA010024096</t>
        </is>
      </c>
      <c r="Q12" s="79" t="inlineStr">
        <is>
          <t>03.2</t>
        </is>
      </c>
      <c r="R12" s="63" t="inlineStr">
        <is>
          <t>FA010024096</t>
        </is>
      </c>
      <c r="S12" s="71" t="inlineStr">
        <is>
          <t>03.2</t>
        </is>
      </c>
      <c r="U12" s="64" t="n"/>
      <c r="W12" s="64" t="n"/>
    </row>
    <row r="13" outlineLevel="1" ht="30" customHeight="1" s="462">
      <c r="A13" s="316" t="inlineStr">
        <is>
          <t>Auxiliary Electrical Supply</t>
        </is>
      </c>
      <c r="B13" s="316" t="inlineStr">
        <is>
          <t>FPD_Auxiliary Electrical Supply</t>
        </is>
      </c>
      <c r="C13" s="63" t="inlineStr">
        <is>
          <t>pdf</t>
        </is>
      </c>
      <c r="D13" s="77" t="inlineStr">
        <is>
          <t>3ECP410465-0001</t>
        </is>
      </c>
      <c r="E13" s="10" t="inlineStr">
        <is>
          <t>B</t>
        </is>
      </c>
      <c r="F13" s="64" t="n"/>
      <c r="G13" s="77" t="inlineStr">
        <is>
          <t>3ECP400500-0003</t>
        </is>
      </c>
      <c r="H13" s="10" t="inlineStr">
        <is>
          <t>C</t>
        </is>
      </c>
      <c r="I13" s="73" t="n"/>
      <c r="J13" s="77" t="inlineStr">
        <is>
          <t>3ECP410465-0001</t>
        </is>
      </c>
      <c r="K13" s="10" t="inlineStr">
        <is>
          <t>B</t>
        </is>
      </c>
      <c r="L13" s="64" t="n"/>
      <c r="M13" s="77" t="inlineStr">
        <is>
          <t>3ECP413651-0003</t>
        </is>
      </c>
      <c r="N13" s="79" t="inlineStr">
        <is>
          <t>A</t>
        </is>
      </c>
      <c r="O13" s="64" t="n"/>
      <c r="P13" s="78" t="inlineStr">
        <is>
          <t>FA010024083</t>
        </is>
      </c>
      <c r="Q13" s="79" t="inlineStr">
        <is>
          <t>01.2</t>
        </is>
      </c>
      <c r="R13" s="63" t="inlineStr">
        <is>
          <t>FA010024083</t>
        </is>
      </c>
      <c r="S13" s="71" t="inlineStr">
        <is>
          <t>01.2</t>
        </is>
      </c>
      <c r="U13" s="64" t="n"/>
      <c r="W13" s="64" t="n"/>
    </row>
    <row r="14" outlineLevel="1" ht="30" customHeight="1" s="462">
      <c r="A14" s="316" t="inlineStr">
        <is>
          <t>Battery</t>
        </is>
      </c>
      <c r="B14" s="316" t="inlineStr">
        <is>
          <t>FPD_Battery</t>
        </is>
      </c>
      <c r="C14" s="63" t="inlineStr">
        <is>
          <t>pdf</t>
        </is>
      </c>
      <c r="D14" s="77" t="inlineStr">
        <is>
          <t>3ECP410477-0001</t>
        </is>
      </c>
      <c r="E14" s="10" t="inlineStr">
        <is>
          <t>B</t>
        </is>
      </c>
      <c r="F14" s="64" t="n"/>
      <c r="G14" s="77" t="inlineStr">
        <is>
          <t>3ECP400500-0015</t>
        </is>
      </c>
      <c r="H14" s="78" t="inlineStr">
        <is>
          <t>_</t>
        </is>
      </c>
      <c r="I14" s="73" t="n"/>
      <c r="J14" s="77" t="inlineStr">
        <is>
          <t>3ECP410477-0001</t>
        </is>
      </c>
      <c r="K14" s="10" t="inlineStr">
        <is>
          <t>B</t>
        </is>
      </c>
      <c r="L14" s="64" t="n"/>
      <c r="M14" s="77" t="inlineStr">
        <is>
          <t>3ECP413651-0015</t>
        </is>
      </c>
      <c r="N14" s="10" t="inlineStr">
        <is>
          <t>_</t>
        </is>
      </c>
      <c r="O14" s="64" t="n"/>
      <c r="P14" s="78" t="inlineStr">
        <is>
          <t>FA010024084</t>
        </is>
      </c>
      <c r="Q14" s="79" t="inlineStr">
        <is>
          <t>01.2</t>
        </is>
      </c>
      <c r="R14" s="63" t="inlineStr">
        <is>
          <t>FA010024084</t>
        </is>
      </c>
      <c r="S14" s="71" t="inlineStr">
        <is>
          <t>01.2</t>
        </is>
      </c>
      <c r="U14" s="64" t="n"/>
      <c r="W14" s="64" t="n"/>
    </row>
    <row r="15" outlineLevel="1" ht="30" customHeight="1" s="462">
      <c r="A15" s="316" t="inlineStr">
        <is>
          <t>Air Supply</t>
        </is>
      </c>
      <c r="B15" s="316" t="inlineStr">
        <is>
          <t>FPD_Air Supply</t>
        </is>
      </c>
      <c r="C15" s="63" t="inlineStr">
        <is>
          <t>pdf</t>
        </is>
      </c>
      <c r="D15" s="77" t="inlineStr">
        <is>
          <t>3ECP410463-0001</t>
        </is>
      </c>
      <c r="E15" s="10" t="inlineStr">
        <is>
          <t>B</t>
        </is>
      </c>
      <c r="F15" s="64" t="n"/>
      <c r="G15" s="77" t="inlineStr">
        <is>
          <t>3ECP400500-0002</t>
        </is>
      </c>
      <c r="H15" s="10" t="inlineStr">
        <is>
          <t>A</t>
        </is>
      </c>
      <c r="I15" s="73" t="n"/>
      <c r="J15" s="77" t="inlineStr">
        <is>
          <t>3ECP410463-0001</t>
        </is>
      </c>
      <c r="K15" s="10" t="inlineStr">
        <is>
          <t>B</t>
        </is>
      </c>
      <c r="L15" s="64" t="n"/>
      <c r="M15" s="77" t="inlineStr">
        <is>
          <t>3ECP413651-0002</t>
        </is>
      </c>
      <c r="N15" s="10" t="inlineStr">
        <is>
          <t>A</t>
        </is>
      </c>
      <c r="O15" s="64" t="n"/>
      <c r="P15" s="78" t="inlineStr">
        <is>
          <t>FA010024081</t>
        </is>
      </c>
      <c r="Q15" s="79" t="inlineStr">
        <is>
          <t>01.2</t>
        </is>
      </c>
      <c r="R15" s="63" t="inlineStr">
        <is>
          <t>FA010024081</t>
        </is>
      </c>
      <c r="S15" s="71" t="inlineStr">
        <is>
          <t>01.2</t>
        </is>
      </c>
      <c r="U15" s="64" t="n"/>
      <c r="W15" s="64" t="n"/>
    </row>
    <row r="16" outlineLevel="1" ht="30" customHeight="1" s="462">
      <c r="A16" s="316" t="inlineStr">
        <is>
          <t>Brake Control</t>
        </is>
      </c>
      <c r="B16" s="316" t="inlineStr">
        <is>
          <t>FPD_Brake Control</t>
        </is>
      </c>
      <c r="C16" s="63" t="inlineStr">
        <is>
          <t>pdf</t>
        </is>
      </c>
      <c r="D16" s="77" t="inlineStr">
        <is>
          <t>3ECP410480-0001</t>
        </is>
      </c>
      <c r="E16" s="10" t="inlineStr">
        <is>
          <t>C</t>
        </is>
      </c>
      <c r="F16" s="64" t="n"/>
      <c r="G16" s="77" t="inlineStr">
        <is>
          <t>3ECP400500-0018</t>
        </is>
      </c>
      <c r="H16" s="10" t="inlineStr">
        <is>
          <t>B</t>
        </is>
      </c>
      <c r="I16" s="73" t="n"/>
      <c r="J16" s="77" t="inlineStr">
        <is>
          <t>3ECP307074-0001</t>
        </is>
      </c>
      <c r="K16" s="79" t="inlineStr">
        <is>
          <t>E</t>
        </is>
      </c>
      <c r="L16" s="64" t="n"/>
      <c r="M16" s="77" t="inlineStr">
        <is>
          <t>3ECP413651-0018</t>
        </is>
      </c>
      <c r="N16" s="10" t="inlineStr">
        <is>
          <t>A</t>
        </is>
      </c>
      <c r="O16" s="64" t="n"/>
      <c r="P16" s="78" t="inlineStr">
        <is>
          <t>FA010024086</t>
        </is>
      </c>
      <c r="Q16" s="79" t="inlineStr">
        <is>
          <t>02.2</t>
        </is>
      </c>
      <c r="R16" s="63" t="inlineStr">
        <is>
          <t>FA010024086</t>
        </is>
      </c>
      <c r="S16" s="71" t="inlineStr">
        <is>
          <t>02.2</t>
        </is>
      </c>
      <c r="U16" s="64" t="n"/>
      <c r="W16" s="64" t="n"/>
    </row>
    <row r="17" outlineLevel="1" ht="30" customHeight="1" s="462">
      <c r="A17" s="316" t="inlineStr">
        <is>
          <t>Bogie</t>
        </is>
      </c>
      <c r="B17" s="316" t="inlineStr">
        <is>
          <t>FPD_Bogie</t>
        </is>
      </c>
      <c r="C17" s="63" t="inlineStr">
        <is>
          <t>pdf</t>
        </is>
      </c>
      <c r="D17" s="77" t="inlineStr">
        <is>
          <t>3ECP410466-0001</t>
        </is>
      </c>
      <c r="E17" s="79" t="inlineStr">
        <is>
          <t>D</t>
        </is>
      </c>
      <c r="F17" s="64" t="n"/>
      <c r="G17" s="77" t="inlineStr">
        <is>
          <t>3ECP400500-0004</t>
        </is>
      </c>
      <c r="H17" s="10" t="inlineStr">
        <is>
          <t>B</t>
        </is>
      </c>
      <c r="I17" s="73" t="n"/>
      <c r="J17" s="77" t="inlineStr">
        <is>
          <t>3ECP307081-0001</t>
        </is>
      </c>
      <c r="K17" s="79" t="inlineStr">
        <is>
          <t>B</t>
        </is>
      </c>
      <c r="L17" s="64" t="n"/>
      <c r="M17" s="77" t="inlineStr">
        <is>
          <t>3ECP413651-0004</t>
        </is>
      </c>
      <c r="N17" s="10" t="inlineStr">
        <is>
          <t>_</t>
        </is>
      </c>
      <c r="O17" s="64" t="n"/>
      <c r="P17" s="78" t="inlineStr">
        <is>
          <t>FA010024085</t>
        </is>
      </c>
      <c r="Q17" s="79" t="inlineStr">
        <is>
          <t>01.2</t>
        </is>
      </c>
      <c r="R17" s="63" t="inlineStr">
        <is>
          <t>FA010024085</t>
        </is>
      </c>
      <c r="S17" s="71" t="inlineStr">
        <is>
          <t>01.2</t>
        </is>
      </c>
      <c r="U17" s="64" t="n"/>
      <c r="W17" s="64" t="n"/>
    </row>
    <row r="18" outlineLevel="1" ht="30" customHeight="1" s="462">
      <c r="A18" s="316" t="inlineStr">
        <is>
          <t>Wash Wiper</t>
        </is>
      </c>
      <c r="B18" s="316" t="inlineStr">
        <is>
          <t>FPD_Wash Wiper</t>
        </is>
      </c>
      <c r="C18" s="63" t="inlineStr">
        <is>
          <t>pdf</t>
        </is>
      </c>
      <c r="D18" s="77" t="inlineStr">
        <is>
          <t>3ECP410473-0001</t>
        </is>
      </c>
      <c r="E18" s="10" t="inlineStr">
        <is>
          <t>B</t>
        </is>
      </c>
      <c r="F18" s="64" t="n"/>
      <c r="G18" s="77" t="inlineStr">
        <is>
          <t>3ECP400500-0011</t>
        </is>
      </c>
      <c r="H18" s="10" t="inlineStr">
        <is>
          <t>_</t>
        </is>
      </c>
      <c r="I18" s="73" t="n"/>
      <c r="J18" s="77" t="inlineStr">
        <is>
          <t>3ECP307082-0001</t>
        </is>
      </c>
      <c r="K18" s="10" t="inlineStr">
        <is>
          <t>_</t>
        </is>
      </c>
      <c r="L18" s="64" t="n"/>
      <c r="M18" s="77" t="inlineStr">
        <is>
          <t>3ECP413651-0011</t>
        </is>
      </c>
      <c r="N18" s="10" t="inlineStr">
        <is>
          <t>_</t>
        </is>
      </c>
      <c r="O18" s="64" t="n"/>
      <c r="P18" s="78" t="inlineStr">
        <is>
          <t>FA010024101</t>
        </is>
      </c>
      <c r="Q18" s="79" t="inlineStr">
        <is>
          <t>00.2</t>
        </is>
      </c>
      <c r="R18" s="63" t="inlineStr">
        <is>
          <t>FA010024101</t>
        </is>
      </c>
      <c r="S18" s="71" t="inlineStr">
        <is>
          <t>00.2</t>
        </is>
      </c>
      <c r="U18" s="64" t="n"/>
      <c r="W18" s="64" t="n"/>
    </row>
    <row r="19" outlineLevel="1" ht="30" customHeight="1" s="462">
      <c r="A19" s="316" t="inlineStr">
        <is>
          <t>Windscreen heater</t>
        </is>
      </c>
      <c r="B19" s="316" t="inlineStr">
        <is>
          <t>FPD_Windscreen heater</t>
        </is>
      </c>
      <c r="C19" s="63" t="inlineStr">
        <is>
          <t>pdf</t>
        </is>
      </c>
      <c r="D19" s="77" t="inlineStr">
        <is>
          <t>3ECP410474-0001</t>
        </is>
      </c>
      <c r="E19" s="10" t="inlineStr">
        <is>
          <t>B</t>
        </is>
      </c>
      <c r="F19" s="64" t="n"/>
      <c r="G19" s="77" t="inlineStr">
        <is>
          <t>3ECP400500-0012</t>
        </is>
      </c>
      <c r="H19" s="10" t="inlineStr">
        <is>
          <t>_</t>
        </is>
      </c>
      <c r="I19" s="73" t="n"/>
      <c r="J19" s="77" t="inlineStr">
        <is>
          <t>3ECP410474-0001</t>
        </is>
      </c>
      <c r="K19" s="10" t="inlineStr">
        <is>
          <t>B</t>
        </is>
      </c>
      <c r="L19" s="64" t="n"/>
      <c r="M19" s="77" t="inlineStr">
        <is>
          <t>3ECP413651-0012</t>
        </is>
      </c>
      <c r="N19" s="10" t="inlineStr">
        <is>
          <t>_</t>
        </is>
      </c>
      <c r="O19" s="64" t="n"/>
      <c r="P19" s="78" t="inlineStr">
        <is>
          <t>FA010024102</t>
        </is>
      </c>
      <c r="Q19" s="79" t="inlineStr">
        <is>
          <t>00.2</t>
        </is>
      </c>
      <c r="R19" s="63" t="inlineStr">
        <is>
          <t>FA010024102</t>
        </is>
      </c>
      <c r="S19" s="71" t="inlineStr">
        <is>
          <t>00.2</t>
        </is>
      </c>
      <c r="U19" s="64" t="n"/>
      <c r="W19" s="64" t="n"/>
    </row>
    <row r="20" outlineLevel="1" ht="30" customHeight="1" s="462">
      <c r="A20" s="316" t="inlineStr">
        <is>
          <t>Automatic Coupler</t>
        </is>
      </c>
      <c r="B20" s="316" t="inlineStr">
        <is>
          <t>FPD_Automatic Coupler</t>
        </is>
      </c>
      <c r="C20" s="63" t="inlineStr">
        <is>
          <t>pdf</t>
        </is>
      </c>
      <c r="D20" s="77" t="inlineStr">
        <is>
          <t>3ECP410481-0001</t>
        </is>
      </c>
      <c r="E20" s="10" t="inlineStr">
        <is>
          <t>C</t>
        </is>
      </c>
      <c r="F20" s="64" t="n"/>
      <c r="G20" s="77" t="inlineStr">
        <is>
          <t>3ECP400500-0019</t>
        </is>
      </c>
      <c r="H20" s="10" t="inlineStr">
        <is>
          <t>A</t>
        </is>
      </c>
      <c r="I20" s="73" t="n"/>
      <c r="J20" s="77" t="inlineStr">
        <is>
          <t>3ECP307077-0001</t>
        </is>
      </c>
      <c r="K20" s="79" t="inlineStr">
        <is>
          <t>B</t>
        </is>
      </c>
      <c r="L20" s="64" t="n"/>
      <c r="M20" s="77" t="inlineStr">
        <is>
          <t>3ECP413651-0019</t>
        </is>
      </c>
      <c r="N20" s="10" t="inlineStr">
        <is>
          <t>A</t>
        </is>
      </c>
      <c r="O20" s="64" t="n"/>
      <c r="P20" s="78" t="inlineStr">
        <is>
          <t>FA010024082</t>
        </is>
      </c>
      <c r="Q20" s="79" t="inlineStr">
        <is>
          <t>02.2</t>
        </is>
      </c>
      <c r="R20" s="63" t="inlineStr">
        <is>
          <t>FA010024082</t>
        </is>
      </c>
      <c r="S20" s="71" t="inlineStr">
        <is>
          <t>02.2</t>
        </is>
      </c>
      <c r="U20" s="64" t="n"/>
      <c r="W20" s="64" t="n"/>
    </row>
    <row r="21" outlineLevel="1" ht="30" customHeight="1" s="462">
      <c r="A21" s="316" t="inlineStr">
        <is>
          <t>Horn</t>
        </is>
      </c>
      <c r="B21" s="316" t="inlineStr">
        <is>
          <t>FPD_Horn</t>
        </is>
      </c>
      <c r="C21" s="63" t="inlineStr">
        <is>
          <t>pdf</t>
        </is>
      </c>
      <c r="D21" s="77" t="inlineStr">
        <is>
          <t>3ECP410468-0001</t>
        </is>
      </c>
      <c r="E21" s="10" t="inlineStr">
        <is>
          <t>B</t>
        </is>
      </c>
      <c r="F21" s="64" t="n"/>
      <c r="G21" s="77" t="inlineStr">
        <is>
          <t>3ECP400500-0006</t>
        </is>
      </c>
      <c r="H21" s="78" t="inlineStr">
        <is>
          <t>_</t>
        </is>
      </c>
      <c r="I21" s="73" t="n"/>
      <c r="J21" s="77" t="inlineStr">
        <is>
          <t>3ECP410468-0001</t>
        </is>
      </c>
      <c r="K21" s="10" t="inlineStr">
        <is>
          <t>B</t>
        </is>
      </c>
      <c r="L21" s="64" t="n"/>
      <c r="M21" s="77" t="inlineStr">
        <is>
          <t>3ECP413651-0006</t>
        </is>
      </c>
      <c r="N21" s="10" t="inlineStr">
        <is>
          <t>_</t>
        </is>
      </c>
      <c r="O21" s="64" t="n"/>
      <c r="P21" s="78" t="inlineStr">
        <is>
          <t>FA010024094</t>
        </is>
      </c>
      <c r="Q21" s="79" t="inlineStr">
        <is>
          <t>00.2</t>
        </is>
      </c>
      <c r="R21" s="63" t="inlineStr">
        <is>
          <t>FA010024094</t>
        </is>
      </c>
      <c r="S21" s="71" t="inlineStr">
        <is>
          <t>00.2</t>
        </is>
      </c>
      <c r="U21" s="64" t="n"/>
      <c r="W21" s="64" t="n"/>
    </row>
    <row r="22" outlineLevel="1" ht="30" customHeight="1" s="462">
      <c r="A22" s="316" t="inlineStr">
        <is>
          <t>Exterior and Interior Doors</t>
        </is>
      </c>
      <c r="B22" s="316" t="inlineStr">
        <is>
          <t>FPD_Exterior and Interior Doors</t>
        </is>
      </c>
      <c r="C22" s="63" t="inlineStr">
        <is>
          <t>pdf</t>
        </is>
      </c>
      <c r="D22" s="77" t="inlineStr">
        <is>
          <t>3ECP410462-0001</t>
        </is>
      </c>
      <c r="E22" s="10" t="inlineStr">
        <is>
          <t>C</t>
        </is>
      </c>
      <c r="F22" s="64" t="n"/>
      <c r="G22" s="77" t="inlineStr">
        <is>
          <t>3ECP400500-0001</t>
        </is>
      </c>
      <c r="H22" s="10" t="inlineStr">
        <is>
          <t>A</t>
        </is>
      </c>
      <c r="I22" s="73" t="n"/>
      <c r="J22" s="77" t="inlineStr">
        <is>
          <t>3ECP307073-0001</t>
        </is>
      </c>
      <c r="K22" s="79" t="inlineStr">
        <is>
          <t>D</t>
        </is>
      </c>
      <c r="L22" s="64" t="n"/>
      <c r="M22" s="77" t="inlineStr">
        <is>
          <t>3ECP413651-0001</t>
        </is>
      </c>
      <c r="N22" s="10" t="inlineStr">
        <is>
          <t>A</t>
        </is>
      </c>
      <c r="O22" s="64" t="n"/>
      <c r="P22" s="78" t="inlineStr">
        <is>
          <t>FA010024091</t>
        </is>
      </c>
      <c r="Q22" s="79" t="inlineStr">
        <is>
          <t>02.2</t>
        </is>
      </c>
      <c r="R22" s="63" t="inlineStr">
        <is>
          <t>FA010024091</t>
        </is>
      </c>
      <c r="S22" s="71" t="inlineStr">
        <is>
          <t>02.2</t>
        </is>
      </c>
      <c r="U22" s="64" t="n"/>
      <c r="W22" s="64" t="n"/>
    </row>
    <row r="23" outlineLevel="1" ht="30" customHeight="1" s="462">
      <c r="A23" s="316" t="inlineStr">
        <is>
          <t>Cab HVAC</t>
        </is>
      </c>
      <c r="B23" s="316" t="inlineStr">
        <is>
          <t>FPD_Cab HVAC</t>
        </is>
      </c>
      <c r="C23" s="63" t="inlineStr">
        <is>
          <t>pdf</t>
        </is>
      </c>
      <c r="D23" s="77" t="inlineStr">
        <is>
          <t>3ECP410470-0001</t>
        </is>
      </c>
      <c r="E23" s="10" t="inlineStr">
        <is>
          <t>B</t>
        </is>
      </c>
      <c r="F23" s="64" t="n"/>
      <c r="G23" s="77" t="inlineStr">
        <is>
          <t>3ECP400500-0008</t>
        </is>
      </c>
      <c r="H23" s="10" t="inlineStr">
        <is>
          <t>A</t>
        </is>
      </c>
      <c r="I23" s="73" t="n"/>
      <c r="J23" s="77" t="inlineStr">
        <is>
          <t>3ECP307084-0001</t>
        </is>
      </c>
      <c r="K23" s="10" t="inlineStr">
        <is>
          <t>_</t>
        </is>
      </c>
      <c r="L23" s="64" t="n"/>
      <c r="M23" s="77" t="inlineStr">
        <is>
          <t>3ECP413651-0008</t>
        </is>
      </c>
      <c r="N23" s="79" t="inlineStr">
        <is>
          <t>A</t>
        </is>
      </c>
      <c r="O23" s="64" t="n"/>
      <c r="P23" s="78" t="inlineStr">
        <is>
          <t>FA010024087</t>
        </is>
      </c>
      <c r="Q23" s="79" t="inlineStr">
        <is>
          <t>00.2</t>
        </is>
      </c>
      <c r="R23" s="63" t="inlineStr">
        <is>
          <t>FA010024087</t>
        </is>
      </c>
      <c r="S23" s="71" t="inlineStr">
        <is>
          <t>00.2</t>
        </is>
      </c>
      <c r="U23" s="64" t="n"/>
      <c r="W23" s="64" t="n"/>
    </row>
    <row r="24" outlineLevel="1" ht="30" customHeight="1" s="462">
      <c r="A24" s="316" t="inlineStr">
        <is>
          <t>Saloon HVAC</t>
        </is>
      </c>
      <c r="B24" s="316" t="inlineStr">
        <is>
          <t>FPD_Saloon HVAC</t>
        </is>
      </c>
      <c r="C24" s="63" t="inlineStr">
        <is>
          <t>pdf</t>
        </is>
      </c>
      <c r="D24" s="77" t="inlineStr">
        <is>
          <t>3ECP410471-0001</t>
        </is>
      </c>
      <c r="E24" s="10" t="inlineStr">
        <is>
          <t>B</t>
        </is>
      </c>
      <c r="F24" s="64" t="n"/>
      <c r="G24" s="77" t="inlineStr">
        <is>
          <t>3ECP400500-0009</t>
        </is>
      </c>
      <c r="H24" s="10" t="inlineStr">
        <is>
          <t>A</t>
        </is>
      </c>
      <c r="I24" s="73" t="n"/>
      <c r="J24" s="77" t="inlineStr">
        <is>
          <t>3ECP307080-0001</t>
        </is>
      </c>
      <c r="K24" s="10" t="inlineStr">
        <is>
          <t>_</t>
        </is>
      </c>
      <c r="L24" s="64" t="n"/>
      <c r="M24" s="77" t="inlineStr">
        <is>
          <t>3ECP413651-0009</t>
        </is>
      </c>
      <c r="N24" s="10" t="inlineStr">
        <is>
          <t>_</t>
        </is>
      </c>
      <c r="O24" s="64" t="n"/>
      <c r="P24" s="78" t="inlineStr">
        <is>
          <t>FA010024098</t>
        </is>
      </c>
      <c r="Q24" s="79" t="inlineStr">
        <is>
          <t>00.2</t>
        </is>
      </c>
      <c r="R24" s="63" t="inlineStr">
        <is>
          <t>FA010024098</t>
        </is>
      </c>
      <c r="S24" s="71" t="inlineStr">
        <is>
          <t>00.2</t>
        </is>
      </c>
      <c r="U24" s="64" t="n"/>
      <c r="W24" s="64" t="n"/>
    </row>
    <row r="25" outlineLevel="1" ht="30" customHeight="1" s="462">
      <c r="A25" s="316" t="inlineStr">
        <is>
          <t>Fire Protection and Extinguishing</t>
        </is>
      </c>
      <c r="B25" s="316" t="inlineStr">
        <is>
          <t>FPD_FPS</t>
        </is>
      </c>
      <c r="C25" s="63" t="inlineStr">
        <is>
          <t>pdf</t>
        </is>
      </c>
      <c r="D25" s="77" t="inlineStr">
        <is>
          <t>3ECP410469-0001</t>
        </is>
      </c>
      <c r="E25" s="10" t="inlineStr">
        <is>
          <t>B</t>
        </is>
      </c>
      <c r="F25" s="64" t="n"/>
      <c r="G25" s="77" t="inlineStr">
        <is>
          <t>3ECP400500-0007</t>
        </is>
      </c>
      <c r="H25" s="78" t="inlineStr">
        <is>
          <t>_</t>
        </is>
      </c>
      <c r="I25" s="73" t="n"/>
      <c r="J25" s="77" t="inlineStr">
        <is>
          <t>3ECP307083-0001</t>
        </is>
      </c>
      <c r="K25" s="10" t="inlineStr">
        <is>
          <t>_</t>
        </is>
      </c>
      <c r="L25" s="64" t="n"/>
      <c r="M25" s="77" t="inlineStr">
        <is>
          <t>3ECP413651-0007</t>
        </is>
      </c>
      <c r="N25" s="79" t="inlineStr">
        <is>
          <t>A</t>
        </is>
      </c>
      <c r="O25" s="64" t="n"/>
      <c r="P25" s="78" t="inlineStr">
        <is>
          <t>FA010024093</t>
        </is>
      </c>
      <c r="Q25" s="79" t="inlineStr">
        <is>
          <t>02.2</t>
        </is>
      </c>
      <c r="R25" s="63" t="inlineStr">
        <is>
          <t>FA010024093</t>
        </is>
      </c>
      <c r="S25" s="71" t="inlineStr">
        <is>
          <t>02.2</t>
        </is>
      </c>
      <c r="U25" s="64" t="n"/>
      <c r="W25" s="64" t="n"/>
    </row>
    <row r="26" outlineLevel="1" ht="30" customHeight="1" s="462">
      <c r="A26" s="316" t="inlineStr">
        <is>
          <t>Toilet</t>
        </is>
      </c>
      <c r="B26" s="316" t="inlineStr">
        <is>
          <t>FPD_Toilet</t>
        </is>
      </c>
      <c r="C26" s="63" t="inlineStr">
        <is>
          <t>pdf</t>
        </is>
      </c>
      <c r="D26" s="77" t="inlineStr">
        <is>
          <t>3ECP410472-0001</t>
        </is>
      </c>
      <c r="E26" s="10" t="inlineStr">
        <is>
          <t>B</t>
        </is>
      </c>
      <c r="F26" s="64" t="n"/>
      <c r="G26" s="77" t="inlineStr">
        <is>
          <t>3ECP400500-0010</t>
        </is>
      </c>
      <c r="H26" s="10" t="inlineStr">
        <is>
          <t>B</t>
        </is>
      </c>
      <c r="I26" s="73" t="n"/>
      <c r="J26" s="77" t="inlineStr">
        <is>
          <t>3ECP410472-0001</t>
        </is>
      </c>
      <c r="K26" s="10" t="inlineStr">
        <is>
          <t>B</t>
        </is>
      </c>
      <c r="L26" s="64" t="n"/>
      <c r="M26" s="77" t="inlineStr">
        <is>
          <t>3ECP413651-0010</t>
        </is>
      </c>
      <c r="N26" s="10" t="inlineStr">
        <is>
          <t>_</t>
        </is>
      </c>
      <c r="O26" s="64" t="n"/>
      <c r="P26" s="78" t="inlineStr">
        <is>
          <t>FA010024099</t>
        </is>
      </c>
      <c r="Q26" s="79" t="inlineStr">
        <is>
          <t>01.2</t>
        </is>
      </c>
      <c r="R26" s="63" t="inlineStr">
        <is>
          <t>FA010024099</t>
        </is>
      </c>
      <c r="S26" s="71" t="inlineStr">
        <is>
          <t>01.2</t>
        </is>
      </c>
      <c r="U26" s="64" t="n"/>
      <c r="W26" s="64" t="n"/>
    </row>
    <row r="27" outlineLevel="1" ht="30" customHeight="1" s="462">
      <c r="A27" s="316" t="inlineStr">
        <is>
          <t>Catering</t>
        </is>
      </c>
      <c r="B27" s="316" t="inlineStr">
        <is>
          <t>FPD_Catering</t>
        </is>
      </c>
      <c r="C27" s="63" t="inlineStr">
        <is>
          <t>pdf</t>
        </is>
      </c>
      <c r="D27" s="77" t="inlineStr">
        <is>
          <t>3ECP410484-0001</t>
        </is>
      </c>
      <c r="E27" s="10" t="inlineStr">
        <is>
          <t>B</t>
        </is>
      </c>
      <c r="F27" s="64" t="n"/>
      <c r="G27" s="77" t="inlineStr">
        <is>
          <t>3ECP400500-0022</t>
        </is>
      </c>
      <c r="H27" s="78" t="inlineStr">
        <is>
          <t>_</t>
        </is>
      </c>
      <c r="I27" s="73" t="n"/>
      <c r="J27" s="77" t="inlineStr">
        <is>
          <t>3ECP410484-0001</t>
        </is>
      </c>
      <c r="K27" s="10" t="inlineStr">
        <is>
          <t>B</t>
        </is>
      </c>
      <c r="L27" s="64" t="n"/>
      <c r="M27" s="77" t="inlineStr">
        <is>
          <t>3ECP413651-0022</t>
        </is>
      </c>
      <c r="N27" s="10" t="inlineStr">
        <is>
          <t>B</t>
        </is>
      </c>
      <c r="O27" s="64" t="n"/>
      <c r="P27" s="78" t="inlineStr">
        <is>
          <t>FA010024088</t>
        </is>
      </c>
      <c r="Q27" s="79" t="inlineStr">
        <is>
          <t>01.2</t>
        </is>
      </c>
      <c r="R27" s="63" t="inlineStr">
        <is>
          <t>FA010024088</t>
        </is>
      </c>
      <c r="S27" s="71" t="inlineStr">
        <is>
          <t>01.2</t>
        </is>
      </c>
      <c r="U27" s="64" t="n"/>
      <c r="W27" s="64" t="n"/>
    </row>
    <row r="28" outlineLevel="1" ht="30" customHeight="1" s="462">
      <c r="A28" s="316" t="inlineStr">
        <is>
          <t>PIS CCTV</t>
        </is>
      </c>
      <c r="B28" s="316" t="inlineStr">
        <is>
          <t>FPD_PIS CCTV</t>
        </is>
      </c>
      <c r="C28" s="63" t="inlineStr">
        <is>
          <t>pdf</t>
        </is>
      </c>
      <c r="D28" s="77" t="inlineStr">
        <is>
          <t>3ECP410479-0001</t>
        </is>
      </c>
      <c r="E28" s="10" t="inlineStr">
        <is>
          <t>B</t>
        </is>
      </c>
      <c r="F28" s="64" t="n"/>
      <c r="G28" s="77" t="inlineStr">
        <is>
          <t>3ECP400500-0017</t>
        </is>
      </c>
      <c r="H28" s="10" t="inlineStr">
        <is>
          <t>A</t>
        </is>
      </c>
      <c r="I28" s="73" t="n"/>
      <c r="J28" s="77" t="inlineStr">
        <is>
          <t>3ECP410479-0001</t>
        </is>
      </c>
      <c r="K28" s="10" t="inlineStr">
        <is>
          <t>B</t>
        </is>
      </c>
      <c r="L28" s="64" t="n"/>
      <c r="M28" s="77" t="inlineStr">
        <is>
          <t>3ECP413651-0017</t>
        </is>
      </c>
      <c r="N28" s="79" t="inlineStr">
        <is>
          <t>B</t>
        </is>
      </c>
      <c r="O28" s="64" t="n"/>
      <c r="P28" s="78" t="inlineStr">
        <is>
          <t>FA010024097</t>
        </is>
      </c>
      <c r="Q28" s="79" t="inlineStr">
        <is>
          <t>02.2</t>
        </is>
      </c>
      <c r="R28" s="63" t="inlineStr">
        <is>
          <t>FA010024097</t>
        </is>
      </c>
      <c r="S28" s="71" t="inlineStr">
        <is>
          <t>02.2</t>
        </is>
      </c>
      <c r="U28" s="64" t="n"/>
      <c r="W28" s="64" t="n"/>
    </row>
    <row r="29" outlineLevel="1" ht="30" customHeight="1" s="462">
      <c r="A29" s="316" t="inlineStr">
        <is>
          <t>Exterior Lighting</t>
        </is>
      </c>
      <c r="B29" s="316" t="inlineStr">
        <is>
          <t>FPD_Exterior Lighting</t>
        </is>
      </c>
      <c r="C29" s="63" t="inlineStr">
        <is>
          <t>pdf</t>
        </is>
      </c>
      <c r="D29" s="77" t="inlineStr">
        <is>
          <t>3ECP410483-0001</t>
        </is>
      </c>
      <c r="E29" s="10" t="inlineStr">
        <is>
          <t>C</t>
        </is>
      </c>
      <c r="F29" s="64" t="n"/>
      <c r="G29" s="77" t="inlineStr">
        <is>
          <t>3ECP400500-0021</t>
        </is>
      </c>
      <c r="H29" s="10" t="inlineStr">
        <is>
          <t>B</t>
        </is>
      </c>
      <c r="I29" s="73" t="n"/>
      <c r="J29" s="77" t="inlineStr">
        <is>
          <t>3ECP307075-0001</t>
        </is>
      </c>
      <c r="K29" s="10" t="inlineStr">
        <is>
          <t>B</t>
        </is>
      </c>
      <c r="L29" s="64" t="n"/>
      <c r="M29" s="77" t="inlineStr">
        <is>
          <t>3ECP413651-0021</t>
        </is>
      </c>
      <c r="N29" s="10" t="inlineStr">
        <is>
          <t>_</t>
        </is>
      </c>
      <c r="O29" s="64" t="n"/>
      <c r="P29" s="78" t="inlineStr">
        <is>
          <t>FA010024092</t>
        </is>
      </c>
      <c r="Q29" s="79" t="inlineStr">
        <is>
          <t>00.2</t>
        </is>
      </c>
      <c r="R29" s="63" t="inlineStr">
        <is>
          <t>FA010024092</t>
        </is>
      </c>
      <c r="S29" s="71" t="inlineStr">
        <is>
          <t>00.2</t>
        </is>
      </c>
      <c r="U29" s="64" t="n"/>
      <c r="W29" s="64" t="n"/>
    </row>
    <row r="30" outlineLevel="1" ht="30" customHeight="1" s="462">
      <c r="A30" s="316" t="inlineStr">
        <is>
          <t>Interior Lighting</t>
        </is>
      </c>
      <c r="B30" s="316" t="inlineStr">
        <is>
          <t>FPD_Interior Lighting</t>
        </is>
      </c>
      <c r="C30" s="63" t="inlineStr">
        <is>
          <t>pdf</t>
        </is>
      </c>
      <c r="D30" s="77" t="inlineStr">
        <is>
          <t>3ECP410478-0001</t>
        </is>
      </c>
      <c r="E30" s="10" t="inlineStr">
        <is>
          <t>B</t>
        </is>
      </c>
      <c r="F30" s="64" t="n"/>
      <c r="G30" s="77" t="inlineStr">
        <is>
          <t>3ECP400500-0016</t>
        </is>
      </c>
      <c r="H30" s="78" t="inlineStr">
        <is>
          <t>_</t>
        </is>
      </c>
      <c r="I30" s="73" t="n"/>
      <c r="J30" s="77" t="inlineStr">
        <is>
          <t>3ECP410478-0001</t>
        </is>
      </c>
      <c r="K30" s="10" t="inlineStr">
        <is>
          <t>B</t>
        </is>
      </c>
      <c r="L30" s="64" t="n"/>
      <c r="M30" s="77" t="inlineStr">
        <is>
          <t>3ECP413651-0016</t>
        </is>
      </c>
      <c r="N30" s="10" t="inlineStr">
        <is>
          <t>A</t>
        </is>
      </c>
      <c r="O30" s="64" t="n"/>
      <c r="P30" s="78" t="inlineStr">
        <is>
          <t>FA010024095</t>
        </is>
      </c>
      <c r="Q30" s="79" t="inlineStr">
        <is>
          <t>01.2</t>
        </is>
      </c>
      <c r="R30" s="63" t="inlineStr">
        <is>
          <t>FA010024095</t>
        </is>
      </c>
      <c r="S30" s="71" t="inlineStr">
        <is>
          <t>01.2</t>
        </is>
      </c>
      <c r="U30" s="64" t="n"/>
      <c r="W30" s="64" t="n"/>
    </row>
    <row r="31" outlineLevel="1" s="462">
      <c r="A31" s="316" t="inlineStr">
        <is>
          <t>Train Control Design System</t>
        </is>
      </c>
      <c r="B31" s="316" t="inlineStr">
        <is>
          <t>FPD_Train Control</t>
        </is>
      </c>
      <c r="C31" s="63" t="inlineStr">
        <is>
          <t>pdf</t>
        </is>
      </c>
      <c r="D31" s="77" t="inlineStr">
        <is>
          <t>\</t>
        </is>
      </c>
      <c r="E31" s="10" t="inlineStr">
        <is>
          <t>\</t>
        </is>
      </c>
      <c r="F31" s="64" t="n"/>
      <c r="G31" s="77" t="n"/>
      <c r="H31" s="78" t="n"/>
      <c r="I31" s="73" t="n"/>
      <c r="J31" s="92" t="inlineStr">
        <is>
          <t>3ECP307076-0001</t>
        </is>
      </c>
      <c r="K31" s="10" t="inlineStr">
        <is>
          <t>A</t>
        </is>
      </c>
      <c r="L31" s="93" t="inlineStr">
        <is>
          <t>manca</t>
        </is>
      </c>
      <c r="M31" s="77" t="n"/>
      <c r="O31" s="64" t="n"/>
      <c r="P31" s="78" t="n"/>
      <c r="Q31" s="79" t="n"/>
      <c r="R31" s="63" t="n"/>
      <c r="S31" s="71" t="n"/>
      <c r="U31" s="64" t="n"/>
      <c r="W31" s="64" t="n"/>
    </row>
    <row r="32" outlineLevel="1" ht="30" customHeight="1" s="462">
      <c r="A32" s="316" t="inlineStr">
        <is>
          <t>Schematic diagram for French ATP MU</t>
        </is>
      </c>
      <c r="B32" s="316" t="inlineStr">
        <is>
          <t>FPD_ATP-MU</t>
        </is>
      </c>
      <c r="C32" s="63" t="inlineStr">
        <is>
          <t>pdf</t>
        </is>
      </c>
      <c r="D32" s="77" t="n"/>
      <c r="F32" s="64" t="n"/>
      <c r="G32" s="77" t="n"/>
      <c r="H32" s="78" t="n"/>
      <c r="I32" s="73" t="n"/>
      <c r="J32" s="92" t="inlineStr">
        <is>
          <t>90000056.D04</t>
        </is>
      </c>
      <c r="K32" s="10" t="inlineStr">
        <is>
          <t>5.0</t>
        </is>
      </c>
      <c r="L32" s="93" t="inlineStr">
        <is>
          <t>manca</t>
        </is>
      </c>
      <c r="M32" s="77" t="n"/>
      <c r="O32" s="64" t="n"/>
      <c r="P32" s="78" t="n"/>
      <c r="Q32" s="79" t="n"/>
      <c r="R32" s="63" t="n"/>
      <c r="S32" s="71" t="n"/>
      <c r="U32" s="64" t="n"/>
      <c r="W32" s="64" t="n"/>
    </row>
    <row r="33" outlineLevel="1" s="462">
      <c r="A33" s="318" t="inlineStr">
        <is>
          <t>Energy Meter System</t>
        </is>
      </c>
      <c r="B33" s="318" t="inlineStr">
        <is>
          <t>FPD_EMS</t>
        </is>
      </c>
      <c r="C33" s="221" t="inlineStr">
        <is>
          <t>pdf</t>
        </is>
      </c>
      <c r="D33" s="77" t="n"/>
      <c r="F33" s="64" t="n"/>
      <c r="G33" s="77" t="n"/>
      <c r="H33" s="78" t="n"/>
      <c r="I33" s="73" t="n"/>
      <c r="J33" s="63" t="inlineStr">
        <is>
          <t>FA010031914</t>
        </is>
      </c>
      <c r="K33" s="10" t="inlineStr">
        <is>
          <t>00.1</t>
        </is>
      </c>
      <c r="L33" s="64" t="n"/>
      <c r="M33" s="77" t="n"/>
      <c r="O33" s="64" t="n"/>
      <c r="P33" s="78" t="n"/>
      <c r="Q33" s="79" t="n"/>
      <c r="R33" s="63" t="n"/>
      <c r="S33" s="71" t="n"/>
      <c r="U33" s="64" t="n"/>
      <c r="W33" s="64" t="n"/>
    </row>
    <row r="34" ht="30" customHeight="1" s="462">
      <c r="A34" s="317" t="inlineStr">
        <is>
          <t>Functional Requirement Specification (FRS)</t>
        </is>
      </c>
      <c r="B34" s="317" t="n"/>
      <c r="C34" s="113" t="n"/>
      <c r="D34" s="68" t="n"/>
      <c r="E34" s="223" t="n"/>
      <c r="F34" s="69" t="n"/>
      <c r="G34" s="68" t="n"/>
      <c r="H34" s="223" t="n"/>
      <c r="I34" s="69" t="n"/>
      <c r="J34" s="68" t="n"/>
      <c r="K34" s="223" t="n"/>
      <c r="L34" s="69" t="n"/>
      <c r="M34" s="68" t="n"/>
      <c r="N34" s="223" t="n"/>
      <c r="O34" s="69" t="n"/>
      <c r="P34" s="223" t="n"/>
      <c r="Q34" s="223" t="n"/>
      <c r="R34" s="68" t="n"/>
      <c r="S34" s="69" t="n"/>
      <c r="T34" s="223" t="n"/>
      <c r="U34" s="69" t="n"/>
      <c r="V34" s="223" t="n"/>
      <c r="W34" s="69" t="n"/>
    </row>
    <row r="35" outlineLevel="1" ht="30" customHeight="1" s="462">
      <c r="A35" s="316" t="inlineStr">
        <is>
          <t>Functional Vehicle Requirement Specification</t>
        </is>
      </c>
      <c r="B35" s="316" t="inlineStr">
        <is>
          <t>FRS_Vehicle</t>
        </is>
      </c>
      <c r="C35" s="63" t="inlineStr">
        <is>
          <t>pdf</t>
        </is>
      </c>
      <c r="D35" s="63" t="inlineStr">
        <is>
          <t>3EST000224-9984</t>
        </is>
      </c>
      <c r="E35" s="10" t="inlineStr">
        <is>
          <t>C</t>
        </is>
      </c>
      <c r="F35" s="64" t="inlineStr">
        <is>
          <t>3EST000224-9984</t>
        </is>
      </c>
      <c r="G35" s="63" t="n"/>
      <c r="I35" s="64" t="n"/>
      <c r="J35" s="63" t="n"/>
      <c r="L35" s="64" t="n"/>
      <c r="M35" s="77" t="inlineStr">
        <is>
          <t>3ECP413839-0001</t>
        </is>
      </c>
      <c r="N35" s="78" t="inlineStr">
        <is>
          <t>B</t>
        </is>
      </c>
      <c r="O35" s="73" t="inlineStr">
        <is>
          <t>3ECP413839-0001</t>
        </is>
      </c>
      <c r="P35" s="78" t="inlineStr">
        <is>
          <t>\</t>
        </is>
      </c>
      <c r="Q35" s="80" t="inlineStr">
        <is>
          <t>\</t>
        </is>
      </c>
      <c r="R35" s="63" t="n"/>
      <c r="S35" s="94" t="inlineStr">
        <is>
          <t>\</t>
        </is>
      </c>
      <c r="U35" s="64" t="n"/>
      <c r="W35" s="64" t="n"/>
    </row>
    <row r="36" outlineLevel="1" ht="60" customHeight="1" s="462">
      <c r="A36" s="316" t="inlineStr">
        <is>
          <t>Drive Control</t>
        </is>
      </c>
      <c r="B36" s="316" t="inlineStr">
        <is>
          <t>FRS_Drive Control</t>
        </is>
      </c>
      <c r="C36" s="63" t="inlineStr">
        <is>
          <t>pdf</t>
        </is>
      </c>
      <c r="D36" s="77" t="inlineStr">
        <is>
          <t>3EST000225-7909</t>
        </is>
      </c>
      <c r="E36" s="10" t="inlineStr">
        <is>
          <t>A</t>
        </is>
      </c>
      <c r="F36" s="73" t="inlineStr">
        <is>
          <t>3EST000225-7909</t>
        </is>
      </c>
      <c r="G36" s="77" t="inlineStr">
        <is>
          <t>3EST000225-7909</t>
        </is>
      </c>
      <c r="H36" s="10" t="inlineStr">
        <is>
          <t>A</t>
        </is>
      </c>
      <c r="I36" s="73" t="n"/>
      <c r="J36" s="77" t="inlineStr">
        <is>
          <t>3ECP413571-0501</t>
        </is>
      </c>
      <c r="K36" s="10" t="inlineStr">
        <is>
          <t>_</t>
        </is>
      </c>
      <c r="L36" s="64" t="n"/>
      <c r="M36" s="77" t="inlineStr">
        <is>
          <t>3EST000225-7909</t>
        </is>
      </c>
      <c r="N36" s="78" t="inlineStr">
        <is>
          <t>A</t>
        </is>
      </c>
      <c r="O36" s="73" t="inlineStr">
        <is>
          <t>3EST000225-7909</t>
        </is>
      </c>
      <c r="P36" s="78" t="inlineStr">
        <is>
          <t>FA020022675</t>
        </is>
      </c>
      <c r="Q36" s="87" t="inlineStr">
        <is>
          <t>03.2
4.0?</t>
        </is>
      </c>
      <c r="R36" s="77" t="inlineStr">
        <is>
          <t>FA020022675</t>
        </is>
      </c>
      <c r="S36" s="95" t="inlineStr">
        <is>
          <t>03.2
4.0?</t>
        </is>
      </c>
      <c r="U36" s="64" t="n"/>
      <c r="W36" s="64" t="n"/>
    </row>
    <row r="37" outlineLevel="1" ht="30" customHeight="1" s="462">
      <c r="A37" s="316" t="inlineStr">
        <is>
          <t>Conventional Train Control</t>
        </is>
      </c>
      <c r="B37" s="316" t="inlineStr">
        <is>
          <t>FRS_Conventional Train Control</t>
        </is>
      </c>
      <c r="C37" s="63" t="inlineStr">
        <is>
          <t>pdf</t>
        </is>
      </c>
      <c r="D37" s="77" t="inlineStr">
        <is>
          <t>3EST000225-7916</t>
        </is>
      </c>
      <c r="E37" s="10" t="inlineStr">
        <is>
          <t>A</t>
        </is>
      </c>
      <c r="F37" s="73" t="inlineStr">
        <is>
          <t>3EST000225-7916</t>
        </is>
      </c>
      <c r="G37" s="92" t="inlineStr">
        <is>
          <t>3ECP413719-0903</t>
        </is>
      </c>
      <c r="H37" s="10" t="inlineStr">
        <is>
          <t>_</t>
        </is>
      </c>
      <c r="I37" s="93" t="inlineStr">
        <is>
          <t>manca</t>
        </is>
      </c>
      <c r="J37" s="77" t="inlineStr">
        <is>
          <t>FA02P021958B</t>
        </is>
      </c>
      <c r="K37" s="78" t="inlineStr">
        <is>
          <t>2.0</t>
        </is>
      </c>
      <c r="L37" s="64" t="inlineStr">
        <is>
          <t>3ECP413719-0903</t>
        </is>
      </c>
      <c r="M37" s="77" t="inlineStr">
        <is>
          <t>3ECP413922-0903</t>
        </is>
      </c>
      <c r="N37" s="78" t="inlineStr">
        <is>
          <t>_</t>
        </is>
      </c>
      <c r="O37" s="78" t="inlineStr">
        <is>
          <t>3ECP413922-0903</t>
        </is>
      </c>
      <c r="P37" s="78" t="inlineStr">
        <is>
          <t>FA020023107</t>
        </is>
      </c>
      <c r="Q37" s="88" t="inlineStr">
        <is>
          <t>06.3</t>
        </is>
      </c>
      <c r="R37" s="63" t="inlineStr">
        <is>
          <t>FA020023107</t>
        </is>
      </c>
      <c r="S37" s="96" t="inlineStr">
        <is>
          <t>06.3</t>
        </is>
      </c>
      <c r="U37" s="64" t="n"/>
      <c r="W37" s="64" t="n"/>
    </row>
    <row r="38" outlineLevel="1" ht="30" customHeight="1" s="462">
      <c r="A38" s="316" t="inlineStr">
        <is>
          <t>Train Protection - ATP</t>
        </is>
      </c>
      <c r="B38" s="316" t="inlineStr">
        <is>
          <t>FRS_Train Protection - ATP</t>
        </is>
      </c>
      <c r="C38" s="63" t="inlineStr">
        <is>
          <t>pdf</t>
        </is>
      </c>
      <c r="D38" s="77" t="inlineStr">
        <is>
          <t>FA020013231</t>
        </is>
      </c>
      <c r="E38" s="80" t="inlineStr">
        <is>
          <t>01</t>
        </is>
      </c>
      <c r="F38" s="73" t="inlineStr">
        <is>
          <t>3EST000225-7889
EC01P008999B</t>
        </is>
      </c>
      <c r="G38" s="77" t="inlineStr">
        <is>
          <t>FA020013231</t>
        </is>
      </c>
      <c r="H38" s="80" t="inlineStr">
        <is>
          <t>01</t>
        </is>
      </c>
      <c r="I38" s="71" t="inlineStr">
        <is>
          <t>3ECP414246-0902</t>
        </is>
      </c>
      <c r="J38" s="77" t="inlineStr">
        <is>
          <t>FA020013231</t>
        </is>
      </c>
      <c r="K38" s="80" t="inlineStr">
        <is>
          <t>01</t>
        </is>
      </c>
      <c r="L38" s="73" t="inlineStr">
        <is>
          <t>3EST000225-7889
EC01P008999B</t>
        </is>
      </c>
      <c r="M38" s="63" t="inlineStr">
        <is>
          <t>FA020007630</t>
        </is>
      </c>
      <c r="N38" s="80" t="inlineStr">
        <is>
          <t>04</t>
        </is>
      </c>
      <c r="O38" s="73" t="inlineStr">
        <is>
          <t>3ECP413922-0902</t>
        </is>
      </c>
      <c r="P38" s="78" t="inlineStr">
        <is>
          <t>FA020025863</t>
        </is>
      </c>
      <c r="Q38" s="10" t="inlineStr">
        <is>
          <t>01.3</t>
        </is>
      </c>
      <c r="R38" s="63" t="inlineStr">
        <is>
          <t>FA020025863</t>
        </is>
      </c>
      <c r="S38" s="64" t="inlineStr">
        <is>
          <t>01.3</t>
        </is>
      </c>
      <c r="U38" s="64" t="n"/>
      <c r="W38" s="64" t="n"/>
    </row>
    <row r="39" outlineLevel="1" ht="30" customHeight="1" s="462">
      <c r="A39" s="316" t="inlineStr">
        <is>
          <t>Diagnostics</t>
        </is>
      </c>
      <c r="B39" s="316" t="inlineStr">
        <is>
          <t>FRS_Diagnostics</t>
        </is>
      </c>
      <c r="C39" s="63" t="inlineStr">
        <is>
          <t>pdf</t>
        </is>
      </c>
      <c r="D39" s="77" t="inlineStr">
        <is>
          <t>3EST000225-7918</t>
        </is>
      </c>
      <c r="E39" s="10" t="inlineStr">
        <is>
          <t>B</t>
        </is>
      </c>
      <c r="F39" s="73" t="inlineStr">
        <is>
          <t>3EST000225-7918</t>
        </is>
      </c>
      <c r="G39" s="77" t="inlineStr">
        <is>
          <t>3EST000225-7918</t>
        </is>
      </c>
      <c r="H39" s="10" t="inlineStr">
        <is>
          <t>B</t>
        </is>
      </c>
      <c r="I39" s="73" t="inlineStr">
        <is>
          <t>3EST000225-7918</t>
        </is>
      </c>
      <c r="J39" s="77" t="inlineStr">
        <is>
          <t>3EST000225-7918</t>
        </is>
      </c>
      <c r="K39" s="10" t="inlineStr">
        <is>
          <t>B</t>
        </is>
      </c>
      <c r="L39" s="73" t="inlineStr">
        <is>
          <t>3EST000225-7918</t>
        </is>
      </c>
      <c r="M39" s="77" t="inlineStr">
        <is>
          <t>3ECP413922-1001</t>
        </is>
      </c>
      <c r="N39" s="78" t="inlineStr">
        <is>
          <t>_</t>
        </is>
      </c>
      <c r="O39" s="73" t="inlineStr">
        <is>
          <t>3ECP413922-1001</t>
        </is>
      </c>
      <c r="P39" s="78" t="inlineStr">
        <is>
          <t>FA020023413</t>
        </is>
      </c>
      <c r="Q39" s="88" t="inlineStr">
        <is>
          <t>01.2</t>
        </is>
      </c>
      <c r="R39" s="63" t="inlineStr">
        <is>
          <t>FA020023413</t>
        </is>
      </c>
      <c r="S39" s="96" t="inlineStr">
        <is>
          <t>01.2</t>
        </is>
      </c>
      <c r="U39" s="64" t="n"/>
      <c r="W39" s="64" t="n"/>
    </row>
    <row r="40" outlineLevel="1" ht="30" customHeight="1" s="462">
      <c r="A40" s="316" t="inlineStr">
        <is>
          <t>Visualisation - MMI</t>
        </is>
      </c>
      <c r="B40" s="316" t="inlineStr">
        <is>
          <t>FRS_Visualisation - MMI</t>
        </is>
      </c>
      <c r="C40" s="63" t="inlineStr">
        <is>
          <t>pdf</t>
        </is>
      </c>
      <c r="D40" s="77" t="inlineStr">
        <is>
          <t>3EST000225-7919</t>
        </is>
      </c>
      <c r="E40" s="10" t="inlineStr">
        <is>
          <t>B</t>
        </is>
      </c>
      <c r="F40" s="73" t="inlineStr">
        <is>
          <t>3EST000225-7919</t>
        </is>
      </c>
      <c r="G40" s="77" t="inlineStr">
        <is>
          <t>3EST000225-7919</t>
        </is>
      </c>
      <c r="H40" s="10" t="inlineStr">
        <is>
          <t>B</t>
        </is>
      </c>
      <c r="I40" s="73" t="inlineStr">
        <is>
          <t>3EST000225-7919</t>
        </is>
      </c>
      <c r="J40" s="77" t="inlineStr">
        <is>
          <t>3EST000225-7919</t>
        </is>
      </c>
      <c r="K40" s="10" t="inlineStr">
        <is>
          <t>B</t>
        </is>
      </c>
      <c r="L40" s="73" t="inlineStr">
        <is>
          <t>3EST000225-7919</t>
        </is>
      </c>
      <c r="M40" s="77" t="inlineStr">
        <is>
          <t>3ECP413922-1003</t>
        </is>
      </c>
      <c r="N40" s="78" t="inlineStr">
        <is>
          <t>_</t>
        </is>
      </c>
      <c r="O40" s="73" t="inlineStr">
        <is>
          <t>3ECP413922-1003</t>
        </is>
      </c>
      <c r="P40" s="78" t="inlineStr">
        <is>
          <t>FA020027681</t>
        </is>
      </c>
      <c r="Q40" s="88" t="inlineStr">
        <is>
          <t>03.2</t>
        </is>
      </c>
      <c r="R40" s="63" t="inlineStr">
        <is>
          <t>FA020027681</t>
        </is>
      </c>
      <c r="S40" s="96" t="inlineStr">
        <is>
          <t>03.2</t>
        </is>
      </c>
      <c r="U40" s="64" t="n"/>
      <c r="W40" s="64" t="n"/>
    </row>
    <row r="41" outlineLevel="1" ht="30" customHeight="1" s="462">
      <c r="A41" s="316" t="inlineStr">
        <is>
          <t>TCMS - Operational</t>
        </is>
      </c>
      <c r="B41" s="316" t="inlineStr">
        <is>
          <t>FRS_TCMS - Operational</t>
        </is>
      </c>
      <c r="C41" s="63" t="inlineStr">
        <is>
          <t>pdf</t>
        </is>
      </c>
      <c r="D41" s="77" t="inlineStr">
        <is>
          <t>3EST000225-7917</t>
        </is>
      </c>
      <c r="E41" s="10" t="inlineStr">
        <is>
          <t>B</t>
        </is>
      </c>
      <c r="F41" s="73" t="inlineStr">
        <is>
          <t>3EST000225-7917</t>
        </is>
      </c>
      <c r="G41" s="77" t="inlineStr">
        <is>
          <t>3EST000225-7917</t>
        </is>
      </c>
      <c r="H41" s="10" t="inlineStr">
        <is>
          <t>B</t>
        </is>
      </c>
      <c r="I41" s="73" t="inlineStr">
        <is>
          <t>3EST000225-7917</t>
        </is>
      </c>
      <c r="J41" s="77" t="inlineStr">
        <is>
          <t>3EST000225-7917</t>
        </is>
      </c>
      <c r="K41" s="10" t="inlineStr">
        <is>
          <t>B</t>
        </is>
      </c>
      <c r="L41" s="73" t="inlineStr">
        <is>
          <t>3EST000225-7917</t>
        </is>
      </c>
      <c r="M41" s="77" t="inlineStr">
        <is>
          <t>3ECP413922-0904</t>
        </is>
      </c>
      <c r="N41" s="78" t="inlineStr">
        <is>
          <t>_</t>
        </is>
      </c>
      <c r="O41" s="73" t="inlineStr">
        <is>
          <t>3ECP413922-0904</t>
        </is>
      </c>
      <c r="P41" s="78" t="inlineStr">
        <is>
          <t>FA020026278</t>
        </is>
      </c>
      <c r="Q41" s="88" t="inlineStr">
        <is>
          <t>02.2</t>
        </is>
      </c>
      <c r="R41" s="63" t="inlineStr">
        <is>
          <t>FA020026278</t>
        </is>
      </c>
      <c r="S41" s="96" t="inlineStr">
        <is>
          <t>02.2</t>
        </is>
      </c>
      <c r="U41" s="64" t="n"/>
      <c r="W41" s="64" t="n"/>
    </row>
    <row r="42" outlineLevel="1" ht="30" customHeight="1" s="462">
      <c r="A42" s="316" t="inlineStr">
        <is>
          <t>Train to Wayside Communication (Teledia)</t>
        </is>
      </c>
      <c r="B42" s="316" t="inlineStr">
        <is>
          <t>FRS_Teledia</t>
        </is>
      </c>
      <c r="C42" s="63" t="inlineStr">
        <is>
          <t>pdf</t>
        </is>
      </c>
      <c r="D42" s="77" t="inlineStr">
        <is>
          <t>3ECP413176-0001</t>
        </is>
      </c>
      <c r="E42" s="10" t="inlineStr">
        <is>
          <t>_</t>
        </is>
      </c>
      <c r="F42" s="73" t="inlineStr">
        <is>
          <t>3ECP413176-0001</t>
        </is>
      </c>
      <c r="G42" s="77" t="inlineStr">
        <is>
          <t>3ECP413719-1200</t>
        </is>
      </c>
      <c r="H42" s="78" t="inlineStr">
        <is>
          <t>_</t>
        </is>
      </c>
      <c r="I42" s="73" t="inlineStr">
        <is>
          <t>3ECP413719-1200</t>
        </is>
      </c>
      <c r="J42" s="77" t="inlineStr">
        <is>
          <t>3ECP413176-0001</t>
        </is>
      </c>
      <c r="K42" s="10" t="inlineStr">
        <is>
          <t>_</t>
        </is>
      </c>
      <c r="L42" s="73" t="inlineStr">
        <is>
          <t>3ECP413176-0001</t>
        </is>
      </c>
      <c r="M42" s="77" t="inlineStr">
        <is>
          <t>3ECP413719-1200</t>
        </is>
      </c>
      <c r="N42" s="78" t="inlineStr">
        <is>
          <t>_</t>
        </is>
      </c>
      <c r="O42" s="73" t="inlineStr">
        <is>
          <t>3ECP413719-1200</t>
        </is>
      </c>
      <c r="P42" s="78" t="inlineStr">
        <is>
          <t>\</t>
        </is>
      </c>
      <c r="Q42" s="10" t="inlineStr">
        <is>
          <t>\</t>
        </is>
      </c>
      <c r="R42" s="63" t="inlineStr">
        <is>
          <t>\</t>
        </is>
      </c>
      <c r="S42" s="64" t="inlineStr">
        <is>
          <t>\</t>
        </is>
      </c>
      <c r="U42" s="64" t="n"/>
      <c r="W42" s="64" t="n"/>
    </row>
    <row r="43" outlineLevel="1" ht="30" customHeight="1" s="462">
      <c r="A43" s="316" t="inlineStr">
        <is>
          <t>Line Voltage</t>
        </is>
      </c>
      <c r="B43" s="319" t="inlineStr">
        <is>
          <t>FRS_Line Voltage</t>
        </is>
      </c>
      <c r="C43" s="63" t="inlineStr">
        <is>
          <t>pdf</t>
        </is>
      </c>
      <c r="D43" s="77" t="inlineStr">
        <is>
          <t>3EST000225-7907</t>
        </is>
      </c>
      <c r="E43" s="10" t="inlineStr">
        <is>
          <t>C</t>
        </is>
      </c>
      <c r="F43" s="73" t="inlineStr">
        <is>
          <t>3EST000225-7907</t>
        </is>
      </c>
      <c r="G43" s="159" t="inlineStr">
        <is>
          <t>3ECP413719-0401</t>
        </is>
      </c>
      <c r="H43" s="78" t="inlineStr">
        <is>
          <t>_</t>
        </is>
      </c>
      <c r="I43" s="93" t="inlineStr">
        <is>
          <t>manca</t>
        </is>
      </c>
      <c r="J43" s="77" t="inlineStr">
        <is>
          <t>3ECP413571-0401</t>
        </is>
      </c>
      <c r="K43" s="78" t="inlineStr">
        <is>
          <t>A</t>
        </is>
      </c>
      <c r="L43" s="64" t="n"/>
      <c r="M43" s="77" t="inlineStr">
        <is>
          <t>3EGH489028-2358</t>
        </is>
      </c>
      <c r="N43" s="78" t="inlineStr">
        <is>
          <t>B</t>
        </is>
      </c>
      <c r="O43" s="73" t="inlineStr">
        <is>
          <t>3EGH489028-2358</t>
        </is>
      </c>
      <c r="P43" s="78" t="inlineStr">
        <is>
          <t>FA020022045</t>
        </is>
      </c>
      <c r="Q43" s="88" t="inlineStr">
        <is>
          <t>06.2</t>
        </is>
      </c>
      <c r="R43" s="63" t="inlineStr">
        <is>
          <t>FA020022045</t>
        </is>
      </c>
      <c r="S43" s="96" t="inlineStr">
        <is>
          <t>06.2</t>
        </is>
      </c>
      <c r="U43" s="64" t="n"/>
      <c r="W43" s="64" t="n"/>
    </row>
    <row r="44" outlineLevel="1" ht="30" customHeight="1" s="462">
      <c r="A44" s="316" t="inlineStr">
        <is>
          <t>Aux Electrical Supply</t>
        </is>
      </c>
      <c r="B44" s="319" t="inlineStr">
        <is>
          <t>FRS_Aux Electrical Supply</t>
        </is>
      </c>
      <c r="C44" s="63" t="inlineStr">
        <is>
          <t>pdf</t>
        </is>
      </c>
      <c r="D44" s="77" t="inlineStr">
        <is>
          <t>3EST000225-7914</t>
        </is>
      </c>
      <c r="E44" s="10" t="inlineStr">
        <is>
          <t>B</t>
        </is>
      </c>
      <c r="F44" s="73" t="inlineStr">
        <is>
          <t>3EST000225-7914</t>
        </is>
      </c>
      <c r="G44" s="77" t="inlineStr">
        <is>
          <t>3EST000225-7914</t>
        </is>
      </c>
      <c r="H44" s="10" t="inlineStr">
        <is>
          <t>B</t>
        </is>
      </c>
      <c r="I44" s="73" t="inlineStr">
        <is>
          <t>3EST000225-7914</t>
        </is>
      </c>
      <c r="J44" s="77" t="inlineStr">
        <is>
          <t>3ECP413571-0601</t>
        </is>
      </c>
      <c r="K44" s="10" t="inlineStr">
        <is>
          <t>_</t>
        </is>
      </c>
      <c r="L44" s="64" t="n"/>
      <c r="M44" s="77" t="inlineStr">
        <is>
          <t>3EST000225-7914</t>
        </is>
      </c>
      <c r="N44" s="78" t="inlineStr">
        <is>
          <t>B</t>
        </is>
      </c>
      <c r="O44" s="73" t="inlineStr">
        <is>
          <t>3EST000225-7914</t>
        </is>
      </c>
      <c r="P44" s="78" t="inlineStr">
        <is>
          <t>FA020024537</t>
        </is>
      </c>
      <c r="Q44" s="88" t="inlineStr">
        <is>
          <t>03.2</t>
        </is>
      </c>
      <c r="R44" s="63" t="inlineStr">
        <is>
          <t>FA020024537</t>
        </is>
      </c>
      <c r="S44" s="96" t="inlineStr">
        <is>
          <t>03.2</t>
        </is>
      </c>
      <c r="U44" s="64" t="n"/>
      <c r="W44" s="64" t="n"/>
    </row>
    <row r="45" outlineLevel="1" ht="30" customHeight="1" s="462">
      <c r="A45" s="316" t="inlineStr">
        <is>
          <t>Battery</t>
        </is>
      </c>
      <c r="B45" s="319" t="inlineStr">
        <is>
          <t>FRS_Battery</t>
        </is>
      </c>
      <c r="C45" s="63" t="inlineStr">
        <is>
          <t>pdf</t>
        </is>
      </c>
      <c r="D45" s="77" t="inlineStr">
        <is>
          <t>3EST000225-7908</t>
        </is>
      </c>
      <c r="E45" s="10" t="inlineStr">
        <is>
          <t>B</t>
        </is>
      </c>
      <c r="F45" s="73" t="inlineStr">
        <is>
          <t>3EST000225-7908</t>
        </is>
      </c>
      <c r="G45" s="77" t="inlineStr">
        <is>
          <t>3EST000225-7908</t>
        </is>
      </c>
      <c r="H45" s="10" t="inlineStr">
        <is>
          <t>B</t>
        </is>
      </c>
      <c r="I45" s="73" t="inlineStr">
        <is>
          <t>3EST000225-7908</t>
        </is>
      </c>
      <c r="J45" s="77" t="inlineStr">
        <is>
          <t>3EST000225-7908</t>
        </is>
      </c>
      <c r="K45" s="10" t="inlineStr">
        <is>
          <t>B</t>
        </is>
      </c>
      <c r="L45" s="73" t="inlineStr">
        <is>
          <t>3EST000225-7908</t>
        </is>
      </c>
      <c r="M45" s="77" t="inlineStr">
        <is>
          <t>3EST000225-7908</t>
        </is>
      </c>
      <c r="N45" s="78" t="inlineStr">
        <is>
          <t>B</t>
        </is>
      </c>
      <c r="O45" s="73" t="inlineStr">
        <is>
          <t>3EST000225-7908</t>
        </is>
      </c>
      <c r="P45" s="78" t="inlineStr">
        <is>
          <t>FA020024538</t>
        </is>
      </c>
      <c r="Q45" s="88" t="inlineStr">
        <is>
          <t>03.2</t>
        </is>
      </c>
      <c r="R45" s="63" t="inlineStr">
        <is>
          <t>FA020024538</t>
        </is>
      </c>
      <c r="S45" s="96" t="inlineStr">
        <is>
          <t>03.2</t>
        </is>
      </c>
      <c r="U45" s="64" t="n"/>
      <c r="W45" s="64" t="n"/>
    </row>
    <row r="46" outlineLevel="1" ht="30" customHeight="1" s="462">
      <c r="A46" s="316" t="inlineStr">
        <is>
          <t>Air Supply</t>
        </is>
      </c>
      <c r="B46" s="319" t="inlineStr">
        <is>
          <t>FRS_Air Supply</t>
        </is>
      </c>
      <c r="C46" s="63" t="inlineStr">
        <is>
          <t>pdf</t>
        </is>
      </c>
      <c r="D46" s="77" t="inlineStr">
        <is>
          <t>3EST000225-7915</t>
        </is>
      </c>
      <c r="E46" s="10" t="inlineStr">
        <is>
          <t>D</t>
        </is>
      </c>
      <c r="F46" s="73" t="inlineStr">
        <is>
          <t>3EST000225-7915</t>
        </is>
      </c>
      <c r="G46" s="77" t="inlineStr">
        <is>
          <t>3ECP413719-0603</t>
        </is>
      </c>
      <c r="H46" s="78" t="inlineStr">
        <is>
          <t>_</t>
        </is>
      </c>
      <c r="I46" s="73" t="inlineStr">
        <is>
          <t>3ECP413719-0603</t>
        </is>
      </c>
      <c r="J46" s="77" t="inlineStr">
        <is>
          <t>3EST000225-7915</t>
        </is>
      </c>
      <c r="K46" s="10" t="inlineStr">
        <is>
          <t>D</t>
        </is>
      </c>
      <c r="L46" s="73" t="inlineStr">
        <is>
          <t>3EST000225-7915</t>
        </is>
      </c>
      <c r="M46" s="77" t="inlineStr">
        <is>
          <t>3ECP413719-0603</t>
        </is>
      </c>
      <c r="N46" s="78" t="inlineStr">
        <is>
          <t>_</t>
        </is>
      </c>
      <c r="O46" s="73" t="inlineStr">
        <is>
          <t>3ECP413719-0603</t>
        </is>
      </c>
      <c r="P46" s="78" t="inlineStr">
        <is>
          <t>FA020024531</t>
        </is>
      </c>
      <c r="Q46" s="88" t="inlineStr">
        <is>
          <t>01.3</t>
        </is>
      </c>
      <c r="R46" s="63" t="inlineStr">
        <is>
          <t>FA020024531</t>
        </is>
      </c>
      <c r="S46" s="96" t="inlineStr">
        <is>
          <t>01.3</t>
        </is>
      </c>
      <c r="U46" s="64" t="n"/>
      <c r="W46" s="64" t="n"/>
    </row>
    <row r="47" outlineLevel="1" ht="30" customHeight="1" s="462">
      <c r="A47" s="316" t="inlineStr">
        <is>
          <t>Brake Control</t>
        </is>
      </c>
      <c r="B47" s="319" t="inlineStr">
        <is>
          <t>FRS_Brake Control</t>
        </is>
      </c>
      <c r="C47" s="63" t="inlineStr">
        <is>
          <t>pdf</t>
        </is>
      </c>
      <c r="D47" s="77" t="inlineStr">
        <is>
          <t>3EST000225-7910</t>
        </is>
      </c>
      <c r="E47" s="79" t="inlineStr">
        <is>
          <t>L</t>
        </is>
      </c>
      <c r="F47" s="73" t="inlineStr">
        <is>
          <t>3EST000225-7910</t>
        </is>
      </c>
      <c r="G47" s="92" t="inlineStr">
        <is>
          <t>3ECP413719-0502</t>
        </is>
      </c>
      <c r="H47" s="10" t="inlineStr">
        <is>
          <t>A</t>
        </is>
      </c>
      <c r="I47" s="93" t="inlineStr">
        <is>
          <t>manca</t>
        </is>
      </c>
      <c r="J47" s="77" t="inlineStr">
        <is>
          <t>3ECP413571-0502</t>
        </is>
      </c>
      <c r="K47" s="79" t="inlineStr">
        <is>
          <t>C</t>
        </is>
      </c>
      <c r="L47" s="64" t="n"/>
      <c r="M47" s="63" t="inlineStr">
        <is>
          <t>3ECP413922-0502</t>
        </is>
      </c>
      <c r="N47" s="79" t="inlineStr">
        <is>
          <t>B</t>
        </is>
      </c>
      <c r="O47" s="64" t="inlineStr">
        <is>
          <t>3ECP413922-0502</t>
        </is>
      </c>
      <c r="P47" s="78" t="inlineStr">
        <is>
          <t>FA020023100</t>
        </is>
      </c>
      <c r="Q47" s="88" t="inlineStr">
        <is>
          <t>02.3</t>
        </is>
      </c>
      <c r="R47" s="63" t="inlineStr">
        <is>
          <t>FA020023100</t>
        </is>
      </c>
      <c r="S47" s="96" t="inlineStr">
        <is>
          <t>02.3</t>
        </is>
      </c>
      <c r="U47" s="64" t="n"/>
      <c r="W47" s="64" t="n"/>
    </row>
    <row r="48" outlineLevel="1" ht="30" customHeight="1" s="462">
      <c r="A48" s="316" t="inlineStr">
        <is>
          <t>Bogies</t>
        </is>
      </c>
      <c r="B48" s="319" t="inlineStr">
        <is>
          <t>FRS_Bogies</t>
        </is>
      </c>
      <c r="C48" s="63" t="inlineStr">
        <is>
          <t>pdf</t>
        </is>
      </c>
      <c r="D48" s="77" t="inlineStr">
        <is>
          <t>3EST000225-7906</t>
        </is>
      </c>
      <c r="E48" s="79" t="inlineStr">
        <is>
          <t>D</t>
        </is>
      </c>
      <c r="F48" s="73" t="inlineStr">
        <is>
          <t>3EST000225-7906</t>
        </is>
      </c>
      <c r="G48" s="77" t="inlineStr">
        <is>
          <t>3ECP413719-0300</t>
        </is>
      </c>
      <c r="H48" s="78" t="inlineStr">
        <is>
          <t>_</t>
        </is>
      </c>
      <c r="I48" s="73" t="inlineStr">
        <is>
          <t>3ECP413719-0300</t>
        </is>
      </c>
      <c r="J48" s="159" t="inlineStr">
        <is>
          <t>3ECP413571-0300</t>
        </is>
      </c>
      <c r="K48" s="102" t="inlineStr">
        <is>
          <t>A</t>
        </is>
      </c>
      <c r="L48" s="93" t="inlineStr">
        <is>
          <t>manca</t>
        </is>
      </c>
      <c r="M48" s="77" t="inlineStr">
        <is>
          <t>3ECP413719-0300</t>
        </is>
      </c>
      <c r="N48" s="78" t="inlineStr">
        <is>
          <t>_</t>
        </is>
      </c>
      <c r="O48" s="73" t="inlineStr">
        <is>
          <t>3ECP413719-0300</t>
        </is>
      </c>
      <c r="P48" s="78" t="inlineStr">
        <is>
          <t>FA020030729</t>
        </is>
      </c>
      <c r="Q48" s="88" t="inlineStr">
        <is>
          <t>04.3</t>
        </is>
      </c>
      <c r="R48" s="63" t="inlineStr">
        <is>
          <t>FA020030729</t>
        </is>
      </c>
      <c r="S48" s="96" t="inlineStr">
        <is>
          <t>04.3</t>
        </is>
      </c>
      <c r="U48" s="64" t="n"/>
      <c r="W48" s="64" t="n"/>
    </row>
    <row r="49" outlineLevel="1" ht="30" customHeight="1" s="462">
      <c r="A49" s="316" t="inlineStr">
        <is>
          <t>Wash Wiper</t>
        </is>
      </c>
      <c r="B49" s="316" t="inlineStr">
        <is>
          <t>FRS_Wash Wiper</t>
        </is>
      </c>
      <c r="C49" s="63" t="inlineStr">
        <is>
          <t>pdf</t>
        </is>
      </c>
      <c r="D49" s="77" t="inlineStr">
        <is>
          <t>3EST000225-7900</t>
        </is>
      </c>
      <c r="E49" s="10" t="inlineStr">
        <is>
          <t>A</t>
        </is>
      </c>
      <c r="F49" s="73" t="inlineStr">
        <is>
          <t>3EST000225-7900</t>
        </is>
      </c>
      <c r="G49" s="77" t="inlineStr">
        <is>
          <t>3EST000225-7900</t>
        </is>
      </c>
      <c r="H49" s="10" t="inlineStr">
        <is>
          <t>A</t>
        </is>
      </c>
      <c r="I49" s="73" t="inlineStr">
        <is>
          <t>3EST000225-7900</t>
        </is>
      </c>
      <c r="J49" s="77" t="inlineStr">
        <is>
          <t>3EST000225-7900</t>
        </is>
      </c>
      <c r="K49" s="10" t="inlineStr">
        <is>
          <t>A</t>
        </is>
      </c>
      <c r="L49" s="73" t="inlineStr">
        <is>
          <t>3EST000225-7900</t>
        </is>
      </c>
      <c r="M49" s="77" t="inlineStr">
        <is>
          <t>3EST000225-7900</t>
        </is>
      </c>
      <c r="N49" s="78" t="inlineStr">
        <is>
          <t>A</t>
        </is>
      </c>
      <c r="O49" s="73" t="inlineStr">
        <is>
          <t>3EST000225-7900</t>
        </is>
      </c>
      <c r="P49" s="78" t="inlineStr">
        <is>
          <t>FA020026344</t>
        </is>
      </c>
      <c r="Q49" s="88" t="inlineStr">
        <is>
          <t>00.3</t>
        </is>
      </c>
      <c r="R49" s="63" t="inlineStr">
        <is>
          <t>FA020026344</t>
        </is>
      </c>
      <c r="S49" s="96" t="inlineStr">
        <is>
          <t>00.3</t>
        </is>
      </c>
      <c r="U49" s="64" t="n"/>
      <c r="W49" s="64" t="n"/>
    </row>
    <row r="50" outlineLevel="1" ht="30" customHeight="1" s="462">
      <c r="A50" s="316" t="inlineStr">
        <is>
          <t>Windscreen</t>
        </is>
      </c>
      <c r="B50" s="316" t="inlineStr">
        <is>
          <t>FRS_Windscreen</t>
        </is>
      </c>
      <c r="C50" s="63" t="inlineStr">
        <is>
          <t>pdf</t>
        </is>
      </c>
      <c r="D50" s="77" t="inlineStr">
        <is>
          <t>3EST000225-7902</t>
        </is>
      </c>
      <c r="E50" s="10" t="inlineStr">
        <is>
          <t>A</t>
        </is>
      </c>
      <c r="F50" s="73" t="inlineStr">
        <is>
          <t>3EST000225-7902</t>
        </is>
      </c>
      <c r="G50" s="77" t="inlineStr">
        <is>
          <t>3EST000225-7902</t>
        </is>
      </c>
      <c r="H50" s="10" t="inlineStr">
        <is>
          <t>A</t>
        </is>
      </c>
      <c r="I50" s="73" t="inlineStr">
        <is>
          <t>3EST000225-7902</t>
        </is>
      </c>
      <c r="J50" s="77" t="inlineStr">
        <is>
          <t>3EST000225-7902</t>
        </is>
      </c>
      <c r="K50" s="10" t="inlineStr">
        <is>
          <t>A</t>
        </is>
      </c>
      <c r="L50" s="73" t="inlineStr">
        <is>
          <t>3EST000225-7902</t>
        </is>
      </c>
      <c r="M50" s="77" t="inlineStr">
        <is>
          <t>3EST000225-7902</t>
        </is>
      </c>
      <c r="N50" s="78" t="inlineStr">
        <is>
          <t>A</t>
        </is>
      </c>
      <c r="O50" s="73" t="inlineStr">
        <is>
          <t>3EST000225-7902</t>
        </is>
      </c>
      <c r="P50" s="78" t="inlineStr">
        <is>
          <t>FA020026347</t>
        </is>
      </c>
      <c r="Q50" s="88" t="inlineStr">
        <is>
          <t>00.3</t>
        </is>
      </c>
      <c r="R50" s="63" t="inlineStr">
        <is>
          <t>FA020026347</t>
        </is>
      </c>
      <c r="S50" s="96" t="inlineStr">
        <is>
          <t>00.3</t>
        </is>
      </c>
      <c r="U50" s="64" t="n"/>
      <c r="W50" s="64" t="n"/>
    </row>
    <row r="51" outlineLevel="1" ht="30" customHeight="1" s="462">
      <c r="A51" s="316" t="inlineStr">
        <is>
          <t>Coupler</t>
        </is>
      </c>
      <c r="B51" s="316" t="inlineStr">
        <is>
          <t>FRS_Coupler</t>
        </is>
      </c>
      <c r="C51" s="63" t="inlineStr">
        <is>
          <t>pdf</t>
        </is>
      </c>
      <c r="D51" s="77" t="inlineStr">
        <is>
          <t>3EST000225-7903</t>
        </is>
      </c>
      <c r="E51" s="79" t="inlineStr">
        <is>
          <t>C</t>
        </is>
      </c>
      <c r="F51" s="73" t="inlineStr">
        <is>
          <t>3EST000225-7903</t>
        </is>
      </c>
      <c r="G51" s="92" t="inlineStr">
        <is>
          <t>3ECP413719-0204</t>
        </is>
      </c>
      <c r="H51" s="10" t="inlineStr">
        <is>
          <t>A</t>
        </is>
      </c>
      <c r="I51" s="93" t="inlineStr">
        <is>
          <t>manca</t>
        </is>
      </c>
      <c r="J51" s="159" t="inlineStr">
        <is>
          <t>3ECP413571-0204</t>
        </is>
      </c>
      <c r="K51" s="102" t="inlineStr">
        <is>
          <t>_</t>
        </is>
      </c>
      <c r="L51" s="93" t="inlineStr">
        <is>
          <t>manca</t>
        </is>
      </c>
      <c r="M51" s="77" t="inlineStr">
        <is>
          <t>3ECP413922-0204</t>
        </is>
      </c>
      <c r="N51" s="78" t="inlineStr">
        <is>
          <t>_</t>
        </is>
      </c>
      <c r="O51" s="73" t="inlineStr">
        <is>
          <t>3ECP413922-0204</t>
        </is>
      </c>
      <c r="P51" s="78" t="inlineStr">
        <is>
          <t>FA020026357</t>
        </is>
      </c>
      <c r="Q51" s="88" t="inlineStr">
        <is>
          <t>02.2</t>
        </is>
      </c>
      <c r="R51" s="63" t="inlineStr">
        <is>
          <t>FA020026357</t>
        </is>
      </c>
      <c r="S51" s="96" t="inlineStr">
        <is>
          <t>02.2</t>
        </is>
      </c>
      <c r="U51" s="64" t="n"/>
      <c r="W51" s="64" t="n"/>
    </row>
    <row r="52" outlineLevel="1" ht="30" customHeight="1" s="462">
      <c r="A52" s="316" t="inlineStr">
        <is>
          <t>Horn</t>
        </is>
      </c>
      <c r="B52" s="316" t="inlineStr">
        <is>
          <t>FRS_Horn</t>
        </is>
      </c>
      <c r="C52" s="63" t="inlineStr">
        <is>
          <t>pdf</t>
        </is>
      </c>
      <c r="D52" s="77" t="inlineStr">
        <is>
          <t>3EST000225-7905</t>
        </is>
      </c>
      <c r="E52" s="10" t="inlineStr">
        <is>
          <t>A</t>
        </is>
      </c>
      <c r="F52" s="73" t="inlineStr">
        <is>
          <t>3EST000225-7905</t>
        </is>
      </c>
      <c r="G52" s="77" t="inlineStr">
        <is>
          <t>3EST000225-7905</t>
        </is>
      </c>
      <c r="H52" s="10" t="inlineStr">
        <is>
          <t>A</t>
        </is>
      </c>
      <c r="I52" s="73" t="inlineStr">
        <is>
          <t>3EST000225-7905</t>
        </is>
      </c>
      <c r="J52" s="77" t="inlineStr">
        <is>
          <t>3EST000225-7905</t>
        </is>
      </c>
      <c r="K52" s="10" t="inlineStr">
        <is>
          <t>A</t>
        </is>
      </c>
      <c r="L52" s="73" t="inlineStr">
        <is>
          <t>3EST000225-7905</t>
        </is>
      </c>
      <c r="M52" s="77" t="inlineStr">
        <is>
          <t>3EST000225-7905</t>
        </is>
      </c>
      <c r="N52" s="78" t="inlineStr">
        <is>
          <t>A</t>
        </is>
      </c>
      <c r="O52" s="73" t="inlineStr">
        <is>
          <t>3EST000225-7905</t>
        </is>
      </c>
      <c r="P52" s="78" t="inlineStr">
        <is>
          <t>FA020026338</t>
        </is>
      </c>
      <c r="Q52" s="88" t="inlineStr">
        <is>
          <t>00.3</t>
        </is>
      </c>
      <c r="R52" s="63" t="inlineStr">
        <is>
          <t>FA020026338</t>
        </is>
      </c>
      <c r="S52" s="96" t="inlineStr">
        <is>
          <t>00.3</t>
        </is>
      </c>
      <c r="U52" s="64" t="n"/>
      <c r="W52" s="64" t="n"/>
    </row>
    <row r="53" outlineLevel="1" ht="30" customHeight="1" s="462">
      <c r="A53" s="316" t="inlineStr">
        <is>
          <t>Wheelchair Lifts</t>
        </is>
      </c>
      <c r="B53" s="316" t="inlineStr">
        <is>
          <t>FRS_Wheelchair Lifts</t>
        </is>
      </c>
      <c r="C53" s="63" t="inlineStr">
        <is>
          <t>pdf</t>
        </is>
      </c>
      <c r="D53" s="77" t="inlineStr">
        <is>
          <t>3EST000225-7887</t>
        </is>
      </c>
      <c r="E53" s="10" t="inlineStr">
        <is>
          <t>_</t>
        </is>
      </c>
      <c r="F53" s="73" t="inlineStr">
        <is>
          <t>3EST000225-7887</t>
        </is>
      </c>
      <c r="G53" s="77" t="inlineStr">
        <is>
          <t>3EST000225-7887</t>
        </is>
      </c>
      <c r="H53" s="10" t="inlineStr">
        <is>
          <t>_</t>
        </is>
      </c>
      <c r="I53" s="73" t="inlineStr">
        <is>
          <t>3EST000225-7887</t>
        </is>
      </c>
      <c r="J53" s="77" t="inlineStr">
        <is>
          <t>3EST000225-7887</t>
        </is>
      </c>
      <c r="K53" s="10" t="inlineStr">
        <is>
          <t>_</t>
        </is>
      </c>
      <c r="L53" s="73" t="inlineStr">
        <is>
          <t>3EST000225-7887</t>
        </is>
      </c>
      <c r="M53" s="77" t="inlineStr">
        <is>
          <t>3EST000225-7887</t>
        </is>
      </c>
      <c r="N53" s="78" t="inlineStr">
        <is>
          <t>_</t>
        </is>
      </c>
      <c r="O53" s="73" t="inlineStr">
        <is>
          <t>3EST000225-7887</t>
        </is>
      </c>
      <c r="P53" s="78" t="inlineStr">
        <is>
          <t>FA020025254</t>
        </is>
      </c>
      <c r="Q53" s="88" t="inlineStr">
        <is>
          <t>02.2</t>
        </is>
      </c>
      <c r="R53" s="63" t="inlineStr">
        <is>
          <t>FA020025254</t>
        </is>
      </c>
      <c r="S53" s="96" t="inlineStr">
        <is>
          <t>02.2</t>
        </is>
      </c>
      <c r="U53" s="64" t="n"/>
      <c r="W53" s="64" t="n"/>
    </row>
    <row r="54" outlineLevel="1" ht="30" customHeight="1" s="462">
      <c r="A54" s="316" t="inlineStr">
        <is>
          <t>Exterior Door and Step Systems</t>
        </is>
      </c>
      <c r="B54" s="316" t="inlineStr">
        <is>
          <t>FRS_Exterior Door and Step Systems</t>
        </is>
      </c>
      <c r="C54" s="63" t="inlineStr">
        <is>
          <t>pdf</t>
        </is>
      </c>
      <c r="D54" s="77" t="inlineStr">
        <is>
          <t>EC01P008887B</t>
        </is>
      </c>
      <c r="E54" s="80" t="inlineStr">
        <is>
          <t>09</t>
        </is>
      </c>
      <c r="F54" s="73" t="inlineStr">
        <is>
          <t>3EST000225-7893</t>
        </is>
      </c>
      <c r="G54" s="77" t="inlineStr">
        <is>
          <t>EC01P008887B</t>
        </is>
      </c>
      <c r="H54" s="80" t="inlineStr">
        <is>
          <t>09</t>
        </is>
      </c>
      <c r="I54" s="64" t="inlineStr">
        <is>
          <t>3ECP413719-1400</t>
        </is>
      </c>
      <c r="J54" s="77" t="inlineStr">
        <is>
          <t>FA020000711</t>
        </is>
      </c>
      <c r="K54" s="80" t="inlineStr">
        <is>
          <t>00</t>
        </is>
      </c>
      <c r="L54" s="64" t="inlineStr">
        <is>
          <t>3ECP413571-1400</t>
        </is>
      </c>
      <c r="M54" s="77" t="inlineStr">
        <is>
          <t>EC01P008887B</t>
        </is>
      </c>
      <c r="N54" s="80" t="inlineStr">
        <is>
          <t>09</t>
        </is>
      </c>
      <c r="O54" s="64" t="inlineStr">
        <is>
          <t>3ECP413922-1400</t>
        </is>
      </c>
      <c r="P54" s="78" t="inlineStr">
        <is>
          <t>FA020025252</t>
        </is>
      </c>
      <c r="Q54" s="88" t="inlineStr">
        <is>
          <t>04.2</t>
        </is>
      </c>
      <c r="R54" s="63" t="inlineStr">
        <is>
          <t>FA020025252</t>
        </is>
      </c>
      <c r="S54" s="96" t="inlineStr">
        <is>
          <t>04.2</t>
        </is>
      </c>
      <c r="U54" s="64" t="n"/>
      <c r="W54" s="64" t="n"/>
    </row>
    <row r="55" outlineLevel="1" ht="30" customHeight="1" s="462">
      <c r="A55" s="316" t="inlineStr">
        <is>
          <t>Interior Doors</t>
        </is>
      </c>
      <c r="B55" s="316" t="inlineStr">
        <is>
          <t>FRS_Interior Doors</t>
        </is>
      </c>
      <c r="C55" s="63" t="inlineStr">
        <is>
          <t>pdf</t>
        </is>
      </c>
      <c r="D55" s="77" t="inlineStr">
        <is>
          <t>EC01P008873B</t>
        </is>
      </c>
      <c r="E55" s="80" t="inlineStr">
        <is>
          <t>01</t>
        </is>
      </c>
      <c r="F55" s="73" t="inlineStr">
        <is>
          <t>3EST000225-7886</t>
        </is>
      </c>
      <c r="G55" s="77" t="inlineStr">
        <is>
          <t>EC01P008873B</t>
        </is>
      </c>
      <c r="H55" s="80" t="inlineStr">
        <is>
          <t>01</t>
        </is>
      </c>
      <c r="I55" s="73" t="inlineStr">
        <is>
          <t>3EST000225-7886</t>
        </is>
      </c>
      <c r="J55" s="77" t="inlineStr">
        <is>
          <t>EC01P008873B</t>
        </is>
      </c>
      <c r="K55" s="80" t="inlineStr">
        <is>
          <t>01</t>
        </is>
      </c>
      <c r="L55" s="78" t="inlineStr">
        <is>
          <t>3EST000225-7886</t>
        </is>
      </c>
      <c r="M55" s="77" t="inlineStr">
        <is>
          <t>EC01P008873B</t>
        </is>
      </c>
      <c r="N55" s="80" t="inlineStr">
        <is>
          <t>01</t>
        </is>
      </c>
      <c r="O55" s="73" t="inlineStr">
        <is>
          <t>3EST000225-7886</t>
        </is>
      </c>
      <c r="P55" s="78" t="inlineStr">
        <is>
          <t>FA020025253</t>
        </is>
      </c>
      <c r="Q55" s="88" t="inlineStr">
        <is>
          <t>04.2</t>
        </is>
      </c>
      <c r="R55" s="63" t="inlineStr">
        <is>
          <t>FA020025253</t>
        </is>
      </c>
      <c r="S55" s="96" t="inlineStr">
        <is>
          <t>04.2</t>
        </is>
      </c>
      <c r="U55" s="64" t="n"/>
      <c r="W55" s="64" t="n"/>
    </row>
    <row r="56" outlineLevel="1" ht="30" customHeight="1" s="462">
      <c r="A56" s="316" t="inlineStr">
        <is>
          <t>Cab HVAC</t>
        </is>
      </c>
      <c r="B56" s="316" t="inlineStr">
        <is>
          <t>FRS_Cab HVAC</t>
        </is>
      </c>
      <c r="C56" s="63" t="inlineStr">
        <is>
          <t>pdf</t>
        </is>
      </c>
      <c r="D56" s="77" t="inlineStr">
        <is>
          <t>EC01P009028B</t>
        </is>
      </c>
      <c r="E56" s="10" t="inlineStr">
        <is>
          <t>00.4</t>
        </is>
      </c>
      <c r="F56" s="73" t="inlineStr">
        <is>
          <t>3EST000225-7894</t>
        </is>
      </c>
      <c r="G56" s="77" t="inlineStr">
        <is>
          <t>EC01P009028B</t>
        </is>
      </c>
      <c r="H56" s="10" t="inlineStr">
        <is>
          <t>00.4</t>
        </is>
      </c>
      <c r="I56" s="73" t="inlineStr">
        <is>
          <t>3EST000225-7894</t>
        </is>
      </c>
      <c r="J56" s="77" t="inlineStr">
        <is>
          <t>EC01P009028B</t>
        </is>
      </c>
      <c r="K56" s="10" t="inlineStr">
        <is>
          <t>00.4</t>
        </is>
      </c>
      <c r="L56" s="78" t="inlineStr">
        <is>
          <t>3EST000225-7894</t>
        </is>
      </c>
      <c r="M56" s="77" t="inlineStr">
        <is>
          <t>EC01P009028B</t>
        </is>
      </c>
      <c r="N56" s="10" t="inlineStr">
        <is>
          <t>00.4</t>
        </is>
      </c>
      <c r="O56" s="73" t="inlineStr">
        <is>
          <t>3EST000225-7894</t>
        </is>
      </c>
      <c r="P56" s="78" t="inlineStr">
        <is>
          <t>FA020026562</t>
        </is>
      </c>
      <c r="Q56" s="88" t="inlineStr">
        <is>
          <t>00.2</t>
        </is>
      </c>
      <c r="R56" s="63" t="inlineStr">
        <is>
          <t>FA020026562</t>
        </is>
      </c>
      <c r="S56" s="96" t="inlineStr">
        <is>
          <t>00.2</t>
        </is>
      </c>
      <c r="U56" s="64" t="n"/>
      <c r="W56" s="64" t="n"/>
    </row>
    <row r="57" outlineLevel="1" ht="30" customHeight="1" s="462">
      <c r="A57" s="316" t="inlineStr">
        <is>
          <t>Saloon HVAC</t>
        </is>
      </c>
      <c r="B57" s="316" t="inlineStr">
        <is>
          <t>FRS_Saloon HVAC</t>
        </is>
      </c>
      <c r="C57" s="63" t="inlineStr">
        <is>
          <t>pdf</t>
        </is>
      </c>
      <c r="D57" s="77" t="inlineStr">
        <is>
          <t>EC01P008880B</t>
        </is>
      </c>
      <c r="E57" s="10" t="inlineStr">
        <is>
          <t>00.8</t>
        </is>
      </c>
      <c r="F57" s="73" t="inlineStr">
        <is>
          <t>3EST000225-7897</t>
        </is>
      </c>
      <c r="G57" s="77" t="inlineStr">
        <is>
          <t>3EST000225-7897</t>
        </is>
      </c>
      <c r="H57" s="10" t="inlineStr">
        <is>
          <t>A</t>
        </is>
      </c>
      <c r="I57" s="73" t="inlineStr">
        <is>
          <t>3EST000225-7897</t>
        </is>
      </c>
      <c r="J57" s="77" t="inlineStr">
        <is>
          <t>EC01P008880B</t>
        </is>
      </c>
      <c r="K57" s="10" t="inlineStr">
        <is>
          <t>00.8</t>
        </is>
      </c>
      <c r="L57" s="78" t="inlineStr">
        <is>
          <t>3EST000225-7897</t>
        </is>
      </c>
      <c r="M57" s="63" t="inlineStr">
        <is>
          <t>3EST000225-7897</t>
        </is>
      </c>
      <c r="N57" s="10" t="inlineStr">
        <is>
          <t>00.8</t>
        </is>
      </c>
      <c r="O57" s="73" t="inlineStr">
        <is>
          <t>EC01P008880B</t>
        </is>
      </c>
      <c r="P57" s="78" t="inlineStr">
        <is>
          <t>FA020026563</t>
        </is>
      </c>
      <c r="Q57" s="88" t="inlineStr">
        <is>
          <t>02.2</t>
        </is>
      </c>
      <c r="R57" s="63" t="inlineStr">
        <is>
          <t>FA020026563</t>
        </is>
      </c>
      <c r="S57" s="96" t="inlineStr">
        <is>
          <t>02.2</t>
        </is>
      </c>
      <c r="U57" s="64" t="n"/>
      <c r="W57" s="64" t="n"/>
    </row>
    <row r="58" outlineLevel="1" ht="30" customHeight="1" s="462">
      <c r="A58" s="316" t="inlineStr">
        <is>
          <t>Fire Protection and Extinction</t>
        </is>
      </c>
      <c r="B58" s="316" t="inlineStr">
        <is>
          <t>FRS_FPS</t>
        </is>
      </c>
      <c r="C58" s="63" t="inlineStr">
        <is>
          <t>pdf</t>
        </is>
      </c>
      <c r="D58" s="77" t="inlineStr">
        <is>
          <t>EC01P008884B</t>
        </is>
      </c>
      <c r="E58" s="80" t="inlineStr">
        <is>
          <t>04</t>
        </is>
      </c>
      <c r="F58" s="73" t="inlineStr">
        <is>
          <t>3EST000225-7879</t>
        </is>
      </c>
      <c r="G58" s="77" t="inlineStr">
        <is>
          <t>3EST000225-7879</t>
        </is>
      </c>
      <c r="H58" s="10" t="inlineStr">
        <is>
          <t>A</t>
        </is>
      </c>
      <c r="I58" s="73" t="inlineStr">
        <is>
          <t>3EST000225-7879</t>
        </is>
      </c>
      <c r="J58" s="77" t="inlineStr">
        <is>
          <t>EC01P008884B</t>
        </is>
      </c>
      <c r="K58" s="80" t="inlineStr">
        <is>
          <t>04</t>
        </is>
      </c>
      <c r="L58" s="78" t="inlineStr">
        <is>
          <t>3EST000225-7879</t>
        </is>
      </c>
      <c r="M58" s="63" t="inlineStr">
        <is>
          <t>3ECP413922-0604</t>
        </is>
      </c>
      <c r="N58" s="80" t="inlineStr">
        <is>
          <t>04</t>
        </is>
      </c>
      <c r="O58" s="64" t="inlineStr">
        <is>
          <t>EC01P008884B</t>
        </is>
      </c>
      <c r="P58" s="78" t="inlineStr">
        <is>
          <t>FA020025419</t>
        </is>
      </c>
      <c r="Q58" s="88" t="inlineStr">
        <is>
          <t>03.2</t>
        </is>
      </c>
      <c r="R58" s="63" t="inlineStr">
        <is>
          <t>FA020025419</t>
        </is>
      </c>
      <c r="S58" s="96" t="inlineStr">
        <is>
          <t>03.2</t>
        </is>
      </c>
      <c r="U58" s="64" t="n"/>
      <c r="W58" s="64" t="n"/>
    </row>
    <row r="59" outlineLevel="1" ht="30" customHeight="1" s="462">
      <c r="A59" s="316" t="inlineStr">
        <is>
          <t>Toilet</t>
        </is>
      </c>
      <c r="B59" s="316" t="inlineStr">
        <is>
          <t>FRS_Toilet</t>
        </is>
      </c>
      <c r="C59" s="63" t="inlineStr">
        <is>
          <t>pdf</t>
        </is>
      </c>
      <c r="D59" s="77" t="inlineStr">
        <is>
          <t>EC01P008888B</t>
        </is>
      </c>
      <c r="E59" s="87" t="inlineStr">
        <is>
          <t>02</t>
        </is>
      </c>
      <c r="F59" s="73" t="inlineStr">
        <is>
          <t>3EST000225-7883</t>
        </is>
      </c>
      <c r="G59" s="77" t="inlineStr">
        <is>
          <t>EC01P008888B</t>
        </is>
      </c>
      <c r="H59" s="87" t="inlineStr">
        <is>
          <t>02</t>
        </is>
      </c>
      <c r="I59" s="64" t="inlineStr">
        <is>
          <t>3ECP413719-0802</t>
        </is>
      </c>
      <c r="J59" s="77" t="inlineStr">
        <is>
          <t>EC01P008888B</t>
        </is>
      </c>
      <c r="K59" s="87" t="inlineStr">
        <is>
          <t>02</t>
        </is>
      </c>
      <c r="L59" s="78" t="inlineStr">
        <is>
          <t>3EST000225-7883</t>
        </is>
      </c>
      <c r="M59" s="77" t="inlineStr">
        <is>
          <t>EC01P008888B</t>
        </is>
      </c>
      <c r="N59" s="87" t="inlineStr">
        <is>
          <t>02</t>
        </is>
      </c>
      <c r="O59" s="64" t="inlineStr">
        <is>
          <t>3ECP413719-0802</t>
        </is>
      </c>
      <c r="P59" s="78" t="inlineStr">
        <is>
          <t>FA020026053</t>
        </is>
      </c>
      <c r="Q59" s="88" t="inlineStr">
        <is>
          <t>01.2</t>
        </is>
      </c>
      <c r="R59" s="63" t="inlineStr">
        <is>
          <t>FA020026053</t>
        </is>
      </c>
      <c r="S59" s="96" t="inlineStr">
        <is>
          <t>01.2</t>
        </is>
      </c>
      <c r="U59" s="64" t="n"/>
      <c r="W59" s="64" t="n"/>
    </row>
    <row r="60" outlineLevel="1" s="462">
      <c r="A60" s="316" t="inlineStr">
        <is>
          <t>Catering - Bistrot</t>
        </is>
      </c>
      <c r="B60" s="316" t="inlineStr">
        <is>
          <t>FRS_Catering</t>
        </is>
      </c>
      <c r="C60" s="63" t="inlineStr">
        <is>
          <t>pdf</t>
        </is>
      </c>
      <c r="D60" s="77" t="inlineStr">
        <is>
          <t>EC01P008889B</t>
        </is>
      </c>
      <c r="E60" s="80" t="inlineStr">
        <is>
          <t>03</t>
        </is>
      </c>
      <c r="F60" s="73" t="inlineStr">
        <is>
          <t>3EST000225-7885</t>
        </is>
      </c>
      <c r="G60" s="77" t="inlineStr">
        <is>
          <t>EC01P008889B</t>
        </is>
      </c>
      <c r="H60" s="80" t="inlineStr">
        <is>
          <t>03</t>
        </is>
      </c>
      <c r="I60" s="73" t="inlineStr">
        <is>
          <t>3EST000225-7885</t>
        </is>
      </c>
      <c r="J60" s="77" t="inlineStr">
        <is>
          <t>EC01P008889B</t>
        </is>
      </c>
      <c r="K60" s="80" t="inlineStr">
        <is>
          <t>03</t>
        </is>
      </c>
      <c r="L60" s="78" t="inlineStr">
        <is>
          <t>3EST000225-7885</t>
        </is>
      </c>
      <c r="M60" s="77" t="inlineStr">
        <is>
          <t>EC01P008889B</t>
        </is>
      </c>
      <c r="N60" s="80" t="inlineStr">
        <is>
          <t>03</t>
        </is>
      </c>
      <c r="O60" s="73" t="inlineStr">
        <is>
          <t>3EST000225-7885</t>
        </is>
      </c>
      <c r="P60" s="78" t="inlineStr">
        <is>
          <t>\</t>
        </is>
      </c>
      <c r="Q60" s="10" t="inlineStr">
        <is>
          <t>\</t>
        </is>
      </c>
      <c r="R60" s="63" t="inlineStr">
        <is>
          <t>\</t>
        </is>
      </c>
      <c r="S60" s="64" t="inlineStr">
        <is>
          <t>\</t>
        </is>
      </c>
      <c r="U60" s="64" t="n"/>
      <c r="W60" s="64" t="n"/>
    </row>
    <row r="61" outlineLevel="1" ht="30" customHeight="1" s="462">
      <c r="A61" s="316" t="inlineStr">
        <is>
          <t>PIES</t>
        </is>
      </c>
      <c r="B61" s="316" t="inlineStr">
        <is>
          <t>FRS_PIS</t>
        </is>
      </c>
      <c r="C61" s="63" t="inlineStr">
        <is>
          <t>pdf</t>
        </is>
      </c>
      <c r="D61" s="77" t="inlineStr">
        <is>
          <t>EC01P009000B</t>
        </is>
      </c>
      <c r="E61" s="80" t="inlineStr">
        <is>
          <t>02</t>
        </is>
      </c>
      <c r="F61" s="73" t="inlineStr">
        <is>
          <t>3EST000225-7890</t>
        </is>
      </c>
      <c r="G61" s="77" t="inlineStr">
        <is>
          <t>EC010008563</t>
        </is>
      </c>
      <c r="H61" s="80" t="inlineStr">
        <is>
          <t>00</t>
        </is>
      </c>
      <c r="I61" s="73" t="inlineStr">
        <is>
          <t>3ECP413719-1100</t>
        </is>
      </c>
      <c r="J61" s="77" t="inlineStr">
        <is>
          <t>EC01P009000B</t>
        </is>
      </c>
      <c r="K61" s="80" t="inlineStr">
        <is>
          <t>02</t>
        </is>
      </c>
      <c r="L61" s="78" t="inlineStr">
        <is>
          <t>3EST000225-7890</t>
        </is>
      </c>
      <c r="M61" s="63" t="inlineStr">
        <is>
          <t>EC010008581</t>
        </is>
      </c>
      <c r="N61" s="80" t="inlineStr">
        <is>
          <t>00</t>
        </is>
      </c>
      <c r="O61" s="64" t="inlineStr">
        <is>
          <t>3ECP413922-1100</t>
        </is>
      </c>
      <c r="P61" s="78" t="inlineStr">
        <is>
          <t>FA020025354</t>
        </is>
      </c>
      <c r="Q61" s="88" t="inlineStr">
        <is>
          <t>00.3</t>
        </is>
      </c>
      <c r="R61" s="63" t="inlineStr">
        <is>
          <t>FA020025354</t>
        </is>
      </c>
      <c r="S61" s="96" t="inlineStr">
        <is>
          <t>00.3</t>
        </is>
      </c>
      <c r="U61" s="64" t="n"/>
      <c r="W61" s="64" t="n"/>
    </row>
    <row r="62" outlineLevel="1" ht="30" customHeight="1" s="462">
      <c r="A62" s="316" t="inlineStr">
        <is>
          <t>PIS 2.0</t>
        </is>
      </c>
      <c r="B62" s="316" t="inlineStr">
        <is>
          <t>FRS_PIS 2.0</t>
        </is>
      </c>
      <c r="C62" s="63" t="inlineStr">
        <is>
          <t>pdf</t>
        </is>
      </c>
      <c r="D62" s="77" t="inlineStr">
        <is>
          <t>\</t>
        </is>
      </c>
      <c r="E62" s="10" t="inlineStr">
        <is>
          <t>\</t>
        </is>
      </c>
      <c r="F62" s="64" t="inlineStr">
        <is>
          <t>\</t>
        </is>
      </c>
      <c r="G62" s="63" t="inlineStr">
        <is>
          <t>\</t>
        </is>
      </c>
      <c r="H62" s="10" t="inlineStr">
        <is>
          <t>\</t>
        </is>
      </c>
      <c r="I62" s="64" t="inlineStr">
        <is>
          <t>\</t>
        </is>
      </c>
      <c r="J62" s="77" t="n"/>
      <c r="L62" s="64" t="n"/>
      <c r="M62" s="63" t="inlineStr">
        <is>
          <t>\</t>
        </is>
      </c>
      <c r="N62" s="10" t="inlineStr">
        <is>
          <t>\</t>
        </is>
      </c>
      <c r="O62" s="64" t="inlineStr">
        <is>
          <t>\</t>
        </is>
      </c>
      <c r="P62" s="79" t="inlineStr">
        <is>
          <t>FA020047983</t>
        </is>
      </c>
      <c r="Q62" s="10" t="inlineStr">
        <is>
          <t>00.1</t>
        </is>
      </c>
      <c r="R62" s="63" t="inlineStr">
        <is>
          <t>FA020047983</t>
        </is>
      </c>
      <c r="S62" s="64" t="inlineStr">
        <is>
          <t>00.1</t>
        </is>
      </c>
      <c r="U62" s="64" t="n"/>
      <c r="W62" s="64" t="n"/>
    </row>
    <row r="63" outlineLevel="1" ht="30" customHeight="1" s="462">
      <c r="A63" s="316" t="inlineStr">
        <is>
          <t>CCTV</t>
        </is>
      </c>
      <c r="B63" s="316" t="inlineStr">
        <is>
          <t>FRS_CCTV</t>
        </is>
      </c>
      <c r="C63" s="63" t="inlineStr">
        <is>
          <t>pdf</t>
        </is>
      </c>
      <c r="D63" s="77" t="inlineStr">
        <is>
          <t>EC01P009001B</t>
        </is>
      </c>
      <c r="E63" s="80" t="inlineStr">
        <is>
          <t>01</t>
        </is>
      </c>
      <c r="F63" s="73" t="inlineStr">
        <is>
          <t>3EST000225-7891</t>
        </is>
      </c>
      <c r="G63" s="77" t="inlineStr">
        <is>
          <t>EC01P009001B</t>
        </is>
      </c>
      <c r="H63" s="80" t="inlineStr">
        <is>
          <t>01</t>
        </is>
      </c>
      <c r="I63" s="73" t="inlineStr">
        <is>
          <t>3EST000225-7891</t>
        </is>
      </c>
      <c r="J63" s="77" t="inlineStr">
        <is>
          <t>3EST000225-7891</t>
        </is>
      </c>
      <c r="K63" s="10" t="inlineStr">
        <is>
          <t>A</t>
        </is>
      </c>
      <c r="L63" s="64" t="n"/>
      <c r="M63" s="77" t="inlineStr">
        <is>
          <t>EC01P009001B</t>
        </is>
      </c>
      <c r="N63" s="80" t="inlineStr">
        <is>
          <t>01</t>
        </is>
      </c>
      <c r="O63" s="73" t="inlineStr">
        <is>
          <t>3EST000225-7891</t>
        </is>
      </c>
      <c r="P63" s="78" t="inlineStr">
        <is>
          <t>FA020025360</t>
        </is>
      </c>
      <c r="Q63" s="88" t="inlineStr">
        <is>
          <t>01.2</t>
        </is>
      </c>
      <c r="R63" s="63" t="inlineStr">
        <is>
          <t>FA020025360</t>
        </is>
      </c>
      <c r="S63" s="96" t="inlineStr">
        <is>
          <t>01.2</t>
        </is>
      </c>
      <c r="U63" s="64" t="n"/>
      <c r="W63" s="64" t="n"/>
    </row>
    <row r="64" outlineLevel="1" ht="30" customHeight="1" s="462">
      <c r="A64" s="316" t="inlineStr">
        <is>
          <t>Exterior Lighting</t>
        </is>
      </c>
      <c r="B64" s="316" t="inlineStr">
        <is>
          <t>FRS_Exterior Lighting</t>
        </is>
      </c>
      <c r="C64" s="63" t="inlineStr">
        <is>
          <t>pdf</t>
        </is>
      </c>
      <c r="D64" s="77" t="inlineStr">
        <is>
          <t>3EST000225-7904</t>
        </is>
      </c>
      <c r="E64" s="10" t="inlineStr">
        <is>
          <t>B</t>
        </is>
      </c>
      <c r="F64" s="73" t="inlineStr">
        <is>
          <t>3EST000225-7904</t>
        </is>
      </c>
      <c r="G64" s="77" t="inlineStr">
        <is>
          <t>3EST000225-7904</t>
        </is>
      </c>
      <c r="H64" s="10" t="inlineStr">
        <is>
          <t>B</t>
        </is>
      </c>
      <c r="I64" s="73" t="inlineStr">
        <is>
          <t>3EST000225-7904</t>
        </is>
      </c>
      <c r="J64" s="77" t="inlineStr">
        <is>
          <t>3ECP413571-0206</t>
        </is>
      </c>
      <c r="K64" s="10" t="inlineStr">
        <is>
          <t>_</t>
        </is>
      </c>
      <c r="L64" s="64" t="n"/>
      <c r="M64" s="63" t="inlineStr">
        <is>
          <t>3EST000225-7904</t>
        </is>
      </c>
      <c r="N64" s="10" t="inlineStr">
        <is>
          <t>B</t>
        </is>
      </c>
      <c r="O64" s="64" t="inlineStr">
        <is>
          <t>3EST000225-7904</t>
        </is>
      </c>
      <c r="P64" s="78" t="inlineStr">
        <is>
          <t>3EST000225-7904</t>
        </is>
      </c>
      <c r="Q64" s="10" t="inlineStr">
        <is>
          <t>B.1</t>
        </is>
      </c>
      <c r="R64" s="63" t="inlineStr">
        <is>
          <t>3EST000225-7904</t>
        </is>
      </c>
      <c r="S64" s="64" t="inlineStr">
        <is>
          <t>B.1</t>
        </is>
      </c>
      <c r="U64" s="64" t="n"/>
      <c r="W64" s="64" t="n"/>
    </row>
    <row r="65" outlineLevel="1" ht="30" customHeight="1" s="462">
      <c r="A65" s="316" t="inlineStr">
        <is>
          <t>Interior Lighting</t>
        </is>
      </c>
      <c r="B65" s="316" t="inlineStr">
        <is>
          <t>FRS_Interior Lighting</t>
        </is>
      </c>
      <c r="C65" s="63" t="inlineStr">
        <is>
          <t>pdf</t>
        </is>
      </c>
      <c r="D65" s="77" t="inlineStr">
        <is>
          <t>EC01P008890B</t>
        </is>
      </c>
      <c r="E65" s="10" t="inlineStr">
        <is>
          <t>01.3</t>
        </is>
      </c>
      <c r="F65" s="73" t="inlineStr">
        <is>
          <t>3EST000225-7882</t>
        </is>
      </c>
      <c r="G65" s="77" t="inlineStr">
        <is>
          <t>EC01P008890B</t>
        </is>
      </c>
      <c r="H65" s="10" t="inlineStr">
        <is>
          <t>01.3</t>
        </is>
      </c>
      <c r="I65" s="73" t="inlineStr">
        <is>
          <t>3EST000225-7882</t>
        </is>
      </c>
      <c r="J65" s="63" t="inlineStr">
        <is>
          <t>3EST000225-7882</t>
        </is>
      </c>
      <c r="K65" s="10" t="inlineStr">
        <is>
          <t>B</t>
        </is>
      </c>
      <c r="L65" s="64" t="n"/>
      <c r="M65" s="63" t="inlineStr">
        <is>
          <t>FA020011254</t>
        </is>
      </c>
      <c r="N65" s="80" t="inlineStr">
        <is>
          <t>00</t>
        </is>
      </c>
      <c r="O65" s="64" t="inlineStr">
        <is>
          <t>3ECP413922-0801</t>
        </is>
      </c>
      <c r="P65" s="78" t="inlineStr">
        <is>
          <t>FA020011254</t>
        </is>
      </c>
      <c r="Q65" s="88" t="inlineStr">
        <is>
          <t>00.2</t>
        </is>
      </c>
      <c r="R65" s="63" t="inlineStr">
        <is>
          <t>FA020011254</t>
        </is>
      </c>
      <c r="S65" s="96" t="inlineStr">
        <is>
          <t>00.2</t>
        </is>
      </c>
      <c r="U65" s="64" t="n"/>
      <c r="W65" s="64" t="n"/>
    </row>
    <row r="66" outlineLevel="1" s="462">
      <c r="A66" s="316" t="inlineStr">
        <is>
          <t>Train Protection - ATP (France)</t>
        </is>
      </c>
      <c r="B66" s="316" t="inlineStr">
        <is>
          <t>FRS_Train Protection_France</t>
        </is>
      </c>
      <c r="C66" s="63" t="inlineStr">
        <is>
          <t>pdf</t>
        </is>
      </c>
      <c r="D66" s="77" t="n"/>
      <c r="E66" s="80" t="n"/>
      <c r="F66" s="73" t="n"/>
      <c r="G66" s="77" t="n"/>
      <c r="I66" s="71" t="n"/>
      <c r="J66" s="63" t="inlineStr">
        <is>
          <t>3ECP413571-0902</t>
        </is>
      </c>
      <c r="K66" s="10" t="inlineStr">
        <is>
          <t>B</t>
        </is>
      </c>
      <c r="L66" s="64" t="n"/>
      <c r="M66" s="63" t="n"/>
      <c r="N66" s="80" t="n"/>
      <c r="O66" s="71" t="n"/>
      <c r="P66" s="78" t="n"/>
      <c r="R66" s="63" t="n"/>
      <c r="S66" s="64" t="n"/>
      <c r="U66" s="64" t="n"/>
      <c r="W66" s="64" t="n"/>
    </row>
    <row r="67" outlineLevel="1" s="462">
      <c r="A67" s="318" t="inlineStr">
        <is>
          <t>Energy Meter System</t>
        </is>
      </c>
      <c r="B67" s="318" t="inlineStr">
        <is>
          <t>FRS_EMS</t>
        </is>
      </c>
      <c r="C67" s="221" t="inlineStr">
        <is>
          <t>pdf</t>
        </is>
      </c>
      <c r="D67" s="77" t="n"/>
      <c r="E67" s="80" t="n"/>
      <c r="F67" s="73" t="n"/>
      <c r="G67" s="77" t="n"/>
      <c r="I67" s="71" t="n"/>
      <c r="J67" s="63" t="inlineStr">
        <is>
          <t>EC010029076</t>
        </is>
      </c>
      <c r="K67" s="10" t="inlineStr">
        <is>
          <t>00.1</t>
        </is>
      </c>
      <c r="L67" s="64" t="n"/>
      <c r="M67" s="63" t="n"/>
      <c r="N67" s="80" t="n"/>
      <c r="O67" s="71" t="n"/>
      <c r="P67" s="78" t="inlineStr">
        <is>
          <t>EC010019484</t>
        </is>
      </c>
      <c r="Q67" s="10" t="inlineStr">
        <is>
          <t>01</t>
        </is>
      </c>
      <c r="R67" s="63" t="n"/>
      <c r="S67" s="64" t="n"/>
      <c r="U67" s="64" t="n"/>
      <c r="W67" s="64" t="n"/>
    </row>
    <row r="68">
      <c r="A68" s="317" t="inlineStr">
        <is>
          <t>Functional schematics</t>
        </is>
      </c>
      <c r="B68" s="317" t="n"/>
      <c r="C68" s="113" t="n"/>
      <c r="D68" s="68" t="n"/>
      <c r="E68" s="223" t="n"/>
      <c r="F68" s="69" t="n"/>
      <c r="G68" s="68" t="n"/>
      <c r="H68" s="223" t="n"/>
      <c r="I68" s="69" t="n"/>
      <c r="J68" s="68" t="n"/>
      <c r="K68" s="223" t="n"/>
      <c r="L68" s="69" t="n"/>
      <c r="M68" s="68" t="n"/>
      <c r="N68" s="223" t="n"/>
      <c r="O68" s="69" t="n"/>
      <c r="P68" s="223" t="n"/>
      <c r="Q68" s="223" t="n"/>
      <c r="R68" s="68" t="inlineStr">
        <is>
          <t>mancanti</t>
        </is>
      </c>
      <c r="S68" s="69" t="n"/>
      <c r="T68" s="223" t="n"/>
      <c r="U68" s="69" t="n"/>
      <c r="V68" s="223" t="n"/>
      <c r="W68" s="69" t="n"/>
    </row>
    <row r="69" outlineLevel="1" ht="30" customHeight="1" s="462">
      <c r="A69" s="316" t="inlineStr">
        <is>
          <t>Functional schematics DM1</t>
        </is>
      </c>
      <c r="B69" s="316" t="inlineStr">
        <is>
          <t>FS_DM1</t>
        </is>
      </c>
      <c r="C69" s="63" t="inlineStr">
        <is>
          <t>pdf</t>
        </is>
      </c>
      <c r="D69" s="63" t="inlineStr">
        <is>
          <t>3ECP502128-0001</t>
        </is>
      </c>
      <c r="E69" s="10" t="inlineStr">
        <is>
          <t>M</t>
        </is>
      </c>
      <c r="F69" s="64" t="n"/>
      <c r="G69" s="63" t="inlineStr">
        <is>
          <t>3ECP307211-1401</t>
        </is>
      </c>
      <c r="H69" s="79" t="inlineStr">
        <is>
          <t>C</t>
        </is>
      </c>
      <c r="I69" s="64" t="n"/>
      <c r="J69" s="63" t="inlineStr">
        <is>
          <t>3ECP307051-0001</t>
        </is>
      </c>
      <c r="K69" s="10" t="inlineStr">
        <is>
          <t>E</t>
        </is>
      </c>
      <c r="L69" s="64" t="n"/>
      <c r="M69" s="63" t="inlineStr">
        <is>
          <t>3ECP307251-0001</t>
        </is>
      </c>
      <c r="N69" s="79" t="inlineStr">
        <is>
          <t>G</t>
        </is>
      </c>
      <c r="O69" s="64" t="n"/>
      <c r="P69" s="10" t="inlineStr">
        <is>
          <t>FS020022117-001</t>
        </is>
      </c>
      <c r="Q69" s="79" t="inlineStr">
        <is>
          <t>05.2</t>
        </is>
      </c>
      <c r="R69" s="97" t="inlineStr">
        <is>
          <t>FS020036994-001</t>
        </is>
      </c>
      <c r="S69" s="73" t="inlineStr">
        <is>
          <t>01.2</t>
        </is>
      </c>
      <c r="U69" s="64" t="n"/>
      <c r="W69" s="64" t="n"/>
    </row>
    <row r="70" outlineLevel="1" ht="30" customHeight="1" s="462">
      <c r="A70" s="316" t="inlineStr">
        <is>
          <t>Functional schematics TT2</t>
        </is>
      </c>
      <c r="B70" s="316" t="inlineStr">
        <is>
          <t>FS_TT2</t>
        </is>
      </c>
      <c r="C70" s="63" t="inlineStr">
        <is>
          <t>pdf</t>
        </is>
      </c>
      <c r="D70" s="63" t="inlineStr">
        <is>
          <t>3ECP502129-0001</t>
        </is>
      </c>
      <c r="E70" s="79" t="inlineStr">
        <is>
          <t>J</t>
        </is>
      </c>
      <c r="F70" s="64" t="n"/>
      <c r="G70" s="63" t="inlineStr">
        <is>
          <t>3ECP307211-0002</t>
        </is>
      </c>
      <c r="H70" s="10" t="inlineStr">
        <is>
          <t>D</t>
        </is>
      </c>
      <c r="I70" s="64" t="n"/>
      <c r="J70" s="63" t="inlineStr">
        <is>
          <t>3ECP307059-0001</t>
        </is>
      </c>
      <c r="K70" s="10" t="inlineStr">
        <is>
          <t>D</t>
        </is>
      </c>
      <c r="L70" s="64" t="n"/>
      <c r="M70" s="63" t="inlineStr">
        <is>
          <t>3ECP307251-0002</t>
        </is>
      </c>
      <c r="N70" s="79" t="inlineStr">
        <is>
          <t>G</t>
        </is>
      </c>
      <c r="O70" s="64" t="n"/>
      <c r="P70" s="10" t="inlineStr">
        <is>
          <t>FS020022117-002</t>
        </is>
      </c>
      <c r="Q70" s="79" t="inlineStr">
        <is>
          <t>05.2</t>
        </is>
      </c>
      <c r="R70" s="97" t="inlineStr">
        <is>
          <t>FS020036994-002</t>
        </is>
      </c>
      <c r="S70" s="73" t="inlineStr">
        <is>
          <t>01.2</t>
        </is>
      </c>
      <c r="U70" s="64" t="n"/>
      <c r="W70" s="64" t="n"/>
    </row>
    <row r="71" outlineLevel="1" ht="30" customHeight="1" s="462">
      <c r="A71" s="316" t="inlineStr">
        <is>
          <t>Functional schematics M3</t>
        </is>
      </c>
      <c r="B71" s="316" t="inlineStr">
        <is>
          <t>FS_M3</t>
        </is>
      </c>
      <c r="C71" s="63" t="inlineStr">
        <is>
          <t>pdf</t>
        </is>
      </c>
      <c r="D71" s="63" t="inlineStr">
        <is>
          <t>3ECP502130-0001</t>
        </is>
      </c>
      <c r="E71" s="79" t="inlineStr">
        <is>
          <t>J</t>
        </is>
      </c>
      <c r="F71" s="64" t="n"/>
      <c r="G71" s="63" t="inlineStr">
        <is>
          <t>3ECP307211-0003</t>
        </is>
      </c>
      <c r="H71" s="10" t="inlineStr">
        <is>
          <t>D</t>
        </is>
      </c>
      <c r="I71" s="64" t="n"/>
      <c r="J71" s="63" t="inlineStr">
        <is>
          <t>3ECP307157-0001</t>
        </is>
      </c>
      <c r="K71" s="10" t="inlineStr">
        <is>
          <t>C</t>
        </is>
      </c>
      <c r="L71" s="64" t="n"/>
      <c r="M71" s="63" t="inlineStr">
        <is>
          <t>3ECP307251-0003</t>
        </is>
      </c>
      <c r="N71" s="79" t="inlineStr">
        <is>
          <t>G</t>
        </is>
      </c>
      <c r="O71" s="64" t="n"/>
      <c r="P71" s="10" t="inlineStr">
        <is>
          <t>FS020022117-003</t>
        </is>
      </c>
      <c r="Q71" s="79" t="inlineStr">
        <is>
          <t>05.2</t>
        </is>
      </c>
      <c r="R71" s="97" t="inlineStr">
        <is>
          <t>FS020036994-003</t>
        </is>
      </c>
      <c r="S71" s="73" t="inlineStr">
        <is>
          <t>01.2</t>
        </is>
      </c>
      <c r="U71" s="64" t="n"/>
      <c r="W71" s="64" t="n"/>
    </row>
    <row r="72" outlineLevel="1" ht="30" customHeight="1" s="462">
      <c r="A72" s="316" t="inlineStr">
        <is>
          <t>Functional schematics T4</t>
        </is>
      </c>
      <c r="B72" s="316" t="inlineStr">
        <is>
          <t>FS_T4</t>
        </is>
      </c>
      <c r="C72" s="63" t="inlineStr">
        <is>
          <t>pdf</t>
        </is>
      </c>
      <c r="D72" s="63" t="inlineStr">
        <is>
          <t>3ECP502131-0001</t>
        </is>
      </c>
      <c r="E72" s="79" t="inlineStr">
        <is>
          <t>J</t>
        </is>
      </c>
      <c r="F72" s="64" t="n"/>
      <c r="G72" s="63" t="inlineStr">
        <is>
          <t>3ECP307211-0004</t>
        </is>
      </c>
      <c r="H72" s="10" t="inlineStr">
        <is>
          <t>D</t>
        </is>
      </c>
      <c r="I72" s="64" t="n"/>
      <c r="J72" s="63" t="inlineStr">
        <is>
          <t>3ECP307158-0001</t>
        </is>
      </c>
      <c r="K72" s="10" t="inlineStr">
        <is>
          <t>C</t>
        </is>
      </c>
      <c r="L72" s="64" t="n"/>
      <c r="M72" s="63" t="inlineStr">
        <is>
          <t>3ECP307251-0004</t>
        </is>
      </c>
      <c r="N72" s="79" t="inlineStr">
        <is>
          <t>G</t>
        </is>
      </c>
      <c r="O72" s="64" t="n"/>
      <c r="P72" s="10" t="inlineStr">
        <is>
          <t>FS020022117-004</t>
        </is>
      </c>
      <c r="Q72" s="79" t="inlineStr">
        <is>
          <t>05.2</t>
        </is>
      </c>
      <c r="R72" s="97" t="inlineStr">
        <is>
          <t>FS020036994-004</t>
        </is>
      </c>
      <c r="S72" s="73" t="inlineStr">
        <is>
          <t>01.2</t>
        </is>
      </c>
      <c r="U72" s="64" t="n"/>
      <c r="W72" s="64" t="n"/>
    </row>
    <row r="73" outlineLevel="1" ht="30" customHeight="1" s="462">
      <c r="A73" s="316" t="inlineStr">
        <is>
          <t>Functional schematics T5</t>
        </is>
      </c>
      <c r="B73" s="316" t="inlineStr">
        <is>
          <t>FS_T5</t>
        </is>
      </c>
      <c r="C73" s="63" t="inlineStr">
        <is>
          <t>pdf</t>
        </is>
      </c>
      <c r="D73" s="63" t="inlineStr">
        <is>
          <t>3ECP502132-0001</t>
        </is>
      </c>
      <c r="E73" s="79" t="inlineStr">
        <is>
          <t>J</t>
        </is>
      </c>
      <c r="F73" s="64" t="n"/>
      <c r="G73" s="63" t="inlineStr">
        <is>
          <t>3ECP307211-0005</t>
        </is>
      </c>
      <c r="H73" s="10" t="inlineStr">
        <is>
          <t>D</t>
        </is>
      </c>
      <c r="I73" s="64" t="n"/>
      <c r="J73" s="63" t="inlineStr">
        <is>
          <t>3ECP307159-0001</t>
        </is>
      </c>
      <c r="K73" s="10" t="inlineStr">
        <is>
          <t>C</t>
        </is>
      </c>
      <c r="L73" s="64" t="n"/>
      <c r="M73" s="63" t="inlineStr">
        <is>
          <t>3ECP307251-0005</t>
        </is>
      </c>
      <c r="N73" s="79" t="inlineStr">
        <is>
          <t>G</t>
        </is>
      </c>
      <c r="O73" s="64" t="n"/>
      <c r="P73" s="10" t="inlineStr">
        <is>
          <t>FS020022117-005</t>
        </is>
      </c>
      <c r="Q73" s="79" t="inlineStr">
        <is>
          <t>05.2</t>
        </is>
      </c>
      <c r="R73" s="97" t="inlineStr">
        <is>
          <t>FS020036994-005</t>
        </is>
      </c>
      <c r="S73" s="73" t="inlineStr">
        <is>
          <t>01.2</t>
        </is>
      </c>
      <c r="U73" s="64" t="n"/>
      <c r="W73" s="64" t="n"/>
    </row>
    <row r="74" outlineLevel="1" ht="30" customHeight="1" s="462">
      <c r="A74" s="316" t="inlineStr">
        <is>
          <t>Functional schematics M6</t>
        </is>
      </c>
      <c r="B74" s="316" t="inlineStr">
        <is>
          <t>FS_M6</t>
        </is>
      </c>
      <c r="C74" s="63" t="inlineStr">
        <is>
          <t>pdf</t>
        </is>
      </c>
      <c r="D74" s="63" t="inlineStr">
        <is>
          <t>3ECP502133-0001</t>
        </is>
      </c>
      <c r="E74" s="79" t="inlineStr">
        <is>
          <t>J</t>
        </is>
      </c>
      <c r="F74" s="64" t="n"/>
      <c r="G74" s="63" t="inlineStr">
        <is>
          <t>3ECP307211-0006</t>
        </is>
      </c>
      <c r="H74" s="10" t="inlineStr">
        <is>
          <t>D</t>
        </is>
      </c>
      <c r="I74" s="64" t="n"/>
      <c r="J74" s="63" t="inlineStr">
        <is>
          <t>3ECP307160-0001</t>
        </is>
      </c>
      <c r="K74" s="10" t="inlineStr">
        <is>
          <t>C</t>
        </is>
      </c>
      <c r="L74" s="64" t="n"/>
      <c r="M74" s="63" t="inlineStr">
        <is>
          <t>3ECP307251-0006</t>
        </is>
      </c>
      <c r="N74" s="79" t="inlineStr">
        <is>
          <t>G</t>
        </is>
      </c>
      <c r="O74" s="64" t="n"/>
      <c r="P74" s="10" t="inlineStr">
        <is>
          <t>FS020022117-006</t>
        </is>
      </c>
      <c r="Q74" s="79" t="inlineStr">
        <is>
          <t>05.2</t>
        </is>
      </c>
      <c r="R74" s="97" t="inlineStr">
        <is>
          <t>FS020036994-006</t>
        </is>
      </c>
      <c r="S74" s="73" t="inlineStr">
        <is>
          <t>01.2</t>
        </is>
      </c>
      <c r="U74" s="64" t="n"/>
      <c r="W74" s="64" t="n"/>
    </row>
    <row r="75" outlineLevel="1" ht="30" customHeight="1" s="462">
      <c r="A75" s="316" t="inlineStr">
        <is>
          <t>Functional schematics TT7</t>
        </is>
      </c>
      <c r="B75" s="316" t="inlineStr">
        <is>
          <t>FS_TT7</t>
        </is>
      </c>
      <c r="C75" s="63" t="inlineStr">
        <is>
          <t>pdf</t>
        </is>
      </c>
      <c r="D75" s="63" t="inlineStr">
        <is>
          <t>3ECP502134-0001</t>
        </is>
      </c>
      <c r="E75" s="79" t="inlineStr">
        <is>
          <t>J</t>
        </is>
      </c>
      <c r="F75" s="64" t="n"/>
      <c r="G75" s="63" t="inlineStr">
        <is>
          <t>3ECP307211-0007</t>
        </is>
      </c>
      <c r="H75" s="10" t="inlineStr">
        <is>
          <t>C</t>
        </is>
      </c>
      <c r="I75" s="64" t="n"/>
      <c r="J75" s="63" t="inlineStr">
        <is>
          <t>3ECP307060-0001</t>
        </is>
      </c>
      <c r="K75" s="10" t="inlineStr">
        <is>
          <t>D</t>
        </is>
      </c>
      <c r="L75" s="64" t="n"/>
      <c r="M75" s="63" t="inlineStr">
        <is>
          <t>3ECP307251-0007</t>
        </is>
      </c>
      <c r="N75" s="79" t="inlineStr">
        <is>
          <t>G</t>
        </is>
      </c>
      <c r="O75" s="64" t="n"/>
      <c r="P75" s="10" t="inlineStr">
        <is>
          <t>FS020022117-007</t>
        </is>
      </c>
      <c r="Q75" s="79" t="inlineStr">
        <is>
          <t>05.2</t>
        </is>
      </c>
      <c r="R75" s="97" t="inlineStr">
        <is>
          <t>FS020036994-007</t>
        </is>
      </c>
      <c r="S75" s="73" t="inlineStr">
        <is>
          <t>01.2</t>
        </is>
      </c>
      <c r="U75" s="64" t="n"/>
      <c r="W75" s="64" t="n"/>
    </row>
    <row r="76" outlineLevel="1" ht="30" customHeight="1" s="462">
      <c r="A76" s="316" t="inlineStr">
        <is>
          <t>Functional schematics DM8</t>
        </is>
      </c>
      <c r="B76" s="316" t="inlineStr">
        <is>
          <t>FS_DM8</t>
        </is>
      </c>
      <c r="C76" s="63" t="inlineStr">
        <is>
          <t>pdf</t>
        </is>
      </c>
      <c r="D76" s="63" t="inlineStr">
        <is>
          <t>3ECP502135-0001</t>
        </is>
      </c>
      <c r="E76" s="10" t="inlineStr">
        <is>
          <t>N</t>
        </is>
      </c>
      <c r="F76" s="64" t="n"/>
      <c r="G76" s="63" t="inlineStr">
        <is>
          <t>3ECP307211-1408</t>
        </is>
      </c>
      <c r="H76" s="79" t="inlineStr">
        <is>
          <t>C</t>
        </is>
      </c>
      <c r="I76" s="64" t="n"/>
      <c r="J76" s="63" t="inlineStr">
        <is>
          <t>3ECP307052-0001</t>
        </is>
      </c>
      <c r="K76" s="10" t="inlineStr">
        <is>
          <t>G</t>
        </is>
      </c>
      <c r="L76" s="64" t="n"/>
      <c r="M76" s="63" t="inlineStr">
        <is>
          <t>3ECP307251-0008</t>
        </is>
      </c>
      <c r="N76" s="79" t="inlineStr">
        <is>
          <t>G</t>
        </is>
      </c>
      <c r="O76" s="64" t="n"/>
      <c r="P76" s="10" t="inlineStr">
        <is>
          <t>FS020022117-008</t>
        </is>
      </c>
      <c r="Q76" s="79" t="inlineStr">
        <is>
          <t>05.2</t>
        </is>
      </c>
      <c r="R76" s="97" t="inlineStr">
        <is>
          <t>FS020036994-008</t>
        </is>
      </c>
      <c r="S76" s="73" t="inlineStr">
        <is>
          <t>01.2</t>
        </is>
      </c>
      <c r="U76" s="64" t="n"/>
      <c r="W76" s="64" t="n"/>
    </row>
    <row r="77" ht="30" customHeight="1" s="462">
      <c r="A77" s="317" t="inlineStr">
        <is>
          <t>Wiring table</t>
        </is>
      </c>
      <c r="B77" s="317" t="n"/>
      <c r="C77" s="113" t="n"/>
      <c r="D77" s="224" t="n"/>
      <c r="E77" s="223" t="n"/>
      <c r="F77" s="69" t="n"/>
      <c r="G77" s="68" t="n"/>
      <c r="H77" s="223" t="n"/>
      <c r="I77" s="69" t="n"/>
      <c r="J77" s="68" t="n"/>
      <c r="K77" s="223" t="n"/>
      <c r="L77" s="69" t="n"/>
      <c r="M77" s="68" t="n"/>
      <c r="N77" s="223" t="n"/>
      <c r="O77" s="69" t="n"/>
      <c r="P77" s="223" t="inlineStr">
        <is>
          <t>FS020022117-009</t>
        </is>
      </c>
      <c r="Q77" s="225" t="inlineStr">
        <is>
          <t>05.2</t>
        </is>
      </c>
      <c r="R77" s="224" t="inlineStr">
        <is>
          <t>FS020036994-009</t>
        </is>
      </c>
      <c r="S77" s="226" t="inlineStr">
        <is>
          <t>01.2</t>
        </is>
      </c>
      <c r="T77" s="223" t="n"/>
      <c r="U77" s="69" t="n"/>
      <c r="V77" s="223" t="n"/>
      <c r="W77" s="69" t="n"/>
    </row>
    <row r="78" outlineLevel="1" s="462">
      <c r="A78" s="316" t="inlineStr">
        <is>
          <t>Wiring table DM1</t>
        </is>
      </c>
      <c r="B78" s="316" t="inlineStr">
        <is>
          <t>WT_DM1</t>
        </is>
      </c>
      <c r="C78" s="92" t="inlineStr">
        <is>
          <t>TBD</t>
        </is>
      </c>
      <c r="D78" s="63" t="inlineStr">
        <is>
          <t>3ECP502136-0001</t>
        </is>
      </c>
      <c r="E78" s="10" t="inlineStr">
        <is>
          <t>M</t>
        </is>
      </c>
      <c r="F78" s="71" t="n"/>
      <c r="G78" s="63" t="inlineStr">
        <is>
          <t>3ECP307212-1401</t>
        </is>
      </c>
      <c r="H78" s="79" t="inlineStr">
        <is>
          <t>B</t>
        </is>
      </c>
      <c r="I78" s="64" t="n"/>
      <c r="J78" s="63" t="inlineStr">
        <is>
          <t>3ECP307053-0001</t>
        </is>
      </c>
      <c r="K78" s="10" t="inlineStr">
        <is>
          <t>E</t>
        </is>
      </c>
      <c r="L78" s="64" t="n"/>
      <c r="M78" s="63" t="inlineStr">
        <is>
          <t>3ECP307252-0001</t>
        </is>
      </c>
      <c r="N78" s="79" t="inlineStr">
        <is>
          <t>G</t>
        </is>
      </c>
      <c r="O78" s="64" t="n"/>
      <c r="R78" s="63" t="n"/>
      <c r="S78" s="64" t="n"/>
      <c r="U78" s="64" t="n"/>
      <c r="W78" s="64" t="n"/>
    </row>
    <row r="79" outlineLevel="1" s="462">
      <c r="A79" s="316" t="inlineStr">
        <is>
          <t>Wiring table TT2</t>
        </is>
      </c>
      <c r="B79" s="316" t="inlineStr">
        <is>
          <t>WT_TT2</t>
        </is>
      </c>
      <c r="C79" s="92" t="inlineStr">
        <is>
          <t>TBD</t>
        </is>
      </c>
      <c r="D79" s="63" t="inlineStr">
        <is>
          <t>3ECP502137-0001</t>
        </is>
      </c>
      <c r="E79" s="79" t="inlineStr">
        <is>
          <t>J</t>
        </is>
      </c>
      <c r="F79" s="71" t="n"/>
      <c r="G79" s="63" t="inlineStr">
        <is>
          <t>3ECP307212-0002</t>
        </is>
      </c>
      <c r="H79" s="79" t="inlineStr">
        <is>
          <t>D</t>
        </is>
      </c>
      <c r="I79" s="64" t="n"/>
      <c r="J79" s="63" t="inlineStr">
        <is>
          <t>3ECP307061-0001</t>
        </is>
      </c>
      <c r="K79" s="10" t="inlineStr">
        <is>
          <t>D</t>
        </is>
      </c>
      <c r="L79" s="64" t="n"/>
      <c r="M79" s="63" t="inlineStr">
        <is>
          <t>3ECP307252-0002</t>
        </is>
      </c>
      <c r="N79" s="79" t="inlineStr">
        <is>
          <t>G</t>
        </is>
      </c>
      <c r="O79" s="64" t="n"/>
      <c r="R79" s="63" t="n"/>
      <c r="S79" s="64" t="n"/>
      <c r="U79" s="64" t="n"/>
      <c r="W79" s="64" t="n"/>
    </row>
    <row r="80" outlineLevel="1" s="462">
      <c r="A80" s="316" t="inlineStr">
        <is>
          <t>Wiring table M3</t>
        </is>
      </c>
      <c r="B80" s="316" t="inlineStr">
        <is>
          <t>WT_M3</t>
        </is>
      </c>
      <c r="C80" s="92" t="inlineStr">
        <is>
          <t>TBD</t>
        </is>
      </c>
      <c r="D80" s="63" t="inlineStr">
        <is>
          <t>3ECP502138-0001</t>
        </is>
      </c>
      <c r="E80" s="79" t="inlineStr">
        <is>
          <t>J</t>
        </is>
      </c>
      <c r="F80" s="71" t="n"/>
      <c r="G80" s="63" t="inlineStr">
        <is>
          <t>3ECP307212-0003</t>
        </is>
      </c>
      <c r="H80" s="79" t="inlineStr">
        <is>
          <t>D</t>
        </is>
      </c>
      <c r="I80" s="64" t="n"/>
      <c r="J80" s="63" t="inlineStr">
        <is>
          <t>3ECP307153-0001</t>
        </is>
      </c>
      <c r="K80" s="10" t="inlineStr">
        <is>
          <t>C</t>
        </is>
      </c>
      <c r="L80" s="64" t="n"/>
      <c r="M80" s="63" t="inlineStr">
        <is>
          <t>3ECP307252-0003</t>
        </is>
      </c>
      <c r="N80" s="79" t="inlineStr">
        <is>
          <t>G</t>
        </is>
      </c>
      <c r="O80" s="64" t="n"/>
      <c r="R80" s="63" t="n"/>
      <c r="S80" s="64" t="n"/>
      <c r="U80" s="64" t="n"/>
      <c r="W80" s="64" t="n"/>
    </row>
    <row r="81" outlineLevel="1" s="462">
      <c r="A81" s="316" t="inlineStr">
        <is>
          <t>Wiring table T4</t>
        </is>
      </c>
      <c r="B81" s="316" t="inlineStr">
        <is>
          <t>WT_T4</t>
        </is>
      </c>
      <c r="C81" s="92" t="inlineStr">
        <is>
          <t>TBD</t>
        </is>
      </c>
      <c r="D81" s="63" t="inlineStr">
        <is>
          <t>3ECP502139-0001</t>
        </is>
      </c>
      <c r="E81" s="79" t="inlineStr">
        <is>
          <t>J</t>
        </is>
      </c>
      <c r="F81" s="71" t="n"/>
      <c r="G81" s="63" t="inlineStr">
        <is>
          <t>3ECP307212-0004</t>
        </is>
      </c>
      <c r="H81" s="79" t="inlineStr">
        <is>
          <t>D</t>
        </is>
      </c>
      <c r="I81" s="64" t="n"/>
      <c r="J81" s="63" t="inlineStr">
        <is>
          <t>3ECP307154-0001</t>
        </is>
      </c>
      <c r="K81" s="10" t="inlineStr">
        <is>
          <t>C</t>
        </is>
      </c>
      <c r="L81" s="64" t="n"/>
      <c r="M81" s="63" t="inlineStr">
        <is>
          <t>3ECP307252-0004</t>
        </is>
      </c>
      <c r="N81" s="79" t="inlineStr">
        <is>
          <t>G</t>
        </is>
      </c>
      <c r="O81" s="64" t="n"/>
      <c r="R81" s="63" t="n"/>
      <c r="S81" s="64" t="n"/>
      <c r="U81" s="64" t="n"/>
      <c r="W81" s="64" t="n"/>
    </row>
    <row r="82" outlineLevel="1" s="462">
      <c r="A82" s="316" t="inlineStr">
        <is>
          <t>Wiring table T5</t>
        </is>
      </c>
      <c r="B82" s="316" t="inlineStr">
        <is>
          <t>WT_T5</t>
        </is>
      </c>
      <c r="C82" s="92" t="inlineStr">
        <is>
          <t>TBD</t>
        </is>
      </c>
      <c r="D82" s="63" t="inlineStr">
        <is>
          <t>3ECP502140-0001</t>
        </is>
      </c>
      <c r="E82" s="79" t="inlineStr">
        <is>
          <t>J</t>
        </is>
      </c>
      <c r="F82" s="71" t="n"/>
      <c r="G82" s="63" t="inlineStr">
        <is>
          <t>3ECP307212-0005</t>
        </is>
      </c>
      <c r="H82" s="79" t="inlineStr">
        <is>
          <t>D</t>
        </is>
      </c>
      <c r="I82" s="64" t="n"/>
      <c r="J82" s="63" t="inlineStr">
        <is>
          <t>3ECP307155-0001</t>
        </is>
      </c>
      <c r="K82" s="10" t="inlineStr">
        <is>
          <t>C</t>
        </is>
      </c>
      <c r="L82" s="64" t="n"/>
      <c r="M82" s="63" t="inlineStr">
        <is>
          <t>3ECP307252-0005</t>
        </is>
      </c>
      <c r="N82" s="79" t="inlineStr">
        <is>
          <t>G</t>
        </is>
      </c>
      <c r="O82" s="64" t="n"/>
      <c r="R82" s="63" t="n"/>
      <c r="S82" s="64" t="n"/>
      <c r="U82" s="64" t="n"/>
      <c r="W82" s="64" t="n"/>
    </row>
    <row r="83" outlineLevel="1" s="462">
      <c r="A83" s="316" t="inlineStr">
        <is>
          <t>Wiring table M6</t>
        </is>
      </c>
      <c r="B83" s="316" t="inlineStr">
        <is>
          <t>WT_M6</t>
        </is>
      </c>
      <c r="C83" s="92" t="inlineStr">
        <is>
          <t>TBD</t>
        </is>
      </c>
      <c r="D83" s="63" t="inlineStr">
        <is>
          <t>3ECP502141-0001</t>
        </is>
      </c>
      <c r="E83" s="79" t="inlineStr">
        <is>
          <t>J</t>
        </is>
      </c>
      <c r="F83" s="71" t="n"/>
      <c r="G83" s="63" t="inlineStr">
        <is>
          <t>3ECP307212-0006</t>
        </is>
      </c>
      <c r="H83" s="79" t="inlineStr">
        <is>
          <t>D</t>
        </is>
      </c>
      <c r="I83" s="64" t="n"/>
      <c r="J83" s="63" t="inlineStr">
        <is>
          <t>3ECP307156-0001</t>
        </is>
      </c>
      <c r="K83" s="10" t="inlineStr">
        <is>
          <t>C</t>
        </is>
      </c>
      <c r="L83" s="64" t="n"/>
      <c r="M83" s="63" t="inlineStr">
        <is>
          <t>3ECP307252-0006</t>
        </is>
      </c>
      <c r="N83" s="79" t="inlineStr">
        <is>
          <t>G</t>
        </is>
      </c>
      <c r="O83" s="64" t="n"/>
      <c r="R83" s="63" t="n"/>
      <c r="S83" s="64" t="n"/>
      <c r="U83" s="64" t="n"/>
      <c r="W83" s="64" t="n"/>
    </row>
    <row r="84" outlineLevel="1" s="462">
      <c r="A84" s="316" t="inlineStr">
        <is>
          <t>Wiring table TT7</t>
        </is>
      </c>
      <c r="B84" s="316" t="inlineStr">
        <is>
          <t>WT_TT7</t>
        </is>
      </c>
      <c r="C84" s="92" t="inlineStr">
        <is>
          <t>TBD</t>
        </is>
      </c>
      <c r="D84" s="63" t="inlineStr">
        <is>
          <t>3ECP502142-0001</t>
        </is>
      </c>
      <c r="E84" s="79" t="inlineStr">
        <is>
          <t>J</t>
        </is>
      </c>
      <c r="F84" s="71" t="n"/>
      <c r="G84" s="63" t="inlineStr">
        <is>
          <t>3ECP307212-0007</t>
        </is>
      </c>
      <c r="H84" s="79" t="inlineStr">
        <is>
          <t>D</t>
        </is>
      </c>
      <c r="I84" s="64" t="n"/>
      <c r="J84" s="63" t="inlineStr">
        <is>
          <t>3ECP307062-0001</t>
        </is>
      </c>
      <c r="K84" s="10" t="inlineStr">
        <is>
          <t>D</t>
        </is>
      </c>
      <c r="L84" s="64" t="n"/>
      <c r="M84" s="63" t="inlineStr">
        <is>
          <t>3ECP307252-0007</t>
        </is>
      </c>
      <c r="N84" s="79" t="inlineStr">
        <is>
          <t>G</t>
        </is>
      </c>
      <c r="O84" s="64" t="n"/>
      <c r="R84" s="63" t="n"/>
      <c r="S84" s="64" t="n"/>
      <c r="U84" s="64" t="n"/>
      <c r="W84" s="64" t="n"/>
    </row>
    <row r="85" outlineLevel="1" s="462">
      <c r="A85" s="316" t="inlineStr">
        <is>
          <t>Wiring table DM8</t>
        </is>
      </c>
      <c r="B85" s="316" t="inlineStr">
        <is>
          <t>WT_DM8</t>
        </is>
      </c>
      <c r="C85" s="92" t="inlineStr">
        <is>
          <t>TBD</t>
        </is>
      </c>
      <c r="D85" s="63" t="inlineStr">
        <is>
          <t>3ECP502143-0001</t>
        </is>
      </c>
      <c r="E85" s="10" t="inlineStr">
        <is>
          <t>N</t>
        </is>
      </c>
      <c r="F85" s="71" t="n"/>
      <c r="G85" s="63" t="inlineStr">
        <is>
          <t>3ECP307212-1408</t>
        </is>
      </c>
      <c r="H85" s="79" t="inlineStr">
        <is>
          <t>C</t>
        </is>
      </c>
      <c r="I85" s="64" t="n"/>
      <c r="J85" s="63" t="inlineStr">
        <is>
          <t>3ECP307054-0001</t>
        </is>
      </c>
      <c r="K85" s="10" t="inlineStr">
        <is>
          <t>G</t>
        </is>
      </c>
      <c r="L85" s="64" t="n"/>
      <c r="M85" s="63" t="inlineStr">
        <is>
          <t>3ECP307252-0008</t>
        </is>
      </c>
      <c r="N85" s="79" t="inlineStr">
        <is>
          <t>G</t>
        </is>
      </c>
      <c r="O85" s="64" t="n"/>
      <c r="R85" s="63" t="n"/>
      <c r="S85" s="64" t="n"/>
      <c r="U85" s="64" t="n"/>
      <c r="W85" s="64" t="n"/>
    </row>
    <row r="86">
      <c r="A86" s="317" t="inlineStr">
        <is>
          <t>Electric Part lists</t>
        </is>
      </c>
      <c r="B86" s="317" t="n"/>
      <c r="C86" s="113" t="n"/>
      <c r="D86" s="224" t="n"/>
      <c r="E86" s="223" t="n"/>
      <c r="F86" s="69" t="n"/>
      <c r="G86" s="68" t="n"/>
      <c r="H86" s="223" t="n"/>
      <c r="I86" s="69" t="n"/>
      <c r="J86" s="68" t="n"/>
      <c r="K86" s="223" t="n"/>
      <c r="L86" s="69" t="n"/>
      <c r="M86" s="68" t="n"/>
      <c r="N86" s="223" t="n"/>
      <c r="O86" s="69" t="n"/>
      <c r="P86" s="223" t="n"/>
      <c r="Q86" s="223" t="n"/>
      <c r="R86" s="68" t="n"/>
      <c r="S86" s="69" t="n"/>
      <c r="T86" s="223" t="n"/>
      <c r="U86" s="69" t="n"/>
      <c r="V86" s="223" t="n"/>
      <c r="W86" s="69" t="n"/>
    </row>
    <row r="87" outlineLevel="1" s="462">
      <c r="A87" s="316" t="inlineStr">
        <is>
          <t>Electric Part List DM1</t>
        </is>
      </c>
      <c r="B87" s="316" t="inlineStr">
        <is>
          <t>EPL_DM1</t>
        </is>
      </c>
      <c r="C87" s="92" t="inlineStr">
        <is>
          <t>TBD</t>
        </is>
      </c>
      <c r="D87" s="63" t="inlineStr">
        <is>
          <t>3ECP502144-0001</t>
        </is>
      </c>
      <c r="E87" s="10" t="inlineStr">
        <is>
          <t>M</t>
        </is>
      </c>
      <c r="F87" s="71" t="n"/>
      <c r="G87" s="63" t="inlineStr">
        <is>
          <t>3ECP307213-1401</t>
        </is>
      </c>
      <c r="H87" s="79" t="inlineStr">
        <is>
          <t>C</t>
        </is>
      </c>
      <c r="I87" s="64" t="n"/>
      <c r="J87" s="63" t="inlineStr">
        <is>
          <t>3ECP307055-0001</t>
        </is>
      </c>
      <c r="K87" s="10" t="inlineStr">
        <is>
          <t>E</t>
        </is>
      </c>
      <c r="L87" s="64" t="n"/>
      <c r="M87" s="63" t="inlineStr">
        <is>
          <t>3ECP307253-0001</t>
        </is>
      </c>
      <c r="N87" s="79" t="inlineStr">
        <is>
          <t>G</t>
        </is>
      </c>
      <c r="O87" s="64" t="n"/>
      <c r="R87" s="63" t="n"/>
      <c r="S87" s="64" t="n"/>
      <c r="U87" s="64" t="n"/>
      <c r="W87" s="64" t="n"/>
    </row>
    <row r="88" outlineLevel="1" s="462">
      <c r="A88" s="316" t="inlineStr">
        <is>
          <t>Electric Part List TT2</t>
        </is>
      </c>
      <c r="B88" s="316" t="inlineStr">
        <is>
          <t>EPL_TT2</t>
        </is>
      </c>
      <c r="C88" s="92" t="inlineStr">
        <is>
          <t>TBD</t>
        </is>
      </c>
      <c r="D88" s="63" t="inlineStr">
        <is>
          <t>3ECP502145-0001</t>
        </is>
      </c>
      <c r="E88" s="79" t="inlineStr">
        <is>
          <t>J</t>
        </is>
      </c>
      <c r="F88" s="71" t="n"/>
      <c r="G88" s="63" t="inlineStr">
        <is>
          <t>3ECP307213-0002</t>
        </is>
      </c>
      <c r="H88" s="79" t="inlineStr">
        <is>
          <t>D</t>
        </is>
      </c>
      <c r="I88" s="64" t="n"/>
      <c r="J88" s="63" t="inlineStr">
        <is>
          <t>3ECP307063-0001</t>
        </is>
      </c>
      <c r="K88" s="10" t="inlineStr">
        <is>
          <t>D</t>
        </is>
      </c>
      <c r="L88" s="64" t="n"/>
      <c r="M88" s="63" t="inlineStr">
        <is>
          <t>3ECP307253-0002</t>
        </is>
      </c>
      <c r="N88" s="79" t="inlineStr">
        <is>
          <t>G</t>
        </is>
      </c>
      <c r="O88" s="64" t="n"/>
      <c r="R88" s="63" t="n"/>
      <c r="S88" s="64" t="n"/>
      <c r="U88" s="64" t="n"/>
      <c r="W88" s="64" t="n"/>
    </row>
    <row r="89" outlineLevel="1" s="462">
      <c r="A89" s="316" t="inlineStr">
        <is>
          <t>Electric Part List M3</t>
        </is>
      </c>
      <c r="B89" s="316" t="inlineStr">
        <is>
          <t>EPL_M3</t>
        </is>
      </c>
      <c r="C89" s="92" t="inlineStr">
        <is>
          <t>TBD</t>
        </is>
      </c>
      <c r="D89" s="63" t="inlineStr">
        <is>
          <t>3ECP502146-0001</t>
        </is>
      </c>
      <c r="E89" s="79" t="inlineStr">
        <is>
          <t>J</t>
        </is>
      </c>
      <c r="F89" s="71" t="n"/>
      <c r="G89" s="63" t="inlineStr">
        <is>
          <t>3ECP307213-0003</t>
        </is>
      </c>
      <c r="H89" s="79" t="inlineStr">
        <is>
          <t>D</t>
        </is>
      </c>
      <c r="I89" s="64" t="n"/>
      <c r="J89" s="63" t="inlineStr">
        <is>
          <t>3ECP307161-0001</t>
        </is>
      </c>
      <c r="K89" s="10" t="inlineStr">
        <is>
          <t>C</t>
        </is>
      </c>
      <c r="L89" s="64" t="n"/>
      <c r="M89" s="63" t="inlineStr">
        <is>
          <t>3ECP307253-0003</t>
        </is>
      </c>
      <c r="N89" s="79" t="inlineStr">
        <is>
          <t>G</t>
        </is>
      </c>
      <c r="O89" s="64" t="n"/>
      <c r="R89" s="63" t="n"/>
      <c r="S89" s="64" t="n"/>
      <c r="U89" s="64" t="n"/>
      <c r="W89" s="64" t="n"/>
    </row>
    <row r="90" outlineLevel="1" s="462">
      <c r="A90" s="316" t="inlineStr">
        <is>
          <t>Electric Part List T4</t>
        </is>
      </c>
      <c r="B90" s="316" t="inlineStr">
        <is>
          <t>EPL_T4</t>
        </is>
      </c>
      <c r="C90" s="92" t="inlineStr">
        <is>
          <t>TBD</t>
        </is>
      </c>
      <c r="D90" s="63" t="inlineStr">
        <is>
          <t>3ECP502147-0001</t>
        </is>
      </c>
      <c r="E90" s="79" t="inlineStr">
        <is>
          <t>J</t>
        </is>
      </c>
      <c r="F90" s="71" t="n"/>
      <c r="G90" s="63" t="inlineStr">
        <is>
          <t>3ECP307213-0004</t>
        </is>
      </c>
      <c r="H90" s="79" t="inlineStr">
        <is>
          <t>D</t>
        </is>
      </c>
      <c r="I90" s="64" t="n"/>
      <c r="J90" s="63" t="inlineStr">
        <is>
          <t>3ECP307162-0001</t>
        </is>
      </c>
      <c r="K90" s="10" t="inlineStr">
        <is>
          <t>C</t>
        </is>
      </c>
      <c r="L90" s="64" t="n"/>
      <c r="M90" s="63" t="inlineStr">
        <is>
          <t>3ECP307253-0004</t>
        </is>
      </c>
      <c r="N90" s="79" t="inlineStr">
        <is>
          <t>G</t>
        </is>
      </c>
      <c r="O90" s="64" t="n"/>
      <c r="R90" s="63" t="n"/>
      <c r="S90" s="64" t="n"/>
      <c r="U90" s="64" t="n"/>
      <c r="W90" s="64" t="n"/>
    </row>
    <row r="91" outlineLevel="1" s="462">
      <c r="A91" s="316" t="inlineStr">
        <is>
          <t>Electric Part List T5</t>
        </is>
      </c>
      <c r="B91" s="316" t="inlineStr">
        <is>
          <t>EPL_T5</t>
        </is>
      </c>
      <c r="C91" s="92" t="inlineStr">
        <is>
          <t>TBD</t>
        </is>
      </c>
      <c r="D91" s="63" t="inlineStr">
        <is>
          <t>3ECP502148-0001</t>
        </is>
      </c>
      <c r="E91" s="79" t="inlineStr">
        <is>
          <t>J</t>
        </is>
      </c>
      <c r="F91" s="71" t="n"/>
      <c r="G91" s="63" t="inlineStr">
        <is>
          <t>3ECP307213-0005</t>
        </is>
      </c>
      <c r="H91" s="79" t="inlineStr">
        <is>
          <t>D</t>
        </is>
      </c>
      <c r="I91" s="64" t="n"/>
      <c r="J91" s="63" t="inlineStr">
        <is>
          <t>3ECP307163-0001</t>
        </is>
      </c>
      <c r="K91" s="10" t="inlineStr">
        <is>
          <t>C</t>
        </is>
      </c>
      <c r="L91" s="64" t="n"/>
      <c r="M91" s="63" t="inlineStr">
        <is>
          <t>3ECP307253-0005</t>
        </is>
      </c>
      <c r="N91" s="79" t="inlineStr">
        <is>
          <t>G</t>
        </is>
      </c>
      <c r="O91" s="64" t="n"/>
      <c r="R91" s="63" t="n"/>
      <c r="S91" s="64" t="n"/>
      <c r="U91" s="64" t="n"/>
      <c r="W91" s="64" t="n"/>
    </row>
    <row r="92" outlineLevel="1" s="462">
      <c r="A92" s="316" t="inlineStr">
        <is>
          <t>Electric Part List M6</t>
        </is>
      </c>
      <c r="B92" s="316" t="inlineStr">
        <is>
          <t>EPL_M6</t>
        </is>
      </c>
      <c r="C92" s="92" t="inlineStr">
        <is>
          <t>TBD</t>
        </is>
      </c>
      <c r="D92" s="63" t="inlineStr">
        <is>
          <t>3ECP502149-0001</t>
        </is>
      </c>
      <c r="E92" s="79" t="inlineStr">
        <is>
          <t>J</t>
        </is>
      </c>
      <c r="F92" s="71" t="n"/>
      <c r="G92" s="63" t="inlineStr">
        <is>
          <t>3ECP307213-0006</t>
        </is>
      </c>
      <c r="H92" s="79" t="inlineStr">
        <is>
          <t>D</t>
        </is>
      </c>
      <c r="I92" s="64" t="n"/>
      <c r="J92" s="63" t="inlineStr">
        <is>
          <t>3ECP307164-0001</t>
        </is>
      </c>
      <c r="K92" s="10" t="inlineStr">
        <is>
          <t>C</t>
        </is>
      </c>
      <c r="L92" s="64" t="n"/>
      <c r="M92" s="63" t="inlineStr">
        <is>
          <t>3ECP307253-0006</t>
        </is>
      </c>
      <c r="N92" s="79" t="inlineStr">
        <is>
          <t>G</t>
        </is>
      </c>
      <c r="O92" s="64" t="n"/>
      <c r="R92" s="63" t="n"/>
      <c r="S92" s="64" t="n"/>
      <c r="U92" s="64" t="n"/>
      <c r="W92" s="64" t="n"/>
    </row>
    <row r="93" outlineLevel="1" s="462">
      <c r="A93" s="316" t="inlineStr">
        <is>
          <t>Electric Part List TT7</t>
        </is>
      </c>
      <c r="B93" s="316" t="inlineStr">
        <is>
          <t>EPL_TT7</t>
        </is>
      </c>
      <c r="C93" s="92" t="inlineStr">
        <is>
          <t>TBD</t>
        </is>
      </c>
      <c r="D93" s="63" t="inlineStr">
        <is>
          <t>3ECP502150-0001</t>
        </is>
      </c>
      <c r="E93" s="79" t="inlineStr">
        <is>
          <t>J</t>
        </is>
      </c>
      <c r="F93" s="71" t="n"/>
      <c r="G93" s="63" t="inlineStr">
        <is>
          <t>3ECP307213-0007</t>
        </is>
      </c>
      <c r="H93" s="79" t="inlineStr">
        <is>
          <t>D</t>
        </is>
      </c>
      <c r="I93" s="64" t="n"/>
      <c r="J93" s="63" t="inlineStr">
        <is>
          <t>3ECP307164-0001</t>
        </is>
      </c>
      <c r="K93" s="10" t="inlineStr">
        <is>
          <t>D</t>
        </is>
      </c>
      <c r="L93" s="64" t="n"/>
      <c r="M93" s="63" t="inlineStr">
        <is>
          <t>3ECP307253-0007</t>
        </is>
      </c>
      <c r="N93" s="79" t="inlineStr">
        <is>
          <t>G</t>
        </is>
      </c>
      <c r="O93" s="64" t="n"/>
      <c r="R93" s="63" t="n"/>
      <c r="S93" s="64" t="n"/>
      <c r="U93" s="64" t="n"/>
      <c r="W93" s="64" t="n"/>
    </row>
    <row r="94" outlineLevel="1" s="462">
      <c r="A94" s="316" t="inlineStr">
        <is>
          <t>Electric Part List DM8</t>
        </is>
      </c>
      <c r="B94" s="316" t="inlineStr">
        <is>
          <t>EPL_DM8</t>
        </is>
      </c>
      <c r="C94" s="92" t="inlineStr">
        <is>
          <t>TBD</t>
        </is>
      </c>
      <c r="D94" s="63" t="inlineStr">
        <is>
          <t>3ECP502151-0001</t>
        </is>
      </c>
      <c r="E94" s="10" t="inlineStr">
        <is>
          <t>N</t>
        </is>
      </c>
      <c r="F94" s="71" t="n"/>
      <c r="G94" s="63" t="inlineStr">
        <is>
          <t>3ECP307213-1408</t>
        </is>
      </c>
      <c r="H94" s="79" t="inlineStr">
        <is>
          <t>C</t>
        </is>
      </c>
      <c r="I94" s="64" t="n"/>
      <c r="J94" s="63" t="inlineStr">
        <is>
          <t>3ECP307056-0001</t>
        </is>
      </c>
      <c r="K94" s="10" t="inlineStr">
        <is>
          <t>G</t>
        </is>
      </c>
      <c r="L94" s="64" t="n"/>
      <c r="M94" s="63" t="inlineStr">
        <is>
          <t>3ECP307253-0008</t>
        </is>
      </c>
      <c r="N94" s="79" t="inlineStr">
        <is>
          <t>G</t>
        </is>
      </c>
      <c r="O94" s="64" t="n"/>
      <c r="R94" s="63" t="n"/>
      <c r="S94" s="64" t="n"/>
      <c r="U94" s="64" t="n"/>
      <c r="W94" s="64" t="n"/>
    </row>
    <row r="95">
      <c r="A95" s="317" t="inlineStr">
        <is>
          <t>Interface Control Document</t>
        </is>
      </c>
      <c r="B95" s="320" t="inlineStr">
        <is>
          <t>NOTA</t>
        </is>
      </c>
      <c r="C95" s="227" t="n"/>
      <c r="D95" s="228" t="n"/>
      <c r="E95" s="223" t="n"/>
      <c r="F95" s="69" t="n"/>
      <c r="G95" s="68" t="n"/>
      <c r="H95" s="223" t="n"/>
      <c r="I95" s="69" t="n"/>
      <c r="J95" s="68" t="n"/>
      <c r="K95" s="223" t="n"/>
      <c r="L95" s="69" t="n"/>
      <c r="M95" s="68" t="n"/>
      <c r="N95" s="223" t="n"/>
      <c r="O95" s="69" t="n"/>
      <c r="P95" s="223" t="n"/>
      <c r="Q95" s="223" t="n"/>
      <c r="R95" s="68" t="n"/>
      <c r="S95" s="69" t="n"/>
      <c r="T95" s="223" t="n"/>
      <c r="U95" s="69" t="n"/>
      <c r="V95" s="223" t="n"/>
      <c r="W95" s="69" t="n"/>
    </row>
    <row r="96" outlineLevel="1" ht="30" customHeight="1" s="462">
      <c r="A96" s="316" t="inlineStr">
        <is>
          <t>ICD Sistema TCMS</t>
        </is>
      </c>
      <c r="B96" s="316" t="inlineStr">
        <is>
          <t>ICD_TCMS</t>
        </is>
      </c>
      <c r="C96" s="63" t="inlineStr">
        <is>
          <t>pdf</t>
        </is>
      </c>
      <c r="D96" s="10" t="inlineStr">
        <is>
          <t>3EST000225-0120</t>
        </is>
      </c>
      <c r="E96" s="10" t="inlineStr">
        <is>
          <t>D</t>
        </is>
      </c>
      <c r="F96" s="10" t="inlineStr">
        <is>
          <t>3EST000225-0120</t>
        </is>
      </c>
      <c r="G96" s="63" t="n"/>
      <c r="I96" s="64" t="n"/>
      <c r="J96" s="63" t="n"/>
      <c r="L96" s="64" t="n"/>
      <c r="M96" s="63" t="n"/>
      <c r="O96" s="64" t="n"/>
      <c r="P96" s="78" t="inlineStr">
        <is>
          <t>EC130021271</t>
        </is>
      </c>
      <c r="Q96" s="10" t="inlineStr">
        <is>
          <t>01.2</t>
        </is>
      </c>
      <c r="R96" s="210" t="inlineStr">
        <is>
          <t>EC130021271</t>
        </is>
      </c>
      <c r="S96" s="211" t="inlineStr">
        <is>
          <t>01.2</t>
        </is>
      </c>
      <c r="U96" s="64" t="n"/>
      <c r="W96" s="64" t="n"/>
    </row>
    <row r="97" outlineLevel="1" ht="30" customHeight="1" s="462">
      <c r="A97" s="316" t="inlineStr">
        <is>
          <t>ICD Sistema TCMS - Annex</t>
        </is>
      </c>
      <c r="B97" s="316" t="n"/>
      <c r="C97" s="63" t="inlineStr">
        <is>
          <t>xslx</t>
        </is>
      </c>
      <c r="D97" s="63" t="inlineStr">
        <is>
          <t>\</t>
        </is>
      </c>
      <c r="F97" s="64" t="inlineStr">
        <is>
          <t>\</t>
        </is>
      </c>
      <c r="G97" s="63" t="n"/>
      <c r="I97" s="64" t="n"/>
      <c r="J97" s="63" t="n"/>
      <c r="L97" s="64" t="n"/>
      <c r="M97" s="63" t="n"/>
      <c r="O97" s="64" t="n"/>
      <c r="P97" s="78" t="inlineStr">
        <is>
          <t>EC130021272</t>
        </is>
      </c>
      <c r="Q97" s="10" t="inlineStr">
        <is>
          <t>03.2</t>
        </is>
      </c>
      <c r="R97" s="210" t="inlineStr">
        <is>
          <t>EC130021272</t>
        </is>
      </c>
      <c r="S97" s="211" t="inlineStr">
        <is>
          <t>03.2</t>
        </is>
      </c>
      <c r="U97" s="64" t="n"/>
      <c r="W97" s="64" t="n"/>
    </row>
    <row r="98" outlineLevel="1" ht="30" customHeight="1" s="462">
      <c r="A98" s="316" t="inlineStr">
        <is>
          <t>ICD GTW IPTCOM-TRDP</t>
        </is>
      </c>
      <c r="B98" s="316" t="inlineStr">
        <is>
          <t>ICD_GTW</t>
        </is>
      </c>
      <c r="C98" s="63" t="inlineStr">
        <is>
          <t>pdf</t>
        </is>
      </c>
      <c r="D98" s="63" t="inlineStr">
        <is>
          <t>\</t>
        </is>
      </c>
      <c r="F98" s="64" t="inlineStr">
        <is>
          <t>\</t>
        </is>
      </c>
      <c r="G98" s="63" t="n"/>
      <c r="I98" s="64" t="n"/>
      <c r="J98" s="63" t="n"/>
      <c r="L98" s="64" t="n"/>
      <c r="M98" s="63" t="n"/>
      <c r="O98" s="64" t="n"/>
      <c r="P98" s="78" t="inlineStr">
        <is>
          <t>EC130019965</t>
        </is>
      </c>
      <c r="Q98" s="10" t="inlineStr">
        <is>
          <t>03.2</t>
        </is>
      </c>
      <c r="R98" s="210" t="inlineStr">
        <is>
          <t>EC130019965</t>
        </is>
      </c>
      <c r="S98" s="211" t="inlineStr">
        <is>
          <t>03.2</t>
        </is>
      </c>
      <c r="U98" s="64" t="n"/>
      <c r="W98" s="64" t="n"/>
    </row>
    <row r="99" outlineLevel="1" ht="30" customHeight="1" s="462">
      <c r="A99" s="316" t="inlineStr">
        <is>
          <t>ICD GTW IPTCOM-TRDP - Annex</t>
        </is>
      </c>
      <c r="B99" s="316" t="n"/>
      <c r="C99" s="63" t="inlineStr">
        <is>
          <t>xslx</t>
        </is>
      </c>
      <c r="D99" s="63" t="inlineStr">
        <is>
          <t>\</t>
        </is>
      </c>
      <c r="F99" s="64" t="inlineStr">
        <is>
          <t>\</t>
        </is>
      </c>
      <c r="G99" s="63" t="n"/>
      <c r="I99" s="64" t="n"/>
      <c r="J99" s="63" t="n"/>
      <c r="L99" s="64" t="n"/>
      <c r="M99" s="63" t="n"/>
      <c r="O99" s="64" t="n"/>
      <c r="P99" s="78" t="inlineStr">
        <is>
          <t>EC130019966</t>
        </is>
      </c>
      <c r="Q99" s="10" t="inlineStr">
        <is>
          <t>01.2</t>
        </is>
      </c>
      <c r="R99" s="210" t="inlineStr">
        <is>
          <t>EC130019966</t>
        </is>
      </c>
      <c r="S99" s="211" t="inlineStr">
        <is>
          <t>01.2</t>
        </is>
      </c>
      <c r="U99" s="64" t="n"/>
      <c r="W99" s="64" t="n"/>
    </row>
    <row r="100" outlineLevel="1" ht="30" customHeight="1" s="462">
      <c r="A100" s="316" t="inlineStr">
        <is>
          <t>ICD Sistema Propulsion TCU</t>
        </is>
      </c>
      <c r="B100" s="316" t="inlineStr">
        <is>
          <t>ICD_Propulsion</t>
        </is>
      </c>
      <c r="C100" s="63" t="inlineStr">
        <is>
          <t>pdf</t>
        </is>
      </c>
      <c r="D100" s="63" t="inlineStr">
        <is>
          <t>3EST000225-5108</t>
        </is>
      </c>
      <c r="E100" s="10" t="inlineStr">
        <is>
          <t>E</t>
        </is>
      </c>
      <c r="F100" s="64" t="inlineStr">
        <is>
          <t>\</t>
        </is>
      </c>
      <c r="G100" s="63" t="n"/>
      <c r="I100" s="64" t="n"/>
      <c r="J100" s="63" t="n"/>
      <c r="L100" s="64" t="n"/>
      <c r="M100" s="63" t="n"/>
      <c r="O100" s="64" t="n"/>
      <c r="P100" s="78" t="inlineStr">
        <is>
          <t>EC130019102</t>
        </is>
      </c>
      <c r="Q100" s="10" t="inlineStr">
        <is>
          <t>02.2</t>
        </is>
      </c>
      <c r="R100" s="210" t="inlineStr">
        <is>
          <t>EC130019102</t>
        </is>
      </c>
      <c r="S100" s="211" t="inlineStr">
        <is>
          <t>02.2</t>
        </is>
      </c>
      <c r="U100" s="64" t="n"/>
      <c r="W100" s="64" t="n"/>
    </row>
    <row r="101" outlineLevel="1" ht="30" customHeight="1" s="462">
      <c r="A101" s="316" t="inlineStr">
        <is>
          <t>ICD Sistema Propulsion TCU - Annex</t>
        </is>
      </c>
      <c r="B101" s="316" t="n"/>
      <c r="C101" s="63" t="inlineStr">
        <is>
          <t>xslx</t>
        </is>
      </c>
      <c r="D101" s="63" t="inlineStr">
        <is>
          <t>\</t>
        </is>
      </c>
      <c r="F101" s="64" t="inlineStr">
        <is>
          <t>\</t>
        </is>
      </c>
      <c r="G101" s="63" t="n"/>
      <c r="I101" s="64" t="n"/>
      <c r="J101" s="63" t="n"/>
      <c r="L101" s="64" t="n"/>
      <c r="M101" s="63" t="n"/>
      <c r="O101" s="64" t="n"/>
      <c r="P101" s="78" t="inlineStr">
        <is>
          <t>EC130019104</t>
        </is>
      </c>
      <c r="Q101" s="10" t="inlineStr">
        <is>
          <t>05.2</t>
        </is>
      </c>
      <c r="R101" s="210" t="inlineStr">
        <is>
          <t>EC130019104</t>
        </is>
      </c>
      <c r="S101" s="211" t="inlineStr">
        <is>
          <t>05.2</t>
        </is>
      </c>
      <c r="U101" s="64" t="n"/>
      <c r="W101" s="64" t="n"/>
    </row>
    <row r="102" outlineLevel="1" ht="30" customHeight="1" s="462">
      <c r="A102" s="316" t="inlineStr">
        <is>
          <t>ICD Pantografo</t>
        </is>
      </c>
      <c r="B102" s="316" t="inlineStr">
        <is>
          <t>ICD_Panto</t>
        </is>
      </c>
      <c r="C102" s="63" t="inlineStr">
        <is>
          <t>pdf</t>
        </is>
      </c>
      <c r="D102" s="63" t="inlineStr">
        <is>
          <t>3EST000225-7432</t>
        </is>
      </c>
      <c r="E102" s="10" t="inlineStr">
        <is>
          <t>C</t>
        </is>
      </c>
      <c r="F102" s="64" t="inlineStr">
        <is>
          <t>\</t>
        </is>
      </c>
      <c r="G102" s="63" t="n"/>
      <c r="I102" s="64" t="n"/>
      <c r="J102" s="63" t="n"/>
      <c r="L102" s="64" t="n"/>
      <c r="M102" s="63" t="n"/>
      <c r="O102" s="64" t="n"/>
      <c r="P102" s="78" t="inlineStr">
        <is>
          <t>EC130021259</t>
        </is>
      </c>
      <c r="Q102" s="10" t="inlineStr">
        <is>
          <t>00.3</t>
        </is>
      </c>
      <c r="R102" s="210" t="inlineStr">
        <is>
          <t>EC130021259</t>
        </is>
      </c>
      <c r="S102" s="211" t="inlineStr">
        <is>
          <t>00.3</t>
        </is>
      </c>
      <c r="U102" s="64" t="n"/>
      <c r="W102" s="64" t="n"/>
    </row>
    <row r="103" outlineLevel="1" ht="30" customHeight="1" s="462">
      <c r="A103" s="316" t="inlineStr">
        <is>
          <t>ICD Pantografo - Annex</t>
        </is>
      </c>
      <c r="B103" s="316" t="n"/>
      <c r="C103" s="63" t="inlineStr">
        <is>
          <t>xslx</t>
        </is>
      </c>
      <c r="D103" s="63" t="inlineStr">
        <is>
          <t>\</t>
        </is>
      </c>
      <c r="F103" s="64" t="inlineStr">
        <is>
          <t>\</t>
        </is>
      </c>
      <c r="G103" s="63" t="n"/>
      <c r="I103" s="64" t="n"/>
      <c r="J103" s="63" t="n"/>
      <c r="L103" s="64" t="n"/>
      <c r="M103" s="63" t="n"/>
      <c r="O103" s="64" t="n"/>
      <c r="P103" s="78" t="inlineStr">
        <is>
          <t>EC130021260</t>
        </is>
      </c>
      <c r="Q103" s="10" t="inlineStr">
        <is>
          <t>03.2</t>
        </is>
      </c>
      <c r="R103" s="210" t="inlineStr">
        <is>
          <t>EC130021260</t>
        </is>
      </c>
      <c r="S103" s="211" t="inlineStr">
        <is>
          <t>03.2</t>
        </is>
      </c>
      <c r="U103" s="64" t="n"/>
      <c r="W103" s="64" t="n"/>
    </row>
    <row r="104" outlineLevel="1" ht="30" customHeight="1" s="462">
      <c r="A104" s="316" t="inlineStr">
        <is>
          <t>ICD Sistema BCU</t>
        </is>
      </c>
      <c r="B104" s="316" t="inlineStr">
        <is>
          <t>ICD_Brake</t>
        </is>
      </c>
      <c r="C104" s="63" t="inlineStr">
        <is>
          <t>pdf</t>
        </is>
      </c>
      <c r="D104" s="63" t="inlineStr">
        <is>
          <t>3EST000225-7431</t>
        </is>
      </c>
      <c r="E104" s="10" t="inlineStr">
        <is>
          <t>D</t>
        </is>
      </c>
      <c r="F104" s="64" t="inlineStr">
        <is>
          <t>\</t>
        </is>
      </c>
      <c r="G104" s="63" t="n"/>
      <c r="I104" s="64" t="n"/>
      <c r="J104" s="63" t="n"/>
      <c r="L104" s="64" t="n"/>
      <c r="M104" s="63" t="n"/>
      <c r="O104" s="64" t="n"/>
      <c r="P104" s="78" t="inlineStr">
        <is>
          <t>EC130019100</t>
        </is>
      </c>
      <c r="Q104" s="10" t="inlineStr">
        <is>
          <t>02.2</t>
        </is>
      </c>
      <c r="R104" s="210" t="inlineStr">
        <is>
          <t>EC130019100</t>
        </is>
      </c>
      <c r="S104" s="211" t="inlineStr">
        <is>
          <t>02.2</t>
        </is>
      </c>
      <c r="U104" s="64" t="n"/>
      <c r="W104" s="64" t="n"/>
    </row>
    <row r="105" outlineLevel="1" ht="30" customHeight="1" s="462">
      <c r="A105" s="316" t="inlineStr">
        <is>
          <t>ICD Sistema BCU - Annex</t>
        </is>
      </c>
      <c r="B105" s="316" t="inlineStr">
        <is>
          <t>ICD_Brake_Annex</t>
        </is>
      </c>
      <c r="C105" s="63" t="inlineStr">
        <is>
          <t>xslx</t>
        </is>
      </c>
      <c r="D105" s="209" t="inlineStr">
        <is>
          <t>3EST000225-7431_Annex</t>
        </is>
      </c>
      <c r="F105" s="64" t="inlineStr">
        <is>
          <t>\</t>
        </is>
      </c>
      <c r="G105" s="63" t="n"/>
      <c r="I105" s="64" t="n"/>
      <c r="J105" s="63" t="n"/>
      <c r="L105" s="64" t="n"/>
      <c r="M105" s="63" t="n"/>
      <c r="O105" s="64" t="n"/>
      <c r="P105" s="78" t="inlineStr">
        <is>
          <t>EC130019101</t>
        </is>
      </c>
      <c r="Q105" s="10" t="inlineStr">
        <is>
          <t>03.3</t>
        </is>
      </c>
      <c r="R105" s="210" t="inlineStr">
        <is>
          <t>EC130019101</t>
        </is>
      </c>
      <c r="S105" s="211" t="inlineStr">
        <is>
          <t>03.3</t>
        </is>
      </c>
      <c r="U105" s="64" t="n"/>
      <c r="W105" s="64" t="n"/>
    </row>
    <row r="106" outlineLevel="1" ht="30" customHeight="1" s="462">
      <c r="A106" s="316" t="inlineStr">
        <is>
          <t>ICD Sistema Segnalamento</t>
        </is>
      </c>
      <c r="B106" s="316" t="inlineStr">
        <is>
          <t>ICD_ATP</t>
        </is>
      </c>
      <c r="C106" s="63" t="inlineStr">
        <is>
          <t>pdf</t>
        </is>
      </c>
      <c r="D106" s="63" t="inlineStr">
        <is>
          <t>\</t>
        </is>
      </c>
      <c r="F106" s="64" t="inlineStr">
        <is>
          <t>\</t>
        </is>
      </c>
      <c r="G106" s="63" t="n"/>
      <c r="I106" s="64" t="n"/>
      <c r="J106" s="63" t="n"/>
      <c r="L106" s="64" t="n"/>
      <c r="M106" s="63" t="n"/>
      <c r="O106" s="64" t="n"/>
      <c r="P106" s="78" t="inlineStr">
        <is>
          <t>EC130020522</t>
        </is>
      </c>
      <c r="Q106" s="10" t="inlineStr">
        <is>
          <t>01.3</t>
        </is>
      </c>
      <c r="R106" s="210" t="inlineStr">
        <is>
          <t>EC130020522</t>
        </is>
      </c>
      <c r="S106" s="211" t="inlineStr">
        <is>
          <t>01.3</t>
        </is>
      </c>
      <c r="U106" s="64" t="n"/>
      <c r="W106" s="64" t="n"/>
    </row>
    <row r="107" outlineLevel="1" ht="30" customHeight="1" s="462">
      <c r="A107" s="316" t="inlineStr">
        <is>
          <t>ICD Sistema Segnalamento - Annex</t>
        </is>
      </c>
      <c r="B107" s="316" t="n"/>
      <c r="C107" s="63" t="inlineStr">
        <is>
          <t>xslx</t>
        </is>
      </c>
      <c r="D107" s="63" t="inlineStr">
        <is>
          <t>\</t>
        </is>
      </c>
      <c r="F107" s="64" t="inlineStr">
        <is>
          <t>\</t>
        </is>
      </c>
      <c r="G107" s="63" t="n"/>
      <c r="I107" s="64" t="n"/>
      <c r="J107" s="63" t="n"/>
      <c r="L107" s="64" t="n"/>
      <c r="M107" s="63" t="n"/>
      <c r="O107" s="64" t="n"/>
      <c r="P107" s="78" t="inlineStr">
        <is>
          <t>EC130020523</t>
        </is>
      </c>
      <c r="Q107" s="10" t="inlineStr">
        <is>
          <t>03.2</t>
        </is>
      </c>
      <c r="R107" s="210" t="inlineStr">
        <is>
          <t>EC130020523</t>
        </is>
      </c>
      <c r="S107" s="211" t="inlineStr">
        <is>
          <t>03.2</t>
        </is>
      </c>
      <c r="U107" s="64" t="n"/>
      <c r="W107" s="64" t="n"/>
    </row>
    <row r="108" outlineLevel="1" ht="30" customHeight="1" s="462">
      <c r="A108" s="316" t="inlineStr">
        <is>
          <t>ICD Sistema PIS</t>
        </is>
      </c>
      <c r="B108" s="316" t="inlineStr">
        <is>
          <t>ICD_PIS</t>
        </is>
      </c>
      <c r="C108" s="63" t="inlineStr">
        <is>
          <t>pdf</t>
        </is>
      </c>
      <c r="D108" s="63" t="inlineStr">
        <is>
          <t>3EST000225-7439</t>
        </is>
      </c>
      <c r="E108" s="10" t="inlineStr">
        <is>
          <t>B</t>
        </is>
      </c>
      <c r="F108" s="64" t="inlineStr">
        <is>
          <t>\</t>
        </is>
      </c>
      <c r="G108" s="63" t="n"/>
      <c r="I108" s="64" t="n"/>
      <c r="J108" s="63" t="n"/>
      <c r="L108" s="64" t="n"/>
      <c r="M108" s="63" t="n"/>
      <c r="O108" s="64" t="n"/>
      <c r="P108" s="78" t="inlineStr">
        <is>
          <t>EC130021261</t>
        </is>
      </c>
      <c r="Q108" s="10" t="inlineStr">
        <is>
          <t>00.3</t>
        </is>
      </c>
      <c r="R108" s="210" t="inlineStr">
        <is>
          <t>EC130021261</t>
        </is>
      </c>
      <c r="S108" s="211" t="inlineStr">
        <is>
          <t>00.3</t>
        </is>
      </c>
      <c r="U108" s="64" t="n"/>
      <c r="W108" s="64" t="n"/>
    </row>
    <row r="109" outlineLevel="1" ht="30" customHeight="1" s="462">
      <c r="A109" s="316" t="inlineStr">
        <is>
          <t>ICD Sistema PIS - Annex</t>
        </is>
      </c>
      <c r="B109" s="316" t="n"/>
      <c r="C109" s="63" t="inlineStr">
        <is>
          <t>xslx</t>
        </is>
      </c>
      <c r="D109" s="63" t="inlineStr">
        <is>
          <t>\</t>
        </is>
      </c>
      <c r="F109" s="64" t="inlineStr">
        <is>
          <t>\</t>
        </is>
      </c>
      <c r="G109" s="63" t="n"/>
      <c r="I109" s="64" t="n"/>
      <c r="J109" s="63" t="n"/>
      <c r="L109" s="64" t="n"/>
      <c r="M109" s="63" t="n"/>
      <c r="O109" s="64" t="n"/>
      <c r="P109" s="78" t="inlineStr">
        <is>
          <t>EC130021262</t>
        </is>
      </c>
      <c r="Q109" s="10" t="inlineStr">
        <is>
          <t>01.3</t>
        </is>
      </c>
      <c r="R109" s="210" t="inlineStr">
        <is>
          <t>EC130021262</t>
        </is>
      </c>
      <c r="S109" s="211" t="inlineStr">
        <is>
          <t>01.3</t>
        </is>
      </c>
      <c r="U109" s="64" t="n"/>
      <c r="W109" s="64" t="n"/>
    </row>
    <row r="110" outlineLevel="1" ht="30" customHeight="1" s="462">
      <c r="A110" s="316" t="inlineStr">
        <is>
          <t>ICD Sistema Toilette</t>
        </is>
      </c>
      <c r="B110" s="316" t="inlineStr">
        <is>
          <t>ICD_Toilet</t>
        </is>
      </c>
      <c r="C110" s="63" t="inlineStr">
        <is>
          <t>pdf</t>
        </is>
      </c>
      <c r="D110" s="63" t="inlineStr">
        <is>
          <t>3EST000225-7438</t>
        </is>
      </c>
      <c r="E110" s="10" t="inlineStr">
        <is>
          <t>E</t>
        </is>
      </c>
      <c r="F110" s="64" t="inlineStr">
        <is>
          <t>\</t>
        </is>
      </c>
      <c r="G110" s="63" t="n"/>
      <c r="I110" s="64" t="n"/>
      <c r="J110" s="63" t="n"/>
      <c r="L110" s="64" t="n"/>
      <c r="M110" s="63" t="n"/>
      <c r="O110" s="64" t="n"/>
      <c r="P110" s="78" t="inlineStr">
        <is>
          <t>EC130021264</t>
        </is>
      </c>
      <c r="Q110" s="10" t="inlineStr">
        <is>
          <t>00.3</t>
        </is>
      </c>
      <c r="R110" s="210" t="inlineStr">
        <is>
          <t>EC130021264</t>
        </is>
      </c>
      <c r="S110" s="211" t="inlineStr">
        <is>
          <t>00.3</t>
        </is>
      </c>
      <c r="U110" s="64" t="n"/>
      <c r="W110" s="64" t="n"/>
    </row>
    <row r="111" outlineLevel="1" ht="30" customHeight="1" s="462">
      <c r="A111" s="316" t="inlineStr">
        <is>
          <t>ICD Sistema Toilette - Annex</t>
        </is>
      </c>
      <c r="B111" s="316" t="n"/>
      <c r="C111" s="63" t="inlineStr">
        <is>
          <t>xslx</t>
        </is>
      </c>
      <c r="D111" s="63" t="inlineStr">
        <is>
          <t>\</t>
        </is>
      </c>
      <c r="F111" s="64" t="inlineStr">
        <is>
          <t>\</t>
        </is>
      </c>
      <c r="G111" s="63" t="n"/>
      <c r="I111" s="64" t="n"/>
      <c r="J111" s="63" t="n"/>
      <c r="L111" s="64" t="n"/>
      <c r="M111" s="63" t="n"/>
      <c r="O111" s="64" t="n"/>
      <c r="P111" s="78" t="inlineStr">
        <is>
          <t>EC130021265</t>
        </is>
      </c>
      <c r="Q111" s="10" t="inlineStr">
        <is>
          <t>02.2</t>
        </is>
      </c>
      <c r="R111" s="210" t="inlineStr">
        <is>
          <t>EC130021265</t>
        </is>
      </c>
      <c r="S111" s="211" t="inlineStr">
        <is>
          <t>02.2</t>
        </is>
      </c>
      <c r="U111" s="64" t="n"/>
      <c r="W111" s="64" t="n"/>
    </row>
    <row r="112" outlineLevel="1" ht="30" customHeight="1" s="462">
      <c r="A112" s="316" t="inlineStr">
        <is>
          <t>ICD Sistema Anticendio</t>
        </is>
      </c>
      <c r="B112" s="316" t="inlineStr">
        <is>
          <t>ICD_FPS</t>
        </is>
      </c>
      <c r="C112" s="63" t="inlineStr">
        <is>
          <t>pdf</t>
        </is>
      </c>
      <c r="D112" s="63" t="inlineStr">
        <is>
          <t>3EST000225-7440</t>
        </is>
      </c>
      <c r="E112" s="10" t="inlineStr">
        <is>
          <t>E</t>
        </is>
      </c>
      <c r="F112" s="64" t="inlineStr">
        <is>
          <t>\</t>
        </is>
      </c>
      <c r="G112" s="63" t="n"/>
      <c r="I112" s="64" t="n"/>
      <c r="J112" s="63" t="n"/>
      <c r="L112" s="64" t="n"/>
      <c r="M112" s="63" t="n"/>
      <c r="O112" s="64" t="n"/>
      <c r="P112" s="78" t="inlineStr">
        <is>
          <t>EC130021300</t>
        </is>
      </c>
      <c r="Q112" s="10" t="inlineStr">
        <is>
          <t>00.5</t>
        </is>
      </c>
      <c r="R112" s="210" t="inlineStr">
        <is>
          <t>EC130021300</t>
        </is>
      </c>
      <c r="S112" s="211" t="inlineStr">
        <is>
          <t>00.5</t>
        </is>
      </c>
      <c r="U112" s="64" t="n"/>
      <c r="W112" s="64" t="n"/>
    </row>
    <row r="113" outlineLevel="1" ht="30" customHeight="1" s="462">
      <c r="A113" s="316" t="inlineStr">
        <is>
          <t>ICD Sistema Anticendio - Annex</t>
        </is>
      </c>
      <c r="B113" s="316" t="n"/>
      <c r="C113" s="63" t="inlineStr">
        <is>
          <t>xslx</t>
        </is>
      </c>
      <c r="D113" s="63" t="inlineStr">
        <is>
          <t>\</t>
        </is>
      </c>
      <c r="F113" s="64" t="inlineStr">
        <is>
          <t>\</t>
        </is>
      </c>
      <c r="G113" s="63" t="n"/>
      <c r="I113" s="64" t="n"/>
      <c r="J113" s="63" t="n"/>
      <c r="L113" s="64" t="n"/>
      <c r="M113" s="63" t="n"/>
      <c r="O113" s="64" t="n"/>
      <c r="P113" s="78" t="inlineStr">
        <is>
          <t>EC130021301</t>
        </is>
      </c>
      <c r="Q113" s="10" t="inlineStr">
        <is>
          <t>04.2</t>
        </is>
      </c>
      <c r="R113" s="210" t="inlineStr">
        <is>
          <t>EC130021301</t>
        </is>
      </c>
      <c r="S113" s="211" t="inlineStr">
        <is>
          <t>04.2</t>
        </is>
      </c>
      <c r="U113" s="64" t="n"/>
      <c r="W113" s="64" t="n"/>
    </row>
    <row r="114" outlineLevel="1" ht="30" customHeight="1" s="462">
      <c r="A114" s="316" t="inlineStr">
        <is>
          <t>ICD Sistema Porte</t>
        </is>
      </c>
      <c r="B114" s="316" t="inlineStr">
        <is>
          <t>ICD_Doors</t>
        </is>
      </c>
      <c r="C114" s="63" t="inlineStr">
        <is>
          <t>pdf</t>
        </is>
      </c>
      <c r="D114" s="63" t="inlineStr">
        <is>
          <t>3EST000225-7437</t>
        </is>
      </c>
      <c r="E114" s="10" t="inlineStr">
        <is>
          <t>C</t>
        </is>
      </c>
      <c r="F114" s="64" t="inlineStr">
        <is>
          <t>\</t>
        </is>
      </c>
      <c r="G114" s="63" t="n"/>
      <c r="I114" s="64" t="n"/>
      <c r="J114" s="63" t="n"/>
      <c r="L114" s="64" t="n"/>
      <c r="M114" s="63" t="n"/>
      <c r="O114" s="64" t="n"/>
      <c r="P114" s="78" t="inlineStr">
        <is>
          <t>EC130021266</t>
        </is>
      </c>
      <c r="Q114" s="10" t="inlineStr">
        <is>
          <t>00.3</t>
        </is>
      </c>
      <c r="R114" s="210" t="inlineStr">
        <is>
          <t>EC130021266</t>
        </is>
      </c>
      <c r="S114" s="211" t="inlineStr">
        <is>
          <t>00.3</t>
        </is>
      </c>
      <c r="U114" s="64" t="n"/>
      <c r="W114" s="64" t="n"/>
    </row>
    <row r="115" outlineLevel="1" ht="30" customHeight="1" s="462">
      <c r="A115" s="316" t="inlineStr">
        <is>
          <t>ICD Sistema Porte - Annex</t>
        </is>
      </c>
      <c r="B115" s="316" t="n"/>
      <c r="C115" s="63" t="inlineStr">
        <is>
          <t>xslx</t>
        </is>
      </c>
      <c r="D115" s="63" t="inlineStr">
        <is>
          <t>\</t>
        </is>
      </c>
      <c r="F115" s="64" t="inlineStr">
        <is>
          <t>\</t>
        </is>
      </c>
      <c r="G115" s="63" t="n"/>
      <c r="I115" s="64" t="n"/>
      <c r="J115" s="63" t="n"/>
      <c r="L115" s="64" t="n"/>
      <c r="M115" s="63" t="n"/>
      <c r="O115" s="64" t="n"/>
      <c r="P115" s="78" t="inlineStr">
        <is>
          <t>EC130021268</t>
        </is>
      </c>
      <c r="Q115" s="10" t="inlineStr">
        <is>
          <t>01.2</t>
        </is>
      </c>
      <c r="R115" s="210" t="inlineStr">
        <is>
          <t>EC130021268</t>
        </is>
      </c>
      <c r="S115" s="211" t="inlineStr">
        <is>
          <t>01.2</t>
        </is>
      </c>
      <c r="U115" s="64" t="n"/>
      <c r="W115" s="64" t="n"/>
    </row>
    <row r="116" outlineLevel="1" ht="30" customHeight="1" s="462">
      <c r="A116" s="316" t="inlineStr">
        <is>
          <t>ICD Sistema HVSP</t>
        </is>
      </c>
      <c r="B116" s="316" t="inlineStr">
        <is>
          <t>ICD_HVSP</t>
        </is>
      </c>
      <c r="C116" s="63" t="inlineStr">
        <is>
          <t>pdf</t>
        </is>
      </c>
      <c r="D116" s="63" t="inlineStr">
        <is>
          <t>\</t>
        </is>
      </c>
      <c r="F116" s="64" t="inlineStr">
        <is>
          <t>\</t>
        </is>
      </c>
      <c r="G116" s="63" t="n"/>
      <c r="I116" s="64" t="n"/>
      <c r="J116" s="63" t="n"/>
      <c r="L116" s="64" t="n"/>
      <c r="M116" s="63" t="n"/>
      <c r="O116" s="64" t="n"/>
      <c r="P116" s="78" t="inlineStr">
        <is>
          <t>EC130023723</t>
        </is>
      </c>
      <c r="Q116" s="10" t="inlineStr">
        <is>
          <t>01.2</t>
        </is>
      </c>
      <c r="R116" s="210" t="inlineStr">
        <is>
          <t>EC130023723</t>
        </is>
      </c>
      <c r="S116" s="211" t="inlineStr">
        <is>
          <t>01.2</t>
        </is>
      </c>
      <c r="U116" s="64" t="n"/>
      <c r="W116" s="64" t="n"/>
    </row>
    <row r="117" outlineLevel="1" ht="30" customHeight="1" s="462">
      <c r="A117" s="316" t="inlineStr">
        <is>
          <t>ICD Sistema HVSP  - Annex</t>
        </is>
      </c>
      <c r="B117" s="316" t="n"/>
      <c r="C117" s="63" t="inlineStr">
        <is>
          <t>xslx</t>
        </is>
      </c>
      <c r="D117" s="63" t="inlineStr">
        <is>
          <t>\</t>
        </is>
      </c>
      <c r="F117" s="64" t="inlineStr">
        <is>
          <t>\</t>
        </is>
      </c>
      <c r="G117" s="63" t="n"/>
      <c r="I117" s="64" t="n"/>
      <c r="J117" s="63" t="n"/>
      <c r="L117" s="64" t="n"/>
      <c r="M117" s="63" t="n"/>
      <c r="O117" s="64" t="n"/>
      <c r="P117" s="78" t="inlineStr">
        <is>
          <t>EC130023724</t>
        </is>
      </c>
      <c r="Q117" s="10" t="inlineStr">
        <is>
          <t>04.2</t>
        </is>
      </c>
      <c r="R117" s="210" t="inlineStr">
        <is>
          <t>EC130023724</t>
        </is>
      </c>
      <c r="S117" s="211" t="inlineStr">
        <is>
          <t>04.2</t>
        </is>
      </c>
      <c r="U117" s="64" t="n"/>
      <c r="W117" s="64" t="n"/>
    </row>
    <row r="118" outlineLevel="1" ht="30" customHeight="1" s="462">
      <c r="A118" s="316" t="inlineStr">
        <is>
          <t>ICD Sistema Carica Batterie</t>
        </is>
      </c>
      <c r="B118" s="316" t="inlineStr">
        <is>
          <t>ICD_Battery charger</t>
        </is>
      </c>
      <c r="C118" s="63" t="inlineStr">
        <is>
          <t>pdf</t>
        </is>
      </c>
      <c r="D118" s="63" t="inlineStr">
        <is>
          <t>3EST000225-7435</t>
        </is>
      </c>
      <c r="E118" s="10" t="inlineStr">
        <is>
          <t>C</t>
        </is>
      </c>
      <c r="F118" s="64" t="inlineStr">
        <is>
          <t>\</t>
        </is>
      </c>
      <c r="G118" s="63" t="n"/>
      <c r="I118" s="64" t="n"/>
      <c r="J118" s="63" t="n"/>
      <c r="L118" s="64" t="n"/>
      <c r="M118" s="63" t="n"/>
      <c r="O118" s="64" t="n"/>
      <c r="P118" s="78" t="inlineStr">
        <is>
          <t>EC130021254</t>
        </is>
      </c>
      <c r="Q118" s="10" t="inlineStr">
        <is>
          <t>00.4</t>
        </is>
      </c>
      <c r="R118" s="210" t="inlineStr">
        <is>
          <t>EC130021254</t>
        </is>
      </c>
      <c r="S118" s="211" t="inlineStr">
        <is>
          <t>00.4</t>
        </is>
      </c>
      <c r="U118" s="64" t="n"/>
      <c r="W118" s="64" t="n"/>
    </row>
    <row r="119" outlineLevel="1" ht="30" customHeight="1" s="462">
      <c r="A119" s="316" t="inlineStr">
        <is>
          <t>ICD Sistema Carica Batterie - Annex</t>
        </is>
      </c>
      <c r="B119" s="316" t="n"/>
      <c r="C119" s="63" t="inlineStr">
        <is>
          <t>xslx</t>
        </is>
      </c>
      <c r="D119" s="63" t="inlineStr">
        <is>
          <t>\</t>
        </is>
      </c>
      <c r="F119" s="64" t="inlineStr">
        <is>
          <t>\</t>
        </is>
      </c>
      <c r="G119" s="63" t="n"/>
      <c r="I119" s="64" t="n"/>
      <c r="J119" s="63" t="n"/>
      <c r="L119" s="64" t="n"/>
      <c r="M119" s="63" t="n"/>
      <c r="O119" s="64" t="n"/>
      <c r="P119" s="78" t="inlineStr">
        <is>
          <t>EC130021255</t>
        </is>
      </c>
      <c r="Q119" s="10" t="inlineStr">
        <is>
          <t>01.2</t>
        </is>
      </c>
      <c r="R119" s="210" t="inlineStr">
        <is>
          <t>EC130021255</t>
        </is>
      </c>
      <c r="S119" s="211" t="inlineStr">
        <is>
          <t>01.2</t>
        </is>
      </c>
      <c r="U119" s="64" t="n"/>
      <c r="W119" s="64" t="n"/>
    </row>
    <row r="120" outlineLevel="1" ht="30" customHeight="1" s="462">
      <c r="A120" s="316" t="inlineStr">
        <is>
          <t>ICD HVAC</t>
        </is>
      </c>
      <c r="B120" s="316" t="inlineStr">
        <is>
          <t>ICD_HVAC</t>
        </is>
      </c>
      <c r="C120" s="63" t="inlineStr">
        <is>
          <t>pdf</t>
        </is>
      </c>
      <c r="D120" s="63" t="inlineStr">
        <is>
          <t>3EST000225-7436</t>
        </is>
      </c>
      <c r="E120" s="10" t="inlineStr">
        <is>
          <t>C</t>
        </is>
      </c>
      <c r="F120" s="64" t="inlineStr">
        <is>
          <t>\</t>
        </is>
      </c>
      <c r="G120" s="63" t="n"/>
      <c r="I120" s="64" t="n"/>
      <c r="J120" s="63" t="n"/>
      <c r="L120" s="64" t="n"/>
      <c r="M120" s="63" t="n"/>
      <c r="O120" s="64" t="n"/>
      <c r="P120" s="78" t="inlineStr">
        <is>
          <t>EC130021304</t>
        </is>
      </c>
      <c r="Q120" s="10" t="inlineStr">
        <is>
          <t>00.4</t>
        </is>
      </c>
      <c r="R120" s="210" t="inlineStr">
        <is>
          <t>EC130021304</t>
        </is>
      </c>
      <c r="S120" s="211" t="inlineStr">
        <is>
          <t>00.4</t>
        </is>
      </c>
      <c r="U120" s="64" t="n"/>
      <c r="W120" s="64" t="n"/>
    </row>
    <row r="121" outlineLevel="1" ht="30" customHeight="1" s="462">
      <c r="A121" s="316" t="inlineStr">
        <is>
          <t>ICD HVAC - Annex</t>
        </is>
      </c>
      <c r="B121" s="316" t="n"/>
      <c r="C121" s="63" t="inlineStr">
        <is>
          <t>xslx</t>
        </is>
      </c>
      <c r="D121" s="63" t="inlineStr">
        <is>
          <t>\</t>
        </is>
      </c>
      <c r="F121" s="64" t="inlineStr">
        <is>
          <t>\</t>
        </is>
      </c>
      <c r="G121" s="63" t="n"/>
      <c r="I121" s="64" t="n"/>
      <c r="J121" s="63" t="n"/>
      <c r="L121" s="64" t="n"/>
      <c r="M121" s="63" t="n"/>
      <c r="O121" s="64" t="n"/>
      <c r="P121" s="78" t="inlineStr">
        <is>
          <t>EC130021305</t>
        </is>
      </c>
      <c r="Q121" s="10" t="inlineStr">
        <is>
          <t>02.2</t>
        </is>
      </c>
      <c r="R121" s="210" t="inlineStr">
        <is>
          <t>EC130021305</t>
        </is>
      </c>
      <c r="S121" s="211" t="inlineStr">
        <is>
          <t>02.2</t>
        </is>
      </c>
      <c r="U121" s="64" t="n"/>
      <c r="W121" s="64" t="n"/>
    </row>
    <row r="122" outlineLevel="1" ht="30" customHeight="1" s="462">
      <c r="A122" s="316" t="inlineStr">
        <is>
          <t>ICD Energy Measurement System</t>
        </is>
      </c>
      <c r="B122" s="316" t="inlineStr">
        <is>
          <t>ICD_EMS</t>
        </is>
      </c>
      <c r="C122" s="63" t="inlineStr">
        <is>
          <t>pdf</t>
        </is>
      </c>
      <c r="D122" s="63" t="inlineStr">
        <is>
          <t>\</t>
        </is>
      </c>
      <c r="F122" s="64" t="inlineStr">
        <is>
          <t>\</t>
        </is>
      </c>
      <c r="G122" s="63" t="n"/>
      <c r="I122" s="64" t="n"/>
      <c r="J122" s="63" t="n"/>
      <c r="L122" s="64" t="n"/>
      <c r="M122" s="63" t="n"/>
      <c r="O122" s="64" t="n"/>
      <c r="P122" s="78" t="inlineStr">
        <is>
          <t>EC130023132</t>
        </is>
      </c>
      <c r="Q122" s="10" t="inlineStr">
        <is>
          <t>01.2</t>
        </is>
      </c>
      <c r="R122" s="210" t="inlineStr">
        <is>
          <t>EC130023132</t>
        </is>
      </c>
      <c r="S122" s="211" t="inlineStr">
        <is>
          <t>01.2</t>
        </is>
      </c>
      <c r="U122" s="64" t="n"/>
      <c r="W122" s="64" t="n"/>
    </row>
    <row r="123" outlineLevel="1" ht="30" customHeight="1" s="462">
      <c r="A123" s="316" t="inlineStr">
        <is>
          <t>ICD Energy Measurement System - Annex</t>
        </is>
      </c>
      <c r="B123" s="316" t="n"/>
      <c r="C123" s="63" t="inlineStr">
        <is>
          <t>xslx</t>
        </is>
      </c>
      <c r="D123" s="63" t="inlineStr">
        <is>
          <t>\</t>
        </is>
      </c>
      <c r="F123" s="64" t="inlineStr">
        <is>
          <t>\</t>
        </is>
      </c>
      <c r="G123" s="63" t="n"/>
      <c r="I123" s="64" t="n"/>
      <c r="J123" s="63" t="n"/>
      <c r="L123" s="64" t="n"/>
      <c r="M123" s="63" t="n"/>
      <c r="O123" s="64" t="n"/>
      <c r="P123" s="78" t="inlineStr">
        <is>
          <t>EC130023133</t>
        </is>
      </c>
      <c r="Q123" s="10" t="inlineStr">
        <is>
          <t>02.2</t>
        </is>
      </c>
      <c r="R123" s="210" t="inlineStr">
        <is>
          <t>EC130023133</t>
        </is>
      </c>
      <c r="S123" s="211" t="inlineStr">
        <is>
          <t>02.2</t>
        </is>
      </c>
      <c r="U123" s="64" t="n"/>
      <c r="W123" s="64" t="n"/>
    </row>
    <row r="124">
      <c r="A124" s="317" t="inlineStr">
        <is>
          <t>General Vehicle Document</t>
        </is>
      </c>
      <c r="B124" s="317" t="n"/>
      <c r="C124" s="113" t="n"/>
      <c r="D124" s="68" t="n"/>
      <c r="E124" s="223" t="n"/>
      <c r="F124" s="69" t="n"/>
      <c r="G124" s="68" t="n"/>
      <c r="H124" s="223" t="n"/>
      <c r="I124" s="69" t="n"/>
      <c r="J124" s="68" t="n"/>
      <c r="K124" s="223" t="n"/>
      <c r="L124" s="69" t="n"/>
      <c r="M124" s="68" t="n"/>
      <c r="N124" s="223" t="n"/>
      <c r="O124" s="69" t="n"/>
      <c r="P124" s="223" t="n"/>
      <c r="Q124" s="223" t="n"/>
      <c r="R124" s="68" t="n"/>
      <c r="S124" s="69" t="n"/>
      <c r="T124" s="223" t="n"/>
      <c r="U124" s="69" t="n"/>
      <c r="V124" s="223" t="n"/>
      <c r="W124" s="69" t="n"/>
    </row>
    <row r="125" outlineLevel="1" ht="30" customHeight="1" s="462">
      <c r="A125" s="316" t="inlineStr">
        <is>
          <t>Train Performances</t>
        </is>
      </c>
      <c r="B125" s="316">
        <f>CONCATENATE("GVN_",A125)</f>
        <v/>
      </c>
      <c r="C125" s="63" t="inlineStr">
        <is>
          <t>pdf</t>
        </is>
      </c>
      <c r="D125" s="63" t="n"/>
      <c r="F125" s="64" t="n"/>
      <c r="G125" s="63" t="n"/>
      <c r="I125" s="64" t="n"/>
      <c r="J125" s="63" t="n"/>
      <c r="L125" s="64" t="n"/>
      <c r="M125" s="63" t="n"/>
      <c r="O125" s="64" t="n"/>
      <c r="P125" s="78" t="inlineStr">
        <is>
          <t>ED040019912</t>
        </is>
      </c>
      <c r="Q125" s="79" t="inlineStr">
        <is>
          <t>03.2</t>
        </is>
      </c>
      <c r="R125" s="63" t="inlineStr">
        <is>
          <t>ED040019912</t>
        </is>
      </c>
      <c r="S125" s="71" t="inlineStr">
        <is>
          <t>03.2</t>
        </is>
      </c>
      <c r="U125" s="64" t="n"/>
      <c r="W125" s="64" t="n"/>
    </row>
    <row r="126" outlineLevel="1" ht="30" customHeight="1" s="462">
      <c r="A126" s="316" t="inlineStr">
        <is>
          <t>Train System Architecture</t>
        </is>
      </c>
      <c r="B126" s="316">
        <f>CONCATENATE("GVN_",A126)</f>
        <v/>
      </c>
      <c r="C126" s="63" t="inlineStr">
        <is>
          <t>pdf</t>
        </is>
      </c>
      <c r="D126" s="63" t="n"/>
      <c r="F126" s="64" t="n"/>
      <c r="G126" s="63" t="n"/>
      <c r="I126" s="64" t="n"/>
      <c r="J126" s="63" t="n"/>
      <c r="L126" s="64" t="n"/>
      <c r="M126" s="63" t="n"/>
      <c r="O126" s="64" t="n"/>
      <c r="P126" s="78" t="inlineStr">
        <is>
          <t>FF010020369</t>
        </is>
      </c>
      <c r="Q126" s="79" t="inlineStr">
        <is>
          <t>01.2</t>
        </is>
      </c>
      <c r="R126" s="63" t="inlineStr">
        <is>
          <t>FF010020369</t>
        </is>
      </c>
      <c r="S126" s="71" t="inlineStr">
        <is>
          <t>01.2</t>
        </is>
      </c>
      <c r="U126" s="64" t="n"/>
      <c r="W126" s="64" t="n"/>
    </row>
    <row r="127" outlineLevel="1" ht="30" customHeight="1" s="462">
      <c r="A127" s="316" t="inlineStr">
        <is>
          <t>Train Running Simulations</t>
        </is>
      </c>
      <c r="B127" s="316">
        <f>CONCATENATE("GVN_",A127)</f>
        <v/>
      </c>
      <c r="C127" s="63" t="inlineStr">
        <is>
          <t>pdf</t>
        </is>
      </c>
      <c r="D127" s="63" t="n"/>
      <c r="F127" s="64" t="n"/>
      <c r="G127" s="63" t="n"/>
      <c r="I127" s="64" t="n"/>
      <c r="J127" s="63" t="n"/>
      <c r="L127" s="64" t="n"/>
      <c r="M127" s="63" t="n"/>
      <c r="O127" s="64" t="n"/>
      <c r="P127" s="78" t="inlineStr">
        <is>
          <t>ED180020963</t>
        </is>
      </c>
      <c r="Q127" s="10" t="inlineStr">
        <is>
          <t>03.0</t>
        </is>
      </c>
      <c r="R127" s="63" t="inlineStr">
        <is>
          <t>ED180020963</t>
        </is>
      </c>
      <c r="S127" s="71" t="inlineStr">
        <is>
          <t>01.2</t>
        </is>
      </c>
      <c r="U127" s="64" t="n"/>
      <c r="W127" s="64" t="n"/>
    </row>
    <row r="128" outlineLevel="1" ht="30" customHeight="1" s="462">
      <c r="A128" s="316" t="inlineStr">
        <is>
          <t>SyFD Propulsion System</t>
        </is>
      </c>
      <c r="B128" s="316">
        <f>CONCATENATE("GVN_",A128)</f>
        <v/>
      </c>
      <c r="C128" s="63" t="inlineStr">
        <is>
          <t>pdf</t>
        </is>
      </c>
      <c r="D128" s="63" t="n"/>
      <c r="F128" s="64" t="n"/>
      <c r="G128" s="63" t="n"/>
      <c r="I128" s="64" t="n"/>
      <c r="J128" s="63" t="n"/>
      <c r="L128" s="64" t="n"/>
      <c r="M128" s="63" t="n"/>
      <c r="O128" s="64" t="n"/>
      <c r="P128" s="78" t="inlineStr">
        <is>
          <t>FE010020176</t>
        </is>
      </c>
      <c r="Q128" s="79" t="inlineStr">
        <is>
          <t>00.4</t>
        </is>
      </c>
      <c r="R128" s="63" t="inlineStr">
        <is>
          <t>FE010020176</t>
        </is>
      </c>
      <c r="S128" s="71" t="inlineStr">
        <is>
          <t>00.4</t>
        </is>
      </c>
      <c r="U128" s="64" t="n"/>
      <c r="W128" s="64" t="n"/>
    </row>
    <row r="129" outlineLevel="1" ht="30" customHeight="1" s="462">
      <c r="A129" s="316" t="inlineStr">
        <is>
          <t>SyFD Train Control and Management System</t>
        </is>
      </c>
      <c r="B129" s="316">
        <f>CONCATENATE("GVN_",A129)</f>
        <v/>
      </c>
      <c r="C129" s="63" t="inlineStr">
        <is>
          <t>pdf</t>
        </is>
      </c>
      <c r="D129" s="63" t="n"/>
      <c r="F129" s="64" t="n"/>
      <c r="G129" s="63" t="n"/>
      <c r="I129" s="64" t="n"/>
      <c r="J129" s="63" t="n"/>
      <c r="L129" s="64" t="n"/>
      <c r="M129" s="63" t="n"/>
      <c r="O129" s="64" t="n"/>
      <c r="P129" s="78" t="inlineStr">
        <is>
          <t>FT170023207</t>
        </is>
      </c>
      <c r="Q129" s="79" t="inlineStr">
        <is>
          <t>00.6</t>
        </is>
      </c>
      <c r="R129" s="63" t="inlineStr">
        <is>
          <t>FT170023207</t>
        </is>
      </c>
      <c r="S129" s="71" t="inlineStr">
        <is>
          <t>00.6</t>
        </is>
      </c>
      <c r="U129" s="64" t="n"/>
      <c r="W129" s="64" t="n"/>
    </row>
    <row r="130" outlineLevel="1" ht="30" customHeight="1" s="462">
      <c r="A130" s="321" t="inlineStr">
        <is>
          <t>SyFD Ethernet Train Communication Network</t>
        </is>
      </c>
      <c r="B130" s="321">
        <f>CONCATENATE("GVN_",A130)</f>
        <v/>
      </c>
      <c r="C130" s="182" t="inlineStr">
        <is>
          <t>pdf</t>
        </is>
      </c>
      <c r="D130" s="182" t="n"/>
      <c r="E130" s="66" t="n"/>
      <c r="F130" s="65" t="n"/>
      <c r="G130" s="182" t="n"/>
      <c r="H130" s="66" t="n"/>
      <c r="I130" s="65" t="n"/>
      <c r="J130" s="182" t="n"/>
      <c r="K130" s="66" t="n"/>
      <c r="L130" s="65" t="n"/>
      <c r="M130" s="182" t="n"/>
      <c r="N130" s="66" t="n"/>
      <c r="O130" s="65" t="n"/>
      <c r="P130" s="90" t="inlineStr">
        <is>
          <t>FE020026857</t>
        </is>
      </c>
      <c r="Q130" s="89" t="inlineStr">
        <is>
          <t>02.2</t>
        </is>
      </c>
      <c r="R130" s="182" t="inlineStr">
        <is>
          <t>FE020026857</t>
        </is>
      </c>
      <c r="S130" s="98" t="inlineStr">
        <is>
          <t>02.2</t>
        </is>
      </c>
      <c r="T130" s="66" t="n"/>
      <c r="U130" s="65" t="n"/>
      <c r="V130" s="66" t="n"/>
      <c r="W130" s="65" t="n"/>
    </row>
  </sheetData>
  <mergeCells count="19">
    <mergeCell ref="D2:F2"/>
    <mergeCell ref="V2:W2"/>
    <mergeCell ref="P1:Q1"/>
    <mergeCell ref="V1:W1"/>
    <mergeCell ref="P2:Q2"/>
    <mergeCell ref="G1:I1"/>
    <mergeCell ref="A1:A3"/>
    <mergeCell ref="J2:L2"/>
    <mergeCell ref="T2:U2"/>
    <mergeCell ref="T1:U1"/>
    <mergeCell ref="D1:F1"/>
    <mergeCell ref="G2:I2"/>
    <mergeCell ref="J1:L1"/>
    <mergeCell ref="B1:B3"/>
    <mergeCell ref="C1:C3"/>
    <mergeCell ref="R2:S2"/>
    <mergeCell ref="M1:O1"/>
    <mergeCell ref="M2:O2"/>
    <mergeCell ref="R1:S1"/>
  </mergeCells>
  <pageMargins left="0.7" right="0.7" top="0.75" bottom="0.75" header="0.3" footer="0.3"/>
  <pageSetup orientation="portrait" paperSize="9" verticalDpi="1200"/>
  <legacyDrawing xmlns:r="http://schemas.openxmlformats.org/officeDocument/2006/relationships" r:id="anysvml"/>
</worksheet>
</file>

<file path=xl/worksheets/sheet6.xml><?xml version="1.0" encoding="utf-8"?>
<worksheet xmlns="http://schemas.openxmlformats.org/spreadsheetml/2006/main">
  <sheetPr>
    <tabColor theme="5" tint="0.3999755851924192"/>
    <outlinePr summaryBelow="1" summaryRight="1"/>
    <pageSetUpPr/>
  </sheetPr>
  <dimension ref="A1:T36"/>
  <sheetViews>
    <sheetView zoomScale="85" zoomScaleNormal="85" workbookViewId="0">
      <pane xSplit="5" ySplit="2" topLeftCell="L27" activePane="bottomRight" state="frozen"/>
      <selection pane="topRight" activeCell="F1" sqref="F1"/>
      <selection pane="bottomLeft" activeCell="B4" sqref="B4"/>
      <selection pane="bottomRight" activeCell="L21" sqref="L21"/>
    </sheetView>
  </sheetViews>
  <sheetFormatPr baseColWidth="8" defaultColWidth="8.7265625" defaultRowHeight="14.5"/>
  <cols>
    <col width="36.54296875" customWidth="1" style="62" min="1" max="1"/>
    <col width="34.81640625" bestFit="1" customWidth="1" style="62" min="2" max="2"/>
    <col width="8.453125" bestFit="1" customWidth="1" style="10" min="3" max="3"/>
    <col width="17.54296875" customWidth="1" style="10" min="4" max="4"/>
    <col width="4.453125" bestFit="1" customWidth="1" style="10" min="5" max="5"/>
    <col width="17.54296875" customWidth="1" style="10" min="6" max="6"/>
    <col width="4.7265625" bestFit="1" customWidth="1" style="10" min="7" max="7"/>
    <col width="17.54296875" customWidth="1" style="10" min="8" max="8"/>
    <col width="4.7265625" bestFit="1" customWidth="1" style="10" min="9" max="9"/>
    <col width="17.54296875" customWidth="1" style="10" min="10" max="10"/>
    <col width="4.453125" bestFit="1" customWidth="1" style="10" min="11" max="11"/>
    <col width="17.1796875" customWidth="1" style="10" min="12" max="12"/>
    <col width="5.1796875" customWidth="1" style="10" min="13" max="13"/>
    <col width="15.453125" customWidth="1" style="10" min="14" max="14"/>
    <col width="4.453125" customWidth="1" style="10" min="15" max="15"/>
    <col width="6.54296875" bestFit="1" customWidth="1" style="10" min="16" max="16"/>
    <col width="6.54296875" customWidth="1" style="10" min="17" max="17"/>
    <col width="6.54296875" bestFit="1" customWidth="1" style="10" min="18" max="18"/>
    <col width="6.54296875" customWidth="1" style="10" min="19" max="19"/>
    <col width="8.7265625" customWidth="1" style="59" min="20" max="25"/>
    <col width="8.7265625" customWidth="1" style="59" min="26" max="16384"/>
  </cols>
  <sheetData>
    <row r="1" ht="26.5" customFormat="1" customHeight="1" s="61">
      <c r="A1" s="420" t="inlineStr">
        <is>
          <t>DOC DESCRIPTION</t>
        </is>
      </c>
      <c r="B1" s="429" t="inlineStr">
        <is>
          <t>DOC ID</t>
        </is>
      </c>
      <c r="C1" s="420" t="inlineStr">
        <is>
          <t>DOC EXT</t>
        </is>
      </c>
      <c r="D1" s="428" t="inlineStr">
        <is>
          <t>VZI_Base</t>
        </is>
      </c>
      <c r="E1" s="419" t="n"/>
      <c r="F1" s="417" t="inlineStr">
        <is>
          <t>VZI_New14</t>
        </is>
      </c>
      <c r="G1" s="529" t="n"/>
      <c r="H1" s="428" t="inlineStr">
        <is>
          <t>VZ_FR</t>
        </is>
      </c>
      <c r="I1" s="419" t="n"/>
      <c r="J1" s="417" t="inlineStr">
        <is>
          <t>VZ_ES</t>
        </is>
      </c>
      <c r="K1" s="529" t="n"/>
      <c r="L1" s="428" t="inlineStr">
        <is>
          <t>VZI-6_R1</t>
        </is>
      </c>
      <c r="M1" s="419" t="n"/>
      <c r="N1" s="417" t="inlineStr">
        <is>
          <t>VZI-4_R1</t>
        </is>
      </c>
      <c r="O1" s="529" t="n"/>
      <c r="P1" s="428" t="inlineStr">
        <is>
          <t>VZ_DAI</t>
        </is>
      </c>
      <c r="Q1" s="419" t="n"/>
      <c r="R1" s="417" t="inlineStr">
        <is>
          <t>VZ_Esxx</t>
        </is>
      </c>
      <c r="S1" s="529" t="n"/>
    </row>
    <row r="2" ht="26.5" customFormat="1" customHeight="1" s="61">
      <c r="A2" s="422" t="n"/>
      <c r="B2" s="430" t="n"/>
      <c r="C2" s="422" t="n"/>
      <c r="D2" s="183" t="inlineStr">
        <is>
          <t>File/Codice</t>
        </is>
      </c>
      <c r="E2" s="183" t="inlineStr">
        <is>
          <t>Rev</t>
        </is>
      </c>
      <c r="F2" s="423" t="inlineStr">
        <is>
          <t>File/Codice</t>
        </is>
      </c>
      <c r="G2" s="186" t="inlineStr">
        <is>
          <t>Rev</t>
        </is>
      </c>
      <c r="H2" s="183" t="inlineStr">
        <is>
          <t>File/Codice</t>
        </is>
      </c>
      <c r="I2" s="183" t="inlineStr">
        <is>
          <t>Rev</t>
        </is>
      </c>
      <c r="J2" s="423" t="inlineStr">
        <is>
          <t>File/Codice</t>
        </is>
      </c>
      <c r="K2" s="186" t="inlineStr">
        <is>
          <t>Rev</t>
        </is>
      </c>
      <c r="L2" s="427" t="inlineStr">
        <is>
          <t>Codice</t>
        </is>
      </c>
      <c r="M2" s="427" t="inlineStr">
        <is>
          <t>Rev</t>
        </is>
      </c>
      <c r="N2" s="189" t="inlineStr">
        <is>
          <t>Codice</t>
        </is>
      </c>
      <c r="O2" s="91" t="inlineStr">
        <is>
          <t>Rev</t>
        </is>
      </c>
      <c r="P2" s="183" t="inlineStr">
        <is>
          <t>Codice</t>
        </is>
      </c>
      <c r="Q2" s="183" t="inlineStr">
        <is>
          <t>Rev</t>
        </is>
      </c>
      <c r="R2" s="423" t="inlineStr">
        <is>
          <t>Codice</t>
        </is>
      </c>
      <c r="S2" s="186" t="inlineStr">
        <is>
          <t>Rev</t>
        </is>
      </c>
    </row>
    <row r="3">
      <c r="A3" s="244" t="inlineStr">
        <is>
          <t>Functional Doc &amp; Specification</t>
        </is>
      </c>
      <c r="B3" s="177" t="n"/>
      <c r="C3" s="184" t="n"/>
      <c r="D3" s="178" t="n"/>
      <c r="E3" s="178" t="n"/>
      <c r="F3" s="187" t="n"/>
      <c r="G3" s="188" t="n"/>
      <c r="H3" s="178" t="n"/>
      <c r="I3" s="178" t="n"/>
      <c r="J3" s="187" t="n"/>
      <c r="K3" s="188" t="n"/>
      <c r="L3" s="178" t="n"/>
      <c r="M3" s="178" t="n"/>
      <c r="N3" s="187" t="n"/>
      <c r="O3" s="188" t="n"/>
      <c r="P3" s="178" t="n"/>
      <c r="Q3" s="178" t="n"/>
      <c r="R3" s="187" t="n"/>
      <c r="S3" s="188" t="n"/>
    </row>
    <row r="4" ht="30" customHeight="1" s="462">
      <c r="A4" s="62" t="inlineStr">
        <is>
          <t>Architettura di Controllo Treno ed Interfacce di Comando</t>
        </is>
      </c>
      <c r="B4" s="62" t="inlineStr">
        <is>
          <t>FD_TCMS</t>
        </is>
      </c>
      <c r="C4" s="322" t="inlineStr">
        <is>
          <t>pdf</t>
        </is>
      </c>
      <c r="D4" s="10" t="inlineStr">
        <is>
          <t>3ECP410429-0001</t>
        </is>
      </c>
      <c r="E4" s="10" t="inlineStr">
        <is>
          <t>L</t>
        </is>
      </c>
      <c r="F4" s="63" t="inlineStr">
        <is>
          <t>3ECP413973-0001</t>
        </is>
      </c>
      <c r="G4" s="64" t="inlineStr">
        <is>
          <t>A</t>
        </is>
      </c>
      <c r="J4" s="63" t="n"/>
      <c r="K4" s="64" t="n"/>
      <c r="L4" s="10" t="inlineStr">
        <is>
          <t>FE010019098</t>
        </is>
      </c>
      <c r="M4" s="10" t="inlineStr">
        <is>
          <t>1.02</t>
        </is>
      </c>
      <c r="N4" s="63" t="n"/>
      <c r="O4" s="64" t="n"/>
      <c r="R4" s="63" t="n"/>
      <c r="S4" s="64" t="n"/>
    </row>
    <row r="5">
      <c r="A5" s="62" t="inlineStr">
        <is>
          <t>Brake System</t>
        </is>
      </c>
      <c r="B5" s="62" t="inlineStr">
        <is>
          <t>FD_Brake</t>
        </is>
      </c>
      <c r="C5" s="322" t="inlineStr">
        <is>
          <t>pdf</t>
        </is>
      </c>
      <c r="D5" s="10" t="inlineStr">
        <is>
          <t>3EGH489013-3044</t>
        </is>
      </c>
      <c r="E5" s="10" t="inlineStr">
        <is>
          <t>F</t>
        </is>
      </c>
      <c r="F5" s="63" t="n"/>
      <c r="G5" s="64" t="n"/>
      <c r="J5" s="63" t="n"/>
      <c r="K5" s="64" t="n"/>
      <c r="N5" s="63" t="n"/>
      <c r="O5" s="64" t="n"/>
      <c r="R5" s="63" t="n"/>
      <c r="S5" s="64" t="n"/>
    </row>
    <row r="6">
      <c r="A6" s="62" t="inlineStr">
        <is>
          <t>Air Supply</t>
        </is>
      </c>
      <c r="B6" s="62" t="inlineStr">
        <is>
          <t>FD_Air Supply</t>
        </is>
      </c>
      <c r="C6" s="322" t="inlineStr">
        <is>
          <t>pdf</t>
        </is>
      </c>
      <c r="D6" s="10" t="inlineStr">
        <is>
          <t>3EGH489013-4928</t>
        </is>
      </c>
      <c r="E6" s="10" t="inlineStr">
        <is>
          <t>A</t>
        </is>
      </c>
      <c r="F6" s="63" t="n"/>
      <c r="G6" s="64" t="n"/>
      <c r="J6" s="63" t="n"/>
      <c r="K6" s="64" t="n"/>
      <c r="N6" s="63" t="n"/>
      <c r="O6" s="64" t="n"/>
      <c r="R6" s="63" t="n"/>
      <c r="S6" s="64" t="n"/>
    </row>
    <row r="7">
      <c r="A7" s="62" t="inlineStr">
        <is>
          <t>Descrizione SW PCU</t>
        </is>
      </c>
      <c r="B7" s="62" t="inlineStr">
        <is>
          <t>FD_PCU</t>
        </is>
      </c>
      <c r="C7" s="322" t="inlineStr">
        <is>
          <t>pdf</t>
        </is>
      </c>
      <c r="D7" s="10" t="inlineStr">
        <is>
          <t>3EST000225-5111</t>
        </is>
      </c>
      <c r="E7" s="10" t="inlineStr">
        <is>
          <t>C</t>
        </is>
      </c>
      <c r="F7" s="63" t="n"/>
      <c r="G7" s="64" t="n"/>
      <c r="J7" s="63" t="n"/>
      <c r="K7" s="64" t="n"/>
      <c r="N7" s="63" t="n"/>
      <c r="O7" s="64" t="n"/>
      <c r="R7" s="63" t="n"/>
      <c r="S7" s="64" t="n"/>
    </row>
    <row r="8">
      <c r="A8" s="62" t="inlineStr">
        <is>
          <t>Descrizione SW Alta Tensione</t>
        </is>
      </c>
      <c r="B8" s="62" t="inlineStr">
        <is>
          <t>FD_High Voltage</t>
        </is>
      </c>
      <c r="C8" s="322" t="inlineStr">
        <is>
          <t>pdf</t>
        </is>
      </c>
      <c r="D8" s="10" t="inlineStr">
        <is>
          <t>3EST000225-5113</t>
        </is>
      </c>
      <c r="E8" s="10" t="inlineStr">
        <is>
          <t>C</t>
        </is>
      </c>
      <c r="F8" s="63" t="n"/>
      <c r="G8" s="64" t="n"/>
      <c r="J8" s="63" t="n"/>
      <c r="K8" s="64" t="n"/>
      <c r="N8" s="63" t="n"/>
      <c r="O8" s="64" t="n"/>
      <c r="R8" s="63" t="n"/>
      <c r="S8" s="64" t="n"/>
    </row>
    <row r="9">
      <c r="A9" s="62" t="inlineStr">
        <is>
          <t>Descrizione SW Propulsione</t>
        </is>
      </c>
      <c r="B9" s="62" t="inlineStr">
        <is>
          <t>FD_Propulsion</t>
        </is>
      </c>
      <c r="C9" s="322" t="inlineStr">
        <is>
          <t>pdf</t>
        </is>
      </c>
      <c r="D9" s="10" t="inlineStr">
        <is>
          <t>3EST000225-5115</t>
        </is>
      </c>
      <c r="E9" s="10" t="inlineStr">
        <is>
          <t>C</t>
        </is>
      </c>
      <c r="F9" s="63" t="n"/>
      <c r="G9" s="64" t="n"/>
      <c r="J9" s="63" t="n"/>
      <c r="K9" s="64" t="n"/>
      <c r="N9" s="63" t="n"/>
      <c r="O9" s="64" t="n"/>
      <c r="R9" s="63" t="n"/>
      <c r="S9" s="64" t="n"/>
    </row>
    <row r="10">
      <c r="A10" s="62" t="inlineStr">
        <is>
          <t>Descrizione SW DCU/L</t>
        </is>
      </c>
      <c r="B10" s="62" t="inlineStr">
        <is>
          <t>FD_DCU/L</t>
        </is>
      </c>
      <c r="C10" s="322" t="inlineStr">
        <is>
          <t>pdf</t>
        </is>
      </c>
      <c r="D10" s="10" t="inlineStr">
        <is>
          <t>3EST000225-5117</t>
        </is>
      </c>
      <c r="E10" s="10" t="inlineStr">
        <is>
          <t>B</t>
        </is>
      </c>
      <c r="F10" s="63" t="n"/>
      <c r="G10" s="64" t="n"/>
      <c r="J10" s="63" t="n"/>
      <c r="K10" s="64" t="n"/>
      <c r="N10" s="63" t="n"/>
      <c r="O10" s="64" t="n"/>
      <c r="R10" s="63" t="n"/>
      <c r="S10" s="64" t="n"/>
    </row>
    <row r="11">
      <c r="A11" s="62" t="inlineStr">
        <is>
          <t>Descrizione SW DCU/M</t>
        </is>
      </c>
      <c r="B11" s="62" t="inlineStr">
        <is>
          <t>FD_DCU/M</t>
        </is>
      </c>
      <c r="C11" s="322" t="inlineStr">
        <is>
          <t>pdf</t>
        </is>
      </c>
      <c r="D11" s="10" t="inlineStr">
        <is>
          <t>3EST000225-5118</t>
        </is>
      </c>
      <c r="E11" s="10" t="inlineStr">
        <is>
          <t>G</t>
        </is>
      </c>
      <c r="F11" s="63" t="n"/>
      <c r="G11" s="64" t="n"/>
      <c r="J11" s="63" t="n"/>
      <c r="K11" s="64" t="n"/>
      <c r="N11" s="63" t="n"/>
      <c r="O11" s="64" t="n"/>
      <c r="R11" s="63" t="n"/>
      <c r="S11" s="64" t="n"/>
    </row>
    <row r="12">
      <c r="A12" s="62" t="inlineStr">
        <is>
          <t>Descrizione SW ACM</t>
        </is>
      </c>
      <c r="B12" s="62" t="inlineStr">
        <is>
          <t>FD_ACM</t>
        </is>
      </c>
      <c r="C12" s="322" t="inlineStr">
        <is>
          <t>pdf</t>
        </is>
      </c>
      <c r="D12" s="10" t="inlineStr">
        <is>
          <t>3EST000225-5119</t>
        </is>
      </c>
      <c r="E12" s="10" t="inlineStr">
        <is>
          <t>E</t>
        </is>
      </c>
      <c r="F12" s="63" t="n"/>
      <c r="G12" s="64" t="n"/>
      <c r="J12" s="63" t="n"/>
      <c r="K12" s="64" t="n"/>
      <c r="N12" s="63" t="n"/>
      <c r="O12" s="64" t="n"/>
      <c r="R12" s="63" t="n"/>
      <c r="S12" s="64" t="n"/>
    </row>
    <row r="13">
      <c r="A13" s="62" t="inlineStr">
        <is>
          <t>Descrizione SW DCU/C</t>
        </is>
      </c>
      <c r="B13" s="62" t="inlineStr">
        <is>
          <t>FD_DCU/C</t>
        </is>
      </c>
      <c r="C13" s="322" t="inlineStr">
        <is>
          <t>pdf</t>
        </is>
      </c>
      <c r="D13" s="10" t="inlineStr">
        <is>
          <t>3EST000225-5120</t>
        </is>
      </c>
      <c r="E13" s="10" t="inlineStr">
        <is>
          <t>C</t>
        </is>
      </c>
      <c r="F13" s="63" t="n"/>
      <c r="G13" s="64" t="n"/>
      <c r="J13" s="63" t="n"/>
      <c r="K13" s="64" t="n"/>
      <c r="N13" s="63" t="n"/>
      <c r="O13" s="64" t="n"/>
      <c r="R13" s="63" t="n"/>
      <c r="S13" s="64" t="n"/>
    </row>
    <row r="14">
      <c r="A14" s="62" t="inlineStr">
        <is>
          <t>Descrizione SW LIM</t>
        </is>
      </c>
      <c r="B14" s="62" t="inlineStr">
        <is>
          <t>FD_LIM</t>
        </is>
      </c>
      <c r="C14" s="322" t="inlineStr">
        <is>
          <t>pdf</t>
        </is>
      </c>
      <c r="D14" s="10" t="inlineStr">
        <is>
          <t>3EST000225-5132</t>
        </is>
      </c>
      <c r="E14" s="10" t="inlineStr">
        <is>
          <t>_</t>
        </is>
      </c>
      <c r="F14" s="63" t="n"/>
      <c r="G14" s="64" t="n"/>
      <c r="J14" s="63" t="n"/>
      <c r="K14" s="64" t="n"/>
      <c r="N14" s="63" t="n"/>
      <c r="O14" s="64" t="n"/>
      <c r="R14" s="63" t="n"/>
      <c r="S14" s="64" t="n"/>
    </row>
    <row r="15">
      <c r="C15" s="322" t="n"/>
      <c r="F15" s="63" t="n"/>
      <c r="G15" s="64" t="n"/>
      <c r="J15" s="63" t="n"/>
      <c r="K15" s="64" t="n"/>
      <c r="N15" s="63" t="n"/>
      <c r="O15" s="64" t="n"/>
      <c r="R15" s="63" t="n"/>
      <c r="S15" s="64" t="n"/>
    </row>
    <row r="16">
      <c r="A16" s="244" t="inlineStr">
        <is>
          <t>Product Description</t>
        </is>
      </c>
      <c r="B16" s="177" t="n"/>
      <c r="C16" s="184" t="n"/>
      <c r="D16" s="178" t="n"/>
      <c r="E16" s="178" t="n"/>
      <c r="F16" s="187" t="n"/>
      <c r="G16" s="188" t="n"/>
      <c r="H16" s="178" t="n"/>
      <c r="I16" s="178" t="n"/>
      <c r="J16" s="187" t="n"/>
      <c r="K16" s="188" t="n"/>
      <c r="L16" s="178" t="n"/>
      <c r="M16" s="178" t="n"/>
      <c r="N16" s="187" t="n"/>
      <c r="O16" s="188" t="n"/>
      <c r="P16" s="178" t="n"/>
      <c r="Q16" s="178" t="n"/>
      <c r="R16" s="187" t="n"/>
      <c r="S16" s="188" t="n"/>
    </row>
    <row r="17">
      <c r="A17" s="62" t="inlineStr">
        <is>
          <t>Converter unit TC1120</t>
        </is>
      </c>
      <c r="B17" s="62" t="inlineStr">
        <is>
          <t>PDES_Converter</t>
        </is>
      </c>
      <c r="C17" s="322" t="inlineStr">
        <is>
          <t>pdf</t>
        </is>
      </c>
      <c r="D17" s="10" t="inlineStr">
        <is>
          <t>3EST000228-5653</t>
        </is>
      </c>
      <c r="E17" s="10" t="inlineStr">
        <is>
          <t>B</t>
        </is>
      </c>
      <c r="F17" s="63" t="n"/>
      <c r="G17" s="64" t="n"/>
      <c r="J17" s="63" t="n"/>
      <c r="K17" s="64" t="n"/>
      <c r="N17" s="63" t="n"/>
      <c r="O17" s="64" t="n"/>
      <c r="R17" s="63" t="n"/>
      <c r="S17" s="64" t="n"/>
    </row>
    <row r="18" ht="30" customHeight="1" s="462">
      <c r="A18" s="62" t="inlineStr">
        <is>
          <t>Auxiliary converter module, CM-C S 15/10 WA V02</t>
        </is>
      </c>
      <c r="B18" s="62" t="inlineStr">
        <is>
          <t>PDES_Auxiliary module</t>
        </is>
      </c>
      <c r="C18" s="322" t="inlineStr">
        <is>
          <t>pdf</t>
        </is>
      </c>
      <c r="D18" s="10" t="inlineStr">
        <is>
          <t>3EST000226-1993</t>
        </is>
      </c>
      <c r="E18" s="10" t="inlineStr">
        <is>
          <t>A</t>
        </is>
      </c>
      <c r="F18" s="63" t="n"/>
      <c r="G18" s="64" t="n"/>
      <c r="J18" s="63" t="n"/>
      <c r="K18" s="64" t="n"/>
      <c r="N18" s="63" t="n"/>
      <c r="O18" s="64" t="n"/>
      <c r="R18" s="63" t="n"/>
      <c r="S18" s="64" t="n"/>
    </row>
    <row r="19" ht="30" customHeight="1" s="462">
      <c r="A19" s="62" t="inlineStr">
        <is>
          <t>Chopper converter module, CM-C L 30/07 WC V01</t>
        </is>
      </c>
      <c r="B19" s="62" t="inlineStr">
        <is>
          <t>PDES_Chopper module</t>
        </is>
      </c>
      <c r="C19" s="322" t="inlineStr">
        <is>
          <t>pdf</t>
        </is>
      </c>
      <c r="D19" s="10" t="inlineStr">
        <is>
          <t>3EST000226-1995</t>
        </is>
      </c>
      <c r="E19" s="10" t="inlineStr">
        <is>
          <t>B</t>
        </is>
      </c>
      <c r="F19" s="63" t="n"/>
      <c r="G19" s="64" t="n"/>
      <c r="J19" s="63" t="n"/>
      <c r="K19" s="64" t="n"/>
      <c r="N19" s="63" t="n"/>
      <c r="O19" s="64" t="n"/>
      <c r="R19" s="63" t="n"/>
      <c r="S19" s="64" t="n"/>
    </row>
    <row r="20" ht="30" customHeight="1" s="462">
      <c r="A20" s="62" t="inlineStr">
        <is>
          <t>Line converter module, CM-C M 15/15 WL V06</t>
        </is>
      </c>
      <c r="B20" s="62" t="inlineStr">
        <is>
          <t>PDES_Line Module</t>
        </is>
      </c>
      <c r="C20" s="322" t="inlineStr">
        <is>
          <t>pdf</t>
        </is>
      </c>
      <c r="D20" s="10" t="inlineStr">
        <is>
          <t>3EST000226-1994</t>
        </is>
      </c>
      <c r="E20" s="10" t="inlineStr">
        <is>
          <t>B</t>
        </is>
      </c>
      <c r="F20" s="63" t="n"/>
      <c r="G20" s="64" t="n"/>
      <c r="J20" s="63" t="n"/>
      <c r="K20" s="64" t="n"/>
      <c r="N20" s="63" t="n"/>
      <c r="O20" s="64" t="n"/>
      <c r="R20" s="63" t="n"/>
      <c r="S20" s="64" t="n"/>
    </row>
    <row r="21" ht="30" customHeight="1" s="462">
      <c r="A21" s="62" t="inlineStr">
        <is>
          <t>Motor converter module, CM-C S 15/10 WM V02</t>
        </is>
      </c>
      <c r="B21" s="62" t="inlineStr">
        <is>
          <t>PDES_Motor Module</t>
        </is>
      </c>
      <c r="C21" s="322" t="inlineStr">
        <is>
          <t>pdf</t>
        </is>
      </c>
      <c r="D21" s="10" t="inlineStr">
        <is>
          <t>3EST000226-1992</t>
        </is>
      </c>
      <c r="E21" s="10" t="inlineStr">
        <is>
          <t>B</t>
        </is>
      </c>
      <c r="F21" s="63" t="n"/>
      <c r="G21" s="64" t="n"/>
      <c r="J21" s="63" t="n"/>
      <c r="K21" s="64" t="n"/>
      <c r="N21" s="63" t="n"/>
      <c r="O21" s="64" t="n"/>
      <c r="R21" s="63" t="n"/>
      <c r="S21" s="64" t="n"/>
    </row>
    <row r="22">
      <c r="A22" s="62" t="inlineStr">
        <is>
          <t>TCMS Tech Description</t>
        </is>
      </c>
      <c r="B22" s="62" t="inlineStr">
        <is>
          <t>PDES_TCMS</t>
        </is>
      </c>
      <c r="C22" s="322" t="inlineStr">
        <is>
          <t>pdf</t>
        </is>
      </c>
      <c r="D22" s="10" t="inlineStr">
        <is>
          <t>3EST000225-4855</t>
        </is>
      </c>
      <c r="E22" s="10" t="inlineStr">
        <is>
          <t>E</t>
        </is>
      </c>
      <c r="F22" s="63" t="n"/>
      <c r="G22" s="64" t="n"/>
      <c r="J22" s="63" t="n"/>
      <c r="K22" s="64" t="n"/>
      <c r="N22" s="63" t="n"/>
      <c r="O22" s="64" t="n"/>
      <c r="R22" s="63" t="n"/>
      <c r="S22" s="64" t="n"/>
    </row>
    <row r="23">
      <c r="A23" s="62" t="inlineStr">
        <is>
          <t>Brake Tech Description</t>
        </is>
      </c>
      <c r="B23" s="62" t="inlineStr">
        <is>
          <t>PDES_Brake</t>
        </is>
      </c>
      <c r="C23" s="322" t="inlineStr">
        <is>
          <t>pdf</t>
        </is>
      </c>
      <c r="D23" s="10" t="inlineStr">
        <is>
          <t>FTIT10002-I01TDE</t>
        </is>
      </c>
      <c r="E23" s="10" t="inlineStr">
        <is>
          <t>F00</t>
        </is>
      </c>
      <c r="F23" s="63" t="n"/>
      <c r="G23" s="64" t="n"/>
      <c r="J23" s="63" t="n"/>
      <c r="K23" s="64" t="n"/>
      <c r="N23" s="63" t="n"/>
      <c r="O23" s="64" t="n"/>
      <c r="R23" s="63" t="n"/>
      <c r="S23" s="64" t="n"/>
    </row>
    <row r="24">
      <c r="C24" s="322" t="n"/>
      <c r="F24" s="63" t="n"/>
      <c r="G24" s="64" t="n"/>
      <c r="J24" s="63" t="n"/>
      <c r="K24" s="64" t="n"/>
      <c r="N24" s="63" t="n"/>
      <c r="O24" s="64" t="n"/>
      <c r="R24" s="63" t="n"/>
      <c r="S24" s="64" t="n"/>
    </row>
    <row r="25">
      <c r="A25" s="244" t="inlineStr">
        <is>
          <t>Test Specification &amp; Report</t>
        </is>
      </c>
      <c r="B25" s="177" t="n"/>
      <c r="C25" s="184" t="n"/>
      <c r="D25" s="178" t="n"/>
      <c r="E25" s="178" t="n"/>
      <c r="F25" s="187" t="n"/>
      <c r="G25" s="188" t="n"/>
      <c r="H25" s="178" t="n"/>
      <c r="I25" s="178" t="n"/>
      <c r="J25" s="187" t="n"/>
      <c r="K25" s="188" t="n"/>
      <c r="L25" s="178" t="n"/>
      <c r="M25" s="178" t="n"/>
      <c r="N25" s="187" t="n"/>
      <c r="O25" s="188" t="n"/>
      <c r="P25" s="178" t="n"/>
      <c r="Q25" s="178" t="n"/>
      <c r="R25" s="187" t="n"/>
      <c r="S25" s="188" t="n"/>
    </row>
    <row r="26">
      <c r="A26" s="62" t="inlineStr">
        <is>
          <t>System Test Specification</t>
        </is>
      </c>
      <c r="B26" s="62" t="inlineStr">
        <is>
          <t>TS_VZI_Base</t>
        </is>
      </c>
      <c r="C26" s="322" t="inlineStr">
        <is>
          <t>pdf</t>
        </is>
      </c>
      <c r="D26" s="10" t="inlineStr">
        <is>
          <t>3EST000225-6042</t>
        </is>
      </c>
      <c r="E26" s="10" t="inlineStr">
        <is>
          <t>C</t>
        </is>
      </c>
      <c r="F26" s="63" t="n"/>
      <c r="G26" s="64" t="n"/>
      <c r="J26" s="63" t="n"/>
      <c r="K26" s="64" t="n"/>
      <c r="N26" s="63" t="n"/>
      <c r="O26" s="64" t="n"/>
      <c r="R26" s="63" t="n"/>
      <c r="S26" s="64" t="n"/>
    </row>
    <row r="27" ht="30" customHeight="1" s="462">
      <c r="A27" s="62" t="inlineStr">
        <is>
          <t>EPVE63 Test Intervento protezioni azionamento</t>
        </is>
      </c>
      <c r="B27" s="62" t="inlineStr">
        <is>
          <t xml:space="preserve">TS_Test Protezioni azionamento EPVE63 </t>
        </is>
      </c>
      <c r="C27" s="322" t="inlineStr">
        <is>
          <t>pdf</t>
        </is>
      </c>
      <c r="F27" s="63" t="n"/>
      <c r="G27" s="64" t="n"/>
      <c r="J27" s="63" t="n"/>
      <c r="K27" s="64" t="n"/>
      <c r="L27" s="10" t="inlineStr">
        <is>
          <t>DC08060VE63</t>
        </is>
      </c>
      <c r="M27" s="94" t="inlineStr">
        <is>
          <t>01</t>
        </is>
      </c>
      <c r="N27" s="63" t="n"/>
      <c r="O27" s="64" t="n"/>
      <c r="P27" s="63" t="n"/>
      <c r="Q27" s="64" t="n"/>
      <c r="R27" s="63" t="n"/>
      <c r="S27" s="64" t="n"/>
      <c r="T27" s="212" t="n"/>
    </row>
    <row r="28" ht="30" customHeight="1" s="462">
      <c r="A28" s="62" t="inlineStr">
        <is>
          <t>EPVE63 Report Intervento protezioni
azionamento</t>
        </is>
      </c>
      <c r="B28" s="62" t="inlineStr">
        <is>
          <t>TS_Report Protezioni azionamento EPVE63</t>
        </is>
      </c>
      <c r="C28" s="322" t="inlineStr">
        <is>
          <t>pdf</t>
        </is>
      </c>
      <c r="F28" s="63" t="n"/>
      <c r="G28" s="64" t="n"/>
      <c r="J28" s="63" t="n"/>
      <c r="K28" s="64" t="n"/>
      <c r="L28" s="10" t="inlineStr">
        <is>
          <t>DD04060VE63</t>
        </is>
      </c>
      <c r="M28" s="94" t="inlineStr">
        <is>
          <t>00</t>
        </is>
      </c>
      <c r="N28" s="63" t="n"/>
      <c r="O28" s="64" t="n"/>
      <c r="P28" s="63" t="n"/>
      <c r="Q28" s="64" t="n"/>
      <c r="R28" s="63" t="n"/>
      <c r="S28" s="64" t="n"/>
      <c r="T28" s="212" t="n"/>
    </row>
    <row r="29">
      <c r="A29" s="62" t="inlineStr">
        <is>
          <t>Test Report HVSP</t>
        </is>
      </c>
      <c r="B29" s="62" t="inlineStr">
        <is>
          <t>TS_Report HVSP</t>
        </is>
      </c>
      <c r="C29" s="322" t="inlineStr">
        <is>
          <t>pdf</t>
        </is>
      </c>
      <c r="F29" s="63" t="n"/>
      <c r="G29" s="64" t="n"/>
      <c r="J29" s="63" t="n"/>
      <c r="K29" s="64" t="n"/>
      <c r="L29" s="10" t="inlineStr">
        <is>
          <t>DD040031058</t>
        </is>
      </c>
      <c r="M29" s="64" t="inlineStr">
        <is>
          <t>00.6</t>
        </is>
      </c>
      <c r="N29" s="63" t="n"/>
      <c r="O29" s="64" t="n"/>
      <c r="P29" s="63" t="n"/>
      <c r="Q29" s="64" t="n"/>
      <c r="R29" s="63" t="n"/>
      <c r="S29" s="64" t="n"/>
      <c r="T29" s="212" t="n"/>
    </row>
    <row r="30">
      <c r="A30" s="62" t="inlineStr">
        <is>
          <t>Test High Voltage</t>
        </is>
      </c>
      <c r="B30" s="62" t="inlineStr">
        <is>
          <t>TS_Test High Voltage</t>
        </is>
      </c>
      <c r="C30" s="322" t="inlineStr">
        <is>
          <t>pdf</t>
        </is>
      </c>
      <c r="F30" s="63" t="n"/>
      <c r="G30" s="64" t="n"/>
      <c r="J30" s="63" t="n"/>
      <c r="K30" s="64" t="n"/>
      <c r="L30" s="10" t="inlineStr">
        <is>
          <t>EC070028470</t>
        </is>
      </c>
      <c r="M30" s="64" t="inlineStr">
        <is>
          <t>1.0</t>
        </is>
      </c>
      <c r="N30" s="63" t="n"/>
      <c r="O30" s="64" t="n"/>
      <c r="P30" s="63" t="n"/>
      <c r="Q30" s="64" t="n"/>
      <c r="R30" s="63" t="n"/>
      <c r="S30" s="64" t="n"/>
      <c r="T30" s="212" t="n"/>
    </row>
    <row r="31">
      <c r="A31" s="62" t="inlineStr">
        <is>
          <t>Test Driver Control</t>
        </is>
      </c>
      <c r="B31" s="62" t="inlineStr">
        <is>
          <t>TS_Test Driver Control</t>
        </is>
      </c>
      <c r="C31" s="322" t="inlineStr">
        <is>
          <t>pdf</t>
        </is>
      </c>
      <c r="F31" s="63" t="n"/>
      <c r="G31" s="64" t="n"/>
      <c r="J31" s="63" t="n"/>
      <c r="K31" s="64" t="n"/>
      <c r="L31" s="10" t="inlineStr">
        <is>
          <t>EC070028753</t>
        </is>
      </c>
      <c r="M31" s="64" t="inlineStr">
        <is>
          <t>1.0</t>
        </is>
      </c>
      <c r="N31" s="63" t="n"/>
      <c r="O31" s="64" t="n"/>
      <c r="P31" s="63" t="n"/>
      <c r="Q31" s="64" t="n"/>
      <c r="R31" s="63" t="n"/>
      <c r="S31" s="64" t="n"/>
      <c r="T31" s="212" t="n"/>
    </row>
    <row r="32" ht="30" customHeight="1" s="462">
      <c r="A32" s="62" t="inlineStr">
        <is>
          <t>Test Intervento protezioni azionamento</t>
        </is>
      </c>
      <c r="B32" s="62" t="inlineStr">
        <is>
          <t>TS_Test Protezioni azionamento</t>
        </is>
      </c>
      <c r="C32" s="322" t="inlineStr">
        <is>
          <t>pdf</t>
        </is>
      </c>
      <c r="F32" s="63" t="n"/>
      <c r="G32" s="64" t="n"/>
      <c r="J32" s="63" t="n"/>
      <c r="K32" s="64" t="n"/>
      <c r="L32" s="10" t="inlineStr">
        <is>
          <t>EC070045631</t>
        </is>
      </c>
      <c r="M32" s="64" t="inlineStr">
        <is>
          <t>2.0</t>
        </is>
      </c>
      <c r="N32" s="63" t="n"/>
      <c r="O32" s="64" t="n"/>
      <c r="P32" s="63" t="n"/>
      <c r="Q32" s="64" t="n"/>
      <c r="R32" s="63" t="n"/>
      <c r="S32" s="64" t="n"/>
      <c r="T32" s="212" t="n"/>
    </row>
    <row r="33">
      <c r="A33" s="62" t="inlineStr">
        <is>
          <t>Combined test specification</t>
        </is>
      </c>
      <c r="B33" s="62" t="inlineStr">
        <is>
          <t>TS_Test Combined</t>
        </is>
      </c>
      <c r="C33" s="322" t="inlineStr">
        <is>
          <t>pdf</t>
        </is>
      </c>
      <c r="F33" s="63" t="n"/>
      <c r="G33" s="64" t="n"/>
      <c r="J33" s="63" t="n"/>
      <c r="K33" s="64" t="n"/>
      <c r="L33" s="10" t="inlineStr">
        <is>
          <t>EC070027996</t>
        </is>
      </c>
      <c r="M33" s="64" t="inlineStr">
        <is>
          <t>2.0</t>
        </is>
      </c>
      <c r="N33" s="63" t="n"/>
      <c r="O33" s="64" t="n"/>
      <c r="P33" s="63" t="n"/>
      <c r="Q33" s="64" t="n"/>
      <c r="R33" s="63" t="n"/>
      <c r="S33" s="64" t="n"/>
      <c r="T33" s="212" t="n"/>
    </row>
    <row r="34">
      <c r="A34" s="62" t="inlineStr">
        <is>
          <t>Prove HVSP in combined test</t>
        </is>
      </c>
      <c r="B34" s="62" t="inlineStr">
        <is>
          <t>TS_Test HVSP Combined</t>
        </is>
      </c>
      <c r="C34" s="322" t="inlineStr">
        <is>
          <t>pdf</t>
        </is>
      </c>
      <c r="F34" s="63" t="n"/>
      <c r="G34" s="64" t="n"/>
      <c r="J34" s="63" t="n"/>
      <c r="K34" s="64" t="n"/>
      <c r="L34" s="10" t="inlineStr">
        <is>
          <t>EC070030298</t>
        </is>
      </c>
      <c r="M34" s="64" t="inlineStr">
        <is>
          <t>00.2</t>
        </is>
      </c>
      <c r="N34" s="63" t="n"/>
      <c r="O34" s="64" t="n"/>
      <c r="P34" s="63" t="n"/>
      <c r="Q34" s="64" t="n"/>
      <c r="R34" s="63" t="n"/>
      <c r="S34" s="64" t="n"/>
      <c r="T34" s="212" t="n"/>
    </row>
    <row r="35">
      <c r="A35" s="244" t="inlineStr">
        <is>
          <t>Manuals (other)</t>
        </is>
      </c>
      <c r="B35" s="177" t="n"/>
      <c r="C35" s="184" t="n"/>
      <c r="D35" s="178" t="n"/>
      <c r="E35" s="178" t="n"/>
      <c r="F35" s="187" t="n"/>
      <c r="G35" s="188" t="n"/>
      <c r="H35" s="178" t="n"/>
      <c r="I35" s="178" t="n"/>
      <c r="J35" s="187" t="n"/>
      <c r="K35" s="188" t="n"/>
      <c r="L35" s="178" t="n"/>
      <c r="M35" s="178" t="n"/>
      <c r="N35" s="187" t="n"/>
      <c r="O35" s="188" t="n"/>
      <c r="P35" s="178" t="n"/>
      <c r="Q35" s="178" t="n"/>
      <c r="R35" s="187" t="n"/>
      <c r="S35" s="188" t="n"/>
    </row>
    <row r="36" ht="29" customFormat="1" customHeight="1" s="250">
      <c r="A36" s="245" t="inlineStr">
        <is>
          <t>Manuale uso e depannage - Apparecchiature Segnalamento Francia</t>
        </is>
      </c>
      <c r="B36" s="245" t="inlineStr">
        <is>
          <t>MAN_GDA-VZI_Base</t>
        </is>
      </c>
      <c r="C36" s="246" t="inlineStr">
        <is>
          <t>pdf</t>
        </is>
      </c>
      <c r="D36" s="247" t="n"/>
      <c r="E36" s="247" t="n"/>
      <c r="F36" s="221" t="n"/>
      <c r="G36" s="248" t="n"/>
      <c r="H36" s="247" t="n"/>
      <c r="I36" s="247" t="n"/>
      <c r="J36" s="221" t="inlineStr">
        <is>
          <t>ETR1000V300_FR-DC100002740</t>
        </is>
      </c>
      <c r="K36" s="249" t="inlineStr">
        <is>
          <t>03</t>
        </is>
      </c>
      <c r="L36" s="247" t="n"/>
      <c r="M36" s="247" t="n"/>
      <c r="N36" s="221" t="n"/>
      <c r="O36" s="248" t="n"/>
      <c r="P36" s="247" t="n"/>
      <c r="Q36" s="247" t="n"/>
      <c r="R36" s="221" t="n"/>
      <c r="S36" s="248" t="n"/>
    </row>
  </sheetData>
  <mergeCells count="11">
    <mergeCell ref="D1:E1"/>
    <mergeCell ref="H1:I1"/>
    <mergeCell ref="L1:M1"/>
    <mergeCell ref="J1:K1"/>
    <mergeCell ref="P1:Q1"/>
    <mergeCell ref="C1:C2"/>
    <mergeCell ref="B1:B2"/>
    <mergeCell ref="F1:G1"/>
    <mergeCell ref="N1:O1"/>
    <mergeCell ref="R1:S1"/>
    <mergeCell ref="A1:A2"/>
  </mergeCells>
  <pageMargins left="0.7" right="0.7" top="0.75" bottom="0.75" header="0.3" footer="0.3"/>
  <pageSetup orientation="portrait" paperSize="9" verticalDpi="1200"/>
</worksheet>
</file>

<file path=xl/worksheets/sheet7.xml><?xml version="1.0" encoding="utf-8"?>
<worksheet xmlns="http://schemas.openxmlformats.org/spreadsheetml/2006/main">
  <sheetPr codeName="Foglio6">
    <tabColor theme="5" tint="0.3999755851924192"/>
    <outlinePr summaryBelow="1" summaryRight="1"/>
    <pageSetUpPr/>
  </sheetPr>
  <dimension ref="A1:AC79"/>
  <sheetViews>
    <sheetView zoomScale="70" zoomScaleNormal="70" workbookViewId="0">
      <selection activeCell="O53" sqref="O53"/>
    </sheetView>
  </sheetViews>
  <sheetFormatPr baseColWidth="8" defaultColWidth="8.7265625" defaultRowHeight="14.5"/>
  <cols>
    <col width="58.1796875" bestFit="1" customWidth="1" style="8" min="1" max="1"/>
    <col width="20.7265625" bestFit="1" customWidth="1" style="9" min="2" max="2"/>
    <col width="8.1796875" bestFit="1" customWidth="1" style="9" min="3" max="3"/>
    <col width="4.81640625" bestFit="1" customWidth="1" style="9" min="4" max="4"/>
    <col width="12.81640625" customWidth="1" style="9" min="5" max="5"/>
    <col width="32" bestFit="1" customWidth="1" style="9" min="6" max="6"/>
    <col width="27.81640625" bestFit="1" customWidth="1" style="9" min="7" max="7"/>
    <col width="4.1796875" bestFit="1" customWidth="1" style="9" min="8" max="8"/>
    <col width="7.1796875" bestFit="1" customWidth="1" style="9" min="9" max="9"/>
    <col width="32" bestFit="1" customWidth="1" style="9" min="10" max="10"/>
    <col width="27.81640625" bestFit="1" customWidth="1" style="9" min="11" max="11"/>
    <col width="4.1796875" bestFit="1" customWidth="1" style="9" min="12" max="12"/>
    <col width="7.1796875" bestFit="1" customWidth="1" style="9" min="13" max="13"/>
    <col width="26.81640625" customWidth="1" style="9" min="14" max="14"/>
    <col width="26.81640625" customWidth="1" style="8" min="15" max="15"/>
    <col width="4.453125" bestFit="1" customWidth="1" style="9" min="16" max="16"/>
    <col width="7.453125" bestFit="1" customWidth="1" style="290" min="17" max="17"/>
    <col width="23" bestFit="1" customWidth="1" style="9" min="18" max="18"/>
    <col width="25.7265625" bestFit="1" customWidth="1" style="9" min="19" max="19"/>
    <col width="4.453125" bestFit="1" customWidth="1" style="9" min="20" max="20"/>
    <col width="6.81640625" bestFit="1" customWidth="1" style="290" min="21" max="21"/>
    <col width="25.7265625" bestFit="1" customWidth="1" style="9" min="22" max="22"/>
    <col width="28.453125" bestFit="1" customWidth="1" style="9" min="23" max="23"/>
    <col width="16.1796875" customWidth="1" style="9" min="24" max="25"/>
    <col width="23.54296875" bestFit="1" customWidth="1" style="9" min="26" max="26"/>
    <col width="26.453125" bestFit="1" customWidth="1" style="9" min="27" max="27"/>
    <col width="4.453125" bestFit="1" customWidth="1" style="9" min="28" max="28"/>
    <col width="8.81640625" bestFit="1" customWidth="1" style="290" min="29" max="29"/>
    <col width="8.7265625" customWidth="1" style="8" min="30" max="16384"/>
  </cols>
  <sheetData>
    <row r="1" ht="29.5" customHeight="1" s="462">
      <c r="A1" s="420" t="inlineStr">
        <is>
          <t>DOC DESCRIPTION</t>
        </is>
      </c>
      <c r="B1" s="429" t="inlineStr">
        <is>
          <t>DOC ID</t>
        </is>
      </c>
      <c r="C1" s="429" t="inlineStr">
        <is>
          <t>DOC EXT</t>
        </is>
      </c>
      <c r="D1" s="438" t="inlineStr">
        <is>
          <t>TIPO</t>
        </is>
      </c>
      <c r="E1" s="438" t="inlineStr">
        <is>
          <t>VOLUME
SUBVOLUME
_TOMO</t>
        </is>
      </c>
      <c r="F1" s="530" t="inlineStr">
        <is>
          <t>VZI_Base</t>
        </is>
      </c>
      <c r="G1" s="509" t="n"/>
      <c r="H1" s="509" t="n"/>
      <c r="I1" s="46" t="n"/>
      <c r="J1" s="530" t="inlineStr">
        <is>
          <t>VZI_New14</t>
        </is>
      </c>
      <c r="K1" s="509" t="n"/>
      <c r="L1" s="509" t="n"/>
      <c r="M1" s="46" t="n"/>
      <c r="N1" s="531" t="inlineStr">
        <is>
          <t>VZ_FR</t>
        </is>
      </c>
      <c r="O1" s="509" t="n"/>
      <c r="P1" s="509" t="n"/>
      <c r="Q1" s="46" t="n"/>
      <c r="R1" s="531" t="inlineStr">
        <is>
          <t>VZ-ES</t>
        </is>
      </c>
      <c r="S1" s="509" t="n"/>
      <c r="T1" s="509" t="n"/>
      <c r="U1" s="46" t="n"/>
      <c r="V1" s="532" t="inlineStr">
        <is>
          <t>VZI-6_R1</t>
        </is>
      </c>
      <c r="W1" s="509" t="n"/>
      <c r="X1" s="509" t="n"/>
      <c r="Y1" s="46" t="n"/>
      <c r="Z1" s="532" t="inlineStr">
        <is>
          <t>VZI-4_R1</t>
        </is>
      </c>
      <c r="AA1" s="509" t="n"/>
      <c r="AB1" s="509" t="n"/>
      <c r="AC1" s="46" t="n"/>
    </row>
    <row r="2" ht="29.5" customHeight="1" s="462" thickBot="1">
      <c r="A2" s="422" t="n"/>
      <c r="B2" s="430" t="n"/>
      <c r="C2" s="430" t="n"/>
      <c r="D2" s="533" t="n"/>
      <c r="E2" s="533" t="n"/>
      <c r="F2" s="172" t="inlineStr">
        <is>
          <t>NOME FILE</t>
        </is>
      </c>
      <c r="G2" s="251" t="inlineStr">
        <is>
          <t>CODICE</t>
        </is>
      </c>
      <c r="H2" s="173" t="inlineStr">
        <is>
          <t>REV</t>
        </is>
      </c>
      <c r="I2" s="174" t="inlineStr">
        <is>
          <t>DATA</t>
        </is>
      </c>
      <c r="J2" s="172" t="inlineStr">
        <is>
          <t>NOME FILE</t>
        </is>
      </c>
      <c r="K2" s="251" t="inlineStr">
        <is>
          <t>CODICE</t>
        </is>
      </c>
      <c r="L2" s="173" t="inlineStr">
        <is>
          <t>REV</t>
        </is>
      </c>
      <c r="M2" s="174" t="inlineStr">
        <is>
          <t>DATA</t>
        </is>
      </c>
      <c r="N2" s="172" t="inlineStr">
        <is>
          <t>NOME FILE</t>
        </is>
      </c>
      <c r="O2" s="251" t="inlineStr">
        <is>
          <t>CODICE</t>
        </is>
      </c>
      <c r="P2" s="84" t="inlineStr">
        <is>
          <t>REV</t>
        </is>
      </c>
      <c r="Q2" s="85" t="inlineStr">
        <is>
          <t>DATA</t>
        </is>
      </c>
      <c r="R2" s="172" t="inlineStr">
        <is>
          <t>NOME FILE</t>
        </is>
      </c>
      <c r="S2" s="251" t="inlineStr">
        <is>
          <t>CODICE</t>
        </is>
      </c>
      <c r="T2" s="84" t="inlineStr">
        <is>
          <t>REV</t>
        </is>
      </c>
      <c r="U2" s="252" t="inlineStr">
        <is>
          <t>DATA</t>
        </is>
      </c>
      <c r="V2" s="172" t="inlineStr">
        <is>
          <t>NOME FILE</t>
        </is>
      </c>
      <c r="W2" s="251" t="inlineStr">
        <is>
          <t>CODICE</t>
        </is>
      </c>
      <c r="X2" s="84" t="inlineStr">
        <is>
          <t>REV</t>
        </is>
      </c>
      <c r="Y2" s="85" t="inlineStr">
        <is>
          <t>DATA</t>
        </is>
      </c>
      <c r="Z2" s="172" t="inlineStr">
        <is>
          <t>NOME FILE</t>
        </is>
      </c>
      <c r="AA2" s="251" t="inlineStr">
        <is>
          <t>CODICE</t>
        </is>
      </c>
      <c r="AB2" s="84" t="inlineStr">
        <is>
          <t>REV</t>
        </is>
      </c>
      <c r="AC2" s="252" t="inlineStr">
        <is>
          <t>DATA</t>
        </is>
      </c>
    </row>
    <row r="3">
      <c r="A3" s="253" t="inlineStr">
        <is>
          <t>Descrizione generale e funzionamento</t>
        </is>
      </c>
      <c r="B3" s="254">
        <f>CONCATENATE(D3,"_",E3)</f>
        <v/>
      </c>
      <c r="C3" s="254" t="inlineStr">
        <is>
          <t>pdf</t>
        </is>
      </c>
      <c r="D3" s="254" t="inlineStr">
        <is>
          <t>PBC</t>
        </is>
      </c>
      <c r="E3" s="254" t="inlineStr">
        <is>
          <t>01A</t>
        </is>
      </c>
      <c r="F3" s="190">
        <f>CONCATENATE("ETR1000V300-",$D3,"-",$E3)</f>
        <v/>
      </c>
      <c r="G3" s="255">
        <f>CONCATENATE(F3,"-",H3)</f>
        <v/>
      </c>
      <c r="H3" s="191" t="n">
        <v>14</v>
      </c>
      <c r="I3" s="192" t="n">
        <v>46113</v>
      </c>
      <c r="J3" s="190">
        <f>$F3</f>
        <v/>
      </c>
      <c r="K3" s="255">
        <f>$G3</f>
        <v/>
      </c>
      <c r="L3" s="191">
        <f>$H3</f>
        <v/>
      </c>
      <c r="M3" s="192">
        <f>$I3</f>
        <v/>
      </c>
      <c r="N3" s="256">
        <f>CONCATENATE("ETR1000V300_FR-",$D3,"-",$E3)</f>
        <v/>
      </c>
      <c r="O3" s="257">
        <f>CONCATENATE(N3,"-",P3)</f>
        <v/>
      </c>
      <c r="P3" s="258" t="inlineStr">
        <is>
          <t>03</t>
        </is>
      </c>
      <c r="Q3" s="259" t="n">
        <v>43922</v>
      </c>
      <c r="R3" s="260">
        <f>CONCATENATE("ETR1000V300_ES-",$D3,"-",$E3)</f>
        <v/>
      </c>
      <c r="S3" s="261">
        <f>CONCATENATE(R3,"-",T3)</f>
        <v/>
      </c>
      <c r="T3" s="258" t="inlineStr">
        <is>
          <t>03</t>
        </is>
      </c>
      <c r="U3" s="262" t="n">
        <v>45566</v>
      </c>
      <c r="V3" s="260">
        <f>CONCATENATE("ETR1000V300_R1-",$D3,"-",$E3)</f>
        <v/>
      </c>
      <c r="W3" s="261">
        <f>CONCATENATE(V3,"-",X3)</f>
        <v/>
      </c>
      <c r="X3" s="258" t="inlineStr">
        <is>
          <t>06</t>
        </is>
      </c>
      <c r="Y3" s="262" t="n">
        <v>45870</v>
      </c>
      <c r="Z3" s="263">
        <f>V3</f>
        <v/>
      </c>
      <c r="AA3" s="258">
        <f>W3</f>
        <v/>
      </c>
      <c r="AB3" s="258">
        <f>X3</f>
        <v/>
      </c>
      <c r="AC3" s="264">
        <f>Y3</f>
        <v/>
      </c>
    </row>
    <row r="4">
      <c r="A4" s="265" t="inlineStr">
        <is>
          <t>Norme d’Uso ed Interventi di Emergenza</t>
        </is>
      </c>
      <c r="B4" s="233">
        <f>CONCATENATE(D4,"_",E4)</f>
        <v/>
      </c>
      <c r="C4" s="254" t="inlineStr">
        <is>
          <t>pdf</t>
        </is>
      </c>
      <c r="D4" s="233" t="inlineStr">
        <is>
          <t>PBC</t>
        </is>
      </c>
      <c r="E4" s="233" t="inlineStr">
        <is>
          <t>01B</t>
        </is>
      </c>
      <c r="F4" s="193">
        <f>CONCATENATE("ETR1000V300-",$D4,"-",$E4)</f>
        <v/>
      </c>
      <c r="G4" s="266">
        <f>CONCATENATE(F4,"-",H4)</f>
        <v/>
      </c>
      <c r="H4" s="194" t="n">
        <v>14</v>
      </c>
      <c r="I4" s="195" t="n">
        <v>45748</v>
      </c>
      <c r="J4" s="193">
        <f>$F4</f>
        <v/>
      </c>
      <c r="K4" s="266">
        <f>$G4</f>
        <v/>
      </c>
      <c r="L4" s="194">
        <f>$H4</f>
        <v/>
      </c>
      <c r="M4" s="195">
        <f>$I4</f>
        <v/>
      </c>
      <c r="N4" s="260">
        <f>CONCATENATE("ETR1000V300_FR-",$D4,"-",$E4)</f>
        <v/>
      </c>
      <c r="O4" s="261">
        <f>CONCATENATE(N4,"-",P4)</f>
        <v/>
      </c>
      <c r="P4" s="235" t="inlineStr">
        <is>
          <t>03</t>
        </is>
      </c>
      <c r="Q4" s="262" t="n">
        <v>43922</v>
      </c>
      <c r="R4" s="260">
        <f>CONCATENATE("ETR1000V300_ES-",$D4,"-",$E4)</f>
        <v/>
      </c>
      <c r="S4" s="235">
        <f>CONCATENATE(R4,"-",T4)</f>
        <v/>
      </c>
      <c r="T4" s="235" t="inlineStr">
        <is>
          <t>03</t>
        </is>
      </c>
      <c r="U4" s="262" t="n">
        <v>45566</v>
      </c>
      <c r="V4" s="260">
        <f>CONCATENATE("ETR1000V300_R1-",$D4,"-",$E4)</f>
        <v/>
      </c>
      <c r="W4" s="261">
        <f>CONCATENATE(V4,"-",X4)</f>
        <v/>
      </c>
      <c r="X4" s="267" t="inlineStr">
        <is>
          <t>09</t>
        </is>
      </c>
      <c r="Y4" s="262" t="n">
        <v>45870</v>
      </c>
      <c r="Z4" s="268">
        <f>V4</f>
        <v/>
      </c>
      <c r="AA4" s="267">
        <f>W4</f>
        <v/>
      </c>
      <c r="AB4" s="267">
        <f>X4</f>
        <v/>
      </c>
      <c r="AC4" s="269">
        <f>Y4</f>
        <v/>
      </c>
    </row>
    <row r="5">
      <c r="A5" s="270" t="inlineStr">
        <is>
          <t>Manuale per il Personale di Bordo addetto alla Scorta</t>
        </is>
      </c>
      <c r="B5" s="233">
        <f>CONCATENATE(D5,"_",E5)</f>
        <v/>
      </c>
      <c r="C5" s="254" t="inlineStr">
        <is>
          <t>pdf</t>
        </is>
      </c>
      <c r="D5" s="233" t="inlineStr">
        <is>
          <t>PBS</t>
        </is>
      </c>
      <c r="E5" s="233" t="inlineStr">
        <is>
          <t>01A</t>
        </is>
      </c>
      <c r="F5" s="193">
        <f>CONCATENATE("ETR1000V300-",$D5,"-",$E5)</f>
        <v/>
      </c>
      <c r="G5" s="266">
        <f>CONCATENATE(F5,"-",H5)</f>
        <v/>
      </c>
      <c r="H5" s="197" t="inlineStr">
        <is>
          <t>04</t>
        </is>
      </c>
      <c r="I5" s="195" t="n">
        <v>45748</v>
      </c>
      <c r="J5" s="193">
        <f>$F5</f>
        <v/>
      </c>
      <c r="K5" s="266">
        <f>$G5</f>
        <v/>
      </c>
      <c r="L5" s="197">
        <f>$H5</f>
        <v/>
      </c>
      <c r="M5" s="195">
        <f>$I5</f>
        <v/>
      </c>
      <c r="N5" s="260">
        <f>CONCATENATE("ETR1000V300_FR-",$D5,"-",$E5)</f>
        <v/>
      </c>
      <c r="O5" s="261">
        <f>CONCATENATE(N5,"-",P5)</f>
        <v/>
      </c>
      <c r="P5" s="267" t="inlineStr">
        <is>
          <t>01</t>
        </is>
      </c>
      <c r="Q5" s="262" t="n">
        <v>43922</v>
      </c>
      <c r="R5" s="260">
        <f>CONCATENATE("ETR1000V300_ES-",$D5,"-",$E5)</f>
        <v/>
      </c>
      <c r="S5" s="235">
        <f>CONCATENATE(R5,"-",T5)</f>
        <v/>
      </c>
      <c r="T5" s="235" t="inlineStr">
        <is>
          <t>03</t>
        </is>
      </c>
      <c r="U5" s="262" t="n">
        <v>45566</v>
      </c>
      <c r="V5" s="260">
        <f>CONCATENATE("ETR1000V300_R1-",$D5,"-",$E5)</f>
        <v/>
      </c>
      <c r="W5" s="261">
        <f>CONCATENATE(V5,"-",X5)</f>
        <v/>
      </c>
      <c r="X5" s="267" t="inlineStr">
        <is>
          <t>03</t>
        </is>
      </c>
      <c r="Y5" s="262" t="n">
        <v>45901</v>
      </c>
      <c r="Z5" s="268">
        <f>V5</f>
        <v/>
      </c>
      <c r="AA5" s="267">
        <f>W5</f>
        <v/>
      </c>
      <c r="AB5" s="267">
        <f>X5</f>
        <v/>
      </c>
      <c r="AC5" s="269">
        <f>Y5</f>
        <v/>
      </c>
    </row>
    <row r="6">
      <c r="A6" s="270" t="inlineStr">
        <is>
          <t>Cassa</t>
        </is>
      </c>
      <c r="B6" s="233">
        <f>CONCATENATE(D6,"_",E6)</f>
        <v/>
      </c>
      <c r="C6" s="254" t="inlineStr">
        <is>
          <t>pdf</t>
        </is>
      </c>
      <c r="D6" s="233" t="inlineStr">
        <is>
          <t>MR1</t>
        </is>
      </c>
      <c r="E6" s="271" t="inlineStr">
        <is>
          <t>01A</t>
        </is>
      </c>
      <c r="F6" s="193">
        <f>CONCATENATE("ETR1000V300-",$D6,"-",$E6)</f>
        <v/>
      </c>
      <c r="G6" s="266">
        <f>CONCATENATE(F6,"-",H6)</f>
        <v/>
      </c>
      <c r="H6" s="203" t="inlineStr">
        <is>
          <t>08</t>
        </is>
      </c>
      <c r="I6" s="204" t="n">
        <v>46113</v>
      </c>
      <c r="J6" s="193">
        <f>$F6</f>
        <v/>
      </c>
      <c r="K6" s="266">
        <f>$G6</f>
        <v/>
      </c>
      <c r="L6" s="203">
        <f>$H6</f>
        <v/>
      </c>
      <c r="M6" s="204">
        <f>$I6</f>
        <v/>
      </c>
      <c r="N6" s="272">
        <f>CONCATENATE("ETR1000V300_FR-",$D6,"-",$E6)</f>
        <v/>
      </c>
      <c r="O6" s="261">
        <f>CONCATENATE(N6,"-",P6)</f>
        <v/>
      </c>
      <c r="P6" s="267" t="inlineStr">
        <is>
          <t>01</t>
        </is>
      </c>
      <c r="Q6" s="262" t="n">
        <v>44105</v>
      </c>
      <c r="R6" s="273" t="inlineStr">
        <is>
          <t>TBD</t>
        </is>
      </c>
      <c r="S6" s="274" t="n"/>
      <c r="T6" s="274" t="n"/>
      <c r="U6" s="275" t="n"/>
      <c r="V6" s="260">
        <f>CONCATENATE("ETR1000V300_R1-",$D6,"-",$E6)</f>
        <v/>
      </c>
      <c r="W6" s="261">
        <f>CONCATENATE(V6,"-",X6)</f>
        <v/>
      </c>
      <c r="X6" s="267" t="inlineStr">
        <is>
          <t>05</t>
        </is>
      </c>
      <c r="Y6" s="276" t="inlineStr">
        <is>
          <t>gen-2026</t>
        </is>
      </c>
      <c r="Z6" s="268">
        <f>V6</f>
        <v/>
      </c>
      <c r="AA6" s="267">
        <f>W6</f>
        <v/>
      </c>
      <c r="AB6" s="267">
        <f>X6</f>
        <v/>
      </c>
      <c r="AC6" s="269">
        <f>Y6</f>
        <v/>
      </c>
    </row>
    <row r="7">
      <c r="A7" s="270" t="inlineStr">
        <is>
          <t>Carrello</t>
        </is>
      </c>
      <c r="B7" s="233">
        <f>CONCATENATE(D7,"_",E7)</f>
        <v/>
      </c>
      <c r="C7" s="254" t="inlineStr">
        <is>
          <t>pdf</t>
        </is>
      </c>
      <c r="D7" s="233" t="inlineStr">
        <is>
          <t>MR1</t>
        </is>
      </c>
      <c r="E7" s="233" t="inlineStr">
        <is>
          <t>02A</t>
        </is>
      </c>
      <c r="F7" s="193">
        <f>CONCATENATE("ETR1000V300-",$D7,"-",$E7)</f>
        <v/>
      </c>
      <c r="G7" s="266">
        <f>CONCATENATE(F7,"-",H7)</f>
        <v/>
      </c>
      <c r="H7" s="205" t="n">
        <v>14</v>
      </c>
      <c r="I7" s="204" t="n">
        <v>46113</v>
      </c>
      <c r="J7" s="193">
        <f>$F7</f>
        <v/>
      </c>
      <c r="K7" s="266">
        <f>$G7</f>
        <v/>
      </c>
      <c r="L7" s="205">
        <f>$H7</f>
        <v/>
      </c>
      <c r="M7" s="204">
        <f>$I7</f>
        <v/>
      </c>
      <c r="N7" s="272">
        <f>CONCATENATE("ETR1000V300_FR-",$D7,"-",$E7)</f>
        <v/>
      </c>
      <c r="O7" s="261">
        <f>CONCATENATE(N7,"-",P7)</f>
        <v/>
      </c>
      <c r="P7" s="267" t="inlineStr">
        <is>
          <t>02</t>
        </is>
      </c>
      <c r="Q7" s="262" t="n">
        <v>44713</v>
      </c>
      <c r="R7" s="260" t="n"/>
      <c r="S7" s="235" t="n"/>
      <c r="T7" s="235" t="n"/>
      <c r="U7" s="262" t="n"/>
      <c r="V7" s="260">
        <f>CONCATENATE("ETR1000V300_R1-",$D7,"-",$E7)</f>
        <v/>
      </c>
      <c r="W7" s="261">
        <f>CONCATENATE(V7,"-",X7)</f>
        <v/>
      </c>
      <c r="X7" s="267" t="inlineStr">
        <is>
          <t>08</t>
        </is>
      </c>
      <c r="Y7" s="276" t="inlineStr">
        <is>
          <t>gen-2026</t>
        </is>
      </c>
      <c r="Z7" s="268">
        <f>V7</f>
        <v/>
      </c>
      <c r="AA7" s="267">
        <f>W7</f>
        <v/>
      </c>
      <c r="AB7" s="267">
        <f>X7</f>
        <v/>
      </c>
      <c r="AC7" s="269">
        <f>Y7</f>
        <v/>
      </c>
    </row>
    <row r="8">
      <c r="A8" s="270" t="inlineStr">
        <is>
          <t>Impianto pneumatico e freno</t>
        </is>
      </c>
      <c r="B8" s="233">
        <f>CONCATENATE(D8,"_",E8)</f>
        <v/>
      </c>
      <c r="C8" s="254" t="inlineStr">
        <is>
          <t>pdf</t>
        </is>
      </c>
      <c r="D8" s="233" t="inlineStr">
        <is>
          <t>MR1</t>
        </is>
      </c>
      <c r="E8" s="233" t="inlineStr">
        <is>
          <t>03A</t>
        </is>
      </c>
      <c r="F8" s="193">
        <f>CONCATENATE("ETR1000V300-",$D8,"-",$E8)</f>
        <v/>
      </c>
      <c r="G8" s="266">
        <f>CONCATENATE(F8,"-",H8)</f>
        <v/>
      </c>
      <c r="H8" s="203" t="inlineStr">
        <is>
          <t>09</t>
        </is>
      </c>
      <c r="I8" s="204" t="n">
        <v>46113</v>
      </c>
      <c r="J8" s="193">
        <f>$F8</f>
        <v/>
      </c>
      <c r="K8" s="266">
        <f>$G8</f>
        <v/>
      </c>
      <c r="L8" s="203">
        <f>$H8</f>
        <v/>
      </c>
      <c r="M8" s="204">
        <f>$I8</f>
        <v/>
      </c>
      <c r="N8" s="272">
        <f>CONCATENATE("ETR1000V300_FR-",$D8,"-",$E8)</f>
        <v/>
      </c>
      <c r="O8" s="261">
        <f>CONCATENATE(N8,"-",P8)</f>
        <v/>
      </c>
      <c r="P8" s="267" t="inlineStr">
        <is>
          <t>02</t>
        </is>
      </c>
      <c r="Q8" s="262" t="n">
        <v>44713</v>
      </c>
      <c r="R8" s="260" t="n"/>
      <c r="S8" s="235" t="n"/>
      <c r="T8" s="235" t="n"/>
      <c r="U8" s="262" t="n"/>
      <c r="V8" s="260">
        <f>CONCATENATE("ETR1000V300_R1-",$D8,"-",$E8)</f>
        <v/>
      </c>
      <c r="W8" s="261">
        <f>CONCATENATE(V8,"-",X8)</f>
        <v/>
      </c>
      <c r="X8" s="267" t="inlineStr">
        <is>
          <t>04</t>
        </is>
      </c>
      <c r="Y8" s="262" t="n">
        <v>45992</v>
      </c>
      <c r="Z8" s="268">
        <f>V8</f>
        <v/>
      </c>
      <c r="AA8" s="267">
        <f>W8</f>
        <v/>
      </c>
      <c r="AB8" s="267">
        <f>X8</f>
        <v/>
      </c>
      <c r="AC8" s="269">
        <f>Y8</f>
        <v/>
      </c>
    </row>
    <row r="9">
      <c r="A9" s="270" t="inlineStr">
        <is>
          <t>Equipaggiamento elettrico ed elettropneumatico</t>
        </is>
      </c>
      <c r="B9" s="233">
        <f>CONCATENATE(D9,"_",E9)</f>
        <v/>
      </c>
      <c r="C9" s="254" t="inlineStr">
        <is>
          <t>pdf</t>
        </is>
      </c>
      <c r="D9" s="233" t="inlineStr">
        <is>
          <t>MR1</t>
        </is>
      </c>
      <c r="E9" s="271" t="inlineStr">
        <is>
          <t>04A</t>
        </is>
      </c>
      <c r="F9" s="193">
        <f>CONCATENATE("ETR1000V300-",$D9,"-",$E9)</f>
        <v/>
      </c>
      <c r="G9" s="266">
        <f>CONCATENATE(F9,"-",H9)</f>
        <v/>
      </c>
      <c r="H9" s="203" t="n">
        <v>10</v>
      </c>
      <c r="I9" s="204" t="n">
        <v>46113</v>
      </c>
      <c r="J9" s="193">
        <f>$F9</f>
        <v/>
      </c>
      <c r="K9" s="266">
        <f>$G9</f>
        <v/>
      </c>
      <c r="L9" s="203">
        <f>$H9</f>
        <v/>
      </c>
      <c r="M9" s="204">
        <f>$I9</f>
        <v/>
      </c>
      <c r="N9" s="272">
        <f>CONCATENATE("ETR1000V300_FR-",$D9,"-",$E9)</f>
        <v/>
      </c>
      <c r="O9" s="261">
        <f>CONCATENATE(N9,"-",P9)</f>
        <v/>
      </c>
      <c r="P9" s="267" t="inlineStr">
        <is>
          <t>05</t>
        </is>
      </c>
      <c r="Q9" s="262" t="n">
        <v>45931</v>
      </c>
      <c r="R9" s="260" t="n"/>
      <c r="S9" s="235" t="n"/>
      <c r="T9" s="235" t="n"/>
      <c r="U9" s="262" t="n"/>
      <c r="V9" s="260">
        <f>CONCATENATE("ETR1000V300_R1-",$D9,"-",$E9)</f>
        <v/>
      </c>
      <c r="W9" s="261">
        <f>CONCATENATE(V9,"-",X9)</f>
        <v/>
      </c>
      <c r="X9" s="267" t="inlineStr">
        <is>
          <t>05</t>
        </is>
      </c>
      <c r="Y9" s="276" t="inlineStr">
        <is>
          <t>gen-2026</t>
        </is>
      </c>
      <c r="Z9" s="268">
        <f>V9</f>
        <v/>
      </c>
      <c r="AA9" s="267">
        <f>W9</f>
        <v/>
      </c>
      <c r="AB9" s="267">
        <f>X9</f>
        <v/>
      </c>
      <c r="AC9" s="269">
        <f>Y9</f>
        <v/>
      </c>
    </row>
    <row r="10">
      <c r="A10" s="270" t="inlineStr">
        <is>
          <t>Logica di comando</t>
        </is>
      </c>
      <c r="B10" s="233">
        <f>CONCATENATE(D10,"_",E10)</f>
        <v/>
      </c>
      <c r="C10" s="254" t="inlineStr">
        <is>
          <t>pdf</t>
        </is>
      </c>
      <c r="D10" s="233" t="inlineStr">
        <is>
          <t>MR1</t>
        </is>
      </c>
      <c r="E10" s="233" t="inlineStr">
        <is>
          <t>05A</t>
        </is>
      </c>
      <c r="F10" s="193">
        <f>CONCATENATE("ETR1000V300-",$D10,"-",$E10)</f>
        <v/>
      </c>
      <c r="G10" s="266">
        <f>CONCATENATE(F10,"-",H10)</f>
        <v/>
      </c>
      <c r="H10" s="203" t="inlineStr">
        <is>
          <t>04</t>
        </is>
      </c>
      <c r="I10" s="204" t="n">
        <v>46113</v>
      </c>
      <c r="J10" s="193">
        <f>$F10</f>
        <v/>
      </c>
      <c r="K10" s="266">
        <f>$G10</f>
        <v/>
      </c>
      <c r="L10" s="203">
        <f>$H10</f>
        <v/>
      </c>
      <c r="M10" s="204">
        <f>$I10</f>
        <v/>
      </c>
      <c r="N10" s="260">
        <f>$F10</f>
        <v/>
      </c>
      <c r="O10" s="261">
        <f>$G10</f>
        <v/>
      </c>
      <c r="P10" s="235">
        <f>$H10</f>
        <v/>
      </c>
      <c r="Q10" s="277">
        <f>$I10</f>
        <v/>
      </c>
      <c r="R10" s="260" t="n"/>
      <c r="S10" s="235" t="n"/>
      <c r="T10" s="235" t="n"/>
      <c r="U10" s="262" t="n"/>
      <c r="V10" s="260">
        <f>CONCATENATE("ETR1000V300_R1-",$D10,"-",$E10)</f>
        <v/>
      </c>
      <c r="W10" s="261">
        <f>CONCATENATE(V10,"-",X10)</f>
        <v/>
      </c>
      <c r="X10" s="267" t="inlineStr">
        <is>
          <t>03</t>
        </is>
      </c>
      <c r="Y10" s="262" t="n">
        <v>45931</v>
      </c>
      <c r="Z10" s="268">
        <f>V10</f>
        <v/>
      </c>
      <c r="AA10" s="267">
        <f>W10</f>
        <v/>
      </c>
      <c r="AB10" s="267">
        <f>X10</f>
        <v/>
      </c>
      <c r="AC10" s="269">
        <f>Y10</f>
        <v/>
      </c>
    </row>
    <row r="11">
      <c r="A11" s="270" t="inlineStr">
        <is>
          <t>Logica di comando - Nodo TCN</t>
        </is>
      </c>
      <c r="B11" s="233">
        <f>CONCATENATE(D11,"_",E11)</f>
        <v/>
      </c>
      <c r="C11" s="254" t="inlineStr">
        <is>
          <t>pdf</t>
        </is>
      </c>
      <c r="D11" s="233" t="inlineStr">
        <is>
          <t>MR1</t>
        </is>
      </c>
      <c r="E11" s="233" t="inlineStr">
        <is>
          <t>05B</t>
        </is>
      </c>
      <c r="F11" s="193">
        <f>CONCATENATE("ETR1000V300-",$D11,"-",$E11)</f>
        <v/>
      </c>
      <c r="G11" s="266">
        <f>CONCATENATE(F11,"-",H11)</f>
        <v/>
      </c>
      <c r="H11" s="197" t="inlineStr">
        <is>
          <t>02</t>
        </is>
      </c>
      <c r="I11" s="196" t="inlineStr">
        <is>
          <t>giu-17</t>
        </is>
      </c>
      <c r="J11" s="193">
        <f>$F11</f>
        <v/>
      </c>
      <c r="K11" s="266">
        <f>$G11</f>
        <v/>
      </c>
      <c r="L11" s="197">
        <f>$H11</f>
        <v/>
      </c>
      <c r="M11" s="196">
        <f>$I11</f>
        <v/>
      </c>
      <c r="N11" s="260">
        <f>$F11</f>
        <v/>
      </c>
      <c r="O11" s="261">
        <f>$G11</f>
        <v/>
      </c>
      <c r="P11" s="235">
        <f>$H11</f>
        <v/>
      </c>
      <c r="Q11" s="262">
        <f>$I11</f>
        <v/>
      </c>
      <c r="R11" s="260" t="n"/>
      <c r="S11" s="235" t="n"/>
      <c r="T11" s="235" t="n"/>
      <c r="U11" s="262" t="n"/>
      <c r="V11" s="260" t="inlineStr">
        <is>
          <t>\</t>
        </is>
      </c>
      <c r="W11" s="261" t="inlineStr">
        <is>
          <t>\</t>
        </is>
      </c>
      <c r="X11" s="267" t="inlineStr">
        <is>
          <t>\</t>
        </is>
      </c>
      <c r="Y11" s="262" t="inlineStr">
        <is>
          <t>\</t>
        </is>
      </c>
      <c r="Z11" s="268">
        <f>V11</f>
        <v/>
      </c>
      <c r="AA11" s="267">
        <f>W11</f>
        <v/>
      </c>
      <c r="AB11" s="267">
        <f>X11</f>
        <v/>
      </c>
      <c r="AC11" s="269">
        <f>Y11</f>
        <v/>
      </c>
    </row>
    <row r="12">
      <c r="A12" s="270" t="inlineStr">
        <is>
          <t>Azionamento di trazione</t>
        </is>
      </c>
      <c r="B12" s="233">
        <f>CONCATENATE(D12,"_",E12)</f>
        <v/>
      </c>
      <c r="C12" s="254" t="inlineStr">
        <is>
          <t>pdf</t>
        </is>
      </c>
      <c r="D12" s="233" t="inlineStr">
        <is>
          <t>MR1</t>
        </is>
      </c>
      <c r="E12" s="233" t="inlineStr">
        <is>
          <t>06A</t>
        </is>
      </c>
      <c r="F12" s="193">
        <f>CONCATENATE("ETR1000V300-",$D12,"-",$E12)</f>
        <v/>
      </c>
      <c r="G12" s="266">
        <f>CONCATENATE(F12,"-",H12)</f>
        <v/>
      </c>
      <c r="H12" s="203" t="inlineStr">
        <is>
          <t>05</t>
        </is>
      </c>
      <c r="I12" s="204" t="n">
        <v>46113</v>
      </c>
      <c r="J12" s="193">
        <f>$F12</f>
        <v/>
      </c>
      <c r="K12" s="266">
        <f>$G12</f>
        <v/>
      </c>
      <c r="L12" s="203">
        <f>$H12</f>
        <v/>
      </c>
      <c r="M12" s="204">
        <f>$I12</f>
        <v/>
      </c>
      <c r="N12" s="260">
        <f>$F12</f>
        <v/>
      </c>
      <c r="O12" s="235">
        <f>$G12</f>
        <v/>
      </c>
      <c r="P12" s="235">
        <f>$H12</f>
        <v/>
      </c>
      <c r="Q12" s="262">
        <f>$I12</f>
        <v/>
      </c>
      <c r="R12" s="260" t="n"/>
      <c r="S12" s="235" t="n"/>
      <c r="T12" s="235" t="n"/>
      <c r="U12" s="262" t="n"/>
      <c r="V12" s="260">
        <f>CONCATENATE("ETR1000V300_R1-",$D12,"-",$E12)</f>
        <v/>
      </c>
      <c r="W12" s="261">
        <f>CONCATENATE(V12,"-",X12)</f>
        <v/>
      </c>
      <c r="X12" s="267" t="inlineStr">
        <is>
          <t>04</t>
        </is>
      </c>
      <c r="Y12" s="262" t="n">
        <v>45992</v>
      </c>
      <c r="Z12" s="268">
        <f>V12</f>
        <v/>
      </c>
      <c r="AA12" s="267">
        <f>W12</f>
        <v/>
      </c>
      <c r="AB12" s="267">
        <f>X12</f>
        <v/>
      </c>
      <c r="AC12" s="269">
        <f>Y12</f>
        <v/>
      </c>
    </row>
    <row r="13">
      <c r="A13" s="270" t="inlineStr">
        <is>
          <t>Motore di trazione</t>
        </is>
      </c>
      <c r="B13" s="233">
        <f>CONCATENATE(D13,"_",E13)</f>
        <v/>
      </c>
      <c r="C13" s="254" t="inlineStr">
        <is>
          <t>pdf</t>
        </is>
      </c>
      <c r="D13" s="233" t="inlineStr">
        <is>
          <t>MR1</t>
        </is>
      </c>
      <c r="E13" s="233" t="inlineStr">
        <is>
          <t>07A</t>
        </is>
      </c>
      <c r="F13" s="193">
        <f>CONCATENATE("ETR1000V300-",$D13,"-",$E13)</f>
        <v/>
      </c>
      <c r="G13" s="266">
        <f>CONCATENATE(F13,"-",H13)</f>
        <v/>
      </c>
      <c r="H13" s="203" t="inlineStr">
        <is>
          <t>07</t>
        </is>
      </c>
      <c r="I13" s="204" t="n">
        <v>46113</v>
      </c>
      <c r="J13" s="193">
        <f>$F13</f>
        <v/>
      </c>
      <c r="K13" s="266">
        <f>$G13</f>
        <v/>
      </c>
      <c r="L13" s="203">
        <f>$H13</f>
        <v/>
      </c>
      <c r="M13" s="204">
        <f>$I13</f>
        <v/>
      </c>
      <c r="N13" s="260">
        <f>$F13</f>
        <v/>
      </c>
      <c r="O13" s="235">
        <f>$G13</f>
        <v/>
      </c>
      <c r="P13" s="235">
        <f>$H13</f>
        <v/>
      </c>
      <c r="Q13" s="262">
        <f>$I13</f>
        <v/>
      </c>
      <c r="R13" s="260" t="n"/>
      <c r="S13" s="235" t="n"/>
      <c r="T13" s="235" t="n"/>
      <c r="U13" s="262" t="n"/>
      <c r="V13" s="260">
        <f>CONCATENATE("ETR1000V300_R1-",$D13,"-",$E13)</f>
        <v/>
      </c>
      <c r="W13" s="261">
        <f>CONCATENATE(V13,"-",X13)</f>
        <v/>
      </c>
      <c r="X13" s="267" t="inlineStr">
        <is>
          <t>04</t>
        </is>
      </c>
      <c r="Y13" s="262" t="n">
        <v>45931</v>
      </c>
      <c r="Z13" s="268">
        <f>V13</f>
        <v/>
      </c>
      <c r="AA13" s="267">
        <f>W13</f>
        <v/>
      </c>
      <c r="AB13" s="267">
        <f>X13</f>
        <v/>
      </c>
      <c r="AC13" s="269">
        <f>Y13</f>
        <v/>
      </c>
    </row>
    <row r="14">
      <c r="A14" s="270" t="inlineStr">
        <is>
          <t>Passaggi esterni</t>
        </is>
      </c>
      <c r="B14" s="233">
        <f>CONCATENATE(D14,"_",E14)</f>
        <v/>
      </c>
      <c r="C14" s="254" t="inlineStr">
        <is>
          <t>pdf</t>
        </is>
      </c>
      <c r="D14" s="233" t="inlineStr">
        <is>
          <t>MR1</t>
        </is>
      </c>
      <c r="E14" s="271" t="inlineStr">
        <is>
          <t>08A</t>
        </is>
      </c>
      <c r="F14" s="193">
        <f>CONCATENATE("ETR1000V300-",$D14,"-",$E14)</f>
        <v/>
      </c>
      <c r="G14" s="266">
        <f>CONCATENATE(F14,"-",H14)</f>
        <v/>
      </c>
      <c r="H14" s="203" t="inlineStr">
        <is>
          <t>05</t>
        </is>
      </c>
      <c r="I14" s="204" t="n">
        <v>46113</v>
      </c>
      <c r="J14" s="193">
        <f>$F14</f>
        <v/>
      </c>
      <c r="K14" s="266">
        <f>$G14</f>
        <v/>
      </c>
      <c r="L14" s="203">
        <f>$H14</f>
        <v/>
      </c>
      <c r="M14" s="204">
        <f>$I14</f>
        <v/>
      </c>
      <c r="N14" s="260">
        <f>$F14</f>
        <v/>
      </c>
      <c r="O14" s="235">
        <f>$G14</f>
        <v/>
      </c>
      <c r="P14" s="235">
        <f>$H14</f>
        <v/>
      </c>
      <c r="Q14" s="262">
        <f>$I14</f>
        <v/>
      </c>
      <c r="R14" s="260" t="n"/>
      <c r="S14" s="235" t="n"/>
      <c r="T14" s="235" t="n"/>
      <c r="U14" s="262" t="n"/>
      <c r="V14" s="260">
        <f>CONCATENATE("ETR1000V300_R1-",$D14,"-",$E14)</f>
        <v/>
      </c>
      <c r="W14" s="261">
        <f>CONCATENATE(V14,"-",X14)</f>
        <v/>
      </c>
      <c r="X14" s="267" t="inlineStr">
        <is>
          <t>04</t>
        </is>
      </c>
      <c r="Y14" s="262" t="n">
        <v>45931</v>
      </c>
      <c r="Z14" s="268">
        <f>V14</f>
        <v/>
      </c>
      <c r="AA14" s="267">
        <f>W14</f>
        <v/>
      </c>
      <c r="AB14" s="267">
        <f>X14</f>
        <v/>
      </c>
      <c r="AC14" s="269">
        <f>Y14</f>
        <v/>
      </c>
    </row>
    <row r="15">
      <c r="A15" s="270" t="inlineStr">
        <is>
          <t>Sottosistema di climatizzazione</t>
        </is>
      </c>
      <c r="B15" s="233">
        <f>CONCATENATE(D15,"_",E15)</f>
        <v/>
      </c>
      <c r="C15" s="254" t="inlineStr">
        <is>
          <t>pdf</t>
        </is>
      </c>
      <c r="D15" s="233" t="inlineStr">
        <is>
          <t>MR1</t>
        </is>
      </c>
      <c r="E15" s="233" t="inlineStr">
        <is>
          <t>09A</t>
        </is>
      </c>
      <c r="F15" s="193">
        <f>CONCATENATE("ETR1000V300-",$D15,"-",$E15)</f>
        <v/>
      </c>
      <c r="G15" s="266">
        <f>CONCATENATE(F15,"-",H15)</f>
        <v/>
      </c>
      <c r="H15" s="203" t="inlineStr">
        <is>
          <t>05</t>
        </is>
      </c>
      <c r="I15" s="204" t="n">
        <v>46113</v>
      </c>
      <c r="J15" s="193">
        <f>$F15</f>
        <v/>
      </c>
      <c r="K15" s="266">
        <f>$G15</f>
        <v/>
      </c>
      <c r="L15" s="203">
        <f>$H15</f>
        <v/>
      </c>
      <c r="M15" s="204">
        <f>$I15</f>
        <v/>
      </c>
      <c r="N15" s="260">
        <f>$F15</f>
        <v/>
      </c>
      <c r="O15" s="235">
        <f>$G15</f>
        <v/>
      </c>
      <c r="P15" s="235">
        <f>$H15</f>
        <v/>
      </c>
      <c r="Q15" s="262">
        <f>$I15</f>
        <v/>
      </c>
      <c r="R15" s="260" t="n"/>
      <c r="S15" s="235" t="n"/>
      <c r="T15" s="235" t="n"/>
      <c r="U15" s="262" t="n"/>
      <c r="V15" s="260">
        <f>CONCATENATE("ETR1000V300_R1-",$D15,"-",$E15)</f>
        <v/>
      </c>
      <c r="W15" s="261">
        <f>CONCATENATE(V15,"-",X15)</f>
        <v/>
      </c>
      <c r="X15" s="267" t="inlineStr">
        <is>
          <t>04</t>
        </is>
      </c>
      <c r="Y15" s="262" t="n">
        <v>45931</v>
      </c>
      <c r="Z15" s="268">
        <f>V15</f>
        <v/>
      </c>
      <c r="AA15" s="267">
        <f>W15</f>
        <v/>
      </c>
      <c r="AB15" s="267">
        <f>X15</f>
        <v/>
      </c>
      <c r="AC15" s="269">
        <f>Y15</f>
        <v/>
      </c>
    </row>
    <row r="16">
      <c r="A16" s="270" t="inlineStr">
        <is>
          <t>Sottosistema di comunicazione</t>
        </is>
      </c>
      <c r="B16" s="233">
        <f>CONCATENATE(D16,"_",E16)</f>
        <v/>
      </c>
      <c r="C16" s="254" t="inlineStr">
        <is>
          <t>pdf</t>
        </is>
      </c>
      <c r="D16" s="233" t="inlineStr">
        <is>
          <t>MR1</t>
        </is>
      </c>
      <c r="E16" s="233" t="inlineStr">
        <is>
          <t>10A</t>
        </is>
      </c>
      <c r="F16" s="193">
        <f>CONCATENATE("ETR1000V300-",$D16,"-",$E16)</f>
        <v/>
      </c>
      <c r="G16" s="266">
        <f>CONCATENATE(F16,"-",H16)</f>
        <v/>
      </c>
      <c r="H16" s="203" t="inlineStr">
        <is>
          <t>05</t>
        </is>
      </c>
      <c r="I16" s="204" t="n">
        <v>46113</v>
      </c>
      <c r="J16" s="193">
        <f>$F16</f>
        <v/>
      </c>
      <c r="K16" s="266">
        <f>$G16</f>
        <v/>
      </c>
      <c r="L16" s="203">
        <f>$H16</f>
        <v/>
      </c>
      <c r="M16" s="204">
        <f>$I16</f>
        <v/>
      </c>
      <c r="N16" s="260">
        <f>$F16</f>
        <v/>
      </c>
      <c r="O16" s="235">
        <f>$G16</f>
        <v/>
      </c>
      <c r="P16" s="235">
        <f>$H16</f>
        <v/>
      </c>
      <c r="Q16" s="262">
        <f>$I16</f>
        <v/>
      </c>
      <c r="R16" s="260" t="n"/>
      <c r="S16" s="235" t="n"/>
      <c r="T16" s="235" t="n"/>
      <c r="U16" s="262" t="n"/>
      <c r="V16" s="260">
        <f>CONCATENATE("ETR1000V300_R1-",$D16,"-",$E16)</f>
        <v/>
      </c>
      <c r="W16" s="261">
        <f>CONCATENATE(V16,"-",X16)</f>
        <v/>
      </c>
      <c r="X16" s="267" t="inlineStr">
        <is>
          <t>03</t>
        </is>
      </c>
      <c r="Y16" s="262" t="n">
        <v>45901</v>
      </c>
      <c r="Z16" s="268">
        <f>V16</f>
        <v/>
      </c>
      <c r="AA16" s="267">
        <f>W16</f>
        <v/>
      </c>
      <c r="AB16" s="267">
        <f>X16</f>
        <v/>
      </c>
      <c r="AC16" s="269">
        <f>Y16</f>
        <v/>
      </c>
    </row>
    <row r="17">
      <c r="A17" s="270" t="inlineStr">
        <is>
          <t>Convertitore servizi ausiliari e caricabatterie</t>
        </is>
      </c>
      <c r="B17" s="233">
        <f>CONCATENATE(D17,"_",E17)</f>
        <v/>
      </c>
      <c r="C17" s="254" t="inlineStr">
        <is>
          <t>pdf</t>
        </is>
      </c>
      <c r="D17" s="233" t="inlineStr">
        <is>
          <t>MR1</t>
        </is>
      </c>
      <c r="E17" s="233" t="inlineStr">
        <is>
          <t>11A</t>
        </is>
      </c>
      <c r="F17" s="193">
        <f>CONCATENATE("ETR1000V300-",$D17,"-",$E17)</f>
        <v/>
      </c>
      <c r="G17" s="266">
        <f>CONCATENATE(F17,"-",H17)</f>
        <v/>
      </c>
      <c r="H17" s="203" t="inlineStr">
        <is>
          <t>03</t>
        </is>
      </c>
      <c r="I17" s="204" t="n">
        <v>46113</v>
      </c>
      <c r="J17" s="193">
        <f>$F17</f>
        <v/>
      </c>
      <c r="K17" s="266">
        <f>$G17</f>
        <v/>
      </c>
      <c r="L17" s="203">
        <f>$H17</f>
        <v/>
      </c>
      <c r="M17" s="204">
        <f>$I17</f>
        <v/>
      </c>
      <c r="N17" s="260">
        <f>$F17</f>
        <v/>
      </c>
      <c r="O17" s="235">
        <f>$G17</f>
        <v/>
      </c>
      <c r="P17" s="235">
        <f>$H17</f>
        <v/>
      </c>
      <c r="Q17" s="262">
        <f>$I17</f>
        <v/>
      </c>
      <c r="R17" s="260" t="n"/>
      <c r="S17" s="235" t="n"/>
      <c r="T17" s="235" t="n"/>
      <c r="U17" s="262" t="n"/>
      <c r="V17" s="260">
        <f>CONCATENATE("ETR1000V300_R1-",$D17,"-",$E17)</f>
        <v/>
      </c>
      <c r="W17" s="261">
        <f>CONCATENATE(V17,"-",X17)</f>
        <v/>
      </c>
      <c r="X17" s="267" t="inlineStr">
        <is>
          <t>03</t>
        </is>
      </c>
      <c r="Y17" s="262" t="n">
        <v>45992</v>
      </c>
      <c r="Z17" s="268">
        <f>V17</f>
        <v/>
      </c>
      <c r="AA17" s="267">
        <f>W17</f>
        <v/>
      </c>
      <c r="AB17" s="267">
        <f>X17</f>
        <v/>
      </c>
      <c r="AC17" s="269">
        <f>Y17</f>
        <v/>
      </c>
    </row>
    <row r="18">
      <c r="A18" s="270" t="inlineStr">
        <is>
          <t>Sottosistema diagnostica di bordo</t>
        </is>
      </c>
      <c r="B18" s="233">
        <f>CONCATENATE(D18,"_",E18)</f>
        <v/>
      </c>
      <c r="C18" s="254" t="inlineStr">
        <is>
          <t>pdf</t>
        </is>
      </c>
      <c r="D18" s="233" t="inlineStr">
        <is>
          <t>MR1</t>
        </is>
      </c>
      <c r="E18" s="233" t="inlineStr">
        <is>
          <t>13A</t>
        </is>
      </c>
      <c r="F18" s="193">
        <f>CONCATENATE("ETR1000V300-",$D18,"-",$E18)</f>
        <v/>
      </c>
      <c r="G18" s="266">
        <f>CONCATENATE(F18,"-",H18)</f>
        <v/>
      </c>
      <c r="H18" s="203" t="inlineStr">
        <is>
          <t>03</t>
        </is>
      </c>
      <c r="I18" s="204" t="n">
        <v>46113</v>
      </c>
      <c r="J18" s="193">
        <f>$F18</f>
        <v/>
      </c>
      <c r="K18" s="266">
        <f>$G18</f>
        <v/>
      </c>
      <c r="L18" s="203">
        <f>$H18</f>
        <v/>
      </c>
      <c r="M18" s="204">
        <f>$I18</f>
        <v/>
      </c>
      <c r="N18" s="260">
        <f>$F18</f>
        <v/>
      </c>
      <c r="O18" s="235">
        <f>$G18</f>
        <v/>
      </c>
      <c r="P18" s="235">
        <f>$H18</f>
        <v/>
      </c>
      <c r="Q18" s="262">
        <f>$I18</f>
        <v/>
      </c>
      <c r="R18" s="260" t="n"/>
      <c r="S18" s="235" t="n"/>
      <c r="T18" s="235" t="n"/>
      <c r="U18" s="262" t="n"/>
      <c r="V18" s="260">
        <f>CONCATENATE("ETR1000V300_R1-",$D18,"-",$E18)</f>
        <v/>
      </c>
      <c r="W18" s="261">
        <f>CONCATENATE(V18,"-",X18)</f>
        <v/>
      </c>
      <c r="X18" s="267" t="inlineStr">
        <is>
          <t>03</t>
        </is>
      </c>
      <c r="Y18" s="262" t="n">
        <v>45931</v>
      </c>
      <c r="Z18" s="268">
        <f>V18</f>
        <v/>
      </c>
      <c r="AA18" s="267">
        <f>W18</f>
        <v/>
      </c>
      <c r="AB18" s="267">
        <f>X18</f>
        <v/>
      </c>
      <c r="AC18" s="269">
        <f>Y18</f>
        <v/>
      </c>
    </row>
    <row r="19">
      <c r="A19" s="270" t="inlineStr">
        <is>
          <t>Allestimenti interni</t>
        </is>
      </c>
      <c r="B19" s="233">
        <f>CONCATENATE(D19,"_",E19)</f>
        <v/>
      </c>
      <c r="C19" s="254" t="inlineStr">
        <is>
          <t>pdf</t>
        </is>
      </c>
      <c r="D19" s="233" t="inlineStr">
        <is>
          <t>MR1</t>
        </is>
      </c>
      <c r="E19" s="233" t="inlineStr">
        <is>
          <t>14A</t>
        </is>
      </c>
      <c r="F19" s="199">
        <f>CONCATENATE("ETR1000V300-",$D19,"-",$E19)</f>
        <v/>
      </c>
      <c r="G19" s="266">
        <f>CONCATENATE(F19,"-",H19)</f>
        <v/>
      </c>
      <c r="H19" s="203" t="inlineStr">
        <is>
          <t>06</t>
        </is>
      </c>
      <c r="I19" s="204" t="n">
        <v>46113</v>
      </c>
      <c r="J19" s="199">
        <f>$F19</f>
        <v/>
      </c>
      <c r="K19" s="266">
        <f>$G19</f>
        <v/>
      </c>
      <c r="L19" s="203">
        <f>$H19</f>
        <v/>
      </c>
      <c r="M19" s="204">
        <f>$I19</f>
        <v/>
      </c>
      <c r="N19" s="260">
        <f>$F19</f>
        <v/>
      </c>
      <c r="O19" s="235">
        <f>$G19</f>
        <v/>
      </c>
      <c r="P19" s="235">
        <f>$H19</f>
        <v/>
      </c>
      <c r="Q19" s="262">
        <f>$I19</f>
        <v/>
      </c>
      <c r="R19" s="260" t="n"/>
      <c r="S19" s="235" t="n"/>
      <c r="T19" s="235" t="n"/>
      <c r="U19" s="262" t="n"/>
      <c r="V19" s="260" t="n"/>
      <c r="W19" s="261" t="n"/>
      <c r="X19" s="267" t="n"/>
      <c r="Y19" s="262" t="n"/>
      <c r="Z19" s="260" t="n"/>
      <c r="AA19" s="235" t="n"/>
      <c r="AB19" s="235" t="n"/>
      <c r="AC19" s="262" t="n"/>
    </row>
    <row r="20">
      <c r="A20" s="270" t="inlineStr">
        <is>
          <t>Allestimenti interni - Arredi comparto e cabina di guida</t>
        </is>
      </c>
      <c r="B20" s="233">
        <f>CONCATENATE(D20,"_",E20)</f>
        <v/>
      </c>
      <c r="C20" s="254" t="inlineStr">
        <is>
          <t>pdf</t>
        </is>
      </c>
      <c r="D20" s="233" t="inlineStr">
        <is>
          <t>MR1</t>
        </is>
      </c>
      <c r="E20" s="233" t="inlineStr">
        <is>
          <t>14B</t>
        </is>
      </c>
      <c r="F20" s="193">
        <f>CONCATENATE("ETR1000V300-",$D20,"-",$E20)</f>
        <v/>
      </c>
      <c r="G20" s="266" t="inlineStr">
        <is>
          <t>\</t>
        </is>
      </c>
      <c r="H20" s="200" t="inlineStr">
        <is>
          <t>\</t>
        </is>
      </c>
      <c r="I20" s="196" t="inlineStr">
        <is>
          <t>\</t>
        </is>
      </c>
      <c r="J20" s="193">
        <f>$F20</f>
        <v/>
      </c>
      <c r="K20" s="266">
        <f>$G20</f>
        <v/>
      </c>
      <c r="L20" s="200">
        <f>$H20</f>
        <v/>
      </c>
      <c r="M20" s="196">
        <f>$I20</f>
        <v/>
      </c>
      <c r="N20" s="260">
        <f>$G20</f>
        <v/>
      </c>
      <c r="O20" s="235">
        <f>$G20</f>
        <v/>
      </c>
      <c r="P20" s="235">
        <f>$H20</f>
        <v/>
      </c>
      <c r="Q20" s="262">
        <f>$I20</f>
        <v/>
      </c>
      <c r="R20" s="260" t="n"/>
      <c r="S20" s="235" t="n"/>
      <c r="T20" s="235" t="n"/>
      <c r="U20" s="262" t="n"/>
      <c r="V20" s="260">
        <f>CONCATENATE("ETR1000V300_R1-",$D20,"-",$E20)</f>
        <v/>
      </c>
      <c r="W20" s="261">
        <f>CONCATENATE(V20,"-",X20)</f>
        <v/>
      </c>
      <c r="X20" s="267" t="inlineStr">
        <is>
          <t>03</t>
        </is>
      </c>
      <c r="Y20" s="262" t="n">
        <v>45992</v>
      </c>
      <c r="Z20" s="268">
        <f>V20</f>
        <v/>
      </c>
      <c r="AA20" s="267">
        <f>W20</f>
        <v/>
      </c>
      <c r="AB20" s="267">
        <f>X20</f>
        <v/>
      </c>
      <c r="AC20" s="269">
        <f>Y20</f>
        <v/>
      </c>
    </row>
    <row r="21">
      <c r="A21" s="270" t="inlineStr">
        <is>
          <t>Servizi Generali di Bordo - Toilette</t>
        </is>
      </c>
      <c r="B21" s="233">
        <f>CONCATENATE(D21,"_",E21)</f>
        <v/>
      </c>
      <c r="C21" s="254" t="inlineStr">
        <is>
          <t>pdf</t>
        </is>
      </c>
      <c r="D21" s="233" t="inlineStr">
        <is>
          <t>MR1</t>
        </is>
      </c>
      <c r="E21" s="233" t="inlineStr">
        <is>
          <t>15A</t>
        </is>
      </c>
      <c r="F21" s="193">
        <f>CONCATENATE("ETR1000V300-",$D21,"-",$E21)</f>
        <v/>
      </c>
      <c r="G21" s="266">
        <f>CONCATENATE(F21,"-",H21)</f>
        <v/>
      </c>
      <c r="H21" s="203" t="inlineStr">
        <is>
          <t>06</t>
        </is>
      </c>
      <c r="I21" s="204" t="n">
        <v>46113</v>
      </c>
      <c r="J21" s="193">
        <f>$F21</f>
        <v/>
      </c>
      <c r="K21" s="266">
        <f>$G21</f>
        <v/>
      </c>
      <c r="L21" s="203">
        <f>$H21</f>
        <v/>
      </c>
      <c r="M21" s="204">
        <f>$I21</f>
        <v/>
      </c>
      <c r="N21" s="260">
        <f>$F21</f>
        <v/>
      </c>
      <c r="O21" s="235">
        <f>$G21</f>
        <v/>
      </c>
      <c r="P21" s="235">
        <f>$H21</f>
        <v/>
      </c>
      <c r="Q21" s="262">
        <f>$I21</f>
        <v/>
      </c>
      <c r="R21" s="260" t="n"/>
      <c r="S21" s="235" t="n"/>
      <c r="T21" s="235" t="n"/>
      <c r="U21" s="262" t="n"/>
      <c r="V21" s="260">
        <f>CONCATENATE("ETR1000V300_R1-",$D21,"-",$E21)</f>
        <v/>
      </c>
      <c r="W21" s="261">
        <f>CONCATENATE(V21,"-",X21)</f>
        <v/>
      </c>
      <c r="X21" s="267" t="inlineStr">
        <is>
          <t>03</t>
        </is>
      </c>
      <c r="Y21" s="276" t="inlineStr">
        <is>
          <t>gen-2026</t>
        </is>
      </c>
      <c r="Z21" s="268">
        <f>V21</f>
        <v/>
      </c>
      <c r="AA21" s="267">
        <f>W21</f>
        <v/>
      </c>
      <c r="AB21" s="267">
        <f>X21</f>
        <v/>
      </c>
      <c r="AC21" s="269">
        <f>Y21</f>
        <v/>
      </c>
    </row>
    <row r="22">
      <c r="A22" s="270" t="inlineStr">
        <is>
          <t>Servizi Generali di Bordo - Bar Bistrot</t>
        </is>
      </c>
      <c r="B22" s="233">
        <f>CONCATENATE(D22,"_",E22)</f>
        <v/>
      </c>
      <c r="C22" s="254" t="inlineStr">
        <is>
          <t>pdf</t>
        </is>
      </c>
      <c r="D22" s="233" t="inlineStr">
        <is>
          <t>MR1</t>
        </is>
      </c>
      <c r="E22" s="233" t="inlineStr">
        <is>
          <t>15B</t>
        </is>
      </c>
      <c r="F22" s="193">
        <f>CONCATENATE("ETR1000V300-",$D22,"-",$E22)</f>
        <v/>
      </c>
      <c r="G22" s="266" t="inlineStr">
        <is>
          <t>\</t>
        </is>
      </c>
      <c r="H22" s="194" t="inlineStr">
        <is>
          <t>\</t>
        </is>
      </c>
      <c r="I22" s="196" t="inlineStr">
        <is>
          <t>\</t>
        </is>
      </c>
      <c r="J22" s="193">
        <f>$F22</f>
        <v/>
      </c>
      <c r="K22" s="266">
        <f>$G22</f>
        <v/>
      </c>
      <c r="L22" s="194">
        <f>$H22</f>
        <v/>
      </c>
      <c r="M22" s="196">
        <f>$I22</f>
        <v/>
      </c>
      <c r="N22" s="260">
        <f>$G22</f>
        <v/>
      </c>
      <c r="O22" s="235">
        <f>$G22</f>
        <v/>
      </c>
      <c r="P22" s="235">
        <f>$H22</f>
        <v/>
      </c>
      <c r="Q22" s="262">
        <f>$I22</f>
        <v/>
      </c>
      <c r="R22" s="260" t="n"/>
      <c r="S22" s="235" t="n"/>
      <c r="T22" s="235" t="n"/>
      <c r="U22" s="262" t="n"/>
      <c r="V22" s="260" t="n"/>
      <c r="W22" s="261" t="n"/>
      <c r="X22" s="267" t="n"/>
      <c r="Y22" s="262" t="n"/>
      <c r="Z22" s="268" t="n"/>
      <c r="AA22" s="267" t="n"/>
      <c r="AB22" s="267" t="n"/>
      <c r="AC22" s="269" t="n"/>
    </row>
    <row r="23">
      <c r="A23" s="270" t="inlineStr">
        <is>
          <t>Emergenza e recupero</t>
        </is>
      </c>
      <c r="B23" s="233">
        <f>CONCATENATE(D23,"_",E23)</f>
        <v/>
      </c>
      <c r="C23" s="254" t="inlineStr">
        <is>
          <t>pdf</t>
        </is>
      </c>
      <c r="D23" s="233" t="inlineStr">
        <is>
          <t>MR1</t>
        </is>
      </c>
      <c r="E23" s="233" t="inlineStr">
        <is>
          <t>16A</t>
        </is>
      </c>
      <c r="F23" s="193">
        <f>CONCATENATE("ETR1000V300-",$D23,"-",$E23)</f>
        <v/>
      </c>
      <c r="G23" s="266">
        <f>CONCATENATE(F23,"-",H23)</f>
        <v/>
      </c>
      <c r="H23" s="198" t="inlineStr">
        <is>
          <t>07</t>
        </is>
      </c>
      <c r="I23" s="195" t="n">
        <v>44228</v>
      </c>
      <c r="J23" s="193">
        <f>$F23</f>
        <v/>
      </c>
      <c r="K23" s="266">
        <f>$G23</f>
        <v/>
      </c>
      <c r="L23" s="198">
        <f>$H23</f>
        <v/>
      </c>
      <c r="M23" s="195">
        <f>$I23</f>
        <v/>
      </c>
      <c r="N23" s="260">
        <f>$F23</f>
        <v/>
      </c>
      <c r="O23" s="235">
        <f>$G23</f>
        <v/>
      </c>
      <c r="P23" s="235">
        <f>$H23</f>
        <v/>
      </c>
      <c r="Q23" s="262">
        <f>$I23</f>
        <v/>
      </c>
      <c r="R23" s="260" t="n"/>
      <c r="S23" s="235" t="n"/>
      <c r="T23" s="235" t="n"/>
      <c r="U23" s="262" t="n"/>
      <c r="V23" s="260" t="n"/>
      <c r="W23" s="261" t="n"/>
      <c r="X23" s="267" t="n"/>
      <c r="Y23" s="262" t="n"/>
      <c r="Z23" s="268" t="n"/>
      <c r="AA23" s="267" t="n"/>
      <c r="AB23" s="267" t="n"/>
      <c r="AC23" s="269" t="n"/>
    </row>
    <row r="24">
      <c r="A24" s="270" t="inlineStr">
        <is>
          <t>Telecomunicazioni TT</t>
        </is>
      </c>
      <c r="B24" s="233">
        <f>CONCATENATE(D24,"_",E24)</f>
        <v/>
      </c>
      <c r="C24" s="254" t="inlineStr">
        <is>
          <t>pdf</t>
        </is>
      </c>
      <c r="D24" s="233" t="inlineStr">
        <is>
          <t>MR1</t>
        </is>
      </c>
      <c r="E24" s="233" t="inlineStr">
        <is>
          <t>18A</t>
        </is>
      </c>
      <c r="F24" s="193">
        <f>CONCATENATE("ETR1000V300-",$D24,"-",$E24)</f>
        <v/>
      </c>
      <c r="G24" s="266">
        <f>CONCATENATE(F24,"-",H24)</f>
        <v/>
      </c>
      <c r="H24" s="203" t="inlineStr">
        <is>
          <t>05</t>
        </is>
      </c>
      <c r="I24" s="204" t="n">
        <v>46113</v>
      </c>
      <c r="J24" s="193">
        <f>$F24</f>
        <v/>
      </c>
      <c r="K24" s="266">
        <f>$G24</f>
        <v/>
      </c>
      <c r="L24" s="203">
        <f>$H24</f>
        <v/>
      </c>
      <c r="M24" s="204">
        <f>$I24</f>
        <v/>
      </c>
      <c r="N24" s="260">
        <f>$F24</f>
        <v/>
      </c>
      <c r="O24" s="235">
        <f>$G24</f>
        <v/>
      </c>
      <c r="P24" s="235">
        <f>$H24</f>
        <v/>
      </c>
      <c r="Q24" s="262">
        <f>$I24</f>
        <v/>
      </c>
      <c r="R24" s="260" t="n"/>
      <c r="S24" s="235" t="n"/>
      <c r="T24" s="235" t="n"/>
      <c r="U24" s="262" t="n"/>
      <c r="V24" s="260">
        <f>CONCATENATE("ETR1000V300_R1-",$D24,"-",$E24)</f>
        <v/>
      </c>
      <c r="W24" s="261">
        <f>CONCATENATE(V24,"-",X24)</f>
        <v/>
      </c>
      <c r="X24" s="267" t="inlineStr">
        <is>
          <t>03</t>
        </is>
      </c>
      <c r="Y24" s="262" t="n">
        <v>45931</v>
      </c>
      <c r="Z24" s="268">
        <f>V24</f>
        <v/>
      </c>
      <c r="AA24" s="267">
        <f>W24</f>
        <v/>
      </c>
      <c r="AB24" s="267">
        <f>X24</f>
        <v/>
      </c>
      <c r="AC24" s="269">
        <f>Y24</f>
        <v/>
      </c>
    </row>
    <row r="25">
      <c r="A25" s="270" t="inlineStr">
        <is>
          <t>Sottosistema di bordo generale</t>
        </is>
      </c>
      <c r="B25" s="233">
        <f>CONCATENATE(D25,"_",E25)</f>
        <v/>
      </c>
      <c r="C25" s="254" t="inlineStr">
        <is>
          <t>pdf</t>
        </is>
      </c>
      <c r="D25" s="233" t="inlineStr">
        <is>
          <t>MR1</t>
        </is>
      </c>
      <c r="E25" s="233" t="inlineStr">
        <is>
          <t>20A</t>
        </is>
      </c>
      <c r="F25" s="171">
        <f>CONCATENATE("ETR1000V300-",$D25,"-",$E25)</f>
        <v/>
      </c>
      <c r="G25" s="266">
        <f>CONCATENATE(F25,"-",H25)</f>
        <v/>
      </c>
      <c r="H25" s="197" t="inlineStr">
        <is>
          <t>03</t>
        </is>
      </c>
      <c r="I25" s="196" t="inlineStr">
        <is>
          <t>giu-20</t>
        </is>
      </c>
      <c r="J25" s="171">
        <f>$F25</f>
        <v/>
      </c>
      <c r="K25" s="266">
        <f>$G25</f>
        <v/>
      </c>
      <c r="L25" s="197">
        <f>$H25</f>
        <v/>
      </c>
      <c r="M25" s="196">
        <f>$I25</f>
        <v/>
      </c>
      <c r="N25" s="272" t="inlineStr">
        <is>
          <t>\</t>
        </is>
      </c>
      <c r="O25" s="235" t="inlineStr">
        <is>
          <t>\</t>
        </is>
      </c>
      <c r="P25" s="235" t="inlineStr">
        <is>
          <t>\</t>
        </is>
      </c>
      <c r="Q25" s="262" t="inlineStr">
        <is>
          <t>\</t>
        </is>
      </c>
      <c r="R25" s="260" t="n"/>
      <c r="S25" s="235" t="n"/>
      <c r="T25" s="235" t="n"/>
      <c r="U25" s="262" t="n"/>
      <c r="V25" s="260">
        <f>CONCATENATE("ETR1000V300_R1-",$D25,"-",$E25)</f>
        <v/>
      </c>
      <c r="W25" s="261">
        <f>CONCATENATE(V25,"-",X25)</f>
        <v/>
      </c>
      <c r="X25" s="267" t="inlineStr">
        <is>
          <t>05</t>
        </is>
      </c>
      <c r="Y25" s="276" t="inlineStr">
        <is>
          <t>gen-2026</t>
        </is>
      </c>
      <c r="Z25" s="268">
        <f>V25</f>
        <v/>
      </c>
      <c r="AA25" s="267">
        <f>W25</f>
        <v/>
      </c>
      <c r="AB25" s="267">
        <f>X25</f>
        <v/>
      </c>
      <c r="AC25" s="269">
        <f>Y25</f>
        <v/>
      </c>
    </row>
    <row r="26">
      <c r="A26" s="270" t="inlineStr">
        <is>
          <t>Sottosistema di bordo ETCS specifico del treno</t>
        </is>
      </c>
      <c r="B26" s="233">
        <f>CONCATENATE(D26,"_",E26)</f>
        <v/>
      </c>
      <c r="C26" s="254" t="inlineStr">
        <is>
          <t>pdf</t>
        </is>
      </c>
      <c r="D26" s="233" t="inlineStr">
        <is>
          <t>MR1</t>
        </is>
      </c>
      <c r="E26" s="233" t="inlineStr">
        <is>
          <t>20B</t>
        </is>
      </c>
      <c r="F26" s="171">
        <f>CONCATENATE("ETR1000V300-",$D26,"-",$E26)</f>
        <v/>
      </c>
      <c r="G26" s="266">
        <f>CONCATENATE(F26,"-",H26)</f>
        <v/>
      </c>
      <c r="H26" s="197" t="inlineStr">
        <is>
          <t>01</t>
        </is>
      </c>
      <c r="I26" s="196" t="inlineStr">
        <is>
          <t>lug-17</t>
        </is>
      </c>
      <c r="J26" s="171">
        <f>$F26</f>
        <v/>
      </c>
      <c r="K26" s="266">
        <f>$G26</f>
        <v/>
      </c>
      <c r="L26" s="197">
        <f>$H26</f>
        <v/>
      </c>
      <c r="M26" s="196">
        <f>$I26</f>
        <v/>
      </c>
      <c r="N26" s="272" t="inlineStr">
        <is>
          <t>\</t>
        </is>
      </c>
      <c r="O26" s="235" t="inlineStr">
        <is>
          <t>\</t>
        </is>
      </c>
      <c r="P26" s="235" t="inlineStr">
        <is>
          <t>\</t>
        </is>
      </c>
      <c r="Q26" s="262" t="inlineStr">
        <is>
          <t>\</t>
        </is>
      </c>
      <c r="R26" s="260" t="n"/>
      <c r="S26" s="235" t="n"/>
      <c r="T26" s="235" t="n"/>
      <c r="U26" s="262" t="n"/>
      <c r="V26" s="260">
        <f>CONCATENATE("ETR1000V300_R1-",$D26,"-",$E26)</f>
        <v/>
      </c>
      <c r="W26" s="261">
        <f>CONCATENATE(V26,"-",X26)</f>
        <v/>
      </c>
      <c r="X26" s="267" t="inlineStr">
        <is>
          <t>02</t>
        </is>
      </c>
      <c r="Y26" s="262" t="n">
        <v>45931</v>
      </c>
      <c r="Z26" s="268">
        <f>V26</f>
        <v/>
      </c>
      <c r="AA26" s="267">
        <f>W26</f>
        <v/>
      </c>
      <c r="AB26" s="267">
        <f>X26</f>
        <v/>
      </c>
      <c r="AC26" s="269">
        <f>Y26</f>
        <v/>
      </c>
    </row>
    <row r="27">
      <c r="A27" s="270" t="inlineStr">
        <is>
          <t>Sottosistema di bordo generale - Linea francese</t>
        </is>
      </c>
      <c r="B27" s="233">
        <f>CONCATENATE(D27,"_",E27)</f>
        <v/>
      </c>
      <c r="C27" s="254" t="inlineStr">
        <is>
          <t>pdf</t>
        </is>
      </c>
      <c r="D27" s="233" t="inlineStr">
        <is>
          <t>MR1</t>
        </is>
      </c>
      <c r="E27" s="233" t="inlineStr">
        <is>
          <t>20C</t>
        </is>
      </c>
      <c r="F27" s="193" t="inlineStr">
        <is>
          <t>\</t>
        </is>
      </c>
      <c r="G27" s="266" t="inlineStr">
        <is>
          <t>\</t>
        </is>
      </c>
      <c r="H27" s="197" t="inlineStr">
        <is>
          <t>\</t>
        </is>
      </c>
      <c r="I27" s="196" t="inlineStr">
        <is>
          <t>\</t>
        </is>
      </c>
      <c r="J27" s="193">
        <f>$F27</f>
        <v/>
      </c>
      <c r="K27" s="266">
        <f>$G27</f>
        <v/>
      </c>
      <c r="L27" s="197">
        <f>$H27</f>
        <v/>
      </c>
      <c r="M27" s="196">
        <f>$I27</f>
        <v/>
      </c>
      <c r="N27" s="272">
        <f>CONCATENATE("ETR1000V300_FR-",$D27,"-",$E27)</f>
        <v/>
      </c>
      <c r="O27" s="261">
        <f>CONCATENATE(N27,"-",P27)</f>
        <v/>
      </c>
      <c r="P27" s="267" t="inlineStr">
        <is>
          <t>02</t>
        </is>
      </c>
      <c r="Q27" s="262" t="n">
        <v>44409</v>
      </c>
      <c r="R27" s="260" t="n"/>
      <c r="S27" s="235" t="n"/>
      <c r="T27" s="235" t="n"/>
      <c r="U27" s="262" t="n"/>
      <c r="V27" s="260" t="inlineStr">
        <is>
          <t>\</t>
        </is>
      </c>
      <c r="W27" s="261" t="inlineStr">
        <is>
          <t>\</t>
        </is>
      </c>
      <c r="X27" s="267" t="inlineStr">
        <is>
          <t>\</t>
        </is>
      </c>
      <c r="Y27" s="262" t="inlineStr">
        <is>
          <t>\</t>
        </is>
      </c>
      <c r="Z27" s="268">
        <f>V27</f>
        <v/>
      </c>
      <c r="AA27" s="267">
        <f>W27</f>
        <v/>
      </c>
      <c r="AB27" s="267">
        <f>X27</f>
        <v/>
      </c>
      <c r="AC27" s="269">
        <f>Y27</f>
        <v/>
      </c>
    </row>
    <row r="28">
      <c r="A28" s="270" t="inlineStr">
        <is>
          <t>Sottosistema di bordo specifico - Linea francese</t>
        </is>
      </c>
      <c r="B28" s="233">
        <f>CONCATENATE(D28,"_",E28)</f>
        <v/>
      </c>
      <c r="C28" s="254" t="inlineStr">
        <is>
          <t>pdf</t>
        </is>
      </c>
      <c r="D28" s="233" t="inlineStr">
        <is>
          <t>MR1</t>
        </is>
      </c>
      <c r="E28" s="233" t="inlineStr">
        <is>
          <t>20D</t>
        </is>
      </c>
      <c r="F28" s="193" t="inlineStr">
        <is>
          <t>\</t>
        </is>
      </c>
      <c r="G28" s="266" t="inlineStr">
        <is>
          <t>\</t>
        </is>
      </c>
      <c r="H28" s="197" t="inlineStr">
        <is>
          <t>\</t>
        </is>
      </c>
      <c r="I28" s="196" t="inlineStr">
        <is>
          <t>\</t>
        </is>
      </c>
      <c r="J28" s="193">
        <f>$F28</f>
        <v/>
      </c>
      <c r="K28" s="266">
        <f>$G28</f>
        <v/>
      </c>
      <c r="L28" s="197">
        <f>$H28</f>
        <v/>
      </c>
      <c r="M28" s="196">
        <f>$I28</f>
        <v/>
      </c>
      <c r="N28" s="272">
        <f>CONCATENATE("ETR1000V300_FR-",$D28,"-",$E28)</f>
        <v/>
      </c>
      <c r="O28" s="261">
        <f>CONCATENATE(N28,"-",P28)</f>
        <v/>
      </c>
      <c r="P28" s="267" t="inlineStr">
        <is>
          <t>01</t>
        </is>
      </c>
      <c r="Q28" s="262" t="n">
        <v>44136</v>
      </c>
      <c r="R28" s="260" t="n"/>
      <c r="S28" s="235" t="n"/>
      <c r="T28" s="235" t="n"/>
      <c r="U28" s="262" t="n"/>
      <c r="V28" s="260" t="inlineStr">
        <is>
          <t>\</t>
        </is>
      </c>
      <c r="W28" s="261" t="inlineStr">
        <is>
          <t>\</t>
        </is>
      </c>
      <c r="X28" s="267" t="inlineStr">
        <is>
          <t>\</t>
        </is>
      </c>
      <c r="Y28" s="262" t="inlineStr">
        <is>
          <t>\</t>
        </is>
      </c>
      <c r="Z28" s="268">
        <f>V28</f>
        <v/>
      </c>
      <c r="AA28" s="267">
        <f>W28</f>
        <v/>
      </c>
      <c r="AB28" s="267">
        <f>X28</f>
        <v/>
      </c>
      <c r="AC28" s="269">
        <f>Y28</f>
        <v/>
      </c>
    </row>
    <row r="29" ht="29" customFormat="1" customHeight="1" s="83">
      <c r="A29" s="278" t="inlineStr">
        <is>
          <t>SSB ERTMS/SCMT (ALA) - MANUALE GENERICO USO E
MANUTENZIONE (B60A.000012.640.06I)</t>
        </is>
      </c>
      <c r="B29" s="279">
        <f>CONCATENATE(D29,"_",E29)</f>
        <v/>
      </c>
      <c r="C29" s="254" t="inlineStr">
        <is>
          <t>pdf</t>
        </is>
      </c>
      <c r="D29" s="279" t="inlineStr">
        <is>
          <t>MR1</t>
        </is>
      </c>
      <c r="E29" s="271" t="inlineStr">
        <is>
          <t>20A_ALA</t>
        </is>
      </c>
      <c r="F29" s="171">
        <f>CONCATENATE("ETR1000V300-",$D29,"-",$E29)</f>
        <v/>
      </c>
      <c r="G29" s="266">
        <f>CONCATENATE(F29,"-",H29)</f>
        <v/>
      </c>
      <c r="H29" s="198" t="inlineStr">
        <is>
          <t>08</t>
        </is>
      </c>
      <c r="I29" s="280" t="n">
        <v>43966</v>
      </c>
      <c r="J29" s="171">
        <f>$F29</f>
        <v/>
      </c>
      <c r="K29" s="266">
        <f>$G29</f>
        <v/>
      </c>
      <c r="L29" s="198">
        <f>$H29</f>
        <v/>
      </c>
      <c r="M29" s="280">
        <f>$I29</f>
        <v/>
      </c>
      <c r="N29" s="281" t="inlineStr">
        <is>
          <t>\</t>
        </is>
      </c>
      <c r="O29" s="282" t="inlineStr">
        <is>
          <t>\</t>
        </is>
      </c>
      <c r="P29" s="282" t="inlineStr">
        <is>
          <t>\</t>
        </is>
      </c>
      <c r="Q29" s="277" t="inlineStr">
        <is>
          <t>\</t>
        </is>
      </c>
      <c r="R29" s="283" t="n"/>
      <c r="S29" s="284" t="n"/>
      <c r="T29" s="284" t="n"/>
      <c r="U29" s="285" t="n"/>
      <c r="V29" s="260" t="n"/>
      <c r="W29" s="261" t="n"/>
      <c r="X29" s="267" t="n"/>
      <c r="Y29" s="262" t="n"/>
      <c r="Z29" s="283" t="n"/>
      <c r="AA29" s="284" t="n"/>
      <c r="AB29" s="284" t="n"/>
      <c r="AC29" s="285" t="n"/>
    </row>
    <row r="30" ht="29" customFormat="1" customHeight="1" s="83">
      <c r="A30" s="278" t="inlineStr">
        <is>
          <t>SSB ERTMS/SCMT (ELO) - MANUALE GENERICO USO E
MANUTENZIONE (B60X.0100506.G00.00IT rev.02.00)</t>
        </is>
      </c>
      <c r="B30" s="279">
        <f>CONCATENATE(D30,"_",E30)</f>
        <v/>
      </c>
      <c r="C30" s="254" t="inlineStr">
        <is>
          <t>pdf</t>
        </is>
      </c>
      <c r="D30" s="279" t="inlineStr">
        <is>
          <t>MR1</t>
        </is>
      </c>
      <c r="E30" s="271" t="inlineStr">
        <is>
          <t>20A_ELO</t>
        </is>
      </c>
      <c r="F30" s="193">
        <f>CONCATENATE("ETR1000V300-",$D30,"-",$E30)</f>
        <v/>
      </c>
      <c r="G30" s="266">
        <f>CONCATENATE(F30,"-",H30)</f>
        <v/>
      </c>
      <c r="H30" s="203" t="inlineStr">
        <is>
          <t>05</t>
        </is>
      </c>
      <c r="I30" s="204" t="n">
        <v>46113</v>
      </c>
      <c r="J30" s="193">
        <f>$F30</f>
        <v/>
      </c>
      <c r="K30" s="266">
        <f>$G30</f>
        <v/>
      </c>
      <c r="L30" s="203">
        <f>$H30</f>
        <v/>
      </c>
      <c r="M30" s="204">
        <f>$I30</f>
        <v/>
      </c>
      <c r="N30" s="281" t="inlineStr">
        <is>
          <t>\</t>
        </is>
      </c>
      <c r="O30" s="282" t="inlineStr">
        <is>
          <t>\</t>
        </is>
      </c>
      <c r="P30" s="282" t="inlineStr">
        <is>
          <t>\</t>
        </is>
      </c>
      <c r="Q30" s="277" t="inlineStr">
        <is>
          <t>\</t>
        </is>
      </c>
      <c r="R30" s="283" t="n"/>
      <c r="S30" s="284" t="n"/>
      <c r="T30" s="284" t="n"/>
      <c r="U30" s="285" t="n"/>
      <c r="V30" s="260" t="n"/>
      <c r="W30" s="261" t="n"/>
      <c r="X30" s="267" t="n"/>
      <c r="Y30" s="262" t="n"/>
      <c r="Z30" s="283" t="n"/>
      <c r="AA30" s="284" t="n"/>
      <c r="AB30" s="284" t="n"/>
      <c r="AC30" s="285" t="n"/>
    </row>
    <row r="31" ht="29" customFormat="1" customHeight="1" s="83">
      <c r="A31" s="278" t="inlineStr">
        <is>
          <t>Sotto Sistema di Bordo ERTMS BL3 CON SCMT INTEGRATO (B60A.0100914.G00.00IT)</t>
        </is>
      </c>
      <c r="B31" s="279">
        <f>CONCATENATE(D31,"_",E31)</f>
        <v/>
      </c>
      <c r="C31" s="254" t="inlineStr">
        <is>
          <t>pdf</t>
        </is>
      </c>
      <c r="D31" s="279" t="inlineStr">
        <is>
          <t>MR1</t>
        </is>
      </c>
      <c r="E31" s="271" t="inlineStr">
        <is>
          <t>20B_ELO</t>
        </is>
      </c>
      <c r="F31" s="193">
        <f>CONCATENATE("ETR1000V300-",$D31,"-",$E31)</f>
        <v/>
      </c>
      <c r="G31" s="266">
        <f>CONCATENATE(F31,"-",H31)</f>
        <v/>
      </c>
      <c r="H31" s="203" t="inlineStr">
        <is>
          <t>02</t>
        </is>
      </c>
      <c r="I31" s="204" t="n">
        <v>45717</v>
      </c>
      <c r="J31" s="193">
        <f>$F31</f>
        <v/>
      </c>
      <c r="K31" s="266">
        <f>$G31</f>
        <v/>
      </c>
      <c r="L31" s="203">
        <f>$H31</f>
        <v/>
      </c>
      <c r="M31" s="204">
        <f>$I31</f>
        <v/>
      </c>
      <c r="N31" s="281" t="inlineStr">
        <is>
          <t>\</t>
        </is>
      </c>
      <c r="O31" s="282" t="inlineStr">
        <is>
          <t>\</t>
        </is>
      </c>
      <c r="P31" s="282" t="inlineStr">
        <is>
          <t>\</t>
        </is>
      </c>
      <c r="Q31" s="277" t="inlineStr">
        <is>
          <t>\</t>
        </is>
      </c>
      <c r="R31" s="283" t="n"/>
      <c r="S31" s="284" t="n"/>
      <c r="T31" s="284" t="n"/>
      <c r="U31" s="285" t="n"/>
      <c r="V31" s="260" t="n"/>
      <c r="W31" s="261" t="n"/>
      <c r="X31" s="267" t="n"/>
      <c r="Y31" s="262" t="n"/>
      <c r="Z31" s="283" t="n"/>
      <c r="AA31" s="284" t="n"/>
      <c r="AB31" s="284" t="n"/>
      <c r="AC31" s="285" t="n"/>
    </row>
    <row r="32" ht="29" customFormat="1" customHeight="1" s="83">
      <c r="A32" s="286" t="inlineStr">
        <is>
          <t>PGDJ DIS-JRU FTP - PRODOTTO GENERICO DIS-JRU (FT11P035105GE03B)</t>
        </is>
      </c>
      <c r="B32" s="279">
        <f>CONCATENATE(D32,"_",E32)</f>
        <v/>
      </c>
      <c r="C32" s="254" t="inlineStr">
        <is>
          <t>pdf</t>
        </is>
      </c>
      <c r="D32" s="279" t="inlineStr">
        <is>
          <t>MR1</t>
        </is>
      </c>
      <c r="E32" s="271" t="inlineStr">
        <is>
          <t>31A_JRU</t>
        </is>
      </c>
      <c r="F32" s="171">
        <f>CONCATENATE("ETR1000V300-",$D32,"-",$E32)</f>
        <v/>
      </c>
      <c r="G32" s="266">
        <f>CONCATENATE(F32,"-",H32)</f>
        <v/>
      </c>
      <c r="H32" s="200" t="inlineStr">
        <is>
          <t>\</t>
        </is>
      </c>
      <c r="I32" s="280" t="n">
        <v>44256</v>
      </c>
      <c r="J32" s="171">
        <f>$F32</f>
        <v/>
      </c>
      <c r="K32" s="266">
        <f>$G32</f>
        <v/>
      </c>
      <c r="L32" s="200">
        <f>$H32</f>
        <v/>
      </c>
      <c r="M32" s="280">
        <f>$I32</f>
        <v/>
      </c>
      <c r="N32" s="281" t="inlineStr">
        <is>
          <t>\</t>
        </is>
      </c>
      <c r="O32" s="282" t="inlineStr">
        <is>
          <t>\</t>
        </is>
      </c>
      <c r="P32" s="282" t="inlineStr">
        <is>
          <t>\</t>
        </is>
      </c>
      <c r="Q32" s="277" t="inlineStr">
        <is>
          <t>\</t>
        </is>
      </c>
      <c r="R32" s="283" t="n"/>
      <c r="S32" s="284" t="n"/>
      <c r="T32" s="284" t="n"/>
      <c r="U32" s="285" t="n"/>
      <c r="V32" s="260" t="n"/>
      <c r="W32" s="261" t="n"/>
      <c r="X32" s="267" t="n"/>
      <c r="Y32" s="262" t="n"/>
      <c r="Z32" s="283" t="n"/>
      <c r="AA32" s="284" t="n"/>
      <c r="AB32" s="284" t="n"/>
      <c r="AC32" s="285" t="n"/>
    </row>
    <row r="33">
      <c r="A33" s="270" t="inlineStr">
        <is>
          <t>Sistema informativo di condotta Generale (DIS)</t>
        </is>
      </c>
      <c r="B33" s="233">
        <f>CONCATENATE(D33,"_",E33)</f>
        <v/>
      </c>
      <c r="C33" s="254" t="inlineStr">
        <is>
          <t>pdf</t>
        </is>
      </c>
      <c r="D33" s="233" t="inlineStr">
        <is>
          <t>MR1</t>
        </is>
      </c>
      <c r="E33" s="233" t="inlineStr">
        <is>
          <t>31A</t>
        </is>
      </c>
      <c r="F33" s="193">
        <f>CONCATENATE("ETR1000V300-",$D33,"-",$E33)</f>
        <v/>
      </c>
      <c r="G33" s="266">
        <f>CONCATENATE(F33,"-",H33)</f>
        <v/>
      </c>
      <c r="H33" s="197" t="inlineStr">
        <is>
          <t>02</t>
        </is>
      </c>
      <c r="I33" s="196" t="inlineStr">
        <is>
          <t>gen-18</t>
        </is>
      </c>
      <c r="J33" s="193">
        <f>$F33</f>
        <v/>
      </c>
      <c r="K33" s="266">
        <f>$G33</f>
        <v/>
      </c>
      <c r="L33" s="197">
        <f>$H33</f>
        <v/>
      </c>
      <c r="M33" s="196">
        <f>$I33</f>
        <v/>
      </c>
      <c r="N33" s="272">
        <f>CONCATENATE("ETR1000V300_FR-",$D33,"-",$E33)</f>
        <v/>
      </c>
      <c r="O33" s="261">
        <f>CONCATENATE(N33,"-",P33)</f>
        <v/>
      </c>
      <c r="P33" s="267" t="inlineStr">
        <is>
          <t>01</t>
        </is>
      </c>
      <c r="Q33" s="262" t="n">
        <v>44136</v>
      </c>
      <c r="R33" s="260" t="n"/>
      <c r="S33" s="235" t="n"/>
      <c r="T33" s="235" t="n"/>
      <c r="U33" s="262" t="n"/>
      <c r="V33" s="260">
        <f>CONCATENATE("ETR1000V300_R1-",$D33,"-",$E33)</f>
        <v/>
      </c>
      <c r="W33" s="261">
        <f>CONCATENATE(V33,"-",X33)</f>
        <v/>
      </c>
      <c r="X33" s="267" t="inlineStr">
        <is>
          <t>04</t>
        </is>
      </c>
      <c r="Y33" s="276" t="inlineStr">
        <is>
          <t>gen-2026</t>
        </is>
      </c>
      <c r="Z33" s="268">
        <f>V33</f>
        <v/>
      </c>
      <c r="AA33" s="267">
        <f>W33</f>
        <v/>
      </c>
      <c r="AB33" s="267">
        <f>X33</f>
        <v/>
      </c>
      <c r="AC33" s="269">
        <f>Y33</f>
        <v/>
      </c>
    </row>
    <row r="34">
      <c r="A34" s="270" t="inlineStr">
        <is>
          <t>Cassa</t>
        </is>
      </c>
      <c r="B34" s="233">
        <f>CONCATENATE(D34,"_",E34)</f>
        <v/>
      </c>
      <c r="C34" s="254" t="inlineStr">
        <is>
          <t>pdf</t>
        </is>
      </c>
      <c r="D34" s="233" t="inlineStr">
        <is>
          <t>MR2</t>
        </is>
      </c>
      <c r="E34" s="233" t="inlineStr">
        <is>
          <t>01A</t>
        </is>
      </c>
      <c r="F34" s="193">
        <f>CONCATENATE("ETR1000V300-",$D34,"-",$E34)</f>
        <v/>
      </c>
      <c r="G34" s="266">
        <f>CONCATENATE(F34,"-",H34)</f>
        <v/>
      </c>
      <c r="H34" s="207" t="inlineStr">
        <is>
          <t>07</t>
        </is>
      </c>
      <c r="I34" s="204" t="n">
        <v>46113</v>
      </c>
      <c r="J34" s="193">
        <f>$F34</f>
        <v/>
      </c>
      <c r="K34" s="266">
        <f>$G34</f>
        <v/>
      </c>
      <c r="L34" s="207">
        <f>$H34</f>
        <v/>
      </c>
      <c r="M34" s="204">
        <f>$I34</f>
        <v/>
      </c>
      <c r="N34" s="272">
        <f>CONCATENATE("ETR1000V300_FR-",$D34,"-",$E34)</f>
        <v/>
      </c>
      <c r="O34" s="261">
        <f>CONCATENATE(N34,"-",P34)</f>
        <v/>
      </c>
      <c r="P34" s="267" t="inlineStr">
        <is>
          <t>01</t>
        </is>
      </c>
      <c r="Q34" s="262" t="n">
        <v>44105</v>
      </c>
      <c r="R34" s="260" t="n"/>
      <c r="S34" s="235" t="n"/>
      <c r="T34" s="235" t="n"/>
      <c r="U34" s="262" t="n"/>
      <c r="V34" s="260">
        <f>CONCATENATE("ETR1000V300_R1-",$D34,"-",$E34)</f>
        <v/>
      </c>
      <c r="W34" s="261">
        <f>CONCATENATE(V34,"-",X34)</f>
        <v/>
      </c>
      <c r="X34" s="267" t="inlineStr">
        <is>
          <t>02</t>
        </is>
      </c>
      <c r="Y34" s="287" t="n">
        <v>45809</v>
      </c>
      <c r="Z34" s="260">
        <f>V34</f>
        <v/>
      </c>
      <c r="AA34" s="235">
        <f>W34</f>
        <v/>
      </c>
      <c r="AB34" s="235">
        <f>X34</f>
        <v/>
      </c>
      <c r="AC34" s="262">
        <f>Y34</f>
        <v/>
      </c>
    </row>
    <row r="35">
      <c r="A35" s="270" t="inlineStr">
        <is>
          <t>Carrello</t>
        </is>
      </c>
      <c r="B35" s="233">
        <f>CONCATENATE(D35,"_",E35)</f>
        <v/>
      </c>
      <c r="C35" s="254" t="inlineStr">
        <is>
          <t>pdf</t>
        </is>
      </c>
      <c r="D35" s="233" t="inlineStr">
        <is>
          <t>MR2</t>
        </is>
      </c>
      <c r="E35" s="233" t="inlineStr">
        <is>
          <t>02A</t>
        </is>
      </c>
      <c r="F35" s="193">
        <f>CONCATENATE("ETR1000V300-",$D35,"-",$E35)</f>
        <v/>
      </c>
      <c r="G35" s="266">
        <f>CONCATENATE(F35,"-",H35)</f>
        <v/>
      </c>
      <c r="H35" s="207" t="n">
        <v>13</v>
      </c>
      <c r="I35" s="204" t="n">
        <v>46113</v>
      </c>
      <c r="J35" s="193">
        <f>$F35</f>
        <v/>
      </c>
      <c r="K35" s="266">
        <f>$G35</f>
        <v/>
      </c>
      <c r="L35" s="207">
        <f>$H35</f>
        <v/>
      </c>
      <c r="M35" s="204">
        <f>$I35</f>
        <v/>
      </c>
      <c r="N35" s="272">
        <f>CONCATENATE("ETR1000V300_FR-",$D35,"-",$E35)</f>
        <v/>
      </c>
      <c r="O35" s="261">
        <f>CONCATENATE(N35,"-",P35)</f>
        <v/>
      </c>
      <c r="P35" s="267" t="inlineStr">
        <is>
          <t>03</t>
        </is>
      </c>
      <c r="Q35" s="262" t="n">
        <v>44713</v>
      </c>
      <c r="R35" s="260" t="n"/>
      <c r="S35" s="235" t="n"/>
      <c r="T35" s="235" t="n"/>
      <c r="U35" s="262" t="n"/>
      <c r="V35" s="260">
        <f>CONCATENATE("ETR1000V300_R1-",$D35,"-",$E35)</f>
        <v/>
      </c>
      <c r="W35" s="261">
        <f>CONCATENATE(V35,"-",X35)</f>
        <v/>
      </c>
      <c r="X35" s="267" t="inlineStr">
        <is>
          <t>04</t>
        </is>
      </c>
      <c r="Y35" s="287" t="n">
        <v>45901</v>
      </c>
      <c r="Z35" s="260">
        <f>V35</f>
        <v/>
      </c>
      <c r="AA35" s="235">
        <f>W35</f>
        <v/>
      </c>
      <c r="AB35" s="235">
        <f>X35</f>
        <v/>
      </c>
      <c r="AC35" s="262">
        <f>Y35</f>
        <v/>
      </c>
    </row>
    <row r="36">
      <c r="A36" s="270" t="inlineStr">
        <is>
          <t>Impianto pneumatico e freno</t>
        </is>
      </c>
      <c r="B36" s="233">
        <f>CONCATENATE(D36,"_",E36)</f>
        <v/>
      </c>
      <c r="C36" s="254" t="inlineStr">
        <is>
          <t>pdf</t>
        </is>
      </c>
      <c r="D36" s="233" t="inlineStr">
        <is>
          <t>MR2</t>
        </is>
      </c>
      <c r="E36" s="233" t="inlineStr">
        <is>
          <t>03A</t>
        </is>
      </c>
      <c r="F36" s="193">
        <f>CONCATENATE("ETR1000V300-",$D36,"-",$E36)</f>
        <v/>
      </c>
      <c r="G36" s="266">
        <f>CONCATENATE(F36,"-",H36)</f>
        <v/>
      </c>
      <c r="H36" s="207" t="inlineStr">
        <is>
          <t>06</t>
        </is>
      </c>
      <c r="I36" s="204" t="n">
        <v>46113</v>
      </c>
      <c r="J36" s="193">
        <f>$F36</f>
        <v/>
      </c>
      <c r="K36" s="266">
        <f>$G36</f>
        <v/>
      </c>
      <c r="L36" s="207">
        <f>$H36</f>
        <v/>
      </c>
      <c r="M36" s="204">
        <f>$I36</f>
        <v/>
      </c>
      <c r="N36" s="272">
        <f>CONCATENATE("ETR1000V300_FR-",$D36,"-",$E36)</f>
        <v/>
      </c>
      <c r="O36" s="261">
        <f>CONCATENATE(N36,"-",P36)</f>
        <v/>
      </c>
      <c r="P36" s="267" t="inlineStr">
        <is>
          <t>02</t>
        </is>
      </c>
      <c r="Q36" s="262" t="n">
        <v>44713</v>
      </c>
      <c r="R36" s="260" t="n"/>
      <c r="S36" s="235" t="n"/>
      <c r="T36" s="235" t="n"/>
      <c r="U36" s="262" t="n"/>
      <c r="V36" s="260">
        <f>CONCATENATE("ETR1000V300_R1-",$D36,"-",$E36)</f>
        <v/>
      </c>
      <c r="W36" s="261">
        <f>CONCATENATE(V36,"-",X36)</f>
        <v/>
      </c>
      <c r="X36" s="267" t="inlineStr">
        <is>
          <t>02</t>
        </is>
      </c>
      <c r="Y36" s="287" t="n">
        <v>45809</v>
      </c>
      <c r="Z36" s="260">
        <f>V36</f>
        <v/>
      </c>
      <c r="AA36" s="235">
        <f>W36</f>
        <v/>
      </c>
      <c r="AB36" s="235">
        <f>X36</f>
        <v/>
      </c>
      <c r="AC36" s="262">
        <f>Y36</f>
        <v/>
      </c>
    </row>
    <row r="37">
      <c r="A37" s="270" t="inlineStr">
        <is>
          <t>Equipaggiamento elettrico ed elettropneumatico</t>
        </is>
      </c>
      <c r="B37" s="233">
        <f>CONCATENATE(D37,"_",E37)</f>
        <v/>
      </c>
      <c r="C37" s="254" t="inlineStr">
        <is>
          <t>pdf</t>
        </is>
      </c>
      <c r="D37" s="233" t="inlineStr">
        <is>
          <t>MR2</t>
        </is>
      </c>
      <c r="E37" s="271" t="inlineStr">
        <is>
          <t>04A</t>
        </is>
      </c>
      <c r="F37" s="193">
        <f>CONCATENATE("ETR1000V300-",$D37,"-",$E37)</f>
        <v/>
      </c>
      <c r="G37" s="266">
        <f>CONCATENATE(F37,"-",H37)</f>
        <v/>
      </c>
      <c r="H37" s="207" t="n">
        <v>10</v>
      </c>
      <c r="I37" s="204" t="n">
        <v>46113</v>
      </c>
      <c r="J37" s="193">
        <f>$F37</f>
        <v/>
      </c>
      <c r="K37" s="266">
        <f>$G37</f>
        <v/>
      </c>
      <c r="L37" s="207">
        <f>$H37</f>
        <v/>
      </c>
      <c r="M37" s="204">
        <f>$I37</f>
        <v/>
      </c>
      <c r="N37" s="272">
        <f>CONCATENATE("ETR1000V300_FR-",$D37,"-",$E37)</f>
        <v/>
      </c>
      <c r="O37" s="261">
        <f>CONCATENATE(N37,"-",P37)</f>
        <v/>
      </c>
      <c r="P37" s="267" t="inlineStr">
        <is>
          <t>05</t>
        </is>
      </c>
      <c r="Q37" s="262" t="n">
        <v>45931</v>
      </c>
      <c r="R37" s="260" t="n"/>
      <c r="S37" s="235" t="n"/>
      <c r="T37" s="235" t="n"/>
      <c r="U37" s="262" t="n"/>
      <c r="V37" s="260">
        <f>CONCATENATE("ETR1000V300_R1-",$D37,"-",$E37)</f>
        <v/>
      </c>
      <c r="W37" s="261">
        <f>CONCATENATE(V37,"-",X37)</f>
        <v/>
      </c>
      <c r="X37" s="267" t="inlineStr">
        <is>
          <t>02</t>
        </is>
      </c>
      <c r="Y37" s="287" t="n">
        <v>45809</v>
      </c>
      <c r="Z37" s="260">
        <f>V37</f>
        <v/>
      </c>
      <c r="AA37" s="235">
        <f>W37</f>
        <v/>
      </c>
      <c r="AB37" s="235">
        <f>X37</f>
        <v/>
      </c>
      <c r="AC37" s="262">
        <f>Y37</f>
        <v/>
      </c>
    </row>
    <row r="38">
      <c r="A38" s="270" t="inlineStr">
        <is>
          <t>Logica di comando</t>
        </is>
      </c>
      <c r="B38" s="233">
        <f>CONCATENATE(D38,"_",E38)</f>
        <v/>
      </c>
      <c r="C38" s="254" t="inlineStr">
        <is>
          <t>pdf</t>
        </is>
      </c>
      <c r="D38" s="233" t="inlineStr">
        <is>
          <t>MR2</t>
        </is>
      </c>
      <c r="E38" s="233" t="inlineStr">
        <is>
          <t>05A</t>
        </is>
      </c>
      <c r="F38" s="193">
        <f>CONCATENATE("ETR1000V300-",$D38,"-",$E38)</f>
        <v/>
      </c>
      <c r="G38" s="266">
        <f>CONCATENATE(F38,"-",H38)</f>
        <v/>
      </c>
      <c r="H38" s="207" t="inlineStr">
        <is>
          <t>03</t>
        </is>
      </c>
      <c r="I38" s="204" t="n">
        <v>46113</v>
      </c>
      <c r="J38" s="193">
        <f>$F38</f>
        <v/>
      </c>
      <c r="K38" s="266">
        <f>$G38</f>
        <v/>
      </c>
      <c r="L38" s="207">
        <f>$H38</f>
        <v/>
      </c>
      <c r="M38" s="204">
        <f>$I38</f>
        <v/>
      </c>
      <c r="N38" s="260">
        <f>$F38</f>
        <v/>
      </c>
      <c r="O38" s="235">
        <f>$G38</f>
        <v/>
      </c>
      <c r="P38" s="235">
        <f>$H38</f>
        <v/>
      </c>
      <c r="Q38" s="262">
        <f>$I38</f>
        <v/>
      </c>
      <c r="R38" s="260" t="n"/>
      <c r="S38" s="235" t="n"/>
      <c r="T38" s="235" t="n"/>
      <c r="U38" s="262" t="n"/>
      <c r="V38" s="260">
        <f>CONCATENATE("ETR1000V300_R1-",$D38,"-",$E38)</f>
        <v/>
      </c>
      <c r="W38" s="261">
        <f>CONCATENATE(V38,"-",X38)</f>
        <v/>
      </c>
      <c r="X38" s="267" t="inlineStr">
        <is>
          <t>03</t>
        </is>
      </c>
      <c r="Y38" s="287" t="n">
        <v>45931</v>
      </c>
      <c r="Z38" s="260">
        <f>V38</f>
        <v/>
      </c>
      <c r="AA38" s="235">
        <f>W38</f>
        <v/>
      </c>
      <c r="AB38" s="235">
        <f>X38</f>
        <v/>
      </c>
      <c r="AC38" s="262">
        <f>Y38</f>
        <v/>
      </c>
    </row>
    <row r="39">
      <c r="A39" s="270" t="inlineStr">
        <is>
          <t>Logica di comando - Nodo TCN</t>
        </is>
      </c>
      <c r="B39" s="233">
        <f>CONCATENATE(D39,"_",E39)</f>
        <v/>
      </c>
      <c r="C39" s="254" t="inlineStr">
        <is>
          <t>pdf</t>
        </is>
      </c>
      <c r="D39" s="233" t="inlineStr">
        <is>
          <t>MR2</t>
        </is>
      </c>
      <c r="E39" s="233" t="inlineStr">
        <is>
          <t>05B</t>
        </is>
      </c>
      <c r="F39" s="193">
        <f>CONCATENATE("ETR1000V300-",$D39,"-",$E39)</f>
        <v/>
      </c>
      <c r="G39" s="266">
        <f>CONCATENATE(F39,"-",H39)</f>
        <v/>
      </c>
      <c r="H39" s="197" t="inlineStr">
        <is>
          <t>02</t>
        </is>
      </c>
      <c r="I39" s="196" t="inlineStr">
        <is>
          <t>giu-17</t>
        </is>
      </c>
      <c r="J39" s="193">
        <f>$F39</f>
        <v/>
      </c>
      <c r="K39" s="266">
        <f>$G39</f>
        <v/>
      </c>
      <c r="L39" s="197">
        <f>$H39</f>
        <v/>
      </c>
      <c r="M39" s="196">
        <f>$I39</f>
        <v/>
      </c>
      <c r="N39" s="260">
        <f>$F39</f>
        <v/>
      </c>
      <c r="O39" s="235">
        <f>$G39</f>
        <v/>
      </c>
      <c r="P39" s="235">
        <f>$H39</f>
        <v/>
      </c>
      <c r="Q39" s="262">
        <f>$I39</f>
        <v/>
      </c>
      <c r="R39" s="260" t="n"/>
      <c r="S39" s="235" t="n"/>
      <c r="T39" s="235" t="n"/>
      <c r="U39" s="262" t="n"/>
      <c r="V39" s="260" t="n"/>
      <c r="W39" s="235" t="n"/>
      <c r="X39" s="235" t="n"/>
      <c r="Y39" s="236" t="n"/>
      <c r="Z39" s="260" t="n"/>
      <c r="AA39" s="235" t="n"/>
      <c r="AB39" s="235" t="n"/>
      <c r="AC39" s="262" t="n"/>
    </row>
    <row r="40">
      <c r="A40" s="270" t="inlineStr">
        <is>
          <t>Azionamento di trazione</t>
        </is>
      </c>
      <c r="B40" s="233">
        <f>CONCATENATE(D40,"_",E40)</f>
        <v/>
      </c>
      <c r="C40" s="254" t="inlineStr">
        <is>
          <t>pdf</t>
        </is>
      </c>
      <c r="D40" s="233" t="inlineStr">
        <is>
          <t>MR2</t>
        </is>
      </c>
      <c r="E40" s="233" t="inlineStr">
        <is>
          <t>06A</t>
        </is>
      </c>
      <c r="F40" s="193">
        <f>CONCATENATE("ETR1000V300-",$D40,"-",$E40)</f>
        <v/>
      </c>
      <c r="G40" s="266">
        <f>CONCATENATE(F40,"-",H40)</f>
        <v/>
      </c>
      <c r="H40" s="207" t="inlineStr">
        <is>
          <t>04</t>
        </is>
      </c>
      <c r="I40" s="204" t="n">
        <v>46113</v>
      </c>
      <c r="J40" s="193">
        <f>$F40</f>
        <v/>
      </c>
      <c r="K40" s="266">
        <f>$G40</f>
        <v/>
      </c>
      <c r="L40" s="207">
        <f>$H40</f>
        <v/>
      </c>
      <c r="M40" s="204">
        <f>$I40</f>
        <v/>
      </c>
      <c r="N40" s="260">
        <f>$F40</f>
        <v/>
      </c>
      <c r="O40" s="235">
        <f>$G40</f>
        <v/>
      </c>
      <c r="P40" s="235">
        <f>$H40</f>
        <v/>
      </c>
      <c r="Q40" s="262">
        <f>$I40</f>
        <v/>
      </c>
      <c r="R40" s="260" t="n"/>
      <c r="S40" s="235" t="n"/>
      <c r="T40" s="235" t="n"/>
      <c r="U40" s="262" t="n"/>
      <c r="V40" s="260">
        <f>CONCATENATE("ETR1000V300_R1-",$D40,"-",$E40)</f>
        <v/>
      </c>
      <c r="W40" s="261">
        <f>CONCATENATE(V40,"-",X40)</f>
        <v/>
      </c>
      <c r="X40" s="267" t="inlineStr">
        <is>
          <t>02</t>
        </is>
      </c>
      <c r="Y40" s="287" t="n">
        <v>45809</v>
      </c>
      <c r="Z40" s="260">
        <f>V40</f>
        <v/>
      </c>
      <c r="AA40" s="235">
        <f>W40</f>
        <v/>
      </c>
      <c r="AB40" s="235">
        <f>X40</f>
        <v/>
      </c>
      <c r="AC40" s="262">
        <f>Y40</f>
        <v/>
      </c>
    </row>
    <row r="41">
      <c r="A41" s="270" t="inlineStr">
        <is>
          <t>Motore di trazione</t>
        </is>
      </c>
      <c r="B41" s="233">
        <f>CONCATENATE(D41,"_",E41)</f>
        <v/>
      </c>
      <c r="C41" s="254" t="inlineStr">
        <is>
          <t>pdf</t>
        </is>
      </c>
      <c r="D41" s="233" t="inlineStr">
        <is>
          <t>MR2</t>
        </is>
      </c>
      <c r="E41" s="233" t="inlineStr">
        <is>
          <t>07A</t>
        </is>
      </c>
      <c r="F41" s="193">
        <f>CONCATENATE("ETR1000V300-",$D41,"-",$E41)</f>
        <v/>
      </c>
      <c r="G41" s="266">
        <f>CONCATENATE(F41,"-",H41)</f>
        <v/>
      </c>
      <c r="H41" s="207" t="inlineStr">
        <is>
          <t>05</t>
        </is>
      </c>
      <c r="I41" s="204" t="n">
        <v>46113</v>
      </c>
      <c r="J41" s="193">
        <f>$F41</f>
        <v/>
      </c>
      <c r="K41" s="266">
        <f>$G41</f>
        <v/>
      </c>
      <c r="L41" s="207">
        <f>$H41</f>
        <v/>
      </c>
      <c r="M41" s="204">
        <f>$I41</f>
        <v/>
      </c>
      <c r="N41" s="260">
        <f>$F41</f>
        <v/>
      </c>
      <c r="O41" s="235">
        <f>$G41</f>
        <v/>
      </c>
      <c r="P41" s="235">
        <f>$H41</f>
        <v/>
      </c>
      <c r="Q41" s="262">
        <f>$I41</f>
        <v/>
      </c>
      <c r="R41" s="260" t="n"/>
      <c r="S41" s="235" t="n"/>
      <c r="T41" s="235" t="n"/>
      <c r="U41" s="262" t="n"/>
      <c r="V41" s="260">
        <f>CONCATENATE("ETR1000V300_R1-",$D41,"-",$E41)</f>
        <v/>
      </c>
      <c r="W41" s="261">
        <f>CONCATENATE(V41,"-",X41)</f>
        <v/>
      </c>
      <c r="X41" s="267" t="inlineStr">
        <is>
          <t>03</t>
        </is>
      </c>
      <c r="Y41" s="287" t="n">
        <v>45931</v>
      </c>
      <c r="Z41" s="260">
        <f>V41</f>
        <v/>
      </c>
      <c r="AA41" s="235">
        <f>W41</f>
        <v/>
      </c>
      <c r="AB41" s="235">
        <f>X41</f>
        <v/>
      </c>
      <c r="AC41" s="262">
        <f>Y41</f>
        <v/>
      </c>
    </row>
    <row r="42">
      <c r="A42" s="270" t="inlineStr">
        <is>
          <t>Passaggi esterni</t>
        </is>
      </c>
      <c r="B42" s="233">
        <f>CONCATENATE(D42,"_",E42)</f>
        <v/>
      </c>
      <c r="C42" s="254" t="inlineStr">
        <is>
          <t>pdf</t>
        </is>
      </c>
      <c r="D42" s="233" t="inlineStr">
        <is>
          <t>MR2</t>
        </is>
      </c>
      <c r="E42" s="233" t="inlineStr">
        <is>
          <t>08A</t>
        </is>
      </c>
      <c r="F42" s="193">
        <f>CONCATENATE("ETR1000V300-",$D42,"-",$E42)</f>
        <v/>
      </c>
      <c r="G42" s="266">
        <f>CONCATENATE(F42,"-",H42)</f>
        <v/>
      </c>
      <c r="H42" s="207" t="inlineStr">
        <is>
          <t>04</t>
        </is>
      </c>
      <c r="I42" s="204" t="n">
        <v>46113</v>
      </c>
      <c r="J42" s="193">
        <f>$F42</f>
        <v/>
      </c>
      <c r="K42" s="266">
        <f>$G42</f>
        <v/>
      </c>
      <c r="L42" s="207">
        <f>$H42</f>
        <v/>
      </c>
      <c r="M42" s="204">
        <f>$I42</f>
        <v/>
      </c>
      <c r="N42" s="260">
        <f>$F42</f>
        <v/>
      </c>
      <c r="O42" s="235">
        <f>$G42</f>
        <v/>
      </c>
      <c r="P42" s="235">
        <f>$H42</f>
        <v/>
      </c>
      <c r="Q42" s="262">
        <f>$I42</f>
        <v/>
      </c>
      <c r="R42" s="260" t="n"/>
      <c r="S42" s="235" t="n"/>
      <c r="T42" s="235" t="n"/>
      <c r="U42" s="262" t="n"/>
      <c r="V42" s="260">
        <f>CONCATENATE("ETR1000V300_R1-",$D42,"-",$E42)</f>
        <v/>
      </c>
      <c r="W42" s="261">
        <f>CONCATENATE(V42,"-",X42)</f>
        <v/>
      </c>
      <c r="X42" s="267" t="inlineStr">
        <is>
          <t>03</t>
        </is>
      </c>
      <c r="Y42" s="287" t="n">
        <v>45931</v>
      </c>
      <c r="Z42" s="260">
        <f>V42</f>
        <v/>
      </c>
      <c r="AA42" s="235">
        <f>W42</f>
        <v/>
      </c>
      <c r="AB42" s="235">
        <f>X42</f>
        <v/>
      </c>
      <c r="AC42" s="262">
        <f>Y42</f>
        <v/>
      </c>
    </row>
    <row r="43">
      <c r="A43" s="270" t="inlineStr">
        <is>
          <t>Sottosistema di climatizzazione</t>
        </is>
      </c>
      <c r="B43" s="233">
        <f>CONCATENATE(D43,"_",E43)</f>
        <v/>
      </c>
      <c r="C43" s="254" t="inlineStr">
        <is>
          <t>pdf</t>
        </is>
      </c>
      <c r="D43" s="233" t="inlineStr">
        <is>
          <t>MR2</t>
        </is>
      </c>
      <c r="E43" s="233" t="inlineStr">
        <is>
          <t>09A</t>
        </is>
      </c>
      <c r="F43" s="193">
        <f>CONCATENATE("ETR1000V300-",$D43,"-",$E43)</f>
        <v/>
      </c>
      <c r="G43" s="266">
        <f>CONCATENATE(F43,"-",H43)</f>
        <v/>
      </c>
      <c r="H43" s="207" t="inlineStr">
        <is>
          <t>04</t>
        </is>
      </c>
      <c r="I43" s="204" t="n">
        <v>46113</v>
      </c>
      <c r="J43" s="193">
        <f>$F43</f>
        <v/>
      </c>
      <c r="K43" s="266">
        <f>$G43</f>
        <v/>
      </c>
      <c r="L43" s="207">
        <f>$H43</f>
        <v/>
      </c>
      <c r="M43" s="204">
        <f>$I43</f>
        <v/>
      </c>
      <c r="N43" s="260">
        <f>$F43</f>
        <v/>
      </c>
      <c r="O43" s="235">
        <f>$G43</f>
        <v/>
      </c>
      <c r="P43" s="235">
        <f>$H43</f>
        <v/>
      </c>
      <c r="Q43" s="262">
        <f>$I43</f>
        <v/>
      </c>
      <c r="R43" s="260" t="n"/>
      <c r="S43" s="235" t="n"/>
      <c r="T43" s="235" t="n"/>
      <c r="U43" s="262" t="n"/>
      <c r="V43" s="260">
        <f>CONCATENATE("ETR1000V300_R1-",$D43,"-",$E43)</f>
        <v/>
      </c>
      <c r="W43" s="261">
        <f>CONCATENATE(V43,"-",X43)</f>
        <v/>
      </c>
      <c r="X43" s="267" t="inlineStr">
        <is>
          <t>03</t>
        </is>
      </c>
      <c r="Y43" s="287" t="n">
        <v>45931</v>
      </c>
      <c r="Z43" s="260">
        <f>V43</f>
        <v/>
      </c>
      <c r="AA43" s="235">
        <f>W43</f>
        <v/>
      </c>
      <c r="AB43" s="235">
        <f>X43</f>
        <v/>
      </c>
      <c r="AC43" s="262">
        <f>Y43</f>
        <v/>
      </c>
    </row>
    <row r="44">
      <c r="A44" s="270" t="inlineStr">
        <is>
          <t>Convertitore servizi ausiliari e caricabatterie</t>
        </is>
      </c>
      <c r="B44" s="233">
        <f>CONCATENATE(D44,"_",E44)</f>
        <v/>
      </c>
      <c r="C44" s="254" t="inlineStr">
        <is>
          <t>pdf</t>
        </is>
      </c>
      <c r="D44" s="233" t="inlineStr">
        <is>
          <t>MR2</t>
        </is>
      </c>
      <c r="E44" s="233" t="inlineStr">
        <is>
          <t>11A</t>
        </is>
      </c>
      <c r="F44" s="193">
        <f>CONCATENATE("ETR1000V300-",$D44,"-",$E44)</f>
        <v/>
      </c>
      <c r="G44" s="266">
        <f>CONCATENATE(F44,"-",H44)</f>
        <v/>
      </c>
      <c r="H44" s="207" t="inlineStr">
        <is>
          <t>03</t>
        </is>
      </c>
      <c r="I44" s="204" t="n">
        <v>46113</v>
      </c>
      <c r="J44" s="193">
        <f>$F44</f>
        <v/>
      </c>
      <c r="K44" s="266">
        <f>$G44</f>
        <v/>
      </c>
      <c r="L44" s="207">
        <f>$H44</f>
        <v/>
      </c>
      <c r="M44" s="204">
        <f>$I44</f>
        <v/>
      </c>
      <c r="N44" s="260">
        <f>$F44</f>
        <v/>
      </c>
      <c r="O44" s="235">
        <f>$G44</f>
        <v/>
      </c>
      <c r="P44" s="235">
        <f>$H44</f>
        <v/>
      </c>
      <c r="Q44" s="262">
        <f>$I44</f>
        <v/>
      </c>
      <c r="R44" s="260" t="n"/>
      <c r="S44" s="235" t="n"/>
      <c r="T44" s="235" t="n"/>
      <c r="U44" s="262" t="n"/>
      <c r="V44" s="260">
        <f>CONCATENATE("ETR1000V300_R1-",$D44,"-",$E44)</f>
        <v/>
      </c>
      <c r="W44" s="261">
        <f>CONCATENATE(V44,"-",X44)</f>
        <v/>
      </c>
      <c r="X44" s="267" t="inlineStr">
        <is>
          <t>02</t>
        </is>
      </c>
      <c r="Y44" s="287" t="n">
        <v>45809</v>
      </c>
      <c r="Z44" s="260">
        <f>V44</f>
        <v/>
      </c>
      <c r="AA44" s="235">
        <f>W44</f>
        <v/>
      </c>
      <c r="AB44" s="235">
        <f>X44</f>
        <v/>
      </c>
      <c r="AC44" s="262">
        <f>Y44</f>
        <v/>
      </c>
    </row>
    <row r="45">
      <c r="A45" s="270" t="inlineStr">
        <is>
          <t>Sottosistema diagnostica di bordo</t>
        </is>
      </c>
      <c r="B45" s="233">
        <f>CONCATENATE(D45,"_",E45)</f>
        <v/>
      </c>
      <c r="C45" s="254" t="inlineStr">
        <is>
          <t>pdf</t>
        </is>
      </c>
      <c r="D45" s="233" t="inlineStr">
        <is>
          <t>MR2</t>
        </is>
      </c>
      <c r="E45" s="233" t="inlineStr">
        <is>
          <t>13A</t>
        </is>
      </c>
      <c r="F45" s="193">
        <f>CONCATENATE("ETR1000V300-",$D45,"-",$E45)</f>
        <v/>
      </c>
      <c r="G45" s="266">
        <f>CONCATENATE(F45,"-",H45)</f>
        <v/>
      </c>
      <c r="H45" s="207" t="inlineStr">
        <is>
          <t>03</t>
        </is>
      </c>
      <c r="I45" s="204" t="n">
        <v>46113</v>
      </c>
      <c r="J45" s="193">
        <f>$F45</f>
        <v/>
      </c>
      <c r="K45" s="266">
        <f>$G45</f>
        <v/>
      </c>
      <c r="L45" s="207">
        <f>$H45</f>
        <v/>
      </c>
      <c r="M45" s="204">
        <f>$I45</f>
        <v/>
      </c>
      <c r="N45" s="260">
        <f>$F45</f>
        <v/>
      </c>
      <c r="O45" s="235">
        <f>$G45</f>
        <v/>
      </c>
      <c r="P45" s="235">
        <f>$H45</f>
        <v/>
      </c>
      <c r="Q45" s="262">
        <f>$I45</f>
        <v/>
      </c>
      <c r="R45" s="260" t="n"/>
      <c r="S45" s="235" t="n"/>
      <c r="T45" s="235" t="n"/>
      <c r="U45" s="262" t="n"/>
      <c r="V45" s="260">
        <f>CONCATENATE("ETR1000V300_R1-",$D45,"-",$E45)</f>
        <v/>
      </c>
      <c r="W45" s="261">
        <f>CONCATENATE(V45,"-",X45)</f>
        <v/>
      </c>
      <c r="X45" s="267" t="inlineStr">
        <is>
          <t>03</t>
        </is>
      </c>
      <c r="Y45" s="287" t="n">
        <v>45931</v>
      </c>
      <c r="Z45" s="260">
        <f>V45</f>
        <v/>
      </c>
      <c r="AA45" s="235">
        <f>W45</f>
        <v/>
      </c>
      <c r="AB45" s="235">
        <f>X45</f>
        <v/>
      </c>
      <c r="AC45" s="262">
        <f>Y45</f>
        <v/>
      </c>
    </row>
    <row r="46">
      <c r="A46" s="270" t="inlineStr">
        <is>
          <t>Allestimenti interni</t>
        </is>
      </c>
      <c r="B46" s="233">
        <f>CONCATENATE(D46,"_",E46)</f>
        <v/>
      </c>
      <c r="C46" s="254" t="inlineStr">
        <is>
          <t>pdf</t>
        </is>
      </c>
      <c r="D46" s="233" t="inlineStr">
        <is>
          <t>MR2</t>
        </is>
      </c>
      <c r="E46" s="233" t="inlineStr">
        <is>
          <t>14A</t>
        </is>
      </c>
      <c r="F46" s="193">
        <f>CONCATENATE("ETR1000V300-",$D46,"-",$E46)</f>
        <v/>
      </c>
      <c r="G46" s="266">
        <f>CONCATENATE(F46,"-",H46)</f>
        <v/>
      </c>
      <c r="H46" s="207" t="inlineStr">
        <is>
          <t>05</t>
        </is>
      </c>
      <c r="I46" s="204" t="n">
        <v>46113</v>
      </c>
      <c r="J46" s="193">
        <f>$F46</f>
        <v/>
      </c>
      <c r="K46" s="266">
        <f>$G46</f>
        <v/>
      </c>
      <c r="L46" s="207">
        <f>$H46</f>
        <v/>
      </c>
      <c r="M46" s="204">
        <f>$I46</f>
        <v/>
      </c>
      <c r="N46" s="260">
        <f>$F46</f>
        <v/>
      </c>
      <c r="O46" s="235">
        <f>$G46</f>
        <v/>
      </c>
      <c r="P46" s="235">
        <f>$H46</f>
        <v/>
      </c>
      <c r="Q46" s="262">
        <f>$I46</f>
        <v/>
      </c>
      <c r="R46" s="260" t="n"/>
      <c r="S46" s="235" t="n"/>
      <c r="T46" s="235" t="n"/>
      <c r="U46" s="262" t="n"/>
      <c r="V46" s="260">
        <f>CONCATENATE("ETR1000V300_R1-",$D46,"-",$E46)</f>
        <v/>
      </c>
      <c r="W46" s="261">
        <f>CONCATENATE(V46,"-",X46)</f>
        <v/>
      </c>
      <c r="X46" s="267" t="inlineStr">
        <is>
          <t>02</t>
        </is>
      </c>
      <c r="Y46" s="287" t="n">
        <v>45809</v>
      </c>
      <c r="Z46" s="260">
        <f>V46</f>
        <v/>
      </c>
      <c r="AA46" s="235">
        <f>W46</f>
        <v/>
      </c>
      <c r="AB46" s="235">
        <f>X46</f>
        <v/>
      </c>
      <c r="AC46" s="262">
        <f>Y46</f>
        <v/>
      </c>
    </row>
    <row r="47">
      <c r="A47" s="270" t="inlineStr">
        <is>
          <t>Allestimenti interni - Arredi comparto e cabina di guida</t>
        </is>
      </c>
      <c r="B47" s="233">
        <f>CONCATENATE(D47,"_",E47)</f>
        <v/>
      </c>
      <c r="C47" s="254" t="inlineStr">
        <is>
          <t>pdf</t>
        </is>
      </c>
      <c r="D47" s="233" t="inlineStr">
        <is>
          <t>MR2</t>
        </is>
      </c>
      <c r="E47" s="233" t="inlineStr">
        <is>
          <t>14B</t>
        </is>
      </c>
      <c r="F47" s="193" t="inlineStr">
        <is>
          <t>\</t>
        </is>
      </c>
      <c r="G47" s="266" t="inlineStr">
        <is>
          <t>\</t>
        </is>
      </c>
      <c r="H47" s="197" t="inlineStr">
        <is>
          <t>\</t>
        </is>
      </c>
      <c r="I47" s="280" t="inlineStr">
        <is>
          <t>\</t>
        </is>
      </c>
      <c r="J47" s="193">
        <f>$F47</f>
        <v/>
      </c>
      <c r="K47" s="266">
        <f>$G47</f>
        <v/>
      </c>
      <c r="L47" s="197">
        <f>$H47</f>
        <v/>
      </c>
      <c r="M47" s="280">
        <f>$I47</f>
        <v/>
      </c>
      <c r="N47" s="260">
        <f>$F47</f>
        <v/>
      </c>
      <c r="O47" s="235">
        <f>$G47</f>
        <v/>
      </c>
      <c r="P47" s="235">
        <f>$H47</f>
        <v/>
      </c>
      <c r="Q47" s="262">
        <f>$I47</f>
        <v/>
      </c>
      <c r="R47" s="260" t="n"/>
      <c r="S47" s="235" t="n"/>
      <c r="T47" s="235" t="n"/>
      <c r="U47" s="262" t="n"/>
      <c r="V47" s="260">
        <f>CONCATENATE("ETR1000V300_R1-",$D47,"-",$E47)</f>
        <v/>
      </c>
      <c r="W47" s="261">
        <f>CONCATENATE(V47,"-",X47)</f>
        <v/>
      </c>
      <c r="X47" s="267" t="inlineStr">
        <is>
          <t>02</t>
        </is>
      </c>
      <c r="Y47" s="287" t="n">
        <v>45809</v>
      </c>
      <c r="Z47" s="260">
        <f>V47</f>
        <v/>
      </c>
      <c r="AA47" s="235">
        <f>W47</f>
        <v/>
      </c>
      <c r="AB47" s="235">
        <f>X47</f>
        <v/>
      </c>
      <c r="AC47" s="262">
        <f>Y47</f>
        <v/>
      </c>
    </row>
    <row r="48">
      <c r="A48" s="270" t="inlineStr">
        <is>
          <t>Servizi Generali di Bordo - Toilette</t>
        </is>
      </c>
      <c r="B48" s="233">
        <f>CONCATENATE(D48,"_",E48)</f>
        <v/>
      </c>
      <c r="C48" s="254" t="inlineStr">
        <is>
          <t>pdf</t>
        </is>
      </c>
      <c r="D48" s="233" t="inlineStr">
        <is>
          <t>MR2</t>
        </is>
      </c>
      <c r="E48" s="233" t="inlineStr">
        <is>
          <t>15A</t>
        </is>
      </c>
      <c r="F48" s="193">
        <f>CONCATENATE("ETR1000V300-",$D48,"-",$E48)</f>
        <v/>
      </c>
      <c r="G48" s="266">
        <f>CONCATENATE(F48,"-",H48)</f>
        <v/>
      </c>
      <c r="H48" s="207" t="inlineStr">
        <is>
          <t>05</t>
        </is>
      </c>
      <c r="I48" s="204" t="n">
        <v>46113</v>
      </c>
      <c r="J48" s="193">
        <f>$F48</f>
        <v/>
      </c>
      <c r="K48" s="266">
        <f>$G48</f>
        <v/>
      </c>
      <c r="L48" s="207">
        <f>$H48</f>
        <v/>
      </c>
      <c r="M48" s="204">
        <f>$I48</f>
        <v/>
      </c>
      <c r="N48" s="260">
        <f>$F48</f>
        <v/>
      </c>
      <c r="O48" s="235">
        <f>$G48</f>
        <v/>
      </c>
      <c r="P48" s="235">
        <f>$H48</f>
        <v/>
      </c>
      <c r="Q48" s="262">
        <f>$I48</f>
        <v/>
      </c>
      <c r="R48" s="260" t="n"/>
      <c r="S48" s="235" t="n"/>
      <c r="T48" s="235" t="n"/>
      <c r="U48" s="262" t="n"/>
      <c r="V48" s="260">
        <f>CONCATENATE("ETR1000V300_R1-",$D48,"-",$E48)</f>
        <v/>
      </c>
      <c r="W48" s="261">
        <f>CONCATENATE(V48,"-",X48)</f>
        <v/>
      </c>
      <c r="X48" s="267" t="inlineStr">
        <is>
          <t>01</t>
        </is>
      </c>
      <c r="Y48" s="287" t="n">
        <v>45809</v>
      </c>
      <c r="Z48" s="260">
        <f>V48</f>
        <v/>
      </c>
      <c r="AA48" s="235">
        <f>W48</f>
        <v/>
      </c>
      <c r="AB48" s="235">
        <f>X48</f>
        <v/>
      </c>
      <c r="AC48" s="262">
        <f>Y48</f>
        <v/>
      </c>
    </row>
    <row r="49">
      <c r="A49" s="270" t="inlineStr">
        <is>
          <t>Servizi Generali di Bordo - Bar Bistrot</t>
        </is>
      </c>
      <c r="B49" s="233">
        <f>CONCATENATE(D49,"_",E49)</f>
        <v/>
      </c>
      <c r="C49" s="254" t="inlineStr">
        <is>
          <t>pdf</t>
        </is>
      </c>
      <c r="D49" s="233" t="inlineStr">
        <is>
          <t>MR2</t>
        </is>
      </c>
      <c r="E49" s="233" t="inlineStr">
        <is>
          <t>15B</t>
        </is>
      </c>
      <c r="F49" s="193" t="inlineStr">
        <is>
          <t>\</t>
        </is>
      </c>
      <c r="G49" s="266" t="inlineStr">
        <is>
          <t>\</t>
        </is>
      </c>
      <c r="H49" s="197" t="inlineStr">
        <is>
          <t>\</t>
        </is>
      </c>
      <c r="I49" s="280" t="inlineStr">
        <is>
          <t>\</t>
        </is>
      </c>
      <c r="J49" s="193">
        <f>$F49</f>
        <v/>
      </c>
      <c r="K49" s="266">
        <f>$G49</f>
        <v/>
      </c>
      <c r="L49" s="207">
        <f>$H49</f>
        <v/>
      </c>
      <c r="M49" s="204">
        <f>$I49</f>
        <v/>
      </c>
      <c r="N49" s="260">
        <f>$F49</f>
        <v/>
      </c>
      <c r="O49" s="235">
        <f>$G49</f>
        <v/>
      </c>
      <c r="P49" s="235">
        <f>$H49</f>
        <v/>
      </c>
      <c r="Q49" s="262">
        <f>$I49</f>
        <v/>
      </c>
      <c r="R49" s="260" t="n"/>
      <c r="S49" s="235" t="n"/>
      <c r="T49" s="235" t="n"/>
      <c r="U49" s="262" t="n"/>
      <c r="V49" s="260">
        <f>CONCATENATE("ETR1000V300_R1-",$D49,"-",$E49)</f>
        <v/>
      </c>
      <c r="W49" s="261">
        <f>CONCATENATE(V49,"-",X49)</f>
        <v/>
      </c>
      <c r="X49" s="267" t="inlineStr">
        <is>
          <t>02</t>
        </is>
      </c>
      <c r="Y49" s="287" t="n">
        <v>45809</v>
      </c>
      <c r="Z49" s="260">
        <f>V49</f>
        <v/>
      </c>
      <c r="AA49" s="235">
        <f>W49</f>
        <v/>
      </c>
      <c r="AB49" s="235">
        <f>X49</f>
        <v/>
      </c>
      <c r="AC49" s="262">
        <f>Y49</f>
        <v/>
      </c>
    </row>
    <row r="50">
      <c r="A50" s="270" t="inlineStr">
        <is>
          <t>Documentazione circuiti elettronici</t>
        </is>
      </c>
      <c r="B50" s="233">
        <f>CONCATENATE(D50,"_",E50)</f>
        <v/>
      </c>
      <c r="C50" s="254" t="inlineStr">
        <is>
          <t>pdf</t>
        </is>
      </c>
      <c r="D50" s="233" t="inlineStr">
        <is>
          <t>MR2</t>
        </is>
      </c>
      <c r="E50" s="233" t="inlineStr">
        <is>
          <t>17A</t>
        </is>
      </c>
      <c r="F50" s="193">
        <f>CONCATENATE("ETR1000V300-",$D50,"-",$E50)</f>
        <v/>
      </c>
      <c r="G50" s="266">
        <f>CONCATENATE(F50,"-",H50)</f>
        <v/>
      </c>
      <c r="H50" s="197" t="inlineStr">
        <is>
          <t>00</t>
        </is>
      </c>
      <c r="I50" s="195" t="n">
        <v>41913</v>
      </c>
      <c r="J50" s="193">
        <f>$F50</f>
        <v/>
      </c>
      <c r="K50" s="266">
        <f>$G50</f>
        <v/>
      </c>
      <c r="L50" s="197">
        <f>$H50</f>
        <v/>
      </c>
      <c r="M50" s="195">
        <f>$I50</f>
        <v/>
      </c>
      <c r="N50" s="260">
        <f>$F50</f>
        <v/>
      </c>
      <c r="O50" s="235">
        <f>$G50</f>
        <v/>
      </c>
      <c r="P50" s="235">
        <f>$H50</f>
        <v/>
      </c>
      <c r="Q50" s="262">
        <f>$I50</f>
        <v/>
      </c>
      <c r="R50" s="260" t="n"/>
      <c r="S50" s="235" t="n"/>
      <c r="T50" s="235" t="n"/>
      <c r="U50" s="262" t="n"/>
      <c r="V50" s="268" t="n"/>
      <c r="W50" s="267" t="n"/>
      <c r="X50" s="267" t="n"/>
      <c r="Y50" s="276" t="n"/>
      <c r="Z50" s="268" t="n"/>
      <c r="AA50" s="267" t="n"/>
      <c r="AB50" s="267" t="n"/>
      <c r="AC50" s="269">
        <f>Y50</f>
        <v/>
      </c>
    </row>
    <row r="51">
      <c r="A51" s="270" t="inlineStr">
        <is>
          <t>Messa in servizio (tomo 1 di 5)</t>
        </is>
      </c>
      <c r="B51" s="233">
        <f>CONCATENATE(D51,"_",E51)</f>
        <v/>
      </c>
      <c r="C51" s="254" t="inlineStr">
        <is>
          <t>pdf</t>
        </is>
      </c>
      <c r="D51" s="233" t="inlineStr">
        <is>
          <t>MR2</t>
        </is>
      </c>
      <c r="E51" s="233" t="inlineStr">
        <is>
          <t>30A</t>
        </is>
      </c>
      <c r="F51" s="193">
        <f>CONCATENATE("ETR1000V300-",$D51,"-",$E51)</f>
        <v/>
      </c>
      <c r="G51" s="266">
        <f>CONCATENATE(F51,"-",H51)</f>
        <v/>
      </c>
      <c r="H51" s="197" t="inlineStr">
        <is>
          <t>01</t>
        </is>
      </c>
      <c r="I51" s="196" t="inlineStr">
        <is>
          <t>mag-16</t>
        </is>
      </c>
      <c r="J51" s="193">
        <f>$F51</f>
        <v/>
      </c>
      <c r="K51" s="266">
        <f>$G51</f>
        <v/>
      </c>
      <c r="L51" s="197">
        <f>$H51</f>
        <v/>
      </c>
      <c r="M51" s="196">
        <f>$I51</f>
        <v/>
      </c>
      <c r="N51" s="260">
        <f>$F51</f>
        <v/>
      </c>
      <c r="O51" s="235">
        <f>$G51</f>
        <v/>
      </c>
      <c r="P51" s="235">
        <f>$H51</f>
        <v/>
      </c>
      <c r="Q51" s="262">
        <f>$I51</f>
        <v/>
      </c>
      <c r="R51" s="260" t="n"/>
      <c r="S51" s="235" t="n"/>
      <c r="T51" s="235" t="n"/>
      <c r="U51" s="262" t="n"/>
      <c r="V51" s="260">
        <f>CONCATENATE("ETR1000V300_R1-",$D51,"-",$E51)</f>
        <v/>
      </c>
      <c r="W51" s="261">
        <f>CONCATENATE(V51,"-",X51)</f>
        <v/>
      </c>
      <c r="X51" s="267" t="inlineStr">
        <is>
          <t>02</t>
        </is>
      </c>
      <c r="Y51" s="287" t="n">
        <v>45627</v>
      </c>
      <c r="Z51" s="260">
        <f>V51</f>
        <v/>
      </c>
      <c r="AA51" s="235">
        <f>W51</f>
        <v/>
      </c>
      <c r="AB51" s="235">
        <f>X51</f>
        <v/>
      </c>
      <c r="AC51" s="262">
        <f>Y51</f>
        <v/>
      </c>
    </row>
    <row r="52">
      <c r="A52" s="270" t="inlineStr">
        <is>
          <t>Cassa veicoli di estremità</t>
        </is>
      </c>
      <c r="B52" s="233">
        <f>CONCATENATE(D52,"_",E52)</f>
        <v/>
      </c>
      <c r="C52" s="254" t="inlineStr">
        <is>
          <t>pdf</t>
        </is>
      </c>
      <c r="D52" s="233" t="inlineStr">
        <is>
          <t>CPR</t>
        </is>
      </c>
      <c r="E52" s="233" t="inlineStr">
        <is>
          <t>01A</t>
        </is>
      </c>
      <c r="F52" s="193">
        <f>CONCATENATE("ETR1000V300-",$D52,"-",$E52)</f>
        <v/>
      </c>
      <c r="G52" s="233" t="inlineStr">
        <is>
          <t>2.05.993</t>
        </is>
      </c>
      <c r="H52" s="194" t="inlineStr">
        <is>
          <t>\</t>
        </is>
      </c>
      <c r="I52" s="196" t="inlineStr">
        <is>
          <t>mag-22</t>
        </is>
      </c>
      <c r="J52" s="193">
        <f>$F52</f>
        <v/>
      </c>
      <c r="K52" s="233">
        <f>$G52</f>
        <v/>
      </c>
      <c r="L52" s="194">
        <f>$H52</f>
        <v/>
      </c>
      <c r="M52" s="196">
        <f>$I52</f>
        <v/>
      </c>
      <c r="N52" s="272">
        <f>CONCATENATE("ETR1000V300_FR-",$D52,"-",$E52)</f>
        <v/>
      </c>
      <c r="O52" s="261" t="inlineStr">
        <is>
          <t>2.05.1232</t>
        </is>
      </c>
      <c r="P52" s="235" t="inlineStr">
        <is>
          <t>\</t>
        </is>
      </c>
      <c r="Q52" s="262" t="n">
        <v>44136</v>
      </c>
      <c r="R52" s="260" t="n"/>
      <c r="S52" s="235" t="n"/>
      <c r="T52" s="235" t="n"/>
      <c r="U52" s="262" t="n"/>
      <c r="V52" s="272">
        <f>CONCATENATE("ETR1000V300_R1-",$D52,"-",$E52)</f>
        <v/>
      </c>
      <c r="W52" s="267" t="inlineStr">
        <is>
          <t>2.05.1397</t>
        </is>
      </c>
      <c r="X52" s="267" t="inlineStr">
        <is>
          <t>01</t>
        </is>
      </c>
      <c r="Y52" s="262" t="n">
        <v>45901</v>
      </c>
      <c r="Z52" s="268">
        <f>V52</f>
        <v/>
      </c>
      <c r="AA52" s="267">
        <f>W52</f>
        <v/>
      </c>
      <c r="AB52" s="267">
        <f>X52</f>
        <v/>
      </c>
      <c r="AC52" s="269">
        <f>Y52</f>
        <v/>
      </c>
    </row>
    <row r="53">
      <c r="A53" s="270" t="inlineStr">
        <is>
          <t>Cassa veicoli intermedi</t>
        </is>
      </c>
      <c r="B53" s="233">
        <f>CONCATENATE(D53,"_",E53)</f>
        <v/>
      </c>
      <c r="C53" s="254" t="inlineStr">
        <is>
          <t>pdf</t>
        </is>
      </c>
      <c r="D53" s="233" t="inlineStr">
        <is>
          <t>CPR</t>
        </is>
      </c>
      <c r="E53" s="233" t="inlineStr">
        <is>
          <t>01B</t>
        </is>
      </c>
      <c r="F53" s="193">
        <f>CONCATENATE("ETR1000V300-",$D53,"-",$E53)</f>
        <v/>
      </c>
      <c r="G53" s="233" t="inlineStr">
        <is>
          <t>2.05.994</t>
        </is>
      </c>
      <c r="H53" s="194" t="inlineStr">
        <is>
          <t>\</t>
        </is>
      </c>
      <c r="I53" s="196" t="inlineStr">
        <is>
          <t>mag-22</t>
        </is>
      </c>
      <c r="J53" s="193">
        <f>$F53</f>
        <v/>
      </c>
      <c r="K53" s="233">
        <f>$G53</f>
        <v/>
      </c>
      <c r="L53" s="194">
        <f>$H53</f>
        <v/>
      </c>
      <c r="M53" s="196">
        <f>$I53</f>
        <v/>
      </c>
      <c r="N53" s="272">
        <f>CONCATENATE("ETR1000V300_FR-",$D53,"-",$E53)</f>
        <v/>
      </c>
      <c r="O53" s="261" t="inlineStr">
        <is>
          <t>2.05.1233</t>
        </is>
      </c>
      <c r="P53" s="235" t="inlineStr">
        <is>
          <t>\</t>
        </is>
      </c>
      <c r="Q53" s="262" t="n">
        <v>44136</v>
      </c>
      <c r="R53" s="260" t="n"/>
      <c r="S53" s="235" t="n"/>
      <c r="T53" s="235" t="n"/>
      <c r="U53" s="262" t="n"/>
      <c r="V53" s="272">
        <f>CONCATENATE("ETR1000V300_R1-",$D53,"-",$E53)</f>
        <v/>
      </c>
      <c r="W53" s="267" t="inlineStr">
        <is>
          <t>2.05.1398</t>
        </is>
      </c>
      <c r="X53" s="267" t="inlineStr">
        <is>
          <t>01</t>
        </is>
      </c>
      <c r="Y53" s="262" t="n">
        <v>45901</v>
      </c>
      <c r="Z53" s="268">
        <f>V53</f>
        <v/>
      </c>
      <c r="AA53" s="267">
        <f>W53</f>
        <v/>
      </c>
      <c r="AB53" s="267">
        <f>X53</f>
        <v/>
      </c>
      <c r="AC53" s="269">
        <f>Y53</f>
        <v/>
      </c>
    </row>
    <row r="54">
      <c r="A54" s="270" t="inlineStr">
        <is>
          <t>Accoppiatore automatico-asta semipermanente</t>
        </is>
      </c>
      <c r="B54" s="233">
        <f>CONCATENATE(D54,"_",E54)</f>
        <v/>
      </c>
      <c r="C54" s="254" t="inlineStr">
        <is>
          <t>pdf</t>
        </is>
      </c>
      <c r="D54" s="233" t="inlineStr">
        <is>
          <t>CPR</t>
        </is>
      </c>
      <c r="E54" s="233" t="inlineStr">
        <is>
          <t>01C</t>
        </is>
      </c>
      <c r="F54" s="193">
        <f>CONCATENATE("ETR1000V300-",$D54,"-",$E54)</f>
        <v/>
      </c>
      <c r="G54" s="233" t="inlineStr">
        <is>
          <t>2.05.995</t>
        </is>
      </c>
      <c r="H54" s="194" t="inlineStr">
        <is>
          <t>\</t>
        </is>
      </c>
      <c r="I54" s="196" t="inlineStr">
        <is>
          <t>mag-22</t>
        </is>
      </c>
      <c r="J54" s="193">
        <f>$F54</f>
        <v/>
      </c>
      <c r="K54" s="233">
        <f>$G54</f>
        <v/>
      </c>
      <c r="L54" s="194">
        <f>$H54</f>
        <v/>
      </c>
      <c r="M54" s="196">
        <f>$I54</f>
        <v/>
      </c>
      <c r="N54" s="260">
        <f>F54</f>
        <v/>
      </c>
      <c r="O54" s="235">
        <f>G54</f>
        <v/>
      </c>
      <c r="P54" s="235">
        <f>H54</f>
        <v/>
      </c>
      <c r="Q54" s="236">
        <f>I54</f>
        <v/>
      </c>
      <c r="R54" s="260" t="n"/>
      <c r="S54" s="235" t="n"/>
      <c r="T54" s="235" t="n"/>
      <c r="U54" s="262" t="n"/>
      <c r="V54" s="260" t="n"/>
      <c r="W54" s="235" t="n"/>
      <c r="X54" s="235" t="n"/>
      <c r="Y54" s="262" t="n"/>
      <c r="Z54" s="260" t="n"/>
      <c r="AA54" s="235" t="n"/>
      <c r="AB54" s="235" t="n"/>
      <c r="AC54" s="262" t="n"/>
    </row>
    <row r="55">
      <c r="A55" s="270" t="inlineStr">
        <is>
          <t>Musetto mobile</t>
        </is>
      </c>
      <c r="B55" s="233">
        <f>CONCATENATE(D55,"_",E55)</f>
        <v/>
      </c>
      <c r="C55" s="254" t="inlineStr">
        <is>
          <t>pdf</t>
        </is>
      </c>
      <c r="D55" s="233" t="inlineStr">
        <is>
          <t>CPR</t>
        </is>
      </c>
      <c r="E55" s="233" t="inlineStr">
        <is>
          <t>01D</t>
        </is>
      </c>
      <c r="F55" s="193">
        <f>CONCATENATE("ETR1000V300-",$D55,"-",$E55)</f>
        <v/>
      </c>
      <c r="G55" s="233" t="inlineStr">
        <is>
          <t>2.05.996</t>
        </is>
      </c>
      <c r="H55" s="194" t="inlineStr">
        <is>
          <t>\</t>
        </is>
      </c>
      <c r="I55" s="196" t="inlineStr">
        <is>
          <t>mag-22</t>
        </is>
      </c>
      <c r="J55" s="193">
        <f>$F55</f>
        <v/>
      </c>
      <c r="K55" s="233">
        <f>$G55</f>
        <v/>
      </c>
      <c r="L55" s="194">
        <f>$H55</f>
        <v/>
      </c>
      <c r="M55" s="196">
        <f>$I55</f>
        <v/>
      </c>
      <c r="N55" s="272">
        <f>CONCATENATE("ETR1000V300_FR-",$D55,"-",$E55)</f>
        <v/>
      </c>
      <c r="O55" s="261" t="inlineStr">
        <is>
          <t>2.05.1234</t>
        </is>
      </c>
      <c r="P55" s="235" t="inlineStr">
        <is>
          <t>\</t>
        </is>
      </c>
      <c r="Q55" s="262" t="n">
        <v>44136</v>
      </c>
      <c r="R55" s="260" t="n"/>
      <c r="S55" s="235" t="n"/>
      <c r="T55" s="235" t="n"/>
      <c r="U55" s="262" t="n"/>
      <c r="V55" s="272">
        <f>CONCATENATE("ETR1000V300_R1-",$D55,"-",$E55)</f>
        <v/>
      </c>
      <c r="W55" s="267" t="inlineStr">
        <is>
          <t>2.05.1400</t>
        </is>
      </c>
      <c r="X55" s="267" t="inlineStr">
        <is>
          <t>01</t>
        </is>
      </c>
      <c r="Y55" s="262" t="n">
        <v>45931</v>
      </c>
      <c r="Z55" s="268">
        <f>V55</f>
        <v/>
      </c>
      <c r="AA55" s="267">
        <f>W55</f>
        <v/>
      </c>
      <c r="AB55" s="267">
        <f>X55</f>
        <v/>
      </c>
      <c r="AC55" s="269">
        <f>Y55</f>
        <v/>
      </c>
    </row>
    <row r="56">
      <c r="A56" s="270" t="inlineStr">
        <is>
          <t>Carrello</t>
        </is>
      </c>
      <c r="B56" s="233">
        <f>CONCATENATE(D56,"_",E56)</f>
        <v/>
      </c>
      <c r="C56" s="254" t="inlineStr">
        <is>
          <t>pdf</t>
        </is>
      </c>
      <c r="D56" s="233" t="inlineStr">
        <is>
          <t>CPR</t>
        </is>
      </c>
      <c r="E56" s="233" t="inlineStr">
        <is>
          <t>02A</t>
        </is>
      </c>
      <c r="F56" s="193">
        <f>CONCATENATE("ETR1000V300-",$D56,"-",$E56)</f>
        <v/>
      </c>
      <c r="G56" s="233" t="inlineStr">
        <is>
          <t>2.05.997</t>
        </is>
      </c>
      <c r="H56" s="194" t="inlineStr">
        <is>
          <t>\</t>
        </is>
      </c>
      <c r="I56" s="196" t="inlineStr">
        <is>
          <t>mar-21</t>
        </is>
      </c>
      <c r="J56" s="193">
        <f>$F56</f>
        <v/>
      </c>
      <c r="K56" s="233">
        <f>$G56</f>
        <v/>
      </c>
      <c r="L56" s="194">
        <f>$H56</f>
        <v/>
      </c>
      <c r="M56" s="196">
        <f>$I56</f>
        <v/>
      </c>
      <c r="N56" s="272">
        <f>CONCATENATE("ETR1000V300_FR-",$D56,"-",$E56)</f>
        <v/>
      </c>
      <c r="O56" s="261" t="inlineStr">
        <is>
          <t>2.05.1235</t>
        </is>
      </c>
      <c r="P56" s="235" t="inlineStr">
        <is>
          <t>\</t>
        </is>
      </c>
      <c r="Q56" s="262" t="n">
        <v>43617</v>
      </c>
      <c r="R56" s="260" t="n"/>
      <c r="S56" s="235" t="n"/>
      <c r="T56" s="235" t="n"/>
      <c r="U56" s="262" t="n"/>
      <c r="V56" s="272">
        <f>CONCATENATE("ETR1000V300_R1-",$D56,"-",$E56)</f>
        <v/>
      </c>
      <c r="W56" s="267" t="inlineStr">
        <is>
          <t>2.05.1401</t>
        </is>
      </c>
      <c r="X56" s="267" t="inlineStr">
        <is>
          <t>02</t>
        </is>
      </c>
      <c r="Y56" s="262" t="n">
        <v>45931</v>
      </c>
      <c r="Z56" s="268">
        <f>V56</f>
        <v/>
      </c>
      <c r="AA56" s="267">
        <f>W56</f>
        <v/>
      </c>
      <c r="AB56" s="267">
        <f>X56</f>
        <v/>
      </c>
      <c r="AC56" s="269">
        <f>Y56</f>
        <v/>
      </c>
    </row>
    <row r="57">
      <c r="A57" s="270" t="inlineStr">
        <is>
          <t>Impianto pneumatico e freno - sistemazioni</t>
        </is>
      </c>
      <c r="B57" s="233">
        <f>CONCATENATE(D57,"_",E57)</f>
        <v/>
      </c>
      <c r="C57" s="254" t="inlineStr">
        <is>
          <t>pdf</t>
        </is>
      </c>
      <c r="D57" s="233" t="inlineStr">
        <is>
          <t>CPR</t>
        </is>
      </c>
      <c r="E57" s="233" t="inlineStr">
        <is>
          <t>03A</t>
        </is>
      </c>
      <c r="F57" s="193">
        <f>CONCATENATE("ETR1000V300-",$D57,"-",$E57)</f>
        <v/>
      </c>
      <c r="G57" s="233" t="inlineStr">
        <is>
          <t>2.05.998</t>
        </is>
      </c>
      <c r="H57" s="194" t="inlineStr">
        <is>
          <t>\</t>
        </is>
      </c>
      <c r="I57" s="196" t="inlineStr">
        <is>
          <t>lug-17</t>
        </is>
      </c>
      <c r="J57" s="193">
        <f>$F57</f>
        <v/>
      </c>
      <c r="K57" s="233">
        <f>$G57</f>
        <v/>
      </c>
      <c r="L57" s="194">
        <f>$H57</f>
        <v/>
      </c>
      <c r="M57" s="196">
        <f>$I57</f>
        <v/>
      </c>
      <c r="N57" s="272">
        <f>CONCATENATE("ETR1000V300_FR-",$D57,"-",$E57)</f>
        <v/>
      </c>
      <c r="O57" s="261" t="inlineStr">
        <is>
          <t>2.05.1236</t>
        </is>
      </c>
      <c r="P57" s="235" t="inlineStr">
        <is>
          <t>\</t>
        </is>
      </c>
      <c r="Q57" s="262" t="n">
        <v>43922</v>
      </c>
      <c r="R57" s="260" t="n"/>
      <c r="S57" s="235" t="n"/>
      <c r="T57" s="235" t="n"/>
      <c r="U57" s="262" t="n"/>
      <c r="V57" s="272">
        <f>CONCATENATE("ETR1000V300_R1-",$D57,"-",$E57)</f>
        <v/>
      </c>
      <c r="W57" s="267" t="inlineStr">
        <is>
          <t>2.05.1402</t>
        </is>
      </c>
      <c r="X57" s="267" t="inlineStr">
        <is>
          <t>02</t>
        </is>
      </c>
      <c r="Y57" s="262" t="n">
        <v>45931</v>
      </c>
      <c r="Z57" s="268">
        <f>V57</f>
        <v/>
      </c>
      <c r="AA57" s="267">
        <f>W57</f>
        <v/>
      </c>
      <c r="AB57" s="267">
        <f>X57</f>
        <v/>
      </c>
      <c r="AC57" s="269">
        <f>Y57</f>
        <v/>
      </c>
    </row>
    <row r="58">
      <c r="A58" s="270" t="inlineStr">
        <is>
          <t>Impianto pneumatico e freno - componenti</t>
        </is>
      </c>
      <c r="B58" s="233">
        <f>CONCATENATE(D58,"_",E58)</f>
        <v/>
      </c>
      <c r="C58" s="254" t="inlineStr">
        <is>
          <t>pdf</t>
        </is>
      </c>
      <c r="D58" s="233" t="inlineStr">
        <is>
          <t>CPR</t>
        </is>
      </c>
      <c r="E58" s="233" t="inlineStr">
        <is>
          <t>03B</t>
        </is>
      </c>
      <c r="F58" s="193">
        <f>CONCATENATE("ETR1000V300-",$D58,"-",$E58)</f>
        <v/>
      </c>
      <c r="G58" s="233" t="inlineStr">
        <is>
          <t>2.05.999</t>
        </is>
      </c>
      <c r="H58" s="194" t="inlineStr">
        <is>
          <t>\</t>
        </is>
      </c>
      <c r="I58" s="206" t="n">
        <v>46113</v>
      </c>
      <c r="J58" s="193">
        <f>$F58</f>
        <v/>
      </c>
      <c r="K58" s="233">
        <f>$G58</f>
        <v/>
      </c>
      <c r="L58" s="194">
        <f>$H58</f>
        <v/>
      </c>
      <c r="M58" s="206">
        <f>$I58</f>
        <v/>
      </c>
      <c r="N58" s="272">
        <f>CONCATENATE("ETR1000V300_FR-",$D58,"-",$E58)</f>
        <v/>
      </c>
      <c r="O58" s="261" t="inlineStr">
        <is>
          <t>2.05.1237</t>
        </is>
      </c>
      <c r="P58" s="235" t="inlineStr">
        <is>
          <t>\</t>
        </is>
      </c>
      <c r="Q58" s="262" t="n">
        <v>44317</v>
      </c>
      <c r="R58" s="260" t="n"/>
      <c r="S58" s="235" t="n"/>
      <c r="T58" s="235" t="n"/>
      <c r="U58" s="262" t="n"/>
      <c r="V58" s="272">
        <f>CONCATENATE("ETR1000V300_R1-",$D58,"-",$E58)</f>
        <v/>
      </c>
      <c r="W58" s="267" t="inlineStr">
        <is>
          <t>2.05.1403</t>
        </is>
      </c>
      <c r="X58" s="267" t="inlineStr">
        <is>
          <t>02</t>
        </is>
      </c>
      <c r="Y58" s="262" t="n">
        <v>45931</v>
      </c>
      <c r="Z58" s="268">
        <f>V58</f>
        <v/>
      </c>
      <c r="AA58" s="267">
        <f>W58</f>
        <v/>
      </c>
      <c r="AB58" s="267">
        <f>X58</f>
        <v/>
      </c>
      <c r="AC58" s="269">
        <f>Y58</f>
        <v/>
      </c>
    </row>
    <row r="59">
      <c r="A59" s="270" t="inlineStr">
        <is>
          <t>Equipaggiamento elettrico ed elettropneumatico - sistemazioni</t>
        </is>
      </c>
      <c r="B59" s="233">
        <f>CONCATENATE(D59,"_",E59)</f>
        <v/>
      </c>
      <c r="C59" s="254" t="inlineStr">
        <is>
          <t>pdf</t>
        </is>
      </c>
      <c r="D59" s="233" t="inlineStr">
        <is>
          <t>CPR</t>
        </is>
      </c>
      <c r="E59" s="233" t="inlineStr">
        <is>
          <t>04A</t>
        </is>
      </c>
      <c r="F59" s="193">
        <f>CONCATENATE("ETR1000V300-",$D59,"-",$E59)</f>
        <v/>
      </c>
      <c r="G59" s="233" t="inlineStr">
        <is>
          <t>2.05.1000</t>
        </is>
      </c>
      <c r="H59" s="194" t="inlineStr">
        <is>
          <t>\</t>
        </is>
      </c>
      <c r="I59" s="206" t="n">
        <v>45748</v>
      </c>
      <c r="J59" s="193">
        <f>$F59</f>
        <v/>
      </c>
      <c r="K59" s="233">
        <f>$G59</f>
        <v/>
      </c>
      <c r="L59" s="194">
        <f>$H59</f>
        <v/>
      </c>
      <c r="M59" s="206">
        <f>$I59</f>
        <v/>
      </c>
      <c r="N59" s="272">
        <f>CONCATENATE("ETR1000V300_FR-",$D59,"-",$E59)</f>
        <v/>
      </c>
      <c r="O59" s="261" t="inlineStr">
        <is>
          <t>2.05.1238</t>
        </is>
      </c>
      <c r="P59" s="235" t="inlineStr">
        <is>
          <t>\</t>
        </is>
      </c>
      <c r="Q59" s="262" t="n">
        <v>43922</v>
      </c>
      <c r="R59" s="260" t="n"/>
      <c r="S59" s="235" t="n"/>
      <c r="T59" s="235" t="n"/>
      <c r="U59" s="262" t="n"/>
      <c r="V59" s="272">
        <f>CONCATENATE("ETR1000V300_R1-",$D59,"-",$E59)</f>
        <v/>
      </c>
      <c r="W59" s="267" t="inlineStr">
        <is>
          <t>2.05.1404</t>
        </is>
      </c>
      <c r="X59" s="267" t="inlineStr">
        <is>
          <t>01</t>
        </is>
      </c>
      <c r="Y59" s="262" t="n">
        <v>45901</v>
      </c>
      <c r="Z59" s="268">
        <f>V59</f>
        <v/>
      </c>
      <c r="AA59" s="267">
        <f>W59</f>
        <v/>
      </c>
      <c r="AB59" s="267">
        <f>X59</f>
        <v/>
      </c>
      <c r="AC59" s="269">
        <f>Y59</f>
        <v/>
      </c>
    </row>
    <row r="60">
      <c r="A60" s="270" t="inlineStr">
        <is>
          <t>Equipaggiamento elettrico ed elettropneumatico - componenti</t>
        </is>
      </c>
      <c r="B60" s="233">
        <f>CONCATENATE(D60,"_",E60)</f>
        <v/>
      </c>
      <c r="C60" s="254" t="inlineStr">
        <is>
          <t>pdf</t>
        </is>
      </c>
      <c r="D60" s="233" t="inlineStr">
        <is>
          <t>CPR</t>
        </is>
      </c>
      <c r="E60" s="233" t="inlineStr">
        <is>
          <t>04B</t>
        </is>
      </c>
      <c r="F60" s="193">
        <f>CONCATENATE("ETR1000V300-",$D60,"-",$E60)</f>
        <v/>
      </c>
      <c r="G60" s="233" t="inlineStr">
        <is>
          <t>2.05.1001</t>
        </is>
      </c>
      <c r="H60" s="194" t="inlineStr">
        <is>
          <t>\</t>
        </is>
      </c>
      <c r="I60" s="206" t="n">
        <v>46082</v>
      </c>
      <c r="J60" s="193">
        <f>$F60</f>
        <v/>
      </c>
      <c r="K60" s="233">
        <f>$G60</f>
        <v/>
      </c>
      <c r="L60" s="194">
        <f>$H60</f>
        <v/>
      </c>
      <c r="M60" s="206">
        <f>$I60</f>
        <v/>
      </c>
      <c r="N60" s="272">
        <f>CONCATENATE("ETR1000V300_FR-",$D60,"-",$E60)</f>
        <v/>
      </c>
      <c r="O60" s="261" t="inlineStr">
        <is>
          <t>2.05.1239</t>
        </is>
      </c>
      <c r="P60" s="235" t="inlineStr">
        <is>
          <t>\</t>
        </is>
      </c>
      <c r="Q60" s="262" t="n">
        <v>43952</v>
      </c>
      <c r="R60" s="260" t="n"/>
      <c r="S60" s="235" t="n"/>
      <c r="T60" s="235" t="n"/>
      <c r="U60" s="262" t="n"/>
      <c r="V60" s="272">
        <f>CONCATENATE("ETR1000V300_R1-",$D60,"-",$E60)</f>
        <v/>
      </c>
      <c r="W60" s="267" t="inlineStr">
        <is>
          <t>2.05.1405</t>
        </is>
      </c>
      <c r="X60" s="267" t="inlineStr">
        <is>
          <t>01</t>
        </is>
      </c>
      <c r="Y60" s="262" t="n">
        <v>45931</v>
      </c>
      <c r="Z60" s="268">
        <f>V60</f>
        <v/>
      </c>
      <c r="AA60" s="267">
        <f>W60</f>
        <v/>
      </c>
      <c r="AB60" s="267">
        <f>X60</f>
        <v/>
      </c>
      <c r="AC60" s="269">
        <f>Y60</f>
        <v/>
      </c>
    </row>
    <row r="61">
      <c r="A61" s="270" t="inlineStr">
        <is>
          <t>Pantografi</t>
        </is>
      </c>
      <c r="B61" s="233">
        <f>CONCATENATE(D61,"_",E61)</f>
        <v/>
      </c>
      <c r="C61" s="254" t="inlineStr">
        <is>
          <t>pdf</t>
        </is>
      </c>
      <c r="D61" s="233" t="inlineStr">
        <is>
          <t>CPR</t>
        </is>
      </c>
      <c r="E61" s="233" t="inlineStr">
        <is>
          <t>04C</t>
        </is>
      </c>
      <c r="F61" s="193">
        <f>CONCATENATE("ETR1000V300-",$D61,"-",$E61)</f>
        <v/>
      </c>
      <c r="G61" s="233" t="inlineStr">
        <is>
          <t>2.05.1002</t>
        </is>
      </c>
      <c r="H61" s="194" t="inlineStr">
        <is>
          <t>\</t>
        </is>
      </c>
      <c r="I61" s="196" t="inlineStr">
        <is>
          <t>mar-21</t>
        </is>
      </c>
      <c r="J61" s="193">
        <f>$F61</f>
        <v/>
      </c>
      <c r="K61" s="233">
        <f>$G61</f>
        <v/>
      </c>
      <c r="L61" s="194">
        <f>$H61</f>
        <v/>
      </c>
      <c r="M61" s="196">
        <f>$I61</f>
        <v/>
      </c>
      <c r="N61" s="272">
        <f>CONCATENATE("ETR1000V300_FR-",$D61,"-",$E61)</f>
        <v/>
      </c>
      <c r="O61" s="261" t="inlineStr">
        <is>
          <t>2.05.1240</t>
        </is>
      </c>
      <c r="P61" s="235" t="inlineStr">
        <is>
          <t>\</t>
        </is>
      </c>
      <c r="Q61" s="262" t="n">
        <v>43922</v>
      </c>
      <c r="R61" s="260" t="n"/>
      <c r="S61" s="235" t="n"/>
      <c r="T61" s="235" t="n"/>
      <c r="U61" s="262" t="n"/>
      <c r="V61" s="272">
        <f>CONCATENATE("ETR1000V300_R1-",$D61,"-",$E61)</f>
        <v/>
      </c>
      <c r="W61" s="267" t="inlineStr">
        <is>
          <t>2.05.1406</t>
        </is>
      </c>
      <c r="X61" s="267" t="inlineStr">
        <is>
          <t>01</t>
        </is>
      </c>
      <c r="Y61" s="262" t="n">
        <v>45931</v>
      </c>
      <c r="Z61" s="268">
        <f>V61</f>
        <v/>
      </c>
      <c r="AA61" s="267">
        <f>W61</f>
        <v/>
      </c>
      <c r="AB61" s="267">
        <f>X61</f>
        <v/>
      </c>
      <c r="AC61" s="269">
        <f>Y61</f>
        <v/>
      </c>
    </row>
    <row r="62">
      <c r="A62" s="270" t="inlineStr">
        <is>
          <t>Quadri elettrici</t>
        </is>
      </c>
      <c r="B62" s="233">
        <f>CONCATENATE(D62,"_",E62)</f>
        <v/>
      </c>
      <c r="C62" s="254" t="inlineStr">
        <is>
          <t>pdf</t>
        </is>
      </c>
      <c r="D62" s="233" t="inlineStr">
        <is>
          <t>CPR</t>
        </is>
      </c>
      <c r="E62" s="233" t="inlineStr">
        <is>
          <t>04D</t>
        </is>
      </c>
      <c r="F62" s="193">
        <f>CONCATENATE("ETR1000V300-",$D62,"-",$E62)</f>
        <v/>
      </c>
      <c r="G62" s="233" t="inlineStr">
        <is>
          <t>2.05.1003</t>
        </is>
      </c>
      <c r="H62" s="194" t="inlineStr">
        <is>
          <t>\</t>
        </is>
      </c>
      <c r="I62" s="206" t="n">
        <v>45748</v>
      </c>
      <c r="J62" s="193">
        <f>$F62</f>
        <v/>
      </c>
      <c r="K62" s="233">
        <f>$G62</f>
        <v/>
      </c>
      <c r="L62" s="194">
        <f>$H62</f>
        <v/>
      </c>
      <c r="M62" s="206">
        <f>$I62</f>
        <v/>
      </c>
      <c r="N62" s="272">
        <f>CONCATENATE("ETR1000V300_FR-",$D62,"-",$E62)</f>
        <v/>
      </c>
      <c r="O62" s="261" t="inlineStr">
        <is>
          <t>2.05.1241</t>
        </is>
      </c>
      <c r="P62" s="235" t="inlineStr">
        <is>
          <t>\</t>
        </is>
      </c>
      <c r="Q62" s="262" t="n">
        <v>43952</v>
      </c>
      <c r="R62" s="260" t="n"/>
      <c r="S62" s="235" t="n"/>
      <c r="T62" s="235" t="n"/>
      <c r="U62" s="262" t="n"/>
      <c r="V62" s="260" t="n"/>
      <c r="W62" s="235" t="n"/>
      <c r="X62" s="235" t="n"/>
      <c r="Y62" s="262" t="n"/>
      <c r="Z62" s="260" t="n"/>
      <c r="AA62" s="235" t="n"/>
      <c r="AB62" s="235" t="n"/>
      <c r="AC62" s="262" t="n"/>
    </row>
    <row r="63">
      <c r="A63" s="270" t="inlineStr">
        <is>
          <t>Logica di comando</t>
        </is>
      </c>
      <c r="B63" s="233">
        <f>CONCATENATE(D63,"_",E63)</f>
        <v/>
      </c>
      <c r="C63" s="254" t="inlineStr">
        <is>
          <t>pdf</t>
        </is>
      </c>
      <c r="D63" s="233" t="inlineStr">
        <is>
          <t>CPR</t>
        </is>
      </c>
      <c r="E63" s="233" t="inlineStr">
        <is>
          <t>05A</t>
        </is>
      </c>
      <c r="F63" s="193">
        <f>CONCATENATE("ETR1000V300-",$D63,"-",$E63)</f>
        <v/>
      </c>
      <c r="G63" s="233" t="inlineStr">
        <is>
          <t>2.05.1004</t>
        </is>
      </c>
      <c r="H63" s="194" t="inlineStr">
        <is>
          <t>\</t>
        </is>
      </c>
      <c r="I63" s="195" t="n">
        <v>44287</v>
      </c>
      <c r="J63" s="193">
        <f>$F63</f>
        <v/>
      </c>
      <c r="K63" s="233">
        <f>$G63</f>
        <v/>
      </c>
      <c r="L63" s="194">
        <f>$H63</f>
        <v/>
      </c>
      <c r="M63" s="195">
        <f>$I63</f>
        <v/>
      </c>
      <c r="N63" s="260">
        <f>F63</f>
        <v/>
      </c>
      <c r="O63" s="235">
        <f>G63</f>
        <v/>
      </c>
      <c r="P63" s="235">
        <f>H63</f>
        <v/>
      </c>
      <c r="Q63" s="287">
        <f>I63</f>
        <v/>
      </c>
      <c r="R63" s="260" t="n"/>
      <c r="S63" s="235" t="n"/>
      <c r="T63" s="235" t="n"/>
      <c r="U63" s="262" t="n"/>
      <c r="V63" s="272">
        <f>CONCATENATE("ETR1000V300_R1-",$D63,"-",$E63)</f>
        <v/>
      </c>
      <c r="W63" s="267" t="inlineStr">
        <is>
          <t>2.05.1408</t>
        </is>
      </c>
      <c r="X63" s="267" t="inlineStr">
        <is>
          <t>02</t>
        </is>
      </c>
      <c r="Y63" s="262" t="n">
        <v>45931</v>
      </c>
      <c r="Z63" s="268">
        <f>V63</f>
        <v/>
      </c>
      <c r="AA63" s="267">
        <f>W63</f>
        <v/>
      </c>
      <c r="AB63" s="267">
        <f>X63</f>
        <v/>
      </c>
      <c r="AC63" s="269">
        <f>Y63</f>
        <v/>
      </c>
    </row>
    <row r="64">
      <c r="A64" s="270" t="inlineStr">
        <is>
          <t>Azionamento di trazione</t>
        </is>
      </c>
      <c r="B64" s="233">
        <f>CONCATENATE(D64,"_",E64)</f>
        <v/>
      </c>
      <c r="C64" s="254" t="inlineStr">
        <is>
          <t>pdf</t>
        </is>
      </c>
      <c r="D64" s="233" t="inlineStr">
        <is>
          <t>CPR</t>
        </is>
      </c>
      <c r="E64" s="233" t="inlineStr">
        <is>
          <t>06A</t>
        </is>
      </c>
      <c r="F64" s="193">
        <f>CONCATENATE("ETR1000V300-",$D64,"-",$E64)</f>
        <v/>
      </c>
      <c r="G64" s="233" t="inlineStr">
        <is>
          <t>2.05.1005</t>
        </is>
      </c>
      <c r="H64" s="194" t="inlineStr">
        <is>
          <t>\</t>
        </is>
      </c>
      <c r="I64" s="195" t="n">
        <v>44287</v>
      </c>
      <c r="J64" s="193">
        <f>$F64</f>
        <v/>
      </c>
      <c r="K64" s="233">
        <f>$G64</f>
        <v/>
      </c>
      <c r="L64" s="194">
        <f>$H64</f>
        <v/>
      </c>
      <c r="M64" s="195">
        <f>$I64</f>
        <v/>
      </c>
      <c r="N64" s="260">
        <f>F64</f>
        <v/>
      </c>
      <c r="O64" s="235">
        <f>G64</f>
        <v/>
      </c>
      <c r="P64" s="235">
        <f>H64</f>
        <v/>
      </c>
      <c r="Q64" s="287">
        <f>I64</f>
        <v/>
      </c>
      <c r="R64" s="260" t="n"/>
      <c r="S64" s="235" t="n"/>
      <c r="T64" s="235" t="n"/>
      <c r="U64" s="262" t="n"/>
      <c r="V64" s="272">
        <f>CONCATENATE("ETR1000V300_R1-",$D64,"-",$E64)</f>
        <v/>
      </c>
      <c r="W64" s="267" t="inlineStr">
        <is>
          <t>2.05.1409</t>
        </is>
      </c>
      <c r="X64" s="267" t="inlineStr">
        <is>
          <t>02</t>
        </is>
      </c>
      <c r="Y64" s="262" t="n">
        <v>45931</v>
      </c>
      <c r="Z64" s="268">
        <f>V64</f>
        <v/>
      </c>
      <c r="AA64" s="267">
        <f>W64</f>
        <v/>
      </c>
      <c r="AB64" s="267">
        <f>X64</f>
        <v/>
      </c>
      <c r="AC64" s="269">
        <f>Y64</f>
        <v/>
      </c>
    </row>
    <row r="65">
      <c r="A65" s="270" t="inlineStr">
        <is>
          <t>Motore di trazione</t>
        </is>
      </c>
      <c r="B65" s="233">
        <f>CONCATENATE(D65,"_",E65)</f>
        <v/>
      </c>
      <c r="C65" s="254" t="inlineStr">
        <is>
          <t>pdf</t>
        </is>
      </c>
      <c r="D65" s="233" t="inlineStr">
        <is>
          <t>CPR</t>
        </is>
      </c>
      <c r="E65" s="233" t="inlineStr">
        <is>
          <t>07A</t>
        </is>
      </c>
      <c r="F65" s="193">
        <f>CONCATENATE("ETR1000V300-",$D65,"-",$E65)</f>
        <v/>
      </c>
      <c r="G65" s="233" t="inlineStr">
        <is>
          <t>2.05.1006</t>
        </is>
      </c>
      <c r="H65" s="194" t="inlineStr">
        <is>
          <t>\</t>
        </is>
      </c>
      <c r="I65" s="196" t="inlineStr">
        <is>
          <t>mag-17</t>
        </is>
      </c>
      <c r="J65" s="193">
        <f>$F65</f>
        <v/>
      </c>
      <c r="K65" s="233">
        <f>$G65</f>
        <v/>
      </c>
      <c r="L65" s="194">
        <f>$H65</f>
        <v/>
      </c>
      <c r="M65" s="196">
        <f>$I65</f>
        <v/>
      </c>
      <c r="N65" s="260">
        <f>F65</f>
        <v/>
      </c>
      <c r="O65" s="235">
        <f>G65</f>
        <v/>
      </c>
      <c r="P65" s="235">
        <f>H65</f>
        <v/>
      </c>
      <c r="Q65" s="287">
        <f>I65</f>
        <v/>
      </c>
      <c r="R65" s="260" t="n"/>
      <c r="S65" s="235" t="n"/>
      <c r="T65" s="235" t="n"/>
      <c r="U65" s="262" t="n"/>
      <c r="V65" s="272">
        <f>CONCATENATE("ETR1000V300_R1-",$D65,"-",$E65)</f>
        <v/>
      </c>
      <c r="W65" s="267" t="inlineStr">
        <is>
          <t>2.05.1410</t>
        </is>
      </c>
      <c r="X65" s="267" t="inlineStr">
        <is>
          <t>01</t>
        </is>
      </c>
      <c r="Y65" s="262" t="n">
        <v>45931</v>
      </c>
      <c r="Z65" s="260">
        <f>V65</f>
        <v/>
      </c>
      <c r="AA65" s="235">
        <f>W65</f>
        <v/>
      </c>
      <c r="AB65" s="235">
        <f>X65</f>
        <v/>
      </c>
      <c r="AC65" s="262">
        <f>Y65</f>
        <v/>
      </c>
    </row>
    <row r="66">
      <c r="A66" s="270" t="inlineStr">
        <is>
          <t>Porte di salita passeggeri</t>
        </is>
      </c>
      <c r="B66" s="233">
        <f>CONCATENATE(D66,"_",E66)</f>
        <v/>
      </c>
      <c r="C66" s="254" t="inlineStr">
        <is>
          <t>pdf</t>
        </is>
      </c>
      <c r="D66" s="233" t="inlineStr">
        <is>
          <t>CPR</t>
        </is>
      </c>
      <c r="E66" s="233" t="inlineStr">
        <is>
          <t>08A</t>
        </is>
      </c>
      <c r="F66" s="193">
        <f>CONCATENATE("ETR1000V300-",$D66,"-",$E66)</f>
        <v/>
      </c>
      <c r="G66" s="233" t="inlineStr">
        <is>
          <t>2.05.1007</t>
        </is>
      </c>
      <c r="H66" s="194" t="inlineStr">
        <is>
          <t>\</t>
        </is>
      </c>
      <c r="I66" s="196" t="inlineStr">
        <is>
          <t>lug-17</t>
        </is>
      </c>
      <c r="J66" s="193">
        <f>$F66</f>
        <v/>
      </c>
      <c r="K66" s="233">
        <f>$G66</f>
        <v/>
      </c>
      <c r="L66" s="194">
        <f>$H66</f>
        <v/>
      </c>
      <c r="M66" s="196">
        <f>$I66</f>
        <v/>
      </c>
      <c r="N66" s="260">
        <f>F66</f>
        <v/>
      </c>
      <c r="O66" s="235">
        <f>G66</f>
        <v/>
      </c>
      <c r="P66" s="235">
        <f>H66</f>
        <v/>
      </c>
      <c r="Q66" s="287">
        <f>I66</f>
        <v/>
      </c>
      <c r="R66" s="260" t="n"/>
      <c r="S66" s="235" t="n"/>
      <c r="T66" s="235" t="n"/>
      <c r="U66" s="262" t="n"/>
      <c r="V66" s="272">
        <f>CONCATENATE("ETR1000V300_R1-",$D66,"-",$E66)</f>
        <v/>
      </c>
      <c r="W66" s="267" t="inlineStr">
        <is>
          <t>2.05.1411</t>
        </is>
      </c>
      <c r="X66" s="267" t="inlineStr">
        <is>
          <t>02</t>
        </is>
      </c>
      <c r="Y66" s="262" t="n">
        <v>45932</v>
      </c>
      <c r="Z66" s="268">
        <f>V66</f>
        <v/>
      </c>
      <c r="AA66" s="267">
        <f>W66</f>
        <v/>
      </c>
      <c r="AB66" s="267">
        <f>X66</f>
        <v/>
      </c>
      <c r="AC66" s="269">
        <f>Y66</f>
        <v/>
      </c>
    </row>
    <row r="67">
      <c r="A67" s="270" t="inlineStr">
        <is>
          <t>Porte interne e intercomunicanti</t>
        </is>
      </c>
      <c r="B67" s="233">
        <f>CONCATENATE(D67,"_",E67)</f>
        <v/>
      </c>
      <c r="C67" s="254" t="inlineStr">
        <is>
          <t>pdf</t>
        </is>
      </c>
      <c r="D67" s="233" t="inlineStr">
        <is>
          <t>CPR</t>
        </is>
      </c>
      <c r="E67" s="233" t="inlineStr">
        <is>
          <t>08B</t>
        </is>
      </c>
      <c r="F67" s="193">
        <f>CONCATENATE("ETR1000V300-",$D67,"-",$E67)</f>
        <v/>
      </c>
      <c r="G67" s="233" t="inlineStr">
        <is>
          <t>2.05.1008</t>
        </is>
      </c>
      <c r="H67" s="194" t="inlineStr">
        <is>
          <t>\</t>
        </is>
      </c>
      <c r="I67" s="196" t="inlineStr">
        <is>
          <t>lug-15</t>
        </is>
      </c>
      <c r="J67" s="193">
        <f>$F67</f>
        <v/>
      </c>
      <c r="K67" s="233">
        <f>$G67</f>
        <v/>
      </c>
      <c r="L67" s="194">
        <f>$H67</f>
        <v/>
      </c>
      <c r="M67" s="196">
        <f>$I67</f>
        <v/>
      </c>
      <c r="N67" s="260">
        <f>F67</f>
        <v/>
      </c>
      <c r="O67" s="235">
        <f>G67</f>
        <v/>
      </c>
      <c r="P67" s="235">
        <f>H67</f>
        <v/>
      </c>
      <c r="Q67" s="287">
        <f>I67</f>
        <v/>
      </c>
      <c r="R67" s="260" t="n"/>
      <c r="S67" s="235" t="n"/>
      <c r="T67" s="235" t="n"/>
      <c r="U67" s="262" t="n"/>
      <c r="V67" s="272">
        <f>CONCATENATE("ETR1000V300_R1-",$D67,"-",$E67)</f>
        <v/>
      </c>
      <c r="W67" s="267" t="inlineStr">
        <is>
          <t>2.05.1412</t>
        </is>
      </c>
      <c r="X67" s="267" t="inlineStr">
        <is>
          <t>02</t>
        </is>
      </c>
      <c r="Y67" s="262" t="n">
        <v>45931</v>
      </c>
      <c r="Z67" s="268">
        <f>V67</f>
        <v/>
      </c>
      <c r="AA67" s="267">
        <f>W67</f>
        <v/>
      </c>
      <c r="AB67" s="267">
        <f>X67</f>
        <v/>
      </c>
      <c r="AC67" s="269">
        <f>Y67</f>
        <v/>
      </c>
    </row>
    <row r="68">
      <c r="A68" s="270" t="inlineStr">
        <is>
          <t>Sollevatore hk</t>
        </is>
      </c>
      <c r="B68" s="233">
        <f>CONCATENATE(D68,"_",E68)</f>
        <v/>
      </c>
      <c r="C68" s="254" t="inlineStr">
        <is>
          <t>pdf</t>
        </is>
      </c>
      <c r="D68" s="233" t="inlineStr">
        <is>
          <t>CPR</t>
        </is>
      </c>
      <c r="E68" s="233" t="inlineStr">
        <is>
          <t>08C</t>
        </is>
      </c>
      <c r="F68" s="193">
        <f>CONCATENATE("ETR1000V300-",$D68,"-",$E68)</f>
        <v/>
      </c>
      <c r="G68" s="233" t="inlineStr">
        <is>
          <t>2.05.1009</t>
        </is>
      </c>
      <c r="H68" s="194" t="inlineStr">
        <is>
          <t>\</t>
        </is>
      </c>
      <c r="I68" s="196" t="inlineStr">
        <is>
          <t>dic-15</t>
        </is>
      </c>
      <c r="J68" s="193">
        <f>$F68</f>
        <v/>
      </c>
      <c r="K68" s="233">
        <f>$G68</f>
        <v/>
      </c>
      <c r="L68" s="194">
        <f>$H68</f>
        <v/>
      </c>
      <c r="M68" s="196">
        <f>$I68</f>
        <v/>
      </c>
      <c r="N68" s="260">
        <f>F68</f>
        <v/>
      </c>
      <c r="O68" s="235">
        <f>G68</f>
        <v/>
      </c>
      <c r="P68" s="235">
        <f>H68</f>
        <v/>
      </c>
      <c r="Q68" s="287">
        <f>I68</f>
        <v/>
      </c>
      <c r="R68" s="260" t="n"/>
      <c r="S68" s="235" t="n"/>
      <c r="T68" s="235" t="n"/>
      <c r="U68" s="262" t="n"/>
      <c r="V68" s="272">
        <f>CONCATENATE("ETR1000V300_R1-",$D68,"-",$E68)</f>
        <v/>
      </c>
      <c r="W68" s="267" t="inlineStr">
        <is>
          <t>2.05.1413</t>
        </is>
      </c>
      <c r="X68" s="267" t="inlineStr">
        <is>
          <t>02</t>
        </is>
      </c>
      <c r="Y68" s="262" t="n">
        <v>45931</v>
      </c>
      <c r="Z68" s="268">
        <f>V68</f>
        <v/>
      </c>
      <c r="AA68" s="267">
        <f>W68</f>
        <v/>
      </c>
      <c r="AB68" s="267">
        <f>X68</f>
        <v/>
      </c>
      <c r="AC68" s="269">
        <f>Y68</f>
        <v/>
      </c>
    </row>
    <row r="69">
      <c r="A69" s="270" t="inlineStr">
        <is>
          <t>Sottosistema di climatizzazione</t>
        </is>
      </c>
      <c r="B69" s="233">
        <f>CONCATENATE(D69,"_",E69)</f>
        <v/>
      </c>
      <c r="C69" s="254" t="inlineStr">
        <is>
          <t>pdf</t>
        </is>
      </c>
      <c r="D69" s="233" t="inlineStr">
        <is>
          <t>CPR</t>
        </is>
      </c>
      <c r="E69" s="233" t="inlineStr">
        <is>
          <t>09A</t>
        </is>
      </c>
      <c r="F69" s="193">
        <f>CONCATENATE("ETR1000V300-",$D69,"-",$E69)</f>
        <v/>
      </c>
      <c r="G69" s="233" t="inlineStr">
        <is>
          <t>2.05.1010</t>
        </is>
      </c>
      <c r="H69" s="194" t="inlineStr">
        <is>
          <t>\</t>
        </is>
      </c>
      <c r="I69" s="196" t="inlineStr">
        <is>
          <t>feb-21</t>
        </is>
      </c>
      <c r="J69" s="193">
        <f>$F69</f>
        <v/>
      </c>
      <c r="K69" s="233">
        <f>$G69</f>
        <v/>
      </c>
      <c r="L69" s="194">
        <f>$H69</f>
        <v/>
      </c>
      <c r="M69" s="196">
        <f>$I69</f>
        <v/>
      </c>
      <c r="N69" s="260">
        <f>F69</f>
        <v/>
      </c>
      <c r="O69" s="235">
        <f>G69</f>
        <v/>
      </c>
      <c r="P69" s="235">
        <f>H69</f>
        <v/>
      </c>
      <c r="Q69" s="287">
        <f>I69</f>
        <v/>
      </c>
      <c r="R69" s="260" t="n"/>
      <c r="S69" s="235" t="n"/>
      <c r="T69" s="235" t="n"/>
      <c r="U69" s="262" t="n"/>
      <c r="V69" s="260" t="n"/>
      <c r="W69" s="235" t="n"/>
      <c r="X69" s="235" t="n"/>
      <c r="Y69" s="262" t="n"/>
      <c r="Z69" s="260" t="n"/>
      <c r="AA69" s="235" t="n"/>
      <c r="AB69" s="235" t="n"/>
      <c r="AC69" s="262" t="n"/>
    </row>
    <row r="70">
      <c r="A70" s="270" t="inlineStr">
        <is>
          <t>Sottosistema di comunicazione</t>
        </is>
      </c>
      <c r="B70" s="233">
        <f>CONCATENATE(D70,"_",E70)</f>
        <v/>
      </c>
      <c r="C70" s="254" t="inlineStr">
        <is>
          <t>pdf</t>
        </is>
      </c>
      <c r="D70" s="233" t="inlineStr">
        <is>
          <t>CPR</t>
        </is>
      </c>
      <c r="E70" s="233" t="inlineStr">
        <is>
          <t>10A</t>
        </is>
      </c>
      <c r="F70" s="193">
        <f>CONCATENATE("ETR1000V300-",$D70,"-",$E70)</f>
        <v/>
      </c>
      <c r="G70" s="233" t="inlineStr">
        <is>
          <t>2.05.1011</t>
        </is>
      </c>
      <c r="H70" s="194" t="inlineStr">
        <is>
          <t>\</t>
        </is>
      </c>
      <c r="I70" s="196" t="inlineStr">
        <is>
          <t>mag-22</t>
        </is>
      </c>
      <c r="J70" s="193">
        <f>$F70</f>
        <v/>
      </c>
      <c r="K70" s="233">
        <f>$G70</f>
        <v/>
      </c>
      <c r="L70" s="194">
        <f>$H70</f>
        <v/>
      </c>
      <c r="M70" s="196">
        <f>$I70</f>
        <v/>
      </c>
      <c r="N70" s="260">
        <f>F70</f>
        <v/>
      </c>
      <c r="O70" s="235">
        <f>G70</f>
        <v/>
      </c>
      <c r="P70" s="235">
        <f>H70</f>
        <v/>
      </c>
      <c r="Q70" s="287">
        <f>I70</f>
        <v/>
      </c>
      <c r="R70" s="260" t="n"/>
      <c r="S70" s="235" t="n"/>
      <c r="T70" s="235" t="n"/>
      <c r="U70" s="262" t="n"/>
      <c r="V70" s="272">
        <f>CONCATENATE("ETR1000V300_R1-",$D70,"-",$E70)</f>
        <v/>
      </c>
      <c r="W70" s="267" t="inlineStr">
        <is>
          <t>2.05.1415</t>
        </is>
      </c>
      <c r="X70" s="267" t="inlineStr">
        <is>
          <t>02</t>
        </is>
      </c>
      <c r="Y70" s="262" t="n">
        <v>45931</v>
      </c>
      <c r="Z70" s="268">
        <f>V70</f>
        <v/>
      </c>
      <c r="AA70" s="267">
        <f>W70</f>
        <v/>
      </c>
      <c r="AB70" s="267">
        <f>X70</f>
        <v/>
      </c>
      <c r="AC70" s="269">
        <f>Y70</f>
        <v/>
      </c>
    </row>
    <row r="71">
      <c r="A71" s="270" t="inlineStr">
        <is>
          <t>Convertitore servizi ausiliari e caricabatterie</t>
        </is>
      </c>
      <c r="B71" s="233">
        <f>CONCATENATE(D71,"_",E71)</f>
        <v/>
      </c>
      <c r="C71" s="254" t="inlineStr">
        <is>
          <t>pdf</t>
        </is>
      </c>
      <c r="D71" s="233" t="inlineStr">
        <is>
          <t>CPR</t>
        </is>
      </c>
      <c r="E71" s="233" t="inlineStr">
        <is>
          <t>11A</t>
        </is>
      </c>
      <c r="F71" s="193">
        <f>CONCATENATE("ETR1000V300-",$D71,"-",$E71)</f>
        <v/>
      </c>
      <c r="G71" s="233" t="inlineStr">
        <is>
          <t>2.05.1012</t>
        </is>
      </c>
      <c r="H71" s="194" t="inlineStr">
        <is>
          <t>\</t>
        </is>
      </c>
      <c r="I71" s="195" t="n">
        <v>44287</v>
      </c>
      <c r="J71" s="193">
        <f>$F71</f>
        <v/>
      </c>
      <c r="K71" s="233">
        <f>$G71</f>
        <v/>
      </c>
      <c r="L71" s="194">
        <f>$H71</f>
        <v/>
      </c>
      <c r="M71" s="195">
        <f>$I71</f>
        <v/>
      </c>
      <c r="N71" s="260">
        <f>F71</f>
        <v/>
      </c>
      <c r="O71" s="235">
        <f>G71</f>
        <v/>
      </c>
      <c r="P71" s="235">
        <f>H71</f>
        <v/>
      </c>
      <c r="Q71" s="287">
        <f>I71</f>
        <v/>
      </c>
      <c r="R71" s="260" t="n"/>
      <c r="S71" s="235" t="n"/>
      <c r="T71" s="235" t="n"/>
      <c r="U71" s="262" t="n"/>
      <c r="V71" s="272">
        <f>CONCATENATE("ETR1000V300_R1-",$D71,"-",$E71)</f>
        <v/>
      </c>
      <c r="W71" s="267" t="inlineStr">
        <is>
          <t>2.05.1416</t>
        </is>
      </c>
      <c r="X71" s="267" t="inlineStr">
        <is>
          <t>02</t>
        </is>
      </c>
      <c r="Y71" s="262" t="n">
        <v>45931</v>
      </c>
      <c r="Z71" s="268">
        <f>V71</f>
        <v/>
      </c>
      <c r="AA71" s="267">
        <f>W71</f>
        <v/>
      </c>
      <c r="AB71" s="267">
        <f>X71</f>
        <v/>
      </c>
      <c r="AC71" s="269">
        <f>Y71</f>
        <v/>
      </c>
    </row>
    <row r="72">
      <c r="A72" s="270" t="inlineStr">
        <is>
          <t>Allestimenti interni - dotazioni di bordo</t>
        </is>
      </c>
      <c r="B72" s="233">
        <f>CONCATENATE(D72,"_",E72)</f>
        <v/>
      </c>
      <c r="C72" s="254" t="inlineStr">
        <is>
          <t>pdf</t>
        </is>
      </c>
      <c r="D72" s="233" t="inlineStr">
        <is>
          <t>CPR</t>
        </is>
      </c>
      <c r="E72" s="233" t="inlineStr">
        <is>
          <t>14A</t>
        </is>
      </c>
      <c r="F72" s="193">
        <f>CONCATENATE("ETR1000V300-",$D72,"-",$E72)</f>
        <v/>
      </c>
      <c r="G72" s="233" t="inlineStr">
        <is>
          <t>2.05.1013</t>
        </is>
      </c>
      <c r="H72" s="194" t="inlineStr">
        <is>
          <t>\</t>
        </is>
      </c>
      <c r="I72" s="196" t="inlineStr">
        <is>
          <t>mag-22</t>
        </is>
      </c>
      <c r="J72" s="193">
        <f>$F72</f>
        <v/>
      </c>
      <c r="K72" s="233">
        <f>$G72</f>
        <v/>
      </c>
      <c r="L72" s="194">
        <f>$H72</f>
        <v/>
      </c>
      <c r="M72" s="196">
        <f>$I72</f>
        <v/>
      </c>
      <c r="N72" s="260">
        <f>F72</f>
        <v/>
      </c>
      <c r="O72" s="235">
        <f>G72</f>
        <v/>
      </c>
      <c r="P72" s="235">
        <f>H72</f>
        <v/>
      </c>
      <c r="Q72" s="287">
        <f>I72</f>
        <v/>
      </c>
      <c r="R72" s="260" t="n"/>
      <c r="S72" s="235" t="n"/>
      <c r="T72" s="235" t="n"/>
      <c r="U72" s="262" t="n"/>
      <c r="V72" s="260" t="n"/>
      <c r="W72" s="235" t="n"/>
      <c r="X72" s="235" t="n"/>
      <c r="Y72" s="262" t="n"/>
      <c r="Z72" s="260" t="n"/>
      <c r="AA72" s="235" t="n"/>
      <c r="AB72" s="235" t="n"/>
      <c r="AC72" s="262" t="n"/>
    </row>
    <row r="73">
      <c r="A73" s="270" t="inlineStr">
        <is>
          <t>Sedili passeggeri e cabina guida</t>
        </is>
      </c>
      <c r="B73" s="233">
        <f>CONCATENATE(D73,"_",E73)</f>
        <v/>
      </c>
      <c r="C73" s="254" t="inlineStr">
        <is>
          <t>pdf</t>
        </is>
      </c>
      <c r="D73" s="233" t="inlineStr">
        <is>
          <t>CPR</t>
        </is>
      </c>
      <c r="E73" s="233" t="inlineStr">
        <is>
          <t>14B</t>
        </is>
      </c>
      <c r="F73" s="193">
        <f>CONCATENATE("ETR1000V300-",$D73,"-",$E73)</f>
        <v/>
      </c>
      <c r="G73" s="233" t="inlineStr">
        <is>
          <t>2.05.1014</t>
        </is>
      </c>
      <c r="H73" s="194" t="inlineStr">
        <is>
          <t>\</t>
        </is>
      </c>
      <c r="I73" s="206" t="n">
        <v>46174</v>
      </c>
      <c r="J73" s="193">
        <f>$F73</f>
        <v/>
      </c>
      <c r="K73" s="233">
        <f>$G73</f>
        <v/>
      </c>
      <c r="L73" s="194">
        <f>$H73</f>
        <v/>
      </c>
      <c r="M73" s="206">
        <f>$I73</f>
        <v/>
      </c>
      <c r="N73" s="260">
        <f>F73</f>
        <v/>
      </c>
      <c r="O73" s="235">
        <f>G73</f>
        <v/>
      </c>
      <c r="P73" s="235">
        <f>H73</f>
        <v/>
      </c>
      <c r="Q73" s="287">
        <f>I73</f>
        <v/>
      </c>
      <c r="R73" s="260" t="n"/>
      <c r="S73" s="235" t="n"/>
      <c r="T73" s="235" t="n"/>
      <c r="U73" s="262" t="n"/>
      <c r="V73" s="260" t="n"/>
      <c r="W73" s="235" t="n"/>
      <c r="X73" s="235" t="n"/>
      <c r="Y73" s="262" t="n"/>
      <c r="Z73" s="260" t="n"/>
      <c r="AA73" s="235" t="n"/>
      <c r="AB73" s="235" t="n"/>
      <c r="AC73" s="262" t="n"/>
    </row>
    <row r="74">
      <c r="A74" s="270" t="inlineStr">
        <is>
          <t>Arredamento comparto</t>
        </is>
      </c>
      <c r="B74" s="233">
        <f>CONCATENATE(D74,"_",E74)</f>
        <v/>
      </c>
      <c r="C74" s="254" t="inlineStr">
        <is>
          <t>pdf</t>
        </is>
      </c>
      <c r="D74" s="233" t="inlineStr">
        <is>
          <t>CPR</t>
        </is>
      </c>
      <c r="E74" s="233" t="inlineStr">
        <is>
          <t>14C</t>
        </is>
      </c>
      <c r="F74" s="193">
        <f>CONCATENATE("ETR1000V300-",$D74,"-",$E74)</f>
        <v/>
      </c>
      <c r="G74" s="233" t="inlineStr">
        <is>
          <t>2.05.1015</t>
        </is>
      </c>
      <c r="H74" s="194" t="inlineStr">
        <is>
          <t>\</t>
        </is>
      </c>
      <c r="I74" s="196" t="inlineStr">
        <is>
          <t>mag-22</t>
        </is>
      </c>
      <c r="J74" s="193">
        <f>$F74</f>
        <v/>
      </c>
      <c r="K74" s="233">
        <f>$G74</f>
        <v/>
      </c>
      <c r="L74" s="194">
        <f>$H74</f>
        <v/>
      </c>
      <c r="M74" s="196">
        <f>$I74</f>
        <v/>
      </c>
      <c r="N74" s="260">
        <f>F74</f>
        <v/>
      </c>
      <c r="O74" s="235">
        <f>G74</f>
        <v/>
      </c>
      <c r="P74" s="235">
        <f>H74</f>
        <v/>
      </c>
      <c r="Q74" s="287">
        <f>I74</f>
        <v/>
      </c>
      <c r="R74" s="260" t="n"/>
      <c r="S74" s="235" t="n"/>
      <c r="T74" s="235" t="n"/>
      <c r="U74" s="262" t="n"/>
      <c r="V74" s="260" t="n"/>
      <c r="W74" s="235" t="n"/>
      <c r="X74" s="235" t="n"/>
      <c r="Y74" s="262" t="n"/>
      <c r="Z74" s="260" t="n"/>
      <c r="AA74" s="235" t="n"/>
      <c r="AB74" s="235" t="n"/>
      <c r="AC74" s="262" t="n"/>
    </row>
    <row r="75">
      <c r="A75" s="270" t="inlineStr">
        <is>
          <t>Arredamento vestiboli</t>
        </is>
      </c>
      <c r="B75" s="233">
        <f>CONCATENATE(D75,"_",E75)</f>
        <v/>
      </c>
      <c r="C75" s="254" t="inlineStr">
        <is>
          <t>pdf</t>
        </is>
      </c>
      <c r="D75" s="233" t="inlineStr">
        <is>
          <t>CPR</t>
        </is>
      </c>
      <c r="E75" s="233" t="inlineStr">
        <is>
          <t>14D</t>
        </is>
      </c>
      <c r="F75" s="193">
        <f>CONCATENATE("ETR1000V300-",$D75,"-",$E75)</f>
        <v/>
      </c>
      <c r="G75" s="233" t="inlineStr">
        <is>
          <t>2.05.1016</t>
        </is>
      </c>
      <c r="H75" s="194" t="inlineStr">
        <is>
          <t>\</t>
        </is>
      </c>
      <c r="I75" s="196" t="inlineStr">
        <is>
          <t>mag-22</t>
        </is>
      </c>
      <c r="J75" s="193">
        <f>$F75</f>
        <v/>
      </c>
      <c r="K75" s="233">
        <f>$G75</f>
        <v/>
      </c>
      <c r="L75" s="194">
        <f>$H75</f>
        <v/>
      </c>
      <c r="M75" s="196">
        <f>$I75</f>
        <v/>
      </c>
      <c r="N75" s="260">
        <f>F75</f>
        <v/>
      </c>
      <c r="O75" s="235">
        <f>G75</f>
        <v/>
      </c>
      <c r="P75" s="235">
        <f>H75</f>
        <v/>
      </c>
      <c r="Q75" s="287">
        <f>I75</f>
        <v/>
      </c>
      <c r="R75" s="260" t="n"/>
      <c r="S75" s="235" t="n"/>
      <c r="T75" s="235" t="n"/>
      <c r="U75" s="262" t="n"/>
      <c r="V75" s="272">
        <f>CONCATENATE("ETR1000V300_R1-",$D75,"-",$E75)</f>
        <v/>
      </c>
      <c r="W75" s="267" t="inlineStr">
        <is>
          <t>2.05.1420</t>
        </is>
      </c>
      <c r="X75" s="267" t="inlineStr">
        <is>
          <t>01</t>
        </is>
      </c>
      <c r="Y75" s="262" t="n">
        <v>45931</v>
      </c>
      <c r="Z75" s="260">
        <f>V75</f>
        <v/>
      </c>
      <c r="AA75" s="235">
        <f>W75</f>
        <v/>
      </c>
      <c r="AB75" s="235">
        <f>X75</f>
        <v/>
      </c>
      <c r="AC75" s="262">
        <f>Y75</f>
        <v/>
      </c>
    </row>
    <row r="76">
      <c r="A76" s="270" t="inlineStr">
        <is>
          <t>Servizi Generali di Bordo - Toilet</t>
        </is>
      </c>
      <c r="B76" s="233">
        <f>CONCATENATE(D76,"_",E76)</f>
        <v/>
      </c>
      <c r="C76" s="254" t="inlineStr">
        <is>
          <t>pdf</t>
        </is>
      </c>
      <c r="D76" s="233" t="inlineStr">
        <is>
          <t>CPR</t>
        </is>
      </c>
      <c r="E76" s="233" t="inlineStr">
        <is>
          <t>15A</t>
        </is>
      </c>
      <c r="F76" s="193">
        <f>CONCATENATE("ETR1000V300-",$D76,"-",$E76)</f>
        <v/>
      </c>
      <c r="G76" s="233" t="inlineStr">
        <is>
          <t>2.05.1017</t>
        </is>
      </c>
      <c r="H76" s="194" t="inlineStr">
        <is>
          <t>\</t>
        </is>
      </c>
      <c r="I76" s="196" t="inlineStr">
        <is>
          <t>mag-22</t>
        </is>
      </c>
      <c r="J76" s="193">
        <f>$F76</f>
        <v/>
      </c>
      <c r="K76" s="233">
        <f>$G76</f>
        <v/>
      </c>
      <c r="L76" s="194">
        <f>$H76</f>
        <v/>
      </c>
      <c r="M76" s="196">
        <f>$I76</f>
        <v/>
      </c>
      <c r="N76" s="260">
        <f>F76</f>
        <v/>
      </c>
      <c r="O76" s="235">
        <f>G76</f>
        <v/>
      </c>
      <c r="P76" s="235">
        <f>H76</f>
        <v/>
      </c>
      <c r="Q76" s="287">
        <f>I76</f>
        <v/>
      </c>
      <c r="R76" s="260" t="n"/>
      <c r="S76" s="235" t="n"/>
      <c r="T76" s="235" t="n"/>
      <c r="U76" s="262" t="n"/>
      <c r="V76" s="260" t="n"/>
      <c r="W76" s="235" t="n"/>
      <c r="X76" s="235" t="n"/>
      <c r="Y76" s="262" t="n"/>
      <c r="Z76" s="260" t="n"/>
      <c r="AA76" s="235" t="n"/>
      <c r="AB76" s="235" t="n"/>
      <c r="AC76" s="262" t="n"/>
    </row>
    <row r="77">
      <c r="A77" s="270" t="inlineStr">
        <is>
          <t>Servizi Generali di Bordo - Bar Bistrò</t>
        </is>
      </c>
      <c r="B77" s="233">
        <f>CONCATENATE(D77,"_",E77)</f>
        <v/>
      </c>
      <c r="C77" s="254" t="inlineStr">
        <is>
          <t>pdf</t>
        </is>
      </c>
      <c r="D77" s="233" t="inlineStr">
        <is>
          <t>CPR</t>
        </is>
      </c>
      <c r="E77" s="233" t="inlineStr">
        <is>
          <t>15B</t>
        </is>
      </c>
      <c r="F77" s="193">
        <f>CONCATENATE("ETR1000V300-",$D77,"-",$E77)</f>
        <v/>
      </c>
      <c r="G77" s="233" t="inlineStr">
        <is>
          <t>2.05.1018</t>
        </is>
      </c>
      <c r="H77" s="194" t="inlineStr">
        <is>
          <t>\</t>
        </is>
      </c>
      <c r="I77" s="196" t="inlineStr">
        <is>
          <t>mag-22</t>
        </is>
      </c>
      <c r="J77" s="193">
        <f>$F77</f>
        <v/>
      </c>
      <c r="K77" s="233">
        <f>$G77</f>
        <v/>
      </c>
      <c r="L77" s="194">
        <f>$H77</f>
        <v/>
      </c>
      <c r="M77" s="196">
        <f>$I77</f>
        <v/>
      </c>
      <c r="N77" s="260">
        <f>F77</f>
        <v/>
      </c>
      <c r="O77" s="235">
        <f>G77</f>
        <v/>
      </c>
      <c r="P77" s="235">
        <f>H77</f>
        <v/>
      </c>
      <c r="Q77" s="287">
        <f>I77</f>
        <v/>
      </c>
      <c r="R77" s="260" t="n"/>
      <c r="S77" s="235" t="n"/>
      <c r="T77" s="235" t="n"/>
      <c r="U77" s="262" t="n"/>
      <c r="V77" s="260" t="n"/>
      <c r="W77" s="235" t="n"/>
      <c r="X77" s="235" t="n"/>
      <c r="Y77" s="262" t="n"/>
      <c r="Z77" s="260" t="n"/>
      <c r="AA77" s="235" t="n"/>
      <c r="AB77" s="235" t="n"/>
      <c r="AC77" s="262" t="n"/>
    </row>
    <row r="78">
      <c r="A78" s="270" t="inlineStr">
        <is>
          <t>Sistemi tecnologici di bordo</t>
        </is>
      </c>
      <c r="B78" s="233">
        <f>CONCATENATE(D78,"_",E78)</f>
        <v/>
      </c>
      <c r="C78" s="254" t="inlineStr">
        <is>
          <t>pdf</t>
        </is>
      </c>
      <c r="D78" s="233" t="inlineStr">
        <is>
          <t>CPR</t>
        </is>
      </c>
      <c r="E78" s="233" t="inlineStr">
        <is>
          <t>31A</t>
        </is>
      </c>
      <c r="F78" s="193">
        <f>CONCATENATE("ETR1000V300-",$D78,"-",$E78)</f>
        <v/>
      </c>
      <c r="G78" s="233" t="inlineStr">
        <is>
          <t>2.05.1019</t>
        </is>
      </c>
      <c r="H78" s="194" t="inlineStr">
        <is>
          <t>\</t>
        </is>
      </c>
      <c r="I78" s="206" t="n">
        <v>45717</v>
      </c>
      <c r="J78" s="193">
        <f>$F78</f>
        <v/>
      </c>
      <c r="K78" s="233">
        <f>$G78</f>
        <v/>
      </c>
      <c r="L78" s="194">
        <f>$H78</f>
        <v/>
      </c>
      <c r="M78" s="206">
        <f>$I78</f>
        <v/>
      </c>
      <c r="N78" s="260">
        <f>F78</f>
        <v/>
      </c>
      <c r="O78" s="235">
        <f>G78</f>
        <v/>
      </c>
      <c r="P78" s="235">
        <f>H78</f>
        <v/>
      </c>
      <c r="Q78" s="287">
        <f>I78</f>
        <v/>
      </c>
      <c r="R78" s="260" t="n"/>
      <c r="S78" s="235" t="n"/>
      <c r="T78" s="235" t="n"/>
      <c r="U78" s="262" t="n"/>
      <c r="V78" s="272">
        <f>CONCATENATE("ETR1000V300_R1-",$D78,"-",$E78)</f>
        <v/>
      </c>
      <c r="W78" s="267" t="inlineStr">
        <is>
          <t>2.05.1423</t>
        </is>
      </c>
      <c r="X78" s="267" t="inlineStr">
        <is>
          <t>02</t>
        </is>
      </c>
      <c r="Y78" s="262" t="n">
        <v>45931</v>
      </c>
      <c r="Z78" s="268">
        <f>V78</f>
        <v/>
      </c>
      <c r="AA78" s="267">
        <f>W78</f>
        <v/>
      </c>
      <c r="AB78" s="267">
        <f>X78</f>
        <v/>
      </c>
      <c r="AC78" s="269">
        <f>Y78</f>
        <v/>
      </c>
    </row>
    <row r="79" customFormat="1" s="83">
      <c r="A79" s="288" t="inlineStr">
        <is>
          <t>SOTTOSISTEMA DI BORDO ERTMS/BL3 PIATTAFORMA ELO</t>
        </is>
      </c>
      <c r="B79" s="271">
        <f>CONCATENATE(D79,"_",E79)</f>
        <v/>
      </c>
      <c r="C79" s="254" t="inlineStr">
        <is>
          <t>pdf</t>
        </is>
      </c>
      <c r="D79" s="271" t="inlineStr">
        <is>
          <t>CPR</t>
        </is>
      </c>
      <c r="E79" s="271" t="inlineStr">
        <is>
          <t>20A</t>
        </is>
      </c>
      <c r="F79" s="193">
        <f>CONCATENATE("ETR1000V300-",$D79,"-",$E79)</f>
        <v/>
      </c>
      <c r="G79" s="271" t="inlineStr">
        <is>
          <t>B60A.0100914.G00.01IT</t>
        </is>
      </c>
      <c r="H79" s="202" t="inlineStr">
        <is>
          <t>\</t>
        </is>
      </c>
      <c r="I79" s="201" t="n">
        <v>45017</v>
      </c>
      <c r="J79" s="193">
        <f>$F79</f>
        <v/>
      </c>
      <c r="K79" s="271">
        <f>$G79</f>
        <v/>
      </c>
      <c r="L79" s="202">
        <f>$H79</f>
        <v/>
      </c>
      <c r="M79" s="201">
        <f>$I79</f>
        <v/>
      </c>
      <c r="N79" s="283" t="inlineStr">
        <is>
          <t>\</t>
        </is>
      </c>
      <c r="O79" s="289" t="inlineStr">
        <is>
          <t>\</t>
        </is>
      </c>
      <c r="P79" s="235" t="inlineStr">
        <is>
          <t>\</t>
        </is>
      </c>
      <c r="Q79" s="285" t="inlineStr">
        <is>
          <t>\</t>
        </is>
      </c>
      <c r="R79" s="283" t="n"/>
      <c r="S79" s="284" t="n"/>
      <c r="T79" s="284" t="n"/>
      <c r="U79" s="285" t="n"/>
      <c r="V79" s="283" t="n"/>
      <c r="W79" s="284" t="n"/>
      <c r="X79" s="284" t="n"/>
      <c r="Y79" s="262" t="n"/>
      <c r="Z79" s="283" t="n"/>
      <c r="AA79" s="284" t="n"/>
      <c r="AB79" s="284" t="n"/>
      <c r="AC79" s="285" t="n"/>
    </row>
  </sheetData>
  <mergeCells count="11">
    <mergeCell ref="F1:I1"/>
    <mergeCell ref="R1:U1"/>
    <mergeCell ref="N1:Q1"/>
    <mergeCell ref="D1:D2"/>
    <mergeCell ref="B1:B2"/>
    <mergeCell ref="C1:C2"/>
    <mergeCell ref="E1:E2"/>
    <mergeCell ref="V1:Y1"/>
    <mergeCell ref="Z1:AC1"/>
    <mergeCell ref="J1:M1"/>
    <mergeCell ref="A1:A2"/>
  </mergeCells>
  <pageMargins left="0.7" right="0.7" top="0.75" bottom="0.75" header="0.3" footer="0.3"/>
  <pageSetup orientation="portrait" paperSize="9" horizontalDpi="1200" verticalDpi="1200"/>
  <legacyDrawing xmlns:r="http://schemas.openxmlformats.org/officeDocument/2006/relationships" r:id="anysvml"/>
</worksheet>
</file>

<file path=xl/worksheets/sheet8.xml><?xml version="1.0" encoding="utf-8"?>
<worksheet xmlns="http://schemas.openxmlformats.org/spreadsheetml/2006/main">
  <sheetPr>
    <tabColor theme="5" tint="0.3999755851924192"/>
    <outlinePr summaryBelow="1" summaryRight="1"/>
    <pageSetUpPr/>
  </sheetPr>
  <dimension ref="A1:S20"/>
  <sheetViews>
    <sheetView zoomScale="85" zoomScaleNormal="85" workbookViewId="0">
      <pane xSplit="5" ySplit="2" topLeftCell="F3" activePane="bottomRight" state="frozen"/>
      <selection pane="topRight" activeCell="F1" sqref="F1"/>
      <selection pane="bottomLeft" activeCell="B4" sqref="B4"/>
      <selection pane="bottomRight" activeCell="J25" sqref="J25"/>
    </sheetView>
  </sheetViews>
  <sheetFormatPr baseColWidth="8" defaultColWidth="8.7265625" defaultRowHeight="14.5"/>
  <cols>
    <col width="36.54296875" customWidth="1" style="62" min="1" max="1"/>
    <col width="34.81640625" bestFit="1" customWidth="1" style="62" min="2" max="2"/>
    <col width="8.453125" bestFit="1" customWidth="1" style="10" min="3" max="3"/>
    <col width="24.81640625" bestFit="1" customWidth="1" style="10" min="4" max="4"/>
    <col width="6.453125" bestFit="1" customWidth="1" style="10" min="5" max="5"/>
    <col width="33.54296875" bestFit="1" customWidth="1" style="10" min="6" max="6"/>
    <col width="4.7265625" bestFit="1" customWidth="1" style="10" min="7" max="7"/>
    <col width="33.54296875" bestFit="1" customWidth="1" style="10" min="8" max="8"/>
    <col width="4.7265625" bestFit="1" customWidth="1" style="10" min="9" max="9"/>
    <col width="33.54296875" bestFit="1" customWidth="1" style="10" min="10" max="10"/>
    <col width="4.453125" bestFit="1" customWidth="1" style="10" min="11" max="11"/>
    <col width="27.453125" bestFit="1" customWidth="1" style="10" min="12" max="12"/>
    <col width="5.453125" bestFit="1" customWidth="1" style="10" min="13" max="13"/>
    <col width="15.453125" customWidth="1" style="10" min="14" max="14"/>
    <col width="4.453125" customWidth="1" style="10" min="15" max="15"/>
    <col width="6.54296875" bestFit="1" customWidth="1" style="10" min="16" max="16"/>
    <col width="6.54296875" customWidth="1" style="10" min="17" max="17"/>
    <col width="6.54296875" bestFit="1" customWidth="1" style="10" min="18" max="18"/>
    <col width="6.54296875" customWidth="1" style="10" min="19" max="19"/>
    <col width="8.7265625" customWidth="1" style="59" min="20" max="25"/>
    <col width="8.7265625" customWidth="1" style="59" min="26" max="16384"/>
  </cols>
  <sheetData>
    <row r="1" ht="21.65" customFormat="1" customHeight="1" s="61">
      <c r="A1" s="420" t="inlineStr">
        <is>
          <t>DOC DESCRIPTION</t>
        </is>
      </c>
      <c r="B1" s="429" t="inlineStr">
        <is>
          <t>DOC ID</t>
        </is>
      </c>
      <c r="C1" s="429" t="inlineStr">
        <is>
          <t>DOC EXT</t>
        </is>
      </c>
      <c r="D1" s="428" t="inlineStr">
        <is>
          <t>VZI_Base</t>
        </is>
      </c>
      <c r="E1" s="419" t="n"/>
      <c r="F1" s="417" t="inlineStr">
        <is>
          <t>VZI_New14</t>
        </is>
      </c>
      <c r="G1" s="529" t="n"/>
      <c r="H1" s="428" t="inlineStr">
        <is>
          <t>VZ_FR</t>
        </is>
      </c>
      <c r="I1" s="419" t="n"/>
      <c r="J1" s="417" t="inlineStr">
        <is>
          <t>VZ_ES</t>
        </is>
      </c>
      <c r="K1" s="529" t="n"/>
      <c r="L1" s="428" t="inlineStr">
        <is>
          <t>VZI-6_R1</t>
        </is>
      </c>
      <c r="M1" s="419" t="n"/>
      <c r="N1" s="417" t="inlineStr">
        <is>
          <t>VZI-4_R1</t>
        </is>
      </c>
      <c r="O1" s="529" t="n"/>
      <c r="P1" s="428" t="inlineStr">
        <is>
          <t>VZ_DAI</t>
        </is>
      </c>
      <c r="Q1" s="419" t="n"/>
      <c r="R1" s="417" t="inlineStr">
        <is>
          <t>VZ_Esxx</t>
        </is>
      </c>
      <c r="S1" s="529" t="n"/>
    </row>
    <row r="2" ht="21.65" customFormat="1" customHeight="1" s="61">
      <c r="A2" s="422" t="n"/>
      <c r="B2" s="430" t="n"/>
      <c r="C2" s="430" t="n"/>
      <c r="D2" s="183" t="inlineStr">
        <is>
          <t>File/Codice</t>
        </is>
      </c>
      <c r="E2" s="183" t="inlineStr">
        <is>
          <t>Rev</t>
        </is>
      </c>
      <c r="F2" s="423" t="inlineStr">
        <is>
          <t>File/Codice</t>
        </is>
      </c>
      <c r="G2" s="186" t="inlineStr">
        <is>
          <t>Rev</t>
        </is>
      </c>
      <c r="H2" s="183" t="inlineStr">
        <is>
          <t>File/Codice</t>
        </is>
      </c>
      <c r="I2" s="183" t="inlineStr">
        <is>
          <t>Rev</t>
        </is>
      </c>
      <c r="J2" s="423" t="inlineStr">
        <is>
          <t>File/Codice</t>
        </is>
      </c>
      <c r="K2" s="186" t="inlineStr">
        <is>
          <t>Rev</t>
        </is>
      </c>
      <c r="L2" s="427" t="inlineStr">
        <is>
          <t>Codice</t>
        </is>
      </c>
      <c r="M2" s="427" t="inlineStr">
        <is>
          <t>Rev</t>
        </is>
      </c>
      <c r="N2" s="189" t="inlineStr">
        <is>
          <t>Codice</t>
        </is>
      </c>
      <c r="O2" s="91" t="inlineStr">
        <is>
          <t>Rev</t>
        </is>
      </c>
      <c r="P2" s="183" t="inlineStr">
        <is>
          <t>Codice</t>
        </is>
      </c>
      <c r="Q2" s="183" t="inlineStr">
        <is>
          <t>Rev</t>
        </is>
      </c>
      <c r="R2" s="423" t="inlineStr">
        <is>
          <t>Codice</t>
        </is>
      </c>
      <c r="S2" s="186" t="inlineStr">
        <is>
          <t>Rev</t>
        </is>
      </c>
    </row>
    <row r="3">
      <c r="A3" s="244" t="inlineStr">
        <is>
          <t>Telediagnostica</t>
        </is>
      </c>
      <c r="B3" s="184" t="n"/>
      <c r="C3" s="184" t="n"/>
      <c r="D3" s="178" t="n"/>
      <c r="E3" s="178" t="n"/>
      <c r="F3" s="187" t="n"/>
      <c r="G3" s="188" t="n"/>
      <c r="H3" s="178" t="n"/>
      <c r="I3" s="178" t="n"/>
      <c r="J3" s="187" t="n"/>
      <c r="K3" s="188" t="n"/>
      <c r="L3" s="178" t="n"/>
      <c r="M3" s="178" t="n"/>
      <c r="N3" s="187" t="n"/>
      <c r="O3" s="188" t="n"/>
      <c r="P3" s="178" t="n"/>
      <c r="Q3" s="178" t="n"/>
      <c r="R3" s="187" t="n"/>
      <c r="S3" s="188" t="n"/>
    </row>
    <row r="4" ht="30" customHeight="1" s="462">
      <c r="A4" s="316" t="inlineStr">
        <is>
          <t>Sviluppo regole (Algoritmi Diagnostici)</t>
        </is>
      </c>
      <c r="B4" s="62" t="inlineStr">
        <is>
          <t>DIA_Regole</t>
        </is>
      </c>
      <c r="C4" s="322" t="inlineStr">
        <is>
          <t>xlsm</t>
        </is>
      </c>
      <c r="D4" s="10" t="inlineStr">
        <is>
          <t>Sviluppo_Regole_TI_rev1.1</t>
        </is>
      </c>
      <c r="E4" s="10" t="inlineStr">
        <is>
          <t>\</t>
        </is>
      </c>
      <c r="F4" s="63" t="inlineStr">
        <is>
          <t>SVILUPPO REGOLE_ 14_FR_SP_Rev_0.1</t>
        </is>
      </c>
      <c r="G4" s="64" t="inlineStr">
        <is>
          <t>\</t>
        </is>
      </c>
      <c r="H4" s="10" t="inlineStr">
        <is>
          <t>SVILUPPO REGOLE_ 14_FR_SP_Rev_0.1</t>
        </is>
      </c>
      <c r="I4" s="64" t="inlineStr">
        <is>
          <t>\</t>
        </is>
      </c>
      <c r="J4" s="63" t="inlineStr">
        <is>
          <t>SVILUPPO REGOLE_ 14_FR_SP_Rev_0.1</t>
        </is>
      </c>
      <c r="K4" s="64" t="inlineStr">
        <is>
          <t>\</t>
        </is>
      </c>
      <c r="N4" s="63" t="n"/>
      <c r="O4" s="64" t="n"/>
      <c r="R4" s="63" t="n"/>
      <c r="S4" s="64" t="n"/>
    </row>
    <row r="5">
      <c r="A5" s="316" t="inlineStr">
        <is>
          <t>Event Report/List</t>
        </is>
      </c>
      <c r="B5" s="62" t="inlineStr">
        <is>
          <t>DIA_Event</t>
        </is>
      </c>
      <c r="C5" s="322" t="inlineStr">
        <is>
          <t>xlsx</t>
        </is>
      </c>
      <c r="D5" s="10" t="inlineStr">
        <is>
          <t>EventReport_VZI_3.9.0.3</t>
        </is>
      </c>
      <c r="E5" s="10" t="inlineStr">
        <is>
          <t>\</t>
        </is>
      </c>
      <c r="F5" s="63" t="inlineStr">
        <is>
          <t>EventReport_VZI14_BL3_5.1.0.3 2</t>
        </is>
      </c>
      <c r="G5" s="64" t="inlineStr">
        <is>
          <t>\</t>
        </is>
      </c>
      <c r="H5" s="10" t="inlineStr">
        <is>
          <t>EventReport VZIF 11.4.0</t>
        </is>
      </c>
      <c r="I5" s="10" t="inlineStr">
        <is>
          <t>\</t>
        </is>
      </c>
      <c r="J5" s="63" t="inlineStr">
        <is>
          <t>EventReport_VZS 21.2.0.3</t>
        </is>
      </c>
      <c r="K5" s="64" t="n"/>
      <c r="L5" s="10" t="inlineStr">
        <is>
          <t>FP010036055</t>
        </is>
      </c>
      <c r="M5" s="296" t="inlineStr">
        <is>
          <t>3.44</t>
        </is>
      </c>
      <c r="N5" s="63" t="n"/>
      <c r="O5" s="64" t="n"/>
      <c r="R5" s="63" t="n"/>
      <c r="S5" s="64" t="n"/>
    </row>
    <row r="6">
      <c r="A6" s="316" t="inlineStr">
        <is>
          <t>Teledia Signal List</t>
        </is>
      </c>
      <c r="B6" s="62" t="inlineStr">
        <is>
          <t>DIA_Signal</t>
        </is>
      </c>
      <c r="C6" s="322" t="inlineStr">
        <is>
          <t>xlsx</t>
        </is>
      </c>
      <c r="F6" s="63" t="n"/>
      <c r="G6" s="64" t="n"/>
      <c r="I6" s="80" t="n"/>
      <c r="J6" s="63" t="n"/>
      <c r="K6" s="64" t="n"/>
      <c r="L6" s="10" t="inlineStr">
        <is>
          <t>FP020046917</t>
        </is>
      </c>
      <c r="M6" s="296" t="inlineStr">
        <is>
          <t>3.44</t>
        </is>
      </c>
      <c r="N6" s="63" t="n"/>
      <c r="O6" s="64" t="n"/>
      <c r="R6" s="63" t="n"/>
      <c r="S6" s="64" t="n"/>
    </row>
    <row r="7" ht="30" customHeight="1" s="462">
      <c r="A7" s="316" t="inlineStr">
        <is>
          <t>PropulsionDiagnosticDataset</t>
        </is>
      </c>
      <c r="B7" s="62" t="inlineStr">
        <is>
          <t>DIA_Dataset_Propulsion</t>
        </is>
      </c>
      <c r="C7" s="322" t="inlineStr">
        <is>
          <t>xlsx</t>
        </is>
      </c>
      <c r="F7" s="63" t="n"/>
      <c r="G7" s="64" t="n"/>
      <c r="I7" s="80" t="n"/>
      <c r="J7" s="63" t="n"/>
      <c r="K7" s="64" t="n"/>
      <c r="L7" s="10" t="inlineStr">
        <is>
          <t>PropulsionDiagnosticDataset</t>
        </is>
      </c>
      <c r="M7" s="80" t="inlineStr">
        <is>
          <t>00.12</t>
        </is>
      </c>
      <c r="N7" s="63" t="n"/>
      <c r="O7" s="64" t="n"/>
      <c r="R7" s="63" t="n"/>
      <c r="S7" s="64" t="n"/>
    </row>
    <row r="8">
      <c r="A8" s="316" t="inlineStr">
        <is>
          <t>EMS ICD diagnostic event</t>
        </is>
      </c>
      <c r="B8" s="62" t="inlineStr">
        <is>
          <t>DIA_Event EMS</t>
        </is>
      </c>
      <c r="C8" s="322" t="inlineStr">
        <is>
          <t>xlsx</t>
        </is>
      </c>
      <c r="F8" s="63" t="n"/>
      <c r="G8" s="64" t="n"/>
      <c r="H8" s="10" t="inlineStr">
        <is>
          <t>EC130034365</t>
        </is>
      </c>
      <c r="I8" s="80" t="inlineStr">
        <is>
          <t>00</t>
        </is>
      </c>
      <c r="J8" s="63" t="n"/>
      <c r="K8" s="64" t="n"/>
      <c r="N8" s="63" t="n"/>
      <c r="O8" s="64" t="n"/>
      <c r="R8" s="63" t="n"/>
      <c r="S8" s="64" t="n"/>
    </row>
    <row r="9">
      <c r="A9" s="316" t="n"/>
      <c r="C9" s="322" t="n"/>
      <c r="F9" s="63" t="n"/>
      <c r="G9" s="64" t="n"/>
      <c r="I9" s="80" t="n"/>
      <c r="J9" s="63" t="n"/>
      <c r="K9" s="64" t="n"/>
      <c r="N9" s="63" t="n"/>
      <c r="O9" s="64" t="n"/>
      <c r="R9" s="63" t="n"/>
      <c r="S9" s="64" t="n"/>
    </row>
    <row r="10">
      <c r="A10" s="316" t="n"/>
      <c r="C10" s="322" t="n"/>
      <c r="F10" s="63" t="n"/>
      <c r="G10" s="64" t="n"/>
      <c r="I10" s="80" t="n"/>
      <c r="J10" s="63" t="n"/>
      <c r="K10" s="64" t="n"/>
      <c r="N10" s="63" t="n"/>
      <c r="O10" s="64" t="n"/>
      <c r="R10" s="63" t="n"/>
      <c r="S10" s="64" t="n"/>
    </row>
    <row r="11">
      <c r="A11" s="316" t="n"/>
      <c r="C11" s="322" t="n"/>
      <c r="F11" s="63" t="n"/>
      <c r="G11" s="64" t="n"/>
      <c r="I11" s="80" t="n"/>
      <c r="J11" s="63" t="n"/>
      <c r="K11" s="64" t="n"/>
      <c r="N11" s="63" t="n"/>
      <c r="O11" s="64" t="n"/>
      <c r="R11" s="63" t="n"/>
      <c r="S11" s="64" t="n"/>
    </row>
    <row r="12">
      <c r="A12" s="316" t="n"/>
      <c r="C12" s="322" t="n"/>
      <c r="F12" s="63" t="n"/>
      <c r="G12" s="64" t="n"/>
      <c r="I12" s="80" t="n"/>
      <c r="J12" s="63" t="n"/>
      <c r="K12" s="64" t="n"/>
      <c r="N12" s="63" t="n"/>
      <c r="O12" s="64" t="n"/>
      <c r="R12" s="63" t="n"/>
      <c r="S12" s="64" t="n"/>
    </row>
    <row r="13">
      <c r="A13" s="316" t="n"/>
      <c r="C13" s="322" t="n"/>
      <c r="F13" s="63" t="n"/>
      <c r="G13" s="64" t="n"/>
      <c r="I13" s="80" t="n"/>
      <c r="J13" s="63" t="n"/>
      <c r="K13" s="64" t="n"/>
      <c r="N13" s="63" t="n"/>
      <c r="O13" s="64" t="n"/>
      <c r="R13" s="63" t="n"/>
      <c r="S13" s="64" t="n"/>
    </row>
    <row r="14">
      <c r="A14" s="316" t="n"/>
      <c r="C14" s="322" t="n"/>
      <c r="F14" s="63" t="n"/>
      <c r="G14" s="64" t="n"/>
      <c r="I14" s="80" t="n"/>
      <c r="J14" s="63" t="n"/>
      <c r="K14" s="64" t="n"/>
      <c r="N14" s="63" t="n"/>
      <c r="O14" s="64" t="n"/>
      <c r="R14" s="63" t="n"/>
      <c r="S14" s="64" t="n"/>
    </row>
    <row r="15">
      <c r="A15" s="316" t="n"/>
      <c r="C15" s="322" t="n"/>
      <c r="F15" s="63" t="n"/>
      <c r="G15" s="64" t="n"/>
      <c r="I15" s="80" t="n"/>
      <c r="J15" s="63" t="n"/>
      <c r="K15" s="64" t="n"/>
      <c r="N15" s="63" t="n"/>
      <c r="O15" s="64" t="n"/>
      <c r="R15" s="63" t="n"/>
      <c r="S15" s="64" t="n"/>
    </row>
    <row r="16">
      <c r="A16" s="316" t="n"/>
      <c r="C16" s="322" t="n"/>
      <c r="F16" s="63" t="n"/>
      <c r="G16" s="64" t="n"/>
      <c r="I16" s="80" t="n"/>
      <c r="J16" s="63" t="n"/>
      <c r="K16" s="64" t="n"/>
      <c r="N16" s="63" t="n"/>
      <c r="O16" s="64" t="n"/>
      <c r="R16" s="63" t="n"/>
      <c r="S16" s="64" t="n"/>
    </row>
    <row r="17">
      <c r="A17" s="316" t="n"/>
      <c r="C17" s="322" t="n"/>
      <c r="F17" s="63" t="n"/>
      <c r="G17" s="64" t="n"/>
      <c r="I17" s="80" t="n"/>
      <c r="J17" s="63" t="n"/>
      <c r="K17" s="64" t="n"/>
      <c r="N17" s="63" t="n"/>
      <c r="O17" s="64" t="n"/>
      <c r="R17" s="63" t="n"/>
      <c r="S17" s="64" t="n"/>
    </row>
    <row r="18">
      <c r="A18" s="316" t="n"/>
      <c r="C18" s="322" t="n"/>
      <c r="F18" s="63" t="n"/>
      <c r="G18" s="64" t="n"/>
      <c r="I18" s="80" t="n"/>
      <c r="J18" s="63" t="n"/>
      <c r="K18" s="64" t="n"/>
      <c r="N18" s="63" t="n"/>
      <c r="O18" s="64" t="n"/>
      <c r="R18" s="63" t="n"/>
      <c r="S18" s="64" t="n"/>
    </row>
    <row r="19">
      <c r="A19" s="316" t="n"/>
      <c r="C19" s="322" t="n"/>
      <c r="F19" s="63" t="n"/>
      <c r="G19" s="64" t="n"/>
      <c r="I19" s="80" t="n"/>
      <c r="J19" s="63" t="n"/>
      <c r="K19" s="64" t="n"/>
      <c r="N19" s="63" t="n"/>
      <c r="O19" s="64" t="n"/>
      <c r="R19" s="63" t="n"/>
      <c r="S19" s="64" t="n"/>
    </row>
    <row r="20">
      <c r="A20" s="316" t="n"/>
      <c r="C20" s="322" t="n"/>
      <c r="F20" s="63" t="n"/>
      <c r="G20" s="64" t="n"/>
      <c r="I20" s="80" t="n"/>
      <c r="J20" s="63" t="n"/>
      <c r="K20" s="64" t="n"/>
      <c r="N20" s="63" t="n"/>
      <c r="O20" s="64" t="n"/>
      <c r="R20" s="63" t="n"/>
      <c r="S20" s="64" t="n"/>
    </row>
  </sheetData>
  <mergeCells count="11">
    <mergeCell ref="D1:E1"/>
    <mergeCell ref="H1:I1"/>
    <mergeCell ref="L1:M1"/>
    <mergeCell ref="J1:K1"/>
    <mergeCell ref="P1:Q1"/>
    <mergeCell ref="C1:C2"/>
    <mergeCell ref="B1:B2"/>
    <mergeCell ref="F1:G1"/>
    <mergeCell ref="N1:O1"/>
    <mergeCell ref="R1:S1"/>
    <mergeCell ref="A1:A2"/>
  </mergeCells>
  <pageMargins left="0.7" right="0.7" top="0.75" bottom="0.75" header="0.3" footer="0.3"/>
  <pageSetup orientation="portrait" paperSize="9" verticalDpi="1200"/>
  <legacyDrawing xmlns:r="http://schemas.openxmlformats.org/officeDocument/2006/relationships" r:id="anysvml"/>
</worksheet>
</file>

<file path=xl/worksheets/sheet9.xml><?xml version="1.0" encoding="utf-8"?>
<worksheet xmlns="http://schemas.openxmlformats.org/spreadsheetml/2006/main">
  <sheetPr codeName="Foglio5">
    <tabColor theme="9" tint="0.3999755851924192"/>
    <outlinePr summaryBelow="0" summaryRight="0"/>
    <pageSetUpPr/>
  </sheetPr>
  <dimension ref="A1:L286"/>
  <sheetViews>
    <sheetView tabSelected="1" zoomScale="44" zoomScaleNormal="85" workbookViewId="0">
      <pane xSplit="2" ySplit="1" topLeftCell="C50" activePane="bottomRight" state="frozen"/>
      <selection pane="topRight" activeCell="F1" sqref="F1"/>
      <selection pane="bottomLeft" activeCell="A3" sqref="A3"/>
      <selection pane="bottomRight" activeCell="F286" sqref="F286:J286"/>
    </sheetView>
  </sheetViews>
  <sheetFormatPr baseColWidth="8" defaultColWidth="8.7265625" defaultRowHeight="14.5" outlineLevelRow="2"/>
  <cols>
    <col width="28.1796875" customWidth="1" style="62" min="1" max="1"/>
    <col width="65.453125" customWidth="1" style="62" min="2" max="2"/>
    <col width="14" bestFit="1" customWidth="1" style="62" min="3" max="3"/>
    <col width="28.453125" bestFit="1" customWidth="1" style="10" min="4" max="4"/>
    <col width="21.453125" customWidth="1" style="62" min="5" max="5"/>
    <col width="35.54296875" customWidth="1" style="10" min="6" max="10"/>
    <col width="14.81640625" customWidth="1" style="10" min="11" max="12"/>
    <col width="8.7265625" customWidth="1" style="59" min="13" max="13"/>
    <col width="33.1796875" customWidth="1" style="59" min="14" max="14"/>
    <col width="8.7265625" customWidth="1" style="59" min="15" max="20"/>
    <col width="8.7265625" customWidth="1" style="59" min="21" max="16384"/>
  </cols>
  <sheetData>
    <row r="1" ht="29" customFormat="1" customHeight="1" s="61">
      <c r="A1" s="323" t="inlineStr">
        <is>
          <t>FUNC ID</t>
        </is>
      </c>
      <c r="B1" s="323" t="inlineStr">
        <is>
          <t>DESCRIZIONE FUNZIONE</t>
        </is>
      </c>
      <c r="C1" s="420" t="inlineStr">
        <is>
          <t>DOC
CARTELLA</t>
        </is>
      </c>
      <c r="D1" s="420" t="inlineStr">
        <is>
          <t>DOC ID</t>
        </is>
      </c>
      <c r="E1" s="420" t="inlineStr">
        <is>
          <t>Info DOC</t>
        </is>
      </c>
      <c r="F1" s="324" t="inlineStr">
        <is>
          <t>VZI_Base</t>
        </is>
      </c>
      <c r="G1" s="324" t="inlineStr">
        <is>
          <t>VZI_New14</t>
        </is>
      </c>
      <c r="H1" s="425" t="inlineStr">
        <is>
          <t>VZ_FR</t>
        </is>
      </c>
      <c r="I1" s="425" t="inlineStr">
        <is>
          <t>VZ_ES</t>
        </is>
      </c>
      <c r="J1" s="425" t="inlineStr">
        <is>
          <t>VZI-6_R1</t>
        </is>
      </c>
      <c r="K1" s="425" t="inlineStr">
        <is>
          <t>VZI-4_R1</t>
        </is>
      </c>
      <c r="L1" s="82" t="inlineStr">
        <is>
          <t>VZ_DAI</t>
        </is>
      </c>
    </row>
    <row r="2">
      <c r="A2" s="325" t="inlineStr">
        <is>
          <t>Func_XXX</t>
        </is>
      </c>
      <c r="B2" s="325" t="inlineStr">
        <is>
          <t>xxxxx</t>
        </is>
      </c>
      <c r="C2" s="213" t="inlineStr">
        <is>
          <t>HW  + SW</t>
        </is>
      </c>
      <c r="D2" s="326" t="inlineStr">
        <is>
          <t>\</t>
        </is>
      </c>
      <c r="E2" s="327" t="n"/>
      <c r="F2" s="328" t="n"/>
      <c r="G2" s="328" t="n"/>
      <c r="H2" s="328" t="n"/>
      <c r="I2" s="328" t="n"/>
      <c r="J2" s="328" t="n"/>
      <c r="K2" s="328" t="n"/>
      <c r="L2" s="329" t="n"/>
    </row>
    <row r="3" outlineLevel="1" s="462">
      <c r="A3" s="330" t="n"/>
      <c r="B3" s="331" t="n"/>
      <c r="C3" s="332" t="inlineStr">
        <is>
          <t>CONFIG</t>
        </is>
      </c>
      <c r="D3" s="332" t="inlineStr">
        <is>
          <t>FS_DM1</t>
        </is>
      </c>
      <c r="E3" s="333" t="inlineStr">
        <is>
          <t>Link</t>
        </is>
      </c>
      <c r="F3" s="334">
        <f t="array" ref="F3">HYPERLINK(CONCATENATE(Cartelle!$D$5,F$1,"/",$C3,"/",MID($D3,1,FIND("_",$D3)-1),"/",INDIRECT(CONCATENATE("'" &amp; $C3 &amp; "'!",ADDRESS(MATCH($D3, INDIRECT("'" &amp; $C3 &amp; "'!$B:$B"), 0),MATCH(F$1, INDIRECT("'" &amp; $C3 &amp; "'!$1:$1"), 0)))),".",INDIRECT(CONCATENATE("'"&amp;$C3&amp;"'!",ADDRESS(MATCH($D3,INDIRECT("'"&amp;$C3&amp;"'!$B:$B"),0),3))),"#page=",F4),CONCATENATE("#Sharepoint//",$D3))</f>
        <v/>
      </c>
      <c r="G3" s="332" t="n"/>
      <c r="H3" s="332" t="n"/>
      <c r="I3" s="332" t="n"/>
      <c r="J3" s="334">
        <f t="array" ref="J3">HYPERLINK(CONCATENATE(Cartelle!$D$5,INDEX(INDIRECT("'" &amp; $C3 &amp; "'!$1:$1"), 1, MATCH(INDIRECT(CONCATENATE("'" &amp; $C3 &amp; "'!",ADDRESS(MATCH($D3, INDIRECT("'" &amp; $C3 &amp; "'!$B:$B"), 0),MATCH(J$1, INDIRECT("'" &amp; $C3 &amp; "'!$1:$1"), 0)))),INDIRECT(CONCATENATE("'" &amp; $C3 &amp; "'!",MATCH($D3, INDIRECT("'" &amp; $C3 &amp; "'!$B:$B"), 0),":",MATCH($D3, INDIRECT("'" &amp; $C3 &amp; "'!$B:$B"), 0))),0)),"/",$C3,"/",MID($D3,1,FIND("_",$D3)-1),"/",INDIRECT(CONCATENATE("'" &amp; $C3 &amp; "'!",ADDRESS(MATCH($D3, INDIRECT("'" &amp; $C3 &amp; "'!$B:$B"), 0),MATCH(J$1, INDIRECT("'" &amp; $C3 &amp; "'!$1:$1"), 0)))),".",INDIRECT(CONCATENATE("'"&amp;$C3&amp;"'!",ADDRESS(MATCH($D3,INDIRECT("'"&amp;$C3&amp;"'!$B:$B"),0),3))),"#page=",J4),CONCATENATE("#Sharepoint//",$D3))</f>
        <v/>
      </c>
      <c r="K3" s="335" t="n"/>
      <c r="L3" s="332" t="n"/>
    </row>
    <row r="4" outlineLevel="2" s="462">
      <c r="A4" s="105" t="n"/>
      <c r="B4" s="106">
        <f t="array" ref="B4">INDIRECT("'" &amp; $C9 &amp; "'!B5")</f>
        <v/>
      </c>
      <c r="C4" s="336" t="n"/>
      <c r="D4" s="217" t="n"/>
      <c r="E4" s="218" t="inlineStr">
        <is>
          <t>Rif. Pagina</t>
        </is>
      </c>
      <c r="F4" s="217" t="n">
        <v>1</v>
      </c>
      <c r="G4" s="217" t="n"/>
      <c r="H4" s="217" t="n"/>
      <c r="I4" s="217" t="n"/>
      <c r="J4" s="217" t="n">
        <v>1</v>
      </c>
      <c r="K4" s="337" t="n"/>
      <c r="L4" s="217" t="n"/>
    </row>
    <row r="5" outlineLevel="1" s="462">
      <c r="A5" s="105" t="n"/>
      <c r="B5" s="106" t="n"/>
      <c r="C5" s="332" t="inlineStr">
        <is>
          <t>CONFIG</t>
        </is>
      </c>
      <c r="D5" s="332" t="inlineStr">
        <is>
          <t>FRS_xx</t>
        </is>
      </c>
      <c r="E5" s="333" t="inlineStr">
        <is>
          <t>Link</t>
        </is>
      </c>
      <c r="F5" s="334">
        <f t="array" ref="F5">HYPERLINK(CONCATENATE(Cartelle!$D$5,F$1,"/CONFIG/",MID($D5,1,FIND("_",$D5)-1),"/",INDIRECT(CONCATENATE("'CONFIG'!",ADDRESS(MATCH($D5, CONFIG!$B:$B, 0),MATCH(F$1, CONFIG!$1:$1, 0)))),".pdf#page=",F6),CONCATENATE("#Sharepoint//",$D5))</f>
        <v/>
      </c>
      <c r="G5" s="332" t="n"/>
      <c r="H5" s="332" t="n"/>
      <c r="I5" s="332" t="n"/>
      <c r="J5" s="334">
        <f t="array" ref="J5">HYPERLINK(CONCATENATE(Cartelle!$D$5,J$1,"/CONFIG/",MID($D5,1,FIND("_",$D5)-1),"/",INDIRECT(CONCATENATE("'CONFIG'!",ADDRESS(MATCH($D5, CONFIG!$B:$B, 0),MATCH(J$1, CONFIG!$1:$1, 0)))),".pdf#page=",J6),CONCATENATE("#Sharepoint//",$D5))</f>
        <v/>
      </c>
      <c r="K5" s="332" t="n"/>
      <c r="L5" s="332" t="n"/>
    </row>
    <row r="6" outlineLevel="2" s="462">
      <c r="A6" s="105" t="n"/>
      <c r="B6" s="106" t="n"/>
      <c r="C6" s="336" t="n"/>
      <c r="D6" s="217" t="n"/>
      <c r="E6" s="218" t="inlineStr">
        <is>
          <t>Rif. Pagina</t>
        </is>
      </c>
      <c r="F6" s="217" t="n">
        <v>1</v>
      </c>
      <c r="G6" s="217" t="n"/>
      <c r="H6" s="217" t="n"/>
      <c r="I6" s="217" t="n"/>
      <c r="J6" s="217" t="n">
        <v>1</v>
      </c>
      <c r="K6" s="217" t="n"/>
      <c r="L6" s="217" t="n"/>
    </row>
    <row r="7" outlineLevel="1" s="462">
      <c r="A7" s="105" t="n"/>
      <c r="B7" s="106" t="n"/>
      <c r="C7" s="332" t="inlineStr">
        <is>
          <t>CONFIG</t>
        </is>
      </c>
      <c r="D7" s="332" t="inlineStr">
        <is>
          <t>FPD_xx</t>
        </is>
      </c>
      <c r="E7" s="333" t="inlineStr">
        <is>
          <t>Link</t>
        </is>
      </c>
      <c r="F7" s="334">
        <f t="array" ref="F7">HYPERLINK(CONCATENATE(Cartelle!$D$5,F$1,"/CONFIG/",MID($D7,1,FIND("_",$D7)-1),"/",INDIRECT(CONCATENATE("'CONFIG'!",ADDRESS(MATCH($D7, CONFIG!$B:$B, 0),MATCH(F$1, CONFIG!$1:$1, 0)))),".pdf#page=",F8),CONCATENATE("#Sharepoint//",$D7))</f>
        <v/>
      </c>
      <c r="G7" s="332" t="n"/>
      <c r="H7" s="332" t="n"/>
      <c r="I7" s="332" t="n"/>
      <c r="J7" s="334">
        <f t="array" ref="J7">HYPERLINK(CONCATENATE(Cartelle!$D$5,J$1,"/CONFIG/",MID($D7,1,FIND("_",$D7)-1),"/",INDIRECT(CONCATENATE("'CONFIG'!",ADDRESS(MATCH($D7, CONFIG!$B:$B, 0),MATCH(J$1, CONFIG!$1:$1, 0)))),".pdf#page=",J8),CONCATENATE("#Sharepoint//",$D7))</f>
        <v/>
      </c>
      <c r="K7" s="332" t="n"/>
      <c r="L7" s="332" t="n"/>
    </row>
    <row r="8" outlineLevel="2" s="462">
      <c r="A8" s="105" t="n"/>
      <c r="B8" s="106" t="n"/>
      <c r="C8" s="106" t="n"/>
      <c r="D8" s="217" t="n"/>
      <c r="E8" s="218" t="inlineStr">
        <is>
          <t>Rif. Pagina</t>
        </is>
      </c>
      <c r="F8" s="217" t="n">
        <v>1</v>
      </c>
      <c r="G8" s="217" t="n"/>
      <c r="H8" s="217" t="n"/>
      <c r="I8" s="217" t="n"/>
      <c r="J8" s="217" t="n">
        <v>1</v>
      </c>
      <c r="K8" s="217" t="n"/>
      <c r="L8" s="217" t="n"/>
    </row>
    <row r="9" outlineLevel="1" s="462">
      <c r="A9" s="67" t="n"/>
      <c r="B9" s="86" t="n"/>
      <c r="C9" s="332" t="inlineStr">
        <is>
          <t>MAN_CPR</t>
        </is>
      </c>
      <c r="D9" s="326" t="inlineStr">
        <is>
          <t>PBC_01A</t>
        </is>
      </c>
      <c r="E9" s="338" t="inlineStr">
        <is>
          <t>Link</t>
        </is>
      </c>
      <c r="F9" s="334">
        <f t="array" ref="F9">HYPERLINK(CONCATENATE(Cartelle!$D$5,F$1,"/",$C9,"/",MID($D9,1,FIND("_",$D9)-1),"/",INDIRECT(CONCATENATE("'" &amp; $C9 &amp; "'!",ADDRESS(MATCH($D9, INDIRECT("'" &amp; $C9 &amp; "'!$B:$B"), 0),MATCH(F$1, INDIRECT("'" &amp; $C9 &amp; "'!$1:$1"), 0)))),".",INDIRECT(CONCATENATE("'"&amp;$C9&amp;"'!",ADDRESS(MATCH($D9,INDIRECT("'"&amp;$C9&amp;"'!$B:$B"),0),3))),"#page=",F10),CONCATENATE("#Sharepoint//",$D9))</f>
        <v/>
      </c>
      <c r="G9" s="334">
        <f t="array" ref="G9">HYPERLINK(CONCATENATE(Cartelle!$D$5,INDEX(INDIRECT("'" &amp; $C9 &amp; "'!$1:$1"), 1, MATCH(INDIRECT(CONCATENATE("'" &amp; $C9 &amp; "'!",ADDRESS(MATCH($D9, INDIRECT("'" &amp; $C9 &amp; "'!$B:$B"), 0),MATCH(G$1, INDIRECT("'" &amp; $C9 &amp; "'!$1:$1"), 0)))),INDIRECT(CONCATENATE("'" &amp; $C9 &amp; "'!",MATCH($D9, INDIRECT("'" &amp; $C9 &amp; "'!$B:$B"), 0),":",MATCH($D9, INDIRECT("'" &amp; $C9 &amp; "'!$B:$B"), 0))),0)),"/",$C9,"/",MID($D9,1,FIND("_",$D9)-1),"/",INDIRECT(CONCATENATE("'" &amp; $C9 &amp; "'!",ADDRESS(MATCH($D9, INDIRECT("'" &amp; $C9 &amp; "'!$B:$B"), 0),MATCH(G$1, INDIRECT("'" &amp; $C9 &amp; "'!$1:$1"), 0)))),".",INDIRECT(CONCATENATE("'"&amp;$C9&amp;"'!",ADDRESS(MATCH($D9,INDIRECT("'"&amp;$C9&amp;"'!$B:$B"),0),3))),"#page=",G10),CONCATENATE("#Sharepoint//",$D9))</f>
        <v/>
      </c>
      <c r="H9" s="332" t="n"/>
      <c r="I9" s="332" t="n"/>
      <c r="J9" s="332" t="n"/>
      <c r="K9" s="332" t="n"/>
      <c r="L9" s="332" t="n"/>
    </row>
    <row r="10" outlineLevel="2" s="462">
      <c r="A10" s="67" t="n"/>
      <c r="B10" s="86" t="n"/>
      <c r="D10" s="339" t="n"/>
      <c r="E10" s="218" t="inlineStr">
        <is>
          <t>Rif. Pagina</t>
        </is>
      </c>
      <c r="F10" s="217" t="n">
        <v>1</v>
      </c>
      <c r="G10" s="217" t="n">
        <v>1</v>
      </c>
      <c r="H10" s="217" t="n"/>
      <c r="I10" s="217" t="n"/>
      <c r="J10" s="217" t="n"/>
      <c r="K10" s="217" t="n"/>
      <c r="L10" s="217" t="n"/>
    </row>
    <row r="11" outlineLevel="2" s="462">
      <c r="A11" s="67" t="n"/>
      <c r="B11" s="86" t="n"/>
      <c r="D11" s="340" t="n"/>
      <c r="E11" s="337" t="inlineStr">
        <is>
          <t>Descrizione</t>
        </is>
      </c>
      <c r="F11" s="217" t="n"/>
      <c r="G11" s="217" t="n"/>
      <c r="H11" s="217" t="n"/>
      <c r="I11" s="217" t="n"/>
      <c r="J11" s="217" t="n"/>
      <c r="K11" s="217" t="n"/>
      <c r="L11" s="217" t="n"/>
    </row>
    <row r="12" outlineLevel="1" s="462">
      <c r="A12" s="67" t="n"/>
      <c r="B12" s="86" t="n"/>
      <c r="C12" s="332" t="inlineStr">
        <is>
          <t>DIAGNOSTIC</t>
        </is>
      </c>
      <c r="D12" s="326" t="inlineStr">
        <is>
          <t>DIA_Regole</t>
        </is>
      </c>
      <c r="E12" s="338" t="inlineStr">
        <is>
          <t>Link</t>
        </is>
      </c>
      <c r="F12" s="334">
        <f t="array" ref="F12">HYPERLINK(CONCATENATE(Cartelle!$D$5,F$1,"/",$C12,"/",MID($D12,1,FIND("_",$D12)-1),"/",INDIRECT(CONCATENATE("'" &amp; $C12 &amp; "'!",ADDRESS(MATCH($D12, INDIRECT("'" &amp; $C12 &amp; "'!$B:$B"), 0),MATCH(F$1, INDIRECT("'" &amp; $C12 &amp; "'!$1:$1"), 0)))),".",INDIRECT(CONCATENATE("'"&amp;$C12&amp;"'!",ADDRESS(MATCH($D12,INDIRECT("'"&amp;$C12&amp;"'!$B:$B"),0),3))),"#page=",F13),CONCATENATE("#Sharepoint//",$D12))</f>
        <v/>
      </c>
      <c r="G12" s="332" t="n"/>
      <c r="H12" s="332" t="n"/>
      <c r="I12" s="332" t="n"/>
      <c r="J12" s="332" t="n"/>
      <c r="K12" s="332" t="n"/>
      <c r="L12" s="332" t="n"/>
    </row>
    <row r="13" outlineLevel="2" s="462">
      <c r="A13" s="67" t="n"/>
      <c r="B13" s="86" t="n"/>
      <c r="D13" s="339" t="n"/>
      <c r="E13" s="337" t="inlineStr">
        <is>
          <t>Pagina</t>
        </is>
      </c>
      <c r="F13" s="217" t="n">
        <v>1</v>
      </c>
      <c r="G13" s="217" t="n"/>
      <c r="H13" s="217" t="n"/>
      <c r="I13" s="217" t="n"/>
      <c r="J13" s="217" t="n"/>
      <c r="K13" s="217" t="n"/>
      <c r="L13" s="217" t="n"/>
    </row>
    <row r="14" outlineLevel="1" s="462">
      <c r="A14" s="67" t="n"/>
      <c r="B14" s="176" t="inlineStr">
        <is>
          <t>TBD Sottocartelle GENERAL sulla base del prefisso</t>
        </is>
      </c>
      <c r="C14" s="332" t="inlineStr">
        <is>
          <t>GENERAL</t>
        </is>
      </c>
      <c r="D14" s="326" t="inlineStr">
        <is>
          <t>FD_TCMS</t>
        </is>
      </c>
      <c r="E14" s="338" t="inlineStr">
        <is>
          <t>Link</t>
        </is>
      </c>
      <c r="F14" s="295">
        <f t="array" ref="F14">HYPERLINK(CONCATENATE(Cartelle!$D$5,F$1,"/",$C14,"/",MID($D14,1,FIND("_",$D14)-1),"/",INDIRECT(CONCATENATE("'" &amp; $C14 &amp; "'!",ADDRESS(MATCH($D14, INDIRECT("'" &amp; $C14 &amp; "'!$B:$B"), 0),MATCH(F$1, INDIRECT("'" &amp; $C14 &amp; "'!$1:$1"), 0)))),".",INDIRECT(CONCATENATE("'"&amp;$C14&amp;"'!",ADDRESS(MATCH($D14,INDIRECT("'"&amp;$C14&amp;"'!$B:$B"),0),3))),"#page=",F15),CONCATENATE("#Sharepoint//",$D14))</f>
        <v/>
      </c>
      <c r="G14" s="332" t="n"/>
      <c r="H14" s="332" t="n"/>
      <c r="I14" s="332" t="n"/>
      <c r="J14" s="332" t="n"/>
      <c r="K14" s="332" t="n"/>
      <c r="L14" s="332" t="n"/>
    </row>
    <row r="15" outlineLevel="2" s="462">
      <c r="A15" s="67" t="n"/>
      <c r="B15" s="86" t="n"/>
      <c r="D15" s="339" t="n"/>
      <c r="E15" s="337" t="inlineStr">
        <is>
          <t>Pagina</t>
        </is>
      </c>
      <c r="F15" s="217" t="n">
        <v>1</v>
      </c>
      <c r="G15" s="217" t="n"/>
      <c r="H15" s="217" t="n"/>
      <c r="I15" s="217" t="n"/>
      <c r="J15" s="217" t="n"/>
      <c r="K15" s="217" t="n"/>
      <c r="L15" s="217" t="n"/>
    </row>
    <row r="16" ht="29" customHeight="1" s="462">
      <c r="A16" s="341" t="inlineStr">
        <is>
          <t>LV_Country_code_selection</t>
        </is>
      </c>
      <c r="B16" s="341" t="inlineStr">
        <is>
          <t>Selezione su IDU del paese corrente, per informare la PCU sui pantografi selezionabili</t>
        </is>
      </c>
      <c r="C16" s="180" t="n"/>
      <c r="D16" s="342" t="inlineStr">
        <is>
          <t>\</t>
        </is>
      </c>
      <c r="E16" s="343" t="n"/>
      <c r="F16" s="344" t="n"/>
      <c r="G16" s="344" t="n"/>
      <c r="H16" s="344" t="n"/>
      <c r="I16" s="344" t="n"/>
      <c r="J16" s="344" t="n"/>
      <c r="K16" s="344" t="n"/>
      <c r="L16" s="345" t="n"/>
    </row>
    <row r="17" outlineLevel="1" s="462">
      <c r="A17" s="330" t="n"/>
      <c r="B17" s="331" t="n"/>
      <c r="C17" s="332" t="inlineStr">
        <is>
          <t>CONFIG</t>
        </is>
      </c>
      <c r="D17" s="332" t="inlineStr">
        <is>
          <t>FRS_Line Voltage</t>
        </is>
      </c>
      <c r="E17" s="333" t="inlineStr">
        <is>
          <t>Link</t>
        </is>
      </c>
      <c r="F17" s="334">
        <f t="array" ref="F17">HYPERLINK(CONCATENATE(Cartelle!$D$5,F$1,"/",$C17,"/",MID($D17,1,FIND("_",$D17)-1),"/",INDIRECT(CONCATENATE("'" &amp; $C17 &amp; "'!",ADDRESS(MATCH($D17, INDIRECT("'" &amp; $C17 &amp; "'!$B:$B"), 0),MATCH(F$1, INDIRECT("'" &amp; $C17 &amp; "'!$1:$1"), 0)))),".",INDIRECT(CONCATENATE("'"&amp;$C17&amp;"'!",ADDRESS(MATCH($D17,INDIRECT("'"&amp;$C17&amp;"'!$B:$B"),0),3))),"#page=",F18),CONCATENATE("#Sharepoint//",$D17))</f>
        <v/>
      </c>
      <c r="G17" s="346" t="n"/>
      <c r="H17" s="334">
        <f t="array" ref="H17">HYPERLINK(CONCATENATE(Cartelle!$D$5,INDEX(INDIRECT("'" &amp; $C17 &amp; "'!$1:$1"), 1, MATCH(INDIRECT(CONCATENATE("'" &amp; $C17 &amp; "'!",ADDRESS(MATCH($D17, INDIRECT("'" &amp; $C17 &amp; "'!$B:$B"), 0),MATCH(H$1, INDIRECT("'" &amp; $C17 &amp; "'!$1:$1"), 0)))),INDIRECT(CONCATENATE("'" &amp; $C17 &amp; "'!",MATCH($D17, INDIRECT("'" &amp; $C17 &amp; "'!$B:$B"), 0),":",MATCH($D17, INDIRECT("'" &amp; $C17 &amp; "'!$B:$B"), 0))),0)),"/",$C17,"/",MID($D17,1,FIND("_",$D17)-1),"/",INDIRECT(CONCATENATE("'" &amp; $C17 &amp; "'!",ADDRESS(MATCH($D17, INDIRECT("'" &amp; $C17 &amp; "'!$B:$B"), 0),MATCH(H$1, INDIRECT("'" &amp; $C17 &amp; "'!$1:$1"), 0)))),".",INDIRECT(CONCATENATE("'"&amp;$C17&amp;"'!",ADDRESS(MATCH($D17,INDIRECT("'"&amp;$C17&amp;"'!$B:$B"),0),3))),"#page=",H18),CONCATENATE("#Sharepoint//",$D17))</f>
        <v/>
      </c>
      <c r="I17" s="334">
        <f t="array" ref="I17">HYPERLINK(CONCATENATE(Cartelle!$D$5,INDEX(INDIRECT("'" &amp; $C17 &amp; "'!$1:$1"), 1, MATCH(INDIRECT(CONCATENATE("'" &amp; $C17 &amp; "'!",ADDRESS(MATCH($D17, INDIRECT("'" &amp; $C17 &amp; "'!$B:$B"), 0),MATCH(I$1, INDIRECT("'" &amp; $C17 &amp; "'!$1:$1"), 0)))),INDIRECT(CONCATENATE("'" &amp; $C17 &amp; "'!",MATCH($D17, INDIRECT("'" &amp; $C17 &amp; "'!$B:$B"), 0),":",MATCH($D17, INDIRECT("'" &amp; $C17 &amp; "'!$B:$B"), 0))),0)),"/",$C17,"/",MID($D17,1,FIND("_",$D17)-1),"/",INDIRECT(CONCATENATE("'" &amp; $C17 &amp; "'!",ADDRESS(MATCH($D17, INDIRECT("'" &amp; $C17 &amp; "'!$B:$B"), 0),MATCH(I$1, INDIRECT("'" &amp; $C17 &amp; "'!$1:$1"), 0)))),".",INDIRECT(CONCATENATE("'"&amp;$C17&amp;"'!",ADDRESS(MATCH($D17,INDIRECT("'"&amp;$C17&amp;"'!$B:$B"),0),3))),"#page=",I18),CONCATENATE("#Sharepoint//",$D17))</f>
        <v/>
      </c>
      <c r="J17" s="334">
        <f t="array" ref="J17">HYPERLINK(CONCATENATE(Cartelle!$D$5,INDEX(INDIRECT("'" &amp; $C17 &amp; "'!$1:$1"), 1, MATCH(INDIRECT(CONCATENATE("'" &amp; $C17 &amp; "'!",ADDRESS(MATCH($D17, INDIRECT("'" &amp; $C17 &amp; "'!$B:$B"), 0),MATCH(J$1, INDIRECT("'" &amp; $C17 &amp; "'!$1:$1"), 0)))),INDIRECT(CONCATENATE("'" &amp; $C17 &amp; "'!",MATCH($D17, INDIRECT("'" &amp; $C17 &amp; "'!$B:$B"), 0),":",MATCH($D17, INDIRECT("'" &amp; $C17 &amp; "'!$B:$B"), 0))),0)),"/",$C17,"/",MID($D17,1,FIND("_",$D17)-1),"/",INDIRECT(CONCATENATE("'" &amp; $C17 &amp; "'!",ADDRESS(MATCH($D17, INDIRECT("'" &amp; $C17 &amp; "'!$B:$B"), 0),MATCH(J$1, INDIRECT("'" &amp; $C17 &amp; "'!$1:$1"), 0)))),".",INDIRECT(CONCATENATE("'"&amp;$C17&amp;"'!",ADDRESS(MATCH($D17,INDIRECT("'"&amp;$C17&amp;"'!$B:$B"),0),3))),"#page=",J18),CONCATENATE("#Sharepoint//",$D17))</f>
        <v/>
      </c>
      <c r="K17" s="335" t="n"/>
      <c r="L17" s="332" t="n"/>
    </row>
    <row r="18" outlineLevel="2" s="462">
      <c r="A18" s="105" t="n"/>
      <c r="B18" s="106" t="n"/>
      <c r="C18" s="106" t="n"/>
      <c r="D18" s="217" t="n"/>
      <c r="E18" s="218" t="inlineStr">
        <is>
          <t>Rif. Pagina</t>
        </is>
      </c>
      <c r="F18" s="217" t="n">
        <v>7</v>
      </c>
      <c r="G18" s="217" t="n"/>
      <c r="H18" s="217" t="n">
        <v>7</v>
      </c>
      <c r="I18" s="217" t="n">
        <v>7</v>
      </c>
      <c r="J18" s="217" t="n">
        <v>12</v>
      </c>
      <c r="K18" s="337" t="n"/>
      <c r="L18" s="217" t="n"/>
    </row>
    <row r="19" outlineLevel="2" s="462">
      <c r="A19" s="105" t="n"/>
      <c r="B19" s="106" t="n"/>
      <c r="C19" s="106" t="n"/>
      <c r="D19" s="217" t="n"/>
      <c r="E19" s="230" t="inlineStr">
        <is>
          <t>Funzioni AI</t>
        </is>
      </c>
      <c r="F19" s="534" t="inlineStr">
        <is>
          <t>[Pagina 7]
3.1
Country code selection
3.1.1
Function Design
3.1.1.1
Normal condition
Add description what the Country code is used for functions.
3.1.1.2
Failure condition
What kind of failure can it be with the country code selection
3.1.1.3
Failure supervision
How can failures be detected and what action must the system/driver do?
3.1.2
Requirements
ID
2F_04.01.Zefiro-Europe.TRS.772
Description
It shall be possible to select the country which the train will be operated in from the IDU. Possible counties are:

Italy, Austria, Belgium, France, Germany, Netherlands, Spain and Switzerland.
The country selection shall be used for country specific configurations such as:

selection of wide or narrow pantograph

levels of line voltage supervision

levels of line current harmonics.
Safety level
SIL 2
Nr
Description
Type
Derived to
User
Interface
SIL
2F_04.01.Zefiro-
Europe.CONCEPT.
775
One of the following country-codes shall be
selected by the driver on the IDU:
Code
Country of operation
1
Italy
2
Austria
3
Belgium
4
France
5
Germany
6
Netherlands
7
Spain
8
Switzerland
0
not defined
Derived
Requirement
4S_09.03.05.-.TCMS
Software
IDU
SIL 2
2F_04.01.Zefiro-
Europe.CONCEPT.
965
The driver shall get a feedback on IDU from
propulsion system that the system is prepared for
operation in country or selected country-code. The
driver has to confirm it on the IDU.
Derived
Requirement
4S_09.03.05.-.TCMS
Software
IDU
SIL 2
2F_04.01.Zefiro-
Europe.CONCEPT.
1013
The selected country code shall be sent to all
PCU's in the train.
Derived
Requirement
4S_09.03.05.-.TCMS
Software
SIL 2
2F_04.01.Zefiro-
Europe.CONCEPT.
797
In emergency operation mode (emegency
operation mode trainline is energised) the latest
selected/known country code shall be used and
communicated to the PCU (LIM).
Derived
Requirement
4S_09.03.05.-.TCMS
Software
SIL 2
[Pagina 8]
Document state:
Language :
Revision :
Page :
Released
en
_C
8
3EST000225-7907
This document and its contents are the property of Bombardier Inc. or its subsidiaries. This document contains confidential proprietary information. The reproduction,
distribution, utilization or the communication of this document or any part thereof, without express authorization is strictly prohibited. Offenders will be held liable for the
payment of damages.
©2018, Bombardier Inc. or its subsidiaries. All rights reserved.
Pag. iniziale: parte di pag.7 — Pag. finale: parte di pag.8.</t>
        </is>
      </c>
      <c r="G19" s="231" t="n"/>
      <c r="H19" s="535" t="inlineStr">
        <is>
          <t>MATCHED
Pag. iniziale: parte di pag.7 — Pag. finale: parte di pag.8.</t>
        </is>
      </c>
      <c r="I19" s="536" t="inlineStr">
        <is>
          <t>Il testo della sezione risulta equivalente a VZI_Base, ma nel foglio Requisiti VZ_ES presenta requisiti divergenti: vedere le righe di dettaglio.
Differenze nel testo della sezione: confrontando i due documenti si osserva che dove VZI_Base riporta «type», VZ_ES riporta «applicability details»; dove VZI_Base riporta «europe.concept. 775», VZ_ES riporta «europe.concept.775»; infine dove VZI_Base riporta «selected», VZ_ES riporta «used».
Pag. iniziale: parte di pag.7 — Pag. finale: parte di pag.8.</t>
        </is>
      </c>
      <c r="J19" s="536" t="inlineStr">
        <is>
          <t>Il testo della sezione risulta equivalente a VZI_Base, ma nel foglio Requisiti VZI-6_R1 presenta requisiti divergenti: vedere le righe di dettaglio.
Differenze nel testo della sezione: confrontando i due documenti si osserva che dove VZI_Base riporta «add description what the country code is used for functions.», VZI-6_R1 riporta «one of the codes reported can be selected. only italy country code is operative on the vzi-6 trains code country of operation code feedback 1 italy ok 2 austria not available 3 bel»; dove VZI_Base riporta «what kind of failure can it be with the country code selection», VZI-6_R1 riporta «1 a country code not available is selected 2 a country code not defined is selected»; infine dove VZI_Base riporta «how can failures be detected and what action must the system/driver do», VZI-6_R1 riporta «1 if a country code not available is selected a message shall be […]
Pag. iniziale: parte di pag.12 — Pag. finale: parte di pag.13.</t>
        </is>
      </c>
      <c r="K19" s="230" t="n"/>
      <c r="L19" s="232" t="n"/>
    </row>
    <row r="20" outlineLevel="2" s="462">
      <c r="A20" s="105" t="n"/>
      <c r="B20" s="106" t="n"/>
      <c r="C20" s="106" t="n"/>
      <c r="D20" s="217" t="n"/>
      <c r="E20" s="230" t="n"/>
      <c r="F20" s="239" t="n"/>
      <c r="G20" s="231" t="n"/>
      <c r="H20" s="239" t="n"/>
      <c r="I20" s="239" t="n"/>
      <c r="J20" s="239" t="n"/>
      <c r="K20" s="230" t="n"/>
      <c r="L20" s="232" t="n"/>
    </row>
    <row r="21" ht="29" customHeight="1" s="462">
      <c r="A21" s="341" t="inlineStr">
        <is>
          <t>LV_Pantograph_Lifting</t>
        </is>
      </c>
      <c r="B21" s="341" t="inlineStr">
        <is>
          <t>Comando di alzamento pantografo 1 o 2 sulla base di tensione di linea (switch) e paese (IDU) selezionati</t>
        </is>
      </c>
      <c r="C21" s="180" t="n"/>
      <c r="D21" s="342" t="inlineStr">
        <is>
          <t>\</t>
        </is>
      </c>
      <c r="E21" s="343" t="n"/>
      <c r="F21" s="344" t="n"/>
      <c r="G21" s="344" t="n"/>
      <c r="H21" s="344" t="n"/>
      <c r="I21" s="344" t="n"/>
      <c r="J21" s="344" t="n"/>
      <c r="K21" s="344" t="n"/>
      <c r="L21" s="345" t="n"/>
    </row>
    <row r="22" outlineLevel="1" s="462">
      <c r="A22" s="330" t="n"/>
      <c r="B22" s="331" t="n"/>
      <c r="C22" s="332" t="inlineStr">
        <is>
          <t>CONFIG</t>
        </is>
      </c>
      <c r="D22" s="332" t="inlineStr">
        <is>
          <t>FRS_Line Voltage</t>
        </is>
      </c>
      <c r="E22" s="333" t="inlineStr">
        <is>
          <t>Link</t>
        </is>
      </c>
      <c r="F22" s="334">
        <f t="array" ref="F22">HYPERLINK(CONCATENATE(Cartelle!$D$5,F$1,"/",$C22,"/",MID($D22,1,FIND("_",$D22)-1),"/",INDIRECT(CONCATENATE("'" &amp; $C22 &amp; "'!",ADDRESS(MATCH($D22, INDIRECT("'" &amp; $C22 &amp; "'!$B:$B"), 0),MATCH(F$1, INDIRECT("'" &amp; $C22 &amp; "'!$1:$1"), 0)))),".",INDIRECT(CONCATENATE("'"&amp;$C22&amp;"'!",ADDRESS(MATCH($D22,INDIRECT("'"&amp;$C22&amp;"'!$B:$B"),0),3))),"#page=",F23),CONCATENATE("#Sharepoint//",$D22))</f>
        <v/>
      </c>
      <c r="G22" s="346" t="n"/>
      <c r="H22" s="334">
        <f t="array" ref="H22">HYPERLINK(CONCATENATE(Cartelle!$D$5,INDEX(INDIRECT("'" &amp; $C22 &amp; "'!$1:$1"), 1, MATCH(INDIRECT(CONCATENATE("'" &amp; $C22 &amp; "'!",ADDRESS(MATCH($D22, INDIRECT("'" &amp; $C22 &amp; "'!$B:$B"), 0),MATCH(H$1, INDIRECT("'" &amp; $C22 &amp; "'!$1:$1"), 0)))),INDIRECT(CONCATENATE("'" &amp; $C22 &amp; "'!",MATCH($D22, INDIRECT("'" &amp; $C22 &amp; "'!$B:$B"), 0),":",MATCH($D22, INDIRECT("'" &amp; $C22 &amp; "'!$B:$B"), 0))),0)),"/",$C22,"/",MID($D22,1,FIND("_",$D22)-1),"/",INDIRECT(CONCATENATE("'" &amp; $C22 &amp; "'!",ADDRESS(MATCH($D22, INDIRECT("'" &amp; $C22 &amp; "'!$B:$B"), 0),MATCH(H$1, INDIRECT("'" &amp; $C22 &amp; "'!$1:$1"), 0)))),".",INDIRECT(CONCATENATE("'"&amp;$C22&amp;"'!",ADDRESS(MATCH($D22,INDIRECT("'"&amp;$C22&amp;"'!$B:$B"),0),3))),"#page=",H23),CONCATENATE("#Sharepoint//",$D22))</f>
        <v/>
      </c>
      <c r="I22" s="334">
        <f t="array" ref="I22">HYPERLINK(CONCATENATE(Cartelle!$D$5,INDEX(INDIRECT("'" &amp; $C22 &amp; "'!$1:$1"), 1, MATCH(INDIRECT(CONCATENATE("'" &amp; $C22 &amp; "'!",ADDRESS(MATCH($D22, INDIRECT("'" &amp; $C22 &amp; "'!$B:$B"), 0),MATCH(I$1, INDIRECT("'" &amp; $C22 &amp; "'!$1:$1"), 0)))),INDIRECT(CONCATENATE("'" &amp; $C22 &amp; "'!",MATCH($D22, INDIRECT("'" &amp; $C22 &amp; "'!$B:$B"), 0),":",MATCH($D22, INDIRECT("'" &amp; $C22 &amp; "'!$B:$B"), 0))),0)),"/",$C22,"/",MID($D22,1,FIND("_",$D22)-1),"/",INDIRECT(CONCATENATE("'" &amp; $C22 &amp; "'!",ADDRESS(MATCH($D22, INDIRECT("'" &amp; $C22 &amp; "'!$B:$B"), 0),MATCH(I$1, INDIRECT("'" &amp; $C22 &amp; "'!$1:$1"), 0)))),".",INDIRECT(CONCATENATE("'"&amp;$C22&amp;"'!",ADDRESS(MATCH($D22,INDIRECT("'"&amp;$C22&amp;"'!$B:$B"),0),3))),"#page=",I23),CONCATENATE("#Sharepoint//",$D22))</f>
        <v/>
      </c>
      <c r="J22" s="334">
        <f t="array" ref="J22">HYPERLINK(CONCATENATE(Cartelle!$D$5,INDEX(INDIRECT("'" &amp; $C22 &amp; "'!$1:$1"), 1, MATCH(INDIRECT(CONCATENATE("'" &amp; $C22 &amp; "'!",ADDRESS(MATCH($D22, INDIRECT("'" &amp; $C22 &amp; "'!$B:$B"), 0),MATCH(J$1, INDIRECT("'" &amp; $C22 &amp; "'!$1:$1"), 0)))),INDIRECT(CONCATENATE("'" &amp; $C22 &amp; "'!",MATCH($D22, INDIRECT("'" &amp; $C22 &amp; "'!$B:$B"), 0),":",MATCH($D22, INDIRECT("'" &amp; $C22 &amp; "'!$B:$B"), 0))),0)),"/",$C22,"/",MID($D22,1,FIND("_",$D22)-1),"/",INDIRECT(CONCATENATE("'" &amp; $C22 &amp; "'!",ADDRESS(MATCH($D22, INDIRECT("'" &amp; $C22 &amp; "'!$B:$B"), 0),MATCH(J$1, INDIRECT("'" &amp; $C22 &amp; "'!$1:$1"), 0)))),".",INDIRECT(CONCATENATE("'"&amp;$C22&amp;"'!",ADDRESS(MATCH($D22,INDIRECT("'"&amp;$C22&amp;"'!$B:$B"),0),3))),"#page=",J23),CONCATENATE("#Sharepoint//",$D22))</f>
        <v/>
      </c>
      <c r="K22" s="335" t="n"/>
      <c r="L22" s="332" t="n"/>
    </row>
    <row r="23" outlineLevel="2" s="462">
      <c r="A23" s="105" t="n"/>
      <c r="B23" s="106" t="n"/>
      <c r="C23" s="106" t="n"/>
      <c r="D23" s="217" t="n"/>
      <c r="E23" s="218" t="inlineStr">
        <is>
          <t>Rif. Pagina</t>
        </is>
      </c>
      <c r="F23" s="217" t="n">
        <v>8</v>
      </c>
      <c r="G23" s="217" t="n"/>
      <c r="H23" s="217" t="n">
        <v>8</v>
      </c>
      <c r="I23" s="217" t="n">
        <v>8</v>
      </c>
      <c r="J23" s="217" t="n">
        <v>13</v>
      </c>
      <c r="K23" s="337" t="n"/>
      <c r="L23" s="217" t="n"/>
    </row>
    <row r="24" outlineLevel="2" s="462">
      <c r="A24" s="105" t="n"/>
      <c r="B24" s="106" t="n"/>
      <c r="C24" s="106" t="n"/>
      <c r="D24" s="217" t="n"/>
      <c r="E24" s="230" t="inlineStr">
        <is>
          <t>Funzioni AI</t>
        </is>
      </c>
      <c r="F24" s="239" t="n"/>
      <c r="G24" s="231" t="n"/>
      <c r="H24" s="239" t="n"/>
      <c r="I24" s="239" t="n"/>
      <c r="J24" s="239" t="n"/>
      <c r="K24" s="230" t="n"/>
      <c r="L24" s="232" t="n"/>
    </row>
    <row r="25">
      <c r="A25" s="341" t="inlineStr">
        <is>
          <t>LV_Pantograph_Lowering</t>
        </is>
      </c>
      <c r="B25" s="341" t="inlineStr">
        <is>
          <t>Comando di abbassamento pantografo manuale/automatico</t>
        </is>
      </c>
      <c r="C25" s="180" t="n"/>
      <c r="D25" s="342" t="inlineStr">
        <is>
          <t>\</t>
        </is>
      </c>
      <c r="E25" s="343" t="n"/>
      <c r="F25" s="344" t="n"/>
      <c r="G25" s="344" t="n"/>
      <c r="H25" s="344" t="n"/>
      <c r="I25" s="344" t="n"/>
      <c r="J25" s="344" t="n"/>
      <c r="K25" s="344" t="n"/>
      <c r="L25" s="345" t="n"/>
    </row>
    <row r="26" outlineLevel="1" s="462">
      <c r="A26" s="330" t="n"/>
      <c r="B26" s="331" t="n"/>
      <c r="C26" s="332" t="inlineStr">
        <is>
          <t>CONFIG</t>
        </is>
      </c>
      <c r="D26" s="332" t="inlineStr">
        <is>
          <t>FRS_Line Voltage</t>
        </is>
      </c>
      <c r="E26" s="333" t="inlineStr">
        <is>
          <t>Link</t>
        </is>
      </c>
      <c r="F26" s="334">
        <f t="array" ref="F26">HYPERLINK(CONCATENATE(Cartelle!$D$5,F$1,"/",$C26,"/",MID($D26,1,FIND("_",$D26)-1),"/",INDIRECT(CONCATENATE("'" &amp; $C26 &amp; "'!",ADDRESS(MATCH($D26, INDIRECT("'" &amp; $C26 &amp; "'!$B:$B"), 0),MATCH(F$1, INDIRECT("'" &amp; $C26 &amp; "'!$1:$1"), 0)))),".",INDIRECT(CONCATENATE("'"&amp;$C26&amp;"'!",ADDRESS(MATCH($D26,INDIRECT("'"&amp;$C26&amp;"'!$B:$B"),0),3))),"#page=",F27),CONCATENATE("#Sharepoint//",$D26))</f>
        <v/>
      </c>
      <c r="G26" s="346" t="n"/>
      <c r="H26" s="334">
        <f t="array" ref="H26">HYPERLINK(CONCATENATE(Cartelle!$D$5,INDEX(INDIRECT("'" &amp; $C26 &amp; "'!$1:$1"), 1, MATCH(INDIRECT(CONCATENATE("'" &amp; $C26 &amp; "'!",ADDRESS(MATCH($D26, INDIRECT("'" &amp; $C26 &amp; "'!$B:$B"), 0),MATCH(H$1, INDIRECT("'" &amp; $C26 &amp; "'!$1:$1"), 0)))),INDIRECT(CONCATENATE("'" &amp; $C26 &amp; "'!",MATCH($D26, INDIRECT("'" &amp; $C26 &amp; "'!$B:$B"), 0),":",MATCH($D26, INDIRECT("'" &amp; $C26 &amp; "'!$B:$B"), 0))),0)),"/",$C26,"/",MID($D26,1,FIND("_",$D26)-1),"/",INDIRECT(CONCATENATE("'" &amp; $C26 &amp; "'!",ADDRESS(MATCH($D26, INDIRECT("'" &amp; $C26 &amp; "'!$B:$B"), 0),MATCH(H$1, INDIRECT("'" &amp; $C26 &amp; "'!$1:$1"), 0)))),".",INDIRECT(CONCATENATE("'"&amp;$C26&amp;"'!",ADDRESS(MATCH($D26,INDIRECT("'"&amp;$C26&amp;"'!$B:$B"),0),3))),"#page=",H27),CONCATENATE("#Sharepoint//",$D26))</f>
        <v/>
      </c>
      <c r="I26" s="334">
        <f t="array" ref="I26">HYPERLINK(CONCATENATE(Cartelle!$D$5,INDEX(INDIRECT("'" &amp; $C26 &amp; "'!$1:$1"), 1, MATCH(INDIRECT(CONCATENATE("'" &amp; $C26 &amp; "'!",ADDRESS(MATCH($D26, INDIRECT("'" &amp; $C26 &amp; "'!$B:$B"), 0),MATCH(I$1, INDIRECT("'" &amp; $C26 &amp; "'!$1:$1"), 0)))),INDIRECT(CONCATENATE("'" &amp; $C26 &amp; "'!",MATCH($D26, INDIRECT("'" &amp; $C26 &amp; "'!$B:$B"), 0),":",MATCH($D26, INDIRECT("'" &amp; $C26 &amp; "'!$B:$B"), 0))),0)),"/",$C26,"/",MID($D26,1,FIND("_",$D26)-1),"/",INDIRECT(CONCATENATE("'" &amp; $C26 &amp; "'!",ADDRESS(MATCH($D26, INDIRECT("'" &amp; $C26 &amp; "'!$B:$B"), 0),MATCH(I$1, INDIRECT("'" &amp; $C26 &amp; "'!$1:$1"), 0)))),".",INDIRECT(CONCATENATE("'"&amp;$C26&amp;"'!",ADDRESS(MATCH($D26,INDIRECT("'"&amp;$C26&amp;"'!$B:$B"),0),3))),"#page=",I27),CONCATENATE("#Sharepoint//",$D26))</f>
        <v/>
      </c>
      <c r="J26" s="334">
        <f t="array" ref="J26">HYPERLINK(CONCATENATE(Cartelle!$D$5,INDEX(INDIRECT("'" &amp; $C26 &amp; "'!$1:$1"), 1, MATCH(INDIRECT(CONCATENATE("'" &amp; $C26 &amp; "'!",ADDRESS(MATCH($D26, INDIRECT("'" &amp; $C26 &amp; "'!$B:$B"), 0),MATCH(J$1, INDIRECT("'" &amp; $C26 &amp; "'!$1:$1"), 0)))),INDIRECT(CONCATENATE("'" &amp; $C26 &amp; "'!",MATCH($D26, INDIRECT("'" &amp; $C26 &amp; "'!$B:$B"), 0),":",MATCH($D26, INDIRECT("'" &amp; $C26 &amp; "'!$B:$B"), 0))),0)),"/",$C26,"/",MID($D26,1,FIND("_",$D26)-1),"/",INDIRECT(CONCATENATE("'" &amp; $C26 &amp; "'!",ADDRESS(MATCH($D26, INDIRECT("'" &amp; $C26 &amp; "'!$B:$B"), 0),MATCH(J$1, INDIRECT("'" &amp; $C26 &amp; "'!$1:$1"), 0)))),".",INDIRECT(CONCATENATE("'"&amp;$C26&amp;"'!",ADDRESS(MATCH($D26,INDIRECT("'"&amp;$C26&amp;"'!$B:$B"),0),3))),"#page=",J27),CONCATENATE("#Sharepoint//",$D26))</f>
        <v/>
      </c>
      <c r="K26" s="335" t="n"/>
      <c r="L26" s="332" t="n"/>
    </row>
    <row r="27" outlineLevel="2" s="462">
      <c r="A27" s="105" t="n"/>
      <c r="B27" s="106" t="n"/>
      <c r="C27" s="106" t="n"/>
      <c r="D27" s="217" t="n"/>
      <c r="E27" s="218" t="inlineStr">
        <is>
          <t>Rif. Pagina</t>
        </is>
      </c>
      <c r="F27" s="217" t="n">
        <v>14</v>
      </c>
      <c r="G27" s="217" t="n"/>
      <c r="H27" s="217" t="n">
        <v>16</v>
      </c>
      <c r="I27" s="217" t="n">
        <v>14</v>
      </c>
      <c r="J27" s="217" t="n">
        <v>19</v>
      </c>
      <c r="K27" s="337" t="n"/>
      <c r="L27" s="217" t="n"/>
    </row>
    <row r="28" outlineLevel="2" s="462">
      <c r="A28" s="105" t="n"/>
      <c r="B28" s="106" t="n"/>
      <c r="C28" s="106" t="n"/>
      <c r="D28" s="217" t="n"/>
      <c r="E28" s="230" t="inlineStr">
        <is>
          <t>Funzioni AI</t>
        </is>
      </c>
      <c r="F28" s="239" t="n"/>
      <c r="G28" s="231" t="n"/>
      <c r="H28" s="239" t="n"/>
      <c r="I28" s="239" t="n"/>
      <c r="J28" s="239" t="n"/>
      <c r="K28" s="230" t="n"/>
      <c r="L28" s="232" t="n"/>
    </row>
    <row r="29" customFormat="1" s="8">
      <c r="A29" s="347" t="inlineStr">
        <is>
          <t>LV_Automatic_Dropping_Device_(ADD)</t>
        </is>
      </c>
      <c r="B29" s="348" t="inlineStr">
        <is>
          <t>Dispositivo di abbassamento automatico del pantografo in caso di guasto</t>
        </is>
      </c>
      <c r="C29" s="181" t="n"/>
      <c r="D29" s="349" t="inlineStr">
        <is>
          <t>\</t>
        </is>
      </c>
      <c r="E29" s="350" t="n"/>
      <c r="F29" s="351" t="n"/>
      <c r="G29" s="351" t="n"/>
      <c r="H29" s="351" t="n"/>
      <c r="I29" s="351" t="n"/>
      <c r="J29" s="351" t="n"/>
      <c r="K29" s="351" t="n"/>
      <c r="L29" s="352" t="n"/>
    </row>
    <row r="30" outlineLevel="1" customFormat="1" s="8">
      <c r="B30" s="59" t="n"/>
      <c r="C30" s="332" t="inlineStr">
        <is>
          <t>CONFIG</t>
        </is>
      </c>
      <c r="D30" s="332" t="inlineStr">
        <is>
          <t>FRS_Line Voltage</t>
        </is>
      </c>
      <c r="E30" s="333" t="inlineStr">
        <is>
          <t>Link</t>
        </is>
      </c>
      <c r="F30" s="334">
        <f t="array" ref="F30">HYPERLINK(CONCATENATE(Cartelle!$D$5,F$1,"/",$C30,"/",MID($D30,1,FIND("_",$D30)-1),"/",INDIRECT(CONCATENATE("'" &amp; $C30 &amp; "'!",ADDRESS(MATCH($D30, INDIRECT("'" &amp; $C30 &amp; "'!$B:$B"), 0),MATCH(F$1, INDIRECT("'" &amp; $C30 &amp; "'!$1:$1"), 0)))),".",INDIRECT(CONCATENATE("'"&amp;$C30&amp;"'!",ADDRESS(MATCH($D30,INDIRECT("'"&amp;$C30&amp;"'!$B:$B"),0),3))),"#page=",F31),CONCATENATE("#Sharepoint//",$D30))</f>
        <v/>
      </c>
      <c r="G30" s="346" t="n"/>
      <c r="H30" s="334">
        <f t="array" ref="H30">HYPERLINK(CONCATENATE(Cartelle!$D$5,INDEX(INDIRECT("'" &amp; $C30 &amp; "'!$1:$1"), 1, MATCH(INDIRECT(CONCATENATE("'" &amp; $C30 &amp; "'!",ADDRESS(MATCH($D30, INDIRECT("'" &amp; $C30 &amp; "'!$B:$B"), 0),MATCH(H$1, INDIRECT("'" &amp; $C30 &amp; "'!$1:$1"), 0)))),INDIRECT(CONCATENATE("'" &amp; $C30 &amp; "'!",MATCH($D30, INDIRECT("'" &amp; $C30 &amp; "'!$B:$B"), 0),":",MATCH($D30, INDIRECT("'" &amp; $C30 &amp; "'!$B:$B"), 0))),0)),"/",$C30,"/",MID($D30,1,FIND("_",$D30)-1),"/",INDIRECT(CONCATENATE("'" &amp; $C30 &amp; "'!",ADDRESS(MATCH($D30, INDIRECT("'" &amp; $C30 &amp; "'!$B:$B"), 0),MATCH(H$1, INDIRECT("'" &amp; $C30 &amp; "'!$1:$1"), 0)))),".",INDIRECT(CONCATENATE("'"&amp;$C30&amp;"'!",ADDRESS(MATCH($D30,INDIRECT("'"&amp;$C30&amp;"'!$B:$B"),0),3))),"#page=",H31),CONCATENATE("#Sharepoint//",$D30))</f>
        <v/>
      </c>
      <c r="I30" s="334">
        <f t="array" ref="I30">HYPERLINK(CONCATENATE(Cartelle!$D$5,INDEX(INDIRECT("'" &amp; $C30 &amp; "'!$1:$1"), 1, MATCH(INDIRECT(CONCATENATE("'" &amp; $C30 &amp; "'!",ADDRESS(MATCH($D30, INDIRECT("'" &amp; $C30 &amp; "'!$B:$B"), 0),MATCH(I$1, INDIRECT("'" &amp; $C30 &amp; "'!$1:$1"), 0)))),INDIRECT(CONCATENATE("'" &amp; $C30 &amp; "'!",MATCH($D30, INDIRECT("'" &amp; $C30 &amp; "'!$B:$B"), 0),":",MATCH($D30, INDIRECT("'" &amp; $C30 &amp; "'!$B:$B"), 0))),0)),"/",$C30,"/",MID($D30,1,FIND("_",$D30)-1),"/",INDIRECT(CONCATENATE("'" &amp; $C30 &amp; "'!",ADDRESS(MATCH($D30, INDIRECT("'" &amp; $C30 &amp; "'!$B:$B"), 0),MATCH(I$1, INDIRECT("'" &amp; $C30 &amp; "'!$1:$1"), 0)))),".",INDIRECT(CONCATENATE("'"&amp;$C30&amp;"'!",ADDRESS(MATCH($D30,INDIRECT("'"&amp;$C30&amp;"'!$B:$B"),0),3))),"#page=",I31),CONCATENATE("#Sharepoint//",$D30))</f>
        <v/>
      </c>
      <c r="J30" s="334">
        <f t="array" ref="J30">HYPERLINK(CONCATENATE(Cartelle!$D$5,INDEX(INDIRECT("'" &amp; $C30 &amp; "'!$1:$1"), 1, MATCH(INDIRECT(CONCATENATE("'" &amp; $C30 &amp; "'!",ADDRESS(MATCH($D30, INDIRECT("'" &amp; $C30 &amp; "'!$B:$B"), 0),MATCH(J$1, INDIRECT("'" &amp; $C30 &amp; "'!$1:$1"), 0)))),INDIRECT(CONCATENATE("'" &amp; $C30 &amp; "'!",MATCH($D30, INDIRECT("'" &amp; $C30 &amp; "'!$B:$B"), 0),":",MATCH($D30, INDIRECT("'" &amp; $C30 &amp; "'!$B:$B"), 0))),0)),"/",$C30,"/",MID($D30,1,FIND("_",$D30)-1),"/",INDIRECT(CONCATENATE("'" &amp; $C30 &amp; "'!",ADDRESS(MATCH($D30, INDIRECT("'" &amp; $C30 &amp; "'!$B:$B"), 0),MATCH(J$1, INDIRECT("'" &amp; $C30 &amp; "'!$1:$1"), 0)))),".",INDIRECT(CONCATENATE("'"&amp;$C30&amp;"'!",ADDRESS(MATCH($D30,INDIRECT("'"&amp;$C30&amp;"'!$B:$B"),0),3))),"#page=",J31),CONCATENATE("#Sharepoint//",$D30))</f>
        <v/>
      </c>
      <c r="K30" s="353" t="n"/>
      <c r="L30" s="353" t="n"/>
    </row>
    <row r="31" outlineLevel="2" customFormat="1" s="8">
      <c r="B31" s="59" t="n"/>
      <c r="C31" s="430" t="n"/>
      <c r="D31" s="233" t="n"/>
      <c r="E31" s="270" t="inlineStr">
        <is>
          <t>Rif. Pagina</t>
        </is>
      </c>
      <c r="F31" s="233" t="n">
        <v>16</v>
      </c>
      <c r="G31" s="233" t="n"/>
      <c r="H31" s="233" t="n">
        <v>18</v>
      </c>
      <c r="I31" s="233" t="n">
        <v>16</v>
      </c>
      <c r="J31" s="233" t="n">
        <v>22</v>
      </c>
      <c r="K31" s="233" t="n"/>
      <c r="L31" s="233" t="n"/>
    </row>
    <row r="32" outlineLevel="2" customFormat="1" s="8">
      <c r="B32" s="59" t="n"/>
      <c r="C32" s="430" t="n"/>
      <c r="D32" s="233" t="n"/>
      <c r="E32" s="234" t="inlineStr">
        <is>
          <t>Funzioni AI</t>
        </is>
      </c>
      <c r="F32" s="239" t="n"/>
      <c r="G32" s="235" t="n"/>
      <c r="H32" s="239" t="n"/>
      <c r="I32" s="239" t="n"/>
      <c r="J32" s="239" t="n"/>
      <c r="K32" s="235" t="n"/>
      <c r="L32" s="236" t="n"/>
    </row>
    <row r="33" ht="29" customFormat="1" customHeight="1" s="8">
      <c r="A33" s="347" t="inlineStr">
        <is>
          <t>LV_Pantograph_Interlock</t>
        </is>
      </c>
      <c r="B33" s="354" t="inlineStr">
        <is>
          <t>Interblocco automatico dei pantografi in caso di guasto rilevato. Il Pdc può bloccare anche manualmente un pantografo per impedirne la selezione</t>
        </is>
      </c>
      <c r="C33" s="181" t="n"/>
      <c r="D33" s="349" t="inlineStr">
        <is>
          <t>\</t>
        </is>
      </c>
      <c r="E33" s="350" t="n"/>
      <c r="F33" s="351" t="n"/>
      <c r="G33" s="351" t="n"/>
      <c r="H33" s="351" t="n"/>
      <c r="I33" s="351" t="n"/>
      <c r="J33" s="351" t="n"/>
      <c r="K33" s="351" t="n"/>
      <c r="L33" s="352" t="n"/>
    </row>
    <row r="34" outlineLevel="1" customFormat="1" s="8">
      <c r="B34" s="59" t="n"/>
      <c r="C34" s="332" t="inlineStr">
        <is>
          <t>CONFIG</t>
        </is>
      </c>
      <c r="D34" s="332" t="inlineStr">
        <is>
          <t>FRS_Line Voltage</t>
        </is>
      </c>
      <c r="E34" s="333" t="inlineStr">
        <is>
          <t>Link</t>
        </is>
      </c>
      <c r="F34" s="334">
        <f t="array" ref="F34">HYPERLINK(CONCATENATE(Cartelle!$D$5,F$1,"/",$C34,"/",MID($D34,1,FIND("_",$D34)-1),"/",INDIRECT(CONCATENATE("'" &amp; $C34 &amp; "'!",ADDRESS(MATCH($D34, INDIRECT("'" &amp; $C34 &amp; "'!$B:$B"), 0),MATCH(F$1, INDIRECT("'" &amp; $C34 &amp; "'!$1:$1"), 0)))),".",INDIRECT(CONCATENATE("'"&amp;$C34&amp;"'!",ADDRESS(MATCH($D34,INDIRECT("'"&amp;$C34&amp;"'!$B:$B"),0),3))),"#page=",F35),CONCATENATE("#Sharepoint//",$D34))</f>
        <v/>
      </c>
      <c r="G34" s="346" t="n"/>
      <c r="H34" s="334">
        <f t="array" ref="H34">HYPERLINK(CONCATENATE(Cartelle!$D$5,INDEX(INDIRECT("'" &amp; $C34 &amp; "'!$1:$1"), 1, MATCH(INDIRECT(CONCATENATE("'" &amp; $C34 &amp; "'!",ADDRESS(MATCH($D34, INDIRECT("'" &amp; $C34 &amp; "'!$B:$B"), 0),MATCH(H$1, INDIRECT("'" &amp; $C34 &amp; "'!$1:$1"), 0)))),INDIRECT(CONCATENATE("'" &amp; $C34 &amp; "'!",MATCH($D34, INDIRECT("'" &amp; $C34 &amp; "'!$B:$B"), 0),":",MATCH($D34, INDIRECT("'" &amp; $C34 &amp; "'!$B:$B"), 0))),0)),"/",$C34,"/",MID($D34,1,FIND("_",$D34)-1),"/",INDIRECT(CONCATENATE("'" &amp; $C34 &amp; "'!",ADDRESS(MATCH($D34, INDIRECT("'" &amp; $C34 &amp; "'!$B:$B"), 0),MATCH(H$1, INDIRECT("'" &amp; $C34 &amp; "'!$1:$1"), 0)))),".",INDIRECT(CONCATENATE("'"&amp;$C34&amp;"'!",ADDRESS(MATCH($D34,INDIRECT("'"&amp;$C34&amp;"'!$B:$B"),0),3))),"#page=",H35),CONCATENATE("#Sharepoint//",$D34))</f>
        <v/>
      </c>
      <c r="I34" s="334">
        <f t="array" ref="I34">HYPERLINK(CONCATENATE(Cartelle!$D$5,INDEX(INDIRECT("'" &amp; $C34 &amp; "'!$1:$1"), 1, MATCH(INDIRECT(CONCATENATE("'" &amp; $C34 &amp; "'!",ADDRESS(MATCH($D34, INDIRECT("'" &amp; $C34 &amp; "'!$B:$B"), 0),MATCH(I$1, INDIRECT("'" &amp; $C34 &amp; "'!$1:$1"), 0)))),INDIRECT(CONCATENATE("'" &amp; $C34 &amp; "'!",MATCH($D34, INDIRECT("'" &amp; $C34 &amp; "'!$B:$B"), 0),":",MATCH($D34, INDIRECT("'" &amp; $C34 &amp; "'!$B:$B"), 0))),0)),"/",$C34,"/",MID($D34,1,FIND("_",$D34)-1),"/",INDIRECT(CONCATENATE("'" &amp; $C34 &amp; "'!",ADDRESS(MATCH($D34, INDIRECT("'" &amp; $C34 &amp; "'!$B:$B"), 0),MATCH(I$1, INDIRECT("'" &amp; $C34 &amp; "'!$1:$1"), 0)))),".",INDIRECT(CONCATENATE("'"&amp;$C34&amp;"'!",ADDRESS(MATCH($D34,INDIRECT("'"&amp;$C34&amp;"'!$B:$B"),0),3))),"#page=",I35),CONCATENATE("#Sharepoint//",$D34))</f>
        <v/>
      </c>
      <c r="J34" s="334">
        <f t="array" ref="J34">HYPERLINK(CONCATENATE(Cartelle!$D$5,INDEX(INDIRECT("'" &amp; $C34 &amp; "'!$1:$1"), 1, MATCH(INDIRECT(CONCATENATE("'" &amp; $C34 &amp; "'!",ADDRESS(MATCH($D34, INDIRECT("'" &amp; $C34 &amp; "'!$B:$B"), 0),MATCH(J$1, INDIRECT("'" &amp; $C34 &amp; "'!$1:$1"), 0)))),INDIRECT(CONCATENATE("'" &amp; $C34 &amp; "'!",MATCH($D34, INDIRECT("'" &amp; $C34 &amp; "'!$B:$B"), 0),":",MATCH($D34, INDIRECT("'" &amp; $C34 &amp; "'!$B:$B"), 0))),0)),"/",$C34,"/",MID($D34,1,FIND("_",$D34)-1),"/",INDIRECT(CONCATENATE("'" &amp; $C34 &amp; "'!",ADDRESS(MATCH($D34, INDIRECT("'" &amp; $C34 &amp; "'!$B:$B"), 0),MATCH(J$1, INDIRECT("'" &amp; $C34 &amp; "'!$1:$1"), 0)))),".",INDIRECT(CONCATENATE("'"&amp;$C34&amp;"'!",ADDRESS(MATCH($D34,INDIRECT("'"&amp;$C34&amp;"'!$B:$B"),0),3))),"#page=",J35),CONCATENATE("#Sharepoint//",$D34))</f>
        <v/>
      </c>
      <c r="K34" s="353" t="n"/>
      <c r="L34" s="353" t="n"/>
    </row>
    <row r="35" outlineLevel="2" customFormat="1" s="8">
      <c r="B35" s="59" t="n"/>
      <c r="C35" s="430" t="n"/>
      <c r="D35" s="233" t="n"/>
      <c r="E35" s="270" t="inlineStr">
        <is>
          <t>Rif. Pagina</t>
        </is>
      </c>
      <c r="F35" s="233" t="n">
        <v>18</v>
      </c>
      <c r="G35" s="233" t="n"/>
      <c r="H35" s="233" t="n">
        <v>21</v>
      </c>
      <c r="I35" s="233" t="n">
        <v>21</v>
      </c>
      <c r="J35" s="233" t="n">
        <v>26</v>
      </c>
      <c r="K35" s="233" t="n"/>
      <c r="L35" s="233" t="n"/>
    </row>
    <row r="36" outlineLevel="2" customFormat="1" s="8">
      <c r="B36" s="59" t="n"/>
      <c r="C36" s="430" t="n"/>
      <c r="D36" s="233" t="n"/>
      <c r="E36" s="234" t="inlineStr">
        <is>
          <t>Funzioni AI</t>
        </is>
      </c>
      <c r="F36" s="239" t="n"/>
      <c r="G36" s="235" t="n"/>
      <c r="H36" s="239" t="n"/>
      <c r="I36" s="239" t="n"/>
      <c r="J36" s="239" t="n"/>
      <c r="K36" s="235" t="n"/>
      <c r="L36" s="236" t="n"/>
    </row>
    <row r="37" ht="29" customFormat="1" customHeight="1" s="8">
      <c r="A37" s="347" t="inlineStr">
        <is>
          <t>LV_Pantograph_Selection</t>
        </is>
      </c>
      <c r="B37" s="354" t="inlineStr">
        <is>
          <t>Selezione del pantografo in base al paese (tipologia/dimensioni pantografo) e al sistema di alimentazione (AC/DC) selezionato</t>
        </is>
      </c>
      <c r="C37" s="181" t="n"/>
      <c r="D37" s="349" t="inlineStr">
        <is>
          <t>\</t>
        </is>
      </c>
      <c r="E37" s="350" t="n"/>
      <c r="F37" s="351" t="n"/>
      <c r="G37" s="351" t="n"/>
      <c r="H37" s="351" t="n"/>
      <c r="I37" s="351" t="n"/>
      <c r="J37" s="351" t="n"/>
      <c r="K37" s="351" t="n"/>
      <c r="L37" s="352" t="n"/>
    </row>
    <row r="38" outlineLevel="1" customFormat="1" s="8">
      <c r="B38" s="59" t="n"/>
      <c r="C38" s="332" t="inlineStr">
        <is>
          <t>CONFIG</t>
        </is>
      </c>
      <c r="D38" s="332" t="inlineStr">
        <is>
          <t>FRS_Line Voltage</t>
        </is>
      </c>
      <c r="E38" s="333" t="inlineStr">
        <is>
          <t>Link</t>
        </is>
      </c>
      <c r="F38" s="355">
        <f t="array" ref="F38">HYPERLINK(CONCATENATE(Cartelle!$D$5,F$1,"/",$C38,"/",MID($D38,1,FIND("_",$D38)-1),"/",INDIRECT(CONCATENATE("'" &amp; $C38 &amp; "'!",ADDRESS(MATCH($D38, INDIRECT("'" &amp; $C38 &amp; "'!$B:$B"), 0),MATCH(F$1, INDIRECT("'" &amp; $C38 &amp; "'!$1:$1"), 0)))),".",INDIRECT(CONCATENATE("'"&amp;$C38&amp;"'!",ADDRESS(MATCH($D38,INDIRECT("'"&amp;$C38&amp;"'!$B:$B"),0),3))),"#page=",F39),CONCATENATE("#Sharepoint//",$D38))</f>
        <v/>
      </c>
      <c r="G38" s="346" t="n"/>
      <c r="H38" s="334">
        <f t="array" ref="H38">HYPERLINK(CONCATENATE(Cartelle!$D$5,INDEX(INDIRECT("'" &amp; $C38 &amp; "'!$1:$1"), 1, MATCH(INDIRECT(CONCATENATE("'" &amp; $C38 &amp; "'!",ADDRESS(MATCH($D38, INDIRECT("'" &amp; $C38 &amp; "'!$B:$B"), 0),MATCH(H$1, INDIRECT("'" &amp; $C38 &amp; "'!$1:$1"), 0)))),INDIRECT(CONCATENATE("'" &amp; $C38 &amp; "'!",MATCH($D38, INDIRECT("'" &amp; $C38 &amp; "'!$B:$B"), 0),":",MATCH($D38, INDIRECT("'" &amp; $C38 &amp; "'!$B:$B"), 0))),0)),"/",$C38,"/",MID($D38,1,FIND("_",$D38)-1),"/",INDIRECT(CONCATENATE("'" &amp; $C38 &amp; "'!",ADDRESS(MATCH($D38, INDIRECT("'" &amp; $C38 &amp; "'!$B:$B"), 0),MATCH(H$1, INDIRECT("'" &amp; $C38 &amp; "'!$1:$1"), 0)))),".",INDIRECT(CONCATENATE("'"&amp;$C38&amp;"'!",ADDRESS(MATCH($D38,INDIRECT("'"&amp;$C38&amp;"'!$B:$B"),0),3))),"#page=",H39),CONCATENATE("#Sharepoint//",$D38))</f>
        <v/>
      </c>
      <c r="I38" s="334">
        <f t="array" ref="I38">HYPERLINK(CONCATENATE(Cartelle!$D$5,INDEX(INDIRECT("'" &amp; $C38 &amp; "'!$1:$1"), 1, MATCH(INDIRECT(CONCATENATE("'" &amp; $C38 &amp; "'!",ADDRESS(MATCH($D38, INDIRECT("'" &amp; $C38 &amp; "'!$B:$B"), 0),MATCH(I$1, INDIRECT("'" &amp; $C38 &amp; "'!$1:$1"), 0)))),INDIRECT(CONCATENATE("'" &amp; $C38 &amp; "'!",MATCH($D38, INDIRECT("'" &amp; $C38 &amp; "'!$B:$B"), 0),":",MATCH($D38, INDIRECT("'" &amp; $C38 &amp; "'!$B:$B"), 0))),0)),"/",$C38,"/",MID($D38,1,FIND("_",$D38)-1),"/",INDIRECT(CONCATENATE("'" &amp; $C38 &amp; "'!",ADDRESS(MATCH($D38, INDIRECT("'" &amp; $C38 &amp; "'!$B:$B"), 0),MATCH(I$1, INDIRECT("'" &amp; $C38 &amp; "'!$1:$1"), 0)))),".",INDIRECT(CONCATENATE("'"&amp;$C38&amp;"'!",ADDRESS(MATCH($D38,INDIRECT("'"&amp;$C38&amp;"'!$B:$B"),0),3))),"#page=",I39),CONCATENATE("#Sharepoint//",$D38))</f>
        <v/>
      </c>
      <c r="J38" s="334">
        <f t="array" ref="J38">HYPERLINK(CONCATENATE(Cartelle!$D$5,INDEX(INDIRECT("'" &amp; $C38 &amp; "'!$1:$1"), 1, MATCH(INDIRECT(CONCATENATE("'" &amp; $C38 &amp; "'!",ADDRESS(MATCH($D38, INDIRECT("'" &amp; $C38 &amp; "'!$B:$B"), 0),MATCH(J$1, INDIRECT("'" &amp; $C38 &amp; "'!$1:$1"), 0)))),INDIRECT(CONCATENATE("'" &amp; $C38 &amp; "'!",MATCH($D38, INDIRECT("'" &amp; $C38 &amp; "'!$B:$B"), 0),":",MATCH($D38, INDIRECT("'" &amp; $C38 &amp; "'!$B:$B"), 0))),0)),"/",$C38,"/",MID($D38,1,FIND("_",$D38)-1),"/",INDIRECT(CONCATENATE("'" &amp; $C38 &amp; "'!",ADDRESS(MATCH($D38, INDIRECT("'" &amp; $C38 &amp; "'!$B:$B"), 0),MATCH(J$1, INDIRECT("'" &amp; $C38 &amp; "'!$1:$1"), 0)))),".",INDIRECT(CONCATENATE("'"&amp;$C38&amp;"'!",ADDRESS(MATCH($D38,INDIRECT("'"&amp;$C38&amp;"'!$B:$B"),0),3))),"#page=",J39),CONCATENATE("#Sharepoint//",$D38))</f>
        <v/>
      </c>
      <c r="K38" s="353" t="n"/>
      <c r="L38" s="353" t="n"/>
    </row>
    <row r="39" outlineLevel="2" customFormat="1" s="8">
      <c r="B39" s="59" t="n"/>
      <c r="C39" s="430" t="n"/>
      <c r="D39" s="233" t="n"/>
      <c r="E39" s="270" t="inlineStr">
        <is>
          <t>Rif. Pagina</t>
        </is>
      </c>
      <c r="F39" s="233" t="n">
        <v>20</v>
      </c>
      <c r="G39" s="233" t="n"/>
      <c r="H39" s="233" t="n">
        <v>22</v>
      </c>
      <c r="I39" s="233" t="n">
        <v>22</v>
      </c>
      <c r="J39" s="233" t="n">
        <v>28</v>
      </c>
      <c r="K39" s="233" t="n"/>
      <c r="L39" s="233" t="n"/>
    </row>
    <row r="40" outlineLevel="2" customFormat="1" s="8">
      <c r="B40" s="59" t="n"/>
      <c r="C40" s="430" t="n"/>
      <c r="D40" s="233" t="n"/>
      <c r="E40" s="234" t="inlineStr">
        <is>
          <t>Funzioni AI</t>
        </is>
      </c>
      <c r="F40" s="239" t="n"/>
      <c r="G40" s="235" t="n"/>
      <c r="H40" s="239" t="n"/>
      <c r="I40" s="239" t="n"/>
      <c r="J40" s="239" t="n"/>
      <c r="K40" s="235" t="n"/>
      <c r="L40" s="236" t="n"/>
    </row>
    <row r="41" ht="43.5" customFormat="1" customHeight="1" s="8">
      <c r="A41" s="347" t="inlineStr">
        <is>
          <t>LV_Pantograph_Control_of_Static_Contact_Force</t>
        </is>
      </c>
      <c r="B41" s="354" t="inlineStr">
        <is>
          <t>Controllo della forza statica/pressione del pantografo alzato in funzione del sistema di tensione, della velocità, della direzione di marcia e della posizione del pantografo stesso</t>
        </is>
      </c>
      <c r="C41" s="181" t="n"/>
      <c r="D41" s="349" t="inlineStr">
        <is>
          <t>\</t>
        </is>
      </c>
      <c r="E41" s="350" t="n"/>
      <c r="F41" s="351" t="n"/>
      <c r="G41" s="351" t="n"/>
      <c r="H41" s="351" t="n"/>
      <c r="I41" s="351" t="n"/>
      <c r="J41" s="351" t="n"/>
      <c r="K41" s="351" t="n"/>
      <c r="L41" s="352" t="n"/>
    </row>
    <row r="42" outlineLevel="1" customFormat="1" s="8">
      <c r="B42" s="59" t="n"/>
      <c r="C42" s="332" t="inlineStr">
        <is>
          <t>CONFIG</t>
        </is>
      </c>
      <c r="D42" s="332" t="inlineStr">
        <is>
          <t>FRS_Line Voltage</t>
        </is>
      </c>
      <c r="E42" s="333" t="inlineStr">
        <is>
          <t>Link</t>
        </is>
      </c>
      <c r="F42" s="334">
        <f t="array" ref="F42">HYPERLINK(CONCATENATE(Cartelle!$D$5,F$1,"/",$C42,"/",MID($D42,1,FIND("_",$D42)-1),"/",INDIRECT(CONCATENATE("'" &amp; $C42 &amp; "'!",ADDRESS(MATCH($D42, INDIRECT("'" &amp; $C42 &amp; "'!$B:$B"), 0),MATCH(F$1, INDIRECT("'" &amp; $C42 &amp; "'!$1:$1"), 0)))),".",INDIRECT(CONCATENATE("'"&amp;$C42&amp;"'!",ADDRESS(MATCH($D42,INDIRECT("'"&amp;$C42&amp;"'!$B:$B"),0),3))),"#page=",F43),CONCATENATE("#Sharepoint//",$D42))</f>
        <v/>
      </c>
      <c r="G42" s="346" t="n"/>
      <c r="H42" s="334">
        <f t="array" ref="H42">HYPERLINK(CONCATENATE(Cartelle!$D$5,INDEX(INDIRECT("'" &amp; $C42 &amp; "'!$1:$1"), 1, MATCH(INDIRECT(CONCATENATE("'" &amp; $C42 &amp; "'!",ADDRESS(MATCH($D42, INDIRECT("'" &amp; $C42 &amp; "'!$B:$B"), 0),MATCH(H$1, INDIRECT("'" &amp; $C42 &amp; "'!$1:$1"), 0)))),INDIRECT(CONCATENATE("'" &amp; $C42 &amp; "'!",MATCH($D42, INDIRECT("'" &amp; $C42 &amp; "'!$B:$B"), 0),":",MATCH($D42, INDIRECT("'" &amp; $C42 &amp; "'!$B:$B"), 0))),0)),"/",$C42,"/",MID($D42,1,FIND("_",$D42)-1),"/",INDIRECT(CONCATENATE("'" &amp; $C42 &amp; "'!",ADDRESS(MATCH($D42, INDIRECT("'" &amp; $C42 &amp; "'!$B:$B"), 0),MATCH(H$1, INDIRECT("'" &amp; $C42 &amp; "'!$1:$1"), 0)))),".",INDIRECT(CONCATENATE("'"&amp;$C42&amp;"'!",ADDRESS(MATCH($D42,INDIRECT("'"&amp;$C42&amp;"'!$B:$B"),0),3))),"#page=",H43),CONCATENATE("#Sharepoint//",$D42))</f>
        <v/>
      </c>
      <c r="I42" s="334">
        <f t="array" ref="I42">HYPERLINK(CONCATENATE(Cartelle!$D$5,INDEX(INDIRECT("'" &amp; $C42 &amp; "'!$1:$1"), 1, MATCH(INDIRECT(CONCATENATE("'" &amp; $C42 &amp; "'!",ADDRESS(MATCH($D42, INDIRECT("'" &amp; $C42 &amp; "'!$B:$B"), 0),MATCH(I$1, INDIRECT("'" &amp; $C42 &amp; "'!$1:$1"), 0)))),INDIRECT(CONCATENATE("'" &amp; $C42 &amp; "'!",MATCH($D42, INDIRECT("'" &amp; $C42 &amp; "'!$B:$B"), 0),":",MATCH($D42, INDIRECT("'" &amp; $C42 &amp; "'!$B:$B"), 0))),0)),"/",$C42,"/",MID($D42,1,FIND("_",$D42)-1),"/",INDIRECT(CONCATENATE("'" &amp; $C42 &amp; "'!",ADDRESS(MATCH($D42, INDIRECT("'" &amp; $C42 &amp; "'!$B:$B"), 0),MATCH(I$1, INDIRECT("'" &amp; $C42 &amp; "'!$1:$1"), 0)))),".",INDIRECT(CONCATENATE("'"&amp;$C42&amp;"'!",ADDRESS(MATCH($D42,INDIRECT("'"&amp;$C42&amp;"'!$B:$B"),0),3))),"#page=",I43),CONCATENATE("#Sharepoint//",$D42))</f>
        <v/>
      </c>
      <c r="J42" s="334">
        <f t="array" ref="J42">HYPERLINK(CONCATENATE(Cartelle!$D$5,INDEX(INDIRECT("'" &amp; $C42 &amp; "'!$1:$1"), 1, MATCH(INDIRECT(CONCATENATE("'" &amp; $C42 &amp; "'!",ADDRESS(MATCH($D42, INDIRECT("'" &amp; $C42 &amp; "'!$B:$B"), 0),MATCH(J$1, INDIRECT("'" &amp; $C42 &amp; "'!$1:$1"), 0)))),INDIRECT(CONCATENATE("'" &amp; $C42 &amp; "'!",MATCH($D42, INDIRECT("'" &amp; $C42 &amp; "'!$B:$B"), 0),":",MATCH($D42, INDIRECT("'" &amp; $C42 &amp; "'!$B:$B"), 0))),0)),"/",$C42,"/",MID($D42,1,FIND("_",$D42)-1),"/",INDIRECT(CONCATENATE("'" &amp; $C42 &amp; "'!",ADDRESS(MATCH($D42, INDIRECT("'" &amp; $C42 &amp; "'!$B:$B"), 0),MATCH(J$1, INDIRECT("'" &amp; $C42 &amp; "'!$1:$1"), 0)))),".",INDIRECT(CONCATENATE("'"&amp;$C42&amp;"'!",ADDRESS(MATCH($D42,INDIRECT("'"&amp;$C42&amp;"'!$B:$B"),0),3))),"#page=",J43),CONCATENATE("#Sharepoint//",$D42))</f>
        <v/>
      </c>
      <c r="K42" s="353" t="n"/>
      <c r="L42" s="353" t="n"/>
    </row>
    <row r="43" outlineLevel="2" customFormat="1" s="8">
      <c r="B43" s="59" t="n"/>
      <c r="C43" s="430" t="n"/>
      <c r="D43" s="233" t="n"/>
      <c r="E43" s="270" t="inlineStr">
        <is>
          <t>Rif. Pagina</t>
        </is>
      </c>
      <c r="F43" s="233" t="n">
        <v>21</v>
      </c>
      <c r="G43" s="233" t="n"/>
      <c r="H43" s="233" t="n">
        <v>24</v>
      </c>
      <c r="I43" s="233" t="n">
        <v>23</v>
      </c>
      <c r="J43" s="233" t="n">
        <v>29</v>
      </c>
      <c r="K43" s="233" t="n"/>
      <c r="L43" s="233" t="n"/>
    </row>
    <row r="44" outlineLevel="2" customFormat="1" s="8">
      <c r="B44" s="59" t="n"/>
      <c r="C44" s="430" t="n"/>
      <c r="D44" s="233" t="n"/>
      <c r="E44" s="234" t="inlineStr">
        <is>
          <t>Funzioni AI</t>
        </is>
      </c>
      <c r="F44" s="239" t="n"/>
      <c r="G44" s="235" t="n"/>
      <c r="H44" s="239" t="n"/>
      <c r="I44" s="239" t="n"/>
      <c r="J44" s="239" t="n"/>
      <c r="K44" s="235" t="n"/>
      <c r="L44" s="236" t="n"/>
    </row>
    <row r="45" ht="29" customFormat="1" customHeight="1" s="8">
      <c r="A45" s="347" t="inlineStr">
        <is>
          <t>LV_Line_Voltage_Supervision</t>
        </is>
      </c>
      <c r="B45" s="354" t="inlineStr">
        <is>
          <t>Controllo della tensione di linea tramite sensori di tensione letti dal sistema di propulsione</t>
        </is>
      </c>
      <c r="C45" s="181" t="n"/>
      <c r="D45" s="349" t="inlineStr">
        <is>
          <t>\</t>
        </is>
      </c>
      <c r="E45" s="350" t="n"/>
      <c r="F45" s="351" t="n"/>
      <c r="G45" s="351" t="n"/>
      <c r="H45" s="351" t="n"/>
      <c r="I45" s="351" t="n"/>
      <c r="J45" s="351" t="n"/>
      <c r="K45" s="351" t="n"/>
      <c r="L45" s="352" t="n"/>
    </row>
    <row r="46" outlineLevel="1" customFormat="1" s="8">
      <c r="B46" s="59" t="n"/>
      <c r="C46" s="332" t="inlineStr">
        <is>
          <t>CONFIG</t>
        </is>
      </c>
      <c r="D46" s="332" t="inlineStr">
        <is>
          <t>FRS_Line Voltage</t>
        </is>
      </c>
      <c r="E46" s="333" t="inlineStr">
        <is>
          <t>Link</t>
        </is>
      </c>
      <c r="F46" s="334">
        <f t="array" ref="F46">HYPERLINK(CONCATENATE(Cartelle!$D$5,F$1,"/",$C46,"/",MID($D46,1,FIND("_",$D46)-1),"/",INDIRECT(CONCATENATE("'" &amp; $C46 &amp; "'!",ADDRESS(MATCH($D46, INDIRECT("'" &amp; $C46 &amp; "'!$B:$B"), 0),MATCH(F$1, INDIRECT("'" &amp; $C46 &amp; "'!$1:$1"), 0)))),".",INDIRECT(CONCATENATE("'"&amp;$C46&amp;"'!",ADDRESS(MATCH($D46,INDIRECT("'"&amp;$C46&amp;"'!$B:$B"),0),3))),"#page=",F47),CONCATENATE("#Sharepoint//",$D46))</f>
        <v/>
      </c>
      <c r="G46" s="346" t="n"/>
      <c r="H46" s="334">
        <f t="array" ref="H46">HYPERLINK(CONCATENATE(Cartelle!$D$5,INDEX(INDIRECT("'" &amp; $C46 &amp; "'!$1:$1"), 1, MATCH(INDIRECT(CONCATENATE("'" &amp; $C46 &amp; "'!",ADDRESS(MATCH($D46, INDIRECT("'" &amp; $C46 &amp; "'!$B:$B"), 0),MATCH(H$1, INDIRECT("'" &amp; $C46 &amp; "'!$1:$1"), 0)))),INDIRECT(CONCATENATE("'" &amp; $C46 &amp; "'!",MATCH($D46, INDIRECT("'" &amp; $C46 &amp; "'!$B:$B"), 0),":",MATCH($D46, INDIRECT("'" &amp; $C46 &amp; "'!$B:$B"), 0))),0)),"/",$C46,"/",MID($D46,1,FIND("_",$D46)-1),"/",INDIRECT(CONCATENATE("'" &amp; $C46 &amp; "'!",ADDRESS(MATCH($D46, INDIRECT("'" &amp; $C46 &amp; "'!$B:$B"), 0),MATCH(H$1, INDIRECT("'" &amp; $C46 &amp; "'!$1:$1"), 0)))),".",INDIRECT(CONCATENATE("'"&amp;$C46&amp;"'!",ADDRESS(MATCH($D46,INDIRECT("'"&amp;$C46&amp;"'!$B:$B"),0),3))),"#page=",H47),CONCATENATE("#Sharepoint//",$D46))</f>
        <v/>
      </c>
      <c r="I46" s="334">
        <f t="array" ref="I46">HYPERLINK(CONCATENATE(Cartelle!$D$5,INDEX(INDIRECT("'" &amp; $C46 &amp; "'!$1:$1"), 1, MATCH(INDIRECT(CONCATENATE("'" &amp; $C46 &amp; "'!",ADDRESS(MATCH($D46, INDIRECT("'" &amp; $C46 &amp; "'!$B:$B"), 0),MATCH(I$1, INDIRECT("'" &amp; $C46 &amp; "'!$1:$1"), 0)))),INDIRECT(CONCATENATE("'" &amp; $C46 &amp; "'!",MATCH($D46, INDIRECT("'" &amp; $C46 &amp; "'!$B:$B"), 0),":",MATCH($D46, INDIRECT("'" &amp; $C46 &amp; "'!$B:$B"), 0))),0)),"/",$C46,"/",MID($D46,1,FIND("_",$D46)-1),"/",INDIRECT(CONCATENATE("'" &amp; $C46 &amp; "'!",ADDRESS(MATCH($D46, INDIRECT("'" &amp; $C46 &amp; "'!$B:$B"), 0),MATCH(I$1, INDIRECT("'" &amp; $C46 &amp; "'!$1:$1"), 0)))),".",INDIRECT(CONCATENATE("'"&amp;$C46&amp;"'!",ADDRESS(MATCH($D46,INDIRECT("'"&amp;$C46&amp;"'!$B:$B"),0),3))),"#page=",I47),CONCATENATE("#Sharepoint//",$D46))</f>
        <v/>
      </c>
      <c r="J46" s="334">
        <f t="array" ref="J46">HYPERLINK(CONCATENATE(Cartelle!$D$5,INDEX(INDIRECT("'" &amp; $C46 &amp; "'!$1:$1"), 1, MATCH(INDIRECT(CONCATENATE("'" &amp; $C46 &amp; "'!",ADDRESS(MATCH($D46, INDIRECT("'" &amp; $C46 &amp; "'!$B:$B"), 0),MATCH(J$1, INDIRECT("'" &amp; $C46 &amp; "'!$1:$1"), 0)))),INDIRECT(CONCATENATE("'" &amp; $C46 &amp; "'!",MATCH($D46, INDIRECT("'" &amp; $C46 &amp; "'!$B:$B"), 0),":",MATCH($D46, INDIRECT("'" &amp; $C46 &amp; "'!$B:$B"), 0))),0)),"/",$C46,"/",MID($D46,1,FIND("_",$D46)-1),"/",INDIRECT(CONCATENATE("'" &amp; $C46 &amp; "'!",ADDRESS(MATCH($D46, INDIRECT("'" &amp; $C46 &amp; "'!$B:$B"), 0),MATCH(J$1, INDIRECT("'" &amp; $C46 &amp; "'!$1:$1"), 0)))),".",INDIRECT(CONCATENATE("'"&amp;$C46&amp;"'!",ADDRESS(MATCH($D46,INDIRECT("'"&amp;$C46&amp;"'!$B:$B"),0),3))),"#page=",J47),CONCATENATE("#Sharepoint//",$D46))</f>
        <v/>
      </c>
      <c r="K46" s="353" t="n"/>
      <c r="L46" s="353" t="n"/>
    </row>
    <row r="47" outlineLevel="2" customFormat="1" s="8">
      <c r="B47" s="59" t="n"/>
      <c r="C47" s="430" t="n"/>
      <c r="D47" s="233" t="n"/>
      <c r="E47" s="270" t="inlineStr">
        <is>
          <t>Rif. Pagina</t>
        </is>
      </c>
      <c r="F47" s="233" t="n">
        <v>23</v>
      </c>
      <c r="G47" s="233" t="n"/>
      <c r="H47" s="233" t="n">
        <v>25</v>
      </c>
      <c r="I47" s="233" t="n">
        <v>24</v>
      </c>
      <c r="J47" s="233" t="n">
        <v>30</v>
      </c>
      <c r="K47" s="233" t="n"/>
      <c r="L47" s="233" t="n"/>
    </row>
    <row r="48" outlineLevel="2" customFormat="1" s="8">
      <c r="B48" s="59" t="n"/>
      <c r="C48" s="430" t="n"/>
      <c r="D48" s="233" t="n"/>
      <c r="E48" s="234" t="inlineStr">
        <is>
          <t>Funzioni AI</t>
        </is>
      </c>
      <c r="F48" s="239" t="n"/>
      <c r="G48" s="235" t="n"/>
      <c r="H48" s="239" t="n"/>
      <c r="I48" s="240" t="n"/>
      <c r="J48" s="239" t="n"/>
      <c r="K48" s="235" t="n"/>
      <c r="L48" s="236" t="n"/>
    </row>
    <row r="49" customFormat="1" s="8">
      <c r="A49" s="347" t="inlineStr">
        <is>
          <t>LV_Line_Current_Supervision</t>
        </is>
      </c>
      <c r="B49" s="354" t="inlineStr">
        <is>
          <t>Controllo della corrente di linea</t>
        </is>
      </c>
      <c r="C49" s="181" t="n"/>
      <c r="D49" s="349" t="inlineStr">
        <is>
          <t>\</t>
        </is>
      </c>
      <c r="E49" s="350" t="n"/>
      <c r="F49" s="351" t="n"/>
      <c r="G49" s="351" t="n"/>
      <c r="H49" s="351" t="n"/>
      <c r="I49" s="351" t="n"/>
      <c r="J49" s="351" t="n"/>
      <c r="K49" s="351" t="n"/>
      <c r="L49" s="352" t="n"/>
    </row>
    <row r="50" outlineLevel="1" customFormat="1" s="8">
      <c r="B50" s="59" t="n"/>
      <c r="C50" s="332" t="inlineStr">
        <is>
          <t>CONFIG</t>
        </is>
      </c>
      <c r="D50" s="332" t="inlineStr">
        <is>
          <t>FRS_Line Voltage</t>
        </is>
      </c>
      <c r="E50" s="333" t="inlineStr">
        <is>
          <t>Link</t>
        </is>
      </c>
      <c r="F50" s="334">
        <f t="array" ref="F50">HYPERLINK(CONCATENATE(Cartelle!$D$5,F$1,"/",$C50,"/",MID($D50,1,FIND("_",$D50)-1),"/",INDIRECT(CONCATENATE("'" &amp; $C50 &amp; "'!",ADDRESS(MATCH($D50, INDIRECT("'" &amp; $C50 &amp; "'!$B:$B"), 0),MATCH(F$1, INDIRECT("'" &amp; $C50 &amp; "'!$1:$1"), 0)))),".",INDIRECT(CONCATENATE("'"&amp;$C50&amp;"'!",ADDRESS(MATCH($D50,INDIRECT("'"&amp;$C50&amp;"'!$B:$B"),0),3))),"#page=",F51),CONCATENATE("#Sharepoint//",$D50))</f>
        <v/>
      </c>
      <c r="G50" s="346" t="n"/>
      <c r="H50" s="334">
        <f t="array" ref="H50">HYPERLINK(CONCATENATE(Cartelle!$D$5,INDEX(INDIRECT("'" &amp; $C50 &amp; "'!$1:$1"), 1, MATCH(INDIRECT(CONCATENATE("'" &amp; $C50 &amp; "'!",ADDRESS(MATCH($D50, INDIRECT("'" &amp; $C50 &amp; "'!$B:$B"), 0),MATCH(H$1, INDIRECT("'" &amp; $C50 &amp; "'!$1:$1"), 0)))),INDIRECT(CONCATENATE("'" &amp; $C50 &amp; "'!",MATCH($D50, INDIRECT("'" &amp; $C50 &amp; "'!$B:$B"), 0),":",MATCH($D50, INDIRECT("'" &amp; $C50 &amp; "'!$B:$B"), 0))),0)),"/",$C50,"/",MID($D50,1,FIND("_",$D50)-1),"/",INDIRECT(CONCATENATE("'" &amp; $C50 &amp; "'!",ADDRESS(MATCH($D50, INDIRECT("'" &amp; $C50 &amp; "'!$B:$B"), 0),MATCH(H$1, INDIRECT("'" &amp; $C50 &amp; "'!$1:$1"), 0)))),".",INDIRECT(CONCATENATE("'"&amp;$C50&amp;"'!",ADDRESS(MATCH($D50,INDIRECT("'"&amp;$C50&amp;"'!$B:$B"),0),3))),"#page=",H51),CONCATENATE("#Sharepoint//",$D50))</f>
        <v/>
      </c>
      <c r="I50" s="334">
        <f t="array" ref="I50">HYPERLINK(CONCATENATE(Cartelle!$D$5,INDEX(INDIRECT("'" &amp; $C50 &amp; "'!$1:$1"), 1, MATCH(INDIRECT(CONCATENATE("'" &amp; $C50 &amp; "'!",ADDRESS(MATCH($D50, INDIRECT("'" &amp; $C50 &amp; "'!$B:$B"), 0),MATCH(I$1, INDIRECT("'" &amp; $C50 &amp; "'!$1:$1"), 0)))),INDIRECT(CONCATENATE("'" &amp; $C50 &amp; "'!",MATCH($D50, INDIRECT("'" &amp; $C50 &amp; "'!$B:$B"), 0),":",MATCH($D50, INDIRECT("'" &amp; $C50 &amp; "'!$B:$B"), 0))),0)),"/",$C50,"/",MID($D50,1,FIND("_",$D50)-1),"/",INDIRECT(CONCATENATE("'" &amp; $C50 &amp; "'!",ADDRESS(MATCH($D50, INDIRECT("'" &amp; $C50 &amp; "'!$B:$B"), 0),MATCH(I$1, INDIRECT("'" &amp; $C50 &amp; "'!$1:$1"), 0)))),".",INDIRECT(CONCATENATE("'"&amp;$C50&amp;"'!",ADDRESS(MATCH($D50,INDIRECT("'"&amp;$C50&amp;"'!$B:$B"),0),3))),"#page=",I51),CONCATENATE("#Sharepoint//",$D50))</f>
        <v/>
      </c>
      <c r="J50" s="334">
        <f t="array" ref="J50">HYPERLINK(CONCATENATE(Cartelle!$D$5,INDEX(INDIRECT("'" &amp; $C50 &amp; "'!$1:$1"), 1, MATCH(INDIRECT(CONCATENATE("'" &amp; $C50 &amp; "'!",ADDRESS(MATCH($D50, INDIRECT("'" &amp; $C50 &amp; "'!$B:$B"), 0),MATCH(J$1, INDIRECT("'" &amp; $C50 &amp; "'!$1:$1"), 0)))),INDIRECT(CONCATENATE("'" &amp; $C50 &amp; "'!",MATCH($D50, INDIRECT("'" &amp; $C50 &amp; "'!$B:$B"), 0),":",MATCH($D50, INDIRECT("'" &amp; $C50 &amp; "'!$B:$B"), 0))),0)),"/",$C50,"/",MID($D50,1,FIND("_",$D50)-1),"/",INDIRECT(CONCATENATE("'" &amp; $C50 &amp; "'!",ADDRESS(MATCH($D50, INDIRECT("'" &amp; $C50 &amp; "'!$B:$B"), 0),MATCH(J$1, INDIRECT("'" &amp; $C50 &amp; "'!$1:$1"), 0)))),".",INDIRECT(CONCATENATE("'"&amp;$C50&amp;"'!",ADDRESS(MATCH($D50,INDIRECT("'"&amp;$C50&amp;"'!$B:$B"),0),3))),"#page=",J51),CONCATENATE("#Sharepoint//",$D50))</f>
        <v/>
      </c>
      <c r="K50" s="353" t="n"/>
      <c r="L50" s="353" t="n"/>
    </row>
    <row r="51" outlineLevel="2" customFormat="1" s="8">
      <c r="B51" s="59" t="n"/>
      <c r="C51" s="430" t="n"/>
      <c r="D51" s="233" t="n"/>
      <c r="E51" s="270" t="inlineStr">
        <is>
          <t>Rif. Pagina</t>
        </is>
      </c>
      <c r="F51" s="233" t="n">
        <v>25</v>
      </c>
      <c r="G51" s="233" t="n"/>
      <c r="H51" s="233" t="n">
        <v>29</v>
      </c>
      <c r="I51" s="233" t="n">
        <v>27</v>
      </c>
      <c r="J51" s="233" t="n">
        <v>36</v>
      </c>
      <c r="K51" s="233" t="n"/>
      <c r="L51" s="233" t="n"/>
    </row>
    <row r="52" outlineLevel="2" customFormat="1" s="8">
      <c r="B52" s="59" t="n"/>
      <c r="C52" s="430" t="n"/>
      <c r="D52" s="233" t="n"/>
      <c r="E52" s="234" t="inlineStr">
        <is>
          <t>Funzioni AI</t>
        </is>
      </c>
      <c r="F52" s="240" t="n"/>
      <c r="G52" s="235" t="n"/>
      <c r="H52" s="240" t="n"/>
      <c r="I52" s="240" t="n"/>
      <c r="J52" s="240" t="n"/>
      <c r="K52" s="235" t="n"/>
      <c r="L52" s="236" t="n"/>
    </row>
    <row r="53" customFormat="1" s="8">
      <c r="A53" s="347" t="inlineStr">
        <is>
          <t>LV_Line_Interference_Monitor</t>
        </is>
      </c>
      <c r="B53" s="354" t="inlineStr">
        <is>
          <t>Controllo correnti/interferenze indesiderate di linea</t>
        </is>
      </c>
      <c r="C53" s="181" t="n"/>
      <c r="D53" s="349" t="inlineStr">
        <is>
          <t>\</t>
        </is>
      </c>
      <c r="E53" s="350" t="n"/>
      <c r="F53" s="351" t="n"/>
      <c r="G53" s="351" t="n"/>
      <c r="H53" s="351" t="n"/>
      <c r="I53" s="351" t="n"/>
      <c r="J53" s="351" t="n"/>
      <c r="K53" s="351" t="n"/>
      <c r="L53" s="352" t="n"/>
    </row>
    <row r="54" outlineLevel="1" customFormat="1" s="8">
      <c r="B54" s="59" t="n"/>
      <c r="C54" s="332" t="inlineStr">
        <is>
          <t>CONFIG</t>
        </is>
      </c>
      <c r="D54" s="332" t="inlineStr">
        <is>
          <t>FRS_Line Voltage</t>
        </is>
      </c>
      <c r="E54" s="333" t="inlineStr">
        <is>
          <t>Link</t>
        </is>
      </c>
      <c r="F54" s="334">
        <f t="array" ref="F54">HYPERLINK(CONCATENATE(Cartelle!$D$5,F$1,"/",$C54,"/",MID($D54,1,FIND("_",$D54)-1),"/",INDIRECT(CONCATENATE("'" &amp; $C54 &amp; "'!",ADDRESS(MATCH($D54, INDIRECT("'" &amp; $C54 &amp; "'!$B:$B"), 0),MATCH(F$1, INDIRECT("'" &amp; $C54 &amp; "'!$1:$1"), 0)))),".",INDIRECT(CONCATENATE("'"&amp;$C54&amp;"'!",ADDRESS(MATCH($D54,INDIRECT("'"&amp;$C54&amp;"'!$B:$B"),0),3))),"#page=",F55),CONCATENATE("#Sharepoint//",$D54))</f>
        <v/>
      </c>
      <c r="G54" s="346" t="n"/>
      <c r="H54" s="334">
        <f t="array" ref="H54">HYPERLINK(CONCATENATE(Cartelle!$D$5,INDEX(INDIRECT("'" &amp; $C54 &amp; "'!$1:$1"), 1, MATCH(INDIRECT(CONCATENATE("'" &amp; $C54 &amp; "'!",ADDRESS(MATCH($D54, INDIRECT("'" &amp; $C54 &amp; "'!$B:$B"), 0),MATCH(H$1, INDIRECT("'" &amp; $C54 &amp; "'!$1:$1"), 0)))),INDIRECT(CONCATENATE("'" &amp; $C54 &amp; "'!",MATCH($D54, INDIRECT("'" &amp; $C54 &amp; "'!$B:$B"), 0),":",MATCH($D54, INDIRECT("'" &amp; $C54 &amp; "'!$B:$B"), 0))),0)),"/",$C54,"/",MID($D54,1,FIND("_",$D54)-1),"/",INDIRECT(CONCATENATE("'" &amp; $C54 &amp; "'!",ADDRESS(MATCH($D54, INDIRECT("'" &amp; $C54 &amp; "'!$B:$B"), 0),MATCH(H$1, INDIRECT("'" &amp; $C54 &amp; "'!$1:$1"), 0)))),".",INDIRECT(CONCATENATE("'"&amp;$C54&amp;"'!",ADDRESS(MATCH($D54,INDIRECT("'"&amp;$C54&amp;"'!$B:$B"),0),3))),"#page=",H55),CONCATENATE("#Sharepoint//",$D54))</f>
        <v/>
      </c>
      <c r="I54" s="334">
        <f t="array" ref="I54">HYPERLINK(CONCATENATE(Cartelle!$D$5,INDEX(INDIRECT("'" &amp; $C54 &amp; "'!$1:$1"), 1, MATCH(INDIRECT(CONCATENATE("'" &amp; $C54 &amp; "'!",ADDRESS(MATCH($D54, INDIRECT("'" &amp; $C54 &amp; "'!$B:$B"), 0),MATCH(I$1, INDIRECT("'" &amp; $C54 &amp; "'!$1:$1"), 0)))),INDIRECT(CONCATENATE("'" &amp; $C54 &amp; "'!",MATCH($D54, INDIRECT("'" &amp; $C54 &amp; "'!$B:$B"), 0),":",MATCH($D54, INDIRECT("'" &amp; $C54 &amp; "'!$B:$B"), 0))),0)),"/",$C54,"/",MID($D54,1,FIND("_",$D54)-1),"/",INDIRECT(CONCATENATE("'" &amp; $C54 &amp; "'!",ADDRESS(MATCH($D54, INDIRECT("'" &amp; $C54 &amp; "'!$B:$B"), 0),MATCH(I$1, INDIRECT("'" &amp; $C54 &amp; "'!$1:$1"), 0)))),".",INDIRECT(CONCATENATE("'"&amp;$C54&amp;"'!",ADDRESS(MATCH($D54,INDIRECT("'"&amp;$C54&amp;"'!$B:$B"),0),3))),"#page=",I55),CONCATENATE("#Sharepoint//",$D54))</f>
        <v/>
      </c>
      <c r="J54" s="334">
        <f t="array" ref="J54">HYPERLINK(CONCATENATE(Cartelle!$D$5,INDEX(INDIRECT("'" &amp; $C54 &amp; "'!$1:$1"), 1, MATCH(INDIRECT(CONCATENATE("'" &amp; $C54 &amp; "'!",ADDRESS(MATCH($D54, INDIRECT("'" &amp; $C54 &amp; "'!$B:$B"), 0),MATCH(J$1, INDIRECT("'" &amp; $C54 &amp; "'!$1:$1"), 0)))),INDIRECT(CONCATENATE("'" &amp; $C54 &amp; "'!",MATCH($D54, INDIRECT("'" &amp; $C54 &amp; "'!$B:$B"), 0),":",MATCH($D54, INDIRECT("'" &amp; $C54 &amp; "'!$B:$B"), 0))),0)),"/",$C54,"/",MID($D54,1,FIND("_",$D54)-1),"/",INDIRECT(CONCATENATE("'" &amp; $C54 &amp; "'!",ADDRESS(MATCH($D54, INDIRECT("'" &amp; $C54 &amp; "'!$B:$B"), 0),MATCH(J$1, INDIRECT("'" &amp; $C54 &amp; "'!$1:$1"), 0)))),".",INDIRECT(CONCATENATE("'"&amp;$C54&amp;"'!",ADDRESS(MATCH($D54,INDIRECT("'"&amp;$C54&amp;"'!$B:$B"),0),3))),"#page=",J55),CONCATENATE("#Sharepoint//",$D54))</f>
        <v/>
      </c>
      <c r="K54" s="353" t="n"/>
      <c r="L54" s="353" t="n"/>
    </row>
    <row r="55" outlineLevel="2" customFormat="1" s="8">
      <c r="B55" s="59" t="n"/>
      <c r="C55" s="430" t="n"/>
      <c r="D55" s="233" t="n"/>
      <c r="E55" s="270" t="inlineStr">
        <is>
          <t>Rif. Pagina</t>
        </is>
      </c>
      <c r="F55" s="233" t="n">
        <v>27</v>
      </c>
      <c r="G55" s="233" t="n"/>
      <c r="H55" s="233" t="n">
        <v>31</v>
      </c>
      <c r="I55" s="233" t="n">
        <v>29</v>
      </c>
      <c r="J55" s="233" t="n">
        <v>39</v>
      </c>
      <c r="K55" s="233" t="n"/>
      <c r="L55" s="233" t="n"/>
    </row>
    <row r="56" outlineLevel="2" customFormat="1" s="8">
      <c r="B56" s="59" t="n"/>
      <c r="C56" s="430" t="n"/>
      <c r="D56" s="233" t="n"/>
      <c r="E56" s="234" t="inlineStr">
        <is>
          <t>Funzioni AI</t>
        </is>
      </c>
      <c r="F56" s="239" t="n"/>
      <c r="G56" s="235" t="n"/>
      <c r="H56" s="240" t="n"/>
      <c r="I56" s="239" t="n"/>
      <c r="J56" s="239" t="n"/>
      <c r="K56" s="235" t="n"/>
      <c r="L56" s="236" t="n"/>
    </row>
    <row r="57" customFormat="1" s="8">
      <c r="A57" s="347" t="inlineStr">
        <is>
          <t>LV_LIM_50Hz_protection_bypass</t>
        </is>
      </c>
      <c r="B57" s="354" t="inlineStr">
        <is>
          <t>Bypass della protezione LIM 50 Hz</t>
        </is>
      </c>
      <c r="C57" s="181" t="n"/>
      <c r="D57" s="349" t="inlineStr">
        <is>
          <t>\</t>
        </is>
      </c>
      <c r="E57" s="350" t="n"/>
      <c r="F57" s="351" t="n"/>
      <c r="G57" s="351" t="n"/>
      <c r="H57" s="351" t="n"/>
      <c r="I57" s="351" t="n"/>
      <c r="J57" s="351" t="n"/>
      <c r="K57" s="351" t="n"/>
      <c r="L57" s="352" t="n"/>
    </row>
    <row r="58" outlineLevel="1" customFormat="1" s="8">
      <c r="B58" s="59" t="n"/>
      <c r="C58" s="332" t="inlineStr">
        <is>
          <t>CONFIG</t>
        </is>
      </c>
      <c r="D58" s="332" t="inlineStr">
        <is>
          <t>FRS_Line Voltage</t>
        </is>
      </c>
      <c r="E58" s="333" t="inlineStr">
        <is>
          <t>Link</t>
        </is>
      </c>
      <c r="F58" s="334">
        <f t="array" ref="F58">HYPERLINK(CONCATENATE(Cartelle!$D$5,F$1,"/",$C58,"/",MID($D58,1,FIND("_",$D58)-1),"/",INDIRECT(CONCATENATE("'" &amp; $C58 &amp; "'!",ADDRESS(MATCH($D58, INDIRECT("'" &amp; $C58 &amp; "'!$B:$B"), 0),MATCH(F$1, INDIRECT("'" &amp; $C58 &amp; "'!$1:$1"), 0)))),".",INDIRECT(CONCATENATE("'"&amp;$C58&amp;"'!",ADDRESS(MATCH($D58,INDIRECT("'"&amp;$C58&amp;"'!$B:$B"),0),3))),"#page=",F59),CONCATENATE("#Sharepoint//",$D58))</f>
        <v/>
      </c>
      <c r="G58" s="346" t="n"/>
      <c r="H58" s="334">
        <f t="array" ref="H58">HYPERLINK(CONCATENATE(Cartelle!$D$5,INDEX(INDIRECT("'" &amp; $C58 &amp; "'!$1:$1"), 1, MATCH(INDIRECT(CONCATENATE("'" &amp; $C58 &amp; "'!",ADDRESS(MATCH($D58, INDIRECT("'" &amp; $C58 &amp; "'!$B:$B"), 0),MATCH(H$1, INDIRECT("'" &amp; $C58 &amp; "'!$1:$1"), 0)))),INDIRECT(CONCATENATE("'" &amp; $C58 &amp; "'!",MATCH($D58, INDIRECT("'" &amp; $C58 &amp; "'!$B:$B"), 0),":",MATCH($D58, INDIRECT("'" &amp; $C58 &amp; "'!$B:$B"), 0))),0)),"/",$C58,"/",MID($D58,1,FIND("_",$D58)-1),"/",INDIRECT(CONCATENATE("'" &amp; $C58 &amp; "'!",ADDRESS(MATCH($D58, INDIRECT("'" &amp; $C58 &amp; "'!$B:$B"), 0),MATCH(H$1, INDIRECT("'" &amp; $C58 &amp; "'!$1:$1"), 0)))),".",INDIRECT(CONCATENATE("'"&amp;$C58&amp;"'!",ADDRESS(MATCH($D58,INDIRECT("'"&amp;$C58&amp;"'!$B:$B"),0),3))),"#page=",H59),CONCATENATE("#Sharepoint//",$D58))</f>
        <v/>
      </c>
      <c r="I58" s="334">
        <f t="array" ref="I58">HYPERLINK(CONCATENATE(Cartelle!$D$5,INDEX(INDIRECT("'" &amp; $C58 &amp; "'!$1:$1"), 1, MATCH(INDIRECT(CONCATENATE("'" &amp; $C58 &amp; "'!",ADDRESS(MATCH($D58, INDIRECT("'" &amp; $C58 &amp; "'!$B:$B"), 0),MATCH(I$1, INDIRECT("'" &amp; $C58 &amp; "'!$1:$1"), 0)))),INDIRECT(CONCATENATE("'" &amp; $C58 &amp; "'!",MATCH($D58, INDIRECT("'" &amp; $C58 &amp; "'!$B:$B"), 0),":",MATCH($D58, INDIRECT("'" &amp; $C58 &amp; "'!$B:$B"), 0))),0)),"/",$C58,"/",MID($D58,1,FIND("_",$D58)-1),"/",INDIRECT(CONCATENATE("'" &amp; $C58 &amp; "'!",ADDRESS(MATCH($D58, INDIRECT("'" &amp; $C58 &amp; "'!$B:$B"), 0),MATCH(I$1, INDIRECT("'" &amp; $C58 &amp; "'!$1:$1"), 0)))),".",INDIRECT(CONCATENATE("'"&amp;$C58&amp;"'!",ADDRESS(MATCH($D58,INDIRECT("'"&amp;$C58&amp;"'!$B:$B"),0),3))),"#page=",I59),CONCATENATE("#Sharepoint//",$D58))</f>
        <v/>
      </c>
      <c r="J58" s="334">
        <f t="array" ref="J58">HYPERLINK(CONCATENATE(Cartelle!$D$5,INDEX(INDIRECT("'" &amp; $C58 &amp; "'!$1:$1"), 1, MATCH(INDIRECT(CONCATENATE("'" &amp; $C58 &amp; "'!",ADDRESS(MATCH($D58, INDIRECT("'" &amp; $C58 &amp; "'!$B:$B"), 0),MATCH(J$1, INDIRECT("'" &amp; $C58 &amp; "'!$1:$1"), 0)))),INDIRECT(CONCATENATE("'" &amp; $C58 &amp; "'!",MATCH($D58, INDIRECT("'" &amp; $C58 &amp; "'!$B:$B"), 0),":",MATCH($D58, INDIRECT("'" &amp; $C58 &amp; "'!$B:$B"), 0))),0)),"/",$C58,"/",MID($D58,1,FIND("_",$D58)-1),"/",INDIRECT(CONCATENATE("'" &amp; $C58 &amp; "'!",ADDRESS(MATCH($D58, INDIRECT("'" &amp; $C58 &amp; "'!$B:$B"), 0),MATCH(J$1, INDIRECT("'" &amp; $C58 &amp; "'!$1:$1"), 0)))),".",INDIRECT(CONCATENATE("'"&amp;$C58&amp;"'!",ADDRESS(MATCH($D58,INDIRECT("'"&amp;$C58&amp;"'!$B:$B"),0),3))),"#page=",J59),CONCATENATE("#Sharepoint//",$D58))</f>
        <v/>
      </c>
      <c r="K58" s="353" t="n"/>
      <c r="L58" s="353" t="n"/>
    </row>
    <row r="59" outlineLevel="2" customFormat="1" s="8">
      <c r="B59" s="59" t="n"/>
      <c r="C59" s="430" t="n"/>
      <c r="D59" s="233" t="n"/>
      <c r="E59" s="270" t="inlineStr">
        <is>
          <t>Rif. Pagina</t>
        </is>
      </c>
      <c r="F59" s="233" t="n">
        <v>29</v>
      </c>
      <c r="G59" s="233" t="n"/>
      <c r="H59" s="233" t="n">
        <v>34</v>
      </c>
      <c r="I59" s="233" t="n">
        <v>31</v>
      </c>
      <c r="J59" s="233" t="n">
        <v>42</v>
      </c>
      <c r="K59" s="233" t="n"/>
      <c r="L59" s="233" t="n"/>
    </row>
    <row r="60" outlineLevel="2" customFormat="1" s="8">
      <c r="B60" s="59" t="n"/>
      <c r="C60" s="430" t="n"/>
      <c r="D60" s="233" t="n"/>
      <c r="E60" s="234" t="inlineStr">
        <is>
          <t>Funzioni AI</t>
        </is>
      </c>
      <c r="F60" s="239" t="n"/>
      <c r="G60" s="235" t="n"/>
      <c r="H60" s="239" t="n"/>
      <c r="I60" s="239" t="n"/>
      <c r="J60" s="239" t="n"/>
      <c r="K60" s="235" t="n"/>
      <c r="L60" s="236" t="n"/>
    </row>
    <row r="61" ht="58" customFormat="1" customHeight="1" s="8">
      <c r="A61" s="347" t="inlineStr">
        <is>
          <t>LV_Neutral_Section_Passing</t>
        </is>
      </c>
      <c r="B61" s="354" t="inlineStr">
        <is>
          <t>Gestione del passaggio in sezione neutra:
- automatica da ATP in caso di tratto neutro al cambio fase
- inizializzata da ATP con selezione manuale deò PdC della tensione di linea, in caso di tratto neutro al cambio tensione</t>
        </is>
      </c>
      <c r="C61" s="181" t="n"/>
      <c r="D61" s="349" t="inlineStr">
        <is>
          <t>\</t>
        </is>
      </c>
      <c r="E61" s="350" t="n"/>
      <c r="F61" s="351" t="n"/>
      <c r="G61" s="351" t="n"/>
      <c r="H61" s="351" t="n"/>
      <c r="I61" s="351" t="n"/>
      <c r="J61" s="351" t="n"/>
      <c r="K61" s="351" t="n"/>
      <c r="L61" s="352" t="n"/>
    </row>
    <row r="62" outlineLevel="1" customFormat="1" s="8">
      <c r="B62" s="59" t="n"/>
      <c r="C62" s="332" t="inlineStr">
        <is>
          <t>CONFIG</t>
        </is>
      </c>
      <c r="D62" s="332" t="inlineStr">
        <is>
          <t>FRS_Line Voltage</t>
        </is>
      </c>
      <c r="E62" s="333" t="inlineStr">
        <is>
          <t>Link</t>
        </is>
      </c>
      <c r="F62" s="334">
        <f t="array" ref="F62">HYPERLINK(CONCATENATE(Cartelle!$D$5,F$1,"/",$C62,"/",MID($D62,1,FIND("_",$D62)-1),"/",INDIRECT(CONCATENATE("'" &amp; $C62 &amp; "'!",ADDRESS(MATCH($D62, INDIRECT("'" &amp; $C62 &amp; "'!$B:$B"), 0),MATCH(F$1, INDIRECT("'" &amp; $C62 &amp; "'!$1:$1"), 0)))),".",INDIRECT(CONCATENATE("'"&amp;$C62&amp;"'!",ADDRESS(MATCH($D62,INDIRECT("'"&amp;$C62&amp;"'!$B:$B"),0),3))),"#page=",F63),CONCATENATE("#Sharepoint//",$D62))</f>
        <v/>
      </c>
      <c r="G62" s="346" t="n"/>
      <c r="H62" s="334">
        <f t="array" ref="H62">HYPERLINK(CONCATENATE(Cartelle!$D$5,INDEX(INDIRECT("'" &amp; $C62 &amp; "'!$1:$1"), 1, MATCH(INDIRECT(CONCATENATE("'" &amp; $C62 &amp; "'!",ADDRESS(MATCH($D62, INDIRECT("'" &amp; $C62 &amp; "'!$B:$B"), 0),MATCH(H$1, INDIRECT("'" &amp; $C62 &amp; "'!$1:$1"), 0)))),INDIRECT(CONCATENATE("'" &amp; $C62 &amp; "'!",MATCH($D62, INDIRECT("'" &amp; $C62 &amp; "'!$B:$B"), 0),":",MATCH($D62, INDIRECT("'" &amp; $C62 &amp; "'!$B:$B"), 0))),0)),"/",$C62,"/",MID($D62,1,FIND("_",$D62)-1),"/",INDIRECT(CONCATENATE("'" &amp; $C62 &amp; "'!",ADDRESS(MATCH($D62, INDIRECT("'" &amp; $C62 &amp; "'!$B:$B"), 0),MATCH(H$1, INDIRECT("'" &amp; $C62 &amp; "'!$1:$1"), 0)))),".",INDIRECT(CONCATENATE("'"&amp;$C62&amp;"'!",ADDRESS(MATCH($D62,INDIRECT("'"&amp;$C62&amp;"'!$B:$B"),0),3))),"#page=",H63),CONCATENATE("#Sharepoint//",$D62))</f>
        <v/>
      </c>
      <c r="I62" s="334">
        <f t="array" ref="I62">HYPERLINK(CONCATENATE(Cartelle!$D$5,INDEX(INDIRECT("'" &amp; $C62 &amp; "'!$1:$1"), 1, MATCH(INDIRECT(CONCATENATE("'" &amp; $C62 &amp; "'!",ADDRESS(MATCH($D62, INDIRECT("'" &amp; $C62 &amp; "'!$B:$B"), 0),MATCH(I$1, INDIRECT("'" &amp; $C62 &amp; "'!$1:$1"), 0)))),INDIRECT(CONCATENATE("'" &amp; $C62 &amp; "'!",MATCH($D62, INDIRECT("'" &amp; $C62 &amp; "'!$B:$B"), 0),":",MATCH($D62, INDIRECT("'" &amp; $C62 &amp; "'!$B:$B"), 0))),0)),"/",$C62,"/",MID($D62,1,FIND("_",$D62)-1),"/",INDIRECT(CONCATENATE("'" &amp; $C62 &amp; "'!",ADDRESS(MATCH($D62, INDIRECT("'" &amp; $C62 &amp; "'!$B:$B"), 0),MATCH(I$1, INDIRECT("'" &amp; $C62 &amp; "'!$1:$1"), 0)))),".",INDIRECT(CONCATENATE("'"&amp;$C62&amp;"'!",ADDRESS(MATCH($D62,INDIRECT("'"&amp;$C62&amp;"'!$B:$B"),0),3))),"#page=",I63),CONCATENATE("#Sharepoint//",$D62))</f>
        <v/>
      </c>
      <c r="J62" s="334">
        <f t="array" ref="J62">HYPERLINK(CONCATENATE(Cartelle!$D$5,INDEX(INDIRECT("'" &amp; $C62 &amp; "'!$1:$1"), 1, MATCH(INDIRECT(CONCATENATE("'" &amp; $C62 &amp; "'!",ADDRESS(MATCH($D62, INDIRECT("'" &amp; $C62 &amp; "'!$B:$B"), 0),MATCH(J$1, INDIRECT("'" &amp; $C62 &amp; "'!$1:$1"), 0)))),INDIRECT(CONCATENATE("'" &amp; $C62 &amp; "'!",MATCH($D62, INDIRECT("'" &amp; $C62 &amp; "'!$B:$B"), 0),":",MATCH($D62, INDIRECT("'" &amp; $C62 &amp; "'!$B:$B"), 0))),0)),"/",$C62,"/",MID($D62,1,FIND("_",$D62)-1),"/",INDIRECT(CONCATENATE("'" &amp; $C62 &amp; "'!",ADDRESS(MATCH($D62, INDIRECT("'" &amp; $C62 &amp; "'!$B:$B"), 0),MATCH(J$1, INDIRECT("'" &amp; $C62 &amp; "'!$1:$1"), 0)))),".",INDIRECT(CONCATENATE("'"&amp;$C62&amp;"'!",ADDRESS(MATCH($D62,INDIRECT("'"&amp;$C62&amp;"'!$B:$B"),0),3))),"#page=",J63),CONCATENATE("#Sharepoint//",$D62))</f>
        <v/>
      </c>
      <c r="K62" s="353" t="n"/>
      <c r="L62" s="353" t="n"/>
    </row>
    <row r="63" outlineLevel="2" customFormat="1" s="8">
      <c r="B63" s="59" t="n"/>
      <c r="C63" s="430" t="n"/>
      <c r="D63" s="233" t="n"/>
      <c r="E63" s="270" t="inlineStr">
        <is>
          <t>Rif. Pagina</t>
        </is>
      </c>
      <c r="F63" s="233" t="n">
        <v>30</v>
      </c>
      <c r="G63" s="233" t="n"/>
      <c r="H63" s="233" t="n">
        <v>35</v>
      </c>
      <c r="I63" s="233" t="n">
        <v>32</v>
      </c>
      <c r="J63" s="233" t="n">
        <v>43</v>
      </c>
      <c r="K63" s="233" t="n"/>
      <c r="L63" s="233" t="n"/>
    </row>
    <row r="64" outlineLevel="2" customFormat="1" s="8">
      <c r="B64" s="59" t="n"/>
      <c r="C64" s="430" t="n"/>
      <c r="D64" s="233" t="n"/>
      <c r="E64" s="234" t="inlineStr">
        <is>
          <t>Funzioni AI</t>
        </is>
      </c>
      <c r="F64" s="239" t="n"/>
      <c r="G64" s="235" t="n"/>
      <c r="H64" s="239" t="n"/>
      <c r="I64" s="239" t="n"/>
      <c r="J64" s="239" t="n"/>
      <c r="K64" s="235" t="n"/>
      <c r="L64" s="236" t="n"/>
    </row>
    <row r="65" ht="29" customFormat="1" customHeight="1" s="8">
      <c r="A65" s="347" t="inlineStr">
        <is>
          <t>LV_System_Selection</t>
        </is>
      </c>
      <c r="B65" s="354" t="inlineStr">
        <is>
          <t>Selezione tramite commutatore a 4 posizioni della tensione di linea (25 kV AC, 15 kV AC, 3 kV DC o 1,5 kV DC)</t>
        </is>
      </c>
      <c r="C65" s="181" t="n"/>
      <c r="D65" s="349" t="inlineStr">
        <is>
          <t>\</t>
        </is>
      </c>
      <c r="E65" s="350" t="n"/>
      <c r="F65" s="351" t="n"/>
      <c r="G65" s="351" t="n"/>
      <c r="H65" s="351" t="n"/>
      <c r="I65" s="351" t="n"/>
      <c r="J65" s="351" t="n"/>
      <c r="K65" s="351" t="n"/>
      <c r="L65" s="352" t="n"/>
    </row>
    <row r="66" outlineLevel="1" customFormat="1" s="8">
      <c r="B66" s="59" t="n"/>
      <c r="C66" s="332" t="inlineStr">
        <is>
          <t>CONFIG</t>
        </is>
      </c>
      <c r="D66" s="332" t="inlineStr">
        <is>
          <t>FRS_Line Voltage</t>
        </is>
      </c>
      <c r="E66" s="333" t="inlineStr">
        <is>
          <t>Link</t>
        </is>
      </c>
      <c r="F66" s="334">
        <f t="array" ref="F66">HYPERLINK(CONCATENATE(Cartelle!$D$5,F$1,"/",$C66,"/",MID($D66,1,FIND("_",$D66)-1),"/",INDIRECT(CONCATENATE("'" &amp; $C66 &amp; "'!",ADDRESS(MATCH($D66, INDIRECT("'" &amp; $C66 &amp; "'!$B:$B"), 0),MATCH(F$1, INDIRECT("'" &amp; $C66 &amp; "'!$1:$1"), 0)))),".",INDIRECT(CONCATENATE("'"&amp;$C66&amp;"'!",ADDRESS(MATCH($D66,INDIRECT("'"&amp;$C66&amp;"'!$B:$B"),0),3))),"#page=",F67),CONCATENATE("#Sharepoint//",$D66))</f>
        <v/>
      </c>
      <c r="G66" s="346" t="n"/>
      <c r="H66" s="334">
        <f t="array" ref="H66">HYPERLINK(CONCATENATE(Cartelle!$D$5,INDEX(INDIRECT("'" &amp; $C66 &amp; "'!$1:$1"), 1, MATCH(INDIRECT(CONCATENATE("'" &amp; $C66 &amp; "'!",ADDRESS(MATCH($D66, INDIRECT("'" &amp; $C66 &amp; "'!$B:$B"), 0),MATCH(H$1, INDIRECT("'" &amp; $C66 &amp; "'!$1:$1"), 0)))),INDIRECT(CONCATENATE("'" &amp; $C66 &amp; "'!",MATCH($D66, INDIRECT("'" &amp; $C66 &amp; "'!$B:$B"), 0),":",MATCH($D66, INDIRECT("'" &amp; $C66 &amp; "'!$B:$B"), 0))),0)),"/",$C66,"/",MID($D66,1,FIND("_",$D66)-1),"/",INDIRECT(CONCATENATE("'" &amp; $C66 &amp; "'!",ADDRESS(MATCH($D66, INDIRECT("'" &amp; $C66 &amp; "'!$B:$B"), 0),MATCH(H$1, INDIRECT("'" &amp; $C66 &amp; "'!$1:$1"), 0)))),".",INDIRECT(CONCATENATE("'"&amp;$C66&amp;"'!",ADDRESS(MATCH($D66,INDIRECT("'"&amp;$C66&amp;"'!$B:$B"),0),3))),"#page=",H67),CONCATENATE("#Sharepoint//",$D66))</f>
        <v/>
      </c>
      <c r="I66" s="334">
        <f t="array" ref="I66">HYPERLINK(CONCATENATE(Cartelle!$D$5,INDEX(INDIRECT("'" &amp; $C66 &amp; "'!$1:$1"), 1, MATCH(INDIRECT(CONCATENATE("'" &amp; $C66 &amp; "'!",ADDRESS(MATCH($D66, INDIRECT("'" &amp; $C66 &amp; "'!$B:$B"), 0),MATCH(I$1, INDIRECT("'" &amp; $C66 &amp; "'!$1:$1"), 0)))),INDIRECT(CONCATENATE("'" &amp; $C66 &amp; "'!",MATCH($D66, INDIRECT("'" &amp; $C66 &amp; "'!$B:$B"), 0),":",MATCH($D66, INDIRECT("'" &amp; $C66 &amp; "'!$B:$B"), 0))),0)),"/",$C66,"/",MID($D66,1,FIND("_",$D66)-1),"/",INDIRECT(CONCATENATE("'" &amp; $C66 &amp; "'!",ADDRESS(MATCH($D66, INDIRECT("'" &amp; $C66 &amp; "'!$B:$B"), 0),MATCH(I$1, INDIRECT("'" &amp; $C66 &amp; "'!$1:$1"), 0)))),".",INDIRECT(CONCATENATE("'"&amp;$C66&amp;"'!",ADDRESS(MATCH($D66,INDIRECT("'"&amp;$C66&amp;"'!$B:$B"),0),3))),"#page=",I67),CONCATENATE("#Sharepoint//",$D66))</f>
        <v/>
      </c>
      <c r="J66" s="334">
        <f t="array" ref="J66">HYPERLINK(CONCATENATE(Cartelle!$D$5,INDEX(INDIRECT("'" &amp; $C66 &amp; "'!$1:$1"), 1, MATCH(INDIRECT(CONCATENATE("'" &amp; $C66 &amp; "'!",ADDRESS(MATCH($D66, INDIRECT("'" &amp; $C66 &amp; "'!$B:$B"), 0),MATCH(J$1, INDIRECT("'" &amp; $C66 &amp; "'!$1:$1"), 0)))),INDIRECT(CONCATENATE("'" &amp; $C66 &amp; "'!",MATCH($D66, INDIRECT("'" &amp; $C66 &amp; "'!$B:$B"), 0),":",MATCH($D66, INDIRECT("'" &amp; $C66 &amp; "'!$B:$B"), 0))),0)),"/",$C66,"/",MID($D66,1,FIND("_",$D66)-1),"/",INDIRECT(CONCATENATE("'" &amp; $C66 &amp; "'!",ADDRESS(MATCH($D66, INDIRECT("'" &amp; $C66 &amp; "'!$B:$B"), 0),MATCH(J$1, INDIRECT("'" &amp; $C66 &amp; "'!$1:$1"), 0)))),".",INDIRECT(CONCATENATE("'"&amp;$C66&amp;"'!",ADDRESS(MATCH($D66,INDIRECT("'"&amp;$C66&amp;"'!$B:$B"),0),3))),"#page=",J67),CONCATENATE("#Sharepoint//",$D66))</f>
        <v/>
      </c>
      <c r="K66" s="353" t="n"/>
      <c r="L66" s="353" t="n"/>
    </row>
    <row r="67" outlineLevel="2" customFormat="1" s="8">
      <c r="B67" s="59" t="n"/>
      <c r="C67" s="430" t="n"/>
      <c r="D67" s="233" t="n"/>
      <c r="E67" s="270" t="inlineStr">
        <is>
          <t>Rif. Pagina</t>
        </is>
      </c>
      <c r="F67" s="233" t="n">
        <v>34</v>
      </c>
      <c r="G67" s="233" t="n"/>
      <c r="H67" s="233" t="n">
        <v>39</v>
      </c>
      <c r="I67" s="233" t="n">
        <v>35</v>
      </c>
      <c r="J67" s="233" t="n">
        <v>47</v>
      </c>
      <c r="K67" s="233" t="n"/>
      <c r="L67" s="233" t="n"/>
    </row>
    <row r="68" outlineLevel="2" customFormat="1" s="8">
      <c r="B68" s="59" t="n"/>
      <c r="C68" s="430" t="n"/>
      <c r="D68" s="233" t="n"/>
      <c r="E68" s="234" t="inlineStr">
        <is>
          <t>Funzioni AI</t>
        </is>
      </c>
      <c r="F68" s="239" t="n"/>
      <c r="G68" s="235" t="n"/>
      <c r="H68" s="239" t="n"/>
      <c r="I68" s="239" t="n"/>
      <c r="J68" s="239" t="n"/>
      <c r="K68" s="235" t="n"/>
      <c r="L68" s="236" t="n"/>
    </row>
    <row r="69" ht="29" customFormat="1" customHeight="1" s="8">
      <c r="A69" s="347" t="inlineStr">
        <is>
          <t>LV_Line_Circuit_Breaker_Closing</t>
        </is>
      </c>
      <c r="B69" s="354" t="inlineStr">
        <is>
          <t>Chiusura dell’interruttore di linea (LCB) per collegare la tensione di linea al treno</t>
        </is>
      </c>
      <c r="C69" s="181" t="n"/>
      <c r="D69" s="349" t="inlineStr">
        <is>
          <t>\</t>
        </is>
      </c>
      <c r="E69" s="350" t="n"/>
      <c r="F69" s="351" t="n"/>
      <c r="G69" s="351" t="n"/>
      <c r="H69" s="351" t="n"/>
      <c r="I69" s="351" t="n"/>
      <c r="J69" s="351" t="n"/>
      <c r="K69" s="351" t="n"/>
      <c r="L69" s="352" t="n"/>
    </row>
    <row r="70" outlineLevel="1" customFormat="1" s="8">
      <c r="B70" s="59" t="n"/>
      <c r="C70" s="332" t="inlineStr">
        <is>
          <t>CONFIG</t>
        </is>
      </c>
      <c r="D70" s="332" t="inlineStr">
        <is>
          <t>FRS_Line Voltage</t>
        </is>
      </c>
      <c r="E70" s="333" t="inlineStr">
        <is>
          <t>Link</t>
        </is>
      </c>
      <c r="F70" s="334">
        <f t="array" ref="F70">HYPERLINK(CONCATENATE(Cartelle!$D$5,F$1,"/",$C70,"/",MID($D70,1,FIND("_",$D70)-1),"/",INDIRECT(CONCATENATE("'" &amp; $C70 &amp; "'!",ADDRESS(MATCH($D70, INDIRECT("'" &amp; $C70 &amp; "'!$B:$B"), 0),MATCH(F$1, INDIRECT("'" &amp; $C70 &amp; "'!$1:$1"), 0)))),".",INDIRECT(CONCATENATE("'"&amp;$C70&amp;"'!",ADDRESS(MATCH($D70,INDIRECT("'"&amp;$C70&amp;"'!$B:$B"),0),3))),"#page=",F71),CONCATENATE("#Sharepoint//",$D70))</f>
        <v/>
      </c>
      <c r="G70" s="346" t="n"/>
      <c r="H70" s="334">
        <f t="array" ref="H70">HYPERLINK(CONCATENATE(Cartelle!$D$5,INDEX(INDIRECT("'" &amp; $C70 &amp; "'!$1:$1"), 1, MATCH(INDIRECT(CONCATENATE("'" &amp; $C70 &amp; "'!",ADDRESS(MATCH($D70, INDIRECT("'" &amp; $C70 &amp; "'!$B:$B"), 0),MATCH(H$1, INDIRECT("'" &amp; $C70 &amp; "'!$1:$1"), 0)))),INDIRECT(CONCATENATE("'" &amp; $C70 &amp; "'!",MATCH($D70, INDIRECT("'" &amp; $C70 &amp; "'!$B:$B"), 0),":",MATCH($D70, INDIRECT("'" &amp; $C70 &amp; "'!$B:$B"), 0))),0)),"/",$C70,"/",MID($D70,1,FIND("_",$D70)-1),"/",INDIRECT(CONCATENATE("'" &amp; $C70 &amp; "'!",ADDRESS(MATCH($D70, INDIRECT("'" &amp; $C70 &amp; "'!$B:$B"), 0),MATCH(H$1, INDIRECT("'" &amp; $C70 &amp; "'!$1:$1"), 0)))),".",INDIRECT(CONCATENATE("'"&amp;$C70&amp;"'!",ADDRESS(MATCH($D70,INDIRECT("'"&amp;$C70&amp;"'!$B:$B"),0),3))),"#page=",H71),CONCATENATE("#Sharepoint//",$D70))</f>
        <v/>
      </c>
      <c r="I70" s="334">
        <f t="array" ref="I70">HYPERLINK(CONCATENATE(Cartelle!$D$5,INDEX(INDIRECT("'" &amp; $C70 &amp; "'!$1:$1"), 1, MATCH(INDIRECT(CONCATENATE("'" &amp; $C70 &amp; "'!",ADDRESS(MATCH($D70, INDIRECT("'" &amp; $C70 &amp; "'!$B:$B"), 0),MATCH(I$1, INDIRECT("'" &amp; $C70 &amp; "'!$1:$1"), 0)))),INDIRECT(CONCATENATE("'" &amp; $C70 &amp; "'!",MATCH($D70, INDIRECT("'" &amp; $C70 &amp; "'!$B:$B"), 0),":",MATCH($D70, INDIRECT("'" &amp; $C70 &amp; "'!$B:$B"), 0))),0)),"/",$C70,"/",MID($D70,1,FIND("_",$D70)-1),"/",INDIRECT(CONCATENATE("'" &amp; $C70 &amp; "'!",ADDRESS(MATCH($D70, INDIRECT("'" &amp; $C70 &amp; "'!$B:$B"), 0),MATCH(I$1, INDIRECT("'" &amp; $C70 &amp; "'!$1:$1"), 0)))),".",INDIRECT(CONCATENATE("'"&amp;$C70&amp;"'!",ADDRESS(MATCH($D70,INDIRECT("'"&amp;$C70&amp;"'!$B:$B"),0),3))),"#page=",I71),CONCATENATE("#Sharepoint//",$D70))</f>
        <v/>
      </c>
      <c r="J70" s="334">
        <f t="array" ref="J70">HYPERLINK(CONCATENATE(Cartelle!$D$5,INDEX(INDIRECT("'" &amp; $C70 &amp; "'!$1:$1"), 1, MATCH(INDIRECT(CONCATENATE("'" &amp; $C70 &amp; "'!",ADDRESS(MATCH($D70, INDIRECT("'" &amp; $C70 &amp; "'!$B:$B"), 0),MATCH(J$1, INDIRECT("'" &amp; $C70 &amp; "'!$1:$1"), 0)))),INDIRECT(CONCATENATE("'" &amp; $C70 &amp; "'!",MATCH($D70, INDIRECT("'" &amp; $C70 &amp; "'!$B:$B"), 0),":",MATCH($D70, INDIRECT("'" &amp; $C70 &amp; "'!$B:$B"), 0))),0)),"/",$C70,"/",MID($D70,1,FIND("_",$D70)-1),"/",INDIRECT(CONCATENATE("'" &amp; $C70 &amp; "'!",ADDRESS(MATCH($D70, INDIRECT("'" &amp; $C70 &amp; "'!$B:$B"), 0),MATCH(J$1, INDIRECT("'" &amp; $C70 &amp; "'!$1:$1"), 0)))),".",INDIRECT(CONCATENATE("'"&amp;$C70&amp;"'!",ADDRESS(MATCH($D70,INDIRECT("'"&amp;$C70&amp;"'!$B:$B"),0),3))),"#page=",J71),CONCATENATE("#Sharepoint//",$D70))</f>
        <v/>
      </c>
      <c r="K70" s="353" t="n"/>
      <c r="L70" s="353" t="n"/>
    </row>
    <row r="71" outlineLevel="2" customFormat="1" s="8">
      <c r="B71" s="59" t="n"/>
      <c r="C71" s="430" t="n"/>
      <c r="D71" s="233" t="n"/>
      <c r="E71" s="270" t="inlineStr">
        <is>
          <t>Rif. Pagina</t>
        </is>
      </c>
      <c r="F71" s="233" t="n">
        <v>37</v>
      </c>
      <c r="G71" s="233" t="n"/>
      <c r="H71" s="233" t="n">
        <v>42</v>
      </c>
      <c r="I71" s="233" t="n">
        <v>38</v>
      </c>
      <c r="J71" s="233" t="n">
        <v>50</v>
      </c>
      <c r="K71" s="233" t="n"/>
      <c r="L71" s="233" t="n"/>
    </row>
    <row r="72" outlineLevel="2" customFormat="1" s="8">
      <c r="B72" s="59" t="n"/>
      <c r="C72" s="430" t="n"/>
      <c r="D72" s="233" t="n"/>
      <c r="E72" s="234" t="inlineStr">
        <is>
          <t>Funzioni AI</t>
        </is>
      </c>
      <c r="F72" s="240" t="n"/>
      <c r="G72" s="235" t="n"/>
      <c r="H72" s="240" t="n"/>
      <c r="I72" s="239" t="n"/>
      <c r="J72" s="239" t="n"/>
      <c r="K72" s="235" t="n"/>
      <c r="L72" s="236" t="n"/>
    </row>
    <row r="73" customFormat="1" s="8">
      <c r="A73" s="347" t="inlineStr">
        <is>
          <t>LV_Line_Circuit_Breaker_Opening</t>
        </is>
      </c>
      <c r="B73" s="354" t="inlineStr">
        <is>
          <t>Apertura LCB su comando o per intervento protezione</t>
        </is>
      </c>
      <c r="C73" s="181" t="n"/>
      <c r="D73" s="349" t="inlineStr">
        <is>
          <t>\</t>
        </is>
      </c>
      <c r="E73" s="350" t="n"/>
      <c r="F73" s="351" t="n"/>
      <c r="G73" s="351" t="n"/>
      <c r="H73" s="351" t="n"/>
      <c r="I73" s="351" t="n"/>
      <c r="J73" s="351" t="n"/>
      <c r="K73" s="351" t="n"/>
      <c r="L73" s="352" t="n"/>
    </row>
    <row r="74" outlineLevel="1" customFormat="1" s="8">
      <c r="B74" s="59" t="n"/>
      <c r="C74" s="332" t="inlineStr">
        <is>
          <t>CONFIG</t>
        </is>
      </c>
      <c r="D74" s="332" t="inlineStr">
        <is>
          <t>FRS_Line Voltage</t>
        </is>
      </c>
      <c r="E74" s="333" t="inlineStr">
        <is>
          <t>Link</t>
        </is>
      </c>
      <c r="F74" s="334">
        <f t="array" ref="F74">HYPERLINK(CONCATENATE(Cartelle!$D$5,F$1,"/",$C74,"/",MID($D74,1,FIND("_",$D74)-1),"/",INDIRECT(CONCATENATE("'" &amp; $C74 &amp; "'!",ADDRESS(MATCH($D74, INDIRECT("'" &amp; $C74 &amp; "'!$B:$B"), 0),MATCH(F$1, INDIRECT("'" &amp; $C74 &amp; "'!$1:$1"), 0)))),".",INDIRECT(CONCATENATE("'"&amp;$C74&amp;"'!",ADDRESS(MATCH($D74,INDIRECT("'"&amp;$C74&amp;"'!$B:$B"),0),3))),"#page=",F75),CONCATENATE("#Sharepoint//",$D74))</f>
        <v/>
      </c>
      <c r="G74" s="346" t="n"/>
      <c r="H74" s="334">
        <f t="array" ref="H74">HYPERLINK(CONCATENATE(Cartelle!$D$5,INDEX(INDIRECT("'" &amp; $C74 &amp; "'!$1:$1"), 1, MATCH(INDIRECT(CONCATENATE("'" &amp; $C74 &amp; "'!",ADDRESS(MATCH($D74, INDIRECT("'" &amp; $C74 &amp; "'!$B:$B"), 0),MATCH(H$1, INDIRECT("'" &amp; $C74 &amp; "'!$1:$1"), 0)))),INDIRECT(CONCATENATE("'" &amp; $C74 &amp; "'!",MATCH($D74, INDIRECT("'" &amp; $C74 &amp; "'!$B:$B"), 0),":",MATCH($D74, INDIRECT("'" &amp; $C74 &amp; "'!$B:$B"), 0))),0)),"/",$C74,"/",MID($D74,1,FIND("_",$D74)-1),"/",INDIRECT(CONCATENATE("'" &amp; $C74 &amp; "'!",ADDRESS(MATCH($D74, INDIRECT("'" &amp; $C74 &amp; "'!$B:$B"), 0),MATCH(H$1, INDIRECT("'" &amp; $C74 &amp; "'!$1:$1"), 0)))),".",INDIRECT(CONCATENATE("'"&amp;$C74&amp;"'!",ADDRESS(MATCH($D74,INDIRECT("'"&amp;$C74&amp;"'!$B:$B"),0),3))),"#page=",H75),CONCATENATE("#Sharepoint//",$D74))</f>
        <v/>
      </c>
      <c r="I74" s="334">
        <f t="array" ref="I74">HYPERLINK(CONCATENATE(Cartelle!$D$5,INDEX(INDIRECT("'" &amp; $C74 &amp; "'!$1:$1"), 1, MATCH(INDIRECT(CONCATENATE("'" &amp; $C74 &amp; "'!",ADDRESS(MATCH($D74, INDIRECT("'" &amp; $C74 &amp; "'!$B:$B"), 0),MATCH(I$1, INDIRECT("'" &amp; $C74 &amp; "'!$1:$1"), 0)))),INDIRECT(CONCATENATE("'" &amp; $C74 &amp; "'!",MATCH($D74, INDIRECT("'" &amp; $C74 &amp; "'!$B:$B"), 0),":",MATCH($D74, INDIRECT("'" &amp; $C74 &amp; "'!$B:$B"), 0))),0)),"/",$C74,"/",MID($D74,1,FIND("_",$D74)-1),"/",INDIRECT(CONCATENATE("'" &amp; $C74 &amp; "'!",ADDRESS(MATCH($D74, INDIRECT("'" &amp; $C74 &amp; "'!$B:$B"), 0),MATCH(I$1, INDIRECT("'" &amp; $C74 &amp; "'!$1:$1"), 0)))),".",INDIRECT(CONCATENATE("'"&amp;$C74&amp;"'!",ADDRESS(MATCH($D74,INDIRECT("'"&amp;$C74&amp;"'!$B:$B"),0),3))),"#page=",I75),CONCATENATE("#Sharepoint//",$D74))</f>
        <v/>
      </c>
      <c r="J74" s="334">
        <f t="array" ref="J74">HYPERLINK(CONCATENATE(Cartelle!$D$5,INDEX(INDIRECT("'" &amp; $C74 &amp; "'!$1:$1"), 1, MATCH(INDIRECT(CONCATENATE("'" &amp; $C74 &amp; "'!",ADDRESS(MATCH($D74, INDIRECT("'" &amp; $C74 &amp; "'!$B:$B"), 0),MATCH(J$1, INDIRECT("'" &amp; $C74 &amp; "'!$1:$1"), 0)))),INDIRECT(CONCATENATE("'" &amp; $C74 &amp; "'!",MATCH($D74, INDIRECT("'" &amp; $C74 &amp; "'!$B:$B"), 0),":",MATCH($D74, INDIRECT("'" &amp; $C74 &amp; "'!$B:$B"), 0))),0)),"/",$C74,"/",MID($D74,1,FIND("_",$D74)-1),"/",INDIRECT(CONCATENATE("'" &amp; $C74 &amp; "'!",ADDRESS(MATCH($D74, INDIRECT("'" &amp; $C74 &amp; "'!$B:$B"), 0),MATCH(J$1, INDIRECT("'" &amp; $C74 &amp; "'!$1:$1"), 0)))),".",INDIRECT(CONCATENATE("'"&amp;$C74&amp;"'!",ADDRESS(MATCH($D74,INDIRECT("'"&amp;$C74&amp;"'!$B:$B"),0),3))),"#page=",J75),CONCATENATE("#Sharepoint//",$D74))</f>
        <v/>
      </c>
      <c r="K74" s="353" t="n"/>
      <c r="L74" s="353" t="n"/>
    </row>
    <row r="75" outlineLevel="2" customFormat="1" s="8">
      <c r="B75" s="59" t="n"/>
      <c r="C75" s="430" t="n"/>
      <c r="D75" s="233" t="n"/>
      <c r="E75" s="270" t="inlineStr">
        <is>
          <t>Rif. Pagina</t>
        </is>
      </c>
      <c r="F75" s="233" t="n">
        <v>40</v>
      </c>
      <c r="G75" s="233" t="n"/>
      <c r="H75" s="233" t="n">
        <v>46</v>
      </c>
      <c r="I75" s="233" t="n">
        <v>42</v>
      </c>
      <c r="J75" s="233" t="n">
        <v>56</v>
      </c>
      <c r="K75" s="233" t="n"/>
      <c r="L75" s="233" t="n"/>
    </row>
    <row r="76" outlineLevel="2" customFormat="1" s="8">
      <c r="B76" s="59" t="n"/>
      <c r="C76" s="430" t="n"/>
      <c r="D76" s="233" t="n"/>
      <c r="E76" s="234" t="inlineStr">
        <is>
          <t>Funzioni AI</t>
        </is>
      </c>
      <c r="F76" s="240" t="n"/>
      <c r="G76" s="235" t="n"/>
      <c r="H76" s="240" t="n"/>
      <c r="I76" s="240" t="n"/>
      <c r="J76" s="240" t="n"/>
      <c r="K76" s="235" t="n"/>
      <c r="L76" s="236" t="n"/>
    </row>
    <row r="77" ht="29" customFormat="1" customHeight="1" s="8">
      <c r="A77" s="347" t="inlineStr">
        <is>
          <t>LV_Isolate_High_Voltage</t>
        </is>
      </c>
      <c r="B77" s="354" t="inlineStr">
        <is>
          <t>Isolamento di sezioni HV guaste per mantenere disponibile parte della trazione</t>
        </is>
      </c>
      <c r="C77" s="181" t="n"/>
      <c r="D77" s="349" t="inlineStr">
        <is>
          <t>\</t>
        </is>
      </c>
      <c r="E77" s="350" t="n"/>
      <c r="F77" s="351" t="n"/>
      <c r="G77" s="351" t="n"/>
      <c r="H77" s="351" t="n"/>
      <c r="I77" s="351" t="n"/>
      <c r="J77" s="351" t="n"/>
      <c r="K77" s="351" t="n"/>
      <c r="L77" s="352" t="n"/>
    </row>
    <row r="78" outlineLevel="1" customFormat="1" s="8">
      <c r="B78" s="59" t="n"/>
      <c r="C78" s="332" t="inlineStr">
        <is>
          <t>CONFIG</t>
        </is>
      </c>
      <c r="D78" s="332" t="inlineStr">
        <is>
          <t>FRS_Line Voltage</t>
        </is>
      </c>
      <c r="E78" s="333" t="inlineStr">
        <is>
          <t>Link</t>
        </is>
      </c>
      <c r="F78" s="334">
        <f t="array" ref="F78">HYPERLINK(CONCATENATE(Cartelle!$D$5,F$1,"/",$C78,"/",MID($D78,1,FIND("_",$D78)-1),"/",INDIRECT(CONCATENATE("'" &amp; $C78 &amp; "'!",ADDRESS(MATCH($D78, INDIRECT("'" &amp; $C78 &amp; "'!$B:$B"), 0),MATCH(F$1, INDIRECT("'" &amp; $C78 &amp; "'!$1:$1"), 0)))),".",INDIRECT(CONCATENATE("'"&amp;$C78&amp;"'!",ADDRESS(MATCH($D78,INDIRECT("'"&amp;$C78&amp;"'!$B:$B"),0),3))),"#page=",F79),CONCATENATE("#Sharepoint//",$D78))</f>
        <v/>
      </c>
      <c r="G78" s="346" t="n"/>
      <c r="H78" s="334">
        <f t="array" ref="H78">HYPERLINK(CONCATENATE(Cartelle!$D$5,INDEX(INDIRECT("'" &amp; $C78 &amp; "'!$1:$1"), 1, MATCH(INDIRECT(CONCATENATE("'" &amp; $C78 &amp; "'!",ADDRESS(MATCH($D78, INDIRECT("'" &amp; $C78 &amp; "'!$B:$B"), 0),MATCH(H$1, INDIRECT("'" &amp; $C78 &amp; "'!$1:$1"), 0)))),INDIRECT(CONCATENATE("'" &amp; $C78 &amp; "'!",MATCH($D78, INDIRECT("'" &amp; $C78 &amp; "'!$B:$B"), 0),":",MATCH($D78, INDIRECT("'" &amp; $C78 &amp; "'!$B:$B"), 0))),0)),"/",$C78,"/",MID($D78,1,FIND("_",$D78)-1),"/",INDIRECT(CONCATENATE("'" &amp; $C78 &amp; "'!",ADDRESS(MATCH($D78, INDIRECT("'" &amp; $C78 &amp; "'!$B:$B"), 0),MATCH(H$1, INDIRECT("'" &amp; $C78 &amp; "'!$1:$1"), 0)))),".",INDIRECT(CONCATENATE("'"&amp;$C78&amp;"'!",ADDRESS(MATCH($D78,INDIRECT("'"&amp;$C78&amp;"'!$B:$B"),0),3))),"#page=",H79),CONCATENATE("#Sharepoint//",$D78))</f>
        <v/>
      </c>
      <c r="I78" s="334">
        <f t="array" ref="I78">HYPERLINK(CONCATENATE(Cartelle!$D$5,INDEX(INDIRECT("'" &amp; $C78 &amp; "'!$1:$1"), 1, MATCH(INDIRECT(CONCATENATE("'" &amp; $C78 &amp; "'!",ADDRESS(MATCH($D78, INDIRECT("'" &amp; $C78 &amp; "'!$B:$B"), 0),MATCH(I$1, INDIRECT("'" &amp; $C78 &amp; "'!$1:$1"), 0)))),INDIRECT(CONCATENATE("'" &amp; $C78 &amp; "'!",MATCH($D78, INDIRECT("'" &amp; $C78 &amp; "'!$B:$B"), 0),":",MATCH($D78, INDIRECT("'" &amp; $C78 &amp; "'!$B:$B"), 0))),0)),"/",$C78,"/",MID($D78,1,FIND("_",$D78)-1),"/",INDIRECT(CONCATENATE("'" &amp; $C78 &amp; "'!",ADDRESS(MATCH($D78, INDIRECT("'" &amp; $C78 &amp; "'!$B:$B"), 0),MATCH(I$1, INDIRECT("'" &amp; $C78 &amp; "'!$1:$1"), 0)))),".",INDIRECT(CONCATENATE("'"&amp;$C78&amp;"'!",ADDRESS(MATCH($D78,INDIRECT("'"&amp;$C78&amp;"'!$B:$B"),0),3))),"#page=",I79),CONCATENATE("#Sharepoint//",$D78))</f>
        <v/>
      </c>
      <c r="J78" s="334">
        <f t="array" ref="J78">HYPERLINK(CONCATENATE(Cartelle!$D$5,INDEX(INDIRECT("'" &amp; $C78 &amp; "'!$1:$1"), 1, MATCH(INDIRECT(CONCATENATE("'" &amp; $C78 &amp; "'!",ADDRESS(MATCH($D78, INDIRECT("'" &amp; $C78 &amp; "'!$B:$B"), 0),MATCH(J$1, INDIRECT("'" &amp; $C78 &amp; "'!$1:$1"), 0)))),INDIRECT(CONCATENATE("'" &amp; $C78 &amp; "'!",MATCH($D78, INDIRECT("'" &amp; $C78 &amp; "'!$B:$B"), 0),":",MATCH($D78, INDIRECT("'" &amp; $C78 &amp; "'!$B:$B"), 0))),0)),"/",$C78,"/",MID($D78,1,FIND("_",$D78)-1),"/",INDIRECT(CONCATENATE("'" &amp; $C78 &amp; "'!",ADDRESS(MATCH($D78, INDIRECT("'" &amp; $C78 &amp; "'!$B:$B"), 0),MATCH(J$1, INDIRECT("'" &amp; $C78 &amp; "'!$1:$1"), 0)))),".",INDIRECT(CONCATENATE("'"&amp;$C78&amp;"'!",ADDRESS(MATCH($D78,INDIRECT("'"&amp;$C78&amp;"'!$B:$B"),0),3))),"#page=",J79),CONCATENATE("#Sharepoint//",$D78))</f>
        <v/>
      </c>
      <c r="K78" s="353" t="n"/>
      <c r="L78" s="353" t="n"/>
    </row>
    <row r="79" outlineLevel="2" customFormat="1" s="8">
      <c r="B79" s="59" t="n"/>
      <c r="C79" s="430" t="n"/>
      <c r="D79" s="233" t="n"/>
      <c r="E79" s="270" t="inlineStr">
        <is>
          <t>Rif. Pagina</t>
        </is>
      </c>
      <c r="F79" s="233" t="n">
        <v>45</v>
      </c>
      <c r="G79" s="233" t="n"/>
      <c r="H79" s="233" t="n">
        <v>52</v>
      </c>
      <c r="I79" s="233" t="n">
        <v>47</v>
      </c>
      <c r="J79" s="233" t="n">
        <v>61</v>
      </c>
      <c r="K79" s="233" t="n"/>
      <c r="L79" s="233" t="n"/>
    </row>
    <row r="80" outlineLevel="2" customFormat="1" s="8">
      <c r="B80" s="59" t="n"/>
      <c r="C80" s="430" t="n"/>
      <c r="D80" s="233" t="n"/>
      <c r="E80" s="234" t="inlineStr">
        <is>
          <t>Funzioni AI</t>
        </is>
      </c>
      <c r="F80" s="239" t="n"/>
      <c r="G80" s="235" t="n"/>
      <c r="H80" s="239" t="n"/>
      <c r="I80" s="239" t="n"/>
      <c r="J80" s="239" t="n"/>
      <c r="K80" s="235" t="n"/>
      <c r="L80" s="236" t="n"/>
    </row>
    <row r="81" ht="29" customFormat="1" customHeight="1" s="8">
      <c r="A81" s="347" t="inlineStr">
        <is>
          <t>LV_Main_Transformer_cooling_control</t>
        </is>
      </c>
      <c r="B81" s="354" t="inlineStr">
        <is>
          <t>Controllo da parte della PCU della velocità delle ventole del circuito di raffreddamento ad olio</t>
        </is>
      </c>
      <c r="C81" s="181" t="n"/>
      <c r="D81" s="349" t="inlineStr">
        <is>
          <t>\</t>
        </is>
      </c>
      <c r="E81" s="350" t="n"/>
      <c r="F81" s="351" t="n"/>
      <c r="G81" s="351" t="n"/>
      <c r="H81" s="351" t="n"/>
      <c r="I81" s="351" t="n"/>
      <c r="J81" s="351" t="n"/>
      <c r="K81" s="351" t="n"/>
      <c r="L81" s="352" t="n"/>
    </row>
    <row r="82" outlineLevel="1" customFormat="1" s="8">
      <c r="B82" s="59" t="n"/>
      <c r="C82" s="332" t="inlineStr">
        <is>
          <t>CONFIG</t>
        </is>
      </c>
      <c r="D82" s="356" t="inlineStr">
        <is>
          <t>FRS_Line Voltage</t>
        </is>
      </c>
      <c r="E82" s="357" t="inlineStr">
        <is>
          <t>Link</t>
        </is>
      </c>
      <c r="F82" s="358" t="n"/>
      <c r="G82" s="358" t="n"/>
      <c r="H82" s="358" t="n"/>
      <c r="I82" s="358" t="n"/>
      <c r="J82" s="334">
        <f t="array" ref="J82">HYPERLINK(CONCATENATE(Cartelle!$D$5,INDEX(INDIRECT("'" &amp; $C82 &amp; "'!$1:$1"), 1, MATCH(INDIRECT(CONCATENATE("'" &amp; $C82 &amp; "'!",ADDRESS(MATCH($D82, INDIRECT("'" &amp; $C82 &amp; "'!$B:$B"), 0),MATCH(J$1, INDIRECT("'" &amp; $C82 &amp; "'!$1:$1"), 0)))),INDIRECT(CONCATENATE("'" &amp; $C82 &amp; "'!",MATCH($D82, INDIRECT("'" &amp; $C82 &amp; "'!$B:$B"), 0),":",MATCH($D82, INDIRECT("'" &amp; $C82 &amp; "'!$B:$B"), 0))),0)),"/",$C82,"/",MID($D82,1,FIND("_",$D82)-1),"/",INDIRECT(CONCATENATE("'" &amp; $C82 &amp; "'!",ADDRESS(MATCH($D82, INDIRECT("'" &amp; $C82 &amp; "'!$B:$B"), 0),MATCH(J$1, INDIRECT("'" &amp; $C82 &amp; "'!$1:$1"), 0)))),".",INDIRECT(CONCATENATE("'"&amp;$C82&amp;"'!",ADDRESS(MATCH($D82,INDIRECT("'"&amp;$C82&amp;"'!$B:$B"),0),3))),"#page=",J83),CONCATENATE("#Sharepoint//",$D82))</f>
        <v/>
      </c>
      <c r="K82" s="353" t="n"/>
      <c r="L82" s="353" t="n"/>
    </row>
    <row r="83" outlineLevel="2" customFormat="1" s="8">
      <c r="B83" s="59" t="n"/>
      <c r="C83" s="430" t="n"/>
      <c r="D83" s="233" t="n"/>
      <c r="E83" s="270" t="inlineStr">
        <is>
          <t>Rif. Pagina</t>
        </is>
      </c>
      <c r="F83" s="233" t="n"/>
      <c r="G83" s="233" t="n"/>
      <c r="H83" s="233" t="n"/>
      <c r="I83" s="233" t="n"/>
      <c r="J83" s="233" t="n">
        <v>65</v>
      </c>
      <c r="K83" s="233" t="n"/>
      <c r="L83" s="233" t="n"/>
    </row>
    <row r="84" outlineLevel="2" customFormat="1" s="8">
      <c r="B84" s="59" t="n"/>
      <c r="C84" s="430" t="n"/>
      <c r="D84" s="233" t="n"/>
      <c r="E84" s="234" t="inlineStr">
        <is>
          <t>Funzioni AI</t>
        </is>
      </c>
      <c r="F84" s="235" t="n"/>
      <c r="G84" s="235" t="n"/>
      <c r="H84" s="235" t="n"/>
      <c r="I84" s="235" t="n"/>
      <c r="J84" s="241" t="n"/>
      <c r="K84" s="235" t="n"/>
      <c r="L84" s="236" t="n"/>
    </row>
    <row r="85" ht="29" customFormat="1" customHeight="1" s="8">
      <c r="A85" s="347" t="inlineStr">
        <is>
          <t>LV_Main_Transformer_Supervision</t>
        </is>
      </c>
      <c r="B85" s="354" t="inlineStr">
        <is>
          <t>Controllo da parte della PCU della temperatura del trasformatore e degli induttori linea</t>
        </is>
      </c>
      <c r="C85" s="181" t="n"/>
      <c r="D85" s="349" t="inlineStr">
        <is>
          <t>\</t>
        </is>
      </c>
      <c r="E85" s="350" t="n"/>
      <c r="F85" s="351" t="n"/>
      <c r="G85" s="351" t="n"/>
      <c r="H85" s="351" t="n"/>
      <c r="I85" s="351" t="n"/>
      <c r="J85" s="351" t="n"/>
      <c r="K85" s="351" t="n"/>
      <c r="L85" s="352" t="n"/>
    </row>
    <row r="86" outlineLevel="1" customFormat="1" s="8">
      <c r="B86" s="59" t="n"/>
      <c r="C86" s="332" t="inlineStr">
        <is>
          <t>CONFIG</t>
        </is>
      </c>
      <c r="D86" s="356" t="inlineStr">
        <is>
          <t>FRS_Line Voltage</t>
        </is>
      </c>
      <c r="E86" s="357" t="inlineStr">
        <is>
          <t>Link</t>
        </is>
      </c>
      <c r="F86" s="358" t="n"/>
      <c r="G86" s="358" t="n"/>
      <c r="H86" s="358" t="n"/>
      <c r="I86" s="358" t="n"/>
      <c r="J86" s="334">
        <f t="array" ref="J86">HYPERLINK(CONCATENATE(Cartelle!$D$5,INDEX(INDIRECT("'" &amp; $C86 &amp; "'!$1:$1"), 1, MATCH(INDIRECT(CONCATENATE("'" &amp; $C86 &amp; "'!",ADDRESS(MATCH($D86, INDIRECT("'" &amp; $C86 &amp; "'!$B:$B"), 0),MATCH(J$1, INDIRECT("'" &amp; $C86 &amp; "'!$1:$1"), 0)))),INDIRECT(CONCATENATE("'" &amp; $C86 &amp; "'!",MATCH($D86, INDIRECT("'" &amp; $C86 &amp; "'!$B:$B"), 0),":",MATCH($D86, INDIRECT("'" &amp; $C86 &amp; "'!$B:$B"), 0))),0)),"/",$C86,"/",MID($D86,1,FIND("_",$D86)-1),"/",INDIRECT(CONCATENATE("'" &amp; $C86 &amp; "'!",ADDRESS(MATCH($D86, INDIRECT("'" &amp; $C86 &amp; "'!$B:$B"), 0),MATCH(J$1, INDIRECT("'" &amp; $C86 &amp; "'!$1:$1"), 0)))),".",INDIRECT(CONCATENATE("'"&amp;$C86&amp;"'!",ADDRESS(MATCH($D86,INDIRECT("'"&amp;$C86&amp;"'!$B:$B"),0),3))),"#page=",J87),CONCATENATE("#Sharepoint//",$D86))</f>
        <v/>
      </c>
      <c r="K86" s="353" t="n"/>
      <c r="L86" s="353" t="n"/>
    </row>
    <row r="87" outlineLevel="2" customFormat="1" s="8">
      <c r="B87" s="59" t="n"/>
      <c r="C87" s="430" t="n"/>
      <c r="D87" s="233" t="n"/>
      <c r="E87" s="270" t="inlineStr">
        <is>
          <t>Rif. Pagina</t>
        </is>
      </c>
      <c r="F87" s="233" t="n"/>
      <c r="G87" s="233" t="n"/>
      <c r="H87" s="233" t="n"/>
      <c r="I87" s="233" t="n"/>
      <c r="J87" s="233" t="n">
        <v>68</v>
      </c>
      <c r="K87" s="233" t="n"/>
      <c r="L87" s="233" t="n"/>
    </row>
    <row r="88" outlineLevel="2" customFormat="1" s="8">
      <c r="B88" s="59" t="n"/>
      <c r="C88" s="430" t="n"/>
      <c r="D88" s="233" t="n"/>
      <c r="E88" s="234" t="inlineStr">
        <is>
          <t>Funzioni AI</t>
        </is>
      </c>
      <c r="F88" s="235" t="n"/>
      <c r="G88" s="235" t="n"/>
      <c r="H88" s="235" t="n"/>
      <c r="I88" s="235" t="n"/>
      <c r="J88" s="241" t="n"/>
      <c r="K88" s="235" t="n"/>
      <c r="L88" s="236" t="n"/>
    </row>
    <row r="89" customFormat="1" s="8">
      <c r="A89" s="347" t="inlineStr">
        <is>
          <t>LV_Energy_Meter</t>
        </is>
      </c>
      <c r="B89" s="354" t="inlineStr">
        <is>
          <t>Sistema di lettura dell'evergia assorbita dal treno e invio a terra dei dati</t>
        </is>
      </c>
      <c r="C89" s="181" t="n"/>
      <c r="D89" s="349" t="inlineStr">
        <is>
          <t>\</t>
        </is>
      </c>
      <c r="E89" s="350" t="n"/>
      <c r="F89" s="351" t="n"/>
      <c r="G89" s="351" t="n"/>
      <c r="H89" s="351" t="n"/>
      <c r="I89" s="351" t="n"/>
      <c r="J89" s="351" t="n"/>
      <c r="K89" s="351" t="n"/>
      <c r="L89" s="352" t="n"/>
    </row>
    <row r="90" outlineLevel="1" customFormat="1" s="8">
      <c r="B90" s="59" t="n"/>
      <c r="C90" s="332" t="inlineStr">
        <is>
          <t>CONFIG</t>
        </is>
      </c>
      <c r="D90" s="356" t="inlineStr">
        <is>
          <t>FRS_Line Voltage</t>
        </is>
      </c>
      <c r="E90" s="357" t="inlineStr">
        <is>
          <t>Link</t>
        </is>
      </c>
      <c r="F90" s="358" t="n"/>
      <c r="G90" s="358" t="n"/>
      <c r="H90" s="334">
        <f t="array" ref="H90">HYPERLINK(CONCATENATE(Cartelle!$D$5,INDEX(INDIRECT("'" &amp; $C90 &amp; "'!$1:$1"), 1, MATCH(INDIRECT(CONCATENATE("'" &amp; $C90 &amp; "'!",ADDRESS(MATCH($D90, INDIRECT("'" &amp; $C90 &amp; "'!$B:$B"), 0),MATCH(H$1, INDIRECT("'" &amp; $C90 &amp; "'!$1:$1"), 0)))),INDIRECT(CONCATENATE("'" &amp; $C90 &amp; "'!",MATCH($D90, INDIRECT("'" &amp; $C90 &amp; "'!$B:$B"), 0),":",MATCH($D90, INDIRECT("'" &amp; $C90 &amp; "'!$B:$B"), 0))),0)),"/",$C90,"/",MID($D90,1,FIND("_",$D90)-1),"/",INDIRECT(CONCATENATE("'" &amp; $C90 &amp; "'!",ADDRESS(MATCH($D90, INDIRECT("'" &amp; $C90 &amp; "'!$B:$B"), 0),MATCH(H$1, INDIRECT("'" &amp; $C90 &amp; "'!$1:$1"), 0)))),".",INDIRECT(CONCATENATE("'"&amp;$C90&amp;"'!",ADDRESS(MATCH($D90,INDIRECT("'"&amp;$C90&amp;"'!$B:$B"),0),3))),"#page=",H91),CONCATENATE("#Sharepoint//",$D90))</f>
        <v/>
      </c>
      <c r="I90" s="334">
        <f t="array" ref="I90">HYPERLINK(CONCATENATE(Cartelle!$D$5,INDEX(INDIRECT("'" &amp; $C90 &amp; "'!$1:$1"), 1, MATCH(INDIRECT(CONCATENATE("'" &amp; $C90 &amp; "'!",ADDRESS(MATCH($D90, INDIRECT("'" &amp; $C90 &amp; "'!$B:$B"), 0),MATCH(I$1, INDIRECT("'" &amp; $C90 &amp; "'!$1:$1"), 0)))),INDIRECT(CONCATENATE("'" &amp; $C90 &amp; "'!",MATCH($D90, INDIRECT("'" &amp; $C90 &amp; "'!$B:$B"), 0),":",MATCH($D90, INDIRECT("'" &amp; $C90 &amp; "'!$B:$B"), 0))),0)),"/",$C90,"/",MID($D90,1,FIND("_",$D90)-1),"/",INDIRECT(CONCATENATE("'" &amp; $C90 &amp; "'!",ADDRESS(MATCH($D90, INDIRECT("'" &amp; $C90 &amp; "'!$B:$B"), 0),MATCH(I$1, INDIRECT("'" &amp; $C90 &amp; "'!$1:$1"), 0)))),".",INDIRECT(CONCATENATE("'"&amp;$C90&amp;"'!",ADDRESS(MATCH($D90,INDIRECT("'"&amp;$C90&amp;"'!$B:$B"),0),3))),"#page=",I91),CONCATENATE("#Sharepoint//",$D90))</f>
        <v/>
      </c>
      <c r="J90" s="334">
        <f t="array" ref="J90">HYPERLINK(CONCATENATE(Cartelle!$D$5,J$1,"/CONFIG/",MID($D90,1,FIND("_",$D90)-1),"/",INDIRECT(CONCATENATE("'CONFIG'!",ADDRESS(MATCH($D90, CONFIG!$B:$B, 0),MATCH(J$1, CONFIG!$1:$1, 0)))),".pdf#page=",J91),CONCATENATE("#Sharepoint//",$D90))</f>
        <v/>
      </c>
      <c r="K90" s="353" t="n"/>
      <c r="L90" s="353" t="n"/>
    </row>
    <row r="91" outlineLevel="2" customFormat="1" s="8">
      <c r="B91" s="59" t="n"/>
      <c r="C91" s="430" t="n"/>
      <c r="D91" s="233" t="n"/>
      <c r="E91" s="270" t="inlineStr">
        <is>
          <t>Rif. Pagina</t>
        </is>
      </c>
      <c r="F91" s="233" t="n"/>
      <c r="G91" s="233" t="n"/>
      <c r="H91" s="233" t="n">
        <v>54</v>
      </c>
      <c r="I91" s="233" t="n">
        <v>49</v>
      </c>
      <c r="J91" s="233" t="n">
        <v>71</v>
      </c>
      <c r="K91" s="233" t="n"/>
      <c r="L91" s="233" t="n"/>
    </row>
    <row r="92" outlineLevel="2" customFormat="1" s="8">
      <c r="B92" s="59" t="n"/>
      <c r="C92" s="430" t="n"/>
      <c r="D92" s="233" t="n"/>
      <c r="E92" s="234" t="inlineStr">
        <is>
          <t>Funzioni AI</t>
        </is>
      </c>
      <c r="F92" s="235" t="n"/>
      <c r="G92" s="235" t="n"/>
      <c r="H92" s="239" t="n"/>
      <c r="I92" s="239" t="n"/>
      <c r="J92" s="239" t="n"/>
      <c r="K92" s="235" t="n"/>
      <c r="L92" s="236" t="n"/>
    </row>
    <row r="93" customFormat="1" s="8">
      <c r="A93" s="347" t="inlineStr">
        <is>
          <t>LV_Key_interlocking</t>
        </is>
      </c>
      <c r="B93" s="359" t="inlineStr">
        <is>
          <t>Interblocco tramite giro chiavi del sistema alta tensione</t>
        </is>
      </c>
      <c r="C93" s="181" t="n"/>
      <c r="D93" s="349" t="inlineStr">
        <is>
          <t>\</t>
        </is>
      </c>
      <c r="E93" s="350" t="n"/>
      <c r="F93" s="351" t="n"/>
      <c r="G93" s="351" t="n"/>
      <c r="H93" s="351" t="n"/>
      <c r="I93" s="351" t="n"/>
      <c r="J93" s="351" t="n"/>
      <c r="K93" s="351" t="n"/>
      <c r="L93" s="352" t="n"/>
    </row>
    <row r="94" outlineLevel="1" customFormat="1" s="8">
      <c r="B94" s="59" t="n"/>
      <c r="C94" s="332" t="inlineStr">
        <is>
          <t>CONFIG</t>
        </is>
      </c>
      <c r="D94" s="332" t="inlineStr">
        <is>
          <t>FRS_Line Voltage</t>
        </is>
      </c>
      <c r="E94" s="333" t="inlineStr">
        <is>
          <t>Link</t>
        </is>
      </c>
      <c r="F94" s="334">
        <f t="array" ref="F94">HYPERLINK(CONCATENATE(Cartelle!$D$5,F$1,"/",$C94,"/",MID($D94,1,FIND("_",$D94)-1),"/",INDIRECT(CONCATENATE("'" &amp; $C94 &amp; "'!",ADDRESS(MATCH($D94, INDIRECT("'" &amp; $C94 &amp; "'!$B:$B"), 0),MATCH(F$1, INDIRECT("'" &amp; $C94 &amp; "'!$1:$1"), 0)))),".",INDIRECT(CONCATENATE("'"&amp;$C94&amp;"'!",ADDRESS(MATCH($D94,INDIRECT("'"&amp;$C94&amp;"'!$B:$B"),0),3))),"#page=",F95),CONCATENATE("#Sharepoint//",$D94))</f>
        <v/>
      </c>
      <c r="G94" s="346" t="n"/>
      <c r="H94" s="334">
        <f t="array" ref="H94">HYPERLINK(CONCATENATE(Cartelle!$D$5,INDEX(INDIRECT("'" &amp; $C94 &amp; "'!$1:$1"), 1, MATCH(INDIRECT(CONCATENATE("'" &amp; $C94 &amp; "'!",ADDRESS(MATCH($D94, INDIRECT("'" &amp; $C94 &amp; "'!$B:$B"), 0),MATCH(H$1, INDIRECT("'" &amp; $C94 &amp; "'!$1:$1"), 0)))),INDIRECT(CONCATENATE("'" &amp; $C94 &amp; "'!",MATCH($D94, INDIRECT("'" &amp; $C94 &amp; "'!$B:$B"), 0),":",MATCH($D94, INDIRECT("'" &amp; $C94 &amp; "'!$B:$B"), 0))),0)),"/",$C94,"/",MID($D94,1,FIND("_",$D94)-1),"/",INDIRECT(CONCATENATE("'" &amp; $C94 &amp; "'!",ADDRESS(MATCH($D94, INDIRECT("'" &amp; $C94 &amp; "'!$B:$B"), 0),MATCH(H$1, INDIRECT("'" &amp; $C94 &amp; "'!$1:$1"), 0)))),".",INDIRECT(CONCATENATE("'"&amp;$C94&amp;"'!",ADDRESS(MATCH($D94,INDIRECT("'"&amp;$C94&amp;"'!$B:$B"),0),3))),"#page=",H95),CONCATENATE("#Sharepoint//",$D94))</f>
        <v/>
      </c>
      <c r="I94" s="334">
        <f t="array" ref="I94">HYPERLINK(CONCATENATE(Cartelle!$D$5,INDEX(INDIRECT("'" &amp; $C94 &amp; "'!$1:$1"), 1, MATCH(INDIRECT(CONCATENATE("'" &amp; $C94 &amp; "'!",ADDRESS(MATCH($D94, INDIRECT("'" &amp; $C94 &amp; "'!$B:$B"), 0),MATCH(I$1, INDIRECT("'" &amp; $C94 &amp; "'!$1:$1"), 0)))),INDIRECT(CONCATENATE("'" &amp; $C94 &amp; "'!",MATCH($D94, INDIRECT("'" &amp; $C94 &amp; "'!$B:$B"), 0),":",MATCH($D94, INDIRECT("'" &amp; $C94 &amp; "'!$B:$B"), 0))),0)),"/",$C94,"/",MID($D94,1,FIND("_",$D94)-1),"/",INDIRECT(CONCATENATE("'" &amp; $C94 &amp; "'!",ADDRESS(MATCH($D94, INDIRECT("'" &amp; $C94 &amp; "'!$B:$B"), 0),MATCH(I$1, INDIRECT("'" &amp; $C94 &amp; "'!$1:$1"), 0)))),".",INDIRECT(CONCATENATE("'"&amp;$C94&amp;"'!",ADDRESS(MATCH($D94,INDIRECT("'"&amp;$C94&amp;"'!$B:$B"),0),3))),"#page=",I95),CONCATENATE("#Sharepoint//",$D94))</f>
        <v/>
      </c>
      <c r="J94" s="334">
        <f t="array" ref="J94">HYPERLINK(CONCATENATE(Cartelle!$D$5,INDEX(INDIRECT("'" &amp; $C94 &amp; "'!$1:$1"), 1, MATCH(INDIRECT(CONCATENATE("'" &amp; $C94 &amp; "'!",ADDRESS(MATCH($D94, INDIRECT("'" &amp; $C94 &amp; "'!$B:$B"), 0),MATCH(J$1, INDIRECT("'" &amp; $C94 &amp; "'!$1:$1"), 0)))),INDIRECT(CONCATENATE("'" &amp; $C94 &amp; "'!",MATCH($D94, INDIRECT("'" &amp; $C94 &amp; "'!$B:$B"), 0),":",MATCH($D94, INDIRECT("'" &amp; $C94 &amp; "'!$B:$B"), 0))),0)),"/",$C94,"/",MID($D94,1,FIND("_",$D94)-1),"/",INDIRECT(CONCATENATE("'" &amp; $C94 &amp; "'!",ADDRESS(MATCH($D94, INDIRECT("'" &amp; $C94 &amp; "'!$B:$B"), 0),MATCH(J$1, INDIRECT("'" &amp; $C94 &amp; "'!$1:$1"), 0)))),".",INDIRECT(CONCATENATE("'"&amp;$C94&amp;"'!",ADDRESS(MATCH($D94,INDIRECT("'"&amp;$C94&amp;"'!$B:$B"),0),3))),"#page=",J95),CONCATENATE("#Sharepoint//",$D94))</f>
        <v/>
      </c>
      <c r="K94" s="353" t="n"/>
      <c r="L94" s="353" t="n"/>
    </row>
    <row r="95" outlineLevel="2" customFormat="1" s="8">
      <c r="B95" s="59" t="n"/>
      <c r="C95" s="430" t="n"/>
      <c r="D95" s="233" t="n"/>
      <c r="E95" s="270" t="inlineStr">
        <is>
          <t>Rif. Pagina</t>
        </is>
      </c>
      <c r="F95" s="233" t="n">
        <v>48</v>
      </c>
      <c r="G95" s="233" t="n"/>
      <c r="H95" s="233" t="n">
        <v>55</v>
      </c>
      <c r="I95" s="233" t="n">
        <v>51</v>
      </c>
      <c r="J95" s="233" t="n">
        <v>73</v>
      </c>
      <c r="K95" s="233" t="n"/>
      <c r="L95" s="233" t="n"/>
    </row>
    <row r="96" outlineLevel="2" customFormat="1" s="8">
      <c r="B96" s="59" t="n"/>
      <c r="C96" s="430" t="n"/>
      <c r="D96" s="233" t="n"/>
      <c r="E96" s="234" t="inlineStr">
        <is>
          <t>Funzioni AI</t>
        </is>
      </c>
      <c r="F96" s="240" t="n"/>
      <c r="G96" s="235" t="n"/>
      <c r="H96" s="239" t="n"/>
      <c r="I96" s="239" t="n"/>
      <c r="J96" s="239" t="n"/>
      <c r="K96" s="235" t="n"/>
      <c r="L96" s="236" t="n"/>
    </row>
    <row r="97" customFormat="1" s="8">
      <c r="A97" s="347" t="inlineStr">
        <is>
          <t>LV_Function_Earthing_of_High_Voltage_Supply</t>
        </is>
      </c>
      <c r="B97" s="359" t="inlineStr">
        <is>
          <t>Messa a terra dell'alta tensione per consentire la manutenzione in sicurezza</t>
        </is>
      </c>
      <c r="C97" s="181" t="n"/>
      <c r="D97" s="349" t="inlineStr">
        <is>
          <t>\</t>
        </is>
      </c>
      <c r="E97" s="350" t="n"/>
      <c r="F97" s="351" t="n"/>
      <c r="G97" s="351" t="n"/>
      <c r="H97" s="351" t="n"/>
      <c r="I97" s="351" t="n"/>
      <c r="J97" s="351" t="n"/>
      <c r="K97" s="351" t="n"/>
      <c r="L97" s="352" t="n"/>
    </row>
    <row r="98" outlineLevel="1" customFormat="1" s="8">
      <c r="B98" s="59" t="n"/>
      <c r="C98" s="332" t="inlineStr">
        <is>
          <t>CONFIG</t>
        </is>
      </c>
      <c r="D98" s="332" t="inlineStr">
        <is>
          <t>FRS_Line Voltage</t>
        </is>
      </c>
      <c r="E98" s="333" t="inlineStr">
        <is>
          <t>Link</t>
        </is>
      </c>
      <c r="F98" s="334">
        <f t="array" ref="F98">HYPERLINK(CONCATENATE(Cartelle!$D$5,F$1,"/",$C98,"/",MID($D98,1,FIND("_",$D98)-1),"/",INDIRECT(CONCATENATE("'" &amp; $C98 &amp; "'!",ADDRESS(MATCH($D98, INDIRECT("'" &amp; $C98 &amp; "'!$B:$B"), 0),MATCH(F$1, INDIRECT("'" &amp; $C98 &amp; "'!$1:$1"), 0)))),".",INDIRECT(CONCATENATE("'"&amp;$C98&amp;"'!",ADDRESS(MATCH($D98,INDIRECT("'"&amp;$C98&amp;"'!$B:$B"),0),3))),"#page=",F99),CONCATENATE("#Sharepoint//",$D98))</f>
        <v/>
      </c>
      <c r="G98" s="346" t="n"/>
      <c r="H98" s="334">
        <f t="array" ref="H98">HYPERLINK(CONCATENATE(Cartelle!$D$5,INDEX(INDIRECT("'" &amp; $C98 &amp; "'!$1:$1"), 1, MATCH(INDIRECT(CONCATENATE("'" &amp; $C98 &amp; "'!",ADDRESS(MATCH($D98, INDIRECT("'" &amp; $C98 &amp; "'!$B:$B"), 0),MATCH(H$1, INDIRECT("'" &amp; $C98 &amp; "'!$1:$1"), 0)))),INDIRECT(CONCATENATE("'" &amp; $C98 &amp; "'!",MATCH($D98, INDIRECT("'" &amp; $C98 &amp; "'!$B:$B"), 0),":",MATCH($D98, INDIRECT("'" &amp; $C98 &amp; "'!$B:$B"), 0))),0)),"/",$C98,"/",MID($D98,1,FIND("_",$D98)-1),"/",INDIRECT(CONCATENATE("'" &amp; $C98 &amp; "'!",ADDRESS(MATCH($D98, INDIRECT("'" &amp; $C98 &amp; "'!$B:$B"), 0),MATCH(H$1, INDIRECT("'" &amp; $C98 &amp; "'!$1:$1"), 0)))),".",INDIRECT(CONCATENATE("'"&amp;$C98&amp;"'!",ADDRESS(MATCH($D98,INDIRECT("'"&amp;$C98&amp;"'!$B:$B"),0),3))),"#page=",H99),CONCATENATE("#Sharepoint//",$D98))</f>
        <v/>
      </c>
      <c r="I98" s="334">
        <f t="array" ref="I98">HYPERLINK(CONCATENATE(Cartelle!$D$5,INDEX(INDIRECT("'" &amp; $C98 &amp; "'!$1:$1"), 1, MATCH(INDIRECT(CONCATENATE("'" &amp; $C98 &amp; "'!",ADDRESS(MATCH($D98, INDIRECT("'" &amp; $C98 &amp; "'!$B:$B"), 0),MATCH(I$1, INDIRECT("'" &amp; $C98 &amp; "'!$1:$1"), 0)))),INDIRECT(CONCATENATE("'" &amp; $C98 &amp; "'!",MATCH($D98, INDIRECT("'" &amp; $C98 &amp; "'!$B:$B"), 0),":",MATCH($D98, INDIRECT("'" &amp; $C98 &amp; "'!$B:$B"), 0))),0)),"/",$C98,"/",MID($D98,1,FIND("_",$D98)-1),"/",INDIRECT(CONCATENATE("'" &amp; $C98 &amp; "'!",ADDRESS(MATCH($D98, INDIRECT("'" &amp; $C98 &amp; "'!$B:$B"), 0),MATCH(I$1, INDIRECT("'" &amp; $C98 &amp; "'!$1:$1"), 0)))),".",INDIRECT(CONCATENATE("'"&amp;$C98&amp;"'!",ADDRESS(MATCH($D98,INDIRECT("'"&amp;$C98&amp;"'!$B:$B"),0),3))),"#page=",I99),CONCATENATE("#Sharepoint//",$D98))</f>
        <v/>
      </c>
      <c r="J98" s="334">
        <f t="array" ref="J98">HYPERLINK(CONCATENATE(Cartelle!$D$5,INDEX(INDIRECT("'" &amp; $C98 &amp; "'!$1:$1"), 1, MATCH(INDIRECT(CONCATENATE("'" &amp; $C98 &amp; "'!",ADDRESS(MATCH($D98, INDIRECT("'" &amp; $C98 &amp; "'!$B:$B"), 0),MATCH(J$1, INDIRECT("'" &amp; $C98 &amp; "'!$1:$1"), 0)))),INDIRECT(CONCATENATE("'" &amp; $C98 &amp; "'!",MATCH($D98, INDIRECT("'" &amp; $C98 &amp; "'!$B:$B"), 0),":",MATCH($D98, INDIRECT("'" &amp; $C98 &amp; "'!$B:$B"), 0))),0)),"/",$C98,"/",MID($D98,1,FIND("_",$D98)-1),"/",INDIRECT(CONCATENATE("'" &amp; $C98 &amp; "'!",ADDRESS(MATCH($D98, INDIRECT("'" &amp; $C98 &amp; "'!$B:$B"), 0),MATCH(J$1, INDIRECT("'" &amp; $C98 &amp; "'!$1:$1"), 0)))),".",INDIRECT(CONCATENATE("'"&amp;$C98&amp;"'!",ADDRESS(MATCH($D98,INDIRECT("'"&amp;$C98&amp;"'!$B:$B"),0),3))),"#page=",J99),CONCATENATE("#Sharepoint//",$D98))</f>
        <v/>
      </c>
      <c r="K98" s="353" t="n"/>
      <c r="L98" s="353" t="n"/>
    </row>
    <row r="99" outlineLevel="2" customFormat="1" s="8">
      <c r="B99" s="59" t="n"/>
      <c r="C99" s="430" t="n"/>
      <c r="D99" s="233" t="n"/>
      <c r="E99" s="270" t="inlineStr">
        <is>
          <t>Rif. Pagina</t>
        </is>
      </c>
      <c r="F99" s="233" t="n">
        <v>49</v>
      </c>
      <c r="G99" s="233" t="n"/>
      <c r="H99" s="233" t="n">
        <v>56</v>
      </c>
      <c r="I99" s="233" t="n">
        <v>52</v>
      </c>
      <c r="J99" s="233" t="n">
        <v>74</v>
      </c>
      <c r="K99" s="233" t="n"/>
      <c r="L99" s="233" t="n"/>
    </row>
    <row r="100" outlineLevel="2" customFormat="1" s="8">
      <c r="B100" s="59" t="n"/>
      <c r="C100" s="430" t="n"/>
      <c r="D100" s="233" t="n"/>
      <c r="E100" s="234" t="inlineStr">
        <is>
          <t>Funzioni AI</t>
        </is>
      </c>
      <c r="F100" s="239" t="n"/>
      <c r="G100" s="235" t="n"/>
      <c r="H100" s="239" t="n"/>
      <c r="I100" s="239" t="n"/>
      <c r="J100" s="239" t="n"/>
      <c r="K100" s="235" t="n"/>
      <c r="L100" s="236" t="n"/>
    </row>
    <row r="101" ht="29" customFormat="1" customHeight="1" s="8">
      <c r="A101" s="347" t="inlineStr">
        <is>
          <t>LV_Function_Earthing_of_Converter_boxes</t>
        </is>
      </c>
      <c r="B101" s="359" t="inlineStr">
        <is>
          <t>Messa a terra dei box convertitori per consentire l’accesso e la manutenzione in sicurezza</t>
        </is>
      </c>
      <c r="C101" s="181" t="n"/>
      <c r="D101" s="349" t="inlineStr">
        <is>
          <t>\</t>
        </is>
      </c>
      <c r="E101" s="350" t="n"/>
      <c r="F101" s="351" t="n"/>
      <c r="G101" s="351" t="n"/>
      <c r="H101" s="351" t="n"/>
      <c r="I101" s="351" t="n"/>
      <c r="J101" s="351" t="n"/>
      <c r="K101" s="351" t="n"/>
      <c r="L101" s="352" t="n"/>
    </row>
    <row r="102" outlineLevel="1" customFormat="1" s="8">
      <c r="B102" s="59" t="n"/>
      <c r="C102" s="332" t="inlineStr">
        <is>
          <t>CONFIG</t>
        </is>
      </c>
      <c r="D102" s="332" t="inlineStr">
        <is>
          <t>FRS_Line Voltage</t>
        </is>
      </c>
      <c r="E102" s="333" t="inlineStr">
        <is>
          <t>Link</t>
        </is>
      </c>
      <c r="F102" s="334">
        <f t="array" ref="F102">HYPERLINK(CONCATENATE(Cartelle!$D$5,F$1,"/",$C102,"/",MID($D102,1,FIND("_",$D102)-1),"/",INDIRECT(CONCATENATE("'" &amp; $C102 &amp; "'!",ADDRESS(MATCH($D102, INDIRECT("'" &amp; $C102 &amp; "'!$B:$B"), 0),MATCH(F$1, INDIRECT("'" &amp; $C102 &amp; "'!$1:$1"), 0)))),".",INDIRECT(CONCATENATE("'"&amp;$C102&amp;"'!",ADDRESS(MATCH($D102,INDIRECT("'"&amp;$C102&amp;"'!$B:$B"),0),3))),"#page=",F103),CONCATENATE("#Sharepoint//",$D102))</f>
        <v/>
      </c>
      <c r="G102" s="346" t="n"/>
      <c r="H102" s="334">
        <f t="array" ref="H102">HYPERLINK(CONCATENATE(Cartelle!$D$5,INDEX(INDIRECT("'" &amp; $C102 &amp; "'!$1:$1"), 1, MATCH(INDIRECT(CONCATENATE("'" &amp; $C102 &amp; "'!",ADDRESS(MATCH($D102, INDIRECT("'" &amp; $C102 &amp; "'!$B:$B"), 0),MATCH(H$1, INDIRECT("'" &amp; $C102 &amp; "'!$1:$1"), 0)))),INDIRECT(CONCATENATE("'" &amp; $C102 &amp; "'!",MATCH($D102, INDIRECT("'" &amp; $C102 &amp; "'!$B:$B"), 0),":",MATCH($D102, INDIRECT("'" &amp; $C102 &amp; "'!$B:$B"), 0))),0)),"/",$C102,"/",MID($D102,1,FIND("_",$D102)-1),"/",INDIRECT(CONCATENATE("'" &amp; $C102 &amp; "'!",ADDRESS(MATCH($D102, INDIRECT("'" &amp; $C102 &amp; "'!$B:$B"), 0),MATCH(H$1, INDIRECT("'" &amp; $C102 &amp; "'!$1:$1"), 0)))),".",INDIRECT(CONCATENATE("'"&amp;$C102&amp;"'!",ADDRESS(MATCH($D102,INDIRECT("'"&amp;$C102&amp;"'!$B:$B"),0),3))),"#page=",H103),CONCATENATE("#Sharepoint//",$D102))</f>
        <v/>
      </c>
      <c r="I102" s="334">
        <f t="array" ref="I102">HYPERLINK(CONCATENATE(Cartelle!$D$5,INDEX(INDIRECT("'" &amp; $C102 &amp; "'!$1:$1"), 1, MATCH(INDIRECT(CONCATENATE("'" &amp; $C102 &amp; "'!",ADDRESS(MATCH($D102, INDIRECT("'" &amp; $C102 &amp; "'!$B:$B"), 0),MATCH(I$1, INDIRECT("'" &amp; $C102 &amp; "'!$1:$1"), 0)))),INDIRECT(CONCATENATE("'" &amp; $C102 &amp; "'!",MATCH($D102, INDIRECT("'" &amp; $C102 &amp; "'!$B:$B"), 0),":",MATCH($D102, INDIRECT("'" &amp; $C102 &amp; "'!$B:$B"), 0))),0)),"/",$C102,"/",MID($D102,1,FIND("_",$D102)-1),"/",INDIRECT(CONCATENATE("'" &amp; $C102 &amp; "'!",ADDRESS(MATCH($D102, INDIRECT("'" &amp; $C102 &amp; "'!$B:$B"), 0),MATCH(I$1, INDIRECT("'" &amp; $C102 &amp; "'!$1:$1"), 0)))),".",INDIRECT(CONCATENATE("'"&amp;$C102&amp;"'!",ADDRESS(MATCH($D102,INDIRECT("'"&amp;$C102&amp;"'!$B:$B"),0),3))),"#page=",I103),CONCATENATE("#Sharepoint//",$D102))</f>
        <v/>
      </c>
      <c r="J102" s="334">
        <f t="array" ref="J102">HYPERLINK(CONCATENATE(Cartelle!$D$5,INDEX(INDIRECT("'" &amp; $C102 &amp; "'!$1:$1"), 1, MATCH(INDIRECT(CONCATENATE("'" &amp; $C102 &amp; "'!",ADDRESS(MATCH($D102, INDIRECT("'" &amp; $C102 &amp; "'!$B:$B"), 0),MATCH(J$1, INDIRECT("'" &amp; $C102 &amp; "'!$1:$1"), 0)))),INDIRECT(CONCATENATE("'" &amp; $C102 &amp; "'!",MATCH($D102, INDIRECT("'" &amp; $C102 &amp; "'!$B:$B"), 0),":",MATCH($D102, INDIRECT("'" &amp; $C102 &amp; "'!$B:$B"), 0))),0)),"/",$C102,"/",MID($D102,1,FIND("_",$D102)-1),"/",INDIRECT(CONCATENATE("'" &amp; $C102 &amp; "'!",ADDRESS(MATCH($D102, INDIRECT("'" &amp; $C102 &amp; "'!$B:$B"), 0),MATCH(J$1, INDIRECT("'" &amp; $C102 &amp; "'!$1:$1"), 0)))),".",INDIRECT(CONCATENATE("'"&amp;$C102&amp;"'!",ADDRESS(MATCH($D102,INDIRECT("'"&amp;$C102&amp;"'!$B:$B"),0),3))),"#page=",J103),CONCATENATE("#Sharepoint//",$D102))</f>
        <v/>
      </c>
      <c r="K102" s="353" t="n"/>
      <c r="L102" s="353" t="n"/>
    </row>
    <row r="103" outlineLevel="2" customFormat="1" s="8">
      <c r="B103" s="59" t="n"/>
      <c r="C103" s="430" t="n"/>
      <c r="D103" s="233" t="n"/>
      <c r="E103" s="270" t="inlineStr">
        <is>
          <t>Rif. Pagina</t>
        </is>
      </c>
      <c r="F103" s="233" t="n">
        <v>52</v>
      </c>
      <c r="G103" s="233" t="n"/>
      <c r="H103" s="233" t="n">
        <v>59</v>
      </c>
      <c r="I103" s="233" t="n">
        <v>55</v>
      </c>
      <c r="J103" s="233" t="n">
        <v>77</v>
      </c>
      <c r="K103" s="233" t="n"/>
      <c r="L103" s="233" t="n"/>
    </row>
    <row r="104" outlineLevel="2" customFormat="1" s="8">
      <c r="B104" s="59" t="n"/>
      <c r="C104" s="430" t="n"/>
      <c r="D104" s="233" t="n"/>
      <c r="E104" s="234" t="inlineStr">
        <is>
          <t>Funzioni AI</t>
        </is>
      </c>
      <c r="F104" s="240" t="n"/>
      <c r="G104" s="235" t="n"/>
      <c r="H104" s="240" t="n"/>
      <c r="I104" s="240" t="n"/>
      <c r="J104" s="240" t="n"/>
      <c r="K104" s="235" t="n"/>
      <c r="L104" s="236" t="n"/>
    </row>
    <row r="105" customFormat="1" s="8">
      <c r="A105" s="347" t="inlineStr">
        <is>
          <t>LV_HVAC_pre-conditioning_on_DC_line</t>
        </is>
      </c>
      <c r="B105" s="359" t="inlineStr">
        <is>
          <t>Funzione per alimentare gli HVAC senza superare i limiti di corrente</t>
        </is>
      </c>
      <c r="C105" s="181" t="n"/>
      <c r="D105" s="349" t="inlineStr">
        <is>
          <t>\</t>
        </is>
      </c>
      <c r="E105" s="350" t="n"/>
      <c r="F105" s="351" t="n"/>
      <c r="G105" s="351" t="n"/>
      <c r="H105" s="351" t="n"/>
      <c r="I105" s="351" t="n"/>
      <c r="J105" s="351" t="n"/>
      <c r="K105" s="351" t="n"/>
      <c r="L105" s="352" t="n"/>
    </row>
    <row r="106" outlineLevel="1" customFormat="1" s="8">
      <c r="B106" s="59" t="n"/>
      <c r="C106" s="332" t="inlineStr">
        <is>
          <t>CONFIG</t>
        </is>
      </c>
      <c r="D106" s="332" t="inlineStr">
        <is>
          <t>FRS_Line Voltage</t>
        </is>
      </c>
      <c r="E106" s="333" t="inlineStr">
        <is>
          <t>Link</t>
        </is>
      </c>
      <c r="F106" s="334">
        <f t="array" ref="F106">HYPERLINK(CONCATENATE(Cartelle!$D$5,F$1,"/",$C106,"/",MID($D106,1,FIND("_",$D106)-1),"/",INDIRECT(CONCATENATE("'" &amp; $C106 &amp; "'!",ADDRESS(MATCH($D106, INDIRECT("'" &amp; $C106 &amp; "'!$B:$B"), 0),MATCH(F$1, INDIRECT("'" &amp; $C106 &amp; "'!$1:$1"), 0)))),".",INDIRECT(CONCATENATE("'"&amp;$C106&amp;"'!",ADDRESS(MATCH($D106,INDIRECT("'"&amp;$C106&amp;"'!$B:$B"),0),3))),"#page=",F107),CONCATENATE("#Sharepoint//",$D106))</f>
        <v/>
      </c>
      <c r="G106" s="346" t="n"/>
      <c r="H106" s="334">
        <f t="array" ref="H106">HYPERLINK(CONCATENATE(Cartelle!$D$5,INDEX(INDIRECT("'" &amp; $C106 &amp; "'!$1:$1"), 1, MATCH(INDIRECT(CONCATENATE("'" &amp; $C106 &amp; "'!",ADDRESS(MATCH($D106, INDIRECT("'" &amp; $C106 &amp; "'!$B:$B"), 0),MATCH(H$1, INDIRECT("'" &amp; $C106 &amp; "'!$1:$1"), 0)))),INDIRECT(CONCATENATE("'" &amp; $C106 &amp; "'!",MATCH($D106, INDIRECT("'" &amp; $C106 &amp; "'!$B:$B"), 0),":",MATCH($D106, INDIRECT("'" &amp; $C106 &amp; "'!$B:$B"), 0))),0)),"/",$C106,"/",MID($D106,1,FIND("_",$D106)-1),"/",INDIRECT(CONCATENATE("'" &amp; $C106 &amp; "'!",ADDRESS(MATCH($D106, INDIRECT("'" &amp; $C106 &amp; "'!$B:$B"), 0),MATCH(H$1, INDIRECT("'" &amp; $C106 &amp; "'!$1:$1"), 0)))),".",INDIRECT(CONCATENATE("'"&amp;$C106&amp;"'!",ADDRESS(MATCH($D106,INDIRECT("'"&amp;$C106&amp;"'!$B:$B"),0),3))),"#page=",H107),CONCATENATE("#Sharepoint//",$D106))</f>
        <v/>
      </c>
      <c r="I106" s="334">
        <f t="array" ref="I106">HYPERLINK(CONCATENATE(Cartelle!$D$5,INDEX(INDIRECT("'" &amp; $C106 &amp; "'!$1:$1"), 1, MATCH(INDIRECT(CONCATENATE("'" &amp; $C106 &amp; "'!",ADDRESS(MATCH($D106, INDIRECT("'" &amp; $C106 &amp; "'!$B:$B"), 0),MATCH(I$1, INDIRECT("'" &amp; $C106 &amp; "'!$1:$1"), 0)))),INDIRECT(CONCATENATE("'" &amp; $C106 &amp; "'!",MATCH($D106, INDIRECT("'" &amp; $C106 &amp; "'!$B:$B"), 0),":",MATCH($D106, INDIRECT("'" &amp; $C106 &amp; "'!$B:$B"), 0))),0)),"/",$C106,"/",MID($D106,1,FIND("_",$D106)-1),"/",INDIRECT(CONCATENATE("'" &amp; $C106 &amp; "'!",ADDRESS(MATCH($D106, INDIRECT("'" &amp; $C106 &amp; "'!$B:$B"), 0),MATCH(I$1, INDIRECT("'" &amp; $C106 &amp; "'!$1:$1"), 0)))),".",INDIRECT(CONCATENATE("'"&amp;$C106&amp;"'!",ADDRESS(MATCH($D106,INDIRECT("'"&amp;$C106&amp;"'!$B:$B"),0),3))),"#page=",I107),CONCATENATE("#Sharepoint//",$D106))</f>
        <v/>
      </c>
      <c r="J106" s="334">
        <f t="array" ref="J106">HYPERLINK(CONCATENATE(Cartelle!$D$5,INDEX(INDIRECT("'" &amp; $C106 &amp; "'!$1:$1"), 1, MATCH(INDIRECT(CONCATENATE("'" &amp; $C106 &amp; "'!",ADDRESS(MATCH($D106, INDIRECT("'" &amp; $C106 &amp; "'!$B:$B"), 0),MATCH(J$1, INDIRECT("'" &amp; $C106 &amp; "'!$1:$1"), 0)))),INDIRECT(CONCATENATE("'" &amp; $C106 &amp; "'!",MATCH($D106, INDIRECT("'" &amp; $C106 &amp; "'!$B:$B"), 0),":",MATCH($D106, INDIRECT("'" &amp; $C106 &amp; "'!$B:$B"), 0))),0)),"/",$C106,"/",MID($D106,1,FIND("_",$D106)-1),"/",INDIRECT(CONCATENATE("'" &amp; $C106 &amp; "'!",ADDRESS(MATCH($D106, INDIRECT("'" &amp; $C106 &amp; "'!$B:$B"), 0),MATCH(J$1, INDIRECT("'" &amp; $C106 &amp; "'!$1:$1"), 0)))),".",INDIRECT(CONCATENATE("'"&amp;$C106&amp;"'!",ADDRESS(MATCH($D106,INDIRECT("'"&amp;$C106&amp;"'!$B:$B"),0),3))),"#page=",J107),CONCATENATE("#Sharepoint//",$D106))</f>
        <v/>
      </c>
      <c r="K106" s="353" t="n"/>
      <c r="L106" s="353" t="n"/>
    </row>
    <row r="107" outlineLevel="2" customFormat="1" s="8">
      <c r="B107" s="59" t="n"/>
      <c r="C107" s="430" t="n"/>
      <c r="D107" s="233" t="n"/>
      <c r="E107" s="270" t="inlineStr">
        <is>
          <t>Rif. Pagina</t>
        </is>
      </c>
      <c r="F107" s="233" t="n">
        <v>55</v>
      </c>
      <c r="G107" s="233" t="n"/>
      <c r="H107" s="233" t="n">
        <v>62</v>
      </c>
      <c r="I107" s="233" t="n">
        <v>58</v>
      </c>
      <c r="J107" s="233" t="n">
        <v>80</v>
      </c>
      <c r="K107" s="233" t="n"/>
      <c r="L107" s="233" t="n"/>
    </row>
    <row r="108" outlineLevel="2" customFormat="1" s="8">
      <c r="B108" s="59" t="n"/>
      <c r="C108" s="430" t="n"/>
      <c r="D108" s="233" t="n"/>
      <c r="E108" s="234" t="inlineStr">
        <is>
          <t>Funzioni AI</t>
        </is>
      </c>
      <c r="F108" s="240" t="n"/>
      <c r="G108" s="235" t="n"/>
      <c r="H108" s="240" t="n"/>
      <c r="I108" s="240" t="n"/>
      <c r="J108" s="240" t="n"/>
      <c r="K108" s="235" t="n"/>
      <c r="L108" s="236" t="n"/>
    </row>
    <row r="109" customFormat="1" s="8">
      <c r="A109" s="347" t="inlineStr">
        <is>
          <t>AUX_Function_General</t>
        </is>
      </c>
      <c r="B109" s="354" t="n"/>
      <c r="C109" s="181" t="n"/>
      <c r="D109" s="349" t="inlineStr">
        <is>
          <t>\</t>
        </is>
      </c>
      <c r="E109" s="350" t="n"/>
      <c r="F109" s="351" t="n"/>
      <c r="G109" s="351" t="n"/>
      <c r="H109" s="351" t="n"/>
      <c r="I109" s="351" t="n"/>
      <c r="J109" s="351" t="n"/>
      <c r="K109" s="351" t="n"/>
      <c r="L109" s="352" t="n"/>
    </row>
    <row r="110" outlineLevel="1" customFormat="1" s="8">
      <c r="B110" s="59" t="n"/>
      <c r="C110" s="332" t="inlineStr">
        <is>
          <t>CONFIG</t>
        </is>
      </c>
      <c r="D110" s="356" t="inlineStr">
        <is>
          <t>FRS_Aux Electrical Supply</t>
        </is>
      </c>
      <c r="E110" s="357" t="inlineStr">
        <is>
          <t>Link</t>
        </is>
      </c>
      <c r="F110" s="334">
        <f t="array" ref="F110">HYPERLINK(CONCATENATE(Cartelle!$D$5,F$1,"/",$C110,"/",MID($D110,1,FIND("_",$D110)-1),"/",INDIRECT(CONCATENATE("'" &amp; $C110 &amp; "'!",ADDRESS(MATCH($D110, INDIRECT("'" &amp; $C110 &amp; "'!$B:$B"), 0),MATCH(F$1, INDIRECT("'" &amp; $C110 &amp; "'!$1:$1"), 0)))),".",INDIRECT(CONCATENATE("'"&amp;$C110&amp;"'!",ADDRESS(MATCH($D110,INDIRECT("'"&amp;$C110&amp;"'!$B:$B"),0),3))),"#page=",F111),CONCATENATE("#Sharepoint//",$D110))</f>
        <v/>
      </c>
      <c r="G110" s="334" t="n"/>
      <c r="H110" s="334">
        <f t="array" ref="H110">HYPERLINK(CONCATENATE(Cartelle!$D$5,INDEX(INDIRECT("'" &amp; $C110 &amp; "'!$1:$1"), 1, MATCH(INDIRECT(CONCATENATE("'" &amp; $C110 &amp; "'!",ADDRESS(MATCH($D110, INDIRECT("'" &amp; $C110 &amp; "'!$B:$B"), 0),MATCH(H$1, INDIRECT("'" &amp; $C110 &amp; "'!$1:$1"), 0)))),INDIRECT(CONCATENATE("'" &amp; $C110 &amp; "'!",MATCH($D110, INDIRECT("'" &amp; $C110 &amp; "'!$B:$B"), 0),":",MATCH($D110, INDIRECT("'" &amp; $C110 &amp; "'!$B:$B"), 0))),0)),"/",$C110,"/",MID($D110,1,FIND("_",$D110)-1),"/",INDIRECT(CONCATENATE("'" &amp; $C110 &amp; "'!",ADDRESS(MATCH($D110, INDIRECT("'" &amp; $C110 &amp; "'!$B:$B"), 0),MATCH(H$1, INDIRECT("'" &amp; $C110 &amp; "'!$1:$1"), 0)))),".",INDIRECT(CONCATENATE("'"&amp;$C110&amp;"'!",ADDRESS(MATCH($D110,INDIRECT("'"&amp;$C110&amp;"'!$B:$B"),0),3))),"#page=",H111),CONCATENATE("#Sharepoint//",$D110))</f>
        <v/>
      </c>
      <c r="I110" s="334">
        <f t="array" ref="I110">HYPERLINK(CONCATENATE(Cartelle!$D$5,INDEX(INDIRECT("'" &amp; $C110 &amp; "'!$1:$1"), 1, MATCH(INDIRECT(CONCATENATE("'" &amp; $C110 &amp; "'!",ADDRESS(MATCH($D110, INDIRECT("'" &amp; $C110 &amp; "'!$B:$B"), 0),MATCH(I$1, INDIRECT("'" &amp; $C110 &amp; "'!$1:$1"), 0)))),INDIRECT(CONCATENATE("'" &amp; $C110 &amp; "'!",MATCH($D110, INDIRECT("'" &amp; $C110 &amp; "'!$B:$B"), 0),":",MATCH($D110, INDIRECT("'" &amp; $C110 &amp; "'!$B:$B"), 0))),0)),"/",$C110,"/",MID($D110,1,FIND("_",$D110)-1),"/",INDIRECT(CONCATENATE("'" &amp; $C110 &amp; "'!",ADDRESS(MATCH($D110, INDIRECT("'" &amp; $C110 &amp; "'!$B:$B"), 0),MATCH(I$1, INDIRECT("'" &amp; $C110 &amp; "'!$1:$1"), 0)))),".",INDIRECT(CONCATENATE("'"&amp;$C110&amp;"'!",ADDRESS(MATCH($D110,INDIRECT("'"&amp;$C110&amp;"'!$B:$B"),0),3))),"#page=",I111),CONCATENATE("#Sharepoint//",$D110))</f>
        <v/>
      </c>
      <c r="J110" s="334">
        <f t="array" ref="J110">HYPERLINK(CONCATENATE(Cartelle!$D$5,INDEX(INDIRECT("'" &amp; $C110 &amp; "'!$1:$1"), 1, MATCH(INDIRECT(CONCATENATE("'" &amp; $C110 &amp; "'!",ADDRESS(MATCH($D110, INDIRECT("'" &amp; $C110 &amp; "'!$B:$B"), 0),MATCH(J$1, INDIRECT("'" &amp; $C110 &amp; "'!$1:$1"), 0)))),INDIRECT(CONCATENATE("'" &amp; $C110 &amp; "'!",MATCH($D110, INDIRECT("'" &amp; $C110 &amp; "'!$B:$B"), 0),":",MATCH($D110, INDIRECT("'" &amp; $C110 &amp; "'!$B:$B"), 0))),0)),"/",$C110,"/",MID($D110,1,FIND("_",$D110)-1),"/",INDIRECT(CONCATENATE("'" &amp; $C110 &amp; "'!",ADDRESS(MATCH($D110, INDIRECT("'" &amp; $C110 &amp; "'!$B:$B"), 0),MATCH(J$1, INDIRECT("'" &amp; $C110 &amp; "'!$1:$1"), 0)))),".",INDIRECT(CONCATENATE("'"&amp;$C110&amp;"'!",ADDRESS(MATCH($D110,INDIRECT("'"&amp;$C110&amp;"'!$B:$B"),0),3))),"#page=",J111),CONCATENATE("#Sharepoint//",$D110))</f>
        <v/>
      </c>
      <c r="K110" s="353" t="n"/>
      <c r="L110" s="353" t="n"/>
    </row>
    <row r="111" outlineLevel="2" customFormat="1" s="8">
      <c r="B111" s="59" t="n"/>
      <c r="C111" s="505" t="n"/>
      <c r="D111" s="360" t="n"/>
      <c r="E111" s="361" t="inlineStr">
        <is>
          <t>Rif. Pagina</t>
        </is>
      </c>
      <c r="F111" s="360" t="n">
        <v>5</v>
      </c>
      <c r="G111" s="360" t="n"/>
      <c r="H111" s="360" t="n">
        <v>5</v>
      </c>
      <c r="I111" s="360" t="n">
        <v>5</v>
      </c>
      <c r="J111" s="360" t="n">
        <v>6</v>
      </c>
      <c r="K111" s="360" t="n"/>
      <c r="L111" s="360" t="n"/>
    </row>
    <row r="112" outlineLevel="2" customFormat="1" s="8">
      <c r="B112" s="59" t="n"/>
      <c r="C112" s="430" t="n"/>
      <c r="D112" s="233" t="n"/>
      <c r="E112" s="234" t="inlineStr">
        <is>
          <t>Funzioni AI</t>
        </is>
      </c>
      <c r="F112" s="239" t="n"/>
      <c r="G112" s="235" t="n"/>
      <c r="H112" s="239" t="n"/>
      <c r="I112" s="239" t="n"/>
      <c r="J112" s="239" t="n"/>
      <c r="K112" s="235" t="n"/>
      <c r="L112" s="236" t="n"/>
    </row>
    <row r="113" customFormat="1" s="8">
      <c r="A113" s="347" t="inlineStr">
        <is>
          <t>AUX_Activation_and_Synchronisation_of_ACM</t>
        </is>
      </c>
      <c r="B113" s="354" t="n"/>
      <c r="C113" s="181" t="n"/>
      <c r="D113" s="349" t="inlineStr">
        <is>
          <t>\</t>
        </is>
      </c>
      <c r="E113" s="350" t="n"/>
      <c r="F113" s="351" t="n"/>
      <c r="G113" s="351" t="n"/>
      <c r="H113" s="351" t="n"/>
      <c r="I113" s="351" t="n"/>
      <c r="J113" s="351" t="n"/>
      <c r="K113" s="351" t="n"/>
      <c r="L113" s="352" t="n"/>
    </row>
    <row r="114" outlineLevel="1" customFormat="1" s="8">
      <c r="B114" s="59" t="n"/>
      <c r="C114" s="332" t="inlineStr">
        <is>
          <t>CONFIG</t>
        </is>
      </c>
      <c r="D114" s="356" t="inlineStr">
        <is>
          <t>FRS_Aux Electrical Supply</t>
        </is>
      </c>
      <c r="E114" s="357" t="inlineStr">
        <is>
          <t>Link</t>
        </is>
      </c>
      <c r="F114" s="334">
        <f t="array" ref="F114">HYPERLINK(CONCATENATE(Cartelle!$D$5,F$1,"/",$C114,"/",MID($D114,1,FIND("_",$D114)-1),"/",INDIRECT(CONCATENATE("'" &amp; $C114 &amp; "'!",ADDRESS(MATCH($D114, INDIRECT("'" &amp; $C114 &amp; "'!$B:$B"), 0),MATCH(F$1, INDIRECT("'" &amp; $C114 &amp; "'!$1:$1"), 0)))),".",INDIRECT(CONCATENATE("'"&amp;$C114&amp;"'!",ADDRESS(MATCH($D114,INDIRECT("'"&amp;$C114&amp;"'!$B:$B"),0),3))),"#page=",F115),CONCATENATE("#Sharepoint//",$D114))</f>
        <v/>
      </c>
      <c r="G114" s="334" t="n"/>
      <c r="H114" s="334">
        <f t="array" ref="H114">HYPERLINK(CONCATENATE(Cartelle!$D$5,INDEX(INDIRECT("'" &amp; $C114 &amp; "'!$1:$1"), 1, MATCH(INDIRECT(CONCATENATE("'" &amp; $C114 &amp; "'!",ADDRESS(MATCH($D114, INDIRECT("'" &amp; $C114 &amp; "'!$B:$B"), 0),MATCH(H$1, INDIRECT("'" &amp; $C114 &amp; "'!$1:$1"), 0)))),INDIRECT(CONCATENATE("'" &amp; $C114 &amp; "'!",MATCH($D114, INDIRECT("'" &amp; $C114 &amp; "'!$B:$B"), 0),":",MATCH($D114, INDIRECT("'" &amp; $C114 &amp; "'!$B:$B"), 0))),0)),"/",$C114,"/",MID($D114,1,FIND("_",$D114)-1),"/",INDIRECT(CONCATENATE("'" &amp; $C114 &amp; "'!",ADDRESS(MATCH($D114, INDIRECT("'" &amp; $C114 &amp; "'!$B:$B"), 0),MATCH(H$1, INDIRECT("'" &amp; $C114 &amp; "'!$1:$1"), 0)))),".",INDIRECT(CONCATENATE("'"&amp;$C114&amp;"'!",ADDRESS(MATCH($D114,INDIRECT("'"&amp;$C114&amp;"'!$B:$B"),0),3))),"#page=",H115),CONCATENATE("#Sharepoint//",$D114))</f>
        <v/>
      </c>
      <c r="I114" s="334">
        <f t="array" ref="I114">HYPERLINK(CONCATENATE(Cartelle!$D$5,INDEX(INDIRECT("'" &amp; $C114 &amp; "'!$1:$1"), 1, MATCH(INDIRECT(CONCATENATE("'" &amp; $C114 &amp; "'!",ADDRESS(MATCH($D114, INDIRECT("'" &amp; $C114 &amp; "'!$B:$B"), 0),MATCH(I$1, INDIRECT("'" &amp; $C114 &amp; "'!$1:$1"), 0)))),INDIRECT(CONCATENATE("'" &amp; $C114 &amp; "'!",MATCH($D114, INDIRECT("'" &amp; $C114 &amp; "'!$B:$B"), 0),":",MATCH($D114, INDIRECT("'" &amp; $C114 &amp; "'!$B:$B"), 0))),0)),"/",$C114,"/",MID($D114,1,FIND("_",$D114)-1),"/",INDIRECT(CONCATENATE("'" &amp; $C114 &amp; "'!",ADDRESS(MATCH($D114, INDIRECT("'" &amp; $C114 &amp; "'!$B:$B"), 0),MATCH(I$1, INDIRECT("'" &amp; $C114 &amp; "'!$1:$1"), 0)))),".",INDIRECT(CONCATENATE("'"&amp;$C114&amp;"'!",ADDRESS(MATCH($D114,INDIRECT("'"&amp;$C114&amp;"'!$B:$B"),0),3))),"#page=",I115),CONCATENATE("#Sharepoint//",$D114))</f>
        <v/>
      </c>
      <c r="J114" s="334">
        <f t="array" ref="J114">HYPERLINK(CONCATENATE(Cartelle!$D$5,INDEX(INDIRECT("'" &amp; $C114 &amp; "'!$1:$1"), 1, MATCH(INDIRECT(CONCATENATE("'" &amp; $C114 &amp; "'!",ADDRESS(MATCH($D114, INDIRECT("'" &amp; $C114 &amp; "'!$B:$B"), 0),MATCH(J$1, INDIRECT("'" &amp; $C114 &amp; "'!$1:$1"), 0)))),INDIRECT(CONCATENATE("'" &amp; $C114 &amp; "'!",MATCH($D114, INDIRECT("'" &amp; $C114 &amp; "'!$B:$B"), 0),":",MATCH($D114, INDIRECT("'" &amp; $C114 &amp; "'!$B:$B"), 0))),0)),"/",$C114,"/",MID($D114,1,FIND("_",$D114)-1),"/",INDIRECT(CONCATENATE("'" &amp; $C114 &amp; "'!",ADDRESS(MATCH($D114, INDIRECT("'" &amp; $C114 &amp; "'!$B:$B"), 0),MATCH(J$1, INDIRECT("'" &amp; $C114 &amp; "'!$1:$1"), 0)))),".",INDIRECT(CONCATENATE("'"&amp;$C114&amp;"'!",ADDRESS(MATCH($D114,INDIRECT("'"&amp;$C114&amp;"'!$B:$B"),0),3))),"#page=",J115),CONCATENATE("#Sharepoint//",$D114))</f>
        <v/>
      </c>
      <c r="K114" s="353" t="n"/>
      <c r="L114" s="353" t="n"/>
    </row>
    <row r="115" outlineLevel="2" customFormat="1" s="8">
      <c r="B115" s="59" t="n"/>
      <c r="C115" s="505" t="n"/>
      <c r="D115" s="360" t="n"/>
      <c r="E115" s="361" t="inlineStr">
        <is>
          <t>Rif. Pagina</t>
        </is>
      </c>
      <c r="F115" s="360" t="n">
        <v>7</v>
      </c>
      <c r="G115" s="360" t="n"/>
      <c r="H115" s="360" t="n">
        <v>7</v>
      </c>
      <c r="I115" s="360" t="n">
        <v>7</v>
      </c>
      <c r="J115" s="360" t="n">
        <v>8</v>
      </c>
      <c r="K115" s="360" t="n"/>
      <c r="L115" s="360" t="n"/>
    </row>
    <row r="116" outlineLevel="2" customFormat="1" s="8">
      <c r="B116" s="59" t="n"/>
      <c r="C116" s="430" t="n"/>
      <c r="D116" s="233" t="n"/>
      <c r="E116" s="234" t="inlineStr">
        <is>
          <t>Funzioni AI</t>
        </is>
      </c>
      <c r="F116" s="239" t="n"/>
      <c r="G116" s="235" t="n"/>
      <c r="H116" s="239" t="n"/>
      <c r="I116" s="239" t="n"/>
      <c r="J116" s="239" t="n"/>
      <c r="K116" s="235" t="n"/>
      <c r="L116" s="236" t="n"/>
    </row>
    <row r="117" customFormat="1" s="8">
      <c r="A117" s="347" t="inlineStr">
        <is>
          <t>AUX_ACM_reset</t>
        </is>
      </c>
      <c r="B117" s="354" t="n"/>
      <c r="C117" s="181" t="n"/>
      <c r="D117" s="349" t="inlineStr">
        <is>
          <t>\</t>
        </is>
      </c>
      <c r="E117" s="350" t="n"/>
      <c r="F117" s="351" t="n"/>
      <c r="G117" s="351" t="n"/>
      <c r="H117" s="351" t="n"/>
      <c r="I117" s="351" t="n"/>
      <c r="J117" s="351" t="n"/>
      <c r="K117" s="351" t="n"/>
      <c r="L117" s="352" t="n"/>
    </row>
    <row r="118" outlineLevel="1" customFormat="1" s="8">
      <c r="B118" s="59" t="n"/>
      <c r="C118" s="332" t="inlineStr">
        <is>
          <t>CONFIG</t>
        </is>
      </c>
      <c r="D118" s="356" t="inlineStr">
        <is>
          <t>FRS_Aux Electrical Supply</t>
        </is>
      </c>
      <c r="E118" s="357" t="inlineStr">
        <is>
          <t>Link</t>
        </is>
      </c>
      <c r="F118" s="334">
        <f t="array" ref="F118">HYPERLINK(CONCATENATE(Cartelle!$D$5,F$1,"/",$C118,"/",MID($D118,1,FIND("_",$D118)-1),"/",INDIRECT(CONCATENATE("'" &amp; $C118 &amp; "'!",ADDRESS(MATCH($D118, INDIRECT("'" &amp; $C118 &amp; "'!$B:$B"), 0),MATCH(F$1, INDIRECT("'" &amp; $C118 &amp; "'!$1:$1"), 0)))),".",INDIRECT(CONCATENATE("'"&amp;$C118&amp;"'!",ADDRESS(MATCH($D118,INDIRECT("'"&amp;$C118&amp;"'!$B:$B"),0),3))),"#page=",F119),CONCATENATE("#Sharepoint//",$D118))</f>
        <v/>
      </c>
      <c r="G118" s="334" t="n"/>
      <c r="H118" s="334">
        <f t="array" ref="H118">HYPERLINK(CONCATENATE(Cartelle!$D$5,INDEX(INDIRECT("'" &amp; $C118 &amp; "'!$1:$1"), 1, MATCH(INDIRECT(CONCATENATE("'" &amp; $C118 &amp; "'!",ADDRESS(MATCH($D118, INDIRECT("'" &amp; $C118 &amp; "'!$B:$B"), 0),MATCH(H$1, INDIRECT("'" &amp; $C118 &amp; "'!$1:$1"), 0)))),INDIRECT(CONCATENATE("'" &amp; $C118 &amp; "'!",MATCH($D118, INDIRECT("'" &amp; $C118 &amp; "'!$B:$B"), 0),":",MATCH($D118, INDIRECT("'" &amp; $C118 &amp; "'!$B:$B"), 0))),0)),"/",$C118,"/",MID($D118,1,FIND("_",$D118)-1),"/",INDIRECT(CONCATENATE("'" &amp; $C118 &amp; "'!",ADDRESS(MATCH($D118, INDIRECT("'" &amp; $C118 &amp; "'!$B:$B"), 0),MATCH(H$1, INDIRECT("'" &amp; $C118 &amp; "'!$1:$1"), 0)))),".",INDIRECT(CONCATENATE("'"&amp;$C118&amp;"'!",ADDRESS(MATCH($D118,INDIRECT("'"&amp;$C118&amp;"'!$B:$B"),0),3))),"#page=",H119),CONCATENATE("#Sharepoint//",$D118))</f>
        <v/>
      </c>
      <c r="I118" s="334">
        <f t="array" ref="I118">HYPERLINK(CONCATENATE(Cartelle!$D$5,INDEX(INDIRECT("'" &amp; $C118 &amp; "'!$1:$1"), 1, MATCH(INDIRECT(CONCATENATE("'" &amp; $C118 &amp; "'!",ADDRESS(MATCH($D118, INDIRECT("'" &amp; $C118 &amp; "'!$B:$B"), 0),MATCH(I$1, INDIRECT("'" &amp; $C118 &amp; "'!$1:$1"), 0)))),INDIRECT(CONCATENATE("'" &amp; $C118 &amp; "'!",MATCH($D118, INDIRECT("'" &amp; $C118 &amp; "'!$B:$B"), 0),":",MATCH($D118, INDIRECT("'" &amp; $C118 &amp; "'!$B:$B"), 0))),0)),"/",$C118,"/",MID($D118,1,FIND("_",$D118)-1),"/",INDIRECT(CONCATENATE("'" &amp; $C118 &amp; "'!",ADDRESS(MATCH($D118, INDIRECT("'" &amp; $C118 &amp; "'!$B:$B"), 0),MATCH(I$1, INDIRECT("'" &amp; $C118 &amp; "'!$1:$1"), 0)))),".",INDIRECT(CONCATENATE("'"&amp;$C118&amp;"'!",ADDRESS(MATCH($D118,INDIRECT("'"&amp;$C118&amp;"'!$B:$B"),0),3))),"#page=",I119),CONCATENATE("#Sharepoint//",$D118))</f>
        <v/>
      </c>
      <c r="J118" s="334">
        <f t="array" ref="J118">HYPERLINK(CONCATENATE(Cartelle!$D$5,INDEX(INDIRECT("'" &amp; $C118 &amp; "'!$1:$1"), 1, MATCH(INDIRECT(CONCATENATE("'" &amp; $C118 &amp; "'!",ADDRESS(MATCH($D118, INDIRECT("'" &amp; $C118 &amp; "'!$B:$B"), 0),MATCH(J$1, INDIRECT("'" &amp; $C118 &amp; "'!$1:$1"), 0)))),INDIRECT(CONCATENATE("'" &amp; $C118 &amp; "'!",MATCH($D118, INDIRECT("'" &amp; $C118 &amp; "'!$B:$B"), 0),":",MATCH($D118, INDIRECT("'" &amp; $C118 &amp; "'!$B:$B"), 0))),0)),"/",$C118,"/",MID($D118,1,FIND("_",$D118)-1),"/",INDIRECT(CONCATENATE("'" &amp; $C118 &amp; "'!",ADDRESS(MATCH($D118, INDIRECT("'" &amp; $C118 &amp; "'!$B:$B"), 0),MATCH(J$1, INDIRECT("'" &amp; $C118 &amp; "'!$1:$1"), 0)))),".",INDIRECT(CONCATENATE("'"&amp;$C118&amp;"'!",ADDRESS(MATCH($D118,INDIRECT("'"&amp;$C118&amp;"'!$B:$B"),0),3))),"#page=",J119),CONCATENATE("#Sharepoint//",$D118))</f>
        <v/>
      </c>
      <c r="K118" s="353" t="n"/>
      <c r="L118" s="353" t="n"/>
    </row>
    <row r="119" outlineLevel="2" customFormat="1" s="8">
      <c r="B119" s="59" t="n"/>
      <c r="C119" s="505" t="n"/>
      <c r="D119" s="360" t="n"/>
      <c r="E119" s="361" t="inlineStr">
        <is>
          <t>Rif. Pagina</t>
        </is>
      </c>
      <c r="F119" s="360" t="n">
        <v>9</v>
      </c>
      <c r="G119" s="360" t="n"/>
      <c r="H119" s="360" t="n">
        <v>9</v>
      </c>
      <c r="I119" s="360" t="n">
        <v>9</v>
      </c>
      <c r="J119" s="360" t="n">
        <v>9</v>
      </c>
      <c r="K119" s="360" t="n"/>
      <c r="L119" s="360" t="n"/>
    </row>
    <row r="120" outlineLevel="2" customFormat="1" s="8">
      <c r="B120" s="59" t="n"/>
      <c r="C120" s="430" t="n"/>
      <c r="D120" s="233" t="n"/>
      <c r="E120" s="234" t="inlineStr">
        <is>
          <t>Funzioni AI</t>
        </is>
      </c>
      <c r="F120" s="239" t="n"/>
      <c r="G120" s="235" t="n"/>
      <c r="H120" s="239" t="n"/>
      <c r="I120" s="239" t="n"/>
      <c r="J120" s="239" t="n"/>
      <c r="K120" s="235" t="n"/>
      <c r="L120" s="236" t="n"/>
    </row>
    <row r="121" customFormat="1" s="8">
      <c r="A121" s="347" t="inlineStr">
        <is>
          <t>AUX_AC_on_Board_Supply_System</t>
        </is>
      </c>
      <c r="B121" s="354" t="n"/>
      <c r="C121" s="181" t="n"/>
      <c r="D121" s="349" t="inlineStr">
        <is>
          <t>\</t>
        </is>
      </c>
      <c r="E121" s="350" t="n"/>
      <c r="F121" s="351" t="n"/>
      <c r="G121" s="351" t="n"/>
      <c r="H121" s="351" t="n"/>
      <c r="I121" s="351" t="n"/>
      <c r="J121" s="351" t="n"/>
      <c r="K121" s="351" t="n"/>
      <c r="L121" s="352" t="n"/>
    </row>
    <row r="122" outlineLevel="1" customFormat="1" s="8">
      <c r="B122" s="59" t="n"/>
      <c r="C122" s="332" t="inlineStr">
        <is>
          <t>CONFIG</t>
        </is>
      </c>
      <c r="D122" s="356" t="inlineStr">
        <is>
          <t>FRS_Aux Electrical Supply</t>
        </is>
      </c>
      <c r="E122" s="357" t="inlineStr">
        <is>
          <t>Link</t>
        </is>
      </c>
      <c r="F122" s="334">
        <f t="array" ref="F122">HYPERLINK(CONCATENATE(Cartelle!$D$5,F$1,"/",$C122,"/",MID($D122,1,FIND("_",$D122)-1),"/",INDIRECT(CONCATENATE("'" &amp; $C122 &amp; "'!",ADDRESS(MATCH($D122, INDIRECT("'" &amp; $C122 &amp; "'!$B:$B"), 0),MATCH(F$1, INDIRECT("'" &amp; $C122 &amp; "'!$1:$1"), 0)))),".",INDIRECT(CONCATENATE("'"&amp;$C122&amp;"'!",ADDRESS(MATCH($D122,INDIRECT("'"&amp;$C122&amp;"'!$B:$B"),0),3))),"#page=",F123),CONCATENATE("#Sharepoint//",$D122))</f>
        <v/>
      </c>
      <c r="G122" s="334" t="n"/>
      <c r="H122" s="334">
        <f t="array" ref="H122">HYPERLINK(CONCATENATE(Cartelle!$D$5,INDEX(INDIRECT("'" &amp; $C122 &amp; "'!$1:$1"), 1, MATCH(INDIRECT(CONCATENATE("'" &amp; $C122 &amp; "'!",ADDRESS(MATCH($D122, INDIRECT("'" &amp; $C122 &amp; "'!$B:$B"), 0),MATCH(H$1, INDIRECT("'" &amp; $C122 &amp; "'!$1:$1"), 0)))),INDIRECT(CONCATENATE("'" &amp; $C122 &amp; "'!",MATCH($D122, INDIRECT("'" &amp; $C122 &amp; "'!$B:$B"), 0),":",MATCH($D122, INDIRECT("'" &amp; $C122 &amp; "'!$B:$B"), 0))),0)),"/",$C122,"/",MID($D122,1,FIND("_",$D122)-1),"/",INDIRECT(CONCATENATE("'" &amp; $C122 &amp; "'!",ADDRESS(MATCH($D122, INDIRECT("'" &amp; $C122 &amp; "'!$B:$B"), 0),MATCH(H$1, INDIRECT("'" &amp; $C122 &amp; "'!$1:$1"), 0)))),".",INDIRECT(CONCATENATE("'"&amp;$C122&amp;"'!",ADDRESS(MATCH($D122,INDIRECT("'"&amp;$C122&amp;"'!$B:$B"),0),3))),"#page=",H123),CONCATENATE("#Sharepoint//",$D122))</f>
        <v/>
      </c>
      <c r="I122" s="334">
        <f t="array" ref="I122">HYPERLINK(CONCATENATE(Cartelle!$D$5,INDEX(INDIRECT("'" &amp; $C122 &amp; "'!$1:$1"), 1, MATCH(INDIRECT(CONCATENATE("'" &amp; $C122 &amp; "'!",ADDRESS(MATCH($D122, INDIRECT("'" &amp; $C122 &amp; "'!$B:$B"), 0),MATCH(I$1, INDIRECT("'" &amp; $C122 &amp; "'!$1:$1"), 0)))),INDIRECT(CONCATENATE("'" &amp; $C122 &amp; "'!",MATCH($D122, INDIRECT("'" &amp; $C122 &amp; "'!$B:$B"), 0),":",MATCH($D122, INDIRECT("'" &amp; $C122 &amp; "'!$B:$B"), 0))),0)),"/",$C122,"/",MID($D122,1,FIND("_",$D122)-1),"/",INDIRECT(CONCATENATE("'" &amp; $C122 &amp; "'!",ADDRESS(MATCH($D122, INDIRECT("'" &amp; $C122 &amp; "'!$B:$B"), 0),MATCH(I$1, INDIRECT("'" &amp; $C122 &amp; "'!$1:$1"), 0)))),".",INDIRECT(CONCATENATE("'"&amp;$C122&amp;"'!",ADDRESS(MATCH($D122,INDIRECT("'"&amp;$C122&amp;"'!$B:$B"),0),3))),"#page=",I123),CONCATENATE("#Sharepoint//",$D122))</f>
        <v/>
      </c>
      <c r="J122" s="334">
        <f t="array" ref="J122">HYPERLINK(CONCATENATE(Cartelle!$D$5,INDEX(INDIRECT("'" &amp; $C122 &amp; "'!$1:$1"), 1, MATCH(INDIRECT(CONCATENATE("'" &amp; $C122 &amp; "'!",ADDRESS(MATCH($D122, INDIRECT("'" &amp; $C122 &amp; "'!$B:$B"), 0),MATCH(J$1, INDIRECT("'" &amp; $C122 &amp; "'!$1:$1"), 0)))),INDIRECT(CONCATENATE("'" &amp; $C122 &amp; "'!",MATCH($D122, INDIRECT("'" &amp; $C122 &amp; "'!$B:$B"), 0),":",MATCH($D122, INDIRECT("'" &amp; $C122 &amp; "'!$B:$B"), 0))),0)),"/",$C122,"/",MID($D122,1,FIND("_",$D122)-1),"/",INDIRECT(CONCATENATE("'" &amp; $C122 &amp; "'!",ADDRESS(MATCH($D122, INDIRECT("'" &amp; $C122 &amp; "'!$B:$B"), 0),MATCH(J$1, INDIRECT("'" &amp; $C122 &amp; "'!$1:$1"), 0)))),".",INDIRECT(CONCATENATE("'"&amp;$C122&amp;"'!",ADDRESS(MATCH($D122,INDIRECT("'"&amp;$C122&amp;"'!$B:$B"),0),3))),"#page=",J123),CONCATENATE("#Sharepoint//",$D122))</f>
        <v/>
      </c>
      <c r="K122" s="353" t="n"/>
      <c r="L122" s="353" t="n"/>
    </row>
    <row r="123" outlineLevel="2" customFormat="1" s="8">
      <c r="B123" s="59" t="n"/>
      <c r="C123" s="505" t="n"/>
      <c r="D123" s="360" t="n"/>
      <c r="E123" s="361" t="inlineStr">
        <is>
          <t>Rif. Pagina</t>
        </is>
      </c>
      <c r="F123" s="360" t="n">
        <v>10</v>
      </c>
      <c r="G123" s="360" t="n"/>
      <c r="H123" s="360" t="n">
        <v>10</v>
      </c>
      <c r="I123" s="360" t="n">
        <v>10</v>
      </c>
      <c r="J123" s="360" t="n">
        <v>10</v>
      </c>
      <c r="K123" s="360" t="n"/>
      <c r="L123" s="360" t="n"/>
    </row>
    <row r="124" outlineLevel="2" customFormat="1" s="8">
      <c r="B124" s="59" t="n"/>
      <c r="C124" s="430" t="n"/>
      <c r="D124" s="233" t="n"/>
      <c r="E124" s="234" t="inlineStr">
        <is>
          <t>Funzioni AI</t>
        </is>
      </c>
      <c r="F124" s="239" t="n"/>
      <c r="G124" s="235" t="n"/>
      <c r="H124" s="239" t="n"/>
      <c r="I124" s="239" t="n"/>
      <c r="J124" s="239" t="n"/>
      <c r="K124" s="235" t="n"/>
      <c r="L124" s="236" t="n"/>
    </row>
    <row r="125" customFormat="1" s="8">
      <c r="A125" s="347" t="inlineStr">
        <is>
          <t>AUX_External_Power_Supply</t>
        </is>
      </c>
      <c r="B125" s="354" t="n"/>
      <c r="C125" s="181" t="n"/>
      <c r="D125" s="349" t="inlineStr">
        <is>
          <t>\</t>
        </is>
      </c>
      <c r="E125" s="350" t="n"/>
      <c r="F125" s="351" t="n"/>
      <c r="G125" s="351" t="n"/>
      <c r="H125" s="351" t="n"/>
      <c r="I125" s="351" t="n"/>
      <c r="J125" s="351" t="n"/>
      <c r="K125" s="351" t="n"/>
      <c r="L125" s="352" t="n"/>
    </row>
    <row r="126" outlineLevel="1" customFormat="1" s="8">
      <c r="B126" s="59" t="n"/>
      <c r="C126" s="332" t="inlineStr">
        <is>
          <t>CONFIG</t>
        </is>
      </c>
      <c r="D126" s="356" t="inlineStr">
        <is>
          <t>FRS_Aux Electrical Supply</t>
        </is>
      </c>
      <c r="E126" s="357" t="inlineStr">
        <is>
          <t>Link</t>
        </is>
      </c>
      <c r="F126" s="334">
        <f t="array" ref="F126">HYPERLINK(CONCATENATE(Cartelle!$D$5,F$1,"/",$C126,"/",MID($D126,1,FIND("_",$D126)-1),"/",INDIRECT(CONCATENATE("'" &amp; $C126 &amp; "'!",ADDRESS(MATCH($D126, INDIRECT("'" &amp; $C126 &amp; "'!$B:$B"), 0),MATCH(F$1, INDIRECT("'" &amp; $C126 &amp; "'!$1:$1"), 0)))),".",INDIRECT(CONCATENATE("'"&amp;$C126&amp;"'!",ADDRESS(MATCH($D126,INDIRECT("'"&amp;$C126&amp;"'!$B:$B"),0),3))),"#page=",F127),CONCATENATE("#Sharepoint//",$D126))</f>
        <v/>
      </c>
      <c r="G126" s="334" t="n"/>
      <c r="H126" s="334">
        <f t="array" ref="H126">HYPERLINK(CONCATENATE(Cartelle!$D$5,INDEX(INDIRECT("'" &amp; $C126 &amp; "'!$1:$1"), 1, MATCH(INDIRECT(CONCATENATE("'" &amp; $C126 &amp; "'!",ADDRESS(MATCH($D126, INDIRECT("'" &amp; $C126 &amp; "'!$B:$B"), 0),MATCH(H$1, INDIRECT("'" &amp; $C126 &amp; "'!$1:$1"), 0)))),INDIRECT(CONCATENATE("'" &amp; $C126 &amp; "'!",MATCH($D126, INDIRECT("'" &amp; $C126 &amp; "'!$B:$B"), 0),":",MATCH($D126, INDIRECT("'" &amp; $C126 &amp; "'!$B:$B"), 0))),0)),"/",$C126,"/",MID($D126,1,FIND("_",$D126)-1),"/",INDIRECT(CONCATENATE("'" &amp; $C126 &amp; "'!",ADDRESS(MATCH($D126, INDIRECT("'" &amp; $C126 &amp; "'!$B:$B"), 0),MATCH(H$1, INDIRECT("'" &amp; $C126 &amp; "'!$1:$1"), 0)))),".",INDIRECT(CONCATENATE("'"&amp;$C126&amp;"'!",ADDRESS(MATCH($D126,INDIRECT("'"&amp;$C126&amp;"'!$B:$B"),0),3))),"#page=",H127),CONCATENATE("#Sharepoint//",$D126))</f>
        <v/>
      </c>
      <c r="I126" s="334">
        <f t="array" ref="I126">HYPERLINK(CONCATENATE(Cartelle!$D$5,INDEX(INDIRECT("'" &amp; $C126 &amp; "'!$1:$1"), 1, MATCH(INDIRECT(CONCATENATE("'" &amp; $C126 &amp; "'!",ADDRESS(MATCH($D126, INDIRECT("'" &amp; $C126 &amp; "'!$B:$B"), 0),MATCH(I$1, INDIRECT("'" &amp; $C126 &amp; "'!$1:$1"), 0)))),INDIRECT(CONCATENATE("'" &amp; $C126 &amp; "'!",MATCH($D126, INDIRECT("'" &amp; $C126 &amp; "'!$B:$B"), 0),":",MATCH($D126, INDIRECT("'" &amp; $C126 &amp; "'!$B:$B"), 0))),0)),"/",$C126,"/",MID($D126,1,FIND("_",$D126)-1),"/",INDIRECT(CONCATENATE("'" &amp; $C126 &amp; "'!",ADDRESS(MATCH($D126, INDIRECT("'" &amp; $C126 &amp; "'!$B:$B"), 0),MATCH(I$1, INDIRECT("'" &amp; $C126 &amp; "'!$1:$1"), 0)))),".",INDIRECT(CONCATENATE("'"&amp;$C126&amp;"'!",ADDRESS(MATCH($D126,INDIRECT("'"&amp;$C126&amp;"'!$B:$B"),0),3))),"#page=",I127),CONCATENATE("#Sharepoint//",$D126))</f>
        <v/>
      </c>
      <c r="J126" s="334">
        <f t="array" ref="J126">HYPERLINK(CONCATENATE(Cartelle!$D$5,INDEX(INDIRECT("'" &amp; $C126 &amp; "'!$1:$1"), 1, MATCH(INDIRECT(CONCATENATE("'" &amp; $C126 &amp; "'!",ADDRESS(MATCH($D126, INDIRECT("'" &amp; $C126 &amp; "'!$B:$B"), 0),MATCH(J$1, INDIRECT("'" &amp; $C126 &amp; "'!$1:$1"), 0)))),INDIRECT(CONCATENATE("'" &amp; $C126 &amp; "'!",MATCH($D126, INDIRECT("'" &amp; $C126 &amp; "'!$B:$B"), 0),":",MATCH($D126, INDIRECT("'" &amp; $C126 &amp; "'!$B:$B"), 0))),0)),"/",$C126,"/",MID($D126,1,FIND("_",$D126)-1),"/",INDIRECT(CONCATENATE("'" &amp; $C126 &amp; "'!",ADDRESS(MATCH($D126, INDIRECT("'" &amp; $C126 &amp; "'!$B:$B"), 0),MATCH(J$1, INDIRECT("'" &amp; $C126 &amp; "'!$1:$1"), 0)))),".",INDIRECT(CONCATENATE("'"&amp;$C126&amp;"'!",ADDRESS(MATCH($D126,INDIRECT("'"&amp;$C126&amp;"'!$B:$B"),0),3))),"#page=",J127),CONCATENATE("#Sharepoint//",$D126))</f>
        <v/>
      </c>
      <c r="K126" s="353" t="n"/>
      <c r="L126" s="353" t="n"/>
    </row>
    <row r="127" outlineLevel="2" customFormat="1" s="8">
      <c r="B127" s="59" t="n"/>
      <c r="C127" s="505" t="n"/>
      <c r="D127" s="360" t="n"/>
      <c r="E127" s="361" t="inlineStr">
        <is>
          <t>Rif. Pagina</t>
        </is>
      </c>
      <c r="F127" s="360" t="n">
        <v>18</v>
      </c>
      <c r="G127" s="360" t="n"/>
      <c r="H127" s="360" t="n">
        <v>19</v>
      </c>
      <c r="I127" s="360" t="n">
        <v>18</v>
      </c>
      <c r="J127" s="360" t="n">
        <v>18</v>
      </c>
      <c r="K127" s="360" t="n"/>
      <c r="L127" s="360" t="n"/>
    </row>
    <row r="128" outlineLevel="2" customFormat="1" s="8">
      <c r="B128" s="59" t="n"/>
      <c r="C128" s="430" t="n"/>
      <c r="D128" s="233" t="n"/>
      <c r="E128" s="234" t="inlineStr">
        <is>
          <t>Funzioni AI</t>
        </is>
      </c>
      <c r="F128" s="239" t="n"/>
      <c r="G128" s="235" t="n"/>
      <c r="H128" s="239" t="n"/>
      <c r="I128" s="239" t="n"/>
      <c r="J128" s="239" t="n"/>
      <c r="K128" s="235" t="n"/>
      <c r="L128" s="236" t="n"/>
    </row>
    <row r="129" customFormat="1" s="8">
      <c r="A129" s="347" t="inlineStr">
        <is>
          <t>AUX_Earthing_switch</t>
        </is>
      </c>
      <c r="B129" s="354" t="n"/>
      <c r="C129" s="181" t="n"/>
      <c r="D129" s="349" t="inlineStr">
        <is>
          <t>\</t>
        </is>
      </c>
      <c r="E129" s="350" t="n"/>
      <c r="F129" s="351" t="n"/>
      <c r="G129" s="351" t="n"/>
      <c r="H129" s="351" t="n"/>
      <c r="I129" s="351" t="n"/>
      <c r="J129" s="351" t="n"/>
      <c r="K129" s="351" t="n"/>
      <c r="L129" s="352" t="n"/>
    </row>
    <row r="130" outlineLevel="1" customFormat="1" s="8">
      <c r="B130" s="59" t="n"/>
      <c r="C130" s="332" t="inlineStr">
        <is>
          <t>CONFIG</t>
        </is>
      </c>
      <c r="D130" s="356" t="inlineStr">
        <is>
          <t>FRS_Aux Electrical Supply</t>
        </is>
      </c>
      <c r="E130" s="357" t="inlineStr">
        <is>
          <t>Link</t>
        </is>
      </c>
      <c r="F130" s="334">
        <f t="array" ref="F130">HYPERLINK(CONCATENATE(Cartelle!$D$5,F$1,"/",$C130,"/",MID($D130,1,FIND("_",$D130)-1),"/",INDIRECT(CONCATENATE("'" &amp; $C130 &amp; "'!",ADDRESS(MATCH($D130, INDIRECT("'" &amp; $C130 &amp; "'!$B:$B"), 0),MATCH(F$1, INDIRECT("'" &amp; $C130 &amp; "'!$1:$1"), 0)))),".",INDIRECT(CONCATENATE("'"&amp;$C130&amp;"'!",ADDRESS(MATCH($D130,INDIRECT("'"&amp;$C130&amp;"'!$B:$B"),0),3))),"#page=",F131),CONCATENATE("#Sharepoint//",$D130))</f>
        <v/>
      </c>
      <c r="G130" s="334" t="n"/>
      <c r="H130" s="334">
        <f t="array" ref="H130">HYPERLINK(CONCATENATE(Cartelle!$D$5,INDEX(INDIRECT("'" &amp; $C130 &amp; "'!$1:$1"), 1, MATCH(INDIRECT(CONCATENATE("'" &amp; $C130 &amp; "'!",ADDRESS(MATCH($D130, INDIRECT("'" &amp; $C130 &amp; "'!$B:$B"), 0),MATCH(H$1, INDIRECT("'" &amp; $C130 &amp; "'!$1:$1"), 0)))),INDIRECT(CONCATENATE("'" &amp; $C130 &amp; "'!",MATCH($D130, INDIRECT("'" &amp; $C130 &amp; "'!$B:$B"), 0),":",MATCH($D130, INDIRECT("'" &amp; $C130 &amp; "'!$B:$B"), 0))),0)),"/",$C130,"/",MID($D130,1,FIND("_",$D130)-1),"/",INDIRECT(CONCATENATE("'" &amp; $C130 &amp; "'!",ADDRESS(MATCH($D130, INDIRECT("'" &amp; $C130 &amp; "'!$B:$B"), 0),MATCH(H$1, INDIRECT("'" &amp; $C130 &amp; "'!$1:$1"), 0)))),".",INDIRECT(CONCATENATE("'"&amp;$C130&amp;"'!",ADDRESS(MATCH($D130,INDIRECT("'"&amp;$C130&amp;"'!$B:$B"),0),3))),"#page=",H131),CONCATENATE("#Sharepoint//",$D130))</f>
        <v/>
      </c>
      <c r="I130" s="334">
        <f t="array" ref="I130">HYPERLINK(CONCATENATE(Cartelle!$D$5,INDEX(INDIRECT("'" &amp; $C130 &amp; "'!$1:$1"), 1, MATCH(INDIRECT(CONCATENATE("'" &amp; $C130 &amp; "'!",ADDRESS(MATCH($D130, INDIRECT("'" &amp; $C130 &amp; "'!$B:$B"), 0),MATCH(I$1, INDIRECT("'" &amp; $C130 &amp; "'!$1:$1"), 0)))),INDIRECT(CONCATENATE("'" &amp; $C130 &amp; "'!",MATCH($D130, INDIRECT("'" &amp; $C130 &amp; "'!$B:$B"), 0),":",MATCH($D130, INDIRECT("'" &amp; $C130 &amp; "'!$B:$B"), 0))),0)),"/",$C130,"/",MID($D130,1,FIND("_",$D130)-1),"/",INDIRECT(CONCATENATE("'" &amp; $C130 &amp; "'!",ADDRESS(MATCH($D130, INDIRECT("'" &amp; $C130 &amp; "'!$B:$B"), 0),MATCH(I$1, INDIRECT("'" &amp; $C130 &amp; "'!$1:$1"), 0)))),".",INDIRECT(CONCATENATE("'"&amp;$C130&amp;"'!",ADDRESS(MATCH($D130,INDIRECT("'"&amp;$C130&amp;"'!$B:$B"),0),3))),"#page=",I131),CONCATENATE("#Sharepoint//",$D130))</f>
        <v/>
      </c>
      <c r="J130" s="334">
        <f t="array" ref="J130">HYPERLINK(CONCATENATE(Cartelle!$D$5,INDEX(INDIRECT("'" &amp; $C130 &amp; "'!$1:$1"), 1, MATCH(INDIRECT(CONCATENATE("'" &amp; $C130 &amp; "'!",ADDRESS(MATCH($D130, INDIRECT("'" &amp; $C130 &amp; "'!$B:$B"), 0),MATCH(J$1, INDIRECT("'" &amp; $C130 &amp; "'!$1:$1"), 0)))),INDIRECT(CONCATENATE("'" &amp; $C130 &amp; "'!",MATCH($D130, INDIRECT("'" &amp; $C130 &amp; "'!$B:$B"), 0),":",MATCH($D130, INDIRECT("'" &amp; $C130 &amp; "'!$B:$B"), 0))),0)),"/",$C130,"/",MID($D130,1,FIND("_",$D130)-1),"/",INDIRECT(CONCATENATE("'" &amp; $C130 &amp; "'!",ADDRESS(MATCH($D130, INDIRECT("'" &amp; $C130 &amp; "'!$B:$B"), 0),MATCH(J$1, INDIRECT("'" &amp; $C130 &amp; "'!$1:$1"), 0)))),".",INDIRECT(CONCATENATE("'"&amp;$C130&amp;"'!",ADDRESS(MATCH($D130,INDIRECT("'"&amp;$C130&amp;"'!$B:$B"),0),3))),"#page=",J131),CONCATENATE("#Sharepoint//",$D130))</f>
        <v/>
      </c>
      <c r="K130" s="353" t="n"/>
      <c r="L130" s="353" t="n"/>
    </row>
    <row r="131" outlineLevel="2" customFormat="1" s="8">
      <c r="B131" s="59" t="n"/>
      <c r="C131" s="505" t="n"/>
      <c r="D131" s="360" t="n"/>
      <c r="E131" s="361" t="inlineStr">
        <is>
          <t>Rif. Pagina</t>
        </is>
      </c>
      <c r="F131" s="360" t="n">
        <v>22</v>
      </c>
      <c r="G131" s="360" t="n"/>
      <c r="H131" s="360" t="n">
        <v>23</v>
      </c>
      <c r="I131" s="360" t="n">
        <v>22</v>
      </c>
      <c r="J131" s="360" t="n">
        <v>22</v>
      </c>
      <c r="K131" s="360" t="n"/>
      <c r="L131" s="360" t="n"/>
    </row>
    <row r="132" outlineLevel="2" customFormat="1" s="8">
      <c r="B132" s="59" t="n"/>
      <c r="C132" s="430" t="n"/>
      <c r="D132" s="233" t="n"/>
      <c r="E132" s="234" t="inlineStr">
        <is>
          <t>Funzioni AI</t>
        </is>
      </c>
      <c r="F132" s="240" t="n"/>
      <c r="G132" s="235" t="n"/>
      <c r="H132" s="240" t="n"/>
      <c r="I132" s="240" t="n"/>
      <c r="J132" s="240" t="n"/>
      <c r="K132" s="235" t="n"/>
      <c r="L132" s="236" t="n"/>
    </row>
    <row r="133" customFormat="1" s="8">
      <c r="A133" s="347" t="inlineStr">
        <is>
          <t>AUX_230V,_50Hz_Sockets</t>
        </is>
      </c>
      <c r="B133" s="354" t="n"/>
      <c r="C133" s="181" t="n"/>
      <c r="D133" s="349" t="inlineStr">
        <is>
          <t>\</t>
        </is>
      </c>
      <c r="E133" s="350" t="n"/>
      <c r="F133" s="351" t="n"/>
      <c r="G133" s="351" t="n"/>
      <c r="H133" s="351" t="n"/>
      <c r="I133" s="351" t="n"/>
      <c r="J133" s="351" t="n"/>
      <c r="K133" s="351" t="n"/>
      <c r="L133" s="352" t="n"/>
    </row>
    <row r="134" outlineLevel="1" customFormat="1" s="8">
      <c r="B134" s="59" t="n"/>
      <c r="C134" s="332" t="inlineStr">
        <is>
          <t>CONFIG</t>
        </is>
      </c>
      <c r="D134" s="356" t="inlineStr">
        <is>
          <t>FRS_Aux Electrical Supply</t>
        </is>
      </c>
      <c r="E134" s="357" t="inlineStr">
        <is>
          <t>Link</t>
        </is>
      </c>
      <c r="F134" s="334">
        <f t="array" ref="F134">HYPERLINK(CONCATENATE(Cartelle!$D$5,F$1,"/",$C134,"/",MID($D134,1,FIND("_",$D134)-1),"/",INDIRECT(CONCATENATE("'" &amp; $C134 &amp; "'!",ADDRESS(MATCH($D134, INDIRECT("'" &amp; $C134 &amp; "'!$B:$B"), 0),MATCH(F$1, INDIRECT("'" &amp; $C134 &amp; "'!$1:$1"), 0)))),".",INDIRECT(CONCATENATE("'"&amp;$C134&amp;"'!",ADDRESS(MATCH($D134,INDIRECT("'"&amp;$C134&amp;"'!$B:$B"),0),3))),"#page=",F135),CONCATENATE("#Sharepoint//",$D134))</f>
        <v/>
      </c>
      <c r="G134" s="334" t="n"/>
      <c r="H134" s="334">
        <f t="array" ref="H134">HYPERLINK(CONCATENATE(Cartelle!$D$5,INDEX(INDIRECT("'" &amp; $C134 &amp; "'!$1:$1"), 1, MATCH(INDIRECT(CONCATENATE("'" &amp; $C134 &amp; "'!",ADDRESS(MATCH($D134, INDIRECT("'" &amp; $C134 &amp; "'!$B:$B"), 0),MATCH(H$1, INDIRECT("'" &amp; $C134 &amp; "'!$1:$1"), 0)))),INDIRECT(CONCATENATE("'" &amp; $C134 &amp; "'!",MATCH($D134, INDIRECT("'" &amp; $C134 &amp; "'!$B:$B"), 0),":",MATCH($D134, INDIRECT("'" &amp; $C134 &amp; "'!$B:$B"), 0))),0)),"/",$C134,"/",MID($D134,1,FIND("_",$D134)-1),"/",INDIRECT(CONCATENATE("'" &amp; $C134 &amp; "'!",ADDRESS(MATCH($D134, INDIRECT("'" &amp; $C134 &amp; "'!$B:$B"), 0),MATCH(H$1, INDIRECT("'" &amp; $C134 &amp; "'!$1:$1"), 0)))),".",INDIRECT(CONCATENATE("'"&amp;$C134&amp;"'!",ADDRESS(MATCH($D134,INDIRECT("'"&amp;$C134&amp;"'!$B:$B"),0),3))),"#page=",H135),CONCATENATE("#Sharepoint//",$D134))</f>
        <v/>
      </c>
      <c r="I134" s="334">
        <f t="array" ref="I134">HYPERLINK(CONCATENATE(Cartelle!$D$5,INDEX(INDIRECT("'" &amp; $C134 &amp; "'!$1:$1"), 1, MATCH(INDIRECT(CONCATENATE("'" &amp; $C134 &amp; "'!",ADDRESS(MATCH($D134, INDIRECT("'" &amp; $C134 &amp; "'!$B:$B"), 0),MATCH(I$1, INDIRECT("'" &amp; $C134 &amp; "'!$1:$1"), 0)))),INDIRECT(CONCATENATE("'" &amp; $C134 &amp; "'!",MATCH($D134, INDIRECT("'" &amp; $C134 &amp; "'!$B:$B"), 0),":",MATCH($D134, INDIRECT("'" &amp; $C134 &amp; "'!$B:$B"), 0))),0)),"/",$C134,"/",MID($D134,1,FIND("_",$D134)-1),"/",INDIRECT(CONCATENATE("'" &amp; $C134 &amp; "'!",ADDRESS(MATCH($D134, INDIRECT("'" &amp; $C134 &amp; "'!$B:$B"), 0),MATCH(I$1, INDIRECT("'" &amp; $C134 &amp; "'!$1:$1"), 0)))),".",INDIRECT(CONCATENATE("'"&amp;$C134&amp;"'!",ADDRESS(MATCH($D134,INDIRECT("'"&amp;$C134&amp;"'!$B:$B"),0),3))),"#page=",I135),CONCATENATE("#Sharepoint//",$D134))</f>
        <v/>
      </c>
      <c r="J134" s="334">
        <f t="array" ref="J134">HYPERLINK(CONCATENATE(Cartelle!$D$5,INDEX(INDIRECT("'" &amp; $C134 &amp; "'!$1:$1"), 1, MATCH(INDIRECT(CONCATENATE("'" &amp; $C134 &amp; "'!",ADDRESS(MATCH($D134, INDIRECT("'" &amp; $C134 &amp; "'!$B:$B"), 0),MATCH(J$1, INDIRECT("'" &amp; $C134 &amp; "'!$1:$1"), 0)))),INDIRECT(CONCATENATE("'" &amp; $C134 &amp; "'!",MATCH($D134, INDIRECT("'" &amp; $C134 &amp; "'!$B:$B"), 0),":",MATCH($D134, INDIRECT("'" &amp; $C134 &amp; "'!$B:$B"), 0))),0)),"/",$C134,"/",MID($D134,1,FIND("_",$D134)-1),"/",INDIRECT(CONCATENATE("'" &amp; $C134 &amp; "'!",ADDRESS(MATCH($D134, INDIRECT("'" &amp; $C134 &amp; "'!$B:$B"), 0),MATCH(J$1, INDIRECT("'" &amp; $C134 &amp; "'!$1:$1"), 0)))),".",INDIRECT(CONCATENATE("'"&amp;$C134&amp;"'!",ADDRESS(MATCH($D134,INDIRECT("'"&amp;$C134&amp;"'!$B:$B"),0),3))),"#page=",J135),CONCATENATE("#Sharepoint//",$D134))</f>
        <v/>
      </c>
      <c r="K134" s="353" t="n"/>
      <c r="L134" s="353" t="n"/>
    </row>
    <row r="135" outlineLevel="2" customFormat="1" s="8">
      <c r="B135" s="59" t="n"/>
      <c r="C135" s="505" t="n"/>
      <c r="D135" s="360" t="n"/>
      <c r="E135" s="361" t="inlineStr">
        <is>
          <t>Rif. Pagina</t>
        </is>
      </c>
      <c r="F135" s="360" t="n">
        <v>23</v>
      </c>
      <c r="G135" s="360" t="n"/>
      <c r="H135" s="360" t="n">
        <v>24</v>
      </c>
      <c r="I135" s="360" t="n">
        <v>23</v>
      </c>
      <c r="J135" s="360" t="n">
        <v>23</v>
      </c>
      <c r="K135" s="360" t="n"/>
      <c r="L135" s="360" t="n"/>
    </row>
    <row r="136" outlineLevel="2" customFormat="1" s="8">
      <c r="B136" s="59" t="n"/>
      <c r="C136" s="430" t="n"/>
      <c r="D136" s="233" t="n"/>
      <c r="E136" s="234" t="inlineStr">
        <is>
          <t>Funzioni AI</t>
        </is>
      </c>
      <c r="F136" s="239" t="n"/>
      <c r="G136" s="235" t="n"/>
      <c r="H136" s="239" t="n"/>
      <c r="I136" s="239" t="n"/>
      <c r="J136" s="239" t="n"/>
      <c r="K136" s="235" t="n"/>
      <c r="L136" s="236" t="n"/>
    </row>
    <row r="137" customFormat="1" s="8">
      <c r="A137" s="347" t="inlineStr">
        <is>
          <t>AUX_Mini_Circuit_Breaker_Supervision</t>
        </is>
      </c>
      <c r="B137" s="354" t="n"/>
      <c r="C137" s="181" t="n"/>
      <c r="D137" s="349" t="inlineStr">
        <is>
          <t>\</t>
        </is>
      </c>
      <c r="E137" s="350" t="n"/>
      <c r="F137" s="351" t="n"/>
      <c r="G137" s="351" t="n"/>
      <c r="H137" s="351" t="n"/>
      <c r="I137" s="351" t="n"/>
      <c r="J137" s="351" t="n"/>
      <c r="K137" s="351" t="n"/>
      <c r="L137" s="352" t="n"/>
    </row>
    <row r="138" outlineLevel="1" customFormat="1" s="8">
      <c r="B138" s="59" t="n"/>
      <c r="C138" s="332" t="inlineStr">
        <is>
          <t>CONFIG</t>
        </is>
      </c>
      <c r="D138" s="356" t="inlineStr">
        <is>
          <t>FRS_Aux Electrical Supply</t>
        </is>
      </c>
      <c r="E138" s="357" t="inlineStr">
        <is>
          <t>Link</t>
        </is>
      </c>
      <c r="F138" s="334">
        <f t="array" ref="F138">HYPERLINK(CONCATENATE(Cartelle!$D$5,F$1,"/",$C138,"/",MID($D138,1,FIND("_",$D138)-1),"/",INDIRECT(CONCATENATE("'" &amp; $C138 &amp; "'!",ADDRESS(MATCH($D138, INDIRECT("'" &amp; $C138 &amp; "'!$B:$B"), 0),MATCH(F$1, INDIRECT("'" &amp; $C138 &amp; "'!$1:$1"), 0)))),".",INDIRECT(CONCATENATE("'"&amp;$C138&amp;"'!",ADDRESS(MATCH($D138,INDIRECT("'"&amp;$C138&amp;"'!$B:$B"),0),3))),"#page=",F139),CONCATENATE("#Sharepoint//",$D138))</f>
        <v/>
      </c>
      <c r="G138" s="334" t="n"/>
      <c r="H138" s="334">
        <f t="array" ref="H138">HYPERLINK(CONCATENATE(Cartelle!$D$5,INDEX(INDIRECT("'" &amp; $C138 &amp; "'!$1:$1"), 1, MATCH(INDIRECT(CONCATENATE("'" &amp; $C138 &amp; "'!",ADDRESS(MATCH($D138, INDIRECT("'" &amp; $C138 &amp; "'!$B:$B"), 0),MATCH(H$1, INDIRECT("'" &amp; $C138 &amp; "'!$1:$1"), 0)))),INDIRECT(CONCATENATE("'" &amp; $C138 &amp; "'!",MATCH($D138, INDIRECT("'" &amp; $C138 &amp; "'!$B:$B"), 0),":",MATCH($D138, INDIRECT("'" &amp; $C138 &amp; "'!$B:$B"), 0))),0)),"/",$C138,"/",MID($D138,1,FIND("_",$D138)-1),"/",INDIRECT(CONCATENATE("'" &amp; $C138 &amp; "'!",ADDRESS(MATCH($D138, INDIRECT("'" &amp; $C138 &amp; "'!$B:$B"), 0),MATCH(H$1, INDIRECT("'" &amp; $C138 &amp; "'!$1:$1"), 0)))),".",INDIRECT(CONCATENATE("'"&amp;$C138&amp;"'!",ADDRESS(MATCH($D138,INDIRECT("'"&amp;$C138&amp;"'!$B:$B"),0),3))),"#page=",H139),CONCATENATE("#Sharepoint//",$D138))</f>
        <v/>
      </c>
      <c r="I138" s="334">
        <f t="array" ref="I138">HYPERLINK(CONCATENATE(Cartelle!$D$5,INDEX(INDIRECT("'" &amp; $C138 &amp; "'!$1:$1"), 1, MATCH(INDIRECT(CONCATENATE("'" &amp; $C138 &amp; "'!",ADDRESS(MATCH($D138, INDIRECT("'" &amp; $C138 &amp; "'!$B:$B"), 0),MATCH(I$1, INDIRECT("'" &amp; $C138 &amp; "'!$1:$1"), 0)))),INDIRECT(CONCATENATE("'" &amp; $C138 &amp; "'!",MATCH($D138, INDIRECT("'" &amp; $C138 &amp; "'!$B:$B"), 0),":",MATCH($D138, INDIRECT("'" &amp; $C138 &amp; "'!$B:$B"), 0))),0)),"/",$C138,"/",MID($D138,1,FIND("_",$D138)-1),"/",INDIRECT(CONCATENATE("'" &amp; $C138 &amp; "'!",ADDRESS(MATCH($D138, INDIRECT("'" &amp; $C138 &amp; "'!$B:$B"), 0),MATCH(I$1, INDIRECT("'" &amp; $C138 &amp; "'!$1:$1"), 0)))),".",INDIRECT(CONCATENATE("'"&amp;$C138&amp;"'!",ADDRESS(MATCH($D138,INDIRECT("'"&amp;$C138&amp;"'!$B:$B"),0),3))),"#page=",I139),CONCATENATE("#Sharepoint//",$D138))</f>
        <v/>
      </c>
      <c r="J138" s="334">
        <f t="array" ref="J138">HYPERLINK(CONCATENATE(Cartelle!$D$5,INDEX(INDIRECT("'" &amp; $C138 &amp; "'!$1:$1"), 1, MATCH(INDIRECT(CONCATENATE("'" &amp; $C138 &amp; "'!",ADDRESS(MATCH($D138, INDIRECT("'" &amp; $C138 &amp; "'!$B:$B"), 0),MATCH(J$1, INDIRECT("'" &amp; $C138 &amp; "'!$1:$1"), 0)))),INDIRECT(CONCATENATE("'" &amp; $C138 &amp; "'!",MATCH($D138, INDIRECT("'" &amp; $C138 &amp; "'!$B:$B"), 0),":",MATCH($D138, INDIRECT("'" &amp; $C138 &amp; "'!$B:$B"), 0))),0)),"/",$C138,"/",MID($D138,1,FIND("_",$D138)-1),"/",INDIRECT(CONCATENATE("'" &amp; $C138 &amp; "'!",ADDRESS(MATCH($D138, INDIRECT("'" &amp; $C138 &amp; "'!$B:$B"), 0),MATCH(J$1, INDIRECT("'" &amp; $C138 &amp; "'!$1:$1"), 0)))),".",INDIRECT(CONCATENATE("'"&amp;$C138&amp;"'!",ADDRESS(MATCH($D138,INDIRECT("'"&amp;$C138&amp;"'!$B:$B"),0),3))),"#page=",J139),CONCATENATE("#Sharepoint//",$D138))</f>
        <v/>
      </c>
      <c r="K138" s="353" t="n"/>
      <c r="L138" s="353" t="n"/>
    </row>
    <row r="139" outlineLevel="2" customFormat="1" s="8">
      <c r="B139" s="59" t="n"/>
      <c r="C139" s="430" t="n"/>
      <c r="D139" s="233" t="n"/>
      <c r="E139" s="270" t="inlineStr">
        <is>
          <t>Rif. Pagina</t>
        </is>
      </c>
      <c r="F139" s="233" t="n">
        <v>24</v>
      </c>
      <c r="G139" s="233" t="n">
        <v>24</v>
      </c>
      <c r="H139" s="233" t="n">
        <v>25</v>
      </c>
      <c r="I139" s="233" t="n">
        <v>24</v>
      </c>
      <c r="J139" s="233" t="n">
        <v>24</v>
      </c>
      <c r="K139" s="233" t="n"/>
      <c r="L139" s="233" t="n"/>
    </row>
    <row r="140" outlineLevel="2" customFormat="1" s="8">
      <c r="B140" s="59" t="n"/>
      <c r="C140" s="430" t="n"/>
      <c r="D140" s="233" t="n"/>
      <c r="E140" s="234" t="inlineStr">
        <is>
          <t>Funzioni AI</t>
        </is>
      </c>
      <c r="F140" s="240" t="n"/>
      <c r="G140" s="235" t="n"/>
      <c r="H140" s="240" t="n"/>
      <c r="I140" s="240" t="n"/>
      <c r="J140" s="240" t="n"/>
      <c r="K140" s="235" t="n"/>
      <c r="L140" s="236" t="n"/>
    </row>
    <row r="141">
      <c r="A141" s="181" t="inlineStr">
        <is>
          <t>BAT_Failure_cases_battery_system</t>
        </is>
      </c>
      <c r="B141" s="362" t="n"/>
      <c r="C141" s="181" t="n"/>
      <c r="D141" s="363" t="inlineStr">
        <is>
          <t>\</t>
        </is>
      </c>
      <c r="E141" s="162" t="n"/>
      <c r="F141" s="163" t="n"/>
      <c r="G141" s="163" t="n"/>
      <c r="H141" s="163" t="n"/>
      <c r="I141" s="163" t="n"/>
      <c r="J141" s="163" t="n"/>
      <c r="K141" s="163" t="n"/>
      <c r="L141" s="164" t="n"/>
    </row>
    <row r="142" outlineLevel="1" s="462">
      <c r="B142" s="169" t="n"/>
      <c r="C142" s="332" t="inlineStr">
        <is>
          <t>CONFIG</t>
        </is>
      </c>
      <c r="D142" s="364" t="inlineStr">
        <is>
          <t>FRS_Battery</t>
        </is>
      </c>
      <c r="E142" s="365" t="inlineStr">
        <is>
          <t>Link</t>
        </is>
      </c>
      <c r="F142" s="334">
        <f t="array" ref="F142">HYPERLINK(CONCATENATE(Cartelle!$D$5,F$1,"/",$C142,"/",MID($D142,1,FIND("_",$D142)-1),"/",INDIRECT(CONCATENATE("'" &amp; $C142 &amp; "'!",ADDRESS(MATCH($D142, INDIRECT("'" &amp; $C142 &amp; "'!$B:$B"), 0),MATCH(F$1, INDIRECT("'" &amp; $C142 &amp; "'!$1:$1"), 0)))),".",INDIRECT(CONCATENATE("'"&amp;$C142&amp;"'!",ADDRESS(MATCH($D142,INDIRECT("'"&amp;$C142&amp;"'!$B:$B"),0),3))),"#page=",F143),CONCATENATE("#Sharepoint//",$D142))</f>
        <v/>
      </c>
      <c r="G142" s="334" t="n"/>
      <c r="H142" s="334" t="n"/>
      <c r="I142" s="334" t="n"/>
      <c r="J142" s="334">
        <f t="array" ref="J142">HYPERLINK(CONCATENATE(Cartelle!$D$5,INDEX(INDIRECT("'" &amp; $C142 &amp; "'!$1:$1"), 1, MATCH(INDIRECT(CONCATENATE("'" &amp; $C142 &amp; "'!",ADDRESS(MATCH($D142, INDIRECT("'" &amp; $C142 &amp; "'!$B:$B"), 0),MATCH(J$1, INDIRECT("'" &amp; $C142 &amp; "'!$1:$1"), 0)))),INDIRECT(CONCATENATE("'" &amp; $C142 &amp; "'!",MATCH($D142, INDIRECT("'" &amp; $C142 &amp; "'!$B:$B"), 0),":",MATCH($D142, INDIRECT("'" &amp; $C142 &amp; "'!$B:$B"), 0))),0)),"/",$C142,"/",MID($D142,1,FIND("_",$D142)-1),"/",INDIRECT(CONCATENATE("'" &amp; $C142 &amp; "'!",ADDRESS(MATCH($D142, INDIRECT("'" &amp; $C142 &amp; "'!$B:$B"), 0),MATCH(J$1, INDIRECT("'" &amp; $C142 &amp; "'!$1:$1"), 0)))),".",INDIRECT(CONCATENATE("'"&amp;$C142&amp;"'!",ADDRESS(MATCH($D142,INDIRECT("'"&amp;$C142&amp;"'!$B:$B"),0),3))),"#page=",J143),CONCATENATE("#Sharepoint//",$D142))</f>
        <v/>
      </c>
      <c r="K142" s="353" t="n"/>
      <c r="L142" s="353" t="n"/>
    </row>
    <row r="143" outlineLevel="2" s="462">
      <c r="B143" s="169" t="n"/>
      <c r="D143" s="166" t="n"/>
      <c r="E143" s="165" t="inlineStr">
        <is>
          <t>Rif. Pagina</t>
        </is>
      </c>
      <c r="F143" s="166" t="n">
        <v>8</v>
      </c>
      <c r="G143" s="166" t="n">
        <v>8</v>
      </c>
      <c r="H143" s="166" t="n">
        <v>8</v>
      </c>
      <c r="I143" s="166" t="n">
        <v>8</v>
      </c>
      <c r="J143" s="166" t="n">
        <v>8</v>
      </c>
      <c r="K143" s="166" t="n"/>
      <c r="L143" s="166" t="n"/>
    </row>
    <row r="144" outlineLevel="2" customFormat="1" s="8">
      <c r="B144" s="59" t="n"/>
      <c r="C144" s="430" t="n"/>
      <c r="D144" s="233" t="n"/>
      <c r="E144" s="234" t="inlineStr">
        <is>
          <t>Funzioni AI</t>
        </is>
      </c>
      <c r="F144" s="239" t="n"/>
      <c r="G144" s="235" t="n"/>
      <c r="H144" s="235" t="n"/>
      <c r="I144" s="235" t="n"/>
      <c r="J144" s="239" t="n"/>
      <c r="K144" s="235" t="n"/>
      <c r="L144" s="236" t="n"/>
    </row>
    <row r="145">
      <c r="A145" s="181" t="inlineStr">
        <is>
          <t>BAT_Function_Battery_Isolation</t>
        </is>
      </c>
      <c r="B145" s="362" t="n"/>
      <c r="C145" s="181" t="n"/>
      <c r="D145" s="363" t="inlineStr">
        <is>
          <t>\</t>
        </is>
      </c>
      <c r="E145" s="162" t="n"/>
      <c r="F145" s="163" t="n"/>
      <c r="G145" s="163" t="n"/>
      <c r="H145" s="163" t="n"/>
      <c r="I145" s="163" t="n"/>
      <c r="J145" s="163" t="n"/>
      <c r="K145" s="163" t="n"/>
      <c r="L145" s="164" t="n"/>
    </row>
    <row r="146" outlineLevel="1" s="462">
      <c r="B146" s="169" t="n"/>
      <c r="C146" s="332" t="inlineStr">
        <is>
          <t>CONFIG</t>
        </is>
      </c>
      <c r="D146" s="364" t="inlineStr">
        <is>
          <t>FRS_Battery</t>
        </is>
      </c>
      <c r="E146" s="365" t="inlineStr">
        <is>
          <t>Link</t>
        </is>
      </c>
      <c r="F146" s="334">
        <f t="array" ref="F146">HYPERLINK(CONCATENATE(Cartelle!$D$5,F$1,"/",$C146,"/",MID($D146,1,FIND("_",$D146)-1),"/",INDIRECT(CONCATENATE("'" &amp; $C146 &amp; "'!",ADDRESS(MATCH($D146, INDIRECT("'" &amp; $C146 &amp; "'!$B:$B"), 0),MATCH(F$1, INDIRECT("'" &amp; $C146 &amp; "'!$1:$1"), 0)))),".",INDIRECT(CONCATENATE("'"&amp;$C146&amp;"'!",ADDRESS(MATCH($D146,INDIRECT("'"&amp;$C146&amp;"'!$B:$B"),0),3))),"#page=",F147),CONCATENATE("#Sharepoint//",$D146))</f>
        <v/>
      </c>
      <c r="G146" s="334" t="n"/>
      <c r="H146" s="334" t="n"/>
      <c r="I146" s="334" t="n"/>
      <c r="J146" s="334">
        <f t="array" ref="J146">HYPERLINK(CONCATENATE(Cartelle!$D$5,INDEX(INDIRECT("'" &amp; $C146 &amp; "'!$1:$1"), 1, MATCH(INDIRECT(CONCATENATE("'" &amp; $C146 &amp; "'!",ADDRESS(MATCH($D146, INDIRECT("'" &amp; $C146 &amp; "'!$B:$B"), 0),MATCH(J$1, INDIRECT("'" &amp; $C146 &amp; "'!$1:$1"), 0)))),INDIRECT(CONCATENATE("'" &amp; $C146 &amp; "'!",MATCH($D146, INDIRECT("'" &amp; $C146 &amp; "'!$B:$B"), 0),":",MATCH($D146, INDIRECT("'" &amp; $C146 &amp; "'!$B:$B"), 0))),0)),"/",$C146,"/",MID($D146,1,FIND("_",$D146)-1),"/",INDIRECT(CONCATENATE("'" &amp; $C146 &amp; "'!",ADDRESS(MATCH($D146, INDIRECT("'" &amp; $C146 &amp; "'!$B:$B"), 0),MATCH(J$1, INDIRECT("'" &amp; $C146 &amp; "'!$1:$1"), 0)))),".",INDIRECT(CONCATENATE("'"&amp;$C146&amp;"'!",ADDRESS(MATCH($D146,INDIRECT("'"&amp;$C146&amp;"'!$B:$B"),0),3))),"#page=",J147),CONCATENATE("#Sharepoint//",$D146))</f>
        <v/>
      </c>
      <c r="K146" s="353" t="n"/>
      <c r="L146" s="353" t="n"/>
    </row>
    <row r="147" outlineLevel="2" s="462">
      <c r="B147" s="169" t="n"/>
      <c r="D147" s="166" t="n"/>
      <c r="E147" s="165" t="inlineStr">
        <is>
          <t>Rif. Pagina</t>
        </is>
      </c>
      <c r="F147" s="166" t="n">
        <v>9</v>
      </c>
      <c r="G147" s="166" t="n"/>
      <c r="H147" s="166" t="n"/>
      <c r="I147" s="166" t="n"/>
      <c r="J147" s="166" t="n">
        <v>9</v>
      </c>
      <c r="K147" s="166" t="n"/>
      <c r="L147" s="166" t="n"/>
    </row>
    <row r="148" outlineLevel="2" customFormat="1" s="8">
      <c r="B148" s="59" t="n"/>
      <c r="C148" s="430" t="n"/>
      <c r="D148" s="233" t="n"/>
      <c r="E148" s="234" t="inlineStr">
        <is>
          <t>Funzioni AI</t>
        </is>
      </c>
      <c r="F148" s="239" t="n"/>
      <c r="G148" s="235" t="n"/>
      <c r="H148" s="235" t="n"/>
      <c r="I148" s="235" t="n"/>
      <c r="J148" s="239" t="n"/>
      <c r="K148" s="235" t="n"/>
      <c r="L148" s="236" t="n"/>
    </row>
    <row r="149">
      <c r="A149" s="181" t="inlineStr">
        <is>
          <t>BAT_Battery_Contactors</t>
        </is>
      </c>
      <c r="B149" s="362" t="n"/>
      <c r="C149" s="181" t="n"/>
      <c r="D149" s="363" t="inlineStr">
        <is>
          <t>\</t>
        </is>
      </c>
      <c r="E149" s="162" t="n"/>
      <c r="F149" s="163" t="n"/>
      <c r="G149" s="163" t="n"/>
      <c r="H149" s="163" t="n"/>
      <c r="I149" s="163" t="n"/>
      <c r="J149" s="163" t="n"/>
      <c r="K149" s="163" t="n"/>
      <c r="L149" s="164" t="n"/>
    </row>
    <row r="150" outlineLevel="1" s="462">
      <c r="B150" s="169" t="n"/>
      <c r="C150" s="332" t="inlineStr">
        <is>
          <t>CONFIG</t>
        </is>
      </c>
      <c r="D150" s="364" t="inlineStr">
        <is>
          <t>FRS_Battery</t>
        </is>
      </c>
      <c r="E150" s="365" t="inlineStr">
        <is>
          <t>Link</t>
        </is>
      </c>
      <c r="F150" s="334">
        <f t="array" ref="F150">HYPERLINK(CONCATENATE(Cartelle!$D$5,F$1,"/",$C150,"/",MID($D150,1,FIND("_",$D150)-1),"/",INDIRECT(CONCATENATE("'" &amp; $C150 &amp; "'!",ADDRESS(MATCH($D150, INDIRECT("'" &amp; $C150 &amp; "'!$B:$B"), 0),MATCH(F$1, INDIRECT("'" &amp; $C150 &amp; "'!$1:$1"), 0)))),".",INDIRECT(CONCATENATE("'"&amp;$C150&amp;"'!",ADDRESS(MATCH($D150,INDIRECT("'"&amp;$C150&amp;"'!$B:$B"),0),3))),"#page=",F151),CONCATENATE("#Sharepoint//",$D150))</f>
        <v/>
      </c>
      <c r="G150" s="334" t="n"/>
      <c r="H150" s="334" t="n"/>
      <c r="I150" s="334" t="n"/>
      <c r="J150" s="334">
        <f t="array" ref="J150">HYPERLINK(CONCATENATE(Cartelle!$D$5,INDEX(INDIRECT("'" &amp; $C150 &amp; "'!$1:$1"), 1, MATCH(INDIRECT(CONCATENATE("'" &amp; $C150 &amp; "'!",ADDRESS(MATCH($D150, INDIRECT("'" &amp; $C150 &amp; "'!$B:$B"), 0),MATCH(J$1, INDIRECT("'" &amp; $C150 &amp; "'!$1:$1"), 0)))),INDIRECT(CONCATENATE("'" &amp; $C150 &amp; "'!",MATCH($D150, INDIRECT("'" &amp; $C150 &amp; "'!$B:$B"), 0),":",MATCH($D150, INDIRECT("'" &amp; $C150 &amp; "'!$B:$B"), 0))),0)),"/",$C150,"/",MID($D150,1,FIND("_",$D150)-1),"/",INDIRECT(CONCATENATE("'" &amp; $C150 &amp; "'!",ADDRESS(MATCH($D150, INDIRECT("'" &amp; $C150 &amp; "'!$B:$B"), 0),MATCH(J$1, INDIRECT("'" &amp; $C150 &amp; "'!$1:$1"), 0)))),".",INDIRECT(CONCATENATE("'"&amp;$C150&amp;"'!",ADDRESS(MATCH($D150,INDIRECT("'"&amp;$C150&amp;"'!$B:$B"),0),3))),"#page=",J151),CONCATENATE("#Sharepoint//",$D150))</f>
        <v/>
      </c>
      <c r="K150" s="353" t="n"/>
      <c r="L150" s="353" t="n"/>
    </row>
    <row r="151" outlineLevel="2" s="462">
      <c r="B151" s="169" t="n"/>
      <c r="D151" s="166" t="n"/>
      <c r="E151" s="165" t="inlineStr">
        <is>
          <t>Rif. Pagina</t>
        </is>
      </c>
      <c r="F151" s="166" t="n">
        <v>11</v>
      </c>
      <c r="G151" s="166" t="n"/>
      <c r="H151" s="166" t="n"/>
      <c r="I151" s="166" t="n"/>
      <c r="J151" s="166" t="n">
        <v>11</v>
      </c>
      <c r="K151" s="166" t="n"/>
      <c r="L151" s="166" t="n"/>
    </row>
    <row r="152" outlineLevel="2" customFormat="1" s="8">
      <c r="B152" s="59" t="n"/>
      <c r="C152" s="430" t="n"/>
      <c r="D152" s="233" t="n"/>
      <c r="E152" s="234" t="inlineStr">
        <is>
          <t>Funzioni AI</t>
        </is>
      </c>
      <c r="F152" s="239" t="n"/>
      <c r="G152" s="235" t="n"/>
      <c r="H152" s="235" t="n"/>
      <c r="I152" s="235" t="n"/>
      <c r="J152" s="239" t="n"/>
      <c r="K152" s="235" t="n"/>
      <c r="L152" s="236" t="n"/>
    </row>
    <row r="153">
      <c r="A153" s="181" t="inlineStr">
        <is>
          <t>BAT_Load_Shed_Contactors</t>
        </is>
      </c>
      <c r="B153" s="362" t="n"/>
      <c r="C153" s="181" t="n"/>
      <c r="D153" s="363" t="inlineStr">
        <is>
          <t>\</t>
        </is>
      </c>
      <c r="E153" s="162" t="n"/>
      <c r="F153" s="163" t="n"/>
      <c r="G153" s="163" t="n"/>
      <c r="H153" s="163" t="n"/>
      <c r="I153" s="163" t="n"/>
      <c r="J153" s="163" t="n"/>
      <c r="K153" s="163" t="n"/>
      <c r="L153" s="164" t="n"/>
    </row>
    <row r="154" outlineLevel="1" s="462">
      <c r="B154" s="169" t="n"/>
      <c r="C154" s="332" t="inlineStr">
        <is>
          <t>CONFIG</t>
        </is>
      </c>
      <c r="D154" s="364" t="inlineStr">
        <is>
          <t>FRS_Battery</t>
        </is>
      </c>
      <c r="E154" s="365" t="inlineStr">
        <is>
          <t>Link</t>
        </is>
      </c>
      <c r="F154" s="334">
        <f t="array" ref="F154">HYPERLINK(CONCATENATE(Cartelle!$D$5,F$1,"/",$C154,"/",MID($D154,1,FIND("_",$D154)-1),"/",INDIRECT(CONCATENATE("'" &amp; $C154 &amp; "'!",ADDRESS(MATCH($D154, INDIRECT("'" &amp; $C154 &amp; "'!$B:$B"), 0),MATCH(F$1, INDIRECT("'" &amp; $C154 &amp; "'!$1:$1"), 0)))),".",INDIRECT(CONCATENATE("'"&amp;$C154&amp;"'!",ADDRESS(MATCH($D154,INDIRECT("'"&amp;$C154&amp;"'!$B:$B"),0),3))),"#page=",F155),CONCATENATE("#Sharepoint//",$D154))</f>
        <v/>
      </c>
      <c r="G154" s="334" t="n"/>
      <c r="H154" s="334" t="n"/>
      <c r="I154" s="334" t="n"/>
      <c r="J154" s="334">
        <f t="array" ref="J154">HYPERLINK(CONCATENATE(Cartelle!$D$5,INDEX(INDIRECT("'" &amp; $C154 &amp; "'!$1:$1"), 1, MATCH(INDIRECT(CONCATENATE("'" &amp; $C154 &amp; "'!",ADDRESS(MATCH($D154, INDIRECT("'" &amp; $C154 &amp; "'!$B:$B"), 0),MATCH(J$1, INDIRECT("'" &amp; $C154 &amp; "'!$1:$1"), 0)))),INDIRECT(CONCATENATE("'" &amp; $C154 &amp; "'!",MATCH($D154, INDIRECT("'" &amp; $C154 &amp; "'!$B:$B"), 0),":",MATCH($D154, INDIRECT("'" &amp; $C154 &amp; "'!$B:$B"), 0))),0)),"/",$C154,"/",MID($D154,1,FIND("_",$D154)-1),"/",INDIRECT(CONCATENATE("'" &amp; $C154 &amp; "'!",ADDRESS(MATCH($D154, INDIRECT("'" &amp; $C154 &amp; "'!$B:$B"), 0),MATCH(J$1, INDIRECT("'" &amp; $C154 &amp; "'!$1:$1"), 0)))),".",INDIRECT(CONCATENATE("'"&amp;$C154&amp;"'!",ADDRESS(MATCH($D154,INDIRECT("'"&amp;$C154&amp;"'!$B:$B"),0),3))),"#page=",J155),CONCATENATE("#Sharepoint//",$D154))</f>
        <v/>
      </c>
      <c r="K154" s="353" t="n"/>
      <c r="L154" s="353" t="n"/>
    </row>
    <row r="155" outlineLevel="2" s="462">
      <c r="B155" s="169" t="n"/>
      <c r="D155" s="166" t="n"/>
      <c r="E155" s="165" t="inlineStr">
        <is>
          <t>Rif. Pagina</t>
        </is>
      </c>
      <c r="F155" s="166" t="n">
        <v>16</v>
      </c>
      <c r="G155" s="166" t="n"/>
      <c r="H155" s="166" t="n"/>
      <c r="I155" s="166" t="n"/>
      <c r="J155" s="166" t="n">
        <v>16</v>
      </c>
      <c r="K155" s="166" t="n"/>
      <c r="L155" s="166" t="n"/>
    </row>
    <row r="156" outlineLevel="2" customFormat="1" s="8">
      <c r="B156" s="59" t="n"/>
      <c r="C156" s="430" t="n"/>
      <c r="D156" s="233" t="n"/>
      <c r="E156" s="234" t="inlineStr">
        <is>
          <t>Funzioni AI</t>
        </is>
      </c>
      <c r="F156" s="239" t="n"/>
      <c r="G156" s="235" t="n"/>
      <c r="H156" s="235" t="n"/>
      <c r="I156" s="235" t="n"/>
      <c r="J156" s="239" t="n"/>
      <c r="K156" s="235" t="n"/>
      <c r="L156" s="236" t="n"/>
    </row>
    <row r="157">
      <c r="A157" s="181" t="inlineStr">
        <is>
          <t>BAT_DC_Busline_Distribution</t>
        </is>
      </c>
      <c r="B157" s="362" t="n"/>
      <c r="C157" s="181" t="n"/>
      <c r="D157" s="363" t="inlineStr">
        <is>
          <t>\</t>
        </is>
      </c>
      <c r="E157" s="162" t="n"/>
      <c r="F157" s="163" t="n"/>
      <c r="G157" s="163" t="n"/>
      <c r="H157" s="163" t="n"/>
      <c r="I157" s="163" t="n"/>
      <c r="J157" s="163" t="n"/>
      <c r="K157" s="163" t="n"/>
      <c r="L157" s="164" t="n"/>
    </row>
    <row r="158" outlineLevel="1" s="462">
      <c r="B158" s="169" t="n"/>
      <c r="C158" s="332" t="inlineStr">
        <is>
          <t>CONFIG</t>
        </is>
      </c>
      <c r="D158" s="364" t="inlineStr">
        <is>
          <t>FRS_Battery</t>
        </is>
      </c>
      <c r="E158" s="365" t="inlineStr">
        <is>
          <t>Link</t>
        </is>
      </c>
      <c r="F158" s="334">
        <f t="array" ref="F158">HYPERLINK(CONCATENATE(Cartelle!$D$5,F$1,"/",$C158,"/",MID($D158,1,FIND("_",$D158)-1),"/",INDIRECT(CONCATENATE("'" &amp; $C158 &amp; "'!",ADDRESS(MATCH($D158, INDIRECT("'" &amp; $C158 &amp; "'!$B:$B"), 0),MATCH(F$1, INDIRECT("'" &amp; $C158 &amp; "'!$1:$1"), 0)))),".",INDIRECT(CONCATENATE("'"&amp;$C158&amp;"'!",ADDRESS(MATCH($D158,INDIRECT("'"&amp;$C158&amp;"'!$B:$B"),0),3))),"#page=",F159),CONCATENATE("#Sharepoint//",$D158))</f>
        <v/>
      </c>
      <c r="G158" s="334" t="n"/>
      <c r="H158" s="334" t="n"/>
      <c r="I158" s="334" t="n"/>
      <c r="J158" s="334">
        <f t="array" ref="J158">HYPERLINK(CONCATENATE(Cartelle!$D$5,INDEX(INDIRECT("'" &amp; $C158 &amp; "'!$1:$1"), 1, MATCH(INDIRECT(CONCATENATE("'" &amp; $C158 &amp; "'!",ADDRESS(MATCH($D158, INDIRECT("'" &amp; $C158 &amp; "'!$B:$B"), 0),MATCH(J$1, INDIRECT("'" &amp; $C158 &amp; "'!$1:$1"), 0)))),INDIRECT(CONCATENATE("'" &amp; $C158 &amp; "'!",MATCH($D158, INDIRECT("'" &amp; $C158 &amp; "'!$B:$B"), 0),":",MATCH($D158, INDIRECT("'" &amp; $C158 &amp; "'!$B:$B"), 0))),0)),"/",$C158,"/",MID($D158,1,FIND("_",$D158)-1),"/",INDIRECT(CONCATENATE("'" &amp; $C158 &amp; "'!",ADDRESS(MATCH($D158, INDIRECT("'" &amp; $C158 &amp; "'!$B:$B"), 0),MATCH(J$1, INDIRECT("'" &amp; $C158 &amp; "'!$1:$1"), 0)))),".",INDIRECT(CONCATENATE("'"&amp;$C158&amp;"'!",ADDRESS(MATCH($D158,INDIRECT("'"&amp;$C158&amp;"'!$B:$B"),0),3))),"#page=",J159),CONCATENATE("#Sharepoint//",$D158))</f>
        <v/>
      </c>
      <c r="K158" s="353" t="n"/>
      <c r="L158" s="353" t="n"/>
    </row>
    <row r="159" outlineLevel="2" s="462">
      <c r="B159" s="169" t="n"/>
      <c r="D159" s="166" t="n"/>
      <c r="E159" s="165" t="inlineStr">
        <is>
          <t>Rif. Pagina</t>
        </is>
      </c>
      <c r="F159" s="166" t="n">
        <v>19</v>
      </c>
      <c r="G159" s="166" t="n"/>
      <c r="H159" s="166" t="n"/>
      <c r="I159" s="166" t="n"/>
      <c r="J159" s="166" t="n">
        <v>19</v>
      </c>
      <c r="K159" s="166" t="n"/>
      <c r="L159" s="166" t="n"/>
    </row>
    <row r="160" outlineLevel="2" customFormat="1" s="8">
      <c r="B160" s="59" t="n"/>
      <c r="C160" s="430" t="n"/>
      <c r="D160" s="233" t="n"/>
      <c r="E160" s="234" t="inlineStr">
        <is>
          <t>Funzioni AI</t>
        </is>
      </c>
      <c r="F160" s="239" t="n"/>
      <c r="G160" s="235" t="n"/>
      <c r="H160" s="235" t="n"/>
      <c r="I160" s="235" t="n"/>
      <c r="J160" s="239" t="n"/>
      <c r="K160" s="235" t="n"/>
      <c r="L160" s="236" t="n"/>
    </row>
    <row r="161">
      <c r="A161" s="181" t="inlineStr">
        <is>
          <t>BAT_Battery_Charging</t>
        </is>
      </c>
      <c r="B161" s="362" t="n"/>
      <c r="C161" s="181" t="n"/>
      <c r="D161" s="363" t="inlineStr">
        <is>
          <t>\</t>
        </is>
      </c>
      <c r="E161" s="162" t="n"/>
      <c r="F161" s="163" t="n"/>
      <c r="G161" s="163" t="n"/>
      <c r="H161" s="163" t="n"/>
      <c r="I161" s="163" t="n"/>
      <c r="J161" s="163" t="n"/>
      <c r="K161" s="163" t="n"/>
      <c r="L161" s="164" t="n"/>
    </row>
    <row r="162" outlineLevel="1" s="462">
      <c r="B162" s="169" t="n"/>
      <c r="C162" s="332" t="inlineStr">
        <is>
          <t>CONFIG</t>
        </is>
      </c>
      <c r="D162" s="364" t="inlineStr">
        <is>
          <t>FRS_Battery</t>
        </is>
      </c>
      <c r="E162" s="365" t="inlineStr">
        <is>
          <t>Link</t>
        </is>
      </c>
      <c r="F162" s="334">
        <f t="array" ref="F162">HYPERLINK(CONCATENATE(Cartelle!$D$5,F$1,"/",$C162,"/",MID($D162,1,FIND("_",$D162)-1),"/",INDIRECT(CONCATENATE("'" &amp; $C162 &amp; "'!",ADDRESS(MATCH($D162, INDIRECT("'" &amp; $C162 &amp; "'!$B:$B"), 0),MATCH(F$1, INDIRECT("'" &amp; $C162 &amp; "'!$1:$1"), 0)))),".",INDIRECT(CONCATENATE("'"&amp;$C162&amp;"'!",ADDRESS(MATCH($D162,INDIRECT("'"&amp;$C162&amp;"'!$B:$B"),0),3))),"#page=",F163),CONCATENATE("#Sharepoint//",$D162))</f>
        <v/>
      </c>
      <c r="G162" s="334" t="n"/>
      <c r="H162" s="334" t="n"/>
      <c r="I162" s="334" t="n"/>
      <c r="J162" s="334">
        <f t="array" ref="J162">HYPERLINK(CONCATENATE(Cartelle!$D$5,INDEX(INDIRECT("'" &amp; $C162 &amp; "'!$1:$1"), 1, MATCH(INDIRECT(CONCATENATE("'" &amp; $C162 &amp; "'!",ADDRESS(MATCH($D162, INDIRECT("'" &amp; $C162 &amp; "'!$B:$B"), 0),MATCH(J$1, INDIRECT("'" &amp; $C162 &amp; "'!$1:$1"), 0)))),INDIRECT(CONCATENATE("'" &amp; $C162 &amp; "'!",MATCH($D162, INDIRECT("'" &amp; $C162 &amp; "'!$B:$B"), 0),":",MATCH($D162, INDIRECT("'" &amp; $C162 &amp; "'!$B:$B"), 0))),0)),"/",$C162,"/",MID($D162,1,FIND("_",$D162)-1),"/",INDIRECT(CONCATENATE("'" &amp; $C162 &amp; "'!",ADDRESS(MATCH($D162, INDIRECT("'" &amp; $C162 &amp; "'!$B:$B"), 0),MATCH(J$1, INDIRECT("'" &amp; $C162 &amp; "'!$1:$1"), 0)))),".",INDIRECT(CONCATENATE("'"&amp;$C162&amp;"'!",ADDRESS(MATCH($D162,INDIRECT("'"&amp;$C162&amp;"'!$B:$B"),0),3))),"#page=",J163),CONCATENATE("#Sharepoint//",$D162))</f>
        <v/>
      </c>
      <c r="K162" s="353" t="n"/>
      <c r="L162" s="353" t="n"/>
    </row>
    <row r="163" outlineLevel="2" s="462">
      <c r="B163" s="169" t="n"/>
      <c r="D163" s="166" t="n"/>
      <c r="E163" s="165" t="inlineStr">
        <is>
          <t>Rif. Pagina</t>
        </is>
      </c>
      <c r="F163" s="166" t="n">
        <v>21</v>
      </c>
      <c r="G163" s="166" t="n">
        <v>21</v>
      </c>
      <c r="H163" s="166" t="n">
        <v>21</v>
      </c>
      <c r="I163" s="166" t="n">
        <v>21</v>
      </c>
      <c r="J163" s="166" t="n">
        <v>21</v>
      </c>
      <c r="K163" s="166" t="n"/>
      <c r="L163" s="166" t="n"/>
    </row>
    <row r="164" outlineLevel="2" customFormat="1" s="8">
      <c r="B164" s="59" t="n"/>
      <c r="C164" s="430" t="n"/>
      <c r="D164" s="233" t="n"/>
      <c r="E164" s="234" t="inlineStr">
        <is>
          <t>Funzioni AI</t>
        </is>
      </c>
      <c r="F164" s="239" t="n"/>
      <c r="G164" s="235" t="n"/>
      <c r="H164" s="235" t="n"/>
      <c r="I164" s="235" t="n"/>
      <c r="J164" s="239" t="n"/>
      <c r="K164" s="235" t="n"/>
      <c r="L164" s="236" t="n"/>
    </row>
    <row r="165">
      <c r="A165" s="181" t="inlineStr">
        <is>
          <t>AIR_Control_of_Main_Compressor</t>
        </is>
      </c>
      <c r="B165" s="362" t="n"/>
      <c r="C165" s="181" t="n"/>
      <c r="D165" s="363" t="inlineStr">
        <is>
          <t>\</t>
        </is>
      </c>
      <c r="E165" s="162" t="n"/>
      <c r="F165" s="163" t="n"/>
      <c r="G165" s="163" t="n"/>
      <c r="H165" s="163" t="n"/>
      <c r="I165" s="163" t="n"/>
      <c r="J165" s="163" t="n"/>
      <c r="K165" s="163" t="n"/>
      <c r="L165" s="164" t="n"/>
    </row>
    <row r="166" outlineLevel="1" s="462">
      <c r="B166" s="169" t="n"/>
      <c r="C166" s="332" t="inlineStr">
        <is>
          <t>CONFIG</t>
        </is>
      </c>
      <c r="D166" s="364" t="inlineStr">
        <is>
          <t>FRS_Air Supply</t>
        </is>
      </c>
      <c r="E166" s="365" t="inlineStr">
        <is>
          <t>Link</t>
        </is>
      </c>
      <c r="F166" s="334">
        <f t="array" ref="F166">HYPERLINK(CONCATENATE(Cartelle!$D$5,F$1,"/",$C166,"/",MID($D166,1,FIND("_",$D166)-1),"/",INDIRECT(CONCATENATE("'" &amp; $C166 &amp; "'!",ADDRESS(MATCH($D166, INDIRECT("'" &amp; $C166 &amp; "'!$B:$B"), 0),MATCH(F$1, INDIRECT("'" &amp; $C166 &amp; "'!$1:$1"), 0)))),".",INDIRECT(CONCATENATE("'"&amp;$C166&amp;"'!",ADDRESS(MATCH($D166,INDIRECT("'"&amp;$C166&amp;"'!$B:$B"),0),3))),"#page=",F167),CONCATENATE("#Sharepoint//",$D166))</f>
        <v/>
      </c>
      <c r="G166" s="334">
        <f t="array" ref="G166">HYPERLINK(CONCATENATE(Cartelle!$D$5,INDEX(INDIRECT("'" &amp; $C166 &amp; "'!$1:$1"), 1, MATCH(INDIRECT(CONCATENATE("'" &amp; $C166 &amp; "'!",ADDRESS(MATCH($D166, INDIRECT("'" &amp; $C166 &amp; "'!$B:$B"), 0),MATCH(G$1, INDIRECT("'" &amp; $C166 &amp; "'!$1:$1"), 0)))),INDIRECT(CONCATENATE("'" &amp; $C166 &amp; "'!",MATCH($D166, INDIRECT("'" &amp; $C166 &amp; "'!$B:$B"), 0),":",MATCH($D166, INDIRECT("'" &amp; $C166 &amp; "'!$B:$B"), 0))),0)),"/",$C166,"/",MID($D166,1,FIND("_",$D166)-1),"/",INDIRECT(CONCATENATE("'" &amp; $C166 &amp; "'!",ADDRESS(MATCH($D166, INDIRECT("'" &amp; $C166 &amp; "'!$B:$B"), 0),MATCH(G$1, INDIRECT("'" &amp; $C166 &amp; "'!$1:$1"), 0)))),".",INDIRECT(CONCATENATE("'"&amp;$C166&amp;"'!",ADDRESS(MATCH($D166,INDIRECT("'"&amp;$C166&amp;"'!$B:$B"),0),3))),"#page=",G167),CONCATENATE("#Sharepoint//",$D166))</f>
        <v/>
      </c>
      <c r="H166" s="358" t="n"/>
      <c r="I166" s="358" t="n"/>
      <c r="J166" s="334">
        <f t="array" ref="J166">HYPERLINK(CONCATENATE(Cartelle!$D$5,INDEX(INDIRECT("'" &amp; $C166 &amp; "'!$1:$1"), 1, MATCH(INDIRECT(CONCATENATE("'" &amp; $C166 &amp; "'!",ADDRESS(MATCH($D166, INDIRECT("'" &amp; $C166 &amp; "'!$B:$B"), 0),MATCH(J$1, INDIRECT("'" &amp; $C166 &amp; "'!$1:$1"), 0)))),INDIRECT(CONCATENATE("'" &amp; $C166 &amp; "'!",MATCH($D166, INDIRECT("'" &amp; $C166 &amp; "'!$B:$B"), 0),":",MATCH($D166, INDIRECT("'" &amp; $C166 &amp; "'!$B:$B"), 0))),0)),"/",$C166,"/",MID($D166,1,FIND("_",$D166)-1),"/",INDIRECT(CONCATENATE("'" &amp; $C166 &amp; "'!",ADDRESS(MATCH($D166, INDIRECT("'" &amp; $C166 &amp; "'!$B:$B"), 0),MATCH(J$1, INDIRECT("'" &amp; $C166 &amp; "'!$1:$1"), 0)))),".",INDIRECT(CONCATENATE("'"&amp;$C166&amp;"'!",ADDRESS(MATCH($D166,INDIRECT("'"&amp;$C166&amp;"'!$B:$B"),0),3))),"#page=",J167),CONCATENATE("#Sharepoint//",$D166))</f>
        <v/>
      </c>
      <c r="K166" s="353" t="n"/>
      <c r="L166" s="353" t="n"/>
    </row>
    <row r="167" outlineLevel="2" s="462">
      <c r="B167" s="169" t="n"/>
      <c r="D167" s="168" t="n"/>
      <c r="E167" s="167" t="inlineStr">
        <is>
          <t>Rif. Pagina</t>
        </is>
      </c>
      <c r="F167" s="168" t="n">
        <v>6</v>
      </c>
      <c r="G167" s="168" t="n">
        <v>6</v>
      </c>
      <c r="H167" s="168" t="n">
        <v>6</v>
      </c>
      <c r="I167" s="168" t="n">
        <v>6</v>
      </c>
      <c r="J167" s="168" t="n">
        <v>6</v>
      </c>
      <c r="K167" s="168" t="n"/>
      <c r="L167" s="168" t="n"/>
    </row>
    <row r="168" outlineLevel="2" customFormat="1" s="8">
      <c r="B168" s="59" t="n"/>
      <c r="C168" s="430" t="n"/>
      <c r="D168" s="233" t="n"/>
      <c r="E168" s="234" t="inlineStr">
        <is>
          <t>Funzioni AI</t>
        </is>
      </c>
      <c r="F168" s="239" t="n"/>
      <c r="G168" s="239" t="n"/>
      <c r="H168" s="235" t="n"/>
      <c r="I168" s="235" t="n"/>
      <c r="J168" s="239" t="n"/>
      <c r="K168" s="235" t="n"/>
      <c r="L168" s="236" t="n"/>
    </row>
    <row r="169">
      <c r="A169" s="181" t="inlineStr">
        <is>
          <t>AIR_Monitoring_of_Main_Compressor</t>
        </is>
      </c>
      <c r="B169" s="362" t="n"/>
      <c r="C169" s="181" t="n"/>
      <c r="D169" s="363" t="inlineStr">
        <is>
          <t>\</t>
        </is>
      </c>
      <c r="E169" s="162" t="n"/>
      <c r="F169" s="163" t="n"/>
      <c r="G169" s="163" t="n"/>
      <c r="H169" s="163" t="n"/>
      <c r="I169" s="163" t="n"/>
      <c r="J169" s="163" t="n"/>
      <c r="K169" s="163" t="n"/>
      <c r="L169" s="164" t="n"/>
    </row>
    <row r="170" outlineLevel="1" s="462">
      <c r="B170" s="169" t="n"/>
      <c r="C170" s="332" t="inlineStr">
        <is>
          <t>CONFIG</t>
        </is>
      </c>
      <c r="D170" s="364" t="inlineStr">
        <is>
          <t>FRS_Air Supply</t>
        </is>
      </c>
      <c r="E170" s="365" t="inlineStr">
        <is>
          <t>Link</t>
        </is>
      </c>
      <c r="F170" s="334">
        <f t="array" ref="F170">HYPERLINK(CONCATENATE(Cartelle!$D$5,F$1,"/",$C170,"/",MID($D170,1,FIND("_",$D170)-1),"/",INDIRECT(CONCATENATE("'" &amp; $C170 &amp; "'!",ADDRESS(MATCH($D170, INDIRECT("'" &amp; $C170 &amp; "'!$B:$B"), 0),MATCH(F$1, INDIRECT("'" &amp; $C170 &amp; "'!$1:$1"), 0)))),".",INDIRECT(CONCATENATE("'"&amp;$C170&amp;"'!",ADDRESS(MATCH($D170,INDIRECT("'"&amp;$C170&amp;"'!$B:$B"),0),3))),"#page=",F171),CONCATENATE("#Sharepoint//",$D170))</f>
        <v/>
      </c>
      <c r="G170" s="334">
        <f t="array" ref="G170">HYPERLINK(CONCATENATE(Cartelle!$D$5,INDEX(INDIRECT("'" &amp; $C170 &amp; "'!$1:$1"), 1, MATCH(INDIRECT(CONCATENATE("'" &amp; $C170 &amp; "'!",ADDRESS(MATCH($D170, INDIRECT("'" &amp; $C170 &amp; "'!$B:$B"), 0),MATCH(G$1, INDIRECT("'" &amp; $C170 &amp; "'!$1:$1"), 0)))),INDIRECT(CONCATENATE("'" &amp; $C170 &amp; "'!",MATCH($D170, INDIRECT("'" &amp; $C170 &amp; "'!$B:$B"), 0),":",MATCH($D170, INDIRECT("'" &amp; $C170 &amp; "'!$B:$B"), 0))),0)),"/",$C170,"/",MID($D170,1,FIND("_",$D170)-1),"/",INDIRECT(CONCATENATE("'" &amp; $C170 &amp; "'!",ADDRESS(MATCH($D170, INDIRECT("'" &amp; $C170 &amp; "'!$B:$B"), 0),MATCH(G$1, INDIRECT("'" &amp; $C170 &amp; "'!$1:$1"), 0)))),".",INDIRECT(CONCATENATE("'"&amp;$C170&amp;"'!",ADDRESS(MATCH($D170,INDIRECT("'"&amp;$C170&amp;"'!$B:$B"),0),3))),"#page=",G171),CONCATENATE("#Sharepoint//",$D170))</f>
        <v/>
      </c>
      <c r="H170" s="358" t="n"/>
      <c r="I170" s="358" t="n"/>
      <c r="J170" s="334">
        <f t="array" ref="J170">HYPERLINK(CONCATENATE(Cartelle!$D$5,INDEX(INDIRECT("'" &amp; $C170 &amp; "'!$1:$1"), 1, MATCH(INDIRECT(CONCATENATE("'" &amp; $C170 &amp; "'!",ADDRESS(MATCH($D170, INDIRECT("'" &amp; $C170 &amp; "'!$B:$B"), 0),MATCH(J$1, INDIRECT("'" &amp; $C170 &amp; "'!$1:$1"), 0)))),INDIRECT(CONCATENATE("'" &amp; $C170 &amp; "'!",MATCH($D170, INDIRECT("'" &amp; $C170 &amp; "'!$B:$B"), 0),":",MATCH($D170, INDIRECT("'" &amp; $C170 &amp; "'!$B:$B"), 0))),0)),"/",$C170,"/",MID($D170,1,FIND("_",$D170)-1),"/",INDIRECT(CONCATENATE("'" &amp; $C170 &amp; "'!",ADDRESS(MATCH($D170, INDIRECT("'" &amp; $C170 &amp; "'!$B:$B"), 0),MATCH(J$1, INDIRECT("'" &amp; $C170 &amp; "'!$1:$1"), 0)))),".",INDIRECT(CONCATENATE("'"&amp;$C170&amp;"'!",ADDRESS(MATCH($D170,INDIRECT("'"&amp;$C170&amp;"'!$B:$B"),0),3))),"#page=",J171),CONCATENATE("#Sharepoint//",$D170))</f>
        <v/>
      </c>
      <c r="K170" s="353" t="n"/>
      <c r="L170" s="353" t="n"/>
    </row>
    <row r="171" outlineLevel="2" s="462">
      <c r="B171" s="169" t="n"/>
      <c r="D171" s="168" t="n"/>
      <c r="E171" s="167" t="inlineStr">
        <is>
          <t>Rif. Pagina</t>
        </is>
      </c>
      <c r="F171" s="168" t="n">
        <v>11</v>
      </c>
      <c r="G171" s="168" t="n">
        <v>12</v>
      </c>
      <c r="H171" s="168" t="n">
        <v>11</v>
      </c>
      <c r="I171" s="168" t="n">
        <v>12</v>
      </c>
      <c r="J171" s="168" t="n">
        <v>11</v>
      </c>
      <c r="K171" s="168" t="n"/>
      <c r="L171" s="168" t="n"/>
    </row>
    <row r="172" outlineLevel="2" customFormat="1" s="8">
      <c r="B172" s="59" t="n"/>
      <c r="C172" s="430" t="n"/>
      <c r="D172" s="233" t="n"/>
      <c r="E172" s="234" t="inlineStr">
        <is>
          <t>Funzioni AI</t>
        </is>
      </c>
      <c r="F172" s="239" t="n"/>
      <c r="G172" s="239" t="n"/>
      <c r="H172" s="235" t="n"/>
      <c r="I172" s="235" t="n"/>
      <c r="J172" s="239" t="n"/>
      <c r="K172" s="235" t="n"/>
      <c r="L172" s="236" t="n"/>
    </row>
    <row r="173">
      <c r="A173" s="181" t="inlineStr">
        <is>
          <t>AIR_Forcing_of_Main_compressor</t>
        </is>
      </c>
      <c r="B173" s="362" t="n"/>
      <c r="C173" s="181" t="n"/>
      <c r="D173" s="363" t="inlineStr">
        <is>
          <t>\</t>
        </is>
      </c>
      <c r="E173" s="162" t="n"/>
      <c r="F173" s="163" t="n"/>
      <c r="G173" s="163" t="n"/>
      <c r="H173" s="163" t="n"/>
      <c r="I173" s="163" t="n"/>
      <c r="J173" s="163" t="n"/>
      <c r="K173" s="163" t="n"/>
      <c r="L173" s="164" t="n"/>
    </row>
    <row r="174" outlineLevel="1" s="462">
      <c r="B174" s="169" t="n"/>
      <c r="C174" s="332" t="inlineStr">
        <is>
          <t>CONFIG</t>
        </is>
      </c>
      <c r="D174" s="364" t="inlineStr">
        <is>
          <t>FRS_Air Supply</t>
        </is>
      </c>
      <c r="E174" s="365" t="inlineStr">
        <is>
          <t>Link</t>
        </is>
      </c>
      <c r="F174" s="334">
        <f t="array" ref="F174">HYPERLINK(CONCATENATE(Cartelle!$D$5,F$1,"/",$C174,"/",MID($D174,1,FIND("_",$D174)-1),"/",INDIRECT(CONCATENATE("'" &amp; $C174 &amp; "'!",ADDRESS(MATCH($D174, INDIRECT("'" &amp; $C174 &amp; "'!$B:$B"), 0),MATCH(F$1, INDIRECT("'" &amp; $C174 &amp; "'!$1:$1"), 0)))),".",INDIRECT(CONCATENATE("'"&amp;$C174&amp;"'!",ADDRESS(MATCH($D174,INDIRECT("'"&amp;$C174&amp;"'!$B:$B"),0),3))),"#page=",F175),CONCATENATE("#Sharepoint//",$D174))</f>
        <v/>
      </c>
      <c r="G174" s="334">
        <f t="array" ref="G174">HYPERLINK(CONCATENATE(Cartelle!$D$5,INDEX(INDIRECT("'" &amp; $C174 &amp; "'!$1:$1"), 1, MATCH(INDIRECT(CONCATENATE("'" &amp; $C174 &amp; "'!",ADDRESS(MATCH($D174, INDIRECT("'" &amp; $C174 &amp; "'!$B:$B"), 0),MATCH(G$1, INDIRECT("'" &amp; $C174 &amp; "'!$1:$1"), 0)))),INDIRECT(CONCATENATE("'" &amp; $C174 &amp; "'!",MATCH($D174, INDIRECT("'" &amp; $C174 &amp; "'!$B:$B"), 0),":",MATCH($D174, INDIRECT("'" &amp; $C174 &amp; "'!$B:$B"), 0))),0)),"/",$C174,"/",MID($D174,1,FIND("_",$D174)-1),"/",INDIRECT(CONCATENATE("'" &amp; $C174 &amp; "'!",ADDRESS(MATCH($D174, INDIRECT("'" &amp; $C174 &amp; "'!$B:$B"), 0),MATCH(G$1, INDIRECT("'" &amp; $C174 &amp; "'!$1:$1"), 0)))),".",INDIRECT(CONCATENATE("'"&amp;$C174&amp;"'!",ADDRESS(MATCH($D174,INDIRECT("'"&amp;$C174&amp;"'!$B:$B"),0),3))),"#page=",G175),CONCATENATE("#Sharepoint//",$D174))</f>
        <v/>
      </c>
      <c r="H174" s="358" t="n"/>
      <c r="I174" s="358" t="n"/>
      <c r="J174" s="334">
        <f t="array" ref="J174">HYPERLINK(CONCATENATE(Cartelle!$D$5,INDEX(INDIRECT("'" &amp; $C174 &amp; "'!$1:$1"), 1, MATCH(INDIRECT(CONCATENATE("'" &amp; $C174 &amp; "'!",ADDRESS(MATCH($D174, INDIRECT("'" &amp; $C174 &amp; "'!$B:$B"), 0),MATCH(J$1, INDIRECT("'" &amp; $C174 &amp; "'!$1:$1"), 0)))),INDIRECT(CONCATENATE("'" &amp; $C174 &amp; "'!",MATCH($D174, INDIRECT("'" &amp; $C174 &amp; "'!$B:$B"), 0),":",MATCH($D174, INDIRECT("'" &amp; $C174 &amp; "'!$B:$B"), 0))),0)),"/",$C174,"/",MID($D174,1,FIND("_",$D174)-1),"/",INDIRECT(CONCATENATE("'" &amp; $C174 &amp; "'!",ADDRESS(MATCH($D174, INDIRECT("'" &amp; $C174 &amp; "'!$B:$B"), 0),MATCH(J$1, INDIRECT("'" &amp; $C174 &amp; "'!$1:$1"), 0)))),".",INDIRECT(CONCATENATE("'"&amp;$C174&amp;"'!",ADDRESS(MATCH($D174,INDIRECT("'"&amp;$C174&amp;"'!$B:$B"),0),3))),"#page=",J175),CONCATENATE("#Sharepoint//",$D174))</f>
        <v/>
      </c>
      <c r="K174" s="353" t="n"/>
      <c r="L174" s="353" t="n"/>
    </row>
    <row r="175" outlineLevel="2" s="462">
      <c r="B175" s="169" t="n"/>
      <c r="D175" s="168" t="n"/>
      <c r="E175" s="167" t="inlineStr">
        <is>
          <t>Rif. Pagina</t>
        </is>
      </c>
      <c r="F175" s="168" t="n">
        <v>14</v>
      </c>
      <c r="G175" s="168" t="n">
        <v>14</v>
      </c>
      <c r="H175" s="168" t="n">
        <v>14</v>
      </c>
      <c r="I175" s="168" t="n">
        <v>14</v>
      </c>
      <c r="J175" s="168" t="n">
        <v>14</v>
      </c>
      <c r="K175" s="168" t="n"/>
      <c r="L175" s="168" t="n"/>
    </row>
    <row r="176" outlineLevel="2" customFormat="1" s="8">
      <c r="B176" s="59" t="n"/>
      <c r="C176" s="430" t="n"/>
      <c r="D176" s="233" t="n"/>
      <c r="E176" s="234" t="inlineStr">
        <is>
          <t>Funzioni AI</t>
        </is>
      </c>
      <c r="F176" s="240" t="n"/>
      <c r="G176" s="240" t="n"/>
      <c r="H176" s="235" t="n"/>
      <c r="I176" s="235" t="n"/>
      <c r="J176" s="240" t="n"/>
      <c r="K176" s="235" t="n"/>
      <c r="L176" s="236" t="n"/>
    </row>
    <row r="177">
      <c r="A177" s="181" t="inlineStr">
        <is>
          <t>AIR_Air_Dryer</t>
        </is>
      </c>
      <c r="B177" s="362" t="n"/>
      <c r="C177" s="181" t="n"/>
      <c r="D177" s="363" t="inlineStr">
        <is>
          <t>\</t>
        </is>
      </c>
      <c r="E177" s="162" t="n"/>
      <c r="F177" s="163" t="n"/>
      <c r="G177" s="163" t="n"/>
      <c r="H177" s="163" t="n"/>
      <c r="I177" s="163" t="n"/>
      <c r="J177" s="163" t="n"/>
      <c r="K177" s="163" t="n"/>
      <c r="L177" s="164" t="n"/>
    </row>
    <row r="178" outlineLevel="1" s="462">
      <c r="B178" s="169" t="n"/>
      <c r="C178" s="332" t="inlineStr">
        <is>
          <t>CONFIG</t>
        </is>
      </c>
      <c r="D178" s="364" t="inlineStr">
        <is>
          <t>FRS_Air Supply</t>
        </is>
      </c>
      <c r="E178" s="365" t="inlineStr">
        <is>
          <t>Link</t>
        </is>
      </c>
      <c r="F178" s="334">
        <f t="array" ref="F178">HYPERLINK(CONCATENATE(Cartelle!$D$5,F$1,"/",$C178,"/",MID($D178,1,FIND("_",$D178)-1),"/",INDIRECT(CONCATENATE("'" &amp; $C178 &amp; "'!",ADDRESS(MATCH($D178, INDIRECT("'" &amp; $C178 &amp; "'!$B:$B"), 0),MATCH(F$1, INDIRECT("'" &amp; $C178 &amp; "'!$1:$1"), 0)))),".",INDIRECT(CONCATENATE("'"&amp;$C178&amp;"'!",ADDRESS(MATCH($D178,INDIRECT("'"&amp;$C178&amp;"'!$B:$B"),0),3))),"#page=",F179),CONCATENATE("#Sharepoint//",$D178))</f>
        <v/>
      </c>
      <c r="G178" s="334">
        <f t="array" ref="G178">HYPERLINK(CONCATENATE(Cartelle!$D$5,INDEX(INDIRECT("'" &amp; $C178 &amp; "'!$1:$1"), 1, MATCH(INDIRECT(CONCATENATE("'" &amp; $C178 &amp; "'!",ADDRESS(MATCH($D178, INDIRECT("'" &amp; $C178 &amp; "'!$B:$B"), 0),MATCH(G$1, INDIRECT("'" &amp; $C178 &amp; "'!$1:$1"), 0)))),INDIRECT(CONCATENATE("'" &amp; $C178 &amp; "'!",MATCH($D178, INDIRECT("'" &amp; $C178 &amp; "'!$B:$B"), 0),":",MATCH($D178, INDIRECT("'" &amp; $C178 &amp; "'!$B:$B"), 0))),0)),"/",$C178,"/",MID($D178,1,FIND("_",$D178)-1),"/",INDIRECT(CONCATENATE("'" &amp; $C178 &amp; "'!",ADDRESS(MATCH($D178, INDIRECT("'" &amp; $C178 &amp; "'!$B:$B"), 0),MATCH(G$1, INDIRECT("'" &amp; $C178 &amp; "'!$1:$1"), 0)))),".",INDIRECT(CONCATENATE("'"&amp;$C178&amp;"'!",ADDRESS(MATCH($D178,INDIRECT("'"&amp;$C178&amp;"'!$B:$B"),0),3))),"#page=",G179),CONCATENATE("#Sharepoint//",$D178))</f>
        <v/>
      </c>
      <c r="H178" s="358" t="n"/>
      <c r="I178" s="358" t="n"/>
      <c r="J178" s="334">
        <f t="array" ref="J178">HYPERLINK(CONCATENATE(Cartelle!$D$5,INDEX(INDIRECT("'" &amp; $C178 &amp; "'!$1:$1"), 1, MATCH(INDIRECT(CONCATENATE("'" &amp; $C178 &amp; "'!",ADDRESS(MATCH($D178, INDIRECT("'" &amp; $C178 &amp; "'!$B:$B"), 0),MATCH(J$1, INDIRECT("'" &amp; $C178 &amp; "'!$1:$1"), 0)))),INDIRECT(CONCATENATE("'" &amp; $C178 &amp; "'!",MATCH($D178, INDIRECT("'" &amp; $C178 &amp; "'!$B:$B"), 0),":",MATCH($D178, INDIRECT("'" &amp; $C178 &amp; "'!$B:$B"), 0))),0)),"/",$C178,"/",MID($D178,1,FIND("_",$D178)-1),"/",INDIRECT(CONCATENATE("'" &amp; $C178 &amp; "'!",ADDRESS(MATCH($D178, INDIRECT("'" &amp; $C178 &amp; "'!$B:$B"), 0),MATCH(J$1, INDIRECT("'" &amp; $C178 &amp; "'!$1:$1"), 0)))),".",INDIRECT(CONCATENATE("'"&amp;$C178&amp;"'!",ADDRESS(MATCH($D178,INDIRECT("'"&amp;$C178&amp;"'!$B:$B"),0),3))),"#page=",J179),CONCATENATE("#Sharepoint//",$D178))</f>
        <v/>
      </c>
      <c r="K178" s="353" t="n"/>
      <c r="L178" s="353" t="n"/>
    </row>
    <row r="179" outlineLevel="2" s="462">
      <c r="B179" s="169" t="n"/>
      <c r="D179" s="168" t="n"/>
      <c r="E179" s="167" t="inlineStr">
        <is>
          <t>Rif. Pagina</t>
        </is>
      </c>
      <c r="F179" s="168" t="n">
        <v>18</v>
      </c>
      <c r="G179" s="168" t="n">
        <v>16</v>
      </c>
      <c r="H179" s="168" t="n">
        <v>18</v>
      </c>
      <c r="I179" s="168" t="n">
        <v>16</v>
      </c>
      <c r="J179" s="168" t="n">
        <v>16</v>
      </c>
      <c r="K179" s="168" t="n"/>
      <c r="L179" s="168" t="n"/>
    </row>
    <row r="180" outlineLevel="2" customFormat="1" s="8">
      <c r="B180" s="59" t="n"/>
      <c r="C180" s="430" t="n"/>
      <c r="D180" s="233" t="n"/>
      <c r="E180" s="234" t="inlineStr">
        <is>
          <t>Funzioni AI</t>
        </is>
      </c>
      <c r="F180" s="239" t="n"/>
      <c r="G180" s="240" t="n"/>
      <c r="H180" s="235" t="n"/>
      <c r="I180" s="235" t="n"/>
      <c r="J180" s="240" t="n"/>
      <c r="K180" s="235" t="n"/>
      <c r="L180" s="236" t="n"/>
    </row>
    <row r="181">
      <c r="A181" s="181" t="inlineStr">
        <is>
          <t>AIR_External_Air_Supply</t>
        </is>
      </c>
      <c r="B181" s="362" t="n"/>
      <c r="C181" s="181" t="n"/>
      <c r="D181" s="363" t="inlineStr">
        <is>
          <t>\</t>
        </is>
      </c>
      <c r="E181" s="162" t="n"/>
      <c r="F181" s="163" t="n"/>
      <c r="G181" s="163" t="n"/>
      <c r="H181" s="163" t="n"/>
      <c r="I181" s="163" t="n"/>
      <c r="J181" s="163" t="n"/>
      <c r="K181" s="163" t="n"/>
      <c r="L181" s="164" t="n"/>
    </row>
    <row r="182" outlineLevel="1" s="462">
      <c r="B182" s="169" t="n"/>
      <c r="C182" s="332" t="inlineStr">
        <is>
          <t>CONFIG</t>
        </is>
      </c>
      <c r="D182" s="364" t="inlineStr">
        <is>
          <t>FRS_Air Supply</t>
        </is>
      </c>
      <c r="E182" s="365" t="inlineStr">
        <is>
          <t>Link</t>
        </is>
      </c>
      <c r="F182" s="334">
        <f t="array" ref="F182">HYPERLINK(CONCATENATE(Cartelle!$D$5,F$1,"/",$C182,"/",MID($D182,1,FIND("_",$D182)-1),"/",INDIRECT(CONCATENATE("'" &amp; $C182 &amp; "'!",ADDRESS(MATCH($D182, INDIRECT("'" &amp; $C182 &amp; "'!$B:$B"), 0),MATCH(F$1, INDIRECT("'" &amp; $C182 &amp; "'!$1:$1"), 0)))),".",INDIRECT(CONCATENATE("'"&amp;$C182&amp;"'!",ADDRESS(MATCH($D182,INDIRECT("'"&amp;$C182&amp;"'!$B:$B"),0),3))),"#page=",F183),CONCATENATE("#Sharepoint//",$D182))</f>
        <v/>
      </c>
      <c r="G182" s="334">
        <f t="array" ref="G182">HYPERLINK(CONCATENATE(Cartelle!$D$5,INDEX(INDIRECT("'" &amp; $C182 &amp; "'!$1:$1"), 1, MATCH(INDIRECT(CONCATENATE("'" &amp; $C182 &amp; "'!",ADDRESS(MATCH($D182, INDIRECT("'" &amp; $C182 &amp; "'!$B:$B"), 0),MATCH(G$1, INDIRECT("'" &amp; $C182 &amp; "'!$1:$1"), 0)))),INDIRECT(CONCATENATE("'" &amp; $C182 &amp; "'!",MATCH($D182, INDIRECT("'" &amp; $C182 &amp; "'!$B:$B"), 0),":",MATCH($D182, INDIRECT("'" &amp; $C182 &amp; "'!$B:$B"), 0))),0)),"/",$C182,"/",MID($D182,1,FIND("_",$D182)-1),"/",INDIRECT(CONCATENATE("'" &amp; $C182 &amp; "'!",ADDRESS(MATCH($D182, INDIRECT("'" &amp; $C182 &amp; "'!$B:$B"), 0),MATCH(G$1, INDIRECT("'" &amp; $C182 &amp; "'!$1:$1"), 0)))),".",INDIRECT(CONCATENATE("'"&amp;$C182&amp;"'!",ADDRESS(MATCH($D182,INDIRECT("'"&amp;$C182&amp;"'!$B:$B"),0),3))),"#page=",G183),CONCATENATE("#Sharepoint//",$D182))</f>
        <v/>
      </c>
      <c r="H182" s="358" t="n"/>
      <c r="I182" s="358" t="n"/>
      <c r="J182" s="334">
        <f t="array" ref="J182">HYPERLINK(CONCATENATE(Cartelle!$D$5,INDEX(INDIRECT("'" &amp; $C182 &amp; "'!$1:$1"), 1, MATCH(INDIRECT(CONCATENATE("'" &amp; $C182 &amp; "'!",ADDRESS(MATCH($D182, INDIRECT("'" &amp; $C182 &amp; "'!$B:$B"), 0),MATCH(J$1, INDIRECT("'" &amp; $C182 &amp; "'!$1:$1"), 0)))),INDIRECT(CONCATENATE("'" &amp; $C182 &amp; "'!",MATCH($D182, INDIRECT("'" &amp; $C182 &amp; "'!$B:$B"), 0),":",MATCH($D182, INDIRECT("'" &amp; $C182 &amp; "'!$B:$B"), 0))),0)),"/",$C182,"/",MID($D182,1,FIND("_",$D182)-1),"/",INDIRECT(CONCATENATE("'" &amp; $C182 &amp; "'!",ADDRESS(MATCH($D182, INDIRECT("'" &amp; $C182 &amp; "'!$B:$B"), 0),MATCH(J$1, INDIRECT("'" &amp; $C182 &amp; "'!$1:$1"), 0)))),".",INDIRECT(CONCATENATE("'"&amp;$C182&amp;"'!",ADDRESS(MATCH($D182,INDIRECT("'"&amp;$C182&amp;"'!$B:$B"),0),3))),"#page=",J183),CONCATENATE("#Sharepoint//",$D182))</f>
        <v/>
      </c>
      <c r="K182" s="353" t="n"/>
      <c r="L182" s="353" t="n"/>
    </row>
    <row r="183" outlineLevel="2" s="462">
      <c r="B183" s="169" t="n"/>
      <c r="D183" s="168" t="n"/>
      <c r="E183" s="167" t="inlineStr">
        <is>
          <t>Rif. Pagina</t>
        </is>
      </c>
      <c r="F183" s="168" t="n">
        <v>20</v>
      </c>
      <c r="G183" s="168" t="n">
        <v>18</v>
      </c>
      <c r="H183" s="168" t="n">
        <v>20</v>
      </c>
      <c r="I183" s="168" t="n">
        <v>18</v>
      </c>
      <c r="J183" s="168" t="n">
        <v>17</v>
      </c>
      <c r="K183" s="168" t="n"/>
      <c r="L183" s="168" t="n"/>
    </row>
    <row r="184" outlineLevel="2" customFormat="1" s="8">
      <c r="B184" s="59" t="n"/>
      <c r="C184" s="430" t="n"/>
      <c r="D184" s="233" t="n"/>
      <c r="E184" s="234" t="inlineStr">
        <is>
          <t>Funzioni AI</t>
        </is>
      </c>
      <c r="F184" s="239" t="n"/>
      <c r="G184" s="239" t="n"/>
      <c r="H184" s="235" t="n"/>
      <c r="I184" s="235" t="n"/>
      <c r="J184" s="239" t="n"/>
      <c r="K184" s="235" t="n"/>
      <c r="L184" s="236" t="n"/>
    </row>
    <row r="185">
      <c r="A185" s="181" t="inlineStr">
        <is>
          <t>AIR_Control_of_Auxiliary_Compressor</t>
        </is>
      </c>
      <c r="B185" s="362" t="n"/>
      <c r="C185" s="181" t="n"/>
      <c r="D185" s="363" t="inlineStr">
        <is>
          <t>\</t>
        </is>
      </c>
      <c r="E185" s="162" t="n"/>
      <c r="F185" s="163" t="n"/>
      <c r="G185" s="163" t="n"/>
      <c r="H185" s="163" t="n"/>
      <c r="I185" s="163" t="n"/>
      <c r="J185" s="163" t="n"/>
      <c r="K185" s="163" t="n"/>
      <c r="L185" s="164" t="n"/>
    </row>
    <row r="186" outlineLevel="1" s="462">
      <c r="B186" s="169" t="n"/>
      <c r="C186" s="332" t="inlineStr">
        <is>
          <t>CONFIG</t>
        </is>
      </c>
      <c r="D186" s="364" t="inlineStr">
        <is>
          <t>FRS_Air Supply</t>
        </is>
      </c>
      <c r="E186" s="365" t="inlineStr">
        <is>
          <t>Link</t>
        </is>
      </c>
      <c r="F186" s="334">
        <f t="array" ref="F186">HYPERLINK(CONCATENATE(Cartelle!$D$5,F$1,"/",$C186,"/",MID($D186,1,FIND("_",$D186)-1),"/",INDIRECT(CONCATENATE("'" &amp; $C186 &amp; "'!",ADDRESS(MATCH($D186, INDIRECT("'" &amp; $C186 &amp; "'!$B:$B"), 0),MATCH(F$1, INDIRECT("'" &amp; $C186 &amp; "'!$1:$1"), 0)))),".",INDIRECT(CONCATENATE("'"&amp;$C186&amp;"'!",ADDRESS(MATCH($D186,INDIRECT("'"&amp;$C186&amp;"'!$B:$B"),0),3))),"#page=",F187),CONCATENATE("#Sharepoint//",$D186))</f>
        <v/>
      </c>
      <c r="G186" s="334">
        <f t="array" ref="G186">HYPERLINK(CONCATENATE(Cartelle!$D$5,INDEX(INDIRECT("'" &amp; $C186 &amp; "'!$1:$1"), 1, MATCH(INDIRECT(CONCATENATE("'" &amp; $C186 &amp; "'!",ADDRESS(MATCH($D186, INDIRECT("'" &amp; $C186 &amp; "'!$B:$B"), 0),MATCH(G$1, INDIRECT("'" &amp; $C186 &amp; "'!$1:$1"), 0)))),INDIRECT(CONCATENATE("'" &amp; $C186 &amp; "'!",MATCH($D186, INDIRECT("'" &amp; $C186 &amp; "'!$B:$B"), 0),":",MATCH($D186, INDIRECT("'" &amp; $C186 &amp; "'!$B:$B"), 0))),0)),"/",$C186,"/",MID($D186,1,FIND("_",$D186)-1),"/",INDIRECT(CONCATENATE("'" &amp; $C186 &amp; "'!",ADDRESS(MATCH($D186, INDIRECT("'" &amp; $C186 &amp; "'!$B:$B"), 0),MATCH(G$1, INDIRECT("'" &amp; $C186 &amp; "'!$1:$1"), 0)))),".",INDIRECT(CONCATENATE("'"&amp;$C186&amp;"'!",ADDRESS(MATCH($D186,INDIRECT("'"&amp;$C186&amp;"'!$B:$B"),0),3))),"#page=",G187),CONCATENATE("#Sharepoint//",$D186))</f>
        <v/>
      </c>
      <c r="H186" s="358" t="n"/>
      <c r="I186" s="358" t="n"/>
      <c r="J186" s="334">
        <f t="array" ref="J186">HYPERLINK(CONCATENATE(Cartelle!$D$5,INDEX(INDIRECT("'" &amp; $C186 &amp; "'!$1:$1"), 1, MATCH(INDIRECT(CONCATENATE("'" &amp; $C186 &amp; "'!",ADDRESS(MATCH($D186, INDIRECT("'" &amp; $C186 &amp; "'!$B:$B"), 0),MATCH(J$1, INDIRECT("'" &amp; $C186 &amp; "'!$1:$1"), 0)))),INDIRECT(CONCATENATE("'" &amp; $C186 &amp; "'!",MATCH($D186, INDIRECT("'" &amp; $C186 &amp; "'!$B:$B"), 0),":",MATCH($D186, INDIRECT("'" &amp; $C186 &amp; "'!$B:$B"), 0))),0)),"/",$C186,"/",MID($D186,1,FIND("_",$D186)-1),"/",INDIRECT(CONCATENATE("'" &amp; $C186 &amp; "'!",ADDRESS(MATCH($D186, INDIRECT("'" &amp; $C186 &amp; "'!$B:$B"), 0),MATCH(J$1, INDIRECT("'" &amp; $C186 &amp; "'!$1:$1"), 0)))),".",INDIRECT(CONCATENATE("'"&amp;$C186&amp;"'!",ADDRESS(MATCH($D186,INDIRECT("'"&amp;$C186&amp;"'!$B:$B"),0),3))),"#page=",J187),CONCATENATE("#Sharepoint//",$D186))</f>
        <v/>
      </c>
      <c r="K186" s="353" t="n"/>
      <c r="L186" s="353" t="n"/>
    </row>
    <row r="187" outlineLevel="2" s="462">
      <c r="B187" s="169" t="n"/>
      <c r="D187" s="168" t="n"/>
      <c r="E187" s="167" t="inlineStr">
        <is>
          <t>Rif. Pagina</t>
        </is>
      </c>
      <c r="F187" s="168" t="n">
        <v>22</v>
      </c>
      <c r="G187" s="168" t="n">
        <v>19</v>
      </c>
      <c r="H187" s="168" t="n">
        <v>22</v>
      </c>
      <c r="I187" s="168" t="n">
        <v>19</v>
      </c>
      <c r="J187" s="168" t="n">
        <v>18</v>
      </c>
      <c r="K187" s="168" t="n"/>
      <c r="L187" s="168" t="n"/>
    </row>
    <row r="188" outlineLevel="2" customFormat="1" s="8">
      <c r="B188" s="59" t="n"/>
      <c r="C188" s="430" t="n"/>
      <c r="D188" s="233" t="n"/>
      <c r="E188" s="234" t="inlineStr">
        <is>
          <t>Funzioni AI</t>
        </is>
      </c>
      <c r="F188" s="239" t="n"/>
      <c r="G188" s="239" t="n"/>
      <c r="H188" s="235" t="n"/>
      <c r="I188" s="235" t="n"/>
      <c r="J188" s="239" t="n"/>
      <c r="K188" s="235" t="n"/>
      <c r="L188" s="236" t="n"/>
    </row>
    <row r="189">
      <c r="A189" s="181" t="inlineStr">
        <is>
          <t>AIR_Suspension_Supervision</t>
        </is>
      </c>
      <c r="B189" s="362" t="n"/>
      <c r="C189" s="181" t="n"/>
      <c r="D189" s="363" t="inlineStr">
        <is>
          <t>\</t>
        </is>
      </c>
      <c r="E189" s="162" t="n"/>
      <c r="F189" s="163" t="n"/>
      <c r="G189" s="163" t="n"/>
      <c r="H189" s="163" t="n"/>
      <c r="I189" s="163" t="n"/>
      <c r="J189" s="163" t="n"/>
      <c r="K189" s="163" t="n"/>
      <c r="L189" s="164" t="n"/>
    </row>
    <row r="190" outlineLevel="1" s="462">
      <c r="B190" s="169" t="n"/>
      <c r="C190" s="332" t="inlineStr">
        <is>
          <t>CONFIG</t>
        </is>
      </c>
      <c r="D190" s="364" t="inlineStr">
        <is>
          <t>FRS_Air Supply</t>
        </is>
      </c>
      <c r="E190" s="365" t="inlineStr">
        <is>
          <t>Link</t>
        </is>
      </c>
      <c r="F190" s="334">
        <f t="array" ref="F190">HYPERLINK(CONCATENATE(Cartelle!$D$5,F$1,"/",$C190,"/",MID($D190,1,FIND("_",$D190)-1),"/",INDIRECT(CONCATENATE("'" &amp; $C190 &amp; "'!",ADDRESS(MATCH($D190, INDIRECT("'" &amp; $C190 &amp; "'!$B:$B"), 0),MATCH(F$1, INDIRECT("'" &amp; $C190 &amp; "'!$1:$1"), 0)))),".",INDIRECT(CONCATENATE("'"&amp;$C190&amp;"'!",ADDRESS(MATCH($D190,INDIRECT("'"&amp;$C190&amp;"'!$B:$B"),0),3))),"#page=",F191),CONCATENATE("#Sharepoint//",$D190))</f>
        <v/>
      </c>
      <c r="G190" s="334">
        <f t="array" ref="G190">HYPERLINK(CONCATENATE(Cartelle!$D$5,INDEX(INDIRECT("'" &amp; $C190 &amp; "'!$1:$1"), 1, MATCH(INDIRECT(CONCATENATE("'" &amp; $C190 &amp; "'!",ADDRESS(MATCH($D190, INDIRECT("'" &amp; $C190 &amp; "'!$B:$B"), 0),MATCH(G$1, INDIRECT("'" &amp; $C190 &amp; "'!$1:$1"), 0)))),INDIRECT(CONCATENATE("'" &amp; $C190 &amp; "'!",MATCH($D190, INDIRECT("'" &amp; $C190 &amp; "'!$B:$B"), 0),":",MATCH($D190, INDIRECT("'" &amp; $C190 &amp; "'!$B:$B"), 0))),0)),"/",$C190,"/",MID($D190,1,FIND("_",$D190)-1),"/",INDIRECT(CONCATENATE("'" &amp; $C190 &amp; "'!",ADDRESS(MATCH($D190, INDIRECT("'" &amp; $C190 &amp; "'!$B:$B"), 0),MATCH(G$1, INDIRECT("'" &amp; $C190 &amp; "'!$1:$1"), 0)))),".",INDIRECT(CONCATENATE("'"&amp;$C190&amp;"'!",ADDRESS(MATCH($D190,INDIRECT("'"&amp;$C190&amp;"'!$B:$B"),0),3))),"#page=",G191),CONCATENATE("#Sharepoint//",$D190))</f>
        <v/>
      </c>
      <c r="H190" s="358" t="n"/>
      <c r="I190" s="358" t="n"/>
      <c r="J190" s="334">
        <f t="array" ref="J190">HYPERLINK(CONCATENATE(Cartelle!$D$5,INDEX(INDIRECT("'" &amp; $C190 &amp; "'!$1:$1"), 1, MATCH(INDIRECT(CONCATENATE("'" &amp; $C190 &amp; "'!",ADDRESS(MATCH($D190, INDIRECT("'" &amp; $C190 &amp; "'!$B:$B"), 0),MATCH(J$1, INDIRECT("'" &amp; $C190 &amp; "'!$1:$1"), 0)))),INDIRECT(CONCATENATE("'" &amp; $C190 &amp; "'!",MATCH($D190, INDIRECT("'" &amp; $C190 &amp; "'!$B:$B"), 0),":",MATCH($D190, INDIRECT("'" &amp; $C190 &amp; "'!$B:$B"), 0))),0)),"/",$C190,"/",MID($D190,1,FIND("_",$D190)-1),"/",INDIRECT(CONCATENATE("'" &amp; $C190 &amp; "'!",ADDRESS(MATCH($D190, INDIRECT("'" &amp; $C190 &amp; "'!$B:$B"), 0),MATCH(J$1, INDIRECT("'" &amp; $C190 &amp; "'!$1:$1"), 0)))),".",INDIRECT(CONCATENATE("'"&amp;$C190&amp;"'!",ADDRESS(MATCH($D190,INDIRECT("'"&amp;$C190&amp;"'!$B:$B"),0),3))),"#page=",J191),CONCATENATE("#Sharepoint//",$D190))</f>
        <v/>
      </c>
      <c r="K190" s="353" t="n"/>
      <c r="L190" s="353" t="n"/>
    </row>
    <row r="191" outlineLevel="2" s="462">
      <c r="B191" s="169" t="n"/>
      <c r="D191" s="168" t="n"/>
      <c r="E191" s="167" t="inlineStr">
        <is>
          <t>Rif. Pagina</t>
        </is>
      </c>
      <c r="F191" s="168" t="n">
        <v>26</v>
      </c>
      <c r="G191" s="168" t="n">
        <v>22</v>
      </c>
      <c r="H191" s="168" t="n">
        <v>26</v>
      </c>
      <c r="I191" s="168" t="n">
        <v>22</v>
      </c>
      <c r="J191" s="168" t="n">
        <v>21</v>
      </c>
      <c r="K191" s="168" t="n"/>
      <c r="L191" s="168" t="n"/>
    </row>
    <row r="192" outlineLevel="2" customFormat="1" s="8">
      <c r="B192" s="59" t="n"/>
      <c r="C192" s="430" t="n"/>
      <c r="D192" s="233" t="n"/>
      <c r="E192" s="234" t="inlineStr">
        <is>
          <t>Funzioni AI</t>
        </is>
      </c>
      <c r="F192" s="239" t="n"/>
      <c r="G192" s="239" t="n"/>
      <c r="H192" s="235" t="n"/>
      <c r="I192" s="235" t="n"/>
      <c r="J192" s="239" t="n"/>
      <c r="K192" s="235" t="n"/>
      <c r="L192" s="236" t="n"/>
    </row>
    <row r="193">
      <c r="A193" s="181" t="inlineStr">
        <is>
          <t>AIR_Provision_for_Tilt_system</t>
        </is>
      </c>
      <c r="B193" s="362" t="n"/>
      <c r="C193" s="181" t="n"/>
      <c r="D193" s="363" t="inlineStr">
        <is>
          <t>\</t>
        </is>
      </c>
      <c r="E193" s="162" t="n"/>
      <c r="F193" s="163" t="n"/>
      <c r="G193" s="163" t="n"/>
      <c r="H193" s="163" t="n"/>
      <c r="I193" s="163" t="n"/>
      <c r="J193" s="163" t="n"/>
      <c r="K193" s="163" t="n"/>
      <c r="L193" s="164" t="n"/>
    </row>
    <row r="194" outlineLevel="1" s="462">
      <c r="B194" s="169" t="n"/>
      <c r="C194" s="332" t="inlineStr">
        <is>
          <t>CONFIG</t>
        </is>
      </c>
      <c r="D194" s="364" t="inlineStr">
        <is>
          <t>FRS_Air Supply</t>
        </is>
      </c>
      <c r="E194" s="365" t="inlineStr">
        <is>
          <t>Link</t>
        </is>
      </c>
      <c r="F194" s="334">
        <f t="array" ref="F194">HYPERLINK(CONCATENATE(Cartelle!$D$5,F$1,"/",$C194,"/",MID($D194,1,FIND("_",$D194)-1),"/",INDIRECT(CONCATENATE("'" &amp; $C194 &amp; "'!",ADDRESS(MATCH($D194, INDIRECT("'" &amp; $C194 &amp; "'!$B:$B"), 0),MATCH(F$1, INDIRECT("'" &amp; $C194 &amp; "'!$1:$1"), 0)))),".",INDIRECT(CONCATENATE("'"&amp;$C194&amp;"'!",ADDRESS(MATCH($D194,INDIRECT("'"&amp;$C194&amp;"'!$B:$B"),0),3))),"#page=",F195),CONCATENATE("#Sharepoint//",$D194))</f>
        <v/>
      </c>
      <c r="G194" s="334">
        <f t="array" ref="G194">HYPERLINK(CONCATENATE(Cartelle!$D$5,INDEX(INDIRECT("'" &amp; $C194 &amp; "'!$1:$1"), 1, MATCH(INDIRECT(CONCATENATE("'" &amp; $C194 &amp; "'!",ADDRESS(MATCH($D194, INDIRECT("'" &amp; $C194 &amp; "'!$B:$B"), 0),MATCH(G$1, INDIRECT("'" &amp; $C194 &amp; "'!$1:$1"), 0)))),INDIRECT(CONCATENATE("'" &amp; $C194 &amp; "'!",MATCH($D194, INDIRECT("'" &amp; $C194 &amp; "'!$B:$B"), 0),":",MATCH($D194, INDIRECT("'" &amp; $C194 &amp; "'!$B:$B"), 0))),0)),"/",$C194,"/",MID($D194,1,FIND("_",$D194)-1),"/",INDIRECT(CONCATENATE("'" &amp; $C194 &amp; "'!",ADDRESS(MATCH($D194, INDIRECT("'" &amp; $C194 &amp; "'!$B:$B"), 0),MATCH(G$1, INDIRECT("'" &amp; $C194 &amp; "'!$1:$1"), 0)))),".",INDIRECT(CONCATENATE("'"&amp;$C194&amp;"'!",ADDRESS(MATCH($D194,INDIRECT("'"&amp;$C194&amp;"'!$B:$B"),0),3))),"#page=",G195),CONCATENATE("#Sharepoint//",$D194))</f>
        <v/>
      </c>
      <c r="H194" s="358" t="n"/>
      <c r="I194" s="358" t="n"/>
      <c r="J194" s="334">
        <f t="array" ref="J194">HYPERLINK(CONCATENATE(Cartelle!$D$5,INDEX(INDIRECT("'" &amp; $C194 &amp; "'!$1:$1"), 1, MATCH(INDIRECT(CONCATENATE("'" &amp; $C194 &amp; "'!",ADDRESS(MATCH($D194, INDIRECT("'" &amp; $C194 &amp; "'!$B:$B"), 0),MATCH(J$1, INDIRECT("'" &amp; $C194 &amp; "'!$1:$1"), 0)))),INDIRECT(CONCATENATE("'" &amp; $C194 &amp; "'!",MATCH($D194, INDIRECT("'" &amp; $C194 &amp; "'!$B:$B"), 0),":",MATCH($D194, INDIRECT("'" &amp; $C194 &amp; "'!$B:$B"), 0))),0)),"/",$C194,"/",MID($D194,1,FIND("_",$D194)-1),"/",INDIRECT(CONCATENATE("'" &amp; $C194 &amp; "'!",ADDRESS(MATCH($D194, INDIRECT("'" &amp; $C194 &amp; "'!$B:$B"), 0),MATCH(J$1, INDIRECT("'" &amp; $C194 &amp; "'!$1:$1"), 0)))),".",INDIRECT(CONCATENATE("'"&amp;$C194&amp;"'!",ADDRESS(MATCH($D194,INDIRECT("'"&amp;$C194&amp;"'!$B:$B"),0),3))),"#page=",J195),CONCATENATE("#Sharepoint//",$D194))</f>
        <v/>
      </c>
      <c r="K194" s="353" t="n"/>
      <c r="L194" s="353" t="n"/>
    </row>
    <row r="195" outlineLevel="2" s="462">
      <c r="B195" s="169" t="n"/>
      <c r="D195" s="166" t="n"/>
      <c r="E195" s="165" t="inlineStr">
        <is>
          <t>Rif. Pagina</t>
        </is>
      </c>
      <c r="F195" s="166" t="n">
        <v>28</v>
      </c>
      <c r="G195" s="166" t="n">
        <v>23</v>
      </c>
      <c r="H195" s="166" t="n">
        <v>28</v>
      </c>
      <c r="I195" s="166" t="n">
        <v>23</v>
      </c>
      <c r="J195" s="166" t="n">
        <v>22</v>
      </c>
      <c r="K195" s="166" t="n"/>
      <c r="L195" s="166" t="n"/>
    </row>
    <row r="196" outlineLevel="2" customFormat="1" s="8">
      <c r="B196" s="59" t="n"/>
      <c r="C196" s="430" t="n"/>
      <c r="D196" s="233" t="n"/>
      <c r="E196" s="234" t="inlineStr">
        <is>
          <t>Funzioni AI</t>
        </is>
      </c>
      <c r="F196" s="239" t="n"/>
      <c r="G196" s="239" t="n"/>
      <c r="H196" s="235" t="n"/>
      <c r="I196" s="235" t="n"/>
      <c r="J196" s="239" t="n"/>
      <c r="K196" s="235" t="n"/>
      <c r="L196" s="236" t="n"/>
    </row>
    <row r="197">
      <c r="A197" s="181" t="inlineStr">
        <is>
          <t>BRK_Service_Brake_Direct_Electro-Pneumatic_Brake</t>
        </is>
      </c>
      <c r="B197" s="362" t="n"/>
      <c r="C197" s="181" t="n"/>
      <c r="D197" s="363" t="inlineStr">
        <is>
          <t>\</t>
        </is>
      </c>
      <c r="E197" s="162" t="n"/>
      <c r="F197" s="163" t="n"/>
      <c r="G197" s="163" t="n"/>
      <c r="H197" s="163" t="n"/>
      <c r="I197" s="163" t="n"/>
      <c r="J197" s="163" t="n"/>
      <c r="K197" s="163" t="n"/>
      <c r="L197" s="164" t="n"/>
    </row>
    <row r="198" outlineLevel="1" s="462">
      <c r="B198" s="169" t="n"/>
      <c r="C198" s="332" t="inlineStr">
        <is>
          <t>CONFIG</t>
        </is>
      </c>
      <c r="D198" s="364" t="inlineStr">
        <is>
          <t>FRS_Brake Control</t>
        </is>
      </c>
      <c r="E198" s="365" t="inlineStr">
        <is>
          <t>Link</t>
        </is>
      </c>
      <c r="F198" s="334">
        <f t="array" ref="F198">HYPERLINK(CONCATENATE(Cartelle!$D$5,F$1,"/",$C198,"/",MID($D198,1,FIND("_",$D198)-1),"/",INDIRECT(CONCATENATE("'" &amp; $C198 &amp; "'!",ADDRESS(MATCH($D198, INDIRECT("'" &amp; $C198 &amp; "'!$B:$B"), 0),MATCH(F$1, INDIRECT("'" &amp; $C198 &amp; "'!$1:$1"), 0)))),".",INDIRECT(CONCATENATE("'"&amp;$C198&amp;"'!",ADDRESS(MATCH($D198,INDIRECT("'"&amp;$C198&amp;"'!$B:$B"),0),3))),"#page=",F199),CONCATENATE("#Sharepoint//",$D198))</f>
        <v/>
      </c>
      <c r="G198" s="346" t="n"/>
      <c r="H198" s="334">
        <f t="array" ref="H198">HYPERLINK(CONCATENATE(Cartelle!$D$5,INDEX(INDIRECT("'" &amp; $C198 &amp; "'!$1:$1"), 1, MATCH(INDIRECT(CONCATENATE("'" &amp; $C198 &amp; "'!",ADDRESS(MATCH($D198, INDIRECT("'" &amp; $C198 &amp; "'!$B:$B"), 0),MATCH(H$1, INDIRECT("'" &amp; $C198 &amp; "'!$1:$1"), 0)))),INDIRECT(CONCATENATE("'" &amp; $C198 &amp; "'!",MATCH($D198, INDIRECT("'" &amp; $C198 &amp; "'!$B:$B"), 0),":",MATCH($D198, INDIRECT("'" &amp; $C198 &amp; "'!$B:$B"), 0))),0)),"/",$C198,"/",MID($D198,1,FIND("_",$D198)-1),"/",INDIRECT(CONCATENATE("'" &amp; $C198 &amp; "'!",ADDRESS(MATCH($D198, INDIRECT("'" &amp; $C198 &amp; "'!$B:$B"), 0),MATCH(H$1, INDIRECT("'" &amp; $C198 &amp; "'!$1:$1"), 0)))),".",INDIRECT(CONCATENATE("'"&amp;$C198&amp;"'!",ADDRESS(MATCH($D198,INDIRECT("'"&amp;$C198&amp;"'!$B:$B"),0),3))),"#page=",H199),CONCATENATE("#Sharepoint//",$D198))</f>
        <v/>
      </c>
      <c r="I198" s="334">
        <f t="array" ref="I198">HYPERLINK(CONCATENATE(Cartelle!$D$5,INDEX(INDIRECT("'" &amp; $C198 &amp; "'!$1:$1"), 1, MATCH(INDIRECT(CONCATENATE("'" &amp; $C198 &amp; "'!",ADDRESS(MATCH($D198, INDIRECT("'" &amp; $C198 &amp; "'!$B:$B"), 0),MATCH(I$1, INDIRECT("'" &amp; $C198 &amp; "'!$1:$1"), 0)))),INDIRECT(CONCATENATE("'" &amp; $C198 &amp; "'!",MATCH($D198, INDIRECT("'" &amp; $C198 &amp; "'!$B:$B"), 0),":",MATCH($D198, INDIRECT("'" &amp; $C198 &amp; "'!$B:$B"), 0))),0)),"/",$C198,"/",MID($D198,1,FIND("_",$D198)-1),"/",INDIRECT(CONCATENATE("'" &amp; $C198 &amp; "'!",ADDRESS(MATCH($D198, INDIRECT("'" &amp; $C198 &amp; "'!$B:$B"), 0),MATCH(I$1, INDIRECT("'" &amp; $C198 &amp; "'!$1:$1"), 0)))),".",INDIRECT(CONCATENATE("'"&amp;$C198&amp;"'!",ADDRESS(MATCH($D198,INDIRECT("'"&amp;$C198&amp;"'!$B:$B"),0),3))),"#page=",I199),CONCATENATE("#Sharepoint//",$D198))</f>
        <v/>
      </c>
      <c r="J198" s="334">
        <f t="array" ref="J198">HYPERLINK(CONCATENATE(Cartelle!$D$5,INDEX(INDIRECT("'" &amp; $C198 &amp; "'!$1:$1"), 1, MATCH(INDIRECT(CONCATENATE("'" &amp; $C198 &amp; "'!",ADDRESS(MATCH($D198, INDIRECT("'" &amp; $C198 &amp; "'!$B:$B"), 0),MATCH(J$1, INDIRECT("'" &amp; $C198 &amp; "'!$1:$1"), 0)))),INDIRECT(CONCATENATE("'" &amp; $C198 &amp; "'!",MATCH($D198, INDIRECT("'" &amp; $C198 &amp; "'!$B:$B"), 0),":",MATCH($D198, INDIRECT("'" &amp; $C198 &amp; "'!$B:$B"), 0))),0)),"/",$C198,"/",MID($D198,1,FIND("_",$D198)-1),"/",INDIRECT(CONCATENATE("'" &amp; $C198 &amp; "'!",ADDRESS(MATCH($D198, INDIRECT("'" &amp; $C198 &amp; "'!$B:$B"), 0),MATCH(J$1, INDIRECT("'" &amp; $C198 &amp; "'!$1:$1"), 0)))),".",INDIRECT(CONCATENATE("'"&amp;$C198&amp;"'!",ADDRESS(MATCH($D198,INDIRECT("'"&amp;$C198&amp;"'!$B:$B"),0),3))),"#page=",J199),CONCATENATE("#Sharepoint//",$D198))</f>
        <v/>
      </c>
      <c r="K198" s="353" t="n"/>
      <c r="L198" s="353" t="n"/>
    </row>
    <row r="199" outlineLevel="2" s="462">
      <c r="B199" s="169" t="n"/>
      <c r="D199" s="168" t="n"/>
      <c r="E199" s="167" t="inlineStr">
        <is>
          <t>Rif. Pagina</t>
        </is>
      </c>
      <c r="F199" s="168" t="n">
        <v>14</v>
      </c>
      <c r="G199" s="168" t="n"/>
      <c r="H199" s="168" t="n">
        <v>14</v>
      </c>
      <c r="I199" s="168" t="n">
        <v>14</v>
      </c>
      <c r="J199" s="168" t="n">
        <v>19</v>
      </c>
      <c r="K199" s="168" t="n"/>
      <c r="L199" s="168" t="n"/>
    </row>
    <row r="200" outlineLevel="2" customFormat="1" s="8">
      <c r="B200" s="59" t="n"/>
      <c r="C200" s="430" t="n"/>
      <c r="D200" s="233" t="n"/>
      <c r="E200" s="234" t="inlineStr">
        <is>
          <t>Funzioni AI</t>
        </is>
      </c>
      <c r="F200" s="239" t="n"/>
      <c r="G200" s="235" t="n"/>
      <c r="H200" s="239" t="n"/>
      <c r="I200" s="239" t="n"/>
      <c r="J200" s="239" t="n"/>
      <c r="K200" s="235" t="n"/>
      <c r="L200" s="236" t="n"/>
    </row>
    <row r="201">
      <c r="A201" s="181" t="inlineStr">
        <is>
          <t>BRK_Service_Brake_Indirect_Brake</t>
        </is>
      </c>
      <c r="B201" s="362" t="n"/>
      <c r="C201" s="181" t="n"/>
      <c r="D201" s="363" t="inlineStr">
        <is>
          <t>\</t>
        </is>
      </c>
      <c r="E201" s="162" t="n"/>
      <c r="F201" s="163" t="n"/>
      <c r="G201" s="163" t="n"/>
      <c r="H201" s="163" t="n"/>
      <c r="I201" s="163" t="n"/>
      <c r="J201" s="163" t="n"/>
      <c r="K201" s="163" t="n"/>
      <c r="L201" s="164" t="n"/>
    </row>
    <row r="202" outlineLevel="1" s="462">
      <c r="B202" s="169" t="n"/>
      <c r="C202" s="332" t="inlineStr">
        <is>
          <t>CONFIG</t>
        </is>
      </c>
      <c r="D202" s="364" t="inlineStr">
        <is>
          <t>FRS_Brake Control</t>
        </is>
      </c>
      <c r="E202" s="365" t="inlineStr">
        <is>
          <t>Link</t>
        </is>
      </c>
      <c r="F202" s="334">
        <f t="array" ref="F202">HYPERLINK(CONCATENATE(Cartelle!$D$5,F$1,"/",$C202,"/",MID($D202,1,FIND("_",$D202)-1),"/",INDIRECT(CONCATENATE("'" &amp; $C202 &amp; "'!",ADDRESS(MATCH($D202, INDIRECT("'" &amp; $C202 &amp; "'!$B:$B"), 0),MATCH(F$1, INDIRECT("'" &amp; $C202 &amp; "'!$1:$1"), 0)))),".",INDIRECT(CONCATENATE("'"&amp;$C202&amp;"'!",ADDRESS(MATCH($D202,INDIRECT("'"&amp;$C202&amp;"'!$B:$B"),0),3))),"#page=",F203),CONCATENATE("#Sharepoint//",$D202))</f>
        <v/>
      </c>
      <c r="G202" s="346" t="n"/>
      <c r="H202" s="334">
        <f t="array" ref="H202">HYPERLINK(CONCATENATE(Cartelle!$D$5,INDEX(INDIRECT("'" &amp; $C202 &amp; "'!$1:$1"), 1, MATCH(INDIRECT(CONCATENATE("'" &amp; $C202 &amp; "'!",ADDRESS(MATCH($D202, INDIRECT("'" &amp; $C202 &amp; "'!$B:$B"), 0),MATCH(H$1, INDIRECT("'" &amp; $C202 &amp; "'!$1:$1"), 0)))),INDIRECT(CONCATENATE("'" &amp; $C202 &amp; "'!",MATCH($D202, INDIRECT("'" &amp; $C202 &amp; "'!$B:$B"), 0),":",MATCH($D202, INDIRECT("'" &amp; $C202 &amp; "'!$B:$B"), 0))),0)),"/",$C202,"/",MID($D202,1,FIND("_",$D202)-1),"/",INDIRECT(CONCATENATE("'" &amp; $C202 &amp; "'!",ADDRESS(MATCH($D202, INDIRECT("'" &amp; $C202 &amp; "'!$B:$B"), 0),MATCH(H$1, INDIRECT("'" &amp; $C202 &amp; "'!$1:$1"), 0)))),".",INDIRECT(CONCATENATE("'"&amp;$C202&amp;"'!",ADDRESS(MATCH($D202,INDIRECT("'"&amp;$C202&amp;"'!$B:$B"),0),3))),"#page=",H203),CONCATENATE("#Sharepoint//",$D202))</f>
        <v/>
      </c>
      <c r="I202" s="334">
        <f t="array" ref="I202">HYPERLINK(CONCATENATE(Cartelle!$D$5,INDEX(INDIRECT("'" &amp; $C202 &amp; "'!$1:$1"), 1, MATCH(INDIRECT(CONCATENATE("'" &amp; $C202 &amp; "'!",ADDRESS(MATCH($D202, INDIRECT("'" &amp; $C202 &amp; "'!$B:$B"), 0),MATCH(I$1, INDIRECT("'" &amp; $C202 &amp; "'!$1:$1"), 0)))),INDIRECT(CONCATENATE("'" &amp; $C202 &amp; "'!",MATCH($D202, INDIRECT("'" &amp; $C202 &amp; "'!$B:$B"), 0),":",MATCH($D202, INDIRECT("'" &amp; $C202 &amp; "'!$B:$B"), 0))),0)),"/",$C202,"/",MID($D202,1,FIND("_",$D202)-1),"/",INDIRECT(CONCATENATE("'" &amp; $C202 &amp; "'!",ADDRESS(MATCH($D202, INDIRECT("'" &amp; $C202 &amp; "'!$B:$B"), 0),MATCH(I$1, INDIRECT("'" &amp; $C202 &amp; "'!$1:$1"), 0)))),".",INDIRECT(CONCATENATE("'"&amp;$C202&amp;"'!",ADDRESS(MATCH($D202,INDIRECT("'"&amp;$C202&amp;"'!$B:$B"),0),3))),"#page=",I203),CONCATENATE("#Sharepoint//",$D202))</f>
        <v/>
      </c>
      <c r="J202" s="334">
        <f t="array" ref="J202">HYPERLINK(CONCATENATE(Cartelle!$D$5,INDEX(INDIRECT("'" &amp; $C202 &amp; "'!$1:$1"), 1, MATCH(INDIRECT(CONCATENATE("'" &amp; $C202 &amp; "'!",ADDRESS(MATCH($D202, INDIRECT("'" &amp; $C202 &amp; "'!$B:$B"), 0),MATCH(J$1, INDIRECT("'" &amp; $C202 &amp; "'!$1:$1"), 0)))),INDIRECT(CONCATENATE("'" &amp; $C202 &amp; "'!",MATCH($D202, INDIRECT("'" &amp; $C202 &amp; "'!$B:$B"), 0),":",MATCH($D202, INDIRECT("'" &amp; $C202 &amp; "'!$B:$B"), 0))),0)),"/",$C202,"/",MID($D202,1,FIND("_",$D202)-1),"/",INDIRECT(CONCATENATE("'" &amp; $C202 &amp; "'!",ADDRESS(MATCH($D202, INDIRECT("'" &amp; $C202 &amp; "'!$B:$B"), 0),MATCH(J$1, INDIRECT("'" &amp; $C202 &amp; "'!$1:$1"), 0)))),".",INDIRECT(CONCATENATE("'"&amp;$C202&amp;"'!",ADDRESS(MATCH($D202,INDIRECT("'"&amp;$C202&amp;"'!$B:$B"),0),3))),"#page=",J203),CONCATENATE("#Sharepoint//",$D202))</f>
        <v/>
      </c>
      <c r="K202" s="353" t="n"/>
      <c r="L202" s="353" t="n"/>
    </row>
    <row r="203" outlineLevel="2" s="462">
      <c r="B203" s="169" t="n"/>
      <c r="D203" s="168" t="n"/>
      <c r="E203" s="167" t="inlineStr">
        <is>
          <t>Rif. Pagina</t>
        </is>
      </c>
      <c r="F203" s="168" t="n">
        <v>50</v>
      </c>
      <c r="G203" s="168" t="n"/>
      <c r="H203" s="168" t="n">
        <v>54</v>
      </c>
      <c r="I203" s="168" t="n">
        <v>50</v>
      </c>
      <c r="J203" s="168" t="n">
        <v>95</v>
      </c>
      <c r="K203" s="168" t="n"/>
      <c r="L203" s="168" t="n"/>
    </row>
    <row r="204" outlineLevel="2" customFormat="1" s="8">
      <c r="B204" s="59" t="n"/>
      <c r="C204" s="430" t="n"/>
      <c r="D204" s="233" t="n"/>
      <c r="E204" s="234" t="inlineStr">
        <is>
          <t>Funzioni AI</t>
        </is>
      </c>
      <c r="F204" s="239" t="n"/>
      <c r="G204" s="235" t="n"/>
      <c r="H204" s="239" t="n"/>
      <c r="I204" s="239" t="n"/>
      <c r="J204" s="239" t="n"/>
      <c r="K204" s="235" t="n"/>
      <c r="L204" s="236" t="n"/>
    </row>
    <row r="205">
      <c r="A205" s="181" t="inlineStr">
        <is>
          <t>BRK_Holding_Brake</t>
        </is>
      </c>
      <c r="B205" s="362" t="n"/>
      <c r="C205" s="181" t="n"/>
      <c r="D205" s="363" t="inlineStr">
        <is>
          <t>\</t>
        </is>
      </c>
      <c r="E205" s="162" t="n"/>
      <c r="F205" s="163" t="n"/>
      <c r="G205" s="163" t="n"/>
      <c r="H205" s="163" t="n"/>
      <c r="I205" s="163" t="n"/>
      <c r="J205" s="163" t="n"/>
      <c r="K205" s="163" t="n"/>
      <c r="L205" s="164" t="n"/>
    </row>
    <row r="206" outlineLevel="1" s="462">
      <c r="B206" s="169" t="n"/>
      <c r="C206" s="332" t="inlineStr">
        <is>
          <t>CONFIG</t>
        </is>
      </c>
      <c r="D206" s="364" t="inlineStr">
        <is>
          <t>FRS_Brake Control</t>
        </is>
      </c>
      <c r="E206" s="365" t="inlineStr">
        <is>
          <t>Link</t>
        </is>
      </c>
      <c r="F206" s="334">
        <f t="array" ref="F206">HYPERLINK(CONCATENATE(Cartelle!$D$5,F$1,"/",$C206,"/",MID($D206,1,FIND("_",$D206)-1),"/",INDIRECT(CONCATENATE("'" &amp; $C206 &amp; "'!",ADDRESS(MATCH($D206, INDIRECT("'" &amp; $C206 &amp; "'!$B:$B"), 0),MATCH(F$1, INDIRECT("'" &amp; $C206 &amp; "'!$1:$1"), 0)))),".",INDIRECT(CONCATENATE("'"&amp;$C206&amp;"'!",ADDRESS(MATCH($D206,INDIRECT("'"&amp;$C206&amp;"'!$B:$B"),0),3))),"#page=",F207),CONCATENATE("#Sharepoint//",$D206))</f>
        <v/>
      </c>
      <c r="G206" s="346" t="n"/>
      <c r="H206" s="334">
        <f t="array" ref="H206">HYPERLINK(CONCATENATE(Cartelle!$D$5,INDEX(INDIRECT("'" &amp; $C206 &amp; "'!$1:$1"), 1, MATCH(INDIRECT(CONCATENATE("'" &amp; $C206 &amp; "'!",ADDRESS(MATCH($D206, INDIRECT("'" &amp; $C206 &amp; "'!$B:$B"), 0),MATCH(H$1, INDIRECT("'" &amp; $C206 &amp; "'!$1:$1"), 0)))),INDIRECT(CONCATENATE("'" &amp; $C206 &amp; "'!",MATCH($D206, INDIRECT("'" &amp; $C206 &amp; "'!$B:$B"), 0),":",MATCH($D206, INDIRECT("'" &amp; $C206 &amp; "'!$B:$B"), 0))),0)),"/",$C206,"/",MID($D206,1,FIND("_",$D206)-1),"/",INDIRECT(CONCATENATE("'" &amp; $C206 &amp; "'!",ADDRESS(MATCH($D206, INDIRECT("'" &amp; $C206 &amp; "'!$B:$B"), 0),MATCH(H$1, INDIRECT("'" &amp; $C206 &amp; "'!$1:$1"), 0)))),".",INDIRECT(CONCATENATE("'"&amp;$C206&amp;"'!",ADDRESS(MATCH($D206,INDIRECT("'"&amp;$C206&amp;"'!$B:$B"),0),3))),"#page=",H207),CONCATENATE("#Sharepoint//",$D206))</f>
        <v/>
      </c>
      <c r="I206" s="334">
        <f t="array" ref="I206">HYPERLINK(CONCATENATE(Cartelle!$D$5,INDEX(INDIRECT("'" &amp; $C206 &amp; "'!$1:$1"), 1, MATCH(INDIRECT(CONCATENATE("'" &amp; $C206 &amp; "'!",ADDRESS(MATCH($D206, INDIRECT("'" &amp; $C206 &amp; "'!$B:$B"), 0),MATCH(I$1, INDIRECT("'" &amp; $C206 &amp; "'!$1:$1"), 0)))),INDIRECT(CONCATENATE("'" &amp; $C206 &amp; "'!",MATCH($D206, INDIRECT("'" &amp; $C206 &amp; "'!$B:$B"), 0),":",MATCH($D206, INDIRECT("'" &amp; $C206 &amp; "'!$B:$B"), 0))),0)),"/",$C206,"/",MID($D206,1,FIND("_",$D206)-1),"/",INDIRECT(CONCATENATE("'" &amp; $C206 &amp; "'!",ADDRESS(MATCH($D206, INDIRECT("'" &amp; $C206 &amp; "'!$B:$B"), 0),MATCH(I$1, INDIRECT("'" &amp; $C206 &amp; "'!$1:$1"), 0)))),".",INDIRECT(CONCATENATE("'"&amp;$C206&amp;"'!",ADDRESS(MATCH($D206,INDIRECT("'"&amp;$C206&amp;"'!$B:$B"),0),3))),"#page=",I207),CONCATENATE("#Sharepoint//",$D206))</f>
        <v/>
      </c>
      <c r="J206" s="334">
        <f t="array" ref="J206">HYPERLINK(CONCATENATE(Cartelle!$D$5,INDEX(INDIRECT("'" &amp; $C206 &amp; "'!$1:$1"), 1, MATCH(INDIRECT(CONCATENATE("'" &amp; $C206 &amp; "'!",ADDRESS(MATCH($D206, INDIRECT("'" &amp; $C206 &amp; "'!$B:$B"), 0),MATCH(J$1, INDIRECT("'" &amp; $C206 &amp; "'!$1:$1"), 0)))),INDIRECT(CONCATENATE("'" &amp; $C206 &amp; "'!",MATCH($D206, INDIRECT("'" &amp; $C206 &amp; "'!$B:$B"), 0),":",MATCH($D206, INDIRECT("'" &amp; $C206 &amp; "'!$B:$B"), 0))),0)),"/",$C206,"/",MID($D206,1,FIND("_",$D206)-1),"/",INDIRECT(CONCATENATE("'" &amp; $C206 &amp; "'!",ADDRESS(MATCH($D206, INDIRECT("'" &amp; $C206 &amp; "'!$B:$B"), 0),MATCH(J$1, INDIRECT("'" &amp; $C206 &amp; "'!$1:$1"), 0)))),".",INDIRECT(CONCATENATE("'"&amp;$C206&amp;"'!",ADDRESS(MATCH($D206,INDIRECT("'"&amp;$C206&amp;"'!$B:$B"),0),3))),"#page=",J207),CONCATENATE("#Sharepoint//",$D206))</f>
        <v/>
      </c>
      <c r="K206" s="353" t="n"/>
      <c r="L206" s="353" t="n"/>
    </row>
    <row r="207" outlineLevel="2" s="462">
      <c r="B207" s="169" t="n"/>
      <c r="D207" s="168" t="n"/>
      <c r="E207" s="167" t="inlineStr">
        <is>
          <t>Rif. Pagina</t>
        </is>
      </c>
      <c r="F207" s="168" t="n">
        <v>87</v>
      </c>
      <c r="G207" s="168" t="n"/>
      <c r="H207" s="168" t="n">
        <v>94</v>
      </c>
      <c r="I207" s="168" t="n">
        <v>86</v>
      </c>
      <c r="J207" s="168" t="n">
        <v>129</v>
      </c>
      <c r="K207" s="168" t="n"/>
      <c r="L207" s="168" t="n"/>
    </row>
    <row r="208" outlineLevel="2" customFormat="1" s="8">
      <c r="B208" s="59" t="n"/>
      <c r="C208" s="430" t="n"/>
      <c r="D208" s="233" t="n"/>
      <c r="E208" s="234" t="inlineStr">
        <is>
          <t>Funzioni AI</t>
        </is>
      </c>
      <c r="F208" s="239" t="n"/>
      <c r="G208" s="235" t="n"/>
      <c r="H208" s="239" t="n"/>
      <c r="I208" s="239" t="n"/>
      <c r="J208" s="239" t="n"/>
      <c r="K208" s="235" t="n"/>
      <c r="L208" s="236" t="n"/>
    </row>
    <row r="209">
      <c r="A209" s="181" t="inlineStr">
        <is>
          <t>BRK_Urgency_Brake_(Optional)</t>
        </is>
      </c>
      <c r="B209" s="362" t="n"/>
      <c r="C209" s="181" t="n"/>
      <c r="D209" s="363" t="inlineStr">
        <is>
          <t>\</t>
        </is>
      </c>
      <c r="E209" s="162" t="n"/>
      <c r="F209" s="163" t="n"/>
      <c r="G209" s="163" t="n"/>
      <c r="H209" s="163" t="n"/>
      <c r="I209" s="163" t="n"/>
      <c r="J209" s="163" t="n"/>
      <c r="K209" s="163" t="n"/>
      <c r="L209" s="164" t="n"/>
    </row>
    <row r="210" outlineLevel="1" s="462">
      <c r="B210" s="169" t="n"/>
      <c r="C210" s="332" t="inlineStr">
        <is>
          <t>CONFIG</t>
        </is>
      </c>
      <c r="D210" s="364" t="inlineStr">
        <is>
          <t>FRS_Brake Control</t>
        </is>
      </c>
      <c r="E210" s="365" t="inlineStr">
        <is>
          <t>Link</t>
        </is>
      </c>
      <c r="F210" s="334">
        <f t="array" ref="F210">HYPERLINK(CONCATENATE(Cartelle!$D$5,F$1,"/",$C210,"/",MID($D210,1,FIND("_",$D210)-1),"/",INDIRECT(CONCATENATE("'" &amp; $C210 &amp; "'!",ADDRESS(MATCH($D210, INDIRECT("'" &amp; $C210 &amp; "'!$B:$B"), 0),MATCH(F$1, INDIRECT("'" &amp; $C210 &amp; "'!$1:$1"), 0)))),".",INDIRECT(CONCATENATE("'"&amp;$C210&amp;"'!",ADDRESS(MATCH($D210,INDIRECT("'"&amp;$C210&amp;"'!$B:$B"),0),3))),"#page=",F211),CONCATENATE("#Sharepoint//",$D210))</f>
        <v/>
      </c>
      <c r="G210" s="346" t="n"/>
      <c r="H210" s="334">
        <f t="array" ref="H210">HYPERLINK(CONCATENATE(Cartelle!$D$5,INDEX(INDIRECT("'" &amp; $C210 &amp; "'!$1:$1"), 1, MATCH(INDIRECT(CONCATENATE("'" &amp; $C210 &amp; "'!",ADDRESS(MATCH($D210, INDIRECT("'" &amp; $C210 &amp; "'!$B:$B"), 0),MATCH(H$1, INDIRECT("'" &amp; $C210 &amp; "'!$1:$1"), 0)))),INDIRECT(CONCATENATE("'" &amp; $C210 &amp; "'!",MATCH($D210, INDIRECT("'" &amp; $C210 &amp; "'!$B:$B"), 0),":",MATCH($D210, INDIRECT("'" &amp; $C210 &amp; "'!$B:$B"), 0))),0)),"/",$C210,"/",MID($D210,1,FIND("_",$D210)-1),"/",INDIRECT(CONCATENATE("'" &amp; $C210 &amp; "'!",ADDRESS(MATCH($D210, INDIRECT("'" &amp; $C210 &amp; "'!$B:$B"), 0),MATCH(H$1, INDIRECT("'" &amp; $C210 &amp; "'!$1:$1"), 0)))),".",INDIRECT(CONCATENATE("'"&amp;$C210&amp;"'!",ADDRESS(MATCH($D210,INDIRECT("'"&amp;$C210&amp;"'!$B:$B"),0),3))),"#page=",H211),CONCATENATE("#Sharepoint//",$D210))</f>
        <v/>
      </c>
      <c r="I210" s="334">
        <f t="array" ref="I210">HYPERLINK(CONCATENATE(Cartelle!$D$5,INDEX(INDIRECT("'" &amp; $C210 &amp; "'!$1:$1"), 1, MATCH(INDIRECT(CONCATENATE("'" &amp; $C210 &amp; "'!",ADDRESS(MATCH($D210, INDIRECT("'" &amp; $C210 &amp; "'!$B:$B"), 0),MATCH(I$1, INDIRECT("'" &amp; $C210 &amp; "'!$1:$1"), 0)))),INDIRECT(CONCATENATE("'" &amp; $C210 &amp; "'!",MATCH($D210, INDIRECT("'" &amp; $C210 &amp; "'!$B:$B"), 0),":",MATCH($D210, INDIRECT("'" &amp; $C210 &amp; "'!$B:$B"), 0))),0)),"/",$C210,"/",MID($D210,1,FIND("_",$D210)-1),"/",INDIRECT(CONCATENATE("'" &amp; $C210 &amp; "'!",ADDRESS(MATCH($D210, INDIRECT("'" &amp; $C210 &amp; "'!$B:$B"), 0),MATCH(I$1, INDIRECT("'" &amp; $C210 &amp; "'!$1:$1"), 0)))),".",INDIRECT(CONCATENATE("'"&amp;$C210&amp;"'!",ADDRESS(MATCH($D210,INDIRECT("'"&amp;$C210&amp;"'!$B:$B"),0),3))),"#page=",I211),CONCATENATE("#Sharepoint//",$D210))</f>
        <v/>
      </c>
      <c r="J210" s="334">
        <f t="array" ref="J210">HYPERLINK(CONCATENATE(Cartelle!$D$5,INDEX(INDIRECT("'" &amp; $C210 &amp; "'!$1:$1"), 1, MATCH(INDIRECT(CONCATENATE("'" &amp; $C210 &amp; "'!",ADDRESS(MATCH($D210, INDIRECT("'" &amp; $C210 &amp; "'!$B:$B"), 0),MATCH(J$1, INDIRECT("'" &amp; $C210 &amp; "'!$1:$1"), 0)))),INDIRECT(CONCATENATE("'" &amp; $C210 &amp; "'!",MATCH($D210, INDIRECT("'" &amp; $C210 &amp; "'!$B:$B"), 0),":",MATCH($D210, INDIRECT("'" &amp; $C210 &amp; "'!$B:$B"), 0))),0)),"/",$C210,"/",MID($D210,1,FIND("_",$D210)-1),"/",INDIRECT(CONCATENATE("'" &amp; $C210 &amp; "'!",ADDRESS(MATCH($D210, INDIRECT("'" &amp; $C210 &amp; "'!$B:$B"), 0),MATCH(J$1, INDIRECT("'" &amp; $C210 &amp; "'!$1:$1"), 0)))),".",INDIRECT(CONCATENATE("'"&amp;$C210&amp;"'!",ADDRESS(MATCH($D210,INDIRECT("'"&amp;$C210&amp;"'!$B:$B"),0),3))),"#page=",J211),CONCATENATE("#Sharepoint//",$D210))</f>
        <v/>
      </c>
      <c r="K210" s="353" t="n"/>
      <c r="L210" s="353" t="n"/>
    </row>
    <row r="211" outlineLevel="2" s="462">
      <c r="B211" s="169" t="n"/>
      <c r="D211" s="168" t="n"/>
      <c r="E211" s="167" t="inlineStr">
        <is>
          <t>Rif. Pagina</t>
        </is>
      </c>
      <c r="F211" s="168" t="n">
        <v>91</v>
      </c>
      <c r="G211" s="168" t="n"/>
      <c r="H211" s="168" t="n">
        <v>99</v>
      </c>
      <c r="I211" s="168" t="n">
        <v>90</v>
      </c>
      <c r="J211" s="168" t="n">
        <v>133</v>
      </c>
      <c r="K211" s="168" t="n"/>
      <c r="L211" s="168" t="n"/>
    </row>
    <row r="212" outlineLevel="2" customFormat="1" s="8">
      <c r="B212" s="59" t="n"/>
      <c r="C212" s="430" t="n"/>
      <c r="D212" s="233" t="n"/>
      <c r="E212" s="234" t="inlineStr">
        <is>
          <t>Funzioni AI</t>
        </is>
      </c>
      <c r="F212" s="239" t="n"/>
      <c r="G212" s="235" t="n"/>
      <c r="H212" s="239" t="n"/>
      <c r="I212" s="239" t="n"/>
      <c r="J212" s="239" t="n"/>
      <c r="K212" s="235" t="n"/>
      <c r="L212" s="236" t="n"/>
    </row>
    <row r="213">
      <c r="A213" s="181" t="inlineStr">
        <is>
          <t>BRK_Emergency_Brake</t>
        </is>
      </c>
      <c r="B213" s="362" t="n"/>
      <c r="C213" s="181" t="n"/>
      <c r="D213" s="363" t="inlineStr">
        <is>
          <t>\</t>
        </is>
      </c>
      <c r="E213" s="162" t="n"/>
      <c r="F213" s="163" t="n"/>
      <c r="G213" s="163" t="n"/>
      <c r="H213" s="163" t="n"/>
      <c r="I213" s="163" t="n"/>
      <c r="J213" s="163" t="n"/>
      <c r="K213" s="163" t="n"/>
      <c r="L213" s="164" t="n"/>
    </row>
    <row r="214" outlineLevel="1" s="462">
      <c r="B214" s="169" t="n"/>
      <c r="C214" s="332" t="inlineStr">
        <is>
          <t>CONFIG</t>
        </is>
      </c>
      <c r="D214" s="364" t="inlineStr">
        <is>
          <t>FRS_Brake Control</t>
        </is>
      </c>
      <c r="E214" s="365" t="inlineStr">
        <is>
          <t>Link</t>
        </is>
      </c>
      <c r="F214" s="334">
        <f t="array" ref="F214">HYPERLINK(CONCATENATE(Cartelle!$D$5,F$1,"/",$C214,"/",MID($D214,1,FIND("_",$D214)-1),"/",INDIRECT(CONCATENATE("'" &amp; $C214 &amp; "'!",ADDRESS(MATCH($D214, INDIRECT("'" &amp; $C214 &amp; "'!$B:$B"), 0),MATCH(F$1, INDIRECT("'" &amp; $C214 &amp; "'!$1:$1"), 0)))),".",INDIRECT(CONCATENATE("'"&amp;$C214&amp;"'!",ADDRESS(MATCH($D214,INDIRECT("'"&amp;$C214&amp;"'!$B:$B"),0),3))),"#page=",F215),CONCATENATE("#Sharepoint//",$D214))</f>
        <v/>
      </c>
      <c r="G214" s="346" t="n"/>
      <c r="H214" s="334">
        <f t="array" ref="H214">HYPERLINK(CONCATENATE(Cartelle!$D$5,INDEX(INDIRECT("'" &amp; $C214 &amp; "'!$1:$1"), 1, MATCH(INDIRECT(CONCATENATE("'" &amp; $C214 &amp; "'!",ADDRESS(MATCH($D214, INDIRECT("'" &amp; $C214 &amp; "'!$B:$B"), 0),MATCH(H$1, INDIRECT("'" &amp; $C214 &amp; "'!$1:$1"), 0)))),INDIRECT(CONCATENATE("'" &amp; $C214 &amp; "'!",MATCH($D214, INDIRECT("'" &amp; $C214 &amp; "'!$B:$B"), 0),":",MATCH($D214, INDIRECT("'" &amp; $C214 &amp; "'!$B:$B"), 0))),0)),"/",$C214,"/",MID($D214,1,FIND("_",$D214)-1),"/",INDIRECT(CONCATENATE("'" &amp; $C214 &amp; "'!",ADDRESS(MATCH($D214, INDIRECT("'" &amp; $C214 &amp; "'!$B:$B"), 0),MATCH(H$1, INDIRECT("'" &amp; $C214 &amp; "'!$1:$1"), 0)))),".",INDIRECT(CONCATENATE("'"&amp;$C214&amp;"'!",ADDRESS(MATCH($D214,INDIRECT("'"&amp;$C214&amp;"'!$B:$B"),0),3))),"#page=",H215),CONCATENATE("#Sharepoint//",$D214))</f>
        <v/>
      </c>
      <c r="I214" s="334">
        <f t="array" ref="I214">HYPERLINK(CONCATENATE(Cartelle!$D$5,INDEX(INDIRECT("'" &amp; $C214 &amp; "'!$1:$1"), 1, MATCH(INDIRECT(CONCATENATE("'" &amp; $C214 &amp; "'!",ADDRESS(MATCH($D214, INDIRECT("'" &amp; $C214 &amp; "'!$B:$B"), 0),MATCH(I$1, INDIRECT("'" &amp; $C214 &amp; "'!$1:$1"), 0)))),INDIRECT(CONCATENATE("'" &amp; $C214 &amp; "'!",MATCH($D214, INDIRECT("'" &amp; $C214 &amp; "'!$B:$B"), 0),":",MATCH($D214, INDIRECT("'" &amp; $C214 &amp; "'!$B:$B"), 0))),0)),"/",$C214,"/",MID($D214,1,FIND("_",$D214)-1),"/",INDIRECT(CONCATENATE("'" &amp; $C214 &amp; "'!",ADDRESS(MATCH($D214, INDIRECT("'" &amp; $C214 &amp; "'!$B:$B"), 0),MATCH(I$1, INDIRECT("'" &amp; $C214 &amp; "'!$1:$1"), 0)))),".",INDIRECT(CONCATENATE("'"&amp;$C214&amp;"'!",ADDRESS(MATCH($D214,INDIRECT("'"&amp;$C214&amp;"'!$B:$B"),0),3))),"#page=",I215),CONCATENATE("#Sharepoint//",$D214))</f>
        <v/>
      </c>
      <c r="J214" s="334">
        <f t="array" ref="J214">HYPERLINK(CONCATENATE(Cartelle!$D$5,INDEX(INDIRECT("'" &amp; $C214 &amp; "'!$1:$1"), 1, MATCH(INDIRECT(CONCATENATE("'" &amp; $C214 &amp; "'!",ADDRESS(MATCH($D214, INDIRECT("'" &amp; $C214 &amp; "'!$B:$B"), 0),MATCH(J$1, INDIRECT("'" &amp; $C214 &amp; "'!$1:$1"), 0)))),INDIRECT(CONCATENATE("'" &amp; $C214 &amp; "'!",MATCH($D214, INDIRECT("'" &amp; $C214 &amp; "'!$B:$B"), 0),":",MATCH($D214, INDIRECT("'" &amp; $C214 &amp; "'!$B:$B"), 0))),0)),"/",$C214,"/",MID($D214,1,FIND("_",$D214)-1),"/",INDIRECT(CONCATENATE("'" &amp; $C214 &amp; "'!",ADDRESS(MATCH($D214, INDIRECT("'" &amp; $C214 &amp; "'!$B:$B"), 0),MATCH(J$1, INDIRECT("'" &amp; $C214 &amp; "'!$1:$1"), 0)))),".",INDIRECT(CONCATENATE("'"&amp;$C214&amp;"'!",ADDRESS(MATCH($D214,INDIRECT("'"&amp;$C214&amp;"'!$B:$B"),0),3))),"#page=",J215),CONCATENATE("#Sharepoint//",$D214))</f>
        <v/>
      </c>
      <c r="K214" s="353" t="n"/>
      <c r="L214" s="353" t="n"/>
    </row>
    <row r="215" outlineLevel="2" s="462">
      <c r="B215" s="169" t="n"/>
      <c r="D215" s="168" t="n"/>
      <c r="E215" s="167" t="inlineStr">
        <is>
          <t>Rif. Pagina</t>
        </is>
      </c>
      <c r="F215" s="168" t="n">
        <v>97</v>
      </c>
      <c r="G215" s="168" t="n"/>
      <c r="H215" s="168" t="n">
        <v>102</v>
      </c>
      <c r="I215" s="168" t="n">
        <v>93</v>
      </c>
      <c r="J215" s="168" t="n">
        <v>136</v>
      </c>
      <c r="K215" s="168" t="n"/>
      <c r="L215" s="168" t="n"/>
    </row>
    <row r="216" outlineLevel="2" s="462">
      <c r="B216" s="169" t="n"/>
      <c r="D216" s="168" t="n"/>
      <c r="E216" s="234" t="inlineStr">
        <is>
          <t>Funzioni AI</t>
        </is>
      </c>
      <c r="F216" s="242" t="n"/>
      <c r="G216" s="237" t="n"/>
      <c r="H216" s="242" t="n"/>
      <c r="I216" s="242" t="n"/>
      <c r="J216" s="242" t="n"/>
      <c r="K216" s="237" t="n"/>
      <c r="L216" s="238" t="n"/>
    </row>
    <row r="217">
      <c r="A217" s="181" t="inlineStr">
        <is>
          <t>BRK_Parking_Brake</t>
        </is>
      </c>
      <c r="B217" s="362" t="n"/>
      <c r="C217" s="181" t="n"/>
      <c r="D217" s="363" t="inlineStr">
        <is>
          <t>\</t>
        </is>
      </c>
      <c r="E217" s="162" t="n"/>
      <c r="F217" s="163" t="n"/>
      <c r="G217" s="163" t="n"/>
      <c r="H217" s="163" t="n"/>
      <c r="I217" s="163" t="n"/>
      <c r="J217" s="163" t="n"/>
      <c r="K217" s="163" t="n"/>
      <c r="L217" s="164" t="n"/>
    </row>
    <row r="218" outlineLevel="1" s="462">
      <c r="B218" s="169" t="n"/>
      <c r="C218" s="332" t="inlineStr">
        <is>
          <t>CONFIG</t>
        </is>
      </c>
      <c r="D218" s="364" t="inlineStr">
        <is>
          <t>FRS_Brake Control</t>
        </is>
      </c>
      <c r="E218" s="365" t="inlineStr">
        <is>
          <t>Link</t>
        </is>
      </c>
      <c r="F218" s="334">
        <f t="array" ref="F218">HYPERLINK(CONCATENATE(Cartelle!$D$5,F$1,"/",$C218,"/",MID($D218,1,FIND("_",$D218)-1),"/",INDIRECT(CONCATENATE("'" &amp; $C218 &amp; "'!",ADDRESS(MATCH($D218, INDIRECT("'" &amp; $C218 &amp; "'!$B:$B"), 0),MATCH(F$1, INDIRECT("'" &amp; $C218 &amp; "'!$1:$1"), 0)))),".",INDIRECT(CONCATENATE("'"&amp;$C218&amp;"'!",ADDRESS(MATCH($D218,INDIRECT("'"&amp;$C218&amp;"'!$B:$B"),0),3))),"#page=",F219),CONCATENATE("#Sharepoint//",$D218))</f>
        <v/>
      </c>
      <c r="G218" s="346" t="n"/>
      <c r="H218" s="334">
        <f t="array" ref="H218">HYPERLINK(CONCATENATE(Cartelle!$D$5,INDEX(INDIRECT("'" &amp; $C218 &amp; "'!$1:$1"), 1, MATCH(INDIRECT(CONCATENATE("'" &amp; $C218 &amp; "'!",ADDRESS(MATCH($D218, INDIRECT("'" &amp; $C218 &amp; "'!$B:$B"), 0),MATCH(H$1, INDIRECT("'" &amp; $C218 &amp; "'!$1:$1"), 0)))),INDIRECT(CONCATENATE("'" &amp; $C218 &amp; "'!",MATCH($D218, INDIRECT("'" &amp; $C218 &amp; "'!$B:$B"), 0),":",MATCH($D218, INDIRECT("'" &amp; $C218 &amp; "'!$B:$B"), 0))),0)),"/",$C218,"/",MID($D218,1,FIND("_",$D218)-1),"/",INDIRECT(CONCATENATE("'" &amp; $C218 &amp; "'!",ADDRESS(MATCH($D218, INDIRECT("'" &amp; $C218 &amp; "'!$B:$B"), 0),MATCH(H$1, INDIRECT("'" &amp; $C218 &amp; "'!$1:$1"), 0)))),".",INDIRECT(CONCATENATE("'"&amp;$C218&amp;"'!",ADDRESS(MATCH($D218,INDIRECT("'"&amp;$C218&amp;"'!$B:$B"),0),3))),"#page=",H219),CONCATENATE("#Sharepoint//",$D218))</f>
        <v/>
      </c>
      <c r="I218" s="334">
        <f t="array" ref="I218">HYPERLINK(CONCATENATE(Cartelle!$D$5,INDEX(INDIRECT("'" &amp; $C218 &amp; "'!$1:$1"), 1, MATCH(INDIRECT(CONCATENATE("'" &amp; $C218 &amp; "'!",ADDRESS(MATCH($D218, INDIRECT("'" &amp; $C218 &amp; "'!$B:$B"), 0),MATCH(I$1, INDIRECT("'" &amp; $C218 &amp; "'!$1:$1"), 0)))),INDIRECT(CONCATENATE("'" &amp; $C218 &amp; "'!",MATCH($D218, INDIRECT("'" &amp; $C218 &amp; "'!$B:$B"), 0),":",MATCH($D218, INDIRECT("'" &amp; $C218 &amp; "'!$B:$B"), 0))),0)),"/",$C218,"/",MID($D218,1,FIND("_",$D218)-1),"/",INDIRECT(CONCATENATE("'" &amp; $C218 &amp; "'!",ADDRESS(MATCH($D218, INDIRECT("'" &amp; $C218 &amp; "'!$B:$B"), 0),MATCH(I$1, INDIRECT("'" &amp; $C218 &amp; "'!$1:$1"), 0)))),".",INDIRECT(CONCATENATE("'"&amp;$C218&amp;"'!",ADDRESS(MATCH($D218,INDIRECT("'"&amp;$C218&amp;"'!$B:$B"),0),3))),"#page=",I219),CONCATENATE("#Sharepoint//",$D218))</f>
        <v/>
      </c>
      <c r="J218" s="334">
        <f t="array" ref="J218">HYPERLINK(CONCATENATE(Cartelle!$D$5,INDEX(INDIRECT("'" &amp; $C218 &amp; "'!$1:$1"), 1, MATCH(INDIRECT(CONCATENATE("'" &amp; $C218 &amp; "'!",ADDRESS(MATCH($D218, INDIRECT("'" &amp; $C218 &amp; "'!$B:$B"), 0),MATCH(J$1, INDIRECT("'" &amp; $C218 &amp; "'!$1:$1"), 0)))),INDIRECT(CONCATENATE("'" &amp; $C218 &amp; "'!",MATCH($D218, INDIRECT("'" &amp; $C218 &amp; "'!$B:$B"), 0),":",MATCH($D218, INDIRECT("'" &amp; $C218 &amp; "'!$B:$B"), 0))),0)),"/",$C218,"/",MID($D218,1,FIND("_",$D218)-1),"/",INDIRECT(CONCATENATE("'" &amp; $C218 &amp; "'!",ADDRESS(MATCH($D218, INDIRECT("'" &amp; $C218 &amp; "'!$B:$B"), 0),MATCH(J$1, INDIRECT("'" &amp; $C218 &amp; "'!$1:$1"), 0)))),".",INDIRECT(CONCATENATE("'"&amp;$C218&amp;"'!",ADDRESS(MATCH($D218,INDIRECT("'"&amp;$C218&amp;"'!$B:$B"),0),3))),"#page=",J219),CONCATENATE("#Sharepoint//",$D218))</f>
        <v/>
      </c>
      <c r="K218" s="353" t="n"/>
      <c r="L218" s="353" t="n"/>
    </row>
    <row r="219" outlineLevel="2" s="462">
      <c r="B219" s="169" t="n"/>
      <c r="D219" s="168" t="n"/>
      <c r="E219" s="167" t="inlineStr">
        <is>
          <t>Rif. Pagina</t>
        </is>
      </c>
      <c r="F219" s="168" t="n">
        <v>117</v>
      </c>
      <c r="G219" s="168" t="n"/>
      <c r="H219" s="168" t="n">
        <v>127</v>
      </c>
      <c r="I219" s="168" t="n">
        <v>113</v>
      </c>
      <c r="J219" s="168" t="n">
        <v>154</v>
      </c>
      <c r="K219" s="168" t="n"/>
      <c r="L219" s="168" t="n"/>
    </row>
    <row r="220" outlineLevel="2" s="462">
      <c r="B220" s="169" t="n"/>
      <c r="D220" s="168" t="n"/>
      <c r="E220" s="270" t="inlineStr">
        <is>
          <t>Funzioni AI</t>
        </is>
      </c>
      <c r="F220" s="366" t="n"/>
      <c r="G220" s="166" t="n"/>
      <c r="H220" s="366" t="n"/>
      <c r="I220" s="366" t="n"/>
      <c r="J220" s="366" t="n"/>
      <c r="K220" s="166" t="n"/>
      <c r="L220" s="166" t="n"/>
    </row>
    <row r="221" outlineLevel="2" ht="225.75" customHeight="1" s="462">
      <c r="B221" s="86" t="n"/>
      <c r="D221" s="340" t="n"/>
      <c r="E221" s="218" t="inlineStr">
        <is>
          <t>Approfindimenti (data 01/06/2026)</t>
        </is>
      </c>
      <c r="F221" s="217" t="inlineStr">
        <is>
          <t>\</t>
        </is>
      </c>
      <c r="G221" s="217" t="n"/>
      <c r="H221" s="217" t="n"/>
      <c r="I221" s="217" t="n"/>
      <c r="J221" s="337" t="inlineStr">
        <is>
          <t xml:space="preserve">Rispetto a FRS VZI_Base, aggiunto requisiti .3980 e .TRS.343 per inibire elettricamente il TCMS in caso di comando di sblocco PB non dovuto. Tali requisiti sono stati implementati con il circuito di cui alle descrizioni circuitali di cui sopra, il quale utilizza gli ingressi di comando BRA_PARK_COM di comando e lo stato delle variabili BRA_EVFS1-PRO_N e BRA_EVFS1-PRO_R per verificare che sia stato comandato effettivamente un rilascio da pulsante e da macchinista, e che non sia stato rilasciato esclusivamente dal TCMS 
</t>
        </is>
      </c>
      <c r="K221" s="217" t="n"/>
      <c r="L221" s="217" t="n"/>
    </row>
    <row r="222" outlineLevel="1" s="462">
      <c r="B222" s="86" t="n"/>
      <c r="C222" s="332" t="inlineStr">
        <is>
          <t>CONFIG</t>
        </is>
      </c>
      <c r="D222" s="332" t="inlineStr">
        <is>
          <t>FS_DM1</t>
        </is>
      </c>
      <c r="E222" s="333" t="inlineStr">
        <is>
          <t>Link</t>
        </is>
      </c>
      <c r="F222" s="334">
        <f t="array" ref="F222">HYPERLINK(CONCATENATE(Cartelle!$D$5,F$1,"/",$C222,"/",MID($D222,1,FIND("_",$D222)-1),"/",INDIRECT(CONCATENATE("'" &amp; $C222 &amp; "'!",ADDRESS(MATCH($D222, INDIRECT("'" &amp; $C222 &amp; "'!$B:$B"), 0),MATCH(F$1, INDIRECT("'" &amp; $C222 &amp; "'!$1:$1"), 0)))),".",INDIRECT(CONCATENATE("'"&amp;$C222&amp;"'!",ADDRESS(MATCH($D222,INDIRECT("'"&amp;$C222&amp;"'!$B:$B"),0),3))),"#page=",F223),CONCATENATE("#Sharepoint//",$D222))</f>
        <v/>
      </c>
      <c r="G222" s="334" t="n"/>
      <c r="H222" s="332" t="n"/>
      <c r="I222" s="332" t="n"/>
      <c r="J222" s="334">
        <f t="array" ref="J222">HYPERLINK(CONCATENATE(Cartelle!$D$5,INDEX(INDIRECT("'" &amp; $C222 &amp; "'!$1:$1"), 1, MATCH(INDIRECT(CONCATENATE("'" &amp; $C222 &amp; "'!",ADDRESS(MATCH($D222, INDIRECT("'" &amp; $C222 &amp; "'!$B:$B"), 0),MATCH(J$1, INDIRECT("'" &amp; $C222 &amp; "'!$1:$1"), 0)))),INDIRECT(CONCATENATE("'" &amp; $C222 &amp; "'!",MATCH($D222, INDIRECT("'" &amp; $C222 &amp; "'!$B:$B"), 0),":",MATCH($D222, INDIRECT("'" &amp; $C222 &amp; "'!$B:$B"), 0))),0)),"/",$C222,"/",MID($D222,1,FIND("_",$D222)-1),"/",INDIRECT(CONCATENATE("'" &amp; $C222 &amp; "'!",ADDRESS(MATCH($D222, INDIRECT("'" &amp; $C222 &amp; "'!$B:$B"), 0),MATCH(J$1, INDIRECT("'" &amp; $C222 &amp; "'!$1:$1"), 0)))),".",INDIRECT(CONCATENATE("'"&amp;$C222&amp;"'!",ADDRESS(MATCH($D222,INDIRECT("'"&amp;$C222&amp;"'!$B:$B"),0),3))),"#page=",J223),CONCATENATE("#Sharepoint//",$D222))</f>
        <v/>
      </c>
      <c r="K222" s="335" t="n"/>
      <c r="L222" s="332" t="n"/>
    </row>
    <row r="223" outlineLevel="2" s="462">
      <c r="B223" s="86" t="n"/>
      <c r="D223" s="339" t="n"/>
      <c r="E223" s="218" t="inlineStr">
        <is>
          <t>Rif. Pagina</t>
        </is>
      </c>
      <c r="F223" s="217" t="n">
        <v>276</v>
      </c>
      <c r="G223" s="326" t="n">
        <v>243</v>
      </c>
      <c r="H223" s="217" t="n"/>
      <c r="I223" s="217" t="n"/>
      <c r="J223" s="217" t="n">
        <v>144</v>
      </c>
      <c r="K223" s="337" t="n"/>
      <c r="L223" s="217" t="n"/>
    </row>
    <row r="224" outlineLevel="2" ht="72.5" customHeight="1" s="462">
      <c r="B224" s="86" t="n"/>
      <c r="D224" s="322" t="n"/>
      <c r="E224" s="218" t="inlineStr">
        <is>
          <t>Applicazione PB - Componenti circuito elettrico (data 01/06/2026)</t>
        </is>
      </c>
      <c r="F224" s="337" t="inlineStr">
        <is>
          <t>GG-A024 = Pulsante parking
JE-K0005 = MIO-S-DX4</t>
        </is>
      </c>
      <c r="G224" s="217" t="n"/>
      <c r="H224" s="217" t="n"/>
      <c r="I224" s="217" t="n"/>
      <c r="J224" s="337" t="inlineStr">
        <is>
          <t>GG-A024 = Pulsante parking
GC-K025 = Relè abilitazione cabina
GC-K018 = Relè temporizz
GC-K011 = Relè abilitazione cabina
JE-K005 = RIO-LP MASTER</t>
        </is>
      </c>
      <c r="K224" s="367" t="n"/>
      <c r="L224" s="217" t="n"/>
    </row>
    <row r="225" outlineLevel="2" ht="290" customHeight="1" s="462">
      <c r="B225" s="86" t="n"/>
      <c r="D225" s="340" t="n"/>
      <c r="E225" s="218" t="inlineStr">
        <is>
          <t>Applicazione PB - Descrizione circuitale (data 01/06/2026)</t>
        </is>
      </c>
      <c r="F225" s="337" t="inlineStr">
        <is>
          <t>La pressione di GG-A024 chiude 2 contatti interni (1 ordinario, 1 ridondato), collegando 2 linee 110V a 2 ingressi della MIO: BRA_PARK_COM
Le 2 linee 110 derivano direttamente dal bus  180, tramite due fusibili rispettivamente JE-F007 e JE-F009.</t>
        </is>
      </c>
      <c r="G225" s="217" t="n"/>
      <c r="H225" s="217" t="n"/>
      <c r="I225" s="217" t="n"/>
      <c r="J225" s="337" t="inlineStr">
        <is>
          <t>La pressione di GG-A024 chiude 2 contatti interni (1 ordinario, 1 ridondato), collegando 2 linee 110V a 2 ingressi della RIO: BRA_PARK_COM_N e BRA_PARK_COM_R
Le 2 linee 110 derivano direttamente dal bus  180, tramite due fusibili rispettivamente JE-F007 e JE-F009.
Un contatto del pulsante inoltre alimenta un circuito che intercetta, sulle casse portanti con disponibilità del freno di parcheggio, il comando di rilascio del TCMS verso le valvole di attuazione del parking brake stesso. Tale circuito viene alimentato tramite i relè di banco GC-K011 e GC-K025 e attuato per mezzo del relè temporizzato GC-K018. Tutta questa catena alimenta un relè GG-K028 presenti sulle casse portanti con disponibilità di freno di parcheggio.</t>
        </is>
      </c>
      <c r="K225" s="217" t="n"/>
      <c r="L225" s="217" t="n"/>
    </row>
    <row r="226" outlineLevel="1" s="462">
      <c r="B226" s="86" t="n"/>
      <c r="C226" s="332" t="inlineStr">
        <is>
          <t>CONFIG</t>
        </is>
      </c>
      <c r="D226" s="332" t="inlineStr">
        <is>
          <t>FS_TT2</t>
        </is>
      </c>
      <c r="E226" s="333" t="inlineStr">
        <is>
          <t>Link</t>
        </is>
      </c>
      <c r="F226" s="334">
        <f t="array" ref="F226">HYPERLINK(CONCATENATE(Cartelle!$D$5,F$1,"/",$C226,"/",MID($D226,1,FIND("_",$D226)-1),"/",INDIRECT(CONCATENATE("'" &amp; $C226 &amp; "'!",ADDRESS(MATCH($D226, INDIRECT("'" &amp; $C226 &amp; "'!$B:$B"), 0),MATCH(F$1, INDIRECT("'" &amp; $C226 &amp; "'!$1:$1"), 0)))),".",INDIRECT(CONCATENATE("'"&amp;$C226&amp;"'!",ADDRESS(MATCH($D226,INDIRECT("'"&amp;$C226&amp;"'!$B:$B"),0),3))),"#page=",F227),CONCATENATE("#Sharepoint//",$D226))</f>
        <v/>
      </c>
      <c r="G226" s="332" t="n"/>
      <c r="H226" s="332" t="n"/>
      <c r="I226" s="332" t="n"/>
      <c r="J226" s="334">
        <f t="array" ref="J226">HYPERLINK(CONCATENATE(Cartelle!$D$5,INDEX(INDIRECT("'" &amp; $C226 &amp; "'!$1:$1"), 1, MATCH(INDIRECT(CONCATENATE("'" &amp; $C226 &amp; "'!",ADDRESS(MATCH($D226, INDIRECT("'" &amp; $C226 &amp; "'!$B:$B"), 0),MATCH(J$1, INDIRECT("'" &amp; $C226 &amp; "'!$1:$1"), 0)))),INDIRECT(CONCATENATE("'" &amp; $C226 &amp; "'!",MATCH($D226, INDIRECT("'" &amp; $C226 &amp; "'!$B:$B"), 0),":",MATCH($D226, INDIRECT("'" &amp; $C226 &amp; "'!$B:$B"), 0))),0)),"/",$C226,"/",MID($D226,1,FIND("_",$D226)-1),"/",INDIRECT(CONCATENATE("'" &amp; $C226 &amp; "'!",ADDRESS(MATCH($D226, INDIRECT("'" &amp; $C226 &amp; "'!$B:$B"), 0),MATCH(J$1, INDIRECT("'" &amp; $C226 &amp; "'!$1:$1"), 0)))),".",INDIRECT(CONCATENATE("'"&amp;$C226&amp;"'!",ADDRESS(MATCH($D226,INDIRECT("'"&amp;$C226&amp;"'!$B:$B"),0),3))),"#page=",J227),CONCATENATE("#Sharepoint//",$D226))</f>
        <v/>
      </c>
      <c r="K226" s="335" t="n"/>
      <c r="L226" s="332" t="n"/>
    </row>
    <row r="227" outlineLevel="2" s="462">
      <c r="B227" s="86" t="n"/>
      <c r="D227" s="339" t="n"/>
      <c r="E227" s="218" t="inlineStr">
        <is>
          <t>Rif. Pagina</t>
        </is>
      </c>
      <c r="F227" s="217" t="n">
        <v>171</v>
      </c>
      <c r="G227" s="217" t="n"/>
      <c r="H227" s="217" t="n"/>
      <c r="I227" s="217" t="n"/>
      <c r="J227" s="217" t="n">
        <v>131</v>
      </c>
      <c r="K227" s="337" t="n"/>
      <c r="L227" s="217" t="n"/>
    </row>
    <row r="228" outlineLevel="2" ht="116" customHeight="1" s="462">
      <c r="B228" s="86" t="n"/>
      <c r="D228" s="322" t="n"/>
      <c r="E228" s="218" t="inlineStr">
        <is>
          <t>Applicazione PB - Componenti circuito elettrico (data 01/06/2026)</t>
        </is>
      </c>
      <c r="F228" s="337" t="inlineStr">
        <is>
          <t>EVFS1 = Valvola applicazione parking brake
JE-K009 = RIO
JE-K010 = RIO
GG-K016 = Relè RER</t>
        </is>
      </c>
      <c r="G228" s="217" t="n"/>
      <c r="H228" s="217" t="n"/>
      <c r="I228" s="217" t="n"/>
      <c r="J228" s="337" t="inlineStr">
        <is>
          <t>GG-K016 = Relè RER
GG-K028 = Relè di taglio per il comando di rilascio del PB dato da TCMS attraverso BRA_EVFS1_COM
EVFS1 = Valvola applicazione parking brake
JE-K009 = RIO
JE-K010 = RIO</t>
        </is>
      </c>
      <c r="K228" s="367" t="n"/>
      <c r="L228" s="217" t="n"/>
    </row>
    <row r="229" outlineLevel="2" ht="246.5" customHeight="1" s="462">
      <c r="B229" s="86" t="n"/>
      <c r="D229" s="340" t="n"/>
      <c r="E229" s="218" t="inlineStr">
        <is>
          <t>Applicazione PB - Descrizione circuitale (data 01/06/2026)</t>
        </is>
      </c>
      <c r="F229" s="337" t="inlineStr">
        <is>
          <t xml:space="preserve">Il segnale di rilascio del praking brake verso la EVFS1 viene fornito dalle RIO BRA-EVFS1_COM. Il comando verso EVFS1 è sezionato solamente da un relè GG-K016 chiamato RER che si abilita con un contatto relativo all'inserzione della chiave di banco </t>
        </is>
      </c>
      <c r="G229" s="217" t="n"/>
      <c r="H229" s="217" t="n"/>
      <c r="I229" s="217" t="n"/>
      <c r="J229" s="337" t="inlineStr">
        <is>
          <t>Il comando di GG-K028 è dato dalla catena circuitale introdotta nelle DM che serve a evitare che il TCMS possa comandare impropriamente il circuito di rilascio del freno di stazionamento chiamato anche Parking brake oppure Freno a molla FAM. Il comando verso EVFS1 è sezionato pertanto da un relè GG-K016 chiamato RER che si abilita con un contatto relativo all'inserzione della chiave di banco e dal relè GG-K028 facente capo alla catena introdotta nelle DM rispetto al circuito della flotta base. Lo stato di quest'ultimo relè è diagnosticato tramite 2 ingressi RIO ridondati chiamati BRA_EVFS1-PRO_N e BRA_EVFS1-PRO_R</t>
        </is>
      </c>
      <c r="K229" s="217" t="n"/>
      <c r="L229" s="217" t="n"/>
    </row>
    <row r="230">
      <c r="A230" s="181" t="inlineStr">
        <is>
          <t>BRK_Wheel_Slide_Protection</t>
        </is>
      </c>
      <c r="B230" s="362" t="n"/>
      <c r="C230" s="181" t="n"/>
      <c r="D230" s="363" t="inlineStr">
        <is>
          <t>\</t>
        </is>
      </c>
      <c r="E230" s="162" t="n"/>
      <c r="F230" s="163" t="n"/>
      <c r="G230" s="163" t="n"/>
      <c r="H230" s="163" t="n"/>
      <c r="I230" s="163" t="n"/>
      <c r="J230" s="163" t="n"/>
      <c r="K230" s="163" t="n"/>
      <c r="L230" s="164" t="n"/>
    </row>
    <row r="231" outlineLevel="1" s="462">
      <c r="B231" s="169" t="n"/>
      <c r="C231" s="332" t="inlineStr">
        <is>
          <t>CONFIG</t>
        </is>
      </c>
      <c r="D231" s="364" t="inlineStr">
        <is>
          <t>FRS_Brake Control</t>
        </is>
      </c>
      <c r="E231" s="365" t="inlineStr">
        <is>
          <t>Link</t>
        </is>
      </c>
      <c r="F231" s="334">
        <f t="array" ref="F231">HYPERLINK(CONCATENATE(Cartelle!$D$5,F$1,"/",$C231,"/",MID($D231,1,FIND("_",$D231)-1),"/",INDIRECT(CONCATENATE("'" &amp; $C231 &amp; "'!",ADDRESS(MATCH($D231, INDIRECT("'" &amp; $C231 &amp; "'!$B:$B"), 0),MATCH(F$1, INDIRECT("'" &amp; $C231 &amp; "'!$1:$1"), 0)))),".",INDIRECT(CONCATENATE("'"&amp;$C231&amp;"'!",ADDRESS(MATCH($D231,INDIRECT("'"&amp;$C231&amp;"'!$B:$B"),0),3))),"#page=",F232),CONCATENATE("#Sharepoint//",$D231))</f>
        <v/>
      </c>
      <c r="G231" s="346" t="n"/>
      <c r="H231" s="334">
        <f t="array" ref="H231">HYPERLINK(CONCATENATE(Cartelle!$D$5,INDEX(INDIRECT("'" &amp; $C231 &amp; "'!$1:$1"), 1, MATCH(INDIRECT(CONCATENATE("'" &amp; $C231 &amp; "'!",ADDRESS(MATCH($D231, INDIRECT("'" &amp; $C231 &amp; "'!$B:$B"), 0),MATCH(H$1, INDIRECT("'" &amp; $C231 &amp; "'!$1:$1"), 0)))),INDIRECT(CONCATENATE("'" &amp; $C231 &amp; "'!",MATCH($D231, INDIRECT("'" &amp; $C231 &amp; "'!$B:$B"), 0),":",MATCH($D231, INDIRECT("'" &amp; $C231 &amp; "'!$B:$B"), 0))),0)),"/",$C231,"/",MID($D231,1,FIND("_",$D231)-1),"/",INDIRECT(CONCATENATE("'" &amp; $C231 &amp; "'!",ADDRESS(MATCH($D231, INDIRECT("'" &amp; $C231 &amp; "'!$B:$B"), 0),MATCH(H$1, INDIRECT("'" &amp; $C231 &amp; "'!$1:$1"), 0)))),".",INDIRECT(CONCATENATE("'"&amp;$C231&amp;"'!",ADDRESS(MATCH($D231,INDIRECT("'"&amp;$C231&amp;"'!$B:$B"),0),3))),"#page=",H232),CONCATENATE("#Sharepoint//",$D231))</f>
        <v/>
      </c>
      <c r="I231" s="334">
        <f t="array" ref="I231">HYPERLINK(CONCATENATE(Cartelle!$D$5,INDEX(INDIRECT("'" &amp; $C231 &amp; "'!$1:$1"), 1, MATCH(INDIRECT(CONCATENATE("'" &amp; $C231 &amp; "'!",ADDRESS(MATCH($D231, INDIRECT("'" &amp; $C231 &amp; "'!$B:$B"), 0),MATCH(I$1, INDIRECT("'" &amp; $C231 &amp; "'!$1:$1"), 0)))),INDIRECT(CONCATENATE("'" &amp; $C231 &amp; "'!",MATCH($D231, INDIRECT("'" &amp; $C231 &amp; "'!$B:$B"), 0),":",MATCH($D231, INDIRECT("'" &amp; $C231 &amp; "'!$B:$B"), 0))),0)),"/",$C231,"/",MID($D231,1,FIND("_",$D231)-1),"/",INDIRECT(CONCATENATE("'" &amp; $C231 &amp; "'!",ADDRESS(MATCH($D231, INDIRECT("'" &amp; $C231 &amp; "'!$B:$B"), 0),MATCH(I$1, INDIRECT("'" &amp; $C231 &amp; "'!$1:$1"), 0)))),".",INDIRECT(CONCATENATE("'"&amp;$C231&amp;"'!",ADDRESS(MATCH($D231,INDIRECT("'"&amp;$C231&amp;"'!$B:$B"),0),3))),"#page=",I232),CONCATENATE("#Sharepoint//",$D231))</f>
        <v/>
      </c>
      <c r="J231" s="334">
        <f t="array" ref="J231">HYPERLINK(CONCATENATE(Cartelle!$D$5,INDEX(INDIRECT("'" &amp; $C231 &amp; "'!$1:$1"), 1, MATCH(INDIRECT(CONCATENATE("'" &amp; $C231 &amp; "'!",ADDRESS(MATCH($D231, INDIRECT("'" &amp; $C231 &amp; "'!$B:$B"), 0),MATCH(J$1, INDIRECT("'" &amp; $C231 &amp; "'!$1:$1"), 0)))),INDIRECT(CONCATENATE("'" &amp; $C231 &amp; "'!",MATCH($D231, INDIRECT("'" &amp; $C231 &amp; "'!$B:$B"), 0),":",MATCH($D231, INDIRECT("'" &amp; $C231 &amp; "'!$B:$B"), 0))),0)),"/",$C231,"/",MID($D231,1,FIND("_",$D231)-1),"/",INDIRECT(CONCATENATE("'" &amp; $C231 &amp; "'!",ADDRESS(MATCH($D231, INDIRECT("'" &amp; $C231 &amp; "'!$B:$B"), 0),MATCH(J$1, INDIRECT("'" &amp; $C231 &amp; "'!$1:$1"), 0)))),".",INDIRECT(CONCATENATE("'"&amp;$C231&amp;"'!",ADDRESS(MATCH($D231,INDIRECT("'"&amp;$C231&amp;"'!$B:$B"),0),3))),"#page=",J232),CONCATENATE("#Sharepoint//",$D231))</f>
        <v/>
      </c>
      <c r="K231" s="353" t="n"/>
      <c r="L231" s="353" t="n"/>
    </row>
    <row r="232" outlineLevel="2" s="462">
      <c r="B232" s="169" t="n"/>
      <c r="D232" s="168" t="n"/>
      <c r="E232" s="167" t="inlineStr">
        <is>
          <t>Rif. Pagina</t>
        </is>
      </c>
      <c r="F232" s="168" t="n">
        <v>131</v>
      </c>
      <c r="G232" s="168" t="n"/>
      <c r="H232" s="168" t="n">
        <v>142</v>
      </c>
      <c r="I232" s="168" t="n">
        <v>131</v>
      </c>
      <c r="J232" s="168" t="n">
        <v>171</v>
      </c>
      <c r="K232" s="168" t="n"/>
      <c r="L232" s="168" t="n"/>
    </row>
    <row r="233" outlineLevel="2" s="462">
      <c r="B233" s="169" t="n"/>
      <c r="D233" s="168" t="n"/>
      <c r="E233" s="234" t="inlineStr">
        <is>
          <t>Funzioni AI</t>
        </is>
      </c>
      <c r="F233" s="242" t="n"/>
      <c r="G233" s="237" t="n"/>
      <c r="H233" s="242" t="n"/>
      <c r="I233" s="242" t="n"/>
      <c r="J233" s="242" t="n"/>
      <c r="K233" s="237" t="n"/>
      <c r="L233" s="238" t="n"/>
    </row>
    <row r="234">
      <c r="A234" s="181" t="inlineStr">
        <is>
          <t>BRK_Detection_of_Non-Rotating_Axle_(DNRA)</t>
        </is>
      </c>
      <c r="B234" s="362" t="n"/>
      <c r="C234" s="181" t="n"/>
      <c r="D234" s="363" t="inlineStr">
        <is>
          <t>\</t>
        </is>
      </c>
      <c r="E234" s="162" t="n"/>
      <c r="F234" s="163" t="n"/>
      <c r="G234" s="163" t="n"/>
      <c r="H234" s="163" t="n"/>
      <c r="I234" s="163" t="n"/>
      <c r="J234" s="163" t="n"/>
      <c r="K234" s="163" t="n"/>
      <c r="L234" s="164" t="n"/>
    </row>
    <row r="235" outlineLevel="1" s="462">
      <c r="B235" s="169" t="n"/>
      <c r="C235" s="332" t="inlineStr">
        <is>
          <t>CONFIG</t>
        </is>
      </c>
      <c r="D235" s="364" t="inlineStr">
        <is>
          <t>FRS_Brake Control</t>
        </is>
      </c>
      <c r="E235" s="365" t="inlineStr">
        <is>
          <t>Link</t>
        </is>
      </c>
      <c r="F235" s="334">
        <f t="array" ref="F235">HYPERLINK(CONCATENATE(Cartelle!$D$5,F$1,"/",$C235,"/",MID($D235,1,FIND("_",$D235)-1),"/",INDIRECT(CONCATENATE("'" &amp; $C235 &amp; "'!",ADDRESS(MATCH($D235, INDIRECT("'" &amp; $C235 &amp; "'!$B:$B"), 0),MATCH(F$1, INDIRECT("'" &amp; $C235 &amp; "'!$1:$1"), 0)))),".",INDIRECT(CONCATENATE("'"&amp;$C235&amp;"'!",ADDRESS(MATCH($D235,INDIRECT("'"&amp;$C235&amp;"'!$B:$B"),0),3))),"#page=",F236),CONCATENATE("#Sharepoint//",$D235))</f>
        <v/>
      </c>
      <c r="G235" s="346" t="n"/>
      <c r="H235" s="334">
        <f t="array" ref="H235">HYPERLINK(CONCATENATE(Cartelle!$D$5,INDEX(INDIRECT("'" &amp; $C235 &amp; "'!$1:$1"), 1, MATCH(INDIRECT(CONCATENATE("'" &amp; $C235 &amp; "'!",ADDRESS(MATCH($D235, INDIRECT("'" &amp; $C235 &amp; "'!$B:$B"), 0),MATCH(H$1, INDIRECT("'" &amp; $C235 &amp; "'!$1:$1"), 0)))),INDIRECT(CONCATENATE("'" &amp; $C235 &amp; "'!",MATCH($D235, INDIRECT("'" &amp; $C235 &amp; "'!$B:$B"), 0),":",MATCH($D235, INDIRECT("'" &amp; $C235 &amp; "'!$B:$B"), 0))),0)),"/",$C235,"/",MID($D235,1,FIND("_",$D235)-1),"/",INDIRECT(CONCATENATE("'" &amp; $C235 &amp; "'!",ADDRESS(MATCH($D235, INDIRECT("'" &amp; $C235 &amp; "'!$B:$B"), 0),MATCH(H$1, INDIRECT("'" &amp; $C235 &amp; "'!$1:$1"), 0)))),".",INDIRECT(CONCATENATE("'"&amp;$C235&amp;"'!",ADDRESS(MATCH($D235,INDIRECT("'"&amp;$C235&amp;"'!$B:$B"),0),3))),"#page=",H236),CONCATENATE("#Sharepoint//",$D235))</f>
        <v/>
      </c>
      <c r="I235" s="334">
        <f t="array" ref="I235">HYPERLINK(CONCATENATE(Cartelle!$D$5,INDEX(INDIRECT("'" &amp; $C235 &amp; "'!$1:$1"), 1, MATCH(INDIRECT(CONCATENATE("'" &amp; $C235 &amp; "'!",ADDRESS(MATCH($D235, INDIRECT("'" &amp; $C235 &amp; "'!$B:$B"), 0),MATCH(I$1, INDIRECT("'" &amp; $C235 &amp; "'!$1:$1"), 0)))),INDIRECT(CONCATENATE("'" &amp; $C235 &amp; "'!",MATCH($D235, INDIRECT("'" &amp; $C235 &amp; "'!$B:$B"), 0),":",MATCH($D235, INDIRECT("'" &amp; $C235 &amp; "'!$B:$B"), 0))),0)),"/",$C235,"/",MID($D235,1,FIND("_",$D235)-1),"/",INDIRECT(CONCATENATE("'" &amp; $C235 &amp; "'!",ADDRESS(MATCH($D235, INDIRECT("'" &amp; $C235 &amp; "'!$B:$B"), 0),MATCH(I$1, INDIRECT("'" &amp; $C235 &amp; "'!$1:$1"), 0)))),".",INDIRECT(CONCATENATE("'"&amp;$C235&amp;"'!",ADDRESS(MATCH($D235,INDIRECT("'"&amp;$C235&amp;"'!$B:$B"),0),3))),"#page=",I236),CONCATENATE("#Sharepoint//",$D235))</f>
        <v/>
      </c>
      <c r="J235" s="334">
        <f t="array" ref="J235">HYPERLINK(CONCATENATE(Cartelle!$D$5,INDEX(INDIRECT("'" &amp; $C235 &amp; "'!$1:$1"), 1, MATCH(INDIRECT(CONCATENATE("'" &amp; $C235 &amp; "'!",ADDRESS(MATCH($D235, INDIRECT("'" &amp; $C235 &amp; "'!$B:$B"), 0),MATCH(J$1, INDIRECT("'" &amp; $C235 &amp; "'!$1:$1"), 0)))),INDIRECT(CONCATENATE("'" &amp; $C235 &amp; "'!",MATCH($D235, INDIRECT("'" &amp; $C235 &amp; "'!$B:$B"), 0),":",MATCH($D235, INDIRECT("'" &amp; $C235 &amp; "'!$B:$B"), 0))),0)),"/",$C235,"/",MID($D235,1,FIND("_",$D235)-1),"/",INDIRECT(CONCATENATE("'" &amp; $C235 &amp; "'!",ADDRESS(MATCH($D235, INDIRECT("'" &amp; $C235 &amp; "'!$B:$B"), 0),MATCH(J$1, INDIRECT("'" &amp; $C235 &amp; "'!$1:$1"), 0)))),".",INDIRECT(CONCATENATE("'"&amp;$C235&amp;"'!",ADDRESS(MATCH($D235,INDIRECT("'"&amp;$C235&amp;"'!$B:$B"),0),3))),"#page=",J236),CONCATENATE("#Sharepoint//",$D235))</f>
        <v/>
      </c>
      <c r="K235" s="353" t="n"/>
      <c r="L235" s="353" t="n"/>
    </row>
    <row r="236" outlineLevel="2" s="462">
      <c r="B236" s="169" t="n"/>
      <c r="D236" s="168" t="n"/>
      <c r="E236" s="167" t="inlineStr">
        <is>
          <t>Rif. Pagina</t>
        </is>
      </c>
      <c r="F236" s="168" t="n">
        <v>145</v>
      </c>
      <c r="G236" s="168" t="n"/>
      <c r="H236" s="168" t="n">
        <v>157</v>
      </c>
      <c r="I236" s="168" t="n">
        <v>144</v>
      </c>
      <c r="J236" s="168" t="n">
        <v>189</v>
      </c>
      <c r="K236" s="168" t="n"/>
      <c r="L236" s="168" t="n"/>
    </row>
    <row r="237" outlineLevel="2" s="462">
      <c r="B237" s="169" t="n"/>
      <c r="D237" s="168" t="n"/>
      <c r="E237" s="234" t="inlineStr">
        <is>
          <t>Funzioni AI</t>
        </is>
      </c>
      <c r="F237" s="242" t="n"/>
      <c r="G237" s="237" t="n"/>
      <c r="H237" s="242" t="n"/>
      <c r="I237" s="242" t="n"/>
      <c r="J237" s="242" t="n"/>
      <c r="K237" s="237" t="n"/>
      <c r="L237" s="238" t="n"/>
    </row>
    <row r="238">
      <c r="A238" s="181" t="inlineStr">
        <is>
          <t>BRK_Passenger_Emergency_Brake</t>
        </is>
      </c>
      <c r="B238" s="362" t="n"/>
      <c r="C238" s="181" t="n"/>
      <c r="D238" s="363" t="inlineStr">
        <is>
          <t>\</t>
        </is>
      </c>
      <c r="E238" s="162" t="n"/>
      <c r="F238" s="163" t="n"/>
      <c r="G238" s="163" t="n"/>
      <c r="H238" s="163" t="n"/>
      <c r="I238" s="163" t="n"/>
      <c r="J238" s="163" t="n"/>
      <c r="K238" s="163" t="n"/>
      <c r="L238" s="164" t="n"/>
    </row>
    <row r="239" outlineLevel="1" s="462">
      <c r="B239" s="169" t="n"/>
      <c r="C239" s="332" t="inlineStr">
        <is>
          <t>CONFIG</t>
        </is>
      </c>
      <c r="D239" s="364" t="inlineStr">
        <is>
          <t>FRS_Brake Control</t>
        </is>
      </c>
      <c r="E239" s="365" t="inlineStr">
        <is>
          <t>Link</t>
        </is>
      </c>
      <c r="F239" s="334">
        <f t="array" ref="F239">HYPERLINK(CONCATENATE(Cartelle!$D$5,F$1,"/",$C239,"/",MID($D239,1,FIND("_",$D239)-1),"/",INDIRECT(CONCATENATE("'" &amp; $C239 &amp; "'!",ADDRESS(MATCH($D239, INDIRECT("'" &amp; $C239 &amp; "'!$B:$B"), 0),MATCH(F$1, INDIRECT("'" &amp; $C239 &amp; "'!$1:$1"), 0)))),".",INDIRECT(CONCATENATE("'"&amp;$C239&amp;"'!",ADDRESS(MATCH($D239,INDIRECT("'"&amp;$C239&amp;"'!$B:$B"),0),3))),"#page=",F240),CONCATENATE("#Sharepoint//",$D239))</f>
        <v/>
      </c>
      <c r="G239" s="346" t="n"/>
      <c r="H239" s="334">
        <f t="array" ref="H239">HYPERLINK(CONCATENATE(Cartelle!$D$5,INDEX(INDIRECT("'" &amp; $C239 &amp; "'!$1:$1"), 1, MATCH(INDIRECT(CONCATENATE("'" &amp; $C239 &amp; "'!",ADDRESS(MATCH($D239, INDIRECT("'" &amp; $C239 &amp; "'!$B:$B"), 0),MATCH(H$1, INDIRECT("'" &amp; $C239 &amp; "'!$1:$1"), 0)))),INDIRECT(CONCATENATE("'" &amp; $C239 &amp; "'!",MATCH($D239, INDIRECT("'" &amp; $C239 &amp; "'!$B:$B"), 0),":",MATCH($D239, INDIRECT("'" &amp; $C239 &amp; "'!$B:$B"), 0))),0)),"/",$C239,"/",MID($D239,1,FIND("_",$D239)-1),"/",INDIRECT(CONCATENATE("'" &amp; $C239 &amp; "'!",ADDRESS(MATCH($D239, INDIRECT("'" &amp; $C239 &amp; "'!$B:$B"), 0),MATCH(H$1, INDIRECT("'" &amp; $C239 &amp; "'!$1:$1"), 0)))),".",INDIRECT(CONCATENATE("'"&amp;$C239&amp;"'!",ADDRESS(MATCH($D239,INDIRECT("'"&amp;$C239&amp;"'!$B:$B"),0),3))),"#page=",H240),CONCATENATE("#Sharepoint//",$D239))</f>
        <v/>
      </c>
      <c r="I239" s="334">
        <f t="array" ref="I239">HYPERLINK(CONCATENATE(Cartelle!$D$5,INDEX(INDIRECT("'" &amp; $C239 &amp; "'!$1:$1"), 1, MATCH(INDIRECT(CONCATENATE("'" &amp; $C239 &amp; "'!",ADDRESS(MATCH($D239, INDIRECT("'" &amp; $C239 &amp; "'!$B:$B"), 0),MATCH(I$1, INDIRECT("'" &amp; $C239 &amp; "'!$1:$1"), 0)))),INDIRECT(CONCATENATE("'" &amp; $C239 &amp; "'!",MATCH($D239, INDIRECT("'" &amp; $C239 &amp; "'!$B:$B"), 0),":",MATCH($D239, INDIRECT("'" &amp; $C239 &amp; "'!$B:$B"), 0))),0)),"/",$C239,"/",MID($D239,1,FIND("_",$D239)-1),"/",INDIRECT(CONCATENATE("'" &amp; $C239 &amp; "'!",ADDRESS(MATCH($D239, INDIRECT("'" &amp; $C239 &amp; "'!$B:$B"), 0),MATCH(I$1, INDIRECT("'" &amp; $C239 &amp; "'!$1:$1"), 0)))),".",INDIRECT(CONCATENATE("'"&amp;$C239&amp;"'!",ADDRESS(MATCH($D239,INDIRECT("'"&amp;$C239&amp;"'!$B:$B"),0),3))),"#page=",I240),CONCATENATE("#Sharepoint//",$D239))</f>
        <v/>
      </c>
      <c r="J239" s="334">
        <f t="array" ref="J239">HYPERLINK(CONCATENATE(Cartelle!$D$5,INDEX(INDIRECT("'" &amp; $C239 &amp; "'!$1:$1"), 1, MATCH(INDIRECT(CONCATENATE("'" &amp; $C239 &amp; "'!",ADDRESS(MATCH($D239, INDIRECT("'" &amp; $C239 &amp; "'!$B:$B"), 0),MATCH(J$1, INDIRECT("'" &amp; $C239 &amp; "'!$1:$1"), 0)))),INDIRECT(CONCATENATE("'" &amp; $C239 &amp; "'!",MATCH($D239, INDIRECT("'" &amp; $C239 &amp; "'!$B:$B"), 0),":",MATCH($D239, INDIRECT("'" &amp; $C239 &amp; "'!$B:$B"), 0))),0)),"/",$C239,"/",MID($D239,1,FIND("_",$D239)-1),"/",INDIRECT(CONCATENATE("'" &amp; $C239 &amp; "'!",ADDRESS(MATCH($D239, INDIRECT("'" &amp; $C239 &amp; "'!$B:$B"), 0),MATCH(J$1, INDIRECT("'" &amp; $C239 &amp; "'!$1:$1"), 0)))),".",INDIRECT(CONCATENATE("'"&amp;$C239&amp;"'!",ADDRESS(MATCH($D239,INDIRECT("'"&amp;$C239&amp;"'!$B:$B"),0),3))),"#page=",J240),CONCATENATE("#Sharepoint//",$D239))</f>
        <v/>
      </c>
      <c r="K239" s="353" t="n"/>
      <c r="L239" s="353" t="n"/>
    </row>
    <row r="240" outlineLevel="2" s="462">
      <c r="B240" s="169" t="n"/>
      <c r="D240" s="168" t="n"/>
      <c r="E240" s="167" t="inlineStr">
        <is>
          <t>Rif. Pagina</t>
        </is>
      </c>
      <c r="F240" s="168" t="n">
        <v>153</v>
      </c>
      <c r="G240" s="168" t="n"/>
      <c r="H240" s="168" t="n">
        <v>165</v>
      </c>
      <c r="I240" s="168" t="n">
        <v>166</v>
      </c>
      <c r="J240" s="168" t="n">
        <v>192</v>
      </c>
      <c r="K240" s="168" t="n"/>
      <c r="L240" s="168" t="n"/>
    </row>
    <row r="241" outlineLevel="2" s="462">
      <c r="B241" s="169" t="n"/>
      <c r="D241" s="168" t="n"/>
      <c r="E241" s="234" t="inlineStr">
        <is>
          <t>Funzioni AI</t>
        </is>
      </c>
      <c r="F241" s="242" t="n"/>
      <c r="G241" s="237" t="n"/>
      <c r="H241" s="242" t="n"/>
      <c r="I241" s="242" t="n"/>
      <c r="J241" s="242" t="n"/>
      <c r="K241" s="237" t="n"/>
      <c r="L241" s="238" t="n"/>
    </row>
    <row r="242">
      <c r="A242" s="181" t="inlineStr">
        <is>
          <t>BRK_Sanding</t>
        </is>
      </c>
      <c r="B242" s="362" t="n"/>
      <c r="C242" s="181" t="n"/>
      <c r="D242" s="363" t="inlineStr">
        <is>
          <t>\</t>
        </is>
      </c>
      <c r="E242" s="162" t="n"/>
      <c r="F242" s="163" t="n"/>
      <c r="G242" s="163" t="n"/>
      <c r="H242" s="163" t="n"/>
      <c r="I242" s="163" t="n"/>
      <c r="J242" s="163" t="n"/>
      <c r="K242" s="163" t="n"/>
      <c r="L242" s="164" t="n"/>
    </row>
    <row r="243" outlineLevel="1" s="462">
      <c r="B243" s="169" t="n"/>
      <c r="C243" s="332" t="inlineStr">
        <is>
          <t>CONFIG</t>
        </is>
      </c>
      <c r="D243" s="364" t="inlineStr">
        <is>
          <t>FRS_Brake Control</t>
        </is>
      </c>
      <c r="E243" s="365" t="inlineStr">
        <is>
          <t>Link</t>
        </is>
      </c>
      <c r="F243" s="334">
        <f t="array" ref="F243">HYPERLINK(CONCATENATE(Cartelle!$D$5,F$1,"/",$C243,"/",MID($D243,1,FIND("_",$D243)-1),"/",INDIRECT(CONCATENATE("'" &amp; $C243 &amp; "'!",ADDRESS(MATCH($D243, INDIRECT("'" &amp; $C243 &amp; "'!$B:$B"), 0),MATCH(F$1, INDIRECT("'" &amp; $C243 &amp; "'!$1:$1"), 0)))),".",INDIRECT(CONCATENATE("'"&amp;$C243&amp;"'!",ADDRESS(MATCH($D243,INDIRECT("'"&amp;$C243&amp;"'!$B:$B"),0),3))),"#page=",F244),CONCATENATE("#Sharepoint//",$D243))</f>
        <v/>
      </c>
      <c r="G243" s="346" t="n"/>
      <c r="H243" s="334">
        <f t="array" ref="H243">HYPERLINK(CONCATENATE(Cartelle!$D$5,INDEX(INDIRECT("'" &amp; $C243 &amp; "'!$1:$1"), 1, MATCH(INDIRECT(CONCATENATE("'" &amp; $C243 &amp; "'!",ADDRESS(MATCH($D243, INDIRECT("'" &amp; $C243 &amp; "'!$B:$B"), 0),MATCH(H$1, INDIRECT("'" &amp; $C243 &amp; "'!$1:$1"), 0)))),INDIRECT(CONCATENATE("'" &amp; $C243 &amp; "'!",MATCH($D243, INDIRECT("'" &amp; $C243 &amp; "'!$B:$B"), 0),":",MATCH($D243, INDIRECT("'" &amp; $C243 &amp; "'!$B:$B"), 0))),0)),"/",$C243,"/",MID($D243,1,FIND("_",$D243)-1),"/",INDIRECT(CONCATENATE("'" &amp; $C243 &amp; "'!",ADDRESS(MATCH($D243, INDIRECT("'" &amp; $C243 &amp; "'!$B:$B"), 0),MATCH(H$1, INDIRECT("'" &amp; $C243 &amp; "'!$1:$1"), 0)))),".",INDIRECT(CONCATENATE("'"&amp;$C243&amp;"'!",ADDRESS(MATCH($D243,INDIRECT("'"&amp;$C243&amp;"'!$B:$B"),0),3))),"#page=",H244),CONCATENATE("#Sharepoint//",$D243))</f>
        <v/>
      </c>
      <c r="I243" s="334">
        <f t="array" ref="I243">HYPERLINK(CONCATENATE(Cartelle!$D$5,INDEX(INDIRECT("'" &amp; $C243 &amp; "'!$1:$1"), 1, MATCH(INDIRECT(CONCATENATE("'" &amp; $C243 &amp; "'!",ADDRESS(MATCH($D243, INDIRECT("'" &amp; $C243 &amp; "'!$B:$B"), 0),MATCH(I$1, INDIRECT("'" &amp; $C243 &amp; "'!$1:$1"), 0)))),INDIRECT(CONCATENATE("'" &amp; $C243 &amp; "'!",MATCH($D243, INDIRECT("'" &amp; $C243 &amp; "'!$B:$B"), 0),":",MATCH($D243, INDIRECT("'" &amp; $C243 &amp; "'!$B:$B"), 0))),0)),"/",$C243,"/",MID($D243,1,FIND("_",$D243)-1),"/",INDIRECT(CONCATENATE("'" &amp; $C243 &amp; "'!",ADDRESS(MATCH($D243, INDIRECT("'" &amp; $C243 &amp; "'!$B:$B"), 0),MATCH(I$1, INDIRECT("'" &amp; $C243 &amp; "'!$1:$1"), 0)))),".",INDIRECT(CONCATENATE("'"&amp;$C243&amp;"'!",ADDRESS(MATCH($D243,INDIRECT("'"&amp;$C243&amp;"'!$B:$B"),0),3))),"#page=",I244),CONCATENATE("#Sharepoint//",$D243))</f>
        <v/>
      </c>
      <c r="J243" s="334">
        <f t="array" ref="J243">HYPERLINK(CONCATENATE(Cartelle!$D$5,INDEX(INDIRECT("'" &amp; $C243 &amp; "'!$1:$1"), 1, MATCH(INDIRECT(CONCATENATE("'" &amp; $C243 &amp; "'!",ADDRESS(MATCH($D243, INDIRECT("'" &amp; $C243 &amp; "'!$B:$B"), 0),MATCH(J$1, INDIRECT("'" &amp; $C243 &amp; "'!$1:$1"), 0)))),INDIRECT(CONCATENATE("'" &amp; $C243 &amp; "'!",MATCH($D243, INDIRECT("'" &amp; $C243 &amp; "'!$B:$B"), 0),":",MATCH($D243, INDIRECT("'" &amp; $C243 &amp; "'!$B:$B"), 0))),0)),"/",$C243,"/",MID($D243,1,FIND("_",$D243)-1),"/",INDIRECT(CONCATENATE("'" &amp; $C243 &amp; "'!",ADDRESS(MATCH($D243, INDIRECT("'" &amp; $C243 &amp; "'!$B:$B"), 0),MATCH(J$1, INDIRECT("'" &amp; $C243 &amp; "'!$1:$1"), 0)))),".",INDIRECT(CONCATENATE("'"&amp;$C243&amp;"'!",ADDRESS(MATCH($D243,INDIRECT("'"&amp;$C243&amp;"'!$B:$B"),0),3))),"#page=",J244),CONCATENATE("#Sharepoint//",$D243))</f>
        <v/>
      </c>
      <c r="K243" s="353" t="n"/>
      <c r="L243" s="353" t="n"/>
    </row>
    <row r="244" outlineLevel="2" s="462">
      <c r="B244" s="169" t="n"/>
      <c r="D244" s="168" t="n"/>
      <c r="E244" s="167" t="inlineStr">
        <is>
          <t>Rif. Pagina</t>
        </is>
      </c>
      <c r="F244" s="168" t="n">
        <v>163</v>
      </c>
      <c r="G244" s="168" t="n"/>
      <c r="H244" s="168" t="n">
        <v>173</v>
      </c>
      <c r="I244" s="168" t="n">
        <v>177</v>
      </c>
      <c r="J244" s="168" t="n">
        <v>204</v>
      </c>
      <c r="K244" s="168" t="n"/>
      <c r="L244" s="168" t="n"/>
    </row>
    <row r="245" outlineLevel="2" s="462">
      <c r="B245" s="169" t="n"/>
      <c r="D245" s="168" t="n"/>
      <c r="E245" s="234" t="inlineStr">
        <is>
          <t>Funzioni AI</t>
        </is>
      </c>
      <c r="F245" s="242" t="n"/>
      <c r="G245" s="237" t="n"/>
      <c r="H245" s="242" t="n"/>
      <c r="I245" s="242" t="n"/>
      <c r="J245" s="242" t="n"/>
      <c r="K245" s="237" t="n"/>
      <c r="L245" s="238" t="n"/>
    </row>
    <row r="246">
      <c r="A246" s="181" t="inlineStr">
        <is>
          <t>BRK_Brake_Test</t>
        </is>
      </c>
      <c r="B246" s="362" t="n"/>
      <c r="C246" s="181" t="n"/>
      <c r="D246" s="363" t="inlineStr">
        <is>
          <t>\</t>
        </is>
      </c>
      <c r="E246" s="162" t="n"/>
      <c r="F246" s="163" t="n"/>
      <c r="G246" s="163" t="n"/>
      <c r="H246" s="163" t="n"/>
      <c r="I246" s="163" t="n"/>
      <c r="J246" s="163" t="n"/>
      <c r="K246" s="163" t="n"/>
      <c r="L246" s="164" t="n"/>
    </row>
    <row r="247" outlineLevel="1" s="462">
      <c r="B247" s="169" t="n"/>
      <c r="C247" s="332" t="inlineStr">
        <is>
          <t>CONFIG</t>
        </is>
      </c>
      <c r="D247" s="364" t="inlineStr">
        <is>
          <t>FRS_Brake Control</t>
        </is>
      </c>
      <c r="E247" s="365" t="inlineStr">
        <is>
          <t>Link</t>
        </is>
      </c>
      <c r="F247" s="355">
        <f t="array" ref="F247">HYPERLINK(CONCATENATE(Cartelle!$D$5,F$1,"/",$C247,"/",MID($D247,1,FIND("_",$D247)-1),"/",INDIRECT(CONCATENATE("'" &amp; $C247 &amp; "'!",ADDRESS(MATCH($D247, INDIRECT("'" &amp; $C247 &amp; "'!$B:$B"), 0),MATCH(F$1, INDIRECT("'" &amp; $C247 &amp; "'!$1:$1"), 0)))),".",INDIRECT(CONCATENATE("'"&amp;$C247&amp;"'!",ADDRESS(MATCH($D247,INDIRECT("'"&amp;$C247&amp;"'!$B:$B"),0),3))),"#page=",F248),CONCATENATE("#Sharepoint//",$D247))</f>
        <v/>
      </c>
      <c r="G247" s="346" t="n"/>
      <c r="H247" s="334">
        <f t="array" ref="H247">HYPERLINK(CONCATENATE(Cartelle!$D$5,INDEX(INDIRECT("'" &amp; $C247 &amp; "'!$1:$1"), 1, MATCH(INDIRECT(CONCATENATE("'" &amp; $C247 &amp; "'!",ADDRESS(MATCH($D247, INDIRECT("'" &amp; $C247 &amp; "'!$B:$B"), 0),MATCH(H$1, INDIRECT("'" &amp; $C247 &amp; "'!$1:$1"), 0)))),INDIRECT(CONCATENATE("'" &amp; $C247 &amp; "'!",MATCH($D247, INDIRECT("'" &amp; $C247 &amp; "'!$B:$B"), 0),":",MATCH($D247, INDIRECT("'" &amp; $C247 &amp; "'!$B:$B"), 0))),0)),"/",$C247,"/",MID($D247,1,FIND("_",$D247)-1),"/",INDIRECT(CONCATENATE("'" &amp; $C247 &amp; "'!",ADDRESS(MATCH($D247, INDIRECT("'" &amp; $C247 &amp; "'!$B:$B"), 0),MATCH(H$1, INDIRECT("'" &amp; $C247 &amp; "'!$1:$1"), 0)))),".",INDIRECT(CONCATENATE("'"&amp;$C247&amp;"'!",ADDRESS(MATCH($D247,INDIRECT("'"&amp;$C247&amp;"'!$B:$B"),0),3))),"#page=",H248),CONCATENATE("#Sharepoint//",$D247))</f>
        <v/>
      </c>
      <c r="I247" s="334">
        <f t="array" ref="I247">HYPERLINK(CONCATENATE(Cartelle!$D$5,INDEX(INDIRECT("'" &amp; $C247 &amp; "'!$1:$1"), 1, MATCH(INDIRECT(CONCATENATE("'" &amp; $C247 &amp; "'!",ADDRESS(MATCH($D247, INDIRECT("'" &amp; $C247 &amp; "'!$B:$B"), 0),MATCH(I$1, INDIRECT("'" &amp; $C247 &amp; "'!$1:$1"), 0)))),INDIRECT(CONCATENATE("'" &amp; $C247 &amp; "'!",MATCH($D247, INDIRECT("'" &amp; $C247 &amp; "'!$B:$B"), 0),":",MATCH($D247, INDIRECT("'" &amp; $C247 &amp; "'!$B:$B"), 0))),0)),"/",$C247,"/",MID($D247,1,FIND("_",$D247)-1),"/",INDIRECT(CONCATENATE("'" &amp; $C247 &amp; "'!",ADDRESS(MATCH($D247, INDIRECT("'" &amp; $C247 &amp; "'!$B:$B"), 0),MATCH(I$1, INDIRECT("'" &amp; $C247 &amp; "'!$1:$1"), 0)))),".",INDIRECT(CONCATENATE("'"&amp;$C247&amp;"'!",ADDRESS(MATCH($D247,INDIRECT("'"&amp;$C247&amp;"'!$B:$B"),0),3))),"#page=",I248),CONCATENATE("#Sharepoint//",$D247))</f>
        <v/>
      </c>
      <c r="J247" s="334">
        <f t="array" ref="J247">HYPERLINK(CONCATENATE(Cartelle!$D$5,INDEX(INDIRECT("'" &amp; $C247 &amp; "'!$1:$1"), 1, MATCH(INDIRECT(CONCATENATE("'" &amp; $C247 &amp; "'!",ADDRESS(MATCH($D247, INDIRECT("'" &amp; $C247 &amp; "'!$B:$B"), 0),MATCH(J$1, INDIRECT("'" &amp; $C247 &amp; "'!$1:$1"), 0)))),INDIRECT(CONCATENATE("'" &amp; $C247 &amp; "'!",MATCH($D247, INDIRECT("'" &amp; $C247 &amp; "'!$B:$B"), 0),":",MATCH($D247, INDIRECT("'" &amp; $C247 &amp; "'!$B:$B"), 0))),0)),"/",$C247,"/",MID($D247,1,FIND("_",$D247)-1),"/",INDIRECT(CONCATENATE("'" &amp; $C247 &amp; "'!",ADDRESS(MATCH($D247, INDIRECT("'" &amp; $C247 &amp; "'!$B:$B"), 0),MATCH(J$1, INDIRECT("'" &amp; $C247 &amp; "'!$1:$1"), 0)))),".",INDIRECT(CONCATENATE("'"&amp;$C247&amp;"'!",ADDRESS(MATCH($D247,INDIRECT("'"&amp;$C247&amp;"'!$B:$B"),0),3))),"#page=",J248),CONCATENATE("#Sharepoint//",$D247))</f>
        <v/>
      </c>
      <c r="K247" s="353" t="n"/>
      <c r="L247" s="353" t="n"/>
    </row>
    <row r="248" outlineLevel="2" s="462">
      <c r="B248" s="169" t="n"/>
      <c r="D248" s="168" t="n"/>
      <c r="E248" s="167" t="inlineStr">
        <is>
          <t>Rif. Pagina</t>
        </is>
      </c>
      <c r="F248" s="168" t="n">
        <v>172</v>
      </c>
      <c r="G248" s="168" t="n"/>
      <c r="H248" s="168" t="n">
        <v>184</v>
      </c>
      <c r="I248" s="168" t="n">
        <v>186</v>
      </c>
      <c r="J248" s="168" t="n">
        <v>213</v>
      </c>
      <c r="K248" s="168" t="n"/>
      <c r="L248" s="168" t="n"/>
    </row>
    <row r="249" outlineLevel="2" s="462">
      <c r="B249" s="169" t="n"/>
      <c r="D249" s="168" t="n"/>
      <c r="E249" s="234" t="inlineStr">
        <is>
          <t>Funzioni AI</t>
        </is>
      </c>
      <c r="F249" s="243" t="n"/>
      <c r="G249" s="237" t="n"/>
      <c r="H249" s="243" t="n"/>
      <c r="I249" s="243" t="n"/>
      <c r="J249" s="243" t="n"/>
      <c r="K249" s="237" t="n"/>
      <c r="L249" s="238" t="n"/>
    </row>
    <row r="250">
      <c r="A250" s="181" t="inlineStr">
        <is>
          <t>BRK_Towing</t>
        </is>
      </c>
      <c r="B250" s="362" t="n"/>
      <c r="C250" s="181" t="n"/>
      <c r="D250" s="363" t="inlineStr">
        <is>
          <t>\</t>
        </is>
      </c>
      <c r="E250" s="162" t="n"/>
      <c r="F250" s="163" t="n"/>
      <c r="G250" s="163" t="n"/>
      <c r="H250" s="163" t="n"/>
      <c r="I250" s="163" t="n"/>
      <c r="J250" s="163" t="n"/>
      <c r="K250" s="163" t="n"/>
      <c r="L250" s="164" t="n"/>
    </row>
    <row r="251" outlineLevel="1" s="462">
      <c r="B251" s="169" t="n"/>
      <c r="C251" s="332" t="inlineStr">
        <is>
          <t>CONFIG</t>
        </is>
      </c>
      <c r="D251" s="364" t="inlineStr">
        <is>
          <t>FRS_Brake Control</t>
        </is>
      </c>
      <c r="E251" s="365" t="inlineStr">
        <is>
          <t>Link</t>
        </is>
      </c>
      <c r="F251" s="334">
        <f t="array" ref="F251">HYPERLINK(CONCATENATE(Cartelle!$D$5,F$1,"/",$C251,"/",MID($D251,1,FIND("_",$D251)-1),"/",INDIRECT(CONCATENATE("'" &amp; $C251 &amp; "'!",ADDRESS(MATCH($D251, INDIRECT("'" &amp; $C251 &amp; "'!$B:$B"), 0),MATCH(F$1, INDIRECT("'" &amp; $C251 &amp; "'!$1:$1"), 0)))),".",INDIRECT(CONCATENATE("'"&amp;$C251&amp;"'!",ADDRESS(MATCH($D251,INDIRECT("'"&amp;$C251&amp;"'!$B:$B"),0),3))),"#page=",F252),CONCATENATE("#Sharepoint//",$D251))</f>
        <v/>
      </c>
      <c r="G251" s="346" t="n"/>
      <c r="H251" s="334">
        <f t="array" ref="H251">HYPERLINK(CONCATENATE(Cartelle!$D$5,INDEX(INDIRECT("'" &amp; $C251 &amp; "'!$1:$1"), 1, MATCH(INDIRECT(CONCATENATE("'" &amp; $C251 &amp; "'!",ADDRESS(MATCH($D251, INDIRECT("'" &amp; $C251 &amp; "'!$B:$B"), 0),MATCH(H$1, INDIRECT("'" &amp; $C251 &amp; "'!$1:$1"), 0)))),INDIRECT(CONCATENATE("'" &amp; $C251 &amp; "'!",MATCH($D251, INDIRECT("'" &amp; $C251 &amp; "'!$B:$B"), 0),":",MATCH($D251, INDIRECT("'" &amp; $C251 &amp; "'!$B:$B"), 0))),0)),"/",$C251,"/",MID($D251,1,FIND("_",$D251)-1),"/",INDIRECT(CONCATENATE("'" &amp; $C251 &amp; "'!",ADDRESS(MATCH($D251, INDIRECT("'" &amp; $C251 &amp; "'!$B:$B"), 0),MATCH(H$1, INDIRECT("'" &amp; $C251 &amp; "'!$1:$1"), 0)))),".",INDIRECT(CONCATENATE("'"&amp;$C251&amp;"'!",ADDRESS(MATCH($D251,INDIRECT("'"&amp;$C251&amp;"'!$B:$B"),0),3))),"#page=",H252),CONCATENATE("#Sharepoint//",$D251))</f>
        <v/>
      </c>
      <c r="I251" s="334">
        <f t="array" ref="I251">HYPERLINK(CONCATENATE(Cartelle!$D$5,INDEX(INDIRECT("'" &amp; $C251 &amp; "'!$1:$1"), 1, MATCH(INDIRECT(CONCATENATE("'" &amp; $C251 &amp; "'!",ADDRESS(MATCH($D251, INDIRECT("'" &amp; $C251 &amp; "'!$B:$B"), 0),MATCH(I$1, INDIRECT("'" &amp; $C251 &amp; "'!$1:$1"), 0)))),INDIRECT(CONCATENATE("'" &amp; $C251 &amp; "'!",MATCH($D251, INDIRECT("'" &amp; $C251 &amp; "'!$B:$B"), 0),":",MATCH($D251, INDIRECT("'" &amp; $C251 &amp; "'!$B:$B"), 0))),0)),"/",$C251,"/",MID($D251,1,FIND("_",$D251)-1),"/",INDIRECT(CONCATENATE("'" &amp; $C251 &amp; "'!",ADDRESS(MATCH($D251, INDIRECT("'" &amp; $C251 &amp; "'!$B:$B"), 0),MATCH(I$1, INDIRECT("'" &amp; $C251 &amp; "'!$1:$1"), 0)))),".",INDIRECT(CONCATENATE("'"&amp;$C251&amp;"'!",ADDRESS(MATCH($D251,INDIRECT("'"&amp;$C251&amp;"'!$B:$B"),0),3))),"#page=",I252),CONCATENATE("#Sharepoint//",$D251))</f>
        <v/>
      </c>
      <c r="J251" s="334">
        <f t="array" ref="J251">HYPERLINK(CONCATENATE(Cartelle!$D$5,INDEX(INDIRECT("'" &amp; $C251 &amp; "'!$1:$1"), 1, MATCH(INDIRECT(CONCATENATE("'" &amp; $C251 &amp; "'!",ADDRESS(MATCH($D251, INDIRECT("'" &amp; $C251 &amp; "'!$B:$B"), 0),MATCH(J$1, INDIRECT("'" &amp; $C251 &amp; "'!$1:$1"), 0)))),INDIRECT(CONCATENATE("'" &amp; $C251 &amp; "'!",MATCH($D251, INDIRECT("'" &amp; $C251 &amp; "'!$B:$B"), 0),":",MATCH($D251, INDIRECT("'" &amp; $C251 &amp; "'!$B:$B"), 0))),0)),"/",$C251,"/",MID($D251,1,FIND("_",$D251)-1),"/",INDIRECT(CONCATENATE("'" &amp; $C251 &amp; "'!",ADDRESS(MATCH($D251, INDIRECT("'" &amp; $C251 &amp; "'!$B:$B"), 0),MATCH(J$1, INDIRECT("'" &amp; $C251 &amp; "'!$1:$1"), 0)))),".",INDIRECT(CONCATENATE("'"&amp;$C251&amp;"'!",ADDRESS(MATCH($D251,INDIRECT("'"&amp;$C251&amp;"'!$B:$B"),0),3))),"#page=",J252),CONCATENATE("#Sharepoint//",$D251))</f>
        <v/>
      </c>
      <c r="K251" s="353" t="n"/>
      <c r="L251" s="353" t="n"/>
    </row>
    <row r="252" outlineLevel="2" s="462">
      <c r="B252" s="169" t="n"/>
      <c r="D252" s="168" t="n"/>
      <c r="E252" s="167" t="inlineStr">
        <is>
          <t>Rif. Pagina</t>
        </is>
      </c>
      <c r="F252" s="168" t="n">
        <v>224</v>
      </c>
      <c r="G252" s="168" t="n"/>
      <c r="H252" s="168" t="n">
        <v>238</v>
      </c>
      <c r="I252" s="168" t="n">
        <v>234</v>
      </c>
      <c r="J252" s="168" t="n">
        <v>262</v>
      </c>
      <c r="K252" s="168" t="n"/>
      <c r="L252" s="168" t="n"/>
    </row>
    <row r="253" outlineLevel="2" s="462">
      <c r="B253" s="169" t="n"/>
      <c r="D253" s="168" t="n"/>
      <c r="E253" s="234" t="inlineStr">
        <is>
          <t>Funzioni AI</t>
        </is>
      </c>
      <c r="F253" s="242" t="n"/>
      <c r="G253" s="237" t="n"/>
      <c r="H253" s="242" t="n"/>
      <c r="I253" s="242" t="n"/>
      <c r="J253" s="242" t="n"/>
      <c r="K253" s="237" t="n"/>
      <c r="L253" s="238" t="n"/>
    </row>
    <row r="254">
      <c r="A254" s="181" t="inlineStr">
        <is>
          <t>BRK_Fire_Safety_&amp;_Running_Capability</t>
        </is>
      </c>
      <c r="B254" s="362" t="n"/>
      <c r="C254" s="181" t="n"/>
      <c r="D254" s="363" t="inlineStr">
        <is>
          <t>\</t>
        </is>
      </c>
      <c r="E254" s="162" t="n"/>
      <c r="F254" s="163" t="n"/>
      <c r="G254" s="163" t="n"/>
      <c r="H254" s="163" t="n"/>
      <c r="I254" s="163" t="n"/>
      <c r="J254" s="163" t="n"/>
      <c r="K254" s="163" t="n"/>
      <c r="L254" s="164" t="n"/>
    </row>
    <row r="255" outlineLevel="1" s="462">
      <c r="B255" s="169" t="n"/>
      <c r="C255" s="332" t="inlineStr">
        <is>
          <t>CONFIG</t>
        </is>
      </c>
      <c r="D255" s="364" t="inlineStr">
        <is>
          <t>FRS_Brake Control</t>
        </is>
      </c>
      <c r="E255" s="365" t="inlineStr">
        <is>
          <t>Link</t>
        </is>
      </c>
      <c r="F255" s="334">
        <f t="array" ref="F255">HYPERLINK(CONCATENATE(Cartelle!$D$5,F$1,"/",$C255,"/",MID($D255,1,FIND("_",$D255)-1),"/",INDIRECT(CONCATENATE("'" &amp; $C255 &amp; "'!",ADDRESS(MATCH($D255, INDIRECT("'" &amp; $C255 &amp; "'!$B:$B"), 0),MATCH(F$1, INDIRECT("'" &amp; $C255 &amp; "'!$1:$1"), 0)))),".",INDIRECT(CONCATENATE("'"&amp;$C255&amp;"'!",ADDRESS(MATCH($D255,INDIRECT("'"&amp;$C255&amp;"'!$B:$B"),0),3))),"#page=",F256),CONCATENATE("#Sharepoint//",$D255))</f>
        <v/>
      </c>
      <c r="G255" s="346" t="n"/>
      <c r="H255" s="334">
        <f t="array" ref="H255">HYPERLINK(CONCATENATE(Cartelle!$D$5,INDEX(INDIRECT("'" &amp; $C255 &amp; "'!$1:$1"), 1, MATCH(INDIRECT(CONCATENATE("'" &amp; $C255 &amp; "'!",ADDRESS(MATCH($D255, INDIRECT("'" &amp; $C255 &amp; "'!$B:$B"), 0),MATCH(H$1, INDIRECT("'" &amp; $C255 &amp; "'!$1:$1"), 0)))),INDIRECT(CONCATENATE("'" &amp; $C255 &amp; "'!",MATCH($D255, INDIRECT("'" &amp; $C255 &amp; "'!$B:$B"), 0),":",MATCH($D255, INDIRECT("'" &amp; $C255 &amp; "'!$B:$B"), 0))),0)),"/",$C255,"/",MID($D255,1,FIND("_",$D255)-1),"/",INDIRECT(CONCATENATE("'" &amp; $C255 &amp; "'!",ADDRESS(MATCH($D255, INDIRECT("'" &amp; $C255 &amp; "'!$B:$B"), 0),MATCH(H$1, INDIRECT("'" &amp; $C255 &amp; "'!$1:$1"), 0)))),".",INDIRECT(CONCATENATE("'"&amp;$C255&amp;"'!",ADDRESS(MATCH($D255,INDIRECT("'"&amp;$C255&amp;"'!$B:$B"),0),3))),"#page=",H256),CONCATENATE("#Sharepoint//",$D255))</f>
        <v/>
      </c>
      <c r="I255" s="334">
        <f t="array" ref="I255">HYPERLINK(CONCATENATE(Cartelle!$D$5,INDEX(INDIRECT("'" &amp; $C255 &amp; "'!$1:$1"), 1, MATCH(INDIRECT(CONCATENATE("'" &amp; $C255 &amp; "'!",ADDRESS(MATCH($D255, INDIRECT("'" &amp; $C255 &amp; "'!$B:$B"), 0),MATCH(I$1, INDIRECT("'" &amp; $C255 &amp; "'!$1:$1"), 0)))),INDIRECT(CONCATENATE("'" &amp; $C255 &amp; "'!",MATCH($D255, INDIRECT("'" &amp; $C255 &amp; "'!$B:$B"), 0),":",MATCH($D255, INDIRECT("'" &amp; $C255 &amp; "'!$B:$B"), 0))),0)),"/",$C255,"/",MID($D255,1,FIND("_",$D255)-1),"/",INDIRECT(CONCATENATE("'" &amp; $C255 &amp; "'!",ADDRESS(MATCH($D255, INDIRECT("'" &amp; $C255 &amp; "'!$B:$B"), 0),MATCH(I$1, INDIRECT("'" &amp; $C255 &amp; "'!$1:$1"), 0)))),".",INDIRECT(CONCATENATE("'"&amp;$C255&amp;"'!",ADDRESS(MATCH($D255,INDIRECT("'"&amp;$C255&amp;"'!$B:$B"),0),3))),"#page=",I256),CONCATENATE("#Sharepoint//",$D255))</f>
        <v/>
      </c>
      <c r="J255" s="334">
        <f t="array" ref="J255">HYPERLINK(CONCATENATE(Cartelle!$D$5,INDEX(INDIRECT("'" &amp; $C255 &amp; "'!$1:$1"), 1, MATCH(INDIRECT(CONCATENATE("'" &amp; $C255 &amp; "'!",ADDRESS(MATCH($D255, INDIRECT("'" &amp; $C255 &amp; "'!$B:$B"), 0),MATCH(J$1, INDIRECT("'" &amp; $C255 &amp; "'!$1:$1"), 0)))),INDIRECT(CONCATENATE("'" &amp; $C255 &amp; "'!",MATCH($D255, INDIRECT("'" &amp; $C255 &amp; "'!$B:$B"), 0),":",MATCH($D255, INDIRECT("'" &amp; $C255 &amp; "'!$B:$B"), 0))),0)),"/",$C255,"/",MID($D255,1,FIND("_",$D255)-1),"/",INDIRECT(CONCATENATE("'" &amp; $C255 &amp; "'!",ADDRESS(MATCH($D255, INDIRECT("'" &amp; $C255 &amp; "'!$B:$B"), 0),MATCH(J$1, INDIRECT("'" &amp; $C255 &amp; "'!$1:$1"), 0)))),".",INDIRECT(CONCATENATE("'"&amp;$C255&amp;"'!",ADDRESS(MATCH($D255,INDIRECT("'"&amp;$C255&amp;"'!$B:$B"),0),3))),"#page=",J256),CONCATENATE("#Sharepoint//",$D255))</f>
        <v/>
      </c>
      <c r="K255" s="353" t="n"/>
      <c r="L255" s="353" t="n"/>
    </row>
    <row r="256" outlineLevel="2" s="462">
      <c r="B256" s="169" t="n"/>
      <c r="D256" s="168" t="n"/>
      <c r="E256" s="167" t="inlineStr">
        <is>
          <t>Rif. Pagina</t>
        </is>
      </c>
      <c r="F256" s="168" t="n">
        <v>233</v>
      </c>
      <c r="G256" s="168" t="n"/>
      <c r="H256" s="168" t="n">
        <v>246</v>
      </c>
      <c r="I256" s="168" t="n">
        <v>242</v>
      </c>
      <c r="J256" s="168" t="n">
        <v>270</v>
      </c>
      <c r="K256" s="168" t="n"/>
      <c r="L256" s="168" t="n"/>
    </row>
    <row r="257" outlineLevel="2" s="462">
      <c r="B257" s="169" t="n"/>
      <c r="D257" s="168" t="n"/>
      <c r="E257" s="234" t="inlineStr">
        <is>
          <t>Funzioni AI</t>
        </is>
      </c>
      <c r="F257" s="242" t="n"/>
      <c r="G257" s="237" t="n"/>
      <c r="H257" s="242" t="n"/>
      <c r="I257" s="242" t="n"/>
      <c r="J257" s="242" t="n"/>
      <c r="K257" s="237" t="n"/>
      <c r="L257" s="238" t="n"/>
    </row>
    <row r="258">
      <c r="A258" s="181" t="inlineStr">
        <is>
          <t>BRK_Magnetic_Track_Brake_Optional</t>
        </is>
      </c>
      <c r="B258" s="362" t="n"/>
      <c r="C258" s="181" t="n"/>
      <c r="D258" s="363" t="inlineStr">
        <is>
          <t>\</t>
        </is>
      </c>
      <c r="E258" s="162" t="n"/>
      <c r="F258" s="163" t="n"/>
      <c r="G258" s="163" t="n"/>
      <c r="H258" s="163" t="n"/>
      <c r="I258" s="163" t="n"/>
      <c r="J258" s="163" t="n"/>
      <c r="K258" s="163" t="n"/>
      <c r="L258" s="164" t="n"/>
    </row>
    <row r="259" outlineLevel="1" s="462">
      <c r="B259" s="169" t="n"/>
      <c r="C259" s="332" t="inlineStr">
        <is>
          <t>CONFIG</t>
        </is>
      </c>
      <c r="D259" s="364" t="inlineStr">
        <is>
          <t>FRS_Brake Control</t>
        </is>
      </c>
      <c r="E259" s="365" t="inlineStr">
        <is>
          <t>Link</t>
        </is>
      </c>
      <c r="F259" s="334">
        <f t="array" ref="F259">HYPERLINK(CONCATENATE(Cartelle!$D$5,F$1,"/",$C259,"/",MID($D259,1,FIND("_",$D259)-1),"/",INDIRECT(CONCATENATE("'" &amp; $C259 &amp; "'!",ADDRESS(MATCH($D259, INDIRECT("'" &amp; $C259 &amp; "'!$B:$B"), 0),MATCH(F$1, INDIRECT("'" &amp; $C259 &amp; "'!$1:$1"), 0)))),".",INDIRECT(CONCATENATE("'"&amp;$C259&amp;"'!",ADDRESS(MATCH($D259,INDIRECT("'"&amp;$C259&amp;"'!$B:$B"),0),3))),"#page=",F260),CONCATENATE("#Sharepoint//",$D259))</f>
        <v/>
      </c>
      <c r="G259" s="346" t="n"/>
      <c r="H259" s="334">
        <f t="array" ref="H259">HYPERLINK(CONCATENATE(Cartelle!$D$5,INDEX(INDIRECT("'" &amp; $C259 &amp; "'!$1:$1"), 1, MATCH(INDIRECT(CONCATENATE("'" &amp; $C259 &amp; "'!",ADDRESS(MATCH($D259, INDIRECT("'" &amp; $C259 &amp; "'!$B:$B"), 0),MATCH(H$1, INDIRECT("'" &amp; $C259 &amp; "'!$1:$1"), 0)))),INDIRECT(CONCATENATE("'" &amp; $C259 &amp; "'!",MATCH($D259, INDIRECT("'" &amp; $C259 &amp; "'!$B:$B"), 0),":",MATCH($D259, INDIRECT("'" &amp; $C259 &amp; "'!$B:$B"), 0))),0)),"/",$C259,"/",MID($D259,1,FIND("_",$D259)-1),"/",INDIRECT(CONCATENATE("'" &amp; $C259 &amp; "'!",ADDRESS(MATCH($D259, INDIRECT("'" &amp; $C259 &amp; "'!$B:$B"), 0),MATCH(H$1, INDIRECT("'" &amp; $C259 &amp; "'!$1:$1"), 0)))),".",INDIRECT(CONCATENATE("'"&amp;$C259&amp;"'!",ADDRESS(MATCH($D259,INDIRECT("'"&amp;$C259&amp;"'!$B:$B"),0),3))),"#page=",H260),CONCATENATE("#Sharepoint//",$D259))</f>
        <v/>
      </c>
      <c r="I259" s="334">
        <f t="array" ref="I259">HYPERLINK(CONCATENATE(Cartelle!$D$5,INDEX(INDIRECT("'" &amp; $C259 &amp; "'!$1:$1"), 1, MATCH(INDIRECT(CONCATENATE("'" &amp; $C259 &amp; "'!",ADDRESS(MATCH($D259, INDIRECT("'" &amp; $C259 &amp; "'!$B:$B"), 0),MATCH(I$1, INDIRECT("'" &amp; $C259 &amp; "'!$1:$1"), 0)))),INDIRECT(CONCATENATE("'" &amp; $C259 &amp; "'!",MATCH($D259, INDIRECT("'" &amp; $C259 &amp; "'!$B:$B"), 0),":",MATCH($D259, INDIRECT("'" &amp; $C259 &amp; "'!$B:$B"), 0))),0)),"/",$C259,"/",MID($D259,1,FIND("_",$D259)-1),"/",INDIRECT(CONCATENATE("'" &amp; $C259 &amp; "'!",ADDRESS(MATCH($D259, INDIRECT("'" &amp; $C259 &amp; "'!$B:$B"), 0),MATCH(I$1, INDIRECT("'" &amp; $C259 &amp; "'!$1:$1"), 0)))),".",INDIRECT(CONCATENATE("'"&amp;$C259&amp;"'!",ADDRESS(MATCH($D259,INDIRECT("'"&amp;$C259&amp;"'!$B:$B"),0),3))),"#page=",I260),CONCATENATE("#Sharepoint//",$D259))</f>
        <v/>
      </c>
      <c r="J259" s="334">
        <f t="array" ref="J259">HYPERLINK(CONCATENATE(Cartelle!$D$5,INDEX(INDIRECT("'" &amp; $C259 &amp; "'!$1:$1"), 1, MATCH(INDIRECT(CONCATENATE("'" &amp; $C259 &amp; "'!",ADDRESS(MATCH($D259, INDIRECT("'" &amp; $C259 &amp; "'!$B:$B"), 0),MATCH(J$1, INDIRECT("'" &amp; $C259 &amp; "'!$1:$1"), 0)))),INDIRECT(CONCATENATE("'" &amp; $C259 &amp; "'!",MATCH($D259, INDIRECT("'" &amp; $C259 &amp; "'!$B:$B"), 0),":",MATCH($D259, INDIRECT("'" &amp; $C259 &amp; "'!$B:$B"), 0))),0)),"/",$C259,"/",MID($D259,1,FIND("_",$D259)-1),"/",INDIRECT(CONCATENATE("'" &amp; $C259 &amp; "'!",ADDRESS(MATCH($D259, INDIRECT("'" &amp; $C259 &amp; "'!$B:$B"), 0),MATCH(J$1, INDIRECT("'" &amp; $C259 &amp; "'!$1:$1"), 0)))),".",INDIRECT(CONCATENATE("'"&amp;$C259&amp;"'!",ADDRESS(MATCH($D259,INDIRECT("'"&amp;$C259&amp;"'!$B:$B"),0),3))),"#page=",J260),CONCATENATE("#Sharepoint//",$D259))</f>
        <v/>
      </c>
      <c r="K259" s="353" t="n"/>
      <c r="L259" s="353" t="n"/>
    </row>
    <row r="260" outlineLevel="2" s="462">
      <c r="B260" s="169" t="n"/>
      <c r="D260" s="166" t="n"/>
      <c r="E260" s="165" t="inlineStr">
        <is>
          <t>Rif. Pagina</t>
        </is>
      </c>
      <c r="F260" s="166" t="n">
        <v>234</v>
      </c>
      <c r="G260" s="166" t="n"/>
      <c r="H260" s="166" t="n">
        <v>247</v>
      </c>
      <c r="I260" s="166" t="n"/>
      <c r="J260" s="166" t="n"/>
      <c r="K260" s="166" t="n"/>
      <c r="L260" s="166" t="n"/>
    </row>
    <row r="261" outlineLevel="2" s="462">
      <c r="B261" s="169" t="n"/>
      <c r="D261" s="168" t="n"/>
      <c r="E261" s="234" t="inlineStr">
        <is>
          <t>Funzioni AI</t>
        </is>
      </c>
      <c r="F261" s="242" t="n"/>
      <c r="G261" s="237" t="n"/>
      <c r="H261" s="242" t="n"/>
      <c r="I261" s="242" t="n"/>
      <c r="J261" s="242" t="n"/>
      <c r="K261" s="237" t="n"/>
      <c r="L261" s="238" t="n"/>
    </row>
    <row r="262">
      <c r="A262" s="181" t="inlineStr">
        <is>
          <t>BOG_Flange_Lubrication</t>
        </is>
      </c>
      <c r="B262" s="362" t="n"/>
      <c r="C262" s="181" t="n"/>
      <c r="D262" s="363" t="inlineStr">
        <is>
          <t>\</t>
        </is>
      </c>
      <c r="E262" s="162" t="n"/>
      <c r="F262" s="163" t="n"/>
      <c r="G262" s="163" t="n"/>
      <c r="H262" s="163" t="n"/>
      <c r="I262" s="163" t="n"/>
      <c r="J262" s="163" t="n"/>
      <c r="K262" s="163" t="n"/>
      <c r="L262" s="164" t="n"/>
    </row>
    <row r="263" outlineLevel="1" s="462">
      <c r="B263" s="169" t="n"/>
      <c r="C263" s="332" t="inlineStr">
        <is>
          <t>CONFIG</t>
        </is>
      </c>
      <c r="D263" s="364" t="inlineStr">
        <is>
          <t>FRS_Bogies</t>
        </is>
      </c>
      <c r="E263" s="365" t="inlineStr">
        <is>
          <t>Link</t>
        </is>
      </c>
      <c r="F263" s="334">
        <f t="array" ref="F263">HYPERLINK(CONCATENATE(Cartelle!$D$5,F$1,"/",$C263,"/",MID($D263,1,FIND("_",$D263)-1),"/",INDIRECT(CONCATENATE("'" &amp; $C263 &amp; "'!",ADDRESS(MATCH($D263, INDIRECT("'" &amp; $C263 &amp; "'!$B:$B"), 0),MATCH(F$1, INDIRECT("'" &amp; $C263 &amp; "'!$1:$1"), 0)))),".",INDIRECT(CONCATENATE("'"&amp;$C263&amp;"'!",ADDRESS(MATCH($D263,INDIRECT("'"&amp;$C263&amp;"'!$B:$B"),0),3))),"#page=",F264),CONCATENATE("#Sharepoint//",$D263))</f>
        <v/>
      </c>
      <c r="G263" s="334">
        <f t="array" ref="G263">HYPERLINK(CONCATENATE(Cartelle!$D$5,INDEX(INDIRECT("'" &amp; $C263 &amp; "'!$1:$1"), 1, MATCH(INDIRECT(CONCATENATE("'" &amp; $C263 &amp; "'!",ADDRESS(MATCH($D263, INDIRECT("'" &amp; $C263 &amp; "'!$B:$B"), 0),MATCH(G$1, INDIRECT("'" &amp; $C263 &amp; "'!$1:$1"), 0)))),INDIRECT(CONCATENATE("'" &amp; $C263 &amp; "'!",MATCH($D263, INDIRECT("'" &amp; $C263 &amp; "'!$B:$B"), 0),":",MATCH($D263, INDIRECT("'" &amp; $C263 &amp; "'!$B:$B"), 0))),0)),"/",$C263,"/",MID($D263,1,FIND("_",$D263)-1),"/",INDIRECT(CONCATENATE("'" &amp; $C263 &amp; "'!",ADDRESS(MATCH($D263, INDIRECT("'" &amp; $C263 &amp; "'!$B:$B"), 0),MATCH(G$1, INDIRECT("'" &amp; $C263 &amp; "'!$1:$1"), 0)))),".",INDIRECT(CONCATENATE("'"&amp;$C263&amp;"'!",ADDRESS(MATCH($D263,INDIRECT("'"&amp;$C263&amp;"'!$B:$B"),0),3))),"#page=",G264),CONCATENATE("#Sharepoint//",$D263))</f>
        <v/>
      </c>
      <c r="H263" s="346" t="n"/>
      <c r="I263" s="358" t="n"/>
      <c r="J263" s="334">
        <f t="array" ref="J263">HYPERLINK(CONCATENATE(Cartelle!$D$5,INDEX(INDIRECT("'" &amp; $C263 &amp; "'!$1:$1"), 1, MATCH(INDIRECT(CONCATENATE("'" &amp; $C263 &amp; "'!",ADDRESS(MATCH($D263, INDIRECT("'" &amp; $C263 &amp; "'!$B:$B"), 0),MATCH(J$1, INDIRECT("'" &amp; $C263 &amp; "'!$1:$1"), 0)))),INDIRECT(CONCATENATE("'" &amp; $C263 &amp; "'!",MATCH($D263, INDIRECT("'" &amp; $C263 &amp; "'!$B:$B"), 0),":",MATCH($D263, INDIRECT("'" &amp; $C263 &amp; "'!$B:$B"), 0))),0)),"/",$C263,"/",MID($D263,1,FIND("_",$D263)-1),"/",INDIRECT(CONCATENATE("'" &amp; $C263 &amp; "'!",ADDRESS(MATCH($D263, INDIRECT("'" &amp; $C263 &amp; "'!$B:$B"), 0),MATCH(J$1, INDIRECT("'" &amp; $C263 &amp; "'!$1:$1"), 0)))),".",INDIRECT(CONCATENATE("'"&amp;$C263&amp;"'!",ADDRESS(MATCH($D263,INDIRECT("'"&amp;$C263&amp;"'!$B:$B"),0),3))),"#page=",J264),CONCATENATE("#Sharepoint//",$D263))</f>
        <v/>
      </c>
      <c r="K263" s="353" t="n"/>
      <c r="L263" s="353" t="n"/>
    </row>
    <row r="264" outlineLevel="2" s="462">
      <c r="B264" s="169" t="n"/>
      <c r="D264" s="168" t="n"/>
      <c r="E264" s="167" t="inlineStr">
        <is>
          <t>Rif. Pagina</t>
        </is>
      </c>
      <c r="F264" s="168" t="n">
        <v>11</v>
      </c>
      <c r="G264" s="168" t="n">
        <v>10</v>
      </c>
      <c r="H264" s="168" t="n"/>
      <c r="I264" s="168" t="n"/>
      <c r="J264" s="168" t="n">
        <v>11</v>
      </c>
      <c r="K264" s="168" t="n"/>
      <c r="L264" s="168" t="n"/>
    </row>
    <row r="265" outlineLevel="2" s="462">
      <c r="B265" s="169" t="n"/>
      <c r="D265" s="168" t="n"/>
      <c r="E265" s="234" t="inlineStr">
        <is>
          <t>Funzioni AI</t>
        </is>
      </c>
      <c r="F265" s="242" t="n"/>
      <c r="G265" s="242" t="n"/>
      <c r="H265" s="237" t="n"/>
      <c r="I265" s="237" t="n"/>
      <c r="J265" s="242" t="n"/>
      <c r="K265" s="237" t="n"/>
      <c r="L265" s="238" t="n"/>
    </row>
    <row r="266">
      <c r="A266" s="181" t="inlineStr">
        <is>
          <t>BOG_Hotbox_Detection</t>
        </is>
      </c>
      <c r="B266" s="362" t="n"/>
      <c r="C266" s="181" t="n"/>
      <c r="D266" s="363" t="inlineStr">
        <is>
          <t>\</t>
        </is>
      </c>
      <c r="E266" s="162" t="n"/>
      <c r="F266" s="163" t="n"/>
      <c r="G266" s="163" t="n"/>
      <c r="H266" s="163" t="n"/>
      <c r="I266" s="163" t="n"/>
      <c r="J266" s="163" t="n"/>
      <c r="K266" s="163" t="n"/>
      <c r="L266" s="164" t="n"/>
    </row>
    <row r="267" outlineLevel="1" s="462">
      <c r="B267" s="169" t="n"/>
      <c r="C267" s="332" t="inlineStr">
        <is>
          <t>CONFIG</t>
        </is>
      </c>
      <c r="D267" s="364" t="inlineStr">
        <is>
          <t>FRS_Bogies</t>
        </is>
      </c>
      <c r="E267" s="365" t="inlineStr">
        <is>
          <t>Link</t>
        </is>
      </c>
      <c r="F267" s="334">
        <f t="array" ref="F267">HYPERLINK(CONCATENATE(Cartelle!$D$5,F$1,"/",$C267,"/",MID($D267,1,FIND("_",$D267)-1),"/",INDIRECT(CONCATENATE("'" &amp; $C267 &amp; "'!",ADDRESS(MATCH($D267, INDIRECT("'" &amp; $C267 &amp; "'!$B:$B"), 0),MATCH(F$1, INDIRECT("'" &amp; $C267 &amp; "'!$1:$1"), 0)))),".",INDIRECT(CONCATENATE("'"&amp;$C267&amp;"'!",ADDRESS(MATCH($D267,INDIRECT("'"&amp;$C267&amp;"'!$B:$B"),0),3))),"#page=",F268),CONCATENATE("#Sharepoint//",$D267))</f>
        <v/>
      </c>
      <c r="G267" s="334">
        <f t="array" ref="G267">HYPERLINK(CONCATENATE(Cartelle!$D$5,INDEX(INDIRECT("'" &amp; $C267 &amp; "'!$1:$1"), 1, MATCH(INDIRECT(CONCATENATE("'" &amp; $C267 &amp; "'!",ADDRESS(MATCH($D267, INDIRECT("'" &amp; $C267 &amp; "'!$B:$B"), 0),MATCH(G$1, INDIRECT("'" &amp; $C267 &amp; "'!$1:$1"), 0)))),INDIRECT(CONCATENATE("'" &amp; $C267 &amp; "'!",MATCH($D267, INDIRECT("'" &amp; $C267 &amp; "'!$B:$B"), 0),":",MATCH($D267, INDIRECT("'" &amp; $C267 &amp; "'!$B:$B"), 0))),0)),"/",$C267,"/",MID($D267,1,FIND("_",$D267)-1),"/",INDIRECT(CONCATENATE("'" &amp; $C267 &amp; "'!",ADDRESS(MATCH($D267, INDIRECT("'" &amp; $C267 &amp; "'!$B:$B"), 0),MATCH(G$1, INDIRECT("'" &amp; $C267 &amp; "'!$1:$1"), 0)))),".",INDIRECT(CONCATENATE("'"&amp;$C267&amp;"'!",ADDRESS(MATCH($D267,INDIRECT("'"&amp;$C267&amp;"'!$B:$B"),0),3))),"#page=",G268),CONCATENATE("#Sharepoint//",$D267))</f>
        <v/>
      </c>
      <c r="H267" s="346" t="n"/>
      <c r="I267" s="358" t="n"/>
      <c r="J267" s="334">
        <f t="array" ref="J267">HYPERLINK(CONCATENATE(Cartelle!$D$5,INDEX(INDIRECT("'" &amp; $C267 &amp; "'!$1:$1"), 1, MATCH(INDIRECT(CONCATENATE("'" &amp; $C267 &amp; "'!",ADDRESS(MATCH($D267, INDIRECT("'" &amp; $C267 &amp; "'!$B:$B"), 0),MATCH(J$1, INDIRECT("'" &amp; $C267 &amp; "'!$1:$1"), 0)))),INDIRECT(CONCATENATE("'" &amp; $C267 &amp; "'!",MATCH($D267, INDIRECT("'" &amp; $C267 &amp; "'!$B:$B"), 0),":",MATCH($D267, INDIRECT("'" &amp; $C267 &amp; "'!$B:$B"), 0))),0)),"/",$C267,"/",MID($D267,1,FIND("_",$D267)-1),"/",INDIRECT(CONCATENATE("'" &amp; $C267 &amp; "'!",ADDRESS(MATCH($D267, INDIRECT("'" &amp; $C267 &amp; "'!$B:$B"), 0),MATCH(J$1, INDIRECT("'" &amp; $C267 &amp; "'!$1:$1"), 0)))),".",INDIRECT(CONCATENATE("'"&amp;$C267&amp;"'!",ADDRESS(MATCH($D267,INDIRECT("'"&amp;$C267&amp;"'!$B:$B"),0),3))),"#page=",J268),CONCATENATE("#Sharepoint//",$D267))</f>
        <v/>
      </c>
      <c r="K267" s="353" t="n"/>
      <c r="L267" s="353" t="n"/>
    </row>
    <row r="268" outlineLevel="2" s="462">
      <c r="B268" s="169" t="n"/>
      <c r="D268" s="168" t="n"/>
      <c r="E268" s="167" t="inlineStr">
        <is>
          <t>Rif. Pagina</t>
        </is>
      </c>
      <c r="F268" s="168" t="n">
        <v>14</v>
      </c>
      <c r="G268" s="168" t="n">
        <v>12</v>
      </c>
      <c r="H268" s="168" t="n"/>
      <c r="I268" s="168" t="n"/>
      <c r="J268" s="168" t="n">
        <v>14</v>
      </c>
      <c r="K268" s="168" t="n"/>
      <c r="L268" s="168" t="n"/>
    </row>
    <row r="269" outlineLevel="2" s="462">
      <c r="B269" s="169" t="n"/>
      <c r="D269" s="168" t="n"/>
      <c r="E269" s="234" t="inlineStr">
        <is>
          <t>Funzioni AI</t>
        </is>
      </c>
      <c r="F269" s="242" t="n"/>
      <c r="G269" s="243" t="n"/>
      <c r="H269" s="237" t="n"/>
      <c r="I269" s="237" t="n"/>
      <c r="J269" s="243" t="n"/>
      <c r="K269" s="237" t="n"/>
      <c r="L269" s="238" t="n"/>
    </row>
    <row r="270" outlineLevel="2" ht="377" customHeight="1" s="462">
      <c r="A270" s="103" t="n"/>
      <c r="B270" s="175" t="n"/>
      <c r="C270" s="104" t="n"/>
      <c r="D270" s="340" t="n"/>
      <c r="E270" s="218" t="inlineStr">
        <is>
          <t>Approfondimenti
(data 01/07/2026)</t>
        </is>
      </c>
      <c r="F270" s="337" t="inlineStr">
        <is>
          <t>Europe.CONCEPT.392: in caso di bypass DNRA, limite velocità a 200 km/h
Europe.CONCEPT.355: evento di warning se Temp gearbox &gt;= 145 °C</t>
        </is>
      </c>
      <c r="G270" s="337" t="inlineStr">
        <is>
          <t>Europe.CONCEPT.392: in caso di bypass DNRA,  limite velocità inibito se attivo stato "DNRA - BMS Local Monitoring"
Europe.CONCEPT.355: evento di warning se Temp gearbox &gt;= 135 °C
Europe.CONCEPT.377: generazione evento di warning o allarme in base a gradiente temperatura
Europe.CONCEPT.380: mantenimento in memoria degli allarmi generati dalle letture PT100
Europe.CONCEPT.381: introduzione dell'evento di reset allarme tramite softkey
Europe.CONCEPT.378: in caso di allarme temp riduttore, il TCMS applica un blocco alla trazione se la di vel è &gt; 80 km/h, che si ripristina quando la vel scende &lt; 80 km/h con manipolatore T/F in coasting
Europe.CONCEPT.383: il limite di vel si disattiva quando il PDC resetta l'allarme di temp, anche se la condizione di allarme è ancora presente
Europe.CONCEPT.384: la limitazione di vel si riattiva in caso l'allarme, precedentemente resettato, si ripresenti</t>
        </is>
      </c>
      <c r="H270" s="217" t="n"/>
      <c r="I270" s="217" t="n"/>
      <c r="J270" s="217" t="inlineStr">
        <is>
          <t>TBD</t>
        </is>
      </c>
      <c r="K270" s="217" t="n"/>
      <c r="L270" s="217" t="n"/>
    </row>
    <row r="271" outlineLevel="1" s="462">
      <c r="A271" s="368" t="n"/>
      <c r="B271" s="369" t="n"/>
      <c r="C271" s="332" t="inlineStr">
        <is>
          <t>CONFIG</t>
        </is>
      </c>
      <c r="D271" s="332" t="inlineStr">
        <is>
          <t>FS_DM1</t>
        </is>
      </c>
      <c r="E271" s="333" t="inlineStr">
        <is>
          <t>Link</t>
        </is>
      </c>
      <c r="F271" s="334">
        <f t="array" ref="F271">HYPERLINK(CONCATENATE(Cartelle!$D$5,F$1,"/",$C271,"/",MID($D271,1,FIND("_",$D271)-1),"/",INDIRECT(CONCATENATE("'" &amp; $C271 &amp; "'!",ADDRESS(MATCH($D271, INDIRECT("'" &amp; $C271 &amp; "'!$B:$B"), 0),MATCH(F$1, INDIRECT("'" &amp; $C271 &amp; "'!$1:$1"), 0)))),".",INDIRECT(CONCATENATE("'"&amp;$C271&amp;"'!",ADDRESS(MATCH($D271,INDIRECT("'"&amp;$C271&amp;"'!$B:$B"),0),3))),"#page=",F272),CONCATENATE("#Sharepoint//",$D271))</f>
        <v/>
      </c>
      <c r="G271" s="332" t="n"/>
      <c r="H271" s="332" t="n"/>
      <c r="I271" s="332" t="n"/>
      <c r="J271" s="334">
        <f t="array" ref="J271">HYPERLINK(CONCATENATE(Cartelle!$D$5,INDEX(INDIRECT("'" &amp; $C271 &amp; "'!$1:$1"), 1, MATCH(INDIRECT(CONCATENATE("'" &amp; $C271 &amp; "'!",ADDRESS(MATCH($D271, INDIRECT("'" &amp; $C271 &amp; "'!$B:$B"), 0),MATCH(J$1, INDIRECT("'" &amp; $C271 &amp; "'!$1:$1"), 0)))),INDIRECT(CONCATENATE("'" &amp; $C271 &amp; "'!",MATCH($D271, INDIRECT("'" &amp; $C271 &amp; "'!$B:$B"), 0),":",MATCH($D271, INDIRECT("'" &amp; $C271 &amp; "'!$B:$B"), 0))),0)),"/",$C271,"/",MID($D271,1,FIND("_",$D271)-1),"/",INDIRECT(CONCATENATE("'" &amp; $C271 &amp; "'!",ADDRESS(MATCH($D271, INDIRECT("'" &amp; $C271 &amp; "'!$B:$B"), 0),MATCH(J$1, INDIRECT("'" &amp; $C271 &amp; "'!$1:$1"), 0)))),".",INDIRECT(CONCATENATE("'"&amp;$C271&amp;"'!",ADDRESS(MATCH($D271,INDIRECT("'"&amp;$C271&amp;"'!$B:$B"),0),3))),"#page=",J272),CONCATENATE("#Sharepoint//",$D271))</f>
        <v/>
      </c>
      <c r="K271" s="335" t="n"/>
      <c r="L271" s="332" t="n"/>
    </row>
    <row r="272" outlineLevel="2" s="462">
      <c r="A272" s="103" t="n"/>
      <c r="B272" s="175" t="n"/>
      <c r="C272" s="104" t="n"/>
      <c r="D272" s="217" t="n"/>
      <c r="E272" s="218" t="inlineStr">
        <is>
          <t>Rif. Pagina</t>
        </is>
      </c>
      <c r="F272" s="217" t="n">
        <v>388</v>
      </c>
      <c r="G272" s="217" t="n"/>
      <c r="H272" s="217" t="n"/>
      <c r="I272" s="217" t="n"/>
      <c r="J272" s="217" t="n">
        <v>264</v>
      </c>
      <c r="K272" s="337" t="n"/>
      <c r="L272" s="217" t="n"/>
    </row>
    <row r="273" outlineLevel="2" ht="116" customHeight="1" s="462">
      <c r="A273" s="103" t="n"/>
      <c r="B273" s="175" t="n"/>
      <c r="C273" s="104" t="n"/>
      <c r="D273" s="217" t="n"/>
      <c r="E273" s="218" t="inlineStr">
        <is>
          <t>Componenti circuito elettrico
(da 01/07/2026)</t>
        </is>
      </c>
      <c r="F273" s="337" t="inlineStr">
        <is>
          <t>GC-Q024 = Relè abilitazione cabina LCA
GC-Q026 = Relè abilitazione cabina LCA
SB-K018 = Relè accoppiamento
JB-K003 = Relè apertura Loop HABD
JB-K004 = Relè apertura Loop HABD
GG-K016 = Relè apertura Loop DNRA
GG-K017 = Relè apertura Loop DNRA
GC-A018 H2B = spia Locked Axle</t>
        </is>
      </c>
      <c r="G273" s="217" t="n"/>
      <c r="H273" s="217" t="n"/>
      <c r="I273" s="217" t="n"/>
      <c r="J273" s="337" t="inlineStr">
        <is>
          <t>JB-K003 = Relè apertura Loop HABD
JB-K004 = Relè apertura Loop HABD
JE-K009 = RIO OTC_FUSE_LOOP
JE-K010 = RIO OTC_FUSE LOOP
GC-A018 H2B = spia HABD Alarm</t>
        </is>
      </c>
      <c r="K273" s="337" t="n"/>
      <c r="L273" s="217" t="n"/>
    </row>
    <row r="274" outlineLevel="2" ht="304.5" customHeight="1" s="462">
      <c r="A274" s="103" t="n"/>
      <c r="B274" s="175" t="n"/>
      <c r="C274" s="104" t="n"/>
      <c r="D274" s="217" t="n"/>
      <c r="E274" s="218" t="inlineStr">
        <is>
          <t>Descrizione circuitale
(da 01/07/2026)</t>
        </is>
      </c>
      <c r="F274" s="337" t="inlineStr">
        <is>
          <t>L'informazione di apertura loop HBDA è data dai termofusibili, essa comanda la disalimetazione dei relè JB-K003 e JB-K004, questi tramite i contatti AI-B1 passano l'informazione al TCMS, OTC_FUSE_LOOP. L'accensione della spia HABD-DNRA deriva daii contatti C1-D1 e C3-D3 di JB-K003 e JB-K004, i quali comandano il loop DNRA stesso. L'informazione di apertura è propagata dai  contatti di JB-K003 e JB-K004 verso i relè GG-K016 e GG-K017 i quali comandano l'accensione della spia GC-A018.
Il filo treno-loop DNRA viene alimentato alla tensione di batteria nella cabina non abilitata attraverso
l’interruttore magnetotermico di protezione GG-F004 e i contatti del relè di accoppiamento Rcm SB-K018 e di
abilitazione cabina LCA. GC-Q024 e Q026</t>
        </is>
      </c>
      <c r="G274" s="217" t="n"/>
      <c r="H274" s="217" t="n"/>
      <c r="I274" s="217" t="n"/>
      <c r="J274" s="337" t="inlineStr">
        <is>
          <t>L'informazione di apertura loop HABDA è data dai termofusibili, essa comanda la disalimetazione dei relè JB-K003 e JB-K004, questi tramite i contatti A1 - B1  passano l'informazione al TCMS tramite i DI RIO JE-K009 e JE-K010, OTC_FUSE_LOOP. Il TCMS a seguito comanda l'accensione della spia  GC-A18 relativa al solo allarme HABD, tramite le uscite  JE-K005 e JE-K006, OTC_HABD_ALARM</t>
        </is>
      </c>
      <c r="K274" s="337" t="n"/>
      <c r="L274" s="217" t="n"/>
    </row>
    <row r="275">
      <c r="A275" s="181" t="inlineStr">
        <is>
          <t>BOG_Instability_Monitoring</t>
        </is>
      </c>
      <c r="B275" s="362" t="n"/>
      <c r="C275" s="181" t="n"/>
      <c r="D275" s="363" t="inlineStr">
        <is>
          <t>\</t>
        </is>
      </c>
      <c r="E275" s="162" t="n"/>
      <c r="F275" s="163" t="n"/>
      <c r="G275" s="163" t="n"/>
      <c r="H275" s="163" t="n"/>
      <c r="I275" s="163" t="n"/>
      <c r="J275" s="163" t="n"/>
      <c r="K275" s="163" t="n"/>
      <c r="L275" s="164" t="n"/>
    </row>
    <row r="276" outlineLevel="1" s="462">
      <c r="B276" s="169" t="n"/>
      <c r="C276" s="332" t="inlineStr">
        <is>
          <t>CONFIG</t>
        </is>
      </c>
      <c r="D276" s="364" t="inlineStr">
        <is>
          <t>FRS_Bogies</t>
        </is>
      </c>
      <c r="E276" s="365" t="inlineStr">
        <is>
          <t>Link</t>
        </is>
      </c>
      <c r="F276" s="334">
        <f t="array" ref="F276">HYPERLINK(CONCATENATE(Cartelle!$D$5,F$1,"/",$C276,"/",MID($D276,1,FIND("_",$D276)-1),"/",INDIRECT(CONCATENATE("'" &amp; $C276 &amp; "'!",ADDRESS(MATCH($D276, INDIRECT("'" &amp; $C276 &amp; "'!$B:$B"), 0),MATCH(F$1, INDIRECT("'" &amp; $C276 &amp; "'!$1:$1"), 0)))),".",INDIRECT(CONCATENATE("'"&amp;$C276&amp;"'!",ADDRESS(MATCH($D276,INDIRECT("'"&amp;$C276&amp;"'!$B:$B"),0),3))),"#page=",F277),CONCATENATE("#Sharepoint//",$D276))</f>
        <v/>
      </c>
      <c r="G276" s="334">
        <f t="array" ref="G276">HYPERLINK(CONCATENATE(Cartelle!$D$5,INDEX(INDIRECT("'" &amp; $C276 &amp; "'!$1:$1"), 1, MATCH(INDIRECT(CONCATENATE("'" &amp; $C276 &amp; "'!",ADDRESS(MATCH($D276, INDIRECT("'" &amp; $C276 &amp; "'!$B:$B"), 0),MATCH(G$1, INDIRECT("'" &amp; $C276 &amp; "'!$1:$1"), 0)))),INDIRECT(CONCATENATE("'" &amp; $C276 &amp; "'!",MATCH($D276, INDIRECT("'" &amp; $C276 &amp; "'!$B:$B"), 0),":",MATCH($D276, INDIRECT("'" &amp; $C276 &amp; "'!$B:$B"), 0))),0)),"/",$C276,"/",MID($D276,1,FIND("_",$D276)-1),"/",INDIRECT(CONCATENATE("'" &amp; $C276 &amp; "'!",ADDRESS(MATCH($D276, INDIRECT("'" &amp; $C276 &amp; "'!$B:$B"), 0),MATCH(G$1, INDIRECT("'" &amp; $C276 &amp; "'!$1:$1"), 0)))),".",INDIRECT(CONCATENATE("'"&amp;$C276&amp;"'!",ADDRESS(MATCH($D276,INDIRECT("'"&amp;$C276&amp;"'!$B:$B"),0),3))),"#page=",G277),CONCATENATE("#Sharepoint//",$D276))</f>
        <v/>
      </c>
      <c r="H276" s="346" t="n"/>
      <c r="I276" s="358" t="n"/>
      <c r="J276" s="334">
        <f t="array" ref="J276">HYPERLINK(CONCATENATE(Cartelle!$D$5,INDEX(INDIRECT("'" &amp; $C276 &amp; "'!$1:$1"), 1, MATCH(INDIRECT(CONCATENATE("'" &amp; $C276 &amp; "'!",ADDRESS(MATCH($D276, INDIRECT("'" &amp; $C276 &amp; "'!$B:$B"), 0),MATCH(J$1, INDIRECT("'" &amp; $C276 &amp; "'!$1:$1"), 0)))),INDIRECT(CONCATENATE("'" &amp; $C276 &amp; "'!",MATCH($D276, INDIRECT("'" &amp; $C276 &amp; "'!$B:$B"), 0),":",MATCH($D276, INDIRECT("'" &amp; $C276 &amp; "'!$B:$B"), 0))),0)),"/",$C276,"/",MID($D276,1,FIND("_",$D276)-1),"/",INDIRECT(CONCATENATE("'" &amp; $C276 &amp; "'!",ADDRESS(MATCH($D276, INDIRECT("'" &amp; $C276 &amp; "'!$B:$B"), 0),MATCH(J$1, INDIRECT("'" &amp; $C276 &amp; "'!$1:$1"), 0)))),".",INDIRECT(CONCATENATE("'"&amp;$C276&amp;"'!",ADDRESS(MATCH($D276,INDIRECT("'"&amp;$C276&amp;"'!$B:$B"),0),3))),"#page=",J277),CONCATENATE("#Sharepoint//",$D276))</f>
        <v/>
      </c>
      <c r="K276" s="353" t="n"/>
      <c r="L276" s="353" t="n"/>
    </row>
    <row r="277" outlineLevel="2" s="462">
      <c r="B277" s="169" t="n"/>
      <c r="D277" s="168" t="n"/>
      <c r="E277" s="167" t="inlineStr">
        <is>
          <t>Rif. Pagina</t>
        </is>
      </c>
      <c r="F277" s="168" t="n">
        <v>20</v>
      </c>
      <c r="G277" s="168" t="n">
        <v>20</v>
      </c>
      <c r="H277" s="168" t="n"/>
      <c r="I277" s="168" t="n"/>
      <c r="J277" s="168" t="n">
        <v>36</v>
      </c>
      <c r="K277" s="168" t="n"/>
      <c r="L277" s="168" t="n"/>
    </row>
    <row r="278" outlineLevel="2" s="462">
      <c r="B278" s="169" t="n"/>
      <c r="D278" s="168" t="n"/>
      <c r="E278" s="234" t="inlineStr">
        <is>
          <t>Funzioni AI</t>
        </is>
      </c>
      <c r="F278" s="242" t="n"/>
      <c r="G278" s="242" t="n"/>
      <c r="H278" s="237" t="n"/>
      <c r="I278" s="237" t="n"/>
      <c r="J278" s="242" t="n"/>
      <c r="K278" s="237" t="n"/>
      <c r="L278" s="238" t="n"/>
    </row>
    <row r="279">
      <c r="A279" s="181" t="inlineStr">
        <is>
          <t>BOG_Active_Lateral_Suspension_(ALS)</t>
        </is>
      </c>
      <c r="B279" s="362" t="n"/>
      <c r="C279" s="181" t="n"/>
      <c r="D279" s="363" t="inlineStr">
        <is>
          <t>\</t>
        </is>
      </c>
      <c r="E279" s="162" t="n"/>
      <c r="F279" s="163" t="n"/>
      <c r="G279" s="163" t="n"/>
      <c r="H279" s="163" t="n"/>
      <c r="I279" s="163" t="n"/>
      <c r="J279" s="163" t="n"/>
      <c r="K279" s="163" t="n"/>
      <c r="L279" s="164" t="n"/>
    </row>
    <row r="280" outlineLevel="1" s="462">
      <c r="B280" s="169" t="n"/>
      <c r="C280" s="332" t="inlineStr">
        <is>
          <t>CONFIG</t>
        </is>
      </c>
      <c r="D280" s="364" t="inlineStr">
        <is>
          <t>FRS_Bogies</t>
        </is>
      </c>
      <c r="E280" s="365" t="inlineStr">
        <is>
          <t>Link</t>
        </is>
      </c>
      <c r="F280" s="334">
        <f t="array" ref="F280">HYPERLINK(CONCATENATE(Cartelle!$D$5,F$1,"/",$C280,"/",MID($D280,1,FIND("_",$D280)-1),"/",INDIRECT(CONCATENATE("'" &amp; $C280 &amp; "'!",ADDRESS(MATCH($D280, INDIRECT("'" &amp; $C280 &amp; "'!$B:$B"), 0),MATCH(F$1, INDIRECT("'" &amp; $C280 &amp; "'!$1:$1"), 0)))),".",INDIRECT(CONCATENATE("'"&amp;$C280&amp;"'!",ADDRESS(MATCH($D280,INDIRECT("'"&amp;$C280&amp;"'!$B:$B"),0),3))),"#page=",F281),CONCATENATE("#Sharepoint//",$D280))</f>
        <v/>
      </c>
      <c r="G280" s="334">
        <f t="array" ref="G280">HYPERLINK(CONCATENATE(Cartelle!$D$5,INDEX(INDIRECT("'" &amp; $C280 &amp; "'!$1:$1"), 1, MATCH(INDIRECT(CONCATENATE("'" &amp; $C280 &amp; "'!",ADDRESS(MATCH($D280, INDIRECT("'" &amp; $C280 &amp; "'!$B:$B"), 0),MATCH(G$1, INDIRECT("'" &amp; $C280 &amp; "'!$1:$1"), 0)))),INDIRECT(CONCATENATE("'" &amp; $C280 &amp; "'!",MATCH($D280, INDIRECT("'" &amp; $C280 &amp; "'!$B:$B"), 0),":",MATCH($D280, INDIRECT("'" &amp; $C280 &amp; "'!$B:$B"), 0))),0)),"/",$C280,"/",MID($D280,1,FIND("_",$D280)-1),"/",INDIRECT(CONCATENATE("'" &amp; $C280 &amp; "'!",ADDRESS(MATCH($D280, INDIRECT("'" &amp; $C280 &amp; "'!$B:$B"), 0),MATCH(G$1, INDIRECT("'" &amp; $C280 &amp; "'!$1:$1"), 0)))),".",INDIRECT(CONCATENATE("'"&amp;$C280&amp;"'!",ADDRESS(MATCH($D280,INDIRECT("'"&amp;$C280&amp;"'!$B:$B"),0),3))),"#page=",G281),CONCATENATE("#Sharepoint//",$D280))</f>
        <v/>
      </c>
      <c r="H280" s="346" t="n"/>
      <c r="I280" s="358" t="n"/>
      <c r="J280" s="334">
        <f t="array" ref="J280">HYPERLINK(CONCATENATE(Cartelle!$D$5,INDEX(INDIRECT("'" &amp; $C280 &amp; "'!$1:$1"), 1, MATCH(INDIRECT(CONCATENATE("'" &amp; $C280 &amp; "'!",ADDRESS(MATCH($D280, INDIRECT("'" &amp; $C280 &amp; "'!$B:$B"), 0),MATCH(J$1, INDIRECT("'" &amp; $C280 &amp; "'!$1:$1"), 0)))),INDIRECT(CONCATENATE("'" &amp; $C280 &amp; "'!",MATCH($D280, INDIRECT("'" &amp; $C280 &amp; "'!$B:$B"), 0),":",MATCH($D280, INDIRECT("'" &amp; $C280 &amp; "'!$B:$B"), 0))),0)),"/",$C280,"/",MID($D280,1,FIND("_",$D280)-1),"/",INDIRECT(CONCATENATE("'" &amp; $C280 &amp; "'!",ADDRESS(MATCH($D280, INDIRECT("'" &amp; $C280 &amp; "'!$B:$B"), 0),MATCH(J$1, INDIRECT("'" &amp; $C280 &amp; "'!$1:$1"), 0)))),".",INDIRECT(CONCATENATE("'"&amp;$C280&amp;"'!",ADDRESS(MATCH($D280,INDIRECT("'"&amp;$C280&amp;"'!$B:$B"),0),3))),"#page=",J281),CONCATENATE("#Sharepoint//",$D280))</f>
        <v/>
      </c>
      <c r="K280" s="353" t="n"/>
      <c r="L280" s="353" t="n"/>
    </row>
    <row r="281" outlineLevel="2" s="462">
      <c r="B281" s="169" t="n"/>
      <c r="D281" s="168" t="n"/>
      <c r="E281" s="167" t="inlineStr">
        <is>
          <t>Rif. Pagina</t>
        </is>
      </c>
      <c r="F281" s="168" t="n">
        <v>29</v>
      </c>
      <c r="G281" s="168" t="n">
        <v>28</v>
      </c>
      <c r="H281" s="168" t="n"/>
      <c r="I281" s="168" t="n"/>
      <c r="J281" s="168" t="n">
        <v>43</v>
      </c>
      <c r="K281" s="168" t="n"/>
      <c r="L281" s="168" t="n"/>
    </row>
    <row r="282" outlineLevel="2" s="462">
      <c r="B282" s="169" t="n"/>
      <c r="D282" s="168" t="n"/>
      <c r="E282" s="234" t="inlineStr">
        <is>
          <t>Funzioni AI</t>
        </is>
      </c>
      <c r="F282" s="242" t="n"/>
      <c r="G282" s="242" t="n"/>
      <c r="H282" s="237" t="n"/>
      <c r="I282" s="237" t="n"/>
      <c r="J282" s="242" t="n"/>
      <c r="K282" s="237" t="n"/>
      <c r="L282" s="238" t="n"/>
    </row>
    <row r="283">
      <c r="A283" s="181" t="inlineStr">
        <is>
          <t>BOG_Diagnostics_&amp;_CBM</t>
        </is>
      </c>
      <c r="B283" s="362" t="n"/>
      <c r="C283" s="181" t="n"/>
      <c r="D283" s="363" t="inlineStr">
        <is>
          <t>\</t>
        </is>
      </c>
      <c r="E283" s="162" t="n"/>
      <c r="F283" s="163" t="n"/>
      <c r="G283" s="163" t="n"/>
      <c r="H283" s="163" t="n"/>
      <c r="I283" s="163" t="n"/>
      <c r="J283" s="163" t="n"/>
      <c r="K283" s="163" t="n"/>
      <c r="L283" s="164" t="n"/>
    </row>
    <row r="284" outlineLevel="1" s="462">
      <c r="B284" s="169" t="n"/>
      <c r="C284" s="332" t="inlineStr">
        <is>
          <t>CONFIG</t>
        </is>
      </c>
      <c r="D284" s="364" t="inlineStr">
        <is>
          <t>FRS_Bogies</t>
        </is>
      </c>
      <c r="E284" s="365" t="inlineStr">
        <is>
          <t>Link</t>
        </is>
      </c>
      <c r="F284" s="334">
        <f t="array" ref="F284">HYPERLINK(CONCATENATE(Cartelle!$D$5,F$1,"/",$C284,"/",MID($D284,1,FIND("_",$D284)-1),"/",INDIRECT(CONCATENATE("'" &amp; $C284 &amp; "'!",ADDRESS(MATCH($D284, INDIRECT("'" &amp; $C284 &amp; "'!$B:$B"), 0),MATCH(F$1, INDIRECT("'" &amp; $C284 &amp; "'!$1:$1"), 0)))),".",INDIRECT(CONCATENATE("'"&amp;$C284&amp;"'!",ADDRESS(MATCH($D284,INDIRECT("'"&amp;$C284&amp;"'!$B:$B"),0),3))),"#page=",F285),CONCATENATE("#Sharepoint//",$D284))</f>
        <v/>
      </c>
      <c r="G284" s="334">
        <f t="array" ref="G284">HYPERLINK(CONCATENATE(Cartelle!$D$5,INDEX(INDIRECT("'" &amp; $C284 &amp; "'!$1:$1"), 1, MATCH(INDIRECT(CONCATENATE("'" &amp; $C284 &amp; "'!",ADDRESS(MATCH($D284, INDIRECT("'" &amp; $C284 &amp; "'!$B:$B"), 0),MATCH(G$1, INDIRECT("'" &amp; $C284 &amp; "'!$1:$1"), 0)))),INDIRECT(CONCATENATE("'" &amp; $C284 &amp; "'!",MATCH($D284, INDIRECT("'" &amp; $C284 &amp; "'!$B:$B"), 0),":",MATCH($D284, INDIRECT("'" &amp; $C284 &amp; "'!$B:$B"), 0))),0)),"/",$C284,"/",MID($D284,1,FIND("_",$D284)-1),"/",INDIRECT(CONCATENATE("'" &amp; $C284 &amp; "'!",ADDRESS(MATCH($D284, INDIRECT("'" &amp; $C284 &amp; "'!$B:$B"), 0),MATCH(G$1, INDIRECT("'" &amp; $C284 &amp; "'!$1:$1"), 0)))),".",INDIRECT(CONCATENATE("'"&amp;$C284&amp;"'!",ADDRESS(MATCH($D284,INDIRECT("'"&amp;$C284&amp;"'!$B:$B"),0),3))),"#page=",G285),CONCATENATE("#Sharepoint//",$D284))</f>
        <v/>
      </c>
      <c r="H284" s="346" t="n"/>
      <c r="I284" s="358" t="n"/>
      <c r="J284" s="334">
        <f t="array" ref="J284">HYPERLINK(CONCATENATE(Cartelle!$D$5,INDEX(INDIRECT("'" &amp; $C284 &amp; "'!$1:$1"), 1, MATCH(INDIRECT(CONCATENATE("'" &amp; $C284 &amp; "'!",ADDRESS(MATCH($D284, INDIRECT("'" &amp; $C284 &amp; "'!$B:$B"), 0),MATCH(J$1, INDIRECT("'" &amp; $C284 &amp; "'!$1:$1"), 0)))),INDIRECT(CONCATENATE("'" &amp; $C284 &amp; "'!",MATCH($D284, INDIRECT("'" &amp; $C284 &amp; "'!$B:$B"), 0),":",MATCH($D284, INDIRECT("'" &amp; $C284 &amp; "'!$B:$B"), 0))),0)),"/",$C284,"/",MID($D284,1,FIND("_",$D284)-1),"/",INDIRECT(CONCATENATE("'" &amp; $C284 &amp; "'!",ADDRESS(MATCH($D284, INDIRECT("'" &amp; $C284 &amp; "'!$B:$B"), 0),MATCH(J$1, INDIRECT("'" &amp; $C284 &amp; "'!$1:$1"), 0)))),".",INDIRECT(CONCATENATE("'"&amp;$C284&amp;"'!",ADDRESS(MATCH($D284,INDIRECT("'"&amp;$C284&amp;"'!$B:$B"),0),3))),"#page=",J285),CONCATENATE("#Sharepoint//",$D284))</f>
        <v/>
      </c>
      <c r="K284" s="353" t="n"/>
      <c r="L284" s="353" t="n"/>
    </row>
    <row r="285" outlineLevel="2" s="462">
      <c r="B285" s="169" t="n"/>
      <c r="D285" s="166" t="n"/>
      <c r="E285" s="165" t="inlineStr">
        <is>
          <t>Rif. Pagina</t>
        </is>
      </c>
      <c r="F285" s="166" t="n">
        <v>31</v>
      </c>
      <c r="G285" s="166" t="n">
        <v>29</v>
      </c>
      <c r="H285" s="166" t="n"/>
      <c r="I285" s="166" t="n">
        <v>29</v>
      </c>
      <c r="J285" s="166" t="n">
        <v>44</v>
      </c>
      <c r="K285" s="166" t="n"/>
      <c r="L285" s="166" t="n"/>
    </row>
    <row r="286" outlineLevel="2" s="462">
      <c r="B286" s="169" t="n"/>
      <c r="D286" s="168" t="n"/>
      <c r="E286" s="234" t="inlineStr">
        <is>
          <t>Funzioni AI</t>
        </is>
      </c>
      <c r="F286" s="242" t="n"/>
      <c r="G286" s="242" t="n"/>
      <c r="H286" s="237" t="n"/>
      <c r="I286" s="237" t="n"/>
      <c r="J286" s="242" t="n"/>
      <c r="K286" s="237" t="n"/>
      <c r="L286" s="238" t="n"/>
    </row>
  </sheetData>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K79"/>
  <sheetViews>
    <sheetView topLeftCell="C1" workbookViewId="0">
      <selection activeCell="A2" sqref="A2:XFD2"/>
    </sheetView>
  </sheetViews>
  <sheetFormatPr baseColWidth="8" defaultColWidth="8.7265625" defaultRowHeight="14.5"/>
  <cols>
    <col width="22.1796875" bestFit="1" customWidth="1" style="62" min="1" max="1"/>
    <col width="65.453125" customWidth="1" style="62" min="2" max="2"/>
    <col width="34.7265625" bestFit="1" customWidth="1" style="62" min="3" max="3"/>
    <col width="34.81640625" customWidth="1" style="62" min="4" max="4"/>
    <col width="35.54296875" customWidth="1" style="10" min="5" max="9"/>
    <col width="14.81640625" customWidth="1" style="10" min="10" max="11"/>
    <col width="8.7265625" customWidth="1" style="59" min="12" max="12"/>
    <col width="33.1796875" customWidth="1" style="59" min="13" max="13"/>
    <col width="8.7265625" customWidth="1" style="59" min="14" max="16384"/>
  </cols>
  <sheetData>
    <row r="1" customFormat="1" s="61">
      <c r="A1" s="323" t="inlineStr">
        <is>
          <t>FUNC ID</t>
        </is>
      </c>
      <c r="B1" s="323" t="inlineStr">
        <is>
          <t>DESCRIZIONE</t>
        </is>
      </c>
      <c r="C1" s="515" t="inlineStr">
        <is>
          <t>REQUISITO</t>
        </is>
      </c>
      <c r="D1" s="515" t="inlineStr">
        <is>
          <t>CONFIGURAZIONE APPARTENENZA</t>
        </is>
      </c>
      <c r="E1" s="324" t="inlineStr">
        <is>
          <t>VZI_Base</t>
        </is>
      </c>
      <c r="F1" s="324" t="inlineStr">
        <is>
          <t>VZI_New14</t>
        </is>
      </c>
      <c r="G1" s="425" t="inlineStr">
        <is>
          <t>VZ_FR</t>
        </is>
      </c>
      <c r="H1" s="425" t="inlineStr">
        <is>
          <t>VZ_ES</t>
        </is>
      </c>
      <c r="I1" s="425" t="inlineStr">
        <is>
          <t>VZI-6_R1</t>
        </is>
      </c>
      <c r="J1" s="425" t="inlineStr">
        <is>
          <t>VZI-4_R1</t>
        </is>
      </c>
      <c r="K1" s="82" t="inlineStr">
        <is>
          <t>VZ_DAI</t>
        </is>
      </c>
    </row>
    <row r="2" ht="29" customHeight="1" s="462">
      <c r="A2" s="341" t="inlineStr">
        <is>
          <t>LV_Country_code_selection</t>
        </is>
      </c>
      <c r="B2" s="341" t="inlineStr">
        <is>
          <t>Selezione su IDU del paese corrente, per informare la PCU sui pantografi selezionabili</t>
        </is>
      </c>
      <c r="C2" s="516" t="n"/>
      <c r="D2" s="516" t="n"/>
      <c r="E2" s="344" t="n"/>
      <c r="F2" s="344" t="n"/>
      <c r="G2" s="344" t="n"/>
      <c r="H2" s="344" t="n"/>
      <c r="I2" s="344" t="n"/>
      <c r="J2" s="344" t="n"/>
      <c r="K2" s="345" t="n"/>
    </row>
    <row r="3" ht="29" customHeight="1" s="462">
      <c r="C3" s="537" t="inlineStr">
        <is>
          <t>2F_04.01.Zefiro-Europe.CONCEPT.1013</t>
        </is>
      </c>
      <c r="D3" s="522" t="inlineStr">
        <is>
          <r>
            <rPr>
              <b val="1"/>
              <color rgb="00BF8F00"/>
            </rPr>
            <t>VZI-6_R1</t>
          </r>
          <r>
            <rPr>
              <b val="1"/>
              <color rgb="FF000000"/>
            </rPr>
            <t xml:space="preserve">, </t>
          </r>
          <r>
            <rPr>
              <b val="1"/>
              <color rgb="001F4E79"/>
            </rPr>
            <t>VZI_Base</t>
          </r>
          <r>
            <rPr>
              <b val="1"/>
              <color rgb="FF000000"/>
            </rPr>
            <t xml:space="preserve">, </t>
          </r>
          <r>
            <rPr>
              <b val="1"/>
              <color rgb="007030A0"/>
            </rPr>
            <t>VZ_ES</t>
          </r>
          <r>
            <rPr>
              <b val="1"/>
              <color rgb="FF000000"/>
            </rPr>
            <t xml:space="preserve">, </t>
          </r>
          <r>
            <rPr>
              <b val="1"/>
              <color rgb="0000703C"/>
            </rPr>
            <t>VZ_FR</t>
          </r>
        </is>
      </c>
      <c r="E3" s="537" t="inlineStr">
        <is>
          <t>Description: The selected country code shall be sent to all PCU's in the train.
————————————————————
Type / Applicability Details: Derived Requirement
————————————————————
Derived to: 4S 09.03.05.-.TCMS _ Software
————————————————————
SIL: SIL 2</t>
        </is>
      </c>
      <c r="G3" s="538" t="inlineStr">
        <is>
          <t>MATCHED</t>
        </is>
      </c>
      <c r="H3" s="538" t="inlineStr">
        <is>
          <t>MATCHED</t>
        </is>
      </c>
      <c r="I3" s="538" t="inlineStr">
        <is>
          <t>MATCHED</t>
        </is>
      </c>
    </row>
    <row r="4">
      <c r="C4" s="537" t="inlineStr">
        <is>
          <t>2F_04.01.Zefiro-Europe.CONCEPT.775</t>
        </is>
      </c>
      <c r="D4" s="522" t="inlineStr">
        <is>
          <r>
            <rPr>
              <b val="1"/>
              <color rgb="00BF8F00"/>
            </rPr>
            <t>VZI-6_R1</t>
          </r>
          <r>
            <rPr>
              <b val="1"/>
              <color rgb="FF000000"/>
            </rPr>
            <t xml:space="preserve">, </t>
          </r>
          <r>
            <rPr>
              <b val="1"/>
              <color rgb="001F4E79"/>
            </rPr>
            <t>VZI_Base</t>
          </r>
          <r>
            <rPr>
              <b val="1"/>
              <color rgb="FF000000"/>
            </rPr>
            <t xml:space="preserve">, </t>
          </r>
          <r>
            <rPr>
              <b val="1"/>
              <color rgb="007030A0"/>
            </rPr>
            <t>VZ_ES</t>
          </r>
          <r>
            <rPr>
              <b val="1"/>
              <color rgb="FF000000"/>
            </rPr>
            <t xml:space="preserve">, </t>
          </r>
          <r>
            <rPr>
              <b val="1"/>
              <color rgb="0000703C"/>
            </rPr>
            <t>VZ_FR</t>
          </r>
        </is>
      </c>
      <c r="E4" s="537" t="inlineStr">
        <is>
          <t>Description: One of the following country-codes shall be selected by the driver on the IDU: Code Country of operation 1 Italy 2 Austria 3 Belgium 4 France 5 Germany 6 Netherlands 7 Spain 8 Switzerland 0 not defined
————————————————————
Type / Applicability Details: Derived Requirement
————————————————————
Derived to: 4S 09.03.05.-.TCMS _ Software
————————————————————
SIL: SIL 2</t>
        </is>
      </c>
      <c r="G4" s="538" t="inlineStr">
        <is>
          <t>MATCHED</t>
        </is>
      </c>
      <c r="H4" s="539" t="inlineStr">
        <is>
          <t>Nella configurazione di riferimento VZI_Base il codice paese per la selezione del paese di operazione è scelto dallo staffetta tramite IDU. Nella configurazione VZ_ES invece, il TCMS utilizza automaticamente il codice paese in base al paese in cui il veicolo opera. Questa differenza implica che nella VZ_ES non ci sia necessità di intervento manuale dallo staffetta per selezionare il paese di operazione.
Differenze nel testo del requisito: Confrontando il testo dei due documenti si osserva che dove VZI_Base prescrive «selected», VZ_ES prescrive invece «used»; dove VZI_Base prescrive «driver on», VZ_ES prescrive invece «country in which»; dove VZI_Base prescrive «idu», VZ_ES prescrive invece […]</t>
        </is>
      </c>
      <c r="I4" s="539" t="inlineStr">
        <is>
          <t>Nella configurazione di riferimento VZI_Base il codice paese per la selezione del paese di operazione è scelto dallo staffetta tramite IDU. Nella configurazione VZI-6_R1 invece, il TCMS utilizza automaticamente il codice paese in base al paese in cui il veicolo opera. Questa differenza implica che nella configurazione VZI-6_R1 non è necessario che lo staffetta selezioni manualmente il paese di operazione.
Differenze nel testo del requisito: Confrontando il testo dei due documenti si osserva che dove VZI_Base prescrive «selected», VZI-6_R1 prescrive invece «used»; dove VZI_Base prescrive «driver on», VZI-6_R1 prescrive invece «country in which»; dove VZI_Base prescrive «idu», VZI-6_R1 […]</t>
        </is>
      </c>
    </row>
    <row r="5">
      <c r="C5" s="537" t="inlineStr">
        <is>
          <t>2F_04.01.Zefiro-Europe.CONCEPT.797</t>
        </is>
      </c>
      <c r="D5" s="522" t="inlineStr">
        <is>
          <r>
            <rPr>
              <b val="1"/>
              <color rgb="00BF8F00"/>
            </rPr>
            <t>VZI-6_R1</t>
          </r>
          <r>
            <rPr>
              <b val="1"/>
              <color rgb="FF000000"/>
            </rPr>
            <t xml:space="preserve">, </t>
          </r>
          <r>
            <rPr>
              <b val="1"/>
              <color rgb="001F4E79"/>
            </rPr>
            <t>VZI_Base</t>
          </r>
          <r>
            <rPr>
              <b val="1"/>
              <color rgb="FF000000"/>
            </rPr>
            <t xml:space="preserve">, </t>
          </r>
          <r>
            <rPr>
              <b val="1"/>
              <color rgb="007030A0"/>
            </rPr>
            <t>VZ_ES</t>
          </r>
          <r>
            <rPr>
              <b val="1"/>
              <color rgb="FF000000"/>
            </rPr>
            <t xml:space="preserve">, </t>
          </r>
          <r>
            <rPr>
              <b val="1"/>
              <color rgb="0000703C"/>
            </rPr>
            <t>VZ_FR</t>
          </r>
        </is>
      </c>
      <c r="E5" s="537" t="inlineStr">
        <is>
          <t>Description: In emergency operation mode (emegency operation mode trainline is energised) the latest selected/known country code shall be used and communicated to the PCU (LIM).
————————————————————
Type / Applicability Details: Derived Requirement
————————————————————
Derived to: 4S 09.03.05.-.TCMS _ Software
————————————————————
SIL: SIL 2</t>
        </is>
      </c>
      <c r="G5" s="538" t="inlineStr">
        <is>
          <t>MATCHED</t>
        </is>
      </c>
      <c r="H5" s="538" t="inlineStr">
        <is>
          <t>MATCHED</t>
        </is>
      </c>
      <c r="I5" s="538" t="inlineStr">
        <is>
          <t>MATCHED</t>
        </is>
      </c>
    </row>
    <row r="6" ht="29" customHeight="1" s="462">
      <c r="C6" s="537" t="inlineStr">
        <is>
          <t>2F_04.01.Zefiro-Europe.CONCEPT.965</t>
        </is>
      </c>
      <c r="D6" s="522" t="inlineStr">
        <is>
          <r>
            <rPr>
              <b val="1"/>
              <color rgb="00BF8F00"/>
            </rPr>
            <t>VZI-6_R1</t>
          </r>
          <r>
            <rPr>
              <b val="1"/>
              <color rgb="FF000000"/>
            </rPr>
            <t xml:space="preserve">, </t>
          </r>
          <r>
            <rPr>
              <b val="1"/>
              <color rgb="001F4E79"/>
            </rPr>
            <t>VZI_Base</t>
          </r>
          <r>
            <rPr>
              <b val="1"/>
              <color rgb="FF000000"/>
            </rPr>
            <t xml:space="preserve">, </t>
          </r>
          <r>
            <rPr>
              <b val="1"/>
              <color rgb="007030A0"/>
            </rPr>
            <t>VZ_ES</t>
          </r>
          <r>
            <rPr>
              <b val="1"/>
              <color rgb="FF000000"/>
            </rPr>
            <t xml:space="preserve">, </t>
          </r>
          <r>
            <rPr>
              <b val="1"/>
              <color rgb="0000703C"/>
            </rPr>
            <t>VZ_FR</t>
          </r>
        </is>
      </c>
      <c r="E6" s="537" t="inlineStr">
        <is>
          <t>Description: The driver shall get a feedback on IDU from propulsion system that the system is prepared for operation in country or selected country-code. The driver has to confirm it on the IDU.
————————————————————
Type / Applicability Details: Derived Requirement
————————————————————
Derived to: 4S 09.03.05.-.TCMS _ Software
————————————————————
SIL: SIL 2</t>
        </is>
      </c>
      <c r="G6" s="538" t="inlineStr">
        <is>
          <t>MATCHED</t>
        </is>
      </c>
      <c r="H6" s="539" t="inlineStr">
        <is>
          <t>Nella configurazione di riferimento VZI_Base, il conducente riceve una notifica dal sistema di propulsione tramite IDU che il sistema è pronto per l'operazione nel paese o con il codice paese selezionato e deve confermarlo. Nella configurazione VZ_ES questa informazione è eliminata, il che significa che il conducente non riceve più la notifica e non ha bisogno di confermare nulla. Questa differenza implica che nella configurazione VZ_ES il conducente non ha la stessa interazione con il sistema di propulsione per confermare lo stato operativo del treno.
Differenze nel testo del requisito: Confrontando il testo dei due documenti si osserva che dove VZI_Base prescrive «the driver shall get a […]</t>
        </is>
      </c>
      <c r="I6" s="539" t="inlineStr">
        <is>
          <t>Nella configurazione di riferimento VZI_Base il conducente riceve una conferma dal sistema di propulsione tramite IDU che il sistema è pronto per l'operatività nel paese o con il codice paese selezionato. Il conducente deve confermare questa informazione sull'IDU. Nella configurazione VZI-6_R1 la descrizione del campo principale è stata eliminata, rendendo il requisito non specifico e privo di dettagli operativi. Questa differenza implica che nella configurazione VZI-6_R1 manca un meccanismo chiaro per la conferma dell'operatività del sistema al conducente, potenzialmente compromettendo la sicurezza e l'efficacia della comunicazione tra il sistema e il personale di bordo.
Differenze nel […]</t>
        </is>
      </c>
    </row>
    <row r="7" ht="29" customHeight="1" s="462">
      <c r="C7" s="537" t="inlineStr">
        <is>
          <t>2F_04.01.Zefiro-Europe.TRS.772</t>
        </is>
      </c>
      <c r="D7" s="522" t="inlineStr">
        <is>
          <r>
            <rPr>
              <b val="1"/>
              <color rgb="00BF8F00"/>
            </rPr>
            <t>VZI-6_R1</t>
          </r>
          <r>
            <rPr>
              <b val="1"/>
              <color rgb="FF000000"/>
            </rPr>
            <t xml:space="preserve">, </t>
          </r>
          <r>
            <rPr>
              <b val="1"/>
              <color rgb="001F4E79"/>
            </rPr>
            <t>VZI_Base</t>
          </r>
          <r>
            <rPr>
              <b val="1"/>
              <color rgb="FF000000"/>
            </rPr>
            <t xml:space="preserve">, </t>
          </r>
          <r>
            <rPr>
              <b val="1"/>
              <color rgb="007030A0"/>
            </rPr>
            <t>VZ_ES</t>
          </r>
          <r>
            <rPr>
              <b val="1"/>
              <color rgb="FF000000"/>
            </rPr>
            <t xml:space="preserve">, </t>
          </r>
          <r>
            <rPr>
              <b val="1"/>
              <color rgb="0000703C"/>
            </rPr>
            <t>VZ_FR</t>
          </r>
        </is>
      </c>
      <c r="E7" s="537" t="inlineStr">
        <is>
          <t>Description: It shall be possible to select the country which the train will be operated in from the IDU. Possible counties are:  Italy, Austria, Belgium, France, Germany, Netherlands, Spain and Switzerland. The country selection shall be used for country specific configurations such as:  selection of wide or narrow pantograph  levels of line voltage supervision  levels of line current harmonics.
————————————————————
Safety level: SIL 2</t>
        </is>
      </c>
      <c r="G7" s="538" t="inlineStr">
        <is>
          <t>MATCHED</t>
        </is>
      </c>
      <c r="H7" s="538" t="inlineStr">
        <is>
          <t>MATCHED</t>
        </is>
      </c>
      <c r="I7" s="538" t="inlineStr">
        <is>
          <t>MATCHED</t>
        </is>
      </c>
    </row>
    <row r="8" ht="43.5" customHeight="1" s="462">
      <c r="C8" s="537" t="inlineStr">
        <is>
          <t>2F_04.01.Zefiro-Europe.CONCEPT.HR01</t>
        </is>
      </c>
      <c r="D8" s="540" t="inlineStr">
        <is>
          <t>VZI-6_R1</t>
        </is>
      </c>
      <c r="I8" s="537" t="inlineStr">
        <is>
          <t>MISS VZI_BASE REQ
The selected country code shall be sent to HVSPs in the train.</t>
        </is>
      </c>
    </row>
    <row r="9" ht="29" customHeight="1" s="462">
      <c r="C9" s="537" t="inlineStr">
        <is>
          <t>2F_04.01.Zefiro-Europe.CONCEPT.HR02</t>
        </is>
      </c>
      <c r="D9" s="540" t="inlineStr">
        <is>
          <t>VZI-6_R1</t>
        </is>
      </c>
      <c r="I9" s="537" t="inlineStr">
        <is>
          <t>MISS VZI_BASE REQ
In emergency operation mode (emegency operation mode trainline is energised) the latest selected/known country code shall be used and communicated to the HVSP.</t>
        </is>
      </c>
    </row>
    <row r="10">
      <c r="C10" s="537" t="inlineStr">
        <is>
          <t>2F_04.01.Zefiro-Europe.CONCEPT.HR03</t>
        </is>
      </c>
      <c r="D10" s="540" t="inlineStr">
        <is>
          <t>VZI-6_R1</t>
        </is>
      </c>
      <c r="I10" s="537" t="inlineStr">
        <is>
          <t>MISS VZI_BASE REQ
It shall not be allowed to select a not available or not defined country code. Note: (Not applicable to VZI-6)</t>
        </is>
      </c>
    </row>
    <row r="11">
      <c r="C11" s="537" t="inlineStr">
        <is>
          <t>2F_04.01.Zefiro-Europe.CONCEPT.HR310</t>
        </is>
      </c>
      <c r="D11" s="540" t="inlineStr">
        <is>
          <t>VZI-6_R1</t>
        </is>
      </c>
      <c r="I11" s="537" t="inlineStr">
        <is>
          <t>MISS VZI_BASE REQ
The country code shall be validated if equal to 1 (Italy code) and check variable = 1.</t>
        </is>
      </c>
    </row>
    <row r="12">
      <c r="A12" s="341" t="inlineStr">
        <is>
          <t>LV_Pantograph_Lifting</t>
        </is>
      </c>
      <c r="B12" s="341" t="inlineStr">
        <is>
          <t>Comando di alzamento pantografo 1 o 2 sulla base di tensione di linea (switch) e paese (IDU) selezionati</t>
        </is>
      </c>
      <c r="C12" s="517" t="n"/>
      <c r="D12" s="517" t="n"/>
      <c r="E12" s="344" t="n"/>
      <c r="F12" s="344" t="n"/>
      <c r="G12" s="344" t="n"/>
      <c r="H12" s="344" t="n"/>
      <c r="I12" s="344" t="n"/>
      <c r="J12" s="344" t="n"/>
      <c r="K12" s="345" t="n"/>
    </row>
    <row r="13" ht="58" customHeight="1" s="462">
      <c r="A13" s="341" t="inlineStr">
        <is>
          <t>LV_Pantograph_Lowering</t>
        </is>
      </c>
      <c r="B13" s="341" t="inlineStr">
        <is>
          <t>Comando di abbassamento pantografo manuale/automatico</t>
        </is>
      </c>
      <c r="C13" s="517" t="n"/>
      <c r="D13" s="517" t="n"/>
      <c r="E13" s="344" t="n"/>
      <c r="F13" s="344" t="n"/>
      <c r="G13" s="344" t="n"/>
      <c r="H13" s="344" t="n"/>
      <c r="I13" s="344" t="n"/>
      <c r="J13" s="344" t="n"/>
      <c r="K13" s="345" t="n"/>
    </row>
    <row r="14" ht="29" customHeight="1" s="462">
      <c r="A14" s="347" t="inlineStr">
        <is>
          <t>LV_Automatic_Dropping_Device_(ADD)</t>
        </is>
      </c>
      <c r="B14" s="348" t="inlineStr">
        <is>
          <t>Dispositivo di abbassamento automatico del pantografo in caso di guasto</t>
        </is>
      </c>
      <c r="C14" s="518" t="n"/>
      <c r="D14" s="518" t="n"/>
      <c r="E14" s="351" t="n"/>
      <c r="F14" s="351" t="n"/>
      <c r="G14" s="351" t="n"/>
      <c r="H14" s="351" t="n"/>
      <c r="I14" s="351" t="n"/>
      <c r="J14" s="351" t="n"/>
      <c r="K14" s="352" t="n"/>
    </row>
    <row r="15" ht="29" customHeight="1" s="462">
      <c r="A15" s="347" t="inlineStr">
        <is>
          <t>LV_Pantograph_Interlock</t>
        </is>
      </c>
      <c r="B15" s="354" t="inlineStr">
        <is>
          <t>Interblocco automatico dei pantografi in caso di guasto rilevato. Il Pdc può bloccare anche manualmente un pantografo per impedirne la selezione</t>
        </is>
      </c>
      <c r="C15" s="518" t="n"/>
      <c r="D15" s="518" t="n"/>
      <c r="E15" s="351" t="n"/>
      <c r="F15" s="351" t="n"/>
      <c r="G15" s="351" t="n"/>
      <c r="H15" s="351" t="n"/>
      <c r="I15" s="351" t="n"/>
      <c r="J15" s="351" t="n"/>
      <c r="K15" s="352" t="n"/>
    </row>
    <row r="16">
      <c r="A16" s="347" t="inlineStr">
        <is>
          <t>LV_Pantograph_Selection</t>
        </is>
      </c>
      <c r="B16" s="354" t="inlineStr">
        <is>
          <t>Selezione del pantografo in base al paese (tipologia/dimensioni pantografo) e al sistema di alimentazione (AC/DC) selezionato</t>
        </is>
      </c>
      <c r="C16" s="518" t="n"/>
      <c r="D16" s="518" t="n"/>
      <c r="E16" s="351" t="n"/>
      <c r="F16" s="351" t="n"/>
      <c r="G16" s="351" t="n"/>
      <c r="H16" s="351" t="n"/>
      <c r="I16" s="351" t="n"/>
      <c r="J16" s="351" t="n"/>
      <c r="K16" s="352" t="n"/>
    </row>
    <row r="17" ht="29" customHeight="1" s="462">
      <c r="A17" s="347" t="inlineStr">
        <is>
          <t>LV_Pantograph_Control_of_Static_Contact_Force</t>
        </is>
      </c>
      <c r="B17" s="354" t="inlineStr">
        <is>
          <t>Controllo della forza statica/pressione del pantografo alzato in funzione del sistema di tensione, della velocità, della direzione di marcia e della posizione del pantografo stesso</t>
        </is>
      </c>
      <c r="C17" s="518" t="n"/>
      <c r="D17" s="518" t="n"/>
      <c r="E17" s="351" t="n"/>
      <c r="F17" s="351" t="n"/>
      <c r="G17" s="351" t="n"/>
      <c r="H17" s="351" t="n"/>
      <c r="I17" s="351" t="n"/>
      <c r="J17" s="351" t="n"/>
      <c r="K17" s="352" t="n"/>
    </row>
    <row r="18" ht="29" customHeight="1" s="462">
      <c r="A18" s="347" t="inlineStr">
        <is>
          <t>LV_Line_Voltage_Supervision</t>
        </is>
      </c>
      <c r="B18" s="354" t="inlineStr">
        <is>
          <t>Controllo della tensione di linea tramite sensori di tensione letti dal sistema di propulsione</t>
        </is>
      </c>
      <c r="C18" s="518" t="n"/>
      <c r="D18" s="518" t="n"/>
      <c r="E18" s="351" t="n"/>
      <c r="F18" s="351" t="n"/>
      <c r="G18" s="351" t="n"/>
      <c r="H18" s="351" t="n"/>
      <c r="I18" s="351" t="n"/>
      <c r="J18" s="351" t="n"/>
      <c r="K18" s="352" t="n"/>
    </row>
    <row r="19" ht="29" customHeight="1" s="462">
      <c r="A19" s="347" t="inlineStr">
        <is>
          <t>LV_Line_Current_Supervision</t>
        </is>
      </c>
      <c r="B19" s="354" t="inlineStr">
        <is>
          <t>Controllo della corrente di linea</t>
        </is>
      </c>
      <c r="C19" s="518" t="n"/>
      <c r="D19" s="518" t="n"/>
      <c r="E19" s="351" t="n"/>
      <c r="F19" s="351" t="n"/>
      <c r="G19" s="351" t="n"/>
      <c r="H19" s="351" t="n"/>
      <c r="I19" s="351" t="n"/>
      <c r="J19" s="351" t="n"/>
      <c r="K19" s="352" t="n"/>
    </row>
    <row r="20">
      <c r="A20" s="347" t="inlineStr">
        <is>
          <t>LV_Line_Interference_Monitor</t>
        </is>
      </c>
      <c r="B20" s="354" t="inlineStr">
        <is>
          <t>Controllo correnti/interferenze indesiderate di linea</t>
        </is>
      </c>
      <c r="C20" s="518" t="n"/>
      <c r="D20" s="518" t="n"/>
      <c r="E20" s="351" t="n"/>
      <c r="F20" s="351" t="n"/>
      <c r="G20" s="351" t="n"/>
      <c r="H20" s="351" t="n"/>
      <c r="I20" s="351" t="n"/>
      <c r="J20" s="351" t="n"/>
      <c r="K20" s="352" t="n"/>
    </row>
    <row r="21">
      <c r="A21" s="347" t="inlineStr">
        <is>
          <t>LV_LIM_50Hz_protection_bypass</t>
        </is>
      </c>
      <c r="B21" s="354" t="inlineStr">
        <is>
          <t>Bypass della protezione LIM 50 Hz</t>
        </is>
      </c>
      <c r="C21" s="518" t="n"/>
      <c r="D21" s="518" t="n"/>
      <c r="E21" s="351" t="n"/>
      <c r="F21" s="351" t="n"/>
      <c r="G21" s="351" t="n"/>
      <c r="H21" s="351" t="n"/>
      <c r="I21" s="351" t="n"/>
      <c r="J21" s="351" t="n"/>
      <c r="K21" s="352" t="n"/>
    </row>
    <row r="22">
      <c r="A22" s="347" t="inlineStr">
        <is>
          <t>LV_Neutral_Section_Passing</t>
        </is>
      </c>
      <c r="B22" s="354" t="inlineStr">
        <is>
          <t>Gestione del passaggio in sezione neutra:
- automatica da ATP in caso di tratto neutro al cambio fase
- inizializzata da ATP con selezione manuale deò PdC della tensione di linea, in caso di tratto neutro al cambio tensione</t>
        </is>
      </c>
      <c r="C22" s="519" t="n"/>
      <c r="D22" s="519" t="n"/>
      <c r="E22" s="351" t="n"/>
      <c r="F22" s="351" t="n"/>
      <c r="G22" s="351" t="n"/>
      <c r="H22" s="351" t="n"/>
      <c r="I22" s="351" t="n"/>
      <c r="J22" s="351" t="n"/>
      <c r="K22" s="352" t="n"/>
    </row>
    <row r="23" ht="29" customHeight="1" s="462">
      <c r="A23" s="347" t="inlineStr">
        <is>
          <t>LV_System_Selection</t>
        </is>
      </c>
      <c r="B23" s="354" t="inlineStr">
        <is>
          <t>Selezione tramite commutatore a 4 posizioni della tensione di linea (25 kV AC, 15 kV AC, 3 kV DC o 1,5 kV DC)</t>
        </is>
      </c>
      <c r="C23" s="519" t="n"/>
      <c r="D23" s="519" t="n"/>
      <c r="E23" s="351" t="n"/>
      <c r="F23" s="351" t="n"/>
      <c r="G23" s="351" t="n"/>
      <c r="H23" s="351" t="n"/>
      <c r="I23" s="351" t="n"/>
      <c r="J23" s="351" t="n"/>
      <c r="K23" s="352" t="n"/>
    </row>
    <row r="24">
      <c r="A24" s="347" t="inlineStr">
        <is>
          <t>LV_Line_Circuit_Breaker_Closing</t>
        </is>
      </c>
      <c r="B24" s="354" t="inlineStr">
        <is>
          <t>Chiusura dell’interruttore di linea (LCB) per collegare la tensione di linea al treno</t>
        </is>
      </c>
      <c r="C24" s="519" t="n"/>
      <c r="D24" s="519" t="n"/>
      <c r="E24" s="351" t="n"/>
      <c r="F24" s="351" t="n"/>
      <c r="G24" s="351" t="n"/>
      <c r="H24" s="351" t="n"/>
      <c r="I24" s="351" t="n"/>
      <c r="J24" s="351" t="n"/>
      <c r="K24" s="352" t="n"/>
    </row>
    <row r="25">
      <c r="A25" s="347" t="inlineStr">
        <is>
          <t>LV_Line_Circuit_Breaker_Opening</t>
        </is>
      </c>
      <c r="B25" s="354" t="inlineStr">
        <is>
          <t>Apertura LCB su comando o per intervento protezione</t>
        </is>
      </c>
      <c r="C25" s="519" t="n"/>
      <c r="D25" s="519" t="n"/>
      <c r="E25" s="351" t="n"/>
      <c r="F25" s="351" t="n"/>
      <c r="G25" s="351" t="n"/>
      <c r="H25" s="351" t="n"/>
      <c r="I25" s="351" t="n"/>
      <c r="J25" s="351" t="n"/>
      <c r="K25" s="352" t="n"/>
    </row>
    <row r="26">
      <c r="A26" s="347" t="inlineStr">
        <is>
          <t>LV_Isolate_High_Voltage</t>
        </is>
      </c>
      <c r="B26" s="354" t="inlineStr">
        <is>
          <t>Isolamento di sezioni HV guaste per mantenere disponibile parte della trazione</t>
        </is>
      </c>
      <c r="C26" s="519" t="n"/>
      <c r="D26" s="519" t="n"/>
      <c r="E26" s="351" t="n"/>
      <c r="F26" s="351" t="n"/>
      <c r="G26" s="351" t="n"/>
      <c r="H26" s="351" t="n"/>
      <c r="I26" s="351" t="n"/>
      <c r="J26" s="351" t="n"/>
      <c r="K26" s="352" t="n"/>
    </row>
    <row r="27">
      <c r="A27" s="347" t="inlineStr">
        <is>
          <t>LV_Main_Transformer_cooling_control</t>
        </is>
      </c>
      <c r="B27" s="354" t="inlineStr">
        <is>
          <t>Controllo da parte della PCU della velocità delle ventole del circuito di raffreddamento ad olio</t>
        </is>
      </c>
      <c r="C27" s="519" t="n"/>
      <c r="D27" s="519" t="n"/>
      <c r="E27" s="351" t="n"/>
      <c r="F27" s="351" t="n"/>
      <c r="G27" s="351" t="n"/>
      <c r="H27" s="351" t="n"/>
      <c r="I27" s="351" t="n"/>
      <c r="J27" s="351" t="n"/>
      <c r="K27" s="352" t="n"/>
    </row>
    <row r="28">
      <c r="A28" s="347" t="inlineStr">
        <is>
          <t>LV_Main_Transformer_Supervision</t>
        </is>
      </c>
      <c r="B28" s="354" t="inlineStr">
        <is>
          <t>Controllo da parte della PCU della temperatura del trasformatore e degli induttori linea</t>
        </is>
      </c>
      <c r="C28" s="519" t="n"/>
      <c r="D28" s="519" t="n"/>
      <c r="E28" s="351" t="n"/>
      <c r="F28" s="351" t="n"/>
      <c r="G28" s="351" t="n"/>
      <c r="H28" s="351" t="n"/>
      <c r="I28" s="351" t="n"/>
      <c r="J28" s="351" t="n"/>
      <c r="K28" s="352" t="n"/>
    </row>
    <row r="29">
      <c r="A29" s="347" t="inlineStr">
        <is>
          <t>LV_Energy_Meter</t>
        </is>
      </c>
      <c r="B29" s="354" t="inlineStr">
        <is>
          <t>Sistema di lettura dell'evergia assorbita dal treno e invio a terra dei dati</t>
        </is>
      </c>
      <c r="C29" s="519" t="n"/>
      <c r="D29" s="519" t="n"/>
      <c r="E29" s="351" t="n"/>
      <c r="F29" s="351" t="n"/>
      <c r="G29" s="351" t="n"/>
      <c r="H29" s="351" t="n"/>
      <c r="I29" s="351" t="n"/>
      <c r="J29" s="351" t="n"/>
      <c r="K29" s="352" t="n"/>
    </row>
    <row r="30">
      <c r="A30" s="347" t="inlineStr">
        <is>
          <t>LV_Key_interlocking</t>
        </is>
      </c>
      <c r="B30" s="359" t="inlineStr">
        <is>
          <t>Interblocco tramite giro chiavi del sistema alta tensione</t>
        </is>
      </c>
      <c r="C30" s="519" t="n"/>
      <c r="D30" s="519" t="n"/>
      <c r="E30" s="351" t="n"/>
      <c r="F30" s="351" t="n"/>
      <c r="G30" s="351" t="n"/>
      <c r="H30" s="351" t="n"/>
      <c r="I30" s="351" t="n"/>
      <c r="J30" s="351" t="n"/>
      <c r="K30" s="352" t="n"/>
    </row>
    <row r="31">
      <c r="A31" s="347" t="inlineStr">
        <is>
          <t>LV_Function_Earthing_of_High_Voltage_Supply</t>
        </is>
      </c>
      <c r="B31" s="359" t="inlineStr">
        <is>
          <t>Messa a terra dell'alta tensione per consentire la manutenzione in sicurezza</t>
        </is>
      </c>
      <c r="C31" s="519" t="n"/>
      <c r="D31" s="519" t="n"/>
      <c r="E31" s="351" t="n"/>
      <c r="F31" s="351" t="n"/>
      <c r="G31" s="351" t="n"/>
      <c r="H31" s="351" t="n"/>
      <c r="I31" s="351" t="n"/>
      <c r="J31" s="351" t="n"/>
      <c r="K31" s="352" t="n"/>
    </row>
    <row r="32">
      <c r="A32" s="347" t="inlineStr">
        <is>
          <t>LV_Function_Earthing_of_Converter_boxes</t>
        </is>
      </c>
      <c r="B32" s="359" t="inlineStr">
        <is>
          <t>Messa a terra dei box convertitori per consentire l’accesso e la manutenzione in sicurezza</t>
        </is>
      </c>
      <c r="C32" s="519" t="n"/>
      <c r="D32" s="519" t="n"/>
      <c r="E32" s="351" t="n"/>
      <c r="F32" s="351" t="n"/>
      <c r="G32" s="351" t="n"/>
      <c r="H32" s="351" t="n"/>
      <c r="I32" s="351" t="n"/>
      <c r="J32" s="351" t="n"/>
      <c r="K32" s="352" t="n"/>
    </row>
    <row r="33">
      <c r="A33" s="347" t="inlineStr">
        <is>
          <t>LV_HVAC_pre-conditioning_on_DC_line</t>
        </is>
      </c>
      <c r="B33" s="359" t="inlineStr">
        <is>
          <t>Funzione per alimentare gli HVAC senza superare i limiti di corrente</t>
        </is>
      </c>
      <c r="C33" s="519" t="n"/>
      <c r="D33" s="519" t="n"/>
      <c r="E33" s="351" t="n"/>
      <c r="F33" s="351" t="n"/>
      <c r="G33" s="351" t="n"/>
      <c r="H33" s="351" t="n"/>
      <c r="I33" s="351" t="n"/>
      <c r="J33" s="351" t="n"/>
      <c r="K33" s="352" t="n"/>
    </row>
    <row r="34">
      <c r="A34" s="347" t="inlineStr">
        <is>
          <t>AUX_Function_General</t>
        </is>
      </c>
      <c r="B34" s="354" t="n"/>
      <c r="C34" s="519" t="n"/>
      <c r="D34" s="519" t="n"/>
      <c r="E34" s="351" t="n"/>
      <c r="F34" s="351" t="n"/>
      <c r="G34" s="351" t="n"/>
      <c r="H34" s="351" t="n"/>
      <c r="I34" s="351" t="n"/>
      <c r="J34" s="351" t="n"/>
      <c r="K34" s="352" t="n"/>
    </row>
    <row r="35">
      <c r="A35" s="347" t="inlineStr">
        <is>
          <t>AUX_Activation_and_Synchronisation_of_ACM</t>
        </is>
      </c>
      <c r="B35" s="354" t="n"/>
      <c r="C35" s="519" t="n"/>
      <c r="D35" s="519" t="n"/>
      <c r="E35" s="351" t="n"/>
      <c r="F35" s="351" t="n"/>
      <c r="G35" s="351" t="n"/>
      <c r="H35" s="351" t="n"/>
      <c r="I35" s="351" t="n"/>
      <c r="J35" s="351" t="n"/>
      <c r="K35" s="352" t="n"/>
    </row>
    <row r="36">
      <c r="A36" s="347" t="inlineStr">
        <is>
          <t>AUX_ACM_reset</t>
        </is>
      </c>
      <c r="B36" s="354" t="n"/>
      <c r="C36" s="519" t="n"/>
      <c r="D36" s="519" t="n"/>
      <c r="E36" s="351" t="n"/>
      <c r="F36" s="351" t="n"/>
      <c r="G36" s="351" t="n"/>
      <c r="H36" s="351" t="n"/>
      <c r="I36" s="351" t="n"/>
      <c r="J36" s="351" t="n"/>
      <c r="K36" s="352" t="n"/>
    </row>
    <row r="37">
      <c r="A37" s="347" t="inlineStr">
        <is>
          <t>AUX_AC_on_Board_Supply_System</t>
        </is>
      </c>
      <c r="B37" s="354" t="n"/>
      <c r="C37" s="519" t="n"/>
      <c r="D37" s="519" t="n"/>
      <c r="E37" s="351" t="n"/>
      <c r="F37" s="351" t="n"/>
      <c r="G37" s="351" t="n"/>
      <c r="H37" s="351" t="n"/>
      <c r="I37" s="351" t="n"/>
      <c r="J37" s="351" t="n"/>
      <c r="K37" s="352" t="n"/>
    </row>
    <row r="38">
      <c r="A38" s="347" t="inlineStr">
        <is>
          <t>AUX_External_Power_Supply</t>
        </is>
      </c>
      <c r="B38" s="354" t="n"/>
      <c r="C38" s="519" t="n"/>
      <c r="D38" s="519" t="n"/>
      <c r="E38" s="351" t="n"/>
      <c r="F38" s="351" t="n"/>
      <c r="G38" s="351" t="n"/>
      <c r="H38" s="351" t="n"/>
      <c r="I38" s="351" t="n"/>
      <c r="J38" s="351" t="n"/>
      <c r="K38" s="352" t="n"/>
    </row>
    <row r="39">
      <c r="A39" s="347" t="inlineStr">
        <is>
          <t>AUX_Earthing_switch</t>
        </is>
      </c>
      <c r="B39" s="354" t="n"/>
      <c r="C39" s="519" t="n"/>
      <c r="D39" s="519" t="n"/>
      <c r="E39" s="351" t="n"/>
      <c r="F39" s="351" t="n"/>
      <c r="G39" s="351" t="n"/>
      <c r="H39" s="351" t="n"/>
      <c r="I39" s="351" t="n"/>
      <c r="J39" s="351" t="n"/>
      <c r="K39" s="352" t="n"/>
    </row>
    <row r="40">
      <c r="A40" s="347" t="inlineStr">
        <is>
          <t>AUX_230V,_50Hz_Sockets</t>
        </is>
      </c>
      <c r="B40" s="354" t="n"/>
      <c r="C40" s="519" t="n"/>
      <c r="D40" s="519" t="n"/>
      <c r="E40" s="351" t="n"/>
      <c r="F40" s="351" t="n"/>
      <c r="G40" s="351" t="n"/>
      <c r="H40" s="351" t="n"/>
      <c r="I40" s="351" t="n"/>
      <c r="J40" s="351" t="n"/>
      <c r="K40" s="352" t="n"/>
    </row>
    <row r="41">
      <c r="A41" s="347" t="inlineStr">
        <is>
          <t>AUX_Mini_Circuit_Breaker_Supervision</t>
        </is>
      </c>
      <c r="B41" s="354" t="n"/>
      <c r="C41" s="519" t="n"/>
      <c r="D41" s="519" t="n"/>
      <c r="E41" s="351" t="n"/>
      <c r="F41" s="351" t="n"/>
      <c r="G41" s="351" t="n"/>
      <c r="H41" s="351" t="n"/>
      <c r="I41" s="351" t="n"/>
      <c r="J41" s="351" t="n"/>
      <c r="K41" s="352" t="n"/>
    </row>
    <row r="42">
      <c r="A42" s="181" t="inlineStr">
        <is>
          <t>BAT_Failure_cases_battery_system</t>
        </is>
      </c>
      <c r="B42" s="362" t="n"/>
      <c r="C42" s="519" t="n"/>
      <c r="D42" s="519" t="n"/>
      <c r="E42" s="163" t="n"/>
      <c r="F42" s="163" t="n"/>
      <c r="G42" s="163" t="n"/>
      <c r="H42" s="163" t="n"/>
      <c r="I42" s="163" t="n"/>
      <c r="J42" s="163" t="n"/>
      <c r="K42" s="164" t="n"/>
    </row>
    <row r="43">
      <c r="A43" s="181" t="inlineStr">
        <is>
          <t>BAT_Function_Battery_Isolation</t>
        </is>
      </c>
      <c r="B43" s="362" t="n"/>
      <c r="C43" s="519" t="n"/>
      <c r="D43" s="519" t="n"/>
      <c r="E43" s="163" t="n"/>
      <c r="F43" s="163" t="n"/>
      <c r="G43" s="163" t="n"/>
      <c r="H43" s="163" t="n"/>
      <c r="I43" s="163" t="n"/>
      <c r="J43" s="163" t="n"/>
      <c r="K43" s="164" t="n"/>
    </row>
    <row r="44">
      <c r="A44" s="181" t="inlineStr">
        <is>
          <t>BAT_Battery_Contactors</t>
        </is>
      </c>
      <c r="B44" s="362" t="n"/>
      <c r="C44" s="519" t="n"/>
      <c r="D44" s="519" t="n"/>
      <c r="E44" s="163" t="n"/>
      <c r="F44" s="163" t="n"/>
      <c r="G44" s="163" t="n"/>
      <c r="H44" s="163" t="n"/>
      <c r="I44" s="163" t="n"/>
      <c r="J44" s="163" t="n"/>
      <c r="K44" s="164" t="n"/>
    </row>
    <row r="45">
      <c r="A45" s="181" t="inlineStr">
        <is>
          <t>BAT_Load_Shed_Contactors</t>
        </is>
      </c>
      <c r="B45" s="362" t="n"/>
      <c r="C45" s="519" t="n"/>
      <c r="D45" s="519" t="n"/>
      <c r="E45" s="163" t="n"/>
      <c r="F45" s="163" t="n"/>
      <c r="G45" s="163" t="n"/>
      <c r="H45" s="163" t="n"/>
      <c r="I45" s="163" t="n"/>
      <c r="J45" s="163" t="n"/>
      <c r="K45" s="164" t="n"/>
    </row>
    <row r="46">
      <c r="A46" s="181" t="inlineStr">
        <is>
          <t>BAT_DC_Busline_Distribution</t>
        </is>
      </c>
      <c r="B46" s="362" t="n"/>
      <c r="C46" s="519" t="n"/>
      <c r="D46" s="519" t="n"/>
      <c r="E46" s="163" t="n"/>
      <c r="F46" s="163" t="n"/>
      <c r="G46" s="163" t="n"/>
      <c r="H46" s="163" t="n"/>
      <c r="I46" s="163" t="n"/>
      <c r="J46" s="163" t="n"/>
      <c r="K46" s="164" t="n"/>
    </row>
    <row r="47">
      <c r="A47" s="181" t="inlineStr">
        <is>
          <t>BAT_Battery_Charging</t>
        </is>
      </c>
      <c r="B47" s="362" t="n"/>
      <c r="C47" s="519" t="n"/>
      <c r="D47" s="519" t="n"/>
      <c r="E47" s="163" t="n"/>
      <c r="F47" s="163" t="n"/>
      <c r="G47" s="163" t="n"/>
      <c r="H47" s="163" t="n"/>
      <c r="I47" s="163" t="n"/>
      <c r="J47" s="163" t="n"/>
      <c r="K47" s="164" t="n"/>
    </row>
    <row r="48">
      <c r="A48" s="181" t="inlineStr">
        <is>
          <t>AIR_Control_of_Main_Compressor</t>
        </is>
      </c>
      <c r="B48" s="362" t="n"/>
      <c r="C48" s="519" t="n"/>
      <c r="D48" s="519" t="n"/>
      <c r="E48" s="163" t="n"/>
      <c r="F48" s="163" t="n"/>
      <c r="G48" s="163" t="n"/>
      <c r="H48" s="163" t="n"/>
      <c r="I48" s="163" t="n"/>
      <c r="J48" s="163" t="n"/>
      <c r="K48" s="164" t="n"/>
    </row>
    <row r="49">
      <c r="A49" s="181" t="inlineStr">
        <is>
          <t>AIR_Monitoring_of_Main_Compressor</t>
        </is>
      </c>
      <c r="B49" s="362" t="n"/>
      <c r="C49" s="519" t="n"/>
      <c r="D49" s="519" t="n"/>
      <c r="E49" s="163" t="n"/>
      <c r="F49" s="163" t="n"/>
      <c r="G49" s="163" t="n"/>
      <c r="H49" s="163" t="n"/>
      <c r="I49" s="163" t="n"/>
      <c r="J49" s="163" t="n"/>
      <c r="K49" s="164" t="n"/>
    </row>
    <row r="50">
      <c r="A50" s="181" t="inlineStr">
        <is>
          <t>AIR_Forcing_of_Main_compressor</t>
        </is>
      </c>
      <c r="B50" s="362" t="n"/>
      <c r="C50" s="519" t="n"/>
      <c r="D50" s="519" t="n"/>
      <c r="E50" s="163" t="n"/>
      <c r="F50" s="163" t="n"/>
      <c r="G50" s="163" t="n"/>
      <c r="H50" s="163" t="n"/>
      <c r="I50" s="163" t="n"/>
      <c r="J50" s="163" t="n"/>
      <c r="K50" s="164" t="n"/>
    </row>
    <row r="51">
      <c r="A51" s="181" t="inlineStr">
        <is>
          <t>AIR_Air_Dryer</t>
        </is>
      </c>
      <c r="B51" s="362" t="n"/>
      <c r="C51" s="519" t="n"/>
      <c r="D51" s="519" t="n"/>
      <c r="E51" s="163" t="n"/>
      <c r="F51" s="163" t="n"/>
      <c r="G51" s="163" t="n"/>
      <c r="H51" s="163" t="n"/>
      <c r="I51" s="163" t="n"/>
      <c r="J51" s="163" t="n"/>
      <c r="K51" s="164" t="n"/>
    </row>
    <row r="52">
      <c r="A52" s="181" t="inlineStr">
        <is>
          <t>AIR_External_Air_Supply</t>
        </is>
      </c>
      <c r="B52" s="362" t="n"/>
      <c r="C52" s="519" t="n"/>
      <c r="D52" s="519" t="n"/>
      <c r="E52" s="163" t="n"/>
      <c r="F52" s="163" t="n"/>
      <c r="G52" s="163" t="n"/>
      <c r="H52" s="163" t="n"/>
      <c r="I52" s="163" t="n"/>
      <c r="J52" s="163" t="n"/>
      <c r="K52" s="164" t="n"/>
    </row>
    <row r="53">
      <c r="A53" s="181" t="inlineStr">
        <is>
          <t>AIR_Control_of_Auxiliary_Compressor</t>
        </is>
      </c>
      <c r="B53" s="362" t="n"/>
      <c r="C53" s="519" t="n"/>
      <c r="D53" s="519" t="n"/>
      <c r="E53" s="163" t="n"/>
      <c r="F53" s="163" t="n"/>
      <c r="G53" s="163" t="n"/>
      <c r="H53" s="163" t="n"/>
      <c r="I53" s="163" t="n"/>
      <c r="J53" s="163" t="n"/>
      <c r="K53" s="164" t="n"/>
    </row>
    <row r="54">
      <c r="A54" s="181" t="inlineStr">
        <is>
          <t>AIR_Suspension_Supervision</t>
        </is>
      </c>
      <c r="B54" s="362" t="n"/>
      <c r="C54" s="519" t="n"/>
      <c r="D54" s="519" t="n"/>
      <c r="E54" s="163" t="n"/>
      <c r="F54" s="163" t="n"/>
      <c r="G54" s="163" t="n"/>
      <c r="H54" s="163" t="n"/>
      <c r="I54" s="163" t="n"/>
      <c r="J54" s="163" t="n"/>
      <c r="K54" s="164" t="n"/>
    </row>
    <row r="55">
      <c r="A55" s="181" t="inlineStr">
        <is>
          <t>AIR_Provision_for_Tilt_system</t>
        </is>
      </c>
      <c r="B55" s="362" t="n"/>
      <c r="C55" s="519" t="n"/>
      <c r="D55" s="519" t="n"/>
      <c r="E55" s="163" t="n"/>
      <c r="F55" s="163" t="n"/>
      <c r="G55" s="163" t="n"/>
      <c r="H55" s="163" t="n"/>
      <c r="I55" s="163" t="n"/>
      <c r="J55" s="163" t="n"/>
      <c r="K55" s="164" t="n"/>
    </row>
    <row r="56">
      <c r="A56" s="181" t="inlineStr">
        <is>
          <t>BRK_Service_Brake_Direct_Electro-Pneumatic_Brake</t>
        </is>
      </c>
      <c r="B56" s="362" t="n"/>
      <c r="C56" s="519" t="n"/>
      <c r="D56" s="519" t="n"/>
      <c r="E56" s="163" t="n"/>
      <c r="F56" s="163" t="n"/>
      <c r="G56" s="163" t="n"/>
      <c r="H56" s="163" t="n"/>
      <c r="I56" s="163" t="n"/>
      <c r="J56" s="163" t="n"/>
      <c r="K56" s="164" t="n"/>
    </row>
    <row r="57">
      <c r="A57" s="181" t="inlineStr">
        <is>
          <t>BRK_Service_Brake_Indirect_Brake</t>
        </is>
      </c>
      <c r="B57" s="362" t="n"/>
      <c r="C57" s="519" t="n"/>
      <c r="D57" s="519" t="n"/>
      <c r="E57" s="163" t="n"/>
      <c r="F57" s="163" t="n"/>
      <c r="G57" s="163" t="n"/>
      <c r="H57" s="163" t="n"/>
      <c r="I57" s="163" t="n"/>
      <c r="J57" s="163" t="n"/>
      <c r="K57" s="164" t="n"/>
    </row>
    <row r="58">
      <c r="A58" s="181" t="inlineStr">
        <is>
          <t>BRK_Holding_Brake</t>
        </is>
      </c>
      <c r="B58" s="362" t="n"/>
      <c r="C58" s="519" t="n"/>
      <c r="D58" s="519" t="n"/>
      <c r="E58" s="163" t="n"/>
      <c r="F58" s="163" t="n"/>
      <c r="G58" s="163" t="n"/>
      <c r="H58" s="163" t="n"/>
      <c r="I58" s="163" t="n"/>
      <c r="J58" s="163" t="n"/>
      <c r="K58" s="164" t="n"/>
    </row>
    <row r="59">
      <c r="A59" s="181" t="inlineStr">
        <is>
          <t>BRK_Urgency_Brake_(Optional)</t>
        </is>
      </c>
      <c r="B59" s="362" t="n"/>
      <c r="C59" s="519" t="n"/>
      <c r="D59" s="519" t="n"/>
      <c r="E59" s="163" t="n"/>
      <c r="F59" s="163" t="n"/>
      <c r="G59" s="163" t="n"/>
      <c r="H59" s="163" t="n"/>
      <c r="I59" s="163" t="n"/>
      <c r="J59" s="163" t="n"/>
      <c r="K59" s="164" t="n"/>
    </row>
    <row r="60">
      <c r="A60" s="181" t="inlineStr">
        <is>
          <t>BRK_Emergency_Brake</t>
        </is>
      </c>
      <c r="B60" s="362" t="n"/>
      <c r="C60" s="519" t="n"/>
      <c r="D60" s="519" t="n"/>
      <c r="E60" s="163" t="n"/>
      <c r="F60" s="163" t="n"/>
      <c r="G60" s="163" t="n"/>
      <c r="H60" s="163" t="n"/>
      <c r="I60" s="163" t="n"/>
      <c r="J60" s="163" t="n"/>
      <c r="K60" s="164" t="n"/>
    </row>
    <row r="61">
      <c r="A61" s="181" t="inlineStr">
        <is>
          <t>BRK_Parking_Brake</t>
        </is>
      </c>
      <c r="B61" s="362" t="n"/>
      <c r="C61" s="519" t="n"/>
      <c r="D61" s="519" t="n"/>
      <c r="E61" s="163" t="n"/>
      <c r="F61" s="163" t="n"/>
      <c r="G61" s="163" t="n"/>
      <c r="H61" s="163" t="n"/>
      <c r="I61" s="163" t="n"/>
      <c r="J61" s="163" t="n"/>
      <c r="K61" s="164" t="n"/>
    </row>
    <row r="62">
      <c r="A62" s="181" t="inlineStr">
        <is>
          <t>BRK_Wheel_Slide_Protection</t>
        </is>
      </c>
      <c r="B62" s="362" t="n"/>
      <c r="C62" s="519" t="n"/>
      <c r="D62" s="519" t="n"/>
      <c r="E62" s="163" t="n"/>
      <c r="F62" s="163" t="n"/>
      <c r="G62" s="163" t="n"/>
      <c r="H62" s="163" t="n"/>
      <c r="I62" s="163" t="n"/>
      <c r="J62" s="163" t="n"/>
      <c r="K62" s="164" t="n"/>
    </row>
    <row r="63">
      <c r="A63" s="181" t="inlineStr">
        <is>
          <t>BRK_Detection_of_Non-Rotating_Axle_(DNRA)</t>
        </is>
      </c>
      <c r="B63" s="362" t="n"/>
      <c r="C63" s="519" t="n"/>
      <c r="D63" s="519" t="n"/>
      <c r="E63" s="163" t="n"/>
      <c r="F63" s="163" t="n"/>
      <c r="G63" s="163" t="n"/>
      <c r="H63" s="163" t="n"/>
      <c r="I63" s="163" t="n"/>
      <c r="J63" s="163" t="n"/>
      <c r="K63" s="164" t="n"/>
    </row>
    <row r="64">
      <c r="A64" s="181" t="inlineStr">
        <is>
          <t>BRK_Passenger_Emergency_Brake</t>
        </is>
      </c>
      <c r="B64" s="362" t="n"/>
      <c r="C64" s="519" t="n"/>
      <c r="D64" s="519" t="n"/>
      <c r="E64" s="163" t="n"/>
      <c r="F64" s="163" t="n"/>
      <c r="G64" s="163" t="n"/>
      <c r="H64" s="163" t="n"/>
      <c r="I64" s="163" t="n"/>
      <c r="J64" s="163" t="n"/>
      <c r="K64" s="164" t="n"/>
    </row>
    <row r="65">
      <c r="A65" s="181" t="inlineStr">
        <is>
          <t>BRK_Sanding</t>
        </is>
      </c>
      <c r="B65" s="362" t="n"/>
      <c r="C65" s="519" t="n"/>
      <c r="D65" s="519" t="n"/>
      <c r="E65" s="163" t="n"/>
      <c r="F65" s="163" t="n"/>
      <c r="G65" s="163" t="n"/>
      <c r="H65" s="163" t="n"/>
      <c r="I65" s="163" t="n"/>
      <c r="J65" s="163" t="n"/>
      <c r="K65" s="164" t="n"/>
    </row>
    <row r="66">
      <c r="A66" s="181" t="inlineStr">
        <is>
          <t>BRK_Brake_Test</t>
        </is>
      </c>
      <c r="B66" s="362" t="n"/>
      <c r="C66" s="519" t="n"/>
      <c r="D66" s="519" t="n"/>
      <c r="E66" s="163" t="n"/>
      <c r="F66" s="163" t="n"/>
      <c r="G66" s="163" t="n"/>
      <c r="H66" s="163" t="n"/>
      <c r="I66" s="163" t="n"/>
      <c r="J66" s="163" t="n"/>
      <c r="K66" s="164" t="n"/>
    </row>
    <row r="67">
      <c r="A67" s="181" t="inlineStr">
        <is>
          <t>BRK_Towing</t>
        </is>
      </c>
      <c r="B67" s="362" t="n"/>
      <c r="C67" s="519" t="n"/>
      <c r="D67" s="519" t="n"/>
      <c r="E67" s="163" t="n"/>
      <c r="F67" s="163" t="n"/>
      <c r="G67" s="163" t="n"/>
      <c r="H67" s="163" t="n"/>
      <c r="I67" s="163" t="n"/>
      <c r="J67" s="163" t="n"/>
      <c r="K67" s="164" t="n"/>
    </row>
    <row r="68">
      <c r="A68" s="181" t="inlineStr">
        <is>
          <t>BRK_Fire_Safety_&amp;_Running_Capability</t>
        </is>
      </c>
      <c r="B68" s="362" t="n"/>
      <c r="C68" s="519" t="n"/>
      <c r="D68" s="519" t="n"/>
      <c r="E68" s="163" t="n"/>
      <c r="F68" s="163" t="n"/>
      <c r="G68" s="163" t="n"/>
      <c r="H68" s="163" t="n"/>
      <c r="I68" s="163" t="n"/>
      <c r="J68" s="163" t="n"/>
      <c r="K68" s="164" t="n"/>
    </row>
    <row r="69">
      <c r="A69" s="181" t="inlineStr">
        <is>
          <t>BRK_Magnetic_Track_Brake_Optional</t>
        </is>
      </c>
      <c r="B69" s="362" t="n"/>
      <c r="C69" s="519" t="n"/>
      <c r="D69" s="519" t="n"/>
      <c r="E69" s="163" t="n"/>
      <c r="F69" s="163" t="n"/>
      <c r="G69" s="163" t="n"/>
      <c r="H69" s="163" t="n"/>
      <c r="I69" s="163" t="n"/>
      <c r="J69" s="163" t="n"/>
      <c r="K69" s="164" t="n"/>
    </row>
    <row r="70">
      <c r="A70" s="181" t="inlineStr">
        <is>
          <t>BOG_Flange_Lubrication</t>
        </is>
      </c>
      <c r="B70" s="362" t="n"/>
      <c r="C70" s="519" t="n"/>
      <c r="D70" s="519" t="n"/>
      <c r="E70" s="163" t="n"/>
      <c r="F70" s="163" t="n"/>
      <c r="G70" s="163" t="n"/>
      <c r="H70" s="163" t="n"/>
      <c r="I70" s="163" t="n"/>
      <c r="J70" s="163" t="n"/>
      <c r="K70" s="164" t="n"/>
    </row>
    <row r="71">
      <c r="A71" s="181" t="inlineStr">
        <is>
          <t>BOG_Hotbox_Detection</t>
        </is>
      </c>
      <c r="B71" s="362" t="n"/>
      <c r="C71" s="519" t="n"/>
      <c r="D71" s="519" t="n"/>
      <c r="E71" s="163" t="n"/>
      <c r="F71" s="163" t="n"/>
      <c r="G71" s="163" t="n"/>
      <c r="H71" s="163" t="n"/>
      <c r="I71" s="163" t="n"/>
      <c r="J71" s="163" t="n"/>
      <c r="K71" s="164" t="n"/>
    </row>
    <row r="72">
      <c r="A72" s="181" t="inlineStr">
        <is>
          <t>BOG_Instability_Monitoring</t>
        </is>
      </c>
      <c r="B72" s="362" t="n"/>
      <c r="C72" s="519" t="n"/>
      <c r="D72" s="519" t="n"/>
      <c r="E72" s="163" t="n"/>
      <c r="F72" s="163" t="n"/>
      <c r="G72" s="163" t="n"/>
      <c r="H72" s="163" t="n"/>
      <c r="I72" s="163" t="n"/>
      <c r="J72" s="163" t="n"/>
      <c r="K72" s="164" t="n"/>
    </row>
    <row r="73">
      <c r="A73" s="181" t="inlineStr">
        <is>
          <t>BOG_Active_Lateral_Suspension_(ALS)</t>
        </is>
      </c>
      <c r="B73" s="362" t="n"/>
      <c r="C73" s="519" t="n"/>
      <c r="D73" s="519" t="n"/>
      <c r="E73" s="163" t="n"/>
      <c r="F73" s="163" t="n"/>
      <c r="G73" s="163" t="n"/>
      <c r="H73" s="163" t="n"/>
      <c r="I73" s="163" t="n"/>
      <c r="J73" s="163" t="n"/>
      <c r="K73" s="164" t="n"/>
    </row>
    <row r="74">
      <c r="A74" s="181" t="inlineStr">
        <is>
          <t>BOG_Diagnostics_&amp;_CBM</t>
        </is>
      </c>
      <c r="B74" s="362" t="n"/>
      <c r="C74" s="519" t="n"/>
      <c r="D74" s="519" t="n"/>
      <c r="E74" s="163" t="n"/>
      <c r="F74" s="163" t="n"/>
      <c r="G74" s="163" t="n"/>
      <c r="H74" s="163" t="n"/>
      <c r="I74" s="163" t="n"/>
      <c r="J74" s="163" t="n"/>
      <c r="K74" s="164" t="n"/>
    </row>
    <row r="75">
      <c r="B75" s="169" t="n"/>
      <c r="E75" s="520" t="n"/>
      <c r="F75" s="520" t="n"/>
      <c r="G75" s="237" t="n"/>
      <c r="H75" s="237" t="n"/>
      <c r="I75" s="520" t="n"/>
      <c r="J75" s="237" t="n"/>
      <c r="K75" s="238" t="n"/>
    </row>
    <row r="76">
      <c r="C76" s="521" t="n"/>
      <c r="D76" s="522" t="n"/>
      <c r="E76" s="523" t="n"/>
      <c r="G76" s="524" t="n"/>
      <c r="H76" s="525" t="n"/>
      <c r="I76" s="526" t="n"/>
    </row>
    <row r="77">
      <c r="C77" s="521" t="n"/>
      <c r="D77" s="522" t="n"/>
      <c r="E77" s="523" t="n"/>
      <c r="G77" s="524" t="n"/>
      <c r="H77" s="525" t="n"/>
      <c r="I77" s="526" t="n"/>
    </row>
    <row r="78">
      <c r="C78" s="521" t="n"/>
      <c r="D78" s="522" t="n"/>
      <c r="E78" s="523" t="n"/>
      <c r="G78" s="524" t="n"/>
      <c r="H78" s="525" t="n"/>
      <c r="I78" s="526" t="n"/>
    </row>
    <row r="79">
      <c r="C79" s="527" t="n"/>
      <c r="D79" s="522" t="n"/>
      <c r="I79" s="526" t="n"/>
    </row>
  </sheetData>
  <pageMargins left="0.7" right="0.7" top="0.75" bottom="0.75" header="0.3" footer="0.3"/>
</worksheet>
</file>

<file path=xl/worksheets/sheet11.xml><?xml version="1.0" encoding="utf-8"?>
<worksheet xmlns="http://schemas.openxmlformats.org/spreadsheetml/2006/main">
  <sheetPr codeName="Foglio8">
    <tabColor rgb="FFFFCCFF"/>
    <outlinePr summaryBelow="0"/>
    <pageSetUpPr/>
  </sheetPr>
  <dimension ref="A1:J100"/>
  <sheetViews>
    <sheetView zoomScaleNormal="100" workbookViewId="0">
      <pane xSplit="2" ySplit="2" topLeftCell="C3" activePane="bottomRight" state="frozen"/>
      <selection pane="topRight" activeCell="F1" sqref="F1"/>
      <selection pane="bottomLeft" activeCell="A3" sqref="A3"/>
      <selection pane="bottomRight" activeCell="E21" sqref="E21"/>
    </sheetView>
  </sheetViews>
  <sheetFormatPr baseColWidth="8" defaultColWidth="8.7265625" defaultRowHeight="14.5" outlineLevelRow="3"/>
  <cols>
    <col width="13.81640625" bestFit="1" customWidth="1" style="10" min="1" max="1"/>
    <col width="39.54296875" bestFit="1" customWidth="1" style="10" min="2" max="2"/>
    <col width="24.26953125" customWidth="1" style="10" min="3" max="3"/>
    <col width="18.7265625" bestFit="1" customWidth="1" style="10" min="4" max="4"/>
    <col width="16.54296875" customWidth="1" style="10" min="5" max="10"/>
    <col width="8.7265625" customWidth="1" style="59" min="11" max="16"/>
    <col width="8.7265625" customWidth="1" style="59" min="17" max="16384"/>
  </cols>
  <sheetData>
    <row r="1" ht="31.5" customFormat="1" customHeight="1" s="61">
      <c r="A1" s="446" t="inlineStr">
        <is>
          <t>Impianto</t>
        </is>
      </c>
      <c r="B1" s="448" t="inlineStr">
        <is>
          <t>Gruppo/Componente</t>
        </is>
      </c>
      <c r="C1" s="447" t="inlineStr">
        <is>
          <t>P/N</t>
        </is>
      </c>
      <c r="D1" s="450" t="inlineStr">
        <is>
          <t>Applicabilità flotte</t>
        </is>
      </c>
      <c r="E1" s="451" t="n"/>
      <c r="F1" s="451" t="n"/>
      <c r="G1" s="451" t="n"/>
      <c r="H1" s="451" t="n"/>
      <c r="I1" s="451" t="n"/>
      <c r="J1" s="541" t="n"/>
    </row>
    <row r="2" ht="31.5" customFormat="1" customHeight="1" s="61">
      <c r="A2" s="430" t="n"/>
      <c r="B2" s="542" t="n"/>
      <c r="C2" s="422" t="n"/>
      <c r="D2" s="324" t="inlineStr">
        <is>
          <t>VZI_Base</t>
        </is>
      </c>
      <c r="E2" s="425" t="inlineStr">
        <is>
          <t>VZI_New14</t>
        </is>
      </c>
      <c r="F2" s="425" t="inlineStr">
        <is>
          <t>VZ_FR</t>
        </is>
      </c>
      <c r="G2" s="425" t="inlineStr">
        <is>
          <t>VZ_ES</t>
        </is>
      </c>
      <c r="H2" s="425" t="inlineStr">
        <is>
          <t>VZI-6_R1</t>
        </is>
      </c>
      <c r="I2" s="425" t="inlineStr">
        <is>
          <t>VZI-4_R1</t>
        </is>
      </c>
      <c r="J2" s="82" t="inlineStr">
        <is>
          <t>VZ_DAI</t>
        </is>
      </c>
    </row>
    <row r="3">
      <c r="A3" s="110" t="inlineStr">
        <is>
          <t>PANTOGRAFO</t>
        </is>
      </c>
      <c r="B3" s="111" t="n"/>
      <c r="C3" s="371" t="n"/>
      <c r="D3" s="110" t="inlineStr">
        <is>
          <t>.</t>
        </is>
      </c>
      <c r="E3" s="112" t="inlineStr">
        <is>
          <t>.</t>
        </is>
      </c>
      <c r="F3" s="112" t="inlineStr">
        <is>
          <t>.</t>
        </is>
      </c>
      <c r="G3" s="112" t="inlineStr">
        <is>
          <t>.</t>
        </is>
      </c>
      <c r="H3" s="112" t="inlineStr">
        <is>
          <t>.</t>
        </is>
      </c>
      <c r="I3" s="112" t="inlineStr">
        <is>
          <t>.</t>
        </is>
      </c>
      <c r="J3" s="111" t="inlineStr">
        <is>
          <t>.</t>
        </is>
      </c>
    </row>
    <row r="4" outlineLevel="1" s="462">
      <c r="A4" s="113" t="n"/>
      <c r="B4" s="69" t="inlineStr">
        <is>
          <t>CAPTAZIONE</t>
        </is>
      </c>
      <c r="C4" s="372" t="n"/>
      <c r="D4" s="113" t="inlineStr">
        <is>
          <t>..</t>
        </is>
      </c>
      <c r="E4" s="101" t="inlineStr">
        <is>
          <t>..</t>
        </is>
      </c>
      <c r="F4" s="101" t="inlineStr">
        <is>
          <t>..</t>
        </is>
      </c>
      <c r="G4" s="101" t="inlineStr">
        <is>
          <t>..</t>
        </is>
      </c>
      <c r="H4" s="101" t="inlineStr">
        <is>
          <t>..</t>
        </is>
      </c>
      <c r="I4" s="101" t="inlineStr">
        <is>
          <t>..</t>
        </is>
      </c>
      <c r="J4" s="114" t="inlineStr">
        <is>
          <t>..</t>
        </is>
      </c>
    </row>
    <row r="5" outlineLevel="2" s="462">
      <c r="A5" s="63" t="n"/>
      <c r="B5" s="64" t="inlineStr">
        <is>
          <t>Pantografo 25 kV</t>
        </is>
      </c>
      <c r="C5" s="322" t="n">
        <v>10574479</v>
      </c>
      <c r="D5" s="63" t="inlineStr">
        <is>
          <t>T4-T5</t>
        </is>
      </c>
      <c r="E5" s="10" t="inlineStr">
        <is>
          <t>T4-T5</t>
        </is>
      </c>
      <c r="F5" s="10" t="inlineStr">
        <is>
          <t>X</t>
        </is>
      </c>
      <c r="H5" s="10" t="inlineStr">
        <is>
          <t>T4-T5</t>
        </is>
      </c>
      <c r="J5" s="64" t="n"/>
    </row>
    <row r="6" outlineLevel="2" s="462">
      <c r="A6" s="63" t="n"/>
      <c r="B6" s="64" t="inlineStr">
        <is>
          <t>Pantografo 3 kV</t>
        </is>
      </c>
      <c r="C6" s="322" t="n">
        <v>10542152</v>
      </c>
      <c r="D6" s="63" t="inlineStr">
        <is>
          <t>TT2-TT7</t>
        </is>
      </c>
      <c r="E6" s="10" t="inlineStr">
        <is>
          <t>TT2-TT7</t>
        </is>
      </c>
      <c r="F6" s="10" t="inlineStr">
        <is>
          <t>X</t>
        </is>
      </c>
      <c r="H6" s="10" t="inlineStr">
        <is>
          <t>TT2-TT7</t>
        </is>
      </c>
      <c r="J6" s="64" t="n"/>
    </row>
    <row r="7" outlineLevel="2" s="462">
      <c r="A7" s="63" t="n"/>
      <c r="B7" s="64" t="inlineStr">
        <is>
          <t>Pantografo 1,5 kV</t>
        </is>
      </c>
      <c r="C7" s="322" t="n"/>
      <c r="D7" s="63" t="n"/>
      <c r="J7" s="64" t="n"/>
    </row>
    <row r="8" outlineLevel="1" s="462">
      <c r="A8" s="113" t="n"/>
      <c r="B8" s="69" t="inlineStr">
        <is>
          <t>CONTROLLO</t>
        </is>
      </c>
      <c r="C8" s="372" t="n"/>
      <c r="D8" s="113" t="inlineStr">
        <is>
          <t>..</t>
        </is>
      </c>
      <c r="E8" s="101" t="inlineStr">
        <is>
          <t>..</t>
        </is>
      </c>
      <c r="F8" s="101" t="inlineStr">
        <is>
          <t>..</t>
        </is>
      </c>
      <c r="G8" s="101" t="inlineStr">
        <is>
          <t>..</t>
        </is>
      </c>
      <c r="H8" s="101" t="inlineStr">
        <is>
          <t>..</t>
        </is>
      </c>
      <c r="I8" s="101" t="inlineStr">
        <is>
          <t>..</t>
        </is>
      </c>
      <c r="J8" s="114" t="inlineStr">
        <is>
          <t>..</t>
        </is>
      </c>
    </row>
    <row r="9" outlineLevel="2" s="462">
      <c r="A9" s="63" t="n"/>
      <c r="B9" s="73" t="inlineStr">
        <is>
          <t>PPU</t>
        </is>
      </c>
      <c r="C9" s="373" t="inlineStr">
        <is>
          <t>0102895</t>
        </is>
      </c>
      <c r="D9" s="63" t="inlineStr">
        <is>
          <t>TT2-T4-T5-TT7</t>
        </is>
      </c>
      <c r="J9" s="64" t="n"/>
    </row>
    <row r="10" outlineLevel="2" customFormat="1" s="118">
      <c r="A10" s="77" t="n"/>
      <c r="B10" s="74" t="inlineStr">
        <is>
          <t>PPU</t>
        </is>
      </c>
      <c r="C10" s="374" t="inlineStr">
        <is>
          <t>232C10395F</t>
        </is>
      </c>
      <c r="D10" s="75" t="n"/>
      <c r="E10" s="76" t="inlineStr">
        <is>
          <t>TT2-T4-T5-TT7</t>
        </is>
      </c>
      <c r="F10" s="78" t="n"/>
      <c r="G10" s="78" t="n"/>
      <c r="H10" s="78" t="n"/>
      <c r="I10" s="78" t="n"/>
      <c r="J10" s="73" t="n"/>
    </row>
    <row r="11" outlineLevel="2" s="462">
      <c r="A11" s="63" t="n"/>
      <c r="B11" s="115" t="inlineStr">
        <is>
          <t>PPU</t>
        </is>
      </c>
      <c r="C11" s="375" t="inlineStr">
        <is>
          <t>231C100036B</t>
        </is>
      </c>
      <c r="D11" s="119" t="n"/>
      <c r="E11" s="116" t="n"/>
      <c r="F11" s="116" t="n"/>
      <c r="G11" s="116" t="n"/>
      <c r="H11" s="116" t="inlineStr">
        <is>
          <t>TT2-T4-T5-TT7</t>
        </is>
      </c>
      <c r="J11" s="64" t="n"/>
    </row>
    <row r="12">
      <c r="A12" s="110" t="inlineStr">
        <is>
          <t>TCMS</t>
        </is>
      </c>
      <c r="B12" s="117" t="n"/>
      <c r="C12" s="371" t="n"/>
      <c r="D12" s="110" t="inlineStr">
        <is>
          <t>.</t>
        </is>
      </c>
      <c r="E12" s="112" t="inlineStr">
        <is>
          <t>.</t>
        </is>
      </c>
      <c r="F12" s="112" t="inlineStr">
        <is>
          <t>.</t>
        </is>
      </c>
      <c r="G12" s="112" t="inlineStr">
        <is>
          <t>.</t>
        </is>
      </c>
      <c r="H12" s="112" t="inlineStr">
        <is>
          <t>.</t>
        </is>
      </c>
      <c r="I12" s="112" t="inlineStr">
        <is>
          <t>.</t>
        </is>
      </c>
      <c r="J12" s="111" t="inlineStr">
        <is>
          <t>.</t>
        </is>
      </c>
    </row>
    <row r="13" outlineLevel="1" s="462">
      <c r="A13" s="113" t="n"/>
      <c r="B13" s="69" t="inlineStr">
        <is>
          <t>CONTROLLO</t>
        </is>
      </c>
      <c r="C13" s="372" t="n"/>
      <c r="D13" s="113" t="inlineStr">
        <is>
          <t>..</t>
        </is>
      </c>
      <c r="E13" s="101" t="inlineStr">
        <is>
          <t>..</t>
        </is>
      </c>
      <c r="F13" s="101" t="inlineStr">
        <is>
          <t>..</t>
        </is>
      </c>
      <c r="G13" s="101" t="inlineStr">
        <is>
          <t>..</t>
        </is>
      </c>
      <c r="H13" s="101" t="inlineStr">
        <is>
          <t>..</t>
        </is>
      </c>
      <c r="I13" s="101" t="inlineStr">
        <is>
          <t>..</t>
        </is>
      </c>
      <c r="J13" s="114" t="inlineStr">
        <is>
          <t>..</t>
        </is>
      </c>
    </row>
    <row r="14" outlineLevel="2" s="462">
      <c r="A14" s="63" t="n"/>
      <c r="B14" s="73" t="inlineStr">
        <is>
          <t>CCU-O Dual MVB (DCY1110B)</t>
        </is>
      </c>
      <c r="C14" s="376" t="inlineStr">
        <is>
          <t>3EST000225-5707</t>
        </is>
      </c>
      <c r="D14" s="63" t="inlineStr">
        <is>
          <t>DM1-DM8</t>
        </is>
      </c>
      <c r="E14" s="10" t="inlineStr">
        <is>
          <t>DM1-DM8</t>
        </is>
      </c>
      <c r="J14" s="64" t="n"/>
    </row>
    <row r="15" outlineLevel="2" s="462">
      <c r="A15" s="63" t="n"/>
      <c r="B15" s="73" t="inlineStr">
        <is>
          <t>CCU-C 2ETH (DCY1550A)</t>
        </is>
      </c>
      <c r="C15" s="376" t="inlineStr">
        <is>
          <t>3EST000225-5711</t>
        </is>
      </c>
      <c r="D15" s="63" t="inlineStr">
        <is>
          <t>DM1-M3-DM8</t>
        </is>
      </c>
      <c r="E15" s="10" t="inlineStr">
        <is>
          <t>DM1-M3-DM8</t>
        </is>
      </c>
      <c r="J15" s="64" t="n"/>
    </row>
    <row r="16" outlineLevel="2" s="462">
      <c r="A16" s="63" t="n"/>
      <c r="B16" s="73" t="inlineStr">
        <is>
          <t>CCU-S (DCY 1660A)</t>
        </is>
      </c>
      <c r="C16" s="376" t="inlineStr">
        <is>
          <t>3EST000221-6430</t>
        </is>
      </c>
      <c r="D16" s="63" t="inlineStr">
        <is>
          <t>DM1-DM8</t>
        </is>
      </c>
      <c r="E16" s="10" t="inlineStr">
        <is>
          <t>DM1-DM8</t>
        </is>
      </c>
      <c r="J16" s="64" t="n"/>
    </row>
    <row r="17" outlineLevel="2" s="462">
      <c r="A17" s="63" t="n"/>
      <c r="B17" s="73" t="inlineStr">
        <is>
          <t>MIO-DXH4-S (DCS 2222B)</t>
        </is>
      </c>
      <c r="C17" s="376" t="inlineStr">
        <is>
          <t>3EST000228-0629</t>
        </is>
      </c>
      <c r="D17" s="63" t="inlineStr">
        <is>
          <t>DM1-DM8</t>
        </is>
      </c>
      <c r="J17" s="64" t="n"/>
    </row>
    <row r="18" outlineLevel="2" s="462">
      <c r="A18" s="63" t="n"/>
      <c r="B18" s="74" t="inlineStr">
        <is>
          <t>MIO-S (DCS 2222C)</t>
        </is>
      </c>
      <c r="C18" s="374" t="inlineStr">
        <is>
          <t>3EST000230-5830</t>
        </is>
      </c>
      <c r="D18" s="63" t="n"/>
      <c r="E18" s="76" t="inlineStr">
        <is>
          <t>DM1-DM8</t>
        </is>
      </c>
      <c r="J18" s="64" t="n"/>
    </row>
    <row r="19" outlineLevel="2" s="462">
      <c r="A19" s="63" t="n"/>
      <c r="B19" s="73" t="inlineStr">
        <is>
          <t>MIO-S-AI1+DXH3 (DCS 7222B)</t>
        </is>
      </c>
      <c r="C19" s="376" t="inlineStr">
        <is>
          <t>3EST000228-3395</t>
        </is>
      </c>
      <c r="D19" s="63" t="inlineStr">
        <is>
          <t>DM1-DM8</t>
        </is>
      </c>
      <c r="J19" s="64" t="n"/>
    </row>
    <row r="20" outlineLevel="2" s="462">
      <c r="A20" s="63" t="n"/>
      <c r="B20" s="74" t="inlineStr">
        <is>
          <t>MIO-S (DCS 7222B)</t>
        </is>
      </c>
      <c r="C20" s="374" t="inlineStr">
        <is>
          <t>3EST000230-5833</t>
        </is>
      </c>
      <c r="D20" s="63" t="n"/>
      <c r="E20" s="76" t="inlineStr">
        <is>
          <t>DM1-DM8</t>
        </is>
      </c>
      <c r="J20" s="64" t="n"/>
    </row>
    <row r="21" outlineLevel="2" s="462">
      <c r="A21" s="63" t="n"/>
      <c r="B21" s="73" t="inlineStr">
        <is>
          <t>MIO-S-AI1+DXH2 (DCS 7220B)</t>
        </is>
      </c>
      <c r="C21" s="376" t="inlineStr">
        <is>
          <t>3EST000228-3394</t>
        </is>
      </c>
      <c r="D21" s="63" t="inlineStr">
        <is>
          <t>Tutte</t>
        </is>
      </c>
      <c r="E21" s="10" t="inlineStr">
        <is>
          <t>Tutte</t>
        </is>
      </c>
      <c r="J21" s="64" t="n"/>
    </row>
    <row r="22" outlineLevel="2" s="462">
      <c r="A22" s="63" t="n"/>
      <c r="B22" s="64" t="inlineStr">
        <is>
          <t>MIO-DXH4 (DCX 2222A)</t>
        </is>
      </c>
      <c r="C22" s="322" t="inlineStr">
        <is>
          <t>3EST000209-5696</t>
        </is>
      </c>
      <c r="D22" s="63" t="inlineStr">
        <is>
          <t>Tutte</t>
        </is>
      </c>
      <c r="E22" s="10" t="inlineStr">
        <is>
          <t>Tutte</t>
        </is>
      </c>
      <c r="J22" s="64" t="n"/>
    </row>
    <row r="23" outlineLevel="2" s="462">
      <c r="A23" s="63" t="n"/>
      <c r="B23" s="64" t="inlineStr">
        <is>
          <t>MIO-DX1H (DCX 2000A)</t>
        </is>
      </c>
      <c r="C23" s="322" t="inlineStr">
        <is>
          <t>3EST000209-5690</t>
        </is>
      </c>
      <c r="D23" s="63" t="inlineStr">
        <is>
          <t>M3</t>
        </is>
      </c>
      <c r="E23" s="78" t="inlineStr">
        <is>
          <t>M3</t>
        </is>
      </c>
      <c r="J23" s="64" t="n"/>
    </row>
    <row r="24" outlineLevel="2" s="462">
      <c r="A24" s="63" t="n"/>
      <c r="B24" s="64" t="inlineStr">
        <is>
          <t>MIO-DX3H (DCX 2220A)</t>
        </is>
      </c>
      <c r="C24" s="322" t="inlineStr">
        <is>
          <t>3EST000209-5694</t>
        </is>
      </c>
      <c r="D24" s="63" t="inlineStr">
        <is>
          <t>Tutte</t>
        </is>
      </c>
      <c r="E24" s="10" t="inlineStr">
        <is>
          <t>Tutte</t>
        </is>
      </c>
      <c r="J24" s="64" t="n"/>
    </row>
    <row r="25" outlineLevel="2" s="462">
      <c r="A25" s="63" t="n"/>
      <c r="B25" s="115" t="inlineStr">
        <is>
          <t>CDU-H03</t>
        </is>
      </c>
      <c r="C25" s="375" t="inlineStr">
        <is>
          <t>HW01107958-00</t>
        </is>
      </c>
      <c r="D25" s="63" t="n"/>
      <c r="H25" s="116" t="inlineStr">
        <is>
          <t>DM1-DM8</t>
        </is>
      </c>
      <c r="I25" s="116" t="inlineStr">
        <is>
          <t>DM1-DM8</t>
        </is>
      </c>
      <c r="J25" s="64" t="n"/>
    </row>
    <row r="26" outlineLevel="2" s="462">
      <c r="A26" s="63" t="n"/>
      <c r="B26" s="115" t="inlineStr">
        <is>
          <t>DU-H03</t>
        </is>
      </c>
      <c r="C26" s="375" t="inlineStr">
        <is>
          <t>HW02298449-00</t>
        </is>
      </c>
      <c r="D26" s="63" t="n"/>
      <c r="H26" s="116" t="inlineStr">
        <is>
          <t>DM1-DM8</t>
        </is>
      </c>
      <c r="I26" s="116" t="inlineStr">
        <is>
          <t>DM1-DM8</t>
        </is>
      </c>
      <c r="J26" s="64" t="n"/>
    </row>
    <row r="27" outlineLevel="2" s="462">
      <c r="A27" s="63" t="n"/>
      <c r="B27" s="115" t="inlineStr">
        <is>
          <t>DU-H04 (OBS)</t>
        </is>
      </c>
      <c r="C27" s="375" t="inlineStr">
        <is>
          <t>HW02298458-00</t>
        </is>
      </c>
      <c r="D27" s="63" t="n"/>
      <c r="H27" s="116" t="inlineStr">
        <is>
          <t>M3</t>
        </is>
      </c>
      <c r="I27" s="116" t="inlineStr">
        <is>
          <t>M3</t>
        </is>
      </c>
      <c r="J27" s="64" t="n"/>
    </row>
    <row r="28" outlineLevel="2" s="462">
      <c r="A28" s="63" t="n"/>
      <c r="B28" s="115" t="inlineStr">
        <is>
          <t>DU-H05 (PIS-ALG)</t>
        </is>
      </c>
      <c r="C28" s="375" t="inlineStr">
        <is>
          <t>HW02298473-00</t>
        </is>
      </c>
      <c r="D28" s="63" t="n"/>
      <c r="H28" s="116" t="inlineStr">
        <is>
          <t>M3</t>
        </is>
      </c>
      <c r="I28" s="116" t="inlineStr">
        <is>
          <t>M3</t>
        </is>
      </c>
      <c r="J28" s="64" t="n"/>
    </row>
    <row r="29" outlineLevel="2" s="462">
      <c r="A29" s="63" t="n"/>
      <c r="B29" s="115" t="inlineStr">
        <is>
          <t>RIO-LP (CUSFE684-H05)</t>
        </is>
      </c>
      <c r="C29" s="375" t="inlineStr">
        <is>
          <t>HW01107911-00</t>
        </is>
      </c>
      <c r="D29" s="63" t="n"/>
      <c r="H29" s="116" t="inlineStr">
        <is>
          <t>DM1-DM8</t>
        </is>
      </c>
      <c r="I29" s="116" t="inlineStr">
        <is>
          <t>DM1-DM8</t>
        </is>
      </c>
      <c r="J29" s="64" t="n"/>
    </row>
    <row r="30" outlineLevel="2" s="462">
      <c r="A30" s="63" t="n"/>
      <c r="B30" s="115" t="inlineStr">
        <is>
          <t>RIO-C5/C6 (CUSFE684-H06)</t>
        </is>
      </c>
      <c r="C30" s="375" t="inlineStr">
        <is>
          <t>HW01107914-00</t>
        </is>
      </c>
      <c r="D30" s="63" t="n"/>
      <c r="H30" s="116" t="inlineStr">
        <is>
          <t>DM1-DM8</t>
        </is>
      </c>
      <c r="I30" s="116" t="inlineStr">
        <is>
          <t>DM1-DM8</t>
        </is>
      </c>
      <c r="J30" s="64" t="n"/>
    </row>
    <row r="31" outlineLevel="2" s="462">
      <c r="A31" s="63" t="n"/>
      <c r="B31" s="115" t="inlineStr">
        <is>
          <t>RIO-EB-01 (CUSFE684-H01)</t>
        </is>
      </c>
      <c r="C31" s="375" t="inlineStr">
        <is>
          <t>HW01107901-00</t>
        </is>
      </c>
      <c r="D31" s="63" t="n"/>
      <c r="H31" s="116" t="inlineStr">
        <is>
          <t>DM1-DM8</t>
        </is>
      </c>
      <c r="I31" s="116" t="inlineStr">
        <is>
          <t>DM1-DM8</t>
        </is>
      </c>
      <c r="J31" s="64" t="n"/>
    </row>
    <row r="32" outlineLevel="2" s="462">
      <c r="A32" s="63" t="n"/>
      <c r="B32" s="115" t="inlineStr">
        <is>
          <t>RIO-EB-02 (CUSFE684-H02)</t>
        </is>
      </c>
      <c r="C32" s="375" t="inlineStr">
        <is>
          <t>HW01107904-00</t>
        </is>
      </c>
      <c r="D32" s="63" t="n"/>
      <c r="H32" s="116" t="inlineStr">
        <is>
          <t>TT2-TT7</t>
        </is>
      </c>
      <c r="I32" s="116" t="inlineStr">
        <is>
          <t>TT2-TT7</t>
        </is>
      </c>
      <c r="J32" s="64" t="n"/>
    </row>
    <row r="33" outlineLevel="2" s="462">
      <c r="A33" s="63" t="n"/>
      <c r="B33" s="115" t="inlineStr">
        <is>
          <t>RIO-EB-03 (CUSFE684-H03)</t>
        </is>
      </c>
      <c r="C33" s="375" t="inlineStr">
        <is>
          <t>HW01107905-00</t>
        </is>
      </c>
      <c r="D33" s="63" t="n"/>
      <c r="H33" s="116" t="inlineStr">
        <is>
          <t>M3-M6</t>
        </is>
      </c>
      <c r="I33" s="116" t="inlineStr">
        <is>
          <t>M3-M6</t>
        </is>
      </c>
      <c r="J33" s="64" t="n"/>
    </row>
    <row r="34" outlineLevel="2" s="462">
      <c r="A34" s="63" t="n"/>
      <c r="B34" s="115" t="inlineStr">
        <is>
          <t>RIO-EB-04 (CUSFE684-H04)</t>
        </is>
      </c>
      <c r="C34" s="375" t="inlineStr">
        <is>
          <t>HW01107908-00</t>
        </is>
      </c>
      <c r="D34" s="63" t="n"/>
      <c r="H34" s="116" t="inlineStr">
        <is>
          <t>T4-T5</t>
        </is>
      </c>
      <c r="I34" s="116" t="inlineStr">
        <is>
          <t>T4-T5</t>
        </is>
      </c>
      <c r="J34" s="64" t="n"/>
    </row>
    <row r="35" outlineLevel="2" ht="30" customHeight="1" s="462">
      <c r="A35" s="63" t="n"/>
      <c r="B35" s="115" t="inlineStr">
        <is>
          <t>RIO-C2-01 (CURSE32-H01)</t>
        </is>
      </c>
      <c r="C35" s="375" t="inlineStr">
        <is>
          <t>HW01107953-00</t>
        </is>
      </c>
      <c r="D35" s="63" t="n"/>
      <c r="H35" s="116" t="inlineStr">
        <is>
          <t>DM1-TT2-M3-M6-TT7-DM8</t>
        </is>
      </c>
      <c r="I35" s="116" t="inlineStr">
        <is>
          <t>DM1-TT2-M3-M6-TT7-DM8</t>
        </is>
      </c>
      <c r="J35" s="64" t="n"/>
    </row>
    <row r="36" outlineLevel="2" s="462">
      <c r="A36" s="63" t="n"/>
      <c r="B36" s="115" t="inlineStr">
        <is>
          <t>RIO-C2-02 (CURSE32-H02)</t>
        </is>
      </c>
      <c r="C36" s="375" t="inlineStr">
        <is>
          <t>HW01107954-00</t>
        </is>
      </c>
      <c r="D36" s="63" t="n"/>
      <c r="H36" s="116" t="inlineStr">
        <is>
          <t>T4-T5</t>
        </is>
      </c>
      <c r="I36" s="116" t="inlineStr">
        <is>
          <t>T4-T5</t>
        </is>
      </c>
      <c r="J36" s="64" t="n"/>
    </row>
    <row r="37" outlineLevel="1" s="462">
      <c r="A37" s="113" t="n"/>
      <c r="B37" s="69" t="inlineStr">
        <is>
          <t>DIAGNOSTICA</t>
        </is>
      </c>
      <c r="C37" s="372" t="n"/>
      <c r="D37" s="113" t="inlineStr">
        <is>
          <t>..</t>
        </is>
      </c>
      <c r="E37" s="101" t="inlineStr">
        <is>
          <t>..</t>
        </is>
      </c>
      <c r="F37" s="101" t="inlineStr">
        <is>
          <t>..</t>
        </is>
      </c>
      <c r="G37" s="101" t="inlineStr">
        <is>
          <t>..</t>
        </is>
      </c>
      <c r="H37" s="101" t="inlineStr">
        <is>
          <t>..</t>
        </is>
      </c>
      <c r="I37" s="101" t="inlineStr">
        <is>
          <t>..</t>
        </is>
      </c>
      <c r="J37" s="114" t="inlineStr">
        <is>
          <t>..</t>
        </is>
      </c>
    </row>
    <row r="38" outlineLevel="2" s="462">
      <c r="A38" s="63" t="n"/>
      <c r="B38" s="73" t="inlineStr">
        <is>
          <t>MCG (DCZ 2424B)</t>
        </is>
      </c>
      <c r="C38" s="376" t="inlineStr">
        <is>
          <t>3EST000225-7169</t>
        </is>
      </c>
      <c r="D38" s="63" t="inlineStr">
        <is>
          <t>X</t>
        </is>
      </c>
      <c r="J38" s="64" t="n"/>
    </row>
    <row r="39" outlineLevel="2" s="462">
      <c r="A39" s="63" t="n"/>
      <c r="B39" s="74" t="inlineStr">
        <is>
          <t>MCG</t>
        </is>
      </c>
      <c r="C39" s="374" t="inlineStr">
        <is>
          <t>3EST000234-1560</t>
        </is>
      </c>
      <c r="D39" s="75" t="n"/>
      <c r="E39" s="76" t="inlineStr">
        <is>
          <t>X</t>
        </is>
      </c>
      <c r="J39" s="64" t="n"/>
    </row>
    <row r="40" outlineLevel="2" s="462">
      <c r="A40" s="63" t="n"/>
      <c r="B40" s="73" t="inlineStr">
        <is>
          <t>IDU</t>
        </is>
      </c>
      <c r="C40" s="376" t="inlineStr">
        <is>
          <t>3EST000223-8802</t>
        </is>
      </c>
      <c r="D40" s="77" t="inlineStr">
        <is>
          <t>DM1-M3-DM8</t>
        </is>
      </c>
      <c r="E40" s="78" t="inlineStr">
        <is>
          <t>DM1-M3-DM8</t>
        </is>
      </c>
      <c r="J40" s="64" t="n"/>
    </row>
    <row r="41" outlineLevel="2" s="462">
      <c r="A41" s="63" t="n"/>
      <c r="B41" s="115" t="inlineStr">
        <is>
          <t>IDU</t>
        </is>
      </c>
      <c r="C41" s="375" t="inlineStr">
        <is>
          <t>EC030021237P01</t>
        </is>
      </c>
      <c r="D41" s="63" t="n"/>
      <c r="H41" s="116" t="inlineStr">
        <is>
          <t>DM1-M3-DM8</t>
        </is>
      </c>
      <c r="I41" s="116" t="inlineStr">
        <is>
          <t>DM1-M3-DM8</t>
        </is>
      </c>
      <c r="J41" s="64" t="n"/>
    </row>
    <row r="42" outlineLevel="1" s="462">
      <c r="A42" s="113" t="n"/>
      <c r="B42" s="69" t="inlineStr">
        <is>
          <t>RETE / COMUNICAZIONE</t>
        </is>
      </c>
      <c r="C42" s="372" t="n"/>
      <c r="D42" s="113" t="inlineStr">
        <is>
          <t>..</t>
        </is>
      </c>
      <c r="E42" s="101" t="inlineStr">
        <is>
          <t>..</t>
        </is>
      </c>
      <c r="F42" s="101" t="inlineStr">
        <is>
          <t>..</t>
        </is>
      </c>
      <c r="G42" s="101" t="inlineStr">
        <is>
          <t>..</t>
        </is>
      </c>
      <c r="H42" s="101" t="inlineStr">
        <is>
          <t>..</t>
        </is>
      </c>
      <c r="I42" s="101" t="inlineStr">
        <is>
          <t>..</t>
        </is>
      </c>
      <c r="J42" s="114" t="inlineStr">
        <is>
          <t>..</t>
        </is>
      </c>
    </row>
    <row r="43" outlineLevel="2" s="462">
      <c r="A43" s="63" t="n"/>
      <c r="B43" s="64" t="inlineStr">
        <is>
          <t>MCG Antenna WLAN/GSM GPS</t>
        </is>
      </c>
      <c r="C43" s="322" t="inlineStr">
        <is>
          <t>3EST000212-2155</t>
        </is>
      </c>
      <c r="D43" s="63" t="inlineStr">
        <is>
          <t>M3</t>
        </is>
      </c>
      <c r="J43" s="64" t="n"/>
    </row>
    <row r="44" outlineLevel="2" s="462">
      <c r="A44" s="63" t="n"/>
      <c r="B44" s="74" t="inlineStr">
        <is>
          <t xml:space="preserve"> MCG Antenna WLAN/GSM GPS</t>
        </is>
      </c>
      <c r="C44" s="374" t="inlineStr">
        <is>
          <t>3EH-232550R0005</t>
        </is>
      </c>
      <c r="D44" s="75" t="n"/>
      <c r="E44" s="76" t="inlineStr">
        <is>
          <t>M3</t>
        </is>
      </c>
      <c r="J44" s="64" t="n"/>
    </row>
    <row r="45" outlineLevel="2" s="462">
      <c r="A45" s="63" t="n"/>
      <c r="B45" s="64" t="inlineStr">
        <is>
          <t>TCN GW-S DCY 1703A</t>
        </is>
      </c>
      <c r="C45" s="322" t="inlineStr">
        <is>
          <t>EST000221-6460</t>
        </is>
      </c>
      <c r="D45" s="63" t="inlineStr">
        <is>
          <t>DM1-DM8</t>
        </is>
      </c>
      <c r="E45" s="10" t="inlineStr">
        <is>
          <t>DM1-DM8</t>
        </is>
      </c>
      <c r="J45" s="64" t="n"/>
    </row>
    <row r="46" outlineLevel="2" s="462">
      <c r="A46" s="63" t="n"/>
      <c r="B46" s="73" t="inlineStr">
        <is>
          <t>IP Train Switch</t>
        </is>
      </c>
      <c r="C46" s="376" t="inlineStr">
        <is>
          <t>3EST000212-3000</t>
        </is>
      </c>
      <c r="D46" s="63" t="inlineStr">
        <is>
          <t>DM1-DM8</t>
        </is>
      </c>
      <c r="J46" s="64" t="n"/>
    </row>
    <row r="47" outlineLevel="2" s="462">
      <c r="A47" s="63" t="n"/>
      <c r="B47" s="74" t="inlineStr">
        <is>
          <t>IP Train Switch</t>
        </is>
      </c>
      <c r="C47" s="374" t="inlineStr">
        <is>
          <t>3EST000236-6769</t>
        </is>
      </c>
      <c r="D47" s="75" t="n"/>
      <c r="E47" s="76" t="inlineStr">
        <is>
          <t>DM1-DM8</t>
        </is>
      </c>
      <c r="J47" s="64" t="n"/>
    </row>
    <row r="48" outlineLevel="2" s="462">
      <c r="A48" s="63" t="n"/>
      <c r="B48" s="73" t="inlineStr">
        <is>
          <t>IP Train Repeater</t>
        </is>
      </c>
      <c r="C48" s="376" t="inlineStr">
        <is>
          <t>3EST000212-3010</t>
        </is>
      </c>
      <c r="D48" s="63" t="inlineStr">
        <is>
          <t>M3-T4-T5</t>
        </is>
      </c>
      <c r="J48" s="64" t="n"/>
    </row>
    <row r="49" outlineLevel="2" s="462">
      <c r="A49" s="63" t="n"/>
      <c r="B49" s="72" t="inlineStr">
        <is>
          <t>IP Train Repeater</t>
        </is>
      </c>
      <c r="C49" s="377" t="inlineStr">
        <is>
          <t>3EST000236-6770</t>
        </is>
      </c>
      <c r="D49" s="63" t="n"/>
      <c r="E49" s="10" t="inlineStr">
        <is>
          <t>M3-T4-T5</t>
        </is>
      </c>
      <c r="J49" s="64" t="n"/>
    </row>
    <row r="50" outlineLevel="2" s="462">
      <c r="A50" s="63" t="n"/>
      <c r="B50" s="73" t="inlineStr">
        <is>
          <t>IP Ring Switch</t>
        </is>
      </c>
      <c r="C50" s="376" t="inlineStr">
        <is>
          <t>3EST000225-7297</t>
        </is>
      </c>
      <c r="D50" s="63" t="inlineStr">
        <is>
          <t>Tutte</t>
        </is>
      </c>
      <c r="J50" s="64" t="n"/>
    </row>
    <row r="51" outlineLevel="2" s="462">
      <c r="A51" s="63" t="n"/>
      <c r="B51" s="74" t="inlineStr">
        <is>
          <t>IP Ring Switch</t>
        </is>
      </c>
      <c r="C51" s="374" t="inlineStr">
        <is>
          <t>3EST000235-7837</t>
        </is>
      </c>
      <c r="D51" s="75" t="n"/>
      <c r="E51" s="76" t="inlineStr">
        <is>
          <t>DM1</t>
        </is>
      </c>
      <c r="J51" s="64" t="n"/>
    </row>
    <row r="52" outlineLevel="2" s="462">
      <c r="A52" s="63" t="n"/>
      <c r="B52" s="74" t="inlineStr">
        <is>
          <t>IP Ring Switch</t>
        </is>
      </c>
      <c r="C52" s="374" t="inlineStr">
        <is>
          <t>3EST000234-7837</t>
        </is>
      </c>
      <c r="D52" s="75" t="n"/>
      <c r="E52" s="76" t="inlineStr">
        <is>
          <t>DM8</t>
        </is>
      </c>
      <c r="J52" s="64" t="n"/>
    </row>
    <row r="53" outlineLevel="2" s="462">
      <c r="A53" s="63" t="n"/>
      <c r="B53" s="64" t="inlineStr">
        <is>
          <t>BUS Coupler BCT 12KF04</t>
        </is>
      </c>
      <c r="C53" s="322" t="inlineStr">
        <is>
          <t>EGM032400R0001</t>
        </is>
      </c>
      <c r="D53" s="63" t="inlineStr">
        <is>
          <t>TT2-T5-TT7</t>
        </is>
      </c>
      <c r="E53" s="10" t="inlineStr">
        <is>
          <t>TT2-T5-TT7</t>
        </is>
      </c>
      <c r="J53" s="64" t="n"/>
    </row>
    <row r="54" outlineLevel="2" ht="30" customHeight="1" s="462">
      <c r="A54" s="63" t="n"/>
      <c r="B54" s="115" t="inlineStr">
        <is>
          <t>Switch CS 14P NoPoE 1ByPX (NODC14NC02)</t>
        </is>
      </c>
      <c r="C54" s="375" t="inlineStr">
        <is>
          <t>EC030021125P14C001</t>
        </is>
      </c>
      <c r="D54" s="63" t="n"/>
      <c r="H54" s="116" t="inlineStr">
        <is>
          <t>Tutte</t>
        </is>
      </c>
      <c r="I54" s="116" t="inlineStr">
        <is>
          <t>Tutte</t>
        </is>
      </c>
      <c r="J54" s="64" t="n"/>
    </row>
    <row r="55" outlineLevel="2" ht="30" customHeight="1" s="462">
      <c r="A55" s="63" t="n"/>
      <c r="B55" s="115" t="inlineStr">
        <is>
          <t>Switch ETBN 14P NoPoE 2ByPX (NODC14NI01)</t>
        </is>
      </c>
      <c r="C55" s="375" t="inlineStr">
        <is>
          <t>EC030021126P14C001</t>
        </is>
      </c>
      <c r="D55" s="63" t="n"/>
      <c r="H55" s="116" t="inlineStr">
        <is>
          <t>DM1-DM8</t>
        </is>
      </c>
      <c r="I55" s="116" t="inlineStr">
        <is>
          <t>DM1-DM8</t>
        </is>
      </c>
      <c r="J55" s="64" t="n"/>
    </row>
    <row r="56">
      <c r="A56" s="110" t="inlineStr">
        <is>
          <t>TRAZIONE</t>
        </is>
      </c>
      <c r="B56" s="111" t="n"/>
      <c r="C56" s="371" t="n"/>
      <c r="D56" s="110" t="inlineStr">
        <is>
          <t>.</t>
        </is>
      </c>
      <c r="E56" s="112" t="inlineStr">
        <is>
          <t>.</t>
        </is>
      </c>
      <c r="F56" s="112" t="inlineStr">
        <is>
          <t>.</t>
        </is>
      </c>
      <c r="G56" s="112" t="inlineStr">
        <is>
          <t>.</t>
        </is>
      </c>
      <c r="H56" s="112" t="inlineStr">
        <is>
          <t>.</t>
        </is>
      </c>
      <c r="I56" s="112" t="inlineStr">
        <is>
          <t>.</t>
        </is>
      </c>
      <c r="J56" s="111" t="inlineStr">
        <is>
          <t>.</t>
        </is>
      </c>
    </row>
    <row r="57" outlineLevel="1" s="462">
      <c r="A57" s="68" t="n"/>
      <c r="B57" s="69" t="inlineStr">
        <is>
          <t>SEZIONE 4M / MCM (MOTORI)</t>
        </is>
      </c>
      <c r="C57" s="378" t="n"/>
      <c r="D57" s="113" t="inlineStr">
        <is>
          <t>..</t>
        </is>
      </c>
      <c r="E57" s="101" t="inlineStr">
        <is>
          <t>..</t>
        </is>
      </c>
      <c r="F57" s="101" t="inlineStr">
        <is>
          <t>..</t>
        </is>
      </c>
      <c r="G57" s="101" t="inlineStr">
        <is>
          <t>..</t>
        </is>
      </c>
      <c r="H57" s="101" t="inlineStr">
        <is>
          <t>..</t>
        </is>
      </c>
      <c r="I57" s="101" t="inlineStr">
        <is>
          <t>..</t>
        </is>
      </c>
      <c r="J57" s="114" t="inlineStr">
        <is>
          <t>..</t>
        </is>
      </c>
    </row>
    <row r="58" outlineLevel="2" ht="30" customHeight="1" s="462">
      <c r="A58" s="63" t="n"/>
      <c r="B58" s="64" t="inlineStr">
        <is>
          <t>Modulo convertitore MCM (15/10 WM V02)</t>
        </is>
      </c>
      <c r="C58" s="322" t="inlineStr">
        <is>
          <t>3EST000222-0850</t>
        </is>
      </c>
      <c r="D58" s="63" t="inlineStr">
        <is>
          <t>DM1-M3-M6-DM8</t>
        </is>
      </c>
      <c r="E58" s="10" t="inlineStr">
        <is>
          <t>DM1-M3-M6-DM8</t>
        </is>
      </c>
      <c r="J58" s="64" t="n"/>
    </row>
    <row r="59" outlineLevel="3" ht="30" customHeight="1" s="462">
      <c r="A59" s="63" t="n"/>
      <c r="B59" s="64" t="inlineStr">
        <is>
          <t>Centralina DCU/M</t>
        </is>
      </c>
      <c r="C59" s="322" t="inlineStr">
        <is>
          <t>3EST000222-1018</t>
        </is>
      </c>
      <c r="D59" s="63" t="inlineStr">
        <is>
          <t>DM1-M3-M6-DM8</t>
        </is>
      </c>
      <c r="E59" s="10" t="inlineStr">
        <is>
          <t>DM1-M3-M6-DM8</t>
        </is>
      </c>
      <c r="J59" s="64" t="n"/>
    </row>
    <row r="60" outlineLevel="3" ht="30" customHeight="1" s="462">
      <c r="A60" s="63" t="n"/>
      <c r="B60" s="64" t="inlineStr">
        <is>
          <t>Modulo IGBT</t>
        </is>
      </c>
      <c r="C60" s="322" t="inlineStr">
        <is>
          <t>3EST000214-9948</t>
        </is>
      </c>
      <c r="D60" s="63" t="inlineStr">
        <is>
          <t>DM1-M3-M6-DM8</t>
        </is>
      </c>
      <c r="E60" s="10" t="inlineStr">
        <is>
          <t>DM1-M3-M6-DM8</t>
        </is>
      </c>
      <c r="J60" s="64" t="n"/>
    </row>
    <row r="61" outlineLevel="2" s="462">
      <c r="A61" s="63" t="n"/>
      <c r="B61" s="115" t="inlineStr">
        <is>
          <t>Modulo convertitore MCM</t>
        </is>
      </c>
      <c r="C61" s="375" t="inlineStr">
        <is>
          <t>HW02250828-00</t>
        </is>
      </c>
      <c r="D61" s="75" t="n"/>
      <c r="E61" s="76" t="n"/>
      <c r="F61" s="76" t="n"/>
      <c r="G61" s="76" t="n"/>
      <c r="H61" s="116" t="inlineStr">
        <is>
          <t>X</t>
        </is>
      </c>
      <c r="I61" s="116" t="inlineStr">
        <is>
          <t>X</t>
        </is>
      </c>
      <c r="J61" s="64" t="n"/>
    </row>
    <row r="62" outlineLevel="3" s="462">
      <c r="A62" s="63" t="n"/>
      <c r="B62" s="115" t="inlineStr">
        <is>
          <t>Centralina Assieme MOCU</t>
        </is>
      </c>
      <c r="C62" s="375" t="inlineStr">
        <is>
          <t>HW04821017-00</t>
        </is>
      </c>
      <c r="D62" s="75" t="n"/>
      <c r="E62" s="76" t="n"/>
      <c r="F62" s="76" t="n"/>
      <c r="G62" s="76" t="n"/>
      <c r="H62" s="116" t="inlineStr">
        <is>
          <t>X</t>
        </is>
      </c>
      <c r="I62" s="116" t="inlineStr">
        <is>
          <t>X</t>
        </is>
      </c>
      <c r="J62" s="64" t="n"/>
    </row>
    <row r="63" outlineLevel="3" collapsed="1" s="462">
      <c r="A63" s="63" t="n"/>
      <c r="B63" s="115" t="inlineStr">
        <is>
          <t>Modulo IGBT</t>
        </is>
      </c>
      <c r="C63" s="375" t="inlineStr">
        <is>
          <t>EC030020031</t>
        </is>
      </c>
      <c r="D63" s="75" t="n"/>
      <c r="E63" s="76" t="n"/>
      <c r="F63" s="76" t="n"/>
      <c r="G63" s="76" t="n"/>
      <c r="H63" s="116" t="inlineStr">
        <is>
          <t>X</t>
        </is>
      </c>
      <c r="I63" s="116" t="inlineStr">
        <is>
          <t>X</t>
        </is>
      </c>
      <c r="J63" s="64" t="n"/>
    </row>
    <row r="64" outlineLevel="1" s="462">
      <c r="A64" s="68" t="n"/>
      <c r="B64" s="69" t="inlineStr">
        <is>
          <t>SEZIONE LCM (LINEA AC)</t>
        </is>
      </c>
      <c r="C64" s="378" t="n"/>
      <c r="D64" s="113" t="inlineStr">
        <is>
          <t>..</t>
        </is>
      </c>
      <c r="E64" s="101" t="inlineStr">
        <is>
          <t>..</t>
        </is>
      </c>
      <c r="F64" s="101" t="inlineStr">
        <is>
          <t>..</t>
        </is>
      </c>
      <c r="G64" s="101" t="inlineStr">
        <is>
          <t>..</t>
        </is>
      </c>
      <c r="H64" s="101" t="inlineStr">
        <is>
          <t>..</t>
        </is>
      </c>
      <c r="I64" s="101" t="inlineStr">
        <is>
          <t>..</t>
        </is>
      </c>
      <c r="J64" s="114" t="inlineStr">
        <is>
          <t>..</t>
        </is>
      </c>
    </row>
    <row r="65" outlineLevel="2" ht="30" customHeight="1" s="462">
      <c r="A65" s="63" t="n"/>
      <c r="B65" s="64" t="inlineStr">
        <is>
          <t>Modulo convertitore LCM (15/15 WL V06)</t>
        </is>
      </c>
      <c r="C65" s="322" t="inlineStr">
        <is>
          <t>3EST000222-0610</t>
        </is>
      </c>
      <c r="D65" s="63" t="inlineStr">
        <is>
          <t>DM1-M3-M6-DM8</t>
        </is>
      </c>
      <c r="E65" s="10" t="inlineStr">
        <is>
          <t>DM1-M3-M6-DM8</t>
        </is>
      </c>
      <c r="J65" s="64" t="n"/>
    </row>
    <row r="66" outlineLevel="3" ht="30" customHeight="1" s="462">
      <c r="A66" s="63" t="n"/>
      <c r="B66" s="64" t="inlineStr">
        <is>
          <t>Centralina DCU</t>
        </is>
      </c>
      <c r="C66" s="322" t="inlineStr">
        <is>
          <t>3EST000222-1018</t>
        </is>
      </c>
      <c r="D66" s="63" t="inlineStr">
        <is>
          <t>DM1-M3-M6-DM8</t>
        </is>
      </c>
      <c r="E66" s="10" t="inlineStr">
        <is>
          <t>DM1-M3-M6-DM8</t>
        </is>
      </c>
      <c r="J66" s="64" t="n"/>
    </row>
    <row r="67" outlineLevel="3" ht="30" customHeight="1" s="462">
      <c r="A67" s="63" t="n"/>
      <c r="B67" s="64" t="inlineStr">
        <is>
          <t>Modulo IGBT</t>
        </is>
      </c>
      <c r="C67" s="322" t="inlineStr">
        <is>
          <t>3EST000214-9825</t>
        </is>
      </c>
      <c r="D67" s="63" t="inlineStr">
        <is>
          <t>DM1-M3-M6-DM8</t>
        </is>
      </c>
      <c r="E67" s="10" t="inlineStr">
        <is>
          <t>DM1-M3-M6-DM8</t>
        </is>
      </c>
      <c r="J67" s="64" t="n"/>
    </row>
    <row r="68" outlineLevel="2" s="462">
      <c r="A68" s="63" t="n"/>
      <c r="B68" s="115" t="inlineStr">
        <is>
          <t>Modulo convertitore LCM</t>
        </is>
      </c>
      <c r="C68" s="375" t="inlineStr">
        <is>
          <t>3EST000222-0610-HR</t>
        </is>
      </c>
      <c r="D68" s="75" t="n"/>
      <c r="E68" s="76" t="n"/>
      <c r="F68" s="76" t="n"/>
      <c r="G68" s="76" t="n"/>
      <c r="H68" s="116" t="inlineStr">
        <is>
          <t>X</t>
        </is>
      </c>
      <c r="I68" s="116" t="inlineStr">
        <is>
          <t>X</t>
        </is>
      </c>
      <c r="J68" s="64" t="n"/>
    </row>
    <row r="69" outlineLevel="3" s="462">
      <c r="A69" s="63" t="n"/>
      <c r="B69" s="71" t="inlineStr">
        <is>
          <t>Centralina DCU/L</t>
        </is>
      </c>
      <c r="C69" s="379" t="inlineStr">
        <is>
          <t>3EST000299-9665-HR</t>
        </is>
      </c>
      <c r="D69" s="70" t="n"/>
      <c r="E69" s="79" t="n"/>
      <c r="F69" s="79" t="n"/>
      <c r="G69" s="79" t="n"/>
      <c r="H69" s="79" t="inlineStr">
        <is>
          <t>X</t>
        </is>
      </c>
      <c r="I69" s="79" t="inlineStr">
        <is>
          <t>X</t>
        </is>
      </c>
      <c r="J69" s="64" t="n"/>
    </row>
    <row r="70" outlineLevel="3" collapsed="1" s="462">
      <c r="A70" s="63" t="n"/>
      <c r="B70" s="115" t="inlineStr">
        <is>
          <t>Modulo IGBT</t>
        </is>
      </c>
      <c r="C70" s="375" t="inlineStr">
        <is>
          <t>3EST000223-1474-HR</t>
        </is>
      </c>
      <c r="D70" s="75" t="n"/>
      <c r="E70" s="76" t="n"/>
      <c r="F70" s="76" t="n"/>
      <c r="G70" s="76" t="n"/>
      <c r="H70" s="116" t="inlineStr">
        <is>
          <t>X</t>
        </is>
      </c>
      <c r="I70" s="116" t="inlineStr">
        <is>
          <t>X</t>
        </is>
      </c>
      <c r="J70" s="64" t="n"/>
    </row>
    <row r="71" outlineLevel="1" s="462">
      <c r="A71" s="68" t="n"/>
      <c r="B71" s="69" t="inlineStr">
        <is>
          <t>SEZIONE CCM (LINEA DC)</t>
        </is>
      </c>
      <c r="C71" s="378" t="n"/>
      <c r="D71" s="113" t="inlineStr">
        <is>
          <t>..</t>
        </is>
      </c>
      <c r="E71" s="101" t="inlineStr">
        <is>
          <t>..</t>
        </is>
      </c>
      <c r="F71" s="101" t="inlineStr">
        <is>
          <t>..</t>
        </is>
      </c>
      <c r="G71" s="101" t="inlineStr">
        <is>
          <t>..</t>
        </is>
      </c>
      <c r="H71" s="101" t="inlineStr">
        <is>
          <t>..</t>
        </is>
      </c>
      <c r="I71" s="101" t="inlineStr">
        <is>
          <t>..</t>
        </is>
      </c>
      <c r="J71" s="114" t="inlineStr">
        <is>
          <t>..</t>
        </is>
      </c>
    </row>
    <row r="72" outlineLevel="2" ht="30" customHeight="1" s="462">
      <c r="A72" s="63" t="n"/>
      <c r="B72" s="64" t="inlineStr">
        <is>
          <t>Modulo Convertitore CCM (30/07 WC V01)</t>
        </is>
      </c>
      <c r="C72" s="322" t="inlineStr">
        <is>
          <t>3EST000222-1010</t>
        </is>
      </c>
      <c r="D72" s="63" t="inlineStr">
        <is>
          <t>DM1-M3-M6-DM8</t>
        </is>
      </c>
      <c r="E72" s="10" t="inlineStr">
        <is>
          <t>DM1-M3-M6-DM8</t>
        </is>
      </c>
      <c r="J72" s="64" t="n"/>
    </row>
    <row r="73" outlineLevel="3" ht="30" customHeight="1" s="462">
      <c r="A73" s="63" t="n"/>
      <c r="B73" s="64" t="inlineStr">
        <is>
          <t>Centralina DCU/C</t>
        </is>
      </c>
      <c r="C73" s="322" t="inlineStr">
        <is>
          <t>3EST000222-1018</t>
        </is>
      </c>
      <c r="D73" s="63" t="inlineStr">
        <is>
          <t>DM1-M3-M6-DM8</t>
        </is>
      </c>
      <c r="E73" s="10" t="inlineStr">
        <is>
          <t>DM1-M3-M6-DM8</t>
        </is>
      </c>
      <c r="J73" s="64" t="n"/>
    </row>
    <row r="74" outlineLevel="3" ht="30" customHeight="1" s="462">
      <c r="A74" s="63" t="n"/>
      <c r="B74" s="64" t="inlineStr">
        <is>
          <t>Modulo IGBT</t>
        </is>
      </c>
      <c r="C74" s="322" t="inlineStr">
        <is>
          <t>3EST000214-9948</t>
        </is>
      </c>
      <c r="D74" s="63" t="inlineStr">
        <is>
          <t>DM1-M3-M6-DM8</t>
        </is>
      </c>
      <c r="E74" s="10" t="inlineStr">
        <is>
          <t>DM1-M3-M6-DM8</t>
        </is>
      </c>
      <c r="J74" s="64" t="n"/>
    </row>
    <row r="75" outlineLevel="2" s="462">
      <c r="A75" s="63" t="n"/>
      <c r="B75" s="115" t="inlineStr">
        <is>
          <t>Modulo convertitore CCM</t>
        </is>
      </c>
      <c r="C75" s="375" t="inlineStr">
        <is>
          <t>HW02250827-00</t>
        </is>
      </c>
      <c r="D75" s="75" t="n"/>
      <c r="E75" s="76" t="n"/>
      <c r="F75" s="76" t="n"/>
      <c r="G75" s="76" t="n"/>
      <c r="H75" s="116" t="inlineStr">
        <is>
          <t>X</t>
        </is>
      </c>
      <c r="I75" s="116" t="inlineStr">
        <is>
          <t>X</t>
        </is>
      </c>
      <c r="J75" s="64" t="n"/>
    </row>
    <row r="76" outlineLevel="3" s="462">
      <c r="A76" s="63" t="n"/>
      <c r="B76" s="115" t="inlineStr">
        <is>
          <t>Centralina Assieme MOCU</t>
        </is>
      </c>
      <c r="C76" s="375" t="inlineStr">
        <is>
          <t>HW05869752-00</t>
        </is>
      </c>
      <c r="D76" s="75" t="n"/>
      <c r="E76" s="76" t="n"/>
      <c r="F76" s="76" t="n"/>
      <c r="G76" s="76" t="n"/>
      <c r="H76" s="116" t="inlineStr">
        <is>
          <t>X</t>
        </is>
      </c>
      <c r="I76" s="116" t="inlineStr">
        <is>
          <t>X</t>
        </is>
      </c>
      <c r="J76" s="64" t="n"/>
    </row>
    <row r="77" outlineLevel="3" collapsed="1" s="462">
      <c r="A77" s="63" t="n"/>
      <c r="B77" s="115" t="inlineStr">
        <is>
          <t>Modulo IGBT</t>
        </is>
      </c>
      <c r="C77" s="375" t="inlineStr">
        <is>
          <t>EC030020031</t>
        </is>
      </c>
      <c r="D77" s="75" t="n"/>
      <c r="E77" s="76" t="n"/>
      <c r="F77" s="76" t="n"/>
      <c r="G77" s="76" t="n"/>
      <c r="H77" s="116" t="inlineStr">
        <is>
          <t>X</t>
        </is>
      </c>
      <c r="I77" s="116" t="inlineStr">
        <is>
          <t>X</t>
        </is>
      </c>
      <c r="J77" s="64" t="n"/>
    </row>
    <row r="78" outlineLevel="1" s="462">
      <c r="A78" s="68" t="n"/>
      <c r="B78" s="69" t="inlineStr">
        <is>
          <t>SEZIONE CS (RAFFREDDAMENTO)</t>
        </is>
      </c>
      <c r="C78" s="378" t="n"/>
      <c r="D78" s="113" t="inlineStr">
        <is>
          <t>..</t>
        </is>
      </c>
      <c r="E78" s="101" t="inlineStr">
        <is>
          <t>..</t>
        </is>
      </c>
      <c r="F78" s="101" t="inlineStr">
        <is>
          <t>..</t>
        </is>
      </c>
      <c r="G78" s="101" t="inlineStr">
        <is>
          <t>..</t>
        </is>
      </c>
      <c r="H78" s="101" t="inlineStr">
        <is>
          <t>..</t>
        </is>
      </c>
      <c r="I78" s="101" t="inlineStr">
        <is>
          <t>..</t>
        </is>
      </c>
      <c r="J78" s="114" t="inlineStr">
        <is>
          <t>..</t>
        </is>
      </c>
    </row>
    <row r="79" outlineLevel="2" ht="30" customHeight="1" s="462">
      <c r="A79" s="63" t="n"/>
      <c r="B79" s="64" t="inlineStr">
        <is>
          <t>Modulo raffreddamento</t>
        </is>
      </c>
      <c r="C79" s="322" t="inlineStr">
        <is>
          <t>3EST000225-0304</t>
        </is>
      </c>
      <c r="D79" s="63" t="inlineStr">
        <is>
          <t>DM1-M3-M6-DM8</t>
        </is>
      </c>
      <c r="E79" s="10" t="inlineStr">
        <is>
          <t>DM1-M3-M6-DM8</t>
        </is>
      </c>
      <c r="H79" s="10" t="inlineStr">
        <is>
          <t>X</t>
        </is>
      </c>
      <c r="I79" s="10" t="inlineStr">
        <is>
          <t>X</t>
        </is>
      </c>
      <c r="J79" s="64" t="n"/>
    </row>
    <row r="80" outlineLevel="1" s="462">
      <c r="A80" s="68" t="n"/>
      <c r="B80" s="69" t="inlineStr">
        <is>
          <t>SEZIONE AE (AUSILIARI)</t>
        </is>
      </c>
      <c r="C80" s="378" t="n"/>
      <c r="D80" s="113" t="inlineStr">
        <is>
          <t>..</t>
        </is>
      </c>
      <c r="E80" s="101" t="inlineStr">
        <is>
          <t>..</t>
        </is>
      </c>
      <c r="F80" s="101" t="inlineStr">
        <is>
          <t>..</t>
        </is>
      </c>
      <c r="G80" s="101" t="inlineStr">
        <is>
          <t>..</t>
        </is>
      </c>
      <c r="H80" s="101" t="inlineStr">
        <is>
          <t>..</t>
        </is>
      </c>
      <c r="I80" s="101" t="inlineStr">
        <is>
          <t>..</t>
        </is>
      </c>
      <c r="J80" s="114" t="inlineStr">
        <is>
          <t>..</t>
        </is>
      </c>
    </row>
    <row r="81" outlineLevel="2" ht="30" customHeight="1" s="462">
      <c r="A81" s="63" t="n"/>
      <c r="B81" s="64" t="inlineStr">
        <is>
          <t>Modulo convertitore ACM</t>
        </is>
      </c>
      <c r="C81" s="322" t="inlineStr">
        <is>
          <t>3EST000222-0910</t>
        </is>
      </c>
      <c r="D81" s="63" t="inlineStr">
        <is>
          <t>DM1-M3-M6-DM8</t>
        </is>
      </c>
      <c r="E81" s="10" t="inlineStr">
        <is>
          <t>DM1-M3-M6-DM8</t>
        </is>
      </c>
      <c r="J81" s="64" t="n"/>
    </row>
    <row r="82" outlineLevel="3" ht="30" customHeight="1" s="462">
      <c r="A82" s="63" t="n"/>
      <c r="B82" s="64" t="inlineStr">
        <is>
          <t>Centralina DCU</t>
        </is>
      </c>
      <c r="C82" s="322" t="inlineStr">
        <is>
          <t>3EST000222-1018</t>
        </is>
      </c>
      <c r="D82" s="63" t="inlineStr">
        <is>
          <t>DM1-M3-M6-DM8</t>
        </is>
      </c>
      <c r="E82" s="10" t="inlineStr">
        <is>
          <t>DM1-M3-M6-DM8</t>
        </is>
      </c>
      <c r="J82" s="64" t="n"/>
    </row>
    <row r="83" outlineLevel="3" ht="30" customHeight="1" s="462">
      <c r="A83" s="63" t="n"/>
      <c r="B83" s="64" t="inlineStr">
        <is>
          <t>Modulo IGBT</t>
        </is>
      </c>
      <c r="C83" s="379" t="inlineStr">
        <is>
          <t>3EST000214-9948</t>
        </is>
      </c>
      <c r="D83" s="63" t="inlineStr">
        <is>
          <t>DM1-M3-M6-DM8</t>
        </is>
      </c>
      <c r="E83" s="10" t="inlineStr">
        <is>
          <t>DM1-M3-M6-DM8</t>
        </is>
      </c>
      <c r="J83" s="64" t="n"/>
    </row>
    <row r="84" outlineLevel="2" s="462">
      <c r="A84" s="63" t="n"/>
      <c r="B84" s="115" t="inlineStr">
        <is>
          <t>Modulo convertitore ACM</t>
        </is>
      </c>
      <c r="C84" s="375" t="inlineStr">
        <is>
          <t>3EST000222-0910-HR</t>
        </is>
      </c>
      <c r="D84" s="75" t="n"/>
      <c r="E84" s="76" t="n"/>
      <c r="F84" s="76" t="n"/>
      <c r="G84" s="76" t="n"/>
      <c r="H84" s="116" t="inlineStr">
        <is>
          <t>X</t>
        </is>
      </c>
      <c r="I84" s="116" t="inlineStr">
        <is>
          <t>X</t>
        </is>
      </c>
      <c r="J84" s="64" t="n"/>
    </row>
    <row r="85" outlineLevel="3" s="462">
      <c r="A85" s="63" t="n"/>
      <c r="B85" s="71" t="inlineStr">
        <is>
          <t>Centralina DCU</t>
        </is>
      </c>
      <c r="C85" s="379" t="inlineStr">
        <is>
          <t>???</t>
        </is>
      </c>
      <c r="D85" s="70" t="n"/>
      <c r="E85" s="79" t="n"/>
      <c r="F85" s="79" t="n"/>
      <c r="G85" s="79" t="n"/>
      <c r="H85" s="79" t="inlineStr">
        <is>
          <t>X</t>
        </is>
      </c>
      <c r="I85" s="79" t="inlineStr">
        <is>
          <t>X</t>
        </is>
      </c>
      <c r="J85" s="64" t="n"/>
    </row>
    <row r="86" outlineLevel="3" collapsed="1" s="462">
      <c r="A86" s="63" t="n"/>
      <c r="B86" s="71" t="inlineStr">
        <is>
          <t>Modulo IGBT</t>
        </is>
      </c>
      <c r="C86" s="379" t="inlineStr">
        <is>
          <t>???</t>
        </is>
      </c>
      <c r="D86" s="70" t="n"/>
      <c r="E86" s="79" t="n"/>
      <c r="F86" s="79" t="n"/>
      <c r="G86" s="79" t="n"/>
      <c r="H86" s="79" t="inlineStr">
        <is>
          <t>X</t>
        </is>
      </c>
      <c r="I86" s="79" t="inlineStr">
        <is>
          <t>X</t>
        </is>
      </c>
      <c r="J86" s="64" t="n"/>
    </row>
    <row r="87">
      <c r="A87" s="63" t="n"/>
      <c r="B87" s="64" t="n"/>
      <c r="C87" s="322" t="n"/>
      <c r="D87" s="63" t="n"/>
      <c r="J87" s="64" t="n"/>
    </row>
    <row r="88">
      <c r="A88" s="63" t="n"/>
      <c r="B88" s="64" t="n"/>
      <c r="C88" s="322" t="n"/>
      <c r="D88" s="63" t="n"/>
      <c r="J88" s="64" t="n"/>
    </row>
    <row r="89">
      <c r="A89" s="63" t="n"/>
      <c r="B89" s="64" t="n"/>
      <c r="C89" s="322" t="n"/>
      <c r="D89" s="63" t="n"/>
      <c r="J89" s="64" t="n"/>
    </row>
    <row r="90">
      <c r="A90" s="63" t="n"/>
      <c r="B90" s="64" t="n"/>
      <c r="C90" s="322" t="n"/>
      <c r="D90" s="63" t="n"/>
      <c r="J90" s="64" t="n"/>
    </row>
    <row r="91">
      <c r="A91" s="63" t="n"/>
      <c r="B91" s="64" t="inlineStr">
        <is>
          <t>Antincendio DM1</t>
        </is>
      </c>
      <c r="C91" s="322" t="inlineStr">
        <is>
          <t>3ECP502022-0001</t>
        </is>
      </c>
      <c r="D91" s="63" t="n"/>
      <c r="J91" s="64" t="n"/>
    </row>
    <row r="92">
      <c r="A92" s="63" t="n"/>
      <c r="B92" s="64" t="inlineStr">
        <is>
          <t>UNITA' MAU 150/80</t>
        </is>
      </c>
      <c r="C92" s="322" t="inlineStr">
        <is>
          <t>3ECP502624-0001</t>
        </is>
      </c>
      <c r="D92" s="63" t="n"/>
      <c r="J92" s="64" t="n"/>
    </row>
    <row r="93" ht="30" customHeight="1" s="462">
      <c r="A93" s="63" t="n"/>
      <c r="B93" s="64" t="inlineStr">
        <is>
          <t>SISTEMA DI RILEVAMENTO</t>
        </is>
      </c>
      <c r="C93" s="322" t="inlineStr">
        <is>
          <t>000203-UMN002-0001.1.A-DM1</t>
        </is>
      </c>
      <c r="D93" s="63" t="n"/>
      <c r="J93" s="64" t="n"/>
    </row>
    <row r="94">
      <c r="A94" s="63" t="n"/>
      <c r="B94" s="64" t="inlineStr">
        <is>
          <t>SISTEMA AEROSOL</t>
        </is>
      </c>
      <c r="C94" s="322" t="inlineStr">
        <is>
          <t>985-MCO72318</t>
        </is>
      </c>
      <c r="D94" s="63" t="n"/>
      <c r="J94" s="64" t="n"/>
    </row>
    <row r="95">
      <c r="A95" s="63" t="n"/>
      <c r="B95" s="64" t="inlineStr">
        <is>
          <t>Antincendio DM8</t>
        </is>
      </c>
      <c r="C95" s="322" t="inlineStr">
        <is>
          <t>3EGH489009-5958</t>
        </is>
      </c>
      <c r="D95" s="63" t="n"/>
      <c r="J95" s="64" t="n"/>
    </row>
    <row r="96">
      <c r="A96" s="63" t="n"/>
      <c r="B96" s="64" t="inlineStr">
        <is>
          <t>UNITA' MAU 150/80</t>
        </is>
      </c>
      <c r="C96" s="322" t="inlineStr">
        <is>
          <t>3ECP502624-0001</t>
        </is>
      </c>
      <c r="D96" s="63" t="n"/>
      <c r="J96" s="64" t="n"/>
    </row>
    <row r="97" ht="30" customHeight="1" s="462">
      <c r="A97" s="63" t="n"/>
      <c r="B97" s="64" t="inlineStr">
        <is>
          <t>SISTEMA DI RILEVAMENTO</t>
        </is>
      </c>
      <c r="C97" s="322" t="inlineStr">
        <is>
          <t>000203-UMN002-0001.1.A-DM8</t>
        </is>
      </c>
      <c r="D97" s="63" t="n"/>
      <c r="J97" s="64" t="n"/>
    </row>
    <row r="98">
      <c r="A98" s="63" t="n"/>
      <c r="B98" s="64" t="inlineStr">
        <is>
          <t>SISTEMA AEROSOL</t>
        </is>
      </c>
      <c r="C98" s="322" t="inlineStr">
        <is>
          <t>985-MCO72318</t>
        </is>
      </c>
      <c r="D98" s="63" t="n"/>
      <c r="J98" s="64" t="n"/>
    </row>
    <row r="99">
      <c r="A99" s="63" t="n"/>
      <c r="B99" s="64" t="n"/>
      <c r="C99" s="322" t="n"/>
      <c r="D99" s="63" t="n"/>
      <c r="J99" s="64" t="n"/>
    </row>
    <row r="100">
      <c r="A100" s="182" t="n"/>
      <c r="B100" s="65" t="n"/>
      <c r="C100" s="340" t="n"/>
      <c r="D100" s="182" t="n"/>
      <c r="E100" s="66" t="n"/>
      <c r="F100" s="66" t="n"/>
      <c r="G100" s="66" t="n"/>
      <c r="H100" s="66" t="n"/>
      <c r="I100" s="66" t="n"/>
      <c r="J100" s="65" t="n"/>
    </row>
  </sheetData>
  <autoFilter ref="A2:J86"/>
  <mergeCells count="4">
    <mergeCell ref="D1:J1"/>
    <mergeCell ref="C1:C2"/>
    <mergeCell ref="B1:B2"/>
    <mergeCell ref="A1:A2"/>
  </mergeCells>
  <pageMargins left="0.7" right="0.7" top="0.75" bottom="0.75" header="0.3" footer="0.3"/>
  <pageSetup orientation="portrait" paperSize="9" verticalDpi="0"/>
</worksheet>
</file>

<file path=xl/worksheets/sheet12.xml><?xml version="1.0" encoding="utf-8"?>
<worksheet xmlns="http://schemas.openxmlformats.org/spreadsheetml/2006/main">
  <sheetPr codeName="Foglio9">
    <outlinePr summaryBelow="1" summaryRight="1"/>
    <pageSetUpPr/>
  </sheetPr>
  <dimension ref="A1:Z50"/>
  <sheetViews>
    <sheetView zoomScale="85" zoomScaleNormal="85" workbookViewId="0">
      <pane xSplit="2" ySplit="1" topLeftCell="C2" activePane="bottomRight" state="frozen"/>
      <selection pane="topRight" activeCell="C1" sqref="C1"/>
      <selection pane="bottomLeft" activeCell="A2" sqref="A2"/>
      <selection pane="bottomRight" activeCell="I6" sqref="I6"/>
    </sheetView>
  </sheetViews>
  <sheetFormatPr baseColWidth="8" defaultRowHeight="14.5"/>
  <cols>
    <col width="17.81640625" customWidth="1" style="462" min="1" max="1"/>
    <col width="14.453125" customWidth="1" style="462" min="2" max="2"/>
    <col width="18.453125" customWidth="1" style="462" min="3" max="3"/>
    <col width="15.81640625" customWidth="1" style="462" min="4" max="4"/>
    <col width="19.453125" customWidth="1" style="462" min="5" max="6"/>
    <col width="14.453125" customWidth="1" style="462" min="7" max="7"/>
    <col width="16.453125" customWidth="1" style="462" min="8" max="8"/>
    <col width="23.81640625" customWidth="1" style="462" min="9" max="9"/>
    <col width="21.81640625" customWidth="1" style="462" min="10" max="10"/>
    <col width="11.453125" customWidth="1" style="462" min="11" max="11"/>
    <col width="15.54296875" customWidth="1" style="462" min="12" max="12"/>
    <col width="19.81640625" customWidth="1" style="462" min="13" max="13"/>
    <col width="21.54296875" customWidth="1" style="462" min="14" max="14"/>
    <col width="12.1796875" customWidth="1" style="462" min="15" max="15"/>
    <col width="15.54296875" customWidth="1" style="462" min="16" max="16"/>
    <col width="24.54296875" customWidth="1" style="462" min="17" max="17"/>
    <col width="26.81640625" customWidth="1" style="462" min="18" max="18"/>
    <col width="15.1796875" customWidth="1" style="462" min="20" max="20"/>
    <col width="25.1796875" customWidth="1" style="462" min="21" max="21"/>
    <col width="20.1796875" customWidth="1" style="462" min="22" max="22"/>
    <col width="10" bestFit="1" customWidth="1" style="462" min="23" max="23"/>
    <col width="15.453125" customWidth="1" style="462" min="24" max="24"/>
    <col width="20.453125" customWidth="1" style="462" min="25" max="25"/>
    <col width="25.81640625" customWidth="1" style="462" min="26" max="26"/>
  </cols>
  <sheetData>
    <row r="1" ht="15.75" customHeight="1" s="462" thickBot="1">
      <c r="C1" s="482" t="inlineStr">
        <is>
          <t>IT 50 treni (flotta base)</t>
        </is>
      </c>
      <c r="D1" s="456" t="n"/>
      <c r="E1" s="456" t="n"/>
      <c r="F1" s="483" t="n"/>
      <c r="G1" s="482" t="inlineStr">
        <is>
          <t>IT 8 treni (51-58)</t>
        </is>
      </c>
      <c r="H1" s="456" t="n"/>
      <c r="I1" s="456" t="n"/>
      <c r="J1" s="483" t="n"/>
      <c r="K1" s="482" t="inlineStr">
        <is>
          <t>IT 6+30 treni (101-136)</t>
        </is>
      </c>
      <c r="L1" s="456" t="n"/>
      <c r="M1" s="456" t="n"/>
      <c r="N1" s="483" t="n"/>
      <c r="O1" s="482" t="inlineStr">
        <is>
          <t>I-FR 9 treni</t>
        </is>
      </c>
      <c r="P1" s="456" t="n"/>
      <c r="Q1" s="456" t="n"/>
      <c r="R1" s="483" t="n"/>
      <c r="S1" s="482" t="inlineStr">
        <is>
          <t>DAI 9 treni</t>
        </is>
      </c>
      <c r="T1" s="456" t="n"/>
      <c r="U1" s="456" t="n"/>
      <c r="V1" s="483" t="n"/>
      <c r="W1" s="482" t="inlineStr">
        <is>
          <t>ES 20 treni</t>
        </is>
      </c>
      <c r="X1" s="456" t="n"/>
      <c r="Y1" s="456" t="n"/>
      <c r="Z1" s="483" t="n"/>
    </row>
    <row r="2" ht="15.75" customHeight="1" s="462" thickBot="1">
      <c r="A2" s="484" t="inlineStr">
        <is>
          <t>Sottosistema</t>
        </is>
      </c>
      <c r="B2" s="457" t="n"/>
      <c r="C2" s="12" t="inlineStr">
        <is>
          <t>P/N</t>
        </is>
      </c>
      <c r="D2" s="13" t="inlineStr">
        <is>
          <t>Id</t>
        </is>
      </c>
      <c r="E2" s="13" t="inlineStr">
        <is>
          <t>P/N</t>
        </is>
      </c>
      <c r="F2" s="14" t="inlineStr">
        <is>
          <t>Descrizione</t>
        </is>
      </c>
      <c r="G2" s="15" t="inlineStr">
        <is>
          <t>P/N</t>
        </is>
      </c>
      <c r="H2" s="13" t="inlineStr">
        <is>
          <t>Id</t>
        </is>
      </c>
      <c r="I2" s="13" t="inlineStr">
        <is>
          <t>P/N</t>
        </is>
      </c>
      <c r="J2" s="14" t="inlineStr">
        <is>
          <t>Descrizione</t>
        </is>
      </c>
      <c r="K2" s="15" t="inlineStr">
        <is>
          <t>P/N</t>
        </is>
      </c>
      <c r="L2" s="13" t="inlineStr">
        <is>
          <t>Id</t>
        </is>
      </c>
      <c r="M2" s="13" t="inlineStr">
        <is>
          <t>P/N</t>
        </is>
      </c>
      <c r="N2" s="14" t="inlineStr">
        <is>
          <t>Descrizione</t>
        </is>
      </c>
      <c r="O2" s="15" t="inlineStr">
        <is>
          <t>P/N</t>
        </is>
      </c>
      <c r="P2" s="13" t="inlineStr">
        <is>
          <t>Id</t>
        </is>
      </c>
      <c r="Q2" s="13" t="inlineStr">
        <is>
          <t>P/N</t>
        </is>
      </c>
      <c r="R2" s="14" t="inlineStr">
        <is>
          <t>Descrizione</t>
        </is>
      </c>
      <c r="S2" s="15" t="inlineStr">
        <is>
          <t>P/N</t>
        </is>
      </c>
      <c r="T2" s="13" t="inlineStr">
        <is>
          <t>Id</t>
        </is>
      </c>
      <c r="U2" s="13" t="inlineStr">
        <is>
          <t>P/N</t>
        </is>
      </c>
      <c r="V2" s="14" t="inlineStr">
        <is>
          <t>Descrizione</t>
        </is>
      </c>
      <c r="W2" s="15" t="inlineStr">
        <is>
          <t>P/N</t>
        </is>
      </c>
      <c r="X2" s="13" t="inlineStr">
        <is>
          <t>Id</t>
        </is>
      </c>
      <c r="Y2" s="13" t="inlineStr">
        <is>
          <t>P/N</t>
        </is>
      </c>
      <c r="Z2" s="14" t="inlineStr">
        <is>
          <t>Descrizione</t>
        </is>
      </c>
    </row>
    <row r="3" ht="286.5" customHeight="1" s="462">
      <c r="A3" s="499" t="inlineStr">
        <is>
          <t>Carrelli</t>
        </is>
      </c>
      <c r="B3" s="481" t="inlineStr">
        <is>
          <t>Motori</t>
        </is>
      </c>
      <c r="C3" s="472" t="inlineStr">
        <is>
          <t>100360301
100360302
100360303
100360304</t>
        </is>
      </c>
      <c r="D3" s="380" t="inlineStr">
        <is>
          <t>Sala Montata</t>
        </is>
      </c>
      <c r="E3" s="10" t="inlineStr">
        <is>
          <t>100360402
100360403</t>
        </is>
      </c>
      <c r="F3" s="17" t="inlineStr">
        <is>
          <t>Sensoristica ERTMS-SCMT carrelli DM
Sala senza boccole: 100360064</t>
        </is>
      </c>
      <c r="G3" s="472" t="inlineStr">
        <is>
          <t>100360301
100360302
100360303
100360304</t>
        </is>
      </c>
      <c r="H3" s="380" t="inlineStr">
        <is>
          <t>Sala Montata</t>
        </is>
      </c>
      <c r="I3" s="10" t="inlineStr">
        <is>
          <t>100360402
100360403</t>
        </is>
      </c>
      <c r="J3" s="17" t="inlineStr">
        <is>
          <t>Sensoristica ERTMS-SCMT carrelli DM
Sala senza boccole: 100360064</t>
        </is>
      </c>
      <c r="K3" s="497" t="inlineStr">
        <is>
          <t>100360301
100360302
100360303
100360304
(EN45545)</t>
        </is>
      </c>
      <c r="L3" s="381" t="inlineStr">
        <is>
          <t>Sala Montata</t>
        </is>
      </c>
      <c r="M3" s="18" t="inlineStr">
        <is>
          <t>100360402
100360403</t>
        </is>
      </c>
      <c r="N3" s="19" t="inlineStr">
        <is>
          <t>Sensoristica ERTMS-SCMT carrelli DM</t>
        </is>
      </c>
      <c r="O3" s="472" t="inlineStr">
        <is>
          <t>100329688
100329689
100360303
100360304</t>
        </is>
      </c>
      <c r="P3" s="380" t="inlineStr">
        <is>
          <t>Sala Montata</t>
        </is>
      </c>
      <c r="Q3" s="422" t="n"/>
      <c r="R3" s="20" t="inlineStr">
        <is>
          <t>Sensoristica ERTMS-SCMT, Memor brush, ETCS antenna su carrelli ant. DM1/8
Sensori Wiegand su post. DM1/8
Sensori Wiegand su ant. TT2/7
Sala senza boccole: 100360064</t>
        </is>
      </c>
      <c r="S3" s="480" t="n"/>
      <c r="T3" s="382" t="inlineStr">
        <is>
          <t>Sala Montata</t>
        </is>
      </c>
      <c r="U3" s="383" t="n"/>
      <c r="V3" s="21" t="inlineStr">
        <is>
          <t>tbd sensori boccola DM</t>
        </is>
      </c>
      <c r="W3" s="472" t="inlineStr">
        <is>
          <t>DM: 100437987
100470644</t>
        </is>
      </c>
      <c r="X3" s="380" t="inlineStr">
        <is>
          <t>Sala Montata</t>
        </is>
      </c>
      <c r="Y3" s="422" t="n"/>
      <c r="Z3" s="17" t="inlineStr">
        <is>
          <t>Sensoristica ETCS-ASFA-LZB carrelli DM</t>
        </is>
      </c>
    </row>
    <row r="4">
      <c r="A4" s="476" t="n"/>
      <c r="C4" s="473" t="n"/>
      <c r="D4" s="384" t="inlineStr">
        <is>
          <t>Riduttore</t>
        </is>
      </c>
      <c r="E4" s="385" t="n">
        <v>13900244911</v>
      </c>
      <c r="F4" s="22" t="n"/>
      <c r="G4" s="473" t="n"/>
      <c r="H4" s="384" t="inlineStr">
        <is>
          <t>Riduttore</t>
        </is>
      </c>
      <c r="I4" s="385" t="n">
        <v>13900244911</v>
      </c>
      <c r="J4" s="22" t="n"/>
      <c r="K4" s="473" t="n"/>
      <c r="L4" s="386" t="inlineStr">
        <is>
          <t>Riduttore</t>
        </is>
      </c>
      <c r="M4" s="387" t="n">
        <v>13900244911</v>
      </c>
      <c r="N4" s="23" t="n"/>
      <c r="O4" s="473" t="n"/>
      <c r="P4" s="384" t="inlineStr">
        <is>
          <t>Riduttore</t>
        </is>
      </c>
      <c r="Q4" s="388" t="n">
        <v>13900244911</v>
      </c>
      <c r="R4" s="22" t="n"/>
      <c r="S4" s="473" t="n"/>
      <c r="T4" s="389" t="inlineStr">
        <is>
          <t>Riduttore</t>
        </is>
      </c>
      <c r="U4" s="390" t="n">
        <v>13900244911</v>
      </c>
      <c r="V4" s="24" t="n"/>
      <c r="W4" s="473" t="n"/>
      <c r="X4" s="384" t="inlineStr">
        <is>
          <t>Riduttore</t>
        </is>
      </c>
      <c r="Y4" s="165" t="n"/>
      <c r="Z4" s="22" t="n"/>
    </row>
    <row r="5">
      <c r="A5" s="476" t="n"/>
      <c r="C5" s="473" t="n"/>
      <c r="D5" s="384" t="inlineStr">
        <is>
          <t>Motore</t>
        </is>
      </c>
      <c r="E5" s="165" t="inlineStr">
        <is>
          <t>3EST000224-9555</t>
        </is>
      </c>
      <c r="F5" s="22" t="n"/>
      <c r="G5" s="473" t="n"/>
      <c r="H5" s="384" t="inlineStr">
        <is>
          <t>Motore</t>
        </is>
      </c>
      <c r="I5" s="165" t="inlineStr">
        <is>
          <t>3EST000224-9555</t>
        </is>
      </c>
      <c r="J5" s="22" t="n"/>
      <c r="K5" s="473" t="n"/>
      <c r="L5" s="386" t="inlineStr">
        <is>
          <t>Motore</t>
        </is>
      </c>
      <c r="M5" s="391" t="inlineStr">
        <is>
          <t>3EST000224-9555</t>
        </is>
      </c>
      <c r="N5" s="23" t="n"/>
      <c r="O5" s="473" t="n"/>
      <c r="P5" s="384" t="inlineStr">
        <is>
          <t>Motore</t>
        </is>
      </c>
      <c r="Q5" s="166" t="inlineStr">
        <is>
          <t>3EST000224-9555</t>
        </is>
      </c>
      <c r="R5" s="22" t="n"/>
      <c r="S5" s="473" t="n"/>
      <c r="T5" s="389" t="inlineStr">
        <is>
          <t>Motore</t>
        </is>
      </c>
      <c r="U5" s="392" t="inlineStr">
        <is>
          <t>3EST000224-9555</t>
        </is>
      </c>
      <c r="V5" s="24" t="n"/>
      <c r="W5" s="473" t="n"/>
      <c r="X5" s="384" t="inlineStr">
        <is>
          <t>Motore</t>
        </is>
      </c>
      <c r="Y5" s="165" t="n"/>
      <c r="Z5" s="22" t="n"/>
    </row>
    <row r="6" ht="87" customHeight="1" s="462">
      <c r="A6" s="476" t="n"/>
      <c r="C6" s="473" t="n"/>
      <c r="D6" s="384" t="inlineStr">
        <is>
          <t>Cil.Freno</t>
        </is>
      </c>
      <c r="E6" s="393" t="inlineStr">
        <is>
          <t>FT0011601-100
FT0011602-100
FT0011602-101</t>
        </is>
      </c>
      <c r="F6" s="22" t="n"/>
      <c r="G6" s="473" t="n"/>
      <c r="H6" s="384" t="inlineStr">
        <is>
          <t>Cil.Freno</t>
        </is>
      </c>
      <c r="I6" s="393" t="inlineStr">
        <is>
          <t>FT0011601-100
FT0011602-100
FT0011602-101</t>
        </is>
      </c>
      <c r="J6" s="22" t="n"/>
      <c r="K6" s="473" t="n"/>
      <c r="L6" s="386" t="inlineStr">
        <is>
          <t>Cil.Freno</t>
        </is>
      </c>
      <c r="M6" s="394" t="inlineStr">
        <is>
          <t>FT0011601-100
FT0011602-100
FT0011602-101</t>
        </is>
      </c>
      <c r="N6" s="23" t="n"/>
      <c r="O6" s="473" t="n"/>
      <c r="P6" s="384" t="inlineStr">
        <is>
          <t>Cil.Freno</t>
        </is>
      </c>
      <c r="Q6" s="395" t="inlineStr">
        <is>
          <t>FT0011601-100
FT0011602-100
FT0011602-101</t>
        </is>
      </c>
      <c r="R6" s="22" t="n"/>
      <c r="S6" s="473" t="n"/>
      <c r="T6" s="389" t="inlineStr">
        <is>
          <t>Cil.Freno</t>
        </is>
      </c>
      <c r="U6" s="396" t="inlineStr">
        <is>
          <t>FT0011601-100
FT0011602-100
FT0011602-101</t>
        </is>
      </c>
      <c r="V6" s="24" t="n"/>
      <c r="W6" s="473" t="n"/>
      <c r="X6" s="384" t="inlineStr">
        <is>
          <t>Cil.Freno</t>
        </is>
      </c>
      <c r="Y6" s="393" t="inlineStr">
        <is>
          <t>FT0011601-100
FT0011602-100
FT0011602-101</t>
        </is>
      </c>
      <c r="Z6" s="22" t="n"/>
    </row>
    <row r="7">
      <c r="A7" s="476" t="n"/>
      <c r="C7" s="473" t="n"/>
      <c r="D7" s="384" t="inlineStr">
        <is>
          <t>Als</t>
        </is>
      </c>
      <c r="E7" s="165" t="inlineStr">
        <is>
          <t>6398B000-01</t>
        </is>
      </c>
      <c r="F7" s="22" t="n"/>
      <c r="G7" s="473" t="n"/>
      <c r="H7" s="384" t="inlineStr">
        <is>
          <t>Als</t>
        </is>
      </c>
      <c r="I7" s="165" t="inlineStr">
        <is>
          <t>6398B000-01</t>
        </is>
      </c>
      <c r="J7" s="22" t="n"/>
      <c r="K7" s="473" t="n"/>
      <c r="L7" s="386" t="inlineStr">
        <is>
          <t>Als</t>
        </is>
      </c>
      <c r="M7" s="391" t="inlineStr">
        <is>
          <t>6398B000-01</t>
        </is>
      </c>
      <c r="N7" s="23" t="n"/>
      <c r="O7" s="473" t="n"/>
      <c r="P7" s="384" t="inlineStr">
        <is>
          <t>Als</t>
        </is>
      </c>
      <c r="Q7" s="166" t="inlineStr">
        <is>
          <t>6398B000-01</t>
        </is>
      </c>
      <c r="R7" s="22" t="n"/>
      <c r="S7" s="473" t="n"/>
      <c r="T7" s="389" t="inlineStr">
        <is>
          <t>Als</t>
        </is>
      </c>
      <c r="U7" s="392" t="inlineStr">
        <is>
          <t>6398B000-01</t>
        </is>
      </c>
      <c r="V7" s="24" t="n"/>
      <c r="W7" s="473" t="n"/>
      <c r="X7" s="384" t="inlineStr">
        <is>
          <t>Als</t>
        </is>
      </c>
      <c r="Y7" s="165" t="n"/>
      <c r="Z7" s="22" t="n"/>
    </row>
    <row r="8">
      <c r="A8" s="476" t="n"/>
      <c r="B8" s="426" t="n"/>
      <c r="C8" s="474" t="n"/>
      <c r="D8" s="384" t="inlineStr">
        <is>
          <t>BMS</t>
        </is>
      </c>
      <c r="E8" s="165" t="n"/>
      <c r="F8" s="22" t="inlineStr">
        <is>
          <t>Ephimess fase 2</t>
        </is>
      </c>
      <c r="G8" s="474" t="n"/>
      <c r="H8" s="384" t="inlineStr">
        <is>
          <t>BMS</t>
        </is>
      </c>
      <c r="I8" s="165" t="n"/>
      <c r="J8" s="22" t="inlineStr">
        <is>
          <t>Ephimess fase 2</t>
        </is>
      </c>
      <c r="K8" s="474" t="n"/>
      <c r="L8" s="386" t="inlineStr">
        <is>
          <t>BMS</t>
        </is>
      </c>
      <c r="M8" s="391" t="n"/>
      <c r="N8" s="23" t="n"/>
      <c r="O8" s="474" t="n"/>
      <c r="P8" s="384" t="inlineStr">
        <is>
          <t>BMS</t>
        </is>
      </c>
      <c r="Q8" s="166" t="n"/>
      <c r="R8" s="22" t="n"/>
      <c r="S8" s="474" t="n"/>
      <c r="T8" s="389" t="inlineStr">
        <is>
          <t>BMS</t>
        </is>
      </c>
      <c r="U8" s="392" t="n"/>
      <c r="V8" s="24" t="n"/>
      <c r="W8" s="474" t="n"/>
      <c r="X8" s="384" t="inlineStr">
        <is>
          <t>BMS</t>
        </is>
      </c>
      <c r="Y8" s="165" t="n"/>
      <c r="Z8" s="22" t="n"/>
    </row>
    <row r="9" ht="30" customHeight="1" s="462">
      <c r="A9" s="476" t="n"/>
      <c r="B9" s="487" t="inlineStr">
        <is>
          <t>Portanti</t>
        </is>
      </c>
      <c r="C9" s="488" t="inlineStr">
        <is>
          <t>100360311
100360312
100360313</t>
        </is>
      </c>
      <c r="D9" s="384" t="inlineStr">
        <is>
          <t>Sala</t>
        </is>
      </c>
      <c r="E9" s="217" t="inlineStr">
        <is>
          <t>100360411
100360412</t>
        </is>
      </c>
      <c r="F9" s="22" t="n"/>
      <c r="G9" s="488" t="inlineStr">
        <is>
          <t>100360311
100360312
100360313</t>
        </is>
      </c>
      <c r="H9" s="384" t="inlineStr">
        <is>
          <t>Sala</t>
        </is>
      </c>
      <c r="I9" s="217" t="inlineStr">
        <is>
          <t>100360411
100360412</t>
        </is>
      </c>
      <c r="J9" s="22" t="n"/>
      <c r="K9" s="491" t="inlineStr">
        <is>
          <t>100360311
100360312
100360313
(EN45545)</t>
        </is>
      </c>
      <c r="L9" s="386" t="inlineStr">
        <is>
          <t>Sala</t>
        </is>
      </c>
      <c r="M9" s="398" t="inlineStr">
        <is>
          <t>100360411
100360412</t>
        </is>
      </c>
      <c r="N9" s="23" t="n"/>
      <c r="O9" s="488" t="inlineStr">
        <is>
          <t>100360311
100329690
100360313</t>
        </is>
      </c>
      <c r="P9" s="384" t="inlineStr">
        <is>
          <t>Sala</t>
        </is>
      </c>
      <c r="Q9" s="217" t="inlineStr">
        <is>
          <t>100360411
100360412</t>
        </is>
      </c>
      <c r="R9" s="22" t="n"/>
      <c r="S9" s="513" t="n"/>
      <c r="T9" s="389" t="inlineStr">
        <is>
          <t>Sala</t>
        </is>
      </c>
      <c r="U9" s="392" t="n"/>
      <c r="V9" s="24" t="n"/>
      <c r="W9" s="514" t="n"/>
      <c r="X9" s="384" t="inlineStr">
        <is>
          <t>Sala</t>
        </is>
      </c>
      <c r="Y9" s="165" t="n"/>
      <c r="Z9" s="22" t="n"/>
    </row>
    <row r="10">
      <c r="A10" s="476" t="n"/>
      <c r="C10" s="473" t="n"/>
      <c r="D10" s="384" t="inlineStr">
        <is>
          <t>Freno</t>
        </is>
      </c>
      <c r="E10" s="165" t="n"/>
      <c r="F10" s="22" t="n"/>
      <c r="G10" s="473" t="n"/>
      <c r="H10" s="384" t="inlineStr">
        <is>
          <t>Freno</t>
        </is>
      </c>
      <c r="I10" s="165" t="n"/>
      <c r="J10" s="22" t="n"/>
      <c r="K10" s="473" t="n"/>
      <c r="L10" s="386" t="inlineStr">
        <is>
          <t>Freno</t>
        </is>
      </c>
      <c r="M10" s="391" t="n"/>
      <c r="N10" s="23" t="n"/>
      <c r="O10" s="473" t="n"/>
      <c r="P10" s="384" t="inlineStr">
        <is>
          <t>Freno</t>
        </is>
      </c>
      <c r="Q10" s="165" t="n"/>
      <c r="R10" s="22" t="n"/>
      <c r="S10" s="473" t="n"/>
      <c r="T10" s="389" t="inlineStr">
        <is>
          <t>Freno</t>
        </is>
      </c>
      <c r="U10" s="392" t="n"/>
      <c r="V10" s="24" t="n"/>
      <c r="W10" s="473" t="n"/>
      <c r="X10" s="384" t="inlineStr">
        <is>
          <t>Freno</t>
        </is>
      </c>
      <c r="Y10" s="165" t="n"/>
      <c r="Z10" s="22" t="n"/>
    </row>
    <row r="11">
      <c r="A11" s="476" t="n"/>
      <c r="C11" s="473" t="n"/>
      <c r="D11" s="384" t="inlineStr">
        <is>
          <t>Als</t>
        </is>
      </c>
      <c r="E11" s="165" t="n"/>
      <c r="F11" s="22" t="n"/>
      <c r="G11" s="473" t="n"/>
      <c r="H11" s="384" t="inlineStr">
        <is>
          <t>Als</t>
        </is>
      </c>
      <c r="I11" s="165" t="n"/>
      <c r="J11" s="22" t="n"/>
      <c r="K11" s="473" t="n"/>
      <c r="L11" s="386" t="inlineStr">
        <is>
          <t>Als</t>
        </is>
      </c>
      <c r="M11" s="391" t="n"/>
      <c r="N11" s="23" t="n"/>
      <c r="O11" s="473" t="n"/>
      <c r="P11" s="384" t="inlineStr">
        <is>
          <t>Als</t>
        </is>
      </c>
      <c r="Q11" s="165" t="n"/>
      <c r="R11" s="22" t="n"/>
      <c r="S11" s="473" t="n"/>
      <c r="T11" s="389" t="inlineStr">
        <is>
          <t>Als</t>
        </is>
      </c>
      <c r="U11" s="392" t="n"/>
      <c r="V11" s="24" t="n"/>
      <c r="W11" s="473" t="n"/>
      <c r="X11" s="384" t="inlineStr">
        <is>
          <t>Als</t>
        </is>
      </c>
      <c r="Y11" s="165" t="n"/>
      <c r="Z11" s="22" t="n"/>
    </row>
    <row r="12" ht="15.75" customHeight="1" s="462" thickBot="1">
      <c r="A12" s="500" t="n"/>
      <c r="B12" s="543" t="n"/>
      <c r="C12" s="478" t="n"/>
      <c r="D12" s="25" t="inlineStr">
        <is>
          <t>BMS</t>
        </is>
      </c>
      <c r="E12" s="26" t="n"/>
      <c r="F12" s="27" t="n"/>
      <c r="G12" s="478" t="n"/>
      <c r="H12" s="25" t="inlineStr">
        <is>
          <t>BMS</t>
        </is>
      </c>
      <c r="I12" s="26" t="n"/>
      <c r="J12" s="27" t="n"/>
      <c r="K12" s="478" t="n"/>
      <c r="L12" s="28" t="inlineStr">
        <is>
          <t>BMS</t>
        </is>
      </c>
      <c r="M12" s="29" t="n"/>
      <c r="N12" s="30" t="n"/>
      <c r="O12" s="478" t="n"/>
      <c r="P12" s="25" t="inlineStr">
        <is>
          <t>BMS</t>
        </is>
      </c>
      <c r="Q12" s="26" t="n"/>
      <c r="R12" s="27" t="n"/>
      <c r="S12" s="478" t="n"/>
      <c r="T12" s="31" t="inlineStr">
        <is>
          <t>BMS</t>
        </is>
      </c>
      <c r="U12" s="32" t="n"/>
      <c r="V12" s="33" t="n"/>
      <c r="W12" s="478" t="n"/>
      <c r="X12" s="25" t="inlineStr">
        <is>
          <t>BMS</t>
        </is>
      </c>
      <c r="Y12" s="26" t="n"/>
      <c r="Z12" s="27" t="n"/>
    </row>
    <row r="13">
      <c r="A13" s="484" t="inlineStr">
        <is>
          <t>Pantografi</t>
        </is>
      </c>
      <c r="B13" s="470" t="inlineStr">
        <is>
          <t>3 kV</t>
        </is>
      </c>
      <c r="C13" s="511" t="n">
        <v>100170460</v>
      </c>
      <c r="D13" s="34" t="inlineStr">
        <is>
          <t>Struttura</t>
        </is>
      </c>
      <c r="E13" s="35" t="n">
        <v>10573076</v>
      </c>
      <c r="F13" s="36" t="n"/>
      <c r="G13" s="486" t="n">
        <v>10949272</v>
      </c>
      <c r="H13" s="34" t="inlineStr">
        <is>
          <t>Struttura</t>
        </is>
      </c>
      <c r="I13" s="35" t="n">
        <v>10573076</v>
      </c>
      <c r="J13" s="36" t="n"/>
      <c r="K13" s="486" t="n">
        <v>10949272</v>
      </c>
      <c r="L13" s="34" t="inlineStr">
        <is>
          <t>Struttura</t>
        </is>
      </c>
      <c r="M13" s="35" t="n">
        <v>10573076</v>
      </c>
      <c r="N13" s="36" t="n"/>
      <c r="O13" s="511" t="n">
        <v>100170460</v>
      </c>
      <c r="P13" s="34" t="inlineStr">
        <is>
          <t>Struttura</t>
        </is>
      </c>
      <c r="Q13" s="35" t="n">
        <v>10573076</v>
      </c>
      <c r="R13" s="36" t="n"/>
      <c r="S13" s="501" t="n"/>
      <c r="T13" s="37" t="inlineStr">
        <is>
          <t>Struttura</t>
        </is>
      </c>
      <c r="U13" s="37" t="n"/>
      <c r="V13" s="38" t="n"/>
      <c r="W13" s="511" t="n"/>
      <c r="X13" s="34" t="inlineStr">
        <is>
          <t>Struttura</t>
        </is>
      </c>
      <c r="Y13" s="34" t="n"/>
      <c r="Z13" s="36" t="n"/>
    </row>
    <row r="14">
      <c r="A14" s="476" t="n"/>
      <c r="C14" s="473" t="n"/>
      <c r="D14" s="165" t="inlineStr">
        <is>
          <t>Archetto</t>
        </is>
      </c>
      <c r="E14" s="7" t="n">
        <v>10561136</v>
      </c>
      <c r="F14" s="22" t="n"/>
      <c r="G14" s="473" t="n"/>
      <c r="H14" s="165" t="inlineStr">
        <is>
          <t>Archetto</t>
        </is>
      </c>
      <c r="I14" s="7" t="n">
        <v>10561136</v>
      </c>
      <c r="J14" s="22" t="n"/>
      <c r="K14" s="473" t="n"/>
      <c r="L14" s="165" t="inlineStr">
        <is>
          <t>Archetto</t>
        </is>
      </c>
      <c r="M14" s="7" t="n">
        <v>10561136</v>
      </c>
      <c r="N14" s="22" t="n"/>
      <c r="O14" s="473" t="n"/>
      <c r="P14" s="165" t="inlineStr">
        <is>
          <t>Archetto</t>
        </is>
      </c>
      <c r="Q14" s="166" t="n">
        <v>10561136</v>
      </c>
      <c r="R14" s="22" t="n"/>
      <c r="S14" s="473" t="n"/>
      <c r="T14" s="392" t="inlineStr">
        <is>
          <t>Archetto</t>
        </is>
      </c>
      <c r="U14" s="392" t="n"/>
      <c r="V14" s="24" t="n"/>
      <c r="W14" s="473" t="n"/>
      <c r="X14" s="165" t="inlineStr">
        <is>
          <t>Archetto</t>
        </is>
      </c>
      <c r="Y14" s="165" t="n"/>
      <c r="Z14" s="22" t="inlineStr">
        <is>
          <t>Archetto 1.950 mm</t>
        </is>
      </c>
    </row>
    <row r="15">
      <c r="A15" s="476" t="n"/>
      <c r="C15" s="473" t="n"/>
      <c r="D15" s="165" t="inlineStr">
        <is>
          <t>Strisciante</t>
        </is>
      </c>
      <c r="E15" s="166" t="inlineStr">
        <is>
          <t>SK1451</t>
        </is>
      </c>
      <c r="F15" s="22" t="n"/>
      <c r="G15" s="473" t="n"/>
      <c r="H15" s="165" t="inlineStr">
        <is>
          <t>Strisciante</t>
        </is>
      </c>
      <c r="I15" s="166" t="inlineStr">
        <is>
          <t>SK1451</t>
        </is>
      </c>
      <c r="J15" s="22" t="n"/>
      <c r="K15" s="473" t="n"/>
      <c r="L15" s="165" t="inlineStr">
        <is>
          <t>Strisciante</t>
        </is>
      </c>
      <c r="M15" s="166" t="inlineStr">
        <is>
          <t>SK1451</t>
        </is>
      </c>
      <c r="N15" s="22" t="n"/>
      <c r="O15" s="473" t="n"/>
      <c r="P15" s="165" t="inlineStr">
        <is>
          <t>Strisciante</t>
        </is>
      </c>
      <c r="Q15" s="7" t="inlineStr">
        <is>
          <t>SK1451</t>
        </is>
      </c>
      <c r="R15" s="22" t="n"/>
      <c r="S15" s="473" t="n"/>
      <c r="T15" s="392" t="inlineStr">
        <is>
          <t>Strisciante</t>
        </is>
      </c>
      <c r="U15" s="392" t="n"/>
      <c r="V15" s="24" t="n"/>
      <c r="W15" s="473" t="n"/>
      <c r="X15" s="165" t="inlineStr">
        <is>
          <t>Strisciante</t>
        </is>
      </c>
      <c r="Y15" s="165" t="n"/>
      <c r="Z15" s="22" t="n"/>
    </row>
    <row r="16">
      <c r="A16" s="476" t="n"/>
      <c r="B16" s="426" t="n"/>
      <c r="C16" s="474" t="n"/>
      <c r="D16" s="165" t="inlineStr">
        <is>
          <t>PPU</t>
        </is>
      </c>
      <c r="E16" s="166" t="n">
        <v>102895</v>
      </c>
      <c r="F16" s="22" t="n"/>
      <c r="G16" s="474" t="n"/>
      <c r="H16" s="165" t="inlineStr">
        <is>
          <t>PPU</t>
        </is>
      </c>
      <c r="I16" s="399" t="inlineStr">
        <is>
          <t>232C10395F</t>
        </is>
      </c>
      <c r="J16" s="40" t="inlineStr">
        <is>
          <t>Con isolamento ADD</t>
        </is>
      </c>
      <c r="K16" s="474" t="n"/>
      <c r="L16" s="165" t="inlineStr">
        <is>
          <t>PPU</t>
        </is>
      </c>
      <c r="M16" s="399" t="inlineStr">
        <is>
          <t>231C100036B</t>
        </is>
      </c>
      <c r="N16" s="40" t="inlineStr">
        <is>
          <t>Con isolamento ADD</t>
        </is>
      </c>
      <c r="O16" s="474" t="n"/>
      <c r="P16" s="165" t="inlineStr">
        <is>
          <t>PPU</t>
        </is>
      </c>
      <c r="Q16" s="399" t="inlineStr">
        <is>
          <t>232C10353E</t>
        </is>
      </c>
      <c r="R16" s="41" t="inlineStr">
        <is>
          <t>PPU DC Modificata per agg.panto 1.5</t>
        </is>
      </c>
      <c r="S16" s="474" t="n"/>
      <c r="T16" s="392" t="inlineStr">
        <is>
          <t>PCU</t>
        </is>
      </c>
      <c r="U16" s="392" t="n"/>
      <c r="V16" s="24" t="n"/>
      <c r="W16" s="474" t="n"/>
      <c r="X16" s="165" t="inlineStr">
        <is>
          <t>PPU</t>
        </is>
      </c>
      <c r="Y16" s="165" t="n"/>
      <c r="Z16" s="40" t="inlineStr">
        <is>
          <t>Con isolamento ADD</t>
        </is>
      </c>
    </row>
    <row r="17">
      <c r="A17" s="476" t="n"/>
      <c r="B17" s="487" t="inlineStr">
        <is>
          <t>25 kV</t>
        </is>
      </c>
      <c r="C17" s="479" t="n">
        <v>100170464</v>
      </c>
      <c r="D17" s="384" t="inlineStr">
        <is>
          <t>Struttura</t>
        </is>
      </c>
      <c r="E17" s="400" t="n">
        <v>10573076</v>
      </c>
      <c r="F17" s="22" t="n"/>
      <c r="G17" s="489" t="n">
        <v>10949356</v>
      </c>
      <c r="H17" s="165" t="inlineStr">
        <is>
          <t>Struttura</t>
        </is>
      </c>
      <c r="I17" s="400" t="n">
        <v>10573076</v>
      </c>
      <c r="J17" s="22" t="n"/>
      <c r="K17" s="489" t="n">
        <v>10949356</v>
      </c>
      <c r="L17" s="165" t="inlineStr">
        <is>
          <t>Struttura</t>
        </is>
      </c>
      <c r="M17" s="400" t="n">
        <v>10573076</v>
      </c>
      <c r="N17" s="22" t="n"/>
      <c r="O17" s="479" t="n">
        <v>100170464</v>
      </c>
      <c r="P17" s="165" t="inlineStr">
        <is>
          <t>Struttura</t>
        </is>
      </c>
      <c r="Q17" s="9" t="n">
        <v>10573076</v>
      </c>
      <c r="R17" s="22" t="n"/>
      <c r="S17" s="498" t="n"/>
      <c r="T17" s="392" t="inlineStr">
        <is>
          <t>Struttura</t>
        </is>
      </c>
      <c r="U17" s="392" t="n"/>
      <c r="V17" s="24" t="n"/>
      <c r="W17" s="479" t="n"/>
      <c r="X17" s="165" t="inlineStr">
        <is>
          <t>Struttura</t>
        </is>
      </c>
      <c r="Y17" s="165" t="n"/>
      <c r="Z17" s="22" t="n"/>
    </row>
    <row r="18">
      <c r="A18" s="476" t="n"/>
      <c r="C18" s="473" t="n"/>
      <c r="D18" s="384" t="inlineStr">
        <is>
          <t>Archetto</t>
        </is>
      </c>
      <c r="E18" s="42" t="n">
        <v>10572700</v>
      </c>
      <c r="F18" s="22" t="n"/>
      <c r="G18" s="473" t="n"/>
      <c r="H18" s="165" t="inlineStr">
        <is>
          <t>Archetto</t>
        </is>
      </c>
      <c r="I18" s="42" t="n">
        <v>10572700</v>
      </c>
      <c r="J18" s="22" t="n"/>
      <c r="K18" s="473" t="n"/>
      <c r="L18" s="165" t="inlineStr">
        <is>
          <t>Archetto</t>
        </is>
      </c>
      <c r="M18" s="42" t="n">
        <v>10572700</v>
      </c>
      <c r="N18" s="22" t="n"/>
      <c r="O18" s="473" t="n"/>
      <c r="P18" s="165" t="inlineStr">
        <is>
          <t>Archetto</t>
        </is>
      </c>
      <c r="Q18" s="401" t="n">
        <v>10572700</v>
      </c>
      <c r="R18" s="22" t="inlineStr">
        <is>
          <t>Vedi strisciante</t>
        </is>
      </c>
      <c r="S18" s="473" t="n"/>
      <c r="T18" s="392" t="inlineStr">
        <is>
          <t>Archetto</t>
        </is>
      </c>
      <c r="U18" s="392" t="n"/>
      <c r="V18" s="24" t="n"/>
      <c r="W18" s="473" t="n"/>
      <c r="X18" s="165" t="inlineStr">
        <is>
          <t>Archetto</t>
        </is>
      </c>
      <c r="Y18" s="165" t="n"/>
      <c r="Z18" s="22" t="n"/>
    </row>
    <row r="19">
      <c r="A19" s="476" t="n"/>
      <c r="C19" s="473" t="n"/>
      <c r="D19" s="384" t="inlineStr">
        <is>
          <t>Strisciante</t>
        </is>
      </c>
      <c r="E19" s="166" t="inlineStr">
        <is>
          <t>SK1630</t>
        </is>
      </c>
      <c r="F19" s="22" t="n"/>
      <c r="G19" s="473" t="n"/>
      <c r="H19" s="165" t="inlineStr">
        <is>
          <t>Strisciante</t>
        </is>
      </c>
      <c r="I19" s="166" t="inlineStr">
        <is>
          <t>SK1630</t>
        </is>
      </c>
      <c r="J19" s="22" t="n"/>
      <c r="K19" s="473" t="n"/>
      <c r="L19" s="165" t="inlineStr">
        <is>
          <t>Strisciante</t>
        </is>
      </c>
      <c r="M19" s="166" t="inlineStr">
        <is>
          <t>SK1630</t>
        </is>
      </c>
      <c r="N19" s="22" t="n"/>
      <c r="O19" s="473" t="n"/>
      <c r="P19" s="165" t="inlineStr">
        <is>
          <t>Strisciante</t>
        </is>
      </c>
      <c r="Q19" s="399" t="inlineStr">
        <is>
          <t>SK 2381</t>
        </is>
      </c>
      <c r="R19" s="22" t="inlineStr">
        <is>
          <t>Conforme a norma FR SAM E903</t>
        </is>
      </c>
      <c r="S19" s="473" t="n"/>
      <c r="T19" s="392" t="inlineStr">
        <is>
          <t>Strisciante</t>
        </is>
      </c>
      <c r="U19" s="402" t="inlineStr">
        <is>
          <t>SK1630</t>
        </is>
      </c>
      <c r="V19" s="24" t="n"/>
      <c r="W19" s="473" t="n"/>
      <c r="X19" s="165" t="inlineStr">
        <is>
          <t>Strisciante</t>
        </is>
      </c>
      <c r="Y19" s="166" t="inlineStr">
        <is>
          <t>SK1630</t>
        </is>
      </c>
      <c r="Z19" s="22" t="n"/>
    </row>
    <row r="20">
      <c r="A20" s="476" t="n"/>
      <c r="B20" s="543" t="n"/>
      <c r="C20" s="474" t="n"/>
      <c r="D20" s="165" t="inlineStr">
        <is>
          <t>PPU</t>
        </is>
      </c>
      <c r="E20" s="7" t="n">
        <v>102895</v>
      </c>
      <c r="F20" s="22" t="n"/>
      <c r="G20" s="474" t="n"/>
      <c r="H20" s="165" t="inlineStr">
        <is>
          <t>PPU</t>
        </is>
      </c>
      <c r="I20" s="399" t="inlineStr">
        <is>
          <t>232C10395F</t>
        </is>
      </c>
      <c r="J20" s="40" t="inlineStr">
        <is>
          <t>Con isolamento ADD</t>
        </is>
      </c>
      <c r="K20" s="474" t="n"/>
      <c r="L20" s="165" t="inlineStr">
        <is>
          <t>PPU</t>
        </is>
      </c>
      <c r="M20" s="399" t="inlineStr">
        <is>
          <t>231C100036B</t>
        </is>
      </c>
      <c r="N20" s="40" t="inlineStr">
        <is>
          <t>Con isolamento ADD</t>
        </is>
      </c>
      <c r="O20" s="474" t="n"/>
      <c r="P20" s="165" t="inlineStr">
        <is>
          <t>PPU</t>
        </is>
      </c>
      <c r="Q20" s="403" t="n">
        <v>102895</v>
      </c>
      <c r="R20" s="22" t="n"/>
      <c r="S20" s="474" t="n"/>
      <c r="T20" s="392" t="inlineStr">
        <is>
          <t>PPU</t>
        </is>
      </c>
      <c r="U20" s="392" t="n"/>
      <c r="V20" s="24" t="n"/>
      <c r="W20" s="474" t="n"/>
      <c r="X20" s="165" t="inlineStr">
        <is>
          <t>PPU</t>
        </is>
      </c>
      <c r="Y20" s="165" t="n"/>
      <c r="Z20" s="40" t="inlineStr">
        <is>
          <t>Con isolamento ADD</t>
        </is>
      </c>
    </row>
    <row r="21">
      <c r="A21" s="476" t="n"/>
      <c r="B21" s="487" t="inlineStr">
        <is>
          <t>1,5 kV</t>
        </is>
      </c>
      <c r="C21" s="479" t="inlineStr">
        <is>
          <t>n/a</t>
        </is>
      </c>
      <c r="D21" s="384" t="inlineStr">
        <is>
          <t>Struttura</t>
        </is>
      </c>
      <c r="E21" s="391" t="n"/>
      <c r="F21" s="23" t="n"/>
      <c r="G21" s="479" t="inlineStr">
        <is>
          <t>n/a</t>
        </is>
      </c>
      <c r="H21" s="165" t="inlineStr">
        <is>
          <t>Struttura</t>
        </is>
      </c>
      <c r="I21" s="391" t="n"/>
      <c r="J21" s="23" t="n"/>
      <c r="K21" s="479" t="inlineStr">
        <is>
          <t>n/a</t>
        </is>
      </c>
      <c r="L21" s="165" t="inlineStr">
        <is>
          <t>Struttura</t>
        </is>
      </c>
      <c r="M21" s="391" t="n"/>
      <c r="N21" s="23" t="n"/>
      <c r="O21" s="489" t="n">
        <v>10851208</v>
      </c>
      <c r="P21" s="165" t="inlineStr">
        <is>
          <t>Struttura</t>
        </is>
      </c>
      <c r="Q21" s="166" t="n">
        <v>10573076</v>
      </c>
      <c r="R21" s="22" t="n"/>
      <c r="S21" s="498" t="n"/>
      <c r="T21" s="392" t="inlineStr">
        <is>
          <t>Struttura</t>
        </is>
      </c>
      <c r="U21" s="392" t="n"/>
      <c r="V21" s="24" t="n"/>
      <c r="W21" s="479" t="n"/>
      <c r="X21" s="165" t="inlineStr">
        <is>
          <t>Struttura</t>
        </is>
      </c>
      <c r="Y21" s="391" t="n"/>
      <c r="Z21" s="23" t="n"/>
    </row>
    <row r="22">
      <c r="A22" s="476" t="n"/>
      <c r="C22" s="473" t="n"/>
      <c r="D22" s="384" t="inlineStr">
        <is>
          <t>Archetto</t>
        </is>
      </c>
      <c r="E22" s="391" t="n"/>
      <c r="F22" s="23" t="n"/>
      <c r="G22" s="473" t="n"/>
      <c r="H22" s="165" t="inlineStr">
        <is>
          <t>Archetto</t>
        </is>
      </c>
      <c r="I22" s="391" t="n"/>
      <c r="J22" s="23" t="n"/>
      <c r="K22" s="473" t="n"/>
      <c r="L22" s="165" t="inlineStr">
        <is>
          <t>Archetto</t>
        </is>
      </c>
      <c r="M22" s="391" t="n"/>
      <c r="N22" s="23" t="n"/>
      <c r="O22" s="473" t="n"/>
      <c r="P22" s="165" t="inlineStr">
        <is>
          <t>Archetto</t>
        </is>
      </c>
      <c r="Q22" s="166" t="n">
        <v>10882275</v>
      </c>
      <c r="R22" s="22" t="inlineStr">
        <is>
          <t>Larghezza 1.950 mm</t>
        </is>
      </c>
      <c r="S22" s="473" t="n"/>
      <c r="T22" s="392" t="inlineStr">
        <is>
          <t>Archetto</t>
        </is>
      </c>
      <c r="U22" s="392" t="n"/>
      <c r="V22" s="24" t="n"/>
      <c r="W22" s="473" t="n"/>
      <c r="X22" s="165" t="inlineStr">
        <is>
          <t>Archetto</t>
        </is>
      </c>
      <c r="Y22" s="391" t="n"/>
      <c r="Z22" s="23" t="n"/>
    </row>
    <row r="23">
      <c r="A23" s="476" t="n"/>
      <c r="C23" s="473" t="n"/>
      <c r="D23" s="384" t="inlineStr">
        <is>
          <t>Strisciante</t>
        </is>
      </c>
      <c r="E23" s="391" t="n"/>
      <c r="F23" s="23" t="n"/>
      <c r="G23" s="473" t="n"/>
      <c r="H23" s="165" t="inlineStr">
        <is>
          <t>Strisciante</t>
        </is>
      </c>
      <c r="I23" s="391" t="n"/>
      <c r="J23" s="23" t="n"/>
      <c r="K23" s="473" t="n"/>
      <c r="L23" s="165" t="inlineStr">
        <is>
          <t>Strisciante</t>
        </is>
      </c>
      <c r="M23" s="391" t="n"/>
      <c r="N23" s="23" t="n"/>
      <c r="O23" s="473" t="n"/>
      <c r="P23" s="165" t="inlineStr">
        <is>
          <t>Strisciante</t>
        </is>
      </c>
      <c r="Q23" s="166" t="inlineStr">
        <is>
          <t>SK 2348</t>
        </is>
      </c>
      <c r="R23" s="22" t="n"/>
      <c r="S23" s="473" t="n"/>
      <c r="T23" s="392" t="inlineStr">
        <is>
          <t>Strisciante</t>
        </is>
      </c>
      <c r="U23" s="392" t="n"/>
      <c r="V23" s="24" t="n"/>
      <c r="W23" s="473" t="n"/>
      <c r="X23" s="165" t="inlineStr">
        <is>
          <t>Strisciante</t>
        </is>
      </c>
      <c r="Y23" s="391" t="n"/>
      <c r="Z23" s="23" t="n"/>
    </row>
    <row r="24">
      <c r="A24" s="476" t="n"/>
      <c r="B24" s="543" t="n"/>
      <c r="C24" s="474" t="n"/>
      <c r="D24" s="384" t="inlineStr">
        <is>
          <t>PCU</t>
        </is>
      </c>
      <c r="E24" s="391" t="n"/>
      <c r="F24" s="23" t="n"/>
      <c r="G24" s="474" t="n"/>
      <c r="H24" s="165" t="inlineStr">
        <is>
          <t>PCU</t>
        </is>
      </c>
      <c r="I24" s="391" t="n"/>
      <c r="J24" s="23" t="n"/>
      <c r="K24" s="474" t="n"/>
      <c r="L24" s="165" t="inlineStr">
        <is>
          <t>PCU</t>
        </is>
      </c>
      <c r="M24" s="391" t="n"/>
      <c r="N24" s="23" t="n"/>
      <c r="O24" s="474" t="n"/>
      <c r="P24" s="165" t="inlineStr">
        <is>
          <t>PPU</t>
        </is>
      </c>
      <c r="Q24" s="399" t="inlineStr">
        <is>
          <t>232C10353E</t>
        </is>
      </c>
      <c r="R24" s="41" t="inlineStr">
        <is>
          <t>PPU Modificata per agg.panto 1.5</t>
        </is>
      </c>
      <c r="S24" s="474" t="n"/>
      <c r="T24" s="392" t="inlineStr">
        <is>
          <t>PCU</t>
        </is>
      </c>
      <c r="U24" s="392" t="n"/>
      <c r="V24" s="24" t="n"/>
      <c r="W24" s="474" t="n"/>
      <c r="X24" s="165" t="inlineStr">
        <is>
          <t>PCU</t>
        </is>
      </c>
      <c r="Y24" s="391" t="n"/>
      <c r="Z24" s="23" t="n"/>
    </row>
    <row r="25">
      <c r="A25" s="476" t="n"/>
      <c r="B25" s="487" t="inlineStr">
        <is>
          <t>15 kV</t>
        </is>
      </c>
      <c r="C25" s="479" t="inlineStr">
        <is>
          <t>n/a</t>
        </is>
      </c>
      <c r="D25" s="384" t="inlineStr">
        <is>
          <t>Struttura</t>
        </is>
      </c>
      <c r="E25" s="391" t="n"/>
      <c r="F25" s="23" t="n"/>
      <c r="G25" s="479" t="inlineStr">
        <is>
          <t>n/a</t>
        </is>
      </c>
      <c r="H25" s="165" t="inlineStr">
        <is>
          <t>Struttura</t>
        </is>
      </c>
      <c r="I25" s="391" t="n"/>
      <c r="J25" s="23" t="n"/>
      <c r="K25" s="479" t="inlineStr">
        <is>
          <t>n/a</t>
        </is>
      </c>
      <c r="L25" s="165" t="inlineStr">
        <is>
          <t>Struttura</t>
        </is>
      </c>
      <c r="M25" s="391" t="n"/>
      <c r="N25" s="23" t="n"/>
      <c r="O25" s="512" t="n"/>
      <c r="P25" s="391" t="inlineStr">
        <is>
          <t>Struttura</t>
        </is>
      </c>
      <c r="Q25" s="391" t="n"/>
      <c r="R25" s="23" t="n"/>
      <c r="S25" s="503" t="n"/>
      <c r="T25" s="392" t="inlineStr">
        <is>
          <t>Struttura</t>
        </is>
      </c>
      <c r="U25" s="392" t="n"/>
      <c r="V25" s="24" t="n"/>
      <c r="W25" s="477" t="n"/>
      <c r="X25" s="165" t="inlineStr">
        <is>
          <t>Struttura</t>
        </is>
      </c>
      <c r="Y25" s="391" t="n"/>
      <c r="Z25" s="23" t="n"/>
    </row>
    <row r="26">
      <c r="A26" s="476" t="n"/>
      <c r="C26" s="473" t="n"/>
      <c r="D26" s="384" t="inlineStr">
        <is>
          <t>Archetto</t>
        </is>
      </c>
      <c r="E26" s="391" t="n"/>
      <c r="F26" s="23" t="n"/>
      <c r="G26" s="473" t="n"/>
      <c r="H26" s="165" t="inlineStr">
        <is>
          <t>Archetto</t>
        </is>
      </c>
      <c r="I26" s="391" t="n"/>
      <c r="J26" s="23" t="n"/>
      <c r="K26" s="473" t="n"/>
      <c r="L26" s="165" t="inlineStr">
        <is>
          <t>Archetto</t>
        </is>
      </c>
      <c r="M26" s="391" t="n"/>
      <c r="N26" s="23" t="n"/>
      <c r="O26" s="473" t="n"/>
      <c r="P26" s="391" t="inlineStr">
        <is>
          <t>Archetto</t>
        </is>
      </c>
      <c r="Q26" s="391" t="n"/>
      <c r="R26" s="23" t="n"/>
      <c r="S26" s="473" t="n"/>
      <c r="T26" s="392" t="inlineStr">
        <is>
          <t>Archetto</t>
        </is>
      </c>
      <c r="U26" s="392" t="n"/>
      <c r="V26" s="24" t="n"/>
      <c r="W26" s="473" t="n"/>
      <c r="X26" s="165" t="inlineStr">
        <is>
          <t>Archetto</t>
        </is>
      </c>
      <c r="Y26" s="391" t="n"/>
      <c r="Z26" s="23" t="n"/>
    </row>
    <row r="27">
      <c r="A27" s="476" t="n"/>
      <c r="C27" s="473" t="n"/>
      <c r="D27" s="384" t="inlineStr">
        <is>
          <t>Strisciante</t>
        </is>
      </c>
      <c r="E27" s="391" t="n"/>
      <c r="F27" s="23" t="n"/>
      <c r="G27" s="473" t="n"/>
      <c r="H27" s="165" t="inlineStr">
        <is>
          <t>Strisciante</t>
        </is>
      </c>
      <c r="I27" s="391" t="n"/>
      <c r="J27" s="23" t="n"/>
      <c r="K27" s="473" t="n"/>
      <c r="L27" s="165" t="inlineStr">
        <is>
          <t>Strisciante</t>
        </is>
      </c>
      <c r="M27" s="391" t="n"/>
      <c r="N27" s="23" t="n"/>
      <c r="O27" s="473" t="n"/>
      <c r="P27" s="391" t="inlineStr">
        <is>
          <t>Strisciante</t>
        </is>
      </c>
      <c r="Q27" s="391" t="n"/>
      <c r="R27" s="23" t="n"/>
      <c r="S27" s="473" t="n"/>
      <c r="T27" s="392" t="inlineStr">
        <is>
          <t>Strisciante</t>
        </is>
      </c>
      <c r="U27" s="392" t="n"/>
      <c r="V27" s="24" t="n"/>
      <c r="W27" s="473" t="n"/>
      <c r="X27" s="165" t="inlineStr">
        <is>
          <t>Strisciante</t>
        </is>
      </c>
      <c r="Y27" s="391" t="n"/>
      <c r="Z27" s="23" t="n"/>
    </row>
    <row r="28" ht="15.75" customHeight="1" s="462" thickBot="1">
      <c r="A28" s="485" t="n"/>
      <c r="B28" s="543" t="n"/>
      <c r="C28" s="474" t="n"/>
      <c r="D28" s="25" t="inlineStr">
        <is>
          <t>PCU</t>
        </is>
      </c>
      <c r="E28" s="29" t="n"/>
      <c r="F28" s="30" t="n"/>
      <c r="G28" s="474" t="n"/>
      <c r="H28" s="26" t="inlineStr">
        <is>
          <t>PCU</t>
        </is>
      </c>
      <c r="I28" s="29" t="n"/>
      <c r="J28" s="30" t="n"/>
      <c r="K28" s="474" t="n"/>
      <c r="L28" s="26" t="inlineStr">
        <is>
          <t>PCU</t>
        </is>
      </c>
      <c r="M28" s="29" t="n"/>
      <c r="N28" s="30" t="n"/>
      <c r="O28" s="478" t="n"/>
      <c r="P28" s="29" t="inlineStr">
        <is>
          <t>PPU</t>
        </is>
      </c>
      <c r="Q28" s="29" t="n"/>
      <c r="R28" s="30" t="n"/>
      <c r="S28" s="478" t="n"/>
      <c r="T28" s="32" t="inlineStr">
        <is>
          <t>PCU</t>
        </is>
      </c>
      <c r="U28" s="32" t="n"/>
      <c r="V28" s="33" t="n"/>
      <c r="W28" s="478" t="n"/>
      <c r="X28" s="26" t="inlineStr">
        <is>
          <t>PCU</t>
        </is>
      </c>
      <c r="Y28" s="29" t="n"/>
      <c r="Z28" s="30" t="n"/>
    </row>
    <row r="29" ht="101.5" customHeight="1" s="462">
      <c r="A29" s="499" t="inlineStr">
        <is>
          <t>TCMS Hardware</t>
        </is>
      </c>
      <c r="B29" s="499" t="inlineStr">
        <is>
          <t>LV</t>
        </is>
      </c>
      <c r="C29" s="44" t="n"/>
      <c r="D29" s="45" t="inlineStr">
        <is>
          <t>CCU-O</t>
        </is>
      </c>
      <c r="E29" s="34" t="inlineStr">
        <is>
          <t>3EST000225-5707</t>
        </is>
      </c>
      <c r="F29" s="36" t="n"/>
      <c r="G29" s="44" t="n"/>
      <c r="H29" s="45" t="inlineStr">
        <is>
          <t>CCU-O</t>
        </is>
      </c>
      <c r="I29" s="34" t="inlineStr">
        <is>
          <t>3EST000225-5707</t>
        </is>
      </c>
      <c r="J29" s="36" t="n"/>
      <c r="K29" s="44" t="n"/>
      <c r="L29" s="45" t="inlineStr">
        <is>
          <t>CCU-O</t>
        </is>
      </c>
      <c r="M29" s="504" t="inlineStr">
        <is>
          <t>Nuova architettura Full Ethernet</t>
        </is>
      </c>
      <c r="N29" s="494" t="n"/>
      <c r="O29" s="44" t="n"/>
      <c r="P29" s="45" t="inlineStr">
        <is>
          <t>CCU-O</t>
        </is>
      </c>
      <c r="Q29" s="34" t="inlineStr">
        <is>
          <t>3EST000225-5707</t>
        </is>
      </c>
      <c r="R29" s="36" t="n"/>
      <c r="S29" s="44" t="n"/>
      <c r="T29" s="45" t="inlineStr">
        <is>
          <t>CCU-O</t>
        </is>
      </c>
      <c r="U29" s="34" t="inlineStr">
        <is>
          <t>3EST000225-5707</t>
        </is>
      </c>
      <c r="V29" s="36" t="n"/>
      <c r="W29" s="46" t="n"/>
      <c r="X29" s="45" t="inlineStr">
        <is>
          <t>CCU-O</t>
        </is>
      </c>
      <c r="Y29" s="34" t="inlineStr">
        <is>
          <t>3EST000236-6235</t>
        </is>
      </c>
      <c r="Z29" s="47" t="inlineStr">
        <is>
          <t>Higher performances and longer spare parts support</t>
        </is>
      </c>
    </row>
    <row r="30">
      <c r="A30" s="476" t="n"/>
      <c r="B30" s="476" t="n"/>
      <c r="C30" s="48" t="n"/>
      <c r="D30" s="404" t="inlineStr">
        <is>
          <t>CCU-S</t>
        </is>
      </c>
      <c r="E30" s="165" t="inlineStr">
        <is>
          <t>3EST000221-6430</t>
        </is>
      </c>
      <c r="F30" s="22" t="n"/>
      <c r="G30" s="48" t="n"/>
      <c r="H30" s="404" t="inlineStr">
        <is>
          <t>CCU-S</t>
        </is>
      </c>
      <c r="I30" s="165" t="inlineStr">
        <is>
          <t>3EST000221-6430</t>
        </is>
      </c>
      <c r="J30" s="22" t="n"/>
      <c r="K30" s="48" t="n"/>
      <c r="L30" s="404" t="inlineStr">
        <is>
          <t>CCU-S</t>
        </is>
      </c>
      <c r="M30" s="505" t="n"/>
      <c r="N30" s="463" t="n"/>
      <c r="O30" s="48" t="n"/>
      <c r="P30" s="404" t="inlineStr">
        <is>
          <t>CCU-S</t>
        </is>
      </c>
      <c r="Q30" s="165" t="inlineStr">
        <is>
          <t>3EST000221-6430</t>
        </is>
      </c>
      <c r="R30" s="22" t="n"/>
      <c r="S30" s="48" t="n"/>
      <c r="T30" s="404" t="inlineStr">
        <is>
          <t>CCU-S</t>
        </is>
      </c>
      <c r="U30" s="165" t="inlineStr">
        <is>
          <t>3EST000221-6430</t>
        </is>
      </c>
      <c r="V30" s="22" t="n"/>
      <c r="W30" s="416" t="n"/>
      <c r="X30" s="404" t="inlineStr">
        <is>
          <t>CCU-S</t>
        </is>
      </c>
      <c r="Y30" s="165" t="inlineStr">
        <is>
          <t>3EST000232-1990</t>
        </is>
      </c>
      <c r="Z30" s="22" t="n"/>
    </row>
    <row r="31" ht="144.65" customHeight="1" s="462">
      <c r="A31" s="476" t="n"/>
      <c r="B31" s="500" t="n"/>
      <c r="C31" s="48" t="n"/>
      <c r="D31" s="405" t="inlineStr">
        <is>
          <t>MIO-S</t>
        </is>
      </c>
      <c r="E31" s="393" t="inlineStr">
        <is>
          <t>3EST000228-0629
3EST000228-3395
3EST000228-3394</t>
        </is>
      </c>
      <c r="F31" s="22" t="n"/>
      <c r="G31" s="48" t="n"/>
      <c r="H31" s="405" t="inlineStr">
        <is>
          <t>MIO-S</t>
        </is>
      </c>
      <c r="I31" s="406" t="inlineStr">
        <is>
          <t>3EST000230-5830
3EST000230-5833
3EST000228-3394</t>
        </is>
      </c>
      <c r="J31" s="49" t="inlineStr">
        <is>
          <t>Sell no more supported for new projects due to internal component out of production (legacy only)</t>
        </is>
      </c>
      <c r="K31" s="48" t="n"/>
      <c r="L31" s="405" t="inlineStr">
        <is>
          <t>MIO-S</t>
        </is>
      </c>
      <c r="M31" s="505" t="n"/>
      <c r="N31" s="463" t="n"/>
      <c r="O31" s="48" t="n"/>
      <c r="P31" s="405" t="inlineStr">
        <is>
          <t>MIO-S</t>
        </is>
      </c>
      <c r="Q31" s="337" t="inlineStr">
        <is>
          <t>3EST000228-0629
3EST000228-3395
3EST000228-3394</t>
        </is>
      </c>
      <c r="R31" s="22" t="n"/>
      <c r="S31" s="48" t="n"/>
      <c r="T31" s="405" t="inlineStr">
        <is>
          <t>MIO-S</t>
        </is>
      </c>
      <c r="U31" s="337" t="inlineStr">
        <is>
          <t>3EST000228-0629
3EST000228-3395
3EST000228-3394</t>
        </is>
      </c>
      <c r="V31" s="22" t="n"/>
      <c r="W31" s="416" t="n"/>
      <c r="X31" s="405" t="inlineStr">
        <is>
          <t>MIO-S</t>
        </is>
      </c>
      <c r="Y31" s="407" t="inlineStr">
        <is>
          <t>3EST000230-5830
3EST000230-5833
3EST000228-3394</t>
        </is>
      </c>
      <c r="Z31" s="50" t="inlineStr">
        <is>
          <t>Sell no more supported for new projects due to internal component out of production (legacy only)</t>
        </is>
      </c>
    </row>
    <row r="32" ht="29.15" customHeight="1" s="462">
      <c r="A32" s="476" t="n"/>
      <c r="B32" s="481" t="inlineStr">
        <is>
          <t>Teledia</t>
        </is>
      </c>
      <c r="C32" s="48" t="n"/>
      <c r="D32" s="405" t="inlineStr">
        <is>
          <t>MCG</t>
        </is>
      </c>
      <c r="E32" s="393" t="inlineStr">
        <is>
          <t>3EST000225-7169</t>
        </is>
      </c>
      <c r="F32" s="22" t="n"/>
      <c r="G32" s="48" t="n"/>
      <c r="H32" s="405" t="inlineStr">
        <is>
          <t>MCG</t>
        </is>
      </c>
      <c r="I32" s="408" t="inlineStr">
        <is>
          <t>3EST000234-1560</t>
        </is>
      </c>
      <c r="J32" s="41" t="inlineStr">
        <is>
          <t>additional LTE connection</t>
        </is>
      </c>
      <c r="K32" s="48" t="n"/>
      <c r="L32" s="405" t="inlineStr">
        <is>
          <t>MCG</t>
        </is>
      </c>
      <c r="M32" s="505" t="n"/>
      <c r="N32" s="463" t="n"/>
      <c r="O32" s="48" t="n"/>
      <c r="P32" s="405" t="inlineStr">
        <is>
          <t>MCG</t>
        </is>
      </c>
      <c r="Q32" s="393" t="inlineStr">
        <is>
          <t>3EST000225-7169</t>
        </is>
      </c>
      <c r="R32" s="22" t="n"/>
      <c r="S32" s="48" t="n"/>
      <c r="T32" s="405" t="inlineStr">
        <is>
          <t>MCG</t>
        </is>
      </c>
      <c r="U32" s="393" t="inlineStr">
        <is>
          <t>3EST000225-7169</t>
        </is>
      </c>
      <c r="V32" s="22" t="n"/>
      <c r="W32" s="416" t="n"/>
      <c r="X32" s="405" t="inlineStr">
        <is>
          <t>MCG</t>
        </is>
      </c>
      <c r="Y32" s="165" t="inlineStr">
        <is>
          <t>3EST000234-1560</t>
        </is>
      </c>
      <c r="Z32" s="41" t="inlineStr">
        <is>
          <t>additional LTE connection</t>
        </is>
      </c>
    </row>
    <row r="33">
      <c r="A33" s="476" t="n"/>
      <c r="B33" s="487" t="inlineStr">
        <is>
          <t>Monitor</t>
        </is>
      </c>
      <c r="C33" s="48" t="n"/>
      <c r="D33" s="404" t="inlineStr">
        <is>
          <t>IDU</t>
        </is>
      </c>
      <c r="E33" s="165" t="inlineStr">
        <is>
          <t>3EST000223-8802</t>
        </is>
      </c>
      <c r="F33" s="22" t="n"/>
      <c r="G33" s="48" t="n"/>
      <c r="H33" s="404" t="inlineStr">
        <is>
          <t>IDU</t>
        </is>
      </c>
      <c r="I33" s="165" t="inlineStr">
        <is>
          <t>3EST000223-8802</t>
        </is>
      </c>
      <c r="J33" s="22" t="n"/>
      <c r="K33" s="48" t="n"/>
      <c r="L33" s="404" t="inlineStr">
        <is>
          <t>IDU/TOD</t>
        </is>
      </c>
      <c r="M33" s="505" t="n"/>
      <c r="N33" s="463" t="n"/>
      <c r="O33" s="48" t="n"/>
      <c r="P33" s="404" t="inlineStr">
        <is>
          <t>IDU</t>
        </is>
      </c>
      <c r="Q33" s="165" t="inlineStr">
        <is>
          <t>3EST000223-8802</t>
        </is>
      </c>
      <c r="R33" s="22" t="n"/>
      <c r="S33" s="48" t="n"/>
      <c r="T33" s="404" t="inlineStr">
        <is>
          <t>IDU</t>
        </is>
      </c>
      <c r="U33" s="165" t="inlineStr">
        <is>
          <t>3EST000223-8802</t>
        </is>
      </c>
      <c r="V33" s="22" t="n"/>
      <c r="W33" s="416" t="n"/>
      <c r="X33" s="404" t="inlineStr">
        <is>
          <t>IDU</t>
        </is>
      </c>
      <c r="Y33" s="165" t="inlineStr">
        <is>
          <t>3EST000223-8802</t>
        </is>
      </c>
      <c r="Z33" s="22" t="n"/>
    </row>
    <row r="34" ht="14.5" customHeight="1" s="462">
      <c r="A34" s="476" t="n"/>
      <c r="B34" s="475" t="inlineStr">
        <is>
          <t>Bus</t>
        </is>
      </c>
      <c r="C34" s="48" t="n"/>
      <c r="D34" s="404" t="inlineStr">
        <is>
          <t>T Repeater</t>
        </is>
      </c>
      <c r="E34" s="165" t="inlineStr">
        <is>
          <t>3EST000212-3010</t>
        </is>
      </c>
      <c r="F34" s="22" t="n"/>
      <c r="G34" s="48" t="n"/>
      <c r="H34" s="404" t="inlineStr">
        <is>
          <t>T Repeater</t>
        </is>
      </c>
      <c r="I34" s="408" t="inlineStr">
        <is>
          <t>3EST000236-6770</t>
        </is>
      </c>
      <c r="J34" s="453" t="inlineStr">
        <is>
          <t>Sell no more supported for new projects due to internal component out of production (legacy only)</t>
        </is>
      </c>
      <c r="K34" s="48" t="n"/>
      <c r="L34" s="404" t="inlineStr">
        <is>
          <t>T Repeater</t>
        </is>
      </c>
      <c r="M34" s="505" t="n"/>
      <c r="N34" s="463" t="n"/>
      <c r="O34" s="48" t="n"/>
      <c r="P34" s="404" t="inlineStr">
        <is>
          <t>T Repeater</t>
        </is>
      </c>
      <c r="Q34" s="165" t="inlineStr">
        <is>
          <t>3EST000212-3010</t>
        </is>
      </c>
      <c r="R34" s="22" t="n"/>
      <c r="S34" s="48" t="n"/>
      <c r="T34" s="404" t="inlineStr">
        <is>
          <t>T Repeater</t>
        </is>
      </c>
      <c r="U34" s="165" t="inlineStr">
        <is>
          <t>3EST000212-3010</t>
        </is>
      </c>
      <c r="V34" s="22" t="n"/>
      <c r="W34" s="416" t="n"/>
      <c r="X34" s="404" t="inlineStr">
        <is>
          <t>T Repeater</t>
        </is>
      </c>
      <c r="Y34" s="165" t="inlineStr">
        <is>
          <t>3EST000236-6770</t>
        </is>
      </c>
      <c r="Z34" s="453" t="inlineStr">
        <is>
          <t>Sell no more supported for new projects due to internal component out of production (legacy only)</t>
        </is>
      </c>
    </row>
    <row r="35">
      <c r="A35" s="476" t="n"/>
      <c r="B35" s="476" t="n"/>
      <c r="C35" s="48" t="n"/>
      <c r="D35" s="404" t="inlineStr">
        <is>
          <t>T Switch</t>
        </is>
      </c>
      <c r="E35" s="165" t="inlineStr">
        <is>
          <t>3EST000212-3000</t>
        </is>
      </c>
      <c r="F35" s="22" t="n"/>
      <c r="G35" s="48" t="n"/>
      <c r="H35" s="404" t="inlineStr">
        <is>
          <t>T Switch</t>
        </is>
      </c>
      <c r="I35" s="408" t="inlineStr">
        <is>
          <t>3EST000236-6769</t>
        </is>
      </c>
      <c r="J35" s="454" t="n"/>
      <c r="K35" s="48" t="n"/>
      <c r="L35" s="404" t="inlineStr">
        <is>
          <t>T Switch</t>
        </is>
      </c>
      <c r="M35" s="505" t="n"/>
      <c r="N35" s="463" t="n"/>
      <c r="O35" s="48" t="n"/>
      <c r="P35" s="404" t="inlineStr">
        <is>
          <t>T Switch</t>
        </is>
      </c>
      <c r="Q35" s="165" t="inlineStr">
        <is>
          <t>3EST000212-3000</t>
        </is>
      </c>
      <c r="R35" s="22" t="n"/>
      <c r="S35" s="48" t="n"/>
      <c r="T35" s="404" t="inlineStr">
        <is>
          <t>T Switch</t>
        </is>
      </c>
      <c r="U35" s="165" t="inlineStr">
        <is>
          <t>3EST000212-3000</t>
        </is>
      </c>
      <c r="V35" s="22" t="n"/>
      <c r="W35" s="416" t="n"/>
      <c r="X35" s="404" t="inlineStr">
        <is>
          <t>T Switch</t>
        </is>
      </c>
      <c r="Y35" s="165" t="inlineStr">
        <is>
          <t>3EST000236-6769</t>
        </is>
      </c>
      <c r="Z35" s="454" t="n"/>
    </row>
    <row r="36" ht="15.75" customHeight="1" s="462" thickBot="1">
      <c r="A36" s="500" t="n"/>
      <c r="B36" s="476" t="n"/>
      <c r="C36" s="51" t="n"/>
      <c r="D36" s="409" t="inlineStr">
        <is>
          <t>R Switch</t>
        </is>
      </c>
      <c r="E36" s="167" t="inlineStr">
        <is>
          <t>3EST000225-7297</t>
        </is>
      </c>
      <c r="F36" s="52" t="n"/>
      <c r="G36" s="51" t="n"/>
      <c r="H36" s="409" t="inlineStr">
        <is>
          <t>R Switch</t>
        </is>
      </c>
      <c r="I36" s="410" t="inlineStr">
        <is>
          <t>3EST000234-7837</t>
        </is>
      </c>
      <c r="J36" s="454" t="n"/>
      <c r="K36" s="51" t="n"/>
      <c r="L36" s="409" t="inlineStr">
        <is>
          <t>R Switch</t>
        </is>
      </c>
      <c r="M36" s="506" t="n"/>
      <c r="N36" s="466" t="n"/>
      <c r="O36" s="51" t="n"/>
      <c r="P36" s="409" t="inlineStr">
        <is>
          <t>R Switch</t>
        </is>
      </c>
      <c r="Q36" s="167" t="inlineStr">
        <is>
          <t>3EST000225-7297</t>
        </is>
      </c>
      <c r="R36" s="52" t="n"/>
      <c r="S36" s="51" t="n"/>
      <c r="T36" s="409" t="inlineStr">
        <is>
          <t>R Switch</t>
        </is>
      </c>
      <c r="U36" s="167" t="inlineStr">
        <is>
          <t>3EST000225-7297</t>
        </is>
      </c>
      <c r="V36" s="52" t="n"/>
      <c r="W36" s="452" t="n"/>
      <c r="X36" s="409" t="inlineStr">
        <is>
          <t>R Switch</t>
        </is>
      </c>
      <c r="Y36" s="167" t="inlineStr">
        <is>
          <t>3EST000234-7837</t>
        </is>
      </c>
      <c r="Z36" s="454" t="n"/>
    </row>
    <row r="37" ht="15.75" customHeight="1" s="462" thickBot="1">
      <c r="A37" s="39" t="inlineStr">
        <is>
          <t>Energy Meter</t>
        </is>
      </c>
      <c r="B37" s="11" t="inlineStr">
        <is>
          <t>Tipo</t>
        </is>
      </c>
      <c r="C37" s="458" t="inlineStr">
        <is>
          <t>n/a</t>
        </is>
      </c>
      <c r="D37" s="456" t="n"/>
      <c r="E37" s="456" t="n"/>
      <c r="F37" s="457" t="n"/>
      <c r="G37" s="458" t="inlineStr">
        <is>
          <t>n/a</t>
        </is>
      </c>
      <c r="H37" s="456" t="n"/>
      <c r="I37" s="456" t="n"/>
      <c r="J37" s="457" t="n"/>
      <c r="K37" s="468" t="inlineStr">
        <is>
          <t>EMS Microelettrica  integrato con TCMS</t>
        </is>
      </c>
      <c r="L37" s="456" t="n"/>
      <c r="M37" s="456" t="n"/>
      <c r="N37" s="457" t="n"/>
      <c r="O37" s="468" t="inlineStr">
        <is>
          <t>EMS Microelettrica non integrato con TCMS</t>
        </is>
      </c>
      <c r="P37" s="456" t="n"/>
      <c r="Q37" s="456" t="n"/>
      <c r="R37" s="457" t="n"/>
      <c r="S37" s="468" t="inlineStr">
        <is>
          <t>EMS Alstom  integrato con TCMS</t>
        </is>
      </c>
      <c r="T37" s="456" t="n"/>
      <c r="U37" s="456" t="n"/>
      <c r="V37" s="457" t="n"/>
      <c r="W37" s="468" t="inlineStr">
        <is>
          <t>EMS Alstom  integrato con TCMS</t>
        </is>
      </c>
      <c r="X37" s="456" t="n"/>
      <c r="Y37" s="456" t="n"/>
      <c r="Z37" s="457" t="n"/>
    </row>
    <row r="38" ht="87" customHeight="1" s="462">
      <c r="A38" s="499" t="inlineStr">
        <is>
          <t>Freno</t>
        </is>
      </c>
      <c r="B38" s="470" t="inlineStr">
        <is>
          <t>Centraline</t>
        </is>
      </c>
      <c r="C38" s="44" t="n"/>
      <c r="D38" s="53" t="inlineStr">
        <is>
          <t>BCU</t>
        </is>
      </c>
      <c r="E38" s="54" t="inlineStr">
        <is>
          <t>FT0024971-100 (DM)
FT0028492-100 (TT)</t>
        </is>
      </c>
      <c r="F38" s="36" t="n"/>
      <c r="G38" s="44" t="n"/>
      <c r="H38" s="53" t="inlineStr">
        <is>
          <t>BCU</t>
        </is>
      </c>
      <c r="I38" s="54" t="inlineStr">
        <is>
          <t>FT0024971-100 (DM)
FT0028492-100 (TT)</t>
        </is>
      </c>
      <c r="J38" s="36" t="n"/>
      <c r="K38" s="44" t="n"/>
      <c r="L38" s="53" t="inlineStr">
        <is>
          <t>BCU</t>
        </is>
      </c>
      <c r="M38" s="34" t="n"/>
      <c r="N38" s="36" t="n"/>
      <c r="O38" s="44" t="n"/>
      <c r="P38" s="53" t="inlineStr">
        <is>
          <t>BCU</t>
        </is>
      </c>
      <c r="Q38" s="54" t="inlineStr">
        <is>
          <t>FT0024971-100 (DM)
FT0028492-100 (TT)</t>
        </is>
      </c>
      <c r="R38" s="36" t="n"/>
      <c r="S38" s="44" t="n"/>
      <c r="T38" s="53" t="inlineStr">
        <is>
          <t>BCU</t>
        </is>
      </c>
      <c r="U38" s="54" t="inlineStr">
        <is>
          <t>FT0024971-100 (DM)
FT0028492-100 (TT)</t>
        </is>
      </c>
      <c r="V38" s="36" t="n"/>
      <c r="W38" s="44" t="n"/>
      <c r="X38" s="53" t="inlineStr">
        <is>
          <t>BCU</t>
        </is>
      </c>
      <c r="Y38" s="34" t="n"/>
      <c r="Z38" s="36" t="n"/>
    </row>
    <row r="39" ht="101.5" customHeight="1" s="462">
      <c r="A39" s="476" t="n"/>
      <c r="B39" s="426" t="n"/>
      <c r="C39" s="48" t="n"/>
      <c r="D39" s="384" t="inlineStr">
        <is>
          <t>WSP</t>
        </is>
      </c>
      <c r="E39" s="393" t="inlineStr">
        <is>
          <t xml:space="preserve">FT0024963-100 (DM)
FT0024967-100 (TT)
</t>
        </is>
      </c>
      <c r="F39" s="22" t="n"/>
      <c r="G39" s="48" t="n"/>
      <c r="H39" s="384" t="inlineStr">
        <is>
          <t>WSP</t>
        </is>
      </c>
      <c r="I39" s="393" t="inlineStr">
        <is>
          <t xml:space="preserve">FT0024963-100 (DM)
FT0024967-100 (TT)
</t>
        </is>
      </c>
      <c r="J39" s="22" t="n"/>
      <c r="K39" s="48" t="n"/>
      <c r="L39" s="384" t="inlineStr">
        <is>
          <t>WSP</t>
        </is>
      </c>
      <c r="M39" s="165" t="n"/>
      <c r="N39" s="22" t="n"/>
      <c r="O39" s="48" t="n"/>
      <c r="P39" s="384" t="inlineStr">
        <is>
          <t>WSP</t>
        </is>
      </c>
      <c r="Q39" s="393" t="inlineStr">
        <is>
          <t xml:space="preserve">FT0024963-100 (DM)
FT0024967-100 (TT)
</t>
        </is>
      </c>
      <c r="R39" s="22" t="n"/>
      <c r="S39" s="48" t="n"/>
      <c r="T39" s="384" t="inlineStr">
        <is>
          <t>WSP</t>
        </is>
      </c>
      <c r="U39" s="393" t="inlineStr">
        <is>
          <t xml:space="preserve">FT0024963-100 (DM)
FT0024967-100 (TT)
</t>
        </is>
      </c>
      <c r="V39" s="22" t="n"/>
      <c r="W39" s="48" t="n"/>
      <c r="X39" s="384" t="inlineStr">
        <is>
          <t>WSP</t>
        </is>
      </c>
      <c r="Y39" s="165" t="n"/>
      <c r="Z39" s="22" t="n"/>
    </row>
    <row r="40">
      <c r="A40" s="476" t="n"/>
      <c r="B40" s="467" t="inlineStr">
        <is>
          <t>Pneumatica</t>
        </is>
      </c>
      <c r="C40" s="48" t="n"/>
      <c r="D40" s="384" t="inlineStr">
        <is>
          <t>Distributore</t>
        </is>
      </c>
      <c r="E40" s="411" t="inlineStr">
        <is>
          <t>SW4 COD. 726 43V S1 10</t>
        </is>
      </c>
      <c r="F40" s="22" t="n"/>
      <c r="G40" s="48" t="n"/>
      <c r="H40" s="384" t="inlineStr">
        <is>
          <t>Distributore</t>
        </is>
      </c>
      <c r="I40" s="411" t="inlineStr">
        <is>
          <t>SW4 COD. 726 43V S1 10</t>
        </is>
      </c>
      <c r="J40" s="22" t="n"/>
      <c r="K40" s="48" t="n"/>
      <c r="L40" s="384" t="inlineStr">
        <is>
          <t>Distributore</t>
        </is>
      </c>
      <c r="M40" s="165" t="n"/>
      <c r="N40" s="22" t="n"/>
      <c r="O40" s="48" t="n"/>
      <c r="P40" s="384" t="inlineStr">
        <is>
          <t>Distributore</t>
        </is>
      </c>
      <c r="Q40" s="411" t="inlineStr">
        <is>
          <t>SW4 COD. 726 43V S1 10</t>
        </is>
      </c>
      <c r="R40" s="22" t="n"/>
      <c r="S40" s="48" t="n"/>
      <c r="T40" s="384" t="inlineStr">
        <is>
          <t>Distributore</t>
        </is>
      </c>
      <c r="U40" s="411" t="inlineStr">
        <is>
          <t>SW4 COD. 726 43V S1 10</t>
        </is>
      </c>
      <c r="V40" s="22" t="n"/>
      <c r="W40" s="48" t="n"/>
      <c r="X40" s="384" t="inlineStr">
        <is>
          <t>Distributore</t>
        </is>
      </c>
      <c r="Y40" s="165" t="n"/>
      <c r="Z40" s="22" t="n"/>
    </row>
    <row r="41">
      <c r="A41" s="476" t="n"/>
      <c r="B41" s="461" t="n"/>
      <c r="C41" s="48" t="n"/>
      <c r="D41" s="384" t="inlineStr">
        <is>
          <t>DBV</t>
        </is>
      </c>
      <c r="E41" s="165" t="inlineStr">
        <is>
          <t>FT0022875-100</t>
        </is>
      </c>
      <c r="F41" s="22" t="n"/>
      <c r="G41" s="48" t="n"/>
      <c r="H41" s="384" t="inlineStr">
        <is>
          <t>DBV</t>
        </is>
      </c>
      <c r="I41" s="165" t="inlineStr">
        <is>
          <t>FT0022875-100</t>
        </is>
      </c>
      <c r="J41" s="22" t="n"/>
      <c r="K41" s="48" t="n"/>
      <c r="L41" s="384" t="inlineStr">
        <is>
          <t>DBV</t>
        </is>
      </c>
      <c r="M41" s="165" t="n"/>
      <c r="N41" s="22" t="n"/>
      <c r="O41" s="48" t="n"/>
      <c r="P41" s="384" t="inlineStr">
        <is>
          <t>DBV</t>
        </is>
      </c>
      <c r="Q41" s="165" t="inlineStr">
        <is>
          <t>FT0022875-100</t>
        </is>
      </c>
      <c r="R41" s="22" t="n"/>
      <c r="S41" s="48" t="n"/>
      <c r="T41" s="384" t="inlineStr">
        <is>
          <t>DBV</t>
        </is>
      </c>
      <c r="U41" s="165" t="inlineStr">
        <is>
          <t>FT0022875-100</t>
        </is>
      </c>
      <c r="V41" s="22" t="n"/>
      <c r="W41" s="48" t="n"/>
      <c r="X41" s="384" t="inlineStr">
        <is>
          <t>DBV</t>
        </is>
      </c>
      <c r="Y41" s="165" t="n"/>
      <c r="Z41" s="22" t="n"/>
    </row>
    <row r="42" ht="15.75" customHeight="1" s="462" thickBot="1">
      <c r="A42" s="500" t="n"/>
      <c r="B42" s="464" t="n"/>
      <c r="C42" s="51" t="n"/>
      <c r="D42" s="412" t="inlineStr">
        <is>
          <t>Dump V. WSP</t>
        </is>
      </c>
      <c r="E42" s="167" t="inlineStr">
        <is>
          <t>FT0023704-103</t>
        </is>
      </c>
      <c r="F42" s="27" t="inlineStr">
        <is>
          <t>DV-17</t>
        </is>
      </c>
      <c r="G42" s="55" t="n"/>
      <c r="H42" s="25" t="inlineStr">
        <is>
          <t>Dump V. WSP</t>
        </is>
      </c>
      <c r="I42" s="167" t="inlineStr">
        <is>
          <t>FT0023704-103</t>
        </is>
      </c>
      <c r="J42" s="27" t="inlineStr">
        <is>
          <t>DV-17</t>
        </is>
      </c>
      <c r="K42" s="55" t="n"/>
      <c r="L42" s="25" t="inlineStr">
        <is>
          <t>Dump V. WSP</t>
        </is>
      </c>
      <c r="M42" s="26" t="inlineStr">
        <is>
          <t>FT0126050-100</t>
        </is>
      </c>
      <c r="N42" s="27" t="inlineStr">
        <is>
          <t>DV-12 Double Coil</t>
        </is>
      </c>
      <c r="O42" s="55" t="n"/>
      <c r="P42" s="25" t="inlineStr">
        <is>
          <t>Dump V. WSP</t>
        </is>
      </c>
      <c r="Q42" s="167" t="inlineStr">
        <is>
          <t>FT0023704-103</t>
        </is>
      </c>
      <c r="R42" s="27" t="inlineStr">
        <is>
          <t>DV-17</t>
        </is>
      </c>
      <c r="S42" s="55" t="n"/>
      <c r="T42" s="25" t="inlineStr">
        <is>
          <t>Dump V. WSP</t>
        </is>
      </c>
      <c r="U42" s="26" t="inlineStr">
        <is>
          <t>FT0126050-100</t>
        </is>
      </c>
      <c r="V42" s="27" t="inlineStr">
        <is>
          <t>DV-12 Double Coil</t>
        </is>
      </c>
      <c r="W42" s="55" t="n"/>
      <c r="X42" s="25" t="inlineStr">
        <is>
          <t>Dump V. WSP</t>
        </is>
      </c>
      <c r="Y42" s="26" t="inlineStr">
        <is>
          <t>FT0126050-100</t>
        </is>
      </c>
      <c r="Z42" s="27" t="inlineStr">
        <is>
          <t>DV-12 Double Coil</t>
        </is>
      </c>
    </row>
    <row r="43">
      <c r="A43" s="499" t="inlineStr">
        <is>
          <t>PRM</t>
        </is>
      </c>
      <c r="B43" s="470" t="inlineStr">
        <is>
          <t>Toilet</t>
        </is>
      </c>
      <c r="C43" s="492" t="inlineStr">
        <is>
          <t>Toilet Production HK standard flotta base</t>
        </is>
      </c>
      <c r="D43" s="493" t="n"/>
      <c r="E43" s="493" t="n"/>
      <c r="F43" s="494" t="n"/>
      <c r="G43" s="492" t="inlineStr">
        <is>
          <t>Toilet Production HK standard flotta base</t>
        </is>
      </c>
      <c r="H43" s="493" t="n"/>
      <c r="I43" s="493" t="n"/>
      <c r="J43" s="494" t="n"/>
      <c r="K43" s="492" t="inlineStr">
        <is>
          <t>Toilet Production HK - conf. NRD Spagna + STI PRM 2019</t>
        </is>
      </c>
      <c r="L43" s="493" t="n"/>
      <c r="M43" s="493" t="n"/>
      <c r="N43" s="494" t="n"/>
      <c r="O43" s="492" t="inlineStr">
        <is>
          <t>Toilet Production HK standard flotta base</t>
        </is>
      </c>
      <c r="P43" s="493" t="n"/>
      <c r="Q43" s="493" t="n"/>
      <c r="R43" s="494" t="n"/>
      <c r="S43" s="492" t="inlineStr">
        <is>
          <t>Toilet Production HK standard flotta base</t>
        </is>
      </c>
      <c r="T43" s="493" t="n"/>
      <c r="U43" s="493" t="n"/>
      <c r="V43" s="494" t="n"/>
      <c r="W43" s="492" t="inlineStr">
        <is>
          <t>Toilet Production HK - conf. NRD Spagna + STI PRM 2019</t>
        </is>
      </c>
      <c r="X43" s="493" t="n"/>
      <c r="Y43" s="493" t="n"/>
      <c r="Z43" s="494" t="n"/>
    </row>
    <row r="44">
      <c r="A44" s="476" t="n"/>
      <c r="B44" s="426" t="n"/>
      <c r="C44" s="495" t="n"/>
      <c r="D44" s="426" t="n"/>
      <c r="E44" s="426" t="n"/>
      <c r="F44" s="496" t="n"/>
      <c r="G44" s="495" t="n"/>
      <c r="H44" s="426" t="n"/>
      <c r="I44" s="426" t="n"/>
      <c r="J44" s="496" t="n"/>
      <c r="K44" s="495" t="n"/>
      <c r="L44" s="426" t="n"/>
      <c r="M44" s="426" t="n"/>
      <c r="N44" s="496" t="n"/>
      <c r="O44" s="495" t="n"/>
      <c r="P44" s="426" t="n"/>
      <c r="Q44" s="426" t="n"/>
      <c r="R44" s="496" t="n"/>
      <c r="S44" s="495" t="n"/>
      <c r="T44" s="426" t="n"/>
      <c r="U44" s="426" t="n"/>
      <c r="V44" s="496" t="n"/>
      <c r="W44" s="495" t="n"/>
      <c r="X44" s="426" t="n"/>
      <c r="Y44" s="426" t="n"/>
      <c r="Z44" s="496" t="n"/>
    </row>
    <row r="45">
      <c r="A45" s="476" t="n"/>
      <c r="B45" s="467" t="inlineStr">
        <is>
          <t>Lift</t>
        </is>
      </c>
      <c r="C45" s="459" t="inlineStr">
        <is>
          <t>Lift HK standard flotta base azionamento idraulico</t>
        </is>
      </c>
      <c r="D45" s="544" t="n"/>
      <c r="E45" s="544" t="n"/>
      <c r="F45" s="460" t="n"/>
      <c r="G45" s="459" t="inlineStr">
        <is>
          <t>Lift HK standard flotta base azionamento idraulico</t>
        </is>
      </c>
      <c r="H45" s="544" t="n"/>
      <c r="I45" s="544" t="n"/>
      <c r="J45" s="460" t="n"/>
      <c r="K45" s="502" t="inlineStr">
        <is>
          <t>Lift HK STI PRM 2019 (pedana più grande, azionamento elettrico)</t>
        </is>
      </c>
      <c r="L45" s="544" t="n"/>
      <c r="M45" s="544" t="n"/>
      <c r="N45" s="460" t="n"/>
      <c r="O45" s="459" t="inlineStr">
        <is>
          <t>Lift HK standard flotta base azionamento idraulico</t>
        </is>
      </c>
      <c r="P45" s="544" t="n"/>
      <c r="Q45" s="544" t="n"/>
      <c r="R45" s="460" t="n"/>
      <c r="S45" s="459" t="inlineStr">
        <is>
          <t>Lift HK standard flotta base azionamento idraulico</t>
        </is>
      </c>
      <c r="T45" s="544" t="n"/>
      <c r="U45" s="544" t="n"/>
      <c r="V45" s="460" t="n"/>
      <c r="W45" s="502" t="inlineStr">
        <is>
          <t>Lift HK STI PRM 2019 (pedana più grande) azionamento idraulico</t>
        </is>
      </c>
      <c r="X45" s="544" t="n"/>
      <c r="Y45" s="544" t="n"/>
      <c r="Z45" s="460" t="n"/>
    </row>
    <row r="46">
      <c r="A46" s="476" t="n"/>
      <c r="B46" s="461" t="n"/>
      <c r="C46" s="461" t="n"/>
      <c r="F46" s="463" t="n"/>
      <c r="G46" s="461" t="n"/>
      <c r="J46" s="463" t="n"/>
      <c r="K46" s="461" t="n"/>
      <c r="N46" s="463" t="n"/>
      <c r="O46" s="461" t="n"/>
      <c r="R46" s="463" t="n"/>
      <c r="S46" s="461" t="n"/>
      <c r="V46" s="463" t="n"/>
      <c r="W46" s="461" t="n"/>
      <c r="Z46" s="463" t="n"/>
    </row>
    <row r="47" ht="15.75" customHeight="1" s="462" thickBot="1">
      <c r="A47" s="500" t="n"/>
      <c r="B47" s="464" t="n"/>
      <c r="C47" s="464" t="n"/>
      <c r="D47" s="465" t="n"/>
      <c r="E47" s="465" t="n"/>
      <c r="F47" s="466" t="n"/>
      <c r="G47" s="464" t="n"/>
      <c r="H47" s="465" t="n"/>
      <c r="I47" s="465" t="n"/>
      <c r="J47" s="466" t="n"/>
      <c r="K47" s="464" t="n"/>
      <c r="L47" s="465" t="n"/>
      <c r="M47" s="465" t="n"/>
      <c r="N47" s="466" t="n"/>
      <c r="O47" s="464" t="n"/>
      <c r="P47" s="465" t="n"/>
      <c r="Q47" s="465" t="n"/>
      <c r="R47" s="466" t="n"/>
      <c r="S47" s="464" t="n"/>
      <c r="T47" s="465" t="n"/>
      <c r="U47" s="465" t="n"/>
      <c r="V47" s="466" t="n"/>
      <c r="W47" s="464" t="n"/>
      <c r="X47" s="465" t="n"/>
      <c r="Y47" s="465" t="n"/>
      <c r="Z47" s="466" t="n"/>
    </row>
    <row r="48" ht="29.5" customHeight="1" s="462" thickBot="1">
      <c r="A48" s="56" t="inlineStr">
        <is>
          <t>Porte Esterne</t>
        </is>
      </c>
      <c r="B48" s="57" t="inlineStr">
        <is>
          <t>Tipo</t>
        </is>
      </c>
      <c r="C48" s="469" t="inlineStr">
        <is>
          <t>Porte esterne IFE standard flotta base</t>
        </is>
      </c>
      <c r="D48" s="456" t="n"/>
      <c r="E48" s="456" t="n"/>
      <c r="F48" s="457" t="n"/>
      <c r="G48" s="469" t="inlineStr">
        <is>
          <t>Porte esterne IFE standard flotta base</t>
        </is>
      </c>
      <c r="H48" s="456" t="n"/>
      <c r="I48" s="456" t="n"/>
      <c r="J48" s="457" t="n"/>
      <c r="K48" s="471" t="inlineStr">
        <is>
          <t>Porte esterne IFE TSI 2019
Centralina Ethernet</t>
        </is>
      </c>
      <c r="L48" s="456" t="n"/>
      <c r="M48" s="456" t="n"/>
      <c r="N48" s="457" t="n"/>
      <c r="O48" s="469" t="inlineStr">
        <is>
          <t>Porte esterne IFE standard flotta base</t>
        </is>
      </c>
      <c r="P48" s="456" t="n"/>
      <c r="Q48" s="456" t="n"/>
      <c r="R48" s="457" t="n"/>
      <c r="S48" s="469" t="inlineStr">
        <is>
          <t>Porte esterne IFE standard flotta base</t>
        </is>
      </c>
      <c r="T48" s="456" t="n"/>
      <c r="U48" s="456" t="n"/>
      <c r="V48" s="457" t="n"/>
      <c r="W48" s="455" t="inlineStr">
        <is>
          <t>Porte esterne IFE (TSI 2019)</t>
        </is>
      </c>
      <c r="X48" s="456" t="n"/>
      <c r="Y48" s="456" t="n"/>
      <c r="Z48" s="457" t="n"/>
    </row>
    <row r="49" ht="24" customHeight="1" s="462">
      <c r="A49" s="484" t="inlineStr">
        <is>
          <t>Antincendio</t>
        </is>
      </c>
      <c r="B49" s="58" t="inlineStr">
        <is>
          <t>Sensori
Elettronica</t>
        </is>
      </c>
      <c r="C49" s="492" t="inlineStr">
        <is>
          <t>SCU Saira</t>
        </is>
      </c>
      <c r="D49" s="509" t="n"/>
      <c r="E49" s="509" t="n"/>
      <c r="F49" s="510" t="n"/>
      <c r="G49" s="508" t="inlineStr">
        <is>
          <t>FDU-1000 (fornitura ISE)</t>
        </is>
      </c>
      <c r="H49" s="509" t="n"/>
      <c r="I49" s="509" t="n"/>
      <c r="J49" s="510" t="n"/>
      <c r="K49" s="508" t="inlineStr">
        <is>
          <t>FDU ISE</t>
        </is>
      </c>
      <c r="L49" s="509" t="n"/>
      <c r="M49" s="509" t="n"/>
      <c r="N49" s="510" t="n"/>
      <c r="O49" s="492" t="inlineStr">
        <is>
          <t>SCU Saira</t>
        </is>
      </c>
      <c r="P49" s="509" t="n"/>
      <c r="Q49" s="509" t="n"/>
      <c r="R49" s="510" t="n"/>
      <c r="S49" s="492" t="inlineStr">
        <is>
          <t>SCU Saira</t>
        </is>
      </c>
      <c r="T49" s="509" t="n"/>
      <c r="U49" s="509" t="n"/>
      <c r="V49" s="510" t="n"/>
      <c r="W49" s="508" t="inlineStr">
        <is>
          <t>FDU-1000 (fornitura ISE)</t>
        </is>
      </c>
      <c r="X49" s="509" t="n"/>
      <c r="Y49" s="509" t="n"/>
      <c r="Z49" s="510" t="n"/>
    </row>
    <row r="50" ht="15.75" customHeight="1" s="462" thickBot="1">
      <c r="A50" s="485" t="n"/>
      <c r="B50" s="43" t="inlineStr">
        <is>
          <t>Estinzione</t>
        </is>
      </c>
      <c r="C50" s="490" t="inlineStr">
        <is>
          <t>WaterMist Marioff - 2 gruppi MAU (DM1/8)</t>
        </is>
      </c>
      <c r="D50" s="465" t="n"/>
      <c r="E50" s="465" t="n"/>
      <c r="F50" s="466" t="n"/>
      <c r="G50" s="507" t="inlineStr">
        <is>
          <t>WaterMist Marioff - 2 gruppi MAU (DM1/8)</t>
        </is>
      </c>
      <c r="H50" s="465" t="n"/>
      <c r="I50" s="465" t="n"/>
      <c r="J50" s="466" t="n"/>
      <c r="K50" s="507" t="inlineStr">
        <is>
          <t>WaterMist Acquasys - 1 gruppo MAU (DM1)</t>
        </is>
      </c>
      <c r="L50" s="465" t="n"/>
      <c r="M50" s="465" t="n"/>
      <c r="N50" s="466" t="n"/>
      <c r="O50" s="490" t="inlineStr">
        <is>
          <t>WaterMist Marioff - 2 gruppi MAU (DM1/8)</t>
        </is>
      </c>
      <c r="P50" s="465" t="n"/>
      <c r="Q50" s="465" t="n"/>
      <c r="R50" s="466" t="n"/>
      <c r="S50" s="490" t="inlineStr">
        <is>
          <t>WaterMist Marioff - 2 gruppi MAU (DM1/8)</t>
        </is>
      </c>
      <c r="T50" s="465" t="n"/>
      <c r="U50" s="465" t="n"/>
      <c r="V50" s="466" t="n"/>
      <c r="W50" s="490" t="inlineStr">
        <is>
          <t>n/a</t>
        </is>
      </c>
      <c r="X50" s="465" t="n"/>
      <c r="Y50" s="465" t="n"/>
      <c r="Z50" s="466" t="n"/>
    </row>
  </sheetData>
  <mergeCells count="100">
    <mergeCell ref="B43:B44"/>
    <mergeCell ref="K48:N48"/>
    <mergeCell ref="O3:O8"/>
    <mergeCell ref="B34:B36"/>
    <mergeCell ref="W25:W28"/>
    <mergeCell ref="K21:K24"/>
    <mergeCell ref="S3:S8"/>
    <mergeCell ref="W48:Z48"/>
    <mergeCell ref="C37:F37"/>
    <mergeCell ref="S45:V47"/>
    <mergeCell ref="B45:B47"/>
    <mergeCell ref="O37:R37"/>
    <mergeCell ref="B3:B8"/>
    <mergeCell ref="K49:N49"/>
    <mergeCell ref="A38:A42"/>
    <mergeCell ref="B13:B16"/>
    <mergeCell ref="K17:K20"/>
    <mergeCell ref="C1:F1"/>
    <mergeCell ref="W17:W20"/>
    <mergeCell ref="W1:Z1"/>
    <mergeCell ref="G25:G28"/>
    <mergeCell ref="O1:R1"/>
    <mergeCell ref="C50:F50"/>
    <mergeCell ref="W50:Z50"/>
    <mergeCell ref="O17:O20"/>
    <mergeCell ref="G9:G12"/>
    <mergeCell ref="K25:K28"/>
    <mergeCell ref="K9:K12"/>
    <mergeCell ref="G43:J44"/>
    <mergeCell ref="K3:K8"/>
    <mergeCell ref="O9:O12"/>
    <mergeCell ref="C3:C8"/>
    <mergeCell ref="S43:V44"/>
    <mergeCell ref="S21:S24"/>
    <mergeCell ref="K37:N37"/>
    <mergeCell ref="A13:A28"/>
    <mergeCell ref="G13:G16"/>
    <mergeCell ref="B17:B20"/>
    <mergeCell ref="W37:Z37"/>
    <mergeCell ref="Z34:Z36"/>
    <mergeCell ref="S13:S16"/>
    <mergeCell ref="C21:C24"/>
    <mergeCell ref="K45:N47"/>
    <mergeCell ref="B9:B12"/>
    <mergeCell ref="G48:J48"/>
    <mergeCell ref="C45:F47"/>
    <mergeCell ref="S48:V48"/>
    <mergeCell ref="J34:J36"/>
    <mergeCell ref="K1:N1"/>
    <mergeCell ref="O45:R47"/>
    <mergeCell ref="K50:N50"/>
    <mergeCell ref="B25:B28"/>
    <mergeCell ref="M29:N36"/>
    <mergeCell ref="G49:J49"/>
    <mergeCell ref="A29:A36"/>
    <mergeCell ref="B29:B31"/>
    <mergeCell ref="S49:V49"/>
    <mergeCell ref="A49:A50"/>
    <mergeCell ref="S25:S28"/>
    <mergeCell ref="B40:B42"/>
    <mergeCell ref="G17:G20"/>
    <mergeCell ref="S50:V50"/>
    <mergeCell ref="C9:C12"/>
    <mergeCell ref="C43:F44"/>
    <mergeCell ref="O43:R44"/>
    <mergeCell ref="W9:W12"/>
    <mergeCell ref="W21:W24"/>
    <mergeCell ref="O21:O24"/>
    <mergeCell ref="W3:W8"/>
    <mergeCell ref="A3:A12"/>
    <mergeCell ref="G37:J37"/>
    <mergeCell ref="W45:Z47"/>
    <mergeCell ref="C13:C16"/>
    <mergeCell ref="S37:V37"/>
    <mergeCell ref="O13:O16"/>
    <mergeCell ref="C48:F48"/>
    <mergeCell ref="G45:J47"/>
    <mergeCell ref="O48:R48"/>
    <mergeCell ref="B21:B24"/>
    <mergeCell ref="G1:J1"/>
    <mergeCell ref="B38:B39"/>
    <mergeCell ref="G50:J50"/>
    <mergeCell ref="S1:V1"/>
    <mergeCell ref="S17:S20"/>
    <mergeCell ref="C49:F49"/>
    <mergeCell ref="C25:C28"/>
    <mergeCell ref="A43:A47"/>
    <mergeCell ref="W49:Z49"/>
    <mergeCell ref="O25:O28"/>
    <mergeCell ref="K43:N44"/>
    <mergeCell ref="A2:B2"/>
    <mergeCell ref="S9:S12"/>
    <mergeCell ref="G3:G8"/>
    <mergeCell ref="C17:C20"/>
    <mergeCell ref="W43:Z44"/>
    <mergeCell ref="O49:R49"/>
    <mergeCell ref="K13:K16"/>
    <mergeCell ref="W13:W16"/>
    <mergeCell ref="O50:R50"/>
    <mergeCell ref="G21:G24"/>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31"/>
  <sheetViews>
    <sheetView workbookViewId="0">
      <selection activeCell="A10" sqref="A10"/>
    </sheetView>
  </sheetViews>
  <sheetFormatPr baseColWidth="8" defaultColWidth="8.7265625" defaultRowHeight="14.5"/>
  <cols>
    <col width="35.453125" customWidth="1" style="59" min="1" max="1"/>
    <col width="65.453125" customWidth="1" style="8" min="2" max="2"/>
    <col width="11.453125" bestFit="1" customWidth="1" style="8" min="3" max="3"/>
    <col width="28.453125" bestFit="1" customWidth="1" style="8" min="4" max="4"/>
    <col width="21.453125" customWidth="1" style="8" min="5" max="5"/>
    <col width="35.54296875" customWidth="1" style="8" min="6" max="7"/>
    <col width="8.7265625" customWidth="1" style="8" min="8" max="13"/>
    <col width="8.7265625" customWidth="1" style="8" min="14" max="16384"/>
  </cols>
  <sheetData>
    <row r="1" ht="30" customHeight="1" s="462">
      <c r="A1" s="323" t="inlineStr">
        <is>
          <t>FUNC ID</t>
        </is>
      </c>
      <c r="B1" s="323" t="inlineStr">
        <is>
          <t>DESCRIZIONE FUNZIONE</t>
        </is>
      </c>
      <c r="C1" s="420" t="inlineStr">
        <is>
          <t>DOC
CARTELLA</t>
        </is>
      </c>
      <c r="D1" s="420" t="inlineStr">
        <is>
          <t>DOC ID</t>
        </is>
      </c>
      <c r="E1" s="420" t="inlineStr">
        <is>
          <t>Info DOC</t>
        </is>
      </c>
      <c r="F1" s="324" t="inlineStr">
        <is>
          <t>VZI_Base</t>
        </is>
      </c>
      <c r="G1" s="324" t="inlineStr">
        <is>
          <t>VZI_New14</t>
        </is>
      </c>
    </row>
    <row r="2">
      <c r="A2" s="413" t="inlineStr">
        <is>
          <t>xxx</t>
        </is>
      </c>
      <c r="B2" s="413" t="inlineStr">
        <is>
          <t>xxx</t>
        </is>
      </c>
      <c r="C2" s="179" t="n"/>
      <c r="D2" s="414" t="n"/>
      <c r="E2" s="343" t="n"/>
      <c r="F2" s="344" t="n"/>
      <c r="G2" s="344" t="n"/>
    </row>
    <row r="3">
      <c r="A3" s="62" t="n"/>
      <c r="B3" s="86" t="n"/>
      <c r="C3" s="332" t="inlineStr">
        <is>
          <t>CONFIG</t>
        </is>
      </c>
      <c r="D3" s="332" t="inlineStr">
        <is>
          <t>FS_DM1</t>
        </is>
      </c>
      <c r="E3" s="333" t="inlineStr">
        <is>
          <t>Link</t>
        </is>
      </c>
      <c r="F3" s="334">
        <f t="array" ref="F3">HYPERLINK(CONCATENATE(Cartelle!$D$5,F$1,"/",$C3,"/",MID($D3,1,FIND("_",$D3)-1),"/",INDIRECT(CONCATENATE("'" &amp; $C3 &amp; "'!",ADDRESS(MATCH($D3, INDIRECT("'" &amp; $C3 &amp; "'!$B:$B"), 0),MATCH(F$1, INDIRECT("'" &amp; $C3 &amp; "'!$1:$1"), 0)))),".pdf#page=",F4),CONCATENATE("#Sharepoint//",$D3))</f>
        <v/>
      </c>
      <c r="G3" s="334" t="n"/>
    </row>
    <row r="4" ht="45" customHeight="1" s="462">
      <c r="A4" s="59" t="inlineStr">
        <is>
          <t>Nel foglio indicato in Cx nella colonna B, cerca la riga corrispondente al DOC ID indicato in Dx</t>
        </is>
      </c>
      <c r="B4" s="9">
        <f>MATCH($D3, INDIRECT("'" &amp; $C3 &amp; "'!$B:$B"), 0)</f>
        <v/>
      </c>
      <c r="C4" s="332" t="inlineStr">
        <is>
          <t>CONFIG</t>
        </is>
      </c>
      <c r="D4" s="332" t="inlineStr">
        <is>
          <t>FS_DM1</t>
        </is>
      </c>
      <c r="E4" s="333" t="inlineStr">
        <is>
          <t>Link</t>
        </is>
      </c>
      <c r="F4" s="8" t="n">
        <v>1</v>
      </c>
    </row>
    <row r="5" ht="45" customHeight="1" s="462">
      <c r="A5" s="59" t="inlineStr">
        <is>
          <t>Nel foglio CONFIG riga 1, cerca la colonna corrispondente alla flotta indicata da F1</t>
        </is>
      </c>
      <c r="B5" s="9">
        <f>MATCH(F$1,INDIRECT("'"&amp;$C3&amp;"'!$1:$1"),0)</f>
        <v/>
      </c>
      <c r="C5" s="332" t="inlineStr">
        <is>
          <t>CONFIG</t>
        </is>
      </c>
      <c r="D5" s="332" t="inlineStr">
        <is>
          <t>FS_DM1</t>
        </is>
      </c>
      <c r="E5" s="333" t="inlineStr">
        <is>
          <t>Link</t>
        </is>
      </c>
    </row>
    <row r="6" ht="45" customHeight="1" s="462">
      <c r="A6" s="59" t="inlineStr">
        <is>
          <t>Restituisci la posizione della cella corrispondente a riga/colonna sopra identificati</t>
        </is>
      </c>
      <c r="B6" s="9">
        <f>ADDRESS(MATCH($D3,INDIRECT("'"&amp;$C3&amp;"'!$B:$B"),0),MATCH(F$1,INDIRECT("'"&amp;$C3&amp;"'!$1:$1"),0))</f>
        <v/>
      </c>
      <c r="C6" s="332" t="inlineStr">
        <is>
          <t>CONFIG</t>
        </is>
      </c>
      <c r="D6" s="332" t="inlineStr">
        <is>
          <t>FS_DM1</t>
        </is>
      </c>
      <c r="E6" s="333" t="inlineStr">
        <is>
          <t>Link</t>
        </is>
      </c>
    </row>
    <row r="7" ht="30" customHeight="1" s="462">
      <c r="A7" s="59" t="inlineStr">
        <is>
          <t>Alla posizione della cella, concatena il nome del foglio recuperato in Cx</t>
        </is>
      </c>
      <c r="B7" s="9">
        <f>CONCATENATE("'" &amp; $C3 &amp; "'!",ADDRESS(MATCH($D3, INDIRECT("'" &amp; $C3 &amp; "'!$B:$B"), 0),MATCH(F$1, INDIRECT("'" &amp; $C3 &amp; "'!$1:$1"), 0)))</f>
        <v/>
      </c>
      <c r="C7" s="332" t="inlineStr">
        <is>
          <t>CONFIG</t>
        </is>
      </c>
      <c r="D7" s="332" t="inlineStr">
        <is>
          <t>FS_DM1</t>
        </is>
      </c>
      <c r="E7" s="333" t="inlineStr">
        <is>
          <t>Link</t>
        </is>
      </c>
    </row>
    <row r="8" ht="60" customHeight="1" s="462">
      <c r="A8" s="59" t="inlineStr">
        <is>
          <t>Recupera il contenuto del foglio/cella indicato nell'indirizzo sopra, il quale corrisponde al nome del file archiviato</t>
        </is>
      </c>
      <c r="B8" s="214">
        <f t="array" ref="B8">INDIRECT(CONCATENATE("'"&amp;$C3&amp;"'!",ADDRESS(MATCH($D3,INDIRECT("'"&amp;$C3&amp;"'!$B:$B"),0),MATCH(F$1,INDIRECT("'"&amp;$C3&amp;"'!$1:$1"),0))))</f>
        <v/>
      </c>
      <c r="C8" s="332" t="inlineStr">
        <is>
          <t>CONFIG</t>
        </is>
      </c>
      <c r="D8" s="332" t="inlineStr">
        <is>
          <t>FS_DM1</t>
        </is>
      </c>
      <c r="E8" s="333" t="inlineStr">
        <is>
          <t>Link</t>
        </is>
      </c>
    </row>
    <row r="9" ht="60" customHeight="1" s="462">
      <c r="A9" s="59" t="inlineStr">
        <is>
          <t>Recupera il prefisso del DOC ID posto prima del carattere "_", al quale corrisponde la sottocartella di archiviazione</t>
        </is>
      </c>
      <c r="B9" s="214">
        <f>MID($D3,1,FIND("_",$D3)-1)</f>
        <v/>
      </c>
      <c r="C9" s="332" t="inlineStr">
        <is>
          <t>CONFIG</t>
        </is>
      </c>
      <c r="D9" s="332" t="inlineStr">
        <is>
          <t>FS_DM1</t>
        </is>
      </c>
      <c r="E9" s="333" t="inlineStr">
        <is>
          <t>Link</t>
        </is>
      </c>
    </row>
    <row r="10" ht="165" customHeight="1" s="462">
      <c r="A10" s="59" t="inlineStr">
        <is>
          <t>crea l'indirizzo completo per la costruzione del link, concatenando:
- la root di archiviazione ETR1000 nello sharepoint indicata nel foglio Cartelle
- la sottocartella indicata in Cx
- la sottocartella indicata dal prefisso di DOC ID
- il nome del file
- estensione "pdf" a mano
- link alla pagina posta sotto il link</t>
        </is>
      </c>
      <c r="B10" s="215">
        <f t="array" ref="B10">CONCATENATE(Cartelle!$D$5,F$1,"/",$C3,"/",MID($D3,1,FIND("_",$D3)-1),"/",INDIRECT(CONCATENATE("'" &amp; $C3 &amp; "'!",ADDRESS(MATCH($D3, INDIRECT("'" &amp; $C3 &amp; "'!$B:$B"), 0),MATCH(F$1, INDIRECT("'" &amp; $C3 &amp; "'!$1:$1"), 0)))),".pdf#page=",F4)</f>
        <v/>
      </c>
      <c r="C10" s="332" t="inlineStr">
        <is>
          <t>CONFIG</t>
        </is>
      </c>
      <c r="D10" s="332" t="inlineStr">
        <is>
          <t>FS_DM1</t>
        </is>
      </c>
      <c r="E10" s="333" t="inlineStr">
        <is>
          <t>Link</t>
        </is>
      </c>
    </row>
    <row r="11">
      <c r="B11" s="59" t="n"/>
      <c r="C11" s="217" t="n"/>
      <c r="D11" s="217" t="n"/>
      <c r="E11" s="218" t="n"/>
    </row>
    <row r="12" ht="45" customHeight="1" s="462">
      <c r="A12" s="59" t="inlineStr">
        <is>
          <t>recupero del formato del file dal foglio indicato in Cx, alla riga indicata del DOC ID e colonna 3</t>
        </is>
      </c>
      <c r="B12" s="216">
        <f t="array" ref="B12">INDIRECT(CONCATENATE("'"&amp;$C7&amp;"'!",ADDRESS(MATCH($D3,INDIRECT("'"&amp;$C3&amp;"'!$B:$B"),0),3)))</f>
        <v/>
      </c>
      <c r="C12" s="332" t="inlineStr">
        <is>
          <t>CONFIG</t>
        </is>
      </c>
      <c r="D12" s="332" t="inlineStr">
        <is>
          <t>FS_DM1</t>
        </is>
      </c>
      <c r="E12" s="333" t="inlineStr">
        <is>
          <t>Link</t>
        </is>
      </c>
      <c r="F12" s="334">
        <f t="array" ref="F12">HYPERLINK(CONCATENATE(Cartelle!$D$5,F$1,"/",$C12,"/",MID($D12,1,FIND("_",$D12)-1),"/",INDIRECT(CONCATENATE("'" &amp; $C12 &amp; "'!",ADDRESS(MATCH($D12, INDIRECT("'" &amp; $C12 &amp; "'!$B:$B"), 0),MATCH(F$1, INDIRECT("'" &amp; $C12 &amp; "'!$1:$1"), 0)))),".",INDIRECT(CONCATENATE("'"&amp;$C12&amp;"'!",ADDRESS(MATCH($D12,INDIRECT("'"&amp;$C12&amp;"'!$B:$B"),0),3))),"#page=",F13),CONCATENATE("#Sharepoint//",$D12))</f>
        <v/>
      </c>
    </row>
    <row r="13" ht="60" customHeight="1" s="462">
      <c r="A13" s="59" t="inlineStr">
        <is>
          <t>crea l'indirizzo come sopra, inserendo anche la parte di recupero di estensione del file</t>
        </is>
      </c>
      <c r="B13" s="215">
        <f t="array" ref="B13">CONCATENATE(Cartelle!$D$5,F$1,"/",$C12,"/",MID($D12,1,FIND("_",$D12)-1),"/",INDIRECT(CONCATENATE("'" &amp; $C12 &amp; "'!",ADDRESS(MATCH($D12, INDIRECT("'" &amp; $C12 &amp; "'!$B:$B"), 0),MATCH(F$1, INDIRECT("'" &amp; $C12 &amp; "'!$1:$1"), 0)))),".",INDIRECT(CONCATENATE("'"&amp;$C12&amp;"'!",ADDRESS(MATCH($D12,INDIRECT("'"&amp;$C12&amp;"'!$B:$B"),0),3))),"#page=",F13)</f>
        <v/>
      </c>
      <c r="F13" s="8" t="n">
        <v>10</v>
      </c>
    </row>
    <row r="14" ht="30" customHeight="1" s="462">
      <c r="A14" s="219" t="inlineStr">
        <is>
          <t>prova link con DOC Type &lt;&gt; pdf</t>
        </is>
      </c>
      <c r="B14" s="220" t="n"/>
      <c r="C14" s="332" t="inlineStr">
        <is>
          <t>DIAGNOSTIC</t>
        </is>
      </c>
      <c r="D14" s="332" t="inlineStr">
        <is>
          <t>AD_Flotte</t>
        </is>
      </c>
      <c r="E14" s="333" t="inlineStr">
        <is>
          <t>Link</t>
        </is>
      </c>
      <c r="F14" s="334">
        <f t="array" ref="F14">HYPERLINK(CONCATENATE(Cartelle!$D$5,F$1,"/",$C14,"/",MID($D14,1,FIND("_",$D14)-1),"/",INDIRECT(CONCATENATE("'" &amp; $C14 &amp; "'!",ADDRESS(MATCH($D14, INDIRECT("'" &amp; $C14 &amp; "'!$B:$B"), 0),MATCH(F$1, INDIRECT("'" &amp; $C14 &amp; "'!$1:$1"), 0)))),".",INDIRECT(CONCATENATE("'"&amp;$C14&amp;"'!",ADDRESS(MATCH($D14,INDIRECT("'"&amp;$C14&amp;"'!$B:$B"),0),3))),"#page=",F15),CONCATENATE("#Sharepoint//",$D14))</f>
        <v/>
      </c>
    </row>
    <row r="15">
      <c r="F15" s="8" t="n">
        <v>1</v>
      </c>
    </row>
    <row r="17" ht="30" customHeight="1" s="462">
      <c r="A17" s="219" t="inlineStr">
        <is>
          <t>prova link con DOC Type &lt;&gt; pdf</t>
        </is>
      </c>
      <c r="B17" s="220" t="n"/>
      <c r="C17" s="332" t="inlineStr">
        <is>
          <t>DIAGNOSTIC</t>
        </is>
      </c>
      <c r="D17" s="332" t="inlineStr">
        <is>
          <t>AD_Flotte</t>
        </is>
      </c>
      <c r="E17" s="333" t="inlineStr">
        <is>
          <t>Link</t>
        </is>
      </c>
      <c r="F17" s="334">
        <f t="array" ref="F17">HYPERLINK(CONCATENATE(Cartelle!$D$5,F$1,"/",$C17,"/",MID($D17,1,FIND("_",$D17)-1),"/",INDIRECT(CONCATENATE("'" &amp; $C17 &amp; "'!",ADDRESS(MATCH($D17, INDIRECT("'" &amp; $C17 &amp; "'!$B:$B"), 0),MATCH(F$1, INDIRECT("'" &amp; $C17 &amp; "'!$1:$1"), 0)))),".",INDIRECT(CONCATENATE("'"&amp;$C17&amp;"'!",ADDRESS(MATCH($D17,INDIRECT("'"&amp;$C17&amp;"'!$B:$B"),0),3))),"#page=",F18),CONCATENATE("#Sharepoint//",$D17))</f>
        <v/>
      </c>
    </row>
    <row r="18">
      <c r="F18" s="8" t="n">
        <v>1</v>
      </c>
    </row>
    <row r="19">
      <c r="A19" s="413" t="inlineStr">
        <is>
          <t>xxx</t>
        </is>
      </c>
      <c r="B19" s="413" t="inlineStr">
        <is>
          <t>xxx</t>
        </is>
      </c>
      <c r="C19" s="179" t="n"/>
      <c r="D19" s="414" t="n"/>
      <c r="E19" s="343" t="n"/>
      <c r="F19" s="344" t="n"/>
      <c r="G19" s="344" t="n"/>
    </row>
    <row r="20" ht="30" customHeight="1" s="462">
      <c r="A20" s="62" t="inlineStr">
        <is>
          <t>parte iniziale - posizione cella foglio/flotta</t>
        </is>
      </c>
      <c r="B20" s="86">
        <f>ADDRESS(MATCH($D20, INDIRECT("'" &amp; $C20 &amp; "'!$B:$B"), 0),MATCH(G$1, INDIRECT("'" &amp; $C20 &amp; "'!$1:$1"), 0))</f>
        <v/>
      </c>
      <c r="C20" s="332" t="inlineStr">
        <is>
          <t>CONFIG</t>
        </is>
      </c>
      <c r="D20" s="332" t="inlineStr">
        <is>
          <t>FS_DM1</t>
        </is>
      </c>
      <c r="E20" s="333" t="inlineStr">
        <is>
          <t>Link</t>
        </is>
      </c>
      <c r="F20" s="334" t="n"/>
      <c r="G20" s="334">
        <f t="array" ref="G20">HYPERLINK(CONCATENATE(Cartelle!$D$5,INDEX(INDIRECT("'" &amp; $C20 &amp; "'!$1:$1"), 1, MATCH(INDIRECT(CONCATENATE("'" &amp; $C20 &amp; "'!",ADDRESS(MATCH($D20, INDIRECT("'" &amp; $C20 &amp; "'!$B:$B"), 0),MATCH(G$1, INDIRECT("'" &amp; $C20 &amp; "'!$1:$1"), 0)))),INDIRECT(CONCATENATE("'" &amp; $C20 &amp; "'!",MATCH($D20, INDIRECT("'" &amp; $C20 &amp; "'!$B:$B"), 0),":",MATCH($D20, INDIRECT("'" &amp; $C20 &amp; "'!$B:$B"), 0))),0)),"/",$C20,"/",MID($D20,1,FIND("_",$D20)-1),"/",INDIRECT(CONCATENATE("'" &amp; $C20 &amp; "'!",ADDRESS(MATCH($D20, INDIRECT("'" &amp; $C20 &amp; "'!$B:$B"), 0),MATCH(G$1, INDIRECT("'" &amp; $C20 &amp; "'!$1:$1"), 0)))),".",INDIRECT(CONCATENATE("'"&amp;$C20&amp;"'!",ADDRESS(MATCH($D20,INDIRECT("'"&amp;$C20&amp;"'!$B:$B"),0),3))),"#page=",G21),CONCATENATE("#Sharepoint//",$D20))</f>
        <v/>
      </c>
    </row>
    <row r="21">
      <c r="A21" s="59" t="inlineStr">
        <is>
          <t>Recupera il contenuto del foglio/cella</t>
        </is>
      </c>
      <c r="B21" s="9">
        <f t="array" ref="B21">INDIRECT(CONCATENATE("'" &amp; $C20 &amp; "'!",ADDRESS(MATCH($D20, INDIRECT("'" &amp; $C20 &amp; "'!$B:$B"), 0),MATCH(G$1, INDIRECT("'" &amp; $C20 &amp; "'!$1:$1"), 0))))</f>
        <v/>
      </c>
      <c r="C21" s="332" t="inlineStr">
        <is>
          <t>CONFIG</t>
        </is>
      </c>
      <c r="D21" s="332" t="inlineStr">
        <is>
          <t>FRS_Diagnostics</t>
        </is>
      </c>
      <c r="E21" s="333" t="inlineStr">
        <is>
          <t>Link</t>
        </is>
      </c>
      <c r="F21" s="8" t="n">
        <v>1</v>
      </c>
    </row>
    <row r="22">
      <c r="B22" s="9">
        <f t="array" ref="B22">INDIRECT(CONCATENATE("'"&amp;$C20&amp;"'!",MATCH($D20,INDIRECT("'"&amp;$C20&amp;"'!$B:$B"),0),":",MATCH($D20,INDIRECT("'"&amp;$C20&amp;"'!$B:$B"),0)))</f>
        <v/>
      </c>
      <c r="C22" s="332" t="inlineStr">
        <is>
          <t>CONFIG</t>
        </is>
      </c>
      <c r="D22" s="332" t="inlineStr">
        <is>
          <t>FRS_Diagnostics</t>
        </is>
      </c>
      <c r="E22" s="333" t="inlineStr">
        <is>
          <t>Link</t>
        </is>
      </c>
    </row>
    <row r="23">
      <c r="B23" s="9">
        <f t="array" ref="B23">MATCH(INDIRECT(CONCATENATE("'"&amp;$C20&amp;"'!",ADDRESS(MATCH($D20,INDIRECT("'"&amp;$C20&amp;"'!$B:$B"),0),MATCH(G$1,INDIRECT("'"&amp;$C20&amp;"'!$1:$1"),0)))),INDIRECT(CONCATENATE("'"&amp;$C20&amp;"'!",MATCH($D20,INDIRECT("'"&amp;$C20&amp;"'!$B:$B"),0),":",MATCH($D20,INDIRECT("'"&amp;$C20&amp;"'!$B:$B"),0))))</f>
        <v/>
      </c>
      <c r="C23" s="332" t="inlineStr">
        <is>
          <t>CONFIG</t>
        </is>
      </c>
      <c r="D23" s="332" t="inlineStr">
        <is>
          <t>FRS_Diagnostics</t>
        </is>
      </c>
      <c r="E23" s="333" t="inlineStr">
        <is>
          <t>Link</t>
        </is>
      </c>
    </row>
    <row r="24">
      <c r="B24" s="8">
        <f t="array" ref="B24">INDEX(INDIRECT("'" &amp; $C20 &amp; "'!$1:$1"), 1, MATCH(INDIRECT(CONCATENATE("'" &amp; $C20 &amp; "'!",ADDRESS(MATCH($D20, INDIRECT("'" &amp; $C20 &amp; "'!$B:$B"), 0),MATCH(G$1, INDIRECT("'" &amp; $C20 &amp; "'!$1:$1"), 0)))),INDIRECT(CONCATENATE("'" &amp; $C20 &amp; "'!",MATCH($D20, INDIRECT("'" &amp; $C20 &amp; "'!$B:$B"), 0),":",MATCH($D20, INDIRECT("'" &amp; $C20 &amp; "'!$B:$B"), 0))),0))</f>
        <v/>
      </c>
    </row>
    <row r="28" collapsed="1" customFormat="1" s="59">
      <c r="A28" s="86" t="n"/>
      <c r="B28" s="332" t="inlineStr">
        <is>
          <t>MAN_CPR</t>
        </is>
      </c>
      <c r="C28" s="326" t="inlineStr">
        <is>
          <t>PBC_01A</t>
        </is>
      </c>
      <c r="D28" s="338" t="inlineStr">
        <is>
          <t>Link</t>
        </is>
      </c>
      <c r="E28" s="334">
        <f t="array" ref="E28">HYPERLINK(CONCATENATE(Cartelle!$D$5,E$1,"/",$B28,"/",MID($C28,1,FIND("_",$C28)-1),"/",INDIRECT(CONCATENATE("'" &amp; $B28 &amp; "'!",ADDRESS(MATCH($C28, INDIRECT("'" &amp; $B28 &amp; "'!$B:$B"), 0),MATCH(E$1, INDIRECT("'" &amp; $B28 &amp; "'!$1:$1"), 0)))),".pdf#page=",E29),CONCATENATE("#Sharepoint//",$C28))</f>
        <v/>
      </c>
      <c r="F28" s="334">
        <f t="array" ref="F28">HYPERLINK(CONCATENATE(Cartelle!$D$5,INDEX(INDIRECT("'" &amp; $B28 &amp; "'!$1:$1"), 1, MATCH(INDIRECT(CONCATENATE("'" &amp; $B28 &amp; "'!",ADDRESS(MATCH($C28, INDIRECT("'" &amp; $B28 &amp; "'!$B:$B"), 0),MATCH(F$1, INDIRECT("'" &amp; $B28 &amp; "'!$1:$1"), 0)))),INDIRECT(CONCATENATE("'" &amp; $B28 &amp; "'!",MATCH($C28, INDIRECT("'" &amp; $B28 &amp; "'!$B:$B"), 0),":",MATCH($C28, INDIRECT("'" &amp; $B28 &amp; "'!$B:$B"), 0))),0)),"/",$B28,"/",MID($C28,1,FIND("_",$C28)-1),"/",INDIRECT(CONCATENATE("'" &amp; $B28 &amp; "'!",ADDRESS(MATCH($C28, INDIRECT("'" &amp; $B28 &amp; "'!$B:$B"), 0),MATCH(F$1, INDIRECT("'" &amp; $B28 &amp; "'!$1:$1"), 0)))),".pdf#page=",F29),CONCATENATE("#Sharepoint//",$C28))</f>
        <v/>
      </c>
      <c r="G28" s="332" t="n"/>
    </row>
    <row r="29" hidden="1" customFormat="1" s="59">
      <c r="A29" s="86" t="n"/>
      <c r="B29" s="62" t="n"/>
      <c r="C29" s="339" t="n"/>
      <c r="D29" s="218" t="inlineStr">
        <is>
          <t>Rif. Pagina</t>
        </is>
      </c>
      <c r="E29" s="217" t="n">
        <v>1</v>
      </c>
      <c r="F29" s="217" t="n">
        <v>1</v>
      </c>
      <c r="G29" s="217" t="n"/>
    </row>
    <row r="30" hidden="1" customFormat="1" s="59">
      <c r="A30" s="86" t="n"/>
      <c r="B30" s="62" t="n"/>
      <c r="C30" s="340" t="n"/>
      <c r="D30" s="337" t="inlineStr">
        <is>
          <t>Descrizione</t>
        </is>
      </c>
      <c r="E30" s="217" t="n"/>
      <c r="F30" s="217" t="n"/>
      <c r="G30" s="217" t="n"/>
    </row>
    <row r="31" collapsed="1" customFormat="1" s="59">
      <c r="A31" s="86" t="n"/>
      <c r="B31" s="332" t="inlineStr">
        <is>
          <t>GENERAL</t>
        </is>
      </c>
      <c r="C31" s="326" t="inlineStr">
        <is>
          <t>AD_Regole</t>
        </is>
      </c>
      <c r="D31" s="338" t="inlineStr">
        <is>
          <t>TBD</t>
        </is>
      </c>
      <c r="E31" s="332" t="n"/>
      <c r="F31" s="332" t="n"/>
      <c r="G31" s="332" t="n"/>
    </row>
  </sheetData>
  <pageMargins left="0.7" right="0.7" top="0.75" bottom="0.75" header="0.3" footer="0.3"/>
</worksheet>
</file>

<file path=xl/worksheets/sheet14.xml><?xml version="1.0" encoding="utf-8"?>
<worksheet xmlns="http://schemas.openxmlformats.org/spreadsheetml/2006/main">
  <sheetPr codeName="Foglio10">
    <outlinePr summaryBelow="1" summaryRight="1"/>
    <pageSetUpPr/>
  </sheetPr>
  <dimension ref="B2:I17"/>
  <sheetViews>
    <sheetView workbookViewId="0">
      <selection activeCell="F28" sqref="F28"/>
    </sheetView>
  </sheetViews>
  <sheetFormatPr baseColWidth="8" defaultRowHeight="14.5"/>
  <cols>
    <col width="41.81640625" customWidth="1" style="462" min="2" max="2"/>
    <col width="6.1796875" bestFit="1" customWidth="1" style="462" min="7" max="7"/>
  </cols>
  <sheetData>
    <row r="1" ht="15.75" customHeight="1" s="462" thickBot="1"/>
    <row r="2" ht="15.75" customHeight="1" s="462" thickBot="1">
      <c r="C2" s="1" t="inlineStr">
        <is>
          <t>VZI-50</t>
        </is>
      </c>
      <c r="D2" s="1" t="inlineStr">
        <is>
          <t>VZI-51-58</t>
        </is>
      </c>
      <c r="E2" s="1" t="inlineStr">
        <is>
          <t>VZI-6</t>
        </is>
      </c>
      <c r="F2" s="1" t="inlineStr">
        <is>
          <t>VZI-4</t>
        </is>
      </c>
      <c r="G2" s="1" t="inlineStr">
        <is>
          <t>VZ-FR</t>
        </is>
      </c>
      <c r="H2" s="1" t="inlineStr">
        <is>
          <t>VZ-ES</t>
        </is>
      </c>
      <c r="I2" s="457" t="inlineStr">
        <is>
          <t>VZ-DAI</t>
        </is>
      </c>
    </row>
    <row r="3" ht="15.75" customHeight="1" s="462" thickBot="1">
      <c r="B3" s="1" t="inlineStr">
        <is>
          <t xml:space="preserve">IPA (Indicazione Porte Aperte) </t>
        </is>
      </c>
      <c r="C3" s="5" t="n"/>
      <c r="D3" s="254" t="inlineStr">
        <is>
          <t>SI</t>
        </is>
      </c>
      <c r="E3" s="254" t="inlineStr">
        <is>
          <t>SI</t>
        </is>
      </c>
      <c r="F3" s="254" t="inlineStr">
        <is>
          <t>SI</t>
        </is>
      </c>
      <c r="G3" s="254" t="n"/>
      <c r="H3" s="254" t="inlineStr">
        <is>
          <t>SI</t>
        </is>
      </c>
      <c r="I3" s="254" t="inlineStr">
        <is>
          <t>SI</t>
        </is>
      </c>
    </row>
    <row r="4" ht="30.75" customHeight="1" s="462" thickBot="1">
      <c r="B4" s="3" t="inlineStr">
        <is>
          <t>BY-PASS ALLARME APPLICAZIONE PARKING
BRAKE IN MOVIMENTO</t>
        </is>
      </c>
      <c r="C4" s="236" t="n"/>
      <c r="D4" s="233" t="inlineStr">
        <is>
          <t>SI</t>
        </is>
      </c>
      <c r="E4" s="233" t="inlineStr">
        <is>
          <t>SI</t>
        </is>
      </c>
      <c r="F4" s="233" t="inlineStr">
        <is>
          <t>SI</t>
        </is>
      </c>
      <c r="G4" s="233" t="n"/>
      <c r="H4" s="233" t="inlineStr">
        <is>
          <t>SI</t>
        </is>
      </c>
      <c r="I4" s="233" t="inlineStr">
        <is>
          <t>SI</t>
        </is>
      </c>
    </row>
    <row r="5" ht="15.75" customHeight="1" s="462" thickBot="1">
      <c r="B5" s="1" t="inlineStr">
        <is>
          <t>RIDONDANZA LOOP DNRA-BMS</t>
        </is>
      </c>
      <c r="C5" s="236" t="n"/>
      <c r="D5" s="233" t="inlineStr">
        <is>
          <t>SI</t>
        </is>
      </c>
      <c r="E5" s="233" t="inlineStr">
        <is>
          <t>SI</t>
        </is>
      </c>
      <c r="F5" s="233" t="inlineStr">
        <is>
          <t>SI</t>
        </is>
      </c>
      <c r="G5" s="233" t="n"/>
      <c r="H5" s="233" t="inlineStr">
        <is>
          <t>SI</t>
        </is>
      </c>
      <c r="I5" s="233" t="inlineStr">
        <is>
          <t>SI</t>
        </is>
      </c>
    </row>
    <row r="6" ht="15.75" customHeight="1" s="462" thickBot="1">
      <c r="B6" s="1" t="inlineStr">
        <is>
          <t>INTERRUTTORI 220V SPOSTATI INTERNO CASSA</t>
        </is>
      </c>
      <c r="C6" s="236" t="n"/>
      <c r="D6" s="233" t="inlineStr">
        <is>
          <t>SI</t>
        </is>
      </c>
      <c r="E6" s="233" t="inlineStr">
        <is>
          <t>SI</t>
        </is>
      </c>
      <c r="F6" s="233" t="inlineStr">
        <is>
          <t>SI</t>
        </is>
      </c>
      <c r="G6" s="233" t="n"/>
      <c r="H6" s="233" t="inlineStr">
        <is>
          <t>SI</t>
        </is>
      </c>
      <c r="I6" s="233" t="inlineStr">
        <is>
          <t>SI</t>
        </is>
      </c>
    </row>
    <row r="7" ht="15.75" customHeight="1" s="462" thickBot="1">
      <c r="B7" s="1" t="inlineStr">
        <is>
          <t>COMPRESSORE ARIA (?)</t>
        </is>
      </c>
      <c r="C7" s="236" t="n"/>
      <c r="D7" s="233" t="n"/>
      <c r="E7" s="233" t="n"/>
      <c r="F7" s="233" t="n"/>
      <c r="G7" s="233" t="n"/>
      <c r="H7" s="233" t="n"/>
      <c r="I7" s="233" t="n"/>
    </row>
    <row r="8" ht="15.75" customHeight="1" s="462" thickBot="1">
      <c r="B8" s="1" t="inlineStr">
        <is>
          <t>BY-PASS ADD PER MARCIA SOCCORSO</t>
        </is>
      </c>
      <c r="C8" s="236" t="n"/>
      <c r="D8" s="233" t="inlineStr">
        <is>
          <t>SI</t>
        </is>
      </c>
      <c r="E8" s="233" t="inlineStr">
        <is>
          <t>SI</t>
        </is>
      </c>
      <c r="F8" s="233" t="inlineStr">
        <is>
          <t>SI</t>
        </is>
      </c>
      <c r="G8" s="233" t="n"/>
      <c r="H8" s="233" t="inlineStr">
        <is>
          <t>SI</t>
        </is>
      </c>
      <c r="I8" s="233" t="inlineStr">
        <is>
          <t>SI</t>
        </is>
      </c>
    </row>
    <row r="9" ht="15.75" customHeight="1" s="462" thickBot="1">
      <c r="B9" s="1" t="inlineStr">
        <is>
          <t>ARREDI TOILET BAR BISTROT</t>
        </is>
      </c>
      <c r="C9" s="236" t="n"/>
      <c r="D9" s="233" t="n"/>
      <c r="E9" s="233" t="n"/>
      <c r="F9" s="233" t="n"/>
      <c r="G9" s="233" t="n"/>
      <c r="H9" s="233" t="n"/>
      <c r="I9" s="233" t="n"/>
    </row>
    <row r="10" ht="45.75" customHeight="1" s="462" thickBot="1">
      <c r="B10" s="3" t="inlineStr">
        <is>
          <t>COMANDO DISACCOPPIAMENTO AUTOMATICO 
TESTE ELETTRICHE</t>
        </is>
      </c>
      <c r="C10" s="236" t="n"/>
      <c r="D10" s="233" t="inlineStr">
        <is>
          <t>SI</t>
        </is>
      </c>
      <c r="E10" s="233" t="inlineStr">
        <is>
          <t>SI</t>
        </is>
      </c>
      <c r="F10" s="233" t="inlineStr">
        <is>
          <t>SI</t>
        </is>
      </c>
      <c r="G10" s="233" t="n"/>
      <c r="H10" s="233" t="inlineStr">
        <is>
          <t>SI</t>
        </is>
      </c>
      <c r="I10" s="233" t="inlineStr">
        <is>
          <t>SI</t>
        </is>
      </c>
    </row>
    <row r="11" ht="15.75" customHeight="1" s="462" thickBot="1">
      <c r="B11" s="1" t="inlineStr">
        <is>
          <t>PANTOGRAFI</t>
        </is>
      </c>
      <c r="C11" s="236" t="n"/>
      <c r="D11" s="233" t="n"/>
      <c r="E11" s="233" t="n"/>
      <c r="F11" s="233" t="n"/>
      <c r="G11" s="233" t="n"/>
      <c r="H11" s="233" t="n"/>
      <c r="I11" s="233" t="n"/>
    </row>
    <row r="12" ht="15.75" customHeight="1" s="462" thickBot="1">
      <c r="B12" s="1" t="inlineStr">
        <is>
          <t>PIANO DI MANUTENZIONE</t>
        </is>
      </c>
      <c r="C12" s="416" t="n"/>
      <c r="D12" s="165" t="n"/>
      <c r="E12" s="165" t="n"/>
      <c r="F12" s="165" t="n"/>
      <c r="G12" s="165" t="n"/>
      <c r="H12" s="165" t="n"/>
      <c r="I12" s="165" t="n"/>
    </row>
    <row r="13" ht="15.75" customHeight="1" s="462" thickBot="1">
      <c r="B13" s="1" t="inlineStr">
        <is>
          <t>BL SSB</t>
        </is>
      </c>
      <c r="C13" s="416" t="n"/>
      <c r="D13" s="165" t="n"/>
      <c r="E13" s="165" t="n"/>
      <c r="F13" s="165" t="n"/>
      <c r="G13" s="165" t="n"/>
      <c r="H13" s="165" t="n"/>
      <c r="I13" s="165" t="n"/>
    </row>
    <row r="14" ht="15.75" customHeight="1" s="462" thickBot="1">
      <c r="B14" s="485" t="inlineStr">
        <is>
          <t>BL DIS</t>
        </is>
      </c>
      <c r="C14" s="416" t="n"/>
      <c r="D14" s="165" t="n"/>
      <c r="E14" s="165" t="n"/>
      <c r="F14" s="165" t="n"/>
      <c r="G14" s="165" t="n"/>
      <c r="H14" s="165" t="n"/>
      <c r="I14" s="165" t="n"/>
    </row>
    <row r="15" ht="15.75" customHeight="1" s="462" thickBot="1">
      <c r="B15" s="1" t="inlineStr">
        <is>
          <t>ETCS HD (HW)</t>
        </is>
      </c>
      <c r="C15" s="416" t="n"/>
      <c r="D15" s="165" t="n"/>
      <c r="E15" s="165" t="n"/>
      <c r="F15" s="165" t="n"/>
      <c r="G15" s="165" t="n"/>
      <c r="H15" s="165" t="n"/>
      <c r="I15" s="165" t="n"/>
    </row>
    <row r="16" ht="15.75" customHeight="1" s="462" thickBot="1">
      <c r="B16" s="1" t="inlineStr">
        <is>
          <t xml:space="preserve">ANTINCENDIO </t>
        </is>
      </c>
      <c r="C16" s="416" t="n"/>
      <c r="D16" s="165" t="n"/>
      <c r="E16" s="165" t="n"/>
      <c r="F16" s="165" t="n"/>
      <c r="G16" s="165" t="n"/>
      <c r="H16" s="165" t="n"/>
      <c r="I16" s="165" t="n"/>
    </row>
    <row r="17" ht="15.75" customHeight="1" s="462" thickBot="1">
      <c r="B17" s="6" t="inlineStr">
        <is>
          <t xml:space="preserve">LAYOUT INTERNO </t>
        </is>
      </c>
      <c r="C17" s="165" t="n"/>
      <c r="D17" s="165" t="n"/>
      <c r="E17" s="165" t="n"/>
      <c r="F17" s="165" t="n"/>
      <c r="G17" s="165" t="n"/>
      <c r="H17" s="165" t="n"/>
      <c r="I17" s="165" t="n"/>
    </row>
  </sheetData>
  <pageMargins left="0.7" right="0.7" top="0.75" bottom="0.75" header="0.3" footer="0.3"/>
  <headerFooter>
    <oddHeader/>
    <oddFooter>&amp;C&amp;"Aptos"&amp;10 &amp;K000000_x000d_# Informazione ad uso interno - Internal use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MIRANDA SIMONA</dc:creator>
  <dcterms:created xmlns:dcterms="http://purl.org/dc/terms/" xmlns:xsi="http://www.w3.org/2001/XMLSchema-instance" xsi:type="dcterms:W3CDTF">2015-06-05T18:19:34Z</dcterms:created>
  <dcterms:modified xmlns:dcterms="http://purl.org/dc/terms/" xmlns:xsi="http://www.w3.org/2001/XMLSchema-instance" xsi:type="dcterms:W3CDTF">2026-10-24T08:28:32Z</dcterms:modified>
  <cp:lastModifiedBy>CASINI GABRIELE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0x010100713C8E1CBF8C9C478FBCA521FF5AE747</vt:lpwstr>
  </property>
  <property name="MSIP_Label_886719c9-282b-4f1b-a005-55ab1b897fee_Enabled" fmtid="{D5CDD505-2E9C-101B-9397-08002B2CF9AE}" pid="3">
    <vt:lpwstr xmlns:vt="http://schemas.openxmlformats.org/officeDocument/2006/docPropsVTypes">true</vt:lpwstr>
  </property>
  <property name="MSIP_Label_886719c9-282b-4f1b-a005-55ab1b897fee_SetDate" fmtid="{D5CDD505-2E9C-101B-9397-08002B2CF9AE}" pid="4">
    <vt:lpwstr xmlns:vt="http://schemas.openxmlformats.org/officeDocument/2006/docPropsVTypes">2025-11-06T16:11:52Z</vt:lpwstr>
  </property>
  <property name="MSIP_Label_886719c9-282b-4f1b-a005-55ab1b897fee_Method" fmtid="{D5CDD505-2E9C-101B-9397-08002B2CF9AE}" pid="5">
    <vt:lpwstr xmlns:vt="http://schemas.openxmlformats.org/officeDocument/2006/docPropsVTypes">Standard</vt:lpwstr>
  </property>
  <property name="MSIP_Label_886719c9-282b-4f1b-a005-55ab1b897fee_Name" fmtid="{D5CDD505-2E9C-101B-9397-08002B2CF9AE}" pid="6">
    <vt:lpwstr xmlns:vt="http://schemas.openxmlformats.org/officeDocument/2006/docPropsVTypes">Internal use without protection</vt:lpwstr>
  </property>
  <property name="MSIP_Label_886719c9-282b-4f1b-a005-55ab1b897fee_SiteId" fmtid="{D5CDD505-2E9C-101B-9397-08002B2CF9AE}" pid="7">
    <vt:lpwstr xmlns:vt="http://schemas.openxmlformats.org/officeDocument/2006/docPropsVTypes">4c8a6547-459a-4b75-a3dc-f66efe3e9c4e</vt:lpwstr>
  </property>
  <property name="MSIP_Label_886719c9-282b-4f1b-a005-55ab1b897fee_ActionId" fmtid="{D5CDD505-2E9C-101B-9397-08002B2CF9AE}" pid="8">
    <vt:lpwstr xmlns:vt="http://schemas.openxmlformats.org/officeDocument/2006/docPropsVTypes">b7d0f9bc-0f68-4257-8c97-866d80925a8c</vt:lpwstr>
  </property>
  <property name="MSIP_Label_886719c9-282b-4f1b-a005-55ab1b897fee_ContentBits" fmtid="{D5CDD505-2E9C-101B-9397-08002B2CF9AE}" pid="9">
    <vt:lpwstr xmlns:vt="http://schemas.openxmlformats.org/officeDocument/2006/docPropsVTypes">2</vt:lpwstr>
  </property>
  <property name="MSIP_Label_886719c9-282b-4f1b-a005-55ab1b897fee_Tag" fmtid="{D5CDD505-2E9C-101B-9397-08002B2CF9AE}" pid="10">
    <vt:lpwstr xmlns:vt="http://schemas.openxmlformats.org/officeDocument/2006/docPropsVTypes">10, 3, 0, 1</vt:lpwstr>
  </property>
  <property name="MediaServiceImageTags" fmtid="{D5CDD505-2E9C-101B-9397-08002B2CF9AE}" pid="11">
    <vt:lpwstr xmlns:vt="http://schemas.openxmlformats.org/officeDocument/2006/docPropsVTypes"/>
  </property>
</Properties>
</file>